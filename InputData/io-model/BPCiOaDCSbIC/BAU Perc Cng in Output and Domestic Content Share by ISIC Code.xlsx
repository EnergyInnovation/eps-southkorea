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kjh_local\NEXTgroup_local\2025_local\2. EPS\업데이트 파일\eps-southkorea-3.3.1_2025update_v4.0.3\InputData\io-model\BPCiOaDCSbIC\"/>
    </mc:Choice>
  </mc:AlternateContent>
  <xr:revisionPtr revIDLastSave="0" documentId="13_ncr:1_{6BFE31A8-EB79-4746-905B-3A3DC6C0258F}" xr6:coauthVersionLast="47" xr6:coauthVersionMax="47" xr10:uidLastSave="{00000000-0000-0000-0000-000000000000}"/>
  <bookViews>
    <workbookView xWindow="-120" yWindow="-120" windowWidth="29040" windowHeight="15720" tabRatio="741" xr2:uid="{C3094BDE-EEBB-4416-BA99-794B5E057799}"/>
  </bookViews>
  <sheets>
    <sheet name="About" sheetId="1" r:id="rId1"/>
    <sheet name="BLS Table 2.7" sheetId="11" r:id="rId2"/>
    <sheet name="AEO23 Table 23" sheetId="12" r:id="rId3"/>
    <sheet name="AEO22 Table 23" sheetId="23" r:id="rId4"/>
    <sheet name="Data from BVAbIC" sheetId="14" r:id="rId5"/>
    <sheet name="GDP Forecast" sheetId="17" r:id="rId6"/>
    <sheet name="Rescale to Fit GDP Proj" sheetId="16" r:id="rId7"/>
    <sheet name="Growth Rates" sheetId="13" r:id="rId8"/>
    <sheet name="IRA - Advanced Manufacturing" sheetId="19" r:id="rId9"/>
    <sheet name="BPCiObIC" sheetId="2" r:id="rId10"/>
    <sheet name="BPCiDCSbIC" sheetId="20" r:id="rId11"/>
  </sheets>
  <externalReferences>
    <externalReference r:id="rId12"/>
  </externalReferences>
  <definedNames>
    <definedName name="_xlnm._FilterDatabase" localSheetId="1" hidden="1">'BLS Table 2.7'!$A$5:$C$269</definedName>
    <definedName name="gal_per_barrel">[1]About!$A$63</definedName>
    <definedName name="_xlnm.Print_Area" localSheetId="1">'BLS Table 2.7'!$A$1:$N$269</definedName>
    <definedName name="_xlnm.Print_Titles" localSheetId="1">'BLS Table 2.7'!$1:$4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F2" i="2"/>
  <c r="G2" i="2"/>
  <c r="H2" i="2"/>
  <c r="I2" i="2"/>
  <c r="J2" i="2"/>
  <c r="K2" i="2"/>
  <c r="L2" i="2"/>
  <c r="M2" i="2"/>
  <c r="N2" i="2"/>
  <c r="O2" i="2"/>
  <c r="P2" i="2"/>
  <c r="Q2" i="2"/>
  <c r="R2" i="2"/>
  <c r="S2" i="2"/>
  <c r="T2" i="2"/>
  <c r="U2" i="2"/>
  <c r="V2" i="2"/>
  <c r="W2" i="2"/>
  <c r="X2" i="2"/>
  <c r="Y2" i="2"/>
  <c r="Z2" i="2"/>
  <c r="AA2" i="2"/>
  <c r="AB2" i="2"/>
  <c r="AC2" i="2"/>
  <c r="AD2" i="2"/>
  <c r="AE2" i="2"/>
  <c r="E3" i="2"/>
  <c r="F3" i="2"/>
  <c r="G3" i="2"/>
  <c r="H3" i="2"/>
  <c r="I3" i="2"/>
  <c r="J3" i="2"/>
  <c r="K3" i="2"/>
  <c r="L3" i="2"/>
  <c r="M3" i="2"/>
  <c r="N3" i="2"/>
  <c r="O3" i="2"/>
  <c r="P3" i="2"/>
  <c r="Q3" i="2"/>
  <c r="R3" i="2"/>
  <c r="S3" i="2"/>
  <c r="T3" i="2"/>
  <c r="U3" i="2"/>
  <c r="V3" i="2"/>
  <c r="W3" i="2"/>
  <c r="X3" i="2"/>
  <c r="Y3" i="2"/>
  <c r="Z3" i="2"/>
  <c r="AA3" i="2"/>
  <c r="AB3" i="2"/>
  <c r="AC3" i="2"/>
  <c r="AD3" i="2"/>
  <c r="AE3" i="2"/>
  <c r="E4" i="2"/>
  <c r="F4" i="2"/>
  <c r="G4" i="2"/>
  <c r="H4" i="2"/>
  <c r="I4" i="2"/>
  <c r="J4" i="2"/>
  <c r="K4" i="2"/>
  <c r="L4" i="2"/>
  <c r="M4" i="2"/>
  <c r="N4" i="2"/>
  <c r="O4" i="2"/>
  <c r="P4" i="2"/>
  <c r="Q4" i="2"/>
  <c r="R4" i="2"/>
  <c r="S4" i="2"/>
  <c r="T4" i="2"/>
  <c r="U4" i="2"/>
  <c r="V4" i="2"/>
  <c r="W4" i="2"/>
  <c r="X4" i="2"/>
  <c r="Y4" i="2"/>
  <c r="Z4" i="2"/>
  <c r="AA4" i="2"/>
  <c r="AB4" i="2"/>
  <c r="AC4" i="2"/>
  <c r="AD4" i="2"/>
  <c r="AE4" i="2"/>
  <c r="E5" i="2"/>
  <c r="F5" i="2"/>
  <c r="G5" i="2"/>
  <c r="H5" i="2"/>
  <c r="I5" i="2"/>
  <c r="J5" i="2"/>
  <c r="K5" i="2"/>
  <c r="L5" i="2"/>
  <c r="M5" i="2"/>
  <c r="N5" i="2"/>
  <c r="O5" i="2"/>
  <c r="P5" i="2"/>
  <c r="Q5" i="2"/>
  <c r="R5" i="2"/>
  <c r="S5" i="2"/>
  <c r="T5" i="2"/>
  <c r="U5" i="2"/>
  <c r="V5" i="2"/>
  <c r="W5" i="2"/>
  <c r="X5" i="2"/>
  <c r="Y5" i="2"/>
  <c r="Z5" i="2"/>
  <c r="AA5" i="2"/>
  <c r="AB5" i="2"/>
  <c r="AC5" i="2"/>
  <c r="AD5" i="2"/>
  <c r="AE5" i="2"/>
  <c r="E6" i="2"/>
  <c r="F6" i="2"/>
  <c r="G6" i="2"/>
  <c r="H6" i="2"/>
  <c r="I6" i="2"/>
  <c r="J6" i="2"/>
  <c r="K6" i="2"/>
  <c r="L6" i="2"/>
  <c r="M6" i="2"/>
  <c r="N6" i="2"/>
  <c r="O6" i="2"/>
  <c r="P6" i="2"/>
  <c r="Q6" i="2"/>
  <c r="R6" i="2"/>
  <c r="S6" i="2"/>
  <c r="T6" i="2"/>
  <c r="U6" i="2"/>
  <c r="V6" i="2"/>
  <c r="W6" i="2"/>
  <c r="X6" i="2"/>
  <c r="Y6" i="2"/>
  <c r="Z6" i="2"/>
  <c r="AA6" i="2"/>
  <c r="AB6" i="2"/>
  <c r="AC6" i="2"/>
  <c r="AD6" i="2"/>
  <c r="AE6" i="2"/>
  <c r="E7" i="2"/>
  <c r="F7" i="2"/>
  <c r="G7" i="2"/>
  <c r="H7" i="2"/>
  <c r="I7" i="2"/>
  <c r="J7" i="2"/>
  <c r="K7" i="2"/>
  <c r="L7" i="2"/>
  <c r="M7" i="2"/>
  <c r="N7" i="2"/>
  <c r="O7" i="2"/>
  <c r="P7" i="2"/>
  <c r="Q7" i="2"/>
  <c r="R7" i="2"/>
  <c r="S7" i="2"/>
  <c r="T7" i="2"/>
  <c r="U7" i="2"/>
  <c r="V7" i="2"/>
  <c r="W7" i="2"/>
  <c r="X7" i="2"/>
  <c r="Y7" i="2"/>
  <c r="Z7" i="2"/>
  <c r="AA7" i="2"/>
  <c r="AB7" i="2"/>
  <c r="AC7" i="2"/>
  <c r="AD7" i="2"/>
  <c r="AE7" i="2"/>
  <c r="E8" i="2"/>
  <c r="F8" i="2"/>
  <c r="G8" i="2"/>
  <c r="H8" i="2"/>
  <c r="I8" i="2"/>
  <c r="J8" i="2"/>
  <c r="K8" i="2"/>
  <c r="L8" i="2"/>
  <c r="M8" i="2"/>
  <c r="N8" i="2"/>
  <c r="O8" i="2"/>
  <c r="P8" i="2"/>
  <c r="Q8" i="2"/>
  <c r="R8" i="2"/>
  <c r="S8" i="2"/>
  <c r="T8" i="2"/>
  <c r="U8" i="2"/>
  <c r="V8" i="2"/>
  <c r="W8" i="2"/>
  <c r="X8" i="2"/>
  <c r="Y8" i="2"/>
  <c r="Z8" i="2"/>
  <c r="AA8" i="2"/>
  <c r="AB8" i="2"/>
  <c r="AC8" i="2"/>
  <c r="AD8" i="2"/>
  <c r="AE8" i="2"/>
  <c r="E9" i="2"/>
  <c r="F9" i="2"/>
  <c r="G9" i="2"/>
  <c r="H9" i="2"/>
  <c r="I9" i="2"/>
  <c r="J9" i="2"/>
  <c r="K9" i="2"/>
  <c r="L9" i="2"/>
  <c r="M9" i="2"/>
  <c r="N9" i="2"/>
  <c r="O9" i="2"/>
  <c r="P9" i="2"/>
  <c r="Q9" i="2"/>
  <c r="R9" i="2"/>
  <c r="S9" i="2"/>
  <c r="T9" i="2"/>
  <c r="U9" i="2"/>
  <c r="V9" i="2"/>
  <c r="W9" i="2"/>
  <c r="X9" i="2"/>
  <c r="Y9" i="2"/>
  <c r="Z9" i="2"/>
  <c r="AA9" i="2"/>
  <c r="AB9" i="2"/>
  <c r="AC9" i="2"/>
  <c r="AD9" i="2"/>
  <c r="AE9"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E11" i="2"/>
  <c r="F11" i="2"/>
  <c r="G11" i="2"/>
  <c r="H11" i="2"/>
  <c r="I11" i="2"/>
  <c r="J11" i="2"/>
  <c r="K11" i="2"/>
  <c r="L11" i="2"/>
  <c r="M11" i="2"/>
  <c r="N11" i="2"/>
  <c r="O11" i="2"/>
  <c r="P11" i="2"/>
  <c r="Q11" i="2"/>
  <c r="R11" i="2"/>
  <c r="S11" i="2"/>
  <c r="T11" i="2"/>
  <c r="U11" i="2"/>
  <c r="V11" i="2"/>
  <c r="W11" i="2"/>
  <c r="X11" i="2"/>
  <c r="Y11" i="2"/>
  <c r="Z11" i="2"/>
  <c r="AA11" i="2"/>
  <c r="AB11" i="2"/>
  <c r="AC11" i="2"/>
  <c r="AD11" i="2"/>
  <c r="AE11"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E21" i="2"/>
  <c r="F21" i="2"/>
  <c r="G21" i="2"/>
  <c r="H21" i="2"/>
  <c r="I21" i="2"/>
  <c r="J21" i="2"/>
  <c r="K21" i="2"/>
  <c r="L21" i="2"/>
  <c r="M21" i="2"/>
  <c r="N21" i="2"/>
  <c r="O21" i="2"/>
  <c r="P21" i="2"/>
  <c r="Q21" i="2"/>
  <c r="R21" i="2"/>
  <c r="S21" i="2"/>
  <c r="T21" i="2"/>
  <c r="U21" i="2"/>
  <c r="V21" i="2"/>
  <c r="W21" i="2"/>
  <c r="X21" i="2"/>
  <c r="Y21" i="2"/>
  <c r="Z21" i="2"/>
  <c r="AA21" i="2"/>
  <c r="AB21" i="2"/>
  <c r="AC21" i="2"/>
  <c r="AD21" i="2"/>
  <c r="AE21"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E29" i="2"/>
  <c r="F29" i="2"/>
  <c r="G29" i="2"/>
  <c r="H29" i="2"/>
  <c r="I29" i="2"/>
  <c r="J29" i="2"/>
  <c r="K29" i="2"/>
  <c r="L29" i="2"/>
  <c r="M29" i="2"/>
  <c r="N29" i="2"/>
  <c r="O29" i="2"/>
  <c r="P29" i="2"/>
  <c r="Q29" i="2"/>
  <c r="R29" i="2"/>
  <c r="S29" i="2"/>
  <c r="T29" i="2"/>
  <c r="U29" i="2"/>
  <c r="V29" i="2"/>
  <c r="W29" i="2"/>
  <c r="X29" i="2"/>
  <c r="Y29" i="2"/>
  <c r="Z29" i="2"/>
  <c r="AA29" i="2"/>
  <c r="AB29" i="2"/>
  <c r="AC29" i="2"/>
  <c r="AD29" i="2"/>
  <c r="AE29"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E33" i="2"/>
  <c r="F33" i="2"/>
  <c r="G33" i="2"/>
  <c r="H33" i="2"/>
  <c r="I33" i="2"/>
  <c r="J33" i="2"/>
  <c r="K33" i="2"/>
  <c r="L33" i="2"/>
  <c r="M33" i="2"/>
  <c r="N33" i="2"/>
  <c r="O33" i="2"/>
  <c r="P33" i="2"/>
  <c r="Q33" i="2"/>
  <c r="R33" i="2"/>
  <c r="S33" i="2"/>
  <c r="T33" i="2"/>
  <c r="U33" i="2"/>
  <c r="V33" i="2"/>
  <c r="W33" i="2"/>
  <c r="X33" i="2"/>
  <c r="Y33" i="2"/>
  <c r="Z33" i="2"/>
  <c r="AA33" i="2"/>
  <c r="AB33" i="2"/>
  <c r="AC33" i="2"/>
  <c r="AD33" i="2"/>
  <c r="AE33" i="2"/>
  <c r="E34" i="2"/>
  <c r="F34" i="2"/>
  <c r="G34" i="2"/>
  <c r="H34" i="2"/>
  <c r="I34" i="2"/>
  <c r="J34" i="2"/>
  <c r="K34" i="2"/>
  <c r="L34" i="2"/>
  <c r="M34" i="2"/>
  <c r="N34" i="2"/>
  <c r="O34" i="2"/>
  <c r="P34" i="2"/>
  <c r="Q34" i="2"/>
  <c r="R34" i="2"/>
  <c r="S34" i="2"/>
  <c r="T34" i="2"/>
  <c r="U34" i="2"/>
  <c r="V34" i="2"/>
  <c r="W34" i="2"/>
  <c r="X34" i="2"/>
  <c r="Y34" i="2"/>
  <c r="Z34" i="2"/>
  <c r="AA34" i="2"/>
  <c r="AB34" i="2"/>
  <c r="AC34" i="2"/>
  <c r="AD34" i="2"/>
  <c r="AE34"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E36" i="2"/>
  <c r="F36" i="2"/>
  <c r="G36" i="2"/>
  <c r="H36" i="2"/>
  <c r="I36" i="2"/>
  <c r="J36" i="2"/>
  <c r="K36" i="2"/>
  <c r="L36" i="2"/>
  <c r="M36" i="2"/>
  <c r="N36" i="2"/>
  <c r="O36" i="2"/>
  <c r="P36" i="2"/>
  <c r="Q36" i="2"/>
  <c r="R36" i="2"/>
  <c r="S36" i="2"/>
  <c r="T36" i="2"/>
  <c r="U36" i="2"/>
  <c r="V36" i="2"/>
  <c r="W36" i="2"/>
  <c r="X36" i="2"/>
  <c r="Y36" i="2"/>
  <c r="Z36" i="2"/>
  <c r="AA36" i="2"/>
  <c r="AB36" i="2"/>
  <c r="AC36" i="2"/>
  <c r="AD36" i="2"/>
  <c r="AE36" i="2"/>
  <c r="E37" i="2"/>
  <c r="F37" i="2"/>
  <c r="G37" i="2"/>
  <c r="H37" i="2"/>
  <c r="I37" i="2"/>
  <c r="J37" i="2"/>
  <c r="K37" i="2"/>
  <c r="L37" i="2"/>
  <c r="M37" i="2"/>
  <c r="N37" i="2"/>
  <c r="O37" i="2"/>
  <c r="P37" i="2"/>
  <c r="Q37" i="2"/>
  <c r="R37" i="2"/>
  <c r="S37" i="2"/>
  <c r="T37" i="2"/>
  <c r="U37" i="2"/>
  <c r="V37" i="2"/>
  <c r="W37" i="2"/>
  <c r="X37" i="2"/>
  <c r="Y37" i="2"/>
  <c r="Z37" i="2"/>
  <c r="AA37" i="2"/>
  <c r="AB37" i="2"/>
  <c r="AC37" i="2"/>
  <c r="AD37" i="2"/>
  <c r="AE37" i="2"/>
  <c r="E38" i="2"/>
  <c r="F38" i="2"/>
  <c r="G38" i="2"/>
  <c r="H38" i="2"/>
  <c r="I38" i="2"/>
  <c r="J38" i="2"/>
  <c r="K38" i="2"/>
  <c r="L38" i="2"/>
  <c r="M38" i="2"/>
  <c r="N38" i="2"/>
  <c r="O38" i="2"/>
  <c r="P38" i="2"/>
  <c r="Q38" i="2"/>
  <c r="R38" i="2"/>
  <c r="S38" i="2"/>
  <c r="T38" i="2"/>
  <c r="U38" i="2"/>
  <c r="V38" i="2"/>
  <c r="W38" i="2"/>
  <c r="X38" i="2"/>
  <c r="Y38" i="2"/>
  <c r="Z38" i="2"/>
  <c r="AA38" i="2"/>
  <c r="AB38" i="2"/>
  <c r="AC38" i="2"/>
  <c r="AD38" i="2"/>
  <c r="AE38"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E40" i="2"/>
  <c r="F40" i="2"/>
  <c r="G40" i="2"/>
  <c r="H40" i="2"/>
  <c r="I40" i="2"/>
  <c r="J40" i="2"/>
  <c r="K40" i="2"/>
  <c r="L40" i="2"/>
  <c r="M40" i="2"/>
  <c r="N40" i="2"/>
  <c r="O40" i="2"/>
  <c r="P40" i="2"/>
  <c r="Q40" i="2"/>
  <c r="R40" i="2"/>
  <c r="S40" i="2"/>
  <c r="T40" i="2"/>
  <c r="U40" i="2"/>
  <c r="V40" i="2"/>
  <c r="W40" i="2"/>
  <c r="X40" i="2"/>
  <c r="Y40" i="2"/>
  <c r="Z40" i="2"/>
  <c r="AA40" i="2"/>
  <c r="AB40" i="2"/>
  <c r="AC40" i="2"/>
  <c r="AD40" i="2"/>
  <c r="AE40"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E43" i="2"/>
  <c r="F43" i="2"/>
  <c r="G43" i="2"/>
  <c r="H43" i="2"/>
  <c r="I43" i="2"/>
  <c r="J43" i="2"/>
  <c r="K43" i="2"/>
  <c r="L43" i="2"/>
  <c r="M43" i="2"/>
  <c r="N43" i="2"/>
  <c r="O43" i="2"/>
  <c r="P43" i="2"/>
  <c r="Q43" i="2"/>
  <c r="R43" i="2"/>
  <c r="S43" i="2"/>
  <c r="T43" i="2"/>
  <c r="U43" i="2"/>
  <c r="V43" i="2"/>
  <c r="W43" i="2"/>
  <c r="X43" i="2"/>
  <c r="Y43" i="2"/>
  <c r="Z43" i="2"/>
  <c r="AA43" i="2"/>
  <c r="AB43" i="2"/>
  <c r="AC43" i="2"/>
  <c r="AD43" i="2"/>
  <c r="AE43"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2" i="2"/>
  <c r="F103" i="16"/>
  <c r="G103" i="16" s="1"/>
  <c r="H103" i="16"/>
  <c r="I103" i="16"/>
  <c r="J103" i="16"/>
  <c r="K103" i="16"/>
  <c r="L103" i="16"/>
  <c r="M103" i="16"/>
  <c r="N103" i="16"/>
  <c r="O103" i="16"/>
  <c r="P103" i="16" s="1"/>
  <c r="Q103" i="16" s="1"/>
  <c r="R103" i="16"/>
  <c r="S103" i="16" s="1"/>
  <c r="T103" i="16" s="1"/>
  <c r="U103" i="16" s="1"/>
  <c r="V103" i="16" s="1"/>
  <c r="W103" i="16" s="1"/>
  <c r="X103" i="16" s="1"/>
  <c r="Y103" i="16" s="1"/>
  <c r="Z103" i="16" s="1"/>
  <c r="AA103" i="16" s="1"/>
  <c r="AB103" i="16" s="1"/>
  <c r="AC103" i="16" s="1"/>
  <c r="AD103" i="16" s="1"/>
  <c r="AE103" i="16" s="1"/>
  <c r="AF103" i="16" s="1"/>
  <c r="F104" i="16"/>
  <c r="G104" i="16"/>
  <c r="H104" i="16"/>
  <c r="I104" i="16" s="1"/>
  <c r="J104" i="16" s="1"/>
  <c r="K104" i="16"/>
  <c r="L104" i="16"/>
  <c r="M104" i="16"/>
  <c r="N104" i="16"/>
  <c r="O104" i="16"/>
  <c r="P104" i="16"/>
  <c r="Q104" i="16"/>
  <c r="R104" i="16" s="1"/>
  <c r="S104" i="16" s="1"/>
  <c r="T104" i="16" s="1"/>
  <c r="U104" i="16" s="1"/>
  <c r="V104" i="16" s="1"/>
  <c r="W104" i="16" s="1"/>
  <c r="X104" i="16" s="1"/>
  <c r="Y104" i="16" s="1"/>
  <c r="Z104" i="16" s="1"/>
  <c r="AA104" i="16" s="1"/>
  <c r="AB104" i="16" s="1"/>
  <c r="AC104" i="16" s="1"/>
  <c r="AD104" i="16" s="1"/>
  <c r="AE104" i="16" s="1"/>
  <c r="AF104" i="16" s="1"/>
  <c r="F105" i="16"/>
  <c r="G105" i="16" s="1"/>
  <c r="H105" i="16" s="1"/>
  <c r="I105" i="16" s="1"/>
  <c r="J105" i="16" s="1"/>
  <c r="K105" i="16" s="1"/>
  <c r="L105" i="16" s="1"/>
  <c r="M105" i="16" s="1"/>
  <c r="N105" i="16" s="1"/>
  <c r="O105" i="16" s="1"/>
  <c r="P105" i="16" s="1"/>
  <c r="Q105" i="16" s="1"/>
  <c r="R105" i="16" s="1"/>
  <c r="S105" i="16" s="1"/>
  <c r="T105" i="16" s="1"/>
  <c r="U105" i="16" s="1"/>
  <c r="V105" i="16" s="1"/>
  <c r="W105" i="16" s="1"/>
  <c r="X105" i="16" s="1"/>
  <c r="Y105" i="16" s="1"/>
  <c r="Z105" i="16" s="1"/>
  <c r="AA105" i="16" s="1"/>
  <c r="AB105" i="16" s="1"/>
  <c r="AC105" i="16" s="1"/>
  <c r="AD105" i="16" s="1"/>
  <c r="AE105" i="16" s="1"/>
  <c r="AF105" i="16" s="1"/>
  <c r="F106" i="16"/>
  <c r="G106" i="16"/>
  <c r="H106" i="16"/>
  <c r="I106" i="16"/>
  <c r="J106" i="16"/>
  <c r="K106" i="16"/>
  <c r="L106" i="16"/>
  <c r="M106" i="16"/>
  <c r="N106" i="16"/>
  <c r="O106" i="16" s="1"/>
  <c r="P106" i="16" s="1"/>
  <c r="Q106" i="16"/>
  <c r="R106" i="16"/>
  <c r="S106" i="16"/>
  <c r="T106" i="16"/>
  <c r="U106" i="16"/>
  <c r="V106" i="16"/>
  <c r="W106" i="16" s="1"/>
  <c r="X106" i="16" s="1"/>
  <c r="Y106" i="16" s="1"/>
  <c r="Z106" i="16" s="1"/>
  <c r="AA106" i="16"/>
  <c r="AB106" i="16"/>
  <c r="AC106" i="16"/>
  <c r="AD106" i="16" s="1"/>
  <c r="AE106" i="16" s="1"/>
  <c r="AF106" i="16" s="1"/>
  <c r="F107" i="16"/>
  <c r="G107" i="16"/>
  <c r="H107" i="16" s="1"/>
  <c r="I107" i="16" s="1"/>
  <c r="J107" i="16"/>
  <c r="K107" i="16"/>
  <c r="L107" i="16"/>
  <c r="M107" i="16"/>
  <c r="N107" i="16"/>
  <c r="O107" i="16"/>
  <c r="P107" i="16"/>
  <c r="Q107" i="16"/>
  <c r="R107" i="16" s="1"/>
  <c r="S107" i="16" s="1"/>
  <c r="T107" i="16"/>
  <c r="U107" i="16"/>
  <c r="V107" i="16" s="1"/>
  <c r="W107" i="16" s="1"/>
  <c r="X107" i="16"/>
  <c r="Y107" i="16"/>
  <c r="Z107" i="16"/>
  <c r="AA107" i="16"/>
  <c r="AB107" i="16" s="1"/>
  <c r="AC107" i="16" s="1"/>
  <c r="AD107" i="16"/>
  <c r="AE107" i="16" s="1"/>
  <c r="AF107" i="16" s="1"/>
  <c r="F108" i="16"/>
  <c r="G108" i="16" s="1"/>
  <c r="H108" i="16" s="1"/>
  <c r="I108" i="16" s="1"/>
  <c r="J108" i="16" s="1"/>
  <c r="K108" i="16" s="1"/>
  <c r="L108" i="16" s="1"/>
  <c r="M108" i="16" s="1"/>
  <c r="N108" i="16" s="1"/>
  <c r="O108" i="16" s="1"/>
  <c r="P108" i="16"/>
  <c r="Q108" i="16"/>
  <c r="R108" i="16"/>
  <c r="S108" i="16" s="1"/>
  <c r="T108" i="16" s="1"/>
  <c r="U108" i="16" s="1"/>
  <c r="V108" i="16" s="1"/>
  <c r="W108" i="16"/>
  <c r="X108" i="16"/>
  <c r="Y108" i="16"/>
  <c r="Z108" i="16"/>
  <c r="AA108" i="16" s="1"/>
  <c r="AB108" i="16" s="1"/>
  <c r="AC108" i="16" s="1"/>
  <c r="AD108" i="16" s="1"/>
  <c r="AE108" i="16" s="1"/>
  <c r="AF108" i="16" s="1"/>
  <c r="F109" i="16"/>
  <c r="G109" i="16"/>
  <c r="H109" i="16" s="1"/>
  <c r="I109" i="16" s="1"/>
  <c r="J109" i="16" s="1"/>
  <c r="K109" i="16" s="1"/>
  <c r="L109" i="16" s="1"/>
  <c r="M109" i="16" s="1"/>
  <c r="N109" i="16" s="1"/>
  <c r="O109" i="16" s="1"/>
  <c r="P109" i="16" s="1"/>
  <c r="Q109" i="16"/>
  <c r="R109" i="16" s="1"/>
  <c r="S109" i="16" s="1"/>
  <c r="T109" i="16"/>
  <c r="U109" i="16"/>
  <c r="V109" i="16"/>
  <c r="W109" i="16" s="1"/>
  <c r="X109" i="16" s="1"/>
  <c r="Y109" i="16" s="1"/>
  <c r="Z109" i="16" s="1"/>
  <c r="AA109" i="16" s="1"/>
  <c r="AB109" i="16" s="1"/>
  <c r="AC109" i="16" s="1"/>
  <c r="AD109" i="16" s="1"/>
  <c r="AE109" i="16" s="1"/>
  <c r="AF109" i="16" s="1"/>
  <c r="F110" i="16"/>
  <c r="G110" i="16" s="1"/>
  <c r="H110" i="16" s="1"/>
  <c r="I110" i="16" s="1"/>
  <c r="J110" i="16" s="1"/>
  <c r="K110" i="16" s="1"/>
  <c r="L110" i="16" s="1"/>
  <c r="M110" i="16" s="1"/>
  <c r="N110" i="16" s="1"/>
  <c r="O110" i="16" s="1"/>
  <c r="P110" i="16" s="1"/>
  <c r="Q110" i="16" s="1"/>
  <c r="R110" i="16" s="1"/>
  <c r="S110" i="16" s="1"/>
  <c r="T110" i="16"/>
  <c r="U110" i="16" s="1"/>
  <c r="V110" i="16" s="1"/>
  <c r="W110" i="16" s="1"/>
  <c r="X110" i="16" s="1"/>
  <c r="Y110" i="16" s="1"/>
  <c r="Z110" i="16" s="1"/>
  <c r="AA110" i="16" s="1"/>
  <c r="AB110" i="16" s="1"/>
  <c r="AC110" i="16" s="1"/>
  <c r="AD110" i="16" s="1"/>
  <c r="AE110" i="16" s="1"/>
  <c r="AF110" i="16" s="1"/>
  <c r="F111" i="16"/>
  <c r="G111" i="16"/>
  <c r="H111" i="16" s="1"/>
  <c r="I111" i="16" s="1"/>
  <c r="J111" i="16" s="1"/>
  <c r="K111" i="16" s="1"/>
  <c r="L111" i="16" s="1"/>
  <c r="M111" i="16" s="1"/>
  <c r="N111" i="16" s="1"/>
  <c r="O111" i="16" s="1"/>
  <c r="P111" i="16" s="1"/>
  <c r="Q111" i="16" s="1"/>
  <c r="R111" i="16" s="1"/>
  <c r="S111" i="16"/>
  <c r="T111" i="16" s="1"/>
  <c r="U111" i="16" s="1"/>
  <c r="V111" i="16"/>
  <c r="W111" i="16"/>
  <c r="X111" i="16"/>
  <c r="Y111" i="16"/>
  <c r="Z111" i="16"/>
  <c r="AA111" i="16"/>
  <c r="AB111" i="16"/>
  <c r="AC111" i="16" s="1"/>
  <c r="AD111" i="16" s="1"/>
  <c r="AE111" i="16" s="1"/>
  <c r="AF111" i="16" s="1"/>
  <c r="F112" i="16"/>
  <c r="G112" i="16"/>
  <c r="H112" i="16"/>
  <c r="I112" i="16" s="1"/>
  <c r="J112" i="16" s="1"/>
  <c r="K112" i="16" s="1"/>
  <c r="L112" i="16" s="1"/>
  <c r="M112" i="16" s="1"/>
  <c r="N112" i="16" s="1"/>
  <c r="O112" i="16" s="1"/>
  <c r="P112" i="16" s="1"/>
  <c r="Q112" i="16" s="1"/>
  <c r="R112" i="16" s="1"/>
  <c r="S112" i="16" s="1"/>
  <c r="T112" i="16"/>
  <c r="U112" i="16"/>
  <c r="V112" i="16"/>
  <c r="W112" i="16" s="1"/>
  <c r="X112" i="16" s="1"/>
  <c r="Y112" i="16"/>
  <c r="Z112" i="16"/>
  <c r="AA112" i="16" s="1"/>
  <c r="AB112" i="16" s="1"/>
  <c r="AC112" i="16" s="1"/>
  <c r="AD112" i="16" s="1"/>
  <c r="AE112" i="16" s="1"/>
  <c r="AF112" i="16" s="1"/>
  <c r="F113" i="16"/>
  <c r="G113" i="16"/>
  <c r="H113" i="16"/>
  <c r="I113" i="16"/>
  <c r="J113" i="16"/>
  <c r="K113" i="16"/>
  <c r="L113" i="16"/>
  <c r="M113" i="16"/>
  <c r="N113" i="16"/>
  <c r="O113" i="16"/>
  <c r="P113" i="16" s="1"/>
  <c r="Q113" i="16" s="1"/>
  <c r="R113" i="16"/>
  <c r="S113" i="16"/>
  <c r="T113" i="16"/>
  <c r="U113" i="16"/>
  <c r="V113" i="16" s="1"/>
  <c r="W113" i="16" s="1"/>
  <c r="X113" i="16" s="1"/>
  <c r="Y113" i="16" s="1"/>
  <c r="Z113" i="16" s="1"/>
  <c r="AA113" i="16" s="1"/>
  <c r="AB113" i="16" s="1"/>
  <c r="AC113" i="16" s="1"/>
  <c r="AD113" i="16" s="1"/>
  <c r="AE113" i="16" s="1"/>
  <c r="AF113" i="16" s="1"/>
  <c r="F114" i="16"/>
  <c r="G114" i="16"/>
  <c r="H114" i="16"/>
  <c r="I114" i="16" s="1"/>
  <c r="J114" i="16" s="1"/>
  <c r="K114" i="16"/>
  <c r="L114" i="16"/>
  <c r="M114" i="16"/>
  <c r="N114" i="16"/>
  <c r="O114" i="16"/>
  <c r="P114" i="16"/>
  <c r="Q114" i="16"/>
  <c r="R114" i="16"/>
  <c r="S114" i="16" s="1"/>
  <c r="T114" i="16" s="1"/>
  <c r="U114" i="16"/>
  <c r="V114" i="16" s="1"/>
  <c r="W114" i="16" s="1"/>
  <c r="X114" i="16" s="1"/>
  <c r="Y114" i="16" s="1"/>
  <c r="Z114" i="16" s="1"/>
  <c r="AA114" i="16" s="1"/>
  <c r="AB114" i="16" s="1"/>
  <c r="AC114" i="16" s="1"/>
  <c r="AD114" i="16" s="1"/>
  <c r="AE114" i="16" s="1"/>
  <c r="AF114" i="16" s="1"/>
  <c r="F115" i="16"/>
  <c r="G115" i="16" s="1"/>
  <c r="H115" i="16" s="1"/>
  <c r="I115" i="16" s="1"/>
  <c r="J115" i="16" s="1"/>
  <c r="K115" i="16" s="1"/>
  <c r="L115" i="16" s="1"/>
  <c r="M115" i="16" s="1"/>
  <c r="N115" i="16" s="1"/>
  <c r="O115" i="16" s="1"/>
  <c r="P115" i="16"/>
  <c r="Q115" i="16"/>
  <c r="R115" i="16" s="1"/>
  <c r="S115" i="16" s="1"/>
  <c r="T115" i="16" s="1"/>
  <c r="U115" i="16" s="1"/>
  <c r="V115" i="16" s="1"/>
  <c r="W115" i="16" s="1"/>
  <c r="X115" i="16" s="1"/>
  <c r="Y115" i="16" s="1"/>
  <c r="Z115" i="16" s="1"/>
  <c r="AA115" i="16" s="1"/>
  <c r="AB115" i="16" s="1"/>
  <c r="AC115" i="16" s="1"/>
  <c r="AD115" i="16" s="1"/>
  <c r="AE115" i="16" s="1"/>
  <c r="AF115" i="16" s="1"/>
  <c r="F116" i="16"/>
  <c r="G116" i="16"/>
  <c r="H116" i="16"/>
  <c r="I116" i="16"/>
  <c r="J116" i="16"/>
  <c r="K116" i="16"/>
  <c r="L116" i="16"/>
  <c r="M116" i="16"/>
  <c r="N116" i="16"/>
  <c r="O116" i="16" s="1"/>
  <c r="P116" i="16" s="1"/>
  <c r="Q116" i="16"/>
  <c r="R116" i="16" s="1"/>
  <c r="S116" i="16" s="1"/>
  <c r="T116" i="16" s="1"/>
  <c r="U116" i="16" s="1"/>
  <c r="V116" i="16" s="1"/>
  <c r="W116" i="16" s="1"/>
  <c r="X116" i="16" s="1"/>
  <c r="Y116" i="16" s="1"/>
  <c r="Z116" i="16" s="1"/>
  <c r="AA116" i="16" s="1"/>
  <c r="AB116" i="16" s="1"/>
  <c r="AC116" i="16" s="1"/>
  <c r="AD116" i="16" s="1"/>
  <c r="AE116" i="16" s="1"/>
  <c r="AF116" i="16" s="1"/>
  <c r="F117" i="16"/>
  <c r="G117" i="16"/>
  <c r="H117" i="16" s="1"/>
  <c r="I117" i="16" s="1"/>
  <c r="J117" i="16"/>
  <c r="K117" i="16"/>
  <c r="L117" i="16"/>
  <c r="M117" i="16"/>
  <c r="N117" i="16"/>
  <c r="O117" i="16"/>
  <c r="P117" i="16"/>
  <c r="Q117" i="16" s="1"/>
  <c r="R117" i="16" s="1"/>
  <c r="S117" i="16" s="1"/>
  <c r="T117" i="16" s="1"/>
  <c r="U117" i="16" s="1"/>
  <c r="V117" i="16" s="1"/>
  <c r="W117" i="16" s="1"/>
  <c r="X117" i="16" s="1"/>
  <c r="Y117" i="16" s="1"/>
  <c r="Z117" i="16" s="1"/>
  <c r="AA117" i="16" s="1"/>
  <c r="AB117" i="16" s="1"/>
  <c r="AC117" i="16" s="1"/>
  <c r="AD117" i="16" s="1"/>
  <c r="AE117" i="16" s="1"/>
  <c r="AF117" i="16" s="1"/>
  <c r="F118" i="16"/>
  <c r="G118" i="16" s="1"/>
  <c r="H118" i="16" s="1"/>
  <c r="I118" i="16" s="1"/>
  <c r="J118" i="16" s="1"/>
  <c r="K118" i="16" s="1"/>
  <c r="L118" i="16" s="1"/>
  <c r="M118" i="16" s="1"/>
  <c r="N118" i="16" s="1"/>
  <c r="O118" i="16" s="1"/>
  <c r="P118" i="16"/>
  <c r="Q118" i="16"/>
  <c r="R118" i="16"/>
  <c r="S118" i="16"/>
  <c r="T118" i="16" s="1"/>
  <c r="U118" i="16" s="1"/>
  <c r="V118" i="16" s="1"/>
  <c r="W118" i="16" s="1"/>
  <c r="X118" i="16"/>
  <c r="Y118" i="16"/>
  <c r="Z118" i="16"/>
  <c r="AA118" i="16"/>
  <c r="AB118" i="16"/>
  <c r="AC118" i="16" s="1"/>
  <c r="AD118" i="16" s="1"/>
  <c r="AE118" i="16" s="1"/>
  <c r="AF118" i="16" s="1"/>
  <c r="F119" i="16"/>
  <c r="G119" i="16"/>
  <c r="H119" i="16" s="1"/>
  <c r="I119" i="16" s="1"/>
  <c r="J119" i="16" s="1"/>
  <c r="K119" i="16" s="1"/>
  <c r="L119" i="16" s="1"/>
  <c r="M119" i="16" s="1"/>
  <c r="N119" i="16" s="1"/>
  <c r="O119" i="16" s="1"/>
  <c r="P119" i="16" s="1"/>
  <c r="Q119" i="16"/>
  <c r="R119" i="16"/>
  <c r="S119" i="16" s="1"/>
  <c r="T119" i="16" s="1"/>
  <c r="U119" i="16"/>
  <c r="V119" i="16"/>
  <c r="W119" i="16"/>
  <c r="X119" i="16" s="1"/>
  <c r="Y119" i="16" s="1"/>
  <c r="Z119" i="16"/>
  <c r="AA119" i="16" s="1"/>
  <c r="AB119" i="16" s="1"/>
  <c r="AC119" i="16" s="1"/>
  <c r="AD119" i="16" s="1"/>
  <c r="AE119" i="16" s="1"/>
  <c r="AF119" i="16" s="1"/>
  <c r="F120" i="16"/>
  <c r="G120" i="16" s="1"/>
  <c r="H120" i="16" s="1"/>
  <c r="I120" i="16" s="1"/>
  <c r="J120" i="16" s="1"/>
  <c r="K120" i="16" s="1"/>
  <c r="L120" i="16" s="1"/>
  <c r="M120" i="16" s="1"/>
  <c r="N120" i="16" s="1"/>
  <c r="O120" i="16" s="1"/>
  <c r="P120" i="16" s="1"/>
  <c r="Q120" i="16" s="1"/>
  <c r="R120" i="16" s="1"/>
  <c r="S120" i="16" s="1"/>
  <c r="T120" i="16"/>
  <c r="U120" i="16"/>
  <c r="V120" i="16"/>
  <c r="W120" i="16" s="1"/>
  <c r="X120" i="16" s="1"/>
  <c r="Y120" i="16" s="1"/>
  <c r="Z120" i="16" s="1"/>
  <c r="AA120" i="16" s="1"/>
  <c r="AB120" i="16" s="1"/>
  <c r="AC120" i="16" s="1"/>
  <c r="AD120" i="16" s="1"/>
  <c r="AE120" i="16" s="1"/>
  <c r="AF120" i="16" s="1"/>
  <c r="F121" i="16"/>
  <c r="G121" i="16"/>
  <c r="H121" i="16" s="1"/>
  <c r="I121" i="16" s="1"/>
  <c r="J121" i="16" s="1"/>
  <c r="K121" i="16" s="1"/>
  <c r="L121" i="16" s="1"/>
  <c r="M121" i="16" s="1"/>
  <c r="N121" i="16" s="1"/>
  <c r="O121" i="16" s="1"/>
  <c r="P121" i="16" s="1"/>
  <c r="Q121" i="16" s="1"/>
  <c r="R121" i="16" s="1"/>
  <c r="S121" i="16" s="1"/>
  <c r="T121" i="16" s="1"/>
  <c r="U121" i="16" s="1"/>
  <c r="V121" i="16" s="1"/>
  <c r="W121" i="16" s="1"/>
  <c r="X121" i="16" s="1"/>
  <c r="Y121" i="16" s="1"/>
  <c r="Z121" i="16" s="1"/>
  <c r="AA121" i="16" s="1"/>
  <c r="AB121" i="16" s="1"/>
  <c r="AC121" i="16" s="1"/>
  <c r="AD121" i="16" s="1"/>
  <c r="AE121" i="16" s="1"/>
  <c r="AF121" i="16" s="1"/>
  <c r="F122" i="16"/>
  <c r="G122" i="16"/>
  <c r="H122" i="16"/>
  <c r="I122" i="16" s="1"/>
  <c r="J122" i="16" s="1"/>
  <c r="K122" i="16" s="1"/>
  <c r="L122" i="16" s="1"/>
  <c r="M122" i="16" s="1"/>
  <c r="N122" i="16" s="1"/>
  <c r="O122" i="16" s="1"/>
  <c r="P122" i="16" s="1"/>
  <c r="Q122" i="16" s="1"/>
  <c r="R122" i="16" s="1"/>
  <c r="S122" i="16" s="1"/>
  <c r="T122" i="16"/>
  <c r="U122" i="16"/>
  <c r="V122" i="16"/>
  <c r="W122" i="16" s="1"/>
  <c r="X122" i="16" s="1"/>
  <c r="Y122" i="16"/>
  <c r="Z122" i="16"/>
  <c r="AA122" i="16"/>
  <c r="AB122" i="16"/>
  <c r="AC122" i="16" s="1"/>
  <c r="AD122" i="16" s="1"/>
  <c r="AE122" i="16" s="1"/>
  <c r="AF122" i="16" s="1"/>
  <c r="F123" i="16"/>
  <c r="G123" i="16" s="1"/>
  <c r="H123" i="16"/>
  <c r="I123" i="16" s="1"/>
  <c r="J123" i="16" s="1"/>
  <c r="K123" i="16" s="1"/>
  <c r="L123" i="16" s="1"/>
  <c r="M123" i="16" s="1"/>
  <c r="N123" i="16" s="1"/>
  <c r="O123" i="16" s="1"/>
  <c r="P123" i="16" s="1"/>
  <c r="Q123" i="16" s="1"/>
  <c r="R123" i="16" s="1"/>
  <c r="S123" i="16" s="1"/>
  <c r="T123" i="16"/>
  <c r="U123" i="16"/>
  <c r="V123" i="16"/>
  <c r="W123" i="16"/>
  <c r="X123" i="16" s="1"/>
  <c r="Y123" i="16" s="1"/>
  <c r="Z123" i="16" s="1"/>
  <c r="AA123" i="16" s="1"/>
  <c r="AB123" i="16" s="1"/>
  <c r="AC123" i="16" s="1"/>
  <c r="AD123" i="16" s="1"/>
  <c r="AE123" i="16" s="1"/>
  <c r="AF123" i="16" s="1"/>
  <c r="F124" i="16"/>
  <c r="G124" i="16" s="1"/>
  <c r="H124" i="16" s="1"/>
  <c r="I124" i="16" s="1"/>
  <c r="J124" i="16" s="1"/>
  <c r="K124" i="16"/>
  <c r="L124" i="16" s="1"/>
  <c r="M124" i="16" s="1"/>
  <c r="N124" i="16" s="1"/>
  <c r="O124" i="16" s="1"/>
  <c r="P124" i="16" s="1"/>
  <c r="Q124" i="16" s="1"/>
  <c r="R124" i="16" s="1"/>
  <c r="S124" i="16" s="1"/>
  <c r="T124" i="16" s="1"/>
  <c r="U124" i="16"/>
  <c r="V124" i="16" s="1"/>
  <c r="W124" i="16" s="1"/>
  <c r="X124" i="16" s="1"/>
  <c r="Y124" i="16" s="1"/>
  <c r="Z124" i="16" s="1"/>
  <c r="AA124" i="16" s="1"/>
  <c r="AB124" i="16" s="1"/>
  <c r="AC124" i="16" s="1"/>
  <c r="AD124" i="16" s="1"/>
  <c r="AE124" i="16" s="1"/>
  <c r="AF124" i="16" s="1"/>
  <c r="F125" i="16"/>
  <c r="G125" i="16"/>
  <c r="H125" i="16"/>
  <c r="I125" i="16" s="1"/>
  <c r="J125" i="16" s="1"/>
  <c r="K125" i="16" s="1"/>
  <c r="L125" i="16" s="1"/>
  <c r="M125" i="16" s="1"/>
  <c r="N125" i="16" s="1"/>
  <c r="O125" i="16" s="1"/>
  <c r="P125" i="16" s="1"/>
  <c r="Q125" i="16" s="1"/>
  <c r="R125" i="16"/>
  <c r="S125" i="16"/>
  <c r="T125" i="16"/>
  <c r="U125" i="16"/>
  <c r="V125" i="16" s="1"/>
  <c r="W125" i="16" s="1"/>
  <c r="X125" i="16"/>
  <c r="Y125" i="16"/>
  <c r="Z125" i="16"/>
  <c r="AA125" i="16"/>
  <c r="AB125" i="16" s="1"/>
  <c r="AC125" i="16" s="1"/>
  <c r="AD125" i="16" s="1"/>
  <c r="AE125" i="16" s="1"/>
  <c r="AF125" i="16" s="1"/>
  <c r="F126" i="16"/>
  <c r="G126" i="16"/>
  <c r="H126" i="16"/>
  <c r="I126" i="16" s="1"/>
  <c r="J126" i="16" s="1"/>
  <c r="K126" i="16" s="1"/>
  <c r="L126" i="16" s="1"/>
  <c r="M126" i="16" s="1"/>
  <c r="N126" i="16" s="1"/>
  <c r="O126" i="16" s="1"/>
  <c r="P126" i="16" s="1"/>
  <c r="Q126" i="16" s="1"/>
  <c r="R126" i="16"/>
  <c r="S126" i="16"/>
  <c r="T126" i="16"/>
  <c r="U126" i="16"/>
  <c r="V126" i="16"/>
  <c r="W126" i="16" s="1"/>
  <c r="X126" i="16" s="1"/>
  <c r="Y126" i="16" s="1"/>
  <c r="Z126" i="16" s="1"/>
  <c r="AA126" i="16" s="1"/>
  <c r="AB126" i="16" s="1"/>
  <c r="AC126" i="16" s="1"/>
  <c r="AD126" i="16" s="1"/>
  <c r="AE126" i="16" s="1"/>
  <c r="AF126" i="16" s="1"/>
  <c r="F127" i="16"/>
  <c r="G127" i="16"/>
  <c r="H127" i="16" s="1"/>
  <c r="I127" i="16" s="1"/>
  <c r="J127" i="16" s="1"/>
  <c r="K127" i="16" s="1"/>
  <c r="L127" i="16" s="1"/>
  <c r="M127" i="16" s="1"/>
  <c r="N127" i="16" s="1"/>
  <c r="O127" i="16" s="1"/>
  <c r="P127" i="16"/>
  <c r="Q127" i="16"/>
  <c r="R127" i="16" s="1"/>
  <c r="S127" i="16" s="1"/>
  <c r="T127" i="16" s="1"/>
  <c r="U127" i="16" s="1"/>
  <c r="V127" i="16" s="1"/>
  <c r="W127" i="16" s="1"/>
  <c r="X127" i="16" s="1"/>
  <c r="Y127" i="16" s="1"/>
  <c r="Z127" i="16" s="1"/>
  <c r="AA127" i="16" s="1"/>
  <c r="AB127" i="16" s="1"/>
  <c r="AC127" i="16" s="1"/>
  <c r="AD127" i="16" s="1"/>
  <c r="AE127" i="16" s="1"/>
  <c r="AF127" i="16" s="1"/>
  <c r="F128" i="16"/>
  <c r="G128" i="16" s="1"/>
  <c r="H128" i="16" s="1"/>
  <c r="I128" i="16" s="1"/>
  <c r="J128" i="16" s="1"/>
  <c r="K128" i="16" s="1"/>
  <c r="L128" i="16" s="1"/>
  <c r="M128" i="16" s="1"/>
  <c r="N128" i="16" s="1"/>
  <c r="O128" i="16" s="1"/>
  <c r="P128" i="16"/>
  <c r="Q128" i="16"/>
  <c r="R128" i="16"/>
  <c r="S128" i="16"/>
  <c r="T128" i="16" s="1"/>
  <c r="U128" i="16" s="1"/>
  <c r="V128" i="16" s="1"/>
  <c r="W128" i="16"/>
  <c r="X128" i="16"/>
  <c r="Y128" i="16"/>
  <c r="Z128" i="16"/>
  <c r="AA128" i="16"/>
  <c r="AB128" i="16" s="1"/>
  <c r="AC128" i="16" s="1"/>
  <c r="AD128" i="16" s="1"/>
  <c r="AE128" i="16" s="1"/>
  <c r="AF128" i="16" s="1"/>
  <c r="F129" i="16"/>
  <c r="G129" i="16" s="1"/>
  <c r="H129" i="16" s="1"/>
  <c r="I129" i="16" s="1"/>
  <c r="J129" i="16" s="1"/>
  <c r="K129" i="16" s="1"/>
  <c r="L129" i="16" s="1"/>
  <c r="M129" i="16" s="1"/>
  <c r="N129" i="16" s="1"/>
  <c r="O129" i="16"/>
  <c r="P129" i="16"/>
  <c r="Q129" i="16" s="1"/>
  <c r="R129" i="16" s="1"/>
  <c r="S129" i="16"/>
  <c r="T129" i="16"/>
  <c r="U129" i="16"/>
  <c r="V129" i="16"/>
  <c r="W129" i="16" s="1"/>
  <c r="X129" i="16" s="1"/>
  <c r="Y129" i="16" s="1"/>
  <c r="Z129" i="16" s="1"/>
  <c r="AA129" i="16" s="1"/>
  <c r="AB129" i="16" s="1"/>
  <c r="AC129" i="16" s="1"/>
  <c r="AD129" i="16" s="1"/>
  <c r="AE129" i="16" s="1"/>
  <c r="AF129" i="16" s="1"/>
  <c r="F130" i="16"/>
  <c r="G130" i="16" s="1"/>
  <c r="H130" i="16"/>
  <c r="I130" i="16"/>
  <c r="J130" i="16"/>
  <c r="K130" i="16"/>
  <c r="L130" i="16"/>
  <c r="M130" i="16" s="1"/>
  <c r="N130" i="16" s="1"/>
  <c r="O130" i="16"/>
  <c r="P130" i="16"/>
  <c r="Q130" i="16" s="1"/>
  <c r="R130" i="16" s="1"/>
  <c r="S130" i="16"/>
  <c r="T130" i="16"/>
  <c r="U130" i="16"/>
  <c r="V130" i="16"/>
  <c r="W130" i="16"/>
  <c r="X130" i="16" s="1"/>
  <c r="Y130" i="16" s="1"/>
  <c r="Z130" i="16" s="1"/>
  <c r="AA130" i="16" s="1"/>
  <c r="AB130" i="16" s="1"/>
  <c r="AC130" i="16" s="1"/>
  <c r="AD130" i="16" s="1"/>
  <c r="AE130" i="16" s="1"/>
  <c r="AF130" i="16" s="1"/>
  <c r="F131" i="16"/>
  <c r="G131" i="16"/>
  <c r="H131" i="16"/>
  <c r="I131" i="16" s="1"/>
  <c r="J131" i="16" s="1"/>
  <c r="K131" i="16" s="1"/>
  <c r="L131" i="16" s="1"/>
  <c r="M131" i="16"/>
  <c r="N131" i="16"/>
  <c r="O131" i="16"/>
  <c r="P131" i="16"/>
  <c r="Q131" i="16"/>
  <c r="R131" i="16"/>
  <c r="S131" i="16"/>
  <c r="T131" i="16" s="1"/>
  <c r="U131" i="16"/>
  <c r="V131" i="16"/>
  <c r="W131" i="16"/>
  <c r="X131" i="16"/>
  <c r="Y131" i="16" s="1"/>
  <c r="Z131" i="16" s="1"/>
  <c r="AA131" i="16" s="1"/>
  <c r="AB131" i="16" s="1"/>
  <c r="AC131" i="16" s="1"/>
  <c r="AD131" i="16" s="1"/>
  <c r="AE131" i="16" s="1"/>
  <c r="AF131" i="16" s="1"/>
  <c r="F132" i="16"/>
  <c r="G132" i="16" s="1"/>
  <c r="H132" i="16" s="1"/>
  <c r="I132" i="16"/>
  <c r="J132" i="16"/>
  <c r="K132" i="16"/>
  <c r="L132" i="16"/>
  <c r="M132" i="16" s="1"/>
  <c r="N132" i="16"/>
  <c r="O132" i="16" s="1"/>
  <c r="P132" i="16" s="1"/>
  <c r="Q132" i="16" s="1"/>
  <c r="R132" i="16" s="1"/>
  <c r="S132" i="16" s="1"/>
  <c r="T132" i="16" s="1"/>
  <c r="U132" i="16" s="1"/>
  <c r="V132" i="16" s="1"/>
  <c r="W132" i="16" s="1"/>
  <c r="X132" i="16" s="1"/>
  <c r="Y132" i="16" s="1"/>
  <c r="Z132" i="16" s="1"/>
  <c r="AA132" i="16" s="1"/>
  <c r="AB132" i="16" s="1"/>
  <c r="AC132" i="16" s="1"/>
  <c r="AD132" i="16" s="1"/>
  <c r="AE132" i="16" s="1"/>
  <c r="AF132" i="16" s="1"/>
  <c r="F133" i="16"/>
  <c r="G133" i="16"/>
  <c r="H133" i="16"/>
  <c r="I133" i="16"/>
  <c r="J133" i="16"/>
  <c r="K133" i="16"/>
  <c r="L133" i="16"/>
  <c r="M133" i="16"/>
  <c r="N133" i="16" s="1"/>
  <c r="O133" i="16" s="1"/>
  <c r="P133" i="16" s="1"/>
  <c r="Q133" i="16" s="1"/>
  <c r="R133" i="16" s="1"/>
  <c r="S133" i="16" s="1"/>
  <c r="T133" i="16" s="1"/>
  <c r="U133" i="16" s="1"/>
  <c r="V133" i="16" s="1"/>
  <c r="W133" i="16" s="1"/>
  <c r="X133" i="16" s="1"/>
  <c r="Y133" i="16" s="1"/>
  <c r="Z133" i="16" s="1"/>
  <c r="AA133" i="16" s="1"/>
  <c r="AB133" i="16" s="1"/>
  <c r="AC133" i="16" s="1"/>
  <c r="AD133" i="16" s="1"/>
  <c r="AE133" i="16" s="1"/>
  <c r="AF133" i="16" s="1"/>
  <c r="F134" i="16"/>
  <c r="G134" i="16"/>
  <c r="H134" i="16"/>
  <c r="I134" i="16" s="1"/>
  <c r="J134" i="16" s="1"/>
  <c r="K134" i="16"/>
  <c r="L134" i="16"/>
  <c r="M134" i="16"/>
  <c r="N134" i="16"/>
  <c r="O134" i="16"/>
  <c r="P134" i="16"/>
  <c r="Q134" i="16"/>
  <c r="R134" i="16" s="1"/>
  <c r="S134" i="16" s="1"/>
  <c r="T134" i="16" s="1"/>
  <c r="U134" i="16" s="1"/>
  <c r="V134" i="16" s="1"/>
  <c r="W134" i="16" s="1"/>
  <c r="X134" i="16" s="1"/>
  <c r="Y134" i="16" s="1"/>
  <c r="Z134" i="16" s="1"/>
  <c r="AA134" i="16" s="1"/>
  <c r="AB134" i="16" s="1"/>
  <c r="AC134" i="16" s="1"/>
  <c r="AD134" i="16" s="1"/>
  <c r="AE134" i="16" s="1"/>
  <c r="AF134" i="16" s="1"/>
  <c r="F135" i="16"/>
  <c r="G135" i="16"/>
  <c r="H135" i="16"/>
  <c r="I135" i="16"/>
  <c r="J135" i="16" s="1"/>
  <c r="K135" i="16" s="1"/>
  <c r="L135" i="16" s="1"/>
  <c r="M135" i="16" s="1"/>
  <c r="N135" i="16" s="1"/>
  <c r="O135" i="16" s="1"/>
  <c r="P135" i="16" s="1"/>
  <c r="Q135" i="16" s="1"/>
  <c r="R135" i="16" s="1"/>
  <c r="S135" i="16" s="1"/>
  <c r="T135" i="16" s="1"/>
  <c r="U135" i="16" s="1"/>
  <c r="V135" i="16" s="1"/>
  <c r="W135" i="16" s="1"/>
  <c r="X135" i="16" s="1"/>
  <c r="Y135" i="16" s="1"/>
  <c r="Z135" i="16" s="1"/>
  <c r="AA135" i="16" s="1"/>
  <c r="AB135" i="16" s="1"/>
  <c r="AC135" i="16" s="1"/>
  <c r="AD135" i="16" s="1"/>
  <c r="AE135" i="16" s="1"/>
  <c r="AF135" i="16" s="1"/>
  <c r="F136" i="16"/>
  <c r="G136" i="16"/>
  <c r="H136" i="16"/>
  <c r="I136" i="16"/>
  <c r="J136" i="16"/>
  <c r="K136" i="16"/>
  <c r="L136" i="16"/>
  <c r="M136" i="16"/>
  <c r="N136" i="16" s="1"/>
  <c r="O136" i="16" s="1"/>
  <c r="P136" i="16" s="1"/>
  <c r="Q136" i="16" s="1"/>
  <c r="R136" i="16" s="1"/>
  <c r="S136" i="16" s="1"/>
  <c r="T136" i="16" s="1"/>
  <c r="U136" i="16" s="1"/>
  <c r="V136" i="16" s="1"/>
  <c r="W136" i="16" s="1"/>
  <c r="X136" i="16" s="1"/>
  <c r="Y136" i="16" s="1"/>
  <c r="Z136" i="16" s="1"/>
  <c r="AA136" i="16" s="1"/>
  <c r="AB136" i="16" s="1"/>
  <c r="AC136" i="16" s="1"/>
  <c r="AD136" i="16" s="1"/>
  <c r="AE136" i="16" s="1"/>
  <c r="AF136" i="16" s="1"/>
  <c r="F137" i="16"/>
  <c r="G137" i="16"/>
  <c r="H137" i="16" s="1"/>
  <c r="I137" i="16" s="1"/>
  <c r="J137" i="16"/>
  <c r="K137" i="16" s="1"/>
  <c r="L137" i="16" s="1"/>
  <c r="M137" i="16" s="1"/>
  <c r="N137" i="16" s="1"/>
  <c r="O137" i="16" s="1"/>
  <c r="P137" i="16" s="1"/>
  <c r="Q137" i="16" s="1"/>
  <c r="R137" i="16" s="1"/>
  <c r="S137" i="16" s="1"/>
  <c r="T137" i="16" s="1"/>
  <c r="U137" i="16" s="1"/>
  <c r="V137" i="16" s="1"/>
  <c r="W137" i="16" s="1"/>
  <c r="X137" i="16" s="1"/>
  <c r="Y137" i="16" s="1"/>
  <c r="Z137" i="16" s="1"/>
  <c r="AA137" i="16" s="1"/>
  <c r="AB137" i="16" s="1"/>
  <c r="AC137" i="16" s="1"/>
  <c r="AD137" i="16" s="1"/>
  <c r="AE137" i="16" s="1"/>
  <c r="AF137" i="16" s="1"/>
  <c r="F138" i="16"/>
  <c r="G138" i="16"/>
  <c r="H138" i="16" s="1"/>
  <c r="I138" i="16" s="1"/>
  <c r="J138" i="16"/>
  <c r="K138" i="16" s="1"/>
  <c r="L138" i="16"/>
  <c r="M138" i="16"/>
  <c r="N138" i="16"/>
  <c r="O138" i="16"/>
  <c r="P138" i="16"/>
  <c r="Q138" i="16"/>
  <c r="R138" i="16"/>
  <c r="S138" i="16" s="1"/>
  <c r="T138" i="16" s="1"/>
  <c r="U138" i="16" s="1"/>
  <c r="V138" i="16" s="1"/>
  <c r="W138" i="16" s="1"/>
  <c r="X138" i="16" s="1"/>
  <c r="Y138" i="16" s="1"/>
  <c r="Z138" i="16" s="1"/>
  <c r="AA138" i="16" s="1"/>
  <c r="AB138" i="16" s="1"/>
  <c r="AC138" i="16" s="1"/>
  <c r="AD138" i="16" s="1"/>
  <c r="AE138" i="16" s="1"/>
  <c r="AF138" i="16" s="1"/>
  <c r="F139" i="16"/>
  <c r="G139" i="16"/>
  <c r="H139" i="16"/>
  <c r="I139" i="16"/>
  <c r="J139" i="16"/>
  <c r="K139" i="16"/>
  <c r="L139" i="16"/>
  <c r="M139" i="16" s="1"/>
  <c r="N139" i="16" s="1"/>
  <c r="O139" i="16" s="1"/>
  <c r="P139" i="16" s="1"/>
  <c r="Q139" i="16" s="1"/>
  <c r="R139" i="16" s="1"/>
  <c r="S139" i="16" s="1"/>
  <c r="T139" i="16" s="1"/>
  <c r="U139" i="16" s="1"/>
  <c r="V139" i="16" s="1"/>
  <c r="W139" i="16" s="1"/>
  <c r="X139" i="16" s="1"/>
  <c r="Y139" i="16" s="1"/>
  <c r="Z139" i="16" s="1"/>
  <c r="AA139" i="16" s="1"/>
  <c r="AB139" i="16" s="1"/>
  <c r="AC139" i="16" s="1"/>
  <c r="AD139" i="16" s="1"/>
  <c r="AE139" i="16" s="1"/>
  <c r="AF139" i="16" s="1"/>
  <c r="F140" i="16"/>
  <c r="G140" i="16" s="1"/>
  <c r="H140" i="16" s="1"/>
  <c r="I140" i="16" s="1"/>
  <c r="J140" i="16" s="1"/>
  <c r="K140" i="16" s="1"/>
  <c r="L140" i="16" s="1"/>
  <c r="M140" i="16" s="1"/>
  <c r="N140" i="16" s="1"/>
  <c r="O140" i="16" s="1"/>
  <c r="P140" i="16" s="1"/>
  <c r="Q140" i="16" s="1"/>
  <c r="R140" i="16" s="1"/>
  <c r="S140" i="16" s="1"/>
  <c r="T140" i="16" s="1"/>
  <c r="U140" i="16" s="1"/>
  <c r="V140" i="16" s="1"/>
  <c r="W140" i="16" s="1"/>
  <c r="X140" i="16" s="1"/>
  <c r="Y140" i="16" s="1"/>
  <c r="Z140" i="16" s="1"/>
  <c r="AA140" i="16" s="1"/>
  <c r="AB140" i="16" s="1"/>
  <c r="AC140" i="16" s="1"/>
  <c r="AD140" i="16" s="1"/>
  <c r="AE140" i="16" s="1"/>
  <c r="AF140" i="16" s="1"/>
  <c r="F141" i="16"/>
  <c r="G141" i="16"/>
  <c r="H141" i="16"/>
  <c r="I141" i="16"/>
  <c r="J141" i="16" s="1"/>
  <c r="K141" i="16"/>
  <c r="L141" i="16"/>
  <c r="M141" i="16"/>
  <c r="N141" i="16" s="1"/>
  <c r="O141" i="16" s="1"/>
  <c r="P141" i="16" s="1"/>
  <c r="Q141" i="16" s="1"/>
  <c r="R141" i="16" s="1"/>
  <c r="S141" i="16" s="1"/>
  <c r="T141" i="16" s="1"/>
  <c r="U141" i="16" s="1"/>
  <c r="V141" i="16" s="1"/>
  <c r="W141" i="16" s="1"/>
  <c r="X141" i="16" s="1"/>
  <c r="Y141" i="16" s="1"/>
  <c r="Z141" i="16" s="1"/>
  <c r="AA141" i="16" s="1"/>
  <c r="AB141" i="16" s="1"/>
  <c r="AC141" i="16" s="1"/>
  <c r="AD141" i="16" s="1"/>
  <c r="AE141" i="16" s="1"/>
  <c r="AF141" i="16" s="1"/>
  <c r="F142" i="16"/>
  <c r="G142" i="16"/>
  <c r="H142" i="16" s="1"/>
  <c r="I142" i="16" s="1"/>
  <c r="J142" i="16" s="1"/>
  <c r="K142" i="16" s="1"/>
  <c r="L142" i="16" s="1"/>
  <c r="M142" i="16" s="1"/>
  <c r="N142" i="16" s="1"/>
  <c r="O142" i="16" s="1"/>
  <c r="P142" i="16" s="1"/>
  <c r="Q142" i="16" s="1"/>
  <c r="R142" i="16" s="1"/>
  <c r="S142" i="16" s="1"/>
  <c r="T142" i="16" s="1"/>
  <c r="U142" i="16" s="1"/>
  <c r="V142" i="16" s="1"/>
  <c r="W142" i="16" s="1"/>
  <c r="X142" i="16" s="1"/>
  <c r="Y142" i="16" s="1"/>
  <c r="Z142" i="16" s="1"/>
  <c r="AA142" i="16" s="1"/>
  <c r="AB142" i="16" s="1"/>
  <c r="AC142" i="16" s="1"/>
  <c r="AD142" i="16" s="1"/>
  <c r="AE142" i="16" s="1"/>
  <c r="AF142" i="16" s="1"/>
  <c r="F143" i="16"/>
  <c r="G143" i="16" s="1"/>
  <c r="H143" i="16"/>
  <c r="I143" i="16"/>
  <c r="J143" i="16"/>
  <c r="K143" i="16"/>
  <c r="L143" i="16"/>
  <c r="M143" i="16" s="1"/>
  <c r="N143" i="16" s="1"/>
  <c r="O143" i="16"/>
  <c r="P143" i="16" s="1"/>
  <c r="Q143" i="16" s="1"/>
  <c r="R143" i="16" s="1"/>
  <c r="S143" i="16" s="1"/>
  <c r="T143" i="16" s="1"/>
  <c r="U143" i="16" s="1"/>
  <c r="V143" i="16" s="1"/>
  <c r="W143" i="16" s="1"/>
  <c r="X143" i="16" s="1"/>
  <c r="Y143" i="16" s="1"/>
  <c r="Z143" i="16" s="1"/>
  <c r="AA143" i="16" s="1"/>
  <c r="AB143" i="16" s="1"/>
  <c r="AC143" i="16" s="1"/>
  <c r="AD143" i="16" s="1"/>
  <c r="AE143" i="16" s="1"/>
  <c r="AF143" i="16" s="1"/>
  <c r="F144" i="16"/>
  <c r="G144" i="16"/>
  <c r="H144" i="16" s="1"/>
  <c r="I144" i="16" s="1"/>
  <c r="J144" i="16" s="1"/>
  <c r="K144" i="16" s="1"/>
  <c r="L144" i="16" s="1"/>
  <c r="M144" i="16" s="1"/>
  <c r="N144" i="16" s="1"/>
  <c r="O144" i="16" s="1"/>
  <c r="P144" i="16" s="1"/>
  <c r="Q144" i="16" s="1"/>
  <c r="R144" i="16" s="1"/>
  <c r="S144" i="16" s="1"/>
  <c r="T144" i="16" s="1"/>
  <c r="U144" i="16" s="1"/>
  <c r="V144" i="16" s="1"/>
  <c r="W144" i="16" s="1"/>
  <c r="X144" i="16" s="1"/>
  <c r="Y144" i="16" s="1"/>
  <c r="Z144" i="16" s="1"/>
  <c r="AA144" i="16" s="1"/>
  <c r="AB144" i="16" s="1"/>
  <c r="AC144" i="16" s="1"/>
  <c r="AD144" i="16" s="1"/>
  <c r="AE144" i="16" s="1"/>
  <c r="AF144" i="16" s="1"/>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03"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E58" i="16"/>
  <c r="C99"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58" i="16"/>
  <c r="C5" i="16" a="1"/>
  <c r="C5" i="16" s="1"/>
  <c r="C148" i="16" s="1"/>
  <c r="C44" i="16" l="1"/>
  <c r="C187" i="16" s="1"/>
  <c r="C36" i="16"/>
  <c r="C179" i="16" s="1"/>
  <c r="C37" i="16"/>
  <c r="C180" i="16" s="1"/>
  <c r="C32" i="16"/>
  <c r="C175" i="16" s="1"/>
  <c r="C16" i="16"/>
  <c r="C159" i="16" s="1"/>
  <c r="C8" i="16"/>
  <c r="C151" i="16" s="1"/>
  <c r="C46" i="16"/>
  <c r="C189" i="16" s="1"/>
  <c r="C43" i="16"/>
  <c r="C186" i="16" s="1"/>
  <c r="C35" i="16"/>
  <c r="C178" i="16" s="1"/>
  <c r="C27" i="16"/>
  <c r="C170" i="16" s="1"/>
  <c r="C19" i="16"/>
  <c r="C162" i="16" s="1"/>
  <c r="C11" i="16"/>
  <c r="C154" i="16" s="1"/>
  <c r="C38" i="16"/>
  <c r="C181" i="16" s="1"/>
  <c r="C30" i="16"/>
  <c r="C173" i="16" s="1"/>
  <c r="C22" i="16"/>
  <c r="C165" i="16" s="1"/>
  <c r="C14" i="16"/>
  <c r="C157" i="16" s="1"/>
  <c r="C6" i="16"/>
  <c r="C149" i="16" s="1"/>
  <c r="C20" i="16"/>
  <c r="C163" i="16" s="1"/>
  <c r="C29" i="16"/>
  <c r="C172" i="16" s="1"/>
  <c r="C21" i="16"/>
  <c r="C164" i="16" s="1"/>
  <c r="C13" i="16"/>
  <c r="C156" i="16" s="1"/>
  <c r="C40" i="16"/>
  <c r="C183" i="16" s="1"/>
  <c r="C24" i="16"/>
  <c r="C167" i="16" s="1"/>
  <c r="C41" i="16"/>
  <c r="C184" i="16" s="1"/>
  <c r="C33" i="16"/>
  <c r="C176" i="16" s="1"/>
  <c r="C25" i="16"/>
  <c r="C168" i="16" s="1"/>
  <c r="C17" i="16"/>
  <c r="C160" i="16" s="1"/>
  <c r="C9" i="16"/>
  <c r="C152" i="16" s="1"/>
  <c r="C28" i="16"/>
  <c r="C171" i="16" s="1"/>
  <c r="C12" i="16"/>
  <c r="C155" i="16" s="1"/>
  <c r="C39" i="16"/>
  <c r="C182" i="16" s="1"/>
  <c r="C31" i="16"/>
  <c r="C174" i="16" s="1"/>
  <c r="C23" i="16"/>
  <c r="C166" i="16" s="1"/>
  <c r="C15" i="16"/>
  <c r="C158" i="16" s="1"/>
  <c r="C7" i="16"/>
  <c r="C150" i="16" s="1"/>
  <c r="C42" i="16"/>
  <c r="C185" i="16" s="1"/>
  <c r="C34" i="16"/>
  <c r="C177" i="16" s="1"/>
  <c r="C26" i="16"/>
  <c r="C169" i="16" s="1"/>
  <c r="C18" i="16"/>
  <c r="C161" i="16" s="1"/>
  <c r="C10" i="16"/>
  <c r="C153" i="16" s="1"/>
  <c r="C45" i="16"/>
  <c r="C188" i="16" s="1"/>
  <c r="D175" i="16" l="1"/>
  <c r="D153" i="16"/>
  <c r="I4" i="13"/>
  <c r="J4" i="13"/>
  <c r="K4" i="13"/>
  <c r="L4" i="13"/>
  <c r="M4" i="13"/>
  <c r="N4" i="13"/>
  <c r="O4" i="13"/>
  <c r="P4" i="13"/>
  <c r="Q4" i="13"/>
  <c r="R4" i="13"/>
  <c r="S4" i="13"/>
  <c r="T4" i="13"/>
  <c r="U4" i="13"/>
  <c r="V4" i="13"/>
  <c r="W4" i="13"/>
  <c r="X4" i="13"/>
  <c r="Y4" i="13"/>
  <c r="Z4" i="13"/>
  <c r="AA4" i="13"/>
  <c r="AB4" i="13"/>
  <c r="AC4" i="13"/>
  <c r="AD4" i="13"/>
  <c r="AE4" i="13"/>
  <c r="AF4" i="13"/>
  <c r="AG4" i="13"/>
  <c r="AH4" i="13"/>
  <c r="AI4" i="13"/>
  <c r="I5" i="13"/>
  <c r="J5" i="13"/>
  <c r="K5" i="13"/>
  <c r="L5" i="13"/>
  <c r="M5" i="13"/>
  <c r="N5" i="13"/>
  <c r="O5" i="13"/>
  <c r="P5" i="13"/>
  <c r="Q5" i="13"/>
  <c r="R5" i="13"/>
  <c r="S5" i="13"/>
  <c r="T5" i="13"/>
  <c r="U5" i="13"/>
  <c r="V5" i="13"/>
  <c r="W5" i="13"/>
  <c r="X5" i="13"/>
  <c r="Y5" i="13"/>
  <c r="Z5" i="13"/>
  <c r="AA5" i="13"/>
  <c r="AB5" i="13"/>
  <c r="AC5" i="13"/>
  <c r="AD5" i="13"/>
  <c r="AE5" i="13"/>
  <c r="AF5" i="13"/>
  <c r="AG5" i="13"/>
  <c r="AH5" i="13"/>
  <c r="AI5" i="13"/>
  <c r="I6" i="13"/>
  <c r="J6" i="13"/>
  <c r="K6" i="13"/>
  <c r="L6" i="13"/>
  <c r="M6" i="13"/>
  <c r="N6" i="13"/>
  <c r="O6" i="13"/>
  <c r="P6" i="13"/>
  <c r="Q6" i="13"/>
  <c r="R6" i="13"/>
  <c r="S6" i="13"/>
  <c r="T6" i="13"/>
  <c r="U6" i="13"/>
  <c r="V6" i="13"/>
  <c r="W6" i="13"/>
  <c r="X6" i="13"/>
  <c r="Y6" i="13"/>
  <c r="Z6" i="13"/>
  <c r="AA6" i="13"/>
  <c r="AB6" i="13"/>
  <c r="AC6" i="13"/>
  <c r="AD6" i="13"/>
  <c r="AE6" i="13"/>
  <c r="AF6" i="13"/>
  <c r="AG6" i="13"/>
  <c r="AH6" i="13"/>
  <c r="AI6"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I8" i="13"/>
  <c r="J8" i="13"/>
  <c r="K8" i="13"/>
  <c r="L8" i="13"/>
  <c r="M8" i="13"/>
  <c r="N8" i="13"/>
  <c r="O8" i="13"/>
  <c r="P8" i="13"/>
  <c r="Q8" i="13"/>
  <c r="R8" i="13"/>
  <c r="S8" i="13"/>
  <c r="T8" i="13"/>
  <c r="U8" i="13"/>
  <c r="V8" i="13"/>
  <c r="W8" i="13"/>
  <c r="X8" i="13"/>
  <c r="Y8" i="13"/>
  <c r="Z8" i="13"/>
  <c r="AA8" i="13"/>
  <c r="AB8" i="13"/>
  <c r="AC8" i="13"/>
  <c r="AD8" i="13"/>
  <c r="AE8" i="13"/>
  <c r="AF8" i="13"/>
  <c r="AG8" i="13"/>
  <c r="AH8" i="13"/>
  <c r="AI8" i="13"/>
  <c r="I9" i="13"/>
  <c r="J9" i="13"/>
  <c r="K9" i="13"/>
  <c r="L9" i="13"/>
  <c r="M9" i="13"/>
  <c r="N9" i="13"/>
  <c r="O9" i="13"/>
  <c r="P9" i="13"/>
  <c r="Q9" i="13"/>
  <c r="R9" i="13"/>
  <c r="S9" i="13"/>
  <c r="T9" i="13"/>
  <c r="U9" i="13"/>
  <c r="V9" i="13"/>
  <c r="W9" i="13"/>
  <c r="X9" i="13"/>
  <c r="Y9" i="13"/>
  <c r="Z9" i="13"/>
  <c r="AA9" i="13"/>
  <c r="AB9" i="13"/>
  <c r="AC9" i="13"/>
  <c r="AD9" i="13"/>
  <c r="AE9" i="13"/>
  <c r="AF9" i="13"/>
  <c r="AG9" i="13"/>
  <c r="AH9" i="13"/>
  <c r="AI9" i="13"/>
  <c r="I10" i="13"/>
  <c r="J10" i="13"/>
  <c r="K10" i="13"/>
  <c r="L10" i="13"/>
  <c r="M10" i="13"/>
  <c r="N10" i="13"/>
  <c r="O10" i="13"/>
  <c r="P10" i="13"/>
  <c r="Q10" i="13"/>
  <c r="R10" i="13"/>
  <c r="S10" i="13"/>
  <c r="T10" i="13"/>
  <c r="U10" i="13"/>
  <c r="V10" i="13"/>
  <c r="W10" i="13"/>
  <c r="X10" i="13"/>
  <c r="Y10" i="13"/>
  <c r="Z10" i="13"/>
  <c r="AA10" i="13"/>
  <c r="AB10" i="13"/>
  <c r="AC10" i="13"/>
  <c r="AD10" i="13"/>
  <c r="AE10" i="13"/>
  <c r="AF10" i="13"/>
  <c r="AG10" i="13"/>
  <c r="AH10" i="13"/>
  <c r="AI10" i="13"/>
  <c r="I11" i="13"/>
  <c r="J11" i="13"/>
  <c r="K11" i="13"/>
  <c r="L11" i="13"/>
  <c r="M11" i="13"/>
  <c r="N11" i="13"/>
  <c r="O11" i="13"/>
  <c r="P11" i="13"/>
  <c r="Q11" i="13"/>
  <c r="R11" i="13"/>
  <c r="S11" i="13"/>
  <c r="T11" i="13"/>
  <c r="U11" i="13"/>
  <c r="V11" i="13"/>
  <c r="W11" i="13"/>
  <c r="X11" i="13"/>
  <c r="Y11" i="13"/>
  <c r="Z11" i="13"/>
  <c r="AA11" i="13"/>
  <c r="AB11" i="13"/>
  <c r="AC11" i="13"/>
  <c r="AD11" i="13"/>
  <c r="AE11" i="13"/>
  <c r="AF11" i="13"/>
  <c r="AG11" i="13"/>
  <c r="AH11" i="13"/>
  <c r="AI11" i="13"/>
  <c r="I12" i="13"/>
  <c r="J12" i="13"/>
  <c r="K12" i="13"/>
  <c r="L12" i="13"/>
  <c r="M12" i="13"/>
  <c r="N12" i="13"/>
  <c r="O12" i="13"/>
  <c r="P12" i="13"/>
  <c r="Q12" i="13"/>
  <c r="R12" i="13"/>
  <c r="S12" i="13"/>
  <c r="T12" i="13"/>
  <c r="U12" i="13"/>
  <c r="V12" i="13"/>
  <c r="W12" i="13"/>
  <c r="X12" i="13"/>
  <c r="Y12" i="13"/>
  <c r="Z12" i="13"/>
  <c r="AA12" i="13"/>
  <c r="AB12" i="13"/>
  <c r="AC12" i="13"/>
  <c r="AD12" i="13"/>
  <c r="AE12" i="13"/>
  <c r="AF12" i="13"/>
  <c r="AG12" i="13"/>
  <c r="AH12" i="13"/>
  <c r="AI12" i="13"/>
  <c r="I13" i="13"/>
  <c r="J13" i="13"/>
  <c r="K13" i="13"/>
  <c r="L13" i="13"/>
  <c r="M13" i="13"/>
  <c r="N13" i="13"/>
  <c r="O13" i="13"/>
  <c r="P13" i="13"/>
  <c r="Q13" i="13"/>
  <c r="R13" i="13"/>
  <c r="S13" i="13"/>
  <c r="T13" i="13"/>
  <c r="U13" i="13"/>
  <c r="V13" i="13"/>
  <c r="W13" i="13"/>
  <c r="X13" i="13"/>
  <c r="Y13" i="13"/>
  <c r="Z13" i="13"/>
  <c r="AA13" i="13"/>
  <c r="AB13" i="13"/>
  <c r="AC13" i="13"/>
  <c r="AD13" i="13"/>
  <c r="AE13" i="13"/>
  <c r="AF13" i="13"/>
  <c r="AG13" i="13"/>
  <c r="AH13" i="13"/>
  <c r="AI13" i="13"/>
  <c r="I14" i="13"/>
  <c r="J14" i="13"/>
  <c r="K14" i="13"/>
  <c r="L14" i="13"/>
  <c r="M14" i="13"/>
  <c r="N14" i="13"/>
  <c r="O14" i="13"/>
  <c r="P14" i="13"/>
  <c r="Q14" i="13"/>
  <c r="R14" i="13"/>
  <c r="S14" i="13"/>
  <c r="T14" i="13"/>
  <c r="U14" i="13"/>
  <c r="V14" i="13"/>
  <c r="W14" i="13"/>
  <c r="X14" i="13"/>
  <c r="Y14" i="13"/>
  <c r="Z14" i="13"/>
  <c r="AA14" i="13"/>
  <c r="AB14" i="13"/>
  <c r="AC14" i="13"/>
  <c r="AD14" i="13"/>
  <c r="AE14" i="13"/>
  <c r="AF14" i="13"/>
  <c r="AG14" i="13"/>
  <c r="AH14" i="13"/>
  <c r="AI14" i="13"/>
  <c r="I15" i="13"/>
  <c r="J15" i="13"/>
  <c r="K15" i="13"/>
  <c r="L15" i="13"/>
  <c r="M15" i="13"/>
  <c r="N15" i="13"/>
  <c r="O15" i="13"/>
  <c r="P15" i="13"/>
  <c r="Q15" i="13"/>
  <c r="R15" i="13"/>
  <c r="S15" i="13"/>
  <c r="T15" i="13"/>
  <c r="U15" i="13"/>
  <c r="V15" i="13"/>
  <c r="W15" i="13"/>
  <c r="X15" i="13"/>
  <c r="Y15" i="13"/>
  <c r="Z15" i="13"/>
  <c r="AA15" i="13"/>
  <c r="AB15" i="13"/>
  <c r="AC15" i="13"/>
  <c r="AD15" i="13"/>
  <c r="AE15" i="13"/>
  <c r="AF15" i="13"/>
  <c r="AG15" i="13"/>
  <c r="AH15" i="13"/>
  <c r="AI15" i="13"/>
  <c r="I16" i="13"/>
  <c r="J16" i="13"/>
  <c r="K16" i="13"/>
  <c r="L16" i="13"/>
  <c r="M16" i="13"/>
  <c r="N16" i="13"/>
  <c r="O16" i="13"/>
  <c r="P16" i="13"/>
  <c r="Q16" i="13"/>
  <c r="R16" i="13"/>
  <c r="S16" i="13"/>
  <c r="T16" i="13"/>
  <c r="U16" i="13"/>
  <c r="V16" i="13"/>
  <c r="W16" i="13"/>
  <c r="X16" i="13"/>
  <c r="Y16" i="13"/>
  <c r="Z16" i="13"/>
  <c r="AA16" i="13"/>
  <c r="AB16" i="13"/>
  <c r="AC16" i="13"/>
  <c r="AD16" i="13"/>
  <c r="AE16" i="13"/>
  <c r="AF16" i="13"/>
  <c r="AG16" i="13"/>
  <c r="AH16" i="13"/>
  <c r="AI16" i="13"/>
  <c r="I17" i="13"/>
  <c r="J17" i="13"/>
  <c r="K17" i="13"/>
  <c r="L17" i="13"/>
  <c r="M17" i="13"/>
  <c r="N17" i="13"/>
  <c r="O17" i="13"/>
  <c r="P17" i="13"/>
  <c r="Q17" i="13"/>
  <c r="R17" i="13"/>
  <c r="S17" i="13"/>
  <c r="T17" i="13"/>
  <c r="U17" i="13"/>
  <c r="V17" i="13"/>
  <c r="W17" i="13"/>
  <c r="X17" i="13"/>
  <c r="Y17" i="13"/>
  <c r="Z17" i="13"/>
  <c r="AA17" i="13"/>
  <c r="AB17" i="13"/>
  <c r="AC17" i="13"/>
  <c r="AD17" i="13"/>
  <c r="AE17" i="13"/>
  <c r="AF17" i="13"/>
  <c r="AG17" i="13"/>
  <c r="AH17" i="13"/>
  <c r="AI17"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I19" i="13"/>
  <c r="J19" i="13"/>
  <c r="K19" i="13"/>
  <c r="L19" i="13"/>
  <c r="M19" i="13"/>
  <c r="N19" i="13"/>
  <c r="O19" i="13"/>
  <c r="P19" i="13"/>
  <c r="Q19" i="13"/>
  <c r="R19" i="13"/>
  <c r="S19" i="13"/>
  <c r="T19" i="13"/>
  <c r="U19" i="13"/>
  <c r="V19" i="13"/>
  <c r="W19" i="13"/>
  <c r="X19" i="13"/>
  <c r="Y19" i="13"/>
  <c r="Z19" i="13"/>
  <c r="AA19" i="13"/>
  <c r="AB19" i="13"/>
  <c r="AC19" i="13"/>
  <c r="AD19" i="13"/>
  <c r="AE19" i="13"/>
  <c r="AF19" i="13"/>
  <c r="AG19" i="13"/>
  <c r="AH19" i="13"/>
  <c r="AI19"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I23" i="13"/>
  <c r="J23" i="13"/>
  <c r="K23" i="13"/>
  <c r="L23" i="13"/>
  <c r="M23" i="13"/>
  <c r="N23" i="13"/>
  <c r="O23" i="13"/>
  <c r="P23" i="13"/>
  <c r="Q23" i="13"/>
  <c r="R23" i="13"/>
  <c r="S23" i="13"/>
  <c r="T23" i="13"/>
  <c r="U23" i="13"/>
  <c r="V23" i="13"/>
  <c r="W23" i="13"/>
  <c r="X23" i="13"/>
  <c r="Y23" i="13"/>
  <c r="Z23" i="13"/>
  <c r="AA23" i="13"/>
  <c r="AB23" i="13"/>
  <c r="AC23" i="13"/>
  <c r="AD23" i="13"/>
  <c r="AE23" i="13"/>
  <c r="AF23" i="13"/>
  <c r="AG23" i="13"/>
  <c r="AH23" i="13"/>
  <c r="AI23"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I25" i="13"/>
  <c r="J25" i="13"/>
  <c r="K25" i="13"/>
  <c r="L25" i="13"/>
  <c r="M25" i="13"/>
  <c r="N25" i="13"/>
  <c r="O25" i="13"/>
  <c r="P25" i="13"/>
  <c r="Q25" i="13"/>
  <c r="R25" i="13"/>
  <c r="S25" i="13"/>
  <c r="T25" i="13"/>
  <c r="U25" i="13"/>
  <c r="V25" i="13"/>
  <c r="W25" i="13"/>
  <c r="X25" i="13"/>
  <c r="Y25" i="13"/>
  <c r="Z25" i="13"/>
  <c r="AA25" i="13"/>
  <c r="AB25" i="13"/>
  <c r="AC25" i="13"/>
  <c r="AD25" i="13"/>
  <c r="AE25" i="13"/>
  <c r="AF25" i="13"/>
  <c r="AG25" i="13"/>
  <c r="AH25" i="13"/>
  <c r="AI25"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I28" i="13"/>
  <c r="J28" i="13"/>
  <c r="K28" i="13"/>
  <c r="L28" i="13"/>
  <c r="M28" i="13"/>
  <c r="N28" i="13"/>
  <c r="O28" i="13"/>
  <c r="P28" i="13"/>
  <c r="Q28" i="13"/>
  <c r="R28" i="13"/>
  <c r="S28" i="13"/>
  <c r="T28" i="13"/>
  <c r="U28" i="13"/>
  <c r="V28" i="13"/>
  <c r="W28" i="13"/>
  <c r="X28" i="13"/>
  <c r="Y28" i="13"/>
  <c r="Z28" i="13"/>
  <c r="AA28" i="13"/>
  <c r="AB28" i="13"/>
  <c r="AC28" i="13"/>
  <c r="AD28" i="13"/>
  <c r="AE28" i="13"/>
  <c r="AF28" i="13"/>
  <c r="AG28" i="13"/>
  <c r="AH28" i="13"/>
  <c r="AI28"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G9" i="13"/>
  <c r="C56" i="13" s="1"/>
  <c r="D63" i="16" s="1"/>
  <c r="G10" i="13"/>
  <c r="C57" i="13" s="1"/>
  <c r="D64" i="16" s="1"/>
  <c r="D154" i="16" s="1"/>
  <c r="G11" i="13"/>
  <c r="C58" i="13" s="1"/>
  <c r="D65" i="16" s="1"/>
  <c r="D155" i="16" s="1"/>
  <c r="G12" i="13"/>
  <c r="C59" i="13" s="1"/>
  <c r="D66" i="16" s="1"/>
  <c r="D156" i="16" s="1"/>
  <c r="G13" i="13"/>
  <c r="C60" i="13" s="1"/>
  <c r="D67" i="16" s="1"/>
  <c r="D157" i="16" s="1"/>
  <c r="G14" i="13"/>
  <c r="C61" i="13" s="1"/>
  <c r="D68" i="16" s="1"/>
  <c r="D158" i="16" s="1"/>
  <c r="G16" i="13"/>
  <c r="C63" i="13" s="1"/>
  <c r="D70" i="16" s="1"/>
  <c r="D160" i="16" s="1"/>
  <c r="G17" i="13"/>
  <c r="C64" i="13" s="1"/>
  <c r="D71" i="16" s="1"/>
  <c r="D161" i="16" s="1"/>
  <c r="G18" i="13"/>
  <c r="C65" i="13" s="1"/>
  <c r="D72" i="16" s="1"/>
  <c r="D162" i="16" s="1"/>
  <c r="G19" i="13"/>
  <c r="C66" i="13" s="1"/>
  <c r="D73" i="16" s="1"/>
  <c r="D163" i="16" s="1"/>
  <c r="G20" i="13"/>
  <c r="C67" i="13" s="1"/>
  <c r="D74" i="16" s="1"/>
  <c r="D164" i="16" s="1"/>
  <c r="G21" i="13"/>
  <c r="C68" i="13" s="1"/>
  <c r="D75" i="16" s="1"/>
  <c r="D165" i="16" s="1"/>
  <c r="G22" i="13"/>
  <c r="C69" i="13" s="1"/>
  <c r="D76" i="16" s="1"/>
  <c r="D166" i="16" s="1"/>
  <c r="G23" i="13"/>
  <c r="C70" i="13" s="1"/>
  <c r="D77" i="16" s="1"/>
  <c r="D167" i="16" s="1"/>
  <c r="G24" i="13"/>
  <c r="C71" i="13" s="1"/>
  <c r="D78" i="16" s="1"/>
  <c r="D168" i="16" s="1"/>
  <c r="G25" i="13"/>
  <c r="C72" i="13" s="1"/>
  <c r="D79" i="16" s="1"/>
  <c r="D169" i="16" s="1"/>
  <c r="G26" i="13"/>
  <c r="C73" i="13" s="1"/>
  <c r="D80" i="16" s="1"/>
  <c r="D170" i="16" s="1"/>
  <c r="G27" i="13"/>
  <c r="C74" i="13" s="1"/>
  <c r="D81" i="16" s="1"/>
  <c r="D171" i="16" s="1"/>
  <c r="G31" i="13"/>
  <c r="C78" i="13" s="1"/>
  <c r="D85" i="16" s="1"/>
  <c r="G4" i="13"/>
  <c r="C51" i="13" s="1"/>
  <c r="D58" i="16" s="1"/>
  <c r="D148" i="16" s="1"/>
  <c r="E148" i="16" s="1"/>
  <c r="D25" i="16" l="1"/>
  <c r="D15" i="16"/>
  <c r="D23" i="16"/>
  <c r="D17" i="16"/>
  <c r="D5" i="16"/>
  <c r="D22" i="16"/>
  <c r="D13" i="16"/>
  <c r="D14" i="16"/>
  <c r="D21" i="16"/>
  <c r="D12" i="16"/>
  <c r="D32" i="16"/>
  <c r="D28" i="16"/>
  <c r="D20" i="16"/>
  <c r="D11" i="16"/>
  <c r="D24" i="16"/>
  <c r="D27" i="16"/>
  <c r="D19" i="16"/>
  <c r="D10" i="16"/>
  <c r="D26" i="16"/>
  <c r="D18" i="16"/>
  <c r="H9" i="13" l="1"/>
  <c r="D56" i="13" s="1"/>
  <c r="E63" i="16" s="1"/>
  <c r="E153" i="16" s="1"/>
  <c r="E52" i="13"/>
  <c r="F59" i="16" s="1"/>
  <c r="F52" i="13"/>
  <c r="G59" i="16" s="1"/>
  <c r="E53" i="13"/>
  <c r="F60" i="16" s="1"/>
  <c r="F53" i="13"/>
  <c r="G60" i="16" s="1"/>
  <c r="E54" i="13"/>
  <c r="F61" i="16" s="1"/>
  <c r="F54" i="13"/>
  <c r="G61" i="16" s="1"/>
  <c r="E56" i="13"/>
  <c r="F63" i="16" s="1"/>
  <c r="F56" i="13"/>
  <c r="G63" i="16" s="1"/>
  <c r="E57" i="13"/>
  <c r="F64" i="16" s="1"/>
  <c r="F57" i="13"/>
  <c r="G64" i="16" s="1"/>
  <c r="E58" i="13"/>
  <c r="F65" i="16" s="1"/>
  <c r="F58" i="13"/>
  <c r="G65" i="16" s="1"/>
  <c r="E59" i="13"/>
  <c r="F66" i="16" s="1"/>
  <c r="F59" i="13"/>
  <c r="G66" i="16" s="1"/>
  <c r="E60" i="13"/>
  <c r="F67" i="16" s="1"/>
  <c r="F60" i="13"/>
  <c r="G67" i="16" s="1"/>
  <c r="E61" i="13"/>
  <c r="F68" i="16" s="1"/>
  <c r="F61" i="13"/>
  <c r="G68" i="16" s="1"/>
  <c r="E63" i="13"/>
  <c r="F70" i="16" s="1"/>
  <c r="F63" i="13"/>
  <c r="G70" i="16" s="1"/>
  <c r="E64" i="13"/>
  <c r="F71" i="16" s="1"/>
  <c r="F64" i="13"/>
  <c r="G71" i="16" s="1"/>
  <c r="E65" i="13"/>
  <c r="F72" i="16" s="1"/>
  <c r="F65" i="13"/>
  <c r="G72" i="16" s="1"/>
  <c r="E66" i="13"/>
  <c r="F73" i="16" s="1"/>
  <c r="F66" i="13"/>
  <c r="G73" i="16" s="1"/>
  <c r="E67" i="13"/>
  <c r="F74" i="16" s="1"/>
  <c r="F67" i="13"/>
  <c r="G74" i="16" s="1"/>
  <c r="E68" i="13"/>
  <c r="F75" i="16" s="1"/>
  <c r="F68" i="13"/>
  <c r="G75" i="16" s="1"/>
  <c r="E69" i="13"/>
  <c r="F76" i="16" s="1"/>
  <c r="F69" i="13"/>
  <c r="G76" i="16" s="1"/>
  <c r="E70" i="13"/>
  <c r="F77" i="16" s="1"/>
  <c r="F70" i="13"/>
  <c r="G77" i="16" s="1"/>
  <c r="E71" i="13"/>
  <c r="F78" i="16" s="1"/>
  <c r="F71" i="13"/>
  <c r="G78" i="16" s="1"/>
  <c r="E72" i="13"/>
  <c r="F79" i="16" s="1"/>
  <c r="F72" i="13"/>
  <c r="G79" i="16" s="1"/>
  <c r="E73" i="13"/>
  <c r="F80" i="16" s="1"/>
  <c r="F73" i="13"/>
  <c r="G80" i="16" s="1"/>
  <c r="E74" i="13"/>
  <c r="F81" i="16" s="1"/>
  <c r="F74" i="13"/>
  <c r="G81" i="16" s="1"/>
  <c r="E78" i="13"/>
  <c r="F85" i="16" s="1"/>
  <c r="F78" i="13"/>
  <c r="G85" i="16" s="1"/>
  <c r="E51" i="13"/>
  <c r="F58" i="16" s="1"/>
  <c r="F148" i="16" s="1"/>
  <c r="G148" i="16" s="1"/>
  <c r="F51" i="13"/>
  <c r="G58" i="16" s="1"/>
  <c r="H4" i="13"/>
  <c r="D51" i="13" s="1"/>
  <c r="F153" i="16" l="1"/>
  <c r="G153" i="16" s="1"/>
  <c r="E10" i="16"/>
  <c r="F10" i="16" s="1"/>
  <c r="G10" i="16" s="1"/>
  <c r="E5" i="16"/>
  <c r="E48" i="16"/>
  <c r="F48" i="16"/>
  <c r="G48" i="16"/>
  <c r="H48" i="16"/>
  <c r="I48" i="16"/>
  <c r="J48" i="16"/>
  <c r="K48" i="16"/>
  <c r="L48" i="16"/>
  <c r="M48" i="16"/>
  <c r="N48" i="16"/>
  <c r="O48" i="16"/>
  <c r="P48" i="16"/>
  <c r="Q48" i="16"/>
  <c r="R48" i="16"/>
  <c r="S48" i="16"/>
  <c r="T48" i="16"/>
  <c r="U48" i="16"/>
  <c r="V48" i="16"/>
  <c r="W48" i="16"/>
  <c r="X48" i="16"/>
  <c r="Y48" i="16"/>
  <c r="Z48" i="16"/>
  <c r="AA48" i="16"/>
  <c r="AB48" i="16"/>
  <c r="AC48" i="16"/>
  <c r="AD48" i="16"/>
  <c r="AE48" i="16"/>
  <c r="AF48" i="16"/>
  <c r="D48" i="16"/>
  <c r="C48" i="16"/>
  <c r="C49" i="16" s="1"/>
  <c r="AG25" i="12"/>
  <c r="AG26" i="12"/>
  <c r="AG24" i="12"/>
  <c r="K51" i="13"/>
  <c r="L58" i="16" s="1"/>
  <c r="L51" i="13"/>
  <c r="M58" i="16" s="1"/>
  <c r="M51" i="13"/>
  <c r="N58" i="16" s="1"/>
  <c r="N51" i="13"/>
  <c r="O58" i="16" s="1"/>
  <c r="O51" i="13"/>
  <c r="P58" i="16" s="1"/>
  <c r="P51" i="13"/>
  <c r="Q58" i="16" s="1"/>
  <c r="Q51" i="13"/>
  <c r="R58" i="16" s="1"/>
  <c r="R51" i="13"/>
  <c r="S58" i="16" s="1"/>
  <c r="S51" i="13"/>
  <c r="T58" i="16" s="1"/>
  <c r="T51" i="13"/>
  <c r="U58" i="16" s="1"/>
  <c r="U51" i="13"/>
  <c r="V58" i="16" s="1"/>
  <c r="V51" i="13"/>
  <c r="W58" i="16" s="1"/>
  <c r="W51" i="13"/>
  <c r="X58" i="16" s="1"/>
  <c r="X51" i="13"/>
  <c r="Y58" i="16" s="1"/>
  <c r="Y51" i="13"/>
  <c r="Z58" i="16" s="1"/>
  <c r="Z51" i="13"/>
  <c r="AA58" i="16" s="1"/>
  <c r="AA51" i="13"/>
  <c r="AB58" i="16" s="1"/>
  <c r="AB51" i="13"/>
  <c r="AC58" i="16" s="1"/>
  <c r="AC51" i="13"/>
  <c r="AD58" i="16" s="1"/>
  <c r="AD51" i="13"/>
  <c r="AE58" i="16" s="1"/>
  <c r="AE51" i="13"/>
  <c r="AF58" i="16" s="1"/>
  <c r="K52" i="13"/>
  <c r="L59" i="16" s="1"/>
  <c r="L52" i="13"/>
  <c r="M59" i="16" s="1"/>
  <c r="M52" i="13"/>
  <c r="N59" i="16" s="1"/>
  <c r="N52" i="13"/>
  <c r="O59" i="16" s="1"/>
  <c r="O52" i="13"/>
  <c r="P59" i="16" s="1"/>
  <c r="P52" i="13"/>
  <c r="Q59" i="16" s="1"/>
  <c r="Q52" i="13"/>
  <c r="R59" i="16" s="1"/>
  <c r="R52" i="13"/>
  <c r="S59" i="16" s="1"/>
  <c r="S52" i="13"/>
  <c r="T59" i="16" s="1"/>
  <c r="T52" i="13"/>
  <c r="U59" i="16" s="1"/>
  <c r="U52" i="13"/>
  <c r="V59" i="16" s="1"/>
  <c r="V52" i="13"/>
  <c r="W59" i="16" s="1"/>
  <c r="W52" i="13"/>
  <c r="X59" i="16" s="1"/>
  <c r="X52" i="13"/>
  <c r="Y59" i="16" s="1"/>
  <c r="Y52" i="13"/>
  <c r="Z59" i="16" s="1"/>
  <c r="Z52" i="13"/>
  <c r="AA59" i="16" s="1"/>
  <c r="AA52" i="13"/>
  <c r="AB59" i="16" s="1"/>
  <c r="AB52" i="13"/>
  <c r="AC59" i="16" s="1"/>
  <c r="AC52" i="13"/>
  <c r="AD59" i="16" s="1"/>
  <c r="AD52" i="13"/>
  <c r="AE59" i="16" s="1"/>
  <c r="AE52" i="13"/>
  <c r="AF59" i="16" s="1"/>
  <c r="K53" i="13"/>
  <c r="L60" i="16" s="1"/>
  <c r="L53" i="13"/>
  <c r="M60" i="16" s="1"/>
  <c r="M53" i="13"/>
  <c r="N60" i="16" s="1"/>
  <c r="N53" i="13"/>
  <c r="O60" i="16" s="1"/>
  <c r="O53" i="13"/>
  <c r="P60" i="16" s="1"/>
  <c r="P53" i="13"/>
  <c r="Q60" i="16" s="1"/>
  <c r="Q53" i="13"/>
  <c r="R60" i="16" s="1"/>
  <c r="R53" i="13"/>
  <c r="S60" i="16" s="1"/>
  <c r="S53" i="13"/>
  <c r="T60" i="16" s="1"/>
  <c r="T53" i="13"/>
  <c r="U60" i="16" s="1"/>
  <c r="U53" i="13"/>
  <c r="V60" i="16" s="1"/>
  <c r="V53" i="13"/>
  <c r="W60" i="16" s="1"/>
  <c r="W53" i="13"/>
  <c r="X60" i="16" s="1"/>
  <c r="X53" i="13"/>
  <c r="Y60" i="16" s="1"/>
  <c r="Y53" i="13"/>
  <c r="Z60" i="16" s="1"/>
  <c r="Z53" i="13"/>
  <c r="AA60" i="16" s="1"/>
  <c r="AA53" i="13"/>
  <c r="AB60" i="16" s="1"/>
  <c r="AB53" i="13"/>
  <c r="AC60" i="16" s="1"/>
  <c r="AC53" i="13"/>
  <c r="AD60" i="16" s="1"/>
  <c r="AD53" i="13"/>
  <c r="AE60" i="16" s="1"/>
  <c r="AE53" i="13"/>
  <c r="AF60" i="16" s="1"/>
  <c r="K54" i="13"/>
  <c r="L61" i="16" s="1"/>
  <c r="L54" i="13"/>
  <c r="M61" i="16" s="1"/>
  <c r="M54" i="13"/>
  <c r="N61" i="16" s="1"/>
  <c r="N54" i="13"/>
  <c r="O61" i="16" s="1"/>
  <c r="O54" i="13"/>
  <c r="P61" i="16" s="1"/>
  <c r="P54" i="13"/>
  <c r="Q61" i="16" s="1"/>
  <c r="Q54" i="13"/>
  <c r="R61" i="16" s="1"/>
  <c r="R54" i="13"/>
  <c r="S61" i="16" s="1"/>
  <c r="S54" i="13"/>
  <c r="T61" i="16" s="1"/>
  <c r="T54" i="13"/>
  <c r="U61" i="16" s="1"/>
  <c r="U54" i="13"/>
  <c r="V61" i="16" s="1"/>
  <c r="V54" i="13"/>
  <c r="W61" i="16" s="1"/>
  <c r="W54" i="13"/>
  <c r="X61" i="16" s="1"/>
  <c r="X54" i="13"/>
  <c r="Y61" i="16" s="1"/>
  <c r="Y54" i="13"/>
  <c r="Z61" i="16" s="1"/>
  <c r="Z54" i="13"/>
  <c r="AA61" i="16" s="1"/>
  <c r="AA54" i="13"/>
  <c r="AB61" i="16" s="1"/>
  <c r="AB54" i="13"/>
  <c r="AC61" i="16" s="1"/>
  <c r="AC54" i="13"/>
  <c r="AD61" i="16" s="1"/>
  <c r="AD54" i="13"/>
  <c r="AE61" i="16" s="1"/>
  <c r="AE54" i="13"/>
  <c r="AF61" i="16" s="1"/>
  <c r="K56" i="13"/>
  <c r="L63" i="16" s="1"/>
  <c r="L56" i="13"/>
  <c r="M63" i="16" s="1"/>
  <c r="M56" i="13"/>
  <c r="N63" i="16" s="1"/>
  <c r="N56" i="13"/>
  <c r="O63" i="16" s="1"/>
  <c r="O56" i="13"/>
  <c r="P63" i="16" s="1"/>
  <c r="P56" i="13"/>
  <c r="Q63" i="16" s="1"/>
  <c r="Q56" i="13"/>
  <c r="R63" i="16" s="1"/>
  <c r="R56" i="13"/>
  <c r="S63" i="16" s="1"/>
  <c r="S56" i="13"/>
  <c r="T63" i="16" s="1"/>
  <c r="T56" i="13"/>
  <c r="U63" i="16" s="1"/>
  <c r="U56" i="13"/>
  <c r="V63" i="16" s="1"/>
  <c r="V56" i="13"/>
  <c r="W63" i="16" s="1"/>
  <c r="W56" i="13"/>
  <c r="X63" i="16" s="1"/>
  <c r="X56" i="13"/>
  <c r="Y63" i="16" s="1"/>
  <c r="Y56" i="13"/>
  <c r="Z63" i="16" s="1"/>
  <c r="Z56" i="13"/>
  <c r="AA63" i="16" s="1"/>
  <c r="AA56" i="13"/>
  <c r="AB63" i="16" s="1"/>
  <c r="AB56" i="13"/>
  <c r="AC63" i="16" s="1"/>
  <c r="AC56" i="13"/>
  <c r="AD63" i="16" s="1"/>
  <c r="AD56" i="13"/>
  <c r="AE63" i="16" s="1"/>
  <c r="AE56" i="13"/>
  <c r="AF63" i="16" s="1"/>
  <c r="K57" i="13"/>
  <c r="L64" i="16" s="1"/>
  <c r="L57" i="13"/>
  <c r="M64" i="16" s="1"/>
  <c r="M57" i="13"/>
  <c r="N64" i="16" s="1"/>
  <c r="N57" i="13"/>
  <c r="O64" i="16" s="1"/>
  <c r="O57" i="13"/>
  <c r="P64" i="16" s="1"/>
  <c r="P57" i="13"/>
  <c r="Q64" i="16" s="1"/>
  <c r="Q57" i="13"/>
  <c r="R64" i="16" s="1"/>
  <c r="R57" i="13"/>
  <c r="S64" i="16" s="1"/>
  <c r="S57" i="13"/>
  <c r="T64" i="16" s="1"/>
  <c r="T57" i="13"/>
  <c r="U64" i="16" s="1"/>
  <c r="U57" i="13"/>
  <c r="V64" i="16" s="1"/>
  <c r="V57" i="13"/>
  <c r="W64" i="16" s="1"/>
  <c r="W57" i="13"/>
  <c r="X64" i="16" s="1"/>
  <c r="X57" i="13"/>
  <c r="Y64" i="16" s="1"/>
  <c r="Y57" i="13"/>
  <c r="Z64" i="16" s="1"/>
  <c r="Z57" i="13"/>
  <c r="AA64" i="16" s="1"/>
  <c r="AA57" i="13"/>
  <c r="AB64" i="16" s="1"/>
  <c r="AB57" i="13"/>
  <c r="AC64" i="16" s="1"/>
  <c r="AC57" i="13"/>
  <c r="AD64" i="16" s="1"/>
  <c r="AD57" i="13"/>
  <c r="AE64" i="16" s="1"/>
  <c r="AE57" i="13"/>
  <c r="AF64" i="16" s="1"/>
  <c r="K58" i="13"/>
  <c r="L65" i="16" s="1"/>
  <c r="L58" i="13"/>
  <c r="M65" i="16" s="1"/>
  <c r="M58" i="13"/>
  <c r="N65" i="16" s="1"/>
  <c r="N58" i="13"/>
  <c r="O65" i="16" s="1"/>
  <c r="O58" i="13"/>
  <c r="P65" i="16" s="1"/>
  <c r="P58" i="13"/>
  <c r="Q65" i="16" s="1"/>
  <c r="Q58" i="13"/>
  <c r="R65" i="16" s="1"/>
  <c r="R58" i="13"/>
  <c r="S65" i="16" s="1"/>
  <c r="S58" i="13"/>
  <c r="T65" i="16" s="1"/>
  <c r="T58" i="13"/>
  <c r="U65" i="16" s="1"/>
  <c r="U58" i="13"/>
  <c r="V65" i="16" s="1"/>
  <c r="V58" i="13"/>
  <c r="W65" i="16" s="1"/>
  <c r="W58" i="13"/>
  <c r="X65" i="16" s="1"/>
  <c r="X58" i="13"/>
  <c r="Y65" i="16" s="1"/>
  <c r="Y58" i="13"/>
  <c r="Z65" i="16" s="1"/>
  <c r="Z58" i="13"/>
  <c r="AA65" i="16" s="1"/>
  <c r="AA58" i="13"/>
  <c r="AB65" i="16" s="1"/>
  <c r="AB58" i="13"/>
  <c r="AC65" i="16" s="1"/>
  <c r="AC58" i="13"/>
  <c r="AD65" i="16" s="1"/>
  <c r="AD58" i="13"/>
  <c r="AE65" i="16" s="1"/>
  <c r="AE58" i="13"/>
  <c r="AF65" i="16" s="1"/>
  <c r="K59" i="13"/>
  <c r="L66" i="16" s="1"/>
  <c r="L59" i="13"/>
  <c r="M66" i="16" s="1"/>
  <c r="M59" i="13"/>
  <c r="N66" i="16" s="1"/>
  <c r="N59" i="13"/>
  <c r="O66" i="16" s="1"/>
  <c r="O59" i="13"/>
  <c r="P66" i="16" s="1"/>
  <c r="P59" i="13"/>
  <c r="Q66" i="16" s="1"/>
  <c r="Q59" i="13"/>
  <c r="R66" i="16" s="1"/>
  <c r="R59" i="13"/>
  <c r="S66" i="16" s="1"/>
  <c r="S59" i="13"/>
  <c r="T66" i="16" s="1"/>
  <c r="T59" i="13"/>
  <c r="U66" i="16" s="1"/>
  <c r="U59" i="13"/>
  <c r="V66" i="16" s="1"/>
  <c r="V59" i="13"/>
  <c r="W66" i="16" s="1"/>
  <c r="W59" i="13"/>
  <c r="X66" i="16" s="1"/>
  <c r="X59" i="13"/>
  <c r="Y66" i="16" s="1"/>
  <c r="Y59" i="13"/>
  <c r="Z66" i="16" s="1"/>
  <c r="Z59" i="13"/>
  <c r="AA66" i="16" s="1"/>
  <c r="AA59" i="13"/>
  <c r="AB66" i="16" s="1"/>
  <c r="AB59" i="13"/>
  <c r="AC66" i="16" s="1"/>
  <c r="AC59" i="13"/>
  <c r="AD66" i="16" s="1"/>
  <c r="AD59" i="13"/>
  <c r="AE66" i="16" s="1"/>
  <c r="AE59" i="13"/>
  <c r="AF66" i="16" s="1"/>
  <c r="K60" i="13"/>
  <c r="L67" i="16" s="1"/>
  <c r="L60" i="13"/>
  <c r="M67" i="16" s="1"/>
  <c r="M60" i="13"/>
  <c r="N67" i="16" s="1"/>
  <c r="N60" i="13"/>
  <c r="O67" i="16" s="1"/>
  <c r="O60" i="13"/>
  <c r="P67" i="16" s="1"/>
  <c r="P60" i="13"/>
  <c r="Q67" i="16" s="1"/>
  <c r="Q60" i="13"/>
  <c r="R67" i="16" s="1"/>
  <c r="R60" i="13"/>
  <c r="S67" i="16" s="1"/>
  <c r="S60" i="13"/>
  <c r="T67" i="16" s="1"/>
  <c r="T60" i="13"/>
  <c r="U67" i="16" s="1"/>
  <c r="U60" i="13"/>
  <c r="V67" i="16" s="1"/>
  <c r="V60" i="13"/>
  <c r="W67" i="16" s="1"/>
  <c r="W60" i="13"/>
  <c r="X67" i="16" s="1"/>
  <c r="X60" i="13"/>
  <c r="Y67" i="16" s="1"/>
  <c r="Y60" i="13"/>
  <c r="Z67" i="16" s="1"/>
  <c r="Z60" i="13"/>
  <c r="AA67" i="16" s="1"/>
  <c r="AA60" i="13"/>
  <c r="AB67" i="16" s="1"/>
  <c r="AB60" i="13"/>
  <c r="AC67" i="16" s="1"/>
  <c r="AC60" i="13"/>
  <c r="AD67" i="16" s="1"/>
  <c r="AD60" i="13"/>
  <c r="AE67" i="16" s="1"/>
  <c r="AE60" i="13"/>
  <c r="AF67" i="16" s="1"/>
  <c r="K61" i="13"/>
  <c r="L68" i="16" s="1"/>
  <c r="L61" i="13"/>
  <c r="M68" i="16" s="1"/>
  <c r="M61" i="13"/>
  <c r="N68" i="16" s="1"/>
  <c r="N61" i="13"/>
  <c r="O68" i="16" s="1"/>
  <c r="O61" i="13"/>
  <c r="P68" i="16" s="1"/>
  <c r="P61" i="13"/>
  <c r="Q68" i="16" s="1"/>
  <c r="Q61" i="13"/>
  <c r="R68" i="16" s="1"/>
  <c r="R61" i="13"/>
  <c r="S68" i="16" s="1"/>
  <c r="S61" i="13"/>
  <c r="T68" i="16" s="1"/>
  <c r="T61" i="13"/>
  <c r="U68" i="16" s="1"/>
  <c r="U61" i="13"/>
  <c r="V68" i="16" s="1"/>
  <c r="V61" i="13"/>
  <c r="W68" i="16" s="1"/>
  <c r="W61" i="13"/>
  <c r="X68" i="16" s="1"/>
  <c r="X61" i="13"/>
  <c r="Y68" i="16" s="1"/>
  <c r="Y61" i="13"/>
  <c r="Z68" i="16" s="1"/>
  <c r="Z61" i="13"/>
  <c r="AA68" i="16" s="1"/>
  <c r="AA61" i="13"/>
  <c r="AB68" i="16" s="1"/>
  <c r="AB61" i="13"/>
  <c r="AC68" i="16" s="1"/>
  <c r="AC61" i="13"/>
  <c r="AD68" i="16" s="1"/>
  <c r="AD61" i="13"/>
  <c r="AE68" i="16" s="1"/>
  <c r="AE61" i="13"/>
  <c r="AF68" i="16" s="1"/>
  <c r="K63" i="13"/>
  <c r="L70" i="16" s="1"/>
  <c r="L63" i="13"/>
  <c r="M70" i="16" s="1"/>
  <c r="M63" i="13"/>
  <c r="N70" i="16" s="1"/>
  <c r="N63" i="13"/>
  <c r="O70" i="16" s="1"/>
  <c r="O63" i="13"/>
  <c r="P70" i="16" s="1"/>
  <c r="P63" i="13"/>
  <c r="Q70" i="16" s="1"/>
  <c r="Q63" i="13"/>
  <c r="R70" i="16" s="1"/>
  <c r="R63" i="13"/>
  <c r="S70" i="16" s="1"/>
  <c r="S63" i="13"/>
  <c r="T70" i="16" s="1"/>
  <c r="T63" i="13"/>
  <c r="U70" i="16" s="1"/>
  <c r="U63" i="13"/>
  <c r="V70" i="16" s="1"/>
  <c r="V63" i="13"/>
  <c r="W70" i="16" s="1"/>
  <c r="W63" i="13"/>
  <c r="X70" i="16" s="1"/>
  <c r="X63" i="13"/>
  <c r="Y70" i="16" s="1"/>
  <c r="Y63" i="13"/>
  <c r="Z70" i="16" s="1"/>
  <c r="Z63" i="13"/>
  <c r="AA70" i="16" s="1"/>
  <c r="AA63" i="13"/>
  <c r="AB70" i="16" s="1"/>
  <c r="AB63" i="13"/>
  <c r="AC70" i="16" s="1"/>
  <c r="AC63" i="13"/>
  <c r="AD70" i="16" s="1"/>
  <c r="AD63" i="13"/>
  <c r="AE70" i="16" s="1"/>
  <c r="AE63" i="13"/>
  <c r="AF70" i="16" s="1"/>
  <c r="K64" i="13"/>
  <c r="L71" i="16" s="1"/>
  <c r="L64" i="13"/>
  <c r="M71" i="16" s="1"/>
  <c r="M64" i="13"/>
  <c r="N71" i="16" s="1"/>
  <c r="N64" i="13"/>
  <c r="O71" i="16" s="1"/>
  <c r="O64" i="13"/>
  <c r="P71" i="16" s="1"/>
  <c r="P64" i="13"/>
  <c r="Q71" i="16" s="1"/>
  <c r="Q64" i="13"/>
  <c r="R71" i="16" s="1"/>
  <c r="R64" i="13"/>
  <c r="S71" i="16" s="1"/>
  <c r="S64" i="13"/>
  <c r="T71" i="16" s="1"/>
  <c r="T64" i="13"/>
  <c r="U71" i="16" s="1"/>
  <c r="U64" i="13"/>
  <c r="V71" i="16" s="1"/>
  <c r="V64" i="13"/>
  <c r="W71" i="16" s="1"/>
  <c r="W64" i="13"/>
  <c r="X71" i="16" s="1"/>
  <c r="X64" i="13"/>
  <c r="Y71" i="16" s="1"/>
  <c r="Y64" i="13"/>
  <c r="Z71" i="16" s="1"/>
  <c r="Z64" i="13"/>
  <c r="AA71" i="16" s="1"/>
  <c r="AA64" i="13"/>
  <c r="AB71" i="16" s="1"/>
  <c r="AB64" i="13"/>
  <c r="AC71" i="16" s="1"/>
  <c r="AC64" i="13"/>
  <c r="AD71" i="16" s="1"/>
  <c r="AD64" i="13"/>
  <c r="AE71" i="16" s="1"/>
  <c r="AE64" i="13"/>
  <c r="AF71" i="16" s="1"/>
  <c r="K65" i="13"/>
  <c r="L72" i="16" s="1"/>
  <c r="L65" i="13"/>
  <c r="M72" i="16" s="1"/>
  <c r="M65" i="13"/>
  <c r="N72" i="16" s="1"/>
  <c r="N65" i="13"/>
  <c r="O72" i="16" s="1"/>
  <c r="O65" i="13"/>
  <c r="P72" i="16" s="1"/>
  <c r="P65" i="13"/>
  <c r="Q72" i="16" s="1"/>
  <c r="Q65" i="13"/>
  <c r="R72" i="16" s="1"/>
  <c r="R65" i="13"/>
  <c r="S72" i="16" s="1"/>
  <c r="S65" i="13"/>
  <c r="T72" i="16" s="1"/>
  <c r="T65" i="13"/>
  <c r="U72" i="16" s="1"/>
  <c r="U65" i="13"/>
  <c r="V72" i="16" s="1"/>
  <c r="V65" i="13"/>
  <c r="W72" i="16" s="1"/>
  <c r="W65" i="13"/>
  <c r="X72" i="16" s="1"/>
  <c r="X65" i="13"/>
  <c r="Y72" i="16" s="1"/>
  <c r="Y65" i="13"/>
  <c r="Z72" i="16" s="1"/>
  <c r="Z65" i="13"/>
  <c r="AA72" i="16" s="1"/>
  <c r="AA65" i="13"/>
  <c r="AB72" i="16" s="1"/>
  <c r="AB65" i="13"/>
  <c r="AC72" i="16" s="1"/>
  <c r="AC65" i="13"/>
  <c r="AD72" i="16" s="1"/>
  <c r="AD65" i="13"/>
  <c r="AE72" i="16" s="1"/>
  <c r="AE65" i="13"/>
  <c r="AF72" i="16" s="1"/>
  <c r="K66" i="13"/>
  <c r="L73" i="16" s="1"/>
  <c r="L66" i="13"/>
  <c r="M73" i="16" s="1"/>
  <c r="M66" i="13"/>
  <c r="N73" i="16" s="1"/>
  <c r="N66" i="13"/>
  <c r="O73" i="16" s="1"/>
  <c r="O66" i="13"/>
  <c r="P73" i="16" s="1"/>
  <c r="P66" i="13"/>
  <c r="Q73" i="16" s="1"/>
  <c r="Q66" i="13"/>
  <c r="R73" i="16" s="1"/>
  <c r="R66" i="13"/>
  <c r="S73" i="16" s="1"/>
  <c r="S66" i="13"/>
  <c r="T73" i="16" s="1"/>
  <c r="T66" i="13"/>
  <c r="U73" i="16" s="1"/>
  <c r="U66" i="13"/>
  <c r="V73" i="16" s="1"/>
  <c r="V66" i="13"/>
  <c r="W73" i="16" s="1"/>
  <c r="W66" i="13"/>
  <c r="X73" i="16" s="1"/>
  <c r="X66" i="13"/>
  <c r="Y73" i="16" s="1"/>
  <c r="Y66" i="13"/>
  <c r="Z73" i="16" s="1"/>
  <c r="Z66" i="13"/>
  <c r="AA73" i="16" s="1"/>
  <c r="AA66" i="13"/>
  <c r="AB73" i="16" s="1"/>
  <c r="AB66" i="13"/>
  <c r="AC73" i="16" s="1"/>
  <c r="AC66" i="13"/>
  <c r="AD73" i="16" s="1"/>
  <c r="AD66" i="13"/>
  <c r="AE73" i="16" s="1"/>
  <c r="AE66" i="13"/>
  <c r="AF73" i="16" s="1"/>
  <c r="K67" i="13"/>
  <c r="L74" i="16" s="1"/>
  <c r="L67" i="13"/>
  <c r="M74" i="16" s="1"/>
  <c r="M67" i="13"/>
  <c r="N74" i="16" s="1"/>
  <c r="N67" i="13"/>
  <c r="O74" i="16" s="1"/>
  <c r="O67" i="13"/>
  <c r="P74" i="16" s="1"/>
  <c r="P67" i="13"/>
  <c r="Q74" i="16" s="1"/>
  <c r="Q67" i="13"/>
  <c r="R74" i="16" s="1"/>
  <c r="R67" i="13"/>
  <c r="S74" i="16" s="1"/>
  <c r="S67" i="13"/>
  <c r="T74" i="16" s="1"/>
  <c r="T67" i="13"/>
  <c r="U74" i="16" s="1"/>
  <c r="U67" i="13"/>
  <c r="V74" i="16" s="1"/>
  <c r="V67" i="13"/>
  <c r="W74" i="16" s="1"/>
  <c r="W67" i="13"/>
  <c r="X74" i="16" s="1"/>
  <c r="X67" i="13"/>
  <c r="Y74" i="16" s="1"/>
  <c r="Y67" i="13"/>
  <c r="Z74" i="16" s="1"/>
  <c r="Z67" i="13"/>
  <c r="AA74" i="16" s="1"/>
  <c r="AA67" i="13"/>
  <c r="AB74" i="16" s="1"/>
  <c r="AB67" i="13"/>
  <c r="AC74" i="16" s="1"/>
  <c r="AC67" i="13"/>
  <c r="AD74" i="16" s="1"/>
  <c r="AD67" i="13"/>
  <c r="AE74" i="16" s="1"/>
  <c r="AE67" i="13"/>
  <c r="AF74" i="16" s="1"/>
  <c r="K68" i="13"/>
  <c r="L75" i="16" s="1"/>
  <c r="L68" i="13"/>
  <c r="M75" i="16" s="1"/>
  <c r="M68" i="13"/>
  <c r="N75" i="16" s="1"/>
  <c r="N68" i="13"/>
  <c r="O75" i="16" s="1"/>
  <c r="O68" i="13"/>
  <c r="P75" i="16" s="1"/>
  <c r="P68" i="13"/>
  <c r="Q75" i="16" s="1"/>
  <c r="Q68" i="13"/>
  <c r="R75" i="16" s="1"/>
  <c r="R68" i="13"/>
  <c r="S75" i="16" s="1"/>
  <c r="S68" i="13"/>
  <c r="T75" i="16" s="1"/>
  <c r="T68" i="13"/>
  <c r="U75" i="16" s="1"/>
  <c r="U68" i="13"/>
  <c r="V75" i="16" s="1"/>
  <c r="V68" i="13"/>
  <c r="W75" i="16" s="1"/>
  <c r="W68" i="13"/>
  <c r="X75" i="16" s="1"/>
  <c r="X68" i="13"/>
  <c r="Y75" i="16" s="1"/>
  <c r="Y68" i="13"/>
  <c r="Z75" i="16" s="1"/>
  <c r="Z68" i="13"/>
  <c r="AA75" i="16" s="1"/>
  <c r="AA68" i="13"/>
  <c r="AB75" i="16" s="1"/>
  <c r="AB68" i="13"/>
  <c r="AC75" i="16" s="1"/>
  <c r="AC68" i="13"/>
  <c r="AD75" i="16" s="1"/>
  <c r="AD68" i="13"/>
  <c r="AE75" i="16" s="1"/>
  <c r="AE68" i="13"/>
  <c r="AF75" i="16" s="1"/>
  <c r="K69" i="13"/>
  <c r="L76" i="16" s="1"/>
  <c r="L69" i="13"/>
  <c r="M76" i="16" s="1"/>
  <c r="M69" i="13"/>
  <c r="N76" i="16" s="1"/>
  <c r="N69" i="13"/>
  <c r="O76" i="16" s="1"/>
  <c r="O69" i="13"/>
  <c r="P76" i="16" s="1"/>
  <c r="P69" i="13"/>
  <c r="Q76" i="16" s="1"/>
  <c r="Q69" i="13"/>
  <c r="R76" i="16" s="1"/>
  <c r="R69" i="13"/>
  <c r="S76" i="16" s="1"/>
  <c r="S69" i="13"/>
  <c r="T76" i="16" s="1"/>
  <c r="T69" i="13"/>
  <c r="U76" i="16" s="1"/>
  <c r="U69" i="13"/>
  <c r="V76" i="16" s="1"/>
  <c r="V69" i="13"/>
  <c r="W76" i="16" s="1"/>
  <c r="W69" i="13"/>
  <c r="X76" i="16" s="1"/>
  <c r="X69" i="13"/>
  <c r="Y76" i="16" s="1"/>
  <c r="Y69" i="13"/>
  <c r="Z76" i="16" s="1"/>
  <c r="Z69" i="13"/>
  <c r="AA76" i="16" s="1"/>
  <c r="AA69" i="13"/>
  <c r="AB76" i="16" s="1"/>
  <c r="AB69" i="13"/>
  <c r="AC76" i="16" s="1"/>
  <c r="AC69" i="13"/>
  <c r="AD76" i="16" s="1"/>
  <c r="AD69" i="13"/>
  <c r="AE76" i="16" s="1"/>
  <c r="AE69" i="13"/>
  <c r="AF76" i="16" s="1"/>
  <c r="K70" i="13"/>
  <c r="L77" i="16" s="1"/>
  <c r="L70" i="13"/>
  <c r="M77" i="16" s="1"/>
  <c r="M70" i="13"/>
  <c r="N77" i="16" s="1"/>
  <c r="N70" i="13"/>
  <c r="O77" i="16" s="1"/>
  <c r="O70" i="13"/>
  <c r="P77" i="16" s="1"/>
  <c r="P70" i="13"/>
  <c r="Q77" i="16" s="1"/>
  <c r="Q70" i="13"/>
  <c r="R77" i="16" s="1"/>
  <c r="R70" i="13"/>
  <c r="S77" i="16" s="1"/>
  <c r="S70" i="13"/>
  <c r="T77" i="16" s="1"/>
  <c r="T70" i="13"/>
  <c r="U77" i="16" s="1"/>
  <c r="U70" i="13"/>
  <c r="V77" i="16" s="1"/>
  <c r="V70" i="13"/>
  <c r="W77" i="16" s="1"/>
  <c r="W70" i="13"/>
  <c r="X77" i="16" s="1"/>
  <c r="X70" i="13"/>
  <c r="Y77" i="16" s="1"/>
  <c r="Y70" i="13"/>
  <c r="Z77" i="16" s="1"/>
  <c r="Z70" i="13"/>
  <c r="AA77" i="16" s="1"/>
  <c r="AA70" i="13"/>
  <c r="AB77" i="16" s="1"/>
  <c r="AB70" i="13"/>
  <c r="AC77" i="16" s="1"/>
  <c r="AC70" i="13"/>
  <c r="AD77" i="16" s="1"/>
  <c r="AD70" i="13"/>
  <c r="AE77" i="16" s="1"/>
  <c r="AE70" i="13"/>
  <c r="AF77" i="16" s="1"/>
  <c r="K71" i="13"/>
  <c r="L78" i="16" s="1"/>
  <c r="L71" i="13"/>
  <c r="M78" i="16" s="1"/>
  <c r="M71" i="13"/>
  <c r="N78" i="16" s="1"/>
  <c r="N71" i="13"/>
  <c r="O78" i="16" s="1"/>
  <c r="O71" i="13"/>
  <c r="P78" i="16" s="1"/>
  <c r="P71" i="13"/>
  <c r="Q78" i="16" s="1"/>
  <c r="Q71" i="13"/>
  <c r="R78" i="16" s="1"/>
  <c r="R71" i="13"/>
  <c r="S78" i="16" s="1"/>
  <c r="S71" i="13"/>
  <c r="T78" i="16" s="1"/>
  <c r="T71" i="13"/>
  <c r="U78" i="16" s="1"/>
  <c r="U71" i="13"/>
  <c r="V78" i="16" s="1"/>
  <c r="V71" i="13"/>
  <c r="W78" i="16" s="1"/>
  <c r="W71" i="13"/>
  <c r="X78" i="16" s="1"/>
  <c r="X71" i="13"/>
  <c r="Y78" i="16" s="1"/>
  <c r="Y71" i="13"/>
  <c r="Z78" i="16" s="1"/>
  <c r="Z71" i="13"/>
  <c r="AA78" i="16" s="1"/>
  <c r="AA71" i="13"/>
  <c r="AB78" i="16" s="1"/>
  <c r="AB71" i="13"/>
  <c r="AC78" i="16" s="1"/>
  <c r="AC71" i="13"/>
  <c r="AD78" i="16" s="1"/>
  <c r="AD71" i="13"/>
  <c r="AE78" i="16" s="1"/>
  <c r="AE71" i="13"/>
  <c r="AF78" i="16" s="1"/>
  <c r="K72" i="13"/>
  <c r="L79" i="16" s="1"/>
  <c r="L72" i="13"/>
  <c r="M79" i="16" s="1"/>
  <c r="M72" i="13"/>
  <c r="N79" i="16" s="1"/>
  <c r="N72" i="13"/>
  <c r="O79" i="16" s="1"/>
  <c r="O72" i="13"/>
  <c r="P79" i="16" s="1"/>
  <c r="P72" i="13"/>
  <c r="Q79" i="16" s="1"/>
  <c r="Q72" i="13"/>
  <c r="R79" i="16" s="1"/>
  <c r="R72" i="13"/>
  <c r="S79" i="16" s="1"/>
  <c r="S72" i="13"/>
  <c r="T79" i="16" s="1"/>
  <c r="T72" i="13"/>
  <c r="U79" i="16" s="1"/>
  <c r="U72" i="13"/>
  <c r="V79" i="16" s="1"/>
  <c r="V72" i="13"/>
  <c r="W79" i="16" s="1"/>
  <c r="W72" i="13"/>
  <c r="X79" i="16" s="1"/>
  <c r="X72" i="13"/>
  <c r="Y79" i="16" s="1"/>
  <c r="Y72" i="13"/>
  <c r="Z79" i="16" s="1"/>
  <c r="Z72" i="13"/>
  <c r="AA79" i="16" s="1"/>
  <c r="AA72" i="13"/>
  <c r="AB79" i="16" s="1"/>
  <c r="AB72" i="13"/>
  <c r="AC79" i="16" s="1"/>
  <c r="AC72" i="13"/>
  <c r="AD79" i="16" s="1"/>
  <c r="AD72" i="13"/>
  <c r="AE79" i="16" s="1"/>
  <c r="AE72" i="13"/>
  <c r="AF79" i="16" s="1"/>
  <c r="K73" i="13"/>
  <c r="L80" i="16" s="1"/>
  <c r="L73" i="13"/>
  <c r="M80" i="16" s="1"/>
  <c r="M73" i="13"/>
  <c r="N80" i="16" s="1"/>
  <c r="N73" i="13"/>
  <c r="O80" i="16" s="1"/>
  <c r="O73" i="13"/>
  <c r="P80" i="16" s="1"/>
  <c r="P73" i="13"/>
  <c r="Q80" i="16" s="1"/>
  <c r="Q73" i="13"/>
  <c r="R80" i="16" s="1"/>
  <c r="R73" i="13"/>
  <c r="S80" i="16" s="1"/>
  <c r="S73" i="13"/>
  <c r="T80" i="16" s="1"/>
  <c r="T73" i="13"/>
  <c r="U80" i="16" s="1"/>
  <c r="U73" i="13"/>
  <c r="V80" i="16" s="1"/>
  <c r="V73" i="13"/>
  <c r="W80" i="16" s="1"/>
  <c r="W73" i="13"/>
  <c r="X80" i="16" s="1"/>
  <c r="X73" i="13"/>
  <c r="Y80" i="16" s="1"/>
  <c r="Y73" i="13"/>
  <c r="Z80" i="16" s="1"/>
  <c r="Z73" i="13"/>
  <c r="AA80" i="16" s="1"/>
  <c r="AA73" i="13"/>
  <c r="AB80" i="16" s="1"/>
  <c r="AB73" i="13"/>
  <c r="AC80" i="16" s="1"/>
  <c r="AC73" i="13"/>
  <c r="AD80" i="16" s="1"/>
  <c r="AD73" i="13"/>
  <c r="AE80" i="16" s="1"/>
  <c r="AE73" i="13"/>
  <c r="AF80" i="16" s="1"/>
  <c r="K74" i="13"/>
  <c r="L81" i="16" s="1"/>
  <c r="L74" i="13"/>
  <c r="M81" i="16" s="1"/>
  <c r="M74" i="13"/>
  <c r="N81" i="16" s="1"/>
  <c r="N74" i="13"/>
  <c r="O81" i="16" s="1"/>
  <c r="O74" i="13"/>
  <c r="P81" i="16" s="1"/>
  <c r="P74" i="13"/>
  <c r="Q81" i="16" s="1"/>
  <c r="Q74" i="13"/>
  <c r="R81" i="16" s="1"/>
  <c r="R74" i="13"/>
  <c r="S81" i="16" s="1"/>
  <c r="S74" i="13"/>
  <c r="T81" i="16" s="1"/>
  <c r="T74" i="13"/>
  <c r="U81" i="16" s="1"/>
  <c r="U74" i="13"/>
  <c r="V81" i="16" s="1"/>
  <c r="V74" i="13"/>
  <c r="W81" i="16" s="1"/>
  <c r="W74" i="13"/>
  <c r="X81" i="16" s="1"/>
  <c r="X74" i="13"/>
  <c r="Y81" i="16" s="1"/>
  <c r="Y74" i="13"/>
  <c r="Z81" i="16" s="1"/>
  <c r="Z74" i="13"/>
  <c r="AA81" i="16" s="1"/>
  <c r="AA74" i="13"/>
  <c r="AB81" i="16" s="1"/>
  <c r="AB74" i="13"/>
  <c r="AC81" i="16" s="1"/>
  <c r="AC74" i="13"/>
  <c r="AD81" i="16" s="1"/>
  <c r="AD74" i="13"/>
  <c r="AE81" i="16" s="1"/>
  <c r="AE74" i="13"/>
  <c r="AF81" i="16" s="1"/>
  <c r="K78" i="13"/>
  <c r="L85" i="16" s="1"/>
  <c r="L78" i="13"/>
  <c r="M85" i="16" s="1"/>
  <c r="M78" i="13"/>
  <c r="N85" i="16" s="1"/>
  <c r="N78" i="13"/>
  <c r="O85" i="16" s="1"/>
  <c r="O78" i="13"/>
  <c r="P85" i="16" s="1"/>
  <c r="P78" i="13"/>
  <c r="Q85" i="16" s="1"/>
  <c r="Q78" i="13"/>
  <c r="R85" i="16" s="1"/>
  <c r="R78" i="13"/>
  <c r="S85" i="16" s="1"/>
  <c r="S78" i="13"/>
  <c r="T85" i="16" s="1"/>
  <c r="T78" i="13"/>
  <c r="U85" i="16" s="1"/>
  <c r="U78" i="13"/>
  <c r="V85" i="16" s="1"/>
  <c r="V78" i="13"/>
  <c r="W85" i="16" s="1"/>
  <c r="W78" i="13"/>
  <c r="X85" i="16" s="1"/>
  <c r="X78" i="13"/>
  <c r="Y85" i="16" s="1"/>
  <c r="Y78" i="13"/>
  <c r="Z85" i="16" s="1"/>
  <c r="Z78" i="13"/>
  <c r="AA85" i="16" s="1"/>
  <c r="AA78" i="13"/>
  <c r="AB85" i="16" s="1"/>
  <c r="AB78" i="13"/>
  <c r="AC85" i="16" s="1"/>
  <c r="AC78" i="13"/>
  <c r="AD85" i="16" s="1"/>
  <c r="AD78" i="13"/>
  <c r="AE85" i="16" s="1"/>
  <c r="AE78" i="13"/>
  <c r="AF85" i="16" s="1"/>
  <c r="N32" i="13"/>
  <c r="O32" i="13"/>
  <c r="P32" i="13"/>
  <c r="Q32" i="13"/>
  <c r="R32" i="13"/>
  <c r="S32" i="13"/>
  <c r="T32" i="13"/>
  <c r="U32" i="13"/>
  <c r="V32" i="13"/>
  <c r="W32" i="13"/>
  <c r="X32" i="13"/>
  <c r="Y32" i="13"/>
  <c r="Z32" i="13"/>
  <c r="AA32" i="13"/>
  <c r="AB32" i="13"/>
  <c r="AC32" i="13"/>
  <c r="AD32" i="13"/>
  <c r="AE32" i="13"/>
  <c r="AF32" i="13"/>
  <c r="AG32" i="13"/>
  <c r="AH32" i="13"/>
  <c r="N33" i="13"/>
  <c r="O33" i="13"/>
  <c r="P33" i="13"/>
  <c r="Q33" i="13"/>
  <c r="R33" i="13"/>
  <c r="S33" i="13"/>
  <c r="T33" i="13"/>
  <c r="U33" i="13"/>
  <c r="V33" i="13"/>
  <c r="W33" i="13"/>
  <c r="X33" i="13"/>
  <c r="Y33" i="13"/>
  <c r="Z33" i="13"/>
  <c r="AA33" i="13"/>
  <c r="AB33" i="13"/>
  <c r="AC33" i="13"/>
  <c r="AD33" i="13"/>
  <c r="AE33" i="13"/>
  <c r="AF33" i="13"/>
  <c r="AG33" i="13"/>
  <c r="AH33" i="13"/>
  <c r="N34" i="13"/>
  <c r="O34" i="13"/>
  <c r="P34" i="13"/>
  <c r="Q34" i="13"/>
  <c r="R34" i="13"/>
  <c r="S34" i="13"/>
  <c r="T34" i="13"/>
  <c r="U34" i="13"/>
  <c r="V34" i="13"/>
  <c r="W34" i="13"/>
  <c r="X34" i="13"/>
  <c r="Y34" i="13"/>
  <c r="Z34" i="13"/>
  <c r="AA34" i="13"/>
  <c r="AB34" i="13"/>
  <c r="AC34" i="13"/>
  <c r="AD34" i="13"/>
  <c r="AE34" i="13"/>
  <c r="AF34" i="13"/>
  <c r="AG34" i="13"/>
  <c r="AH34" i="13"/>
  <c r="N35" i="13"/>
  <c r="O35" i="13"/>
  <c r="P35" i="13"/>
  <c r="Q35" i="13"/>
  <c r="R35" i="13"/>
  <c r="S35" i="13"/>
  <c r="T35" i="13"/>
  <c r="U35" i="13"/>
  <c r="V35" i="13"/>
  <c r="W35" i="13"/>
  <c r="X35" i="13"/>
  <c r="Y35" i="13"/>
  <c r="Z35" i="13"/>
  <c r="AA35" i="13"/>
  <c r="AB35" i="13"/>
  <c r="AC35" i="13"/>
  <c r="AD35" i="13"/>
  <c r="AE35" i="13"/>
  <c r="AF35" i="13"/>
  <c r="AG35" i="13"/>
  <c r="AH35" i="13"/>
  <c r="N36" i="13"/>
  <c r="O36" i="13"/>
  <c r="P36" i="13"/>
  <c r="Q36" i="13"/>
  <c r="R36" i="13"/>
  <c r="S36" i="13"/>
  <c r="T36" i="13"/>
  <c r="U36" i="13"/>
  <c r="V36" i="13"/>
  <c r="W36" i="13"/>
  <c r="X36" i="13"/>
  <c r="Y36" i="13"/>
  <c r="Z36" i="13"/>
  <c r="AA36" i="13"/>
  <c r="AB36" i="13"/>
  <c r="AC36" i="13"/>
  <c r="AD36" i="13"/>
  <c r="AE36" i="13"/>
  <c r="AF36" i="13"/>
  <c r="AG36" i="13"/>
  <c r="AH36" i="13"/>
  <c r="N37" i="13"/>
  <c r="O37" i="13"/>
  <c r="P37" i="13"/>
  <c r="Q37" i="13"/>
  <c r="R37" i="13"/>
  <c r="S37" i="13"/>
  <c r="T37" i="13"/>
  <c r="U37" i="13"/>
  <c r="V37" i="13"/>
  <c r="W37" i="13"/>
  <c r="X37" i="13"/>
  <c r="Y37" i="13"/>
  <c r="Z37" i="13"/>
  <c r="AA37" i="13"/>
  <c r="AB37" i="13"/>
  <c r="AC37" i="13"/>
  <c r="AD37" i="13"/>
  <c r="AE37" i="13"/>
  <c r="AF37" i="13"/>
  <c r="AG37" i="13"/>
  <c r="AH37" i="13"/>
  <c r="N38" i="13"/>
  <c r="O38" i="13"/>
  <c r="P38" i="13"/>
  <c r="Q38" i="13"/>
  <c r="R38" i="13"/>
  <c r="S38" i="13"/>
  <c r="T38" i="13"/>
  <c r="U38" i="13"/>
  <c r="V38" i="13"/>
  <c r="W38" i="13"/>
  <c r="X38" i="13"/>
  <c r="Y38" i="13"/>
  <c r="Z38" i="13"/>
  <c r="AA38" i="13"/>
  <c r="AB38" i="13"/>
  <c r="AC38" i="13"/>
  <c r="AD38" i="13"/>
  <c r="AE38" i="13"/>
  <c r="AF38" i="13"/>
  <c r="AG38" i="13"/>
  <c r="AH38" i="13"/>
  <c r="N39" i="13"/>
  <c r="O39" i="13"/>
  <c r="P39" i="13"/>
  <c r="Q39" i="13"/>
  <c r="R39" i="13"/>
  <c r="S39" i="13"/>
  <c r="T39" i="13"/>
  <c r="U39" i="13"/>
  <c r="V39" i="13"/>
  <c r="W39" i="13"/>
  <c r="X39" i="13"/>
  <c r="Y39" i="13"/>
  <c r="Z39" i="13"/>
  <c r="AA39" i="13"/>
  <c r="AB39" i="13"/>
  <c r="AC39" i="13"/>
  <c r="AD39" i="13"/>
  <c r="AE39" i="13"/>
  <c r="AF39" i="13"/>
  <c r="AG39" i="13"/>
  <c r="AH39" i="13"/>
  <c r="N40" i="13"/>
  <c r="O40" i="13"/>
  <c r="P40" i="13"/>
  <c r="Q40" i="13"/>
  <c r="R40" i="13"/>
  <c r="S40" i="13"/>
  <c r="T40" i="13"/>
  <c r="U40" i="13"/>
  <c r="V40" i="13"/>
  <c r="W40" i="13"/>
  <c r="X40" i="13"/>
  <c r="Y40" i="13"/>
  <c r="Z40" i="13"/>
  <c r="AA40" i="13"/>
  <c r="AB40" i="13"/>
  <c r="AC40" i="13"/>
  <c r="AD40" i="13"/>
  <c r="AE40" i="13"/>
  <c r="AF40" i="13"/>
  <c r="AG40" i="13"/>
  <c r="AH40" i="13"/>
  <c r="N41" i="13"/>
  <c r="O41" i="13"/>
  <c r="P41" i="13"/>
  <c r="Q41" i="13"/>
  <c r="R41" i="13"/>
  <c r="S41" i="13"/>
  <c r="T41" i="13"/>
  <c r="U41" i="13"/>
  <c r="V41" i="13"/>
  <c r="W41" i="13"/>
  <c r="X41" i="13"/>
  <c r="Y41" i="13"/>
  <c r="Z41" i="13"/>
  <c r="AA41" i="13"/>
  <c r="AB41" i="13"/>
  <c r="AC41" i="13"/>
  <c r="AD41" i="13"/>
  <c r="AE41" i="13"/>
  <c r="AF41" i="13"/>
  <c r="AG41" i="13"/>
  <c r="AH41" i="13"/>
  <c r="N42" i="13"/>
  <c r="O42" i="13"/>
  <c r="P42" i="13"/>
  <c r="Q42" i="13"/>
  <c r="R42" i="13"/>
  <c r="S42" i="13"/>
  <c r="T42" i="13"/>
  <c r="U42" i="13"/>
  <c r="V42" i="13"/>
  <c r="W42" i="13"/>
  <c r="X42" i="13"/>
  <c r="Y42" i="13"/>
  <c r="Z42" i="13"/>
  <c r="AA42" i="13"/>
  <c r="AB42" i="13"/>
  <c r="AC42" i="13"/>
  <c r="AD42" i="13"/>
  <c r="AE42" i="13"/>
  <c r="AF42" i="13"/>
  <c r="AG42" i="13"/>
  <c r="AH42" i="13"/>
  <c r="N43" i="13"/>
  <c r="O43" i="13"/>
  <c r="P43" i="13"/>
  <c r="Q43" i="13"/>
  <c r="R43" i="13"/>
  <c r="S43" i="13"/>
  <c r="T43" i="13"/>
  <c r="U43" i="13"/>
  <c r="V43" i="13"/>
  <c r="W43" i="13"/>
  <c r="X43" i="13"/>
  <c r="Y43" i="13"/>
  <c r="Z43" i="13"/>
  <c r="AA43" i="13"/>
  <c r="AB43" i="13"/>
  <c r="AC43" i="13"/>
  <c r="AD43" i="13"/>
  <c r="AE43" i="13"/>
  <c r="AF43" i="13"/>
  <c r="AG43" i="13"/>
  <c r="AH43" i="13"/>
  <c r="N44" i="13"/>
  <c r="O44" i="13"/>
  <c r="P44" i="13"/>
  <c r="Q44" i="13"/>
  <c r="R44" i="13"/>
  <c r="S44" i="13"/>
  <c r="T44" i="13"/>
  <c r="U44" i="13"/>
  <c r="V44" i="13"/>
  <c r="W44" i="13"/>
  <c r="X44" i="13"/>
  <c r="Y44" i="13"/>
  <c r="Z44" i="13"/>
  <c r="AA44" i="13"/>
  <c r="AB44" i="13"/>
  <c r="AC44" i="13"/>
  <c r="AD44" i="13"/>
  <c r="AE44" i="13"/>
  <c r="AF44" i="13"/>
  <c r="AG44" i="13"/>
  <c r="AH44" i="13"/>
  <c r="N45" i="13"/>
  <c r="O45" i="13"/>
  <c r="P45" i="13"/>
  <c r="Q45" i="13"/>
  <c r="R45" i="13"/>
  <c r="S45" i="13"/>
  <c r="T45" i="13"/>
  <c r="U45" i="13"/>
  <c r="V45" i="13"/>
  <c r="W45" i="13"/>
  <c r="X45" i="13"/>
  <c r="Y45" i="13"/>
  <c r="Z45" i="13"/>
  <c r="AA45" i="13"/>
  <c r="AB45" i="13"/>
  <c r="AC45" i="13"/>
  <c r="AD45" i="13"/>
  <c r="AE45" i="13"/>
  <c r="AF45" i="13"/>
  <c r="AG45" i="13"/>
  <c r="AH45" i="13"/>
  <c r="H15" i="13"/>
  <c r="H16" i="13"/>
  <c r="D63" i="13" s="1"/>
  <c r="E70" i="16" s="1"/>
  <c r="E160" i="16" s="1"/>
  <c r="F160" i="16" s="1"/>
  <c r="G160" i="16" s="1"/>
  <c r="G63" i="13"/>
  <c r="H70" i="16" s="1"/>
  <c r="H63" i="13"/>
  <c r="I70" i="16" s="1"/>
  <c r="I63" i="13"/>
  <c r="J70" i="16" s="1"/>
  <c r="J63" i="13"/>
  <c r="K70" i="16" s="1"/>
  <c r="H17" i="13"/>
  <c r="D64" i="13" s="1"/>
  <c r="E71" i="16" s="1"/>
  <c r="E161" i="16" s="1"/>
  <c r="F161" i="16" s="1"/>
  <c r="G161" i="16" s="1"/>
  <c r="H161" i="16" s="1"/>
  <c r="G64" i="13"/>
  <c r="H71" i="16" s="1"/>
  <c r="H64" i="13"/>
  <c r="I71" i="16" s="1"/>
  <c r="I64" i="13"/>
  <c r="J71" i="16" s="1"/>
  <c r="J64" i="13"/>
  <c r="K71" i="16" s="1"/>
  <c r="H18" i="13"/>
  <c r="D65" i="13" s="1"/>
  <c r="E72" i="16" s="1"/>
  <c r="E162" i="16" s="1"/>
  <c r="F162" i="16" s="1"/>
  <c r="G162" i="16" s="1"/>
  <c r="G65" i="13"/>
  <c r="H72" i="16" s="1"/>
  <c r="H65" i="13"/>
  <c r="I72" i="16" s="1"/>
  <c r="I65" i="13"/>
  <c r="J72" i="16" s="1"/>
  <c r="J65" i="13"/>
  <c r="K72" i="16" s="1"/>
  <c r="H19" i="13"/>
  <c r="D66" i="13" s="1"/>
  <c r="E73" i="16" s="1"/>
  <c r="E163" i="16" s="1"/>
  <c r="F163" i="16" s="1"/>
  <c r="G163" i="16" s="1"/>
  <c r="G66" i="13"/>
  <c r="H73" i="16" s="1"/>
  <c r="H66" i="13"/>
  <c r="I73" i="16" s="1"/>
  <c r="I66" i="13"/>
  <c r="J73" i="16" s="1"/>
  <c r="J66" i="13"/>
  <c r="K73" i="16" s="1"/>
  <c r="H20" i="13"/>
  <c r="D67" i="13" s="1"/>
  <c r="E74" i="16" s="1"/>
  <c r="E164" i="16" s="1"/>
  <c r="F164" i="16" s="1"/>
  <c r="G164" i="16" s="1"/>
  <c r="G67" i="13"/>
  <c r="H74" i="16" s="1"/>
  <c r="H67" i="13"/>
  <c r="I74" i="16" s="1"/>
  <c r="I67" i="13"/>
  <c r="J74" i="16" s="1"/>
  <c r="J67" i="13"/>
  <c r="K74" i="16" s="1"/>
  <c r="H21" i="13"/>
  <c r="D68" i="13" s="1"/>
  <c r="E75" i="16" s="1"/>
  <c r="E165" i="16" s="1"/>
  <c r="F165" i="16" s="1"/>
  <c r="G165" i="16" s="1"/>
  <c r="H165" i="16" s="1"/>
  <c r="G68" i="13"/>
  <c r="H75" i="16" s="1"/>
  <c r="H68" i="13"/>
  <c r="I75" i="16" s="1"/>
  <c r="I68" i="13"/>
  <c r="J75" i="16" s="1"/>
  <c r="J68" i="13"/>
  <c r="K75" i="16" s="1"/>
  <c r="H22" i="13"/>
  <c r="D69" i="13" s="1"/>
  <c r="E76" i="16" s="1"/>
  <c r="E166" i="16" s="1"/>
  <c r="F166" i="16" s="1"/>
  <c r="G166" i="16" s="1"/>
  <c r="G69" i="13"/>
  <c r="H76" i="16" s="1"/>
  <c r="H69" i="13"/>
  <c r="I76" i="16" s="1"/>
  <c r="I69" i="13"/>
  <c r="J76" i="16" s="1"/>
  <c r="J69" i="13"/>
  <c r="K76" i="16" s="1"/>
  <c r="H23" i="13"/>
  <c r="D70" i="13" s="1"/>
  <c r="E77" i="16" s="1"/>
  <c r="E167" i="16" s="1"/>
  <c r="F167" i="16" s="1"/>
  <c r="G167" i="16" s="1"/>
  <c r="G70" i="13"/>
  <c r="H77" i="16" s="1"/>
  <c r="H70" i="13"/>
  <c r="I77" i="16" s="1"/>
  <c r="I70" i="13"/>
  <c r="J77" i="16" s="1"/>
  <c r="J70" i="13"/>
  <c r="K77" i="16" s="1"/>
  <c r="H24" i="13"/>
  <c r="D71" i="13" s="1"/>
  <c r="E78" i="16" s="1"/>
  <c r="E168" i="16" s="1"/>
  <c r="F168" i="16" s="1"/>
  <c r="G168" i="16" s="1"/>
  <c r="G71" i="13"/>
  <c r="H78" i="16" s="1"/>
  <c r="H71" i="13"/>
  <c r="I78" i="16" s="1"/>
  <c r="I71" i="13"/>
  <c r="J78" i="16" s="1"/>
  <c r="J71" i="13"/>
  <c r="K78" i="16" s="1"/>
  <c r="H25" i="13"/>
  <c r="D72" i="13" s="1"/>
  <c r="E79" i="16" s="1"/>
  <c r="E169" i="16" s="1"/>
  <c r="F169" i="16" s="1"/>
  <c r="G169" i="16" s="1"/>
  <c r="H169" i="16" s="1"/>
  <c r="G72" i="13"/>
  <c r="H79" i="16" s="1"/>
  <c r="H72" i="13"/>
  <c r="I79" i="16" s="1"/>
  <c r="I72" i="13"/>
  <c r="J79" i="16" s="1"/>
  <c r="J72" i="13"/>
  <c r="K79" i="16" s="1"/>
  <c r="H26" i="13"/>
  <c r="D73" i="13" s="1"/>
  <c r="E80" i="16" s="1"/>
  <c r="E170" i="16" s="1"/>
  <c r="F170" i="16" s="1"/>
  <c r="G170" i="16" s="1"/>
  <c r="G73" i="13"/>
  <c r="H80" i="16" s="1"/>
  <c r="H73" i="13"/>
  <c r="I80" i="16" s="1"/>
  <c r="I73" i="13"/>
  <c r="J80" i="16" s="1"/>
  <c r="J73" i="13"/>
  <c r="K80" i="16" s="1"/>
  <c r="H27" i="13"/>
  <c r="D74" i="13" s="1"/>
  <c r="E81" i="16" s="1"/>
  <c r="E171" i="16" s="1"/>
  <c r="F171" i="16" s="1"/>
  <c r="G171" i="16" s="1"/>
  <c r="G74" i="13"/>
  <c r="H81" i="16" s="1"/>
  <c r="H74" i="13"/>
  <c r="I81" i="16" s="1"/>
  <c r="I74" i="13"/>
  <c r="J81" i="16" s="1"/>
  <c r="J74" i="13"/>
  <c r="K81" i="16" s="1"/>
  <c r="H28" i="13"/>
  <c r="H29" i="13"/>
  <c r="H30" i="13"/>
  <c r="H31" i="13"/>
  <c r="D78" i="13" s="1"/>
  <c r="E85" i="16" s="1"/>
  <c r="E175" i="16" s="1"/>
  <c r="F175" i="16" s="1"/>
  <c r="G175" i="16" s="1"/>
  <c r="G78" i="13"/>
  <c r="H85" i="16" s="1"/>
  <c r="H78" i="13"/>
  <c r="I85" i="16" s="1"/>
  <c r="I78" i="13"/>
  <c r="J85" i="16" s="1"/>
  <c r="J78" i="13"/>
  <c r="K85" i="16" s="1"/>
  <c r="G32" i="13"/>
  <c r="H32" i="13"/>
  <c r="I32" i="13"/>
  <c r="J32" i="13"/>
  <c r="K32" i="13"/>
  <c r="L32" i="13"/>
  <c r="M32" i="13"/>
  <c r="G33" i="13"/>
  <c r="H33" i="13"/>
  <c r="I33" i="13"/>
  <c r="J33" i="13"/>
  <c r="K33" i="13"/>
  <c r="L33" i="13"/>
  <c r="M33" i="13"/>
  <c r="G34" i="13"/>
  <c r="H34" i="13"/>
  <c r="I34" i="13"/>
  <c r="J34" i="13"/>
  <c r="K34" i="13"/>
  <c r="L34" i="13"/>
  <c r="M34" i="13"/>
  <c r="G35" i="13"/>
  <c r="H35" i="13"/>
  <c r="I35" i="13"/>
  <c r="J35" i="13"/>
  <c r="K35" i="13"/>
  <c r="L35" i="13"/>
  <c r="M35" i="13"/>
  <c r="G36" i="13"/>
  <c r="H36" i="13"/>
  <c r="I36" i="13"/>
  <c r="J36" i="13"/>
  <c r="K36" i="13"/>
  <c r="L36" i="13"/>
  <c r="M36" i="13"/>
  <c r="G37" i="13"/>
  <c r="H37" i="13"/>
  <c r="I37" i="13"/>
  <c r="J37" i="13"/>
  <c r="K37" i="13"/>
  <c r="L37" i="13"/>
  <c r="M37" i="13"/>
  <c r="G38" i="13"/>
  <c r="H38" i="13"/>
  <c r="I38" i="13"/>
  <c r="J38" i="13"/>
  <c r="K38" i="13"/>
  <c r="L38" i="13"/>
  <c r="M38" i="13"/>
  <c r="G39" i="13"/>
  <c r="H39" i="13"/>
  <c r="I39" i="13"/>
  <c r="J39" i="13"/>
  <c r="K39" i="13"/>
  <c r="L39" i="13"/>
  <c r="M39" i="13"/>
  <c r="G40" i="13"/>
  <c r="H40" i="13"/>
  <c r="I40" i="13"/>
  <c r="J40" i="13"/>
  <c r="K40" i="13"/>
  <c r="L40" i="13"/>
  <c r="M40" i="13"/>
  <c r="G41" i="13"/>
  <c r="H41" i="13"/>
  <c r="I41" i="13"/>
  <c r="J41" i="13"/>
  <c r="K41" i="13"/>
  <c r="L41" i="13"/>
  <c r="M41" i="13"/>
  <c r="G42" i="13"/>
  <c r="H42" i="13"/>
  <c r="I42" i="13"/>
  <c r="J42" i="13"/>
  <c r="K42" i="13"/>
  <c r="L42" i="13"/>
  <c r="M42" i="13"/>
  <c r="G43" i="13"/>
  <c r="H43" i="13"/>
  <c r="I43" i="13"/>
  <c r="J43" i="13"/>
  <c r="K43" i="13"/>
  <c r="L43" i="13"/>
  <c r="M43" i="13"/>
  <c r="G44" i="13"/>
  <c r="H44" i="13"/>
  <c r="I44" i="13"/>
  <c r="J44" i="13"/>
  <c r="K44" i="13"/>
  <c r="L44" i="13"/>
  <c r="M44" i="13"/>
  <c r="G45" i="13"/>
  <c r="H45" i="13"/>
  <c r="I45" i="13"/>
  <c r="J45" i="13"/>
  <c r="K45" i="13"/>
  <c r="L45" i="13"/>
  <c r="M45" i="13"/>
  <c r="H5" i="13"/>
  <c r="D52" i="13" s="1"/>
  <c r="E59" i="16" s="1"/>
  <c r="G52" i="13"/>
  <c r="H59" i="16" s="1"/>
  <c r="H52" i="13"/>
  <c r="I59" i="16" s="1"/>
  <c r="I52" i="13"/>
  <c r="J59" i="16" s="1"/>
  <c r="J52" i="13"/>
  <c r="K59" i="16" s="1"/>
  <c r="H6" i="13"/>
  <c r="D53" i="13" s="1"/>
  <c r="E60" i="16" s="1"/>
  <c r="G53" i="13"/>
  <c r="H60" i="16" s="1"/>
  <c r="H53" i="13"/>
  <c r="I60" i="16" s="1"/>
  <c r="I53" i="13"/>
  <c r="J60" i="16" s="1"/>
  <c r="J53" i="13"/>
  <c r="K60" i="16" s="1"/>
  <c r="H7" i="13"/>
  <c r="D54" i="13" s="1"/>
  <c r="E61" i="16" s="1"/>
  <c r="G54" i="13"/>
  <c r="H61" i="16" s="1"/>
  <c r="H54" i="13"/>
  <c r="I61" i="16" s="1"/>
  <c r="I54" i="13"/>
  <c r="J61" i="16" s="1"/>
  <c r="J54" i="13"/>
  <c r="K61" i="16" s="1"/>
  <c r="H8" i="13"/>
  <c r="G56" i="13"/>
  <c r="H63" i="16" s="1"/>
  <c r="H56" i="13"/>
  <c r="I63" i="16" s="1"/>
  <c r="I56" i="13"/>
  <c r="J63" i="16" s="1"/>
  <c r="J56" i="13"/>
  <c r="K63" i="16" s="1"/>
  <c r="H10" i="13"/>
  <c r="D57" i="13" s="1"/>
  <c r="E64" i="16" s="1"/>
  <c r="E154" i="16" s="1"/>
  <c r="F154" i="16" s="1"/>
  <c r="G154" i="16" s="1"/>
  <c r="G57" i="13"/>
  <c r="H64" i="16" s="1"/>
  <c r="H57" i="13"/>
  <c r="I64" i="16" s="1"/>
  <c r="I57" i="13"/>
  <c r="J64" i="16" s="1"/>
  <c r="J57" i="13"/>
  <c r="K64" i="16" s="1"/>
  <c r="H11" i="13"/>
  <c r="D58" i="13" s="1"/>
  <c r="E65" i="16" s="1"/>
  <c r="E155" i="16" s="1"/>
  <c r="F155" i="16" s="1"/>
  <c r="G155" i="16" s="1"/>
  <c r="G58" i="13"/>
  <c r="H65" i="16" s="1"/>
  <c r="H58" i="13"/>
  <c r="I65" i="16" s="1"/>
  <c r="I58" i="13"/>
  <c r="J65" i="16" s="1"/>
  <c r="J58" i="13"/>
  <c r="K65" i="16" s="1"/>
  <c r="H12" i="13"/>
  <c r="D59" i="13" s="1"/>
  <c r="E66" i="16" s="1"/>
  <c r="E156" i="16" s="1"/>
  <c r="F156" i="16" s="1"/>
  <c r="G156" i="16" s="1"/>
  <c r="G59" i="13"/>
  <c r="H66" i="16" s="1"/>
  <c r="H59" i="13"/>
  <c r="I66" i="16" s="1"/>
  <c r="I59" i="13"/>
  <c r="J66" i="16" s="1"/>
  <c r="J59" i="13"/>
  <c r="K66" i="16" s="1"/>
  <c r="H13" i="13"/>
  <c r="D60" i="13" s="1"/>
  <c r="E67" i="16" s="1"/>
  <c r="E157" i="16" s="1"/>
  <c r="F157" i="16" s="1"/>
  <c r="G157" i="16" s="1"/>
  <c r="G60" i="13"/>
  <c r="H67" i="16" s="1"/>
  <c r="H60" i="13"/>
  <c r="I67" i="16" s="1"/>
  <c r="I60" i="13"/>
  <c r="J67" i="16" s="1"/>
  <c r="J60" i="13"/>
  <c r="K67" i="16" s="1"/>
  <c r="H14" i="13"/>
  <c r="D61" i="13" s="1"/>
  <c r="E68" i="16" s="1"/>
  <c r="E158" i="16" s="1"/>
  <c r="F158" i="16" s="1"/>
  <c r="G158" i="16" s="1"/>
  <c r="G61" i="13"/>
  <c r="H68" i="16" s="1"/>
  <c r="H61" i="13"/>
  <c r="I68" i="16" s="1"/>
  <c r="I61" i="13"/>
  <c r="J68" i="16" s="1"/>
  <c r="J61" i="13"/>
  <c r="K68" i="16" s="1"/>
  <c r="G51" i="13"/>
  <c r="H58" i="16" s="1"/>
  <c r="H148" i="16" s="1"/>
  <c r="H51" i="13"/>
  <c r="I58" i="16" s="1"/>
  <c r="I51" i="13"/>
  <c r="J58" i="16" s="1"/>
  <c r="J51" i="13"/>
  <c r="K58" i="16" s="1"/>
  <c r="H170" i="16" l="1"/>
  <c r="I170" i="16" s="1"/>
  <c r="J170" i="16" s="1"/>
  <c r="H162" i="16"/>
  <c r="I162" i="16" s="1"/>
  <c r="J162" i="16" s="1"/>
  <c r="I148" i="16"/>
  <c r="J148" i="16" s="1"/>
  <c r="K148" i="16" s="1"/>
  <c r="L148" i="16" s="1"/>
  <c r="M148" i="16" s="1"/>
  <c r="N148" i="16" s="1"/>
  <c r="O148" i="16" s="1"/>
  <c r="P148" i="16" s="1"/>
  <c r="Q148" i="16" s="1"/>
  <c r="R148" i="16" s="1"/>
  <c r="S148" i="16" s="1"/>
  <c r="T148" i="16" s="1"/>
  <c r="U148" i="16" s="1"/>
  <c r="V148" i="16" s="1"/>
  <c r="W148" i="16" s="1"/>
  <c r="X148" i="16" s="1"/>
  <c r="Y148" i="16" s="1"/>
  <c r="Z148" i="16" s="1"/>
  <c r="AA148" i="16" s="1"/>
  <c r="AB148" i="16" s="1"/>
  <c r="AC148" i="16" s="1"/>
  <c r="AD148" i="16" s="1"/>
  <c r="AE148" i="16" s="1"/>
  <c r="AF148" i="16" s="1"/>
  <c r="H166" i="16"/>
  <c r="I166" i="16" s="1"/>
  <c r="J166" i="16" s="1"/>
  <c r="H156" i="16"/>
  <c r="I156" i="16" s="1"/>
  <c r="J156" i="16" s="1"/>
  <c r="K156" i="16" s="1"/>
  <c r="L156" i="16" s="1"/>
  <c r="M156" i="16" s="1"/>
  <c r="N156" i="16" s="1"/>
  <c r="O156" i="16" s="1"/>
  <c r="P156" i="16" s="1"/>
  <c r="Q156" i="16" s="1"/>
  <c r="R156" i="16" s="1"/>
  <c r="S156" i="16" s="1"/>
  <c r="T156" i="16" s="1"/>
  <c r="U156" i="16" s="1"/>
  <c r="V156" i="16" s="1"/>
  <c r="W156" i="16" s="1"/>
  <c r="X156" i="16" s="1"/>
  <c r="Y156" i="16" s="1"/>
  <c r="Z156" i="16" s="1"/>
  <c r="AA156" i="16" s="1"/>
  <c r="AB156" i="16" s="1"/>
  <c r="AC156" i="16" s="1"/>
  <c r="AD156" i="16" s="1"/>
  <c r="AE156" i="16" s="1"/>
  <c r="AF156" i="16" s="1"/>
  <c r="H163" i="16"/>
  <c r="I163" i="16" s="1"/>
  <c r="J163" i="16" s="1"/>
  <c r="K163" i="16" s="1"/>
  <c r="L163" i="16" s="1"/>
  <c r="M163" i="16" s="1"/>
  <c r="N163" i="16" s="1"/>
  <c r="O163" i="16" s="1"/>
  <c r="P163" i="16" s="1"/>
  <c r="Q163" i="16" s="1"/>
  <c r="R163" i="16" s="1"/>
  <c r="S163" i="16" s="1"/>
  <c r="T163" i="16" s="1"/>
  <c r="U163" i="16" s="1"/>
  <c r="V163" i="16" s="1"/>
  <c r="W163" i="16" s="1"/>
  <c r="X163" i="16" s="1"/>
  <c r="Y163" i="16" s="1"/>
  <c r="Z163" i="16" s="1"/>
  <c r="AA163" i="16" s="1"/>
  <c r="AB163" i="16" s="1"/>
  <c r="AC163" i="16" s="1"/>
  <c r="AD163" i="16" s="1"/>
  <c r="AE163" i="16" s="1"/>
  <c r="AF163" i="16" s="1"/>
  <c r="H157" i="16"/>
  <c r="I157" i="16" s="1"/>
  <c r="J157" i="16" s="1"/>
  <c r="K157" i="16" s="1"/>
  <c r="L157" i="16" s="1"/>
  <c r="M157" i="16" s="1"/>
  <c r="N157" i="16" s="1"/>
  <c r="O157" i="16" s="1"/>
  <c r="P157" i="16" s="1"/>
  <c r="Q157" i="16" s="1"/>
  <c r="R157" i="16" s="1"/>
  <c r="S157" i="16" s="1"/>
  <c r="T157" i="16" s="1"/>
  <c r="U157" i="16" s="1"/>
  <c r="V157" i="16" s="1"/>
  <c r="W157" i="16" s="1"/>
  <c r="X157" i="16" s="1"/>
  <c r="Y157" i="16" s="1"/>
  <c r="Z157" i="16" s="1"/>
  <c r="AA157" i="16" s="1"/>
  <c r="AB157" i="16" s="1"/>
  <c r="AC157" i="16" s="1"/>
  <c r="AD157" i="16" s="1"/>
  <c r="AE157" i="16" s="1"/>
  <c r="AF157" i="16" s="1"/>
  <c r="H160" i="16"/>
  <c r="I160" i="16" s="1"/>
  <c r="J160" i="16" s="1"/>
  <c r="K160" i="16" s="1"/>
  <c r="L160" i="16" s="1"/>
  <c r="M160" i="16" s="1"/>
  <c r="N160" i="16" s="1"/>
  <c r="O160" i="16" s="1"/>
  <c r="P160" i="16" s="1"/>
  <c r="Q160" i="16" s="1"/>
  <c r="R160" i="16" s="1"/>
  <c r="S160" i="16" s="1"/>
  <c r="T160" i="16" s="1"/>
  <c r="U160" i="16" s="1"/>
  <c r="V160" i="16" s="1"/>
  <c r="W160" i="16" s="1"/>
  <c r="X160" i="16" s="1"/>
  <c r="Y160" i="16" s="1"/>
  <c r="Z160" i="16" s="1"/>
  <c r="AA160" i="16" s="1"/>
  <c r="AB160" i="16" s="1"/>
  <c r="AC160" i="16" s="1"/>
  <c r="AD160" i="16" s="1"/>
  <c r="AE160" i="16" s="1"/>
  <c r="AF160" i="16" s="1"/>
  <c r="H155" i="16"/>
  <c r="I155" i="16" s="1"/>
  <c r="J155" i="16" s="1"/>
  <c r="K155" i="16" s="1"/>
  <c r="L155" i="16" s="1"/>
  <c r="M155" i="16" s="1"/>
  <c r="N155" i="16" s="1"/>
  <c r="O155" i="16" s="1"/>
  <c r="P155" i="16" s="1"/>
  <c r="Q155" i="16" s="1"/>
  <c r="R155" i="16" s="1"/>
  <c r="S155" i="16" s="1"/>
  <c r="T155" i="16" s="1"/>
  <c r="U155" i="16" s="1"/>
  <c r="V155" i="16" s="1"/>
  <c r="W155" i="16" s="1"/>
  <c r="X155" i="16" s="1"/>
  <c r="Y155" i="16" s="1"/>
  <c r="Z155" i="16" s="1"/>
  <c r="AA155" i="16" s="1"/>
  <c r="AB155" i="16" s="1"/>
  <c r="AC155" i="16" s="1"/>
  <c r="AD155" i="16" s="1"/>
  <c r="AE155" i="16" s="1"/>
  <c r="AF155" i="16" s="1"/>
  <c r="H175" i="16"/>
  <c r="I175" i="16" s="1"/>
  <c r="J175" i="16" s="1"/>
  <c r="K175" i="16" s="1"/>
  <c r="L175" i="16" s="1"/>
  <c r="M175" i="16" s="1"/>
  <c r="N175" i="16" s="1"/>
  <c r="O175" i="16" s="1"/>
  <c r="P175" i="16" s="1"/>
  <c r="Q175" i="16" s="1"/>
  <c r="R175" i="16" s="1"/>
  <c r="S175" i="16" s="1"/>
  <c r="T175" i="16" s="1"/>
  <c r="U175" i="16" s="1"/>
  <c r="V175" i="16" s="1"/>
  <c r="W175" i="16" s="1"/>
  <c r="X175" i="16" s="1"/>
  <c r="Y175" i="16" s="1"/>
  <c r="Z175" i="16" s="1"/>
  <c r="AA175" i="16" s="1"/>
  <c r="AB175" i="16" s="1"/>
  <c r="AC175" i="16" s="1"/>
  <c r="AD175" i="16" s="1"/>
  <c r="AE175" i="16" s="1"/>
  <c r="AF175" i="16" s="1"/>
  <c r="H168" i="16"/>
  <c r="I168" i="16" s="1"/>
  <c r="J168" i="16" s="1"/>
  <c r="K168" i="16" s="1"/>
  <c r="L168" i="16" s="1"/>
  <c r="M168" i="16" s="1"/>
  <c r="N168" i="16" s="1"/>
  <c r="O168" i="16" s="1"/>
  <c r="P168" i="16" s="1"/>
  <c r="Q168" i="16" s="1"/>
  <c r="R168" i="16" s="1"/>
  <c r="S168" i="16" s="1"/>
  <c r="T168" i="16" s="1"/>
  <c r="U168" i="16" s="1"/>
  <c r="V168" i="16" s="1"/>
  <c r="W168" i="16" s="1"/>
  <c r="X168" i="16" s="1"/>
  <c r="Y168" i="16" s="1"/>
  <c r="Z168" i="16" s="1"/>
  <c r="AA168" i="16" s="1"/>
  <c r="AB168" i="16" s="1"/>
  <c r="AC168" i="16" s="1"/>
  <c r="AD168" i="16" s="1"/>
  <c r="AE168" i="16" s="1"/>
  <c r="AF168" i="16" s="1"/>
  <c r="H164" i="16"/>
  <c r="I164" i="16" s="1"/>
  <c r="J164" i="16" s="1"/>
  <c r="K164" i="16" s="1"/>
  <c r="L164" i="16" s="1"/>
  <c r="M164" i="16" s="1"/>
  <c r="N164" i="16" s="1"/>
  <c r="O164" i="16" s="1"/>
  <c r="P164" i="16" s="1"/>
  <c r="Q164" i="16" s="1"/>
  <c r="R164" i="16" s="1"/>
  <c r="S164" i="16" s="1"/>
  <c r="T164" i="16" s="1"/>
  <c r="U164" i="16" s="1"/>
  <c r="V164" i="16" s="1"/>
  <c r="W164" i="16" s="1"/>
  <c r="X164" i="16" s="1"/>
  <c r="Y164" i="16" s="1"/>
  <c r="Z164" i="16" s="1"/>
  <c r="AA164" i="16" s="1"/>
  <c r="AB164" i="16" s="1"/>
  <c r="AC164" i="16" s="1"/>
  <c r="AD164" i="16" s="1"/>
  <c r="AE164" i="16" s="1"/>
  <c r="AF164" i="16" s="1"/>
  <c r="H171" i="16"/>
  <c r="I171" i="16" s="1"/>
  <c r="J171" i="16" s="1"/>
  <c r="K171" i="16" s="1"/>
  <c r="L171" i="16" s="1"/>
  <c r="M171" i="16" s="1"/>
  <c r="N171" i="16" s="1"/>
  <c r="O171" i="16" s="1"/>
  <c r="P171" i="16" s="1"/>
  <c r="Q171" i="16" s="1"/>
  <c r="R171" i="16" s="1"/>
  <c r="S171" i="16" s="1"/>
  <c r="T171" i="16" s="1"/>
  <c r="U171" i="16" s="1"/>
  <c r="V171" i="16" s="1"/>
  <c r="W171" i="16" s="1"/>
  <c r="X171" i="16" s="1"/>
  <c r="Y171" i="16" s="1"/>
  <c r="Z171" i="16" s="1"/>
  <c r="AA171" i="16" s="1"/>
  <c r="AB171" i="16" s="1"/>
  <c r="AC171" i="16" s="1"/>
  <c r="AD171" i="16" s="1"/>
  <c r="AE171" i="16" s="1"/>
  <c r="AF171" i="16" s="1"/>
  <c r="K166" i="16"/>
  <c r="L166" i="16" s="1"/>
  <c r="M166" i="16" s="1"/>
  <c r="N166" i="16" s="1"/>
  <c r="O166" i="16" s="1"/>
  <c r="P166" i="16" s="1"/>
  <c r="Q166" i="16" s="1"/>
  <c r="R166" i="16" s="1"/>
  <c r="S166" i="16" s="1"/>
  <c r="T166" i="16" s="1"/>
  <c r="U166" i="16" s="1"/>
  <c r="V166" i="16" s="1"/>
  <c r="W166" i="16" s="1"/>
  <c r="X166" i="16" s="1"/>
  <c r="Y166" i="16" s="1"/>
  <c r="Z166" i="16" s="1"/>
  <c r="AA166" i="16" s="1"/>
  <c r="AB166" i="16" s="1"/>
  <c r="AC166" i="16" s="1"/>
  <c r="AD166" i="16" s="1"/>
  <c r="AE166" i="16" s="1"/>
  <c r="AF166" i="16" s="1"/>
  <c r="H158" i="16"/>
  <c r="I158" i="16" s="1"/>
  <c r="J158" i="16" s="1"/>
  <c r="K158" i="16" s="1"/>
  <c r="L158" i="16" s="1"/>
  <c r="M158" i="16" s="1"/>
  <c r="N158" i="16" s="1"/>
  <c r="O158" i="16" s="1"/>
  <c r="P158" i="16" s="1"/>
  <c r="Q158" i="16" s="1"/>
  <c r="R158" i="16" s="1"/>
  <c r="S158" i="16" s="1"/>
  <c r="T158" i="16" s="1"/>
  <c r="U158" i="16" s="1"/>
  <c r="V158" i="16" s="1"/>
  <c r="W158" i="16" s="1"/>
  <c r="X158" i="16" s="1"/>
  <c r="Y158" i="16" s="1"/>
  <c r="Z158" i="16" s="1"/>
  <c r="AA158" i="16" s="1"/>
  <c r="AB158" i="16" s="1"/>
  <c r="AC158" i="16" s="1"/>
  <c r="AD158" i="16" s="1"/>
  <c r="AE158" i="16" s="1"/>
  <c r="AF158" i="16" s="1"/>
  <c r="H154" i="16"/>
  <c r="I154" i="16" s="1"/>
  <c r="J154" i="16" s="1"/>
  <c r="K154" i="16" s="1"/>
  <c r="L154" i="16" s="1"/>
  <c r="M154" i="16" s="1"/>
  <c r="N154" i="16" s="1"/>
  <c r="O154" i="16" s="1"/>
  <c r="P154" i="16" s="1"/>
  <c r="Q154" i="16" s="1"/>
  <c r="R154" i="16" s="1"/>
  <c r="S154" i="16" s="1"/>
  <c r="T154" i="16" s="1"/>
  <c r="U154" i="16" s="1"/>
  <c r="V154" i="16" s="1"/>
  <c r="W154" i="16" s="1"/>
  <c r="X154" i="16" s="1"/>
  <c r="Y154" i="16" s="1"/>
  <c r="Z154" i="16" s="1"/>
  <c r="AA154" i="16" s="1"/>
  <c r="AB154" i="16" s="1"/>
  <c r="AC154" i="16" s="1"/>
  <c r="AD154" i="16" s="1"/>
  <c r="AE154" i="16" s="1"/>
  <c r="AF154" i="16" s="1"/>
  <c r="H153" i="16"/>
  <c r="I153" i="16" s="1"/>
  <c r="J153" i="16" s="1"/>
  <c r="K153" i="16" s="1"/>
  <c r="L153" i="16" s="1"/>
  <c r="M153" i="16" s="1"/>
  <c r="N153" i="16" s="1"/>
  <c r="O153" i="16" s="1"/>
  <c r="P153" i="16" s="1"/>
  <c r="Q153" i="16" s="1"/>
  <c r="R153" i="16" s="1"/>
  <c r="S153" i="16" s="1"/>
  <c r="T153" i="16" s="1"/>
  <c r="U153" i="16" s="1"/>
  <c r="V153" i="16" s="1"/>
  <c r="W153" i="16" s="1"/>
  <c r="X153" i="16" s="1"/>
  <c r="Y153" i="16" s="1"/>
  <c r="Z153" i="16" s="1"/>
  <c r="AA153" i="16" s="1"/>
  <c r="AB153" i="16" s="1"/>
  <c r="AC153" i="16" s="1"/>
  <c r="AD153" i="16" s="1"/>
  <c r="AE153" i="16" s="1"/>
  <c r="AF153" i="16" s="1"/>
  <c r="H167" i="16"/>
  <c r="I167" i="16" s="1"/>
  <c r="J167" i="16" s="1"/>
  <c r="K167" i="16" s="1"/>
  <c r="L167" i="16" s="1"/>
  <c r="M167" i="16" s="1"/>
  <c r="N167" i="16" s="1"/>
  <c r="O167" i="16" s="1"/>
  <c r="P167" i="16" s="1"/>
  <c r="Q167" i="16" s="1"/>
  <c r="R167" i="16" s="1"/>
  <c r="S167" i="16" s="1"/>
  <c r="T167" i="16" s="1"/>
  <c r="U167" i="16" s="1"/>
  <c r="V167" i="16" s="1"/>
  <c r="W167" i="16" s="1"/>
  <c r="X167" i="16" s="1"/>
  <c r="Y167" i="16" s="1"/>
  <c r="Z167" i="16" s="1"/>
  <c r="AA167" i="16" s="1"/>
  <c r="AB167" i="16" s="1"/>
  <c r="AC167" i="16" s="1"/>
  <c r="AD167" i="16" s="1"/>
  <c r="AE167" i="16" s="1"/>
  <c r="AF167" i="16" s="1"/>
  <c r="K170" i="16"/>
  <c r="L170" i="16" s="1"/>
  <c r="M170" i="16" s="1"/>
  <c r="N170" i="16" s="1"/>
  <c r="O170" i="16" s="1"/>
  <c r="P170" i="16" s="1"/>
  <c r="Q170" i="16" s="1"/>
  <c r="R170" i="16" s="1"/>
  <c r="S170" i="16" s="1"/>
  <c r="T170" i="16" s="1"/>
  <c r="U170" i="16" s="1"/>
  <c r="V170" i="16" s="1"/>
  <c r="W170" i="16" s="1"/>
  <c r="X170" i="16" s="1"/>
  <c r="Y170" i="16" s="1"/>
  <c r="Z170" i="16" s="1"/>
  <c r="AA170" i="16" s="1"/>
  <c r="AB170" i="16" s="1"/>
  <c r="AC170" i="16" s="1"/>
  <c r="AD170" i="16" s="1"/>
  <c r="AE170" i="16" s="1"/>
  <c r="AF170" i="16" s="1"/>
  <c r="K162" i="16"/>
  <c r="L162" i="16" s="1"/>
  <c r="M162" i="16" s="1"/>
  <c r="N162" i="16" s="1"/>
  <c r="O162" i="16" s="1"/>
  <c r="P162" i="16" s="1"/>
  <c r="Q162" i="16" s="1"/>
  <c r="R162" i="16" s="1"/>
  <c r="S162" i="16" s="1"/>
  <c r="T162" i="16" s="1"/>
  <c r="U162" i="16" s="1"/>
  <c r="V162" i="16" s="1"/>
  <c r="W162" i="16" s="1"/>
  <c r="X162" i="16" s="1"/>
  <c r="Y162" i="16" s="1"/>
  <c r="Z162" i="16" s="1"/>
  <c r="AA162" i="16" s="1"/>
  <c r="AB162" i="16" s="1"/>
  <c r="AC162" i="16" s="1"/>
  <c r="AD162" i="16" s="1"/>
  <c r="AE162" i="16" s="1"/>
  <c r="AF162" i="16" s="1"/>
  <c r="I169" i="16"/>
  <c r="J169" i="16" s="1"/>
  <c r="K169" i="16" s="1"/>
  <c r="L169" i="16" s="1"/>
  <c r="M169" i="16" s="1"/>
  <c r="N169" i="16" s="1"/>
  <c r="O169" i="16" s="1"/>
  <c r="P169" i="16" s="1"/>
  <c r="Q169" i="16" s="1"/>
  <c r="R169" i="16" s="1"/>
  <c r="S169" i="16" s="1"/>
  <c r="T169" i="16" s="1"/>
  <c r="U169" i="16" s="1"/>
  <c r="V169" i="16" s="1"/>
  <c r="W169" i="16" s="1"/>
  <c r="X169" i="16" s="1"/>
  <c r="Y169" i="16" s="1"/>
  <c r="Z169" i="16" s="1"/>
  <c r="AA169" i="16" s="1"/>
  <c r="AB169" i="16" s="1"/>
  <c r="AC169" i="16" s="1"/>
  <c r="AD169" i="16" s="1"/>
  <c r="AE169" i="16" s="1"/>
  <c r="AF169" i="16" s="1"/>
  <c r="I165" i="16"/>
  <c r="J165" i="16" s="1"/>
  <c r="K165" i="16" s="1"/>
  <c r="L165" i="16" s="1"/>
  <c r="M165" i="16" s="1"/>
  <c r="N165" i="16" s="1"/>
  <c r="O165" i="16" s="1"/>
  <c r="P165" i="16" s="1"/>
  <c r="Q165" i="16" s="1"/>
  <c r="R165" i="16" s="1"/>
  <c r="S165" i="16" s="1"/>
  <c r="T165" i="16" s="1"/>
  <c r="U165" i="16" s="1"/>
  <c r="V165" i="16" s="1"/>
  <c r="W165" i="16" s="1"/>
  <c r="X165" i="16" s="1"/>
  <c r="Y165" i="16" s="1"/>
  <c r="Z165" i="16" s="1"/>
  <c r="AA165" i="16" s="1"/>
  <c r="AB165" i="16" s="1"/>
  <c r="AC165" i="16" s="1"/>
  <c r="AD165" i="16" s="1"/>
  <c r="AE165" i="16" s="1"/>
  <c r="AF165" i="16" s="1"/>
  <c r="I161" i="16"/>
  <c r="J161" i="16" s="1"/>
  <c r="K161" i="16" s="1"/>
  <c r="L161" i="16" s="1"/>
  <c r="M161" i="16" s="1"/>
  <c r="N161" i="16" s="1"/>
  <c r="O161" i="16" s="1"/>
  <c r="P161" i="16" s="1"/>
  <c r="Q161" i="16" s="1"/>
  <c r="R161" i="16" s="1"/>
  <c r="S161" i="16" s="1"/>
  <c r="T161" i="16" s="1"/>
  <c r="U161" i="16" s="1"/>
  <c r="V161" i="16" s="1"/>
  <c r="W161" i="16" s="1"/>
  <c r="X161" i="16" s="1"/>
  <c r="Y161" i="16" s="1"/>
  <c r="Z161" i="16" s="1"/>
  <c r="AA161" i="16" s="1"/>
  <c r="AB161" i="16" s="1"/>
  <c r="AC161" i="16" s="1"/>
  <c r="AD161" i="16" s="1"/>
  <c r="AE161" i="16" s="1"/>
  <c r="AF161" i="16" s="1"/>
  <c r="E20" i="16"/>
  <c r="F20" i="16" s="1"/>
  <c r="G20" i="16" s="1"/>
  <c r="H20" i="16" s="1"/>
  <c r="I20" i="16" s="1"/>
  <c r="J20" i="16" s="1"/>
  <c r="K20" i="16" s="1"/>
  <c r="L20" i="16" s="1"/>
  <c r="M20" i="16" s="1"/>
  <c r="N20" i="16" s="1"/>
  <c r="O20" i="16" s="1"/>
  <c r="P20" i="16" s="1"/>
  <c r="Q20" i="16" s="1"/>
  <c r="R20" i="16" s="1"/>
  <c r="S20" i="16" s="1"/>
  <c r="T20" i="16" s="1"/>
  <c r="U20" i="16" s="1"/>
  <c r="V20" i="16" s="1"/>
  <c r="W20" i="16" s="1"/>
  <c r="X20" i="16" s="1"/>
  <c r="Y20" i="16" s="1"/>
  <c r="Z20" i="16" s="1"/>
  <c r="AA20" i="16" s="1"/>
  <c r="AB20" i="16" s="1"/>
  <c r="AC20" i="16" s="1"/>
  <c r="AD20" i="16" s="1"/>
  <c r="AE20" i="16" s="1"/>
  <c r="AF20" i="16" s="1"/>
  <c r="E15" i="16"/>
  <c r="F15" i="16" s="1"/>
  <c r="G15" i="16" s="1"/>
  <c r="H15" i="16" s="1"/>
  <c r="I15" i="16" s="1"/>
  <c r="J15" i="16" s="1"/>
  <c r="K15" i="16" s="1"/>
  <c r="L15" i="16" s="1"/>
  <c r="M15" i="16" s="1"/>
  <c r="N15" i="16" s="1"/>
  <c r="O15" i="16" s="1"/>
  <c r="P15" i="16" s="1"/>
  <c r="Q15" i="16" s="1"/>
  <c r="R15" i="16" s="1"/>
  <c r="S15" i="16" s="1"/>
  <c r="T15" i="16" s="1"/>
  <c r="U15" i="16" s="1"/>
  <c r="V15" i="16" s="1"/>
  <c r="W15" i="16" s="1"/>
  <c r="X15" i="16" s="1"/>
  <c r="Y15" i="16" s="1"/>
  <c r="Z15" i="16" s="1"/>
  <c r="AA15" i="16" s="1"/>
  <c r="AB15" i="16" s="1"/>
  <c r="AC15" i="16" s="1"/>
  <c r="AD15" i="16" s="1"/>
  <c r="AE15" i="16" s="1"/>
  <c r="AF15" i="16" s="1"/>
  <c r="E23" i="16"/>
  <c r="F23" i="16" s="1"/>
  <c r="G23" i="16" s="1"/>
  <c r="H23" i="16" s="1"/>
  <c r="I23" i="16" s="1"/>
  <c r="J23" i="16" s="1"/>
  <c r="K23" i="16" s="1"/>
  <c r="L23" i="16" s="1"/>
  <c r="M23" i="16" s="1"/>
  <c r="N23" i="16" s="1"/>
  <c r="O23" i="16" s="1"/>
  <c r="P23" i="16" s="1"/>
  <c r="Q23" i="16" s="1"/>
  <c r="R23" i="16" s="1"/>
  <c r="S23" i="16" s="1"/>
  <c r="T23" i="16" s="1"/>
  <c r="U23" i="16" s="1"/>
  <c r="V23" i="16" s="1"/>
  <c r="W23" i="16" s="1"/>
  <c r="X23" i="16" s="1"/>
  <c r="Y23" i="16" s="1"/>
  <c r="Z23" i="16" s="1"/>
  <c r="AA23" i="16" s="1"/>
  <c r="AB23" i="16" s="1"/>
  <c r="AC23" i="16" s="1"/>
  <c r="AD23" i="16" s="1"/>
  <c r="AE23" i="16" s="1"/>
  <c r="AF23" i="16" s="1"/>
  <c r="E14" i="16"/>
  <c r="F14" i="16" s="1"/>
  <c r="G14" i="16" s="1"/>
  <c r="H14" i="16" s="1"/>
  <c r="I14" i="16" s="1"/>
  <c r="J14" i="16" s="1"/>
  <c r="K14" i="16" s="1"/>
  <c r="L14" i="16" s="1"/>
  <c r="M14" i="16" s="1"/>
  <c r="N14" i="16" s="1"/>
  <c r="O14" i="16" s="1"/>
  <c r="P14" i="16" s="1"/>
  <c r="Q14" i="16" s="1"/>
  <c r="R14" i="16" s="1"/>
  <c r="S14" i="16" s="1"/>
  <c r="T14" i="16" s="1"/>
  <c r="U14" i="16" s="1"/>
  <c r="V14" i="16" s="1"/>
  <c r="W14" i="16" s="1"/>
  <c r="X14" i="16" s="1"/>
  <c r="Y14" i="16" s="1"/>
  <c r="Z14" i="16" s="1"/>
  <c r="AA14" i="16" s="1"/>
  <c r="AB14" i="16" s="1"/>
  <c r="AC14" i="16" s="1"/>
  <c r="AD14" i="16" s="1"/>
  <c r="AE14" i="16" s="1"/>
  <c r="AF14" i="16" s="1"/>
  <c r="E26" i="16"/>
  <c r="F26" i="16" s="1"/>
  <c r="G26" i="16" s="1"/>
  <c r="H26" i="16" s="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AC26" i="16" s="1"/>
  <c r="AD26" i="16" s="1"/>
  <c r="AE26" i="16" s="1"/>
  <c r="AF26" i="16" s="1"/>
  <c r="E18" i="16"/>
  <c r="F18" i="16" s="1"/>
  <c r="G18" i="16" s="1"/>
  <c r="H18" i="16" s="1"/>
  <c r="I18" i="16" s="1"/>
  <c r="J18" i="16" s="1"/>
  <c r="K18" i="16" s="1"/>
  <c r="L18" i="16" s="1"/>
  <c r="M18" i="16" s="1"/>
  <c r="N18" i="16" s="1"/>
  <c r="O18" i="16" s="1"/>
  <c r="P18" i="16" s="1"/>
  <c r="Q18" i="16" s="1"/>
  <c r="R18" i="16" s="1"/>
  <c r="S18" i="16" s="1"/>
  <c r="T18" i="16" s="1"/>
  <c r="U18" i="16" s="1"/>
  <c r="V18" i="16" s="1"/>
  <c r="W18" i="16" s="1"/>
  <c r="X18" i="16" s="1"/>
  <c r="Y18" i="16" s="1"/>
  <c r="Z18" i="16" s="1"/>
  <c r="AA18" i="16" s="1"/>
  <c r="AB18" i="16" s="1"/>
  <c r="AC18" i="16" s="1"/>
  <c r="AD18" i="16" s="1"/>
  <c r="AE18" i="16" s="1"/>
  <c r="AF18" i="16" s="1"/>
  <c r="E17" i="16"/>
  <c r="F17" i="16" s="1"/>
  <c r="G17" i="16" s="1"/>
  <c r="H17" i="16" s="1"/>
  <c r="I17" i="16" s="1"/>
  <c r="J17" i="16" s="1"/>
  <c r="K17" i="16" s="1"/>
  <c r="L17" i="16" s="1"/>
  <c r="M17" i="16" s="1"/>
  <c r="N17" i="16" s="1"/>
  <c r="O17" i="16" s="1"/>
  <c r="P17" i="16" s="1"/>
  <c r="Q17" i="16" s="1"/>
  <c r="R17" i="16" s="1"/>
  <c r="S17" i="16" s="1"/>
  <c r="T17" i="16" s="1"/>
  <c r="U17" i="16" s="1"/>
  <c r="V17" i="16" s="1"/>
  <c r="W17" i="16" s="1"/>
  <c r="X17" i="16" s="1"/>
  <c r="Y17" i="16" s="1"/>
  <c r="Z17" i="16" s="1"/>
  <c r="AA17" i="16" s="1"/>
  <c r="AB17" i="16" s="1"/>
  <c r="AC17" i="16" s="1"/>
  <c r="AD17" i="16" s="1"/>
  <c r="AE17" i="16" s="1"/>
  <c r="AF17" i="16" s="1"/>
  <c r="E13" i="16"/>
  <c r="F13" i="16" s="1"/>
  <c r="G13" i="16" s="1"/>
  <c r="H13" i="16" s="1"/>
  <c r="I13" i="16" s="1"/>
  <c r="J13" i="16" s="1"/>
  <c r="K13" i="16" s="1"/>
  <c r="L13" i="16" s="1"/>
  <c r="M13" i="16" s="1"/>
  <c r="N13" i="16" s="1"/>
  <c r="O13" i="16" s="1"/>
  <c r="P13" i="16" s="1"/>
  <c r="Q13" i="16" s="1"/>
  <c r="R13" i="16" s="1"/>
  <c r="S13" i="16" s="1"/>
  <c r="T13" i="16" s="1"/>
  <c r="U13" i="16" s="1"/>
  <c r="V13" i="16" s="1"/>
  <c r="W13" i="16" s="1"/>
  <c r="X13" i="16" s="1"/>
  <c r="Y13" i="16" s="1"/>
  <c r="Z13" i="16" s="1"/>
  <c r="AA13" i="16" s="1"/>
  <c r="AB13" i="16" s="1"/>
  <c r="AC13" i="16" s="1"/>
  <c r="AD13" i="16" s="1"/>
  <c r="AE13" i="16" s="1"/>
  <c r="AF13" i="16" s="1"/>
  <c r="E21" i="16"/>
  <c r="F21" i="16" s="1"/>
  <c r="G21" i="16" s="1"/>
  <c r="H21" i="16" s="1"/>
  <c r="I21" i="16" s="1"/>
  <c r="J21" i="16" s="1"/>
  <c r="K21" i="16" s="1"/>
  <c r="L21" i="16" s="1"/>
  <c r="M21" i="16" s="1"/>
  <c r="N21" i="16" s="1"/>
  <c r="O21" i="16" s="1"/>
  <c r="P21" i="16" s="1"/>
  <c r="Q21" i="16" s="1"/>
  <c r="R21" i="16" s="1"/>
  <c r="S21" i="16" s="1"/>
  <c r="T21" i="16" s="1"/>
  <c r="U21" i="16" s="1"/>
  <c r="V21" i="16" s="1"/>
  <c r="W21" i="16" s="1"/>
  <c r="X21" i="16" s="1"/>
  <c r="Y21" i="16" s="1"/>
  <c r="Z21" i="16" s="1"/>
  <c r="AA21" i="16" s="1"/>
  <c r="AB21" i="16" s="1"/>
  <c r="AC21" i="16" s="1"/>
  <c r="AD21" i="16" s="1"/>
  <c r="AE21" i="16" s="1"/>
  <c r="AF21" i="16" s="1"/>
  <c r="F5" i="16"/>
  <c r="E25" i="16"/>
  <c r="F25" i="16" s="1"/>
  <c r="G25" i="16" s="1"/>
  <c r="H25" i="16" s="1"/>
  <c r="I25" i="16" s="1"/>
  <c r="J25" i="16" s="1"/>
  <c r="K25" i="16" s="1"/>
  <c r="L25" i="16" s="1"/>
  <c r="M25" i="16" s="1"/>
  <c r="N25" i="16" s="1"/>
  <c r="O25" i="16" s="1"/>
  <c r="P25" i="16" s="1"/>
  <c r="Q25" i="16" s="1"/>
  <c r="R25" i="16" s="1"/>
  <c r="S25" i="16" s="1"/>
  <c r="T25" i="16" s="1"/>
  <c r="U25" i="16" s="1"/>
  <c r="V25" i="16" s="1"/>
  <c r="W25" i="16" s="1"/>
  <c r="X25" i="16" s="1"/>
  <c r="Y25" i="16" s="1"/>
  <c r="Z25" i="16" s="1"/>
  <c r="AA25" i="16" s="1"/>
  <c r="AB25" i="16" s="1"/>
  <c r="AC25" i="16" s="1"/>
  <c r="AD25" i="16" s="1"/>
  <c r="AE25" i="16" s="1"/>
  <c r="AF25" i="16" s="1"/>
  <c r="E12" i="16"/>
  <c r="F12" i="16" s="1"/>
  <c r="G12" i="16" s="1"/>
  <c r="H12" i="16" s="1"/>
  <c r="I12" i="16" s="1"/>
  <c r="J12" i="16" s="1"/>
  <c r="K12" i="16" s="1"/>
  <c r="L12" i="16" s="1"/>
  <c r="M12" i="16" s="1"/>
  <c r="N12" i="16" s="1"/>
  <c r="O12" i="16" s="1"/>
  <c r="P12" i="16" s="1"/>
  <c r="Q12" i="16" s="1"/>
  <c r="R12" i="16" s="1"/>
  <c r="S12" i="16" s="1"/>
  <c r="T12" i="16" s="1"/>
  <c r="U12" i="16" s="1"/>
  <c r="V12" i="16" s="1"/>
  <c r="W12" i="16" s="1"/>
  <c r="X12" i="16" s="1"/>
  <c r="Y12" i="16" s="1"/>
  <c r="Z12" i="16" s="1"/>
  <c r="AA12" i="16" s="1"/>
  <c r="AB12" i="16" s="1"/>
  <c r="AC12" i="16" s="1"/>
  <c r="AD12" i="16" s="1"/>
  <c r="AE12" i="16" s="1"/>
  <c r="AF12" i="16" s="1"/>
  <c r="E32" i="16"/>
  <c r="F32" i="16" s="1"/>
  <c r="G32" i="16" s="1"/>
  <c r="H32" i="16" s="1"/>
  <c r="I32" i="16" s="1"/>
  <c r="J32" i="16" s="1"/>
  <c r="K32" i="16" s="1"/>
  <c r="L32" i="16" s="1"/>
  <c r="M32" i="16" s="1"/>
  <c r="N32" i="16" s="1"/>
  <c r="O32" i="16" s="1"/>
  <c r="P32" i="16" s="1"/>
  <c r="Q32" i="16" s="1"/>
  <c r="R32" i="16" s="1"/>
  <c r="S32" i="16" s="1"/>
  <c r="T32" i="16" s="1"/>
  <c r="U32" i="16" s="1"/>
  <c r="V32" i="16" s="1"/>
  <c r="W32" i="16" s="1"/>
  <c r="X32" i="16" s="1"/>
  <c r="Y32" i="16" s="1"/>
  <c r="Z32" i="16" s="1"/>
  <c r="AA32" i="16" s="1"/>
  <c r="AB32" i="16" s="1"/>
  <c r="AC32" i="16" s="1"/>
  <c r="AD32" i="16" s="1"/>
  <c r="AE32" i="16" s="1"/>
  <c r="AF32" i="16" s="1"/>
  <c r="E24" i="16"/>
  <c r="F24" i="16" s="1"/>
  <c r="G24" i="16" s="1"/>
  <c r="H24" i="16" s="1"/>
  <c r="I24" i="16" s="1"/>
  <c r="J24" i="16" s="1"/>
  <c r="K24" i="16" s="1"/>
  <c r="L24" i="16" s="1"/>
  <c r="M24" i="16" s="1"/>
  <c r="N24" i="16" s="1"/>
  <c r="O24" i="16" s="1"/>
  <c r="P24" i="16" s="1"/>
  <c r="Q24" i="16" s="1"/>
  <c r="R24" i="16" s="1"/>
  <c r="S24" i="16" s="1"/>
  <c r="T24" i="16" s="1"/>
  <c r="U24" i="16" s="1"/>
  <c r="V24" i="16" s="1"/>
  <c r="W24" i="16" s="1"/>
  <c r="X24" i="16" s="1"/>
  <c r="Y24" i="16" s="1"/>
  <c r="Z24" i="16" s="1"/>
  <c r="AA24" i="16" s="1"/>
  <c r="AB24" i="16" s="1"/>
  <c r="AC24" i="16" s="1"/>
  <c r="AD24" i="16" s="1"/>
  <c r="AE24" i="16" s="1"/>
  <c r="AF24" i="16" s="1"/>
  <c r="E28" i="16"/>
  <c r="F28" i="16" s="1"/>
  <c r="G28" i="16" s="1"/>
  <c r="H28" i="16" s="1"/>
  <c r="I28" i="16" s="1"/>
  <c r="J28" i="16" s="1"/>
  <c r="K28" i="16" s="1"/>
  <c r="L28" i="16" s="1"/>
  <c r="M28" i="16" s="1"/>
  <c r="N28" i="16" s="1"/>
  <c r="O28" i="16" s="1"/>
  <c r="P28" i="16" s="1"/>
  <c r="Q28" i="16" s="1"/>
  <c r="R28" i="16" s="1"/>
  <c r="S28" i="16" s="1"/>
  <c r="T28" i="16" s="1"/>
  <c r="U28" i="16" s="1"/>
  <c r="V28" i="16" s="1"/>
  <c r="W28" i="16" s="1"/>
  <c r="X28" i="16" s="1"/>
  <c r="Y28" i="16" s="1"/>
  <c r="Z28" i="16" s="1"/>
  <c r="AA28" i="16" s="1"/>
  <c r="AB28" i="16" s="1"/>
  <c r="AC28" i="16" s="1"/>
  <c r="AD28" i="16" s="1"/>
  <c r="AE28" i="16" s="1"/>
  <c r="AF28" i="16" s="1"/>
  <c r="E11" i="16"/>
  <c r="F11" i="16" s="1"/>
  <c r="G11" i="16" s="1"/>
  <c r="H11" i="16" s="1"/>
  <c r="I11" i="16" s="1"/>
  <c r="J11" i="16" s="1"/>
  <c r="K11" i="16" s="1"/>
  <c r="L11" i="16" s="1"/>
  <c r="M11" i="16" s="1"/>
  <c r="N11" i="16" s="1"/>
  <c r="O11" i="16" s="1"/>
  <c r="P11" i="16" s="1"/>
  <c r="Q11" i="16" s="1"/>
  <c r="R11" i="16" s="1"/>
  <c r="S11" i="16" s="1"/>
  <c r="T11" i="16" s="1"/>
  <c r="U11" i="16" s="1"/>
  <c r="V11" i="16" s="1"/>
  <c r="W11" i="16" s="1"/>
  <c r="X11" i="16" s="1"/>
  <c r="Y11" i="16" s="1"/>
  <c r="Z11" i="16" s="1"/>
  <c r="AA11" i="16" s="1"/>
  <c r="AB11" i="16" s="1"/>
  <c r="AC11" i="16" s="1"/>
  <c r="AD11" i="16" s="1"/>
  <c r="AE11" i="16" s="1"/>
  <c r="AF11" i="16" s="1"/>
  <c r="E27" i="16"/>
  <c r="F27" i="16" s="1"/>
  <c r="G27" i="16" s="1"/>
  <c r="H27" i="16" s="1"/>
  <c r="I27" i="16" s="1"/>
  <c r="J27" i="16" s="1"/>
  <c r="K27" i="16" s="1"/>
  <c r="L27" i="16" s="1"/>
  <c r="M27" i="16" s="1"/>
  <c r="N27" i="16" s="1"/>
  <c r="O27" i="16" s="1"/>
  <c r="P27" i="16" s="1"/>
  <c r="Q27" i="16" s="1"/>
  <c r="R27" i="16" s="1"/>
  <c r="S27" i="16" s="1"/>
  <c r="T27" i="16" s="1"/>
  <c r="U27" i="16" s="1"/>
  <c r="V27" i="16" s="1"/>
  <c r="W27" i="16" s="1"/>
  <c r="X27" i="16" s="1"/>
  <c r="Y27" i="16" s="1"/>
  <c r="Z27" i="16" s="1"/>
  <c r="AA27" i="16" s="1"/>
  <c r="AB27" i="16" s="1"/>
  <c r="AC27" i="16" s="1"/>
  <c r="AD27" i="16" s="1"/>
  <c r="AE27" i="16" s="1"/>
  <c r="AF27" i="16" s="1"/>
  <c r="E19" i="16"/>
  <c r="F19" i="16" s="1"/>
  <c r="G19" i="16" s="1"/>
  <c r="H19" i="16" s="1"/>
  <c r="I19" i="16" s="1"/>
  <c r="J19" i="16" s="1"/>
  <c r="K19" i="16" s="1"/>
  <c r="L19" i="16" s="1"/>
  <c r="M19" i="16" s="1"/>
  <c r="N19" i="16" s="1"/>
  <c r="O19" i="16" s="1"/>
  <c r="P19" i="16" s="1"/>
  <c r="Q19" i="16" s="1"/>
  <c r="R19" i="16" s="1"/>
  <c r="S19" i="16" s="1"/>
  <c r="T19" i="16" s="1"/>
  <c r="U19" i="16" s="1"/>
  <c r="V19" i="16" s="1"/>
  <c r="W19" i="16" s="1"/>
  <c r="X19" i="16" s="1"/>
  <c r="Y19" i="16" s="1"/>
  <c r="Z19" i="16" s="1"/>
  <c r="AA19" i="16" s="1"/>
  <c r="AB19" i="16" s="1"/>
  <c r="AC19" i="16" s="1"/>
  <c r="AD19" i="16" s="1"/>
  <c r="AE19" i="16" s="1"/>
  <c r="AF19" i="16" s="1"/>
  <c r="H10" i="16"/>
  <c r="I10" i="16" s="1"/>
  <c r="J10" i="16" s="1"/>
  <c r="K10" i="16" s="1"/>
  <c r="L10" i="16" s="1"/>
  <c r="M10" i="16" s="1"/>
  <c r="N10" i="16" s="1"/>
  <c r="O10" i="16" s="1"/>
  <c r="P10" i="16" s="1"/>
  <c r="Q10" i="16" s="1"/>
  <c r="R10" i="16" s="1"/>
  <c r="S10" i="16" s="1"/>
  <c r="T10" i="16" s="1"/>
  <c r="U10" i="16" s="1"/>
  <c r="V10" i="16" s="1"/>
  <c r="W10" i="16" s="1"/>
  <c r="X10" i="16" s="1"/>
  <c r="Y10" i="16" s="1"/>
  <c r="Z10" i="16" s="1"/>
  <c r="AA10" i="16" s="1"/>
  <c r="AB10" i="16" s="1"/>
  <c r="AC10" i="16" s="1"/>
  <c r="AD10" i="16" s="1"/>
  <c r="AE10" i="16" s="1"/>
  <c r="AF10" i="16" s="1"/>
  <c r="E22" i="16"/>
  <c r="F22" i="16" s="1"/>
  <c r="G22" i="16" s="1"/>
  <c r="H22" i="16" s="1"/>
  <c r="I22" i="16" s="1"/>
  <c r="J22" i="16" s="1"/>
  <c r="K22" i="16" s="1"/>
  <c r="L22" i="16" s="1"/>
  <c r="M22" i="16" s="1"/>
  <c r="N22" i="16" s="1"/>
  <c r="O22" i="16" s="1"/>
  <c r="P22" i="16" s="1"/>
  <c r="Q22" i="16" s="1"/>
  <c r="R22" i="16" s="1"/>
  <c r="S22" i="16" s="1"/>
  <c r="T22" i="16" s="1"/>
  <c r="U22" i="16" s="1"/>
  <c r="V22" i="16" s="1"/>
  <c r="W22" i="16" s="1"/>
  <c r="X22" i="16" s="1"/>
  <c r="Y22" i="16" s="1"/>
  <c r="Z22" i="16" s="1"/>
  <c r="AA22" i="16" s="1"/>
  <c r="AB22" i="16" s="1"/>
  <c r="AC22" i="16" s="1"/>
  <c r="AD22" i="16" s="1"/>
  <c r="AE22" i="16" s="1"/>
  <c r="AF22" i="16" s="1"/>
  <c r="F4" i="13"/>
  <c r="F5" i="13"/>
  <c r="G5" i="13" s="1"/>
  <c r="C52" i="13" s="1"/>
  <c r="D59" i="16" s="1"/>
  <c r="D149" i="16" s="1"/>
  <c r="E149" i="16" s="1"/>
  <c r="F149" i="16" s="1"/>
  <c r="G149" i="16" s="1"/>
  <c r="H149" i="16" s="1"/>
  <c r="I149" i="16" s="1"/>
  <c r="J149" i="16" s="1"/>
  <c r="K149" i="16" s="1"/>
  <c r="L149" i="16" s="1"/>
  <c r="M149" i="16" s="1"/>
  <c r="N149" i="16" s="1"/>
  <c r="O149" i="16" s="1"/>
  <c r="P149" i="16" s="1"/>
  <c r="Q149" i="16" s="1"/>
  <c r="R149" i="16" s="1"/>
  <c r="S149" i="16" s="1"/>
  <c r="T149" i="16" s="1"/>
  <c r="U149" i="16" s="1"/>
  <c r="V149" i="16" s="1"/>
  <c r="W149" i="16" s="1"/>
  <c r="X149" i="16" s="1"/>
  <c r="Y149" i="16" s="1"/>
  <c r="Z149" i="16" s="1"/>
  <c r="AA149" i="16" s="1"/>
  <c r="AB149" i="16" s="1"/>
  <c r="AC149" i="16" s="1"/>
  <c r="AD149" i="16" s="1"/>
  <c r="AE149" i="16" s="1"/>
  <c r="AF149" i="16" s="1"/>
  <c r="F6" i="13"/>
  <c r="G6" i="13" s="1"/>
  <c r="C53" i="13" s="1"/>
  <c r="D60" i="16" s="1"/>
  <c r="D150" i="16" s="1"/>
  <c r="E150" i="16" s="1"/>
  <c r="F150" i="16" s="1"/>
  <c r="G150" i="16" s="1"/>
  <c r="H150" i="16" s="1"/>
  <c r="I150" i="16" s="1"/>
  <c r="J150" i="16" s="1"/>
  <c r="K150" i="16" s="1"/>
  <c r="L150" i="16" s="1"/>
  <c r="M150" i="16" s="1"/>
  <c r="N150" i="16" s="1"/>
  <c r="O150" i="16" s="1"/>
  <c r="P150" i="16" s="1"/>
  <c r="Q150" i="16" s="1"/>
  <c r="R150" i="16" s="1"/>
  <c r="S150" i="16" s="1"/>
  <c r="T150" i="16" s="1"/>
  <c r="U150" i="16" s="1"/>
  <c r="V150" i="16" s="1"/>
  <c r="W150" i="16" s="1"/>
  <c r="X150" i="16" s="1"/>
  <c r="Y150" i="16" s="1"/>
  <c r="Z150" i="16" s="1"/>
  <c r="AA150" i="16" s="1"/>
  <c r="AB150" i="16" s="1"/>
  <c r="AC150" i="16" s="1"/>
  <c r="AD150" i="16" s="1"/>
  <c r="AE150" i="16" s="1"/>
  <c r="AF150" i="16" s="1"/>
  <c r="F7" i="13"/>
  <c r="G7" i="13" s="1"/>
  <c r="C54" i="13" s="1"/>
  <c r="D61" i="16" s="1"/>
  <c r="D151" i="16" s="1"/>
  <c r="E151" i="16" s="1"/>
  <c r="F151" i="16" s="1"/>
  <c r="G151" i="16" s="1"/>
  <c r="H151" i="16" s="1"/>
  <c r="I151" i="16" s="1"/>
  <c r="J151" i="16" s="1"/>
  <c r="K151" i="16" s="1"/>
  <c r="L151" i="16" s="1"/>
  <c r="M151" i="16" s="1"/>
  <c r="N151" i="16" s="1"/>
  <c r="O151" i="16" s="1"/>
  <c r="P151" i="16" s="1"/>
  <c r="Q151" i="16" s="1"/>
  <c r="R151" i="16" s="1"/>
  <c r="S151" i="16" s="1"/>
  <c r="T151" i="16" s="1"/>
  <c r="U151" i="16" s="1"/>
  <c r="V151" i="16" s="1"/>
  <c r="W151" i="16" s="1"/>
  <c r="X151" i="16" s="1"/>
  <c r="Y151" i="16" s="1"/>
  <c r="Z151" i="16" s="1"/>
  <c r="AA151" i="16" s="1"/>
  <c r="AB151" i="16" s="1"/>
  <c r="AC151" i="16" s="1"/>
  <c r="AD151" i="16" s="1"/>
  <c r="AE151" i="16" s="1"/>
  <c r="AF151" i="16" s="1"/>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D174" i="19"/>
  <c r="E174" i="19"/>
  <c r="F174" i="19"/>
  <c r="G174" i="19"/>
  <c r="H174" i="19"/>
  <c r="I174" i="19"/>
  <c r="J174" i="19"/>
  <c r="K174" i="19"/>
  <c r="L174" i="19"/>
  <c r="D175" i="19"/>
  <c r="E175" i="19"/>
  <c r="F175" i="19"/>
  <c r="G175" i="19"/>
  <c r="H175" i="19"/>
  <c r="I175" i="19"/>
  <c r="J175" i="19"/>
  <c r="K175" i="19"/>
  <c r="L175" i="19"/>
  <c r="D176" i="19"/>
  <c r="E176" i="19"/>
  <c r="F176" i="19"/>
  <c r="G176" i="19"/>
  <c r="H176" i="19"/>
  <c r="I176" i="19"/>
  <c r="J176" i="19"/>
  <c r="K176" i="19"/>
  <c r="L176" i="19"/>
  <c r="D177" i="19"/>
  <c r="E177" i="19"/>
  <c r="F177" i="19"/>
  <c r="G177" i="19"/>
  <c r="H177" i="19"/>
  <c r="I177" i="19"/>
  <c r="J177" i="19"/>
  <c r="K177" i="19"/>
  <c r="L177" i="19"/>
  <c r="D178" i="19"/>
  <c r="E178" i="19"/>
  <c r="F178" i="19"/>
  <c r="G178" i="19"/>
  <c r="H178" i="19"/>
  <c r="I178" i="19"/>
  <c r="J178" i="19"/>
  <c r="K178" i="19"/>
  <c r="L178" i="19"/>
  <c r="D179" i="19"/>
  <c r="E179" i="19"/>
  <c r="F179" i="19"/>
  <c r="G179" i="19"/>
  <c r="H179" i="19"/>
  <c r="I179" i="19"/>
  <c r="J179" i="19"/>
  <c r="K179" i="19"/>
  <c r="L179" i="19"/>
  <c r="D180" i="19"/>
  <c r="E180" i="19"/>
  <c r="F180" i="19"/>
  <c r="G180" i="19"/>
  <c r="H180" i="19"/>
  <c r="I180" i="19"/>
  <c r="J180" i="19"/>
  <c r="K180" i="19"/>
  <c r="L180" i="19"/>
  <c r="D181" i="19"/>
  <c r="E181" i="19"/>
  <c r="F181" i="19"/>
  <c r="G181" i="19"/>
  <c r="H181" i="19"/>
  <c r="I181" i="19"/>
  <c r="J181" i="19"/>
  <c r="K181" i="19"/>
  <c r="L181" i="19"/>
  <c r="D182" i="19"/>
  <c r="E182" i="19"/>
  <c r="F182" i="19"/>
  <c r="G182" i="19"/>
  <c r="H182" i="19"/>
  <c r="I182" i="19"/>
  <c r="J182" i="19"/>
  <c r="K182" i="19"/>
  <c r="L182" i="19"/>
  <c r="D183" i="19"/>
  <c r="E183" i="19"/>
  <c r="F183" i="19"/>
  <c r="G183" i="19"/>
  <c r="H183" i="19"/>
  <c r="I183" i="19"/>
  <c r="J183" i="19"/>
  <c r="K183" i="19"/>
  <c r="L183" i="19"/>
  <c r="D184" i="19"/>
  <c r="E184" i="19"/>
  <c r="F184" i="19"/>
  <c r="G184" i="19"/>
  <c r="H184" i="19"/>
  <c r="I184" i="19"/>
  <c r="J184" i="19"/>
  <c r="K184" i="19"/>
  <c r="L184" i="19"/>
  <c r="C175" i="19"/>
  <c r="C176" i="19"/>
  <c r="C177" i="19"/>
  <c r="C178" i="19"/>
  <c r="C179" i="19"/>
  <c r="C180" i="19"/>
  <c r="C181" i="19"/>
  <c r="C182" i="19"/>
  <c r="C183" i="19"/>
  <c r="C184" i="19"/>
  <c r="C174" i="19"/>
  <c r="B174" i="19"/>
  <c r="B173" i="19"/>
  <c r="A173" i="19"/>
  <c r="C484" i="19"/>
  <c r="A55" i="19" s="1"/>
  <c r="C483" i="19"/>
  <c r="A54" i="19" s="1"/>
  <c r="C482" i="19"/>
  <c r="C481" i="19"/>
  <c r="C480" i="19"/>
  <c r="C479" i="19"/>
  <c r="C478" i="19"/>
  <c r="A49" i="19" s="1"/>
  <c r="C477" i="19"/>
  <c r="A48" i="19" s="1"/>
  <c r="C476" i="19"/>
  <c r="A47" i="19" s="1"/>
  <c r="C475" i="19"/>
  <c r="A46" i="19" s="1"/>
  <c r="C474" i="19"/>
  <c r="AF328" i="19"/>
  <c r="AE328" i="19"/>
  <c r="AD328" i="19"/>
  <c r="AC328" i="19"/>
  <c r="AB328" i="19"/>
  <c r="AA328" i="19"/>
  <c r="Z328" i="19"/>
  <c r="Y328" i="19"/>
  <c r="X328" i="19"/>
  <c r="W328" i="19"/>
  <c r="V328" i="19"/>
  <c r="U328" i="19"/>
  <c r="T328" i="19"/>
  <c r="S328" i="19"/>
  <c r="R328" i="19"/>
  <c r="Q328" i="19"/>
  <c r="P328" i="19"/>
  <c r="O328" i="19"/>
  <c r="N328" i="19"/>
  <c r="M328" i="19"/>
  <c r="L328" i="19"/>
  <c r="K328" i="19"/>
  <c r="J328" i="19"/>
  <c r="I328" i="19"/>
  <c r="H328" i="19"/>
  <c r="G328" i="19"/>
  <c r="F328" i="19"/>
  <c r="E328" i="19"/>
  <c r="D328" i="19"/>
  <c r="C328" i="19"/>
  <c r="B328" i="19"/>
  <c r="AF327" i="19"/>
  <c r="AE327" i="19"/>
  <c r="AD327" i="19"/>
  <c r="AC327" i="19"/>
  <c r="AB327" i="19"/>
  <c r="AA327" i="19"/>
  <c r="Z327" i="19"/>
  <c r="Y327" i="19"/>
  <c r="X327" i="19"/>
  <c r="W327" i="19"/>
  <c r="V327" i="19"/>
  <c r="U327" i="19"/>
  <c r="T327" i="19"/>
  <c r="S327" i="19"/>
  <c r="R327" i="19"/>
  <c r="Q327" i="19"/>
  <c r="P327" i="19"/>
  <c r="O327" i="19"/>
  <c r="N327" i="19"/>
  <c r="M327" i="19"/>
  <c r="L327" i="19"/>
  <c r="K327" i="19"/>
  <c r="J327" i="19"/>
  <c r="I327" i="19"/>
  <c r="H327" i="19"/>
  <c r="G327" i="19"/>
  <c r="F327" i="19"/>
  <c r="E327" i="19"/>
  <c r="D327" i="19"/>
  <c r="C327" i="19"/>
  <c r="B327" i="19"/>
  <c r="AF326" i="19"/>
  <c r="AE326" i="19"/>
  <c r="AD326" i="19"/>
  <c r="AC326" i="19"/>
  <c r="AB326" i="19"/>
  <c r="AA326" i="19"/>
  <c r="Z326" i="19"/>
  <c r="Y326" i="19"/>
  <c r="X326" i="19"/>
  <c r="W326" i="19"/>
  <c r="V326" i="19"/>
  <c r="U326" i="19"/>
  <c r="T326" i="19"/>
  <c r="S326" i="19"/>
  <c r="R326" i="19"/>
  <c r="Q326" i="19"/>
  <c r="P326" i="19"/>
  <c r="O326" i="19"/>
  <c r="N326" i="19"/>
  <c r="M326" i="19"/>
  <c r="L326" i="19"/>
  <c r="K326" i="19"/>
  <c r="J326" i="19"/>
  <c r="I326" i="19"/>
  <c r="H326" i="19"/>
  <c r="G326" i="19"/>
  <c r="F326" i="19"/>
  <c r="E326" i="19"/>
  <c r="D326" i="19"/>
  <c r="C326" i="19"/>
  <c r="B326" i="19"/>
  <c r="AF325" i="19"/>
  <c r="AE325" i="19"/>
  <c r="AD325" i="19"/>
  <c r="AC325" i="19"/>
  <c r="AB325" i="19"/>
  <c r="AA325" i="19"/>
  <c r="Z325" i="19"/>
  <c r="Y325" i="19"/>
  <c r="X325" i="19"/>
  <c r="W325" i="19"/>
  <c r="V325" i="19"/>
  <c r="U325" i="19"/>
  <c r="T325" i="19"/>
  <c r="S325" i="19"/>
  <c r="R325" i="19"/>
  <c r="Q325" i="19"/>
  <c r="P325" i="19"/>
  <c r="O325" i="19"/>
  <c r="N325" i="19"/>
  <c r="M325" i="19"/>
  <c r="L325" i="19"/>
  <c r="K325" i="19"/>
  <c r="J325" i="19"/>
  <c r="I325" i="19"/>
  <c r="H325" i="19"/>
  <c r="G325" i="19"/>
  <c r="F325" i="19"/>
  <c r="E325" i="19"/>
  <c r="D325" i="19"/>
  <c r="C325" i="19"/>
  <c r="B325" i="19"/>
  <c r="AF324" i="19"/>
  <c r="AE324" i="19"/>
  <c r="AD324" i="19"/>
  <c r="AC324" i="19"/>
  <c r="AB324" i="19"/>
  <c r="AA324" i="19"/>
  <c r="Z324" i="19"/>
  <c r="Y324" i="19"/>
  <c r="X324" i="19"/>
  <c r="W324" i="19"/>
  <c r="V324" i="19"/>
  <c r="U324" i="19"/>
  <c r="T324" i="19"/>
  <c r="S324" i="19"/>
  <c r="R324" i="19"/>
  <c r="Q324" i="19"/>
  <c r="P324" i="19"/>
  <c r="O324" i="19"/>
  <c r="N324" i="19"/>
  <c r="M324" i="19"/>
  <c r="L324" i="19"/>
  <c r="K324" i="19"/>
  <c r="J324" i="19"/>
  <c r="I324" i="19"/>
  <c r="H324" i="19"/>
  <c r="G324" i="19"/>
  <c r="F324" i="19"/>
  <c r="E324" i="19"/>
  <c r="D324" i="19"/>
  <c r="C324" i="19"/>
  <c r="B324" i="19"/>
  <c r="AF323" i="19"/>
  <c r="AE323" i="19"/>
  <c r="AD323" i="19"/>
  <c r="AC323" i="19"/>
  <c r="AB323" i="19"/>
  <c r="AA323" i="19"/>
  <c r="Z323" i="19"/>
  <c r="Y323" i="19"/>
  <c r="X323" i="19"/>
  <c r="W323" i="19"/>
  <c r="V323" i="19"/>
  <c r="U323" i="19"/>
  <c r="T323" i="19"/>
  <c r="S323" i="19"/>
  <c r="R323" i="19"/>
  <c r="Q323" i="19"/>
  <c r="P323" i="19"/>
  <c r="O323" i="19"/>
  <c r="N323" i="19"/>
  <c r="M323" i="19"/>
  <c r="L323" i="19"/>
  <c r="K323" i="19"/>
  <c r="J323" i="19"/>
  <c r="I323" i="19"/>
  <c r="H323" i="19"/>
  <c r="G323" i="19"/>
  <c r="F323" i="19"/>
  <c r="E323" i="19"/>
  <c r="D323" i="19"/>
  <c r="AF322" i="19"/>
  <c r="AE322" i="19"/>
  <c r="AD322" i="19"/>
  <c r="AC322" i="19"/>
  <c r="AB322" i="19"/>
  <c r="AA322" i="19"/>
  <c r="Z322" i="19"/>
  <c r="Y322" i="19"/>
  <c r="X322" i="19"/>
  <c r="W322" i="19"/>
  <c r="V322" i="19"/>
  <c r="U322" i="19"/>
  <c r="T322" i="19"/>
  <c r="S322" i="19"/>
  <c r="R322" i="19"/>
  <c r="Q322" i="19"/>
  <c r="P322" i="19"/>
  <c r="O322" i="19"/>
  <c r="N322" i="19"/>
  <c r="M322" i="19"/>
  <c r="L322" i="19"/>
  <c r="K322" i="19"/>
  <c r="J322" i="19"/>
  <c r="I322" i="19"/>
  <c r="H322" i="19"/>
  <c r="G322" i="19"/>
  <c r="F322" i="19"/>
  <c r="E322" i="19"/>
  <c r="D322" i="19"/>
  <c r="C322" i="19"/>
  <c r="B322" i="19"/>
  <c r="A159" i="19"/>
  <c r="A187" i="19" s="1"/>
  <c r="A215" i="19" s="1"/>
  <c r="B89" i="19"/>
  <c r="B103" i="19" s="1"/>
  <c r="A89" i="19"/>
  <c r="A117" i="19" s="1"/>
  <c r="A131" i="19" s="1"/>
  <c r="A145" i="19" s="1"/>
  <c r="A72" i="19"/>
  <c r="C55" i="19"/>
  <c r="C69" i="19" s="1"/>
  <c r="B86" i="19" s="1"/>
  <c r="B100" i="19" s="1"/>
  <c r="B55" i="19"/>
  <c r="B69" i="19" s="1"/>
  <c r="A86" i="19" s="1"/>
  <c r="A100" i="19" s="1"/>
  <c r="A128" i="19" s="1"/>
  <c r="C54" i="19"/>
  <c r="C68" i="19" s="1"/>
  <c r="B85" i="19" s="1"/>
  <c r="B99" i="19" s="1"/>
  <c r="B127" i="19" s="1"/>
  <c r="B54" i="19"/>
  <c r="B68" i="19" s="1"/>
  <c r="A85" i="19" s="1"/>
  <c r="A99" i="19" s="1"/>
  <c r="C53" i="19"/>
  <c r="C67" i="19" s="1"/>
  <c r="B84" i="19" s="1"/>
  <c r="B98" i="19" s="1"/>
  <c r="B53" i="19"/>
  <c r="B67" i="19" s="1"/>
  <c r="A84" i="19" s="1"/>
  <c r="A98" i="19" s="1"/>
  <c r="A53" i="19"/>
  <c r="C52" i="19"/>
  <c r="C66" i="19" s="1"/>
  <c r="B83" i="19" s="1"/>
  <c r="B97" i="19" s="1"/>
  <c r="B52" i="19"/>
  <c r="B66" i="19" s="1"/>
  <c r="A83" i="19" s="1"/>
  <c r="A97" i="19" s="1"/>
  <c r="A52" i="19"/>
  <c r="C51" i="19"/>
  <c r="C65" i="19" s="1"/>
  <c r="B82" i="19" s="1"/>
  <c r="B96" i="19" s="1"/>
  <c r="B51" i="19"/>
  <c r="B65" i="19" s="1"/>
  <c r="A82" i="19" s="1"/>
  <c r="A96" i="19" s="1"/>
  <c r="A51" i="19"/>
  <c r="C50" i="19"/>
  <c r="C64" i="19" s="1"/>
  <c r="B81" i="19" s="1"/>
  <c r="B95" i="19" s="1"/>
  <c r="B50" i="19"/>
  <c r="B64" i="19" s="1"/>
  <c r="A81" i="19" s="1"/>
  <c r="A95" i="19" s="1"/>
  <c r="A50" i="19"/>
  <c r="C49" i="19"/>
  <c r="C63" i="19" s="1"/>
  <c r="B80" i="19" s="1"/>
  <c r="B94" i="19" s="1"/>
  <c r="B49" i="19"/>
  <c r="B63" i="19" s="1"/>
  <c r="A80" i="19" s="1"/>
  <c r="A94" i="19" s="1"/>
  <c r="C48" i="19"/>
  <c r="C62" i="19" s="1"/>
  <c r="B79" i="19" s="1"/>
  <c r="B93" i="19" s="1"/>
  <c r="B48" i="19"/>
  <c r="B62" i="19" s="1"/>
  <c r="A79" i="19" s="1"/>
  <c r="A93" i="19" s="1"/>
  <c r="C47" i="19"/>
  <c r="C61" i="19" s="1"/>
  <c r="B78" i="19" s="1"/>
  <c r="B92" i="19" s="1"/>
  <c r="B47" i="19"/>
  <c r="B61" i="19" s="1"/>
  <c r="A78" i="19" s="1"/>
  <c r="A92" i="19" s="1"/>
  <c r="C46" i="19"/>
  <c r="C60" i="19" s="1"/>
  <c r="B77" i="19" s="1"/>
  <c r="B91" i="19" s="1"/>
  <c r="B46" i="19"/>
  <c r="B60" i="19" s="1"/>
  <c r="A77" i="19" s="1"/>
  <c r="A91" i="19" s="1"/>
  <c r="C45" i="19"/>
  <c r="C59" i="19" s="1"/>
  <c r="B76" i="19" s="1"/>
  <c r="B90" i="19" s="1"/>
  <c r="B45" i="19"/>
  <c r="B59" i="19" s="1"/>
  <c r="A76" i="19" s="1"/>
  <c r="A90" i="19" s="1"/>
  <c r="A45" i="19"/>
  <c r="K39" i="19"/>
  <c r="J39" i="19"/>
  <c r="I39" i="19"/>
  <c r="H39" i="19"/>
  <c r="G39" i="19"/>
  <c r="F39" i="19"/>
  <c r="E39" i="19"/>
  <c r="D39" i="19"/>
  <c r="C39" i="19"/>
  <c r="B39" i="19"/>
  <c r="K38" i="19"/>
  <c r="J38" i="19"/>
  <c r="I38" i="19"/>
  <c r="H38" i="19"/>
  <c r="G38" i="19"/>
  <c r="F38" i="19"/>
  <c r="E38" i="19"/>
  <c r="D38" i="19"/>
  <c r="C38" i="19"/>
  <c r="B38" i="19"/>
  <c r="K33" i="19"/>
  <c r="K40" i="19" s="1"/>
  <c r="J33" i="19"/>
  <c r="J40" i="19" s="1"/>
  <c r="I33" i="19"/>
  <c r="I40" i="19" s="1"/>
  <c r="H33" i="19"/>
  <c r="H40" i="19" s="1"/>
  <c r="G33" i="19"/>
  <c r="G40" i="19" s="1"/>
  <c r="F33" i="19"/>
  <c r="F40" i="19" s="1"/>
  <c r="E33" i="19"/>
  <c r="E40" i="19" s="1"/>
  <c r="D33" i="19"/>
  <c r="D40" i="19" s="1"/>
  <c r="C33" i="19"/>
  <c r="C40" i="19" s="1"/>
  <c r="B33" i="19"/>
  <c r="B40" i="19" s="1"/>
  <c r="A28" i="19"/>
  <c r="D8" i="16" l="1"/>
  <c r="E8" i="16" s="1"/>
  <c r="F8" i="16" s="1"/>
  <c r="G8" i="16" s="1"/>
  <c r="H8" i="16" s="1"/>
  <c r="I8" i="16" s="1"/>
  <c r="J8" i="16" s="1"/>
  <c r="K8" i="16" s="1"/>
  <c r="L8" i="16" s="1"/>
  <c r="M8" i="16" s="1"/>
  <c r="N8" i="16" s="1"/>
  <c r="O8" i="16" s="1"/>
  <c r="P8" i="16" s="1"/>
  <c r="Q8" i="16" s="1"/>
  <c r="R8" i="16" s="1"/>
  <c r="S8" i="16" s="1"/>
  <c r="T8" i="16" s="1"/>
  <c r="U8" i="16" s="1"/>
  <c r="V8" i="16" s="1"/>
  <c r="W8" i="16" s="1"/>
  <c r="X8" i="16" s="1"/>
  <c r="Y8" i="16" s="1"/>
  <c r="Z8" i="16" s="1"/>
  <c r="AA8" i="16" s="1"/>
  <c r="AB8" i="16" s="1"/>
  <c r="AC8" i="16" s="1"/>
  <c r="AD8" i="16" s="1"/>
  <c r="AE8" i="16" s="1"/>
  <c r="AF8" i="16" s="1"/>
  <c r="G5" i="16"/>
  <c r="D7" i="16"/>
  <c r="E7" i="16" s="1"/>
  <c r="F7" i="16" s="1"/>
  <c r="G7" i="16" s="1"/>
  <c r="H7" i="16" s="1"/>
  <c r="I7" i="16" s="1"/>
  <c r="J7" i="16" s="1"/>
  <c r="K7" i="16" s="1"/>
  <c r="L7" i="16" s="1"/>
  <c r="M7" i="16" s="1"/>
  <c r="N7" i="16" s="1"/>
  <c r="O7" i="16" s="1"/>
  <c r="P7" i="16" s="1"/>
  <c r="Q7" i="16" s="1"/>
  <c r="R7" i="16" s="1"/>
  <c r="S7" i="16" s="1"/>
  <c r="T7" i="16" s="1"/>
  <c r="U7" i="16" s="1"/>
  <c r="V7" i="16" s="1"/>
  <c r="W7" i="16" s="1"/>
  <c r="X7" i="16" s="1"/>
  <c r="Y7" i="16" s="1"/>
  <c r="Z7" i="16" s="1"/>
  <c r="AA7" i="16" s="1"/>
  <c r="AB7" i="16" s="1"/>
  <c r="AC7" i="16" s="1"/>
  <c r="AD7" i="16" s="1"/>
  <c r="AE7" i="16" s="1"/>
  <c r="AF7" i="16" s="1"/>
  <c r="D6" i="16"/>
  <c r="A201" i="19"/>
  <c r="A69" i="19"/>
  <c r="J86" i="19" s="1"/>
  <c r="J100" i="19" s="1"/>
  <c r="B117" i="19"/>
  <c r="A110" i="19"/>
  <c r="A124" i="19"/>
  <c r="B128" i="19"/>
  <c r="B114" i="19"/>
  <c r="B122" i="19"/>
  <c r="B108" i="19"/>
  <c r="A61" i="19"/>
  <c r="A64" i="19"/>
  <c r="B125" i="19"/>
  <c r="B111" i="19"/>
  <c r="A170" i="19"/>
  <c r="A198" i="19" s="1"/>
  <c r="A142" i="19"/>
  <c r="A156" i="19" s="1"/>
  <c r="A184" i="19" s="1"/>
  <c r="B119" i="19"/>
  <c r="B105" i="19"/>
  <c r="A120" i="19"/>
  <c r="A106" i="19"/>
  <c r="A109" i="19"/>
  <c r="A123" i="19"/>
  <c r="B120" i="19"/>
  <c r="B106" i="19"/>
  <c r="B109" i="19"/>
  <c r="B123" i="19"/>
  <c r="A119" i="19"/>
  <c r="A105" i="19"/>
  <c r="A104" i="19"/>
  <c r="A118" i="19"/>
  <c r="G86" i="19"/>
  <c r="G100" i="19" s="1"/>
  <c r="F86" i="19"/>
  <c r="F100" i="19" s="1"/>
  <c r="E86" i="19"/>
  <c r="E100" i="19" s="1"/>
  <c r="L86" i="19"/>
  <c r="L100" i="19" s="1"/>
  <c r="D86" i="19"/>
  <c r="D100" i="19" s="1"/>
  <c r="K86" i="19"/>
  <c r="K100" i="19" s="1"/>
  <c r="C86" i="19"/>
  <c r="C100" i="19" s="1"/>
  <c r="I86" i="19"/>
  <c r="I100" i="19" s="1"/>
  <c r="H86" i="19"/>
  <c r="H100" i="19" s="1"/>
  <c r="A68" i="19"/>
  <c r="A65" i="19"/>
  <c r="B126" i="19"/>
  <c r="B112" i="19"/>
  <c r="A121" i="19"/>
  <c r="A107" i="19"/>
  <c r="A122" i="19"/>
  <c r="A108" i="19"/>
  <c r="B118" i="19"/>
  <c r="B104" i="19"/>
  <c r="B121" i="19"/>
  <c r="B107" i="19"/>
  <c r="A125" i="19"/>
  <c r="A111" i="19"/>
  <c r="A60" i="19"/>
  <c r="A126" i="19"/>
  <c r="A112" i="19"/>
  <c r="B124" i="19"/>
  <c r="B110" i="19"/>
  <c r="A114" i="19"/>
  <c r="A59" i="19"/>
  <c r="A67" i="19"/>
  <c r="A63" i="19"/>
  <c r="A113" i="19"/>
  <c r="A127" i="19"/>
  <c r="B113" i="19"/>
  <c r="A66" i="19"/>
  <c r="B169" i="19"/>
  <c r="B197" i="19" s="1"/>
  <c r="B141" i="19"/>
  <c r="A103" i="19"/>
  <c r="E6" i="16" l="1"/>
  <c r="D49" i="16"/>
  <c r="H5" i="16"/>
  <c r="A226" i="19"/>
  <c r="A212" i="19"/>
  <c r="B225" i="19"/>
  <c r="B211" i="19"/>
  <c r="B159" i="19"/>
  <c r="B187" i="19" s="1"/>
  <c r="B131" i="19"/>
  <c r="B145" i="19" s="1"/>
  <c r="A62" i="19"/>
  <c r="B163" i="19"/>
  <c r="B191" i="19" s="1"/>
  <c r="B135" i="19"/>
  <c r="A169" i="19"/>
  <c r="A197" i="19" s="1"/>
  <c r="A141" i="19"/>
  <c r="A155" i="19" s="1"/>
  <c r="A183" i="19" s="1"/>
  <c r="B132" i="19"/>
  <c r="B160" i="19"/>
  <c r="B188" i="19" s="1"/>
  <c r="K85" i="19"/>
  <c r="K99" i="19" s="1"/>
  <c r="C85" i="19"/>
  <c r="C99" i="19" s="1"/>
  <c r="J85" i="19"/>
  <c r="J99" i="19" s="1"/>
  <c r="I85" i="19"/>
  <c r="I99" i="19" s="1"/>
  <c r="H85" i="19"/>
  <c r="H99" i="19" s="1"/>
  <c r="G85" i="19"/>
  <c r="G99" i="19" s="1"/>
  <c r="L85" i="19"/>
  <c r="L99" i="19" s="1"/>
  <c r="F85" i="19"/>
  <c r="F99" i="19" s="1"/>
  <c r="E85" i="19"/>
  <c r="E99" i="19" s="1"/>
  <c r="D85" i="19"/>
  <c r="D99" i="19" s="1"/>
  <c r="B136" i="19"/>
  <c r="B164" i="19"/>
  <c r="B192" i="19" s="1"/>
  <c r="A168" i="19"/>
  <c r="A196" i="19" s="1"/>
  <c r="A140" i="19"/>
  <c r="A154" i="19" s="1"/>
  <c r="A182" i="19" s="1"/>
  <c r="B134" i="19"/>
  <c r="B162" i="19"/>
  <c r="B190" i="19" s="1"/>
  <c r="G82" i="19"/>
  <c r="G96" i="19" s="1"/>
  <c r="F82" i="19"/>
  <c r="F96" i="19" s="1"/>
  <c r="L82" i="19"/>
  <c r="L96" i="19" s="1"/>
  <c r="D82" i="19"/>
  <c r="D96" i="19" s="1"/>
  <c r="K82" i="19"/>
  <c r="K96" i="19" s="1"/>
  <c r="C82" i="19"/>
  <c r="C96" i="19" s="1"/>
  <c r="J82" i="19"/>
  <c r="J96" i="19" s="1"/>
  <c r="I82" i="19"/>
  <c r="I96" i="19" s="1"/>
  <c r="H82" i="19"/>
  <c r="H96" i="19" s="1"/>
  <c r="E82" i="19"/>
  <c r="E96" i="19" s="1"/>
  <c r="G80" i="19"/>
  <c r="G94" i="19" s="1"/>
  <c r="F80" i="19"/>
  <c r="F94" i="19" s="1"/>
  <c r="L80" i="19"/>
  <c r="L94" i="19" s="1"/>
  <c r="D80" i="19"/>
  <c r="D94" i="19" s="1"/>
  <c r="K80" i="19"/>
  <c r="K94" i="19" s="1"/>
  <c r="C80" i="19"/>
  <c r="C94" i="19" s="1"/>
  <c r="H80" i="19"/>
  <c r="H94" i="19" s="1"/>
  <c r="E80" i="19"/>
  <c r="E94" i="19" s="1"/>
  <c r="J80" i="19"/>
  <c r="J94" i="19" s="1"/>
  <c r="I80" i="19"/>
  <c r="I94" i="19" s="1"/>
  <c r="K77" i="19"/>
  <c r="K91" i="19" s="1"/>
  <c r="C77" i="19"/>
  <c r="C91" i="19" s="1"/>
  <c r="H77" i="19"/>
  <c r="H91" i="19" s="1"/>
  <c r="G77" i="19"/>
  <c r="G91" i="19" s="1"/>
  <c r="L77" i="19"/>
  <c r="L91" i="19" s="1"/>
  <c r="J77" i="19"/>
  <c r="J91" i="19" s="1"/>
  <c r="I77" i="19"/>
  <c r="I91" i="19" s="1"/>
  <c r="F77" i="19"/>
  <c r="F91" i="19" s="1"/>
  <c r="E77" i="19"/>
  <c r="E91" i="19" s="1"/>
  <c r="D77" i="19"/>
  <c r="D91" i="19" s="1"/>
  <c r="A164" i="19"/>
  <c r="A192" i="19" s="1"/>
  <c r="A136" i="19"/>
  <c r="A150" i="19" s="1"/>
  <c r="A178" i="19" s="1"/>
  <c r="A160" i="19"/>
  <c r="A188" i="19" s="1"/>
  <c r="A132" i="19"/>
  <c r="A146" i="19" s="1"/>
  <c r="A174" i="19" s="1"/>
  <c r="A165" i="19"/>
  <c r="A193" i="19" s="1"/>
  <c r="A137" i="19"/>
  <c r="A151" i="19" s="1"/>
  <c r="A179" i="19" s="1"/>
  <c r="G84" i="19"/>
  <c r="G98" i="19" s="1"/>
  <c r="F84" i="19"/>
  <c r="F98" i="19" s="1"/>
  <c r="E84" i="19"/>
  <c r="E98" i="19" s="1"/>
  <c r="L84" i="19"/>
  <c r="L98" i="19" s="1"/>
  <c r="D84" i="19"/>
  <c r="D98" i="19" s="1"/>
  <c r="K84" i="19"/>
  <c r="K98" i="19" s="1"/>
  <c r="C84" i="19"/>
  <c r="C98" i="19" s="1"/>
  <c r="J84" i="19"/>
  <c r="J98" i="19" s="1"/>
  <c r="I84" i="19"/>
  <c r="I98" i="19" s="1"/>
  <c r="H84" i="19"/>
  <c r="H98" i="19" s="1"/>
  <c r="H114" i="19"/>
  <c r="H170" i="19" s="1"/>
  <c r="E114" i="19"/>
  <c r="E170" i="19" s="1"/>
  <c r="L114" i="19"/>
  <c r="L170" i="19" s="1"/>
  <c r="D114" i="19"/>
  <c r="D170" i="19" s="1"/>
  <c r="J114" i="19"/>
  <c r="J170" i="19" s="1"/>
  <c r="I114" i="19"/>
  <c r="I170" i="19" s="1"/>
  <c r="G114" i="19"/>
  <c r="G170" i="19" s="1"/>
  <c r="F114" i="19"/>
  <c r="F170" i="19" s="1"/>
  <c r="C114" i="19"/>
  <c r="C170" i="19" s="1"/>
  <c r="K114" i="19"/>
  <c r="K170" i="19" s="1"/>
  <c r="B167" i="19"/>
  <c r="B195" i="19" s="1"/>
  <c r="B139" i="19"/>
  <c r="B170" i="19"/>
  <c r="B198" i="19" s="1"/>
  <c r="B142" i="19"/>
  <c r="K83" i="19"/>
  <c r="K97" i="19" s="1"/>
  <c r="C83" i="19"/>
  <c r="C97" i="19" s="1"/>
  <c r="J83" i="19"/>
  <c r="J97" i="19" s="1"/>
  <c r="I83" i="19"/>
  <c r="I97" i="19" s="1"/>
  <c r="H83" i="19"/>
  <c r="H97" i="19" s="1"/>
  <c r="G83" i="19"/>
  <c r="G97" i="19" s="1"/>
  <c r="D83" i="19"/>
  <c r="D97" i="19" s="1"/>
  <c r="F83" i="19"/>
  <c r="F97" i="19" s="1"/>
  <c r="L83" i="19"/>
  <c r="L97" i="19" s="1"/>
  <c r="E83" i="19"/>
  <c r="E97" i="19" s="1"/>
  <c r="B165" i="19"/>
  <c r="B193" i="19" s="1"/>
  <c r="B137" i="19"/>
  <c r="C141" i="19"/>
  <c r="B155" i="19"/>
  <c r="B183" i="19" s="1"/>
  <c r="G76" i="19"/>
  <c r="G90" i="19" s="1"/>
  <c r="L76" i="19"/>
  <c r="L90" i="19" s="1"/>
  <c r="D76" i="19"/>
  <c r="D90" i="19" s="1"/>
  <c r="K76" i="19"/>
  <c r="K90" i="19" s="1"/>
  <c r="C76" i="19"/>
  <c r="C90" i="19" s="1"/>
  <c r="J76" i="19"/>
  <c r="J90" i="19" s="1"/>
  <c r="I76" i="19"/>
  <c r="I90" i="19" s="1"/>
  <c r="H76" i="19"/>
  <c r="H90" i="19" s="1"/>
  <c r="F76" i="19"/>
  <c r="F90" i="19" s="1"/>
  <c r="E76" i="19"/>
  <c r="E90" i="19" s="1"/>
  <c r="A167" i="19"/>
  <c r="A195" i="19" s="1"/>
  <c r="A139" i="19"/>
  <c r="A153" i="19" s="1"/>
  <c r="A181" i="19" s="1"/>
  <c r="A135" i="19"/>
  <c r="A149" i="19" s="1"/>
  <c r="A177" i="19" s="1"/>
  <c r="A163" i="19"/>
  <c r="A191" i="19" s="1"/>
  <c r="K81" i="19"/>
  <c r="K95" i="19" s="1"/>
  <c r="C81" i="19"/>
  <c r="C95" i="19" s="1"/>
  <c r="J81" i="19"/>
  <c r="J95" i="19" s="1"/>
  <c r="H81" i="19"/>
  <c r="H95" i="19" s="1"/>
  <c r="G81" i="19"/>
  <c r="G95" i="19" s="1"/>
  <c r="L81" i="19"/>
  <c r="L95" i="19" s="1"/>
  <c r="I81" i="19"/>
  <c r="I95" i="19" s="1"/>
  <c r="F81" i="19"/>
  <c r="F95" i="19" s="1"/>
  <c r="E81" i="19"/>
  <c r="E95" i="19" s="1"/>
  <c r="D81" i="19"/>
  <c r="D95" i="19" s="1"/>
  <c r="A166" i="19"/>
  <c r="A194" i="19" s="1"/>
  <c r="A138" i="19"/>
  <c r="A152" i="19" s="1"/>
  <c r="A180" i="19" s="1"/>
  <c r="B140" i="19"/>
  <c r="B168" i="19"/>
  <c r="B196" i="19" s="1"/>
  <c r="B166" i="19"/>
  <c r="B194" i="19" s="1"/>
  <c r="B138" i="19"/>
  <c r="B161" i="19"/>
  <c r="B189" i="19" s="1"/>
  <c r="B133" i="19"/>
  <c r="A161" i="19"/>
  <c r="A189" i="19" s="1"/>
  <c r="A133" i="19"/>
  <c r="A147" i="19" s="1"/>
  <c r="A175" i="19" s="1"/>
  <c r="A162" i="19"/>
  <c r="A190" i="19" s="1"/>
  <c r="A134" i="19"/>
  <c r="A148" i="19" s="1"/>
  <c r="A176" i="19" s="1"/>
  <c r="G78" i="19"/>
  <c r="G92" i="19" s="1"/>
  <c r="L78" i="19"/>
  <c r="L92" i="19" s="1"/>
  <c r="D78" i="19"/>
  <c r="D92" i="19" s="1"/>
  <c r="K78" i="19"/>
  <c r="K92" i="19" s="1"/>
  <c r="C78" i="19"/>
  <c r="C92" i="19" s="1"/>
  <c r="J78" i="19"/>
  <c r="J92" i="19" s="1"/>
  <c r="I78" i="19"/>
  <c r="I92" i="19" s="1"/>
  <c r="H78" i="19"/>
  <c r="H92" i="19" s="1"/>
  <c r="E78" i="19"/>
  <c r="E92" i="19" s="1"/>
  <c r="F78" i="19"/>
  <c r="F92" i="19" s="1"/>
  <c r="I5" i="16" l="1"/>
  <c r="F6" i="16"/>
  <c r="E49" i="16"/>
  <c r="B223" i="19"/>
  <c r="B209" i="19"/>
  <c r="A216" i="19"/>
  <c r="A202" i="19"/>
  <c r="A217" i="19"/>
  <c r="A203" i="19"/>
  <c r="A221" i="19"/>
  <c r="A207" i="19"/>
  <c r="A219" i="19"/>
  <c r="A205" i="19"/>
  <c r="B215" i="19"/>
  <c r="B201" i="19"/>
  <c r="B222" i="19"/>
  <c r="B208" i="19"/>
  <c r="B221" i="19"/>
  <c r="B207" i="19"/>
  <c r="A220" i="19"/>
  <c r="A206" i="19"/>
  <c r="A222" i="19"/>
  <c r="A208" i="19"/>
  <c r="B226" i="19"/>
  <c r="B212" i="19"/>
  <c r="B219" i="19"/>
  <c r="B205" i="19"/>
  <c r="B224" i="19"/>
  <c r="B210" i="19"/>
  <c r="B217" i="19"/>
  <c r="B203" i="19"/>
  <c r="B218" i="19"/>
  <c r="B204" i="19"/>
  <c r="A218" i="19"/>
  <c r="A204" i="19"/>
  <c r="A223" i="19"/>
  <c r="A209" i="19"/>
  <c r="A224" i="19"/>
  <c r="A210" i="19"/>
  <c r="A225" i="19"/>
  <c r="A211" i="19"/>
  <c r="B216" i="19"/>
  <c r="B202" i="19"/>
  <c r="B220" i="19"/>
  <c r="B206" i="19"/>
  <c r="C79" i="19"/>
  <c r="C93" i="19" s="1"/>
  <c r="E79" i="19"/>
  <c r="E93" i="19" s="1"/>
  <c r="J79" i="19"/>
  <c r="J93" i="19" s="1"/>
  <c r="H79" i="19"/>
  <c r="H93" i="19" s="1"/>
  <c r="L79" i="19"/>
  <c r="L93" i="19" s="1"/>
  <c r="G79" i="19"/>
  <c r="G93" i="19" s="1"/>
  <c r="I79" i="19"/>
  <c r="I93" i="19" s="1"/>
  <c r="D79" i="19"/>
  <c r="D93" i="19" s="1"/>
  <c r="F79" i="19"/>
  <c r="F93" i="19" s="1"/>
  <c r="K79" i="19"/>
  <c r="K93" i="19" s="1"/>
  <c r="L111" i="19"/>
  <c r="L167" i="19" s="1"/>
  <c r="D111" i="19"/>
  <c r="D167" i="19" s="1"/>
  <c r="I111" i="19"/>
  <c r="I167" i="19" s="1"/>
  <c r="H111" i="19"/>
  <c r="H167" i="19" s="1"/>
  <c r="G111" i="19"/>
  <c r="G167" i="19" s="1"/>
  <c r="F111" i="19"/>
  <c r="F167" i="19" s="1"/>
  <c r="E111" i="19"/>
  <c r="E167" i="19" s="1"/>
  <c r="C111" i="19"/>
  <c r="C167" i="19" s="1"/>
  <c r="K111" i="19"/>
  <c r="K167" i="19" s="1"/>
  <c r="J111" i="19"/>
  <c r="J167" i="19" s="1"/>
  <c r="G105" i="19"/>
  <c r="G161" i="19" s="1"/>
  <c r="F105" i="19"/>
  <c r="F161" i="19" s="1"/>
  <c r="E105" i="19"/>
  <c r="E161" i="19" s="1"/>
  <c r="L105" i="19"/>
  <c r="L161" i="19" s="1"/>
  <c r="D105" i="19"/>
  <c r="D161" i="19" s="1"/>
  <c r="K105" i="19"/>
  <c r="K161" i="19" s="1"/>
  <c r="C105" i="19"/>
  <c r="C161" i="19" s="1"/>
  <c r="J105" i="19"/>
  <c r="J161" i="19" s="1"/>
  <c r="I105" i="19"/>
  <c r="I161" i="19" s="1"/>
  <c r="H105" i="19"/>
  <c r="H161" i="19" s="1"/>
  <c r="H110" i="19"/>
  <c r="H166" i="19" s="1"/>
  <c r="E110" i="19"/>
  <c r="E166" i="19" s="1"/>
  <c r="L110" i="19"/>
  <c r="L166" i="19" s="1"/>
  <c r="D110" i="19"/>
  <c r="D166" i="19" s="1"/>
  <c r="G110" i="19"/>
  <c r="G166" i="19" s="1"/>
  <c r="F110" i="19"/>
  <c r="F166" i="19" s="1"/>
  <c r="C110" i="19"/>
  <c r="C166" i="19" s="1"/>
  <c r="J110" i="19"/>
  <c r="J166" i="19" s="1"/>
  <c r="I110" i="19"/>
  <c r="I166" i="19" s="1"/>
  <c r="K110" i="19"/>
  <c r="K166" i="19" s="1"/>
  <c r="C138" i="19"/>
  <c r="B152" i="19"/>
  <c r="B180" i="19" s="1"/>
  <c r="C137" i="19"/>
  <c r="B151" i="19"/>
  <c r="B179" i="19" s="1"/>
  <c r="B148" i="19"/>
  <c r="B176" i="19" s="1"/>
  <c r="C134" i="19"/>
  <c r="B154" i="19"/>
  <c r="B182" i="19" s="1"/>
  <c r="C140" i="19"/>
  <c r="B146" i="19"/>
  <c r="C132" i="19"/>
  <c r="C142" i="19"/>
  <c r="B156" i="19"/>
  <c r="B184" i="19" s="1"/>
  <c r="H108" i="19"/>
  <c r="H164" i="19" s="1"/>
  <c r="E108" i="19"/>
  <c r="E164" i="19" s="1"/>
  <c r="L108" i="19"/>
  <c r="L164" i="19" s="1"/>
  <c r="D108" i="19"/>
  <c r="D164" i="19" s="1"/>
  <c r="F108" i="19"/>
  <c r="F164" i="19" s="1"/>
  <c r="C108" i="19"/>
  <c r="C164" i="19" s="1"/>
  <c r="K108" i="19"/>
  <c r="K164" i="19" s="1"/>
  <c r="I108" i="19"/>
  <c r="I164" i="19" s="1"/>
  <c r="J108" i="19"/>
  <c r="J164" i="19" s="1"/>
  <c r="G108" i="19"/>
  <c r="G164" i="19" s="1"/>
  <c r="L113" i="19"/>
  <c r="L169" i="19" s="1"/>
  <c r="D113" i="19"/>
  <c r="D169" i="19" s="1"/>
  <c r="I113" i="19"/>
  <c r="I169" i="19" s="1"/>
  <c r="H113" i="19"/>
  <c r="H169" i="19" s="1"/>
  <c r="J113" i="19"/>
  <c r="J169" i="19" s="1"/>
  <c r="G113" i="19"/>
  <c r="G169" i="19" s="1"/>
  <c r="F113" i="19"/>
  <c r="F169" i="19" s="1"/>
  <c r="E113" i="19"/>
  <c r="E169" i="19" s="1"/>
  <c r="C113" i="19"/>
  <c r="C169" i="19" s="1"/>
  <c r="K113" i="19"/>
  <c r="K169" i="19" s="1"/>
  <c r="K106" i="19"/>
  <c r="K162" i="19" s="1"/>
  <c r="C106" i="19"/>
  <c r="C162" i="19" s="1"/>
  <c r="J106" i="19"/>
  <c r="J162" i="19" s="1"/>
  <c r="I106" i="19"/>
  <c r="I162" i="19" s="1"/>
  <c r="H106" i="19"/>
  <c r="H162" i="19" s="1"/>
  <c r="G106" i="19"/>
  <c r="G162" i="19" s="1"/>
  <c r="D106" i="19"/>
  <c r="D162" i="19" s="1"/>
  <c r="F106" i="19"/>
  <c r="F162" i="19" s="1"/>
  <c r="L106" i="19"/>
  <c r="L162" i="19" s="1"/>
  <c r="E106" i="19"/>
  <c r="E162" i="19" s="1"/>
  <c r="H112" i="19"/>
  <c r="H168" i="19" s="1"/>
  <c r="E112" i="19"/>
  <c r="E168" i="19" s="1"/>
  <c r="L112" i="19"/>
  <c r="L168" i="19" s="1"/>
  <c r="D112" i="19"/>
  <c r="D168" i="19" s="1"/>
  <c r="I112" i="19"/>
  <c r="I168" i="19" s="1"/>
  <c r="G112" i="19"/>
  <c r="G168" i="19" s="1"/>
  <c r="F112" i="19"/>
  <c r="F168" i="19" s="1"/>
  <c r="C112" i="19"/>
  <c r="C168" i="19" s="1"/>
  <c r="K112" i="19"/>
  <c r="K168" i="19" s="1"/>
  <c r="J112" i="19"/>
  <c r="J168" i="19" s="1"/>
  <c r="C136" i="19"/>
  <c r="B150" i="19"/>
  <c r="B178" i="19" s="1"/>
  <c r="K104" i="19"/>
  <c r="K160" i="19" s="1"/>
  <c r="C104" i="19"/>
  <c r="C160" i="19" s="1"/>
  <c r="J104" i="19"/>
  <c r="J160" i="19" s="1"/>
  <c r="I104" i="19"/>
  <c r="I160" i="19" s="1"/>
  <c r="H104" i="19"/>
  <c r="H160" i="19" s="1"/>
  <c r="G104" i="19"/>
  <c r="G160" i="19" s="1"/>
  <c r="E104" i="19"/>
  <c r="E160" i="19" s="1"/>
  <c r="D104" i="19"/>
  <c r="D160" i="19" s="1"/>
  <c r="L104" i="19"/>
  <c r="L160" i="19" s="1"/>
  <c r="F104" i="19"/>
  <c r="F160" i="19" s="1"/>
  <c r="C133" i="19"/>
  <c r="B147" i="19"/>
  <c r="B175" i="19" s="1"/>
  <c r="L109" i="19"/>
  <c r="L165" i="19" s="1"/>
  <c r="D109" i="19"/>
  <c r="D165" i="19" s="1"/>
  <c r="I109" i="19"/>
  <c r="I165" i="19" s="1"/>
  <c r="H109" i="19"/>
  <c r="H165" i="19" s="1"/>
  <c r="F109" i="19"/>
  <c r="F165" i="19" s="1"/>
  <c r="E109" i="19"/>
  <c r="E165" i="19" s="1"/>
  <c r="C109" i="19"/>
  <c r="C165" i="19" s="1"/>
  <c r="K109" i="19"/>
  <c r="K165" i="19" s="1"/>
  <c r="J109" i="19"/>
  <c r="J165" i="19" s="1"/>
  <c r="G109" i="19"/>
  <c r="G165" i="19" s="1"/>
  <c r="C139" i="19"/>
  <c r="B153" i="19"/>
  <c r="B181" i="19" s="1"/>
  <c r="B149" i="19"/>
  <c r="B177" i="19" s="1"/>
  <c r="C135" i="19"/>
  <c r="K155" i="19"/>
  <c r="C155" i="19"/>
  <c r="H155" i="19"/>
  <c r="G155" i="19"/>
  <c r="J155" i="19"/>
  <c r="I155" i="19"/>
  <c r="F155" i="19"/>
  <c r="E155" i="19"/>
  <c r="D155" i="19"/>
  <c r="L155" i="19"/>
  <c r="G6" i="16" l="1"/>
  <c r="F49" i="16"/>
  <c r="J5" i="16"/>
  <c r="H2" i="20"/>
  <c r="G3" i="20"/>
  <c r="F4" i="20"/>
  <c r="N4" i="20"/>
  <c r="M5" i="20"/>
  <c r="L6" i="20"/>
  <c r="K7" i="20"/>
  <c r="J8" i="20"/>
  <c r="I9" i="20"/>
  <c r="H10" i="20"/>
  <c r="G11" i="20"/>
  <c r="M13" i="20"/>
  <c r="I17" i="20"/>
  <c r="F20" i="20"/>
  <c r="N20" i="20"/>
  <c r="H26" i="20"/>
  <c r="G27" i="20"/>
  <c r="F28" i="20"/>
  <c r="I2" i="20"/>
  <c r="H3" i="20"/>
  <c r="G4" i="20"/>
  <c r="F5" i="20"/>
  <c r="N5" i="20"/>
  <c r="M6" i="20"/>
  <c r="L7" i="20"/>
  <c r="K8" i="20"/>
  <c r="J9" i="20"/>
  <c r="I10" i="20"/>
  <c r="H11" i="20"/>
  <c r="F13" i="20"/>
  <c r="N13" i="20"/>
  <c r="J17" i="20"/>
  <c r="G20" i="20"/>
  <c r="I26" i="20"/>
  <c r="H27" i="20"/>
  <c r="J2" i="20"/>
  <c r="I3" i="20"/>
  <c r="H4" i="20"/>
  <c r="G5" i="20"/>
  <c r="F6" i="20"/>
  <c r="N6" i="20"/>
  <c r="M7" i="20"/>
  <c r="L8" i="20"/>
  <c r="K9" i="20"/>
  <c r="J10" i="20"/>
  <c r="I11" i="20"/>
  <c r="G13" i="20"/>
  <c r="K17" i="20"/>
  <c r="H20" i="20"/>
  <c r="J26" i="20"/>
  <c r="I27" i="20"/>
  <c r="H28" i="20"/>
  <c r="K2" i="20"/>
  <c r="J3" i="20"/>
  <c r="I4" i="20"/>
  <c r="H5" i="20"/>
  <c r="G6" i="20"/>
  <c r="F7" i="20"/>
  <c r="N7" i="20"/>
  <c r="M8" i="20"/>
  <c r="L9" i="20"/>
  <c r="K10" i="20"/>
  <c r="J11" i="20"/>
  <c r="H13" i="20"/>
  <c r="L17" i="20"/>
  <c r="I20" i="20"/>
  <c r="K26" i="20"/>
  <c r="J27" i="20"/>
  <c r="L2" i="20"/>
  <c r="K3" i="20"/>
  <c r="J4" i="20"/>
  <c r="I5" i="20"/>
  <c r="H6" i="20"/>
  <c r="G7" i="20"/>
  <c r="F8" i="20"/>
  <c r="N8" i="20"/>
  <c r="M9" i="20"/>
  <c r="L10" i="20"/>
  <c r="K11" i="20"/>
  <c r="I13" i="20"/>
  <c r="M17" i="20"/>
  <c r="J20" i="20"/>
  <c r="L26" i="20"/>
  <c r="N2" i="20"/>
  <c r="J5" i="20"/>
  <c r="J7" i="20"/>
  <c r="F10" i="20"/>
  <c r="G17" i="20"/>
  <c r="M26" i="20"/>
  <c r="I28" i="20"/>
  <c r="H29" i="20"/>
  <c r="G30" i="20"/>
  <c r="F31" i="20"/>
  <c r="N31" i="20"/>
  <c r="M32" i="20"/>
  <c r="L33" i="20"/>
  <c r="K34" i="20"/>
  <c r="J35" i="20"/>
  <c r="I36" i="20"/>
  <c r="H37" i="20"/>
  <c r="G38" i="20"/>
  <c r="F39" i="20"/>
  <c r="N39" i="20"/>
  <c r="M40" i="20"/>
  <c r="L41" i="20"/>
  <c r="K42" i="20"/>
  <c r="J43" i="20"/>
  <c r="E6" i="20"/>
  <c r="E30" i="20"/>
  <c r="E38" i="20"/>
  <c r="L11" i="20"/>
  <c r="M27" i="20"/>
  <c r="I33" i="20"/>
  <c r="N36" i="20"/>
  <c r="I41" i="20"/>
  <c r="E11" i="20"/>
  <c r="E43" i="20"/>
  <c r="G2" i="20"/>
  <c r="F26" i="20"/>
  <c r="M30" i="20"/>
  <c r="H35" i="20"/>
  <c r="M38" i="20"/>
  <c r="H43" i="20"/>
  <c r="E36" i="20"/>
  <c r="M4" i="20"/>
  <c r="N9" i="20"/>
  <c r="G29" i="20"/>
  <c r="K33" i="20"/>
  <c r="H36" i="20"/>
  <c r="M39" i="20"/>
  <c r="E5" i="20"/>
  <c r="E37" i="20"/>
  <c r="F3" i="20"/>
  <c r="K5" i="20"/>
  <c r="G8" i="20"/>
  <c r="G10" i="20"/>
  <c r="H17" i="20"/>
  <c r="N26" i="20"/>
  <c r="J28" i="20"/>
  <c r="I29" i="20"/>
  <c r="H30" i="20"/>
  <c r="G31" i="20"/>
  <c r="F32" i="20"/>
  <c r="N32" i="20"/>
  <c r="M33" i="20"/>
  <c r="L34" i="20"/>
  <c r="K35" i="20"/>
  <c r="J36" i="20"/>
  <c r="I37" i="20"/>
  <c r="H38" i="20"/>
  <c r="G39" i="20"/>
  <c r="F40" i="20"/>
  <c r="N40" i="20"/>
  <c r="M41" i="20"/>
  <c r="L42" i="20"/>
  <c r="K43" i="20"/>
  <c r="E7" i="20"/>
  <c r="E31" i="20"/>
  <c r="E39" i="20"/>
  <c r="K4" i="20"/>
  <c r="L13" i="20"/>
  <c r="K31" i="20"/>
  <c r="G35" i="20"/>
  <c r="K39" i="20"/>
  <c r="E3" i="20"/>
  <c r="H7" i="20"/>
  <c r="N29" i="20"/>
  <c r="J33" i="20"/>
  <c r="G36" i="20"/>
  <c r="J41" i="20"/>
  <c r="E20" i="20"/>
  <c r="N11" i="20"/>
  <c r="G28" i="20"/>
  <c r="L32" i="20"/>
  <c r="G37" i="20"/>
  <c r="K41" i="20"/>
  <c r="L3" i="20"/>
  <c r="L5" i="20"/>
  <c r="H8" i="20"/>
  <c r="M10" i="20"/>
  <c r="N17" i="20"/>
  <c r="F27" i="20"/>
  <c r="K28" i="20"/>
  <c r="J29" i="20"/>
  <c r="I30" i="20"/>
  <c r="H31" i="20"/>
  <c r="G32" i="20"/>
  <c r="F33" i="20"/>
  <c r="N33" i="20"/>
  <c r="M34" i="20"/>
  <c r="L35" i="20"/>
  <c r="K36" i="20"/>
  <c r="J37" i="20"/>
  <c r="I38" i="20"/>
  <c r="H39" i="20"/>
  <c r="G40" i="20"/>
  <c r="F41" i="20"/>
  <c r="N41" i="20"/>
  <c r="M42" i="20"/>
  <c r="L43" i="20"/>
  <c r="E8" i="20"/>
  <c r="E32" i="20"/>
  <c r="E40" i="20"/>
  <c r="K6" i="20"/>
  <c r="M29" i="20"/>
  <c r="H34" i="20"/>
  <c r="M37" i="20"/>
  <c r="H42" i="20"/>
  <c r="E35" i="20"/>
  <c r="L31" i="20"/>
  <c r="L39" i="20"/>
  <c r="M31" i="20"/>
  <c r="F38" i="20"/>
  <c r="J42" i="20"/>
  <c r="E29" i="20"/>
  <c r="M3" i="20"/>
  <c r="I6" i="20"/>
  <c r="I8" i="20"/>
  <c r="N10" i="20"/>
  <c r="J13" i="20"/>
  <c r="K20" i="20"/>
  <c r="K27" i="20"/>
  <c r="L28" i="20"/>
  <c r="K29" i="20"/>
  <c r="J30" i="20"/>
  <c r="I31" i="20"/>
  <c r="H32" i="20"/>
  <c r="G33" i="20"/>
  <c r="F34" i="20"/>
  <c r="N34" i="20"/>
  <c r="M35" i="20"/>
  <c r="L36" i="20"/>
  <c r="K37" i="20"/>
  <c r="J38" i="20"/>
  <c r="I39" i="20"/>
  <c r="H40" i="20"/>
  <c r="G41" i="20"/>
  <c r="F42" i="20"/>
  <c r="N42" i="20"/>
  <c r="M43" i="20"/>
  <c r="E9" i="20"/>
  <c r="E17" i="20"/>
  <c r="E33" i="20"/>
  <c r="E41" i="20"/>
  <c r="G9" i="20"/>
  <c r="M20" i="20"/>
  <c r="N28" i="20"/>
  <c r="J32" i="20"/>
  <c r="L38" i="20"/>
  <c r="G43" i="20"/>
  <c r="E27" i="20"/>
  <c r="H9" i="20"/>
  <c r="N27" i="20"/>
  <c r="K32" i="20"/>
  <c r="N37" i="20"/>
  <c r="I42" i="20"/>
  <c r="E28" i="20"/>
  <c r="I7" i="20"/>
  <c r="F17" i="20"/>
  <c r="G26" i="20"/>
  <c r="F30" i="20"/>
  <c r="J34" i="20"/>
  <c r="L40" i="20"/>
  <c r="E13" i="20"/>
  <c r="N3" i="20"/>
  <c r="J6" i="20"/>
  <c r="F9" i="20"/>
  <c r="F11" i="20"/>
  <c r="K13" i="20"/>
  <c r="L20" i="20"/>
  <c r="L27" i="20"/>
  <c r="M28" i="20"/>
  <c r="L29" i="20"/>
  <c r="K30" i="20"/>
  <c r="J31" i="20"/>
  <c r="I32" i="20"/>
  <c r="H33" i="20"/>
  <c r="G34" i="20"/>
  <c r="F35" i="20"/>
  <c r="N35" i="20"/>
  <c r="M36" i="20"/>
  <c r="L37" i="20"/>
  <c r="K38" i="20"/>
  <c r="J39" i="20"/>
  <c r="I40" i="20"/>
  <c r="H41" i="20"/>
  <c r="G42" i="20"/>
  <c r="F43" i="20"/>
  <c r="N43" i="20"/>
  <c r="E10" i="20"/>
  <c r="E26" i="20"/>
  <c r="E34" i="20"/>
  <c r="E42" i="20"/>
  <c r="F2" i="20"/>
  <c r="L30" i="20"/>
  <c r="F36" i="20"/>
  <c r="J40" i="20"/>
  <c r="L4" i="20"/>
  <c r="M11" i="20"/>
  <c r="F29" i="20"/>
  <c r="I34" i="20"/>
  <c r="F37" i="20"/>
  <c r="K40" i="20"/>
  <c r="E4" i="20"/>
  <c r="E2" i="20"/>
  <c r="M2" i="20"/>
  <c r="N30" i="20"/>
  <c r="I35" i="20"/>
  <c r="N38" i="20"/>
  <c r="I43" i="20"/>
  <c r="I197" i="19"/>
  <c r="I211" i="19" s="1"/>
  <c r="K15" i="20" s="1"/>
  <c r="J107" i="19"/>
  <c r="J163" i="19" s="1"/>
  <c r="K107" i="19"/>
  <c r="K163" i="19" s="1"/>
  <c r="L107" i="19"/>
  <c r="L163" i="19" s="1"/>
  <c r="I107" i="19"/>
  <c r="I163" i="19" s="1"/>
  <c r="G107" i="19"/>
  <c r="G163" i="19" s="1"/>
  <c r="H107" i="19"/>
  <c r="H163" i="19" s="1"/>
  <c r="E107" i="19"/>
  <c r="E163" i="19" s="1"/>
  <c r="D107" i="19"/>
  <c r="D163" i="19" s="1"/>
  <c r="C107" i="19"/>
  <c r="C163" i="19" s="1"/>
  <c r="F107" i="19"/>
  <c r="F163" i="19" s="1"/>
  <c r="K149" i="19"/>
  <c r="C149" i="19"/>
  <c r="H149" i="19"/>
  <c r="G149" i="19"/>
  <c r="D149" i="19"/>
  <c r="L149" i="19"/>
  <c r="J149" i="19"/>
  <c r="I149" i="19"/>
  <c r="F149" i="19"/>
  <c r="E149" i="19"/>
  <c r="E197" i="19"/>
  <c r="E211" i="19" s="1"/>
  <c r="G15" i="20" s="1"/>
  <c r="H192" i="19"/>
  <c r="H206" i="19" s="1"/>
  <c r="J14" i="20" s="1"/>
  <c r="L197" i="19"/>
  <c r="L211" i="19" s="1"/>
  <c r="N15" i="20" s="1"/>
  <c r="G150" i="19"/>
  <c r="L150" i="19"/>
  <c r="D150" i="19"/>
  <c r="K150" i="19"/>
  <c r="C150" i="19"/>
  <c r="E150" i="19"/>
  <c r="J150" i="19"/>
  <c r="I150" i="19"/>
  <c r="H150" i="19"/>
  <c r="F150" i="19"/>
  <c r="F197" i="19"/>
  <c r="F211" i="19" s="1"/>
  <c r="H15" i="20" s="1"/>
  <c r="K147" i="19"/>
  <c r="C147" i="19"/>
  <c r="H147" i="19"/>
  <c r="G147" i="19"/>
  <c r="L147" i="19"/>
  <c r="J147" i="19"/>
  <c r="I147" i="19"/>
  <c r="F147" i="19"/>
  <c r="E147" i="19"/>
  <c r="D147" i="19"/>
  <c r="G197" i="19"/>
  <c r="G211" i="19" s="1"/>
  <c r="I15" i="20" s="1"/>
  <c r="C197" i="19"/>
  <c r="C211" i="19" s="1"/>
  <c r="E15" i="20" s="1"/>
  <c r="K151" i="19"/>
  <c r="C151" i="19"/>
  <c r="H151" i="19"/>
  <c r="G151" i="19"/>
  <c r="E151" i="19"/>
  <c r="D151" i="19"/>
  <c r="L151" i="19"/>
  <c r="J151" i="19"/>
  <c r="I151" i="19"/>
  <c r="F151" i="19"/>
  <c r="H197" i="19"/>
  <c r="H211" i="19" s="1"/>
  <c r="J15" i="20" s="1"/>
  <c r="G154" i="19"/>
  <c r="L154" i="19"/>
  <c r="D154" i="19"/>
  <c r="K154" i="19"/>
  <c r="C154" i="19"/>
  <c r="I154" i="19"/>
  <c r="H154" i="19"/>
  <c r="F154" i="19"/>
  <c r="E154" i="19"/>
  <c r="J154" i="19"/>
  <c r="C189" i="19"/>
  <c r="C203" i="19" s="1"/>
  <c r="E12" i="20" s="1"/>
  <c r="G146" i="19"/>
  <c r="G188" i="19" s="1"/>
  <c r="G202" i="19" s="1"/>
  <c r="I21" i="20" s="1"/>
  <c r="L146" i="19"/>
  <c r="L188" i="19" s="1"/>
  <c r="L202" i="19" s="1"/>
  <c r="N21" i="20" s="1"/>
  <c r="D146" i="19"/>
  <c r="D188" i="19" s="1"/>
  <c r="D202" i="19" s="1"/>
  <c r="F21" i="20" s="1"/>
  <c r="K146" i="19"/>
  <c r="K188" i="19" s="1"/>
  <c r="K202" i="19" s="1"/>
  <c r="M21" i="20" s="1"/>
  <c r="C146" i="19"/>
  <c r="C188" i="19" s="1"/>
  <c r="J146" i="19"/>
  <c r="J188" i="19" s="1"/>
  <c r="J202" i="19" s="1"/>
  <c r="L21" i="20" s="1"/>
  <c r="I146" i="19"/>
  <c r="I188" i="19" s="1"/>
  <c r="I202" i="19" s="1"/>
  <c r="K21" i="20" s="1"/>
  <c r="H146" i="19"/>
  <c r="H188" i="19" s="1"/>
  <c r="H202" i="19" s="1"/>
  <c r="J21" i="20" s="1"/>
  <c r="F146" i="19"/>
  <c r="F188" i="19" s="1"/>
  <c r="F202" i="19" s="1"/>
  <c r="H21" i="20" s="1"/>
  <c r="E146" i="19"/>
  <c r="E188" i="19" s="1"/>
  <c r="E202" i="19" s="1"/>
  <c r="G21" i="20" s="1"/>
  <c r="J197" i="19"/>
  <c r="J211" i="19" s="1"/>
  <c r="L15" i="20" s="1"/>
  <c r="G152" i="19"/>
  <c r="L152" i="19"/>
  <c r="D152" i="19"/>
  <c r="K152" i="19"/>
  <c r="C152" i="19"/>
  <c r="F152" i="19"/>
  <c r="E152" i="19"/>
  <c r="J152" i="19"/>
  <c r="I152" i="19"/>
  <c r="H152" i="19"/>
  <c r="K153" i="19"/>
  <c r="C153" i="19"/>
  <c r="H153" i="19"/>
  <c r="G153" i="19"/>
  <c r="I153" i="19"/>
  <c r="F153" i="19"/>
  <c r="E153" i="19"/>
  <c r="D153" i="19"/>
  <c r="L153" i="19"/>
  <c r="J153" i="19"/>
  <c r="K197" i="19"/>
  <c r="K211" i="19" s="1"/>
  <c r="M15" i="20" s="1"/>
  <c r="D197" i="19"/>
  <c r="D211" i="19" s="1"/>
  <c r="F15" i="20" s="1"/>
  <c r="G156" i="19"/>
  <c r="L156" i="19"/>
  <c r="D156" i="19"/>
  <c r="K156" i="19"/>
  <c r="C156" i="19"/>
  <c r="J156" i="19"/>
  <c r="I156" i="19"/>
  <c r="H156" i="19"/>
  <c r="F156" i="19"/>
  <c r="E156" i="19"/>
  <c r="G148" i="19"/>
  <c r="L148" i="19"/>
  <c r="D148" i="19"/>
  <c r="K148" i="19"/>
  <c r="C148" i="19"/>
  <c r="J148" i="19"/>
  <c r="I148" i="19"/>
  <c r="E148" i="19"/>
  <c r="H148" i="19"/>
  <c r="F148" i="19"/>
  <c r="D189" i="19"/>
  <c r="D203" i="19" s="1"/>
  <c r="F12" i="20" s="1"/>
  <c r="K5" i="16" l="1"/>
  <c r="H6" i="16"/>
  <c r="G49" i="16"/>
  <c r="D194" i="19"/>
  <c r="D208" i="19" s="1"/>
  <c r="F24" i="20" s="1"/>
  <c r="J192" i="19"/>
  <c r="J206" i="19" s="1"/>
  <c r="L14" i="20" s="1"/>
  <c r="E193" i="19"/>
  <c r="E207" i="19" s="1"/>
  <c r="G19" i="20" s="1"/>
  <c r="V21" i="20"/>
  <c r="AD21" i="20"/>
  <c r="W21" i="20"/>
  <c r="AE21" i="20"/>
  <c r="P21" i="20"/>
  <c r="X21" i="20"/>
  <c r="AF21" i="20"/>
  <c r="Q21" i="20"/>
  <c r="Y21" i="20"/>
  <c r="T21" i="20"/>
  <c r="AB21" i="20"/>
  <c r="R21" i="20"/>
  <c r="S21" i="20"/>
  <c r="U21" i="20"/>
  <c r="Z21" i="20"/>
  <c r="AA21" i="20"/>
  <c r="AC21" i="20"/>
  <c r="O21" i="20"/>
  <c r="T15" i="20"/>
  <c r="AB15" i="20"/>
  <c r="U15" i="20"/>
  <c r="AC15" i="20"/>
  <c r="V15" i="20"/>
  <c r="AD15" i="20"/>
  <c r="W15" i="20"/>
  <c r="AE15" i="20"/>
  <c r="R15" i="20"/>
  <c r="Z15" i="20"/>
  <c r="AF15" i="20"/>
  <c r="O15" i="20"/>
  <c r="P15" i="20"/>
  <c r="Q15" i="20"/>
  <c r="S15" i="20"/>
  <c r="AA15" i="20"/>
  <c r="X15" i="20"/>
  <c r="Y15" i="20"/>
  <c r="U35" i="20"/>
  <c r="AC35" i="20"/>
  <c r="V35" i="20"/>
  <c r="AD35" i="20"/>
  <c r="W35" i="20"/>
  <c r="AE35" i="20"/>
  <c r="P35" i="20"/>
  <c r="X35" i="20"/>
  <c r="AF35" i="20"/>
  <c r="Q35" i="20"/>
  <c r="Y35" i="20"/>
  <c r="O35" i="20"/>
  <c r="AA35" i="20"/>
  <c r="AB35" i="20"/>
  <c r="Z35" i="20"/>
  <c r="R35" i="20"/>
  <c r="S35" i="20"/>
  <c r="T35" i="20"/>
  <c r="Q34" i="20"/>
  <c r="Y34" i="20"/>
  <c r="R34" i="20"/>
  <c r="Z34" i="20"/>
  <c r="S34" i="20"/>
  <c r="AA34" i="20"/>
  <c r="W34" i="20"/>
  <c r="AD34" i="20"/>
  <c r="P34" i="20"/>
  <c r="AE34" i="20"/>
  <c r="T34" i="20"/>
  <c r="AF34" i="20"/>
  <c r="U34" i="20"/>
  <c r="O34" i="20"/>
  <c r="V34" i="20"/>
  <c r="X34" i="20"/>
  <c r="AB34" i="20"/>
  <c r="AC34" i="20"/>
  <c r="Q26" i="20"/>
  <c r="Y26" i="20"/>
  <c r="R26" i="20"/>
  <c r="Z26" i="20"/>
  <c r="S26" i="20"/>
  <c r="AA26" i="20"/>
  <c r="W26" i="20"/>
  <c r="AE26" i="20"/>
  <c r="V26" i="20"/>
  <c r="X26" i="20"/>
  <c r="AB26" i="20"/>
  <c r="AC26" i="20"/>
  <c r="O26" i="20"/>
  <c r="AD26" i="20"/>
  <c r="U26" i="20"/>
  <c r="AF26" i="20"/>
  <c r="P26" i="20"/>
  <c r="T26" i="20"/>
  <c r="L193" i="19"/>
  <c r="L207" i="19" s="1"/>
  <c r="N19" i="20" s="1"/>
  <c r="I192" i="19"/>
  <c r="I206" i="19" s="1"/>
  <c r="K14" i="20" s="1"/>
  <c r="G189" i="19"/>
  <c r="G203" i="19" s="1"/>
  <c r="I12" i="20" s="1"/>
  <c r="G192" i="19"/>
  <c r="G206" i="19" s="1"/>
  <c r="I14" i="20" s="1"/>
  <c r="L191" i="19"/>
  <c r="L205" i="19" s="1"/>
  <c r="N25" i="20" s="1"/>
  <c r="R33" i="20"/>
  <c r="Z33" i="20"/>
  <c r="S33" i="20"/>
  <c r="AA33" i="20"/>
  <c r="T33" i="20"/>
  <c r="AB33" i="20"/>
  <c r="P33" i="20"/>
  <c r="X33" i="20"/>
  <c r="AF33" i="20"/>
  <c r="AE33" i="20"/>
  <c r="Q33" i="20"/>
  <c r="U33" i="20"/>
  <c r="O33" i="20"/>
  <c r="V33" i="20"/>
  <c r="W33" i="20"/>
  <c r="AD33" i="20"/>
  <c r="AC33" i="20"/>
  <c r="Y33" i="20"/>
  <c r="S32" i="20"/>
  <c r="AA32" i="20"/>
  <c r="T32" i="20"/>
  <c r="AB32" i="20"/>
  <c r="U32" i="20"/>
  <c r="AC32" i="20"/>
  <c r="Q32" i="20"/>
  <c r="Y32" i="20"/>
  <c r="P32" i="20"/>
  <c r="AF32" i="20"/>
  <c r="R32" i="20"/>
  <c r="O32" i="20"/>
  <c r="V32" i="20"/>
  <c r="W32" i="20"/>
  <c r="X32" i="20"/>
  <c r="AE32" i="20"/>
  <c r="Z32" i="20"/>
  <c r="AD32" i="20"/>
  <c r="R9" i="20"/>
  <c r="Z9" i="20"/>
  <c r="S9" i="20"/>
  <c r="AA9" i="20"/>
  <c r="T9" i="20"/>
  <c r="AB9" i="20"/>
  <c r="U9" i="20"/>
  <c r="AC9" i="20"/>
  <c r="P9" i="20"/>
  <c r="X9" i="20"/>
  <c r="AF9" i="20"/>
  <c r="Y9" i="20"/>
  <c r="AD9" i="20"/>
  <c r="AE9" i="20"/>
  <c r="O9" i="20"/>
  <c r="V9" i="20"/>
  <c r="Q9" i="20"/>
  <c r="W9" i="20"/>
  <c r="K198" i="19"/>
  <c r="K212" i="19" s="1"/>
  <c r="M23" i="20" s="1"/>
  <c r="J195" i="19"/>
  <c r="J209" i="19" s="1"/>
  <c r="L16" i="20" s="1"/>
  <c r="C195" i="19"/>
  <c r="C209" i="19" s="1"/>
  <c r="E16" i="20" s="1"/>
  <c r="C194" i="19"/>
  <c r="C208" i="19" s="1"/>
  <c r="E24" i="20" s="1"/>
  <c r="I196" i="19"/>
  <c r="I210" i="19" s="1"/>
  <c r="K18" i="20" s="1"/>
  <c r="C193" i="19"/>
  <c r="C207" i="19" s="1"/>
  <c r="E19" i="20" s="1"/>
  <c r="U43" i="20"/>
  <c r="AC43" i="20"/>
  <c r="V43" i="20"/>
  <c r="AD43" i="20"/>
  <c r="W43" i="20"/>
  <c r="AE43" i="20"/>
  <c r="P43" i="20"/>
  <c r="X43" i="20"/>
  <c r="AF43" i="20"/>
  <c r="Q43" i="20"/>
  <c r="Y43" i="20"/>
  <c r="O43" i="20"/>
  <c r="S43" i="20"/>
  <c r="R43" i="20"/>
  <c r="T43" i="20"/>
  <c r="Z43" i="20"/>
  <c r="AA43" i="20"/>
  <c r="AB43" i="20"/>
  <c r="T36" i="20"/>
  <c r="AB36" i="20"/>
  <c r="U36" i="20"/>
  <c r="AC36" i="20"/>
  <c r="V36" i="20"/>
  <c r="AD36" i="20"/>
  <c r="W36" i="20"/>
  <c r="AE36" i="20"/>
  <c r="P36" i="20"/>
  <c r="X36" i="20"/>
  <c r="AF36" i="20"/>
  <c r="AA36" i="20"/>
  <c r="O36" i="20"/>
  <c r="Y36" i="20"/>
  <c r="Z36" i="20"/>
  <c r="Q36" i="20"/>
  <c r="R36" i="20"/>
  <c r="S36" i="20"/>
  <c r="P11" i="20"/>
  <c r="X11" i="20"/>
  <c r="AF11" i="20"/>
  <c r="Q11" i="20"/>
  <c r="Y11" i="20"/>
  <c r="R11" i="20"/>
  <c r="Z11" i="20"/>
  <c r="S11" i="20"/>
  <c r="AA11" i="20"/>
  <c r="V11" i="20"/>
  <c r="AD11" i="20"/>
  <c r="T11" i="20"/>
  <c r="U11" i="20"/>
  <c r="W11" i="20"/>
  <c r="O11" i="20"/>
  <c r="AB11" i="20"/>
  <c r="AC11" i="20"/>
  <c r="AE11" i="20"/>
  <c r="P40" i="20"/>
  <c r="X40" i="20"/>
  <c r="AF40" i="20"/>
  <c r="Q40" i="20"/>
  <c r="Y40" i="20"/>
  <c r="O40" i="20"/>
  <c r="R40" i="20"/>
  <c r="Z40" i="20"/>
  <c r="S40" i="20"/>
  <c r="AA40" i="20"/>
  <c r="T40" i="20"/>
  <c r="AB40" i="20"/>
  <c r="AC40" i="20"/>
  <c r="AD40" i="20"/>
  <c r="U40" i="20"/>
  <c r="AE40" i="20"/>
  <c r="V40" i="20"/>
  <c r="W40" i="20"/>
  <c r="F198" i="19"/>
  <c r="F212" i="19" s="1"/>
  <c r="H23" i="20" s="1"/>
  <c r="E195" i="19"/>
  <c r="E209" i="19" s="1"/>
  <c r="G16" i="20" s="1"/>
  <c r="H194" i="19"/>
  <c r="H208" i="19" s="1"/>
  <c r="J24" i="20" s="1"/>
  <c r="J190" i="19"/>
  <c r="J204" i="19" s="1"/>
  <c r="L22" i="20" s="1"/>
  <c r="D192" i="19"/>
  <c r="D206" i="19" s="1"/>
  <c r="F14" i="20" s="1"/>
  <c r="F195" i="19"/>
  <c r="F209" i="19" s="1"/>
  <c r="H16" i="20" s="1"/>
  <c r="I194" i="19"/>
  <c r="I208" i="19" s="1"/>
  <c r="K24" i="20" s="1"/>
  <c r="J196" i="19"/>
  <c r="J210" i="19" s="1"/>
  <c r="L18" i="20" s="1"/>
  <c r="W4" i="20"/>
  <c r="AE4" i="20"/>
  <c r="P4" i="20"/>
  <c r="X4" i="20"/>
  <c r="AF4" i="20"/>
  <c r="Q4" i="20"/>
  <c r="Y4" i="20"/>
  <c r="R4" i="20"/>
  <c r="Z4" i="20"/>
  <c r="U4" i="20"/>
  <c r="AC4" i="20"/>
  <c r="V4" i="20"/>
  <c r="AD4" i="20"/>
  <c r="S4" i="20"/>
  <c r="AB4" i="20"/>
  <c r="O4" i="20"/>
  <c r="T4" i="20"/>
  <c r="AA4" i="20"/>
  <c r="I198" i="19"/>
  <c r="I212" i="19" s="1"/>
  <c r="K23" i="20" s="1"/>
  <c r="I195" i="19"/>
  <c r="I209" i="19" s="1"/>
  <c r="K16" i="20" s="1"/>
  <c r="J194" i="19"/>
  <c r="J208" i="19" s="1"/>
  <c r="L24" i="20" s="1"/>
  <c r="F192" i="19"/>
  <c r="F206" i="19" s="1"/>
  <c r="H14" i="20" s="1"/>
  <c r="E196" i="19"/>
  <c r="E210" i="19" s="1"/>
  <c r="G18" i="20" s="1"/>
  <c r="G196" i="19"/>
  <c r="G210" i="19" s="1"/>
  <c r="I18" i="20" s="1"/>
  <c r="R38" i="20"/>
  <c r="Z38" i="20"/>
  <c r="S38" i="20"/>
  <c r="AA38" i="20"/>
  <c r="T38" i="20"/>
  <c r="AB38" i="20"/>
  <c r="U38" i="20"/>
  <c r="AC38" i="20"/>
  <c r="V38" i="20"/>
  <c r="AD38" i="20"/>
  <c r="Q38" i="20"/>
  <c r="P38" i="20"/>
  <c r="W38" i="20"/>
  <c r="X38" i="20"/>
  <c r="Y38" i="20"/>
  <c r="O38" i="20"/>
  <c r="AF38" i="20"/>
  <c r="AE38" i="20"/>
  <c r="Q39" i="20"/>
  <c r="Y39" i="20"/>
  <c r="O39" i="20"/>
  <c r="R39" i="20"/>
  <c r="Z39" i="20"/>
  <c r="S39" i="20"/>
  <c r="AA39" i="20"/>
  <c r="T39" i="20"/>
  <c r="AB39" i="20"/>
  <c r="U39" i="20"/>
  <c r="AC39" i="20"/>
  <c r="W39" i="20"/>
  <c r="P39" i="20"/>
  <c r="X39" i="20"/>
  <c r="AD39" i="20"/>
  <c r="AE39" i="20"/>
  <c r="V39" i="20"/>
  <c r="AF39" i="20"/>
  <c r="Q2" i="20"/>
  <c r="Y2" i="20"/>
  <c r="R2" i="20"/>
  <c r="Z2" i="20"/>
  <c r="S2" i="20"/>
  <c r="AA2" i="20"/>
  <c r="T2" i="20"/>
  <c r="AB2" i="20"/>
  <c r="W2" i="20"/>
  <c r="AE2" i="20"/>
  <c r="P2" i="20"/>
  <c r="X2" i="20"/>
  <c r="AF2" i="20"/>
  <c r="U2" i="20"/>
  <c r="V2" i="20"/>
  <c r="AC2" i="20"/>
  <c r="AD2" i="20"/>
  <c r="O2" i="20"/>
  <c r="V5" i="20"/>
  <c r="AD5" i="20"/>
  <c r="W5" i="20"/>
  <c r="AE5" i="20"/>
  <c r="P5" i="20"/>
  <c r="X5" i="20"/>
  <c r="AF5" i="20"/>
  <c r="Q5" i="20"/>
  <c r="Y5" i="20"/>
  <c r="T5" i="20"/>
  <c r="AB5" i="20"/>
  <c r="U5" i="20"/>
  <c r="AC5" i="20"/>
  <c r="R5" i="20"/>
  <c r="S5" i="20"/>
  <c r="Z5" i="20"/>
  <c r="AA5" i="20"/>
  <c r="O5" i="20"/>
  <c r="L190" i="19"/>
  <c r="L204" i="19" s="1"/>
  <c r="N22" i="20" s="1"/>
  <c r="F193" i="19"/>
  <c r="F207" i="19" s="1"/>
  <c r="H19" i="20" s="1"/>
  <c r="I189" i="19"/>
  <c r="I203" i="19" s="1"/>
  <c r="K12" i="20" s="1"/>
  <c r="K192" i="19"/>
  <c r="K206" i="19" s="1"/>
  <c r="M14" i="20" s="1"/>
  <c r="P27" i="20"/>
  <c r="X27" i="20"/>
  <c r="AF27" i="20"/>
  <c r="Q27" i="20"/>
  <c r="Y27" i="20"/>
  <c r="R27" i="20"/>
  <c r="Z27" i="20"/>
  <c r="V27" i="20"/>
  <c r="AD27" i="20"/>
  <c r="U27" i="20"/>
  <c r="W27" i="20"/>
  <c r="AA27" i="20"/>
  <c r="AB27" i="20"/>
  <c r="AC27" i="20"/>
  <c r="O27" i="20"/>
  <c r="S27" i="20"/>
  <c r="T27" i="20"/>
  <c r="AE27" i="20"/>
  <c r="T7" i="20"/>
  <c r="AB7" i="20"/>
  <c r="U7" i="20"/>
  <c r="AC7" i="20"/>
  <c r="V7" i="20"/>
  <c r="AD7" i="20"/>
  <c r="W7" i="20"/>
  <c r="AE7" i="20"/>
  <c r="R7" i="20"/>
  <c r="Z7" i="20"/>
  <c r="S7" i="20"/>
  <c r="P7" i="20"/>
  <c r="O7" i="20"/>
  <c r="Q7" i="20"/>
  <c r="X7" i="20"/>
  <c r="Y7" i="20"/>
  <c r="AA7" i="20"/>
  <c r="AF7" i="20"/>
  <c r="D198" i="19"/>
  <c r="D212" i="19" s="1"/>
  <c r="F23" i="20" s="1"/>
  <c r="I193" i="19"/>
  <c r="I207" i="19" s="1"/>
  <c r="K19" i="20" s="1"/>
  <c r="J189" i="19"/>
  <c r="J203" i="19" s="1"/>
  <c r="L12" i="20" s="1"/>
  <c r="L189" i="19"/>
  <c r="L203" i="19" s="1"/>
  <c r="N12" i="20" s="1"/>
  <c r="L192" i="19"/>
  <c r="L206" i="19" s="1"/>
  <c r="N14" i="20" s="1"/>
  <c r="W20" i="20"/>
  <c r="AE20" i="20"/>
  <c r="P20" i="20"/>
  <c r="X20" i="20"/>
  <c r="AF20" i="20"/>
  <c r="Q20" i="20"/>
  <c r="Y20" i="20"/>
  <c r="R20" i="20"/>
  <c r="Z20" i="20"/>
  <c r="U20" i="20"/>
  <c r="AC20" i="20"/>
  <c r="AD20" i="20"/>
  <c r="S20" i="20"/>
  <c r="T20" i="20"/>
  <c r="AA20" i="20"/>
  <c r="V20" i="20"/>
  <c r="AB20" i="20"/>
  <c r="O20" i="20"/>
  <c r="I190" i="19"/>
  <c r="I204" i="19" s="1"/>
  <c r="K22" i="20" s="1"/>
  <c r="H198" i="19"/>
  <c r="H212" i="19" s="1"/>
  <c r="J23" i="20" s="1"/>
  <c r="G194" i="19"/>
  <c r="G208" i="19" s="1"/>
  <c r="I24" i="20" s="1"/>
  <c r="K190" i="19"/>
  <c r="K204" i="19" s="1"/>
  <c r="M22" i="20" s="1"/>
  <c r="J198" i="19"/>
  <c r="J212" i="19" s="1"/>
  <c r="L23" i="20" s="1"/>
  <c r="G195" i="19"/>
  <c r="G209" i="19" s="1"/>
  <c r="I16" i="20" s="1"/>
  <c r="E194" i="19"/>
  <c r="E208" i="19" s="1"/>
  <c r="G24" i="20" s="1"/>
  <c r="C216" i="19"/>
  <c r="C9" i="19" s="1"/>
  <c r="C202" i="19"/>
  <c r="E21" i="20" s="1"/>
  <c r="F196" i="19"/>
  <c r="F210" i="19" s="1"/>
  <c r="H18" i="20" s="1"/>
  <c r="G193" i="19"/>
  <c r="G207" i="19" s="1"/>
  <c r="I19" i="20" s="1"/>
  <c r="E189" i="19"/>
  <c r="E203" i="19" s="1"/>
  <c r="G12" i="20" s="1"/>
  <c r="K189" i="19"/>
  <c r="K203" i="19" s="1"/>
  <c r="M12" i="20" s="1"/>
  <c r="E192" i="19"/>
  <c r="E206" i="19" s="1"/>
  <c r="G14" i="20" s="1"/>
  <c r="S37" i="20"/>
  <c r="AA37" i="20"/>
  <c r="T37" i="20"/>
  <c r="AB37" i="20"/>
  <c r="U37" i="20"/>
  <c r="AC37" i="20"/>
  <c r="V37" i="20"/>
  <c r="AD37" i="20"/>
  <c r="W37" i="20"/>
  <c r="AE37" i="20"/>
  <c r="P37" i="20"/>
  <c r="Q37" i="20"/>
  <c r="R37" i="20"/>
  <c r="O37" i="20"/>
  <c r="Z37" i="20"/>
  <c r="X37" i="20"/>
  <c r="Y37" i="20"/>
  <c r="AF37" i="20"/>
  <c r="R17" i="20"/>
  <c r="Z17" i="20"/>
  <c r="S17" i="20"/>
  <c r="AA17" i="20"/>
  <c r="T17" i="20"/>
  <c r="AB17" i="20"/>
  <c r="U17" i="20"/>
  <c r="AC17" i="20"/>
  <c r="P17" i="20"/>
  <c r="X17" i="20"/>
  <c r="AF17" i="20"/>
  <c r="Q17" i="20"/>
  <c r="V17" i="20"/>
  <c r="W17" i="20"/>
  <c r="O17" i="20"/>
  <c r="Y17" i="20"/>
  <c r="AD17" i="20"/>
  <c r="AE17" i="20"/>
  <c r="T31" i="20"/>
  <c r="AB31" i="20"/>
  <c r="U31" i="20"/>
  <c r="AC31" i="20"/>
  <c r="V31" i="20"/>
  <c r="AD31" i="20"/>
  <c r="R31" i="20"/>
  <c r="Z31" i="20"/>
  <c r="Q31" i="20"/>
  <c r="O31" i="20"/>
  <c r="S31" i="20"/>
  <c r="W31" i="20"/>
  <c r="X31" i="20"/>
  <c r="Y31" i="20"/>
  <c r="AA31" i="20"/>
  <c r="AE31" i="20"/>
  <c r="AF31" i="20"/>
  <c r="P31" i="20"/>
  <c r="V42" i="20"/>
  <c r="AD42" i="20"/>
  <c r="W42" i="20"/>
  <c r="AE42" i="20"/>
  <c r="P42" i="20"/>
  <c r="X42" i="20"/>
  <c r="AF42" i="20"/>
  <c r="Q42" i="20"/>
  <c r="Y42" i="20"/>
  <c r="O42" i="20"/>
  <c r="R42" i="20"/>
  <c r="Z42" i="20"/>
  <c r="S42" i="20"/>
  <c r="AB42" i="20"/>
  <c r="T42" i="20"/>
  <c r="U42" i="20"/>
  <c r="AA42" i="20"/>
  <c r="AC42" i="20"/>
  <c r="Q10" i="20"/>
  <c r="Y10" i="20"/>
  <c r="R10" i="20"/>
  <c r="Z10" i="20"/>
  <c r="S10" i="20"/>
  <c r="AA10" i="20"/>
  <c r="T10" i="20"/>
  <c r="AB10" i="20"/>
  <c r="W10" i="20"/>
  <c r="AE10" i="20"/>
  <c r="AD10" i="20"/>
  <c r="AF10" i="20"/>
  <c r="P10" i="20"/>
  <c r="O10" i="20"/>
  <c r="U10" i="20"/>
  <c r="X10" i="20"/>
  <c r="AC10" i="20"/>
  <c r="V10" i="20"/>
  <c r="H190" i="19"/>
  <c r="H204" i="19" s="1"/>
  <c r="J22" i="20" s="1"/>
  <c r="G190" i="19"/>
  <c r="G204" i="19" s="1"/>
  <c r="I22" i="20" s="1"/>
  <c r="L195" i="19"/>
  <c r="L209" i="19" s="1"/>
  <c r="N16" i="20" s="1"/>
  <c r="K195" i="19"/>
  <c r="K209" i="19" s="1"/>
  <c r="M16" i="20" s="1"/>
  <c r="K194" i="19"/>
  <c r="K208" i="19" s="1"/>
  <c r="M24" i="20" s="1"/>
  <c r="C196" i="19"/>
  <c r="C210" i="19" s="1"/>
  <c r="E18" i="20" s="1"/>
  <c r="K193" i="19"/>
  <c r="K207" i="19" s="1"/>
  <c r="M19" i="20" s="1"/>
  <c r="E190" i="19"/>
  <c r="E204" i="19" s="1"/>
  <c r="G22" i="20" s="1"/>
  <c r="E198" i="19"/>
  <c r="E212" i="19" s="1"/>
  <c r="G23" i="20" s="1"/>
  <c r="L198" i="19"/>
  <c r="L212" i="19" s="1"/>
  <c r="N23" i="20" s="1"/>
  <c r="D195" i="19"/>
  <c r="D209" i="19" s="1"/>
  <c r="F16" i="20" s="1"/>
  <c r="K196" i="19"/>
  <c r="K210" i="19" s="1"/>
  <c r="M18" i="20" s="1"/>
  <c r="J193" i="19"/>
  <c r="J207" i="19" s="1"/>
  <c r="L19" i="20" s="1"/>
  <c r="J191" i="19"/>
  <c r="J205" i="19" s="1"/>
  <c r="L25" i="20" s="1"/>
  <c r="W41" i="20"/>
  <c r="AE41" i="20"/>
  <c r="P41" i="20"/>
  <c r="X41" i="20"/>
  <c r="AF41" i="20"/>
  <c r="Q41" i="20"/>
  <c r="Y41" i="20"/>
  <c r="O41" i="20"/>
  <c r="R41" i="20"/>
  <c r="Z41" i="20"/>
  <c r="S41" i="20"/>
  <c r="AA41" i="20"/>
  <c r="AD41" i="20"/>
  <c r="AC41" i="20"/>
  <c r="AB41" i="20"/>
  <c r="T41" i="20"/>
  <c r="U41" i="20"/>
  <c r="V41" i="20"/>
  <c r="S8" i="20"/>
  <c r="AA8" i="20"/>
  <c r="T8" i="20"/>
  <c r="AB8" i="20"/>
  <c r="U8" i="20"/>
  <c r="AC8" i="20"/>
  <c r="V8" i="20"/>
  <c r="AD8" i="20"/>
  <c r="Q8" i="20"/>
  <c r="Y8" i="20"/>
  <c r="W8" i="20"/>
  <c r="X8" i="20"/>
  <c r="O8" i="20"/>
  <c r="Z8" i="20"/>
  <c r="AE8" i="20"/>
  <c r="AF8" i="20"/>
  <c r="P8" i="20"/>
  <c r="R8" i="20"/>
  <c r="G198" i="19"/>
  <c r="G212" i="19" s="1"/>
  <c r="I23" i="20" s="1"/>
  <c r="D196" i="19"/>
  <c r="D210" i="19" s="1"/>
  <c r="F18" i="20" s="1"/>
  <c r="L196" i="19"/>
  <c r="L210" i="19" s="1"/>
  <c r="N18" i="20" s="1"/>
  <c r="D193" i="19"/>
  <c r="D207" i="19" s="1"/>
  <c r="F19" i="20" s="1"/>
  <c r="P3" i="20"/>
  <c r="X3" i="20"/>
  <c r="AF3" i="20"/>
  <c r="Q3" i="20"/>
  <c r="Y3" i="20"/>
  <c r="R3" i="20"/>
  <c r="Z3" i="20"/>
  <c r="S3" i="20"/>
  <c r="AA3" i="20"/>
  <c r="V3" i="20"/>
  <c r="AD3" i="20"/>
  <c r="W3" i="20"/>
  <c r="AE3" i="20"/>
  <c r="T3" i="20"/>
  <c r="U3" i="20"/>
  <c r="AB3" i="20"/>
  <c r="AC3" i="20"/>
  <c r="O3" i="20"/>
  <c r="V13" i="20"/>
  <c r="AD13" i="20"/>
  <c r="W13" i="20"/>
  <c r="AE13" i="20"/>
  <c r="P13" i="20"/>
  <c r="X13" i="20"/>
  <c r="AF13" i="20"/>
  <c r="Q13" i="20"/>
  <c r="Y13" i="20"/>
  <c r="T13" i="20"/>
  <c r="AB13" i="20"/>
  <c r="U13" i="20"/>
  <c r="Z13" i="20"/>
  <c r="AA13" i="20"/>
  <c r="AC13" i="20"/>
  <c r="S13" i="20"/>
  <c r="O13" i="20"/>
  <c r="R13" i="20"/>
  <c r="L194" i="19"/>
  <c r="L208" i="19" s="1"/>
  <c r="N24" i="20" s="1"/>
  <c r="D190" i="19"/>
  <c r="D204" i="19" s="1"/>
  <c r="F22" i="20" s="1"/>
  <c r="C198" i="19"/>
  <c r="C212" i="19" s="1"/>
  <c r="E23" i="20" s="1"/>
  <c r="F190" i="19"/>
  <c r="F204" i="19" s="1"/>
  <c r="H22" i="20" s="1"/>
  <c r="H195" i="19"/>
  <c r="H209" i="19" s="1"/>
  <c r="J16" i="20" s="1"/>
  <c r="F194" i="19"/>
  <c r="F208" i="19" s="1"/>
  <c r="H24" i="20" s="1"/>
  <c r="H196" i="19"/>
  <c r="H210" i="19" s="1"/>
  <c r="J18" i="20" s="1"/>
  <c r="C190" i="19"/>
  <c r="C204" i="19" s="1"/>
  <c r="E22" i="20" s="1"/>
  <c r="H193" i="19"/>
  <c r="H207" i="19" s="1"/>
  <c r="J19" i="20" s="1"/>
  <c r="F189" i="19"/>
  <c r="F203" i="19" s="1"/>
  <c r="H12" i="20" s="1"/>
  <c r="H189" i="19"/>
  <c r="H203" i="19" s="1"/>
  <c r="J12" i="20" s="1"/>
  <c r="C192" i="19"/>
  <c r="C206" i="19" s="1"/>
  <c r="E14" i="20" s="1"/>
  <c r="C191" i="19"/>
  <c r="C205" i="19" s="1"/>
  <c r="E25" i="20" s="1"/>
  <c r="U30" i="20"/>
  <c r="AC30" i="20"/>
  <c r="V30" i="20"/>
  <c r="AD30" i="20"/>
  <c r="W30" i="20"/>
  <c r="AE30" i="20"/>
  <c r="S30" i="20"/>
  <c r="AA30" i="20"/>
  <c r="R30" i="20"/>
  <c r="T30" i="20"/>
  <c r="X30" i="20"/>
  <c r="Y30" i="20"/>
  <c r="Z30" i="20"/>
  <c r="O30" i="20"/>
  <c r="P30" i="20"/>
  <c r="AB30" i="20"/>
  <c r="AF30" i="20"/>
  <c r="Q30" i="20"/>
  <c r="W28" i="20"/>
  <c r="AE28" i="20"/>
  <c r="P28" i="20"/>
  <c r="X28" i="20"/>
  <c r="AF28" i="20"/>
  <c r="Q28" i="20"/>
  <c r="Y28" i="20"/>
  <c r="U28" i="20"/>
  <c r="AC28" i="20"/>
  <c r="T28" i="20"/>
  <c r="V28" i="20"/>
  <c r="Z28" i="20"/>
  <c r="AA28" i="20"/>
  <c r="AB28" i="20"/>
  <c r="AD28" i="20"/>
  <c r="R28" i="20"/>
  <c r="S28" i="20"/>
  <c r="O28" i="20"/>
  <c r="V29" i="20"/>
  <c r="AD29" i="20"/>
  <c r="W29" i="20"/>
  <c r="AE29" i="20"/>
  <c r="P29" i="20"/>
  <c r="X29" i="20"/>
  <c r="AF29" i="20"/>
  <c r="T29" i="20"/>
  <c r="AB29" i="20"/>
  <c r="S29" i="20"/>
  <c r="U29" i="20"/>
  <c r="Y29" i="20"/>
  <c r="Z29" i="20"/>
  <c r="AA29" i="20"/>
  <c r="Q29" i="20"/>
  <c r="O29" i="20"/>
  <c r="R29" i="20"/>
  <c r="AC29" i="20"/>
  <c r="U6" i="20"/>
  <c r="AC6" i="20"/>
  <c r="V6" i="20"/>
  <c r="AD6" i="20"/>
  <c r="W6" i="20"/>
  <c r="AE6" i="20"/>
  <c r="P6" i="20"/>
  <c r="X6" i="20"/>
  <c r="AF6" i="20"/>
  <c r="S6" i="20"/>
  <c r="AA6" i="20"/>
  <c r="T6" i="20"/>
  <c r="AB6" i="20"/>
  <c r="Q6" i="20"/>
  <c r="Z6" i="20"/>
  <c r="Y6" i="20"/>
  <c r="R6" i="20"/>
  <c r="O6" i="20"/>
  <c r="G224" i="19"/>
  <c r="G17" i="19" s="1"/>
  <c r="K220" i="19"/>
  <c r="K13" i="19" s="1"/>
  <c r="E216" i="19"/>
  <c r="E9" i="19" s="1"/>
  <c r="C224" i="19"/>
  <c r="C17" i="19" s="1"/>
  <c r="J218" i="19"/>
  <c r="J11" i="19" s="1"/>
  <c r="D222" i="19"/>
  <c r="D15" i="19" s="1"/>
  <c r="J216" i="19"/>
  <c r="J9" i="19" s="1"/>
  <c r="K216" i="19"/>
  <c r="K9" i="19" s="1"/>
  <c r="H221" i="19"/>
  <c r="H14" i="19" s="1"/>
  <c r="I226" i="19"/>
  <c r="I19" i="19" s="1"/>
  <c r="D225" i="19"/>
  <c r="D18" i="19" s="1"/>
  <c r="F223" i="19"/>
  <c r="F16" i="19" s="1"/>
  <c r="E221" i="19"/>
  <c r="E14" i="19" s="1"/>
  <c r="D216" i="19"/>
  <c r="D9" i="19" s="1"/>
  <c r="I224" i="19"/>
  <c r="I17" i="19" s="1"/>
  <c r="F217" i="19"/>
  <c r="F10" i="19" s="1"/>
  <c r="H217" i="19"/>
  <c r="H10" i="19" s="1"/>
  <c r="H220" i="19"/>
  <c r="H13" i="19" s="1"/>
  <c r="G191" i="19"/>
  <c r="G205" i="19" s="1"/>
  <c r="I25" i="20" s="1"/>
  <c r="J220" i="19"/>
  <c r="J13" i="19" s="1"/>
  <c r="I223" i="19"/>
  <c r="I16" i="19" s="1"/>
  <c r="E225" i="19"/>
  <c r="E18" i="19" s="1"/>
  <c r="D218" i="19"/>
  <c r="D11" i="19" s="1"/>
  <c r="J222" i="19"/>
  <c r="J15" i="19" s="1"/>
  <c r="J217" i="19"/>
  <c r="J10" i="19" s="1"/>
  <c r="L218" i="19"/>
  <c r="L11" i="19" s="1"/>
  <c r="U11" i="19" s="1"/>
  <c r="H216" i="19"/>
  <c r="H9" i="19" s="1"/>
  <c r="C217" i="19"/>
  <c r="C10" i="19" s="1"/>
  <c r="D224" i="19"/>
  <c r="D17" i="19" s="1"/>
  <c r="L221" i="19"/>
  <c r="L14" i="19" s="1"/>
  <c r="F191" i="19"/>
  <c r="F205" i="19" s="1"/>
  <c r="H25" i="20" s="1"/>
  <c r="K191" i="19"/>
  <c r="K205" i="19" s="1"/>
  <c r="M25" i="20" s="1"/>
  <c r="D217" i="19"/>
  <c r="D10" i="19" s="1"/>
  <c r="K225" i="19"/>
  <c r="K18" i="19" s="1"/>
  <c r="L216" i="19"/>
  <c r="L9" i="19" s="1"/>
  <c r="G216" i="19"/>
  <c r="G9" i="19" s="1"/>
  <c r="F225" i="19"/>
  <c r="F18" i="19" s="1"/>
  <c r="J223" i="19"/>
  <c r="J16" i="19" s="1"/>
  <c r="F222" i="19"/>
  <c r="F15" i="19" s="1"/>
  <c r="I216" i="19"/>
  <c r="I9" i="19" s="1"/>
  <c r="J224" i="19"/>
  <c r="J17" i="19" s="1"/>
  <c r="G217" i="19"/>
  <c r="G10" i="19" s="1"/>
  <c r="K218" i="19"/>
  <c r="K11" i="19" s="1"/>
  <c r="L222" i="19"/>
  <c r="L15" i="19" s="1"/>
  <c r="AB15" i="19" s="1"/>
  <c r="F216" i="19"/>
  <c r="F9" i="19" s="1"/>
  <c r="L226" i="19"/>
  <c r="L19" i="19" s="1"/>
  <c r="S19" i="19" s="1"/>
  <c r="C222" i="19"/>
  <c r="C15" i="19" s="1"/>
  <c r="J225" i="19"/>
  <c r="J18" i="19" s="1"/>
  <c r="G225" i="19"/>
  <c r="G18" i="19" s="1"/>
  <c r="J226" i="19"/>
  <c r="J19" i="19" s="1"/>
  <c r="I222" i="19"/>
  <c r="I15" i="19" s="1"/>
  <c r="K221" i="19"/>
  <c r="K14" i="19" s="1"/>
  <c r="F218" i="19"/>
  <c r="F11" i="19" s="1"/>
  <c r="C225" i="19"/>
  <c r="C18" i="19" s="1"/>
  <c r="I218" i="19"/>
  <c r="I11" i="19" s="1"/>
  <c r="H225" i="19"/>
  <c r="H18" i="19" s="1"/>
  <c r="L225" i="19"/>
  <c r="L18" i="19" s="1"/>
  <c r="L219" i="19"/>
  <c r="L12" i="19" s="1"/>
  <c r="O12" i="19" s="1"/>
  <c r="I225" i="19"/>
  <c r="I18" i="19" s="1"/>
  <c r="D191" i="19"/>
  <c r="D205" i="19" s="1"/>
  <c r="F25" i="20" s="1"/>
  <c r="H191" i="19"/>
  <c r="H205" i="19" s="1"/>
  <c r="J25" i="20" s="1"/>
  <c r="E191" i="19"/>
  <c r="E205" i="19" s="1"/>
  <c r="G25" i="20" s="1"/>
  <c r="I191" i="19"/>
  <c r="I205" i="19" s="1"/>
  <c r="K25" i="20" s="1"/>
  <c r="Y14" i="19"/>
  <c r="Q14" i="19"/>
  <c r="S14" i="19"/>
  <c r="X14" i="19"/>
  <c r="P14" i="19"/>
  <c r="W14" i="19"/>
  <c r="O14" i="19"/>
  <c r="AD14" i="19"/>
  <c r="V14" i="19"/>
  <c r="N14" i="19"/>
  <c r="AC14" i="19"/>
  <c r="U14" i="19"/>
  <c r="M14" i="19"/>
  <c r="AB14" i="19"/>
  <c r="T14" i="19"/>
  <c r="AA14" i="19"/>
  <c r="Z14" i="19"/>
  <c r="R14" i="19"/>
  <c r="M11" i="19"/>
  <c r="AC19" i="19"/>
  <c r="AB19" i="19"/>
  <c r="AA19" i="19"/>
  <c r="Z19" i="19"/>
  <c r="X19" i="19"/>
  <c r="O19" i="19"/>
  <c r="V19" i="19"/>
  <c r="AC15" i="19"/>
  <c r="M15" i="19"/>
  <c r="AD15" i="19"/>
  <c r="AC9" i="19"/>
  <c r="U9" i="19"/>
  <c r="M9" i="19"/>
  <c r="AB9" i="19"/>
  <c r="T9" i="19"/>
  <c r="AA9" i="19"/>
  <c r="S9" i="19"/>
  <c r="Z9" i="19"/>
  <c r="R9" i="19"/>
  <c r="Y9" i="19"/>
  <c r="Q9" i="19"/>
  <c r="X9" i="19"/>
  <c r="P9" i="19"/>
  <c r="AD9" i="19"/>
  <c r="W9" i="19"/>
  <c r="V9" i="19"/>
  <c r="O9" i="19"/>
  <c r="N9" i="19"/>
  <c r="Y18" i="19"/>
  <c r="Q18" i="19"/>
  <c r="X18" i="19"/>
  <c r="P18" i="19"/>
  <c r="AA18" i="19"/>
  <c r="W18" i="19"/>
  <c r="O18" i="19"/>
  <c r="AD18" i="19"/>
  <c r="V18" i="19"/>
  <c r="N18" i="19"/>
  <c r="AC18" i="19"/>
  <c r="U18" i="19"/>
  <c r="M18" i="19"/>
  <c r="S18" i="19"/>
  <c r="AB18" i="19"/>
  <c r="T18" i="19"/>
  <c r="Z18" i="19"/>
  <c r="R18" i="19"/>
  <c r="I6" i="16" l="1"/>
  <c r="H49" i="16"/>
  <c r="L5" i="16"/>
  <c r="N15" i="19"/>
  <c r="U12" i="19"/>
  <c r="O15" i="19"/>
  <c r="W11" i="19"/>
  <c r="G221" i="19"/>
  <c r="G14" i="19" s="1"/>
  <c r="L217" i="19"/>
  <c r="L10" i="19" s="1"/>
  <c r="C221" i="19"/>
  <c r="C14" i="19" s="1"/>
  <c r="K223" i="19"/>
  <c r="K16" i="19" s="1"/>
  <c r="Y15" i="19"/>
  <c r="N11" i="19"/>
  <c r="I220" i="19"/>
  <c r="I13" i="19" s="1"/>
  <c r="G223" i="19"/>
  <c r="G16" i="19" s="1"/>
  <c r="F221" i="19"/>
  <c r="F14" i="19" s="1"/>
  <c r="AC11" i="19"/>
  <c r="Z15" i="19"/>
  <c r="Q11" i="19"/>
  <c r="D221" i="19"/>
  <c r="D14" i="19" s="1"/>
  <c r="C220" i="19"/>
  <c r="C13" i="19" s="1"/>
  <c r="S15" i="19"/>
  <c r="R11" i="19"/>
  <c r="T15" i="19"/>
  <c r="S11" i="19"/>
  <c r="E218" i="19"/>
  <c r="E11" i="19" s="1"/>
  <c r="H226" i="19"/>
  <c r="H19" i="19" s="1"/>
  <c r="G226" i="19"/>
  <c r="G19" i="19" s="1"/>
  <c r="C218" i="19"/>
  <c r="C11" i="19" s="1"/>
  <c r="T23" i="20"/>
  <c r="AB23" i="20"/>
  <c r="U23" i="20"/>
  <c r="AC23" i="20"/>
  <c r="V23" i="20"/>
  <c r="AD23" i="20"/>
  <c r="W23" i="20"/>
  <c r="AE23" i="20"/>
  <c r="R23" i="20"/>
  <c r="Z23" i="20"/>
  <c r="X23" i="20"/>
  <c r="O23" i="20"/>
  <c r="Y23" i="20"/>
  <c r="AA23" i="20"/>
  <c r="AF23" i="20"/>
  <c r="Q23" i="20"/>
  <c r="S23" i="20"/>
  <c r="P23" i="20"/>
  <c r="V15" i="19"/>
  <c r="R15" i="19"/>
  <c r="U15" i="19"/>
  <c r="P19" i="19"/>
  <c r="T19" i="19"/>
  <c r="T10" i="19"/>
  <c r="O10" i="19"/>
  <c r="AD11" i="19"/>
  <c r="Z11" i="19"/>
  <c r="F226" i="19"/>
  <c r="F19" i="19" s="1"/>
  <c r="L223" i="19"/>
  <c r="L16" i="19" s="1"/>
  <c r="L220" i="19"/>
  <c r="L13" i="19" s="1"/>
  <c r="C223" i="19"/>
  <c r="C16" i="19" s="1"/>
  <c r="K224" i="19"/>
  <c r="K17" i="19" s="1"/>
  <c r="E220" i="19"/>
  <c r="E13" i="19" s="1"/>
  <c r="H222" i="19"/>
  <c r="H15" i="19" s="1"/>
  <c r="H224" i="19"/>
  <c r="H17" i="19" s="1"/>
  <c r="I221" i="19"/>
  <c r="I14" i="19" s="1"/>
  <c r="W19" i="19"/>
  <c r="O11" i="19"/>
  <c r="D226" i="19"/>
  <c r="D19" i="19" s="1"/>
  <c r="E222" i="19"/>
  <c r="E15" i="19" s="1"/>
  <c r="P15" i="19"/>
  <c r="AA15" i="19"/>
  <c r="X12" i="19"/>
  <c r="Y19" i="19"/>
  <c r="M19" i="19"/>
  <c r="U10" i="19"/>
  <c r="X10" i="19"/>
  <c r="P11" i="19"/>
  <c r="T11" i="19"/>
  <c r="F224" i="19"/>
  <c r="F17" i="19" s="1"/>
  <c r="J221" i="19"/>
  <c r="J14" i="19" s="1"/>
  <c r="G220" i="19"/>
  <c r="G13" i="19" s="1"/>
  <c r="G218" i="19"/>
  <c r="G11" i="19" s="1"/>
  <c r="H223" i="19"/>
  <c r="H16" i="19" s="1"/>
  <c r="W12" i="20"/>
  <c r="AE12" i="20"/>
  <c r="P12" i="20"/>
  <c r="X12" i="20"/>
  <c r="AF12" i="20"/>
  <c r="Q12" i="20"/>
  <c r="Y12" i="20"/>
  <c r="R12" i="20"/>
  <c r="Z12" i="20"/>
  <c r="U12" i="20"/>
  <c r="AC12" i="20"/>
  <c r="S12" i="20"/>
  <c r="T12" i="20"/>
  <c r="V12" i="20"/>
  <c r="AA12" i="20"/>
  <c r="AB12" i="20"/>
  <c r="O12" i="20"/>
  <c r="AD12" i="20"/>
  <c r="U14" i="20"/>
  <c r="AC14" i="20"/>
  <c r="V14" i="20"/>
  <c r="AD14" i="20"/>
  <c r="W14" i="20"/>
  <c r="AE14" i="20"/>
  <c r="P14" i="20"/>
  <c r="X14" i="20"/>
  <c r="AF14" i="20"/>
  <c r="S14" i="20"/>
  <c r="AA14" i="20"/>
  <c r="Z14" i="20"/>
  <c r="AB14" i="20"/>
  <c r="Q14" i="20"/>
  <c r="R14" i="20"/>
  <c r="T14" i="20"/>
  <c r="Y14" i="20"/>
  <c r="O14" i="20"/>
  <c r="Q19" i="19"/>
  <c r="AA11" i="19"/>
  <c r="J219" i="19"/>
  <c r="J12" i="19" s="1"/>
  <c r="E226" i="19"/>
  <c r="E19" i="19" s="1"/>
  <c r="X15" i="19"/>
  <c r="W15" i="19"/>
  <c r="N19" i="19"/>
  <c r="R19" i="19"/>
  <c r="U19" i="19"/>
  <c r="R10" i="19"/>
  <c r="AC10" i="19"/>
  <c r="Q10" i="19"/>
  <c r="X11" i="19"/>
  <c r="AB11" i="19"/>
  <c r="F220" i="19"/>
  <c r="F13" i="19" s="1"/>
  <c r="L224" i="19"/>
  <c r="L17" i="19" s="1"/>
  <c r="K226" i="19"/>
  <c r="K19" i="19" s="1"/>
  <c r="K217" i="19"/>
  <c r="K10" i="19" s="1"/>
  <c r="E223" i="19"/>
  <c r="E16" i="19" s="1"/>
  <c r="H218" i="19"/>
  <c r="H11" i="19" s="1"/>
  <c r="P19" i="20"/>
  <c r="X19" i="20"/>
  <c r="AF19" i="20"/>
  <c r="Q19" i="20"/>
  <c r="Y19" i="20"/>
  <c r="R19" i="20"/>
  <c r="Z19" i="20"/>
  <c r="S19" i="20"/>
  <c r="AA19" i="20"/>
  <c r="V19" i="20"/>
  <c r="AD19" i="20"/>
  <c r="AB19" i="20"/>
  <c r="AC19" i="20"/>
  <c r="AE19" i="20"/>
  <c r="O19" i="20"/>
  <c r="U19" i="20"/>
  <c r="T19" i="20"/>
  <c r="W19" i="20"/>
  <c r="K222" i="19"/>
  <c r="K15" i="19" s="1"/>
  <c r="E224" i="19"/>
  <c r="E17" i="19" s="1"/>
  <c r="E217" i="19"/>
  <c r="E10" i="19" s="1"/>
  <c r="D220" i="19"/>
  <c r="D13" i="19" s="1"/>
  <c r="S24" i="20"/>
  <c r="AA24" i="20"/>
  <c r="T24" i="20"/>
  <c r="AB24" i="20"/>
  <c r="U24" i="20"/>
  <c r="AC24" i="20"/>
  <c r="Q24" i="20"/>
  <c r="Y24" i="20"/>
  <c r="X24" i="20"/>
  <c r="Z24" i="20"/>
  <c r="O24" i="20"/>
  <c r="AD24" i="20"/>
  <c r="AE24" i="20"/>
  <c r="P24" i="20"/>
  <c r="AF24" i="20"/>
  <c r="R24" i="20"/>
  <c r="V24" i="20"/>
  <c r="W24" i="20"/>
  <c r="Q18" i="20"/>
  <c r="Y18" i="20"/>
  <c r="R18" i="20"/>
  <c r="Z18" i="20"/>
  <c r="S18" i="20"/>
  <c r="AA18" i="20"/>
  <c r="T18" i="20"/>
  <c r="AB18" i="20"/>
  <c r="W18" i="20"/>
  <c r="AE18" i="20"/>
  <c r="V18" i="20"/>
  <c r="X18" i="20"/>
  <c r="AC18" i="20"/>
  <c r="AD18" i="20"/>
  <c r="O18" i="20"/>
  <c r="AF18" i="20"/>
  <c r="P18" i="20"/>
  <c r="U18" i="20"/>
  <c r="S16" i="20"/>
  <c r="AA16" i="20"/>
  <c r="T16" i="20"/>
  <c r="AB16" i="20"/>
  <c r="U16" i="20"/>
  <c r="AC16" i="20"/>
  <c r="V16" i="20"/>
  <c r="AD16" i="20"/>
  <c r="Q16" i="20"/>
  <c r="Y16" i="20"/>
  <c r="P16" i="20"/>
  <c r="O16" i="20"/>
  <c r="R16" i="20"/>
  <c r="W16" i="20"/>
  <c r="X16" i="20"/>
  <c r="AF16" i="20"/>
  <c r="Z16" i="20"/>
  <c r="AE16" i="20"/>
  <c r="U22" i="20"/>
  <c r="AC22" i="20"/>
  <c r="V22" i="20"/>
  <c r="AD22" i="20"/>
  <c r="W22" i="20"/>
  <c r="AE22" i="20"/>
  <c r="P22" i="20"/>
  <c r="X22" i="20"/>
  <c r="AF22" i="20"/>
  <c r="S22" i="20"/>
  <c r="AA22" i="20"/>
  <c r="R22" i="20"/>
  <c r="T22" i="20"/>
  <c r="Y22" i="20"/>
  <c r="Z22" i="20"/>
  <c r="AB22" i="20"/>
  <c r="O22" i="20"/>
  <c r="Q22" i="20"/>
  <c r="R25" i="20"/>
  <c r="Z25" i="20"/>
  <c r="S25" i="20"/>
  <c r="AA25" i="20"/>
  <c r="T25" i="20"/>
  <c r="AB25" i="20"/>
  <c r="P25" i="20"/>
  <c r="X25" i="20"/>
  <c r="AF25" i="20"/>
  <c r="W25" i="20"/>
  <c r="Y25" i="20"/>
  <c r="AC25" i="20"/>
  <c r="O25" i="20"/>
  <c r="AD25" i="20"/>
  <c r="AE25" i="20"/>
  <c r="V25" i="20"/>
  <c r="Q25" i="20"/>
  <c r="U25" i="20"/>
  <c r="Q15" i="19"/>
  <c r="AD19" i="19"/>
  <c r="Z10" i="19"/>
  <c r="V11" i="19"/>
  <c r="Y11" i="19"/>
  <c r="D223" i="19"/>
  <c r="D16" i="19" s="1"/>
  <c r="C226" i="19"/>
  <c r="C19" i="19" s="1"/>
  <c r="G222" i="19"/>
  <c r="G15" i="19" s="1"/>
  <c r="C219" i="19"/>
  <c r="C12" i="19" s="1"/>
  <c r="I217" i="19"/>
  <c r="I10" i="19" s="1"/>
  <c r="AB12" i="19"/>
  <c r="W12" i="19"/>
  <c r="M12" i="19"/>
  <c r="P12" i="19"/>
  <c r="K219" i="19"/>
  <c r="K12" i="19" s="1"/>
  <c r="F219" i="19"/>
  <c r="F12" i="19" s="1"/>
  <c r="Z12" i="19"/>
  <c r="AC12" i="19"/>
  <c r="Q12" i="19"/>
  <c r="I219" i="19"/>
  <c r="I12" i="19" s="1"/>
  <c r="AA12" i="19"/>
  <c r="N12" i="19"/>
  <c r="Y12" i="19"/>
  <c r="E219" i="19"/>
  <c r="E12" i="19" s="1"/>
  <c r="R12" i="19"/>
  <c r="V12" i="19"/>
  <c r="H219" i="19"/>
  <c r="H12" i="19" s="1"/>
  <c r="G219" i="19"/>
  <c r="G12" i="19" s="1"/>
  <c r="S12" i="19"/>
  <c r="AD12" i="19"/>
  <c r="D219" i="19"/>
  <c r="D12" i="19" s="1"/>
  <c r="T12" i="19"/>
  <c r="M5" i="16" l="1"/>
  <c r="J6" i="16"/>
  <c r="I49" i="16"/>
  <c r="V10" i="19"/>
  <c r="AD10" i="19"/>
  <c r="P10" i="19"/>
  <c r="N10" i="19"/>
  <c r="M10" i="19"/>
  <c r="AB10" i="19"/>
  <c r="AA10" i="19"/>
  <c r="Y10" i="19"/>
  <c r="S10" i="19"/>
  <c r="W10" i="19"/>
  <c r="U13" i="19"/>
  <c r="Y13" i="19"/>
  <c r="V13" i="19"/>
  <c r="M13" i="19"/>
  <c r="Q13" i="19"/>
  <c r="AB13" i="19"/>
  <c r="X13" i="19"/>
  <c r="W13" i="19"/>
  <c r="S13" i="19"/>
  <c r="T13" i="19"/>
  <c r="P13" i="19"/>
  <c r="AA13" i="19"/>
  <c r="O13" i="19"/>
  <c r="Z13" i="19"/>
  <c r="N13" i="19"/>
  <c r="AC13" i="19"/>
  <c r="R13" i="19"/>
  <c r="AD13" i="19"/>
  <c r="W16" i="19"/>
  <c r="AB16" i="19"/>
  <c r="O16" i="19"/>
  <c r="T16" i="19"/>
  <c r="AD16" i="19"/>
  <c r="S16" i="19"/>
  <c r="Q16" i="19"/>
  <c r="R16" i="19"/>
  <c r="AA16" i="19"/>
  <c r="Y16" i="19"/>
  <c r="V16" i="19"/>
  <c r="Z16" i="19"/>
  <c r="N16" i="19"/>
  <c r="AC16" i="19"/>
  <c r="X16" i="19"/>
  <c r="U16" i="19"/>
  <c r="P16" i="19"/>
  <c r="M16" i="19"/>
  <c r="AB17" i="19"/>
  <c r="Q17" i="19"/>
  <c r="T17" i="19"/>
  <c r="X17" i="19"/>
  <c r="AA17" i="19"/>
  <c r="P17" i="19"/>
  <c r="V17" i="19"/>
  <c r="AC17" i="19"/>
  <c r="N17" i="19"/>
  <c r="S17" i="19"/>
  <c r="O17" i="19"/>
  <c r="Z17" i="19"/>
  <c r="R17" i="19"/>
  <c r="U17" i="19"/>
  <c r="W17" i="19"/>
  <c r="AD17" i="19"/>
  <c r="M17" i="19"/>
  <c r="Y17" i="19"/>
  <c r="K6" i="16" l="1"/>
  <c r="J49" i="16"/>
  <c r="N5" i="16"/>
  <c r="B5" i="13" a="1"/>
  <c r="B5" i="13" s="1"/>
  <c r="B6" i="13" a="1"/>
  <c r="B6" i="13" s="1"/>
  <c r="B7" i="13" a="1"/>
  <c r="B7" i="13" s="1"/>
  <c r="B8" i="13" a="1"/>
  <c r="B8" i="13" s="1"/>
  <c r="B9" i="13" a="1"/>
  <c r="B9" i="13" s="1"/>
  <c r="B10" i="13" a="1"/>
  <c r="B10" i="13" s="1"/>
  <c r="B11" i="13" a="1"/>
  <c r="B11" i="13" s="1"/>
  <c r="B12" i="13" a="1"/>
  <c r="B12" i="13" s="1"/>
  <c r="B13" i="13" a="1"/>
  <c r="B13" i="13" s="1"/>
  <c r="B14" i="13" a="1"/>
  <c r="B14" i="13" s="1"/>
  <c r="B15" i="13" a="1"/>
  <c r="B15" i="13" s="1"/>
  <c r="B16" i="13" a="1"/>
  <c r="B16" i="13" s="1"/>
  <c r="B17" i="13" a="1"/>
  <c r="B17" i="13" s="1"/>
  <c r="B18" i="13" a="1"/>
  <c r="B18" i="13" s="1"/>
  <c r="B19" i="13" a="1"/>
  <c r="B19" i="13" s="1"/>
  <c r="B20" i="13" a="1"/>
  <c r="B20" i="13" s="1"/>
  <c r="B21" i="13" a="1"/>
  <c r="B21" i="13" s="1"/>
  <c r="B22" i="13" a="1"/>
  <c r="B22" i="13" s="1"/>
  <c r="B23" i="13" a="1"/>
  <c r="B23" i="13" s="1"/>
  <c r="B24" i="13" a="1"/>
  <c r="B24" i="13" s="1"/>
  <c r="B25" i="13" a="1"/>
  <c r="B25" i="13" s="1"/>
  <c r="B26" i="13" a="1"/>
  <c r="B26" i="13" s="1"/>
  <c r="B27" i="13" a="1"/>
  <c r="B27" i="13" s="1"/>
  <c r="B28" i="13" a="1"/>
  <c r="B28" i="13" s="1"/>
  <c r="B29" i="13" a="1"/>
  <c r="B29" i="13" s="1"/>
  <c r="B30" i="13" a="1"/>
  <c r="B30" i="13" s="1"/>
  <c r="B31" i="13" a="1"/>
  <c r="B31" i="13" s="1"/>
  <c r="B32" i="13" a="1"/>
  <c r="B32" i="13" s="1"/>
  <c r="B33" i="13" a="1"/>
  <c r="B33" i="13" s="1"/>
  <c r="B34" i="13" a="1"/>
  <c r="B34" i="13" s="1"/>
  <c r="B35" i="13" a="1"/>
  <c r="B35" i="13" s="1"/>
  <c r="B36" i="13" a="1"/>
  <c r="B36" i="13" s="1"/>
  <c r="B37" i="13" a="1"/>
  <c r="B37" i="13" s="1"/>
  <c r="B38" i="13" a="1"/>
  <c r="B38" i="13" s="1"/>
  <c r="B39" i="13" a="1"/>
  <c r="B39" i="13" s="1"/>
  <c r="B40" i="13" a="1"/>
  <c r="B40" i="13" s="1"/>
  <c r="B41" i="13" a="1"/>
  <c r="B41" i="13" s="1"/>
  <c r="B42" i="13" a="1"/>
  <c r="B42" i="13" s="1"/>
  <c r="B43" i="13" a="1"/>
  <c r="B43" i="13" s="1"/>
  <c r="B44" i="13" a="1"/>
  <c r="B44" i="13" s="1"/>
  <c r="B45" i="13" a="1"/>
  <c r="B45" i="13" s="1"/>
  <c r="C92" i="13" s="1"/>
  <c r="D99" i="16" s="1"/>
  <c r="D189" i="16" s="1"/>
  <c r="B4" i="13" a="1"/>
  <c r="B4" i="13" s="1"/>
  <c r="O5" i="16" l="1"/>
  <c r="L6" i="16"/>
  <c r="K49" i="16"/>
  <c r="D46" i="16"/>
  <c r="F92" i="13"/>
  <c r="G99" i="16" s="1"/>
  <c r="E92" i="13"/>
  <c r="F99" i="16" s="1"/>
  <c r="D92" i="13"/>
  <c r="E99" i="16" s="1"/>
  <c r="E189" i="16" s="1"/>
  <c r="E91" i="13"/>
  <c r="F98" i="16" s="1"/>
  <c r="D91" i="13"/>
  <c r="E98" i="16" s="1"/>
  <c r="F91" i="13"/>
  <c r="G98" i="16" s="1"/>
  <c r="C91" i="13"/>
  <c r="F90" i="13"/>
  <c r="G97" i="16" s="1"/>
  <c r="D90" i="13"/>
  <c r="E97" i="16" s="1"/>
  <c r="E90" i="13"/>
  <c r="F97" i="16" s="1"/>
  <c r="C90" i="13"/>
  <c r="D89" i="13"/>
  <c r="E96" i="16" s="1"/>
  <c r="C89" i="13"/>
  <c r="F89" i="13"/>
  <c r="G96" i="16" s="1"/>
  <c r="E89" i="13"/>
  <c r="F96" i="16" s="1"/>
  <c r="C88" i="13"/>
  <c r="F88" i="13"/>
  <c r="G95" i="16" s="1"/>
  <c r="D88" i="13"/>
  <c r="E95" i="16" s="1"/>
  <c r="E88" i="13"/>
  <c r="F95" i="16" s="1"/>
  <c r="F87" i="13"/>
  <c r="G94" i="16" s="1"/>
  <c r="E87" i="13"/>
  <c r="F94" i="16" s="1"/>
  <c r="C87" i="13"/>
  <c r="D87" i="13"/>
  <c r="E94" i="16" s="1"/>
  <c r="C86" i="13"/>
  <c r="E86" i="13"/>
  <c r="F93" i="16" s="1"/>
  <c r="D86" i="13"/>
  <c r="E93" i="16" s="1"/>
  <c r="F86" i="13"/>
  <c r="G93" i="16" s="1"/>
  <c r="E85" i="13"/>
  <c r="F92" i="16" s="1"/>
  <c r="D85" i="13"/>
  <c r="E92" i="16" s="1"/>
  <c r="F85" i="13"/>
  <c r="G92" i="16" s="1"/>
  <c r="C85" i="13"/>
  <c r="E84" i="13"/>
  <c r="F91" i="16" s="1"/>
  <c r="D84" i="13"/>
  <c r="E91" i="16" s="1"/>
  <c r="C84" i="13"/>
  <c r="F84" i="13"/>
  <c r="G91" i="16" s="1"/>
  <c r="D83" i="13"/>
  <c r="E90" i="16" s="1"/>
  <c r="C83" i="13"/>
  <c r="F83" i="13"/>
  <c r="G90" i="16" s="1"/>
  <c r="E83" i="13"/>
  <c r="F90" i="16" s="1"/>
  <c r="F82" i="13"/>
  <c r="G89" i="16" s="1"/>
  <c r="E82" i="13"/>
  <c r="F89" i="16" s="1"/>
  <c r="C82" i="13"/>
  <c r="D82" i="13"/>
  <c r="E89" i="16" s="1"/>
  <c r="D81" i="13"/>
  <c r="E88" i="16" s="1"/>
  <c r="F81" i="13"/>
  <c r="G88" i="16" s="1"/>
  <c r="C81" i="13"/>
  <c r="E81" i="13"/>
  <c r="F88" i="16" s="1"/>
  <c r="C80" i="13"/>
  <c r="E80" i="13"/>
  <c r="F87" i="16" s="1"/>
  <c r="D80" i="13"/>
  <c r="E87" i="16" s="1"/>
  <c r="F80" i="13"/>
  <c r="G87" i="16" s="1"/>
  <c r="C79" i="13"/>
  <c r="D79" i="13"/>
  <c r="E86" i="16" s="1"/>
  <c r="F79" i="13"/>
  <c r="G86" i="16" s="1"/>
  <c r="E79" i="13"/>
  <c r="F86" i="16" s="1"/>
  <c r="C77" i="13"/>
  <c r="E77" i="13"/>
  <c r="F84" i="16" s="1"/>
  <c r="F77" i="13"/>
  <c r="G84" i="16" s="1"/>
  <c r="D77" i="13"/>
  <c r="E84" i="16" s="1"/>
  <c r="C76" i="13"/>
  <c r="E76" i="13"/>
  <c r="F83" i="16" s="1"/>
  <c r="F76" i="13"/>
  <c r="G83" i="16" s="1"/>
  <c r="D76" i="13"/>
  <c r="E83" i="16" s="1"/>
  <c r="C75" i="13"/>
  <c r="E75" i="13"/>
  <c r="F82" i="16" s="1"/>
  <c r="F75" i="13"/>
  <c r="G82" i="16" s="1"/>
  <c r="D75" i="13"/>
  <c r="E82" i="16" s="1"/>
  <c r="C62" i="13"/>
  <c r="F62" i="13"/>
  <c r="G69" i="16" s="1"/>
  <c r="E62" i="13"/>
  <c r="F69" i="16" s="1"/>
  <c r="D62" i="13"/>
  <c r="E69" i="16" s="1"/>
  <c r="C55" i="13"/>
  <c r="E55" i="13"/>
  <c r="F62" i="16" s="1"/>
  <c r="F55" i="13"/>
  <c r="G62" i="16" s="1"/>
  <c r="D55" i="13"/>
  <c r="E62" i="16" s="1"/>
  <c r="L92" i="13"/>
  <c r="M99" i="16" s="1"/>
  <c r="Z92" i="13"/>
  <c r="AA99" i="16" s="1"/>
  <c r="J92" i="13"/>
  <c r="K99" i="16" s="1"/>
  <c r="AB92" i="13"/>
  <c r="AC99" i="16" s="1"/>
  <c r="I92" i="13"/>
  <c r="J99" i="16" s="1"/>
  <c r="AD92" i="13"/>
  <c r="AE99" i="16" s="1"/>
  <c r="H92" i="13"/>
  <c r="I99" i="16" s="1"/>
  <c r="AC92" i="13"/>
  <c r="AD99" i="16" s="1"/>
  <c r="V92" i="13"/>
  <c r="W99" i="16" s="1"/>
  <c r="G92" i="13"/>
  <c r="H99" i="16" s="1"/>
  <c r="X92" i="13"/>
  <c r="Y99" i="16" s="1"/>
  <c r="AE92" i="13"/>
  <c r="AF99" i="16" s="1"/>
  <c r="N92" i="13"/>
  <c r="O99" i="16" s="1"/>
  <c r="K92" i="13"/>
  <c r="L99" i="16" s="1"/>
  <c r="W92" i="13"/>
  <c r="X99" i="16" s="1"/>
  <c r="AA92" i="13"/>
  <c r="AB99" i="16" s="1"/>
  <c r="U92" i="13"/>
  <c r="V99" i="16" s="1"/>
  <c r="Q92" i="13"/>
  <c r="R99" i="16" s="1"/>
  <c r="O92" i="13"/>
  <c r="P99" i="16" s="1"/>
  <c r="M92" i="13"/>
  <c r="N99" i="16" s="1"/>
  <c r="Y92" i="13"/>
  <c r="Z99" i="16" s="1"/>
  <c r="T92" i="13"/>
  <c r="U99" i="16" s="1"/>
  <c r="R92" i="13"/>
  <c r="S99" i="16" s="1"/>
  <c r="P92" i="13"/>
  <c r="Q99" i="16" s="1"/>
  <c r="S92" i="13"/>
  <c r="T99" i="16" s="1"/>
  <c r="Q91" i="13"/>
  <c r="R98" i="16" s="1"/>
  <c r="L91" i="13"/>
  <c r="M98" i="16" s="1"/>
  <c r="AE91" i="13"/>
  <c r="AF98" i="16" s="1"/>
  <c r="G91" i="13"/>
  <c r="H98" i="16" s="1"/>
  <c r="W91" i="13"/>
  <c r="X98" i="16" s="1"/>
  <c r="V91" i="13"/>
  <c r="W98" i="16" s="1"/>
  <c r="Y91" i="13"/>
  <c r="Z98" i="16" s="1"/>
  <c r="N91" i="13"/>
  <c r="O98" i="16" s="1"/>
  <c r="I91" i="13"/>
  <c r="J98" i="16" s="1"/>
  <c r="H91" i="13"/>
  <c r="I98" i="16" s="1"/>
  <c r="AA91" i="13"/>
  <c r="AB98" i="16" s="1"/>
  <c r="J91" i="13"/>
  <c r="K98" i="16" s="1"/>
  <c r="O91" i="13"/>
  <c r="P98" i="16" s="1"/>
  <c r="AC91" i="13"/>
  <c r="AD98" i="16" s="1"/>
  <c r="P91" i="13"/>
  <c r="Q98" i="16" s="1"/>
  <c r="K91" i="13"/>
  <c r="L98" i="16" s="1"/>
  <c r="Z91" i="13"/>
  <c r="AA98" i="16" s="1"/>
  <c r="S91" i="13"/>
  <c r="T98" i="16" s="1"/>
  <c r="X91" i="13"/>
  <c r="Y98" i="16" s="1"/>
  <c r="U91" i="13"/>
  <c r="V98" i="16" s="1"/>
  <c r="AB91" i="13"/>
  <c r="AC98" i="16" s="1"/>
  <c r="R91" i="13"/>
  <c r="S98" i="16" s="1"/>
  <c r="AD91" i="13"/>
  <c r="AE98" i="16" s="1"/>
  <c r="T91" i="13"/>
  <c r="U98" i="16" s="1"/>
  <c r="M91" i="13"/>
  <c r="N98" i="16" s="1"/>
  <c r="T90" i="13"/>
  <c r="U97" i="16" s="1"/>
  <c r="P90" i="13"/>
  <c r="Q97" i="16" s="1"/>
  <c r="AE90" i="13"/>
  <c r="AF97" i="16" s="1"/>
  <c r="R90" i="13"/>
  <c r="S97" i="16" s="1"/>
  <c r="S90" i="13"/>
  <c r="T97" i="16" s="1"/>
  <c r="N90" i="13"/>
  <c r="O97" i="16" s="1"/>
  <c r="Y90" i="13"/>
  <c r="Z97" i="16" s="1"/>
  <c r="W90" i="13"/>
  <c r="X97" i="16" s="1"/>
  <c r="AB90" i="13"/>
  <c r="AC97" i="16" s="1"/>
  <c r="G90" i="13"/>
  <c r="H97" i="16" s="1"/>
  <c r="AD90" i="13"/>
  <c r="AE97" i="16" s="1"/>
  <c r="Q90" i="13"/>
  <c r="R97" i="16" s="1"/>
  <c r="O90" i="13"/>
  <c r="P97" i="16" s="1"/>
  <c r="AA90" i="13"/>
  <c r="AB97" i="16" s="1"/>
  <c r="J90" i="13"/>
  <c r="K97" i="16" s="1"/>
  <c r="H90" i="13"/>
  <c r="I97" i="16" s="1"/>
  <c r="K90" i="13"/>
  <c r="L97" i="16" s="1"/>
  <c r="M90" i="13"/>
  <c r="N97" i="16" s="1"/>
  <c r="AC90" i="13"/>
  <c r="AD97" i="16" s="1"/>
  <c r="I90" i="13"/>
  <c r="J97" i="16" s="1"/>
  <c r="L90" i="13"/>
  <c r="M97" i="16" s="1"/>
  <c r="X90" i="13"/>
  <c r="Y97" i="16" s="1"/>
  <c r="V90" i="13"/>
  <c r="W97" i="16" s="1"/>
  <c r="Z90" i="13"/>
  <c r="AA97" i="16" s="1"/>
  <c r="U90" i="13"/>
  <c r="V97" i="16" s="1"/>
  <c r="AD89" i="13"/>
  <c r="AE96" i="16" s="1"/>
  <c r="AA89" i="13"/>
  <c r="AB96" i="16" s="1"/>
  <c r="Y89" i="13"/>
  <c r="Z96" i="16" s="1"/>
  <c r="AC89" i="13"/>
  <c r="AD96" i="16" s="1"/>
  <c r="Q89" i="13"/>
  <c r="R96" i="16" s="1"/>
  <c r="AE89" i="13"/>
  <c r="AF96" i="16" s="1"/>
  <c r="K89" i="13"/>
  <c r="L96" i="16" s="1"/>
  <c r="S89" i="13"/>
  <c r="T96" i="16" s="1"/>
  <c r="U89" i="13"/>
  <c r="V96" i="16" s="1"/>
  <c r="W89" i="13"/>
  <c r="X96" i="16" s="1"/>
  <c r="M89" i="13"/>
  <c r="N96" i="16" s="1"/>
  <c r="AB89" i="13"/>
  <c r="AC96" i="16" s="1"/>
  <c r="V89" i="13"/>
  <c r="W96" i="16" s="1"/>
  <c r="T89" i="13"/>
  <c r="U96" i="16" s="1"/>
  <c r="J89" i="13"/>
  <c r="K96" i="16" s="1"/>
  <c r="N89" i="13"/>
  <c r="O96" i="16" s="1"/>
  <c r="L89" i="13"/>
  <c r="M96" i="16" s="1"/>
  <c r="X89" i="13"/>
  <c r="Y96" i="16" s="1"/>
  <c r="Z89" i="13"/>
  <c r="AA96" i="16" s="1"/>
  <c r="H89" i="13"/>
  <c r="I96" i="16" s="1"/>
  <c r="P89" i="13"/>
  <c r="Q96" i="16" s="1"/>
  <c r="G89" i="13"/>
  <c r="H96" i="16" s="1"/>
  <c r="I89" i="13"/>
  <c r="J96" i="16" s="1"/>
  <c r="R89" i="13"/>
  <c r="S96" i="16" s="1"/>
  <c r="O89" i="13"/>
  <c r="P96" i="16" s="1"/>
  <c r="J88" i="13"/>
  <c r="K95" i="16" s="1"/>
  <c r="X88" i="13"/>
  <c r="Y95" i="16" s="1"/>
  <c r="K88" i="13"/>
  <c r="L95" i="16" s="1"/>
  <c r="U88" i="13"/>
  <c r="V95" i="16" s="1"/>
  <c r="AE88" i="13"/>
  <c r="AF95" i="16" s="1"/>
  <c r="V88" i="13"/>
  <c r="W95" i="16" s="1"/>
  <c r="M88" i="13"/>
  <c r="N95" i="16" s="1"/>
  <c r="I88" i="13"/>
  <c r="J95" i="16" s="1"/>
  <c r="P88" i="13"/>
  <c r="Q95" i="16" s="1"/>
  <c r="AD88" i="13"/>
  <c r="AE95" i="16" s="1"/>
  <c r="Z88" i="13"/>
  <c r="AA95" i="16" s="1"/>
  <c r="AB88" i="13"/>
  <c r="AC95" i="16" s="1"/>
  <c r="AA88" i="13"/>
  <c r="AB95" i="16" s="1"/>
  <c r="W88" i="13"/>
  <c r="X95" i="16" s="1"/>
  <c r="R88" i="13"/>
  <c r="S95" i="16" s="1"/>
  <c r="T88" i="13"/>
  <c r="U95" i="16" s="1"/>
  <c r="O88" i="13"/>
  <c r="P95" i="16" s="1"/>
  <c r="H88" i="13"/>
  <c r="I95" i="16" s="1"/>
  <c r="Y88" i="13"/>
  <c r="Z95" i="16" s="1"/>
  <c r="Q88" i="13"/>
  <c r="R95" i="16" s="1"/>
  <c r="G88" i="13"/>
  <c r="H95" i="16" s="1"/>
  <c r="AC88" i="13"/>
  <c r="AD95" i="16" s="1"/>
  <c r="N88" i="13"/>
  <c r="O95" i="16" s="1"/>
  <c r="L88" i="13"/>
  <c r="M95" i="16" s="1"/>
  <c r="S88" i="13"/>
  <c r="T95" i="16" s="1"/>
  <c r="L87" i="13"/>
  <c r="M94" i="16" s="1"/>
  <c r="O87" i="13"/>
  <c r="P94" i="16" s="1"/>
  <c r="AD87" i="13"/>
  <c r="AE94" i="16" s="1"/>
  <c r="Q87" i="13"/>
  <c r="R94" i="16" s="1"/>
  <c r="J87" i="13"/>
  <c r="K94" i="16" s="1"/>
  <c r="K87" i="13"/>
  <c r="L94" i="16" s="1"/>
  <c r="X87" i="13"/>
  <c r="Y94" i="16" s="1"/>
  <c r="V87" i="13"/>
  <c r="W94" i="16" s="1"/>
  <c r="H87" i="13"/>
  <c r="I94" i="16" s="1"/>
  <c r="AC87" i="13"/>
  <c r="AD94" i="16" s="1"/>
  <c r="P87" i="13"/>
  <c r="Q94" i="16" s="1"/>
  <c r="S87" i="13"/>
  <c r="T94" i="16" s="1"/>
  <c r="AA87" i="13"/>
  <c r="AB94" i="16" s="1"/>
  <c r="N87" i="13"/>
  <c r="O94" i="16" s="1"/>
  <c r="Z87" i="13"/>
  <c r="AA94" i="16" s="1"/>
  <c r="U87" i="13"/>
  <c r="V94" i="16" s="1"/>
  <c r="R87" i="13"/>
  <c r="S94" i="16" s="1"/>
  <c r="M87" i="13"/>
  <c r="N94" i="16" s="1"/>
  <c r="I87" i="13"/>
  <c r="J94" i="16" s="1"/>
  <c r="G87" i="13"/>
  <c r="H94" i="16" s="1"/>
  <c r="AE87" i="13"/>
  <c r="AF94" i="16" s="1"/>
  <c r="Y87" i="13"/>
  <c r="Z94" i="16" s="1"/>
  <c r="W87" i="13"/>
  <c r="X94" i="16" s="1"/>
  <c r="T87" i="13"/>
  <c r="U94" i="16" s="1"/>
  <c r="AB87" i="13"/>
  <c r="AC94" i="16" s="1"/>
  <c r="R86" i="13"/>
  <c r="S93" i="16" s="1"/>
  <c r="L86" i="13"/>
  <c r="M93" i="16" s="1"/>
  <c r="AA86" i="13"/>
  <c r="AB93" i="16" s="1"/>
  <c r="Z86" i="13"/>
  <c r="AA93" i="16" s="1"/>
  <c r="J86" i="13"/>
  <c r="K93" i="16" s="1"/>
  <c r="AB86" i="13"/>
  <c r="AC93" i="16" s="1"/>
  <c r="Y86" i="13"/>
  <c r="Z93" i="16" s="1"/>
  <c r="AD86" i="13"/>
  <c r="AE93" i="16" s="1"/>
  <c r="AC86" i="13"/>
  <c r="AD93" i="16" s="1"/>
  <c r="T86" i="13"/>
  <c r="U93" i="16" s="1"/>
  <c r="V86" i="13"/>
  <c r="W93" i="16" s="1"/>
  <c r="P86" i="13"/>
  <c r="Q93" i="16" s="1"/>
  <c r="G86" i="13"/>
  <c r="H93" i="16" s="1"/>
  <c r="U86" i="13"/>
  <c r="V93" i="16" s="1"/>
  <c r="I86" i="13"/>
  <c r="J93" i="16" s="1"/>
  <c r="S86" i="13"/>
  <c r="T93" i="16" s="1"/>
  <c r="AE86" i="13"/>
  <c r="AF93" i="16" s="1"/>
  <c r="O86" i="13"/>
  <c r="P93" i="16" s="1"/>
  <c r="H86" i="13"/>
  <c r="I93" i="16" s="1"/>
  <c r="M86" i="13"/>
  <c r="N93" i="16" s="1"/>
  <c r="K86" i="13"/>
  <c r="L93" i="16" s="1"/>
  <c r="W86" i="13"/>
  <c r="X93" i="16" s="1"/>
  <c r="Q86" i="13"/>
  <c r="R93" i="16" s="1"/>
  <c r="N86" i="13"/>
  <c r="O93" i="16" s="1"/>
  <c r="X86" i="13"/>
  <c r="Y93" i="16" s="1"/>
  <c r="V85" i="13"/>
  <c r="W92" i="16" s="1"/>
  <c r="AD85" i="13"/>
  <c r="AE92" i="16" s="1"/>
  <c r="T85" i="13"/>
  <c r="U92" i="16" s="1"/>
  <c r="L85" i="13"/>
  <c r="M92" i="16" s="1"/>
  <c r="AC85" i="13"/>
  <c r="AD92" i="16" s="1"/>
  <c r="U85" i="13"/>
  <c r="V92" i="16" s="1"/>
  <c r="I85" i="13"/>
  <c r="J92" i="16" s="1"/>
  <c r="N85" i="13"/>
  <c r="O92" i="16" s="1"/>
  <c r="AE85" i="13"/>
  <c r="AF92" i="16" s="1"/>
  <c r="W85" i="13"/>
  <c r="X92" i="16" s="1"/>
  <c r="J85" i="13"/>
  <c r="K92" i="16" s="1"/>
  <c r="Y85" i="13"/>
  <c r="Z92" i="16" s="1"/>
  <c r="M85" i="13"/>
  <c r="N92" i="16" s="1"/>
  <c r="AA85" i="13"/>
  <c r="AB92" i="16" s="1"/>
  <c r="X85" i="13"/>
  <c r="Y92" i="16" s="1"/>
  <c r="O85" i="13"/>
  <c r="P92" i="16" s="1"/>
  <c r="Q85" i="13"/>
  <c r="R92" i="16" s="1"/>
  <c r="H85" i="13"/>
  <c r="I92" i="16" s="1"/>
  <c r="S85" i="13"/>
  <c r="T92" i="16" s="1"/>
  <c r="Z85" i="13"/>
  <c r="AA92" i="16" s="1"/>
  <c r="P85" i="13"/>
  <c r="Q92" i="16" s="1"/>
  <c r="K85" i="13"/>
  <c r="L92" i="16" s="1"/>
  <c r="AB85" i="13"/>
  <c r="AC92" i="16" s="1"/>
  <c r="G85" i="13"/>
  <c r="H92" i="16" s="1"/>
  <c r="R85" i="13"/>
  <c r="S92" i="16" s="1"/>
  <c r="AA84" i="13"/>
  <c r="AB91" i="16" s="1"/>
  <c r="AE84" i="13"/>
  <c r="AF91" i="16" s="1"/>
  <c r="N84" i="13"/>
  <c r="O91" i="16" s="1"/>
  <c r="AC84" i="13"/>
  <c r="AD91" i="16" s="1"/>
  <c r="Z84" i="13"/>
  <c r="AA91" i="16" s="1"/>
  <c r="P84" i="13"/>
  <c r="Q91" i="16" s="1"/>
  <c r="H84" i="13"/>
  <c r="I91" i="16" s="1"/>
  <c r="W84" i="13"/>
  <c r="X91" i="16" s="1"/>
  <c r="K84" i="13"/>
  <c r="L91" i="16" s="1"/>
  <c r="U84" i="13"/>
  <c r="V91" i="16" s="1"/>
  <c r="S84" i="13"/>
  <c r="T91" i="16" s="1"/>
  <c r="Q84" i="13"/>
  <c r="R91" i="16" s="1"/>
  <c r="AB84" i="13"/>
  <c r="AC91" i="16" s="1"/>
  <c r="O84" i="13"/>
  <c r="P91" i="16" s="1"/>
  <c r="M84" i="13"/>
  <c r="N91" i="16" s="1"/>
  <c r="Y84" i="13"/>
  <c r="Z91" i="16" s="1"/>
  <c r="T84" i="13"/>
  <c r="U91" i="16" s="1"/>
  <c r="L84" i="13"/>
  <c r="M91" i="16" s="1"/>
  <c r="R84" i="13"/>
  <c r="S91" i="16" s="1"/>
  <c r="J84" i="13"/>
  <c r="K91" i="16" s="1"/>
  <c r="AD84" i="13"/>
  <c r="AE91" i="16" s="1"/>
  <c r="I84" i="13"/>
  <c r="J91" i="16" s="1"/>
  <c r="G84" i="13"/>
  <c r="H91" i="16" s="1"/>
  <c r="V84" i="13"/>
  <c r="W91" i="16" s="1"/>
  <c r="X84" i="13"/>
  <c r="Y91" i="16" s="1"/>
  <c r="J83" i="13"/>
  <c r="K90" i="16" s="1"/>
  <c r="W83" i="13"/>
  <c r="X90" i="16" s="1"/>
  <c r="P83" i="13"/>
  <c r="Q90" i="16" s="1"/>
  <c r="X83" i="13"/>
  <c r="Y90" i="16" s="1"/>
  <c r="AA83" i="13"/>
  <c r="AB90" i="16" s="1"/>
  <c r="AC83" i="13"/>
  <c r="AD90" i="16" s="1"/>
  <c r="K83" i="13"/>
  <c r="L90" i="16" s="1"/>
  <c r="Z83" i="13"/>
  <c r="AA90" i="16" s="1"/>
  <c r="S83" i="13"/>
  <c r="T90" i="16" s="1"/>
  <c r="U83" i="13"/>
  <c r="V90" i="16" s="1"/>
  <c r="AB83" i="13"/>
  <c r="AC90" i="16" s="1"/>
  <c r="T83" i="13"/>
  <c r="U90" i="16" s="1"/>
  <c r="AE83" i="13"/>
  <c r="AF90" i="16" s="1"/>
  <c r="G83" i="13"/>
  <c r="H90" i="16" s="1"/>
  <c r="R83" i="13"/>
  <c r="S90" i="16" s="1"/>
  <c r="AD83" i="13"/>
  <c r="AE90" i="16" s="1"/>
  <c r="H83" i="13"/>
  <c r="I90" i="16" s="1"/>
  <c r="Y83" i="13"/>
  <c r="Z90" i="16" s="1"/>
  <c r="L83" i="13"/>
  <c r="M90" i="16" s="1"/>
  <c r="O83" i="13"/>
  <c r="P90" i="16" s="1"/>
  <c r="V83" i="13"/>
  <c r="W90" i="16" s="1"/>
  <c r="I83" i="13"/>
  <c r="J90" i="16" s="1"/>
  <c r="Q83" i="13"/>
  <c r="R90" i="16" s="1"/>
  <c r="M83" i="13"/>
  <c r="N90" i="16" s="1"/>
  <c r="N83" i="13"/>
  <c r="O90" i="16" s="1"/>
  <c r="S82" i="13"/>
  <c r="T89" i="16" s="1"/>
  <c r="I82" i="13"/>
  <c r="J89" i="16" s="1"/>
  <c r="K82" i="13"/>
  <c r="L89" i="16" s="1"/>
  <c r="AB82" i="13"/>
  <c r="AC89" i="16" s="1"/>
  <c r="M82" i="13"/>
  <c r="N89" i="16" s="1"/>
  <c r="U82" i="13"/>
  <c r="V89" i="16" s="1"/>
  <c r="X82" i="13"/>
  <c r="Y89" i="16" s="1"/>
  <c r="Z82" i="13"/>
  <c r="AA89" i="16" s="1"/>
  <c r="Y82" i="13"/>
  <c r="Z89" i="16" s="1"/>
  <c r="AD82" i="13"/>
  <c r="AE89" i="16" s="1"/>
  <c r="V82" i="13"/>
  <c r="W89" i="16" s="1"/>
  <c r="L82" i="13"/>
  <c r="M89" i="16" s="1"/>
  <c r="P82" i="13"/>
  <c r="Q89" i="16" s="1"/>
  <c r="T82" i="13"/>
  <c r="U89" i="16" s="1"/>
  <c r="AE82" i="13"/>
  <c r="AF89" i="16" s="1"/>
  <c r="R82" i="13"/>
  <c r="S89" i="16" s="1"/>
  <c r="N82" i="13"/>
  <c r="O89" i="16" s="1"/>
  <c r="W82" i="13"/>
  <c r="X89" i="16" s="1"/>
  <c r="H82" i="13"/>
  <c r="I89" i="16" s="1"/>
  <c r="G82" i="13"/>
  <c r="H89" i="16" s="1"/>
  <c r="J82" i="13"/>
  <c r="K89" i="16" s="1"/>
  <c r="O82" i="13"/>
  <c r="P89" i="16" s="1"/>
  <c r="AA82" i="13"/>
  <c r="AB89" i="16" s="1"/>
  <c r="Q82" i="13"/>
  <c r="R89" i="16" s="1"/>
  <c r="AC82" i="13"/>
  <c r="AD89" i="16" s="1"/>
  <c r="AD81" i="13"/>
  <c r="AE88" i="16" s="1"/>
  <c r="M81" i="13"/>
  <c r="N88" i="16" s="1"/>
  <c r="AB81" i="13"/>
  <c r="AC88" i="16" s="1"/>
  <c r="O81" i="13"/>
  <c r="P88" i="16" s="1"/>
  <c r="AA81" i="13"/>
  <c r="AB88" i="16" s="1"/>
  <c r="P81" i="13"/>
  <c r="Q88" i="16" s="1"/>
  <c r="V81" i="13"/>
  <c r="W88" i="16" s="1"/>
  <c r="T81" i="13"/>
  <c r="U88" i="16" s="1"/>
  <c r="R81" i="13"/>
  <c r="S88" i="16" s="1"/>
  <c r="N81" i="13"/>
  <c r="O88" i="16" s="1"/>
  <c r="Z81" i="13"/>
  <c r="AA88" i="16" s="1"/>
  <c r="L81" i="13"/>
  <c r="M88" i="16" s="1"/>
  <c r="H81" i="13"/>
  <c r="I88" i="16" s="1"/>
  <c r="X81" i="13"/>
  <c r="Y88" i="16" s="1"/>
  <c r="Y81" i="13"/>
  <c r="Z88" i="16" s="1"/>
  <c r="Q81" i="13"/>
  <c r="R88" i="16" s="1"/>
  <c r="J81" i="13"/>
  <c r="K88" i="16" s="1"/>
  <c r="K81" i="13"/>
  <c r="L88" i="16" s="1"/>
  <c r="I81" i="13"/>
  <c r="J88" i="16" s="1"/>
  <c r="AC81" i="13"/>
  <c r="AD88" i="16" s="1"/>
  <c r="S81" i="13"/>
  <c r="T88" i="16" s="1"/>
  <c r="U81" i="13"/>
  <c r="V88" i="16" s="1"/>
  <c r="G81" i="13"/>
  <c r="H88" i="16" s="1"/>
  <c r="W81" i="13"/>
  <c r="X88" i="16" s="1"/>
  <c r="AE81" i="13"/>
  <c r="AF88" i="16" s="1"/>
  <c r="AA80" i="13"/>
  <c r="AB87" i="16" s="1"/>
  <c r="O80" i="13"/>
  <c r="P87" i="16" s="1"/>
  <c r="Z80" i="13"/>
  <c r="AA87" i="16" s="1"/>
  <c r="AB80" i="13"/>
  <c r="AC87" i="16" s="1"/>
  <c r="G80" i="13"/>
  <c r="H87" i="16" s="1"/>
  <c r="R80" i="13"/>
  <c r="S87" i="16" s="1"/>
  <c r="N80" i="13"/>
  <c r="O87" i="16" s="1"/>
  <c r="T80" i="13"/>
  <c r="U87" i="16" s="1"/>
  <c r="Y80" i="13"/>
  <c r="Z87" i="16" s="1"/>
  <c r="W80" i="13"/>
  <c r="X87" i="16" s="1"/>
  <c r="I80" i="13"/>
  <c r="J87" i="16" s="1"/>
  <c r="S80" i="13"/>
  <c r="T87" i="16" s="1"/>
  <c r="Q80" i="13"/>
  <c r="R87" i="16" s="1"/>
  <c r="AC80" i="13"/>
  <c r="AD87" i="16" s="1"/>
  <c r="AE80" i="13"/>
  <c r="AF87" i="16" s="1"/>
  <c r="X80" i="13"/>
  <c r="Y87" i="16" s="1"/>
  <c r="V80" i="13"/>
  <c r="W87" i="16" s="1"/>
  <c r="AD80" i="13"/>
  <c r="AE87" i="16" s="1"/>
  <c r="K80" i="13"/>
  <c r="L87" i="16" s="1"/>
  <c r="U80" i="13"/>
  <c r="V87" i="16" s="1"/>
  <c r="J80" i="13"/>
  <c r="K87" i="16" s="1"/>
  <c r="H80" i="13"/>
  <c r="I87" i="16" s="1"/>
  <c r="P80" i="13"/>
  <c r="Q87" i="16" s="1"/>
  <c r="M80" i="13"/>
  <c r="N87" i="16" s="1"/>
  <c r="L80" i="13"/>
  <c r="M87" i="16" s="1"/>
  <c r="AC79" i="13"/>
  <c r="AD86" i="16" s="1"/>
  <c r="I79" i="13"/>
  <c r="J86" i="16" s="1"/>
  <c r="R79" i="13"/>
  <c r="S86" i="16" s="1"/>
  <c r="T79" i="13"/>
  <c r="U86" i="16" s="1"/>
  <c r="AB79" i="13"/>
  <c r="AC86" i="16" s="1"/>
  <c r="AE79" i="13"/>
  <c r="AF86" i="16" s="1"/>
  <c r="W79" i="13"/>
  <c r="X86" i="16" s="1"/>
  <c r="Y79" i="13"/>
  <c r="Z86" i="16" s="1"/>
  <c r="AA79" i="13"/>
  <c r="AB86" i="16" s="1"/>
  <c r="O79" i="13"/>
  <c r="P86" i="16" s="1"/>
  <c r="AD79" i="13"/>
  <c r="AE86" i="16" s="1"/>
  <c r="L79" i="13"/>
  <c r="M86" i="16" s="1"/>
  <c r="Q79" i="13"/>
  <c r="R86" i="16" s="1"/>
  <c r="H79" i="13"/>
  <c r="I86" i="16" s="1"/>
  <c r="X79" i="13"/>
  <c r="Y86" i="16" s="1"/>
  <c r="V79" i="13"/>
  <c r="W86" i="16" s="1"/>
  <c r="P79" i="13"/>
  <c r="Q86" i="16" s="1"/>
  <c r="S79" i="13"/>
  <c r="T86" i="16" s="1"/>
  <c r="Z79" i="13"/>
  <c r="AA86" i="16" s="1"/>
  <c r="M79" i="13"/>
  <c r="N86" i="16" s="1"/>
  <c r="G79" i="13"/>
  <c r="H86" i="16" s="1"/>
  <c r="J79" i="13"/>
  <c r="K86" i="16" s="1"/>
  <c r="U79" i="13"/>
  <c r="V86" i="16" s="1"/>
  <c r="N79" i="13"/>
  <c r="O86" i="16" s="1"/>
  <c r="K79" i="13"/>
  <c r="L86" i="16" s="1"/>
  <c r="W77" i="13"/>
  <c r="X84" i="16" s="1"/>
  <c r="O77" i="13"/>
  <c r="P84" i="16" s="1"/>
  <c r="J77" i="13"/>
  <c r="K84" i="16" s="1"/>
  <c r="Z77" i="13"/>
  <c r="AA84" i="16" s="1"/>
  <c r="H77" i="13"/>
  <c r="I84" i="16" s="1"/>
  <c r="X77" i="13"/>
  <c r="Y84" i="16" s="1"/>
  <c r="M77" i="13"/>
  <c r="N84" i="16" s="1"/>
  <c r="K77" i="13"/>
  <c r="L84" i="16" s="1"/>
  <c r="AE77" i="13"/>
  <c r="AF84" i="16" s="1"/>
  <c r="R77" i="13"/>
  <c r="S84" i="16" s="1"/>
  <c r="P77" i="13"/>
  <c r="Q84" i="16" s="1"/>
  <c r="AB77" i="13"/>
  <c r="AC84" i="16" s="1"/>
  <c r="T77" i="13"/>
  <c r="U84" i="16" s="1"/>
  <c r="AD77" i="13"/>
  <c r="AE84" i="16" s="1"/>
  <c r="V77" i="13"/>
  <c r="W84" i="16" s="1"/>
  <c r="I77" i="13"/>
  <c r="J84" i="16" s="1"/>
  <c r="U77" i="13"/>
  <c r="V84" i="16" s="1"/>
  <c r="Y77" i="13"/>
  <c r="Z84" i="16" s="1"/>
  <c r="N77" i="13"/>
  <c r="O84" i="16" s="1"/>
  <c r="AA77" i="13"/>
  <c r="AB84" i="16" s="1"/>
  <c r="G77" i="13"/>
  <c r="H84" i="16" s="1"/>
  <c r="L77" i="13"/>
  <c r="M84" i="16" s="1"/>
  <c r="S77" i="13"/>
  <c r="T84" i="16" s="1"/>
  <c r="Q77" i="13"/>
  <c r="R84" i="16" s="1"/>
  <c r="AC77" i="13"/>
  <c r="AD84" i="16" s="1"/>
  <c r="AB76" i="13"/>
  <c r="AC83" i="16" s="1"/>
  <c r="AD76" i="13"/>
  <c r="AE83" i="16" s="1"/>
  <c r="J76" i="13"/>
  <c r="K83" i="16" s="1"/>
  <c r="U76" i="13"/>
  <c r="V83" i="16" s="1"/>
  <c r="L76" i="13"/>
  <c r="M83" i="16" s="1"/>
  <c r="I76" i="13"/>
  <c r="J83" i="16" s="1"/>
  <c r="V76" i="13"/>
  <c r="W83" i="16" s="1"/>
  <c r="G76" i="13"/>
  <c r="H83" i="16" s="1"/>
  <c r="X76" i="13"/>
  <c r="Y83" i="16" s="1"/>
  <c r="W76" i="13"/>
  <c r="X83" i="16" s="1"/>
  <c r="T76" i="13"/>
  <c r="U83" i="16" s="1"/>
  <c r="AE76" i="13"/>
  <c r="AF83" i="16" s="1"/>
  <c r="N76" i="13"/>
  <c r="O83" i="16" s="1"/>
  <c r="AC76" i="13"/>
  <c r="AD83" i="16" s="1"/>
  <c r="P76" i="13"/>
  <c r="Q83" i="16" s="1"/>
  <c r="S76" i="13"/>
  <c r="T83" i="16" s="1"/>
  <c r="O76" i="13"/>
  <c r="P83" i="16" s="1"/>
  <c r="M76" i="13"/>
  <c r="N83" i="16" s="1"/>
  <c r="Y76" i="13"/>
  <c r="Z83" i="16" s="1"/>
  <c r="R76" i="13"/>
  <c r="S83" i="16" s="1"/>
  <c r="AA76" i="13"/>
  <c r="AB83" i="16" s="1"/>
  <c r="K76" i="13"/>
  <c r="L83" i="16" s="1"/>
  <c r="Q76" i="13"/>
  <c r="R83" i="16" s="1"/>
  <c r="H76" i="13"/>
  <c r="I83" i="16" s="1"/>
  <c r="Z76" i="13"/>
  <c r="AA83" i="16" s="1"/>
  <c r="AE75" i="13"/>
  <c r="AF82" i="16" s="1"/>
  <c r="N75" i="13"/>
  <c r="O82" i="16" s="1"/>
  <c r="Q75" i="13"/>
  <c r="R82" i="16" s="1"/>
  <c r="O75" i="13"/>
  <c r="P82" i="16" s="1"/>
  <c r="I75" i="13"/>
  <c r="J82" i="16" s="1"/>
  <c r="H75" i="13"/>
  <c r="I82" i="16" s="1"/>
  <c r="AA75" i="13"/>
  <c r="AB82" i="16" s="1"/>
  <c r="Y75" i="13"/>
  <c r="Z82" i="16" s="1"/>
  <c r="X75" i="13"/>
  <c r="Y82" i="16" s="1"/>
  <c r="S75" i="13"/>
  <c r="T82" i="16" s="1"/>
  <c r="J75" i="13"/>
  <c r="K82" i="16" s="1"/>
  <c r="U75" i="13"/>
  <c r="V82" i="16" s="1"/>
  <c r="T75" i="13"/>
  <c r="U82" i="16" s="1"/>
  <c r="R75" i="13"/>
  <c r="S82" i="16" s="1"/>
  <c r="AB75" i="13"/>
  <c r="AC82" i="16" s="1"/>
  <c r="K75" i="13"/>
  <c r="L82" i="16" s="1"/>
  <c r="Z75" i="13"/>
  <c r="AA82" i="16" s="1"/>
  <c r="M75" i="13"/>
  <c r="N82" i="16" s="1"/>
  <c r="L75" i="13"/>
  <c r="M82" i="16" s="1"/>
  <c r="P75" i="13"/>
  <c r="Q82" i="16" s="1"/>
  <c r="W75" i="13"/>
  <c r="X82" i="16" s="1"/>
  <c r="AD75" i="13"/>
  <c r="AE82" i="16" s="1"/>
  <c r="AC75" i="13"/>
  <c r="AD82" i="16" s="1"/>
  <c r="V75" i="13"/>
  <c r="W82" i="16" s="1"/>
  <c r="G75" i="13"/>
  <c r="H82" i="16" s="1"/>
  <c r="P62" i="13"/>
  <c r="Q69" i="16" s="1"/>
  <c r="AC62" i="13"/>
  <c r="AD69" i="16" s="1"/>
  <c r="J62" i="13"/>
  <c r="K69" i="16" s="1"/>
  <c r="L62" i="13"/>
  <c r="M69" i="16" s="1"/>
  <c r="S62" i="13"/>
  <c r="T69" i="16" s="1"/>
  <c r="Y62" i="13"/>
  <c r="Z69" i="16" s="1"/>
  <c r="N62" i="13"/>
  <c r="O69" i="16" s="1"/>
  <c r="U62" i="13"/>
  <c r="V69" i="16" s="1"/>
  <c r="K62" i="13"/>
  <c r="L69" i="16" s="1"/>
  <c r="AE62" i="13"/>
  <c r="AF69" i="16" s="1"/>
  <c r="Z62" i="13"/>
  <c r="AA69" i="16" s="1"/>
  <c r="M62" i="13"/>
  <c r="N69" i="16" s="1"/>
  <c r="I62" i="13"/>
  <c r="J69" i="16" s="1"/>
  <c r="W62" i="13"/>
  <c r="X69" i="16" s="1"/>
  <c r="R62" i="13"/>
  <c r="S69" i="16" s="1"/>
  <c r="AB62" i="13"/>
  <c r="AC69" i="16" s="1"/>
  <c r="G62" i="13"/>
  <c r="H69" i="16" s="1"/>
  <c r="X62" i="13"/>
  <c r="Y69" i="16" s="1"/>
  <c r="Q62" i="13"/>
  <c r="R69" i="16" s="1"/>
  <c r="H62" i="13"/>
  <c r="I69" i="16" s="1"/>
  <c r="T62" i="13"/>
  <c r="U69" i="16" s="1"/>
  <c r="AD62" i="13"/>
  <c r="AE69" i="16" s="1"/>
  <c r="O62" i="13"/>
  <c r="P69" i="16" s="1"/>
  <c r="V62" i="13"/>
  <c r="W69" i="16" s="1"/>
  <c r="AA62" i="13"/>
  <c r="AB69" i="16" s="1"/>
  <c r="M55" i="13"/>
  <c r="N62" i="16" s="1"/>
  <c r="AC55" i="13"/>
  <c r="AD62" i="16" s="1"/>
  <c r="AE55" i="13"/>
  <c r="AF62" i="16" s="1"/>
  <c r="H55" i="13"/>
  <c r="I62" i="16" s="1"/>
  <c r="Y55" i="13"/>
  <c r="Z62" i="16" s="1"/>
  <c r="O55" i="13"/>
  <c r="P62" i="16" s="1"/>
  <c r="V55" i="13"/>
  <c r="W62" i="16" s="1"/>
  <c r="U55" i="13"/>
  <c r="V62" i="16" s="1"/>
  <c r="I55" i="13"/>
  <c r="J62" i="16" s="1"/>
  <c r="W55" i="13"/>
  <c r="X62" i="16" s="1"/>
  <c r="AD55" i="13"/>
  <c r="AE62" i="16" s="1"/>
  <c r="S55" i="13"/>
  <c r="T62" i="16" s="1"/>
  <c r="Q55" i="13"/>
  <c r="R62" i="16" s="1"/>
  <c r="X55" i="13"/>
  <c r="Y62" i="16" s="1"/>
  <c r="G55" i="13"/>
  <c r="H62" i="16" s="1"/>
  <c r="L55" i="13"/>
  <c r="M62" i="16" s="1"/>
  <c r="P55" i="13"/>
  <c r="Q62" i="16" s="1"/>
  <c r="N55" i="13"/>
  <c r="O62" i="16" s="1"/>
  <c r="Z55" i="13"/>
  <c r="AA62" i="16" s="1"/>
  <c r="T55" i="13"/>
  <c r="U62" i="16" s="1"/>
  <c r="AB55" i="13"/>
  <c r="AC62" i="16" s="1"/>
  <c r="R55" i="13"/>
  <c r="S62" i="16" s="1"/>
  <c r="J55" i="13"/>
  <c r="K62" i="16" s="1"/>
  <c r="AA55" i="13"/>
  <c r="AB62" i="16" s="1"/>
  <c r="K55" i="13"/>
  <c r="L62" i="16" s="1"/>
  <c r="F189" i="16" l="1"/>
  <c r="G189" i="16" s="1"/>
  <c r="H189" i="16" s="1"/>
  <c r="I189" i="16" s="1"/>
  <c r="J189" i="16" s="1"/>
  <c r="K189" i="16" s="1"/>
  <c r="L189" i="16" s="1"/>
  <c r="M189" i="16" s="1"/>
  <c r="N189" i="16" s="1"/>
  <c r="O189" i="16" s="1"/>
  <c r="P189" i="16" s="1"/>
  <c r="Q189" i="16" s="1"/>
  <c r="R189" i="16" s="1"/>
  <c r="S189" i="16" s="1"/>
  <c r="T189" i="16" s="1"/>
  <c r="U189" i="16" s="1"/>
  <c r="V189" i="16" s="1"/>
  <c r="W189" i="16" s="1"/>
  <c r="X189" i="16" s="1"/>
  <c r="Y189" i="16" s="1"/>
  <c r="Z189" i="16" s="1"/>
  <c r="AA189" i="16" s="1"/>
  <c r="AB189" i="16" s="1"/>
  <c r="AC189" i="16" s="1"/>
  <c r="AD189" i="16" s="1"/>
  <c r="AE189" i="16" s="1"/>
  <c r="AF189" i="16" s="1"/>
  <c r="E46" i="16"/>
  <c r="F46" i="16" s="1"/>
  <c r="D9" i="16"/>
  <c r="E9" i="16" s="1"/>
  <c r="F9" i="16" s="1"/>
  <c r="G9" i="16" s="1"/>
  <c r="H9" i="16" s="1"/>
  <c r="I9" i="16" s="1"/>
  <c r="J9" i="16" s="1"/>
  <c r="K9" i="16" s="1"/>
  <c r="L9" i="16" s="1"/>
  <c r="M9" i="16" s="1"/>
  <c r="N9" i="16" s="1"/>
  <c r="O9" i="16" s="1"/>
  <c r="P9" i="16" s="1"/>
  <c r="Q9" i="16" s="1"/>
  <c r="R9" i="16" s="1"/>
  <c r="S9" i="16" s="1"/>
  <c r="T9" i="16" s="1"/>
  <c r="U9" i="16" s="1"/>
  <c r="V9" i="16" s="1"/>
  <c r="W9" i="16" s="1"/>
  <c r="X9" i="16" s="1"/>
  <c r="Y9" i="16" s="1"/>
  <c r="Z9" i="16" s="1"/>
  <c r="AA9" i="16" s="1"/>
  <c r="AB9" i="16" s="1"/>
  <c r="AC9" i="16" s="1"/>
  <c r="AD9" i="16" s="1"/>
  <c r="AE9" i="16" s="1"/>
  <c r="AF9" i="16" s="1"/>
  <c r="D62" i="16"/>
  <c r="D152" i="16" s="1"/>
  <c r="E152" i="16" s="1"/>
  <c r="F152" i="16" s="1"/>
  <c r="G152" i="16" s="1"/>
  <c r="H152" i="16" s="1"/>
  <c r="I152" i="16" s="1"/>
  <c r="J152" i="16" s="1"/>
  <c r="K152" i="16" s="1"/>
  <c r="L152" i="16" s="1"/>
  <c r="M152" i="16" s="1"/>
  <c r="N152" i="16" s="1"/>
  <c r="O152" i="16" s="1"/>
  <c r="P152" i="16" s="1"/>
  <c r="Q152" i="16" s="1"/>
  <c r="R152" i="16" s="1"/>
  <c r="S152" i="16" s="1"/>
  <c r="T152" i="16" s="1"/>
  <c r="U152" i="16" s="1"/>
  <c r="V152" i="16" s="1"/>
  <c r="W152" i="16" s="1"/>
  <c r="X152" i="16" s="1"/>
  <c r="Y152" i="16" s="1"/>
  <c r="Z152" i="16" s="1"/>
  <c r="AA152" i="16" s="1"/>
  <c r="AB152" i="16" s="1"/>
  <c r="AC152" i="16" s="1"/>
  <c r="AD152" i="16" s="1"/>
  <c r="AE152" i="16" s="1"/>
  <c r="AF152"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AC16" i="16" s="1"/>
  <c r="AD16" i="16" s="1"/>
  <c r="AE16" i="16" s="1"/>
  <c r="AF16" i="16" s="1"/>
  <c r="D69" i="16"/>
  <c r="D159" i="16" s="1"/>
  <c r="E159" i="16" s="1"/>
  <c r="F159" i="16" s="1"/>
  <c r="G159" i="16" s="1"/>
  <c r="H159" i="16" s="1"/>
  <c r="I159" i="16" s="1"/>
  <c r="J159" i="16" s="1"/>
  <c r="K159" i="16" s="1"/>
  <c r="L159" i="16" s="1"/>
  <c r="M159" i="16" s="1"/>
  <c r="N159" i="16" s="1"/>
  <c r="O159" i="16" s="1"/>
  <c r="P159" i="16" s="1"/>
  <c r="Q159" i="16" s="1"/>
  <c r="R159" i="16" s="1"/>
  <c r="S159" i="16" s="1"/>
  <c r="T159" i="16" s="1"/>
  <c r="U159" i="16" s="1"/>
  <c r="V159" i="16" s="1"/>
  <c r="W159" i="16" s="1"/>
  <c r="X159" i="16" s="1"/>
  <c r="Y159" i="16" s="1"/>
  <c r="Z159" i="16" s="1"/>
  <c r="AA159" i="16" s="1"/>
  <c r="AB159" i="16" s="1"/>
  <c r="AC159" i="16" s="1"/>
  <c r="AD159" i="16" s="1"/>
  <c r="AE159" i="16" s="1"/>
  <c r="AF159" i="16" s="1"/>
  <c r="D29" i="16"/>
  <c r="E29" i="16" s="1"/>
  <c r="F29" i="16" s="1"/>
  <c r="G29" i="16" s="1"/>
  <c r="H29" i="16" s="1"/>
  <c r="I29" i="16" s="1"/>
  <c r="J29" i="16" s="1"/>
  <c r="K29" i="16" s="1"/>
  <c r="L29" i="16" s="1"/>
  <c r="M29" i="16" s="1"/>
  <c r="N29" i="16" s="1"/>
  <c r="O29" i="16" s="1"/>
  <c r="P29" i="16" s="1"/>
  <c r="Q29" i="16" s="1"/>
  <c r="R29" i="16" s="1"/>
  <c r="S29" i="16" s="1"/>
  <c r="T29" i="16" s="1"/>
  <c r="U29" i="16" s="1"/>
  <c r="V29" i="16" s="1"/>
  <c r="W29" i="16" s="1"/>
  <c r="X29" i="16" s="1"/>
  <c r="Y29" i="16" s="1"/>
  <c r="Z29" i="16" s="1"/>
  <c r="AA29" i="16" s="1"/>
  <c r="AB29" i="16" s="1"/>
  <c r="AC29" i="16" s="1"/>
  <c r="AD29" i="16" s="1"/>
  <c r="AE29" i="16" s="1"/>
  <c r="AF29" i="16" s="1"/>
  <c r="D82" i="16"/>
  <c r="D172" i="16" s="1"/>
  <c r="E172" i="16" s="1"/>
  <c r="F172" i="16" s="1"/>
  <c r="G172" i="16" s="1"/>
  <c r="H172" i="16" s="1"/>
  <c r="I172" i="16" s="1"/>
  <c r="J172" i="16" s="1"/>
  <c r="K172" i="16" s="1"/>
  <c r="L172" i="16" s="1"/>
  <c r="M172" i="16" s="1"/>
  <c r="N172" i="16" s="1"/>
  <c r="O172" i="16" s="1"/>
  <c r="P172" i="16" s="1"/>
  <c r="Q172" i="16" s="1"/>
  <c r="R172" i="16" s="1"/>
  <c r="S172" i="16" s="1"/>
  <c r="T172" i="16" s="1"/>
  <c r="U172" i="16" s="1"/>
  <c r="V172" i="16" s="1"/>
  <c r="W172" i="16" s="1"/>
  <c r="X172" i="16" s="1"/>
  <c r="Y172" i="16" s="1"/>
  <c r="Z172" i="16" s="1"/>
  <c r="AA172" i="16" s="1"/>
  <c r="AB172" i="16" s="1"/>
  <c r="AC172" i="16" s="1"/>
  <c r="AD172" i="16" s="1"/>
  <c r="AE172" i="16" s="1"/>
  <c r="AF172" i="16" s="1"/>
  <c r="D30" i="16"/>
  <c r="E30" i="16" s="1"/>
  <c r="F30" i="16" s="1"/>
  <c r="G30" i="16" s="1"/>
  <c r="H30" i="16" s="1"/>
  <c r="I30" i="16" s="1"/>
  <c r="J30" i="16" s="1"/>
  <c r="K30" i="16" s="1"/>
  <c r="L30" i="16" s="1"/>
  <c r="M30" i="16" s="1"/>
  <c r="N30" i="16" s="1"/>
  <c r="O30" i="16" s="1"/>
  <c r="P30" i="16" s="1"/>
  <c r="Q30" i="16" s="1"/>
  <c r="R30" i="16" s="1"/>
  <c r="S30" i="16" s="1"/>
  <c r="T30" i="16" s="1"/>
  <c r="U30" i="16" s="1"/>
  <c r="V30" i="16" s="1"/>
  <c r="W30" i="16" s="1"/>
  <c r="X30" i="16" s="1"/>
  <c r="Y30" i="16" s="1"/>
  <c r="Z30" i="16" s="1"/>
  <c r="AA30" i="16" s="1"/>
  <c r="AB30" i="16" s="1"/>
  <c r="AC30" i="16" s="1"/>
  <c r="AD30" i="16" s="1"/>
  <c r="AE30" i="16" s="1"/>
  <c r="AF30" i="16" s="1"/>
  <c r="D83" i="16"/>
  <c r="D173" i="16" s="1"/>
  <c r="E173" i="16" s="1"/>
  <c r="F173" i="16" s="1"/>
  <c r="G173" i="16" s="1"/>
  <c r="H173" i="16" s="1"/>
  <c r="I173" i="16" s="1"/>
  <c r="J173" i="16" s="1"/>
  <c r="K173" i="16" s="1"/>
  <c r="L173" i="16" s="1"/>
  <c r="M173" i="16" s="1"/>
  <c r="N173" i="16" s="1"/>
  <c r="O173" i="16" s="1"/>
  <c r="P173" i="16" s="1"/>
  <c r="Q173" i="16" s="1"/>
  <c r="R173" i="16" s="1"/>
  <c r="S173" i="16" s="1"/>
  <c r="T173" i="16" s="1"/>
  <c r="U173" i="16" s="1"/>
  <c r="V173" i="16" s="1"/>
  <c r="W173" i="16" s="1"/>
  <c r="X173" i="16" s="1"/>
  <c r="Y173" i="16" s="1"/>
  <c r="Z173" i="16" s="1"/>
  <c r="AA173" i="16" s="1"/>
  <c r="AB173" i="16" s="1"/>
  <c r="AC173" i="16" s="1"/>
  <c r="AD173" i="16" s="1"/>
  <c r="AE173" i="16" s="1"/>
  <c r="AF173" i="16" s="1"/>
  <c r="D31" i="16"/>
  <c r="E31" i="16" s="1"/>
  <c r="F31" i="16" s="1"/>
  <c r="G31" i="16" s="1"/>
  <c r="H31" i="16" s="1"/>
  <c r="I31" i="16" s="1"/>
  <c r="J31" i="16" s="1"/>
  <c r="K31" i="16" s="1"/>
  <c r="L31" i="16" s="1"/>
  <c r="M31" i="16" s="1"/>
  <c r="N31" i="16" s="1"/>
  <c r="O31" i="16" s="1"/>
  <c r="P31" i="16" s="1"/>
  <c r="Q31" i="16" s="1"/>
  <c r="R31" i="16" s="1"/>
  <c r="S31" i="16" s="1"/>
  <c r="T31" i="16" s="1"/>
  <c r="U31" i="16" s="1"/>
  <c r="V31" i="16" s="1"/>
  <c r="W31" i="16" s="1"/>
  <c r="X31" i="16" s="1"/>
  <c r="Y31" i="16" s="1"/>
  <c r="Z31" i="16" s="1"/>
  <c r="AA31" i="16" s="1"/>
  <c r="AB31" i="16" s="1"/>
  <c r="AC31" i="16" s="1"/>
  <c r="AD31" i="16" s="1"/>
  <c r="AE31" i="16" s="1"/>
  <c r="AF31" i="16" s="1"/>
  <c r="D84" i="16"/>
  <c r="D174" i="16" s="1"/>
  <c r="E174" i="16" s="1"/>
  <c r="F174" i="16" s="1"/>
  <c r="G174" i="16" s="1"/>
  <c r="H174" i="16" s="1"/>
  <c r="I174" i="16" s="1"/>
  <c r="J174" i="16" s="1"/>
  <c r="K174" i="16" s="1"/>
  <c r="L174" i="16" s="1"/>
  <c r="M174" i="16" s="1"/>
  <c r="N174" i="16" s="1"/>
  <c r="O174" i="16" s="1"/>
  <c r="P174" i="16" s="1"/>
  <c r="Q174" i="16" s="1"/>
  <c r="R174" i="16" s="1"/>
  <c r="S174" i="16" s="1"/>
  <c r="T174" i="16" s="1"/>
  <c r="U174" i="16" s="1"/>
  <c r="V174" i="16" s="1"/>
  <c r="W174" i="16" s="1"/>
  <c r="X174" i="16" s="1"/>
  <c r="Y174" i="16" s="1"/>
  <c r="Z174" i="16" s="1"/>
  <c r="AA174" i="16" s="1"/>
  <c r="AB174" i="16" s="1"/>
  <c r="AC174" i="16" s="1"/>
  <c r="AD174" i="16" s="1"/>
  <c r="AE174" i="16" s="1"/>
  <c r="AF174" i="16" s="1"/>
  <c r="D33" i="16"/>
  <c r="E33" i="16" s="1"/>
  <c r="F33" i="16" s="1"/>
  <c r="G33" i="16" s="1"/>
  <c r="H33" i="16" s="1"/>
  <c r="I33" i="16" s="1"/>
  <c r="J33" i="16" s="1"/>
  <c r="K33" i="16" s="1"/>
  <c r="L33" i="16" s="1"/>
  <c r="M33" i="16" s="1"/>
  <c r="N33" i="16" s="1"/>
  <c r="O33" i="16" s="1"/>
  <c r="P33" i="16" s="1"/>
  <c r="Q33" i="16" s="1"/>
  <c r="R33" i="16" s="1"/>
  <c r="S33" i="16" s="1"/>
  <c r="T33" i="16" s="1"/>
  <c r="U33" i="16" s="1"/>
  <c r="V33" i="16" s="1"/>
  <c r="W33" i="16" s="1"/>
  <c r="X33" i="16" s="1"/>
  <c r="Y33" i="16" s="1"/>
  <c r="Z33" i="16" s="1"/>
  <c r="AA33" i="16" s="1"/>
  <c r="AB33" i="16" s="1"/>
  <c r="AC33" i="16" s="1"/>
  <c r="AD33" i="16" s="1"/>
  <c r="AE33" i="16" s="1"/>
  <c r="AF33" i="16" s="1"/>
  <c r="D86" i="16"/>
  <c r="D176" i="16" s="1"/>
  <c r="E176" i="16" s="1"/>
  <c r="F176" i="16" s="1"/>
  <c r="G176" i="16" s="1"/>
  <c r="H176" i="16" s="1"/>
  <c r="I176" i="16" s="1"/>
  <c r="J176" i="16" s="1"/>
  <c r="K176" i="16" s="1"/>
  <c r="L176" i="16" s="1"/>
  <c r="M176" i="16" s="1"/>
  <c r="N176" i="16" s="1"/>
  <c r="O176" i="16" s="1"/>
  <c r="P176" i="16" s="1"/>
  <c r="Q176" i="16" s="1"/>
  <c r="R176" i="16" s="1"/>
  <c r="S176" i="16" s="1"/>
  <c r="T176" i="16" s="1"/>
  <c r="U176" i="16" s="1"/>
  <c r="V176" i="16" s="1"/>
  <c r="W176" i="16" s="1"/>
  <c r="X176" i="16" s="1"/>
  <c r="Y176" i="16" s="1"/>
  <c r="Z176" i="16" s="1"/>
  <c r="AA176" i="16" s="1"/>
  <c r="AB176" i="16" s="1"/>
  <c r="AC176" i="16" s="1"/>
  <c r="AD176" i="16" s="1"/>
  <c r="AE176" i="16" s="1"/>
  <c r="AF176" i="16" s="1"/>
  <c r="D34" i="16"/>
  <c r="E34" i="16" s="1"/>
  <c r="F34" i="16" s="1"/>
  <c r="G34" i="16" s="1"/>
  <c r="H34" i="16" s="1"/>
  <c r="I34" i="16" s="1"/>
  <c r="J34" i="16" s="1"/>
  <c r="K34" i="16" s="1"/>
  <c r="L34" i="16" s="1"/>
  <c r="M34" i="16" s="1"/>
  <c r="N34" i="16" s="1"/>
  <c r="O34" i="16" s="1"/>
  <c r="P34" i="16" s="1"/>
  <c r="Q34" i="16" s="1"/>
  <c r="R34" i="16" s="1"/>
  <c r="S34" i="16" s="1"/>
  <c r="T34" i="16" s="1"/>
  <c r="U34" i="16" s="1"/>
  <c r="V34" i="16" s="1"/>
  <c r="W34" i="16" s="1"/>
  <c r="X34" i="16" s="1"/>
  <c r="Y34" i="16" s="1"/>
  <c r="Z34" i="16" s="1"/>
  <c r="AA34" i="16" s="1"/>
  <c r="AB34" i="16" s="1"/>
  <c r="AC34" i="16" s="1"/>
  <c r="AD34" i="16" s="1"/>
  <c r="AE34" i="16" s="1"/>
  <c r="AF34" i="16" s="1"/>
  <c r="D87" i="16"/>
  <c r="D177" i="16" s="1"/>
  <c r="E177" i="16" s="1"/>
  <c r="F177" i="16" s="1"/>
  <c r="G177" i="16" s="1"/>
  <c r="H177" i="16" s="1"/>
  <c r="I177" i="16" s="1"/>
  <c r="J177" i="16" s="1"/>
  <c r="K177" i="16" s="1"/>
  <c r="L177" i="16" s="1"/>
  <c r="M177" i="16" s="1"/>
  <c r="N177" i="16" s="1"/>
  <c r="O177" i="16" s="1"/>
  <c r="P177" i="16" s="1"/>
  <c r="Q177" i="16" s="1"/>
  <c r="R177" i="16" s="1"/>
  <c r="S177" i="16" s="1"/>
  <c r="T177" i="16" s="1"/>
  <c r="U177" i="16" s="1"/>
  <c r="V177" i="16" s="1"/>
  <c r="W177" i="16" s="1"/>
  <c r="X177" i="16" s="1"/>
  <c r="Y177" i="16" s="1"/>
  <c r="Z177" i="16" s="1"/>
  <c r="AA177" i="16" s="1"/>
  <c r="AB177" i="16" s="1"/>
  <c r="AC177" i="16" s="1"/>
  <c r="AD177" i="16" s="1"/>
  <c r="AE177" i="16" s="1"/>
  <c r="AF177" i="16" s="1"/>
  <c r="D35" i="16"/>
  <c r="E35" i="16" s="1"/>
  <c r="F35" i="16" s="1"/>
  <c r="G35" i="16" s="1"/>
  <c r="H35" i="16" s="1"/>
  <c r="I35" i="16" s="1"/>
  <c r="J35" i="16" s="1"/>
  <c r="K35" i="16" s="1"/>
  <c r="L35" i="16" s="1"/>
  <c r="M35" i="16" s="1"/>
  <c r="N35" i="16" s="1"/>
  <c r="O35" i="16" s="1"/>
  <c r="P35" i="16" s="1"/>
  <c r="Q35" i="16" s="1"/>
  <c r="R35" i="16" s="1"/>
  <c r="S35" i="16" s="1"/>
  <c r="T35" i="16" s="1"/>
  <c r="U35" i="16" s="1"/>
  <c r="V35" i="16" s="1"/>
  <c r="W35" i="16" s="1"/>
  <c r="X35" i="16" s="1"/>
  <c r="Y35" i="16" s="1"/>
  <c r="Z35" i="16" s="1"/>
  <c r="AA35" i="16" s="1"/>
  <c r="AB35" i="16" s="1"/>
  <c r="AC35" i="16" s="1"/>
  <c r="AD35" i="16" s="1"/>
  <c r="AE35" i="16" s="1"/>
  <c r="AF35" i="16" s="1"/>
  <c r="D88" i="16"/>
  <c r="D178" i="16" s="1"/>
  <c r="E178" i="16" s="1"/>
  <c r="F178" i="16" s="1"/>
  <c r="G178" i="16" s="1"/>
  <c r="H178" i="16" s="1"/>
  <c r="I178" i="16" s="1"/>
  <c r="J178" i="16" s="1"/>
  <c r="K178" i="16" s="1"/>
  <c r="L178" i="16" s="1"/>
  <c r="M178" i="16" s="1"/>
  <c r="N178" i="16" s="1"/>
  <c r="O178" i="16" s="1"/>
  <c r="P178" i="16" s="1"/>
  <c r="Q178" i="16" s="1"/>
  <c r="R178" i="16" s="1"/>
  <c r="S178" i="16" s="1"/>
  <c r="T178" i="16" s="1"/>
  <c r="U178" i="16" s="1"/>
  <c r="V178" i="16" s="1"/>
  <c r="W178" i="16" s="1"/>
  <c r="X178" i="16" s="1"/>
  <c r="Y178" i="16" s="1"/>
  <c r="Z178" i="16" s="1"/>
  <c r="AA178" i="16" s="1"/>
  <c r="AB178" i="16" s="1"/>
  <c r="AC178" i="16" s="1"/>
  <c r="AD178" i="16" s="1"/>
  <c r="AE178" i="16" s="1"/>
  <c r="AF178" i="16" s="1"/>
  <c r="D36" i="16"/>
  <c r="E36" i="16" s="1"/>
  <c r="D89" i="16"/>
  <c r="D179" i="16" s="1"/>
  <c r="E179" i="16" s="1"/>
  <c r="F179" i="16" s="1"/>
  <c r="G179" i="16" s="1"/>
  <c r="H179" i="16" s="1"/>
  <c r="I179" i="16" s="1"/>
  <c r="J179" i="16" s="1"/>
  <c r="K179" i="16" s="1"/>
  <c r="L179" i="16" s="1"/>
  <c r="M179" i="16" s="1"/>
  <c r="N179" i="16" s="1"/>
  <c r="O179" i="16" s="1"/>
  <c r="P179" i="16" s="1"/>
  <c r="Q179" i="16" s="1"/>
  <c r="R179" i="16" s="1"/>
  <c r="S179" i="16" s="1"/>
  <c r="T179" i="16" s="1"/>
  <c r="U179" i="16" s="1"/>
  <c r="V179" i="16" s="1"/>
  <c r="W179" i="16" s="1"/>
  <c r="X179" i="16" s="1"/>
  <c r="Y179" i="16" s="1"/>
  <c r="Z179" i="16" s="1"/>
  <c r="AA179" i="16" s="1"/>
  <c r="AB179" i="16" s="1"/>
  <c r="AC179" i="16" s="1"/>
  <c r="AD179" i="16" s="1"/>
  <c r="AE179" i="16" s="1"/>
  <c r="AF179" i="16" s="1"/>
  <c r="D37" i="16"/>
  <c r="E37" i="16" s="1"/>
  <c r="F37" i="16" s="1"/>
  <c r="G37" i="16" s="1"/>
  <c r="H37" i="16" s="1"/>
  <c r="I37" i="16" s="1"/>
  <c r="J37" i="16" s="1"/>
  <c r="K37" i="16" s="1"/>
  <c r="L37" i="16" s="1"/>
  <c r="M37" i="16" s="1"/>
  <c r="N37" i="16" s="1"/>
  <c r="O37" i="16" s="1"/>
  <c r="P37" i="16" s="1"/>
  <c r="Q37" i="16" s="1"/>
  <c r="R37" i="16" s="1"/>
  <c r="S37" i="16" s="1"/>
  <c r="T37" i="16" s="1"/>
  <c r="U37" i="16" s="1"/>
  <c r="V37" i="16" s="1"/>
  <c r="W37" i="16" s="1"/>
  <c r="X37" i="16" s="1"/>
  <c r="Y37" i="16" s="1"/>
  <c r="Z37" i="16" s="1"/>
  <c r="AA37" i="16" s="1"/>
  <c r="AB37" i="16" s="1"/>
  <c r="AC37" i="16" s="1"/>
  <c r="AD37" i="16" s="1"/>
  <c r="AE37" i="16" s="1"/>
  <c r="AF37" i="16" s="1"/>
  <c r="D90" i="16"/>
  <c r="D180" i="16" s="1"/>
  <c r="E180" i="16" s="1"/>
  <c r="F180" i="16" s="1"/>
  <c r="G180" i="16" s="1"/>
  <c r="H180" i="16" s="1"/>
  <c r="I180" i="16" s="1"/>
  <c r="J180" i="16" s="1"/>
  <c r="K180" i="16" s="1"/>
  <c r="L180" i="16" s="1"/>
  <c r="M180" i="16" s="1"/>
  <c r="N180" i="16" s="1"/>
  <c r="O180" i="16" s="1"/>
  <c r="P180" i="16" s="1"/>
  <c r="Q180" i="16" s="1"/>
  <c r="R180" i="16" s="1"/>
  <c r="S180" i="16" s="1"/>
  <c r="T180" i="16" s="1"/>
  <c r="U180" i="16" s="1"/>
  <c r="V180" i="16" s="1"/>
  <c r="W180" i="16" s="1"/>
  <c r="X180" i="16" s="1"/>
  <c r="Y180" i="16" s="1"/>
  <c r="Z180" i="16" s="1"/>
  <c r="AA180" i="16" s="1"/>
  <c r="AB180" i="16" s="1"/>
  <c r="AC180" i="16" s="1"/>
  <c r="AD180" i="16" s="1"/>
  <c r="AE180" i="16" s="1"/>
  <c r="AF180" i="16" s="1"/>
  <c r="D38" i="16"/>
  <c r="E38" i="16" s="1"/>
  <c r="F38" i="16" s="1"/>
  <c r="G38" i="16" s="1"/>
  <c r="H38" i="16" s="1"/>
  <c r="I38" i="16" s="1"/>
  <c r="J38" i="16" s="1"/>
  <c r="K38" i="16" s="1"/>
  <c r="L38" i="16" s="1"/>
  <c r="M38" i="16" s="1"/>
  <c r="N38" i="16" s="1"/>
  <c r="O38" i="16" s="1"/>
  <c r="P38" i="16" s="1"/>
  <c r="Q38" i="16" s="1"/>
  <c r="R38" i="16" s="1"/>
  <c r="S38" i="16" s="1"/>
  <c r="T38" i="16" s="1"/>
  <c r="U38" i="16" s="1"/>
  <c r="V38" i="16" s="1"/>
  <c r="W38" i="16" s="1"/>
  <c r="X38" i="16" s="1"/>
  <c r="Y38" i="16" s="1"/>
  <c r="Z38" i="16" s="1"/>
  <c r="AA38" i="16" s="1"/>
  <c r="AB38" i="16" s="1"/>
  <c r="AC38" i="16" s="1"/>
  <c r="AD38" i="16" s="1"/>
  <c r="AE38" i="16" s="1"/>
  <c r="AF38" i="16" s="1"/>
  <c r="D91" i="16"/>
  <c r="D181" i="16" s="1"/>
  <c r="E181" i="16" s="1"/>
  <c r="F181" i="16" s="1"/>
  <c r="G181" i="16" s="1"/>
  <c r="H181" i="16" s="1"/>
  <c r="I181" i="16" s="1"/>
  <c r="J181" i="16" s="1"/>
  <c r="K181" i="16" s="1"/>
  <c r="L181" i="16" s="1"/>
  <c r="M181" i="16" s="1"/>
  <c r="N181" i="16" s="1"/>
  <c r="O181" i="16" s="1"/>
  <c r="P181" i="16" s="1"/>
  <c r="Q181" i="16" s="1"/>
  <c r="R181" i="16" s="1"/>
  <c r="S181" i="16" s="1"/>
  <c r="T181" i="16" s="1"/>
  <c r="U181" i="16" s="1"/>
  <c r="V181" i="16" s="1"/>
  <c r="W181" i="16" s="1"/>
  <c r="X181" i="16" s="1"/>
  <c r="Y181" i="16" s="1"/>
  <c r="Z181" i="16" s="1"/>
  <c r="AA181" i="16" s="1"/>
  <c r="AB181" i="16" s="1"/>
  <c r="AC181" i="16" s="1"/>
  <c r="AD181" i="16" s="1"/>
  <c r="AE181" i="16" s="1"/>
  <c r="AF181" i="16" s="1"/>
  <c r="D39" i="16"/>
  <c r="E39" i="16" s="1"/>
  <c r="F39" i="16" s="1"/>
  <c r="G39" i="16" s="1"/>
  <c r="H39" i="16" s="1"/>
  <c r="I39" i="16" s="1"/>
  <c r="J39" i="16" s="1"/>
  <c r="K39" i="16" s="1"/>
  <c r="L39" i="16" s="1"/>
  <c r="M39" i="16" s="1"/>
  <c r="N39" i="16" s="1"/>
  <c r="O39" i="16" s="1"/>
  <c r="P39" i="16" s="1"/>
  <c r="Q39" i="16" s="1"/>
  <c r="R39" i="16" s="1"/>
  <c r="S39" i="16" s="1"/>
  <c r="T39" i="16" s="1"/>
  <c r="U39" i="16" s="1"/>
  <c r="V39" i="16" s="1"/>
  <c r="W39" i="16" s="1"/>
  <c r="X39" i="16" s="1"/>
  <c r="Y39" i="16" s="1"/>
  <c r="Z39" i="16" s="1"/>
  <c r="AA39" i="16" s="1"/>
  <c r="AB39" i="16" s="1"/>
  <c r="AC39" i="16" s="1"/>
  <c r="AD39" i="16" s="1"/>
  <c r="AE39" i="16" s="1"/>
  <c r="AF39" i="16" s="1"/>
  <c r="D92" i="16"/>
  <c r="D182" i="16" s="1"/>
  <c r="E182" i="16" s="1"/>
  <c r="F182" i="16" s="1"/>
  <c r="G182" i="16" s="1"/>
  <c r="H182" i="16" s="1"/>
  <c r="I182" i="16" s="1"/>
  <c r="J182" i="16" s="1"/>
  <c r="K182" i="16" s="1"/>
  <c r="L182" i="16" s="1"/>
  <c r="M182" i="16" s="1"/>
  <c r="N182" i="16" s="1"/>
  <c r="O182" i="16" s="1"/>
  <c r="P182" i="16" s="1"/>
  <c r="Q182" i="16" s="1"/>
  <c r="R182" i="16" s="1"/>
  <c r="S182" i="16" s="1"/>
  <c r="T182" i="16" s="1"/>
  <c r="U182" i="16" s="1"/>
  <c r="V182" i="16" s="1"/>
  <c r="W182" i="16" s="1"/>
  <c r="X182" i="16" s="1"/>
  <c r="Y182" i="16" s="1"/>
  <c r="Z182" i="16" s="1"/>
  <c r="AA182" i="16" s="1"/>
  <c r="AB182" i="16" s="1"/>
  <c r="AC182" i="16" s="1"/>
  <c r="AD182" i="16" s="1"/>
  <c r="AE182" i="16" s="1"/>
  <c r="AF182" i="16" s="1"/>
  <c r="D40" i="16"/>
  <c r="E40" i="16" s="1"/>
  <c r="F40" i="16" s="1"/>
  <c r="G40" i="16" s="1"/>
  <c r="H40" i="16" s="1"/>
  <c r="I40" i="16" s="1"/>
  <c r="J40" i="16" s="1"/>
  <c r="K40" i="16" s="1"/>
  <c r="L40" i="16" s="1"/>
  <c r="M40" i="16" s="1"/>
  <c r="N40" i="16" s="1"/>
  <c r="O40" i="16" s="1"/>
  <c r="P40" i="16" s="1"/>
  <c r="Q40" i="16" s="1"/>
  <c r="R40" i="16" s="1"/>
  <c r="S40" i="16" s="1"/>
  <c r="T40" i="16" s="1"/>
  <c r="U40" i="16" s="1"/>
  <c r="V40" i="16" s="1"/>
  <c r="W40" i="16" s="1"/>
  <c r="X40" i="16" s="1"/>
  <c r="Y40" i="16" s="1"/>
  <c r="Z40" i="16" s="1"/>
  <c r="AA40" i="16" s="1"/>
  <c r="AB40" i="16" s="1"/>
  <c r="AC40" i="16" s="1"/>
  <c r="AD40" i="16" s="1"/>
  <c r="AE40" i="16" s="1"/>
  <c r="AF40" i="16" s="1"/>
  <c r="D93" i="16"/>
  <c r="D183" i="16" s="1"/>
  <c r="E183" i="16" s="1"/>
  <c r="F183" i="16" s="1"/>
  <c r="G183" i="16" s="1"/>
  <c r="H183" i="16" s="1"/>
  <c r="I183" i="16" s="1"/>
  <c r="J183" i="16" s="1"/>
  <c r="K183" i="16" s="1"/>
  <c r="L183" i="16" s="1"/>
  <c r="M183" i="16" s="1"/>
  <c r="N183" i="16" s="1"/>
  <c r="O183" i="16" s="1"/>
  <c r="P183" i="16" s="1"/>
  <c r="Q183" i="16" s="1"/>
  <c r="R183" i="16" s="1"/>
  <c r="S183" i="16" s="1"/>
  <c r="T183" i="16" s="1"/>
  <c r="U183" i="16" s="1"/>
  <c r="V183" i="16" s="1"/>
  <c r="W183" i="16" s="1"/>
  <c r="X183" i="16" s="1"/>
  <c r="Y183" i="16" s="1"/>
  <c r="Z183" i="16" s="1"/>
  <c r="AA183" i="16" s="1"/>
  <c r="AB183" i="16" s="1"/>
  <c r="AC183" i="16" s="1"/>
  <c r="AD183" i="16" s="1"/>
  <c r="AE183" i="16" s="1"/>
  <c r="AF183" i="16" s="1"/>
  <c r="D41" i="16"/>
  <c r="E41" i="16" s="1"/>
  <c r="F41" i="16" s="1"/>
  <c r="G41" i="16" s="1"/>
  <c r="H41" i="16" s="1"/>
  <c r="I41" i="16" s="1"/>
  <c r="J41" i="16" s="1"/>
  <c r="K41" i="16" s="1"/>
  <c r="L41" i="16" s="1"/>
  <c r="M41" i="16" s="1"/>
  <c r="N41" i="16" s="1"/>
  <c r="O41" i="16" s="1"/>
  <c r="P41" i="16" s="1"/>
  <c r="Q41" i="16" s="1"/>
  <c r="R41" i="16" s="1"/>
  <c r="S41" i="16" s="1"/>
  <c r="T41" i="16" s="1"/>
  <c r="U41" i="16" s="1"/>
  <c r="V41" i="16" s="1"/>
  <c r="W41" i="16" s="1"/>
  <c r="X41" i="16" s="1"/>
  <c r="Y41" i="16" s="1"/>
  <c r="Z41" i="16" s="1"/>
  <c r="AA41" i="16" s="1"/>
  <c r="AB41" i="16" s="1"/>
  <c r="AC41" i="16" s="1"/>
  <c r="AD41" i="16" s="1"/>
  <c r="AE41" i="16" s="1"/>
  <c r="AF41" i="16" s="1"/>
  <c r="D94" i="16"/>
  <c r="D184" i="16" s="1"/>
  <c r="E184" i="16" s="1"/>
  <c r="F184" i="16" s="1"/>
  <c r="G184" i="16" s="1"/>
  <c r="H184" i="16" s="1"/>
  <c r="I184" i="16" s="1"/>
  <c r="J184" i="16" s="1"/>
  <c r="K184" i="16" s="1"/>
  <c r="L184" i="16" s="1"/>
  <c r="M184" i="16" s="1"/>
  <c r="N184" i="16" s="1"/>
  <c r="O184" i="16" s="1"/>
  <c r="P184" i="16" s="1"/>
  <c r="Q184" i="16" s="1"/>
  <c r="R184" i="16" s="1"/>
  <c r="S184" i="16" s="1"/>
  <c r="T184" i="16" s="1"/>
  <c r="U184" i="16" s="1"/>
  <c r="V184" i="16" s="1"/>
  <c r="W184" i="16" s="1"/>
  <c r="X184" i="16" s="1"/>
  <c r="Y184" i="16" s="1"/>
  <c r="Z184" i="16" s="1"/>
  <c r="AA184" i="16" s="1"/>
  <c r="AB184" i="16" s="1"/>
  <c r="AC184" i="16" s="1"/>
  <c r="AD184" i="16" s="1"/>
  <c r="AE184" i="16" s="1"/>
  <c r="AF184" i="16" s="1"/>
  <c r="D42" i="16"/>
  <c r="E42" i="16" s="1"/>
  <c r="F42" i="16" s="1"/>
  <c r="G42" i="16" s="1"/>
  <c r="H42" i="16" s="1"/>
  <c r="I42" i="16" s="1"/>
  <c r="J42" i="16" s="1"/>
  <c r="K42" i="16" s="1"/>
  <c r="L42" i="16" s="1"/>
  <c r="M42" i="16" s="1"/>
  <c r="N42" i="16" s="1"/>
  <c r="O42" i="16" s="1"/>
  <c r="P42" i="16" s="1"/>
  <c r="Q42" i="16" s="1"/>
  <c r="R42" i="16" s="1"/>
  <c r="S42" i="16" s="1"/>
  <c r="T42" i="16" s="1"/>
  <c r="U42" i="16" s="1"/>
  <c r="V42" i="16" s="1"/>
  <c r="W42" i="16" s="1"/>
  <c r="X42" i="16" s="1"/>
  <c r="Y42" i="16" s="1"/>
  <c r="Z42" i="16" s="1"/>
  <c r="AA42" i="16" s="1"/>
  <c r="AB42" i="16" s="1"/>
  <c r="AC42" i="16" s="1"/>
  <c r="AD42" i="16" s="1"/>
  <c r="AE42" i="16" s="1"/>
  <c r="AF42" i="16" s="1"/>
  <c r="D95" i="16"/>
  <c r="D185" i="16" s="1"/>
  <c r="E185" i="16" s="1"/>
  <c r="F185" i="16" s="1"/>
  <c r="G185" i="16" s="1"/>
  <c r="H185" i="16" s="1"/>
  <c r="I185" i="16" s="1"/>
  <c r="J185" i="16" s="1"/>
  <c r="K185" i="16" s="1"/>
  <c r="L185" i="16" s="1"/>
  <c r="M185" i="16" s="1"/>
  <c r="N185" i="16" s="1"/>
  <c r="O185" i="16" s="1"/>
  <c r="P185" i="16" s="1"/>
  <c r="Q185" i="16" s="1"/>
  <c r="R185" i="16" s="1"/>
  <c r="S185" i="16" s="1"/>
  <c r="T185" i="16" s="1"/>
  <c r="U185" i="16" s="1"/>
  <c r="V185" i="16" s="1"/>
  <c r="W185" i="16" s="1"/>
  <c r="X185" i="16" s="1"/>
  <c r="Y185" i="16" s="1"/>
  <c r="Z185" i="16" s="1"/>
  <c r="AA185" i="16" s="1"/>
  <c r="AB185" i="16" s="1"/>
  <c r="AC185" i="16" s="1"/>
  <c r="AD185" i="16" s="1"/>
  <c r="AE185" i="16" s="1"/>
  <c r="AF185" i="16" s="1"/>
  <c r="D43" i="16"/>
  <c r="E43" i="16" s="1"/>
  <c r="F43" i="16" s="1"/>
  <c r="G43" i="16" s="1"/>
  <c r="H43" i="16" s="1"/>
  <c r="I43" i="16" s="1"/>
  <c r="J43" i="16" s="1"/>
  <c r="K43" i="16" s="1"/>
  <c r="L43" i="16" s="1"/>
  <c r="M43" i="16" s="1"/>
  <c r="N43" i="16" s="1"/>
  <c r="O43" i="16" s="1"/>
  <c r="P43" i="16" s="1"/>
  <c r="Q43" i="16" s="1"/>
  <c r="R43" i="16" s="1"/>
  <c r="S43" i="16" s="1"/>
  <c r="T43" i="16" s="1"/>
  <c r="U43" i="16" s="1"/>
  <c r="V43" i="16" s="1"/>
  <c r="W43" i="16" s="1"/>
  <c r="X43" i="16" s="1"/>
  <c r="Y43" i="16" s="1"/>
  <c r="Z43" i="16" s="1"/>
  <c r="AA43" i="16" s="1"/>
  <c r="AB43" i="16" s="1"/>
  <c r="AC43" i="16" s="1"/>
  <c r="AD43" i="16" s="1"/>
  <c r="AE43" i="16" s="1"/>
  <c r="AF43" i="16" s="1"/>
  <c r="D96" i="16"/>
  <c r="D186" i="16" s="1"/>
  <c r="E186" i="16" s="1"/>
  <c r="F186" i="16" s="1"/>
  <c r="G186" i="16" s="1"/>
  <c r="H186" i="16" s="1"/>
  <c r="I186" i="16" s="1"/>
  <c r="J186" i="16" s="1"/>
  <c r="K186" i="16" s="1"/>
  <c r="L186" i="16" s="1"/>
  <c r="M186" i="16" s="1"/>
  <c r="N186" i="16" s="1"/>
  <c r="O186" i="16" s="1"/>
  <c r="P186" i="16" s="1"/>
  <c r="Q186" i="16" s="1"/>
  <c r="R186" i="16" s="1"/>
  <c r="S186" i="16" s="1"/>
  <c r="T186" i="16" s="1"/>
  <c r="U186" i="16" s="1"/>
  <c r="V186" i="16" s="1"/>
  <c r="W186" i="16" s="1"/>
  <c r="X186" i="16" s="1"/>
  <c r="Y186" i="16" s="1"/>
  <c r="Z186" i="16" s="1"/>
  <c r="AA186" i="16" s="1"/>
  <c r="AB186" i="16" s="1"/>
  <c r="AC186" i="16" s="1"/>
  <c r="AD186" i="16" s="1"/>
  <c r="AE186" i="16" s="1"/>
  <c r="AF186" i="16" s="1"/>
  <c r="D44" i="16"/>
  <c r="E44" i="16" s="1"/>
  <c r="F44" i="16" s="1"/>
  <c r="G44" i="16" s="1"/>
  <c r="H44" i="16" s="1"/>
  <c r="I44" i="16" s="1"/>
  <c r="J44" i="16" s="1"/>
  <c r="K44" i="16" s="1"/>
  <c r="L44" i="16" s="1"/>
  <c r="M44" i="16" s="1"/>
  <c r="N44" i="16" s="1"/>
  <c r="O44" i="16" s="1"/>
  <c r="P44" i="16" s="1"/>
  <c r="Q44" i="16" s="1"/>
  <c r="R44" i="16" s="1"/>
  <c r="S44" i="16" s="1"/>
  <c r="T44" i="16" s="1"/>
  <c r="U44" i="16" s="1"/>
  <c r="V44" i="16" s="1"/>
  <c r="W44" i="16" s="1"/>
  <c r="X44" i="16" s="1"/>
  <c r="Y44" i="16" s="1"/>
  <c r="Z44" i="16" s="1"/>
  <c r="AA44" i="16" s="1"/>
  <c r="AB44" i="16" s="1"/>
  <c r="AC44" i="16" s="1"/>
  <c r="AD44" i="16" s="1"/>
  <c r="AE44" i="16" s="1"/>
  <c r="AF44" i="16" s="1"/>
  <c r="D97" i="16"/>
  <c r="D187" i="16" s="1"/>
  <c r="E187" i="16" s="1"/>
  <c r="F187" i="16" s="1"/>
  <c r="G187" i="16" s="1"/>
  <c r="H187" i="16" s="1"/>
  <c r="I187" i="16" s="1"/>
  <c r="J187" i="16" s="1"/>
  <c r="K187" i="16" s="1"/>
  <c r="L187" i="16" s="1"/>
  <c r="M187" i="16" s="1"/>
  <c r="N187" i="16" s="1"/>
  <c r="O187" i="16" s="1"/>
  <c r="P187" i="16" s="1"/>
  <c r="Q187" i="16" s="1"/>
  <c r="R187" i="16" s="1"/>
  <c r="S187" i="16" s="1"/>
  <c r="T187" i="16" s="1"/>
  <c r="U187" i="16" s="1"/>
  <c r="V187" i="16" s="1"/>
  <c r="W187" i="16" s="1"/>
  <c r="X187" i="16" s="1"/>
  <c r="Y187" i="16" s="1"/>
  <c r="Z187" i="16" s="1"/>
  <c r="AA187" i="16" s="1"/>
  <c r="AB187" i="16" s="1"/>
  <c r="AC187" i="16" s="1"/>
  <c r="AD187" i="16" s="1"/>
  <c r="AE187" i="16" s="1"/>
  <c r="AF187" i="16" s="1"/>
  <c r="D45" i="16"/>
  <c r="E45" i="16" s="1"/>
  <c r="F45" i="16" s="1"/>
  <c r="G45" i="16" s="1"/>
  <c r="H45" i="16" s="1"/>
  <c r="I45" i="16" s="1"/>
  <c r="J45" i="16" s="1"/>
  <c r="K45" i="16" s="1"/>
  <c r="L45" i="16" s="1"/>
  <c r="M45" i="16" s="1"/>
  <c r="N45" i="16" s="1"/>
  <c r="O45" i="16" s="1"/>
  <c r="P45" i="16" s="1"/>
  <c r="Q45" i="16" s="1"/>
  <c r="R45" i="16" s="1"/>
  <c r="S45" i="16" s="1"/>
  <c r="T45" i="16" s="1"/>
  <c r="U45" i="16" s="1"/>
  <c r="V45" i="16" s="1"/>
  <c r="W45" i="16" s="1"/>
  <c r="X45" i="16" s="1"/>
  <c r="Y45" i="16" s="1"/>
  <c r="Z45" i="16" s="1"/>
  <c r="AA45" i="16" s="1"/>
  <c r="AB45" i="16" s="1"/>
  <c r="AC45" i="16" s="1"/>
  <c r="AD45" i="16" s="1"/>
  <c r="AE45" i="16" s="1"/>
  <c r="AF45" i="16" s="1"/>
  <c r="D98" i="16"/>
  <c r="D188" i="16" s="1"/>
  <c r="E188" i="16" s="1"/>
  <c r="F188" i="16" s="1"/>
  <c r="G188" i="16" s="1"/>
  <c r="H188" i="16" s="1"/>
  <c r="I188" i="16" s="1"/>
  <c r="J188" i="16" s="1"/>
  <c r="K188" i="16" s="1"/>
  <c r="L188" i="16" s="1"/>
  <c r="M188" i="16" s="1"/>
  <c r="N188" i="16" s="1"/>
  <c r="O188" i="16" s="1"/>
  <c r="P188" i="16" s="1"/>
  <c r="Q188" i="16" s="1"/>
  <c r="R188" i="16" s="1"/>
  <c r="S188" i="16" s="1"/>
  <c r="T188" i="16" s="1"/>
  <c r="U188" i="16" s="1"/>
  <c r="V188" i="16" s="1"/>
  <c r="W188" i="16" s="1"/>
  <c r="X188" i="16" s="1"/>
  <c r="Y188" i="16" s="1"/>
  <c r="Z188" i="16" s="1"/>
  <c r="AA188" i="16" s="1"/>
  <c r="AB188" i="16" s="1"/>
  <c r="AC188" i="16" s="1"/>
  <c r="AD188" i="16" s="1"/>
  <c r="AE188" i="16" s="1"/>
  <c r="AF188" i="16" s="1"/>
  <c r="F36" i="16"/>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AC36" i="16" s="1"/>
  <c r="AD36" i="16" s="1"/>
  <c r="AE36" i="16" s="1"/>
  <c r="AF36" i="16" s="1"/>
  <c r="G46" i="16"/>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AC46" i="16" s="1"/>
  <c r="AD46" i="16" s="1"/>
  <c r="AE46" i="16" s="1"/>
  <c r="AF46" i="16" s="1"/>
  <c r="M6" i="16"/>
  <c r="L49" i="16"/>
  <c r="P5" i="16"/>
  <c r="B5" i="2"/>
  <c r="B6" i="2"/>
  <c r="B26" i="2"/>
  <c r="B31" i="2"/>
  <c r="B27" i="2"/>
  <c r="B28" i="2"/>
  <c r="B30" i="2"/>
  <c r="B32" i="2"/>
  <c r="B34" i="2"/>
  <c r="B13" i="2"/>
  <c r="B33" i="2"/>
  <c r="B36" i="2"/>
  <c r="B35" i="2"/>
  <c r="B37" i="2"/>
  <c r="B39" i="2"/>
  <c r="B38" i="2"/>
  <c r="B43" i="2"/>
  <c r="B24" i="2"/>
  <c r="B40" i="2"/>
  <c r="B3" i="2"/>
  <c r="B4" i="2"/>
  <c r="B41" i="2"/>
  <c r="B42" i="2"/>
  <c r="B17" i="2"/>
  <c r="B9" i="2"/>
  <c r="B21" i="2"/>
  <c r="B8" i="2"/>
  <c r="B2" i="2"/>
  <c r="B19" i="2"/>
  <c r="B15" i="2"/>
  <c r="B20" i="2"/>
  <c r="B29" i="2"/>
  <c r="B11" i="2"/>
  <c r="B7" i="2"/>
  <c r="B10" i="2"/>
  <c r="B22" i="2"/>
  <c r="B12" i="2"/>
  <c r="B25" i="2"/>
  <c r="B16" i="2"/>
  <c r="B18" i="2"/>
  <c r="B14" i="2"/>
  <c r="B23" i="2"/>
  <c r="D54" i="16" l="1"/>
  <c r="N6" i="16"/>
  <c r="M49" i="16"/>
  <c r="Q5" i="16"/>
  <c r="O6" i="16" l="1"/>
  <c r="N49" i="16"/>
  <c r="R5" i="16"/>
  <c r="P6" i="16" l="1"/>
  <c r="O49" i="16"/>
  <c r="S5" i="16"/>
  <c r="Q6" i="16" l="1"/>
  <c r="P49" i="16"/>
  <c r="T5" i="16"/>
  <c r="R6" i="16" l="1"/>
  <c r="Q49" i="16"/>
  <c r="U5" i="16"/>
  <c r="S6" i="16" l="1"/>
  <c r="R49" i="16"/>
  <c r="V5" i="16"/>
  <c r="T6" i="16" l="1"/>
  <c r="S49" i="16"/>
  <c r="W5" i="16"/>
  <c r="U6" i="16" l="1"/>
  <c r="T49" i="16"/>
  <c r="X5" i="16"/>
  <c r="V6" i="16" l="1"/>
  <c r="U49" i="16"/>
  <c r="Y5" i="16"/>
  <c r="W6" i="16" l="1"/>
  <c r="V49" i="16"/>
  <c r="Z5" i="16"/>
  <c r="X6" i="16" l="1"/>
  <c r="W49" i="16"/>
  <c r="AA5" i="16"/>
  <c r="Y6" i="16" l="1"/>
  <c r="X49" i="16"/>
  <c r="AB5" i="16"/>
  <c r="Z6" i="16" l="1"/>
  <c r="Y49" i="16"/>
  <c r="AC5" i="16"/>
  <c r="AA6" i="16" l="1"/>
  <c r="Z49" i="16"/>
  <c r="AD5" i="16"/>
  <c r="AB6" i="16" l="1"/>
  <c r="AA49" i="16"/>
  <c r="AE5" i="16"/>
  <c r="AC6" i="16" l="1"/>
  <c r="AB49" i="16"/>
  <c r="AF5" i="16"/>
  <c r="AD6" i="16" l="1"/>
  <c r="AC49" i="16"/>
  <c r="AE6" i="16" l="1"/>
  <c r="AD49" i="16"/>
  <c r="AF6" i="16" l="1"/>
  <c r="AF49" i="16" s="1"/>
  <c r="AE49"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<sst xmlns="http://schemas.openxmlformats.org/spreadsheetml/2006/main" count="2944" uniqueCount="1357">
  <si>
    <t>Source:</t>
  </si>
  <si>
    <t>Notes</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</si>
  <si>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</si>
  <si>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</si>
  <si>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</si>
  <si>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</si>
  <si>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</si>
  <si>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</si>
  <si>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</si>
  <si>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</si>
  <si>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</si>
  <si>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</si>
  <si>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</si>
  <si>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</si>
  <si>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</si>
  <si>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</si>
  <si>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</si>
  <si>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</si>
  <si>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</si>
  <si>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</si>
  <si>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</si>
  <si>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</si>
  <si>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</si>
  <si>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</si>
  <si>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</si>
  <si>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</si>
  <si>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</si>
  <si>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</si>
  <si>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</si>
  <si>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</si>
  <si>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</si>
  <si>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</si>
  <si>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</si>
  <si>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USD</t>
  </si>
  <si>
    <t>Output</t>
  </si>
  <si>
    <t>ISIC 20</t>
  </si>
  <si>
    <t>ISIC 21</t>
  </si>
  <si>
    <t>U.S. Bureau of Labor Statistics</t>
  </si>
  <si>
    <t>Value Added</t>
  </si>
  <si>
    <t>ISIC 05</t>
  </si>
  <si>
    <t>ISIC 06</t>
  </si>
  <si>
    <t>ISIC 231</t>
  </si>
  <si>
    <t>ISIC 239</t>
  </si>
  <si>
    <t>ISIC 241</t>
  </si>
  <si>
    <t>ISIC 242</t>
  </si>
  <si>
    <t>ISIC 351</t>
  </si>
  <si>
    <t>ISIC 352T353</t>
  </si>
  <si>
    <t>ISIC 36T39</t>
  </si>
  <si>
    <t>Table 2.7 Employment and Output by Industry</t>
  </si>
  <si>
    <t>Industry</t>
  </si>
  <si>
    <t xml:space="preserve"> 2017 NAICS</t>
  </si>
  <si>
    <t>Employment</t>
  </si>
  <si>
    <t>Thousands of Jobs</t>
  </si>
  <si>
    <t>Change</t>
  </si>
  <si>
    <t>Compound Annual Rate of Change</t>
  </si>
  <si>
    <t>Billions of Chained 2012 Dollars</t>
  </si>
  <si>
    <t>2009 - 2019</t>
  </si>
  <si>
    <t>2019 - 2029</t>
  </si>
  <si>
    <r>
      <t>Total</t>
    </r>
    <r>
      <rPr>
        <b/>
        <vertAlign val="superscript"/>
        <sz val="10"/>
        <rFont val="Arial"/>
        <family val="2"/>
      </rPr>
      <t>(1)(2)</t>
    </r>
  </si>
  <si>
    <t xml:space="preserve">  </t>
  </si>
  <si>
    <t xml:space="preserve">Nonagriculture wage and salary </t>
  </si>
  <si>
    <t xml:space="preserve">NA </t>
  </si>
  <si>
    <t xml:space="preserve">Mining </t>
  </si>
  <si>
    <t xml:space="preserve">21 </t>
  </si>
  <si>
    <t xml:space="preserve">Oil and gas extraction </t>
  </si>
  <si>
    <t xml:space="preserve">211 </t>
  </si>
  <si>
    <t xml:space="preserve">Mining, except oil and gas </t>
  </si>
  <si>
    <t xml:space="preserve">212 </t>
  </si>
  <si>
    <t xml:space="preserve">Coal mining </t>
  </si>
  <si>
    <t xml:space="preserve">2121 </t>
  </si>
  <si>
    <t xml:space="preserve">Metal ore mining </t>
  </si>
  <si>
    <t xml:space="preserve">2122 </t>
  </si>
  <si>
    <t xml:space="preserve">Nonmetallic mineral mining and quarrying </t>
  </si>
  <si>
    <t xml:space="preserve">2123 </t>
  </si>
  <si>
    <t xml:space="preserve">Support activities for mining </t>
  </si>
  <si>
    <t xml:space="preserve">213 </t>
  </si>
  <si>
    <t xml:space="preserve">Utilities </t>
  </si>
  <si>
    <t xml:space="preserve">22 </t>
  </si>
  <si>
    <t xml:space="preserve">Electric power generation, transmission and distribution </t>
  </si>
  <si>
    <t xml:space="preserve">2211 </t>
  </si>
  <si>
    <t xml:space="preserve">Natural gas distribution </t>
  </si>
  <si>
    <t xml:space="preserve">2212 </t>
  </si>
  <si>
    <t xml:space="preserve">Water, sewage and other systems </t>
  </si>
  <si>
    <t xml:space="preserve">2213 </t>
  </si>
  <si>
    <t xml:space="preserve">Construction </t>
  </si>
  <si>
    <t xml:space="preserve">23 </t>
  </si>
  <si>
    <t xml:space="preserve">Manufacturing </t>
  </si>
  <si>
    <t xml:space="preserve">31-33 </t>
  </si>
  <si>
    <t xml:space="preserve">Food manufacturing </t>
  </si>
  <si>
    <t xml:space="preserve">311 </t>
  </si>
  <si>
    <t xml:space="preserve">Animal food manufacturing </t>
  </si>
  <si>
    <t xml:space="preserve">3111 </t>
  </si>
  <si>
    <t xml:space="preserve">Grain and oilseed milling </t>
  </si>
  <si>
    <t xml:space="preserve">3112 </t>
  </si>
  <si>
    <t xml:space="preserve">Sugar and confectionery product manufacturing </t>
  </si>
  <si>
    <t xml:space="preserve">3113 </t>
  </si>
  <si>
    <t xml:space="preserve">Fruit and vegetable preserving and specialty food manufacturing </t>
  </si>
  <si>
    <t xml:space="preserve">3114 </t>
  </si>
  <si>
    <t xml:space="preserve">Dairy product manufacturing </t>
  </si>
  <si>
    <t xml:space="preserve">3115 </t>
  </si>
  <si>
    <t xml:space="preserve">Animal slaughtering and processing </t>
  </si>
  <si>
    <t xml:space="preserve">3116 </t>
  </si>
  <si>
    <t xml:space="preserve">Seafood product preparation and packaging </t>
  </si>
  <si>
    <t xml:space="preserve">3117 </t>
  </si>
  <si>
    <t xml:space="preserve">Bakeries and tortilla manufacturing </t>
  </si>
  <si>
    <t xml:space="preserve">3118 </t>
  </si>
  <si>
    <t xml:space="preserve">Other food manufacturing </t>
  </si>
  <si>
    <t xml:space="preserve">3119 </t>
  </si>
  <si>
    <t xml:space="preserve">Beverage and tobacco product </t>
  </si>
  <si>
    <t xml:space="preserve">312 </t>
  </si>
  <si>
    <t xml:space="preserve">Beverage manufacturing </t>
  </si>
  <si>
    <t xml:space="preserve">3121 </t>
  </si>
  <si>
    <t xml:space="preserve">Tobacco manufacturing </t>
  </si>
  <si>
    <t xml:space="preserve">3122 </t>
  </si>
  <si>
    <t xml:space="preserve">Textile mills and textile product mills </t>
  </si>
  <si>
    <t xml:space="preserve">313,314 </t>
  </si>
  <si>
    <t xml:space="preserve">Apparel, leather and allied product manufacturing </t>
  </si>
  <si>
    <t xml:space="preserve">315, 316 </t>
  </si>
  <si>
    <t xml:space="preserve">Wood product manufacturing </t>
  </si>
  <si>
    <t xml:space="preserve">321 </t>
  </si>
  <si>
    <t xml:space="preserve">Sawmills and wood preservation </t>
  </si>
  <si>
    <t xml:space="preserve">3211 </t>
  </si>
  <si>
    <t xml:space="preserve">Veneer, plywood, and engineered wood product manufacturing </t>
  </si>
  <si>
    <t xml:space="preserve">3212 </t>
  </si>
  <si>
    <t>Other wood product manufacturing</t>
  </si>
  <si>
    <t xml:space="preserve">3219 </t>
  </si>
  <si>
    <t xml:space="preserve">Paper manufacturing </t>
  </si>
  <si>
    <t xml:space="preserve">322 </t>
  </si>
  <si>
    <t xml:space="preserve">Pulp, paper, and paperboard mills </t>
  </si>
  <si>
    <t xml:space="preserve">3221 </t>
  </si>
  <si>
    <t xml:space="preserve">Converted paper product manufacturing </t>
  </si>
  <si>
    <t xml:space="preserve">3222 </t>
  </si>
  <si>
    <t xml:space="preserve">Printing and related support activities </t>
  </si>
  <si>
    <t xml:space="preserve">323 </t>
  </si>
  <si>
    <t xml:space="preserve">Petroleum and coal products manufacturing </t>
  </si>
  <si>
    <t xml:space="preserve">324 </t>
  </si>
  <si>
    <t xml:space="preserve">Chemical manufacturing </t>
  </si>
  <si>
    <t xml:space="preserve">325 </t>
  </si>
  <si>
    <t xml:space="preserve">Basic chemical manufacturing </t>
  </si>
  <si>
    <t xml:space="preserve">3251 </t>
  </si>
  <si>
    <t xml:space="preserve">Resin, synthetic rubber, and artificial synthetic fibers and filaments manufacturing </t>
  </si>
  <si>
    <t xml:space="preserve">3252 </t>
  </si>
  <si>
    <t xml:space="preserve">Pesticide, fertilizer, and other agricultural chemical manufacturing </t>
  </si>
  <si>
    <t xml:space="preserve">3253 </t>
  </si>
  <si>
    <t xml:space="preserve">Pharmaceutical and medicine manufacturing </t>
  </si>
  <si>
    <t xml:space="preserve">3254 </t>
  </si>
  <si>
    <t xml:space="preserve">Paint, coating, and adhesive manufacturing </t>
  </si>
  <si>
    <t xml:space="preserve">3255 </t>
  </si>
  <si>
    <t xml:space="preserve">Soap, cleaning compound, and toilet preparation manufacturing </t>
  </si>
  <si>
    <t xml:space="preserve">3256 </t>
  </si>
  <si>
    <t xml:space="preserve">Other chemical product and preparation manufacturing </t>
  </si>
  <si>
    <t xml:space="preserve">3259 </t>
  </si>
  <si>
    <t xml:space="preserve">Plastics and rubber products manufacturing </t>
  </si>
  <si>
    <t xml:space="preserve">326 </t>
  </si>
  <si>
    <t xml:space="preserve">Plastics product manufacturing </t>
  </si>
  <si>
    <t xml:space="preserve">3261 </t>
  </si>
  <si>
    <t xml:space="preserve">Rubber product manufacturing </t>
  </si>
  <si>
    <t xml:space="preserve">3262 </t>
  </si>
  <si>
    <t xml:space="preserve">Nonmetallic mineral product manufacturing </t>
  </si>
  <si>
    <t xml:space="preserve">327 </t>
  </si>
  <si>
    <t xml:space="preserve">Clay product and refractory manufacturing </t>
  </si>
  <si>
    <t xml:space="preserve">3271 </t>
  </si>
  <si>
    <t xml:space="preserve">Glass and glass product manufacturing </t>
  </si>
  <si>
    <t xml:space="preserve">3272 </t>
  </si>
  <si>
    <t xml:space="preserve">Cement and concrete product manufacturing </t>
  </si>
  <si>
    <t xml:space="preserve">3273 </t>
  </si>
  <si>
    <t xml:space="preserve">Lime, gypsum and other nonmetallic mineral product manufacturing </t>
  </si>
  <si>
    <t xml:space="preserve">3274, 3279 </t>
  </si>
  <si>
    <t xml:space="preserve">Primary metal manufacturing </t>
  </si>
  <si>
    <t xml:space="preserve">331 </t>
  </si>
  <si>
    <t xml:space="preserve">Iron and steel mills and ferroalloy manufacturing </t>
  </si>
  <si>
    <t xml:space="preserve">3311 </t>
  </si>
  <si>
    <t xml:space="preserve">Steel product manufacturing from purchased steel </t>
  </si>
  <si>
    <t xml:space="preserve">3312 </t>
  </si>
  <si>
    <t xml:space="preserve">Alumina and aluminum production and processing </t>
  </si>
  <si>
    <t xml:space="preserve">3313 </t>
  </si>
  <si>
    <t xml:space="preserve">Nonferrous metal (except aluminum) production and processing </t>
  </si>
  <si>
    <t xml:space="preserve">3314 </t>
  </si>
  <si>
    <t xml:space="preserve">Foundries </t>
  </si>
  <si>
    <t xml:space="preserve">3315 </t>
  </si>
  <si>
    <t xml:space="preserve">Fabricated metal product manufacturing </t>
  </si>
  <si>
    <t xml:space="preserve">332 </t>
  </si>
  <si>
    <t xml:space="preserve">Forging and stamping </t>
  </si>
  <si>
    <t xml:space="preserve">3321 </t>
  </si>
  <si>
    <t xml:space="preserve">Cutlery and handtool manufacturing </t>
  </si>
  <si>
    <t xml:space="preserve">3322 </t>
  </si>
  <si>
    <t xml:space="preserve">Architectural and structural metals manufacturing </t>
  </si>
  <si>
    <t xml:space="preserve">3323 </t>
  </si>
  <si>
    <t xml:space="preserve">Boiler, tank, and shipping container manufacturing </t>
  </si>
  <si>
    <t xml:space="preserve">3324 </t>
  </si>
  <si>
    <t xml:space="preserve">Hardware manufacturing </t>
  </si>
  <si>
    <t xml:space="preserve">3325 </t>
  </si>
  <si>
    <t xml:space="preserve">Spring and wire product manufacturing </t>
  </si>
  <si>
    <t xml:space="preserve">3326 </t>
  </si>
  <si>
    <t xml:space="preserve">Machine shops; turned product; and screw, nut, and bolt manufacturing </t>
  </si>
  <si>
    <t xml:space="preserve">3327 </t>
  </si>
  <si>
    <t xml:space="preserve">Coating, engraving, heat treating, and allied activities </t>
  </si>
  <si>
    <t xml:space="preserve">3328 </t>
  </si>
  <si>
    <t xml:space="preserve">Other fabricated metal product manufacturing </t>
  </si>
  <si>
    <t xml:space="preserve">3329 </t>
  </si>
  <si>
    <t xml:space="preserve">Machinery manufacturing </t>
  </si>
  <si>
    <t xml:space="preserve">333 </t>
  </si>
  <si>
    <t xml:space="preserve">Agriculture, construction, and mining machinery manufacturing </t>
  </si>
  <si>
    <t xml:space="preserve">3331 </t>
  </si>
  <si>
    <t xml:space="preserve">Industrial machinery manufacturing </t>
  </si>
  <si>
    <t xml:space="preserve">3332 </t>
  </si>
  <si>
    <t xml:space="preserve">Commercial and service industry machinery manufacturing, including digital camera manufacturing </t>
  </si>
  <si>
    <t xml:space="preserve">3333 </t>
  </si>
  <si>
    <t xml:space="preserve">Ventilation, heating, air-conditioning, and commercial refrigeration equipment manufacturing </t>
  </si>
  <si>
    <t xml:space="preserve">3334 </t>
  </si>
  <si>
    <t xml:space="preserve">Metalworking machinery manufacturing </t>
  </si>
  <si>
    <t xml:space="preserve">3335 </t>
  </si>
  <si>
    <t xml:space="preserve">Engine, turbine, and power transmission equipment manufacturing </t>
  </si>
  <si>
    <t xml:space="preserve">3336 </t>
  </si>
  <si>
    <t xml:space="preserve">Other general purpose machinery manufacturing </t>
  </si>
  <si>
    <t xml:space="preserve">3339 </t>
  </si>
  <si>
    <t xml:space="preserve">Computer and electronic product manufacturing </t>
  </si>
  <si>
    <t xml:space="preserve">334 </t>
  </si>
  <si>
    <t xml:space="preserve">Computer and peripheral equipment manufacturing, excluding digital camera manufacturing </t>
  </si>
  <si>
    <t xml:space="preserve">3341 </t>
  </si>
  <si>
    <t xml:space="preserve">Communications equipment manufacturing </t>
  </si>
  <si>
    <t xml:space="preserve">3342 </t>
  </si>
  <si>
    <t xml:space="preserve">Audio and video equipment manufacturing </t>
  </si>
  <si>
    <t xml:space="preserve">3343 </t>
  </si>
  <si>
    <t xml:space="preserve">Semiconductor and other electronic component manufacturing </t>
  </si>
  <si>
    <t xml:space="preserve">3344 </t>
  </si>
  <si>
    <t xml:space="preserve">Navigational, measuring, electromedical, and control instruments manufacturing </t>
  </si>
  <si>
    <t xml:space="preserve">3345 </t>
  </si>
  <si>
    <t xml:space="preserve">Manufacturing and reproducing magnetic and optical media </t>
  </si>
  <si>
    <t xml:space="preserve">3346 </t>
  </si>
  <si>
    <t xml:space="preserve">Electrical equipment, appliance, and component manufacturing </t>
  </si>
  <si>
    <t xml:space="preserve">335 </t>
  </si>
  <si>
    <t xml:space="preserve">Electric lighting equipment manufacturing </t>
  </si>
  <si>
    <t xml:space="preserve">3351 </t>
  </si>
  <si>
    <t xml:space="preserve">Household appliance manufacturing </t>
  </si>
  <si>
    <t xml:space="preserve">3352 </t>
  </si>
  <si>
    <t xml:space="preserve">Electrical equipment manufacturing </t>
  </si>
  <si>
    <t xml:space="preserve">3353 </t>
  </si>
  <si>
    <t xml:space="preserve">Other electrical equipment and component manufacturing </t>
  </si>
  <si>
    <t xml:space="preserve">3359 </t>
  </si>
  <si>
    <t xml:space="preserve">Transportation equipment manufacturing </t>
  </si>
  <si>
    <t xml:space="preserve">336 </t>
  </si>
  <si>
    <t xml:space="preserve">Motor vehicle manufacturing </t>
  </si>
  <si>
    <t xml:space="preserve">3361 </t>
  </si>
  <si>
    <t xml:space="preserve">Motor vehicle body and trailer manufacturing </t>
  </si>
  <si>
    <t xml:space="preserve">3362 </t>
  </si>
  <si>
    <t xml:space="preserve">Motor vehicle parts manufacturing </t>
  </si>
  <si>
    <t xml:space="preserve">3363 </t>
  </si>
  <si>
    <t xml:space="preserve">Aerospace product and parts manufacturing </t>
  </si>
  <si>
    <t xml:space="preserve">3364 </t>
  </si>
  <si>
    <t xml:space="preserve">Railroad rolling stock manufacturing </t>
  </si>
  <si>
    <t xml:space="preserve">3365 </t>
  </si>
  <si>
    <t xml:space="preserve">Ship and boat building </t>
  </si>
  <si>
    <t xml:space="preserve">3366 </t>
  </si>
  <si>
    <t xml:space="preserve">Other transportation equipment manufacturing </t>
  </si>
  <si>
    <t xml:space="preserve">3369 </t>
  </si>
  <si>
    <t xml:space="preserve">Furniture and related product manufacturing </t>
  </si>
  <si>
    <t xml:space="preserve">337 </t>
  </si>
  <si>
    <t>Household and institutional furniture and kitchen cabinet manufacturing</t>
  </si>
  <si>
    <t xml:space="preserve">3371 </t>
  </si>
  <si>
    <t xml:space="preserve">Office furniture (including fixtures) manufacturing </t>
  </si>
  <si>
    <t xml:space="preserve">3372 </t>
  </si>
  <si>
    <t xml:space="preserve">Other furniture related product manufacturing </t>
  </si>
  <si>
    <t xml:space="preserve">3379 </t>
  </si>
  <si>
    <t xml:space="preserve">Miscellaneous manufacturing </t>
  </si>
  <si>
    <t xml:space="preserve">339 </t>
  </si>
  <si>
    <t xml:space="preserve">Medical equipment and supplies manufacturing </t>
  </si>
  <si>
    <t xml:space="preserve">3391 </t>
  </si>
  <si>
    <t xml:space="preserve">Other miscellaneous manufacturing </t>
  </si>
  <si>
    <t xml:space="preserve">3399 </t>
  </si>
  <si>
    <t xml:space="preserve">Wholesale trade </t>
  </si>
  <si>
    <t xml:space="preserve">42 </t>
  </si>
  <si>
    <t xml:space="preserve">Retail trade </t>
  </si>
  <si>
    <t xml:space="preserve">44, 45 </t>
  </si>
  <si>
    <t xml:space="preserve">Motor vehicle and parts dealers </t>
  </si>
  <si>
    <t xml:space="preserve">441 </t>
  </si>
  <si>
    <t xml:space="preserve">Food and beverage stores </t>
  </si>
  <si>
    <t xml:space="preserve">445 </t>
  </si>
  <si>
    <t xml:space="preserve">General Merchandise stores </t>
  </si>
  <si>
    <t xml:space="preserve">452 </t>
  </si>
  <si>
    <t xml:space="preserve">All other retail </t>
  </si>
  <si>
    <t xml:space="preserve">442-4, 446-8, 451, 453-4 </t>
  </si>
  <si>
    <t xml:space="preserve">Transportation and warehousing </t>
  </si>
  <si>
    <t xml:space="preserve">48, 492, 493 </t>
  </si>
  <si>
    <t xml:space="preserve">Air transportation </t>
  </si>
  <si>
    <t xml:space="preserve">481 </t>
  </si>
  <si>
    <t xml:space="preserve">Rail transportation </t>
  </si>
  <si>
    <t xml:space="preserve">482 </t>
  </si>
  <si>
    <t xml:space="preserve">Water transportation </t>
  </si>
  <si>
    <t xml:space="preserve">483 </t>
  </si>
  <si>
    <t xml:space="preserve">Truck transportation </t>
  </si>
  <si>
    <t xml:space="preserve">484 </t>
  </si>
  <si>
    <t xml:space="preserve">Transit and ground passenger transportation </t>
  </si>
  <si>
    <t xml:space="preserve">485 </t>
  </si>
  <si>
    <t xml:space="preserve">Pipeline transportation </t>
  </si>
  <si>
    <t xml:space="preserve">486 </t>
  </si>
  <si>
    <t xml:space="preserve">Scenic and sightseeing transportation and support activities for transportation </t>
  </si>
  <si>
    <t xml:space="preserve">487,488 </t>
  </si>
  <si>
    <t xml:space="preserve">Postal Service </t>
  </si>
  <si>
    <t xml:space="preserve">491 </t>
  </si>
  <si>
    <t xml:space="preserve">Couriers and messengers </t>
  </si>
  <si>
    <t xml:space="preserve">492 </t>
  </si>
  <si>
    <t xml:space="preserve">Warehousing and storage </t>
  </si>
  <si>
    <t xml:space="preserve">493 </t>
  </si>
  <si>
    <t xml:space="preserve">Information </t>
  </si>
  <si>
    <t xml:space="preserve">51 </t>
  </si>
  <si>
    <t xml:space="preserve">Publishing industries </t>
  </si>
  <si>
    <t xml:space="preserve">511 </t>
  </si>
  <si>
    <t xml:space="preserve">Newspaper, periodical, book, and directory publishers </t>
  </si>
  <si>
    <t xml:space="preserve">5111 </t>
  </si>
  <si>
    <t xml:space="preserve">Software publishers </t>
  </si>
  <si>
    <t xml:space="preserve">5112 </t>
  </si>
  <si>
    <t xml:space="preserve">Motion picture, video, and sound recording industries </t>
  </si>
  <si>
    <t xml:space="preserve">512 </t>
  </si>
  <si>
    <t xml:space="preserve">Broadcasting (except Internet) </t>
  </si>
  <si>
    <t xml:space="preserve">515 </t>
  </si>
  <si>
    <t xml:space="preserve">Radio and television broadcasting </t>
  </si>
  <si>
    <t xml:space="preserve">5151 </t>
  </si>
  <si>
    <t xml:space="preserve">Cable and other subscription programming </t>
  </si>
  <si>
    <t xml:space="preserve">5152 </t>
  </si>
  <si>
    <t xml:space="preserve">Telecommunications </t>
  </si>
  <si>
    <t xml:space="preserve">517 </t>
  </si>
  <si>
    <t xml:space="preserve">. </t>
  </si>
  <si>
    <t xml:space="preserve">Wired telecommunications carriers </t>
  </si>
  <si>
    <t xml:space="preserve">5171 </t>
  </si>
  <si>
    <t xml:space="preserve">Wireless telecommunications carriers (except satellite) </t>
  </si>
  <si>
    <t xml:space="preserve">5172 </t>
  </si>
  <si>
    <t xml:space="preserve">Satellite, telecommunications resellers, and all other telecommunications </t>
  </si>
  <si>
    <t xml:space="preserve">5174, 5179 </t>
  </si>
  <si>
    <t xml:space="preserve">Data processing, hosting, and related services </t>
  </si>
  <si>
    <t xml:space="preserve">518 </t>
  </si>
  <si>
    <t xml:space="preserve">Other information services </t>
  </si>
  <si>
    <t xml:space="preserve">519 </t>
  </si>
  <si>
    <t xml:space="preserve">Finance and insurance </t>
  </si>
  <si>
    <t xml:space="preserve">52 </t>
  </si>
  <si>
    <t xml:space="preserve">Monetary authorities, credit intermediation, and related activities </t>
  </si>
  <si>
    <t xml:space="preserve">521, 522 </t>
  </si>
  <si>
    <t xml:space="preserve">Securities, commodity contracts, funds, trusts and other financial investments and related activities </t>
  </si>
  <si>
    <t xml:space="preserve">523, 525 </t>
  </si>
  <si>
    <t xml:space="preserve">Insurance carriers and related activities </t>
  </si>
  <si>
    <t xml:space="preserve">524 </t>
  </si>
  <si>
    <t xml:space="preserve">Insurance carriers </t>
  </si>
  <si>
    <t xml:space="preserve">5241 </t>
  </si>
  <si>
    <t xml:space="preserve">Agencies, brokerages, and other insurance related activities </t>
  </si>
  <si>
    <t xml:space="preserve">5242 </t>
  </si>
  <si>
    <t xml:space="preserve">Real estate, rental, and leasing </t>
  </si>
  <si>
    <t xml:space="preserve">53 </t>
  </si>
  <si>
    <t xml:space="preserve">Real estate </t>
  </si>
  <si>
    <t xml:space="preserve">531 </t>
  </si>
  <si>
    <t xml:space="preserve">Rental and leasing services and lessors of intangible assets </t>
  </si>
  <si>
    <t xml:space="preserve">532,533 </t>
  </si>
  <si>
    <t xml:space="preserve">Automotive equipment rental and leasing </t>
  </si>
  <si>
    <t xml:space="preserve">5321 </t>
  </si>
  <si>
    <t xml:space="preserve">Consumer goods rental and general rental centers </t>
  </si>
  <si>
    <t xml:space="preserve">5322, 5323 </t>
  </si>
  <si>
    <t xml:space="preserve">Commercial and industrial machinery and equipment rental and leasing </t>
  </si>
  <si>
    <t xml:space="preserve">5324 </t>
  </si>
  <si>
    <t xml:space="preserve">Lessors of nonfinancial intangible assets (except copyrighted works) </t>
  </si>
  <si>
    <t xml:space="preserve">533 </t>
  </si>
  <si>
    <t xml:space="preserve">Professional, scientific, and technical services </t>
  </si>
  <si>
    <t xml:space="preserve">54 </t>
  </si>
  <si>
    <t xml:space="preserve">Legal services </t>
  </si>
  <si>
    <t xml:space="preserve">5411 </t>
  </si>
  <si>
    <t xml:space="preserve">Accounting, tax preparation, bookkeeping, and payroll services </t>
  </si>
  <si>
    <t xml:space="preserve">5412 </t>
  </si>
  <si>
    <t xml:space="preserve">Architectural, engineering, and related services </t>
  </si>
  <si>
    <t xml:space="preserve">5413 </t>
  </si>
  <si>
    <t xml:space="preserve">Specialized design services </t>
  </si>
  <si>
    <t xml:space="preserve">5414 </t>
  </si>
  <si>
    <t xml:space="preserve">Computer systems design and related services </t>
  </si>
  <si>
    <t xml:space="preserve">5415 </t>
  </si>
  <si>
    <t xml:space="preserve">Management, scientific, and technical consulting services </t>
  </si>
  <si>
    <t xml:space="preserve">5416 </t>
  </si>
  <si>
    <t xml:space="preserve">Scientific research and development services </t>
  </si>
  <si>
    <t xml:space="preserve">5417 </t>
  </si>
  <si>
    <t xml:space="preserve">Advertising and related services </t>
  </si>
  <si>
    <t xml:space="preserve">5418 </t>
  </si>
  <si>
    <t xml:space="preserve">Other professional, scientific, and technical services </t>
  </si>
  <si>
    <t xml:space="preserve">5419 </t>
  </si>
  <si>
    <t xml:space="preserve">Management of companies and enterprises </t>
  </si>
  <si>
    <t xml:space="preserve">55 </t>
  </si>
  <si>
    <t xml:space="preserve">Administrative and support and waste management and remediation services </t>
  </si>
  <si>
    <t xml:space="preserve">56 </t>
  </si>
  <si>
    <t xml:space="preserve">Administrative and support services </t>
  </si>
  <si>
    <t xml:space="preserve">561 </t>
  </si>
  <si>
    <t xml:space="preserve">Office administrative services </t>
  </si>
  <si>
    <t xml:space="preserve">5611 </t>
  </si>
  <si>
    <t xml:space="preserve">Facilities support services </t>
  </si>
  <si>
    <t xml:space="preserve">5612 </t>
  </si>
  <si>
    <t xml:space="preserve">Employment services </t>
  </si>
  <si>
    <t xml:space="preserve">5613 </t>
  </si>
  <si>
    <t xml:space="preserve">Business support services </t>
  </si>
  <si>
    <t xml:space="preserve">5614 </t>
  </si>
  <si>
    <t xml:space="preserve">Travel arrangement and reservation services </t>
  </si>
  <si>
    <t xml:space="preserve">5615 </t>
  </si>
  <si>
    <t xml:space="preserve">Investigation and security services </t>
  </si>
  <si>
    <t xml:space="preserve">5616 </t>
  </si>
  <si>
    <t xml:space="preserve">Services to buildings and dwellings </t>
  </si>
  <si>
    <t xml:space="preserve">5617 </t>
  </si>
  <si>
    <t xml:space="preserve">Other support services </t>
  </si>
  <si>
    <t xml:space="preserve">5619 </t>
  </si>
  <si>
    <t xml:space="preserve">Waste management and remediation services </t>
  </si>
  <si>
    <t xml:space="preserve">562 </t>
  </si>
  <si>
    <t xml:space="preserve">Education services </t>
  </si>
  <si>
    <t xml:space="preserve">61 </t>
  </si>
  <si>
    <t xml:space="preserve">Elementary and secondary schools </t>
  </si>
  <si>
    <t xml:space="preserve">6111 </t>
  </si>
  <si>
    <t xml:space="preserve">Junior colleges, colleges, universities, and professional schools </t>
  </si>
  <si>
    <t xml:space="preserve">6112, 6113 </t>
  </si>
  <si>
    <t xml:space="preserve">Other educational services </t>
  </si>
  <si>
    <t xml:space="preserve">6114-7 </t>
  </si>
  <si>
    <t xml:space="preserve">Health care and social assistance </t>
  </si>
  <si>
    <t xml:space="preserve">62 </t>
  </si>
  <si>
    <t xml:space="preserve">Ambulatory health care services </t>
  </si>
  <si>
    <t xml:space="preserve">621 </t>
  </si>
  <si>
    <t xml:space="preserve">Offices of physicians </t>
  </si>
  <si>
    <t xml:space="preserve">6211 </t>
  </si>
  <si>
    <t xml:space="preserve">Offices of dentists </t>
  </si>
  <si>
    <t xml:space="preserve">6212 </t>
  </si>
  <si>
    <t xml:space="preserve">Offices of other health practitioners </t>
  </si>
  <si>
    <t xml:space="preserve">6213 </t>
  </si>
  <si>
    <t xml:space="preserve">Outpatient care centers </t>
  </si>
  <si>
    <t xml:space="preserve">6214 </t>
  </si>
  <si>
    <t xml:space="preserve">Medical and diagnostic laboratories </t>
  </si>
  <si>
    <t xml:space="preserve">6215 </t>
  </si>
  <si>
    <t xml:space="preserve">Home health care services </t>
  </si>
  <si>
    <t xml:space="preserve">6216 </t>
  </si>
  <si>
    <t xml:space="preserve">Other ambulatory health care services </t>
  </si>
  <si>
    <t xml:space="preserve">6219 </t>
  </si>
  <si>
    <t xml:space="preserve">Hospitals </t>
  </si>
  <si>
    <t xml:space="preserve">622 </t>
  </si>
  <si>
    <t xml:space="preserve">Nursing and residential care facilities </t>
  </si>
  <si>
    <t xml:space="preserve">623 </t>
  </si>
  <si>
    <t xml:space="preserve">Social assistance </t>
  </si>
  <si>
    <t xml:space="preserve">624 </t>
  </si>
  <si>
    <t xml:space="preserve">Individual and family services </t>
  </si>
  <si>
    <t xml:space="preserve">6241 </t>
  </si>
  <si>
    <t xml:space="preserve">Community, and vocational rehabilitation services </t>
  </si>
  <si>
    <t xml:space="preserve">6242, 6243 </t>
  </si>
  <si>
    <t xml:space="preserve">Child day care services </t>
  </si>
  <si>
    <t xml:space="preserve">6244 </t>
  </si>
  <si>
    <t xml:space="preserve">Arts, entertainment, and recreation </t>
  </si>
  <si>
    <t xml:space="preserve">71 </t>
  </si>
  <si>
    <t xml:space="preserve">Performing arts, spectator sports, and related industries </t>
  </si>
  <si>
    <t xml:space="preserve">711 </t>
  </si>
  <si>
    <t xml:space="preserve">Performing arts companies </t>
  </si>
  <si>
    <t xml:space="preserve">7111 </t>
  </si>
  <si>
    <t xml:space="preserve">Spectator sports </t>
  </si>
  <si>
    <t xml:space="preserve">7112 </t>
  </si>
  <si>
    <t xml:space="preserve">Promoters of  events, and agents and managers </t>
  </si>
  <si>
    <t xml:space="preserve">7113, 7114 </t>
  </si>
  <si>
    <t xml:space="preserve">Independent artists, writers, and performers </t>
  </si>
  <si>
    <t xml:space="preserve">7115 </t>
  </si>
  <si>
    <t xml:space="preserve">Museums, historical sites, and similar institutions </t>
  </si>
  <si>
    <t xml:space="preserve">712 </t>
  </si>
  <si>
    <t xml:space="preserve">Amusement, gambling, and recreation industries </t>
  </si>
  <si>
    <t xml:space="preserve">713 </t>
  </si>
  <si>
    <t xml:space="preserve">Amusement parks and arcades </t>
  </si>
  <si>
    <t xml:space="preserve">7131 </t>
  </si>
  <si>
    <t xml:space="preserve">Gambling industries (except casino hotels) </t>
  </si>
  <si>
    <t xml:space="preserve">7132 </t>
  </si>
  <si>
    <t xml:space="preserve">Other amusement and recreation industries </t>
  </si>
  <si>
    <t xml:space="preserve">7139 </t>
  </si>
  <si>
    <t xml:space="preserve">Accommodation and food services </t>
  </si>
  <si>
    <t xml:space="preserve">72 </t>
  </si>
  <si>
    <t xml:space="preserve">Accommodation </t>
  </si>
  <si>
    <t xml:space="preserve">721 </t>
  </si>
  <si>
    <t xml:space="preserve">Food services and drinking places </t>
  </si>
  <si>
    <t xml:space="preserve">722 </t>
  </si>
  <si>
    <t xml:space="preserve">Other services </t>
  </si>
  <si>
    <t xml:space="preserve">81 </t>
  </si>
  <si>
    <t xml:space="preserve">Repair and maintenance </t>
  </si>
  <si>
    <t xml:space="preserve">811 </t>
  </si>
  <si>
    <t xml:space="preserve">Automotive repair and maintenance </t>
  </si>
  <si>
    <t xml:space="preserve">8111 </t>
  </si>
  <si>
    <t xml:space="preserve">Electronic and precision equipment repair and maintenance </t>
  </si>
  <si>
    <t xml:space="preserve">8112 </t>
  </si>
  <si>
    <t xml:space="preserve">Commercial and industrial machinery and equipment (except automotive and electronic) repair and maintenance </t>
  </si>
  <si>
    <t xml:space="preserve">8113 </t>
  </si>
  <si>
    <t xml:space="preserve">Personal and household goods repair and maintenance </t>
  </si>
  <si>
    <t xml:space="preserve">8114 </t>
  </si>
  <si>
    <t xml:space="preserve">Personal and laundry services </t>
  </si>
  <si>
    <t xml:space="preserve">812 </t>
  </si>
  <si>
    <t xml:space="preserve">Personal care services </t>
  </si>
  <si>
    <t xml:space="preserve">8121 </t>
  </si>
  <si>
    <t xml:space="preserve">Death care services </t>
  </si>
  <si>
    <t xml:space="preserve">8122 </t>
  </si>
  <si>
    <t xml:space="preserve">Drycleaning and laundry services </t>
  </si>
  <si>
    <t xml:space="preserve">8123 </t>
  </si>
  <si>
    <t xml:space="preserve">Other personal services </t>
  </si>
  <si>
    <t xml:space="preserve">8129 </t>
  </si>
  <si>
    <t xml:space="preserve">Religious, grantmaking, civic, professional, and similar organizations </t>
  </si>
  <si>
    <t xml:space="preserve">Religious organizations </t>
  </si>
  <si>
    <t xml:space="preserve">8131 </t>
  </si>
  <si>
    <t xml:space="preserve">Grantmaking and giving services and social advocacy organizations </t>
  </si>
  <si>
    <t xml:space="preserve">8132, 8133 </t>
  </si>
  <si>
    <t xml:space="preserve">Civic, social, professional, and similar organizations </t>
  </si>
  <si>
    <t xml:space="preserve">8134, 8139 </t>
  </si>
  <si>
    <t xml:space="preserve">Private households </t>
  </si>
  <si>
    <t xml:space="preserve">814 </t>
  </si>
  <si>
    <t>.</t>
  </si>
  <si>
    <t xml:space="preserve">Federal government </t>
  </si>
  <si>
    <t xml:space="preserve">Federal electric utilities </t>
  </si>
  <si>
    <t xml:space="preserve">Federal enterprises except the Postal Service and electric utilities </t>
  </si>
  <si>
    <t xml:space="preserve">Federal defense government compensation </t>
  </si>
  <si>
    <t xml:space="preserve">Federal defense government consumption of fixed capital </t>
  </si>
  <si>
    <t xml:space="preserve">Federal defense government except compensation and consumption of fixed capital </t>
  </si>
  <si>
    <t xml:space="preserve">Federal non-defense government compensation - except enterprises </t>
  </si>
  <si>
    <t xml:space="preserve">Federal non-defense government consumption of fixed capital </t>
  </si>
  <si>
    <t xml:space="preserve">Federal non-defense government except compensation and consumption of fixed capital </t>
  </si>
  <si>
    <t xml:space="preserve">Federal government except enterprises </t>
  </si>
  <si>
    <t xml:space="preserve">State and local government </t>
  </si>
  <si>
    <t xml:space="preserve">Local government passenger transit </t>
  </si>
  <si>
    <t xml:space="preserve">Local government enterprises except passenger transit </t>
  </si>
  <si>
    <t xml:space="preserve">Local government hospitals - compensation </t>
  </si>
  <si>
    <t xml:space="preserve">Local government educational services - compensation </t>
  </si>
  <si>
    <t xml:space="preserve">Local government excluding enterprises, educational services, and hospitals - compensation </t>
  </si>
  <si>
    <t xml:space="preserve">State government enterprises </t>
  </si>
  <si>
    <t xml:space="preserve">State government hospitals - compensation </t>
  </si>
  <si>
    <t xml:space="preserve">State government educational services - compensation </t>
  </si>
  <si>
    <t xml:space="preserve">State government, other compensation </t>
  </si>
  <si>
    <t xml:space="preserve">State and local government capital services </t>
  </si>
  <si>
    <t xml:space="preserve">General state and local government  except compensation and capital services </t>
  </si>
  <si>
    <t xml:space="preserve">Owner-occupied dwellings </t>
  </si>
  <si>
    <r>
      <t>Agriculture, forestry, fishing, and hunting</t>
    </r>
    <r>
      <rPr>
        <vertAlign val="superscript"/>
        <sz val="10"/>
        <rFont val="Arial"/>
        <family val="2"/>
      </rPr>
      <t>(3)</t>
    </r>
  </si>
  <si>
    <t xml:space="preserve">11 </t>
  </si>
  <si>
    <t xml:space="preserve">Crop production </t>
  </si>
  <si>
    <t xml:space="preserve">111 </t>
  </si>
  <si>
    <t xml:space="preserve">Animal production </t>
  </si>
  <si>
    <t xml:space="preserve">112 </t>
  </si>
  <si>
    <t xml:space="preserve">Forestry </t>
  </si>
  <si>
    <t xml:space="preserve">1131, 1132 </t>
  </si>
  <si>
    <t xml:space="preserve">Logging </t>
  </si>
  <si>
    <t xml:space="preserve">1133 </t>
  </si>
  <si>
    <t xml:space="preserve">Fishing, hunting and trapping </t>
  </si>
  <si>
    <t xml:space="preserve">114 </t>
  </si>
  <si>
    <t xml:space="preserve">Support activities for agriculture and forestry </t>
  </si>
  <si>
    <t xml:space="preserve">115 </t>
  </si>
  <si>
    <r>
      <t>Nonagriculture self-employed</t>
    </r>
    <r>
      <rPr>
        <b/>
        <vertAlign val="superscript"/>
        <sz val="10"/>
        <color theme="1"/>
        <rFont val="Arial"/>
        <family val="2"/>
      </rPr>
      <t xml:space="preserve">(4) </t>
    </r>
  </si>
  <si>
    <t>Footnotes:</t>
  </si>
  <si>
    <r>
      <rPr>
        <vertAlign val="superscript"/>
        <sz val="10"/>
        <rFont val="Arial"/>
        <family val="2"/>
      </rPr>
      <t>1</t>
    </r>
    <r>
      <rPr>
        <sz val="10"/>
        <rFont val="Arial"/>
        <family val="2"/>
      </rPr>
      <t xml:space="preserve"> Employment data for wage and salary workers are from the BLS Current Employment Statistics survey, which counts jobs, whereas self-employed and agriculture, forestry, fishing, and hunting are from the Current Population Survey (household survey), which counts workers.</t>
    </r>
  </si>
  <si>
    <r>
      <rPr>
        <vertAlign val="superscript"/>
        <sz val="10"/>
        <color indexed="8"/>
        <rFont val="Arial"/>
        <family val="2"/>
      </rPr>
      <t>2</t>
    </r>
    <r>
      <rPr>
        <sz val="10"/>
        <color indexed="8"/>
        <rFont val="Arial"/>
        <family val="2"/>
      </rPr>
      <t xml:space="preserve"> Output subcategories do not necessarily add to higher categories as a byproduct of chain-weighting.</t>
    </r>
  </si>
  <si>
    <r>
      <rPr>
        <vertAlign val="superscript"/>
        <sz val="10"/>
        <rFont val="Arial"/>
        <family val="2"/>
      </rPr>
      <t>3</t>
    </r>
    <r>
      <rPr>
        <sz val="10"/>
        <rFont val="Arial"/>
        <family val="2"/>
      </rPr>
      <t xml:space="preserve"> Includes agriculture, forestry, fishing, and hunting wage and salary, and self-employed data from the Current Population Survey, except logging, which is from Current Employment Statistics survey. Government wage and salary workers are excluded.</t>
    </r>
  </si>
  <si>
    <r>
      <rPr>
        <vertAlign val="superscript"/>
        <sz val="10"/>
        <color indexed="8"/>
        <rFont val="Arial"/>
        <family val="2"/>
      </rPr>
      <t>4</t>
    </r>
    <r>
      <rPr>
        <sz val="10"/>
        <color indexed="8"/>
        <rFont val="Arial"/>
        <family val="2"/>
      </rPr>
      <t xml:space="preserve"> Comparable estimate of output growth is not available.</t>
    </r>
  </si>
  <si>
    <t>SOURCE: U.S. Bureau of Labor Statistics</t>
  </si>
  <si>
    <t>Report</t>
  </si>
  <si>
    <t>Scenario</t>
  </si>
  <si>
    <t>Datekey</t>
  </si>
  <si>
    <t>Release Date</t>
  </si>
  <si>
    <t>ISM000</t>
  </si>
  <si>
    <t>23. Industrial Sector Macroeconomic Indicators</t>
  </si>
  <si>
    <t xml:space="preserve"> Indicators</t>
  </si>
  <si>
    <t>ISM000:ba_GDP(billionm_</t>
  </si>
  <si>
    <t>Gross Domestic Product (billion 2012 dollars)</t>
  </si>
  <si>
    <t>ISM000:ca_NonfarmEmploy</t>
  </si>
  <si>
    <t>Nonfarm Employment (millions)</t>
  </si>
  <si>
    <t>Value of Shipments (billion 2012 dollars)</t>
  </si>
  <si>
    <t>Nonmanufacturing Sector</t>
  </si>
  <si>
    <t>ISM000:ea_Agricultural</t>
  </si>
  <si>
    <t xml:space="preserve">  Agriculture/Forestry/Fishing/Hunting</t>
  </si>
  <si>
    <t>ISM000:ea_Mining</t>
  </si>
  <si>
    <t xml:space="preserve">  Mining</t>
  </si>
  <si>
    <t>ISM000:ea_Construction</t>
  </si>
  <si>
    <t xml:space="preserve">  Construction</t>
  </si>
  <si>
    <t>Manufacturing Sector</t>
  </si>
  <si>
    <t>ISM000:fa_FoodandKindre</t>
  </si>
  <si>
    <t xml:space="preserve">  Food Products</t>
  </si>
  <si>
    <t>ISM000:fa_BeveragesandT</t>
  </si>
  <si>
    <t xml:space="preserve">  Beverages and Tobacco Products</t>
  </si>
  <si>
    <t>ISM000:fa_TextileMillPr</t>
  </si>
  <si>
    <t xml:space="preserve">  Textile Mills and Products</t>
  </si>
  <si>
    <t>ISM000:fa_LumberandWood</t>
  </si>
  <si>
    <t xml:space="preserve">  Wood Products</t>
  </si>
  <si>
    <t>ISM000:fa_FurnitureandF</t>
  </si>
  <si>
    <t xml:space="preserve">  Furniture and Related Products</t>
  </si>
  <si>
    <t>ISM000:fa_PaperandAllie</t>
  </si>
  <si>
    <t xml:space="preserve">  Paper Products</t>
  </si>
  <si>
    <t>ISM000:fa_PrintingandPu</t>
  </si>
  <si>
    <t xml:space="preserve">  Printing</t>
  </si>
  <si>
    <t>ISM000:fa_ChemicalandAl</t>
  </si>
  <si>
    <t xml:space="preserve">  Chemical Manufacturing</t>
  </si>
  <si>
    <t>ISM000:fa_BulkChemicals</t>
  </si>
  <si>
    <t xml:space="preserve">    Bulk Chemicals</t>
  </si>
  <si>
    <t>ISM000:fa_Inorganic</t>
  </si>
  <si>
    <t xml:space="preserve">      Inorganic</t>
  </si>
  <si>
    <t>ISM000:fa_Organic</t>
  </si>
  <si>
    <t xml:space="preserve">      Organic</t>
  </si>
  <si>
    <t>ISM000:fa_Resins</t>
  </si>
  <si>
    <t xml:space="preserve">      Resin, Synthetic Rubber, and Fibers</t>
  </si>
  <si>
    <t>ISM000:fa_AgriculturalC</t>
  </si>
  <si>
    <t xml:space="preserve">      Agricultural Chemicals</t>
  </si>
  <si>
    <t>ISM000:fa_OtherChemical</t>
  </si>
  <si>
    <t xml:space="preserve">    Other Chemical Products</t>
  </si>
  <si>
    <t>ISM000:fa_PetroleumandC</t>
  </si>
  <si>
    <t xml:space="preserve">  Petroleum and Coal Products</t>
  </si>
  <si>
    <t>ISM000:fa_PetroleumRefi</t>
  </si>
  <si>
    <t xml:space="preserve">    Petroleum Refineries</t>
  </si>
  <si>
    <t>ISM000:fa_OtherPetroleu</t>
  </si>
  <si>
    <t xml:space="preserve">    Other Petroleum and Coal Products</t>
  </si>
  <si>
    <t>ISM000:fa_RubberandMisc</t>
  </si>
  <si>
    <t xml:space="preserve">  Plastics and Rubber Products</t>
  </si>
  <si>
    <t>ISM000:fa_Stone,Clay,an</t>
  </si>
  <si>
    <t xml:space="preserve">  Stone, Clay, and Glass Products</t>
  </si>
  <si>
    <t>ISM000:fa_GlassandGlass</t>
  </si>
  <si>
    <t xml:space="preserve">    Glass and Glass Products</t>
  </si>
  <si>
    <t>ISM000:fa_CementandHydr</t>
  </si>
  <si>
    <t xml:space="preserve">    Cement and Lime</t>
  </si>
  <si>
    <t>ISM000:fa_OtherStone,Cl</t>
  </si>
  <si>
    <t xml:space="preserve">    Other Nonmetallic Mineral Products</t>
  </si>
  <si>
    <t>ISM000:ga_PrimaryMetals</t>
  </si>
  <si>
    <t xml:space="preserve">  Primary Metals Industry</t>
  </si>
  <si>
    <t>ISM000:ga_BlastFurnacea</t>
  </si>
  <si>
    <t xml:space="preserve">    Iron and Steel Mills and Products</t>
  </si>
  <si>
    <t>ISM000:ga_Aluminum</t>
  </si>
  <si>
    <t xml:space="preserve">    Alumina and Aluminum Products</t>
  </si>
  <si>
    <t>ISM000:ga_OtherPrimaryM</t>
  </si>
  <si>
    <t xml:space="preserve">    Other Primary Metal Products</t>
  </si>
  <si>
    <t>ISM000:ga_FabricatedMet</t>
  </si>
  <si>
    <t xml:space="preserve">  Fabricated Metal Products</t>
  </si>
  <si>
    <t>ISM000:ga_IndustrialMac</t>
  </si>
  <si>
    <t xml:space="preserve">  Machinery</t>
  </si>
  <si>
    <t>ISM000:ga_Electronicand</t>
  </si>
  <si>
    <t xml:space="preserve">  Computers and Electronics</t>
  </si>
  <si>
    <t>ISM000:ga_Transportatio</t>
  </si>
  <si>
    <t xml:space="preserve">  Transportation Equipment</t>
  </si>
  <si>
    <t>ISM000:ga_Instrumentsan</t>
  </si>
  <si>
    <t xml:space="preserve">  Electrical Equipment</t>
  </si>
  <si>
    <t>ISM000:ga_Miscellaneous</t>
  </si>
  <si>
    <t xml:space="preserve">  Miscellaneous Manufacturing</t>
  </si>
  <si>
    <t>ISM000:ha_TotalIndustri</t>
  </si>
  <si>
    <t>Total Industrial Value of Shipments</t>
  </si>
  <si>
    <t>Note:  Totals may not equal sum of components due to independent rounding.</t>
  </si>
  <si>
    <t>U.S. EIA</t>
  </si>
  <si>
    <t>https://www.eia.gov/outlooks/aeo/tables_ref.php</t>
  </si>
  <si>
    <t>Table 23: Industrial Sector Macroeconomic Indicators</t>
  </si>
  <si>
    <t>Industry Output and Employment</t>
  </si>
  <si>
    <t>Table 2.7: Output and Employment by Industry</t>
  </si>
  <si>
    <t>Assigned ISIC Code</t>
  </si>
  <si>
    <t>2019-2029</t>
  </si>
  <si>
    <t>Compound Growth Rate (output-weighted average of components of each ISIC code)</t>
  </si>
  <si>
    <t>BLS Data</t>
  </si>
  <si>
    <t>EIA AEO Data</t>
  </si>
  <si>
    <t>ISIC 05, ISIC 06, ISIC 07T08</t>
  </si>
  <si>
    <t>ISIC 29, ISIC 30</t>
  </si>
  <si>
    <t>Chosen Rates by Year</t>
  </si>
  <si>
    <t>BPCiObIC BAU Percent Change in Output by ISIC Code</t>
  </si>
  <si>
    <t>Unit: dimensionless (% change)</t>
  </si>
  <si>
    <t>Now that we have growth rates by ISIC code, we rescale all growth rates together such that BAU Value Added</t>
  </si>
  <si>
    <t>(summed across ISIC codes) reflects the BAU GDP projection in the final year of the model run.</t>
  </si>
  <si>
    <t>We need a set of scaling factors to convert the I/O variables that contain static data (for one historical year)</t>
  </si>
  <si>
    <t>to future time series data.</t>
  </si>
  <si>
    <t>We base these scaling factors on the projected change in output for each ISIC code, which is readily</t>
  </si>
  <si>
    <t>because we need to know how industries grow or shrink relative to one-another, not just how they</t>
  </si>
  <si>
    <t>available disaggregated by ISIC code.  It is crucial for these projections to be disaggregated by ISIC code,</t>
  </si>
  <si>
    <t>grow or shrink overall to fit GDP growth.</t>
  </si>
  <si>
    <t>For the U.S., we use projections from the BLS and EIA AEO.  The BLS has growth rates for all ISIC codes,</t>
  </si>
  <si>
    <t>but only out to 2029.  The EIA has projections for only certain ISIC codes, but out to 2050.</t>
  </si>
  <si>
    <t>the growth in total Value Added across the economy equals the growth of GDP (on a percentage basis),</t>
  </si>
  <si>
    <t>which ensures our results are aligned to the top-level GDP projection while preserving differences</t>
  </si>
  <si>
    <t>in underlying growth (or shrinkage) of specific ISIC codes.</t>
  </si>
  <si>
    <t>If you do not have projected changes in output (or any other useful quantity, such as employment</t>
  </si>
  <si>
    <t>changes in which industries will become more or less important relative to one another, but at least</t>
  </si>
  <si>
    <t>value added, employment, etc.).</t>
  </si>
  <si>
    <t>Note for Adaptation to Other Regions that Lack Projections Disaggregated by ISIC Code</t>
  </si>
  <si>
    <t>or value added) for future years, you should use the percent change in GDP from input variable io-model/BGDP</t>
  </si>
  <si>
    <t>for each modeled year (i.e., the change in GDP relative to GDP in the year of your I/O data) for all</t>
  </si>
  <si>
    <t>ISIC codes in this variable.  This will fail to capture underlying</t>
  </si>
  <si>
    <t>it allows the model to function and gives correct overall magnitude of the I/O variables (such as GDP,</t>
  </si>
  <si>
    <t>Future Year Projected Changes in Output by ISIC Code</t>
  </si>
  <si>
    <t>Value (2012 USD)</t>
  </si>
  <si>
    <t>ref2023.d020623a</t>
  </si>
  <si>
    <t>Annual Energy Outlook 2023</t>
  </si>
  <si>
    <t>ref2023</t>
  </si>
  <si>
    <t>Reference</t>
  </si>
  <si>
    <t>d020623a</t>
  </si>
  <si>
    <t xml:space="preserve"> March 2023</t>
  </si>
  <si>
    <t>Annual</t>
  </si>
  <si>
    <t>2022–2050</t>
  </si>
  <si>
    <t>Data source: 2022:  IHS Markit, Macroeconomic model, September 2022.</t>
  </si>
  <si>
    <t>Projections:  U.S. Energy Information Administration, AEO2023 National Energy Modeling System run ref2023.d020623a.</t>
  </si>
  <si>
    <t>Average</t>
  </si>
  <si>
    <t>2022-2050</t>
  </si>
  <si>
    <t>Methodology:</t>
  </si>
  <si>
    <t>We use the sector breakdowns from a Data for Progress analysis. We leverage the tax credits into total increased output of industries, which we reflect as a percentage increase in fuel consumption. We assume the stimulus results in permanent job creation and domestic manufacturing, even after the tax credits expire.</t>
  </si>
  <si>
    <t>The 48C credits run at their full value through 2029 before phasing out to 75% in 2030, 50% in 2031, 25% in 2032, and 0% in 2033.</t>
  </si>
  <si>
    <r>
      <t xml:space="preserve">Source: </t>
    </r>
    <r>
      <rPr>
        <u/>
        <sz val="10"/>
        <color rgb="FF1155CC"/>
        <rFont val="Arial"/>
        <family val="2"/>
      </rPr>
      <t>https://www.filesforprogress.org/memos/CEPP-amplifies-jobs-impacts-of-48c-tax-credit.pdf</t>
    </r>
  </si>
  <si>
    <t>Energy Consumption Adjustments</t>
  </si>
  <si>
    <t>Implementation Schedule</t>
  </si>
  <si>
    <t>appliances and and electrical equipment 27</t>
  </si>
  <si>
    <t>chemicals 20</t>
  </si>
  <si>
    <t>other machinery 28</t>
  </si>
  <si>
    <t>other manufacturing 31T33</t>
  </si>
  <si>
    <t>rubber and plastic products 22</t>
  </si>
  <si>
    <t>metal products except machinery and vehicles 25</t>
  </si>
  <si>
    <t>nonroad vehicles 30</t>
  </si>
  <si>
    <t>cement and other nonmetallic minerals 239</t>
  </si>
  <si>
    <t>other metals 242</t>
  </si>
  <si>
    <t>glass and glass products 231</t>
  </si>
  <si>
    <t>road vehicles 29</t>
  </si>
  <si>
    <t>Calculations</t>
  </si>
  <si>
    <t>Government Leverage</t>
  </si>
  <si>
    <t>Amounts</t>
  </si>
  <si>
    <t>annual total</t>
  </si>
  <si>
    <t>automotive only</t>
  </si>
  <si>
    <t>non-automotive</t>
  </si>
  <si>
    <t>Total Allocation in Original Text</t>
  </si>
  <si>
    <t>Automotive Carve Out</t>
  </si>
  <si>
    <t>Non-automotive carve out</t>
  </si>
  <si>
    <t>Efficiency Set Aside</t>
  </si>
  <si>
    <t>New Allocation</t>
  </si>
  <si>
    <t>Allocations</t>
  </si>
  <si>
    <t>Historical</t>
  </si>
  <si>
    <t>Industry Allocation</t>
  </si>
  <si>
    <t>Industry Category</t>
  </si>
  <si>
    <t>ISIC Code</t>
  </si>
  <si>
    <t>Modified with Autmotive Carve Out</t>
  </si>
  <si>
    <t>DPA Funding</t>
  </si>
  <si>
    <t>Assigned evenly to ISIC 27 and ISIC 242 and assumed spent evenly over budget window</t>
  </si>
  <si>
    <t>Annual Government Credits</t>
  </si>
  <si>
    <t>Annual Leveraged Increase in Output</t>
  </si>
  <si>
    <t>Cumulative Leveraged Increase in Output</t>
  </si>
  <si>
    <t>BAU Domestic Output of Selected Industries</t>
  </si>
  <si>
    <t>BAU Domestic Content Shares</t>
  </si>
  <si>
    <t>Shares</t>
  </si>
  <si>
    <t>BAU Total Output of Selected Industries</t>
  </si>
  <si>
    <t>New Domestic Output of Selected Industries</t>
  </si>
  <si>
    <t>New Domestic Content Shares</t>
  </si>
  <si>
    <t>Fraction of Imported Outputs Shifted to In Region</t>
  </si>
  <si>
    <t>Allocation Calculations</t>
  </si>
  <si>
    <t>Domestic Output</t>
  </si>
  <si>
    <t>Time (Time)</t>
  </si>
  <si>
    <t>BAU Output by ISIC Code by Year[ISIC 01T03] : MostRecentRun</t>
  </si>
  <si>
    <t>BAU Output by ISIC Code by Year[ISIC 05] : MostRecentRun</t>
  </si>
  <si>
    <t>BAU Output by ISIC Code by Year[ISIC 06] : MostRecentRun</t>
  </si>
  <si>
    <t>BAU Output by ISIC Code by Year[ISIC 07T08] : MostRecentRun</t>
  </si>
  <si>
    <t>BAU Output by ISIC Code by Year[ISIC 09] : MostRecentRun</t>
  </si>
  <si>
    <t>BAU Output by ISIC Code by Year[ISIC 10T12] : MostRecentRun</t>
  </si>
  <si>
    <t>BAU Output by ISIC Code by Year[ISIC 13T15] : MostRecentRun</t>
  </si>
  <si>
    <t>BAU Output by ISIC Code by Year[ISIC 16] : MostRecentRun</t>
  </si>
  <si>
    <t>BAU Output by ISIC Code by Year[ISIC 17T18] : MostRecentRun</t>
  </si>
  <si>
    <t>BAU Output by ISIC Code by Year[ISIC 19] : MostRecentRun</t>
  </si>
  <si>
    <t>BAU Output by ISIC Code by Year[ISIC 20] : MostRecentRun</t>
  </si>
  <si>
    <t>BAU Output by ISIC Code by Year[ISIC 21] : MostRecentRun</t>
  </si>
  <si>
    <t>BAU Output by ISIC Code by Year[ISIC 22] : MostRecentRun</t>
  </si>
  <si>
    <t>BAU Output by ISIC Code by Year[ISIC 231] : MostRecentRun</t>
  </si>
  <si>
    <t>BAU Output by ISIC Code by Year[ISIC 239] : MostRecentRun</t>
  </si>
  <si>
    <t>BAU Output by ISIC Code by Year[ISIC 241] : MostRecentRun</t>
  </si>
  <si>
    <t>BAU Output by ISIC Code by Year[ISIC 242] : MostRecentRun</t>
  </si>
  <si>
    <t>BAU Output by ISIC Code by Year[ISIC 25] : MostRecentRun</t>
  </si>
  <si>
    <t>BAU Output by ISIC Code by Year[ISIC 26] : MostRecentRun</t>
  </si>
  <si>
    <t>BAU Output by ISIC Code by Year[ISIC 27] : MostRecentRun</t>
  </si>
  <si>
    <t>BAU Output by ISIC Code by Year[ISIC 28] : MostRecentRun</t>
  </si>
  <si>
    <t>BAU Output by ISIC Code by Year[ISIC 29] : MostRecentRun</t>
  </si>
  <si>
    <t>BAU Output by ISIC Code by Year[ISIC 30] : MostRecentRun</t>
  </si>
  <si>
    <t>BAU Output by ISIC Code by Year[ISIC 31T33] : MostRecentRun</t>
  </si>
  <si>
    <t>BAU Output by ISIC Code by Year[ISIC 351] : MostRecentRun</t>
  </si>
  <si>
    <t>BAU Output by ISIC Code by Year[ISIC 352T353] : MostRecentRun</t>
  </si>
  <si>
    <t>BAU Output by ISIC Code by Year[ISIC 36T39] : MostRecentRun</t>
  </si>
  <si>
    <t>BAU Output by ISIC Code by Year[ISIC 41T43] : MostRecentRun</t>
  </si>
  <si>
    <t>BAU Output by ISIC Code by Year[ISIC 45T47] : MostRecentRun</t>
  </si>
  <si>
    <t>BAU Output by ISIC Code by Year[ISIC 49T53] : MostRecentRun</t>
  </si>
  <si>
    <t>BAU Output by ISIC Code by Year[ISIC 55T56] : MostRecentRun</t>
  </si>
  <si>
    <t>BAU Output by ISIC Code by Year[ISIC 58T60] : MostRecentRun</t>
  </si>
  <si>
    <t>BAU Output by ISIC Code by Year[ISIC 61] : MostRecentRun</t>
  </si>
  <si>
    <t>BAU Output by ISIC Code by Year[ISIC 62T63] : MostRecentRun</t>
  </si>
  <si>
    <t>BAU Output by ISIC Code by Year[ISIC 64T66] : MostRecentRun</t>
  </si>
  <si>
    <t>BAU Output by ISIC Code by Year[ISIC 68] : MostRecentRun</t>
  </si>
  <si>
    <t>BAU Output by ISIC Code by Year[ISIC 69T82] : MostRecentRun</t>
  </si>
  <si>
    <t>BAU Output by ISIC Code by Year[ISIC 84] : MostRecentRun</t>
  </si>
  <si>
    <t>BAU Output by ISIC Code by Year[ISIC 85] : MostRecentRun</t>
  </si>
  <si>
    <t>BAU Output by ISIC Code by Year[ISIC 86T88] : MostRecentRun</t>
  </si>
  <si>
    <t>BAU Output by ISIC Code by Year[ISIC 90T96] : MostRecentRun</t>
  </si>
  <si>
    <t>BAU Output by ISIC Code by Year[ISIC 97T98] : MostRecentRun</t>
  </si>
  <si>
    <t>Domestic Content Share</t>
  </si>
  <si>
    <t>BDCSoCbIC BAU Domestic Content Share of Consumption by ISIC Code[ISIC 01T03] : MostRecentRun</t>
  </si>
  <si>
    <t>BDCSoCbIC BAU Domestic Content Share of Consumption by ISIC Code[ISIC 05] : MostRecentRun</t>
  </si>
  <si>
    <t>BDCSoCbIC BAU Domestic Content Share of Consumption by ISIC Code[ISIC 06] : MostRecentRun</t>
  </si>
  <si>
    <t>BDCSoCbIC BAU Domestic Content Share of Consumption by ISIC Code[ISIC 07T08] : MostRecentRun</t>
  </si>
  <si>
    <t>BDCSoCbIC BAU Domestic Content Share of Consumption by ISIC Code[ISIC 09] : MostRecentRun</t>
  </si>
  <si>
    <t>BDCSoCbIC BAU Domestic Content Share of Consumption by ISIC Code[ISIC 10T12] : MostRecentRun</t>
  </si>
  <si>
    <t>BDCSoCbIC BAU Domestic Content Share of Consumption by ISIC Code[ISIC 13T15] : MostRecentRun</t>
  </si>
  <si>
    <t>BDCSoCbIC BAU Domestic Content Share of Consumption by ISIC Code[ISIC 16] : MostRecentRun</t>
  </si>
  <si>
    <t>BDCSoCbIC BAU Domestic Content Share of Consumption by ISIC Code[ISIC 17T18] : MostRecentRun</t>
  </si>
  <si>
    <t>BDCSoCbIC BAU Domestic Content Share of Consumption by ISIC Code[ISIC 19] : MostRecentRun</t>
  </si>
  <si>
    <t>BDCSoCbIC BAU Domestic Content Share of Consumption by ISIC Code[ISIC 20] : MostRecentRun</t>
  </si>
  <si>
    <t>BDCSoCbIC BAU Domestic Content Share of Consumption by ISIC Code[ISIC 21] : MostRecentRun</t>
  </si>
  <si>
    <t>BDCSoCbIC BAU Domestic Content Share of Consumption by ISIC Code[ISIC 22] : MostRecentRun</t>
  </si>
  <si>
    <t>BDCSoCbIC BAU Domestic Content Share of Consumption by ISIC Code[ISIC 231] : MostRecentRun</t>
  </si>
  <si>
    <t>BDCSoCbIC BAU Domestic Content Share of Consumption by ISIC Code[ISIC 239] : MostRecentRun</t>
  </si>
  <si>
    <t>BDCSoCbIC BAU Domestic Content Share of Consumption by ISIC Code[ISIC 241] : MostRecentRun</t>
  </si>
  <si>
    <t>BDCSoCbIC BAU Domestic Content Share of Consumption by ISIC Code[ISIC 242] : MostRecentRun</t>
  </si>
  <si>
    <t>BDCSoCbIC BAU Domestic Content Share of Consumption by ISIC Code[ISIC 25] : MostRecentRun</t>
  </si>
  <si>
    <t>BDCSoCbIC BAU Domestic Content Share of Consumption by ISIC Code[ISIC 26] : MostRecentRun</t>
  </si>
  <si>
    <t>BDCSoCbIC BAU Domestic Content Share of Consumption by ISIC Code[ISIC 27] : MostRecentRun</t>
  </si>
  <si>
    <t>BDCSoCbIC BAU Domestic Content Share of Consumption by ISIC Code[ISIC 28] : MostRecentRun</t>
  </si>
  <si>
    <t>BDCSoCbIC BAU Domestic Content Share of Consumption by ISIC Code[ISIC 29] : MostRecentRun</t>
  </si>
  <si>
    <t>BDCSoCbIC BAU Domestic Content Share of Consumption by ISIC Code[ISIC 30] : MostRecentRun</t>
  </si>
  <si>
    <t>BDCSoCbIC BAU Domestic Content Share of Consumption by ISIC Code[ISIC 31T33] : MostRecentRun</t>
  </si>
  <si>
    <t>BDCSoCbIC BAU Domestic Content Share of Consumption by ISIC Code[ISIC 351] : MostRecentRun</t>
  </si>
  <si>
    <t>BDCSoCbIC BAU Domestic Content Share of Consumption by ISIC Code[ISIC 352T353] : MostRecentRun</t>
  </si>
  <si>
    <t>BDCSoCbIC BAU Domestic Content Share of Consumption by ISIC Code[ISIC 36T39] : MostRecentRun</t>
  </si>
  <si>
    <t>BDCSoCbIC BAU Domestic Content Share of Consumption by ISIC Code[ISIC 41T43] : MostRecentRun</t>
  </si>
  <si>
    <t>BDCSoCbIC BAU Domestic Content Share of Consumption by ISIC Code[ISIC 45T47] : MostRecentRun</t>
  </si>
  <si>
    <t>BDCSoCbIC BAU Domestic Content Share of Consumption by ISIC Code[ISIC 49T53] : MostRecentRun</t>
  </si>
  <si>
    <t>BDCSoCbIC BAU Domestic Content Share of Consumption by ISIC Code[ISIC 55T56] : MostRecentRun</t>
  </si>
  <si>
    <t>BDCSoCbIC BAU Domestic Content Share of Consumption by ISIC Code[ISIC 58T60] : MostRecentRun</t>
  </si>
  <si>
    <t>BDCSoCbIC BAU Domestic Content Share of Consumption by ISIC Code[ISIC 61] : MostRecentRun</t>
  </si>
  <si>
    <t>BDCSoCbIC BAU Domestic Content Share of Consumption by ISIC Code[ISIC 62T63] : MostRecentRun</t>
  </si>
  <si>
    <t>BDCSoCbIC BAU Domestic Content Share of Consumption by ISIC Code[ISIC 64T66] : MostRecentRun</t>
  </si>
  <si>
    <t>BDCSoCbIC BAU Domestic Content Share of Consumption by ISIC Code[ISIC 68] : MostRecentRun</t>
  </si>
  <si>
    <t>BDCSoCbIC BAU Domestic Content Share of Consumption by ISIC Code[ISIC 69T82] : MostRecentRun</t>
  </si>
  <si>
    <t>BDCSoCbIC BAU Domestic Content Share of Consumption by ISIC Code[ISIC 84] : MostRecentRun</t>
  </si>
  <si>
    <t>BDCSoCbIC BAU Domestic Content Share of Consumption by ISIC Code[ISIC 85] : MostRecentRun</t>
  </si>
  <si>
    <t>BDCSoCbIC BAU Domestic Content Share of Consumption by ISIC Code[ISIC 86T88] : MostRecentRun</t>
  </si>
  <si>
    <t>BDCSoCbIC BAU Domestic Content Share of Consumption by ISIC Code[ISIC 90T96] : MostRecentRun</t>
  </si>
  <si>
    <t>BDCSoCbIC BAU Domestic Content Share of Consumption by ISIC Code[ISIC 97T98] : MostRecentRun</t>
  </si>
  <si>
    <t>Total Output</t>
  </si>
  <si>
    <t>SELECTIONS FOR SECTION 48C MANUFACTURING TAX CREDIT</t>
  </si>
  <si>
    <t>Applicant Name</t>
  </si>
  <si>
    <t>Tax Credit Requested</t>
  </si>
  <si>
    <t>Techology Area</t>
  </si>
  <si>
    <t>Facility City</t>
  </si>
  <si>
    <t>Facility State</t>
  </si>
  <si>
    <t>HQ City</t>
  </si>
  <si>
    <t>HQ State</t>
  </si>
  <si>
    <t>Updated Descriptions</t>
  </si>
  <si>
    <t>GEMX Technologies LLC</t>
  </si>
  <si>
    <t>Battery</t>
  </si>
  <si>
    <t>Schenectady</t>
  </si>
  <si>
    <t>NY</t>
  </si>
  <si>
    <t>GEMX will re-equip an existing manufacturing facility. The facility will produce sodium metal halide batteries for various markets, including electricity grid support and regulation services to help support renewable energy penetration levels, enable remote power systems based on renewable energy sources, and help increase efficiency by reduced peak power demands.</t>
  </si>
  <si>
    <t>Porocel Industries, LLC</t>
  </si>
  <si>
    <t>Little Rock</t>
  </si>
  <si>
    <t>AR</t>
  </si>
  <si>
    <t>Cincinnati</t>
  </si>
  <si>
    <t>OH</t>
  </si>
  <si>
    <t>Porocel Industries, LLC will construct and operate a plant for drying, grinding, calcining, and packaging process steps for the production of intermediate material used in the production of Conoco Phillips’ CPreme® Anode. The result will aid in competitive domestic battery manufacturing capability.</t>
  </si>
  <si>
    <t>Aerovironment, Inc</t>
  </si>
  <si>
    <t>Monrovia</t>
  </si>
  <si>
    <t>CA</t>
  </si>
  <si>
    <t>Aeroenvironment plans to purchase equipment for manufacturing 25kWh LiTiO advanced battery packs and battery management systems.</t>
  </si>
  <si>
    <t>Aeroenvironment plans to manufacture a patent pending Mobile Charger that combines a battery pack with a Level 3 DC connector. It is designed for on-road service trucks to provide a quick charge to stranded battery electric vehicles similar to an “out-of-gas” situation.</t>
  </si>
  <si>
    <t>Rogers Foam Automotive Corporation</t>
  </si>
  <si>
    <t>Flint</t>
  </si>
  <si>
    <t>MI</t>
  </si>
  <si>
    <t>Rogers Foam Automotive Corporation will manufacture a component to be used in the thermal management system of Lithium Ion Battery assemblies for electrical vehicles. This sub-component consits of an outer gasket, which locates the component in the assembly, a multi-layer pressure conformable membrane,which provides the constant pressure and a bonding agent, which attaches the outer gasket and membrane. The resulting product will aid domestic battery manufacturing for electric vehicles.</t>
  </si>
  <si>
    <t>Novozymes Blair, Inc.</t>
  </si>
  <si>
    <t>Biomass</t>
  </si>
  <si>
    <t>Blair</t>
  </si>
  <si>
    <t>NE</t>
  </si>
  <si>
    <t>Novozymes Blair, Inc will install equipment at a new manufacturing facility to produce biocatalysts (enzymes) used in manufacturing cellulosic ethanol from corn stover by the biochemical platform (biomass pretreatment, enzymatic hydrolysis, fermentation, distillation). These biocatalysts will aid the production of biofuels as a renewable energy source.</t>
  </si>
  <si>
    <t>RE-Gen LLC</t>
  </si>
  <si>
    <t>Millinocket</t>
  </si>
  <si>
    <t>ME</t>
  </si>
  <si>
    <t>Rockport</t>
  </si>
  <si>
    <t>RE-Gen will build a factory to produce Biomass Gasification Furnaces with a capacity of 250 systems/year. The result will aid the domestic biofuels industry while promoting energy efficiency.</t>
  </si>
  <si>
    <t>Texas Instruments Incorporated</t>
  </si>
  <si>
    <t>Buildings</t>
  </si>
  <si>
    <t>Richardson</t>
  </si>
  <si>
    <t>TX</t>
  </si>
  <si>
    <t>Dallas</t>
  </si>
  <si>
    <t>Texas Instruments will re-equip a facility and purchase equipment to produce 300mm wafers for advanced power management semiconductors.</t>
  </si>
  <si>
    <t>Cree Inc.</t>
  </si>
  <si>
    <t>Durham</t>
  </si>
  <si>
    <t>NC</t>
  </si>
  <si>
    <t>Cree will purchase new equipment to add capacity and capability to lower production costs of LED chips and fixtures. LED lighting technologies represent a new source of high efficiency lighting.</t>
  </si>
  <si>
    <t>General Electric Lighting, Inc</t>
  </si>
  <si>
    <t>Bucyrus</t>
  </si>
  <si>
    <t>East Cleveland</t>
  </si>
  <si>
    <t>GE will re-equip a lamp plant to manufacture energy conserving T8 and T5 linear fluorescent lamps. These lamps will primarily replace less efficient T12 linear fluorescent lamps and HID lamps.</t>
  </si>
  <si>
    <t>General Electric Company</t>
  </si>
  <si>
    <t>Louisville</t>
  </si>
  <si>
    <t>KY</t>
  </si>
  <si>
    <t>GE will re-equip a facility to manufacture new Energy Star compliant appliances – specifically, Ultra-high Efficient Dishwashers. This new dishwasher line will exceed the future, anticipated ENERGY STAR standards for residential dishwashers and be designed to plug into the ‘smart grid’ to effectively manage peak electrical demand.</t>
  </si>
  <si>
    <t>Monogram Refrigeration, LLC</t>
  </si>
  <si>
    <t>Selmer</t>
  </si>
  <si>
    <t>TN</t>
  </si>
  <si>
    <t>Monogram Refigeration, LLC will install newly purchased machinery and equipment to produce both ENERGY STAR™-qualified and non-ENERGY STAR qualified refrigerators. The creation of these energy efficient appliances will result in a reduction of energy usage.</t>
  </si>
  <si>
    <t>General Electric Consumer &amp; Industrial</t>
  </si>
  <si>
    <t>Decatur</t>
  </si>
  <si>
    <t>AL</t>
  </si>
  <si>
    <t>GE will purchase machinery and equipment to produce efficient refrigerators, resulting in greenhouse gas reductions and energy savings.</t>
  </si>
  <si>
    <t>Solar Strategies, Inc.</t>
  </si>
  <si>
    <t>Middleburg</t>
  </si>
  <si>
    <t>PA</t>
  </si>
  <si>
    <t>Philadelphia</t>
  </si>
  <si>
    <t>Solar Strategies will re-equip a modular home facility to produce net zero-energy homes. By combining energy conservation techniques, energy producing technologies, smart metering, Energy Star-rated appliances, and energy management systems, the company aims to produce thousands of solar modular homes that generate more power than they consume over the course of a year. The resulting homes will promote energy efficiency in the residential construction industry.</t>
  </si>
  <si>
    <t>AAF-McQuay, Inc.</t>
  </si>
  <si>
    <t>Fairbault</t>
  </si>
  <si>
    <t>MN</t>
  </si>
  <si>
    <t>AAF will re-equip a manufacturing facility for the production of rooftop air-conditioning systems used on Heating, Ventilation, and Air-Conditioning (HVAC) systems.</t>
  </si>
  <si>
    <t>ilumisys, Inc.</t>
  </si>
  <si>
    <t>Troy</t>
  </si>
  <si>
    <t>ilumisys will automate manufacture of LED replacements for fluorescent lighting.</t>
  </si>
  <si>
    <t>CertainTeed Corporation</t>
  </si>
  <si>
    <t>Norwood</t>
  </si>
  <si>
    <t>MA</t>
  </si>
  <si>
    <t>CertainTeed will manufacture residential cool shingles that meet or exceed Energy Star criteria and are LEED qualified. The high-solar reflecting shingles will reduce electricity for cooling, reduce GHG, and smog formation while maintaining aesthetically pleasing colors.</t>
  </si>
  <si>
    <t>Airxchange Inc.</t>
  </si>
  <si>
    <t>Rockland</t>
  </si>
  <si>
    <t>Airxchange will expand a facility to produce Enthalpy/Energy Recovery Wheels (ERWs) that recycle up to 80% of previously expended energy in building exhaust air. The products allow preconditioning of incoming outdoor air 5-7 times more efficiently than conventional heating and airconditioning systems reducing design heating, cooling, humidification and dehumidifiation loads and conserving energy summer and winter.</t>
  </si>
  <si>
    <t>AcuTemp</t>
  </si>
  <si>
    <t>Dayton</t>
  </si>
  <si>
    <t>Acutemp will purchase equipment for a six-fold increase in manufacturing of high performance Vacuum Insulation Panels for residential refrigerators. The panels are used in high efficiency Energy Star appliances.</t>
  </si>
  <si>
    <t>Verona</t>
  </si>
  <si>
    <t>VA</t>
  </si>
  <si>
    <t>AAF plans to re-equip a manufacturing facility to produce Next-Generation Centrifugal Chiller Rooftop Air Conditioning systems. The chillers are significantly more energy-efficient than those currently on the market.</t>
  </si>
  <si>
    <t>Coolerado Corporation</t>
  </si>
  <si>
    <t>Denver</t>
  </si>
  <si>
    <t>CO</t>
  </si>
  <si>
    <t>Coolerado will manufacture commercial and residential air conditioning units that use a heat exchanger incorporating an innovative thermodynamic cycle to cool the air. The patented process creates a healthier, more comfortable living environment while significantly reducing energy costs.</t>
  </si>
  <si>
    <t>ClimaCool Corp.</t>
  </si>
  <si>
    <t>Oklahoma City</t>
  </si>
  <si>
    <t>OK</t>
  </si>
  <si>
    <t>Establishment of a facility to manufacture modular chillers to be used in commercial and industrial HVAC applications. The modular chillers occupy a minimal foot print and utilize a smaller charge of environmentally friendly and non-ozone depleting refrigerant. Our electrical efficiency is approximately 32% higher than conventional chillers, throughout the mix of application and configuration range.</t>
  </si>
  <si>
    <t>Columbia</t>
  </si>
  <si>
    <t>MO</t>
  </si>
  <si>
    <t>AAF will re-equip its manufacturing facility to establish a versatile mini-pleating and assembly process that is a capable of making polytetrafluoroethylene (PTFE) and other synthetic media air filters for the ASHRAE (American Association of Heating, Refrigeration, and Air-Conditioning Engineers) and HEPA (high efficiency particulate air) markets. The end result will be a new product family of air filtration products to achieve lowest air pressure drop.</t>
  </si>
  <si>
    <t>Serious Materials Inc</t>
  </si>
  <si>
    <t>Chicago</t>
  </si>
  <si>
    <t>IL</t>
  </si>
  <si>
    <t>Sunnyvale</t>
  </si>
  <si>
    <t>Serious Materials Inc is manufacturing highly insulating, high performance fiberglass windows. The resulting product will be cost-efficient and will promote energy efficiency.</t>
  </si>
  <si>
    <t>Acuity Brands, Inc.</t>
  </si>
  <si>
    <t>Crawfordsville</t>
  </si>
  <si>
    <t>IN</t>
  </si>
  <si>
    <t>Acuity plans to manufacture three energy-efficient LED luminaire outdoor products in its production facility. Lighting fixtures that include light-emitting diode (“LED”) technologies can dramatically reduce energy consumption while reducing maintenance costs associated with the luminaire due to longer product lifetimes.</t>
  </si>
  <si>
    <t>Ringdale, Inc.</t>
  </si>
  <si>
    <t>Georgetown</t>
  </si>
  <si>
    <t>Ringdale will purchase equipment to expand production capacity of commercial LED lighting and advanced lighting controls technology. The results will address outdoor, street, area lights, and indoor recessed down-lights, and will promote greater energy efficiency.</t>
  </si>
  <si>
    <t>Wallingford</t>
  </si>
  <si>
    <t>CT</t>
  </si>
  <si>
    <t>Acuity Brands will re-equip an existing facility with equipment used in the production of energy-saving lighting sensors. Sensors are used in lighting applications to control light levels based on occupancy and are used in daylighting systems.</t>
  </si>
  <si>
    <t>Ductmate Industries, Inc.</t>
  </si>
  <si>
    <t>Tulsa</t>
  </si>
  <si>
    <t>Ductmate will expand manufacturing and tooling capabilities for the production of energy efficient HVAC ductwork featuring self-sealing fixtures.</t>
  </si>
  <si>
    <t>Monongahela</t>
  </si>
  <si>
    <t>Ramgen Power Systems, LLC</t>
  </si>
  <si>
    <t>CCS</t>
  </si>
  <si>
    <t>Orlean</t>
  </si>
  <si>
    <t>Bellevue</t>
  </si>
  <si>
    <t>WA</t>
  </si>
  <si>
    <t>Ramgen Power Systems, LLC will produce a CO2 compressor capable of converting coal plant CO2 into a supercritical fluid that can be sequestered. The result is projected to be more efficient and cost-effective for Carbon Capture and Storage.</t>
  </si>
  <si>
    <t>Bassett, Inc. (dba Bassett Mechanical)</t>
  </si>
  <si>
    <t>Kaukauna</t>
  </si>
  <si>
    <t>WI</t>
  </si>
  <si>
    <t>Bassett Inc. will manufacture Carbon Capture and Sequestration systems to extract/trap carbon from waste streams from coal fired power plants.</t>
  </si>
  <si>
    <t>UTC Power Corp.</t>
  </si>
  <si>
    <t>Fuel Cell</t>
  </si>
  <si>
    <t>South Windsor</t>
  </si>
  <si>
    <t>UTC Power will open a new manufacturing facility to produce a clean, efficient and reliable fuel-cell powerplant offering more than twice the efficiency of traditional energy sources, while maintaining a low sound and emissions profile.</t>
  </si>
  <si>
    <t>W.L. Gore &amp; Associates, Inc.</t>
  </si>
  <si>
    <t>Elkton</t>
  </si>
  <si>
    <t>MD</t>
  </si>
  <si>
    <t>W.L. Gore will re-equip two manufacturing facilities in New York and Maryland to produce the Gore Turbine Filter, a technology for gas turbines that delivers higher fuel efficiency and lower greenhouse gas emissions.</t>
  </si>
  <si>
    <t>Climate Master Inc.</t>
  </si>
  <si>
    <t>Geo/Buildings</t>
  </si>
  <si>
    <t>Climate Master will expand the capacity of existing manufacturing facilities that produce water-source heat pumps (WSHP), the core technology used in geothermal heat pump systems. Geothermal heat pumps allow high efficiency space heating and cooling.</t>
  </si>
  <si>
    <t>LoneStar</t>
  </si>
  <si>
    <t>Houston</t>
  </si>
  <si>
    <t>This project consists of the purchase and installation of specialized manufacturing equipment (5-Axis CNC Machine) in order to produce a specialized Polycrystalline Diamond rock drilling tool
 for enhanced geothermal systems. This specialized drill bit cannot be produced without a 5-Axis CNC Machine. This drill bit will provide a lower cost method for drilling the wells for stimulation and production will enhance the commercial success of geothermal projects in this country.</t>
  </si>
  <si>
    <t>United Technologies Corporation</t>
  </si>
  <si>
    <t>Industrial</t>
  </si>
  <si>
    <t>Middletown</t>
  </si>
  <si>
    <t>East Hartford</t>
  </si>
  <si>
    <t>United Technologes' Pratt &amp; Whitney will re-equip existing manufacturing facilities for the production of a jet engine, the Pure Power® PW 1000G. The resulting engine will increase and promote greater fuel efficiency.</t>
  </si>
  <si>
    <t>General Electric Gas Turbines (Greenville) LLC</t>
  </si>
  <si>
    <t>Greenville</t>
  </si>
  <si>
    <t>SC</t>
  </si>
  <si>
    <t>GE will manufacture its 7FA heavy duty gas turbines that will deliver greater output and efficiency. The turbine will help reduce GHG emissions, while maintaining leadership in reliability, availability, and the operational flexibility that power generators need to achieve greater revenues in cyclic and peaking operation.</t>
  </si>
  <si>
    <t>Rutland</t>
  </si>
  <si>
    <t>VT</t>
  </si>
  <si>
    <t>NA</t>
  </si>
  <si>
    <t>GE Aviation will purchase machinery and equipment that will be used to manufacture the new GEnx aircraft engine. The GEnx engine will significantly reduce greenhouse gas emissions and reduce the annual fuel consumption for its operators.</t>
  </si>
  <si>
    <t>General Electric Company - Appliances</t>
  </si>
  <si>
    <t>GE will redevelop a manufacturing facility to produce Energy Star compliant heat pump electric water heaters that significantly improve energy efficiency compared to a traditional tank water heater.</t>
  </si>
  <si>
    <t>General Electric</t>
  </si>
  <si>
    <t>GE will manufacture a commercially viable Heat Pump Clothes Dryer for residential application.</t>
  </si>
  <si>
    <t>CalStar Products</t>
  </si>
  <si>
    <t>Caledonia</t>
  </si>
  <si>
    <t>CalStar Products will manufacture bricks and pavers from coal power plant fly ash. The process uses 88% less energy than traditional "fired" clay products, while avoiding the CO2 emission associated with concrete, and makes beneficial use of fly ash.</t>
  </si>
  <si>
    <t>Ener-G-Rotors, Inc.</t>
  </si>
  <si>
    <t>Ener-G-Rotors will install manufacturing capacity to build systems that turn low temperature heat from industrial processes, from 180F to 240F, into 50kW of electricity.</t>
  </si>
  <si>
    <t>Newark</t>
  </si>
  <si>
    <t>DE</t>
  </si>
  <si>
    <t>W.L. Gore will retool a manufacturing facility with next-generation equipment used to produce a key component of fuel cell systems that will be used to improve fuel efficiency in vehicles and other applications.</t>
  </si>
  <si>
    <t>Alstom Inc.and Subsidiaries</t>
  </si>
  <si>
    <t>Nuclear</t>
  </si>
  <si>
    <t>Chattanooga</t>
  </si>
  <si>
    <t>Windsor</t>
  </si>
  <si>
    <t>Alstom will establish a new turbine manufacturing facility designed to manufacture the world’s largest steam turbines, with unit output up to 1700 MW. The new facility will focus on turbines used in advanced nuclear power plants, retrofitting existing turbines in nuclear power plants with higher efficiency technologies, turbines in new hydro power plants, and retrofitting existing turbines in hydro power plants with higher efficiency technologies.</t>
  </si>
  <si>
    <t>Shaw Modular Solutions, L.L.C.</t>
  </si>
  <si>
    <t>Lake Charles</t>
  </si>
  <si>
    <t>LA</t>
  </si>
  <si>
    <t>Shaw Modular Solutions LLC will fabricate modules used in advanced, passively-safe, nuclear stations which avoid GHG emissions. The resulting product will aid the domestic nuclear energy industry.</t>
  </si>
  <si>
    <t>Waukesha Electric Systems, Inc.</t>
  </si>
  <si>
    <t>Smart Grid</t>
  </si>
  <si>
    <t>Waukesha</t>
  </si>
  <si>
    <t>Waukesha will expand an existing plant to produce very large, high-voltage power transformers. The company anticipates that more than 80 percent of them will be used to help bring renewable energy to distant load centers or to replace aging, less efficient transformers.</t>
  </si>
  <si>
    <t>Itron</t>
  </si>
  <si>
    <t>West Union</t>
  </si>
  <si>
    <t>Itron plans to re-equip an existing facility to produce the OpenWay CENTRON meter, a fully inter-operable, solid-state smart meter with a built-in, two-way communications path and integrated remote on/off switch. The CENTRON meter is the first advanced meter for the residential market providing open-standards architecture, modular design for communications flexibility, and extensive functionality to support smart grid infrastructure.</t>
  </si>
  <si>
    <t>S&amp;C Electric Company</t>
  </si>
  <si>
    <t>S&amp;C Electric Company will re-equip a facility to produce a fault-interrupting device for overhead distribution system, Smart Grid applications, and switchgear for underground distribution system Smart Grid applications. These technologies will help installation of distributed renewable generation on electric distribution systems, close to the residential, commercial and industrial loads that consume the electric power.</t>
  </si>
  <si>
    <t>Metglas, Inc.</t>
  </si>
  <si>
    <t>Conway</t>
  </si>
  <si>
    <t>Metglas, Inc. will purchase equipment for a casting expansion to increase domestic production of amorphous metals that form the core of the most energy efficient transformers. The equipment will reduce the amount of lost electricity due to transformer distribution losses.</t>
  </si>
  <si>
    <t>Premium Power</t>
  </si>
  <si>
    <t>North Reading</t>
  </si>
  <si>
    <t>Premium Power will establish a manufacturing facility to produce its proprietary Zinc-Flow® advanced renewable energy storage systems. The technology will deliver high energy storage density, long product life, and deep discharge capability for use in SmartGrid.</t>
  </si>
  <si>
    <t>Southwire</t>
  </si>
  <si>
    <t>Carrollton</t>
  </si>
  <si>
    <t>GA</t>
  </si>
  <si>
    <t>Southwire will re-equip a facility for new manufacturing lines to produce cables optimized specifically for wind and solar applications that will extend the grid to allow for collection of power within renewable energy systems. The resulting technologies will aid SmartGrid capacity and technology.</t>
  </si>
  <si>
    <t>Ice Energy, Inc.</t>
  </si>
  <si>
    <t>Hammondsport</t>
  </si>
  <si>
    <t>Ice Energy will expand a facility to design and manufacture energy storage modules for use with direct expansion air conditioners commonly found in commercial and small industrial applications. When deployed, the asset enables the storage of electricity from renewable energy resources in the form of ice.</t>
  </si>
  <si>
    <t>Cooper Power Systems, LLC</t>
  </si>
  <si>
    <t>Cooper Power Systems' new facility will be producing high efficiency transformers. The basis of Cooper’s high efficiency technology lies with the higher grade of steel used to produce the core and coil of the transformer. Cooper utilizes the proper grade and quantity of silicon grain oriented steel in their manufacturing process to create a higher efficiency product.</t>
  </si>
  <si>
    <t>Nacogdoches</t>
  </si>
  <si>
    <t>Cooper Power Systems' new facility will produce electrical transformers with amorphous steel cores. Amorphous steel core transformers provide 70% lower no-load losses than normal steel transformers.</t>
  </si>
  <si>
    <t>Hemlock Semiconductor Corp.</t>
  </si>
  <si>
    <t>Solar Components and Materials</t>
  </si>
  <si>
    <t>Hemlock</t>
  </si>
  <si>
    <t>Hemlock Semiconductor will expand a manufacturing plant that produces polycrystalline-silicon used in the production of solar panels. The plants, when fully operational, will produce 19,200 metric tons per year.</t>
  </si>
  <si>
    <t>Wacker Polysilicon North America LLC</t>
  </si>
  <si>
    <t>Charleston</t>
  </si>
  <si>
    <t>Wacker Polysilicon's manufacturing plant will produce roughly 10 metric tons of pure polysilicon annually. One hundred percent of the output will be for the photovoltaic solar cell market.</t>
  </si>
  <si>
    <t>SolarWorld Industries America Inc.</t>
  </si>
  <si>
    <t>Hillsboro</t>
  </si>
  <si>
    <t>OR</t>
  </si>
  <si>
    <t>SolarWorld Industries America Inc. will expand the existing 100 MW solar PV manufacturing plant to 500 MW. The facility focuses on crystal growing, wafering, cell and module production. The resulting product will aid the domestic solar power industry.</t>
  </si>
  <si>
    <t>Sumco Phoenix</t>
  </si>
  <si>
    <t>Albuquerque</t>
  </si>
  <si>
    <t>NM</t>
  </si>
  <si>
    <t>Sumco Phoenix will be manufacturing and shaping silicon solar blocks. These silicon blocks will then be sent for further processing into solar wafers and sold to solar equipment manufacturers. The resulting technologies will aid the domestic solar technologies manufacturing industry.</t>
  </si>
  <si>
    <t>Advanced Energy Industries, Inc.</t>
  </si>
  <si>
    <t>Ft. Collins</t>
  </si>
  <si>
    <t>Advanced Energy Industries plans to establish a manufacturing facility for the production ofcommercial and utility-scale solar inverters. Inverters are used to integrate solar PV installations.</t>
  </si>
  <si>
    <t>Phoenix</t>
  </si>
  <si>
    <t>AZ</t>
  </si>
  <si>
    <t>Sumco Phoenix will slice, clean, and inspect and inspecting silicon wafers. These silicon wafers will then be sold for integration into solar power modules. The resulting technologies will aid the domestic solar power industry.</t>
  </si>
  <si>
    <t>GreenRay, Inc.</t>
  </si>
  <si>
    <t>Westford</t>
  </si>
  <si>
    <t>GreenRay will manufacture a simplified "plug and play" AC solar electricity system for residential rooftops.</t>
  </si>
  <si>
    <t>CaliSolar, Inc.</t>
  </si>
  <si>
    <t>Solar CSI</t>
  </si>
  <si>
    <t>CaliSolar will build a new manufacturing facility to process silicon feedstock into finished solar cells.</t>
  </si>
  <si>
    <t>Jabil Circuit Inc.</t>
  </si>
  <si>
    <t>St. Petersburg</t>
  </si>
  <si>
    <t>FL</t>
  </si>
  <si>
    <t>Jabil Circuit proposes to retrofit an existing plant in order to offer solar photovoltaic panel assembly, logistics, procurement and certification services for mono- and multi- crystalline photovoltaic cell manufacturers.</t>
  </si>
  <si>
    <t>Suniva, Inc.</t>
  </si>
  <si>
    <t>Norcross</t>
  </si>
  <si>
    <t>Suniva Inc will manufacture monocrystalline silicon-based solar cells. The resulting technologies will aid the domestic solar power industry.</t>
  </si>
  <si>
    <t>Centrosolar Oregon LLC</t>
  </si>
  <si>
    <t>Gresham</t>
  </si>
  <si>
    <t>Centrosolar Oregon LLC plans to build a manufacturing plant for PV solar modules based on crystalline silicon cells.</t>
  </si>
  <si>
    <t>Yingli Green Energy Americas</t>
  </si>
  <si>
    <t>Yingli plans to open a manufacturing facility to produce its solar energy modules in order to better serve its US customer base.</t>
  </si>
  <si>
    <t>Solar Power Industries, Inc.</t>
  </si>
  <si>
    <t>Belle Vernon</t>
  </si>
  <si>
    <t>Solar Power Industries will produce multicrystalline cells up to 156mm by 156mm in size, which will then be integrated into solar modules. The resulting products will aid the domestic solar energy industry.</t>
  </si>
  <si>
    <t>Suntech</t>
  </si>
  <si>
    <t>Tempe</t>
  </si>
  <si>
    <t>Suntech will manufacture a line of poly-crystaline solar modules as well as its new "Pluto" modules.</t>
  </si>
  <si>
    <t>Sharp Electronics Corp</t>
  </si>
  <si>
    <t>Memphis</t>
  </si>
  <si>
    <t>Sharp Electronics Corp will expand current solar manufacturing operations by installing a new crystalline photovoltaic module production line (E-Line) within its current solar facility. The resulting product will be a cost-efficient source of renewable solar energy.</t>
  </si>
  <si>
    <t>Solar Power Industries, Inc</t>
  </si>
  <si>
    <t>Solar Power Industries, Inc will focus processes on high purity silicon ignot casting, slicing, and cell processing operations to produce silicon bricks, wafers, solar power systems, and solar module components. The resulting product will aid the domestic solar energy industry.</t>
  </si>
  <si>
    <t>Rioglass Solar Inc</t>
  </si>
  <si>
    <t>Solar CSP</t>
  </si>
  <si>
    <t>Surprise</t>
  </si>
  <si>
    <t>Berkeley</t>
  </si>
  <si>
    <t>Rioglass Solar Inc will manufacture tempered glass parabolic mirrors designated for use in concentrated solar power plants. The placement of the mirrors are specifically integrated to derive maximum electrical production from the sun. The resulting technologies will aid domestic solar panel production.</t>
  </si>
  <si>
    <t>Flabeg Solar U.S. Corporation</t>
  </si>
  <si>
    <t>Clinton</t>
  </si>
  <si>
    <t>Flabeg Solar U.S. Corporation will produce high-temperature solar thermal mirrors for concentrating solar power plants. The facility will produce both bent and flat mirrors for parabolic trough and power tower solar plants.</t>
  </si>
  <si>
    <t>Stirling Energy Systems, Inc</t>
  </si>
  <si>
    <t>Livonia</t>
  </si>
  <si>
    <t>Stirling Energy Systems, Inc will produce Azimuth drives used to track the sun for the SunCatcher, a 25 kW solar dish. The resulting technologies will aid Solar Concentrating Solar Power industry domestically.</t>
  </si>
  <si>
    <t>Saint Gobain Solar Glass NA</t>
  </si>
  <si>
    <t>Scottsdale</t>
  </si>
  <si>
    <t>Saint Gobain Solar Glass NA will manufacture mirrors used in concentrating solar power (CSP) technology that involves generating electricity by directing the light on to photovoltaic cells or other solar thermal generating technologies. The resulting product will help aid in domestic solar technologies manufacturing.</t>
  </si>
  <si>
    <t>Guardian Automotive Products Inc.</t>
  </si>
  <si>
    <t>Auburn</t>
  </si>
  <si>
    <t>Guardian Automotive will re-equip an existing manufacturing facility for the purpose of producing bent solar mirrors. This project will double production capabilities to create 1 million bent solar mirrors annually to support the concentrating solar power industry.</t>
  </si>
  <si>
    <t>Guardian Industries Corp</t>
  </si>
  <si>
    <t>Carleton</t>
  </si>
  <si>
    <t>Guardian Industries will expand production for an existing facility to produce unique low iron pattern glass used in solar applications. Once completed, this facility would be the only US owned manufacturer of solar low iron pattern glass in North America and would enable the production of more than 600MW of crystalline silicon modules</t>
  </si>
  <si>
    <t>Guardian Automotive Products, Inc.</t>
  </si>
  <si>
    <t>Guardian Automotive will re-equip existing manufacturing facilities to produce solar bent mirrors. Guardian is extending its technological capabilities from advanced radical bent windshields into the solar industry.</t>
  </si>
  <si>
    <t>DeWitt</t>
  </si>
  <si>
    <t>IA</t>
  </si>
  <si>
    <t>Guardian Industries will re-equip an existing manufacturing facility to produce bent solar mirrors. The project will modify and enhance the existing mirror line to enable the facility to mirror glass in a single throughput on the production line, while at the same time achieving a multi-layer specialized paint coating to protect and preserve the reflective layers of copper and silver. Preservation of these reflective layers is critical to the achievement of long service lives of highly reflective solar mirrors.</t>
  </si>
  <si>
    <t>ReflecTech, Inc.</t>
  </si>
  <si>
    <t>Arvada</t>
  </si>
  <si>
    <t>ReflecTech, Inc will manufacture Mirror Facets made with ReflecTech® Mirror Film which will reflect sunlight onto the receivers of Parabolic Trough Concentrating Solar Power (CSP) collector systems. Facets will match or exceed the optical and structural characteristics of the existing glass mirrors, but will aim to be more cost-efficient and durable. The end product will aid domestic solar power production.</t>
  </si>
  <si>
    <t>Ashville</t>
  </si>
  <si>
    <t>Springville</t>
  </si>
  <si>
    <t>Stirling Energy Systems, Inc will produce pedestals, hubs, facet support structures, booms and mirror facets that combine to serve as the radial solar concentrator dish structure of the SunCatcher, a 25 kW solar dish. The resulting technologies will aid Solar Concentrating Solar Power industry domestically.</t>
  </si>
  <si>
    <t>Guardian Automotive wil re-equip an existing manufacturing facility to produce solar bent mirrors. The company will use new equipment to add the reflective coating to flat glass prior to bending to achieve the optimal reflective performance demanded by solar field developers.</t>
  </si>
  <si>
    <t>FAFCO, INC.</t>
  </si>
  <si>
    <t>Solar Hot Water</t>
  </si>
  <si>
    <t>Chico</t>
  </si>
  <si>
    <t>FAFCO will develop a next generation low cost, polymer based solar hot water heating system for homes. The complete system in a box will be low cost and easy to install.</t>
  </si>
  <si>
    <t>Pacific Metal Fab, LLC</t>
  </si>
  <si>
    <t>Solar Hot Water - This panel May move with timing</t>
  </si>
  <si>
    <t>Eugene</t>
  </si>
  <si>
    <t>Pacific Metal Fab, LLC will re-equip and expand its manufacturing facility to produce components for passive solar water heaters, specifically tanks, plumbing modules, and the frames that hold them. These components will promote greater energy efficiency in appliances.</t>
  </si>
  <si>
    <t>SunEarth, Inc.</t>
  </si>
  <si>
    <t>Fontana</t>
  </si>
  <si>
    <t>SunEarth, Inc will manufacture liquid flat plate solar thermal collectors for medium temperature domestic water heating and industrial processes and will manufacture standard and custom rolled and ultrasonically welded absorber plates and fin-tubes. The resulting technologies will be used in energy efficient solar hot water heaters.</t>
  </si>
  <si>
    <t>Miasole</t>
  </si>
  <si>
    <t>Solar PV</t>
  </si>
  <si>
    <t>Santa Clara</t>
  </si>
  <si>
    <t>Miasole will manufacture Solar PV Cells and modules based on an innovative thin-film production technology. These Solar PV Cells will drive lower the costs of renewable clean electricity generation.</t>
  </si>
  <si>
    <t>E.I. du Pont de Nemours and Co.</t>
  </si>
  <si>
    <t>Circleville</t>
  </si>
  <si>
    <t>Wilmington</t>
  </si>
  <si>
    <t>Dupont will expand production of high-performance polyvinyl fluoride films. These films are used to produce the critical protective backsheet component of solar photovoltaic modules.</t>
  </si>
  <si>
    <t>Nanosolar</t>
  </si>
  <si>
    <t>San Jose</t>
  </si>
  <si>
    <t>Nanosolar will factory produce tools for the manufacturing of low-cost, low-GHG emission solar cells, using nanotechnology-enabled roll-to-roll processes. Tools enable high throughput production steps including printing of electronic ink, annealing, various deposition steps, cell assembly, and quality control and testing of structural and functional properties of product.</t>
  </si>
  <si>
    <t>Stion Corporation</t>
  </si>
  <si>
    <t>Stion Corporation will manufacture high efficiency (11-12%+) CIGS thin-film photovoltaic modules on glass. The resulting technology will aid the domestic solar energy industry.</t>
  </si>
  <si>
    <t>Xunlight Corporation</t>
  </si>
  <si>
    <t>Toledo</t>
  </si>
  <si>
    <t>Xunlight's first product is a flexible and lightweight photovoltaic solar energy module, which uses thin film silicon-based solar cells and can be rolled for shipping. This product was designed for easy application on rooftops.</t>
  </si>
  <si>
    <t>Dow Corning - Solar Silane</t>
  </si>
  <si>
    <t>Dow Corning - Solar Silane will build a new monosilane facility with 60% of production dedicated to the solar PV market. Monosilane is a key component in the production of amorphous thin-film solar panels.</t>
  </si>
  <si>
    <t>The Dow Chemical Company</t>
  </si>
  <si>
    <t>Midland</t>
  </si>
  <si>
    <t>Dow will produce photovoltaic cells built into residential and commercial roofing and siding products. Dow's technology imbeds solar cells into shingles, sidings, and other materials, enabling lower production and installation costs.</t>
  </si>
  <si>
    <t>First Solar, Inc.</t>
  </si>
  <si>
    <t>Perrysberg</t>
  </si>
  <si>
    <t>First Solar will expand its manufacturing facility to produce fully completed thin-film solar modules. The solar modules are manufactured using a thin film of cadmium telluride (CdTe) as a semi-conductor material, which converts sunlight to electricity more efficiently than traditional crystalline silicon semi-conductor material.</t>
  </si>
  <si>
    <t>Abound Solar, Inc.</t>
  </si>
  <si>
    <t>Longmont</t>
  </si>
  <si>
    <t>Abound Solar will expand facility capacity with an additional manufacturing line. This facility is solely dedicated to commercial production of PV solar panels using cadmium telluride semiconductor technology.</t>
  </si>
  <si>
    <t>Amonix, Inc</t>
  </si>
  <si>
    <t>Las Vegas</t>
  </si>
  <si>
    <t>NV</t>
  </si>
  <si>
    <t>Amonix will manufacture low-cost solar electricity systems using inexpensive plastic lenses that concentrate sunlight. The systems generate 500 times more solar electric power from small, high efficiency solar cells.</t>
  </si>
  <si>
    <t>Findlay</t>
  </si>
  <si>
    <t>Dow's plant will produce special coatings for use in solar cell manufacture. The "films" are used to laminate cell components together to form a rigid structure, offering significant benefits to solar cell manufacturers.</t>
  </si>
  <si>
    <t>Spire Semiconductor, LLC</t>
  </si>
  <si>
    <t>Hudson</t>
  </si>
  <si>
    <t>NH</t>
  </si>
  <si>
    <t>Spire Semiconductor, LLC will manufacture a very high efficiency concentrator Photovoltaic (CPV) Cell and Receiver Assembly (CRA) to be incorporated into CPV systems. The resulting technology will aid the domestic solar energy industry.</t>
  </si>
  <si>
    <t>Applied Photovoltaics, LLC</t>
  </si>
  <si>
    <t>Ewing</t>
  </si>
  <si>
    <t>NJ</t>
  </si>
  <si>
    <t>Titusville</t>
  </si>
  <si>
    <t>Applied Photovoltaics will manufacture solar energy modules for use in building integrated photovoltaics.</t>
  </si>
  <si>
    <t>STR, Inc.</t>
  </si>
  <si>
    <t>Somers</t>
  </si>
  <si>
    <t>STR, Inc. will manufacture encapsulants that are specialty extruded sheets and film that hold a solar module together and protect the embedded semiconductor circuit. The resulting technologies will aid the domestic solar PV panel manufacturing industry.</t>
  </si>
  <si>
    <t>PPG Industries, Inc.</t>
  </si>
  <si>
    <t>Mt. Zion</t>
  </si>
  <si>
    <t>PPG Industries will manufacture a Transparent Conductive Oxide (TCO) coating for glass to be used as a substrate to construct photovoltaic solar cells. The result will aid in competitive domestic solar PV panel manufacturing.</t>
  </si>
  <si>
    <t>Carlisle</t>
  </si>
  <si>
    <t>PPG Industries will produce a double anti-reflective coating for glass that will permit increased light transmittance in solar modules. The result will aid in competitive domestic solar PV panel manufacturing.</t>
  </si>
  <si>
    <t>ZF Steering Systems, LLC</t>
  </si>
  <si>
    <t>Vehicles</t>
  </si>
  <si>
    <t>Florence</t>
  </si>
  <si>
    <t>ZF Steering plans to re-equip its manufacturing facility in order to increase its production of welded and fabricated component kits used in 2MW and 3MW wind turbines.</t>
  </si>
  <si>
    <t>Think North America, Inc.</t>
  </si>
  <si>
    <t>Bristol</t>
  </si>
  <si>
    <t>Dearborn</t>
  </si>
  <si>
    <t>Think North America will establish a U.S. manufacturing operation/facility (a vehicle assembly operation as well as facilities for fabricating vehicle components) for the Think City light-weight EV-dedicated vehicle for sale throughout North America.</t>
  </si>
  <si>
    <t>PPG Industries will manufacture Hi Sil 190 G and Hi Sil HDP 320 G, highly dispersible silica and to sell to tire manufacturers. The product, when incorporated into the tire rubber, will create a tire with reduced rolling resistance. The resulting product will increase vehicle fuel efficiency.</t>
  </si>
  <si>
    <t>Vestas Blades America, Inc</t>
  </si>
  <si>
    <t>Wind Blades</t>
  </si>
  <si>
    <t>Brighton</t>
  </si>
  <si>
    <t>Vestas Blades produces blades for wind turbines used in the production of wind energy. The utility-scales blades, which convert wind into mechanical motion, are approximately 44 meters in length.</t>
  </si>
  <si>
    <t>Vestas Blades will produce blades for wind turbines used in the production of wind energy. The utility-scales blades, which convert wind into mechanical motion, are approximately 44 meters in length.</t>
  </si>
  <si>
    <t>Hexcel Corporation</t>
  </si>
  <si>
    <t>Hexcel Corporation will establish a technologically advanced manufacturing facility to produce high-performance epoxy, glass, and carbon fiber composite materials. The composites will be used in the manufacture of wind turbine blades.</t>
  </si>
  <si>
    <t>TPI Composites, Inc.</t>
  </si>
  <si>
    <t>Grand Island</t>
  </si>
  <si>
    <t>TPI will operate a new manufacturing facility to produce the next generation wind turbine blades made by combining reinforcing fibers from glass or carbon, resin, foam, and balsa wood.</t>
  </si>
  <si>
    <t>Newton</t>
  </si>
  <si>
    <t>TPI is expanding its manufacturing facility in order to fill the anticipated greater demand for composite wind turbine blades from its customer General Electric and GE's wind farm customers.</t>
  </si>
  <si>
    <t>Siemens Energy Inc.</t>
  </si>
  <si>
    <t>Fort Madison</t>
  </si>
  <si>
    <t>Orlando</t>
  </si>
  <si>
    <t>Siemens Energy Inc. will build a new manufacturing plant for assembly of wind turbine nacelles and hubs for Siemens wind turbines. The resulting products will aid the domestic wind power industry.</t>
  </si>
  <si>
    <t>Merrill Technologies Group</t>
  </si>
  <si>
    <t>Wind Towers</t>
  </si>
  <si>
    <t>Saginaw</t>
  </si>
  <si>
    <t>Merrill Technologies Group will invest $73 million in advanced manufacturing equipment to support the production of nacelles for Northern Power's new 2.2 MW utillity-scale wind turbine. Project will progress through prototype and pilot phases into serial production.</t>
  </si>
  <si>
    <t>Vestas Towers America, Inc.</t>
  </si>
  <si>
    <t>Pueblo</t>
  </si>
  <si>
    <t>Vestas Towers will produce tubular wind towers that support wind turbines at heights ranging from between 80 and 95 meters above ground.</t>
  </si>
  <si>
    <t>Tindall Corporation</t>
  </si>
  <si>
    <t>Spartanburg</t>
  </si>
  <si>
    <t>Tindall Corporation will build a facility to manufacture concrete tower bases and concrete towers for wind turbines, which will help provide more efficient wind energy production.</t>
  </si>
  <si>
    <t>Schuff Steel Company</t>
  </si>
  <si>
    <t>Bismark</t>
  </si>
  <si>
    <t>ND</t>
  </si>
  <si>
    <t>Schuff Steel will construct a wind turbine tower manufacturing facility with a planned capacity of 300 wind towers per year.</t>
  </si>
  <si>
    <t>American Railcar Industries</t>
  </si>
  <si>
    <t>Fort Dodge</t>
  </si>
  <si>
    <t>American Railcar Industries will re-equip a rail car manufacturing plant for the production of 500 structural steel towers per year for large-scale commercial wind turbines.</t>
  </si>
  <si>
    <t>Eagle Claw Fabrication LLC</t>
  </si>
  <si>
    <t>Muskogee</t>
  </si>
  <si>
    <t>Eagle Claw will manufacture large wind turbine towers, a component piece of wind turbine systems used to generate electricity from wind energy. Towers are typically 250 to 400 feet tall and are composed of sections approximately 100 feet long that weigh 50 tons.</t>
  </si>
  <si>
    <t>Hutchinson</t>
  </si>
  <si>
    <t>Siemens Energy Inc. will expand a wind turbine blade manufacturing facility. The expanded facility will be capable of producing both 45 meter and 49 meter blades for the Siemens SWT-2.3mw wind turbine. The resulting product will aid the domestic wind power industry.</t>
  </si>
  <si>
    <t>Marmaduke</t>
  </si>
  <si>
    <t>American Railcar Industries will re-equip a manufacturing plant for the production of 500 structural steel towers per year for large-scale commercial wind turbines used to generate wind energy.</t>
  </si>
  <si>
    <t>Martifer-Hirschfeld Energy Systems LLC</t>
  </si>
  <si>
    <t>San Angelo</t>
  </si>
  <si>
    <t>Martifer-Hirschfeld Energy Systems LLC will develop a factory for the production of steel towers for wind turbine generators. This evolution will allow the wind tower plant to achieve considerable gains in terms of efficiency and in production times.</t>
  </si>
  <si>
    <t>Amarillo</t>
  </si>
  <si>
    <t>The Alstom assembly factory will produce and assemble the complete nacelle for wind turbines including (hub, gearbox, frames, generator, electrical convertor, etc.) for its 60Hz North American product line. This product line is comprised of two wind turbine platforms; the ECO80 (1.67MW) and the larger ECO 100 (3.0MW).</t>
  </si>
  <si>
    <t>Johnson Plate &amp; Tower Fabrication, Inc.</t>
  </si>
  <si>
    <t>Santa Teresa</t>
  </si>
  <si>
    <t>Johnson Plate &amp; Tower Fabrication will establish and design a facility to manufacture commercial wind towers. The facility will produce property that, after further manufacturing, will become Specified Advanced Energy Property used in the production of energy from wind resources.</t>
  </si>
  <si>
    <t>Canutillo</t>
  </si>
  <si>
    <t>Johnson Plate &amp; Tower Fabrication, Inc. will re-equip a facility to manufacture commercial wind towers to be used ultimately with turbines to generate renewable energy.</t>
  </si>
  <si>
    <t>Siemens Industry, Inc.</t>
  </si>
  <si>
    <t>Wind Turbines</t>
  </si>
  <si>
    <t>Elgin</t>
  </si>
  <si>
    <t>Siemens Industry, Inc will manufacture the mechanical drives, gears, pinions, and other components for gear boxes for wind turbines. The resulting product will aid the domestic wind power industry.</t>
  </si>
  <si>
    <t>Nordex USA Inc</t>
  </si>
  <si>
    <t>Jonesboro</t>
  </si>
  <si>
    <t>Nordex USA, Inc. will build its first facility for wind turbines. This project will use renewable energy and will help build wind turbines to generate renewable energy.</t>
  </si>
  <si>
    <t>Winergy Drive Systems Corp.</t>
  </si>
  <si>
    <t>Winergy will build a new facility to manufacture power transmission equipment and gearboxes for wind turbines. The facility will enable Winergy to produce 100 percent of its gear units domestically.</t>
  </si>
  <si>
    <t>Brevini Wind USA, Inc.</t>
  </si>
  <si>
    <t>Yorktown</t>
  </si>
  <si>
    <t>Muncie</t>
  </si>
  <si>
    <t>Brevini Wind will establish a new manufacturing facitlity that will produce Main Drive Gear Boxes for wind turbine manufacturers. The product allows servicing of the gear box without the use of heavy lifting equipment to remove the entire gearbox from the wind turbine.</t>
  </si>
  <si>
    <t>Vela Gear Systems, Inc.</t>
  </si>
  <si>
    <t>Indianapolis</t>
  </si>
  <si>
    <t>Vela Gear will build a plant to produce advanced wind turbine parts with improved technology. The facility will produce large precision gear sets designed specifically for the wind industry.</t>
  </si>
  <si>
    <t>Mistubishi Power Systems Americas, Inc.</t>
  </si>
  <si>
    <t>Fort Smith</t>
  </si>
  <si>
    <t>Mitsubishi Power Systems Americas, Inc. will create a new facility that will manufacture nacelles for 2.4MW wind turbines. These nacelles will be used for the production of wind energy.</t>
  </si>
  <si>
    <t>Roller Bearing Co. of America, Inc.</t>
  </si>
  <si>
    <t>Oxford</t>
  </si>
  <si>
    <t>Roller Bearing Company of America, Inc will produce turbine blade and yaw bearings, both of which will be used in wind turbines. The blades are attached to a hub by large pitch bearings which facilitate movement allowing optimal performance with varying wind conditions. Yaw bearings allow the nacelle to be directed into the wind allowing more efficient conversion of wind into electricity. The resulting technologies will aid domestic production of wind turbines and renewable wind energy.</t>
  </si>
  <si>
    <t>Roller Bearing Co. of America, Inc</t>
  </si>
  <si>
    <t>Nordic Windpower</t>
  </si>
  <si>
    <t>Pocatello</t>
  </si>
  <si>
    <t>ID</t>
  </si>
  <si>
    <t>Nordic Windpower will establish manufacturing operations for an innovative wind turbine technology that uses two blades and a patented teeter-hub technology that dampens loads. The end product will result in a lightweight turbine that is at least 10% less costly to manufacture, install, operate and maintain than competing systems for renewable wind energy production.</t>
  </si>
  <si>
    <t>Kaydon</t>
  </si>
  <si>
    <t>Sumter</t>
  </si>
  <si>
    <t>Ann Arbor</t>
  </si>
  <si>
    <t>Kaydon will apply the tax credits to re-equip and expand an existing manufacturing facility to produce “critical pitch and yaw” bearings used in the production and assembly of wind energy turbines.</t>
  </si>
  <si>
    <t>Ingeteam Inc.</t>
  </si>
  <si>
    <t>Milwaukee</t>
  </si>
  <si>
    <t>Ingeteam Inc. will manufacture wind turbine generators in various technologies, including PMG, DFM, xDFM. They will also manufacture power converter and control systems for both the wind and solar industry.</t>
  </si>
  <si>
    <t>Flame Metals Processing</t>
  </si>
  <si>
    <t>Rogers</t>
  </si>
  <si>
    <t>Flame Metals will purchase equipment used in heat treatment of gears for the gear assembly used in wind turbines.</t>
  </si>
  <si>
    <t>Great Lakes Industry, Inc</t>
  </si>
  <si>
    <t>Jackson</t>
  </si>
  <si>
    <t>Great Lakes Industry will manufacture component precision gears for multi-megawatt wind turbine gearboxes. Nearly all multi-megawatt wind turbines use highly efficient gearboxes to drive electrical generator(s) inside the turbine nacelle.</t>
  </si>
  <si>
    <t>Wausaukee Composites, Inc.</t>
  </si>
  <si>
    <t>Wausaukee</t>
  </si>
  <si>
    <t>Wausaukee Electric Systems will manufacture fiberglass wind turbine components.</t>
  </si>
  <si>
    <t>Bassett Inc. will manufacture wind turbine towers (for 100-1,000 KW turbines) and foundation components for all sizes of turbines.</t>
  </si>
  <si>
    <t>Cardinal Fastener &amp; Specialty Co</t>
  </si>
  <si>
    <t>Bedford</t>
  </si>
  <si>
    <t>Bedford Hts.</t>
  </si>
  <si>
    <t>Cardinal Fastener &amp; Specialty will manufacture hot forged, critical fasteners used in wind turbines - transportation bolts, tower bolts, nacelle bolts, and blade studs</t>
  </si>
  <si>
    <t>Enertech, Inc.</t>
  </si>
  <si>
    <t>KS</t>
  </si>
  <si>
    <t>Enertech will expand its manufacturing plant to accommodate development, fabrication, and assembly of two new small-scale wind turbine models using innovate blade design and fabrication processes.</t>
  </si>
  <si>
    <t>Share</t>
  </si>
  <si>
    <t>Scaling Impacts After 2032</t>
  </si>
  <si>
    <t>BAU Production</t>
  </si>
  <si>
    <t>Output by ISIC Code by Year[ISIC 01T03] : MostRecentRun</t>
  </si>
  <si>
    <t>Output by ISIC Code by Year[ISIC 05] : MostRecentRun</t>
  </si>
  <si>
    <t>Output by ISIC Code by Year[ISIC 06] : MostRecentRun</t>
  </si>
  <si>
    <t>Output by ISIC Code by Year[ISIC 07T08] : MostRecentRun</t>
  </si>
  <si>
    <t>Output by ISIC Code by Year[ISIC 09] : MostRecentRun</t>
  </si>
  <si>
    <t>Output by ISIC Code by Year[ISIC 10T12] : MostRecentRun</t>
  </si>
  <si>
    <t>Output by ISIC Code by Year[ISIC 13T15] : MostRecentRun</t>
  </si>
  <si>
    <t>Output by ISIC Code by Year[ISIC 16] : MostRecentRun</t>
  </si>
  <si>
    <t>Output by ISIC Code by Year[ISIC 17T18] : MostRecentRun</t>
  </si>
  <si>
    <t>Output by ISIC Code by Year[ISIC 19] : MostRecentRun</t>
  </si>
  <si>
    <t>Output by ISIC Code by Year[ISIC 20] : MostRecentRun</t>
  </si>
  <si>
    <t>Output by ISIC Code by Year[ISIC 21] : MostRecentRun</t>
  </si>
  <si>
    <t>Output by ISIC Code by Year[ISIC 22] : MostRecentRun</t>
  </si>
  <si>
    <t>Output by ISIC Code by Year[ISIC 231] : MostRecentRun</t>
  </si>
  <si>
    <t>Output by ISIC Code by Year[ISIC 239] : MostRecentRun</t>
  </si>
  <si>
    <t>Output by ISIC Code by Year[ISIC 241] : MostRecentRun</t>
  </si>
  <si>
    <t>Output by ISIC Code by Year[ISIC 242] : MostRecentRun</t>
  </si>
  <si>
    <t>Output by ISIC Code by Year[ISIC 25] : MostRecentRun</t>
  </si>
  <si>
    <t>Output by ISIC Code by Year[ISIC 26] : MostRecentRun</t>
  </si>
  <si>
    <t>Output by ISIC Code by Year[ISIC 27] : MostRecentRun</t>
  </si>
  <si>
    <t>Output by ISIC Code by Year[ISIC 28] : MostRecentRun</t>
  </si>
  <si>
    <t>Output by ISIC Code by Year[ISIC 29] : MostRecentRun</t>
  </si>
  <si>
    <t>Output by ISIC Code by Year[ISIC 30] : MostRecentRun</t>
  </si>
  <si>
    <t>Output by ISIC Code by Year[ISIC 31T33] : MostRecentRun</t>
  </si>
  <si>
    <t>Output by ISIC Code by Year[ISIC 351] : MostRecentRun</t>
  </si>
  <si>
    <t>Output by ISIC Code by Year[ISIC 352T353] : MostRecentRun</t>
  </si>
  <si>
    <t>Output by ISIC Code by Year[ISIC 36T39] : MostRecentRun</t>
  </si>
  <si>
    <t>Output by ISIC Code by Year[ISIC 41T43] : MostRecentRun</t>
  </si>
  <si>
    <t>Output by ISIC Code by Year[ISIC 45T47] : MostRecentRun</t>
  </si>
  <si>
    <t>Output by ISIC Code by Year[ISIC 49T53] : MostRecentRun</t>
  </si>
  <si>
    <t>Output by ISIC Code by Year[ISIC 55T56] : MostRecentRun</t>
  </si>
  <si>
    <t>Output by ISIC Code by Year[ISIC 58T60] : MostRecentRun</t>
  </si>
  <si>
    <t>Output by ISIC Code by Year[ISIC 61] : MostRecentRun</t>
  </si>
  <si>
    <t>Output by ISIC Code by Year[ISIC 62T63] : MostRecentRun</t>
  </si>
  <si>
    <t>Output by ISIC Code by Year[ISIC 64T66] : MostRecentRun</t>
  </si>
  <si>
    <t>Output by ISIC Code by Year[ISIC 68] : MostRecentRun</t>
  </si>
  <si>
    <t>Output by ISIC Code by Year[ISIC 69T82] : MostRecentRun</t>
  </si>
  <si>
    <t>Output by ISIC Code by Year[ISIC 84] : MostRecentRun</t>
  </si>
  <si>
    <t>Output by ISIC Code by Year[ISIC 85] : MostRecentRun</t>
  </si>
  <si>
    <t>Output by ISIC Code by Year[ISIC 86T88] : MostRecentRun</t>
  </si>
  <si>
    <t>Output by ISIC Code by Year[ISIC 90T96] : MostRecentRun</t>
  </si>
  <si>
    <t>Output by ISIC Code by Year[ISIC 97T98] : MostRecentRun</t>
  </si>
  <si>
    <t>Perc Change in Domestic Content Shares</t>
  </si>
  <si>
    <t>Perc Change in Output</t>
  </si>
  <si>
    <t>We adjust projected output and domestic content shares by our calculations for the impact of</t>
  </si>
  <si>
    <t xml:space="preserve">the Inflation Reduction Act (see tab for methodology). </t>
  </si>
  <si>
    <t>Coal Mining</t>
  </si>
  <si>
    <t>Oil &amp; Gas Mining</t>
  </si>
  <si>
    <t>Metallic &amp; Non-metallic Mining</t>
  </si>
  <si>
    <t>ref2022.d011222a</t>
  </si>
  <si>
    <t>Annual Energy Outlook 2022</t>
  </si>
  <si>
    <t>ref2022</t>
  </si>
  <si>
    <t>d011222a</t>
  </si>
  <si>
    <t xml:space="preserve"> March 2022</t>
  </si>
  <si>
    <t>2021–2050</t>
  </si>
  <si>
    <t>Sources:  2021:  IHS Markit, Macroeconomic model, September 2021.</t>
  </si>
  <si>
    <t>Projections:  U.S. Energy Information Administration, AEO2022 National Energy Modeling System run ref2022.d011222a.</t>
  </si>
  <si>
    <t>AEO</t>
  </si>
  <si>
    <t>Total GDP</t>
  </si>
  <si>
    <t>Toal GDP - sum of AEO projections</t>
  </si>
  <si>
    <t>GDP Check</t>
  </si>
  <si>
    <t>Difference between scaled data and GDP forecast (double check)</t>
  </si>
  <si>
    <t>Non-AEO Scaling Factor to Fit GDP Projection</t>
  </si>
  <si>
    <t>GDP Projection (see BGDP)</t>
  </si>
  <si>
    <t>Because energy demand projections for those ISIC codes come directly from EIA (see indst/BIFUbC),</t>
  </si>
  <si>
    <t>we use those growth rates directly. For all others, we use BLS and rescale the growth rates such that,</t>
  </si>
  <si>
    <t>when applied to Value Added quantities,</t>
  </si>
  <si>
    <t>Scaled Annual Growth Rates</t>
  </si>
  <si>
    <t>Scaled Compounded Growth Relative to Start Year Data</t>
  </si>
  <si>
    <t>Forecasted GDP Growth</t>
  </si>
  <si>
    <t>OECD</t>
  </si>
  <si>
    <t>Last updated: January 12, 2024 at 6:54:51 AM</t>
    <phoneticPr fontId="34" type="noConversion"/>
  </si>
  <si>
    <t>(DF_DP_LIVE) OECD Data Archive</t>
  </si>
  <si>
    <t>https://data-explorer.oecd.org/vis?lc=en&amp;df[ds]=DisseminateArchiveDMZ&amp;df[id]=DF_DP_LIVE&amp;df[ag]=OECD&amp;av=true&amp;pd=2017%2C2075&amp;dq=KOR.GDPLTFORECAST...A&amp;to[TIME_PERIOD]=false&amp;vw=ov&amp;lb=bt</t>
    <phoneticPr fontId="34" type="noConversion"/>
  </si>
  <si>
    <t>Real GDP long-term forecast</t>
    <phoneticPr fontId="34" type="noConversion"/>
  </si>
  <si>
    <t>Real GDP - Historical</t>
  </si>
  <si>
    <t>The World Bank</t>
  </si>
  <si>
    <t>GDP (constant 2015 US$)</t>
    <phoneticPr fontId="34" type="noConversion"/>
  </si>
  <si>
    <t>https://data.worldbank.org/indicator/NY.GDP.MKTP.KD?locations=KR</t>
  </si>
  <si>
    <t>https://www.bls.gov/emp/tables/industry-employment-and-output.htm</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</si>
</sst>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00_);_(* \(#,##0.00\);_(* &quot;-&quot;??_);_(@_)"/>
    <numFmt numFmtId="177" formatCode="#,##0.0"/>
    <numFmt numFmtId="178" formatCode="_(* #,##0.0_);_(* \(#,##0.0\);_(* &quot;-&quot;??_);_(@_)"/>
    <numFmt numFmtId="179" formatCode="0.0"/>
    <numFmt numFmtId="180" formatCode="0.0%"/>
    <numFmt numFmtId="181" formatCode="&quot;$&quot;#,##0"/>
    <numFmt numFmtId="182" formatCode="#,##0.00000"/>
    <numFmt numFmtId="183" formatCode="0_);[Red]\(0\)"/>
  </numFmts>
  <fonts count="39" x14ac:knownFonts="1">
    <font>
      <sz val="11"/>
      <color theme="1"/>
      <name val="맑은 고딕"/>
      <family val="2"/>
      <scheme val="minor"/>
    </font>
    <font>
      <b/>
      <sz val="11"/>
      <color theme="1"/>
      <name val="맑은 고딕"/>
      <family val="2"/>
      <scheme val="minor"/>
    </font>
    <font>
      <u/>
      <sz val="11"/>
      <color theme="10"/>
      <name val="맑은 고딕"/>
      <family val="2"/>
      <scheme val="minor"/>
    </font>
    <font>
      <sz val="10"/>
      <name val="Arial"/>
      <family val="2"/>
    </font>
    <font>
      <sz val="8"/>
      <name val="Arial"/>
      <family val="2"/>
    </font>
    <font>
      <i/>
      <sz val="11"/>
      <color theme="1"/>
      <name val="맑은 고딕"/>
      <family val="2"/>
      <scheme val="minor"/>
    </font>
    <font>
      <sz val="11"/>
      <color theme="1"/>
      <name val="맑은 고딕"/>
      <family val="2"/>
      <scheme val="minor"/>
    </font>
    <font>
      <b/>
      <sz val="10"/>
      <name val="Arial"/>
      <family val="2"/>
    </font>
    <font>
      <sz val="10"/>
      <color theme="1"/>
      <name val="Arial"/>
      <family val="2"/>
    </font>
    <font>
      <b/>
      <vertAlign val="superscript"/>
      <sz val="10"/>
      <name val="Arial"/>
      <family val="2"/>
    </font>
    <font>
      <b/>
      <sz val="10"/>
      <color theme="1"/>
      <name val="Arial"/>
      <family val="2"/>
    </font>
    <font>
      <vertAlign val="superscript"/>
      <sz val="10"/>
      <name val="Arial"/>
      <family val="2"/>
    </font>
    <font>
      <b/>
      <vertAlign val="superscript"/>
      <sz val="10"/>
      <color theme="1"/>
      <name val="Arial"/>
      <family val="2"/>
    </font>
    <font>
      <sz val="10"/>
      <color indexed="8"/>
      <name val="Arial"/>
      <family val="2"/>
    </font>
    <font>
      <vertAlign val="superscript"/>
      <sz val="10"/>
      <color indexed="8"/>
      <name val="Arial"/>
      <family val="2"/>
    </font>
    <font>
      <sz val="9"/>
      <color indexed="8"/>
      <name val="Calibri"/>
      <family val="2"/>
    </font>
    <font>
      <b/>
      <sz val="9"/>
      <color indexed="8"/>
      <name val="Calibri"/>
      <family val="2"/>
    </font>
    <font>
      <sz val="10"/>
      <name val="Calibri"/>
      <family val="2"/>
    </font>
    <font>
      <b/>
      <sz val="12"/>
      <color indexed="30"/>
      <name val="Calibri"/>
      <family val="2"/>
    </font>
    <font>
      <sz val="9"/>
      <name val="Calibri"/>
      <family val="2"/>
    </font>
    <font>
      <sz val="9"/>
      <name val="Calibri"/>
      <family val="2"/>
    </font>
    <font>
      <b/>
      <sz val="12"/>
      <name val="Calibri"/>
      <family val="2"/>
    </font>
    <font>
      <b/>
      <sz val="9"/>
      <name val="Calibri"/>
      <family val="2"/>
    </font>
    <font>
      <b/>
      <sz val="10"/>
      <color theme="1"/>
      <name val="맑은 고딕"/>
      <family val="2"/>
      <scheme val="minor"/>
    </font>
    <font>
      <sz val="10"/>
      <color theme="1"/>
      <name val="맑은 고딕"/>
      <family val="2"/>
      <scheme val="minor"/>
    </font>
    <font>
      <u/>
      <sz val="10"/>
      <color rgb="FF0000FF"/>
      <name val="Arial"/>
      <family val="2"/>
    </font>
    <font>
      <u/>
      <sz val="10"/>
      <color rgb="FF1155CC"/>
      <name val="Arial"/>
      <family val="2"/>
    </font>
    <font>
      <b/>
      <i/>
      <sz val="10"/>
      <color rgb="FFFFFFFF"/>
      <name val="Arial"/>
      <family val="2"/>
    </font>
    <font>
      <sz val="8"/>
      <color theme="1"/>
      <name val="Arial"/>
      <family val="2"/>
    </font>
    <font>
      <b/>
      <i/>
      <sz val="10"/>
      <color theme="1"/>
      <name val="Arial"/>
      <family val="2"/>
    </font>
    <font>
      <sz val="10"/>
      <color rgb="FF000000"/>
      <name val="Arial"/>
      <family val="2"/>
    </font>
    <font>
      <i/>
      <sz val="10"/>
      <color rgb="FF000000"/>
      <name val="Arial"/>
      <family val="2"/>
    </font>
    <font>
      <sz val="10"/>
      <color theme="0" tint="-4.9989318521683403E-2"/>
      <name val="맑은 고딕"/>
      <family val="2"/>
      <scheme val="minor"/>
    </font>
    <font>
      <sz val="8"/>
      <name val="맑은 고딕"/>
      <family val="2"/>
      <scheme val="minor"/>
    </font>
    <font>
      <sz val="8"/>
      <name val="맑은 고딕"/>
      <family val="3"/>
      <charset val="129"/>
      <scheme val="minor"/>
    </font>
    <font>
      <sz val="11"/>
      <color rgb="FFFF0000"/>
      <name val="맑은 고딕"/>
      <family val="2"/>
      <scheme val="minor"/>
    </font>
    <font>
      <sz val="11"/>
      <color rgb="FFFF0000"/>
      <name val="맑은 고딕"/>
      <family val="3"/>
      <charset val="129"/>
      <scheme val="minor"/>
    </font>
    <font>
      <sz val="11"/>
      <color rgb="FFFF0000"/>
      <name val="맑은 고딕"/>
      <family val="3"/>
      <charset val="129"/>
    </font>
    <font>
      <b/>
      <sz val="11"/>
      <color rgb="FFFF0000"/>
      <name val="맑은 고딕"/>
      <family val="2"/>
      <scheme val="minor"/>
    </font>
  </fonts>
  <fills count="1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F2CC"/>
        <bgColor indexed="64"/>
      </patternFill>
    </fill>
    <fill>
      <patternFill patternType="solid">
        <fgColor rgb="FFCFE2F3"/>
        <bgColor rgb="FFCFE2F3"/>
      </patternFill>
    </fill>
    <fill>
      <patternFill patternType="solid">
        <fgColor rgb="FFDEEAF6"/>
        <bgColor rgb="FFDEEAF6"/>
      </patternFill>
    </fill>
    <fill>
      <patternFill patternType="solid">
        <fgColor rgb="FF003366"/>
        <bgColor rgb="FF003366"/>
      </patternFill>
    </fill>
    <fill>
      <patternFill patternType="solid">
        <fgColor rgb="FF99CCFF"/>
        <bgColor rgb="FF99CCFF"/>
      </patternFill>
    </fill>
    <fill>
      <patternFill patternType="solid">
        <fgColor rgb="FF9BC2E6"/>
        <bgColor rgb="FF9BC2E6"/>
      </patternFill>
    </fill>
    <fill>
      <patternFill patternType="solid">
        <fgColor theme="0" tint="-4.9989318521683403E-2"/>
        <bgColor indexed="64"/>
      </patternFill>
    </fill>
  </fills>
  <borders count="21">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3">
    <xf numFmtId="0" fontId="0" fillId="0" borderId="0"/>
    <xf numFmtId="0" fontId="2" fillId="0" borderId="0" applyNumberFormat="0" applyFill="0" applyBorder="0" applyAlignment="0" applyProtection="0"/>
    <xf numFmtId="0" fontId="3" fillId="0" borderId="0"/>
    <xf numFmtId="176" fontId="6" fillId="0" borderId="0" applyFont="0" applyFill="0" applyBorder="0" applyAlignment="0" applyProtection="0"/>
    <xf numFmtId="9" fontId="6" fillId="0" borderId="0" applyFont="0" applyFill="0" applyBorder="0" applyAlignment="0" applyProtection="0"/>
    <xf numFmtId="0" fontId="15" fillId="0" borderId="0"/>
    <xf numFmtId="0" fontId="15" fillId="0" borderId="0"/>
    <xf numFmtId="0" fontId="16" fillId="0" borderId="8">
      <alignment wrapText="1"/>
    </xf>
    <xf numFmtId="0" fontId="18" fillId="0" borderId="0">
      <alignment horizontal="left"/>
    </xf>
    <xf numFmtId="0" fontId="16" fillId="0" borderId="9">
      <alignment wrapText="1"/>
    </xf>
    <xf numFmtId="0" fontId="15" fillId="0" borderId="10">
      <alignment wrapText="1"/>
    </xf>
    <xf numFmtId="0" fontId="15" fillId="0" borderId="11">
      <alignment wrapText="1"/>
    </xf>
    <xf numFmtId="0" fontId="15" fillId="0" borderId="0"/>
  </cellStyleXfs>
  <cellXfs count="166">
    <xf numFmtId="0" fontId="0" fillId="0" borderId="0" xfId="0"/>
    <xf numFmtId="0" fontId="1" fillId="0" borderId="0" xfId="0" applyFont="1"/>
    <xf numFmtId="0" fontId="0" fillId="0" borderId="0" xfId="0" applyAlignment="1">
      <alignment horizontal="left"/>
    </xf>
    <xf numFmtId="0" fontId="0" fillId="0" borderId="0" xfId="0" applyAlignment="1">
      <alignment horizontal="right"/>
    </xf>
    <xf numFmtId="0" fontId="5" fillId="0" borderId="0" xfId="0" applyFont="1" applyAlignment="1">
      <alignment horizontal="left"/>
    </xf>
    <xf numFmtId="0" fontId="0" fillId="2" borderId="0" xfId="0" applyFill="1"/>
    <xf numFmtId="0" fontId="0" fillId="0" borderId="0" xfId="0" applyAlignment="1">
      <alignment wrapText="1"/>
    </xf>
    <xf numFmtId="0" fontId="0" fillId="3" borderId="0" xfId="0" applyFill="1"/>
    <xf numFmtId="0" fontId="0" fillId="4" borderId="0" xfId="0" applyFill="1"/>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vertical="top" wrapText="1"/>
    </xf>
    <xf numFmtId="49" fontId="7" fillId="0" borderId="4" xfId="0" applyNumberFormat="1" applyFont="1" applyBorder="1" applyAlignment="1">
      <alignment vertical="top" wrapText="1"/>
    </xf>
    <xf numFmtId="177" fontId="8" fillId="0" borderId="0" xfId="0" applyNumberFormat="1" applyFont="1" applyAlignment="1">
      <alignment horizontal="right"/>
    </xf>
    <xf numFmtId="178" fontId="3" fillId="0" borderId="4" xfId="3" applyNumberFormat="1" applyFont="1" applyFill="1" applyBorder="1" applyAlignment="1">
      <alignment horizontal="right"/>
    </xf>
    <xf numFmtId="177" fontId="3" fillId="0" borderId="4" xfId="3" applyNumberFormat="1" applyFont="1" applyFill="1" applyBorder="1" applyAlignment="1">
      <alignment horizontal="right"/>
    </xf>
    <xf numFmtId="178" fontId="8" fillId="0" borderId="0" xfId="0" applyNumberFormat="1" applyFont="1" applyAlignment="1">
      <alignment horizontal="right"/>
    </xf>
    <xf numFmtId="0" fontId="7" fillId="0" borderId="5" xfId="0" applyFont="1" applyBorder="1" applyAlignment="1">
      <alignment vertical="top" wrapText="1"/>
    </xf>
    <xf numFmtId="49" fontId="7" fillId="0" borderId="6" xfId="0" applyNumberFormat="1" applyFont="1" applyBorder="1" applyAlignment="1">
      <alignment vertical="top" wrapText="1"/>
    </xf>
    <xf numFmtId="0" fontId="8" fillId="0" borderId="5" xfId="0" applyFont="1" applyBorder="1" applyAlignment="1">
      <alignment horizontal="right"/>
    </xf>
    <xf numFmtId="0" fontId="7" fillId="0" borderId="6" xfId="0" applyFont="1" applyBorder="1" applyAlignment="1">
      <alignment horizontal="right"/>
    </xf>
    <xf numFmtId="0" fontId="8" fillId="0" borderId="0" xfId="0" applyFont="1" applyAlignment="1">
      <alignment horizontal="right"/>
    </xf>
    <xf numFmtId="177" fontId="7" fillId="0" borderId="5" xfId="0" applyNumberFormat="1" applyFont="1" applyBorder="1" applyAlignment="1">
      <alignment horizontal="right"/>
    </xf>
    <xf numFmtId="177" fontId="7" fillId="0" borderId="6" xfId="0" applyNumberFormat="1" applyFont="1" applyBorder="1" applyAlignment="1">
      <alignment horizontal="right"/>
    </xf>
    <xf numFmtId="0" fontId="10" fillId="0" borderId="5" xfId="0" applyFont="1" applyBorder="1" applyAlignment="1">
      <alignment vertical="top" wrapText="1"/>
    </xf>
    <xf numFmtId="49" fontId="8" fillId="0" borderId="5" xfId="0" applyNumberFormat="1" applyFont="1" applyBorder="1" applyAlignment="1">
      <alignment vertical="top" wrapText="1"/>
    </xf>
    <xf numFmtId="177" fontId="8" fillId="0" borderId="5" xfId="0" applyNumberFormat="1" applyFont="1" applyBorder="1" applyAlignment="1">
      <alignment horizontal="right"/>
    </xf>
    <xf numFmtId="179" fontId="8" fillId="0" borderId="0" xfId="3" applyNumberFormat="1" applyFont="1" applyAlignment="1">
      <alignment horizontal="right"/>
    </xf>
    <xf numFmtId="177" fontId="0" fillId="0" borderId="0" xfId="0" applyNumberFormat="1"/>
    <xf numFmtId="49" fontId="3" fillId="0" borderId="5" xfId="0" applyNumberFormat="1" applyFont="1" applyBorder="1" applyAlignment="1">
      <alignment vertical="top" wrapText="1"/>
    </xf>
    <xf numFmtId="0" fontId="3" fillId="0" borderId="5" xfId="0" applyFont="1" applyBorder="1" applyAlignment="1">
      <alignment vertical="top" wrapText="1"/>
    </xf>
    <xf numFmtId="179" fontId="8" fillId="0" borderId="0" xfId="3" applyNumberFormat="1" applyFont="1" applyFill="1" applyAlignment="1">
      <alignment horizontal="right"/>
    </xf>
    <xf numFmtId="177" fontId="8" fillId="0" borderId="7" xfId="0" applyNumberFormat="1" applyFont="1" applyBorder="1" applyAlignment="1">
      <alignment horizontal="right"/>
    </xf>
    <xf numFmtId="179" fontId="8" fillId="0" borderId="5" xfId="0" quotePrefix="1" applyNumberFormat="1" applyFont="1" applyBorder="1" applyAlignment="1">
      <alignment horizontal="right"/>
    </xf>
    <xf numFmtId="177" fontId="8" fillId="0" borderId="5" xfId="0" quotePrefix="1" applyNumberFormat="1" applyFont="1" applyBorder="1" applyAlignment="1">
      <alignment horizontal="right"/>
    </xf>
    <xf numFmtId="0" fontId="8" fillId="0" borderId="5" xfId="0" quotePrefix="1" applyFont="1" applyBorder="1" applyAlignment="1">
      <alignment vertical="top" wrapText="1"/>
    </xf>
    <xf numFmtId="0" fontId="8" fillId="0" borderId="5" xfId="0" applyFont="1" applyBorder="1" applyAlignment="1">
      <alignment vertical="top" wrapText="1"/>
    </xf>
    <xf numFmtId="0" fontId="3" fillId="0" borderId="0" xfId="0" applyFont="1"/>
    <xf numFmtId="0" fontId="8" fillId="0" borderId="0" xfId="0" applyFont="1" applyAlignment="1">
      <alignment wrapText="1"/>
    </xf>
    <xf numFmtId="0" fontId="15" fillId="0" borderId="0" xfId="5"/>
    <xf numFmtId="0" fontId="15" fillId="0" borderId="0" xfId="6"/>
    <xf numFmtId="0" fontId="16" fillId="0" borderId="8" xfId="7">
      <alignment wrapText="1"/>
    </xf>
    <xf numFmtId="0" fontId="4" fillId="0" borderId="0" xfId="5" applyFont="1"/>
    <xf numFmtId="0" fontId="15" fillId="0" borderId="0" xfId="5" applyAlignment="1">
      <alignment horizontal="left"/>
    </xf>
    <xf numFmtId="0" fontId="15" fillId="0" borderId="0" xfId="5" applyAlignment="1">
      <alignment horizontal="left" indent="1"/>
    </xf>
    <xf numFmtId="0" fontId="1" fillId="3" borderId="0" xfId="0" applyFont="1" applyFill="1" applyAlignment="1">
      <alignment horizontal="left"/>
    </xf>
    <xf numFmtId="0" fontId="2" fillId="0" borderId="0" xfId="1" applyAlignment="1">
      <alignment horizontal="left"/>
    </xf>
    <xf numFmtId="0" fontId="1" fillId="2" borderId="0" xfId="0" applyFont="1" applyFill="1"/>
    <xf numFmtId="0" fontId="1" fillId="0" borderId="0" xfId="0" applyFont="1" applyAlignment="1">
      <alignment horizontal="right"/>
    </xf>
    <xf numFmtId="180" fontId="0" fillId="0" borderId="0" xfId="4" applyNumberFormat="1" applyFont="1"/>
    <xf numFmtId="0" fontId="1" fillId="6" borderId="0" xfId="0" applyFont="1" applyFill="1"/>
    <xf numFmtId="0" fontId="0" fillId="6" borderId="0" xfId="0" applyFill="1"/>
    <xf numFmtId="0" fontId="16" fillId="2" borderId="0" xfId="5" applyFont="1" applyFill="1"/>
    <xf numFmtId="0" fontId="4" fillId="3" borderId="0" xfId="5" applyFont="1" applyFill="1"/>
    <xf numFmtId="10" fontId="0" fillId="0" borderId="0" xfId="4" applyNumberFormat="1" applyFont="1"/>
    <xf numFmtId="0" fontId="1" fillId="5" borderId="0" xfId="0" applyFont="1" applyFill="1"/>
    <xf numFmtId="180" fontId="0" fillId="0" borderId="0" xfId="0" applyNumberFormat="1"/>
    <xf numFmtId="0" fontId="1" fillId="7" borderId="0" xfId="0" applyFont="1" applyFill="1"/>
    <xf numFmtId="0" fontId="1" fillId="0" borderId="0" xfId="0" applyFont="1" applyAlignment="1">
      <alignment horizontal="right" wrapText="1"/>
    </xf>
    <xf numFmtId="0" fontId="1" fillId="4" borderId="0" xfId="0" applyFont="1" applyFill="1"/>
    <xf numFmtId="0" fontId="0" fillId="2" borderId="0" xfId="0" applyFill="1" applyAlignment="1">
      <alignment horizontal="left"/>
    </xf>
    <xf numFmtId="0" fontId="8" fillId="0" borderId="0" xfId="0" applyFont="1"/>
    <xf numFmtId="0" fontId="17" fillId="0" borderId="0" xfId="2" applyFont="1"/>
    <xf numFmtId="0" fontId="13" fillId="0" borderId="0" xfId="2" applyFont="1"/>
    <xf numFmtId="0" fontId="4" fillId="0" borderId="0" xfId="0" applyFont="1"/>
    <xf numFmtId="0" fontId="21" fillId="0" borderId="0" xfId="8" applyFont="1">
      <alignment horizontal="left"/>
    </xf>
    <xf numFmtId="0" fontId="19" fillId="0" borderId="0" xfId="0" applyFont="1"/>
    <xf numFmtId="0" fontId="22" fillId="0" borderId="0" xfId="0" applyFont="1" applyAlignment="1">
      <alignment horizontal="right"/>
    </xf>
    <xf numFmtId="0" fontId="19" fillId="0" borderId="0" xfId="6" applyFont="1"/>
    <xf numFmtId="0" fontId="19" fillId="0" borderId="0" xfId="0" applyFont="1" applyAlignment="1">
      <alignment horizontal="left"/>
    </xf>
    <xf numFmtId="0" fontId="22" fillId="0" borderId="8" xfId="7" applyFont="1">
      <alignment wrapText="1"/>
    </xf>
    <xf numFmtId="0" fontId="22" fillId="0" borderId="8" xfId="7" applyFont="1" applyAlignment="1">
      <alignment horizontal="right"/>
    </xf>
    <xf numFmtId="0" fontId="22" fillId="0" borderId="9" xfId="9" applyFont="1">
      <alignment wrapText="1"/>
    </xf>
    <xf numFmtId="3" fontId="22" fillId="0" borderId="9" xfId="9" applyNumberFormat="1" applyFont="1" applyAlignment="1">
      <alignment horizontal="right" wrapText="1"/>
    </xf>
    <xf numFmtId="0" fontId="19" fillId="0" borderId="10" xfId="10" applyFont="1">
      <alignment wrapText="1"/>
    </xf>
    <xf numFmtId="3" fontId="19" fillId="0" borderId="10" xfId="10" applyNumberFormat="1" applyFont="1" applyAlignment="1">
      <alignment horizontal="right" wrapText="1"/>
    </xf>
    <xf numFmtId="0" fontId="19" fillId="0" borderId="11" xfId="11" applyFont="1">
      <alignment wrapText="1"/>
    </xf>
    <xf numFmtId="0" fontId="0" fillId="0" borderId="11" xfId="0" applyBorder="1"/>
    <xf numFmtId="3" fontId="22" fillId="8" borderId="9" xfId="9" applyNumberFormat="1" applyFont="1" applyFill="1" applyAlignment="1">
      <alignment horizontal="right" wrapText="1"/>
    </xf>
    <xf numFmtId="180" fontId="22" fillId="8" borderId="9" xfId="9" applyNumberFormat="1" applyFont="1" applyFill="1" applyAlignment="1">
      <alignment horizontal="right" wrapText="1"/>
    </xf>
    <xf numFmtId="0" fontId="19" fillId="8" borderId="0" xfId="0" applyFont="1" applyFill="1"/>
    <xf numFmtId="3" fontId="19" fillId="8" borderId="10" xfId="10" applyNumberFormat="1" applyFont="1" applyFill="1" applyAlignment="1">
      <alignment horizontal="right" wrapText="1"/>
    </xf>
    <xf numFmtId="180" fontId="19" fillId="8" borderId="10" xfId="10" applyNumberFormat="1" applyFont="1" applyFill="1" applyAlignment="1">
      <alignment horizontal="right" wrapText="1"/>
    </xf>
    <xf numFmtId="0" fontId="23" fillId="9" borderId="0" xfId="0" applyFont="1" applyFill="1"/>
    <xf numFmtId="0" fontId="24" fillId="9" borderId="0" xfId="0" applyFont="1" applyFill="1"/>
    <xf numFmtId="0" fontId="24" fillId="0" borderId="0" xfId="0" applyFont="1" applyAlignment="1">
      <alignment wrapText="1"/>
    </xf>
    <xf numFmtId="0" fontId="24" fillId="0" borderId="0" xfId="0" applyFont="1"/>
    <xf numFmtId="0" fontId="25" fillId="0" borderId="0" xfId="0" applyFont="1"/>
    <xf numFmtId="0" fontId="23" fillId="0" borderId="0" xfId="0" applyFont="1"/>
    <xf numFmtId="10" fontId="24" fillId="0" borderId="0" xfId="0" applyNumberFormat="1" applyFont="1"/>
    <xf numFmtId="9" fontId="23" fillId="0" borderId="0" xfId="4" applyFont="1" applyFill="1"/>
    <xf numFmtId="181" fontId="24" fillId="0" borderId="0" xfId="0" applyNumberFormat="1" applyFont="1"/>
    <xf numFmtId="11" fontId="24" fillId="0" borderId="0" xfId="0" applyNumberFormat="1" applyFont="1"/>
    <xf numFmtId="182" fontId="24" fillId="0" borderId="0" xfId="0" applyNumberFormat="1" applyFont="1"/>
    <xf numFmtId="0" fontId="23" fillId="10" borderId="0" xfId="0" applyFont="1" applyFill="1"/>
    <xf numFmtId="0" fontId="24" fillId="10" borderId="0" xfId="0" applyFont="1" applyFill="1"/>
    <xf numFmtId="0" fontId="8" fillId="11" borderId="13" xfId="0" applyFont="1" applyFill="1" applyBorder="1" applyAlignment="1">
      <alignment horizontal="left"/>
    </xf>
    <xf numFmtId="0" fontId="8" fillId="11" borderId="13" xfId="0" applyFont="1" applyFill="1" applyBorder="1"/>
    <xf numFmtId="0" fontId="28" fillId="11" borderId="14" xfId="0" applyFont="1" applyFill="1" applyBorder="1" applyAlignment="1">
      <alignment horizontal="left" vertical="top"/>
    </xf>
    <xf numFmtId="0" fontId="29" fillId="12" borderId="15" xfId="0" applyFont="1" applyFill="1" applyBorder="1" applyAlignment="1">
      <alignment horizontal="center"/>
    </xf>
    <xf numFmtId="0" fontId="10" fillId="12" borderId="0" xfId="0" applyFont="1" applyFill="1" applyAlignment="1">
      <alignment horizontal="center"/>
    </xf>
    <xf numFmtId="0" fontId="10" fillId="12" borderId="16" xfId="0" applyFont="1" applyFill="1" applyBorder="1" applyAlignment="1">
      <alignment horizontal="center"/>
    </xf>
    <xf numFmtId="0" fontId="29" fillId="0" borderId="17" xfId="0" applyFont="1" applyBorder="1" applyAlignment="1">
      <alignment horizontal="left"/>
    </xf>
    <xf numFmtId="181" fontId="28" fillId="0" borderId="18" xfId="0" applyNumberFormat="1" applyFont="1" applyBorder="1"/>
    <xf numFmtId="0" fontId="8" fillId="0" borderId="18" xfId="0" applyFont="1" applyBorder="1" applyAlignment="1">
      <alignment horizontal="left"/>
    </xf>
    <xf numFmtId="0" fontId="10" fillId="0" borderId="18" xfId="0" applyFont="1" applyBorder="1" applyAlignment="1">
      <alignment horizontal="center"/>
    </xf>
    <xf numFmtId="0" fontId="30" fillId="0" borderId="18" xfId="0" applyFont="1" applyBorder="1" applyAlignment="1">
      <alignment horizontal="center"/>
    </xf>
    <xf numFmtId="0" fontId="28" fillId="0" borderId="18" xfId="0" applyFont="1" applyBorder="1"/>
    <xf numFmtId="0" fontId="29" fillId="0" borderId="19" xfId="0" applyFont="1" applyBorder="1" applyAlignment="1">
      <alignment horizontal="left"/>
    </xf>
    <xf numFmtId="181" fontId="28" fillId="0" borderId="20" xfId="0" applyNumberFormat="1" applyFont="1" applyBorder="1"/>
    <xf numFmtId="0" fontId="8" fillId="0" borderId="20" xfId="0" applyFont="1" applyBorder="1" applyAlignment="1">
      <alignment horizontal="left"/>
    </xf>
    <xf numFmtId="0" fontId="10" fillId="0" borderId="20" xfId="0" applyFont="1" applyBorder="1" applyAlignment="1">
      <alignment horizontal="center"/>
    </xf>
    <xf numFmtId="0" fontId="30" fillId="0" borderId="20" xfId="0" applyFont="1" applyBorder="1" applyAlignment="1">
      <alignment horizontal="center"/>
    </xf>
    <xf numFmtId="0" fontId="28" fillId="0" borderId="20" xfId="0" applyFont="1" applyBorder="1"/>
    <xf numFmtId="0" fontId="8" fillId="0" borderId="20" xfId="0" applyFont="1" applyBorder="1"/>
    <xf numFmtId="0" fontId="8" fillId="0" borderId="20" xfId="0" applyFont="1" applyBorder="1" applyAlignment="1">
      <alignment horizontal="center"/>
    </xf>
    <xf numFmtId="0" fontId="8" fillId="0" borderId="19" xfId="0" applyFont="1" applyBorder="1" applyAlignment="1">
      <alignment horizontal="left"/>
    </xf>
    <xf numFmtId="0" fontId="28" fillId="0" borderId="20" xfId="0" applyFont="1" applyBorder="1" applyAlignment="1">
      <alignment vertical="top"/>
    </xf>
    <xf numFmtId="181" fontId="28" fillId="0" borderId="20" xfId="0" applyNumberFormat="1" applyFont="1" applyBorder="1" applyAlignment="1">
      <alignment horizontal="left"/>
    </xf>
    <xf numFmtId="0" fontId="8" fillId="0" borderId="20" xfId="0" applyFont="1" applyBorder="1" applyAlignment="1">
      <alignment horizontal="left" vertical="top"/>
    </xf>
    <xf numFmtId="0" fontId="31" fillId="0" borderId="20" xfId="0" applyFont="1" applyBorder="1" applyAlignment="1">
      <alignment horizontal="center"/>
    </xf>
    <xf numFmtId="0" fontId="10" fillId="0" borderId="0" xfId="0" applyFont="1"/>
    <xf numFmtId="0" fontId="23" fillId="13" borderId="0" xfId="0" applyFont="1" applyFill="1"/>
    <xf numFmtId="0" fontId="24" fillId="13" borderId="0" xfId="0" applyFont="1" applyFill="1"/>
    <xf numFmtId="9" fontId="24" fillId="0" borderId="0" xfId="4" applyFont="1"/>
    <xf numFmtId="0" fontId="1" fillId="14" borderId="0" xfId="0" applyFont="1" applyFill="1"/>
    <xf numFmtId="0" fontId="32" fillId="0" borderId="0" xfId="0" applyFont="1"/>
    <xf numFmtId="0" fontId="19" fillId="0" borderId="10" xfId="10" applyFont="1" applyAlignment="1">
      <alignment horizontal="left" wrapText="1" indent="2"/>
    </xf>
    <xf numFmtId="0" fontId="17" fillId="0" borderId="0" xfId="0" applyFont="1"/>
    <xf numFmtId="0" fontId="13" fillId="0" borderId="0" xfId="0" applyFont="1"/>
    <xf numFmtId="0" fontId="18" fillId="0" borderId="0" xfId="8">
      <alignment horizontal="left"/>
    </xf>
    <xf numFmtId="0" fontId="16" fillId="0" borderId="9" xfId="9">
      <alignment wrapText="1"/>
    </xf>
    <xf numFmtId="3" fontId="16" fillId="0" borderId="9" xfId="9" applyNumberFormat="1" applyAlignment="1">
      <alignment horizontal="right" wrapText="1"/>
    </xf>
    <xf numFmtId="180" fontId="16" fillId="0" borderId="9" xfId="9" applyNumberFormat="1" applyAlignment="1">
      <alignment horizontal="right" wrapText="1"/>
    </xf>
    <xf numFmtId="0" fontId="0" fillId="0" borderId="10" xfId="10" applyFont="1">
      <alignment wrapText="1"/>
    </xf>
    <xf numFmtId="3" fontId="0" fillId="0" borderId="10" xfId="10" applyNumberFormat="1" applyFont="1" applyAlignment="1">
      <alignment horizontal="right" wrapText="1"/>
    </xf>
    <xf numFmtId="180" fontId="0" fillId="0" borderId="10" xfId="10" applyNumberFormat="1" applyFont="1" applyAlignment="1">
      <alignment horizontal="right" wrapText="1"/>
    </xf>
    <xf numFmtId="0" fontId="15" fillId="0" borderId="11" xfId="11">
      <alignment wrapText="1"/>
    </xf>
    <xf numFmtId="10" fontId="0" fillId="2" borderId="0" xfId="4" applyNumberFormat="1" applyFont="1" applyFill="1"/>
    <xf numFmtId="0" fontId="0" fillId="0" borderId="0" xfId="4" applyNumberFormat="1" applyFont="1"/>
    <xf numFmtId="0" fontId="35" fillId="0" borderId="0" xfId="0" applyFont="1" applyAlignment="1">
      <alignment horizontal="left"/>
    </xf>
    <xf numFmtId="0" fontId="36" fillId="0" borderId="0" xfId="0" applyFont="1" applyAlignment="1">
      <alignment horizontal="left"/>
    </xf>
    <xf numFmtId="0" fontId="37" fillId="0" borderId="0" xfId="0" applyFont="1" applyAlignment="1">
      <alignment horizontal="left" readingOrder="1"/>
    </xf>
    <xf numFmtId="0" fontId="2" fillId="0" borderId="0" xfId="1"/>
    <xf numFmtId="0" fontId="36" fillId="0" borderId="0" xfId="0" applyFont="1"/>
    <xf numFmtId="0" fontId="38" fillId="0" borderId="0" xfId="0" applyFont="1" applyAlignment="1">
      <alignment horizontal="right"/>
    </xf>
    <xf numFmtId="0" fontId="36" fillId="2" borderId="0" xfId="0" applyFont="1" applyFill="1"/>
    <xf numFmtId="0" fontId="35" fillId="0" borderId="0" xfId="0" applyFont="1"/>
    <xf numFmtId="183" fontId="36" fillId="0" borderId="0" xfId="0" applyNumberFormat="1" applyFont="1"/>
    <xf numFmtId="0" fontId="3" fillId="0" borderId="0" xfId="0" applyFont="1" applyAlignment="1">
      <alignment horizontal="left" wrapText="1"/>
    </xf>
    <xf numFmtId="0" fontId="8" fillId="0" borderId="0" xfId="0" applyFont="1" applyAlignment="1">
      <alignment wrapText="1"/>
    </xf>
    <xf numFmtId="49" fontId="3" fillId="0" borderId="0" xfId="0" applyNumberFormat="1" applyFont="1" applyAlignment="1">
      <alignment horizontal="left" wrapText="1"/>
    </xf>
    <xf numFmtId="0" fontId="10" fillId="0" borderId="1" xfId="0" applyFont="1" applyBorder="1" applyAlignment="1">
      <alignment vertical="top" wrapText="1"/>
    </xf>
    <xf numFmtId="0" fontId="3" fillId="0" borderId="0" xfId="0" applyFont="1" applyAlignment="1">
      <alignment wrapText="1"/>
    </xf>
    <xf numFmtId="49" fontId="13" fillId="0" borderId="0" xfId="0" applyNumberFormat="1" applyFont="1" applyAlignment="1">
      <alignment wrapText="1"/>
    </xf>
    <xf numFmtId="0" fontId="7" fillId="0" borderId="0" xfId="0" applyFont="1" applyAlignment="1">
      <alignment vertical="center"/>
    </xf>
    <xf numFmtId="0" fontId="8" fillId="0" borderId="0" xfId="0" applyFont="1"/>
    <xf numFmtId="0" fontId="7" fillId="0" borderId="2" xfId="0" applyFont="1" applyBorder="1" applyAlignment="1">
      <alignment horizontal="center" vertical="center" wrapText="1"/>
    </xf>
    <xf numFmtId="49" fontId="7" fillId="0" borderId="2" xfId="0" applyNumberFormat="1"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wrapText="1"/>
    </xf>
    <xf numFmtId="0" fontId="0" fillId="0" borderId="0" xfId="0"/>
    <xf numFmtId="0" fontId="20" fillId="0" borderId="0" xfId="0" applyFont="1"/>
    <xf numFmtId="0" fontId="19" fillId="0" borderId="0" xfId="0" applyFont="1"/>
    <xf numFmtId="0" fontId="27" fillId="11" borderId="12" xfId="0" applyFont="1" applyFill="1" applyBorder="1" applyAlignment="1">
      <alignment horizontal="left"/>
    </xf>
    <xf numFmtId="0" fontId="3" fillId="0" borderId="13" xfId="0" applyFont="1" applyBorder="1"/>
  </cellXfs>
  <cellStyles count="13">
    <cellStyle name="Body: normal cell" xfId="10" xr:uid="{1E571901-62A3-490E-A9CE-5146011C1E6C}"/>
    <cellStyle name="Font: Calibri, 9pt regular" xfId="6" xr:uid="{25FCE220-E6F3-428F-8DE7-22D731B9712E}"/>
    <cellStyle name="Footnotes: top row" xfId="11" xr:uid="{2677079D-F511-4F68-B05E-FB845AB9D3F4}"/>
    <cellStyle name="Header: bottom row" xfId="7" xr:uid="{469194D9-C3F1-450B-9B02-CB17498708FE}"/>
    <cellStyle name="Normal 2" xfId="2" xr:uid="{3ADF3FF5-E4D2-4BC8-9960-7408DCCB591E}"/>
    <cellStyle name="Normal 2 2" xfId="12" xr:uid="{C374538A-412D-4555-9F49-9098E8F228FC}"/>
    <cellStyle name="Normal 3" xfId="5" xr:uid="{30826B47-D06C-4748-9DDD-ABA68B8B9493}"/>
    <cellStyle name="Parent row" xfId="9" xr:uid="{667DBEB3-6D87-4DEF-AC53-30ED1A57F70C}"/>
    <cellStyle name="Table title" xfId="8" xr:uid="{FD69BB4F-2344-4CC5-A7F5-9C09A713FEA1}"/>
    <cellStyle name="백분율" xfId="4" builtinId="5"/>
    <cellStyle name="쉼표" xfId="3" builtinId="3"/>
    <cellStyle name="표준" xfId="0" builtinId="0"/>
    <cellStyle name="하이퍼링크" xfId="1" builtinId="8"/>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explorer.oecd.org/vis?lc=en&amp;df%5bds%5d=DisseminateArchiveDMZ&amp;df%5bid%5d=DF_DP_LIVE&amp;df%5bag%5d=OECD&amp;av=true&amp;pd=2017%2C2075&amp;dq=KOR.GDPLTFORECAST...A&amp;to%5bTIME_PERIOD%5d=false&amp;vw=ov&amp;lb=bt" TargetMode="External"/><Relationship Id="rId2" Type="http://schemas.openxmlformats.org/officeDocument/2006/relationships/hyperlink" Target="https://data.worldbank.org/indicator/NY.GDP.MKTP.KD?locations=KR" TargetMode="External"/><Relationship Id="rId1" Type="http://schemas.openxmlformats.org/officeDocument/2006/relationships/hyperlink" Target="https://www.eia.gov/outlooks/aeo/tables_ref.php" TargetMode="External"/><Relationship Id="rId5" Type="http://schemas.openxmlformats.org/officeDocument/2006/relationships/printerSettings" Target="../printerSettings/printerSettings1.bin"/><Relationship Id="rId4" Type="http://schemas.openxmlformats.org/officeDocument/2006/relationships/hyperlink" Target="https://www.bls.gov/emp/tables/industry-employment-and-output.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hyperlink" Target="https://www.filesforprogress.org/memos/CEPP-amplifies-jobs-impacts-of-48c-tax-credit.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tabSelected="1" workbookViewId="0">
      <selection activeCell="A29" sqref="A29"/>
    </sheetView>
  </sheetViews>
  <sheetFormatPr defaultRowHeight="16.5" x14ac:dyDescent="0.3"/>
  <cols>
    <col min="2" max="2" width="77.625" style="2" customWidth="1"/>
  </cols>
  <sheetData>
    <row r="1" spans="1:2" x14ac:dyDescent="0.3">
      <c r="A1" s="1" t="s">
        <v>645</v>
      </c>
    </row>
    <row r="3" spans="1:2" x14ac:dyDescent="0.3">
      <c r="A3" s="1" t="s">
        <v>0</v>
      </c>
      <c r="B3" s="45" t="s">
        <v>668</v>
      </c>
    </row>
    <row r="4" spans="1:2" x14ac:dyDescent="0.3">
      <c r="B4" s="2" t="s">
        <v>632</v>
      </c>
    </row>
    <row r="5" spans="1:2" x14ac:dyDescent="0.3">
      <c r="B5" s="2">
        <v>2023</v>
      </c>
    </row>
    <row r="6" spans="1:2" x14ac:dyDescent="0.3">
      <c r="B6" s="2" t="s">
        <v>671</v>
      </c>
    </row>
    <row r="7" spans="1:2" x14ac:dyDescent="0.3">
      <c r="B7" s="46" t="s">
        <v>633</v>
      </c>
    </row>
    <row r="8" spans="1:2" x14ac:dyDescent="0.3">
      <c r="B8" s="2" t="s">
        <v>634</v>
      </c>
    </row>
    <row r="10" spans="1:2" x14ac:dyDescent="0.3">
      <c r="B10" s="2" t="s">
        <v>37</v>
      </c>
    </row>
    <row r="11" spans="1:2" x14ac:dyDescent="0.3">
      <c r="B11" s="2">
        <v>2020</v>
      </c>
    </row>
    <row r="12" spans="1:2" x14ac:dyDescent="0.3">
      <c r="B12" s="2" t="s">
        <v>635</v>
      </c>
    </row>
    <row r="13" spans="1:2" x14ac:dyDescent="0.3">
      <c r="B13" s="46" t="s">
        <v>1356</v>
      </c>
    </row>
    <row r="14" spans="1:2" x14ac:dyDescent="0.3">
      <c r="B14" s="2" t="s">
        <v>636</v>
      </c>
    </row>
    <row r="16" spans="1:2" x14ac:dyDescent="0.3">
      <c r="B16" s="45" t="s">
        <v>1340</v>
      </c>
    </row>
    <row r="17" spans="1:2" x14ac:dyDescent="0.3">
      <c r="B17" s="125" t="s">
        <v>1346</v>
      </c>
    </row>
    <row r="18" spans="1:2" x14ac:dyDescent="0.3">
      <c r="B18" s="140" t="s">
        <v>1347</v>
      </c>
    </row>
    <row r="19" spans="1:2" x14ac:dyDescent="0.3">
      <c r="B19" s="141" t="s">
        <v>1348</v>
      </c>
    </row>
    <row r="20" spans="1:2" x14ac:dyDescent="0.3">
      <c r="B20" s="142" t="s">
        <v>1349</v>
      </c>
    </row>
    <row r="21" spans="1:2" x14ac:dyDescent="0.3">
      <c r="B21" s="143" t="s">
        <v>1350</v>
      </c>
    </row>
    <row r="22" spans="1:2" x14ac:dyDescent="0.3">
      <c r="B22" s="144" t="s">
        <v>1351</v>
      </c>
    </row>
    <row r="23" spans="1:2" x14ac:dyDescent="0.3">
      <c r="B23" s="143"/>
    </row>
    <row r="24" spans="1:2" x14ac:dyDescent="0.3">
      <c r="B24" s="125" t="s">
        <v>1352</v>
      </c>
    </row>
    <row r="25" spans="1:2" x14ac:dyDescent="0.3">
      <c r="B25" t="s">
        <v>1353</v>
      </c>
    </row>
    <row r="26" spans="1:2" x14ac:dyDescent="0.3">
      <c r="B26" s="140" t="s">
        <v>1354</v>
      </c>
    </row>
    <row r="27" spans="1:2" x14ac:dyDescent="0.3">
      <c r="B27" s="141">
        <v>2023</v>
      </c>
    </row>
    <row r="28" spans="1:2" x14ac:dyDescent="0.3">
      <c r="B28" s="143" t="s">
        <v>1355</v>
      </c>
    </row>
    <row r="29" spans="1:2" x14ac:dyDescent="0.3">
      <c r="B29" s="46"/>
    </row>
    <row r="32" spans="1:2" x14ac:dyDescent="0.3">
      <c r="A32" s="1" t="s">
        <v>1</v>
      </c>
    </row>
    <row r="34" spans="1:1" x14ac:dyDescent="0.3">
      <c r="A34" t="s">
        <v>649</v>
      </c>
    </row>
    <row r="35" spans="1:1" x14ac:dyDescent="0.3">
      <c r="A35" t="s">
        <v>650</v>
      </c>
    </row>
    <row r="37" spans="1:1" x14ac:dyDescent="0.3">
      <c r="A37" t="s">
        <v>651</v>
      </c>
    </row>
    <row r="38" spans="1:1" x14ac:dyDescent="0.3">
      <c r="A38" t="s">
        <v>653</v>
      </c>
    </row>
    <row r="39" spans="1:1" x14ac:dyDescent="0.3">
      <c r="A39" t="s">
        <v>652</v>
      </c>
    </row>
    <row r="40" spans="1:1" x14ac:dyDescent="0.3">
      <c r="A40" t="s">
        <v>654</v>
      </c>
    </row>
    <row r="42" spans="1:1" x14ac:dyDescent="0.3">
      <c r="A42" t="s">
        <v>655</v>
      </c>
    </row>
    <row r="43" spans="1:1" x14ac:dyDescent="0.3">
      <c r="A43" t="s">
        <v>656</v>
      </c>
    </row>
    <row r="44" spans="1:1" x14ac:dyDescent="0.3">
      <c r="A44" t="s">
        <v>1341</v>
      </c>
    </row>
    <row r="45" spans="1:1" x14ac:dyDescent="0.3">
      <c r="A45" t="s">
        <v>1342</v>
      </c>
    </row>
    <row r="46" spans="1:1" x14ac:dyDescent="0.3">
      <c r="A46" t="s">
        <v>1343</v>
      </c>
    </row>
    <row r="47" spans="1:1" x14ac:dyDescent="0.3">
      <c r="A47" t="s">
        <v>657</v>
      </c>
    </row>
    <row r="48" spans="1:1" x14ac:dyDescent="0.3">
      <c r="A48" t="s">
        <v>658</v>
      </c>
    </row>
    <row r="49" spans="1:2" x14ac:dyDescent="0.3">
      <c r="A49" t="s">
        <v>659</v>
      </c>
    </row>
    <row r="51" spans="1:2" x14ac:dyDescent="0.3">
      <c r="A51" t="s">
        <v>1321</v>
      </c>
      <c r="B51"/>
    </row>
    <row r="52" spans="1:2" x14ac:dyDescent="0.3">
      <c r="A52" t="s">
        <v>1322</v>
      </c>
      <c r="B52"/>
    </row>
    <row r="53" spans="1:2" x14ac:dyDescent="0.3">
      <c r="B53"/>
    </row>
    <row r="54" spans="1:2" x14ac:dyDescent="0.3">
      <c r="A54" s="47" t="s">
        <v>663</v>
      </c>
      <c r="B54" s="60"/>
    </row>
    <row r="56" spans="1:2" x14ac:dyDescent="0.3">
      <c r="A56" t="s">
        <v>660</v>
      </c>
    </row>
    <row r="57" spans="1:2" x14ac:dyDescent="0.3">
      <c r="A57" t="s">
        <v>664</v>
      </c>
    </row>
    <row r="58" spans="1:2" x14ac:dyDescent="0.3">
      <c r="A58" t="s">
        <v>665</v>
      </c>
    </row>
    <row r="59" spans="1:2" x14ac:dyDescent="0.3">
      <c r="A59" t="s">
        <v>666</v>
      </c>
    </row>
    <row r="60" spans="1:2" x14ac:dyDescent="0.3">
      <c r="A60" t="s">
        <v>661</v>
      </c>
    </row>
    <row r="61" spans="1:2" x14ac:dyDescent="0.3">
      <c r="A61" t="s">
        <v>667</v>
      </c>
    </row>
    <row r="62" spans="1:2" x14ac:dyDescent="0.3">
      <c r="A62" t="s">
        <v>662</v>
      </c>
    </row>
  </sheetData>
  <phoneticPr fontId="34" type="noConversion"/>
  <hyperlinks>
    <hyperlink ref="B7" r:id="rId1" xr:uid="{45204913-A7F0-449B-B5F2-3CB3DA1AD8A7}"/>
    <hyperlink ref="B28" r:id="rId2" xr:uid="{E198E670-1271-4149-8436-A14B960D5208}"/>
    <hyperlink ref="B21" r:id="rId3" xr:uid="{34E43153-DC13-4F19-9240-87F20566AE66}"/>
    <hyperlink ref="B13" r:id="rId4" xr:uid="{E9AB284D-AF36-4E75-92C3-9B19925093E0}"/>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972C-4710-44BC-A3E2-90D8574575CF}">
  <sheetPr>
    <pageSetUpPr fitToPage="1"/>
  </sheetPr>
  <dimension ref="A1:S270"/>
  <sheetViews>
    <sheetView topLeftCell="A250" workbookViewId="0">
      <selection sqref="A1:N1"/>
    </sheetView>
  </sheetViews>
  <sheetFormatPr defaultColWidth="9.125" defaultRowHeight="16.5" x14ac:dyDescent="0.3"/>
  <cols>
    <col min="1" max="1" width="50.75" customWidth="1"/>
    <col min="2" max="2" width="10.75" customWidth="1"/>
    <col min="3" max="14" width="11.375" customWidth="1"/>
    <col min="15" max="15" width="28.125" customWidth="1"/>
  </cols>
  <sheetData>
    <row r="1" spans="1:19" ht="17.25" thickBot="1" x14ac:dyDescent="0.35">
      <c r="A1" s="155" t="s">
        <v>48</v>
      </c>
      <c r="B1" s="156"/>
      <c r="C1" s="156"/>
      <c r="D1" s="156"/>
      <c r="E1" s="156"/>
      <c r="F1" s="156"/>
      <c r="G1" s="156"/>
      <c r="H1" s="156"/>
      <c r="I1" s="156"/>
      <c r="J1" s="156"/>
      <c r="K1" s="156"/>
      <c r="L1" s="156"/>
      <c r="M1" s="156"/>
      <c r="N1" s="156"/>
    </row>
    <row r="2" spans="1:19" ht="17.25" thickBot="1" x14ac:dyDescent="0.35">
      <c r="A2" s="157" t="s">
        <v>49</v>
      </c>
      <c r="B2" s="158" t="s">
        <v>50</v>
      </c>
      <c r="C2" s="157" t="s">
        <v>51</v>
      </c>
      <c r="D2" s="157"/>
      <c r="E2" s="157"/>
      <c r="F2" s="157"/>
      <c r="G2" s="157"/>
      <c r="H2" s="157"/>
      <c r="I2" s="157"/>
      <c r="J2" s="157" t="s">
        <v>34</v>
      </c>
      <c r="K2" s="157"/>
      <c r="L2" s="157"/>
      <c r="M2" s="157"/>
      <c r="N2" s="157"/>
    </row>
    <row r="3" spans="1:19" ht="33.75" customHeight="1" thickBot="1" x14ac:dyDescent="0.35">
      <c r="A3" s="157"/>
      <c r="B3" s="158"/>
      <c r="C3" s="159" t="s">
        <v>52</v>
      </c>
      <c r="D3" s="159"/>
      <c r="E3" s="159"/>
      <c r="F3" s="159" t="s">
        <v>53</v>
      </c>
      <c r="G3" s="159"/>
      <c r="H3" s="157" t="s">
        <v>54</v>
      </c>
      <c r="I3" s="157"/>
      <c r="J3" s="157" t="s">
        <v>55</v>
      </c>
      <c r="K3" s="157"/>
      <c r="L3" s="157"/>
      <c r="M3" s="157" t="s">
        <v>54</v>
      </c>
      <c r="N3" s="160"/>
      <c r="O3" s="5"/>
    </row>
    <row r="4" spans="1:19" ht="17.25" thickBot="1" x14ac:dyDescent="0.35">
      <c r="A4" s="157"/>
      <c r="B4" s="158"/>
      <c r="C4" s="9">
        <v>2009</v>
      </c>
      <c r="D4" s="10">
        <v>2019</v>
      </c>
      <c r="E4" s="10">
        <v>2029</v>
      </c>
      <c r="F4" s="10" t="s">
        <v>56</v>
      </c>
      <c r="G4" s="10" t="s">
        <v>57</v>
      </c>
      <c r="H4" s="10" t="s">
        <v>56</v>
      </c>
      <c r="I4" s="10" t="s">
        <v>57</v>
      </c>
      <c r="J4" s="9">
        <v>2009</v>
      </c>
      <c r="K4" s="10">
        <v>2019</v>
      </c>
      <c r="L4" s="10">
        <v>2029</v>
      </c>
      <c r="M4" s="10" t="s">
        <v>56</v>
      </c>
      <c r="N4" s="10" t="s">
        <v>57</v>
      </c>
      <c r="O4" s="47" t="s">
        <v>637</v>
      </c>
    </row>
    <row r="5" spans="1:19" ht="14.45" customHeight="1" x14ac:dyDescent="0.3">
      <c r="A5" s="11" t="s">
        <v>58</v>
      </c>
      <c r="B5" s="12" t="s">
        <v>59</v>
      </c>
      <c r="C5" s="13">
        <v>143036.39999999997</v>
      </c>
      <c r="D5" s="14">
        <v>162795.6</v>
      </c>
      <c r="E5" s="14">
        <v>168834.7</v>
      </c>
      <c r="F5" s="13">
        <v>19759.200000000041</v>
      </c>
      <c r="G5" s="15">
        <v>6039.1</v>
      </c>
      <c r="H5" s="16">
        <v>1.3</v>
      </c>
      <c r="I5" s="15">
        <v>0.4</v>
      </c>
      <c r="J5" s="14">
        <v>27293.3</v>
      </c>
      <c r="K5" s="14">
        <v>34049.9</v>
      </c>
      <c r="L5" s="14">
        <v>40867.599999999999</v>
      </c>
      <c r="M5" s="15">
        <v>2.2000000000000002</v>
      </c>
      <c r="N5" s="15">
        <v>1.8</v>
      </c>
      <c r="O5" s="7"/>
    </row>
    <row r="6" spans="1:19" ht="14.45" customHeight="1" x14ac:dyDescent="0.3">
      <c r="A6" s="17" t="s">
        <v>59</v>
      </c>
      <c r="B6" s="18"/>
      <c r="C6" s="19"/>
      <c r="D6" s="20"/>
      <c r="E6" s="20"/>
      <c r="F6" s="21"/>
      <c r="G6" s="22"/>
      <c r="H6" s="21"/>
      <c r="I6" s="22"/>
      <c r="J6" s="20"/>
      <c r="K6" s="20"/>
      <c r="L6" s="20"/>
      <c r="M6" s="23"/>
      <c r="N6" s="23"/>
    </row>
    <row r="7" spans="1:19" ht="14.45" customHeight="1" x14ac:dyDescent="0.3">
      <c r="A7" s="24" t="s">
        <v>60</v>
      </c>
      <c r="B7" s="25" t="s">
        <v>61</v>
      </c>
      <c r="C7" s="13">
        <v>132029.19999999998</v>
      </c>
      <c r="D7" s="26">
        <v>151709.70000000001</v>
      </c>
      <c r="E7" s="26">
        <v>158115.6</v>
      </c>
      <c r="F7" s="13">
        <v>19680.500000000029</v>
      </c>
      <c r="G7" s="26">
        <v>6405.9</v>
      </c>
      <c r="H7" s="27">
        <v>1.4</v>
      </c>
      <c r="I7" s="26">
        <v>0.4</v>
      </c>
      <c r="J7" s="26">
        <v>26836.2</v>
      </c>
      <c r="K7" s="26">
        <v>33487.1</v>
      </c>
      <c r="L7" s="26">
        <v>40193.300000000003</v>
      </c>
      <c r="M7" s="26">
        <v>2.2000000000000002</v>
      </c>
      <c r="N7" s="26">
        <v>1.8</v>
      </c>
      <c r="O7" s="7"/>
      <c r="P7" s="28"/>
      <c r="Q7" s="28"/>
      <c r="R7" s="28"/>
      <c r="S7" s="28"/>
    </row>
    <row r="8" spans="1:19" ht="14.45" customHeight="1" x14ac:dyDescent="0.3">
      <c r="A8" s="29" t="s">
        <v>62</v>
      </c>
      <c r="B8" s="29" t="s">
        <v>63</v>
      </c>
      <c r="C8" s="13">
        <v>643.29999999999995</v>
      </c>
      <c r="D8" s="26">
        <v>684.6</v>
      </c>
      <c r="E8" s="26">
        <v>777.8</v>
      </c>
      <c r="F8" s="13">
        <v>41.300000000000068</v>
      </c>
      <c r="G8" s="26">
        <v>93.2</v>
      </c>
      <c r="H8" s="27">
        <v>0.6</v>
      </c>
      <c r="I8" s="26">
        <v>1.3</v>
      </c>
      <c r="J8" s="26">
        <v>485.8</v>
      </c>
      <c r="K8" s="26">
        <v>635.29999999999995</v>
      </c>
      <c r="L8" s="26">
        <v>835.5</v>
      </c>
      <c r="M8" s="26">
        <v>2.7</v>
      </c>
      <c r="N8" s="26">
        <v>2.8</v>
      </c>
      <c r="O8" s="7"/>
      <c r="P8" s="28"/>
      <c r="Q8" s="28"/>
      <c r="R8" s="28"/>
    </row>
    <row r="9" spans="1:19" ht="14.45" customHeight="1" x14ac:dyDescent="0.3">
      <c r="A9" s="30" t="s">
        <v>64</v>
      </c>
      <c r="B9" s="29" t="s">
        <v>65</v>
      </c>
      <c r="C9" s="13">
        <v>159.80000000000001</v>
      </c>
      <c r="D9" s="26">
        <v>150.1</v>
      </c>
      <c r="E9" s="26">
        <v>129.69999999999999</v>
      </c>
      <c r="F9" s="13">
        <v>-9.7000000000000171</v>
      </c>
      <c r="G9" s="26">
        <v>-20.399999999999999</v>
      </c>
      <c r="H9" s="27">
        <v>-0.6</v>
      </c>
      <c r="I9" s="26">
        <v>-1.4</v>
      </c>
      <c r="J9" s="26">
        <v>278.2</v>
      </c>
      <c r="K9" s="26">
        <v>474.3</v>
      </c>
      <c r="L9" s="26">
        <v>659.6</v>
      </c>
      <c r="M9" s="26">
        <v>5.5</v>
      </c>
      <c r="N9" s="26">
        <v>3.4</v>
      </c>
      <c r="O9" t="s">
        <v>40</v>
      </c>
      <c r="P9" s="28"/>
      <c r="Q9" s="28"/>
      <c r="R9" s="28"/>
    </row>
    <row r="10" spans="1:19" x14ac:dyDescent="0.3">
      <c r="A10" s="30" t="s">
        <v>66</v>
      </c>
      <c r="B10" s="29" t="s">
        <v>67</v>
      </c>
      <c r="C10" s="13">
        <v>208.3</v>
      </c>
      <c r="D10" s="26">
        <v>191.4</v>
      </c>
      <c r="E10" s="26">
        <v>193.9</v>
      </c>
      <c r="F10" s="13">
        <v>-16.900000000000006</v>
      </c>
      <c r="G10" s="26">
        <v>2.5</v>
      </c>
      <c r="H10" s="27">
        <v>-0.8</v>
      </c>
      <c r="I10" s="26">
        <v>0.1</v>
      </c>
      <c r="J10" s="26">
        <v>124.6</v>
      </c>
      <c r="K10" s="26">
        <v>108.1</v>
      </c>
      <c r="L10" s="26">
        <v>114.2</v>
      </c>
      <c r="M10" s="26">
        <v>-1.4</v>
      </c>
      <c r="N10" s="26">
        <v>0.6</v>
      </c>
      <c r="O10" s="7"/>
      <c r="P10" s="28"/>
      <c r="Q10" s="28"/>
      <c r="R10" s="28"/>
    </row>
    <row r="11" spans="1:19" ht="15.75" customHeight="1" x14ac:dyDescent="0.3">
      <c r="A11" s="30" t="s">
        <v>68</v>
      </c>
      <c r="B11" s="29" t="s">
        <v>69</v>
      </c>
      <c r="C11" s="13">
        <v>81.5</v>
      </c>
      <c r="D11" s="26">
        <v>51.9</v>
      </c>
      <c r="E11" s="26">
        <v>43.6</v>
      </c>
      <c r="F11" s="13">
        <v>-29.6</v>
      </c>
      <c r="G11" s="26">
        <v>-8.3000000000000007</v>
      </c>
      <c r="H11" s="27">
        <v>-4.4000000000000004</v>
      </c>
      <c r="I11" s="26">
        <v>-1.7</v>
      </c>
      <c r="J11" s="26">
        <v>50.9</v>
      </c>
      <c r="K11" s="26">
        <v>44.8</v>
      </c>
      <c r="L11" s="26">
        <v>43.8</v>
      </c>
      <c r="M11" s="26">
        <v>-1.3</v>
      </c>
      <c r="N11" s="26">
        <v>-0.2</v>
      </c>
      <c r="O11" t="s">
        <v>39</v>
      </c>
      <c r="P11" s="28"/>
      <c r="Q11" s="28"/>
      <c r="R11" s="28"/>
    </row>
    <row r="12" spans="1:19" x14ac:dyDescent="0.3">
      <c r="A12" s="30" t="s">
        <v>70</v>
      </c>
      <c r="B12" s="29" t="s">
        <v>71</v>
      </c>
      <c r="C12" s="13">
        <v>34.799999999999997</v>
      </c>
      <c r="D12" s="26">
        <v>41.8</v>
      </c>
      <c r="E12" s="26">
        <v>48.6</v>
      </c>
      <c r="F12" s="13">
        <v>7</v>
      </c>
      <c r="G12" s="26">
        <v>6.8</v>
      </c>
      <c r="H12" s="27">
        <v>1.8</v>
      </c>
      <c r="I12" s="26">
        <v>1.5</v>
      </c>
      <c r="J12" s="26">
        <v>40.9</v>
      </c>
      <c r="K12" s="26">
        <v>36.200000000000003</v>
      </c>
      <c r="L12" s="26">
        <v>38</v>
      </c>
      <c r="M12" s="26">
        <v>-1.2</v>
      </c>
      <c r="N12" s="26">
        <v>0.5</v>
      </c>
      <c r="O12" t="s">
        <v>3</v>
      </c>
      <c r="P12" s="28"/>
      <c r="Q12" s="28"/>
      <c r="R12" s="28"/>
    </row>
    <row r="13" spans="1:19" x14ac:dyDescent="0.3">
      <c r="A13" s="30" t="s">
        <v>72</v>
      </c>
      <c r="B13" s="29" t="s">
        <v>73</v>
      </c>
      <c r="C13" s="13">
        <v>92</v>
      </c>
      <c r="D13" s="26">
        <v>97.7</v>
      </c>
      <c r="E13" s="26">
        <v>101.7</v>
      </c>
      <c r="F13" s="13">
        <v>5.7000000000000028</v>
      </c>
      <c r="G13" s="26">
        <v>4</v>
      </c>
      <c r="H13" s="27">
        <v>0.6</v>
      </c>
      <c r="I13" s="26">
        <v>0.4</v>
      </c>
      <c r="J13" s="26">
        <v>33.4</v>
      </c>
      <c r="K13" s="26">
        <v>27.3</v>
      </c>
      <c r="L13" s="26">
        <v>32.200000000000003</v>
      </c>
      <c r="M13" s="26">
        <v>-2</v>
      </c>
      <c r="N13" s="26">
        <v>1.6</v>
      </c>
      <c r="O13" t="s">
        <v>3</v>
      </c>
      <c r="P13" s="28"/>
      <c r="Q13" s="28"/>
      <c r="R13" s="28"/>
    </row>
    <row r="14" spans="1:19" x14ac:dyDescent="0.3">
      <c r="A14" s="30" t="s">
        <v>74</v>
      </c>
      <c r="B14" s="29" t="s">
        <v>75</v>
      </c>
      <c r="C14" s="13">
        <v>275.2</v>
      </c>
      <c r="D14" s="26">
        <v>343.1</v>
      </c>
      <c r="E14" s="26">
        <v>454.2</v>
      </c>
      <c r="F14" s="13">
        <v>67.900000000000034</v>
      </c>
      <c r="G14" s="26">
        <v>111.1</v>
      </c>
      <c r="H14" s="27">
        <v>2.2000000000000002</v>
      </c>
      <c r="I14" s="26">
        <v>2.8</v>
      </c>
      <c r="J14" s="26">
        <v>83.5</v>
      </c>
      <c r="K14" s="26">
        <v>82.3</v>
      </c>
      <c r="L14" s="26">
        <v>109</v>
      </c>
      <c r="M14" s="26">
        <v>-0.1</v>
      </c>
      <c r="N14" s="26">
        <v>2.9</v>
      </c>
      <c r="O14" t="s">
        <v>4</v>
      </c>
      <c r="P14" s="28"/>
      <c r="Q14" s="28"/>
      <c r="R14" s="28"/>
    </row>
    <row r="15" spans="1:19" x14ac:dyDescent="0.3">
      <c r="A15" s="30" t="s">
        <v>76</v>
      </c>
      <c r="B15" s="29" t="s">
        <v>77</v>
      </c>
      <c r="C15" s="13">
        <v>560.1</v>
      </c>
      <c r="D15" s="26">
        <v>549</v>
      </c>
      <c r="E15" s="26">
        <v>506.7</v>
      </c>
      <c r="F15" s="13">
        <v>-11.100000000000023</v>
      </c>
      <c r="G15" s="26">
        <v>-42.3</v>
      </c>
      <c r="H15" s="27">
        <v>-0.2</v>
      </c>
      <c r="I15" s="26">
        <v>-0.8</v>
      </c>
      <c r="J15" s="26">
        <v>443.6</v>
      </c>
      <c r="K15" s="26">
        <v>458.6</v>
      </c>
      <c r="L15" s="26">
        <v>534.5</v>
      </c>
      <c r="M15" s="26">
        <v>0.3</v>
      </c>
      <c r="N15" s="26">
        <v>1.5</v>
      </c>
      <c r="O15" s="7"/>
      <c r="P15" s="28"/>
      <c r="Q15" s="28"/>
      <c r="R15" s="28"/>
    </row>
    <row r="16" spans="1:19" x14ac:dyDescent="0.3">
      <c r="A16" s="30" t="s">
        <v>78</v>
      </c>
      <c r="B16" s="29" t="s">
        <v>79</v>
      </c>
      <c r="C16" s="13">
        <v>404.1</v>
      </c>
      <c r="D16" s="26">
        <v>385.5</v>
      </c>
      <c r="E16" s="26">
        <v>352</v>
      </c>
      <c r="F16" s="13">
        <v>-18.600000000000023</v>
      </c>
      <c r="G16" s="26">
        <v>-33.5</v>
      </c>
      <c r="H16" s="27">
        <v>-0.5</v>
      </c>
      <c r="I16" s="26">
        <v>-0.9</v>
      </c>
      <c r="J16" s="26">
        <v>340.5</v>
      </c>
      <c r="K16" s="26">
        <v>357</v>
      </c>
      <c r="L16" s="26">
        <v>422.3</v>
      </c>
      <c r="M16" s="26">
        <v>0.5</v>
      </c>
      <c r="N16" s="26">
        <v>1.7</v>
      </c>
      <c r="O16" t="s">
        <v>45</v>
      </c>
      <c r="P16" s="28"/>
      <c r="Q16" s="28"/>
      <c r="R16" s="28"/>
    </row>
    <row r="17" spans="1:18" x14ac:dyDescent="0.3">
      <c r="A17" s="29" t="s">
        <v>80</v>
      </c>
      <c r="B17" s="29" t="s">
        <v>81</v>
      </c>
      <c r="C17" s="13">
        <v>108.7</v>
      </c>
      <c r="D17" s="26">
        <v>110.3</v>
      </c>
      <c r="E17" s="26">
        <v>99</v>
      </c>
      <c r="F17" s="13">
        <v>1.5999999999999943</v>
      </c>
      <c r="G17" s="26">
        <v>-11.3</v>
      </c>
      <c r="H17" s="27">
        <v>0.1</v>
      </c>
      <c r="I17" s="26">
        <v>-1.1000000000000001</v>
      </c>
      <c r="J17" s="26">
        <v>88.7</v>
      </c>
      <c r="K17" s="26">
        <v>90.8</v>
      </c>
      <c r="L17" s="26">
        <v>98.8</v>
      </c>
      <c r="M17" s="26">
        <v>0.2</v>
      </c>
      <c r="N17" s="26">
        <v>0.8</v>
      </c>
      <c r="O17" t="s">
        <v>46</v>
      </c>
      <c r="P17" s="28"/>
      <c r="Q17" s="28"/>
      <c r="R17" s="28"/>
    </row>
    <row r="18" spans="1:18" x14ac:dyDescent="0.3">
      <c r="A18" s="30" t="s">
        <v>82</v>
      </c>
      <c r="B18" s="29" t="s">
        <v>83</v>
      </c>
      <c r="C18" s="13">
        <v>47.3</v>
      </c>
      <c r="D18" s="26">
        <v>53.2</v>
      </c>
      <c r="E18" s="26">
        <v>55.6</v>
      </c>
      <c r="F18" s="13">
        <v>5.9000000000000057</v>
      </c>
      <c r="G18" s="26">
        <v>2.4</v>
      </c>
      <c r="H18" s="27">
        <v>1.2</v>
      </c>
      <c r="I18" s="26">
        <v>0.4</v>
      </c>
      <c r="J18" s="26">
        <v>13</v>
      </c>
      <c r="K18" s="26">
        <v>11.4</v>
      </c>
      <c r="L18" s="26">
        <v>12.8</v>
      </c>
      <c r="M18" s="26">
        <v>-1.3</v>
      </c>
      <c r="N18" s="26">
        <v>1.1000000000000001</v>
      </c>
      <c r="O18" t="s">
        <v>47</v>
      </c>
      <c r="P18" s="28"/>
      <c r="Q18" s="28"/>
      <c r="R18" s="28"/>
    </row>
    <row r="19" spans="1:18" x14ac:dyDescent="0.3">
      <c r="A19" s="30" t="s">
        <v>84</v>
      </c>
      <c r="B19" s="29" t="s">
        <v>85</v>
      </c>
      <c r="C19" s="13">
        <v>6016.5</v>
      </c>
      <c r="D19" s="26">
        <v>7492.2</v>
      </c>
      <c r="E19" s="26">
        <v>7792.4</v>
      </c>
      <c r="F19" s="13">
        <v>1475.6999999999998</v>
      </c>
      <c r="G19" s="26">
        <v>300.2</v>
      </c>
      <c r="H19" s="27">
        <v>2.2000000000000002</v>
      </c>
      <c r="I19" s="26">
        <v>0.4</v>
      </c>
      <c r="J19" s="26">
        <v>1161.5</v>
      </c>
      <c r="K19" s="26">
        <v>1418.9</v>
      </c>
      <c r="L19" s="26">
        <v>1616.3</v>
      </c>
      <c r="M19" s="26">
        <v>2</v>
      </c>
      <c r="N19" s="26">
        <v>1.3</v>
      </c>
      <c r="O19" t="s">
        <v>18</v>
      </c>
      <c r="P19" s="28"/>
      <c r="Q19" s="28"/>
      <c r="R19" s="28"/>
    </row>
    <row r="20" spans="1:18" x14ac:dyDescent="0.3">
      <c r="A20" s="30" t="s">
        <v>86</v>
      </c>
      <c r="B20" s="29" t="s">
        <v>87</v>
      </c>
      <c r="C20" s="13">
        <v>11847.9</v>
      </c>
      <c r="D20" s="26">
        <v>12839.5</v>
      </c>
      <c r="E20" s="26">
        <v>12394.7</v>
      </c>
      <c r="F20" s="13">
        <v>991.60000000000036</v>
      </c>
      <c r="G20" s="26">
        <v>-444.8</v>
      </c>
      <c r="H20" s="27">
        <v>0.8</v>
      </c>
      <c r="I20" s="26">
        <v>-0.4</v>
      </c>
      <c r="J20" s="26">
        <v>5261.6</v>
      </c>
      <c r="K20" s="26">
        <v>6384.1</v>
      </c>
      <c r="L20" s="26">
        <v>7434</v>
      </c>
      <c r="M20" s="26">
        <v>2</v>
      </c>
      <c r="N20" s="26">
        <v>1.5</v>
      </c>
      <c r="O20" s="7"/>
      <c r="P20" s="28"/>
      <c r="Q20" s="28"/>
      <c r="R20" s="28"/>
    </row>
    <row r="21" spans="1:18" x14ac:dyDescent="0.3">
      <c r="A21" s="30" t="s">
        <v>88</v>
      </c>
      <c r="B21" s="29" t="s">
        <v>89</v>
      </c>
      <c r="C21" s="13">
        <v>1456.4</v>
      </c>
      <c r="D21" s="26">
        <v>1643.2</v>
      </c>
      <c r="E21" s="26">
        <v>1649.6</v>
      </c>
      <c r="F21" s="13">
        <v>186.79999999999995</v>
      </c>
      <c r="G21" s="26">
        <v>6.4</v>
      </c>
      <c r="H21" s="27">
        <v>1.2</v>
      </c>
      <c r="I21" s="26">
        <v>0</v>
      </c>
      <c r="J21" s="26">
        <v>736</v>
      </c>
      <c r="K21" s="26">
        <v>825</v>
      </c>
      <c r="L21" s="26">
        <v>972.1</v>
      </c>
      <c r="M21" s="26">
        <v>1.1000000000000001</v>
      </c>
      <c r="N21" s="26">
        <v>1.7</v>
      </c>
      <c r="O21" t="s">
        <v>5</v>
      </c>
      <c r="P21" s="28"/>
      <c r="Q21" s="28"/>
      <c r="R21" s="28"/>
    </row>
    <row r="22" spans="1:18" x14ac:dyDescent="0.3">
      <c r="A22" s="29" t="s">
        <v>90</v>
      </c>
      <c r="B22" s="25" t="s">
        <v>91</v>
      </c>
      <c r="C22" s="13">
        <v>51.8</v>
      </c>
      <c r="D22" s="26">
        <v>64</v>
      </c>
      <c r="E22" s="26">
        <v>74.8</v>
      </c>
      <c r="F22" s="13">
        <v>12.200000000000003</v>
      </c>
      <c r="G22" s="26">
        <v>10.8</v>
      </c>
      <c r="H22" s="27">
        <v>2.1</v>
      </c>
      <c r="I22" s="26">
        <v>1.6</v>
      </c>
      <c r="J22" s="26">
        <v>52.7</v>
      </c>
      <c r="K22" s="26">
        <v>65.7</v>
      </c>
      <c r="L22" s="26">
        <v>80.7</v>
      </c>
      <c r="M22" s="26">
        <v>2.2000000000000002</v>
      </c>
      <c r="N22" s="26">
        <v>2.1</v>
      </c>
      <c r="O22" s="7"/>
      <c r="P22" s="28"/>
      <c r="Q22" s="28"/>
      <c r="R22" s="28"/>
    </row>
    <row r="23" spans="1:18" x14ac:dyDescent="0.3">
      <c r="A23" s="29" t="s">
        <v>92</v>
      </c>
      <c r="B23" s="25" t="s">
        <v>93</v>
      </c>
      <c r="C23" s="13">
        <v>59.7</v>
      </c>
      <c r="D23" s="26">
        <v>60.6</v>
      </c>
      <c r="E23" s="26">
        <v>56.1</v>
      </c>
      <c r="F23" s="13">
        <v>0.89999999999999858</v>
      </c>
      <c r="G23" s="26">
        <v>-4.5</v>
      </c>
      <c r="H23" s="27">
        <v>0.1</v>
      </c>
      <c r="I23" s="26">
        <v>-0.8</v>
      </c>
      <c r="J23" s="26">
        <v>95</v>
      </c>
      <c r="K23" s="26">
        <v>142.69999999999999</v>
      </c>
      <c r="L23" s="26">
        <v>178.5</v>
      </c>
      <c r="M23" s="26">
        <v>4.2</v>
      </c>
      <c r="N23" s="26">
        <v>2.2999999999999998</v>
      </c>
      <c r="O23" s="7"/>
      <c r="P23" s="28"/>
      <c r="Q23" s="28"/>
      <c r="R23" s="28"/>
    </row>
    <row r="24" spans="1:18" x14ac:dyDescent="0.3">
      <c r="A24" s="30" t="s">
        <v>94</v>
      </c>
      <c r="B24" s="29" t="s">
        <v>95</v>
      </c>
      <c r="C24" s="13">
        <v>70.900000000000006</v>
      </c>
      <c r="D24" s="26">
        <v>78.8</v>
      </c>
      <c r="E24" s="26">
        <v>66.8</v>
      </c>
      <c r="F24" s="13">
        <v>7.8999999999999915</v>
      </c>
      <c r="G24" s="26">
        <v>-12</v>
      </c>
      <c r="H24" s="27">
        <v>1.1000000000000001</v>
      </c>
      <c r="I24" s="26">
        <v>-1.6</v>
      </c>
      <c r="J24" s="26">
        <v>33.5</v>
      </c>
      <c r="K24" s="26">
        <v>37.1</v>
      </c>
      <c r="L24" s="26">
        <v>38.6</v>
      </c>
      <c r="M24" s="26">
        <v>1</v>
      </c>
      <c r="N24" s="26">
        <v>0.4</v>
      </c>
      <c r="O24" s="7"/>
      <c r="P24" s="28"/>
      <c r="Q24" s="28"/>
      <c r="R24" s="28"/>
    </row>
    <row r="25" spans="1:18" x14ac:dyDescent="0.3">
      <c r="A25" s="30" t="s">
        <v>96</v>
      </c>
      <c r="B25" s="29" t="s">
        <v>97</v>
      </c>
      <c r="C25" s="13">
        <v>172.3</v>
      </c>
      <c r="D25" s="26">
        <v>173.3</v>
      </c>
      <c r="E25" s="26">
        <v>158.69999999999999</v>
      </c>
      <c r="F25" s="13">
        <v>1</v>
      </c>
      <c r="G25" s="26">
        <v>-14.6</v>
      </c>
      <c r="H25" s="27">
        <v>0.1</v>
      </c>
      <c r="I25" s="26">
        <v>-0.9</v>
      </c>
      <c r="J25" s="26">
        <v>64.7</v>
      </c>
      <c r="K25" s="26">
        <v>66.599999999999994</v>
      </c>
      <c r="L25" s="26">
        <v>72.5</v>
      </c>
      <c r="M25" s="26">
        <v>0.3</v>
      </c>
      <c r="N25" s="26">
        <v>0.9</v>
      </c>
      <c r="O25" s="7"/>
      <c r="P25" s="28"/>
      <c r="Q25" s="28"/>
      <c r="R25" s="28"/>
    </row>
    <row r="26" spans="1:18" x14ac:dyDescent="0.3">
      <c r="A26" s="30" t="s">
        <v>98</v>
      </c>
      <c r="B26" s="29" t="s">
        <v>99</v>
      </c>
      <c r="C26" s="13">
        <v>130.69999999999999</v>
      </c>
      <c r="D26" s="26">
        <v>155.6</v>
      </c>
      <c r="E26" s="26">
        <v>158.69999999999999</v>
      </c>
      <c r="F26" s="13">
        <v>24.900000000000006</v>
      </c>
      <c r="G26" s="26">
        <v>3.1</v>
      </c>
      <c r="H26" s="27">
        <v>1.8</v>
      </c>
      <c r="I26" s="26">
        <v>0.2</v>
      </c>
      <c r="J26" s="26">
        <v>116.8</v>
      </c>
      <c r="K26" s="26">
        <v>123.1</v>
      </c>
      <c r="L26" s="26">
        <v>149.4</v>
      </c>
      <c r="M26" s="26">
        <v>0.5</v>
      </c>
      <c r="N26" s="26">
        <v>2</v>
      </c>
      <c r="O26" s="7"/>
      <c r="P26" s="28"/>
      <c r="Q26" s="28"/>
      <c r="R26" s="28"/>
    </row>
    <row r="27" spans="1:18" x14ac:dyDescent="0.3">
      <c r="A27" s="30" t="s">
        <v>100</v>
      </c>
      <c r="B27" s="29" t="s">
        <v>101</v>
      </c>
      <c r="C27" s="13">
        <v>497.2</v>
      </c>
      <c r="D27" s="26">
        <v>531.4</v>
      </c>
      <c r="E27" s="26">
        <v>545.4</v>
      </c>
      <c r="F27" s="13">
        <v>34.199999999999989</v>
      </c>
      <c r="G27" s="26">
        <v>14</v>
      </c>
      <c r="H27" s="27">
        <v>0.7</v>
      </c>
      <c r="I27" s="26">
        <v>0.3</v>
      </c>
      <c r="J27" s="26">
        <v>213.2</v>
      </c>
      <c r="K27" s="26">
        <v>219.9</v>
      </c>
      <c r="L27" s="26">
        <v>257.89999999999998</v>
      </c>
      <c r="M27" s="26">
        <v>0.3</v>
      </c>
      <c r="N27" s="26">
        <v>1.6</v>
      </c>
      <c r="O27" s="7"/>
      <c r="P27" s="28"/>
      <c r="Q27" s="28"/>
      <c r="R27" s="28"/>
    </row>
    <row r="28" spans="1:18" x14ac:dyDescent="0.3">
      <c r="A28" s="30" t="s">
        <v>102</v>
      </c>
      <c r="B28" s="29" t="s">
        <v>103</v>
      </c>
      <c r="C28" s="13">
        <v>38.1</v>
      </c>
      <c r="D28" s="26">
        <v>35.299999999999997</v>
      </c>
      <c r="E28" s="26">
        <v>29.3</v>
      </c>
      <c r="F28" s="13">
        <v>-2.8000000000000043</v>
      </c>
      <c r="G28" s="26">
        <v>-6</v>
      </c>
      <c r="H28" s="27">
        <v>-0.8</v>
      </c>
      <c r="I28" s="26">
        <v>-1.8</v>
      </c>
      <c r="J28" s="26">
        <v>11.6</v>
      </c>
      <c r="K28" s="26">
        <v>10.9</v>
      </c>
      <c r="L28" s="26">
        <v>13</v>
      </c>
      <c r="M28" s="26">
        <v>-0.6</v>
      </c>
      <c r="N28" s="26">
        <v>1.8</v>
      </c>
      <c r="O28" s="7"/>
      <c r="P28" s="28"/>
      <c r="Q28" s="28"/>
      <c r="R28" s="28"/>
    </row>
    <row r="29" spans="1:18" x14ac:dyDescent="0.3">
      <c r="A29" s="30" t="s">
        <v>104</v>
      </c>
      <c r="B29" s="29" t="s">
        <v>105</v>
      </c>
      <c r="C29" s="13">
        <v>273</v>
      </c>
      <c r="D29" s="26">
        <v>315.8</v>
      </c>
      <c r="E29" s="26">
        <v>303.10000000000002</v>
      </c>
      <c r="F29" s="13">
        <v>42.800000000000011</v>
      </c>
      <c r="G29" s="26">
        <v>-12.7</v>
      </c>
      <c r="H29" s="27">
        <v>1.5</v>
      </c>
      <c r="I29" s="26">
        <v>-0.4</v>
      </c>
      <c r="J29" s="26">
        <v>60.7</v>
      </c>
      <c r="K29" s="26">
        <v>66.3</v>
      </c>
      <c r="L29" s="26">
        <v>74.8</v>
      </c>
      <c r="M29" s="26">
        <v>0.9</v>
      </c>
      <c r="N29" s="26">
        <v>1.2</v>
      </c>
      <c r="O29" s="7"/>
      <c r="P29" s="28"/>
      <c r="Q29" s="28"/>
      <c r="R29" s="28"/>
    </row>
    <row r="30" spans="1:18" x14ac:dyDescent="0.3">
      <c r="A30" s="30" t="s">
        <v>106</v>
      </c>
      <c r="B30" s="29" t="s">
        <v>107</v>
      </c>
      <c r="C30" s="13">
        <v>162.69999999999999</v>
      </c>
      <c r="D30" s="26">
        <v>228.4</v>
      </c>
      <c r="E30" s="26">
        <v>256.7</v>
      </c>
      <c r="F30" s="13">
        <v>65.700000000000017</v>
      </c>
      <c r="G30" s="26">
        <v>28.3</v>
      </c>
      <c r="H30" s="27">
        <v>3.5</v>
      </c>
      <c r="I30" s="26">
        <v>1.2</v>
      </c>
      <c r="J30" s="26">
        <v>88.4</v>
      </c>
      <c r="K30" s="26">
        <v>96.8</v>
      </c>
      <c r="L30" s="26">
        <v>115</v>
      </c>
      <c r="M30" s="26">
        <v>0.9</v>
      </c>
      <c r="N30" s="26">
        <v>1.7</v>
      </c>
      <c r="O30" s="7"/>
      <c r="P30" s="28"/>
      <c r="Q30" s="28"/>
      <c r="R30" s="28"/>
    </row>
    <row r="31" spans="1:18" x14ac:dyDescent="0.3">
      <c r="A31" s="30" t="s">
        <v>108</v>
      </c>
      <c r="B31" s="29" t="s">
        <v>109</v>
      </c>
      <c r="C31" s="13">
        <v>187.4</v>
      </c>
      <c r="D31" s="26">
        <v>285.8</v>
      </c>
      <c r="E31" s="26">
        <v>296.10000000000002</v>
      </c>
      <c r="F31" s="13">
        <v>98.4</v>
      </c>
      <c r="G31" s="26">
        <v>10.3</v>
      </c>
      <c r="H31" s="27">
        <v>4.3</v>
      </c>
      <c r="I31" s="26">
        <v>0.4</v>
      </c>
      <c r="J31" s="26">
        <v>167.3</v>
      </c>
      <c r="K31" s="26">
        <v>168.2</v>
      </c>
      <c r="L31" s="26">
        <v>181.3</v>
      </c>
      <c r="M31" s="26">
        <v>0.1</v>
      </c>
      <c r="N31" s="26">
        <v>0.8</v>
      </c>
      <c r="O31" t="s">
        <v>5</v>
      </c>
      <c r="P31" s="28"/>
      <c r="Q31" s="28"/>
      <c r="R31" s="28"/>
    </row>
    <row r="32" spans="1:18" x14ac:dyDescent="0.3">
      <c r="A32" s="30" t="s">
        <v>110</v>
      </c>
      <c r="B32" s="29" t="s">
        <v>111</v>
      </c>
      <c r="C32" s="13">
        <v>168.7</v>
      </c>
      <c r="D32" s="26">
        <v>275</v>
      </c>
      <c r="E32" s="26">
        <v>289.39999999999998</v>
      </c>
      <c r="F32" s="13">
        <v>106.30000000000001</v>
      </c>
      <c r="G32" s="26">
        <v>14.4</v>
      </c>
      <c r="H32" s="27">
        <v>5</v>
      </c>
      <c r="I32" s="26">
        <v>0.5</v>
      </c>
      <c r="J32" s="26">
        <v>103.9</v>
      </c>
      <c r="K32" s="26">
        <v>121.8</v>
      </c>
      <c r="L32" s="26">
        <v>148.19999999999999</v>
      </c>
      <c r="M32" s="26">
        <v>1.6</v>
      </c>
      <c r="N32" s="26">
        <v>2</v>
      </c>
      <c r="O32" s="7"/>
      <c r="P32" s="28"/>
      <c r="Q32" s="28"/>
      <c r="R32" s="28"/>
    </row>
    <row r="33" spans="1:18" x14ac:dyDescent="0.3">
      <c r="A33" s="30" t="s">
        <v>112</v>
      </c>
      <c r="B33" s="29" t="s">
        <v>113</v>
      </c>
      <c r="C33" s="13">
        <v>18.7</v>
      </c>
      <c r="D33" s="26">
        <v>11.3</v>
      </c>
      <c r="E33" s="26">
        <v>6.7</v>
      </c>
      <c r="F33" s="13">
        <v>-7.3999999999999986</v>
      </c>
      <c r="G33" s="26">
        <v>-4.7</v>
      </c>
      <c r="H33" s="27">
        <v>-4.9000000000000004</v>
      </c>
      <c r="I33" s="26">
        <v>-5.2</v>
      </c>
      <c r="J33" s="26">
        <v>63.7</v>
      </c>
      <c r="K33" s="26">
        <v>47.3</v>
      </c>
      <c r="L33" s="26">
        <v>38.299999999999997</v>
      </c>
      <c r="M33" s="26">
        <v>-2.9</v>
      </c>
      <c r="N33" s="26">
        <v>-2.1</v>
      </c>
      <c r="O33" s="7"/>
      <c r="P33" s="28"/>
      <c r="Q33" s="28"/>
      <c r="R33" s="28"/>
    </row>
    <row r="34" spans="1:18" x14ac:dyDescent="0.3">
      <c r="A34" s="30" t="s">
        <v>114</v>
      </c>
      <c r="B34" s="29" t="s">
        <v>115</v>
      </c>
      <c r="C34" s="13">
        <v>250.1</v>
      </c>
      <c r="D34" s="26">
        <v>222</v>
      </c>
      <c r="E34" s="26">
        <v>198.3</v>
      </c>
      <c r="F34" s="13">
        <v>-28.099999999999994</v>
      </c>
      <c r="G34" s="26">
        <v>-23.7</v>
      </c>
      <c r="H34" s="27">
        <v>-1.2</v>
      </c>
      <c r="I34" s="26">
        <v>-1.1000000000000001</v>
      </c>
      <c r="J34" s="26">
        <v>51.3</v>
      </c>
      <c r="K34" s="26">
        <v>52.8</v>
      </c>
      <c r="L34" s="26">
        <v>50.3</v>
      </c>
      <c r="M34" s="26">
        <v>0.3</v>
      </c>
      <c r="N34" s="26">
        <v>-0.5</v>
      </c>
      <c r="O34" t="s">
        <v>6</v>
      </c>
      <c r="P34" s="28"/>
      <c r="Q34" s="28"/>
      <c r="R34" s="28"/>
    </row>
    <row r="35" spans="1:18" x14ac:dyDescent="0.3">
      <c r="A35" s="30" t="s">
        <v>116</v>
      </c>
      <c r="B35" s="29" t="s">
        <v>117</v>
      </c>
      <c r="C35" s="13">
        <v>196.5</v>
      </c>
      <c r="D35" s="26">
        <v>137.69999999999999</v>
      </c>
      <c r="E35" s="26">
        <v>94.2</v>
      </c>
      <c r="F35" s="13">
        <v>-58.800000000000011</v>
      </c>
      <c r="G35" s="26">
        <v>-43.5</v>
      </c>
      <c r="H35" s="27">
        <v>-3.5</v>
      </c>
      <c r="I35" s="26">
        <v>-3.7</v>
      </c>
      <c r="J35" s="26">
        <v>25.6</v>
      </c>
      <c r="K35" s="26">
        <v>19.100000000000001</v>
      </c>
      <c r="L35" s="26">
        <v>20.100000000000001</v>
      </c>
      <c r="M35" s="26">
        <v>-2.8</v>
      </c>
      <c r="N35" s="26">
        <v>0.5</v>
      </c>
      <c r="O35" t="s">
        <v>6</v>
      </c>
      <c r="P35" s="28"/>
      <c r="Q35" s="28"/>
      <c r="R35" s="28"/>
    </row>
    <row r="36" spans="1:18" x14ac:dyDescent="0.3">
      <c r="A36" s="30" t="s">
        <v>118</v>
      </c>
      <c r="B36" s="29" t="s">
        <v>119</v>
      </c>
      <c r="C36" s="13">
        <v>360.2</v>
      </c>
      <c r="D36" s="26">
        <v>408.8</v>
      </c>
      <c r="E36" s="26">
        <v>382.3</v>
      </c>
      <c r="F36" s="13">
        <v>48.600000000000023</v>
      </c>
      <c r="G36" s="26">
        <v>-26.5</v>
      </c>
      <c r="H36" s="27">
        <v>1.3</v>
      </c>
      <c r="I36" s="26">
        <v>-0.7</v>
      </c>
      <c r="J36" s="26">
        <v>74.2</v>
      </c>
      <c r="K36" s="26">
        <v>94.1</v>
      </c>
      <c r="L36" s="26">
        <v>108.3</v>
      </c>
      <c r="M36" s="26">
        <v>2.4</v>
      </c>
      <c r="N36" s="26">
        <v>1.4</v>
      </c>
      <c r="O36" t="s">
        <v>7</v>
      </c>
      <c r="P36" s="28"/>
      <c r="Q36" s="28"/>
      <c r="R36" s="28"/>
    </row>
    <row r="37" spans="1:18" x14ac:dyDescent="0.3">
      <c r="A37" s="30" t="s">
        <v>120</v>
      </c>
      <c r="B37" s="29" t="s">
        <v>121</v>
      </c>
      <c r="C37" s="13">
        <v>83.2</v>
      </c>
      <c r="D37" s="26">
        <v>92.3</v>
      </c>
      <c r="E37" s="26">
        <v>85.3</v>
      </c>
      <c r="F37" s="13">
        <v>9.0999999999999943</v>
      </c>
      <c r="G37" s="26">
        <v>-7</v>
      </c>
      <c r="H37" s="27">
        <v>1</v>
      </c>
      <c r="I37" s="26">
        <v>-0.8</v>
      </c>
      <c r="J37" s="26">
        <v>21.4</v>
      </c>
      <c r="K37" s="26">
        <v>26</v>
      </c>
      <c r="L37" s="26">
        <v>30.5</v>
      </c>
      <c r="M37" s="26">
        <v>2</v>
      </c>
      <c r="N37" s="26">
        <v>1.6</v>
      </c>
      <c r="O37" s="7"/>
      <c r="P37" s="28"/>
      <c r="Q37" s="28"/>
      <c r="R37" s="28"/>
    </row>
    <row r="38" spans="1:18" x14ac:dyDescent="0.3">
      <c r="A38" s="30" t="s">
        <v>122</v>
      </c>
      <c r="B38" s="29" t="s">
        <v>123</v>
      </c>
      <c r="C38" s="13">
        <v>68.3</v>
      </c>
      <c r="D38" s="26">
        <v>82.1</v>
      </c>
      <c r="E38" s="26">
        <v>87</v>
      </c>
      <c r="F38" s="13">
        <v>13.799999999999997</v>
      </c>
      <c r="G38" s="26">
        <v>4.9000000000000004</v>
      </c>
      <c r="H38" s="27">
        <v>1.9</v>
      </c>
      <c r="I38" s="26">
        <v>0.6</v>
      </c>
      <c r="J38" s="26">
        <v>17.600000000000001</v>
      </c>
      <c r="K38" s="26">
        <v>20.399999999999999</v>
      </c>
      <c r="L38" s="26">
        <v>23.8</v>
      </c>
      <c r="M38" s="26">
        <v>1.5</v>
      </c>
      <c r="N38" s="26">
        <v>1.6</v>
      </c>
      <c r="O38" s="7"/>
      <c r="P38" s="28"/>
      <c r="Q38" s="28"/>
      <c r="R38" s="28"/>
    </row>
    <row r="39" spans="1:18" x14ac:dyDescent="0.3">
      <c r="A39" s="30" t="s">
        <v>124</v>
      </c>
      <c r="B39" s="29" t="s">
        <v>125</v>
      </c>
      <c r="C39" s="13">
        <v>208.7</v>
      </c>
      <c r="D39" s="26">
        <v>234.4</v>
      </c>
      <c r="E39" s="26">
        <v>210</v>
      </c>
      <c r="F39" s="13">
        <v>25.700000000000017</v>
      </c>
      <c r="G39" s="26">
        <v>-24.4</v>
      </c>
      <c r="H39" s="27">
        <v>1.2</v>
      </c>
      <c r="I39" s="26">
        <v>-1.1000000000000001</v>
      </c>
      <c r="J39" s="26">
        <v>35.4</v>
      </c>
      <c r="K39" s="26">
        <v>47.9</v>
      </c>
      <c r="L39" s="26">
        <v>54.2</v>
      </c>
      <c r="M39" s="26">
        <v>3.1</v>
      </c>
      <c r="N39" s="26">
        <v>1.3</v>
      </c>
      <c r="O39" s="7"/>
      <c r="P39" s="28"/>
      <c r="Q39" s="28"/>
      <c r="R39" s="28"/>
    </row>
    <row r="40" spans="1:18" x14ac:dyDescent="0.3">
      <c r="A40" s="30" t="s">
        <v>126</v>
      </c>
      <c r="B40" s="29" t="s">
        <v>127</v>
      </c>
      <c r="C40" s="13">
        <v>407</v>
      </c>
      <c r="D40" s="26">
        <v>365.3</v>
      </c>
      <c r="E40" s="26">
        <v>340</v>
      </c>
      <c r="F40" s="13">
        <v>-41.699999999999989</v>
      </c>
      <c r="G40" s="26">
        <v>-25.3</v>
      </c>
      <c r="H40" s="27">
        <v>-1.1000000000000001</v>
      </c>
      <c r="I40" s="26">
        <v>-0.7</v>
      </c>
      <c r="J40" s="26">
        <v>172.6</v>
      </c>
      <c r="K40" s="26">
        <v>176.6</v>
      </c>
      <c r="L40" s="26">
        <v>183</v>
      </c>
      <c r="M40" s="26">
        <v>0.2</v>
      </c>
      <c r="N40" s="26">
        <v>0.4</v>
      </c>
      <c r="O40" t="s">
        <v>8</v>
      </c>
      <c r="P40" s="28"/>
      <c r="Q40" s="28"/>
      <c r="R40" s="28"/>
    </row>
    <row r="41" spans="1:18" x14ac:dyDescent="0.3">
      <c r="A41" s="30" t="s">
        <v>128</v>
      </c>
      <c r="B41" s="29" t="s">
        <v>129</v>
      </c>
      <c r="C41" s="13">
        <v>116.9</v>
      </c>
      <c r="D41" s="26">
        <v>96.4</v>
      </c>
      <c r="E41" s="26">
        <v>92.3</v>
      </c>
      <c r="F41" s="13">
        <v>-20.5</v>
      </c>
      <c r="G41" s="26">
        <v>-4.0999999999999996</v>
      </c>
      <c r="H41" s="27">
        <v>-1.9</v>
      </c>
      <c r="I41" s="26">
        <v>-0.4</v>
      </c>
      <c r="J41" s="26">
        <v>79.400000000000006</v>
      </c>
      <c r="K41" s="26">
        <v>81.099999999999994</v>
      </c>
      <c r="L41" s="26">
        <v>84.4</v>
      </c>
      <c r="M41" s="26">
        <v>0.2</v>
      </c>
      <c r="N41" s="26">
        <v>0.4</v>
      </c>
      <c r="O41" s="7"/>
      <c r="P41" s="28"/>
      <c r="Q41" s="28"/>
      <c r="R41" s="28"/>
    </row>
    <row r="42" spans="1:18" x14ac:dyDescent="0.3">
      <c r="A42" s="30" t="s">
        <v>130</v>
      </c>
      <c r="B42" s="29" t="s">
        <v>131</v>
      </c>
      <c r="C42" s="13">
        <v>290.10000000000002</v>
      </c>
      <c r="D42" s="26">
        <v>268.89999999999998</v>
      </c>
      <c r="E42" s="26">
        <v>247.8</v>
      </c>
      <c r="F42" s="13">
        <v>-21.200000000000045</v>
      </c>
      <c r="G42" s="26">
        <v>-21.1</v>
      </c>
      <c r="H42" s="27">
        <v>-0.8</v>
      </c>
      <c r="I42" s="26">
        <v>-0.8</v>
      </c>
      <c r="J42" s="26">
        <v>93.2</v>
      </c>
      <c r="K42" s="26">
        <v>95.5</v>
      </c>
      <c r="L42" s="26">
        <v>98.6</v>
      </c>
      <c r="M42" s="26">
        <v>0.2</v>
      </c>
      <c r="N42" s="26">
        <v>0.3</v>
      </c>
      <c r="O42" s="7"/>
      <c r="P42" s="28"/>
      <c r="Q42" s="28"/>
      <c r="R42" s="28"/>
    </row>
    <row r="43" spans="1:18" x14ac:dyDescent="0.3">
      <c r="A43" s="30" t="s">
        <v>132</v>
      </c>
      <c r="B43" s="29" t="s">
        <v>133</v>
      </c>
      <c r="C43" s="13">
        <v>521.9</v>
      </c>
      <c r="D43" s="26">
        <v>424.6</v>
      </c>
      <c r="E43" s="26">
        <v>342.3</v>
      </c>
      <c r="F43" s="13">
        <v>-97.299999999999955</v>
      </c>
      <c r="G43" s="26">
        <v>-82.3</v>
      </c>
      <c r="H43" s="27">
        <v>-2</v>
      </c>
      <c r="I43" s="26">
        <v>-2.1</v>
      </c>
      <c r="J43" s="26">
        <v>86.1</v>
      </c>
      <c r="K43" s="26">
        <v>83.7</v>
      </c>
      <c r="L43" s="26">
        <v>89.9</v>
      </c>
      <c r="M43" s="26">
        <v>-0.3</v>
      </c>
      <c r="N43" s="26">
        <v>0.7</v>
      </c>
      <c r="O43" t="s">
        <v>8</v>
      </c>
      <c r="P43" s="28"/>
      <c r="Q43" s="28"/>
      <c r="R43" s="28"/>
    </row>
    <row r="44" spans="1:18" x14ac:dyDescent="0.3">
      <c r="A44" s="30" t="s">
        <v>134</v>
      </c>
      <c r="B44" s="29" t="s">
        <v>135</v>
      </c>
      <c r="C44" s="13">
        <v>115.3</v>
      </c>
      <c r="D44" s="26">
        <v>114.5</v>
      </c>
      <c r="E44" s="26">
        <v>109.1</v>
      </c>
      <c r="F44" s="13">
        <v>-0.79999999999999716</v>
      </c>
      <c r="G44" s="26">
        <v>-5.4</v>
      </c>
      <c r="H44" s="27">
        <v>-0.1</v>
      </c>
      <c r="I44" s="26">
        <v>-0.5</v>
      </c>
      <c r="J44" s="26">
        <v>841</v>
      </c>
      <c r="K44" s="26">
        <v>899.8</v>
      </c>
      <c r="L44" s="26">
        <v>1132</v>
      </c>
      <c r="M44" s="26">
        <v>0.7</v>
      </c>
      <c r="N44" s="26">
        <v>2.2999999999999998</v>
      </c>
      <c r="O44" t="s">
        <v>9</v>
      </c>
      <c r="P44" s="28"/>
      <c r="Q44" s="28"/>
      <c r="R44" s="28"/>
    </row>
    <row r="45" spans="1:18" x14ac:dyDescent="0.3">
      <c r="A45" s="30" t="s">
        <v>136</v>
      </c>
      <c r="B45" s="29" t="s">
        <v>137</v>
      </c>
      <c r="C45" s="13">
        <v>804.1</v>
      </c>
      <c r="D45" s="26">
        <v>849.9</v>
      </c>
      <c r="E45" s="26">
        <v>877</v>
      </c>
      <c r="F45" s="13">
        <v>45.799999999999955</v>
      </c>
      <c r="G45" s="26">
        <v>27.1</v>
      </c>
      <c r="H45" s="27">
        <v>0.6</v>
      </c>
      <c r="I45" s="26">
        <v>0.3</v>
      </c>
      <c r="J45" s="26">
        <v>743.8</v>
      </c>
      <c r="K45" s="26">
        <v>863.8</v>
      </c>
      <c r="L45" s="26">
        <v>1034.3</v>
      </c>
      <c r="M45" s="26">
        <v>1.5</v>
      </c>
      <c r="N45" s="26">
        <v>1.8</v>
      </c>
      <c r="P45" s="28"/>
      <c r="Q45" s="28"/>
      <c r="R45" s="28"/>
    </row>
    <row r="46" spans="1:18" x14ac:dyDescent="0.3">
      <c r="A46" s="30" t="s">
        <v>138</v>
      </c>
      <c r="B46" s="29" t="s">
        <v>139</v>
      </c>
      <c r="C46" s="13">
        <v>145.30000000000001</v>
      </c>
      <c r="D46" s="26">
        <v>153</v>
      </c>
      <c r="E46" s="26">
        <v>160</v>
      </c>
      <c r="F46" s="13">
        <v>7.6999999999999886</v>
      </c>
      <c r="G46" s="26">
        <v>7</v>
      </c>
      <c r="H46" s="27">
        <v>0.5</v>
      </c>
      <c r="I46" s="26">
        <v>0.4</v>
      </c>
      <c r="J46" s="26">
        <v>255.7</v>
      </c>
      <c r="K46" s="26">
        <v>331.5</v>
      </c>
      <c r="L46" s="26">
        <v>409.4</v>
      </c>
      <c r="M46" s="26">
        <v>2.6</v>
      </c>
      <c r="N46" s="26">
        <v>2.1</v>
      </c>
      <c r="O46" t="s">
        <v>35</v>
      </c>
      <c r="P46" s="28"/>
      <c r="Q46" s="28"/>
      <c r="R46" s="28"/>
    </row>
    <row r="47" spans="1:18" ht="25.5" x14ac:dyDescent="0.3">
      <c r="A47" s="30" t="s">
        <v>140</v>
      </c>
      <c r="B47" s="29" t="s">
        <v>141</v>
      </c>
      <c r="C47" s="13">
        <v>92</v>
      </c>
      <c r="D47" s="26">
        <v>95.4</v>
      </c>
      <c r="E47" s="26">
        <v>94.2</v>
      </c>
      <c r="F47" s="13">
        <v>3.4000000000000057</v>
      </c>
      <c r="G47" s="26">
        <v>-1.2</v>
      </c>
      <c r="H47" s="27">
        <v>0.4</v>
      </c>
      <c r="I47" s="26">
        <v>-0.1</v>
      </c>
      <c r="J47" s="26">
        <v>102.8</v>
      </c>
      <c r="K47" s="26">
        <v>116</v>
      </c>
      <c r="L47" s="26">
        <v>138.69999999999999</v>
      </c>
      <c r="M47" s="26">
        <v>1.2</v>
      </c>
      <c r="N47" s="26">
        <v>1.8</v>
      </c>
      <c r="O47" t="s">
        <v>35</v>
      </c>
      <c r="P47" s="28"/>
      <c r="Q47" s="28"/>
      <c r="R47" s="28"/>
    </row>
    <row r="48" spans="1:18" ht="30" customHeight="1" x14ac:dyDescent="0.3">
      <c r="A48" s="30" t="s">
        <v>142</v>
      </c>
      <c r="B48" s="29" t="s">
        <v>143</v>
      </c>
      <c r="C48" s="13">
        <v>36.5</v>
      </c>
      <c r="D48" s="26">
        <v>36.6</v>
      </c>
      <c r="E48" s="26">
        <v>34.700000000000003</v>
      </c>
      <c r="F48" s="13">
        <v>0.10000000000000142</v>
      </c>
      <c r="G48" s="26">
        <v>-1.9</v>
      </c>
      <c r="H48" s="27">
        <v>0</v>
      </c>
      <c r="I48" s="26">
        <v>-0.5</v>
      </c>
      <c r="J48" s="26">
        <v>33.6</v>
      </c>
      <c r="K48" s="26">
        <v>53.6</v>
      </c>
      <c r="L48" s="26">
        <v>60.4</v>
      </c>
      <c r="M48" s="26">
        <v>4.8</v>
      </c>
      <c r="N48" s="26">
        <v>1.2</v>
      </c>
      <c r="O48" t="s">
        <v>35</v>
      </c>
      <c r="P48" s="28"/>
      <c r="Q48" s="28"/>
      <c r="R48" s="28"/>
    </row>
    <row r="49" spans="1:18" x14ac:dyDescent="0.3">
      <c r="A49" s="30" t="s">
        <v>144</v>
      </c>
      <c r="B49" s="29" t="s">
        <v>145</v>
      </c>
      <c r="C49" s="13">
        <v>284.39999999999998</v>
      </c>
      <c r="D49" s="26">
        <v>305.89999999999998</v>
      </c>
      <c r="E49" s="26">
        <v>322.3</v>
      </c>
      <c r="F49" s="13">
        <v>21.5</v>
      </c>
      <c r="G49" s="26">
        <v>16.399999999999999</v>
      </c>
      <c r="H49" s="27">
        <v>0.7</v>
      </c>
      <c r="I49" s="26">
        <v>0.5</v>
      </c>
      <c r="J49" s="26">
        <v>201.4</v>
      </c>
      <c r="K49" s="26">
        <v>193.8</v>
      </c>
      <c r="L49" s="26">
        <v>232.3</v>
      </c>
      <c r="M49" s="26">
        <v>-0.4</v>
      </c>
      <c r="N49" s="26">
        <v>1.8</v>
      </c>
      <c r="O49" t="s">
        <v>36</v>
      </c>
      <c r="P49" s="28"/>
      <c r="Q49" s="28"/>
      <c r="R49" s="28"/>
    </row>
    <row r="50" spans="1:18" x14ac:dyDescent="0.3">
      <c r="A50" s="30" t="s">
        <v>146</v>
      </c>
      <c r="B50" s="29" t="s">
        <v>147</v>
      </c>
      <c r="C50" s="13">
        <v>57.3</v>
      </c>
      <c r="D50" s="26">
        <v>65.400000000000006</v>
      </c>
      <c r="E50" s="26">
        <v>69.400000000000006</v>
      </c>
      <c r="F50" s="13">
        <v>8.1000000000000085</v>
      </c>
      <c r="G50" s="26">
        <v>4</v>
      </c>
      <c r="H50" s="27">
        <v>1.3</v>
      </c>
      <c r="I50" s="26">
        <v>0.6</v>
      </c>
      <c r="J50" s="26">
        <v>33.6</v>
      </c>
      <c r="K50" s="26">
        <v>38</v>
      </c>
      <c r="L50" s="26">
        <v>40.5</v>
      </c>
      <c r="M50" s="26">
        <v>1.2</v>
      </c>
      <c r="N50" s="26">
        <v>0.6</v>
      </c>
      <c r="O50" t="s">
        <v>35</v>
      </c>
      <c r="P50" s="28"/>
      <c r="Q50" s="28"/>
      <c r="R50" s="28"/>
    </row>
    <row r="51" spans="1:18" x14ac:dyDescent="0.3">
      <c r="A51" s="30" t="s">
        <v>148</v>
      </c>
      <c r="B51" s="29" t="s">
        <v>149</v>
      </c>
      <c r="C51" s="13">
        <v>102.7</v>
      </c>
      <c r="D51" s="26">
        <v>110.2</v>
      </c>
      <c r="E51" s="26">
        <v>117</v>
      </c>
      <c r="F51" s="13">
        <v>7.5</v>
      </c>
      <c r="G51" s="26">
        <v>6.8</v>
      </c>
      <c r="H51" s="27">
        <v>0.7</v>
      </c>
      <c r="I51" s="26">
        <v>0.6</v>
      </c>
      <c r="J51" s="26">
        <v>75.3</v>
      </c>
      <c r="K51" s="26">
        <v>88.5</v>
      </c>
      <c r="L51" s="26">
        <v>110.8</v>
      </c>
      <c r="M51" s="26">
        <v>1.6</v>
      </c>
      <c r="N51" s="26">
        <v>2.2999999999999998</v>
      </c>
      <c r="O51" t="s">
        <v>35</v>
      </c>
      <c r="P51" s="28"/>
      <c r="Q51" s="28"/>
      <c r="R51" s="28"/>
    </row>
    <row r="52" spans="1:18" x14ac:dyDescent="0.3">
      <c r="A52" s="29" t="s">
        <v>150</v>
      </c>
      <c r="B52" s="29" t="s">
        <v>151</v>
      </c>
      <c r="C52" s="13">
        <v>85.9</v>
      </c>
      <c r="D52" s="26">
        <v>83.4</v>
      </c>
      <c r="E52" s="26">
        <v>79.3</v>
      </c>
      <c r="F52" s="13">
        <v>-2.5</v>
      </c>
      <c r="G52" s="26">
        <v>-4.0999999999999996</v>
      </c>
      <c r="H52" s="27">
        <v>-0.3</v>
      </c>
      <c r="I52" s="26">
        <v>-0.5</v>
      </c>
      <c r="J52" s="26">
        <v>41.8</v>
      </c>
      <c r="K52" s="26">
        <v>47.3</v>
      </c>
      <c r="L52" s="26">
        <v>49.9</v>
      </c>
      <c r="M52" s="26">
        <v>1.2</v>
      </c>
      <c r="N52" s="26">
        <v>0.5</v>
      </c>
      <c r="O52" t="s">
        <v>35</v>
      </c>
      <c r="P52" s="28"/>
      <c r="Q52" s="28"/>
      <c r="R52" s="28"/>
    </row>
    <row r="53" spans="1:18" x14ac:dyDescent="0.3">
      <c r="A53" s="30" t="s">
        <v>152</v>
      </c>
      <c r="B53" s="29" t="s">
        <v>153</v>
      </c>
      <c r="C53" s="13">
        <v>624.9</v>
      </c>
      <c r="D53" s="26">
        <v>737</v>
      </c>
      <c r="E53" s="26">
        <v>682.8</v>
      </c>
      <c r="F53" s="13">
        <v>112.10000000000002</v>
      </c>
      <c r="G53" s="26">
        <v>-54.2</v>
      </c>
      <c r="H53" s="27">
        <v>1.7</v>
      </c>
      <c r="I53" s="26">
        <v>-0.8</v>
      </c>
      <c r="J53" s="26">
        <v>188.9</v>
      </c>
      <c r="K53" s="26">
        <v>225.7</v>
      </c>
      <c r="L53" s="26">
        <v>259</v>
      </c>
      <c r="M53" s="26">
        <v>1.8</v>
      </c>
      <c r="N53" s="26">
        <v>1.4</v>
      </c>
      <c r="O53" t="s">
        <v>10</v>
      </c>
      <c r="P53" s="28"/>
      <c r="Q53" s="28"/>
      <c r="R53" s="28"/>
    </row>
    <row r="54" spans="1:18" x14ac:dyDescent="0.3">
      <c r="A54" s="30" t="s">
        <v>154</v>
      </c>
      <c r="B54" s="29" t="s">
        <v>155</v>
      </c>
      <c r="C54" s="13">
        <v>502.1</v>
      </c>
      <c r="D54" s="26">
        <v>599.1</v>
      </c>
      <c r="E54" s="26">
        <v>549.29999999999995</v>
      </c>
      <c r="F54" s="13">
        <v>97</v>
      </c>
      <c r="G54" s="26">
        <v>-49.8</v>
      </c>
      <c r="H54" s="27">
        <v>1.8</v>
      </c>
      <c r="I54" s="26">
        <v>-0.9</v>
      </c>
      <c r="J54" s="26">
        <v>150.4</v>
      </c>
      <c r="K54" s="26">
        <v>177.3</v>
      </c>
      <c r="L54" s="26">
        <v>203.1</v>
      </c>
      <c r="M54" s="26">
        <v>1.7</v>
      </c>
      <c r="N54" s="26">
        <v>1.4</v>
      </c>
      <c r="O54" s="7"/>
      <c r="P54" s="28"/>
      <c r="Q54" s="28"/>
      <c r="R54" s="28"/>
    </row>
    <row r="55" spans="1:18" x14ac:dyDescent="0.3">
      <c r="A55" s="30" t="s">
        <v>156</v>
      </c>
      <c r="B55" s="29" t="s">
        <v>157</v>
      </c>
      <c r="C55" s="13">
        <v>122.8</v>
      </c>
      <c r="D55" s="26">
        <v>137.9</v>
      </c>
      <c r="E55" s="26">
        <v>133.5</v>
      </c>
      <c r="F55" s="13">
        <v>15.100000000000009</v>
      </c>
      <c r="G55" s="26">
        <v>-4.4000000000000004</v>
      </c>
      <c r="H55" s="27">
        <v>1.2</v>
      </c>
      <c r="I55" s="26">
        <v>-0.3</v>
      </c>
      <c r="J55" s="26">
        <v>38.5</v>
      </c>
      <c r="K55" s="26">
        <v>48.5</v>
      </c>
      <c r="L55" s="26">
        <v>55.9</v>
      </c>
      <c r="M55" s="26">
        <v>2.4</v>
      </c>
      <c r="N55" s="26">
        <v>1.4</v>
      </c>
      <c r="O55" s="7"/>
      <c r="P55" s="28"/>
      <c r="Q55" s="28"/>
      <c r="R55" s="28"/>
    </row>
    <row r="56" spans="1:18" x14ac:dyDescent="0.3">
      <c r="A56" s="29" t="s">
        <v>158</v>
      </c>
      <c r="B56" s="29" t="s">
        <v>159</v>
      </c>
      <c r="C56" s="13">
        <v>394.3</v>
      </c>
      <c r="D56" s="26">
        <v>421.6</v>
      </c>
      <c r="E56" s="26">
        <v>347.9</v>
      </c>
      <c r="F56" s="13">
        <v>27.300000000000011</v>
      </c>
      <c r="G56" s="26">
        <v>-73.7</v>
      </c>
      <c r="H56" s="27">
        <v>0.7</v>
      </c>
      <c r="I56" s="26">
        <v>-1.9</v>
      </c>
      <c r="J56" s="26">
        <v>94</v>
      </c>
      <c r="K56" s="26">
        <v>120.6</v>
      </c>
      <c r="L56" s="26">
        <v>140.6</v>
      </c>
      <c r="M56" s="26">
        <v>2.5</v>
      </c>
      <c r="N56" s="26">
        <v>1.5</v>
      </c>
      <c r="O56" s="7"/>
      <c r="P56" s="28"/>
      <c r="Q56" s="28"/>
      <c r="R56" s="28"/>
    </row>
    <row r="57" spans="1:18" x14ac:dyDescent="0.3">
      <c r="A57" s="30" t="s">
        <v>160</v>
      </c>
      <c r="B57" s="29" t="s">
        <v>161</v>
      </c>
      <c r="C57" s="13">
        <v>43.6</v>
      </c>
      <c r="D57" s="26">
        <v>38.6</v>
      </c>
      <c r="E57" s="26">
        <v>29.2</v>
      </c>
      <c r="F57" s="13">
        <v>-5</v>
      </c>
      <c r="G57" s="26">
        <v>-9.4</v>
      </c>
      <c r="H57" s="27">
        <v>-1.2</v>
      </c>
      <c r="I57" s="26">
        <v>-2.8</v>
      </c>
      <c r="J57" s="26">
        <v>7.7</v>
      </c>
      <c r="K57" s="26">
        <v>10</v>
      </c>
      <c r="L57" s="26">
        <v>10.3</v>
      </c>
      <c r="M57" s="26">
        <v>2.6</v>
      </c>
      <c r="N57" s="26">
        <v>0.3</v>
      </c>
      <c r="O57" t="s">
        <v>42</v>
      </c>
      <c r="P57" s="28"/>
      <c r="Q57" s="28"/>
      <c r="R57" s="28"/>
    </row>
    <row r="58" spans="1:18" x14ac:dyDescent="0.3">
      <c r="A58" s="30" t="s">
        <v>162</v>
      </c>
      <c r="B58" s="29" t="s">
        <v>163</v>
      </c>
      <c r="C58" s="13">
        <v>83.8</v>
      </c>
      <c r="D58" s="26">
        <v>86.2</v>
      </c>
      <c r="E58" s="26">
        <v>79.3</v>
      </c>
      <c r="F58" s="13">
        <v>2.4000000000000057</v>
      </c>
      <c r="G58" s="26">
        <v>-6.9</v>
      </c>
      <c r="H58" s="27">
        <v>0.3</v>
      </c>
      <c r="I58" s="26">
        <v>-0.8</v>
      </c>
      <c r="J58" s="26">
        <v>18.7</v>
      </c>
      <c r="K58" s="26">
        <v>28.3</v>
      </c>
      <c r="L58" s="26">
        <v>33.700000000000003</v>
      </c>
      <c r="M58" s="26">
        <v>4.3</v>
      </c>
      <c r="N58" s="26">
        <v>1.8</v>
      </c>
      <c r="O58" t="s">
        <v>41</v>
      </c>
      <c r="P58" s="28"/>
      <c r="Q58" s="28"/>
      <c r="R58" s="28"/>
    </row>
    <row r="59" spans="1:18" x14ac:dyDescent="0.3">
      <c r="A59" s="30" t="s">
        <v>164</v>
      </c>
      <c r="B59" s="29" t="s">
        <v>165</v>
      </c>
      <c r="C59" s="13">
        <v>184.9</v>
      </c>
      <c r="D59" s="26">
        <v>199</v>
      </c>
      <c r="E59" s="26">
        <v>141.9</v>
      </c>
      <c r="F59" s="13">
        <v>14.099999999999994</v>
      </c>
      <c r="G59" s="26">
        <v>-57.1</v>
      </c>
      <c r="H59" s="27">
        <v>0.7</v>
      </c>
      <c r="I59" s="26">
        <v>-3.3</v>
      </c>
      <c r="J59" s="26">
        <v>42.5</v>
      </c>
      <c r="K59" s="26">
        <v>48.8</v>
      </c>
      <c r="L59" s="26">
        <v>57.3</v>
      </c>
      <c r="M59" s="26">
        <v>1.4</v>
      </c>
      <c r="N59" s="26">
        <v>1.6</v>
      </c>
      <c r="O59" t="s">
        <v>42</v>
      </c>
      <c r="P59" s="28"/>
      <c r="Q59" s="28"/>
      <c r="R59" s="28"/>
    </row>
    <row r="60" spans="1:18" x14ac:dyDescent="0.3">
      <c r="A60" s="30" t="s">
        <v>166</v>
      </c>
      <c r="B60" s="29" t="s">
        <v>167</v>
      </c>
      <c r="C60" s="13">
        <v>82</v>
      </c>
      <c r="D60" s="26">
        <v>97.8</v>
      </c>
      <c r="E60" s="26">
        <v>97.5</v>
      </c>
      <c r="F60" s="13">
        <v>15.799999999999997</v>
      </c>
      <c r="G60" s="26">
        <v>-0.3</v>
      </c>
      <c r="H60" s="27">
        <v>1.8</v>
      </c>
      <c r="I60" s="26">
        <v>0</v>
      </c>
      <c r="J60" s="26">
        <v>25</v>
      </c>
      <c r="K60" s="26">
        <v>33.6</v>
      </c>
      <c r="L60" s="26">
        <v>39.5</v>
      </c>
      <c r="M60" s="26">
        <v>3</v>
      </c>
      <c r="N60" s="26">
        <v>1.6</v>
      </c>
      <c r="O60" t="s">
        <v>42</v>
      </c>
      <c r="P60" s="28"/>
      <c r="Q60" s="28"/>
      <c r="R60" s="28"/>
    </row>
    <row r="61" spans="1:18" x14ac:dyDescent="0.3">
      <c r="A61" s="29" t="s">
        <v>168</v>
      </c>
      <c r="B61" s="29" t="s">
        <v>169</v>
      </c>
      <c r="C61" s="13">
        <v>362.1</v>
      </c>
      <c r="D61" s="26">
        <v>385.1</v>
      </c>
      <c r="E61" s="26">
        <v>368.8</v>
      </c>
      <c r="F61" s="13">
        <v>23</v>
      </c>
      <c r="G61" s="26">
        <v>-16.3</v>
      </c>
      <c r="H61" s="27">
        <v>0.6</v>
      </c>
      <c r="I61" s="26">
        <v>-0.4</v>
      </c>
      <c r="J61" s="26">
        <v>203.4</v>
      </c>
      <c r="K61" s="26">
        <v>249.1</v>
      </c>
      <c r="L61" s="26">
        <v>269</v>
      </c>
      <c r="M61" s="26">
        <v>2</v>
      </c>
      <c r="N61" s="26">
        <v>0.8</v>
      </c>
      <c r="O61" s="7"/>
      <c r="P61" s="28"/>
      <c r="Q61" s="28"/>
      <c r="R61" s="28"/>
    </row>
    <row r="62" spans="1:18" x14ac:dyDescent="0.3">
      <c r="A62" s="30" t="s">
        <v>170</v>
      </c>
      <c r="B62" s="29" t="s">
        <v>171</v>
      </c>
      <c r="C62" s="13">
        <v>85.3</v>
      </c>
      <c r="D62" s="26">
        <v>86.4</v>
      </c>
      <c r="E62" s="26">
        <v>79.3</v>
      </c>
      <c r="F62" s="13">
        <v>1.1000000000000085</v>
      </c>
      <c r="G62" s="26">
        <v>-7.1</v>
      </c>
      <c r="H62" s="27">
        <v>0.1</v>
      </c>
      <c r="I62" s="26">
        <v>-0.8</v>
      </c>
      <c r="J62" s="26">
        <v>85.5</v>
      </c>
      <c r="K62" s="26">
        <v>102</v>
      </c>
      <c r="L62" s="26">
        <v>107.8</v>
      </c>
      <c r="M62" s="26">
        <v>1.8</v>
      </c>
      <c r="N62" s="26">
        <v>0.6</v>
      </c>
      <c r="O62" t="s">
        <v>43</v>
      </c>
      <c r="P62" s="28"/>
      <c r="Q62" s="28"/>
      <c r="R62" s="28"/>
    </row>
    <row r="63" spans="1:18" x14ac:dyDescent="0.3">
      <c r="A63" s="30" t="s">
        <v>172</v>
      </c>
      <c r="B63" s="29" t="s">
        <v>173</v>
      </c>
      <c r="C63" s="13">
        <v>49.8</v>
      </c>
      <c r="D63" s="26">
        <v>57.6</v>
      </c>
      <c r="E63" s="26">
        <v>57.8</v>
      </c>
      <c r="F63" s="13">
        <v>7.8000000000000043</v>
      </c>
      <c r="G63" s="26">
        <v>0.2</v>
      </c>
      <c r="H63" s="27">
        <v>1.5</v>
      </c>
      <c r="I63" s="26">
        <v>0</v>
      </c>
      <c r="J63" s="26">
        <v>17.899999999999999</v>
      </c>
      <c r="K63" s="26">
        <v>22.2</v>
      </c>
      <c r="L63" s="26">
        <v>25.2</v>
      </c>
      <c r="M63" s="26">
        <v>2.2000000000000002</v>
      </c>
      <c r="N63" s="26">
        <v>1.3</v>
      </c>
      <c r="P63" s="28"/>
      <c r="Q63" s="28"/>
      <c r="R63" s="28"/>
    </row>
    <row r="64" spans="1:18" x14ac:dyDescent="0.3">
      <c r="A64" s="30" t="s">
        <v>174</v>
      </c>
      <c r="B64" s="29" t="s">
        <v>175</v>
      </c>
      <c r="C64" s="13">
        <v>55.8</v>
      </c>
      <c r="D64" s="26">
        <v>59.8</v>
      </c>
      <c r="E64" s="26">
        <v>53.1</v>
      </c>
      <c r="F64" s="13">
        <v>4</v>
      </c>
      <c r="G64" s="26">
        <v>-6.7</v>
      </c>
      <c r="H64" s="27">
        <v>0.7</v>
      </c>
      <c r="I64" s="26">
        <v>-1.2</v>
      </c>
      <c r="J64" s="26">
        <v>29.4</v>
      </c>
      <c r="K64" s="26">
        <v>32</v>
      </c>
      <c r="L64" s="26">
        <v>29.3</v>
      </c>
      <c r="M64" s="26">
        <v>0.8</v>
      </c>
      <c r="N64" s="26">
        <v>-0.9</v>
      </c>
      <c r="O64" t="s">
        <v>44</v>
      </c>
      <c r="P64" s="28"/>
      <c r="Q64" s="28"/>
      <c r="R64" s="28"/>
    </row>
    <row r="65" spans="1:18" ht="30" customHeight="1" x14ac:dyDescent="0.3">
      <c r="A65" s="30" t="s">
        <v>176</v>
      </c>
      <c r="B65" s="29" t="s">
        <v>177</v>
      </c>
      <c r="C65" s="13">
        <v>58.2</v>
      </c>
      <c r="D65" s="26">
        <v>62</v>
      </c>
      <c r="E65" s="26">
        <v>59.5</v>
      </c>
      <c r="F65" s="13">
        <v>3.7999999999999972</v>
      </c>
      <c r="G65" s="26">
        <v>-2.5</v>
      </c>
      <c r="H65" s="27">
        <v>0.6</v>
      </c>
      <c r="I65" s="26">
        <v>-0.4</v>
      </c>
      <c r="J65" s="26">
        <v>48</v>
      </c>
      <c r="K65" s="26">
        <v>61.8</v>
      </c>
      <c r="L65" s="26">
        <v>73.8</v>
      </c>
      <c r="M65" s="26">
        <v>2.6</v>
      </c>
      <c r="N65" s="26">
        <v>1.8</v>
      </c>
      <c r="O65" t="s">
        <v>44</v>
      </c>
      <c r="P65" s="28"/>
      <c r="Q65" s="28"/>
      <c r="R65" s="28"/>
    </row>
    <row r="66" spans="1:18" x14ac:dyDescent="0.3">
      <c r="A66" s="30" t="s">
        <v>178</v>
      </c>
      <c r="B66" s="29" t="s">
        <v>179</v>
      </c>
      <c r="C66" s="13">
        <v>113</v>
      </c>
      <c r="D66" s="26">
        <v>119.3</v>
      </c>
      <c r="E66" s="26">
        <v>119</v>
      </c>
      <c r="F66" s="13">
        <v>6.2999999999999972</v>
      </c>
      <c r="G66" s="26">
        <v>-0.3</v>
      </c>
      <c r="H66" s="27">
        <v>0.5</v>
      </c>
      <c r="I66" s="26">
        <v>0</v>
      </c>
      <c r="J66" s="26">
        <v>22.6</v>
      </c>
      <c r="K66" s="26">
        <v>31.2</v>
      </c>
      <c r="L66" s="26">
        <v>32.5</v>
      </c>
      <c r="M66" s="26">
        <v>3.3</v>
      </c>
      <c r="N66" s="26">
        <v>0.4</v>
      </c>
      <c r="O66" s="7"/>
      <c r="P66" s="28"/>
      <c r="Q66" s="28"/>
      <c r="R66" s="28"/>
    </row>
    <row r="67" spans="1:18" x14ac:dyDescent="0.3">
      <c r="A67" s="30" t="s">
        <v>180</v>
      </c>
      <c r="B67" s="29" t="s">
        <v>181</v>
      </c>
      <c r="C67" s="13">
        <v>1311.8</v>
      </c>
      <c r="D67" s="26">
        <v>1491.6</v>
      </c>
      <c r="E67" s="26">
        <v>1446.2</v>
      </c>
      <c r="F67" s="13">
        <v>179.79999999999995</v>
      </c>
      <c r="G67" s="26">
        <v>-45.4</v>
      </c>
      <c r="H67" s="27">
        <v>1.3</v>
      </c>
      <c r="I67" s="26">
        <v>-0.3</v>
      </c>
      <c r="J67" s="26">
        <v>296.7</v>
      </c>
      <c r="K67" s="26">
        <v>385.7</v>
      </c>
      <c r="L67" s="26">
        <v>430.6</v>
      </c>
      <c r="M67" s="26">
        <v>2.7</v>
      </c>
      <c r="N67" s="26">
        <v>1.1000000000000001</v>
      </c>
      <c r="O67" t="s">
        <v>11</v>
      </c>
      <c r="P67" s="28"/>
      <c r="Q67" s="28"/>
      <c r="R67" s="28"/>
    </row>
    <row r="68" spans="1:18" x14ac:dyDescent="0.3">
      <c r="A68" s="30" t="s">
        <v>182</v>
      </c>
      <c r="B68" s="29" t="s">
        <v>183</v>
      </c>
      <c r="C68" s="13">
        <v>89</v>
      </c>
      <c r="D68" s="26">
        <v>101.1</v>
      </c>
      <c r="E68" s="26">
        <v>96.2</v>
      </c>
      <c r="F68" s="13">
        <v>12.099999999999994</v>
      </c>
      <c r="G68" s="26">
        <v>-4.9000000000000004</v>
      </c>
      <c r="H68" s="27">
        <v>1.3</v>
      </c>
      <c r="I68" s="26">
        <v>-0.5</v>
      </c>
      <c r="J68" s="26">
        <v>28.4</v>
      </c>
      <c r="K68" s="26">
        <v>41.7</v>
      </c>
      <c r="L68" s="26">
        <v>46.3</v>
      </c>
      <c r="M68" s="26">
        <v>3.9</v>
      </c>
      <c r="N68" s="26">
        <v>1.1000000000000001</v>
      </c>
      <c r="O68" s="7"/>
      <c r="P68" s="28"/>
      <c r="Q68" s="28"/>
      <c r="R68" s="28"/>
    </row>
    <row r="69" spans="1:18" x14ac:dyDescent="0.3">
      <c r="A69" s="29" t="s">
        <v>184</v>
      </c>
      <c r="B69" s="29" t="s">
        <v>185</v>
      </c>
      <c r="C69" s="13">
        <v>42.1</v>
      </c>
      <c r="D69" s="26">
        <v>36.4</v>
      </c>
      <c r="E69" s="26">
        <v>34.5</v>
      </c>
      <c r="F69" s="13">
        <v>-5.7000000000000028</v>
      </c>
      <c r="G69" s="26">
        <v>-1.9</v>
      </c>
      <c r="H69" s="27">
        <v>-1.4</v>
      </c>
      <c r="I69" s="26">
        <v>-0.5</v>
      </c>
      <c r="J69" s="26">
        <v>9.1999999999999993</v>
      </c>
      <c r="K69" s="26">
        <v>11.1</v>
      </c>
      <c r="L69" s="26">
        <v>11.2</v>
      </c>
      <c r="M69" s="26">
        <v>1.9</v>
      </c>
      <c r="N69" s="26">
        <v>0.1</v>
      </c>
      <c r="O69" s="7"/>
      <c r="P69" s="28"/>
      <c r="Q69" s="28"/>
      <c r="R69" s="28"/>
    </row>
    <row r="70" spans="1:18" x14ac:dyDescent="0.3">
      <c r="A70" s="30" t="s">
        <v>186</v>
      </c>
      <c r="B70" s="29" t="s">
        <v>187</v>
      </c>
      <c r="C70" s="13">
        <v>344.7</v>
      </c>
      <c r="D70" s="26">
        <v>400.5</v>
      </c>
      <c r="E70" s="26">
        <v>403.6</v>
      </c>
      <c r="F70" s="13">
        <v>55.800000000000011</v>
      </c>
      <c r="G70" s="26">
        <v>3.1</v>
      </c>
      <c r="H70" s="27">
        <v>1.5</v>
      </c>
      <c r="I70" s="26">
        <v>0.1</v>
      </c>
      <c r="J70" s="26">
        <v>74</v>
      </c>
      <c r="K70" s="26">
        <v>84.1</v>
      </c>
      <c r="L70" s="26">
        <v>96.4</v>
      </c>
      <c r="M70" s="26">
        <v>1.3</v>
      </c>
      <c r="N70" s="26">
        <v>1.4</v>
      </c>
      <c r="O70" s="7"/>
      <c r="P70" s="28"/>
      <c r="Q70" s="28"/>
      <c r="R70" s="28"/>
    </row>
    <row r="71" spans="1:18" x14ac:dyDescent="0.3">
      <c r="A71" s="30" t="s">
        <v>188</v>
      </c>
      <c r="B71" s="29" t="s">
        <v>189</v>
      </c>
      <c r="C71" s="13">
        <v>88.6</v>
      </c>
      <c r="D71" s="26">
        <v>96.2</v>
      </c>
      <c r="E71" s="26">
        <v>95.2</v>
      </c>
      <c r="F71" s="13">
        <v>7.6000000000000085</v>
      </c>
      <c r="G71" s="26">
        <v>-1</v>
      </c>
      <c r="H71" s="27">
        <v>0.8</v>
      </c>
      <c r="I71" s="26">
        <v>-0.1</v>
      </c>
      <c r="J71" s="26">
        <v>26.9</v>
      </c>
      <c r="K71" s="26">
        <v>39.299999999999997</v>
      </c>
      <c r="L71" s="26">
        <v>44</v>
      </c>
      <c r="M71" s="26">
        <v>3.9</v>
      </c>
      <c r="N71" s="26">
        <v>1.1000000000000001</v>
      </c>
      <c r="O71" s="7"/>
      <c r="P71" s="28"/>
      <c r="Q71" s="28"/>
      <c r="R71" s="28"/>
    </row>
    <row r="72" spans="1:18" ht="18.75" customHeight="1" x14ac:dyDescent="0.3">
      <c r="A72" s="29" t="s">
        <v>190</v>
      </c>
      <c r="B72" s="29" t="s">
        <v>191</v>
      </c>
      <c r="C72" s="13">
        <v>24.3</v>
      </c>
      <c r="D72" s="26">
        <v>25.5</v>
      </c>
      <c r="E72" s="26">
        <v>23.9</v>
      </c>
      <c r="F72" s="13">
        <v>1.1999999999999993</v>
      </c>
      <c r="G72" s="26">
        <v>-1.6</v>
      </c>
      <c r="H72" s="27">
        <v>0.5</v>
      </c>
      <c r="I72" s="26">
        <v>-0.7</v>
      </c>
      <c r="J72" s="26">
        <v>7.6</v>
      </c>
      <c r="K72" s="26">
        <v>7.8</v>
      </c>
      <c r="L72" s="26">
        <v>8.3000000000000007</v>
      </c>
      <c r="M72" s="26">
        <v>0.2</v>
      </c>
      <c r="N72" s="26">
        <v>0.5</v>
      </c>
      <c r="O72" s="7"/>
      <c r="P72" s="28"/>
      <c r="Q72" s="28"/>
      <c r="R72" s="28"/>
    </row>
    <row r="73" spans="1:18" x14ac:dyDescent="0.3">
      <c r="A73" s="30" t="s">
        <v>192</v>
      </c>
      <c r="B73" s="29" t="s">
        <v>193</v>
      </c>
      <c r="C73" s="13">
        <v>42.8</v>
      </c>
      <c r="D73" s="26">
        <v>43.5</v>
      </c>
      <c r="E73" s="26">
        <v>41</v>
      </c>
      <c r="F73" s="13">
        <v>0.70000000000000284</v>
      </c>
      <c r="G73" s="26">
        <v>-2.5</v>
      </c>
      <c r="H73" s="27">
        <v>0.2</v>
      </c>
      <c r="I73" s="26">
        <v>-0.6</v>
      </c>
      <c r="J73" s="26">
        <v>7.4</v>
      </c>
      <c r="K73" s="26">
        <v>9.9</v>
      </c>
      <c r="L73" s="26">
        <v>10.4</v>
      </c>
      <c r="M73" s="26">
        <v>2.9</v>
      </c>
      <c r="N73" s="26">
        <v>0.5</v>
      </c>
      <c r="O73" s="7"/>
      <c r="P73" s="28"/>
      <c r="Q73" s="28"/>
      <c r="R73" s="28"/>
    </row>
    <row r="74" spans="1:18" ht="30" customHeight="1" x14ac:dyDescent="0.3">
      <c r="A74" s="30" t="s">
        <v>194</v>
      </c>
      <c r="B74" s="29" t="s">
        <v>195</v>
      </c>
      <c r="C74" s="13">
        <v>309.10000000000002</v>
      </c>
      <c r="D74" s="26">
        <v>364.8</v>
      </c>
      <c r="E74" s="26">
        <v>377.6</v>
      </c>
      <c r="F74" s="13">
        <v>55.699999999999989</v>
      </c>
      <c r="G74" s="26">
        <v>12.8</v>
      </c>
      <c r="H74" s="27">
        <v>1.7</v>
      </c>
      <c r="I74" s="26">
        <v>0.3</v>
      </c>
      <c r="J74" s="26">
        <v>54.2</v>
      </c>
      <c r="K74" s="26">
        <v>78.5</v>
      </c>
      <c r="L74" s="26">
        <v>87.4</v>
      </c>
      <c r="M74" s="26">
        <v>3.8</v>
      </c>
      <c r="N74" s="26">
        <v>1.1000000000000001</v>
      </c>
      <c r="O74" s="7"/>
      <c r="P74" s="28"/>
      <c r="Q74" s="28"/>
      <c r="R74" s="28"/>
    </row>
    <row r="75" spans="1:18" x14ac:dyDescent="0.3">
      <c r="A75" s="30" t="s">
        <v>196</v>
      </c>
      <c r="B75" s="29" t="s">
        <v>197</v>
      </c>
      <c r="C75" s="13">
        <v>121</v>
      </c>
      <c r="D75" s="26">
        <v>142</v>
      </c>
      <c r="E75" s="26">
        <v>136.80000000000001</v>
      </c>
      <c r="F75" s="13">
        <v>21</v>
      </c>
      <c r="G75" s="26">
        <v>-5.2</v>
      </c>
      <c r="H75" s="27">
        <v>1.6</v>
      </c>
      <c r="I75" s="26">
        <v>-0.4</v>
      </c>
      <c r="J75" s="26">
        <v>23.3</v>
      </c>
      <c r="K75" s="26">
        <v>30.6</v>
      </c>
      <c r="L75" s="26">
        <v>32</v>
      </c>
      <c r="M75" s="26">
        <v>2.8</v>
      </c>
      <c r="N75" s="26">
        <v>0.4</v>
      </c>
      <c r="O75" s="7"/>
      <c r="P75" s="28"/>
      <c r="Q75" s="28"/>
      <c r="R75" s="28"/>
    </row>
    <row r="76" spans="1:18" x14ac:dyDescent="0.3">
      <c r="A76" s="30" t="s">
        <v>198</v>
      </c>
      <c r="B76" s="29" t="s">
        <v>199</v>
      </c>
      <c r="C76" s="13">
        <v>250.2</v>
      </c>
      <c r="D76" s="26">
        <v>281.60000000000002</v>
      </c>
      <c r="E76" s="26">
        <v>237.4</v>
      </c>
      <c r="F76" s="13">
        <v>31.400000000000034</v>
      </c>
      <c r="G76" s="26">
        <v>-44.2</v>
      </c>
      <c r="H76" s="27">
        <v>1.2</v>
      </c>
      <c r="I76" s="26">
        <v>-1.7</v>
      </c>
      <c r="J76" s="26">
        <v>66</v>
      </c>
      <c r="K76" s="26">
        <v>83.2</v>
      </c>
      <c r="L76" s="26">
        <v>94.9</v>
      </c>
      <c r="M76" s="26">
        <v>2.2999999999999998</v>
      </c>
      <c r="N76" s="26">
        <v>1.3</v>
      </c>
      <c r="O76" s="7"/>
      <c r="P76" s="28"/>
      <c r="Q76" s="28"/>
      <c r="R76" s="28"/>
    </row>
    <row r="77" spans="1:18" x14ac:dyDescent="0.3">
      <c r="A77" s="30" t="s">
        <v>200</v>
      </c>
      <c r="B77" s="29" t="s">
        <v>201</v>
      </c>
      <c r="C77" s="13">
        <v>1028.7</v>
      </c>
      <c r="D77" s="26">
        <v>1126.0999999999999</v>
      </c>
      <c r="E77" s="26">
        <v>1112.3</v>
      </c>
      <c r="F77" s="13">
        <v>97.399999999999864</v>
      </c>
      <c r="G77" s="26">
        <v>-13.8</v>
      </c>
      <c r="H77" s="27">
        <v>0.9</v>
      </c>
      <c r="I77" s="26">
        <v>-0.1</v>
      </c>
      <c r="J77" s="26">
        <v>300</v>
      </c>
      <c r="K77" s="26">
        <v>385.3</v>
      </c>
      <c r="L77" s="26">
        <v>445.9</v>
      </c>
      <c r="M77" s="26">
        <v>2.5</v>
      </c>
      <c r="N77" s="26">
        <v>1.5</v>
      </c>
      <c r="O77" t="s">
        <v>14</v>
      </c>
      <c r="P77" s="28"/>
      <c r="Q77" s="28"/>
      <c r="R77" s="28"/>
    </row>
    <row r="78" spans="1:18" x14ac:dyDescent="0.3">
      <c r="A78" s="29" t="s">
        <v>202</v>
      </c>
      <c r="B78" s="29" t="s">
        <v>203</v>
      </c>
      <c r="C78" s="13">
        <v>213.7</v>
      </c>
      <c r="D78" s="26">
        <v>221</v>
      </c>
      <c r="E78" s="26">
        <v>218.7</v>
      </c>
      <c r="F78" s="13">
        <v>7.3000000000000114</v>
      </c>
      <c r="G78" s="26">
        <v>-2.2999999999999998</v>
      </c>
      <c r="H78" s="27">
        <v>0.3</v>
      </c>
      <c r="I78" s="26">
        <v>-0.1</v>
      </c>
      <c r="J78" s="26">
        <v>76.599999999999994</v>
      </c>
      <c r="K78" s="26">
        <v>109.9</v>
      </c>
      <c r="L78" s="26">
        <v>130.4</v>
      </c>
      <c r="M78" s="26">
        <v>3.7</v>
      </c>
      <c r="N78" s="26">
        <v>1.7</v>
      </c>
      <c r="O78" s="7"/>
      <c r="P78" s="28"/>
      <c r="Q78" s="28"/>
      <c r="R78" s="28"/>
    </row>
    <row r="79" spans="1:18" x14ac:dyDescent="0.3">
      <c r="A79" s="30" t="s">
        <v>204</v>
      </c>
      <c r="B79" s="29" t="s">
        <v>205</v>
      </c>
      <c r="C79" s="13">
        <v>101.7</v>
      </c>
      <c r="D79" s="26">
        <v>118</v>
      </c>
      <c r="E79" s="26">
        <v>109.3</v>
      </c>
      <c r="F79" s="13">
        <v>16.299999999999997</v>
      </c>
      <c r="G79" s="26">
        <v>-8.6999999999999993</v>
      </c>
      <c r="H79" s="27">
        <v>1.5</v>
      </c>
      <c r="I79" s="26">
        <v>-0.8</v>
      </c>
      <c r="J79" s="26">
        <v>29.6</v>
      </c>
      <c r="K79" s="26">
        <v>32.1</v>
      </c>
      <c r="L79" s="26">
        <v>37.5</v>
      </c>
      <c r="M79" s="26">
        <v>0.8</v>
      </c>
      <c r="N79" s="26">
        <v>1.6</v>
      </c>
      <c r="O79" s="7"/>
      <c r="P79" s="28"/>
      <c r="Q79" s="28"/>
      <c r="R79" s="28"/>
    </row>
    <row r="80" spans="1:18" ht="25.5" x14ac:dyDescent="0.3">
      <c r="A80" s="30" t="s">
        <v>206</v>
      </c>
      <c r="B80" s="29" t="s">
        <v>207</v>
      </c>
      <c r="C80" s="13">
        <v>96</v>
      </c>
      <c r="D80" s="26">
        <v>94.4</v>
      </c>
      <c r="E80" s="26">
        <v>94.2</v>
      </c>
      <c r="F80" s="13">
        <v>-1.5999999999999943</v>
      </c>
      <c r="G80" s="26">
        <v>-0.2</v>
      </c>
      <c r="H80" s="27">
        <v>-0.2</v>
      </c>
      <c r="I80" s="26">
        <v>0</v>
      </c>
      <c r="J80" s="26">
        <v>22.3</v>
      </c>
      <c r="K80" s="26">
        <v>26.1</v>
      </c>
      <c r="L80" s="26">
        <v>30.5</v>
      </c>
      <c r="M80" s="26">
        <v>1.6</v>
      </c>
      <c r="N80" s="26">
        <v>1.6</v>
      </c>
      <c r="O80" s="7"/>
      <c r="P80" s="28"/>
      <c r="Q80" s="28"/>
      <c r="R80" s="28"/>
    </row>
    <row r="81" spans="1:18" ht="25.5" x14ac:dyDescent="0.3">
      <c r="A81" s="30" t="s">
        <v>208</v>
      </c>
      <c r="B81" s="29" t="s">
        <v>209</v>
      </c>
      <c r="C81" s="13">
        <v>128.5</v>
      </c>
      <c r="D81" s="26">
        <v>137.80000000000001</v>
      </c>
      <c r="E81" s="26">
        <v>134.19999999999999</v>
      </c>
      <c r="F81" s="13">
        <v>9.3000000000000114</v>
      </c>
      <c r="G81" s="26">
        <v>-3.6</v>
      </c>
      <c r="H81" s="27">
        <v>0.7</v>
      </c>
      <c r="I81" s="26">
        <v>-0.3</v>
      </c>
      <c r="J81" s="26">
        <v>34.700000000000003</v>
      </c>
      <c r="K81" s="26">
        <v>44.7</v>
      </c>
      <c r="L81" s="26">
        <v>50.1</v>
      </c>
      <c r="M81" s="26">
        <v>2.6</v>
      </c>
      <c r="N81" s="26">
        <v>1.2</v>
      </c>
      <c r="O81" s="7"/>
      <c r="P81" s="28"/>
      <c r="Q81" s="28"/>
      <c r="R81" s="28"/>
    </row>
    <row r="82" spans="1:18" x14ac:dyDescent="0.3">
      <c r="A82" s="30" t="s">
        <v>210</v>
      </c>
      <c r="B82" s="29" t="s">
        <v>211</v>
      </c>
      <c r="C82" s="13">
        <v>157.6</v>
      </c>
      <c r="D82" s="26">
        <v>179.7</v>
      </c>
      <c r="E82" s="26">
        <v>178.1</v>
      </c>
      <c r="F82" s="13">
        <v>22.099999999999994</v>
      </c>
      <c r="G82" s="26">
        <v>-1.6</v>
      </c>
      <c r="H82" s="27">
        <v>1.3</v>
      </c>
      <c r="I82" s="26">
        <v>-0.1</v>
      </c>
      <c r="J82" s="26">
        <v>23.7</v>
      </c>
      <c r="K82" s="26">
        <v>29.3</v>
      </c>
      <c r="L82" s="26">
        <v>31.4</v>
      </c>
      <c r="M82" s="26">
        <v>2.1</v>
      </c>
      <c r="N82" s="26">
        <v>0.7</v>
      </c>
      <c r="O82" s="7"/>
      <c r="P82" s="28"/>
      <c r="Q82" s="28"/>
      <c r="R82" s="28"/>
    </row>
    <row r="83" spans="1:18" x14ac:dyDescent="0.3">
      <c r="A83" s="30" t="s">
        <v>212</v>
      </c>
      <c r="B83" s="29" t="s">
        <v>213</v>
      </c>
      <c r="C83" s="13">
        <v>94.6</v>
      </c>
      <c r="D83" s="26">
        <v>99.6</v>
      </c>
      <c r="E83" s="26">
        <v>100.2</v>
      </c>
      <c r="F83" s="13">
        <v>5</v>
      </c>
      <c r="G83" s="26">
        <v>0.6</v>
      </c>
      <c r="H83" s="27">
        <v>0.5</v>
      </c>
      <c r="I83" s="26">
        <v>0.1</v>
      </c>
      <c r="J83" s="26">
        <v>36.9</v>
      </c>
      <c r="K83" s="26">
        <v>53.8</v>
      </c>
      <c r="L83" s="26">
        <v>62.4</v>
      </c>
      <c r="M83" s="26">
        <v>3.9</v>
      </c>
      <c r="N83" s="26">
        <v>1.5</v>
      </c>
      <c r="O83" s="7"/>
      <c r="P83" s="28"/>
      <c r="Q83" s="28"/>
      <c r="R83" s="28"/>
    </row>
    <row r="84" spans="1:18" x14ac:dyDescent="0.3">
      <c r="A84" s="29" t="s">
        <v>214</v>
      </c>
      <c r="B84" s="29" t="s">
        <v>215</v>
      </c>
      <c r="C84" s="13">
        <v>236.6</v>
      </c>
      <c r="D84" s="26">
        <v>275.60000000000002</v>
      </c>
      <c r="E84" s="26">
        <v>277.7</v>
      </c>
      <c r="F84" s="13">
        <v>39.000000000000028</v>
      </c>
      <c r="G84" s="26">
        <v>2.1</v>
      </c>
      <c r="H84" s="27">
        <v>1.5</v>
      </c>
      <c r="I84" s="26">
        <v>0.1</v>
      </c>
      <c r="J84" s="26">
        <v>76.2</v>
      </c>
      <c r="K84" s="26">
        <v>89.7</v>
      </c>
      <c r="L84" s="26">
        <v>103.8</v>
      </c>
      <c r="M84" s="26">
        <v>1.6</v>
      </c>
      <c r="N84" s="26">
        <v>1.5</v>
      </c>
      <c r="O84" s="7"/>
      <c r="P84" s="28"/>
      <c r="Q84" s="28"/>
      <c r="R84" s="28"/>
    </row>
    <row r="85" spans="1:18" x14ac:dyDescent="0.3">
      <c r="A85" s="30" t="s">
        <v>216</v>
      </c>
      <c r="B85" s="29" t="s">
        <v>217</v>
      </c>
      <c r="C85" s="13">
        <v>1136.9000000000001</v>
      </c>
      <c r="D85" s="26">
        <v>1080.5</v>
      </c>
      <c r="E85" s="26">
        <v>1062.0999999999999</v>
      </c>
      <c r="F85" s="13">
        <v>-56.400000000000091</v>
      </c>
      <c r="G85" s="26">
        <v>-18.399999999999999</v>
      </c>
      <c r="H85" s="27">
        <v>-0.5</v>
      </c>
      <c r="I85" s="26">
        <v>-0.2</v>
      </c>
      <c r="J85" s="26">
        <v>335.7</v>
      </c>
      <c r="K85" s="26">
        <v>404.1</v>
      </c>
      <c r="L85" s="26">
        <v>474.3</v>
      </c>
      <c r="M85" s="26">
        <v>1.9</v>
      </c>
      <c r="N85" s="26">
        <v>1.6</v>
      </c>
      <c r="O85" t="s">
        <v>12</v>
      </c>
      <c r="P85" s="28"/>
      <c r="Q85" s="28"/>
      <c r="R85" s="28"/>
    </row>
    <row r="86" spans="1:18" ht="25.5" x14ac:dyDescent="0.3">
      <c r="A86" s="30" t="s">
        <v>218</v>
      </c>
      <c r="B86" s="29" t="s">
        <v>219</v>
      </c>
      <c r="C86" s="13">
        <v>166.4</v>
      </c>
      <c r="D86" s="26">
        <v>163</v>
      </c>
      <c r="E86" s="26">
        <v>168.6</v>
      </c>
      <c r="F86" s="13">
        <v>-3.4000000000000057</v>
      </c>
      <c r="G86" s="26">
        <v>5.6</v>
      </c>
      <c r="H86" s="27">
        <v>-0.2</v>
      </c>
      <c r="I86" s="26">
        <v>0.3</v>
      </c>
      <c r="J86" s="26">
        <v>44.5</v>
      </c>
      <c r="K86" s="26">
        <v>56</v>
      </c>
      <c r="L86" s="26">
        <v>72.900000000000006</v>
      </c>
      <c r="M86" s="26">
        <v>2.2999999999999998</v>
      </c>
      <c r="N86" s="26">
        <v>2.7</v>
      </c>
      <c r="O86" s="7"/>
      <c r="P86" s="28"/>
      <c r="Q86" s="28"/>
      <c r="R86" s="28"/>
    </row>
    <row r="87" spans="1:18" ht="20.25" customHeight="1" x14ac:dyDescent="0.3">
      <c r="A87" s="30" t="s">
        <v>220</v>
      </c>
      <c r="B87" s="29" t="s">
        <v>221</v>
      </c>
      <c r="C87" s="13">
        <v>120.5</v>
      </c>
      <c r="D87" s="26">
        <v>83.5</v>
      </c>
      <c r="E87" s="26">
        <v>58</v>
      </c>
      <c r="F87" s="13">
        <v>-37</v>
      </c>
      <c r="G87" s="26">
        <v>-25.5</v>
      </c>
      <c r="H87" s="27">
        <v>-3.6</v>
      </c>
      <c r="I87" s="26">
        <v>-3.6</v>
      </c>
      <c r="J87" s="26">
        <v>57.7</v>
      </c>
      <c r="K87" s="26">
        <v>64.8</v>
      </c>
      <c r="L87" s="26">
        <v>81.5</v>
      </c>
      <c r="M87" s="26">
        <v>1.2</v>
      </c>
      <c r="N87" s="26">
        <v>2.2999999999999998</v>
      </c>
      <c r="O87" s="7"/>
      <c r="P87" s="28"/>
      <c r="Q87" s="28"/>
      <c r="R87" s="28"/>
    </row>
    <row r="88" spans="1:18" x14ac:dyDescent="0.3">
      <c r="A88" s="30" t="s">
        <v>222</v>
      </c>
      <c r="B88" s="29" t="s">
        <v>223</v>
      </c>
      <c r="C88" s="13">
        <v>22.6</v>
      </c>
      <c r="D88" s="26">
        <v>20</v>
      </c>
      <c r="E88" s="26">
        <v>17.899999999999999</v>
      </c>
      <c r="F88" s="13">
        <v>-2.6000000000000014</v>
      </c>
      <c r="G88" s="26">
        <v>-2.2000000000000002</v>
      </c>
      <c r="H88" s="27">
        <v>-1.2</v>
      </c>
      <c r="I88" s="26">
        <v>-1.1000000000000001</v>
      </c>
      <c r="J88" s="26">
        <v>7.7</v>
      </c>
      <c r="K88" s="26">
        <v>3.3</v>
      </c>
      <c r="L88" s="26">
        <v>3.8</v>
      </c>
      <c r="M88" s="26">
        <v>-8</v>
      </c>
      <c r="N88" s="26">
        <v>1.4</v>
      </c>
      <c r="O88" s="7"/>
      <c r="P88" s="28"/>
      <c r="Q88" s="28"/>
      <c r="R88" s="28"/>
    </row>
    <row r="89" spans="1:18" x14ac:dyDescent="0.3">
      <c r="A89" s="30" t="s">
        <v>224</v>
      </c>
      <c r="B89" s="29" t="s">
        <v>225</v>
      </c>
      <c r="C89" s="13">
        <v>378.1</v>
      </c>
      <c r="D89" s="26">
        <v>377</v>
      </c>
      <c r="E89" s="26">
        <v>373.9</v>
      </c>
      <c r="F89" s="13">
        <v>-1.1000000000000227</v>
      </c>
      <c r="G89" s="26">
        <v>-3.1</v>
      </c>
      <c r="H89" s="27">
        <v>0</v>
      </c>
      <c r="I89" s="26">
        <v>-0.1</v>
      </c>
      <c r="J89" s="26">
        <v>91</v>
      </c>
      <c r="K89" s="26">
        <v>127.4</v>
      </c>
      <c r="L89" s="26">
        <v>129</v>
      </c>
      <c r="M89" s="26">
        <v>3.4</v>
      </c>
      <c r="N89" s="26">
        <v>0.1</v>
      </c>
      <c r="O89" s="7"/>
      <c r="P89" s="28"/>
      <c r="Q89" s="28"/>
      <c r="R89" s="28"/>
    </row>
    <row r="90" spans="1:18" ht="25.5" x14ac:dyDescent="0.3">
      <c r="A90" s="30" t="s">
        <v>226</v>
      </c>
      <c r="B90" s="29" t="s">
        <v>227</v>
      </c>
      <c r="C90" s="13">
        <v>421.6</v>
      </c>
      <c r="D90" s="26">
        <v>424.1</v>
      </c>
      <c r="E90" s="26">
        <v>431.4</v>
      </c>
      <c r="F90" s="13">
        <v>2.5</v>
      </c>
      <c r="G90" s="26">
        <v>7.3</v>
      </c>
      <c r="H90" s="27">
        <v>0.1</v>
      </c>
      <c r="I90" s="26">
        <v>0.2</v>
      </c>
      <c r="J90" s="26">
        <v>130.6</v>
      </c>
      <c r="K90" s="26">
        <v>151.69999999999999</v>
      </c>
      <c r="L90" s="26">
        <v>188.1</v>
      </c>
      <c r="M90" s="26">
        <v>1.5</v>
      </c>
      <c r="N90" s="26">
        <v>2.2000000000000002</v>
      </c>
      <c r="O90" s="7"/>
      <c r="P90" s="28"/>
      <c r="Q90" s="28"/>
      <c r="R90" s="28"/>
    </row>
    <row r="91" spans="1:18" x14ac:dyDescent="0.3">
      <c r="A91" s="30" t="s">
        <v>228</v>
      </c>
      <c r="B91" s="29" t="s">
        <v>229</v>
      </c>
      <c r="C91" s="13">
        <v>27.7</v>
      </c>
      <c r="D91" s="26">
        <v>12.9</v>
      </c>
      <c r="E91" s="26">
        <v>12.4</v>
      </c>
      <c r="F91" s="13">
        <v>-14.799999999999999</v>
      </c>
      <c r="G91" s="26">
        <v>-0.5</v>
      </c>
      <c r="H91" s="27">
        <v>-7.4</v>
      </c>
      <c r="I91" s="26">
        <v>-0.4</v>
      </c>
      <c r="J91" s="26">
        <v>4</v>
      </c>
      <c r="K91" s="26">
        <v>4</v>
      </c>
      <c r="L91" s="26">
        <v>4.9000000000000004</v>
      </c>
      <c r="M91" s="26">
        <v>-0.2</v>
      </c>
      <c r="N91" s="26">
        <v>2.1</v>
      </c>
      <c r="O91" s="7"/>
      <c r="P91" s="28"/>
      <c r="Q91" s="28"/>
      <c r="R91" s="28"/>
    </row>
    <row r="92" spans="1:18" ht="30" customHeight="1" x14ac:dyDescent="0.3">
      <c r="A92" s="30" t="s">
        <v>230</v>
      </c>
      <c r="B92" s="29" t="s">
        <v>231</v>
      </c>
      <c r="C92" s="13">
        <v>373.6</v>
      </c>
      <c r="D92" s="26">
        <v>405.1</v>
      </c>
      <c r="E92" s="26">
        <v>391.7</v>
      </c>
      <c r="F92" s="13">
        <v>31.5</v>
      </c>
      <c r="G92" s="26">
        <v>-13.4</v>
      </c>
      <c r="H92" s="27">
        <v>0.8</v>
      </c>
      <c r="I92" s="26">
        <v>-0.3</v>
      </c>
      <c r="J92" s="26">
        <v>113.9</v>
      </c>
      <c r="K92" s="26">
        <v>143</v>
      </c>
      <c r="L92" s="26">
        <v>158.4</v>
      </c>
      <c r="M92" s="26">
        <v>2.2999999999999998</v>
      </c>
      <c r="N92" s="26">
        <v>1</v>
      </c>
      <c r="O92" t="s">
        <v>13</v>
      </c>
      <c r="P92" s="28"/>
      <c r="Q92" s="28"/>
      <c r="R92" s="28"/>
    </row>
    <row r="93" spans="1:18" x14ac:dyDescent="0.3">
      <c r="A93" s="30" t="s">
        <v>232</v>
      </c>
      <c r="B93" s="29" t="s">
        <v>233</v>
      </c>
      <c r="C93" s="13">
        <v>48.4</v>
      </c>
      <c r="D93" s="26">
        <v>46</v>
      </c>
      <c r="E93" s="26">
        <v>30.8</v>
      </c>
      <c r="F93" s="13">
        <v>-2.3999999999999986</v>
      </c>
      <c r="G93" s="26">
        <v>-15.2</v>
      </c>
      <c r="H93" s="27">
        <v>-0.5</v>
      </c>
      <c r="I93" s="26">
        <v>-3.9</v>
      </c>
      <c r="J93" s="26">
        <v>11.8</v>
      </c>
      <c r="K93" s="26">
        <v>17.600000000000001</v>
      </c>
      <c r="L93" s="26">
        <v>17.8</v>
      </c>
      <c r="M93" s="26">
        <v>4</v>
      </c>
      <c r="N93" s="26">
        <v>0.2</v>
      </c>
      <c r="O93" s="7"/>
      <c r="P93" s="28"/>
      <c r="Q93" s="28"/>
      <c r="R93" s="28"/>
    </row>
    <row r="94" spans="1:18" x14ac:dyDescent="0.3">
      <c r="A94" s="29" t="s">
        <v>234</v>
      </c>
      <c r="B94" s="29" t="s">
        <v>235</v>
      </c>
      <c r="C94" s="13">
        <v>59.7</v>
      </c>
      <c r="D94" s="26">
        <v>62.1</v>
      </c>
      <c r="E94" s="26">
        <v>60.5</v>
      </c>
      <c r="F94" s="13">
        <v>2.3999999999999986</v>
      </c>
      <c r="G94" s="26">
        <v>-1.6</v>
      </c>
      <c r="H94" s="27">
        <v>0.4</v>
      </c>
      <c r="I94" s="26">
        <v>-0.3</v>
      </c>
      <c r="J94" s="26">
        <v>21</v>
      </c>
      <c r="K94" s="26">
        <v>23</v>
      </c>
      <c r="L94" s="26">
        <v>29</v>
      </c>
      <c r="M94" s="26">
        <v>0.9</v>
      </c>
      <c r="N94" s="26">
        <v>2.2999999999999998</v>
      </c>
      <c r="O94" s="7"/>
      <c r="P94" s="28"/>
      <c r="Q94" s="28"/>
      <c r="R94" s="28"/>
    </row>
    <row r="95" spans="1:18" x14ac:dyDescent="0.3">
      <c r="A95" s="30" t="s">
        <v>236</v>
      </c>
      <c r="B95" s="29" t="s">
        <v>237</v>
      </c>
      <c r="C95" s="13">
        <v>144.6</v>
      </c>
      <c r="D95" s="26">
        <v>146.9</v>
      </c>
      <c r="E95" s="26">
        <v>141.69999999999999</v>
      </c>
      <c r="F95" s="13">
        <v>2.3000000000000114</v>
      </c>
      <c r="G95" s="26">
        <v>-5.2</v>
      </c>
      <c r="H95" s="27">
        <v>0.2</v>
      </c>
      <c r="I95" s="26">
        <v>-0.4</v>
      </c>
      <c r="J95" s="26">
        <v>35.5</v>
      </c>
      <c r="K95" s="26">
        <v>42.8</v>
      </c>
      <c r="L95" s="26">
        <v>48.8</v>
      </c>
      <c r="M95" s="26">
        <v>1.9</v>
      </c>
      <c r="N95" s="26">
        <v>1.3</v>
      </c>
      <c r="O95" s="7"/>
      <c r="P95" s="28"/>
      <c r="Q95" s="28"/>
      <c r="R95" s="28"/>
    </row>
    <row r="96" spans="1:18" x14ac:dyDescent="0.3">
      <c r="A96" s="30" t="s">
        <v>238</v>
      </c>
      <c r="B96" s="29" t="s">
        <v>239</v>
      </c>
      <c r="C96" s="13">
        <v>120.9</v>
      </c>
      <c r="D96" s="26">
        <v>150.1</v>
      </c>
      <c r="E96" s="26">
        <v>158.69999999999999</v>
      </c>
      <c r="F96" s="13">
        <v>29.199999999999989</v>
      </c>
      <c r="G96" s="26">
        <v>8.6</v>
      </c>
      <c r="H96" s="27">
        <v>2.2000000000000002</v>
      </c>
      <c r="I96" s="26">
        <v>0.6</v>
      </c>
      <c r="J96" s="26">
        <v>45.6</v>
      </c>
      <c r="K96" s="26">
        <v>59.6</v>
      </c>
      <c r="L96" s="26">
        <v>62.8</v>
      </c>
      <c r="M96" s="26">
        <v>2.7</v>
      </c>
      <c r="N96" s="26">
        <v>0.5</v>
      </c>
      <c r="O96" s="7"/>
      <c r="P96" s="28"/>
      <c r="Q96" s="28"/>
      <c r="R96" s="28"/>
    </row>
    <row r="97" spans="1:18" x14ac:dyDescent="0.3">
      <c r="A97" s="30" t="s">
        <v>240</v>
      </c>
      <c r="B97" s="29" t="s">
        <v>241</v>
      </c>
      <c r="C97" s="13">
        <v>1348</v>
      </c>
      <c r="D97" s="26">
        <v>1734.2</v>
      </c>
      <c r="E97" s="26">
        <v>1715.1</v>
      </c>
      <c r="F97" s="13">
        <v>386.20000000000005</v>
      </c>
      <c r="G97" s="26">
        <v>-19.100000000000001</v>
      </c>
      <c r="H97" s="27">
        <v>2.6</v>
      </c>
      <c r="I97" s="26">
        <v>-0.1</v>
      </c>
      <c r="J97" s="26">
        <v>624.70000000000005</v>
      </c>
      <c r="K97" s="26">
        <v>1043.4000000000001</v>
      </c>
      <c r="L97" s="26">
        <v>1250.0999999999999</v>
      </c>
      <c r="M97" s="26">
        <v>5.3</v>
      </c>
      <c r="N97" s="26">
        <v>1.8</v>
      </c>
      <c r="O97" s="7"/>
      <c r="P97" s="28"/>
      <c r="Q97" s="28"/>
      <c r="R97" s="28"/>
    </row>
    <row r="98" spans="1:18" x14ac:dyDescent="0.3">
      <c r="A98" s="30" t="s">
        <v>242</v>
      </c>
      <c r="B98" s="29" t="s">
        <v>243</v>
      </c>
      <c r="C98" s="13">
        <v>146.4</v>
      </c>
      <c r="D98" s="26">
        <v>237.2</v>
      </c>
      <c r="E98" s="26">
        <v>248.9</v>
      </c>
      <c r="F98" s="13">
        <v>90.799999999999983</v>
      </c>
      <c r="G98" s="26">
        <v>11.7</v>
      </c>
      <c r="H98" s="27">
        <v>4.9000000000000004</v>
      </c>
      <c r="I98" s="26">
        <v>0.5</v>
      </c>
      <c r="J98" s="26">
        <v>178.6</v>
      </c>
      <c r="K98" s="26">
        <v>354.7</v>
      </c>
      <c r="L98" s="26">
        <v>452</v>
      </c>
      <c r="M98" s="26">
        <v>7.1</v>
      </c>
      <c r="N98" s="26">
        <v>2.5</v>
      </c>
      <c r="O98" t="s">
        <v>15</v>
      </c>
      <c r="P98" s="28"/>
      <c r="Q98" s="28"/>
      <c r="R98" s="28"/>
    </row>
    <row r="99" spans="1:18" x14ac:dyDescent="0.3">
      <c r="A99" s="30" t="s">
        <v>244</v>
      </c>
      <c r="B99" s="29" t="s">
        <v>245</v>
      </c>
      <c r="C99" s="13">
        <v>104.1</v>
      </c>
      <c r="D99" s="26">
        <v>165.7</v>
      </c>
      <c r="E99" s="26">
        <v>155.4</v>
      </c>
      <c r="F99" s="13">
        <v>61.599999999999994</v>
      </c>
      <c r="G99" s="26">
        <v>-10.3</v>
      </c>
      <c r="H99" s="27">
        <v>4.8</v>
      </c>
      <c r="I99" s="26">
        <v>-0.6</v>
      </c>
      <c r="J99" s="26">
        <v>24.3</v>
      </c>
      <c r="K99" s="26">
        <v>45.1</v>
      </c>
      <c r="L99" s="26">
        <v>51.2</v>
      </c>
      <c r="M99" s="26">
        <v>6.4</v>
      </c>
      <c r="N99" s="26">
        <v>1.3</v>
      </c>
      <c r="O99" t="s">
        <v>15</v>
      </c>
      <c r="P99" s="28"/>
      <c r="Q99" s="28"/>
      <c r="R99" s="28"/>
    </row>
    <row r="100" spans="1:18" x14ac:dyDescent="0.3">
      <c r="A100" s="30" t="s">
        <v>246</v>
      </c>
      <c r="B100" s="29" t="s">
        <v>247</v>
      </c>
      <c r="C100" s="13">
        <v>413.7</v>
      </c>
      <c r="D100" s="26">
        <v>595.6</v>
      </c>
      <c r="E100" s="26">
        <v>609.9</v>
      </c>
      <c r="F100" s="13">
        <v>181.90000000000003</v>
      </c>
      <c r="G100" s="26">
        <v>14.3</v>
      </c>
      <c r="H100" s="27">
        <v>3.7</v>
      </c>
      <c r="I100" s="26">
        <v>0.2</v>
      </c>
      <c r="J100" s="26">
        <v>153.1</v>
      </c>
      <c r="K100" s="26">
        <v>324.5</v>
      </c>
      <c r="L100" s="26">
        <v>360</v>
      </c>
      <c r="M100" s="26">
        <v>7.8</v>
      </c>
      <c r="N100" s="26">
        <v>1</v>
      </c>
      <c r="O100" t="s">
        <v>15</v>
      </c>
      <c r="P100" s="28"/>
      <c r="Q100" s="28"/>
      <c r="R100" s="28"/>
    </row>
    <row r="101" spans="1:18" x14ac:dyDescent="0.3">
      <c r="A101" s="30" t="s">
        <v>248</v>
      </c>
      <c r="B101" s="29" t="s">
        <v>249</v>
      </c>
      <c r="C101" s="13">
        <v>492.2</v>
      </c>
      <c r="D101" s="26">
        <v>534.29999999999995</v>
      </c>
      <c r="E101" s="26">
        <v>530.5</v>
      </c>
      <c r="F101" s="13">
        <v>42.099999999999966</v>
      </c>
      <c r="G101" s="26">
        <v>-3.8</v>
      </c>
      <c r="H101" s="27">
        <v>0.8</v>
      </c>
      <c r="I101" s="26">
        <v>-0.1</v>
      </c>
      <c r="J101" s="26">
        <v>200</v>
      </c>
      <c r="K101" s="26">
        <v>243.6</v>
      </c>
      <c r="L101" s="26">
        <v>300.10000000000002</v>
      </c>
      <c r="M101" s="26">
        <v>2</v>
      </c>
      <c r="N101" s="26">
        <v>2.1</v>
      </c>
      <c r="O101" t="s">
        <v>16</v>
      </c>
      <c r="P101" s="28"/>
      <c r="Q101" s="28"/>
      <c r="R101" s="28"/>
    </row>
    <row r="102" spans="1:18" x14ac:dyDescent="0.3">
      <c r="A102" s="29" t="s">
        <v>250</v>
      </c>
      <c r="B102" s="29" t="s">
        <v>251</v>
      </c>
      <c r="C102" s="13">
        <v>23</v>
      </c>
      <c r="D102" s="26">
        <v>24.1</v>
      </c>
      <c r="E102" s="26">
        <v>19.8</v>
      </c>
      <c r="F102" s="13">
        <v>1.1000000000000014</v>
      </c>
      <c r="G102" s="26">
        <v>-4.3</v>
      </c>
      <c r="H102" s="27">
        <v>0.5</v>
      </c>
      <c r="I102" s="26">
        <v>-1.9</v>
      </c>
      <c r="J102" s="26">
        <v>13.1</v>
      </c>
      <c r="K102" s="26">
        <v>19.5</v>
      </c>
      <c r="L102" s="26">
        <v>20.7</v>
      </c>
      <c r="M102" s="26">
        <v>4</v>
      </c>
      <c r="N102" s="26">
        <v>0.6</v>
      </c>
      <c r="O102" t="s">
        <v>16</v>
      </c>
      <c r="P102" s="28"/>
      <c r="Q102" s="28"/>
      <c r="R102" s="28"/>
    </row>
    <row r="103" spans="1:18" x14ac:dyDescent="0.3">
      <c r="A103" s="30" t="s">
        <v>252</v>
      </c>
      <c r="B103" s="29" t="s">
        <v>253</v>
      </c>
      <c r="C103" s="13">
        <v>130.6</v>
      </c>
      <c r="D103" s="26">
        <v>142.1</v>
      </c>
      <c r="E103" s="26">
        <v>121.2</v>
      </c>
      <c r="F103" s="13">
        <v>11.5</v>
      </c>
      <c r="G103" s="26">
        <v>-20.9</v>
      </c>
      <c r="H103" s="27">
        <v>0.8</v>
      </c>
      <c r="I103" s="26">
        <v>-1.6</v>
      </c>
      <c r="J103" s="26">
        <v>31.5</v>
      </c>
      <c r="K103" s="26">
        <v>32.799999999999997</v>
      </c>
      <c r="L103" s="26">
        <v>37.6</v>
      </c>
      <c r="M103" s="26">
        <v>0.4</v>
      </c>
      <c r="N103" s="26">
        <v>1.4</v>
      </c>
      <c r="O103" t="s">
        <v>16</v>
      </c>
      <c r="P103" s="28"/>
      <c r="Q103" s="28"/>
      <c r="R103" s="28"/>
    </row>
    <row r="104" spans="1:18" x14ac:dyDescent="0.3">
      <c r="A104" s="30" t="s">
        <v>254</v>
      </c>
      <c r="B104" s="29" t="s">
        <v>255</v>
      </c>
      <c r="C104" s="13">
        <v>38</v>
      </c>
      <c r="D104" s="26">
        <v>35.200000000000003</v>
      </c>
      <c r="E104" s="26">
        <v>29.6</v>
      </c>
      <c r="F104" s="13">
        <v>-2.7999999999999972</v>
      </c>
      <c r="G104" s="26">
        <v>-5.7</v>
      </c>
      <c r="H104" s="27">
        <v>-0.8</v>
      </c>
      <c r="I104" s="26">
        <v>-1.7</v>
      </c>
      <c r="J104" s="26">
        <v>24.9</v>
      </c>
      <c r="K104" s="26">
        <v>24.5</v>
      </c>
      <c r="L104" s="26">
        <v>30.3</v>
      </c>
      <c r="M104" s="26">
        <v>-0.2</v>
      </c>
      <c r="N104" s="26">
        <v>2.2000000000000002</v>
      </c>
      <c r="O104" t="s">
        <v>16</v>
      </c>
      <c r="P104" s="28"/>
      <c r="Q104" s="28"/>
      <c r="R104" s="28"/>
    </row>
    <row r="105" spans="1:18" x14ac:dyDescent="0.3">
      <c r="A105" s="30" t="s">
        <v>256</v>
      </c>
      <c r="B105" s="29" t="s">
        <v>257</v>
      </c>
      <c r="C105" s="13">
        <v>384.3</v>
      </c>
      <c r="D105" s="26">
        <v>388.3</v>
      </c>
      <c r="E105" s="26">
        <v>359.1</v>
      </c>
      <c r="F105" s="13">
        <v>4</v>
      </c>
      <c r="G105" s="26">
        <v>-29.2</v>
      </c>
      <c r="H105" s="27">
        <v>0.1</v>
      </c>
      <c r="I105" s="26">
        <v>-0.8</v>
      </c>
      <c r="J105" s="26">
        <v>62.2</v>
      </c>
      <c r="K105" s="26">
        <v>74.5</v>
      </c>
      <c r="L105" s="26">
        <v>83.7</v>
      </c>
      <c r="M105" s="26">
        <v>1.8</v>
      </c>
      <c r="N105" s="26">
        <v>1.2</v>
      </c>
      <c r="O105" t="s">
        <v>17</v>
      </c>
      <c r="P105" s="28"/>
      <c r="Q105" s="28"/>
      <c r="R105" s="28"/>
    </row>
    <row r="106" spans="1:18" ht="30" customHeight="1" x14ac:dyDescent="0.3">
      <c r="A106" s="30" t="s">
        <v>258</v>
      </c>
      <c r="B106" s="29" t="s">
        <v>259</v>
      </c>
      <c r="C106" s="13">
        <v>242.9</v>
      </c>
      <c r="D106" s="26">
        <v>243.3</v>
      </c>
      <c r="E106" s="26">
        <v>242</v>
      </c>
      <c r="F106" s="13">
        <v>0.40000000000000568</v>
      </c>
      <c r="G106" s="26">
        <v>-1.3</v>
      </c>
      <c r="H106" s="27">
        <v>0</v>
      </c>
      <c r="I106" s="26">
        <v>-0.1</v>
      </c>
      <c r="J106" s="26">
        <v>34.1</v>
      </c>
      <c r="K106" s="26">
        <v>37.6</v>
      </c>
      <c r="L106" s="26">
        <v>43</v>
      </c>
      <c r="M106" s="26">
        <v>1</v>
      </c>
      <c r="N106" s="26">
        <v>1.3</v>
      </c>
      <c r="O106" s="7"/>
      <c r="P106" s="28"/>
      <c r="Q106" s="28"/>
      <c r="R106" s="28"/>
    </row>
    <row r="107" spans="1:18" x14ac:dyDescent="0.3">
      <c r="A107" s="30" t="s">
        <v>260</v>
      </c>
      <c r="B107" s="29" t="s">
        <v>261</v>
      </c>
      <c r="C107" s="13">
        <v>103.4</v>
      </c>
      <c r="D107" s="26">
        <v>110.9</v>
      </c>
      <c r="E107" s="26">
        <v>86.2</v>
      </c>
      <c r="F107" s="13">
        <v>7.5</v>
      </c>
      <c r="G107" s="26">
        <v>-24.7</v>
      </c>
      <c r="H107" s="27">
        <v>0.7</v>
      </c>
      <c r="I107" s="26">
        <v>-2.5</v>
      </c>
      <c r="J107" s="26">
        <v>20.399999999999999</v>
      </c>
      <c r="K107" s="26">
        <v>26</v>
      </c>
      <c r="L107" s="26">
        <v>27.7</v>
      </c>
      <c r="M107" s="26">
        <v>2.4</v>
      </c>
      <c r="N107" s="26">
        <v>0.6</v>
      </c>
      <c r="O107" s="7"/>
      <c r="P107" s="28"/>
      <c r="Q107" s="28"/>
      <c r="R107" s="28"/>
    </row>
    <row r="108" spans="1:18" x14ac:dyDescent="0.3">
      <c r="A108" s="30" t="s">
        <v>262</v>
      </c>
      <c r="B108" s="29" t="s">
        <v>263</v>
      </c>
      <c r="C108" s="13">
        <v>38</v>
      </c>
      <c r="D108" s="26">
        <v>34.1</v>
      </c>
      <c r="E108" s="26">
        <v>30.9</v>
      </c>
      <c r="F108" s="13">
        <v>-3.8999999999999986</v>
      </c>
      <c r="G108" s="26">
        <v>-3.2</v>
      </c>
      <c r="H108" s="27">
        <v>-1.1000000000000001</v>
      </c>
      <c r="I108" s="26">
        <v>-1</v>
      </c>
      <c r="J108" s="26">
        <v>7.7</v>
      </c>
      <c r="K108" s="26">
        <v>10.9</v>
      </c>
      <c r="L108" s="26">
        <v>13.2</v>
      </c>
      <c r="M108" s="26">
        <v>3.6</v>
      </c>
      <c r="N108" s="26">
        <v>1.9</v>
      </c>
      <c r="O108" s="7"/>
      <c r="P108" s="28"/>
      <c r="Q108" s="28"/>
      <c r="R108" s="28"/>
    </row>
    <row r="109" spans="1:18" x14ac:dyDescent="0.3">
      <c r="A109" s="29" t="s">
        <v>264</v>
      </c>
      <c r="B109" s="29" t="s">
        <v>265</v>
      </c>
      <c r="C109" s="13">
        <v>584.4</v>
      </c>
      <c r="D109" s="26">
        <v>617.70000000000005</v>
      </c>
      <c r="E109" s="26">
        <v>619.79999999999995</v>
      </c>
      <c r="F109" s="13">
        <v>33.300000000000068</v>
      </c>
      <c r="G109" s="26">
        <v>2.1</v>
      </c>
      <c r="H109" s="27">
        <v>0.6</v>
      </c>
      <c r="I109" s="26">
        <v>0</v>
      </c>
      <c r="J109" s="26">
        <v>167.6</v>
      </c>
      <c r="K109" s="26">
        <v>170.1</v>
      </c>
      <c r="L109" s="26">
        <v>197.8</v>
      </c>
      <c r="M109" s="26">
        <v>0.1</v>
      </c>
      <c r="N109" s="26">
        <v>1.5</v>
      </c>
      <c r="O109" t="s">
        <v>17</v>
      </c>
      <c r="P109" s="28"/>
      <c r="Q109" s="28"/>
      <c r="R109" s="28"/>
    </row>
    <row r="110" spans="1:18" x14ac:dyDescent="0.3">
      <c r="A110" s="30" t="s">
        <v>266</v>
      </c>
      <c r="B110" s="29" t="s">
        <v>267</v>
      </c>
      <c r="C110" s="13">
        <v>306.8</v>
      </c>
      <c r="D110" s="26">
        <v>324.5</v>
      </c>
      <c r="E110" s="26">
        <v>327.3</v>
      </c>
      <c r="F110" s="13">
        <v>17.699999999999989</v>
      </c>
      <c r="G110" s="26">
        <v>2.8</v>
      </c>
      <c r="H110" s="27">
        <v>0.6</v>
      </c>
      <c r="I110" s="26">
        <v>0.1</v>
      </c>
      <c r="J110" s="26">
        <v>91.8</v>
      </c>
      <c r="K110" s="26">
        <v>101.7</v>
      </c>
      <c r="L110" s="26">
        <v>117.7</v>
      </c>
      <c r="M110" s="26">
        <v>1</v>
      </c>
      <c r="N110" s="26">
        <v>1.5</v>
      </c>
      <c r="O110" s="7"/>
      <c r="P110" s="28"/>
      <c r="Q110" s="28"/>
      <c r="R110" s="28"/>
    </row>
    <row r="111" spans="1:18" x14ac:dyDescent="0.3">
      <c r="A111" s="30" t="s">
        <v>268</v>
      </c>
      <c r="B111" s="29" t="s">
        <v>269</v>
      </c>
      <c r="C111" s="13">
        <v>277.60000000000002</v>
      </c>
      <c r="D111" s="26">
        <v>293.2</v>
      </c>
      <c r="E111" s="26">
        <v>292.5</v>
      </c>
      <c r="F111" s="13">
        <v>15.599999999999966</v>
      </c>
      <c r="G111" s="26">
        <v>-0.7</v>
      </c>
      <c r="H111" s="27">
        <v>0.5</v>
      </c>
      <c r="I111" s="26">
        <v>0</v>
      </c>
      <c r="J111" s="26">
        <v>76</v>
      </c>
      <c r="K111" s="26">
        <v>68.5</v>
      </c>
      <c r="L111" s="26">
        <v>79.900000000000006</v>
      </c>
      <c r="M111" s="26">
        <v>-1</v>
      </c>
      <c r="N111" s="26">
        <v>1.6</v>
      </c>
      <c r="O111" s="7"/>
      <c r="P111" s="28"/>
      <c r="Q111" s="28"/>
      <c r="R111" s="28"/>
    </row>
    <row r="112" spans="1:18" x14ac:dyDescent="0.3">
      <c r="A112" s="30" t="s">
        <v>270</v>
      </c>
      <c r="B112" s="29" t="s">
        <v>271</v>
      </c>
      <c r="C112" s="13">
        <v>5520.9</v>
      </c>
      <c r="D112" s="26">
        <v>5903.4</v>
      </c>
      <c r="E112" s="26">
        <v>5801.3</v>
      </c>
      <c r="F112" s="13">
        <v>382.5</v>
      </c>
      <c r="G112" s="26">
        <v>-102.1</v>
      </c>
      <c r="H112" s="27">
        <v>0.7</v>
      </c>
      <c r="I112" s="26">
        <v>-0.2</v>
      </c>
      <c r="J112" s="26">
        <v>1223.5</v>
      </c>
      <c r="K112" s="26">
        <v>1885.8</v>
      </c>
      <c r="L112" s="26">
        <v>2440.6999999999998</v>
      </c>
      <c r="M112" s="26">
        <v>4.4000000000000004</v>
      </c>
      <c r="N112" s="26">
        <v>2.6</v>
      </c>
      <c r="O112" t="s">
        <v>19</v>
      </c>
      <c r="P112" s="28"/>
      <c r="Q112" s="28"/>
      <c r="R112" s="28"/>
    </row>
    <row r="113" spans="1:18" x14ac:dyDescent="0.3">
      <c r="A113" s="30" t="s">
        <v>272</v>
      </c>
      <c r="B113" s="29" t="s">
        <v>273</v>
      </c>
      <c r="C113" s="13">
        <v>14527.6</v>
      </c>
      <c r="D113" s="26">
        <v>15644.2</v>
      </c>
      <c r="E113" s="26">
        <v>15275.9</v>
      </c>
      <c r="F113" s="13">
        <v>1116.6000000000004</v>
      </c>
      <c r="G113" s="26">
        <v>-368.3</v>
      </c>
      <c r="H113" s="27">
        <v>0.7</v>
      </c>
      <c r="I113" s="26">
        <v>-0.2</v>
      </c>
      <c r="J113" s="26">
        <v>1271.2</v>
      </c>
      <c r="K113" s="26">
        <v>1842.1</v>
      </c>
      <c r="L113" s="26">
        <v>2339.3000000000002</v>
      </c>
      <c r="M113" s="26">
        <v>3.8</v>
      </c>
      <c r="N113" s="26">
        <v>2.4</v>
      </c>
      <c r="O113" t="s">
        <v>19</v>
      </c>
      <c r="P113" s="28"/>
      <c r="Q113" s="28"/>
      <c r="R113" s="28"/>
    </row>
    <row r="114" spans="1:18" x14ac:dyDescent="0.3">
      <c r="A114" s="30" t="s">
        <v>274</v>
      </c>
      <c r="B114" s="25" t="s">
        <v>275</v>
      </c>
      <c r="C114" s="13">
        <v>1637.4</v>
      </c>
      <c r="D114" s="26">
        <v>2034.8</v>
      </c>
      <c r="E114" s="26">
        <v>2058.1999999999998</v>
      </c>
      <c r="F114" s="13">
        <v>397.39999999999986</v>
      </c>
      <c r="G114" s="26">
        <v>23.4</v>
      </c>
      <c r="H114" s="27">
        <v>2.2000000000000002</v>
      </c>
      <c r="I114" s="26">
        <v>0.1</v>
      </c>
      <c r="J114" s="26">
        <v>156</v>
      </c>
      <c r="K114" s="26">
        <v>379.3</v>
      </c>
      <c r="L114" s="26">
        <v>490.9</v>
      </c>
      <c r="M114" s="26">
        <v>9.3000000000000007</v>
      </c>
      <c r="N114" s="26">
        <v>2.6</v>
      </c>
      <c r="O114" s="7"/>
      <c r="P114" s="28"/>
      <c r="Q114" s="28"/>
      <c r="R114" s="28"/>
    </row>
    <row r="115" spans="1:18" x14ac:dyDescent="0.3">
      <c r="A115" s="30" t="s">
        <v>276</v>
      </c>
      <c r="B115" s="29" t="s">
        <v>277</v>
      </c>
      <c r="C115" s="13">
        <v>2830</v>
      </c>
      <c r="D115" s="26">
        <v>3077.6</v>
      </c>
      <c r="E115" s="26">
        <v>3012.2</v>
      </c>
      <c r="F115" s="13">
        <v>247.59999999999991</v>
      </c>
      <c r="G115" s="26">
        <v>-65.400000000000006</v>
      </c>
      <c r="H115" s="27">
        <v>0.8</v>
      </c>
      <c r="I115" s="26">
        <v>-0.2</v>
      </c>
      <c r="J115" s="26">
        <v>204.1</v>
      </c>
      <c r="K115" s="26">
        <v>212.2</v>
      </c>
      <c r="L115" s="26">
        <v>240</v>
      </c>
      <c r="M115" s="26">
        <v>0.4</v>
      </c>
      <c r="N115" s="26">
        <v>1.2</v>
      </c>
      <c r="O115" s="7"/>
      <c r="P115" s="28"/>
      <c r="Q115" s="28"/>
      <c r="R115" s="28"/>
    </row>
    <row r="116" spans="1:18" x14ac:dyDescent="0.3">
      <c r="A116" s="30" t="s">
        <v>278</v>
      </c>
      <c r="B116" s="29" t="s">
        <v>279</v>
      </c>
      <c r="C116" s="13">
        <v>2966.2</v>
      </c>
      <c r="D116" s="26">
        <v>3043.3</v>
      </c>
      <c r="E116" s="26">
        <v>2927.4</v>
      </c>
      <c r="F116" s="13">
        <v>77.100000000000364</v>
      </c>
      <c r="G116" s="26">
        <v>-115.9</v>
      </c>
      <c r="H116" s="27">
        <v>0.3</v>
      </c>
      <c r="I116" s="26">
        <v>-0.4</v>
      </c>
      <c r="J116" s="26">
        <v>236.2</v>
      </c>
      <c r="K116" s="26">
        <v>257.2</v>
      </c>
      <c r="L116" s="26">
        <v>291.60000000000002</v>
      </c>
      <c r="M116" s="26">
        <v>0.9</v>
      </c>
      <c r="N116" s="26">
        <v>1.3</v>
      </c>
      <c r="O116" s="7"/>
      <c r="P116" s="28"/>
      <c r="Q116" s="28"/>
      <c r="R116" s="28"/>
    </row>
    <row r="117" spans="1:18" ht="25.5" x14ac:dyDescent="0.3">
      <c r="A117" s="30" t="s">
        <v>280</v>
      </c>
      <c r="B117" s="29" t="s">
        <v>281</v>
      </c>
      <c r="C117" s="13">
        <v>7094</v>
      </c>
      <c r="D117" s="26">
        <v>7488.5</v>
      </c>
      <c r="E117" s="26">
        <v>7278</v>
      </c>
      <c r="F117" s="13">
        <v>394.5</v>
      </c>
      <c r="G117" s="26">
        <v>-210.5</v>
      </c>
      <c r="H117" s="31">
        <v>0.5</v>
      </c>
      <c r="I117" s="26">
        <v>-0.3</v>
      </c>
      <c r="J117" s="26">
        <v>677</v>
      </c>
      <c r="K117" s="26">
        <v>1003.3</v>
      </c>
      <c r="L117" s="26">
        <v>1331.6</v>
      </c>
      <c r="M117" s="26">
        <v>4</v>
      </c>
      <c r="N117" s="26">
        <v>2.9</v>
      </c>
      <c r="O117" s="7"/>
      <c r="P117" s="28"/>
      <c r="Q117" s="28"/>
      <c r="R117" s="28"/>
    </row>
    <row r="118" spans="1:18" x14ac:dyDescent="0.3">
      <c r="A118" s="30" t="s">
        <v>282</v>
      </c>
      <c r="B118" s="29" t="s">
        <v>283</v>
      </c>
      <c r="C118" s="13">
        <v>4224.7</v>
      </c>
      <c r="D118" s="26">
        <v>5618.1</v>
      </c>
      <c r="E118" s="26">
        <v>5944.1</v>
      </c>
      <c r="F118" s="13">
        <v>1393.4000000000005</v>
      </c>
      <c r="G118" s="26">
        <v>326</v>
      </c>
      <c r="H118" s="31">
        <v>2.9</v>
      </c>
      <c r="I118" s="26">
        <v>0.6</v>
      </c>
      <c r="J118" s="26">
        <v>940.4</v>
      </c>
      <c r="K118" s="26">
        <v>1128.4000000000001</v>
      </c>
      <c r="L118" s="26">
        <v>1327.9</v>
      </c>
      <c r="M118" s="26">
        <v>1.8</v>
      </c>
      <c r="N118" s="26">
        <v>1.6</v>
      </c>
      <c r="O118" t="s">
        <v>20</v>
      </c>
      <c r="P118" s="28"/>
      <c r="Q118" s="28"/>
      <c r="R118" s="28"/>
    </row>
    <row r="119" spans="1:18" x14ac:dyDescent="0.3">
      <c r="A119" s="30" t="s">
        <v>284</v>
      </c>
      <c r="B119" s="29" t="s">
        <v>285</v>
      </c>
      <c r="C119" s="13">
        <v>462.8</v>
      </c>
      <c r="D119" s="26">
        <v>503</v>
      </c>
      <c r="E119" s="26">
        <v>532.5</v>
      </c>
      <c r="F119" s="13">
        <v>40.199999999999989</v>
      </c>
      <c r="G119" s="26">
        <v>29.5</v>
      </c>
      <c r="H119" s="31">
        <v>0.8</v>
      </c>
      <c r="I119" s="26">
        <v>0.6</v>
      </c>
      <c r="J119" s="26">
        <v>177.6</v>
      </c>
      <c r="K119" s="26">
        <v>243.5</v>
      </c>
      <c r="L119" s="26">
        <v>293.39999999999998</v>
      </c>
      <c r="M119" s="26">
        <v>3.2</v>
      </c>
      <c r="N119" s="26">
        <v>1.9</v>
      </c>
      <c r="O119" s="7"/>
      <c r="P119" s="28"/>
      <c r="Q119" s="28"/>
      <c r="R119" s="28"/>
    </row>
    <row r="120" spans="1:18" x14ac:dyDescent="0.3">
      <c r="A120" s="30" t="s">
        <v>286</v>
      </c>
      <c r="B120" s="29" t="s">
        <v>287</v>
      </c>
      <c r="C120" s="32">
        <v>184.6</v>
      </c>
      <c r="D120" s="26">
        <v>174.5</v>
      </c>
      <c r="E120" s="26">
        <v>166.6</v>
      </c>
      <c r="F120" s="13">
        <v>-10.099999999999994</v>
      </c>
      <c r="G120" s="26">
        <v>-7.9</v>
      </c>
      <c r="H120" s="31">
        <v>-0.6</v>
      </c>
      <c r="I120" s="26">
        <v>-0.5</v>
      </c>
      <c r="J120" s="26">
        <v>65.400000000000006</v>
      </c>
      <c r="K120" s="26">
        <v>74.8</v>
      </c>
      <c r="L120" s="26">
        <v>85.2</v>
      </c>
      <c r="M120" s="26">
        <v>1.4</v>
      </c>
      <c r="N120" s="26">
        <v>1.3</v>
      </c>
      <c r="O120" s="7"/>
      <c r="P120" s="28"/>
      <c r="Q120" s="28"/>
      <c r="R120" s="28"/>
    </row>
    <row r="121" spans="1:18" x14ac:dyDescent="0.3">
      <c r="A121" s="29" t="s">
        <v>288</v>
      </c>
      <c r="B121" s="29" t="s">
        <v>289</v>
      </c>
      <c r="C121" s="13">
        <v>63.4</v>
      </c>
      <c r="D121" s="26">
        <v>65.8</v>
      </c>
      <c r="E121" s="26">
        <v>67.400000000000006</v>
      </c>
      <c r="F121" s="13">
        <v>2.3999999999999986</v>
      </c>
      <c r="G121" s="26">
        <v>1.6</v>
      </c>
      <c r="H121" s="31">
        <v>0.4</v>
      </c>
      <c r="I121" s="26">
        <v>0.2</v>
      </c>
      <c r="J121" s="26">
        <v>51.2</v>
      </c>
      <c r="K121" s="26">
        <v>51.8</v>
      </c>
      <c r="L121" s="26">
        <v>54.5</v>
      </c>
      <c r="M121" s="26">
        <v>0.1</v>
      </c>
      <c r="N121" s="26">
        <v>0.5</v>
      </c>
      <c r="O121" s="7"/>
      <c r="P121" s="28"/>
      <c r="Q121" s="28"/>
      <c r="R121" s="28"/>
    </row>
    <row r="122" spans="1:18" x14ac:dyDescent="0.3">
      <c r="A122" s="30" t="s">
        <v>290</v>
      </c>
      <c r="B122" s="29" t="s">
        <v>291</v>
      </c>
      <c r="C122" s="13">
        <v>1268.5999999999999</v>
      </c>
      <c r="D122" s="26">
        <v>1531</v>
      </c>
      <c r="E122" s="26">
        <v>1556.9</v>
      </c>
      <c r="F122" s="13">
        <v>262.40000000000009</v>
      </c>
      <c r="G122" s="26">
        <v>25.9</v>
      </c>
      <c r="H122" s="31">
        <v>1.9</v>
      </c>
      <c r="I122" s="26">
        <v>0.2</v>
      </c>
      <c r="J122" s="26">
        <v>258</v>
      </c>
      <c r="K122" s="26">
        <v>338.2</v>
      </c>
      <c r="L122" s="26">
        <v>417.3</v>
      </c>
      <c r="M122" s="26">
        <v>2.7</v>
      </c>
      <c r="N122" s="26">
        <v>2.1</v>
      </c>
      <c r="O122" s="7"/>
      <c r="P122" s="28"/>
      <c r="Q122" s="28"/>
      <c r="R122" s="28"/>
    </row>
    <row r="123" spans="1:18" x14ac:dyDescent="0.3">
      <c r="A123" s="30" t="s">
        <v>292</v>
      </c>
      <c r="B123" s="29" t="s">
        <v>293</v>
      </c>
      <c r="C123" s="32">
        <v>428.3</v>
      </c>
      <c r="D123" s="26">
        <v>499.2</v>
      </c>
      <c r="E123" s="26">
        <v>525.6</v>
      </c>
      <c r="F123" s="13">
        <v>70.899999999999977</v>
      </c>
      <c r="G123" s="26">
        <v>26.4</v>
      </c>
      <c r="H123" s="31">
        <v>1.5</v>
      </c>
      <c r="I123" s="26">
        <v>0.5</v>
      </c>
      <c r="J123" s="26">
        <v>47.7</v>
      </c>
      <c r="K123" s="26">
        <v>76.099999999999994</v>
      </c>
      <c r="L123" s="26">
        <v>92.5</v>
      </c>
      <c r="M123" s="26">
        <v>4.8</v>
      </c>
      <c r="N123" s="26">
        <v>2</v>
      </c>
      <c r="O123" s="7"/>
      <c r="P123" s="28"/>
      <c r="Q123" s="28"/>
      <c r="R123" s="28"/>
    </row>
    <row r="124" spans="1:18" x14ac:dyDescent="0.3">
      <c r="A124" s="30" t="s">
        <v>294</v>
      </c>
      <c r="B124" s="29" t="s">
        <v>295</v>
      </c>
      <c r="C124" s="13">
        <v>42.6</v>
      </c>
      <c r="D124" s="26">
        <v>51.2</v>
      </c>
      <c r="E124" s="26">
        <v>52.8</v>
      </c>
      <c r="F124" s="13">
        <v>8.6000000000000014</v>
      </c>
      <c r="G124" s="26">
        <v>1.6</v>
      </c>
      <c r="H124" s="31">
        <v>1.9</v>
      </c>
      <c r="I124" s="26">
        <v>0.3</v>
      </c>
      <c r="J124" s="26">
        <v>37.9</v>
      </c>
      <c r="K124" s="26">
        <v>43.8</v>
      </c>
      <c r="L124" s="26">
        <v>46.5</v>
      </c>
      <c r="M124" s="26">
        <v>1.5</v>
      </c>
      <c r="N124" s="26">
        <v>0.6</v>
      </c>
      <c r="O124" s="7"/>
      <c r="P124" s="28"/>
      <c r="Q124" s="28"/>
      <c r="R124" s="28"/>
    </row>
    <row r="125" spans="1:18" ht="25.5" x14ac:dyDescent="0.3">
      <c r="A125" s="29" t="s">
        <v>296</v>
      </c>
      <c r="B125" s="29" t="s">
        <v>297</v>
      </c>
      <c r="C125" s="32">
        <v>586.4</v>
      </c>
      <c r="D125" s="26">
        <v>790</v>
      </c>
      <c r="E125" s="26">
        <v>808.2</v>
      </c>
      <c r="F125" s="13">
        <v>203.60000000000002</v>
      </c>
      <c r="G125" s="26">
        <v>18.2</v>
      </c>
      <c r="H125" s="31">
        <v>3</v>
      </c>
      <c r="I125" s="26">
        <v>0.2</v>
      </c>
      <c r="J125" s="26">
        <v>94.4</v>
      </c>
      <c r="K125" s="26">
        <v>130.30000000000001</v>
      </c>
      <c r="L125" s="26">
        <v>159.69999999999999</v>
      </c>
      <c r="M125" s="26">
        <v>3.3</v>
      </c>
      <c r="N125" s="26">
        <v>2.1</v>
      </c>
      <c r="O125" s="7"/>
      <c r="P125" s="28"/>
      <c r="Q125" s="28"/>
      <c r="R125" s="28"/>
    </row>
    <row r="126" spans="1:18" x14ac:dyDescent="0.3">
      <c r="A126" s="30" t="s">
        <v>298</v>
      </c>
      <c r="B126" s="29" t="s">
        <v>299</v>
      </c>
      <c r="C126" s="13">
        <v>703.4</v>
      </c>
      <c r="D126" s="26">
        <v>607.29999999999995</v>
      </c>
      <c r="E126" s="26">
        <v>519.1</v>
      </c>
      <c r="F126" s="13">
        <v>-96.100000000000023</v>
      </c>
      <c r="G126" s="26">
        <v>-88.2</v>
      </c>
      <c r="H126" s="31">
        <v>-1.5</v>
      </c>
      <c r="I126" s="26">
        <v>-1.6</v>
      </c>
      <c r="J126" s="26">
        <v>73.5</v>
      </c>
      <c r="K126" s="26">
        <v>53.5</v>
      </c>
      <c r="L126" s="26">
        <v>49.3</v>
      </c>
      <c r="M126" s="26">
        <v>-3.1</v>
      </c>
      <c r="N126" s="26">
        <v>-0.8</v>
      </c>
      <c r="O126" s="5"/>
      <c r="P126" s="28"/>
      <c r="Q126" s="28"/>
      <c r="R126" s="28"/>
    </row>
    <row r="127" spans="1:18" x14ac:dyDescent="0.3">
      <c r="A127" s="30" t="s">
        <v>300</v>
      </c>
      <c r="B127" s="29" t="s">
        <v>301</v>
      </c>
      <c r="C127" s="13">
        <v>546.29999999999995</v>
      </c>
      <c r="D127" s="26">
        <v>815.8</v>
      </c>
      <c r="E127" s="26">
        <v>942.1</v>
      </c>
      <c r="F127" s="13">
        <v>269.5</v>
      </c>
      <c r="G127" s="26">
        <v>126.3</v>
      </c>
      <c r="H127" s="31">
        <v>4.0999999999999996</v>
      </c>
      <c r="I127" s="26">
        <v>1.4</v>
      </c>
      <c r="J127" s="26">
        <v>85.6</v>
      </c>
      <c r="K127" s="26">
        <v>82.1</v>
      </c>
      <c r="L127" s="26">
        <v>93</v>
      </c>
      <c r="M127" s="26">
        <v>-0.4</v>
      </c>
      <c r="N127" s="26">
        <v>1.3</v>
      </c>
      <c r="O127" s="7"/>
      <c r="P127" s="28"/>
      <c r="Q127" s="28"/>
      <c r="R127" s="28"/>
    </row>
    <row r="128" spans="1:18" x14ac:dyDescent="0.3">
      <c r="A128" s="30" t="s">
        <v>302</v>
      </c>
      <c r="B128" s="29" t="s">
        <v>303</v>
      </c>
      <c r="C128" s="13">
        <v>641.70000000000005</v>
      </c>
      <c r="D128" s="26">
        <v>1187.5999999999999</v>
      </c>
      <c r="E128" s="26">
        <v>1291.9000000000001</v>
      </c>
      <c r="F128" s="13">
        <v>545.89999999999986</v>
      </c>
      <c r="G128" s="26">
        <v>104.3</v>
      </c>
      <c r="H128" s="31">
        <v>6.3</v>
      </c>
      <c r="I128" s="26">
        <v>0.8</v>
      </c>
      <c r="J128" s="26">
        <v>126.9</v>
      </c>
      <c r="K128" s="26">
        <v>93.8</v>
      </c>
      <c r="L128" s="26">
        <v>98.4</v>
      </c>
      <c r="M128" s="26">
        <v>-3</v>
      </c>
      <c r="N128" s="26">
        <v>0.5</v>
      </c>
      <c r="O128" s="7"/>
      <c r="P128" s="28"/>
      <c r="Q128" s="28"/>
      <c r="R128" s="28"/>
    </row>
    <row r="129" spans="1:18" x14ac:dyDescent="0.3">
      <c r="A129" s="30" t="s">
        <v>304</v>
      </c>
      <c r="B129" s="29" t="s">
        <v>305</v>
      </c>
      <c r="C129" s="13">
        <v>2803.8</v>
      </c>
      <c r="D129" s="26">
        <v>2859.4</v>
      </c>
      <c r="E129" s="26">
        <v>2853.2</v>
      </c>
      <c r="F129" s="13">
        <v>55.599999999999909</v>
      </c>
      <c r="G129" s="26">
        <v>-6.2</v>
      </c>
      <c r="H129" s="27">
        <v>0.2</v>
      </c>
      <c r="I129" s="26">
        <v>0</v>
      </c>
      <c r="J129" s="26">
        <v>1226.5999999999999</v>
      </c>
      <c r="K129" s="26">
        <v>1914.2</v>
      </c>
      <c r="L129" s="26">
        <v>2489.5</v>
      </c>
      <c r="M129" s="26">
        <v>4.5999999999999996</v>
      </c>
      <c r="N129" s="26">
        <v>2.7</v>
      </c>
      <c r="O129" s="7"/>
      <c r="P129" s="28"/>
      <c r="Q129" s="28"/>
      <c r="R129" s="28"/>
    </row>
    <row r="130" spans="1:18" x14ac:dyDescent="0.3">
      <c r="A130" s="29" t="s">
        <v>306</v>
      </c>
      <c r="B130" s="29" t="s">
        <v>307</v>
      </c>
      <c r="C130" s="13">
        <v>796.4</v>
      </c>
      <c r="D130" s="26">
        <v>759.5</v>
      </c>
      <c r="E130" s="26">
        <v>754.7</v>
      </c>
      <c r="F130" s="13">
        <v>-36.899999999999977</v>
      </c>
      <c r="G130" s="26">
        <v>-4.8</v>
      </c>
      <c r="H130" s="27">
        <v>-0.5</v>
      </c>
      <c r="I130" s="26">
        <v>-0.1</v>
      </c>
      <c r="J130" s="26">
        <v>292.60000000000002</v>
      </c>
      <c r="K130" s="26">
        <v>357</v>
      </c>
      <c r="L130" s="26">
        <v>495.1</v>
      </c>
      <c r="M130" s="26">
        <v>2</v>
      </c>
      <c r="N130" s="26">
        <v>3.3</v>
      </c>
      <c r="O130" t="s">
        <v>22</v>
      </c>
      <c r="P130" s="28"/>
      <c r="Q130" s="28"/>
      <c r="R130" s="28"/>
    </row>
    <row r="131" spans="1:18" x14ac:dyDescent="0.3">
      <c r="A131" s="30" t="s">
        <v>308</v>
      </c>
      <c r="B131" s="29" t="s">
        <v>309</v>
      </c>
      <c r="C131" s="13">
        <v>538.70000000000005</v>
      </c>
      <c r="D131" s="26">
        <v>298.5</v>
      </c>
      <c r="E131" s="26">
        <v>199.3</v>
      </c>
      <c r="F131" s="13">
        <v>-240.20000000000005</v>
      </c>
      <c r="G131" s="26">
        <v>-99.2</v>
      </c>
      <c r="H131" s="27">
        <v>-5.7</v>
      </c>
      <c r="I131" s="26">
        <v>-4</v>
      </c>
      <c r="J131" s="26">
        <v>139.1</v>
      </c>
      <c r="K131" s="26">
        <v>121</v>
      </c>
      <c r="L131" s="26">
        <v>122.6</v>
      </c>
      <c r="M131" s="26">
        <v>-1.4</v>
      </c>
      <c r="N131" s="26">
        <v>0.1</v>
      </c>
      <c r="O131" s="7"/>
      <c r="P131" s="28"/>
      <c r="Q131" s="28"/>
      <c r="R131" s="28"/>
    </row>
    <row r="132" spans="1:18" x14ac:dyDescent="0.3">
      <c r="A132" s="30" t="s">
        <v>310</v>
      </c>
      <c r="B132" s="29" t="s">
        <v>311</v>
      </c>
      <c r="C132" s="13">
        <v>257.7</v>
      </c>
      <c r="D132" s="26">
        <v>461</v>
      </c>
      <c r="E132" s="26">
        <v>555.29999999999995</v>
      </c>
      <c r="F132" s="13">
        <v>203.3</v>
      </c>
      <c r="G132" s="26">
        <v>94.3</v>
      </c>
      <c r="H132" s="27">
        <v>6</v>
      </c>
      <c r="I132" s="26">
        <v>1.9</v>
      </c>
      <c r="J132" s="26">
        <v>154</v>
      </c>
      <c r="K132" s="26">
        <v>236.4</v>
      </c>
      <c r="L132" s="26">
        <v>378.1</v>
      </c>
      <c r="M132" s="26">
        <v>4.4000000000000004</v>
      </c>
      <c r="N132" s="26">
        <v>4.8</v>
      </c>
      <c r="O132" s="7"/>
      <c r="P132" s="28"/>
      <c r="Q132" s="28"/>
      <c r="R132" s="28"/>
    </row>
    <row r="133" spans="1:18" x14ac:dyDescent="0.3">
      <c r="A133" s="30" t="s">
        <v>312</v>
      </c>
      <c r="B133" s="29" t="s">
        <v>313</v>
      </c>
      <c r="C133" s="13">
        <v>357.6</v>
      </c>
      <c r="D133" s="26">
        <v>444</v>
      </c>
      <c r="E133" s="26">
        <v>492.9</v>
      </c>
      <c r="F133" s="13">
        <v>86.399999999999977</v>
      </c>
      <c r="G133" s="26">
        <v>48.9</v>
      </c>
      <c r="H133" s="27">
        <v>2.2000000000000002</v>
      </c>
      <c r="I133" s="26">
        <v>1</v>
      </c>
      <c r="J133" s="26">
        <v>128.6</v>
      </c>
      <c r="K133" s="26">
        <v>127.8</v>
      </c>
      <c r="L133" s="26">
        <v>139.5</v>
      </c>
      <c r="M133" s="26">
        <v>-0.1</v>
      </c>
      <c r="N133" s="26">
        <v>0.9</v>
      </c>
      <c r="O133" t="s">
        <v>22</v>
      </c>
      <c r="P133" s="28"/>
      <c r="Q133" s="28"/>
      <c r="R133" s="28"/>
    </row>
    <row r="134" spans="1:18" x14ac:dyDescent="0.3">
      <c r="A134" s="30" t="s">
        <v>314</v>
      </c>
      <c r="B134" s="29" t="s">
        <v>315</v>
      </c>
      <c r="C134" s="13">
        <v>300.60000000000002</v>
      </c>
      <c r="D134" s="26">
        <v>266.5</v>
      </c>
      <c r="E134" s="26">
        <v>246.9</v>
      </c>
      <c r="F134" s="13">
        <v>-34.100000000000023</v>
      </c>
      <c r="G134" s="26">
        <v>-19.600000000000001</v>
      </c>
      <c r="H134" s="27">
        <v>-1.2</v>
      </c>
      <c r="I134" s="26">
        <v>-0.8</v>
      </c>
      <c r="J134" s="26">
        <v>131</v>
      </c>
      <c r="K134" s="26">
        <v>197.5</v>
      </c>
      <c r="L134" s="26">
        <v>247.2</v>
      </c>
      <c r="M134" s="26">
        <v>4.2</v>
      </c>
      <c r="N134" s="26">
        <v>2.2999999999999998</v>
      </c>
      <c r="O134" t="s">
        <v>22</v>
      </c>
      <c r="P134" s="28"/>
      <c r="Q134" s="28"/>
      <c r="R134" s="28"/>
    </row>
    <row r="135" spans="1:18" x14ac:dyDescent="0.3">
      <c r="A135" s="30" t="s">
        <v>316</v>
      </c>
      <c r="B135" s="29" t="s">
        <v>317</v>
      </c>
      <c r="C135" s="13">
        <v>215.3</v>
      </c>
      <c r="D135" s="26">
        <v>213.5</v>
      </c>
      <c r="E135" s="26">
        <v>214.6</v>
      </c>
      <c r="F135" s="13">
        <v>-1.8000000000000114</v>
      </c>
      <c r="G135" s="26">
        <v>1.1000000000000001</v>
      </c>
      <c r="H135" s="27">
        <v>-0.1</v>
      </c>
      <c r="I135" s="26">
        <v>0.1</v>
      </c>
      <c r="J135" s="26">
        <v>64.900000000000006</v>
      </c>
      <c r="K135" s="26">
        <v>98.3</v>
      </c>
      <c r="L135" s="26">
        <v>124.5</v>
      </c>
      <c r="M135" s="26">
        <v>4.2</v>
      </c>
      <c r="N135" s="26">
        <v>2.4</v>
      </c>
      <c r="O135" s="7"/>
      <c r="P135" s="28"/>
      <c r="Q135" s="28"/>
      <c r="R135" s="28"/>
    </row>
    <row r="136" spans="1:18" x14ac:dyDescent="0.3">
      <c r="A136" s="30" t="s">
        <v>318</v>
      </c>
      <c r="B136" s="29" t="s">
        <v>319</v>
      </c>
      <c r="C136" s="13">
        <v>85.3</v>
      </c>
      <c r="D136" s="26">
        <v>53</v>
      </c>
      <c r="E136" s="26">
        <v>32.299999999999997</v>
      </c>
      <c r="F136" s="13">
        <v>-32.299999999999997</v>
      </c>
      <c r="G136" s="26">
        <v>-20.7</v>
      </c>
      <c r="H136" s="27">
        <v>-4.5999999999999996</v>
      </c>
      <c r="I136" s="26">
        <v>-4.8</v>
      </c>
      <c r="J136" s="26">
        <v>66</v>
      </c>
      <c r="K136" s="26">
        <v>99.2</v>
      </c>
      <c r="L136" s="26">
        <v>122.6</v>
      </c>
      <c r="M136" s="26">
        <v>4.2</v>
      </c>
      <c r="N136" s="26">
        <v>2.1</v>
      </c>
      <c r="O136" s="7"/>
      <c r="P136" s="28"/>
      <c r="Q136" s="28"/>
      <c r="R136" s="28"/>
    </row>
    <row r="137" spans="1:18" x14ac:dyDescent="0.3">
      <c r="A137" s="30" t="s">
        <v>320</v>
      </c>
      <c r="B137" s="29" t="s">
        <v>321</v>
      </c>
      <c r="C137" s="13">
        <v>965.7</v>
      </c>
      <c r="D137" s="26">
        <v>713</v>
      </c>
      <c r="E137" s="26" t="s">
        <v>322</v>
      </c>
      <c r="F137" s="13">
        <v>-252.70000000000005</v>
      </c>
      <c r="G137" s="26">
        <v>0</v>
      </c>
      <c r="H137" s="27">
        <v>-3</v>
      </c>
      <c r="I137" s="26">
        <v>0</v>
      </c>
      <c r="J137" s="26">
        <v>531.20000000000005</v>
      </c>
      <c r="K137" s="26">
        <v>763</v>
      </c>
      <c r="L137" s="26">
        <v>934.3</v>
      </c>
      <c r="M137" s="26">
        <v>3.7</v>
      </c>
      <c r="N137" s="26">
        <v>2</v>
      </c>
      <c r="O137" t="s">
        <v>23</v>
      </c>
      <c r="P137" s="28"/>
      <c r="Q137" s="28"/>
      <c r="R137" s="28"/>
    </row>
    <row r="138" spans="1:18" x14ac:dyDescent="0.3">
      <c r="A138" s="30" t="s">
        <v>323</v>
      </c>
      <c r="B138" s="29" t="s">
        <v>324</v>
      </c>
      <c r="C138" s="13">
        <v>635</v>
      </c>
      <c r="D138" s="26">
        <v>519.5</v>
      </c>
      <c r="E138" s="26">
        <v>419.3</v>
      </c>
      <c r="F138" s="13">
        <v>-115.5</v>
      </c>
      <c r="G138" s="26">
        <v>-100.2</v>
      </c>
      <c r="H138" s="27">
        <v>-2</v>
      </c>
      <c r="I138" s="26">
        <v>-2.1</v>
      </c>
      <c r="J138" s="26">
        <v>326.60000000000002</v>
      </c>
      <c r="K138" s="26">
        <v>335</v>
      </c>
      <c r="L138" s="26">
        <v>391</v>
      </c>
      <c r="M138" s="26">
        <v>0.3</v>
      </c>
      <c r="N138" s="26">
        <v>1.6</v>
      </c>
      <c r="O138" s="7"/>
      <c r="P138" s="28"/>
      <c r="Q138" s="28"/>
      <c r="R138" s="28"/>
    </row>
    <row r="139" spans="1:18" x14ac:dyDescent="0.3">
      <c r="A139" s="29" t="s">
        <v>325</v>
      </c>
      <c r="B139" s="29" t="s">
        <v>326</v>
      </c>
      <c r="C139" s="13">
        <v>186.9</v>
      </c>
      <c r="D139" s="26">
        <v>105.8</v>
      </c>
      <c r="E139" s="26">
        <v>104.1</v>
      </c>
      <c r="F139" s="13">
        <v>-81.100000000000009</v>
      </c>
      <c r="G139" s="26">
        <v>-1.7</v>
      </c>
      <c r="H139" s="27">
        <v>-5.5</v>
      </c>
      <c r="I139" s="26">
        <v>-0.2</v>
      </c>
      <c r="J139" s="26">
        <v>173.1</v>
      </c>
      <c r="K139" s="26">
        <v>398.4</v>
      </c>
      <c r="L139" s="26">
        <v>514.20000000000005</v>
      </c>
      <c r="M139" s="26">
        <v>8.6999999999999993</v>
      </c>
      <c r="N139" s="26">
        <v>2.6</v>
      </c>
      <c r="O139" s="7"/>
      <c r="P139" s="28"/>
      <c r="Q139" s="28"/>
      <c r="R139" s="28"/>
    </row>
    <row r="140" spans="1:18" ht="25.5" x14ac:dyDescent="0.3">
      <c r="A140" s="29" t="s">
        <v>327</v>
      </c>
      <c r="B140" s="29" t="s">
        <v>328</v>
      </c>
      <c r="C140" s="13">
        <v>143.80000000000001</v>
      </c>
      <c r="D140" s="26">
        <v>87.7</v>
      </c>
      <c r="E140" s="26">
        <v>77.900000000000006</v>
      </c>
      <c r="F140" s="13">
        <v>-56.100000000000009</v>
      </c>
      <c r="G140" s="26">
        <v>-9.8000000000000007</v>
      </c>
      <c r="H140" s="27">
        <v>-4.8</v>
      </c>
      <c r="I140" s="26">
        <v>-1.2</v>
      </c>
      <c r="J140" s="26">
        <v>34</v>
      </c>
      <c r="K140" s="26">
        <v>49.8</v>
      </c>
      <c r="L140" s="26">
        <v>64.5</v>
      </c>
      <c r="M140" s="26">
        <v>3.9</v>
      </c>
      <c r="N140" s="26">
        <v>2.6</v>
      </c>
      <c r="O140" s="7"/>
      <c r="P140" s="28"/>
      <c r="Q140" s="28"/>
      <c r="R140" s="28"/>
    </row>
    <row r="141" spans="1:18" x14ac:dyDescent="0.3">
      <c r="A141" s="30" t="s">
        <v>329</v>
      </c>
      <c r="B141" s="29" t="s">
        <v>330</v>
      </c>
      <c r="C141" s="13">
        <v>248.5</v>
      </c>
      <c r="D141" s="26">
        <v>338.8</v>
      </c>
      <c r="E141" s="26">
        <v>377.2</v>
      </c>
      <c r="F141" s="13">
        <v>90.300000000000011</v>
      </c>
      <c r="G141" s="26">
        <v>38.4</v>
      </c>
      <c r="H141" s="27">
        <v>3.1</v>
      </c>
      <c r="I141" s="26">
        <v>1.1000000000000001</v>
      </c>
      <c r="J141" s="26">
        <v>89.7</v>
      </c>
      <c r="K141" s="26">
        <v>235.9</v>
      </c>
      <c r="L141" s="26">
        <v>322.39999999999998</v>
      </c>
      <c r="M141" s="26">
        <v>10.199999999999999</v>
      </c>
      <c r="N141" s="26">
        <v>3.2</v>
      </c>
      <c r="O141" t="s">
        <v>24</v>
      </c>
      <c r="P141" s="28"/>
      <c r="Q141" s="28"/>
      <c r="R141" s="28"/>
    </row>
    <row r="142" spans="1:18" x14ac:dyDescent="0.3">
      <c r="A142" s="30" t="s">
        <v>331</v>
      </c>
      <c r="B142" s="29" t="s">
        <v>332</v>
      </c>
      <c r="C142" s="13">
        <v>135</v>
      </c>
      <c r="D142" s="26">
        <v>337.6</v>
      </c>
      <c r="E142" s="26">
        <v>380.2</v>
      </c>
      <c r="F142" s="13">
        <v>202.60000000000002</v>
      </c>
      <c r="G142" s="26">
        <v>42.6</v>
      </c>
      <c r="H142" s="27">
        <v>9.6</v>
      </c>
      <c r="I142" s="26">
        <v>1.2</v>
      </c>
      <c r="J142" s="26">
        <v>54</v>
      </c>
      <c r="K142" s="26">
        <v>242.5</v>
      </c>
      <c r="L142" s="26">
        <v>365</v>
      </c>
      <c r="M142" s="26">
        <v>16.2</v>
      </c>
      <c r="N142" s="26">
        <v>4.2</v>
      </c>
      <c r="O142" t="s">
        <v>24</v>
      </c>
      <c r="P142" s="28"/>
      <c r="Q142" s="28"/>
      <c r="R142" s="28"/>
    </row>
    <row r="143" spans="1:18" x14ac:dyDescent="0.3">
      <c r="A143" s="30" t="s">
        <v>333</v>
      </c>
      <c r="B143" s="29" t="s">
        <v>334</v>
      </c>
      <c r="C143" s="13">
        <v>5844.1</v>
      </c>
      <c r="D143" s="26">
        <v>6425.2</v>
      </c>
      <c r="E143" s="26">
        <v>6491.4</v>
      </c>
      <c r="F143" s="13">
        <v>581.09999999999945</v>
      </c>
      <c r="G143" s="26">
        <v>66.2</v>
      </c>
      <c r="H143" s="27">
        <v>1</v>
      </c>
      <c r="I143" s="26">
        <v>0.1</v>
      </c>
      <c r="J143" s="26">
        <v>2110.6</v>
      </c>
      <c r="K143" s="26">
        <v>2344.1</v>
      </c>
      <c r="L143" s="26">
        <v>2700.5</v>
      </c>
      <c r="M143" s="26">
        <v>1.1000000000000001</v>
      </c>
      <c r="N143" s="26">
        <v>1.4</v>
      </c>
      <c r="O143" t="s">
        <v>25</v>
      </c>
      <c r="P143" s="28"/>
      <c r="Q143" s="28"/>
      <c r="R143" s="28"/>
    </row>
    <row r="144" spans="1:18" x14ac:dyDescent="0.3">
      <c r="A144" s="30" t="s">
        <v>335</v>
      </c>
      <c r="B144" s="29" t="s">
        <v>336</v>
      </c>
      <c r="C144" s="13">
        <v>2611.1999999999998</v>
      </c>
      <c r="D144" s="26">
        <v>2671.2</v>
      </c>
      <c r="E144" s="26">
        <v>2665.1</v>
      </c>
      <c r="F144" s="13">
        <v>60</v>
      </c>
      <c r="G144" s="26">
        <v>-6.1</v>
      </c>
      <c r="H144" s="27">
        <v>0.2</v>
      </c>
      <c r="I144" s="26">
        <v>0</v>
      </c>
      <c r="J144" s="26">
        <v>802.9</v>
      </c>
      <c r="K144" s="26">
        <v>636.6</v>
      </c>
      <c r="L144" s="26">
        <v>695</v>
      </c>
      <c r="M144" s="26">
        <v>-2.2999999999999998</v>
      </c>
      <c r="N144" s="26">
        <v>0.9</v>
      </c>
      <c r="O144" s="7"/>
      <c r="P144" s="28"/>
      <c r="Q144" s="28"/>
      <c r="R144" s="28"/>
    </row>
    <row r="145" spans="1:18" ht="25.5" x14ac:dyDescent="0.3">
      <c r="A145" s="30" t="s">
        <v>337</v>
      </c>
      <c r="B145" s="29" t="s">
        <v>338</v>
      </c>
      <c r="C145" s="13">
        <v>862.1</v>
      </c>
      <c r="D145" s="26">
        <v>963.8</v>
      </c>
      <c r="E145" s="26">
        <v>990</v>
      </c>
      <c r="F145" s="13">
        <v>101.69999999999993</v>
      </c>
      <c r="G145" s="26">
        <v>26.2</v>
      </c>
      <c r="H145" s="27">
        <v>1.1000000000000001</v>
      </c>
      <c r="I145" s="26">
        <v>0.3</v>
      </c>
      <c r="J145" s="26">
        <v>628.4</v>
      </c>
      <c r="K145" s="26">
        <v>600.5</v>
      </c>
      <c r="L145" s="26">
        <v>656.7</v>
      </c>
      <c r="M145" s="26">
        <v>-0.5</v>
      </c>
      <c r="N145" s="26">
        <v>0.9</v>
      </c>
      <c r="O145" s="7"/>
      <c r="P145" s="28"/>
      <c r="Q145" s="28"/>
      <c r="R145" s="28"/>
    </row>
    <row r="146" spans="1:18" x14ac:dyDescent="0.3">
      <c r="A146" s="30" t="s">
        <v>339</v>
      </c>
      <c r="B146" s="29" t="s">
        <v>340</v>
      </c>
      <c r="C146" s="13">
        <v>2370.8000000000002</v>
      </c>
      <c r="D146" s="26">
        <v>2790.2</v>
      </c>
      <c r="E146" s="26">
        <v>2836.2</v>
      </c>
      <c r="F146" s="13">
        <v>419.39999999999964</v>
      </c>
      <c r="G146" s="26">
        <v>46</v>
      </c>
      <c r="H146" s="27">
        <v>1.6</v>
      </c>
      <c r="I146" s="26">
        <v>0.2</v>
      </c>
      <c r="J146" s="26">
        <v>683.6</v>
      </c>
      <c r="K146" s="26">
        <v>1142</v>
      </c>
      <c r="L146" s="26">
        <v>1406.7</v>
      </c>
      <c r="M146" s="26">
        <v>5.3</v>
      </c>
      <c r="N146" s="26">
        <v>2.1</v>
      </c>
      <c r="O146" s="7"/>
      <c r="P146" s="28"/>
      <c r="Q146" s="28"/>
      <c r="R146" s="28"/>
    </row>
    <row r="147" spans="1:18" x14ac:dyDescent="0.3">
      <c r="A147" s="30" t="s">
        <v>341</v>
      </c>
      <c r="B147" s="29" t="s">
        <v>342</v>
      </c>
      <c r="C147" s="13">
        <v>1463.3</v>
      </c>
      <c r="D147" s="26">
        <v>1598.5</v>
      </c>
      <c r="E147" s="26">
        <v>1586.7</v>
      </c>
      <c r="F147" s="13">
        <v>135.20000000000005</v>
      </c>
      <c r="G147" s="26">
        <v>-11.8</v>
      </c>
      <c r="H147" s="27">
        <v>0.9</v>
      </c>
      <c r="I147" s="26">
        <v>-0.1</v>
      </c>
      <c r="J147" s="26">
        <v>496.2</v>
      </c>
      <c r="K147" s="26">
        <v>719.4</v>
      </c>
      <c r="L147" s="26">
        <v>887.1</v>
      </c>
      <c r="M147" s="26">
        <v>3.8</v>
      </c>
      <c r="N147" s="26">
        <v>2.1</v>
      </c>
      <c r="O147" s="7"/>
      <c r="P147" s="28"/>
      <c r="Q147" s="28"/>
      <c r="R147" s="28"/>
    </row>
    <row r="148" spans="1:18" x14ac:dyDescent="0.3">
      <c r="A148" s="30" t="s">
        <v>343</v>
      </c>
      <c r="B148" s="29" t="s">
        <v>344</v>
      </c>
      <c r="C148" s="13">
        <v>907.5</v>
      </c>
      <c r="D148" s="26">
        <v>1191.7</v>
      </c>
      <c r="E148" s="26">
        <v>1249.5</v>
      </c>
      <c r="F148" s="13">
        <v>284.20000000000005</v>
      </c>
      <c r="G148" s="26">
        <v>57.8</v>
      </c>
      <c r="H148" s="27">
        <v>2.8</v>
      </c>
      <c r="I148" s="26">
        <v>0.5</v>
      </c>
      <c r="J148" s="26">
        <v>189.3</v>
      </c>
      <c r="K148" s="26">
        <v>423.5</v>
      </c>
      <c r="L148" s="26">
        <v>520.4</v>
      </c>
      <c r="M148" s="26">
        <v>8.4</v>
      </c>
      <c r="N148" s="26">
        <v>2.1</v>
      </c>
      <c r="O148" s="7"/>
      <c r="P148" s="28"/>
      <c r="Q148" s="28"/>
      <c r="R148" s="28"/>
    </row>
    <row r="149" spans="1:18" x14ac:dyDescent="0.3">
      <c r="A149" s="30" t="s">
        <v>345</v>
      </c>
      <c r="B149" s="29" t="s">
        <v>346</v>
      </c>
      <c r="C149" s="13">
        <v>1993.9</v>
      </c>
      <c r="D149" s="26">
        <v>2320.8000000000002</v>
      </c>
      <c r="E149" s="26">
        <v>2308.5</v>
      </c>
      <c r="F149" s="13">
        <v>326.90000000000009</v>
      </c>
      <c r="G149" s="26">
        <v>-12.3</v>
      </c>
      <c r="H149" s="27">
        <v>1.5</v>
      </c>
      <c r="I149" s="26">
        <v>-0.1</v>
      </c>
      <c r="J149" s="26">
        <v>1506.4</v>
      </c>
      <c r="K149" s="26">
        <v>1887.2</v>
      </c>
      <c r="L149" s="26">
        <v>2265.6</v>
      </c>
      <c r="M149" s="26">
        <v>2.2999999999999998</v>
      </c>
      <c r="N149" s="26">
        <v>1.8</v>
      </c>
      <c r="O149" s="7"/>
      <c r="P149" s="28"/>
      <c r="Q149" s="28"/>
      <c r="R149" s="28"/>
    </row>
    <row r="150" spans="1:18" x14ac:dyDescent="0.3">
      <c r="A150" s="30" t="s">
        <v>347</v>
      </c>
      <c r="B150" s="29" t="s">
        <v>348</v>
      </c>
      <c r="C150" s="13">
        <v>1420.1</v>
      </c>
      <c r="D150" s="26">
        <v>1718.1</v>
      </c>
      <c r="E150" s="26">
        <v>1726.4</v>
      </c>
      <c r="F150" s="13">
        <v>298</v>
      </c>
      <c r="G150" s="26">
        <v>8.3000000000000007</v>
      </c>
      <c r="H150" s="27">
        <v>1.9</v>
      </c>
      <c r="I150" s="26">
        <v>0</v>
      </c>
      <c r="J150" s="26">
        <v>1245.2</v>
      </c>
      <c r="K150" s="26">
        <v>1569.1</v>
      </c>
      <c r="L150" s="26">
        <v>1887.5</v>
      </c>
      <c r="M150" s="26">
        <v>2.2999999999999998</v>
      </c>
      <c r="N150" s="26">
        <v>1.9</v>
      </c>
      <c r="O150" t="s">
        <v>26</v>
      </c>
      <c r="P150" s="28"/>
      <c r="Q150" s="28"/>
      <c r="R150" s="28"/>
    </row>
    <row r="151" spans="1:18" x14ac:dyDescent="0.3">
      <c r="A151" s="30" t="s">
        <v>349</v>
      </c>
      <c r="B151" s="29" t="s">
        <v>350</v>
      </c>
      <c r="C151" s="13">
        <v>573.79999999999995</v>
      </c>
      <c r="D151" s="26">
        <v>602.70000000000005</v>
      </c>
      <c r="E151" s="26">
        <v>582.1</v>
      </c>
      <c r="F151" s="13">
        <v>28.900000000000091</v>
      </c>
      <c r="G151" s="26">
        <v>-20.6</v>
      </c>
      <c r="H151" s="27">
        <v>0.5</v>
      </c>
      <c r="I151" s="26">
        <v>-0.3</v>
      </c>
      <c r="J151" s="26">
        <v>261.2</v>
      </c>
      <c r="K151" s="26">
        <v>314.2</v>
      </c>
      <c r="L151" s="26">
        <v>371.9</v>
      </c>
      <c r="M151" s="26">
        <v>1.9</v>
      </c>
      <c r="N151" s="26">
        <v>1.7</v>
      </c>
      <c r="O151" t="s">
        <v>27</v>
      </c>
      <c r="P151" s="28"/>
      <c r="Q151" s="28"/>
      <c r="R151" s="28"/>
    </row>
    <row r="152" spans="1:18" x14ac:dyDescent="0.3">
      <c r="A152" s="30" t="s">
        <v>351</v>
      </c>
      <c r="B152" s="29" t="s">
        <v>352</v>
      </c>
      <c r="C152" s="13">
        <v>168</v>
      </c>
      <c r="D152" s="26">
        <v>226.6</v>
      </c>
      <c r="E152" s="26">
        <v>230.6</v>
      </c>
      <c r="F152" s="13">
        <v>58.599999999999994</v>
      </c>
      <c r="G152" s="26">
        <v>4</v>
      </c>
      <c r="H152" s="27">
        <v>3</v>
      </c>
      <c r="I152" s="26">
        <v>0.2</v>
      </c>
      <c r="J152" s="26">
        <v>44.3</v>
      </c>
      <c r="K152" s="26">
        <v>62.2</v>
      </c>
      <c r="L152" s="26">
        <v>78</v>
      </c>
      <c r="M152" s="26">
        <v>3.5</v>
      </c>
      <c r="N152" s="26">
        <v>2.2999999999999998</v>
      </c>
      <c r="O152" s="7"/>
      <c r="P152" s="28"/>
      <c r="Q152" s="28"/>
      <c r="R152" s="28"/>
    </row>
    <row r="153" spans="1:18" x14ac:dyDescent="0.3">
      <c r="A153" s="30" t="s">
        <v>353</v>
      </c>
      <c r="B153" s="29" t="s">
        <v>354</v>
      </c>
      <c r="C153" s="13">
        <v>263.60000000000002</v>
      </c>
      <c r="D153" s="26">
        <v>176.9</v>
      </c>
      <c r="E153" s="26">
        <v>131.69999999999999</v>
      </c>
      <c r="F153" s="13">
        <v>-86.700000000000017</v>
      </c>
      <c r="G153" s="26">
        <v>-45.2</v>
      </c>
      <c r="H153" s="27">
        <v>-3.9</v>
      </c>
      <c r="I153" s="26">
        <v>-2.9</v>
      </c>
      <c r="J153" s="26">
        <v>27.7</v>
      </c>
      <c r="K153" s="26">
        <v>32.5</v>
      </c>
      <c r="L153" s="26">
        <v>36.299999999999997</v>
      </c>
      <c r="M153" s="26">
        <v>1.6</v>
      </c>
      <c r="N153" s="26">
        <v>1.1000000000000001</v>
      </c>
      <c r="O153" s="7"/>
      <c r="P153" s="28"/>
      <c r="Q153" s="28"/>
      <c r="R153" s="28"/>
    </row>
    <row r="154" spans="1:18" ht="25.5" x14ac:dyDescent="0.3">
      <c r="A154" s="30" t="s">
        <v>355</v>
      </c>
      <c r="B154" s="29" t="s">
        <v>356</v>
      </c>
      <c r="C154" s="13">
        <v>115.7</v>
      </c>
      <c r="D154" s="26">
        <v>175.9</v>
      </c>
      <c r="E154" s="26">
        <v>200.3</v>
      </c>
      <c r="F154" s="13">
        <v>60.2</v>
      </c>
      <c r="G154" s="26">
        <v>24.4</v>
      </c>
      <c r="H154" s="27">
        <v>4.3</v>
      </c>
      <c r="I154" s="26">
        <v>1.3</v>
      </c>
      <c r="J154" s="26">
        <v>54.6</v>
      </c>
      <c r="K154" s="26">
        <v>66</v>
      </c>
      <c r="L154" s="26">
        <v>81.599999999999994</v>
      </c>
      <c r="M154" s="26">
        <v>1.9</v>
      </c>
      <c r="N154" s="26">
        <v>2.1</v>
      </c>
      <c r="O154" s="7"/>
      <c r="P154" s="28"/>
      <c r="Q154" s="28"/>
      <c r="R154" s="28"/>
    </row>
    <row r="155" spans="1:18" x14ac:dyDescent="0.3">
      <c r="A155" s="30" t="s">
        <v>357</v>
      </c>
      <c r="B155" s="29" t="s">
        <v>358</v>
      </c>
      <c r="C155" s="13">
        <v>26.5</v>
      </c>
      <c r="D155" s="26">
        <v>23.3</v>
      </c>
      <c r="E155" s="26">
        <v>19.600000000000001</v>
      </c>
      <c r="F155" s="13">
        <v>-3.1999999999999993</v>
      </c>
      <c r="G155" s="26">
        <v>-3.7</v>
      </c>
      <c r="H155" s="27">
        <v>-1.3</v>
      </c>
      <c r="I155" s="26">
        <v>-1.7</v>
      </c>
      <c r="J155" s="26">
        <v>134.80000000000001</v>
      </c>
      <c r="K155" s="26">
        <v>154</v>
      </c>
      <c r="L155" s="26">
        <v>176.1</v>
      </c>
      <c r="M155" s="26">
        <v>1.3</v>
      </c>
      <c r="N155" s="26">
        <v>1.4</v>
      </c>
      <c r="O155" s="7"/>
      <c r="P155" s="28"/>
      <c r="Q155" s="28"/>
      <c r="R155" s="28"/>
    </row>
    <row r="156" spans="1:18" x14ac:dyDescent="0.3">
      <c r="A156" s="30" t="s">
        <v>359</v>
      </c>
      <c r="B156" s="29" t="s">
        <v>360</v>
      </c>
      <c r="C156" s="13">
        <v>7553</v>
      </c>
      <c r="D156" s="26">
        <v>9542.7999999999993</v>
      </c>
      <c r="E156" s="26">
        <v>10577</v>
      </c>
      <c r="F156" s="13">
        <v>1989.7999999999993</v>
      </c>
      <c r="G156" s="26">
        <v>1034.2</v>
      </c>
      <c r="H156" s="27">
        <v>2.4</v>
      </c>
      <c r="I156" s="26">
        <v>1</v>
      </c>
      <c r="J156" s="26">
        <v>1639.2</v>
      </c>
      <c r="K156" s="26">
        <v>2249.1</v>
      </c>
      <c r="L156" s="26">
        <v>2826.5</v>
      </c>
      <c r="M156" s="26">
        <v>3.2</v>
      </c>
      <c r="N156" s="26">
        <v>2.2999999999999998</v>
      </c>
      <c r="O156" t="s">
        <v>27</v>
      </c>
      <c r="P156" s="28"/>
      <c r="Q156" s="28"/>
      <c r="R156" s="28"/>
    </row>
    <row r="157" spans="1:18" x14ac:dyDescent="0.3">
      <c r="A157" s="29" t="s">
        <v>361</v>
      </c>
      <c r="B157" s="29" t="s">
        <v>362</v>
      </c>
      <c r="C157" s="13">
        <v>1124.9000000000001</v>
      </c>
      <c r="D157" s="26">
        <v>1149.9000000000001</v>
      </c>
      <c r="E157" s="26">
        <v>1140.4000000000001</v>
      </c>
      <c r="F157" s="13">
        <v>25</v>
      </c>
      <c r="G157" s="26">
        <v>-9.5</v>
      </c>
      <c r="H157" s="27">
        <v>0.2</v>
      </c>
      <c r="I157" s="26">
        <v>-0.1</v>
      </c>
      <c r="J157" s="26">
        <v>305.3</v>
      </c>
      <c r="K157" s="26">
        <v>314.8</v>
      </c>
      <c r="L157" s="26">
        <v>367.7</v>
      </c>
      <c r="M157" s="26">
        <v>0.3</v>
      </c>
      <c r="N157" s="26">
        <v>1.6</v>
      </c>
      <c r="O157" s="7"/>
      <c r="P157" s="28"/>
      <c r="Q157" s="28"/>
      <c r="R157" s="28"/>
    </row>
    <row r="158" spans="1:18" x14ac:dyDescent="0.3">
      <c r="A158" s="30" t="s">
        <v>363</v>
      </c>
      <c r="B158" s="29" t="s">
        <v>364</v>
      </c>
      <c r="C158" s="13">
        <v>914.9</v>
      </c>
      <c r="D158" s="26">
        <v>1026.0999999999999</v>
      </c>
      <c r="E158" s="26">
        <v>1043.7</v>
      </c>
      <c r="F158" s="13">
        <v>111.19999999999993</v>
      </c>
      <c r="G158" s="26">
        <v>17.600000000000001</v>
      </c>
      <c r="H158" s="27">
        <v>1.2</v>
      </c>
      <c r="I158" s="26">
        <v>0.2</v>
      </c>
      <c r="J158" s="26">
        <v>152.80000000000001</v>
      </c>
      <c r="K158" s="26">
        <v>187.7</v>
      </c>
      <c r="L158" s="26">
        <v>230.2</v>
      </c>
      <c r="M158" s="26">
        <v>2.1</v>
      </c>
      <c r="N158" s="26">
        <v>2.1</v>
      </c>
      <c r="O158" s="7"/>
      <c r="P158" s="28"/>
      <c r="Q158" s="28"/>
      <c r="R158" s="28"/>
    </row>
    <row r="159" spans="1:18" x14ac:dyDescent="0.3">
      <c r="A159" s="30" t="s">
        <v>365</v>
      </c>
      <c r="B159" s="29" t="s">
        <v>366</v>
      </c>
      <c r="C159" s="13">
        <v>1325.5</v>
      </c>
      <c r="D159" s="26">
        <v>1512.9</v>
      </c>
      <c r="E159" s="26">
        <v>1519</v>
      </c>
      <c r="F159" s="13">
        <v>187.40000000000009</v>
      </c>
      <c r="G159" s="26">
        <v>6.1</v>
      </c>
      <c r="H159" s="27">
        <v>1.3</v>
      </c>
      <c r="I159" s="26">
        <v>0</v>
      </c>
      <c r="J159" s="26">
        <v>286.7</v>
      </c>
      <c r="K159" s="26">
        <v>347.8</v>
      </c>
      <c r="L159" s="26">
        <v>426.8</v>
      </c>
      <c r="M159" s="26">
        <v>2</v>
      </c>
      <c r="N159" s="26">
        <v>2.1</v>
      </c>
      <c r="O159" s="7"/>
      <c r="P159" s="28"/>
      <c r="Q159" s="28"/>
      <c r="R159" s="28"/>
    </row>
    <row r="160" spans="1:18" x14ac:dyDescent="0.3">
      <c r="A160" s="30" t="s">
        <v>367</v>
      </c>
      <c r="B160" s="29" t="s">
        <v>368</v>
      </c>
      <c r="C160" s="13">
        <v>123.6</v>
      </c>
      <c r="D160" s="26">
        <v>144.30000000000001</v>
      </c>
      <c r="E160" s="26">
        <v>138.30000000000001</v>
      </c>
      <c r="F160" s="13">
        <v>20.700000000000017</v>
      </c>
      <c r="G160" s="26">
        <v>-6</v>
      </c>
      <c r="H160" s="27">
        <v>1.6</v>
      </c>
      <c r="I160" s="26">
        <v>-0.4</v>
      </c>
      <c r="J160" s="26">
        <v>27.4</v>
      </c>
      <c r="K160" s="26">
        <v>34.700000000000003</v>
      </c>
      <c r="L160" s="26">
        <v>42.3</v>
      </c>
      <c r="M160" s="26">
        <v>2.4</v>
      </c>
      <c r="N160" s="26">
        <v>2</v>
      </c>
      <c r="O160" s="7"/>
      <c r="P160" s="28"/>
      <c r="Q160" s="28"/>
      <c r="R160" s="28"/>
    </row>
    <row r="161" spans="1:18" x14ac:dyDescent="0.3">
      <c r="A161" s="30" t="s">
        <v>369</v>
      </c>
      <c r="B161" s="29" t="s">
        <v>370</v>
      </c>
      <c r="C161" s="13">
        <v>1429</v>
      </c>
      <c r="D161" s="26">
        <v>2202.1999999999998</v>
      </c>
      <c r="E161" s="26">
        <v>2776.7</v>
      </c>
      <c r="F161" s="13">
        <v>773.19999999999982</v>
      </c>
      <c r="G161" s="26">
        <v>574.5</v>
      </c>
      <c r="H161" s="27">
        <v>4.4000000000000004</v>
      </c>
      <c r="I161" s="26">
        <v>2.2999999999999998</v>
      </c>
      <c r="J161" s="26">
        <v>269.3</v>
      </c>
      <c r="K161" s="26">
        <v>518.20000000000005</v>
      </c>
      <c r="L161" s="26">
        <v>712.4</v>
      </c>
      <c r="M161" s="26">
        <v>6.8</v>
      </c>
      <c r="N161" s="26">
        <v>3.2</v>
      </c>
      <c r="O161" s="7"/>
      <c r="P161" s="28"/>
      <c r="Q161" s="28"/>
      <c r="R161" s="28"/>
    </row>
    <row r="162" spans="1:18" x14ac:dyDescent="0.3">
      <c r="A162" s="30" t="s">
        <v>371</v>
      </c>
      <c r="B162" s="29" t="s">
        <v>372</v>
      </c>
      <c r="C162" s="13">
        <v>1026.5</v>
      </c>
      <c r="D162" s="26">
        <v>1531.1</v>
      </c>
      <c r="E162" s="26">
        <v>1865.3</v>
      </c>
      <c r="F162" s="13">
        <v>504.59999999999991</v>
      </c>
      <c r="G162" s="26">
        <v>334.2</v>
      </c>
      <c r="H162" s="27">
        <v>4.0999999999999996</v>
      </c>
      <c r="I162" s="26">
        <v>2</v>
      </c>
      <c r="J162" s="26">
        <v>198</v>
      </c>
      <c r="K162" s="26">
        <v>338.2</v>
      </c>
      <c r="L162" s="26">
        <v>433.1</v>
      </c>
      <c r="M162" s="26">
        <v>5.5</v>
      </c>
      <c r="N162" s="26">
        <v>2.5</v>
      </c>
      <c r="O162" s="7"/>
      <c r="P162" s="28"/>
      <c r="Q162" s="28"/>
      <c r="R162" s="28"/>
    </row>
    <row r="163" spans="1:18" x14ac:dyDescent="0.3">
      <c r="A163" s="30" t="s">
        <v>373</v>
      </c>
      <c r="B163" s="29" t="s">
        <v>374</v>
      </c>
      <c r="C163" s="13">
        <v>618.79999999999995</v>
      </c>
      <c r="D163" s="26">
        <v>728.6</v>
      </c>
      <c r="E163" s="26">
        <v>758.6</v>
      </c>
      <c r="F163" s="13">
        <v>109.80000000000007</v>
      </c>
      <c r="G163" s="26">
        <v>30</v>
      </c>
      <c r="H163" s="27">
        <v>1.6</v>
      </c>
      <c r="I163" s="26">
        <v>0.4</v>
      </c>
      <c r="J163" s="26">
        <v>170.6</v>
      </c>
      <c r="K163" s="26">
        <v>225.6</v>
      </c>
      <c r="L163" s="26">
        <v>279</v>
      </c>
      <c r="M163" s="26">
        <v>2.8</v>
      </c>
      <c r="N163" s="26">
        <v>2.1</v>
      </c>
      <c r="O163" s="7"/>
      <c r="P163" s="28"/>
      <c r="Q163" s="28"/>
      <c r="R163" s="28"/>
    </row>
    <row r="164" spans="1:18" x14ac:dyDescent="0.3">
      <c r="A164" s="30" t="s">
        <v>375</v>
      </c>
      <c r="B164" s="29" t="s">
        <v>376</v>
      </c>
      <c r="C164" s="13">
        <v>423.5</v>
      </c>
      <c r="D164" s="26">
        <v>492.7</v>
      </c>
      <c r="E164" s="26">
        <v>485.9</v>
      </c>
      <c r="F164" s="13">
        <v>69.199999999999989</v>
      </c>
      <c r="G164" s="26">
        <v>-6.8</v>
      </c>
      <c r="H164" s="27">
        <v>1.5</v>
      </c>
      <c r="I164" s="26">
        <v>-0.1</v>
      </c>
      <c r="J164" s="26">
        <v>120.5</v>
      </c>
      <c r="K164" s="26">
        <v>138.80000000000001</v>
      </c>
      <c r="L164" s="26">
        <v>177.8</v>
      </c>
      <c r="M164" s="26">
        <v>1.4</v>
      </c>
      <c r="N164" s="26">
        <v>2.5</v>
      </c>
      <c r="O164" s="7"/>
      <c r="P164" s="28"/>
      <c r="Q164" s="28"/>
      <c r="R164" s="28"/>
    </row>
    <row r="165" spans="1:18" x14ac:dyDescent="0.3">
      <c r="A165" s="30" t="s">
        <v>377</v>
      </c>
      <c r="B165" s="29" t="s">
        <v>378</v>
      </c>
      <c r="C165" s="13">
        <v>566.29999999999995</v>
      </c>
      <c r="D165" s="26">
        <v>755</v>
      </c>
      <c r="E165" s="26">
        <v>849.1</v>
      </c>
      <c r="F165" s="13">
        <v>188.70000000000005</v>
      </c>
      <c r="G165" s="26">
        <v>94.1</v>
      </c>
      <c r="H165" s="27">
        <v>2.9</v>
      </c>
      <c r="I165" s="26">
        <v>1.2</v>
      </c>
      <c r="J165" s="26">
        <v>111.8</v>
      </c>
      <c r="K165" s="26">
        <v>155.5</v>
      </c>
      <c r="L165" s="26">
        <v>190.3</v>
      </c>
      <c r="M165" s="26">
        <v>3.4</v>
      </c>
      <c r="N165" s="26">
        <v>2</v>
      </c>
      <c r="O165" s="7"/>
      <c r="P165" s="28"/>
      <c r="Q165" s="28"/>
      <c r="R165" s="28"/>
    </row>
    <row r="166" spans="1:18" x14ac:dyDescent="0.3">
      <c r="A166" s="30" t="s">
        <v>379</v>
      </c>
      <c r="B166" s="29" t="s">
        <v>380</v>
      </c>
      <c r="C166" s="13">
        <v>1872.4</v>
      </c>
      <c r="D166" s="26">
        <v>2427.4</v>
      </c>
      <c r="E166" s="26">
        <v>2558.5</v>
      </c>
      <c r="F166" s="13">
        <v>555</v>
      </c>
      <c r="G166" s="26">
        <v>131.1</v>
      </c>
      <c r="H166" s="27">
        <v>2.6</v>
      </c>
      <c r="I166" s="26">
        <v>0.5</v>
      </c>
      <c r="J166" s="26">
        <v>458.6</v>
      </c>
      <c r="K166" s="26">
        <v>491.5</v>
      </c>
      <c r="L166" s="26">
        <v>619.4</v>
      </c>
      <c r="M166" s="26">
        <v>0.7</v>
      </c>
      <c r="N166" s="26">
        <v>2.2999999999999998</v>
      </c>
      <c r="O166" t="s">
        <v>27</v>
      </c>
      <c r="P166" s="28"/>
      <c r="Q166" s="28"/>
      <c r="R166" s="28"/>
    </row>
    <row r="167" spans="1:18" ht="25.5" x14ac:dyDescent="0.3">
      <c r="A167" s="29" t="s">
        <v>381</v>
      </c>
      <c r="B167" s="29" t="s">
        <v>382</v>
      </c>
      <c r="C167" s="13">
        <v>7208.4</v>
      </c>
      <c r="D167" s="26">
        <v>9342.9</v>
      </c>
      <c r="E167" s="26">
        <v>9695.7999999999993</v>
      </c>
      <c r="F167" s="13">
        <v>2134.5</v>
      </c>
      <c r="G167" s="26">
        <v>352.9</v>
      </c>
      <c r="H167" s="27">
        <v>2.6</v>
      </c>
      <c r="I167" s="26">
        <v>0.4</v>
      </c>
      <c r="J167" s="26">
        <v>654.29999999999995</v>
      </c>
      <c r="K167" s="26">
        <v>1034.5</v>
      </c>
      <c r="L167" s="26">
        <v>1288.4000000000001</v>
      </c>
      <c r="M167" s="26">
        <v>4.7</v>
      </c>
      <c r="N167" s="26">
        <v>2.2000000000000002</v>
      </c>
      <c r="O167" s="7"/>
      <c r="P167" s="28"/>
      <c r="Q167" s="28"/>
      <c r="R167" s="28"/>
    </row>
    <row r="168" spans="1:18" x14ac:dyDescent="0.3">
      <c r="A168" s="29" t="s">
        <v>383</v>
      </c>
      <c r="B168" s="29" t="s">
        <v>384</v>
      </c>
      <c r="C168" s="13">
        <v>6856.7</v>
      </c>
      <c r="D168" s="26">
        <v>8888.4</v>
      </c>
      <c r="E168" s="26">
        <v>9209.7999999999993</v>
      </c>
      <c r="F168" s="13">
        <v>2031.6999999999998</v>
      </c>
      <c r="G168" s="26">
        <v>321.39999999999998</v>
      </c>
      <c r="H168" s="27">
        <v>2.6</v>
      </c>
      <c r="I168" s="26">
        <v>0.4</v>
      </c>
      <c r="J168" s="26">
        <v>575.20000000000005</v>
      </c>
      <c r="K168" s="26">
        <v>940.7</v>
      </c>
      <c r="L168" s="26">
        <v>1178.3</v>
      </c>
      <c r="M168" s="26">
        <v>5</v>
      </c>
      <c r="N168" s="26">
        <v>2.2999999999999998</v>
      </c>
      <c r="O168" t="s">
        <v>27</v>
      </c>
      <c r="P168" s="28"/>
      <c r="Q168" s="28"/>
      <c r="R168" s="28"/>
    </row>
    <row r="169" spans="1:18" x14ac:dyDescent="0.3">
      <c r="A169" s="30" t="s">
        <v>385</v>
      </c>
      <c r="B169" s="29" t="s">
        <v>386</v>
      </c>
      <c r="C169" s="13">
        <v>400.9</v>
      </c>
      <c r="D169" s="26">
        <v>526.1</v>
      </c>
      <c r="E169" s="26">
        <v>624.79999999999995</v>
      </c>
      <c r="F169" s="13">
        <v>125.20000000000005</v>
      </c>
      <c r="G169" s="26">
        <v>98.7</v>
      </c>
      <c r="H169" s="27">
        <v>2.8</v>
      </c>
      <c r="I169" s="26">
        <v>1.7</v>
      </c>
      <c r="J169" s="26">
        <v>43.1</v>
      </c>
      <c r="K169" s="26">
        <v>70.599999999999994</v>
      </c>
      <c r="L169" s="26">
        <v>89.6</v>
      </c>
      <c r="M169" s="26">
        <v>5.0999999999999996</v>
      </c>
      <c r="N169" s="26">
        <v>2.4</v>
      </c>
      <c r="O169" s="7"/>
      <c r="P169" s="28"/>
      <c r="Q169" s="28"/>
      <c r="R169" s="28"/>
    </row>
    <row r="170" spans="1:18" x14ac:dyDescent="0.3">
      <c r="A170" s="30" t="s">
        <v>387</v>
      </c>
      <c r="B170" s="29" t="s">
        <v>388</v>
      </c>
      <c r="C170" s="13">
        <v>133.19999999999999</v>
      </c>
      <c r="D170" s="26">
        <v>164.4</v>
      </c>
      <c r="E170" s="26">
        <v>165</v>
      </c>
      <c r="F170" s="13">
        <v>31.200000000000017</v>
      </c>
      <c r="G170" s="26">
        <v>0.6</v>
      </c>
      <c r="H170" s="27">
        <v>2.1</v>
      </c>
      <c r="I170" s="26">
        <v>0</v>
      </c>
      <c r="J170" s="26">
        <v>26.8</v>
      </c>
      <c r="K170" s="26">
        <v>39.299999999999997</v>
      </c>
      <c r="L170" s="26">
        <v>48.8</v>
      </c>
      <c r="M170" s="26">
        <v>3.9</v>
      </c>
      <c r="N170" s="26">
        <v>2.2000000000000002</v>
      </c>
      <c r="O170" s="7"/>
      <c r="P170" s="28"/>
      <c r="Q170" s="28"/>
      <c r="R170" s="28"/>
    </row>
    <row r="171" spans="1:18" x14ac:dyDescent="0.3">
      <c r="A171" s="30" t="s">
        <v>389</v>
      </c>
      <c r="B171" s="29" t="s">
        <v>390</v>
      </c>
      <c r="C171" s="13">
        <v>2481.6999999999998</v>
      </c>
      <c r="D171" s="26">
        <v>3637.3</v>
      </c>
      <c r="E171" s="26">
        <v>3619.6</v>
      </c>
      <c r="F171" s="13">
        <v>1155.6000000000004</v>
      </c>
      <c r="G171" s="26">
        <v>-17.7</v>
      </c>
      <c r="H171" s="27">
        <v>3.9</v>
      </c>
      <c r="I171" s="26">
        <v>0</v>
      </c>
      <c r="J171" s="26">
        <v>190.1</v>
      </c>
      <c r="K171" s="26">
        <v>364.6</v>
      </c>
      <c r="L171" s="26">
        <v>465</v>
      </c>
      <c r="M171" s="26">
        <v>6.7</v>
      </c>
      <c r="N171" s="26">
        <v>2.5</v>
      </c>
      <c r="O171" s="7"/>
      <c r="P171" s="28"/>
      <c r="Q171" s="28"/>
      <c r="R171" s="28"/>
    </row>
    <row r="172" spans="1:18" x14ac:dyDescent="0.3">
      <c r="A172" s="30" t="s">
        <v>391</v>
      </c>
      <c r="B172" s="29" t="s">
        <v>392</v>
      </c>
      <c r="C172" s="13">
        <v>822</v>
      </c>
      <c r="D172" s="26">
        <v>877.6</v>
      </c>
      <c r="E172" s="26">
        <v>1006</v>
      </c>
      <c r="F172" s="13">
        <v>55.600000000000023</v>
      </c>
      <c r="G172" s="26">
        <v>128.4</v>
      </c>
      <c r="H172" s="27">
        <v>0.7</v>
      </c>
      <c r="I172" s="26">
        <v>1.4</v>
      </c>
      <c r="J172" s="26">
        <v>65</v>
      </c>
      <c r="K172" s="26">
        <v>96.8</v>
      </c>
      <c r="L172" s="26">
        <v>121</v>
      </c>
      <c r="M172" s="26">
        <v>4.0999999999999996</v>
      </c>
      <c r="N172" s="26">
        <v>2.2999999999999998</v>
      </c>
      <c r="O172" s="7"/>
      <c r="P172" s="28"/>
      <c r="Q172" s="28"/>
      <c r="R172" s="28"/>
    </row>
    <row r="173" spans="1:18" x14ac:dyDescent="0.3">
      <c r="A173" s="30" t="s">
        <v>393</v>
      </c>
      <c r="B173" s="29" t="s">
        <v>394</v>
      </c>
      <c r="C173" s="13">
        <v>193.8</v>
      </c>
      <c r="D173" s="26">
        <v>219.5</v>
      </c>
      <c r="E173" s="26">
        <v>153.5</v>
      </c>
      <c r="F173" s="13">
        <v>25.699999999999989</v>
      </c>
      <c r="G173" s="26">
        <v>-66</v>
      </c>
      <c r="H173" s="27">
        <v>1.3</v>
      </c>
      <c r="I173" s="26">
        <v>-3.5</v>
      </c>
      <c r="J173" s="26">
        <v>37.700000000000003</v>
      </c>
      <c r="K173" s="26">
        <v>58.7</v>
      </c>
      <c r="L173" s="26">
        <v>71.599999999999994</v>
      </c>
      <c r="M173" s="26">
        <v>4.5</v>
      </c>
      <c r="N173" s="26">
        <v>2</v>
      </c>
      <c r="O173" s="7"/>
      <c r="P173" s="28"/>
      <c r="Q173" s="28"/>
      <c r="R173" s="28"/>
    </row>
    <row r="174" spans="1:18" x14ac:dyDescent="0.3">
      <c r="A174" s="30" t="s">
        <v>395</v>
      </c>
      <c r="B174" s="29" t="s">
        <v>396</v>
      </c>
      <c r="C174" s="13">
        <v>789.7</v>
      </c>
      <c r="D174" s="26">
        <v>956.1</v>
      </c>
      <c r="E174" s="26">
        <v>1017.9</v>
      </c>
      <c r="F174" s="13">
        <v>166.39999999999998</v>
      </c>
      <c r="G174" s="26">
        <v>61.8</v>
      </c>
      <c r="H174" s="27">
        <v>1.9</v>
      </c>
      <c r="I174" s="26">
        <v>0.6</v>
      </c>
      <c r="J174" s="26">
        <v>43.1</v>
      </c>
      <c r="K174" s="26">
        <v>69.2</v>
      </c>
      <c r="L174" s="26">
        <v>85.9</v>
      </c>
      <c r="M174" s="26">
        <v>4.9000000000000004</v>
      </c>
      <c r="N174" s="26">
        <v>2.2000000000000002</v>
      </c>
      <c r="O174" s="7"/>
      <c r="P174" s="28"/>
      <c r="Q174" s="28"/>
      <c r="R174" s="28"/>
    </row>
    <row r="175" spans="1:18" x14ac:dyDescent="0.3">
      <c r="A175" s="30" t="s">
        <v>397</v>
      </c>
      <c r="B175" s="29" t="s">
        <v>398</v>
      </c>
      <c r="C175" s="13">
        <v>1753.3</v>
      </c>
      <c r="D175" s="26">
        <v>2168.4</v>
      </c>
      <c r="E175" s="26">
        <v>2274.1999999999998</v>
      </c>
      <c r="F175" s="13">
        <v>415.10000000000014</v>
      </c>
      <c r="G175" s="26">
        <v>105.8</v>
      </c>
      <c r="H175" s="27">
        <v>2.1</v>
      </c>
      <c r="I175" s="26">
        <v>0.5</v>
      </c>
      <c r="J175" s="26">
        <v>131.5</v>
      </c>
      <c r="K175" s="26">
        <v>188.7</v>
      </c>
      <c r="L175" s="26">
        <v>230.8</v>
      </c>
      <c r="M175" s="26">
        <v>3.7</v>
      </c>
      <c r="N175" s="26">
        <v>2</v>
      </c>
      <c r="O175" s="7"/>
      <c r="P175" s="28"/>
      <c r="Q175" s="28"/>
      <c r="R175" s="28"/>
    </row>
    <row r="176" spans="1:18" x14ac:dyDescent="0.3">
      <c r="A176" s="30" t="s">
        <v>399</v>
      </c>
      <c r="B176" s="29" t="s">
        <v>400</v>
      </c>
      <c r="C176" s="13">
        <v>282.10000000000002</v>
      </c>
      <c r="D176" s="26">
        <v>339</v>
      </c>
      <c r="E176" s="26">
        <v>348.7</v>
      </c>
      <c r="F176" s="13">
        <v>56.899999999999977</v>
      </c>
      <c r="G176" s="26">
        <v>9.6999999999999993</v>
      </c>
      <c r="H176" s="27">
        <v>1.9</v>
      </c>
      <c r="I176" s="26">
        <v>0.3</v>
      </c>
      <c r="J176" s="26">
        <v>38.1</v>
      </c>
      <c r="K176" s="26">
        <v>53.5</v>
      </c>
      <c r="L176" s="26">
        <v>67.099999999999994</v>
      </c>
      <c r="M176" s="26">
        <v>3.5</v>
      </c>
      <c r="N176" s="26">
        <v>2.2999999999999998</v>
      </c>
      <c r="O176" s="7"/>
      <c r="P176" s="28"/>
      <c r="Q176" s="28"/>
      <c r="R176" s="28"/>
    </row>
    <row r="177" spans="1:18" x14ac:dyDescent="0.3">
      <c r="A177" s="29" t="s">
        <v>401</v>
      </c>
      <c r="B177" s="29" t="s">
        <v>402</v>
      </c>
      <c r="C177" s="13">
        <v>351.7</v>
      </c>
      <c r="D177" s="26">
        <v>454.5</v>
      </c>
      <c r="E177" s="26">
        <v>486.1</v>
      </c>
      <c r="F177" s="13">
        <v>102.80000000000001</v>
      </c>
      <c r="G177" s="26">
        <v>31.6</v>
      </c>
      <c r="H177" s="27">
        <v>2.6</v>
      </c>
      <c r="I177" s="26">
        <v>0.7</v>
      </c>
      <c r="J177" s="26">
        <v>79.099999999999994</v>
      </c>
      <c r="K177" s="26">
        <v>94.2</v>
      </c>
      <c r="L177" s="26">
        <v>111.2</v>
      </c>
      <c r="M177" s="26">
        <v>1.8</v>
      </c>
      <c r="N177" s="26">
        <v>1.7</v>
      </c>
      <c r="O177" t="s">
        <v>47</v>
      </c>
      <c r="P177" s="28"/>
      <c r="Q177" s="28"/>
      <c r="R177" s="28"/>
    </row>
    <row r="178" spans="1:18" x14ac:dyDescent="0.3">
      <c r="A178" s="30" t="s">
        <v>403</v>
      </c>
      <c r="B178" s="29" t="s">
        <v>404</v>
      </c>
      <c r="C178" s="13">
        <v>3090.5</v>
      </c>
      <c r="D178" s="26">
        <v>3764.5</v>
      </c>
      <c r="E178" s="26">
        <v>4230</v>
      </c>
      <c r="F178" s="13">
        <v>674</v>
      </c>
      <c r="G178" s="26">
        <v>465.5</v>
      </c>
      <c r="H178" s="27">
        <v>2</v>
      </c>
      <c r="I178" s="26">
        <v>1.2</v>
      </c>
      <c r="J178" s="26">
        <v>314</v>
      </c>
      <c r="K178" s="26">
        <v>313.10000000000002</v>
      </c>
      <c r="L178" s="26">
        <v>371.3</v>
      </c>
      <c r="M178" s="26">
        <v>0</v>
      </c>
      <c r="N178" s="26">
        <v>1.7</v>
      </c>
      <c r="O178" t="s">
        <v>29</v>
      </c>
      <c r="P178" s="28"/>
      <c r="Q178" s="28"/>
      <c r="R178" s="28"/>
    </row>
    <row r="179" spans="1:18" x14ac:dyDescent="0.3">
      <c r="A179" s="30" t="s">
        <v>405</v>
      </c>
      <c r="B179" s="29" t="s">
        <v>406</v>
      </c>
      <c r="C179" s="13">
        <v>855.9</v>
      </c>
      <c r="D179" s="26">
        <v>1106.5</v>
      </c>
      <c r="E179" s="26">
        <v>1254.5999999999999</v>
      </c>
      <c r="F179" s="13">
        <v>250.60000000000002</v>
      </c>
      <c r="G179" s="26">
        <v>148.1</v>
      </c>
      <c r="H179" s="27">
        <v>2.6</v>
      </c>
      <c r="I179" s="26">
        <v>1.3</v>
      </c>
      <c r="J179" s="26">
        <v>40.200000000000003</v>
      </c>
      <c r="K179" s="26">
        <v>36.1</v>
      </c>
      <c r="L179" s="26">
        <v>41.8</v>
      </c>
      <c r="M179" s="26">
        <v>-1.1000000000000001</v>
      </c>
      <c r="N179" s="26">
        <v>1.5</v>
      </c>
      <c r="O179" s="7"/>
      <c r="P179" s="28"/>
      <c r="Q179" s="28"/>
      <c r="R179" s="28"/>
    </row>
    <row r="180" spans="1:18" x14ac:dyDescent="0.3">
      <c r="A180" s="29" t="s">
        <v>407</v>
      </c>
      <c r="B180" s="29" t="s">
        <v>408</v>
      </c>
      <c r="C180" s="13">
        <v>1643.3</v>
      </c>
      <c r="D180" s="26">
        <v>1841.1</v>
      </c>
      <c r="E180" s="26">
        <v>1983.4</v>
      </c>
      <c r="F180" s="13">
        <v>197.79999999999995</v>
      </c>
      <c r="G180" s="26">
        <v>142.30000000000001</v>
      </c>
      <c r="H180" s="27">
        <v>1.1000000000000001</v>
      </c>
      <c r="I180" s="26">
        <v>0.7</v>
      </c>
      <c r="J180" s="26">
        <v>205.8</v>
      </c>
      <c r="K180" s="26">
        <v>207.6</v>
      </c>
      <c r="L180" s="26">
        <v>244.9</v>
      </c>
      <c r="M180" s="26">
        <v>0.1</v>
      </c>
      <c r="N180" s="26">
        <v>1.7</v>
      </c>
      <c r="O180" s="7"/>
      <c r="P180" s="28"/>
      <c r="Q180" s="28"/>
      <c r="R180" s="28"/>
    </row>
    <row r="181" spans="1:18" x14ac:dyDescent="0.3">
      <c r="A181" s="30" t="s">
        <v>409</v>
      </c>
      <c r="B181" s="29" t="s">
        <v>410</v>
      </c>
      <c r="C181" s="13">
        <v>591.29999999999995</v>
      </c>
      <c r="D181" s="26">
        <v>816.9</v>
      </c>
      <c r="E181" s="26">
        <v>992</v>
      </c>
      <c r="F181" s="13">
        <v>225.60000000000002</v>
      </c>
      <c r="G181" s="26">
        <v>175.1</v>
      </c>
      <c r="H181" s="27">
        <v>3.3</v>
      </c>
      <c r="I181" s="26">
        <v>2</v>
      </c>
      <c r="J181" s="26">
        <v>67.900000000000006</v>
      </c>
      <c r="K181" s="26">
        <v>69.599999999999994</v>
      </c>
      <c r="L181" s="26">
        <v>85</v>
      </c>
      <c r="M181" s="26">
        <v>0.2</v>
      </c>
      <c r="N181" s="26">
        <v>2</v>
      </c>
      <c r="O181" s="7"/>
      <c r="P181" s="28"/>
      <c r="Q181" s="28"/>
      <c r="R181" s="28"/>
    </row>
    <row r="182" spans="1:18" x14ac:dyDescent="0.3">
      <c r="A182" s="30" t="s">
        <v>411</v>
      </c>
      <c r="B182" s="29" t="s">
        <v>412</v>
      </c>
      <c r="C182" s="13">
        <v>16539.8</v>
      </c>
      <c r="D182" s="26">
        <v>20412.599999999999</v>
      </c>
      <c r="E182" s="26">
        <v>23491.7</v>
      </c>
      <c r="F182" s="13">
        <v>3872.7999999999993</v>
      </c>
      <c r="G182" s="26">
        <v>3079.1</v>
      </c>
      <c r="H182" s="27">
        <v>2.1</v>
      </c>
      <c r="I182" s="26">
        <v>1.4</v>
      </c>
      <c r="J182" s="26">
        <v>1829.6</v>
      </c>
      <c r="K182" s="26">
        <v>2402.3000000000002</v>
      </c>
      <c r="L182" s="26">
        <v>3201.2</v>
      </c>
      <c r="M182" s="26">
        <v>2.8</v>
      </c>
      <c r="N182" s="26">
        <v>2.9</v>
      </c>
      <c r="O182" t="s">
        <v>30</v>
      </c>
      <c r="P182" s="28"/>
      <c r="Q182" s="28"/>
      <c r="R182" s="28"/>
    </row>
    <row r="183" spans="1:18" x14ac:dyDescent="0.3">
      <c r="A183" s="29" t="s">
        <v>413</v>
      </c>
      <c r="B183" s="29" t="s">
        <v>414</v>
      </c>
      <c r="C183" s="13">
        <v>5793.3</v>
      </c>
      <c r="D183" s="26">
        <v>7697.3</v>
      </c>
      <c r="E183" s="26">
        <v>9124.1</v>
      </c>
      <c r="F183" s="13">
        <v>1904</v>
      </c>
      <c r="G183" s="26">
        <v>1426.8</v>
      </c>
      <c r="H183" s="27">
        <v>2.9</v>
      </c>
      <c r="I183" s="26">
        <v>1.7</v>
      </c>
      <c r="J183" s="26">
        <v>811.4</v>
      </c>
      <c r="K183" s="26">
        <v>1086.5999999999999</v>
      </c>
      <c r="L183" s="26">
        <v>1457.6</v>
      </c>
      <c r="M183" s="26">
        <v>3</v>
      </c>
      <c r="N183" s="26">
        <v>3</v>
      </c>
      <c r="O183" s="7"/>
      <c r="P183" s="28"/>
      <c r="Q183" s="28"/>
      <c r="R183" s="28"/>
    </row>
    <row r="184" spans="1:18" x14ac:dyDescent="0.3">
      <c r="A184" s="30" t="s">
        <v>415</v>
      </c>
      <c r="B184" s="29" t="s">
        <v>416</v>
      </c>
      <c r="C184" s="13">
        <v>2231</v>
      </c>
      <c r="D184" s="26">
        <v>2672</v>
      </c>
      <c r="E184" s="26">
        <v>2978.9</v>
      </c>
      <c r="F184" s="13">
        <v>441</v>
      </c>
      <c r="G184" s="26">
        <v>306.89999999999998</v>
      </c>
      <c r="H184" s="27">
        <v>1.8</v>
      </c>
      <c r="I184" s="26">
        <v>1.1000000000000001</v>
      </c>
      <c r="J184" s="26">
        <v>399.7</v>
      </c>
      <c r="K184" s="26">
        <v>541.1</v>
      </c>
      <c r="L184" s="26">
        <v>738.6</v>
      </c>
      <c r="M184" s="26">
        <v>3.1</v>
      </c>
      <c r="N184" s="26">
        <v>3.2</v>
      </c>
      <c r="O184" s="7"/>
      <c r="P184" s="28"/>
      <c r="Q184" s="28"/>
      <c r="R184" s="28"/>
    </row>
    <row r="185" spans="1:18" x14ac:dyDescent="0.3">
      <c r="A185" s="30" t="s">
        <v>417</v>
      </c>
      <c r="B185" s="29" t="s">
        <v>418</v>
      </c>
      <c r="C185" s="13">
        <v>817.6</v>
      </c>
      <c r="D185" s="26">
        <v>969.3</v>
      </c>
      <c r="E185" s="26">
        <v>1021.9</v>
      </c>
      <c r="F185" s="13">
        <v>151.69999999999993</v>
      </c>
      <c r="G185" s="26">
        <v>52.6</v>
      </c>
      <c r="H185" s="27">
        <v>1.7</v>
      </c>
      <c r="I185" s="26">
        <v>0.5</v>
      </c>
      <c r="J185" s="26">
        <v>109.9</v>
      </c>
      <c r="K185" s="26">
        <v>118.9</v>
      </c>
      <c r="L185" s="26">
        <v>142</v>
      </c>
      <c r="M185" s="26">
        <v>0.8</v>
      </c>
      <c r="N185" s="26">
        <v>1.8</v>
      </c>
      <c r="O185" s="7"/>
      <c r="P185" s="28"/>
      <c r="Q185" s="28"/>
      <c r="R185" s="28"/>
    </row>
    <row r="186" spans="1:18" x14ac:dyDescent="0.3">
      <c r="A186" s="30" t="s">
        <v>419</v>
      </c>
      <c r="B186" s="29" t="s">
        <v>420</v>
      </c>
      <c r="C186" s="13">
        <v>647.29999999999995</v>
      </c>
      <c r="D186" s="26">
        <v>968.8</v>
      </c>
      <c r="E186" s="26">
        <v>1207.8</v>
      </c>
      <c r="F186" s="13">
        <v>321.5</v>
      </c>
      <c r="G186" s="26">
        <v>239</v>
      </c>
      <c r="H186" s="27">
        <v>4.0999999999999996</v>
      </c>
      <c r="I186" s="26">
        <v>2.2000000000000002</v>
      </c>
      <c r="J186" s="26">
        <v>76.900000000000006</v>
      </c>
      <c r="K186" s="26">
        <v>110.9</v>
      </c>
      <c r="L186" s="26">
        <v>150.69999999999999</v>
      </c>
      <c r="M186" s="26">
        <v>3.7</v>
      </c>
      <c r="N186" s="26">
        <v>3.1</v>
      </c>
      <c r="O186" s="7"/>
      <c r="P186" s="28"/>
      <c r="Q186" s="28"/>
      <c r="R186" s="28"/>
    </row>
    <row r="187" spans="1:18" x14ac:dyDescent="0.3">
      <c r="A187" s="30" t="s">
        <v>421</v>
      </c>
      <c r="B187" s="29" t="s">
        <v>422</v>
      </c>
      <c r="C187" s="13">
        <v>605.6</v>
      </c>
      <c r="D187" s="26">
        <v>963</v>
      </c>
      <c r="E187" s="26">
        <v>1239.5999999999999</v>
      </c>
      <c r="F187" s="13">
        <v>357.4</v>
      </c>
      <c r="G187" s="26">
        <v>276.60000000000002</v>
      </c>
      <c r="H187" s="27">
        <v>4.7</v>
      </c>
      <c r="I187" s="26">
        <v>2.6</v>
      </c>
      <c r="J187" s="26">
        <v>87.7</v>
      </c>
      <c r="K187" s="26">
        <v>122.3</v>
      </c>
      <c r="L187" s="26">
        <v>167.6</v>
      </c>
      <c r="M187" s="26">
        <v>3.4</v>
      </c>
      <c r="N187" s="26">
        <v>3.2</v>
      </c>
      <c r="O187" s="7"/>
      <c r="P187" s="28"/>
      <c r="Q187" s="28"/>
      <c r="R187" s="28"/>
    </row>
    <row r="188" spans="1:18" x14ac:dyDescent="0.3">
      <c r="A188" s="30" t="s">
        <v>423</v>
      </c>
      <c r="B188" s="29" t="s">
        <v>424</v>
      </c>
      <c r="C188" s="13">
        <v>218.7</v>
      </c>
      <c r="D188" s="26">
        <v>283.2</v>
      </c>
      <c r="E188" s="26">
        <v>325.7</v>
      </c>
      <c r="F188" s="13">
        <v>64.5</v>
      </c>
      <c r="G188" s="26">
        <v>42.5</v>
      </c>
      <c r="H188" s="27">
        <v>2.6</v>
      </c>
      <c r="I188" s="26">
        <v>1.4</v>
      </c>
      <c r="J188" s="26">
        <v>43.3</v>
      </c>
      <c r="K188" s="26">
        <v>70.599999999999994</v>
      </c>
      <c r="L188" s="26">
        <v>96</v>
      </c>
      <c r="M188" s="26">
        <v>5</v>
      </c>
      <c r="N188" s="26">
        <v>3.1</v>
      </c>
      <c r="O188" s="7"/>
      <c r="P188" s="28"/>
      <c r="Q188" s="28"/>
      <c r="R188" s="28"/>
    </row>
    <row r="189" spans="1:18" x14ac:dyDescent="0.3">
      <c r="A189" s="30" t="s">
        <v>425</v>
      </c>
      <c r="B189" s="29" t="s">
        <v>426</v>
      </c>
      <c r="C189" s="13">
        <v>1027.0999999999999</v>
      </c>
      <c r="D189" s="26">
        <v>1527.4</v>
      </c>
      <c r="E189" s="26">
        <v>1983.4</v>
      </c>
      <c r="F189" s="13">
        <v>500.30000000000018</v>
      </c>
      <c r="G189" s="26">
        <v>456</v>
      </c>
      <c r="H189" s="27">
        <v>4</v>
      </c>
      <c r="I189" s="26">
        <v>2.6</v>
      </c>
      <c r="J189" s="26">
        <v>59.5</v>
      </c>
      <c r="K189" s="26">
        <v>85.2</v>
      </c>
      <c r="L189" s="26">
        <v>114.5</v>
      </c>
      <c r="M189" s="26">
        <v>3.7</v>
      </c>
      <c r="N189" s="26">
        <v>3</v>
      </c>
      <c r="O189" s="7"/>
      <c r="P189" s="28"/>
      <c r="Q189" s="28"/>
      <c r="R189" s="28"/>
    </row>
    <row r="190" spans="1:18" x14ac:dyDescent="0.3">
      <c r="A190" s="30" t="s">
        <v>427</v>
      </c>
      <c r="B190" s="29" t="s">
        <v>428</v>
      </c>
      <c r="C190" s="13">
        <v>246</v>
      </c>
      <c r="D190" s="26">
        <v>313.60000000000002</v>
      </c>
      <c r="E190" s="26">
        <v>366.9</v>
      </c>
      <c r="F190" s="13">
        <v>67.600000000000023</v>
      </c>
      <c r="G190" s="26">
        <v>53.3</v>
      </c>
      <c r="H190" s="27">
        <v>2.5</v>
      </c>
      <c r="I190" s="26">
        <v>1.6</v>
      </c>
      <c r="J190" s="26">
        <v>34.799999999999997</v>
      </c>
      <c r="K190" s="26">
        <v>39</v>
      </c>
      <c r="L190" s="26">
        <v>53.1</v>
      </c>
      <c r="M190" s="26">
        <v>1.2</v>
      </c>
      <c r="N190" s="26">
        <v>3.1</v>
      </c>
      <c r="O190" s="7"/>
      <c r="P190" s="28"/>
      <c r="Q190" s="28"/>
      <c r="R190" s="28"/>
    </row>
    <row r="191" spans="1:18" x14ac:dyDescent="0.3">
      <c r="A191" s="29" t="s">
        <v>429</v>
      </c>
      <c r="B191" s="29" t="s">
        <v>430</v>
      </c>
      <c r="C191" s="13">
        <v>4667.3999999999996</v>
      </c>
      <c r="D191" s="26">
        <v>5198.7</v>
      </c>
      <c r="E191" s="26">
        <v>5454.3</v>
      </c>
      <c r="F191" s="13">
        <v>531.30000000000018</v>
      </c>
      <c r="G191" s="26">
        <v>255.6</v>
      </c>
      <c r="H191" s="27">
        <v>1.1000000000000001</v>
      </c>
      <c r="I191" s="26">
        <v>0.5</v>
      </c>
      <c r="J191" s="26">
        <v>658</v>
      </c>
      <c r="K191" s="26">
        <v>894.4</v>
      </c>
      <c r="L191" s="26">
        <v>1192.5</v>
      </c>
      <c r="M191" s="26">
        <v>3.1</v>
      </c>
      <c r="N191" s="26">
        <v>2.9</v>
      </c>
      <c r="O191" s="7"/>
      <c r="P191" s="28"/>
      <c r="Q191" s="28"/>
      <c r="R191" s="28"/>
    </row>
    <row r="192" spans="1:18" x14ac:dyDescent="0.3">
      <c r="A192" s="30" t="s">
        <v>431</v>
      </c>
      <c r="B192" s="29" t="s">
        <v>432</v>
      </c>
      <c r="C192" s="13">
        <v>3082.2</v>
      </c>
      <c r="D192" s="26">
        <v>3379.3</v>
      </c>
      <c r="E192" s="26">
        <v>3734.4</v>
      </c>
      <c r="F192" s="13">
        <v>297.10000000000036</v>
      </c>
      <c r="G192" s="26">
        <v>355.1</v>
      </c>
      <c r="H192" s="27">
        <v>0.9</v>
      </c>
      <c r="I192" s="26">
        <v>1</v>
      </c>
      <c r="J192" s="26">
        <v>196.4</v>
      </c>
      <c r="K192" s="26">
        <v>227.4</v>
      </c>
      <c r="L192" s="26">
        <v>302.3</v>
      </c>
      <c r="M192" s="26">
        <v>1.5</v>
      </c>
      <c r="N192" s="26">
        <v>2.9</v>
      </c>
      <c r="O192" s="7"/>
      <c r="P192" s="28"/>
      <c r="Q192" s="28"/>
      <c r="R192" s="28"/>
    </row>
    <row r="193" spans="1:18" x14ac:dyDescent="0.3">
      <c r="A193" s="30" t="s">
        <v>433</v>
      </c>
      <c r="B193" s="29" t="s">
        <v>434</v>
      </c>
      <c r="C193" s="13">
        <v>2996.9</v>
      </c>
      <c r="D193" s="26">
        <v>4137.3</v>
      </c>
      <c r="E193" s="26">
        <v>5179</v>
      </c>
      <c r="F193" s="13">
        <v>1140.4000000000001</v>
      </c>
      <c r="G193" s="26">
        <v>1041.7</v>
      </c>
      <c r="H193" s="27">
        <v>3.3</v>
      </c>
      <c r="I193" s="26">
        <v>2.2999999999999998</v>
      </c>
      <c r="J193" s="26">
        <v>163.9</v>
      </c>
      <c r="K193" s="26">
        <v>195.6</v>
      </c>
      <c r="L193" s="26">
        <v>252.6</v>
      </c>
      <c r="M193" s="26">
        <v>1.8</v>
      </c>
      <c r="N193" s="26">
        <v>2.6</v>
      </c>
      <c r="O193" s="7"/>
      <c r="P193" s="28"/>
      <c r="Q193" s="28"/>
      <c r="R193" s="28"/>
    </row>
    <row r="194" spans="1:18" x14ac:dyDescent="0.3">
      <c r="A194" s="30" t="s">
        <v>435</v>
      </c>
      <c r="B194" s="29" t="s">
        <v>436</v>
      </c>
      <c r="C194" s="13">
        <v>1602.9</v>
      </c>
      <c r="D194" s="26">
        <v>2611.3000000000002</v>
      </c>
      <c r="E194" s="26">
        <v>3663.9</v>
      </c>
      <c r="F194" s="13">
        <v>1008.4000000000001</v>
      </c>
      <c r="G194" s="26">
        <v>1052.5999999999999</v>
      </c>
      <c r="H194" s="27">
        <v>5</v>
      </c>
      <c r="I194" s="26">
        <v>3.4</v>
      </c>
      <c r="J194" s="26">
        <v>75.7</v>
      </c>
      <c r="K194" s="26">
        <v>99.6</v>
      </c>
      <c r="L194" s="26">
        <v>132.80000000000001</v>
      </c>
      <c r="M194" s="26">
        <v>2.8</v>
      </c>
      <c r="N194" s="26">
        <v>2.9</v>
      </c>
      <c r="O194" s="7"/>
      <c r="P194" s="28"/>
      <c r="Q194" s="28"/>
      <c r="R194" s="28"/>
    </row>
    <row r="195" spans="1:18" x14ac:dyDescent="0.3">
      <c r="A195" s="30" t="s">
        <v>437</v>
      </c>
      <c r="B195" s="29" t="s">
        <v>438</v>
      </c>
      <c r="C195" s="13">
        <v>541.20000000000005</v>
      </c>
      <c r="D195" s="26">
        <v>507.7</v>
      </c>
      <c r="E195" s="26">
        <v>500.8</v>
      </c>
      <c r="F195" s="13">
        <v>-33.500000000000057</v>
      </c>
      <c r="G195" s="26">
        <v>-6.9</v>
      </c>
      <c r="H195" s="27">
        <v>-0.6</v>
      </c>
      <c r="I195" s="26">
        <v>-0.1</v>
      </c>
      <c r="J195" s="26">
        <v>41.6</v>
      </c>
      <c r="K195" s="26">
        <v>47.9</v>
      </c>
      <c r="L195" s="26">
        <v>62.3</v>
      </c>
      <c r="M195" s="26">
        <v>1.4</v>
      </c>
      <c r="N195" s="26">
        <v>2.7</v>
      </c>
      <c r="O195" s="7"/>
      <c r="P195" s="28"/>
      <c r="Q195" s="28"/>
      <c r="R195" s="28"/>
    </row>
    <row r="196" spans="1:18" x14ac:dyDescent="0.3">
      <c r="A196" s="30" t="s">
        <v>439</v>
      </c>
      <c r="B196" s="29" t="s">
        <v>440</v>
      </c>
      <c r="C196" s="13">
        <v>852.8</v>
      </c>
      <c r="D196" s="26">
        <v>1018.3</v>
      </c>
      <c r="E196" s="26">
        <v>1014.3</v>
      </c>
      <c r="F196" s="13">
        <v>165.5</v>
      </c>
      <c r="G196" s="26">
        <v>-4</v>
      </c>
      <c r="H196" s="27">
        <v>1.8</v>
      </c>
      <c r="I196" s="26">
        <v>0</v>
      </c>
      <c r="J196" s="26">
        <v>46.6</v>
      </c>
      <c r="K196" s="26">
        <v>48.1</v>
      </c>
      <c r="L196" s="26">
        <v>57.8</v>
      </c>
      <c r="M196" s="26">
        <v>0.3</v>
      </c>
      <c r="N196" s="26">
        <v>1.8</v>
      </c>
      <c r="O196" s="7"/>
      <c r="P196" s="28"/>
      <c r="Q196" s="28"/>
      <c r="R196" s="28"/>
    </row>
    <row r="197" spans="1:18" x14ac:dyDescent="0.3">
      <c r="A197" s="30" t="s">
        <v>441</v>
      </c>
      <c r="B197" s="29" t="s">
        <v>442</v>
      </c>
      <c r="C197" s="13">
        <v>1915.6</v>
      </c>
      <c r="D197" s="26">
        <v>2433.3000000000002</v>
      </c>
      <c r="E197" s="26">
        <v>2667.5</v>
      </c>
      <c r="F197" s="13">
        <v>517.70000000000027</v>
      </c>
      <c r="G197" s="26">
        <v>234.2</v>
      </c>
      <c r="H197" s="27">
        <v>2.4</v>
      </c>
      <c r="I197" s="26">
        <v>0.9</v>
      </c>
      <c r="J197" s="26">
        <v>257</v>
      </c>
      <c r="K197" s="26">
        <v>325.10000000000002</v>
      </c>
      <c r="L197" s="26">
        <v>404.4</v>
      </c>
      <c r="M197" s="26">
        <v>2.4</v>
      </c>
      <c r="N197" s="26">
        <v>2.2000000000000002</v>
      </c>
      <c r="O197" t="s">
        <v>31</v>
      </c>
      <c r="P197" s="28"/>
      <c r="Q197" s="28"/>
      <c r="R197" s="28"/>
    </row>
    <row r="198" spans="1:18" x14ac:dyDescent="0.3">
      <c r="A198" s="30" t="s">
        <v>443</v>
      </c>
      <c r="B198" s="29" t="s">
        <v>444</v>
      </c>
      <c r="C198" s="13">
        <v>396.9</v>
      </c>
      <c r="D198" s="26">
        <v>516.29999999999995</v>
      </c>
      <c r="E198" s="26">
        <v>543.9</v>
      </c>
      <c r="F198" s="13">
        <v>119.39999999999998</v>
      </c>
      <c r="G198" s="26">
        <v>27.6</v>
      </c>
      <c r="H198" s="27">
        <v>2.7</v>
      </c>
      <c r="I198" s="26">
        <v>0.5</v>
      </c>
      <c r="J198" s="26">
        <v>126.7</v>
      </c>
      <c r="K198" s="26">
        <v>160</v>
      </c>
      <c r="L198" s="26">
        <v>196.9</v>
      </c>
      <c r="M198" s="26">
        <v>2.4</v>
      </c>
      <c r="N198" s="26">
        <v>2.1</v>
      </c>
      <c r="O198" s="7"/>
      <c r="P198" s="28"/>
      <c r="Q198" s="28"/>
      <c r="R198" s="28"/>
    </row>
    <row r="199" spans="1:18" x14ac:dyDescent="0.3">
      <c r="A199" s="30" t="s">
        <v>445</v>
      </c>
      <c r="B199" s="29" t="s">
        <v>446</v>
      </c>
      <c r="C199" s="13">
        <v>113.6</v>
      </c>
      <c r="D199" s="26">
        <v>131.6</v>
      </c>
      <c r="E199" s="26">
        <v>112.1</v>
      </c>
      <c r="F199" s="13">
        <v>18</v>
      </c>
      <c r="G199" s="26">
        <v>-19.5</v>
      </c>
      <c r="H199" s="27">
        <v>1.5</v>
      </c>
      <c r="I199" s="26">
        <v>-1.6</v>
      </c>
      <c r="J199" s="26">
        <v>21.1</v>
      </c>
      <c r="K199" s="26">
        <v>26.5</v>
      </c>
      <c r="L199" s="26">
        <v>32.299999999999997</v>
      </c>
      <c r="M199" s="26">
        <v>2.2999999999999998</v>
      </c>
      <c r="N199" s="26">
        <v>2</v>
      </c>
      <c r="O199" s="7"/>
      <c r="P199" s="28"/>
      <c r="Q199" s="28"/>
      <c r="R199" s="28"/>
    </row>
    <row r="200" spans="1:18" x14ac:dyDescent="0.3">
      <c r="A200" s="29" t="s">
        <v>447</v>
      </c>
      <c r="B200" s="29" t="s">
        <v>448</v>
      </c>
      <c r="C200" s="13">
        <v>129.5</v>
      </c>
      <c r="D200" s="26">
        <v>150.5</v>
      </c>
      <c r="E200" s="26">
        <v>164.5</v>
      </c>
      <c r="F200" s="13">
        <v>21</v>
      </c>
      <c r="G200" s="26">
        <v>14</v>
      </c>
      <c r="H200" s="27">
        <v>1.5</v>
      </c>
      <c r="I200" s="26">
        <v>0.9</v>
      </c>
      <c r="J200" s="26">
        <v>38</v>
      </c>
      <c r="K200" s="26">
        <v>43.3</v>
      </c>
      <c r="L200" s="26">
        <v>53.8</v>
      </c>
      <c r="M200" s="26">
        <v>1.3</v>
      </c>
      <c r="N200" s="26">
        <v>2.2000000000000002</v>
      </c>
      <c r="O200" s="7"/>
      <c r="P200" s="28"/>
      <c r="Q200" s="28"/>
      <c r="R200" s="28"/>
    </row>
    <row r="201" spans="1:18" x14ac:dyDescent="0.3">
      <c r="A201" s="30" t="s">
        <v>449</v>
      </c>
      <c r="B201" s="29" t="s">
        <v>450</v>
      </c>
      <c r="C201" s="13">
        <v>109.1</v>
      </c>
      <c r="D201" s="26">
        <v>181.1</v>
      </c>
      <c r="E201" s="26">
        <v>203.3</v>
      </c>
      <c r="F201" s="13">
        <v>72</v>
      </c>
      <c r="G201" s="26">
        <v>22.2</v>
      </c>
      <c r="H201" s="27">
        <v>5.2</v>
      </c>
      <c r="I201" s="26">
        <v>1.2</v>
      </c>
      <c r="J201" s="26">
        <v>32.9</v>
      </c>
      <c r="K201" s="26">
        <v>45</v>
      </c>
      <c r="L201" s="26">
        <v>55.1</v>
      </c>
      <c r="M201" s="26">
        <v>3.2</v>
      </c>
      <c r="N201" s="26">
        <v>2</v>
      </c>
      <c r="O201" s="7"/>
      <c r="P201" s="28"/>
      <c r="Q201" s="28"/>
      <c r="R201" s="28"/>
    </row>
    <row r="202" spans="1:18" x14ac:dyDescent="0.3">
      <c r="A202" s="29" t="s">
        <v>451</v>
      </c>
      <c r="B202" s="29" t="s">
        <v>452</v>
      </c>
      <c r="C202" s="13">
        <v>44.7</v>
      </c>
      <c r="D202" s="26">
        <v>53.1</v>
      </c>
      <c r="E202" s="26">
        <v>64.099999999999994</v>
      </c>
      <c r="F202" s="13">
        <v>8.3999999999999986</v>
      </c>
      <c r="G202" s="26">
        <v>11</v>
      </c>
      <c r="H202" s="27">
        <v>1.7</v>
      </c>
      <c r="I202" s="26">
        <v>1.9</v>
      </c>
      <c r="J202" s="26">
        <v>34.700000000000003</v>
      </c>
      <c r="K202" s="26">
        <v>45.3</v>
      </c>
      <c r="L202" s="26">
        <v>55.8</v>
      </c>
      <c r="M202" s="26">
        <v>2.7</v>
      </c>
      <c r="N202" s="26">
        <v>2.1</v>
      </c>
      <c r="O202" s="7"/>
      <c r="P202" s="28"/>
      <c r="Q202" s="28"/>
      <c r="R202" s="28"/>
    </row>
    <row r="203" spans="1:18" x14ac:dyDescent="0.3">
      <c r="A203" s="29" t="s">
        <v>453</v>
      </c>
      <c r="B203" s="29" t="s">
        <v>454</v>
      </c>
      <c r="C203" s="13">
        <v>129.4</v>
      </c>
      <c r="D203" s="26">
        <v>172.9</v>
      </c>
      <c r="E203" s="26">
        <v>202.7</v>
      </c>
      <c r="F203" s="13">
        <v>43.5</v>
      </c>
      <c r="G203" s="26">
        <v>29.8</v>
      </c>
      <c r="H203" s="27">
        <v>2.9</v>
      </c>
      <c r="I203" s="26">
        <v>1.6</v>
      </c>
      <c r="J203" s="26">
        <v>13</v>
      </c>
      <c r="K203" s="26">
        <v>17.2</v>
      </c>
      <c r="L203" s="26">
        <v>22.4</v>
      </c>
      <c r="M203" s="26">
        <v>2.9</v>
      </c>
      <c r="N203" s="26">
        <v>2.7</v>
      </c>
      <c r="O203" s="7"/>
      <c r="P203" s="28"/>
      <c r="Q203" s="28"/>
      <c r="R203" s="28"/>
    </row>
    <row r="204" spans="1:18" x14ac:dyDescent="0.3">
      <c r="A204" s="29" t="s">
        <v>455</v>
      </c>
      <c r="B204" s="29" t="s">
        <v>456</v>
      </c>
      <c r="C204" s="13">
        <v>1389.3</v>
      </c>
      <c r="D204" s="26">
        <v>1744.1</v>
      </c>
      <c r="E204" s="26">
        <v>1920.9</v>
      </c>
      <c r="F204" s="13">
        <v>354.79999999999995</v>
      </c>
      <c r="G204" s="26">
        <v>176.8</v>
      </c>
      <c r="H204" s="27">
        <v>2.2999999999999998</v>
      </c>
      <c r="I204" s="26">
        <v>1</v>
      </c>
      <c r="J204" s="26">
        <v>117.3</v>
      </c>
      <c r="K204" s="26">
        <v>148</v>
      </c>
      <c r="L204" s="26">
        <v>185.2</v>
      </c>
      <c r="M204" s="26">
        <v>2.2999999999999998</v>
      </c>
      <c r="N204" s="26">
        <v>2.2999999999999998</v>
      </c>
      <c r="O204" s="7"/>
      <c r="P204" s="28"/>
      <c r="Q204" s="28"/>
      <c r="R204" s="28"/>
    </row>
    <row r="205" spans="1:18" x14ac:dyDescent="0.3">
      <c r="A205" s="30" t="s">
        <v>457</v>
      </c>
      <c r="B205" s="29" t="s">
        <v>458</v>
      </c>
      <c r="C205" s="13">
        <v>152.19999999999999</v>
      </c>
      <c r="D205" s="26">
        <v>225.3</v>
      </c>
      <c r="E205" s="26">
        <v>247.3</v>
      </c>
      <c r="F205" s="13">
        <v>73.100000000000023</v>
      </c>
      <c r="G205" s="26">
        <v>22</v>
      </c>
      <c r="H205" s="27">
        <v>4</v>
      </c>
      <c r="I205" s="26">
        <v>0.9</v>
      </c>
      <c r="J205" s="26">
        <v>19</v>
      </c>
      <c r="K205" s="26">
        <v>17.399999999999999</v>
      </c>
      <c r="L205" s="26">
        <v>21.5</v>
      </c>
      <c r="M205" s="26">
        <v>-0.9</v>
      </c>
      <c r="N205" s="26">
        <v>2.1</v>
      </c>
      <c r="O205" s="7"/>
      <c r="P205" s="28"/>
      <c r="Q205" s="28"/>
      <c r="R205" s="28"/>
    </row>
    <row r="206" spans="1:18" x14ac:dyDescent="0.3">
      <c r="A206" s="30" t="s">
        <v>459</v>
      </c>
      <c r="B206" s="29" t="s">
        <v>460</v>
      </c>
      <c r="C206" s="13">
        <v>131.9</v>
      </c>
      <c r="D206" s="26">
        <v>114.9</v>
      </c>
      <c r="E206" s="26">
        <v>103</v>
      </c>
      <c r="F206" s="13">
        <v>-17</v>
      </c>
      <c r="G206" s="26">
        <v>-11.9</v>
      </c>
      <c r="H206" s="27">
        <v>-1.4</v>
      </c>
      <c r="I206" s="26">
        <v>-1.1000000000000001</v>
      </c>
      <c r="J206" s="26">
        <v>30.4</v>
      </c>
      <c r="K206" s="26">
        <v>39</v>
      </c>
      <c r="L206" s="26">
        <v>50.2</v>
      </c>
      <c r="M206" s="26">
        <v>2.5</v>
      </c>
      <c r="N206" s="26">
        <v>2.6</v>
      </c>
      <c r="O206" s="7"/>
      <c r="P206" s="28"/>
      <c r="Q206" s="28"/>
      <c r="R206" s="28"/>
    </row>
    <row r="207" spans="1:18" x14ac:dyDescent="0.3">
      <c r="A207" s="30" t="s">
        <v>461</v>
      </c>
      <c r="B207" s="29" t="s">
        <v>462</v>
      </c>
      <c r="C207" s="13">
        <v>1105.2</v>
      </c>
      <c r="D207" s="26">
        <v>1403.9</v>
      </c>
      <c r="E207" s="26">
        <v>1570.6</v>
      </c>
      <c r="F207" s="13">
        <v>298.70000000000005</v>
      </c>
      <c r="G207" s="26">
        <v>166.7</v>
      </c>
      <c r="H207" s="27">
        <v>2.4</v>
      </c>
      <c r="I207" s="26">
        <v>1.1000000000000001</v>
      </c>
      <c r="J207" s="26">
        <v>68.099999999999994</v>
      </c>
      <c r="K207" s="26">
        <v>91.8</v>
      </c>
      <c r="L207" s="26">
        <v>113.8</v>
      </c>
      <c r="M207" s="26">
        <v>3</v>
      </c>
      <c r="N207" s="26">
        <v>2.2000000000000002</v>
      </c>
      <c r="O207" s="7"/>
      <c r="P207" s="28"/>
      <c r="Q207" s="28"/>
      <c r="R207" s="28"/>
    </row>
    <row r="208" spans="1:18" x14ac:dyDescent="0.3">
      <c r="A208" s="30" t="s">
        <v>463</v>
      </c>
      <c r="B208" s="29" t="s">
        <v>464</v>
      </c>
      <c r="C208" s="13">
        <v>11161.9</v>
      </c>
      <c r="D208" s="26">
        <v>14142.6</v>
      </c>
      <c r="E208" s="26">
        <v>15024</v>
      </c>
      <c r="F208" s="13">
        <v>2980.7000000000007</v>
      </c>
      <c r="G208" s="26">
        <v>881.4</v>
      </c>
      <c r="H208" s="27">
        <v>2.4</v>
      </c>
      <c r="I208" s="26">
        <v>0.6</v>
      </c>
      <c r="J208" s="26">
        <v>756.7</v>
      </c>
      <c r="K208" s="26">
        <v>1022.2</v>
      </c>
      <c r="L208" s="26">
        <v>1258.5999999999999</v>
      </c>
      <c r="M208" s="26">
        <v>3.1</v>
      </c>
      <c r="N208" s="26">
        <v>2.1</v>
      </c>
      <c r="O208" t="s">
        <v>21</v>
      </c>
      <c r="P208" s="28"/>
      <c r="Q208" s="28"/>
      <c r="R208" s="28"/>
    </row>
    <row r="209" spans="1:18" x14ac:dyDescent="0.3">
      <c r="A209" s="30" t="s">
        <v>465</v>
      </c>
      <c r="B209" s="29" t="s">
        <v>466</v>
      </c>
      <c r="C209" s="13">
        <v>1763</v>
      </c>
      <c r="D209" s="26">
        <v>2077.9</v>
      </c>
      <c r="E209" s="26">
        <v>2082.5</v>
      </c>
      <c r="F209" s="13">
        <v>314.90000000000009</v>
      </c>
      <c r="G209" s="26">
        <v>4.5999999999999996</v>
      </c>
      <c r="H209" s="27">
        <v>1.7</v>
      </c>
      <c r="I209" s="26">
        <v>0</v>
      </c>
      <c r="J209" s="26">
        <v>191.4</v>
      </c>
      <c r="K209" s="26">
        <v>255</v>
      </c>
      <c r="L209" s="26">
        <v>327.60000000000002</v>
      </c>
      <c r="M209" s="26">
        <v>2.9</v>
      </c>
      <c r="N209" s="26">
        <v>2.5</v>
      </c>
      <c r="O209" s="7"/>
      <c r="P209" s="28"/>
      <c r="Q209" s="28"/>
      <c r="R209" s="28"/>
    </row>
    <row r="210" spans="1:18" x14ac:dyDescent="0.3">
      <c r="A210" s="30" t="s">
        <v>467</v>
      </c>
      <c r="B210" s="29" t="s">
        <v>468</v>
      </c>
      <c r="C210" s="13">
        <v>9398.9</v>
      </c>
      <c r="D210" s="26">
        <v>12064.7</v>
      </c>
      <c r="E210" s="26">
        <v>12941.5</v>
      </c>
      <c r="F210" s="13">
        <v>2665.8000000000011</v>
      </c>
      <c r="G210" s="26">
        <v>876.8</v>
      </c>
      <c r="H210" s="27">
        <v>2.5</v>
      </c>
      <c r="I210" s="26">
        <v>0.7</v>
      </c>
      <c r="J210" s="26">
        <v>565.4</v>
      </c>
      <c r="K210" s="26">
        <v>767.1</v>
      </c>
      <c r="L210" s="26">
        <v>931.3</v>
      </c>
      <c r="M210" s="26">
        <v>3.1</v>
      </c>
      <c r="N210" s="26">
        <v>2</v>
      </c>
      <c r="O210" s="7"/>
      <c r="P210" s="28"/>
      <c r="Q210" s="28"/>
      <c r="R210" s="28"/>
    </row>
    <row r="211" spans="1:18" x14ac:dyDescent="0.3">
      <c r="A211" s="30" t="s">
        <v>469</v>
      </c>
      <c r="B211" s="29" t="s">
        <v>470</v>
      </c>
      <c r="C211" s="13">
        <v>6150.1</v>
      </c>
      <c r="D211" s="26">
        <v>6713.8</v>
      </c>
      <c r="E211" s="26">
        <v>6994.7</v>
      </c>
      <c r="F211" s="13">
        <v>563.69999999999982</v>
      </c>
      <c r="G211" s="26">
        <v>280.89999999999998</v>
      </c>
      <c r="H211" s="27">
        <v>0.9</v>
      </c>
      <c r="I211" s="26">
        <v>0.4</v>
      </c>
      <c r="J211" s="26">
        <v>563.9</v>
      </c>
      <c r="K211" s="26">
        <v>651.6</v>
      </c>
      <c r="L211" s="26">
        <v>773.6</v>
      </c>
      <c r="M211" s="26">
        <v>1.5</v>
      </c>
      <c r="N211" s="26">
        <v>1.7</v>
      </c>
      <c r="O211" s="5"/>
      <c r="P211" s="28"/>
      <c r="Q211" s="28"/>
      <c r="R211" s="28"/>
    </row>
    <row r="212" spans="1:18" x14ac:dyDescent="0.3">
      <c r="A212" s="30" t="s">
        <v>471</v>
      </c>
      <c r="B212" s="29" t="s">
        <v>472</v>
      </c>
      <c r="C212" s="13">
        <v>1150.5</v>
      </c>
      <c r="D212" s="26">
        <v>1352.2</v>
      </c>
      <c r="E212" s="26">
        <v>1420.1</v>
      </c>
      <c r="F212" s="13">
        <v>201.70000000000005</v>
      </c>
      <c r="G212" s="26">
        <v>67.900000000000006</v>
      </c>
      <c r="H212" s="27">
        <v>1.6</v>
      </c>
      <c r="I212" s="26">
        <v>0.5</v>
      </c>
      <c r="J212" s="26">
        <v>183.7</v>
      </c>
      <c r="K212" s="26">
        <v>216.1</v>
      </c>
      <c r="L212" s="26">
        <v>252.7</v>
      </c>
      <c r="M212" s="26">
        <v>1.6</v>
      </c>
      <c r="N212" s="26">
        <v>1.6</v>
      </c>
      <c r="O212" s="5"/>
      <c r="P212" s="28"/>
      <c r="Q212" s="28"/>
      <c r="R212" s="28"/>
    </row>
    <row r="213" spans="1:18" x14ac:dyDescent="0.3">
      <c r="A213" s="30" t="s">
        <v>473</v>
      </c>
      <c r="B213" s="29" t="s">
        <v>474</v>
      </c>
      <c r="C213" s="13">
        <v>805.9</v>
      </c>
      <c r="D213" s="26">
        <v>948.8</v>
      </c>
      <c r="E213" s="26">
        <v>981.8</v>
      </c>
      <c r="F213" s="13">
        <v>142.89999999999998</v>
      </c>
      <c r="G213" s="26">
        <v>33</v>
      </c>
      <c r="H213" s="27">
        <v>1.6</v>
      </c>
      <c r="I213" s="26">
        <v>0.3</v>
      </c>
      <c r="J213" s="26">
        <v>111.4</v>
      </c>
      <c r="K213" s="26">
        <v>131.80000000000001</v>
      </c>
      <c r="L213" s="26">
        <v>147.69999999999999</v>
      </c>
      <c r="M213" s="26">
        <v>1.7</v>
      </c>
      <c r="N213" s="26">
        <v>1.1000000000000001</v>
      </c>
      <c r="O213" s="5"/>
      <c r="P213" s="28"/>
      <c r="Q213" s="28"/>
      <c r="R213" s="28"/>
    </row>
    <row r="214" spans="1:18" x14ac:dyDescent="0.3">
      <c r="A214" s="30" t="s">
        <v>475</v>
      </c>
      <c r="B214" s="29" t="s">
        <v>476</v>
      </c>
      <c r="C214" s="13">
        <v>98.3</v>
      </c>
      <c r="D214" s="26">
        <v>105.2</v>
      </c>
      <c r="E214" s="26">
        <v>119</v>
      </c>
      <c r="F214" s="13">
        <v>6.9000000000000057</v>
      </c>
      <c r="G214" s="26">
        <v>13.8</v>
      </c>
      <c r="H214" s="27">
        <v>0.7</v>
      </c>
      <c r="I214" s="26">
        <v>1.2</v>
      </c>
      <c r="J214" s="26">
        <v>18.600000000000001</v>
      </c>
      <c r="K214" s="26">
        <v>25.6</v>
      </c>
      <c r="L214" s="26">
        <v>31.9</v>
      </c>
      <c r="M214" s="26">
        <v>3.3</v>
      </c>
      <c r="N214" s="26">
        <v>2.2000000000000002</v>
      </c>
      <c r="O214" s="5"/>
      <c r="P214" s="28"/>
      <c r="Q214" s="28"/>
      <c r="R214" s="28"/>
    </row>
    <row r="215" spans="1:18" ht="25.5" x14ac:dyDescent="0.3">
      <c r="A215" s="30" t="s">
        <v>477</v>
      </c>
      <c r="B215" s="29" t="s">
        <v>478</v>
      </c>
      <c r="C215" s="13">
        <v>176.1</v>
      </c>
      <c r="D215" s="26">
        <v>219.6</v>
      </c>
      <c r="E215" s="26">
        <v>252.9</v>
      </c>
      <c r="F215" s="13">
        <v>43.5</v>
      </c>
      <c r="G215" s="26">
        <v>33.299999999999997</v>
      </c>
      <c r="H215" s="27">
        <v>2.2000000000000002</v>
      </c>
      <c r="I215" s="26">
        <v>1.4</v>
      </c>
      <c r="J215" s="26">
        <v>32.4</v>
      </c>
      <c r="K215" s="26">
        <v>39.200000000000003</v>
      </c>
      <c r="L215" s="26">
        <v>48.9</v>
      </c>
      <c r="M215" s="26">
        <v>1.9</v>
      </c>
      <c r="N215" s="26">
        <v>2.2000000000000002</v>
      </c>
      <c r="O215" s="5"/>
      <c r="P215" s="28"/>
      <c r="Q215" s="28"/>
      <c r="R215" s="28"/>
    </row>
    <row r="216" spans="1:18" x14ac:dyDescent="0.3">
      <c r="A216" s="30" t="s">
        <v>479</v>
      </c>
      <c r="B216" s="29" t="s">
        <v>480</v>
      </c>
      <c r="C216" s="13">
        <v>70.2</v>
      </c>
      <c r="D216" s="26">
        <v>78.599999999999994</v>
      </c>
      <c r="E216" s="26">
        <v>66.5</v>
      </c>
      <c r="F216" s="13">
        <v>8.3999999999999915</v>
      </c>
      <c r="G216" s="26">
        <v>-12.1</v>
      </c>
      <c r="H216" s="27">
        <v>1.1000000000000001</v>
      </c>
      <c r="I216" s="26">
        <v>-1.7</v>
      </c>
      <c r="J216" s="26">
        <v>21.5</v>
      </c>
      <c r="K216" s="26">
        <v>19.7</v>
      </c>
      <c r="L216" s="26">
        <v>24.8</v>
      </c>
      <c r="M216" s="26">
        <v>-0.9</v>
      </c>
      <c r="N216" s="26">
        <v>2.2999999999999998</v>
      </c>
      <c r="O216" s="5"/>
      <c r="P216" s="28"/>
      <c r="Q216" s="28"/>
      <c r="R216" s="28"/>
    </row>
    <row r="217" spans="1:18" x14ac:dyDescent="0.3">
      <c r="A217" s="30" t="s">
        <v>481</v>
      </c>
      <c r="B217" s="29" t="s">
        <v>482</v>
      </c>
      <c r="C217" s="13">
        <v>1280.5999999999999</v>
      </c>
      <c r="D217" s="26">
        <v>1525.2</v>
      </c>
      <c r="E217" s="26">
        <v>1640</v>
      </c>
      <c r="F217" s="13">
        <v>244.60000000000014</v>
      </c>
      <c r="G217" s="26">
        <v>114.8</v>
      </c>
      <c r="H217" s="27">
        <v>1.8</v>
      </c>
      <c r="I217" s="26">
        <v>0.7</v>
      </c>
      <c r="J217" s="26">
        <v>162.30000000000001</v>
      </c>
      <c r="K217" s="26">
        <v>193</v>
      </c>
      <c r="L217" s="26">
        <v>231.9</v>
      </c>
      <c r="M217" s="26">
        <v>1.7</v>
      </c>
      <c r="N217" s="26">
        <v>1.9</v>
      </c>
      <c r="O217" s="5"/>
      <c r="P217" s="28"/>
      <c r="Q217" s="28"/>
      <c r="R217" s="28"/>
    </row>
    <row r="218" spans="1:18" x14ac:dyDescent="0.3">
      <c r="A218" s="30" t="s">
        <v>483</v>
      </c>
      <c r="B218" s="29" t="s">
        <v>484</v>
      </c>
      <c r="C218" s="13">
        <v>604.5</v>
      </c>
      <c r="D218" s="26">
        <v>737.6</v>
      </c>
      <c r="E218" s="26">
        <v>778.5</v>
      </c>
      <c r="F218" s="13">
        <v>133.10000000000002</v>
      </c>
      <c r="G218" s="26">
        <v>40.9</v>
      </c>
      <c r="H218" s="27">
        <v>2</v>
      </c>
      <c r="I218" s="26">
        <v>0.5</v>
      </c>
      <c r="J218" s="26">
        <v>63.7</v>
      </c>
      <c r="K218" s="26">
        <v>79.8</v>
      </c>
      <c r="L218" s="26">
        <v>99.5</v>
      </c>
      <c r="M218" s="26">
        <v>2.2999999999999998</v>
      </c>
      <c r="N218" s="26">
        <v>2.2000000000000002</v>
      </c>
      <c r="O218" s="5"/>
      <c r="P218" s="28"/>
      <c r="Q218" s="28"/>
      <c r="R218" s="28"/>
    </row>
    <row r="219" spans="1:18" x14ac:dyDescent="0.3">
      <c r="A219" s="30" t="s">
        <v>485</v>
      </c>
      <c r="B219" s="29" t="s">
        <v>486</v>
      </c>
      <c r="C219" s="13">
        <v>133.4</v>
      </c>
      <c r="D219" s="26">
        <v>136.69999999999999</v>
      </c>
      <c r="E219" s="26">
        <v>129.5</v>
      </c>
      <c r="F219" s="13">
        <v>3.2999999999999829</v>
      </c>
      <c r="G219" s="26">
        <v>-7.2</v>
      </c>
      <c r="H219" s="27">
        <v>0.2</v>
      </c>
      <c r="I219" s="26">
        <v>-0.5</v>
      </c>
      <c r="J219" s="26">
        <v>19.3</v>
      </c>
      <c r="K219" s="26">
        <v>23.1</v>
      </c>
      <c r="L219" s="26">
        <v>24.3</v>
      </c>
      <c r="M219" s="26">
        <v>1.8</v>
      </c>
      <c r="N219" s="26">
        <v>0.5</v>
      </c>
      <c r="O219" s="5"/>
      <c r="P219" s="28"/>
      <c r="Q219" s="28"/>
      <c r="R219" s="28"/>
    </row>
    <row r="220" spans="1:18" x14ac:dyDescent="0.3">
      <c r="A220" s="30" t="s">
        <v>487</v>
      </c>
      <c r="B220" s="29" t="s">
        <v>488</v>
      </c>
      <c r="C220" s="13">
        <v>311.10000000000002</v>
      </c>
      <c r="D220" s="26">
        <v>293.60000000000002</v>
      </c>
      <c r="E220" s="26">
        <v>277.7</v>
      </c>
      <c r="F220" s="13">
        <v>-17.5</v>
      </c>
      <c r="G220" s="26">
        <v>-15.9</v>
      </c>
      <c r="H220" s="27">
        <v>-0.6</v>
      </c>
      <c r="I220" s="26">
        <v>-0.6</v>
      </c>
      <c r="J220" s="26">
        <v>26.3</v>
      </c>
      <c r="K220" s="26">
        <v>28.6</v>
      </c>
      <c r="L220" s="26">
        <v>31.7</v>
      </c>
      <c r="M220" s="26">
        <v>0.8</v>
      </c>
      <c r="N220" s="26">
        <v>1</v>
      </c>
      <c r="O220" s="5"/>
      <c r="P220" s="28"/>
      <c r="Q220" s="28"/>
      <c r="R220" s="28"/>
    </row>
    <row r="221" spans="1:18" x14ac:dyDescent="0.3">
      <c r="A221" s="30" t="s">
        <v>489</v>
      </c>
      <c r="B221" s="29" t="s">
        <v>490</v>
      </c>
      <c r="C221" s="13">
        <v>231.6</v>
      </c>
      <c r="D221" s="26">
        <v>357.3</v>
      </c>
      <c r="E221" s="26">
        <v>454.4</v>
      </c>
      <c r="F221" s="13">
        <v>125.70000000000002</v>
      </c>
      <c r="G221" s="26">
        <v>97.1</v>
      </c>
      <c r="H221" s="27">
        <v>4.4000000000000004</v>
      </c>
      <c r="I221" s="26">
        <v>2.4</v>
      </c>
      <c r="J221" s="26">
        <v>52.9</v>
      </c>
      <c r="K221" s="26">
        <v>61.6</v>
      </c>
      <c r="L221" s="26">
        <v>76.5</v>
      </c>
      <c r="M221" s="26">
        <v>1.5</v>
      </c>
      <c r="N221" s="26">
        <v>2.2000000000000002</v>
      </c>
      <c r="O221" s="5"/>
      <c r="P221" s="28"/>
      <c r="Q221" s="28"/>
      <c r="R221" s="28"/>
    </row>
    <row r="222" spans="1:18" x14ac:dyDescent="0.3">
      <c r="A222" s="29" t="s">
        <v>491</v>
      </c>
      <c r="B222" s="29" t="s">
        <v>61</v>
      </c>
      <c r="C222" s="13">
        <v>2936</v>
      </c>
      <c r="D222" s="26">
        <v>3015.6</v>
      </c>
      <c r="E222" s="26">
        <v>3142.1</v>
      </c>
      <c r="F222" s="13">
        <v>79.599999999999909</v>
      </c>
      <c r="G222" s="26">
        <v>126.5</v>
      </c>
      <c r="H222" s="27">
        <v>0.3</v>
      </c>
      <c r="I222" s="26">
        <v>0.4</v>
      </c>
      <c r="J222" s="26">
        <v>200.5</v>
      </c>
      <c r="K222" s="26">
        <v>224.2</v>
      </c>
      <c r="L222" s="26">
        <v>267</v>
      </c>
      <c r="M222" s="26">
        <v>1.1000000000000001</v>
      </c>
      <c r="N222" s="26">
        <v>1.8</v>
      </c>
      <c r="O222" s="5"/>
      <c r="P222" s="28"/>
      <c r="Q222" s="28"/>
      <c r="R222" s="28"/>
    </row>
    <row r="223" spans="1:18" x14ac:dyDescent="0.3">
      <c r="A223" s="30" t="s">
        <v>492</v>
      </c>
      <c r="B223" s="29" t="s">
        <v>493</v>
      </c>
      <c r="C223" s="13">
        <v>1690.5</v>
      </c>
      <c r="D223" s="26">
        <v>1728.5</v>
      </c>
      <c r="E223" s="26">
        <v>1731.4</v>
      </c>
      <c r="F223" s="13">
        <v>38</v>
      </c>
      <c r="G223" s="26">
        <v>2.9</v>
      </c>
      <c r="H223" s="27">
        <v>0.2</v>
      </c>
      <c r="I223" s="26">
        <v>0</v>
      </c>
      <c r="J223" s="26">
        <v>85.7</v>
      </c>
      <c r="K223" s="26">
        <v>89.7</v>
      </c>
      <c r="L223" s="26">
        <v>102.2</v>
      </c>
      <c r="M223" s="26">
        <v>0.5</v>
      </c>
      <c r="N223" s="26">
        <v>1.3</v>
      </c>
      <c r="O223" s="5"/>
      <c r="P223" s="28"/>
      <c r="Q223" s="28"/>
      <c r="R223" s="28"/>
    </row>
    <row r="224" spans="1:18" x14ac:dyDescent="0.3">
      <c r="A224" s="30" t="s">
        <v>494</v>
      </c>
      <c r="B224" s="29" t="s">
        <v>495</v>
      </c>
      <c r="C224" s="13">
        <v>363.1</v>
      </c>
      <c r="D224" s="26">
        <v>418.8</v>
      </c>
      <c r="E224" s="26">
        <v>518.20000000000005</v>
      </c>
      <c r="F224" s="13">
        <v>55.699999999999989</v>
      </c>
      <c r="G224" s="26">
        <v>99.4</v>
      </c>
      <c r="H224" s="27">
        <v>1.4</v>
      </c>
      <c r="I224" s="26">
        <v>2.2000000000000002</v>
      </c>
      <c r="J224" s="26">
        <v>44</v>
      </c>
      <c r="K224" s="26">
        <v>48.9</v>
      </c>
      <c r="L224" s="26">
        <v>60.2</v>
      </c>
      <c r="M224" s="26">
        <v>1.1000000000000001</v>
      </c>
      <c r="N224" s="26">
        <v>2.1</v>
      </c>
      <c r="O224" s="5"/>
      <c r="P224" s="28"/>
      <c r="Q224" s="28"/>
      <c r="R224" s="28"/>
    </row>
    <row r="225" spans="1:18" x14ac:dyDescent="0.3">
      <c r="A225" s="29" t="s">
        <v>496</v>
      </c>
      <c r="B225" s="29" t="s">
        <v>497</v>
      </c>
      <c r="C225" s="13">
        <v>882.4</v>
      </c>
      <c r="D225" s="26">
        <v>868.3</v>
      </c>
      <c r="E225" s="26">
        <v>892.5</v>
      </c>
      <c r="F225" s="13">
        <v>-14.100000000000023</v>
      </c>
      <c r="G225" s="26">
        <v>24.2</v>
      </c>
      <c r="H225" s="27">
        <v>-0.2</v>
      </c>
      <c r="I225" s="26">
        <v>0.3</v>
      </c>
      <c r="J225" s="26">
        <v>70.900000000000006</v>
      </c>
      <c r="K225" s="26">
        <v>85.6</v>
      </c>
      <c r="L225" s="26">
        <v>104.4</v>
      </c>
      <c r="M225" s="26">
        <v>1.9</v>
      </c>
      <c r="N225" s="26">
        <v>2</v>
      </c>
      <c r="O225" s="5"/>
      <c r="P225" s="28"/>
      <c r="Q225" s="28"/>
      <c r="R225" s="28"/>
    </row>
    <row r="226" spans="1:18" x14ac:dyDescent="0.3">
      <c r="A226" s="17" t="s">
        <v>498</v>
      </c>
      <c r="B226" s="29" t="s">
        <v>499</v>
      </c>
      <c r="C226" s="13">
        <v>783</v>
      </c>
      <c r="D226" s="33">
        <v>820.8</v>
      </c>
      <c r="E226" s="33">
        <v>792.4</v>
      </c>
      <c r="F226" s="13">
        <v>37.799999999999955</v>
      </c>
      <c r="G226" s="34">
        <v>-28.3</v>
      </c>
      <c r="H226" s="27">
        <v>0.5</v>
      </c>
      <c r="I226" s="34">
        <v>-0.4</v>
      </c>
      <c r="J226" s="33">
        <v>17.3</v>
      </c>
      <c r="K226" s="33">
        <v>18.7</v>
      </c>
      <c r="L226" s="33">
        <v>22.1</v>
      </c>
      <c r="M226" s="34">
        <v>0.8</v>
      </c>
      <c r="N226" s="34">
        <v>1.7</v>
      </c>
      <c r="O226" t="s">
        <v>32</v>
      </c>
      <c r="P226" s="28"/>
      <c r="Q226" s="28"/>
      <c r="R226" s="28"/>
    </row>
    <row r="227" spans="1:18" x14ac:dyDescent="0.3">
      <c r="A227" s="30" t="s">
        <v>59</v>
      </c>
      <c r="B227" s="29" t="s">
        <v>59</v>
      </c>
      <c r="C227" s="13" t="s">
        <v>322</v>
      </c>
      <c r="D227" s="26" t="s">
        <v>322</v>
      </c>
      <c r="E227" s="26" t="s">
        <v>322</v>
      </c>
      <c r="F227" s="26" t="s">
        <v>322</v>
      </c>
      <c r="G227" s="26" t="s">
        <v>322</v>
      </c>
      <c r="H227" s="26" t="s">
        <v>322</v>
      </c>
      <c r="I227" s="26" t="s">
        <v>322</v>
      </c>
      <c r="J227" s="26" t="s">
        <v>322</v>
      </c>
      <c r="K227" s="26" t="s">
        <v>322</v>
      </c>
      <c r="L227" s="26" t="s">
        <v>322</v>
      </c>
      <c r="M227" s="26" t="s">
        <v>322</v>
      </c>
      <c r="N227" s="26" t="s">
        <v>500</v>
      </c>
      <c r="P227" s="28"/>
      <c r="Q227" s="28"/>
      <c r="R227" s="28"/>
    </row>
    <row r="228" spans="1:18" x14ac:dyDescent="0.3">
      <c r="A228" s="30" t="s">
        <v>501</v>
      </c>
      <c r="B228" s="29" t="s">
        <v>61</v>
      </c>
      <c r="C228" s="13">
        <v>2832</v>
      </c>
      <c r="D228" s="33">
        <v>2834</v>
      </c>
      <c r="E228" s="33">
        <v>2650.4</v>
      </c>
      <c r="F228" s="13">
        <v>2</v>
      </c>
      <c r="G228" s="34">
        <v>-183.6</v>
      </c>
      <c r="H228" s="27">
        <v>0</v>
      </c>
      <c r="I228" s="34">
        <v>-0.7</v>
      </c>
      <c r="J228" s="33">
        <v>1125.7</v>
      </c>
      <c r="K228" s="33">
        <v>1118.8</v>
      </c>
      <c r="L228" s="33">
        <v>1112.4000000000001</v>
      </c>
      <c r="M228" s="34">
        <v>-0.1</v>
      </c>
      <c r="N228" s="34">
        <v>-0.1</v>
      </c>
      <c r="O228" t="s">
        <v>28</v>
      </c>
      <c r="P228" s="28"/>
      <c r="Q228" s="28"/>
      <c r="R228" s="28"/>
    </row>
    <row r="229" spans="1:18" ht="30" customHeight="1" x14ac:dyDescent="0.3">
      <c r="A229" s="30" t="s">
        <v>298</v>
      </c>
      <c r="B229" s="29" t="s">
        <v>299</v>
      </c>
      <c r="C229" s="13">
        <v>703.4</v>
      </c>
      <c r="D229" s="33">
        <v>607.29999999999995</v>
      </c>
      <c r="E229" s="33">
        <v>519.1</v>
      </c>
      <c r="F229" s="13">
        <v>-96.100000000000023</v>
      </c>
      <c r="G229" s="34">
        <v>-88.2</v>
      </c>
      <c r="H229" s="27">
        <v>-1.5</v>
      </c>
      <c r="I229" s="34">
        <v>-1.6</v>
      </c>
      <c r="J229" s="33">
        <v>73.5</v>
      </c>
      <c r="K229" s="33">
        <v>53.5</v>
      </c>
      <c r="L229" s="33">
        <v>49.3</v>
      </c>
      <c r="M229" s="34">
        <v>-3.1</v>
      </c>
      <c r="N229" s="34">
        <v>-0.8</v>
      </c>
      <c r="O229" s="7"/>
      <c r="P229" s="28"/>
      <c r="Q229" s="28"/>
      <c r="R229" s="28"/>
    </row>
    <row r="230" spans="1:18" x14ac:dyDescent="0.3">
      <c r="A230" s="35" t="s">
        <v>502</v>
      </c>
      <c r="B230" s="29" t="s">
        <v>61</v>
      </c>
      <c r="C230" s="13">
        <v>23</v>
      </c>
      <c r="D230" s="33">
        <v>14.9</v>
      </c>
      <c r="E230" s="33">
        <v>10.1</v>
      </c>
      <c r="F230" s="13">
        <v>-8.1</v>
      </c>
      <c r="G230" s="34">
        <v>-4.8</v>
      </c>
      <c r="H230" s="27">
        <v>-4.2</v>
      </c>
      <c r="I230" s="34">
        <v>-3.8</v>
      </c>
      <c r="J230" s="33">
        <v>12.3</v>
      </c>
      <c r="K230" s="33">
        <v>16.3</v>
      </c>
      <c r="L230" s="33">
        <v>19.399999999999999</v>
      </c>
      <c r="M230" s="34">
        <v>2.9</v>
      </c>
      <c r="N230" s="34">
        <v>1.7</v>
      </c>
      <c r="O230" s="7"/>
      <c r="P230" s="28"/>
      <c r="Q230" s="28"/>
      <c r="R230" s="28"/>
    </row>
    <row r="231" spans="1:18" x14ac:dyDescent="0.3">
      <c r="A231" s="35" t="s">
        <v>503</v>
      </c>
      <c r="B231" s="29" t="s">
        <v>61</v>
      </c>
      <c r="C231" s="13">
        <v>85.6</v>
      </c>
      <c r="D231" s="33">
        <v>70.8</v>
      </c>
      <c r="E231" s="33">
        <v>73.400000000000006</v>
      </c>
      <c r="F231" s="13">
        <v>-14.799999999999997</v>
      </c>
      <c r="G231" s="34">
        <v>2.6</v>
      </c>
      <c r="H231" s="27">
        <v>-1.9</v>
      </c>
      <c r="I231" s="34">
        <v>0.4</v>
      </c>
      <c r="J231" s="33">
        <v>19</v>
      </c>
      <c r="K231" s="33">
        <v>20.9</v>
      </c>
      <c r="L231" s="33">
        <v>25.2</v>
      </c>
      <c r="M231" s="34">
        <v>1</v>
      </c>
      <c r="N231" s="34">
        <v>1.9</v>
      </c>
      <c r="O231" s="7"/>
      <c r="P231" s="28"/>
      <c r="Q231" s="28"/>
      <c r="R231" s="28"/>
    </row>
    <row r="232" spans="1:18" x14ac:dyDescent="0.3">
      <c r="A232" s="30" t="s">
        <v>504</v>
      </c>
      <c r="B232" s="29" t="s">
        <v>61</v>
      </c>
      <c r="C232" s="13">
        <v>518.70000000000005</v>
      </c>
      <c r="D232" s="26">
        <v>543</v>
      </c>
      <c r="E232" s="26">
        <v>530.5</v>
      </c>
      <c r="F232" s="13">
        <v>24.299999999999955</v>
      </c>
      <c r="G232" s="26">
        <v>-12.5</v>
      </c>
      <c r="H232" s="27">
        <v>0.5</v>
      </c>
      <c r="I232" s="26">
        <v>-0.2</v>
      </c>
      <c r="J232" s="26">
        <v>242.6</v>
      </c>
      <c r="K232" s="26">
        <v>234</v>
      </c>
      <c r="L232" s="26">
        <v>227.1</v>
      </c>
      <c r="M232" s="26">
        <v>-0.4</v>
      </c>
      <c r="N232" s="26">
        <v>-0.3</v>
      </c>
      <c r="O232" s="7"/>
      <c r="P232" s="28"/>
      <c r="Q232" s="28"/>
      <c r="R232" s="28"/>
    </row>
    <row r="233" spans="1:18" x14ac:dyDescent="0.3">
      <c r="A233" s="30" t="s">
        <v>505</v>
      </c>
      <c r="B233" s="29" t="s">
        <v>61</v>
      </c>
      <c r="C233" s="13">
        <v>0</v>
      </c>
      <c r="D233" s="26">
        <v>0</v>
      </c>
      <c r="E233" s="26">
        <v>0</v>
      </c>
      <c r="F233" s="13">
        <v>0</v>
      </c>
      <c r="G233" s="26">
        <v>0</v>
      </c>
      <c r="H233" s="27">
        <v>0</v>
      </c>
      <c r="I233" s="26">
        <v>0</v>
      </c>
      <c r="J233" s="26">
        <v>150.9</v>
      </c>
      <c r="K233" s="26">
        <v>152</v>
      </c>
      <c r="L233" s="26">
        <v>147.5</v>
      </c>
      <c r="M233" s="26">
        <v>0.1</v>
      </c>
      <c r="N233" s="26">
        <v>-0.3</v>
      </c>
      <c r="O233" s="7"/>
      <c r="P233" s="28"/>
      <c r="Q233" s="28"/>
      <c r="R233" s="28"/>
    </row>
    <row r="234" spans="1:18" ht="25.5" x14ac:dyDescent="0.3">
      <c r="A234" s="30" t="s">
        <v>506</v>
      </c>
      <c r="B234" s="29" t="s">
        <v>61</v>
      </c>
      <c r="C234" s="13">
        <v>0</v>
      </c>
      <c r="D234" s="26">
        <v>0</v>
      </c>
      <c r="E234" s="26">
        <v>0</v>
      </c>
      <c r="F234" s="13">
        <v>0</v>
      </c>
      <c r="G234" s="26">
        <v>0</v>
      </c>
      <c r="H234" s="27">
        <v>0</v>
      </c>
      <c r="I234" s="26">
        <v>0</v>
      </c>
      <c r="J234" s="26">
        <v>273.2</v>
      </c>
      <c r="K234" s="26">
        <v>247.3</v>
      </c>
      <c r="L234" s="26">
        <v>246</v>
      </c>
      <c r="M234" s="26">
        <v>-1</v>
      </c>
      <c r="N234" s="26">
        <v>-0.1</v>
      </c>
      <c r="O234" s="7"/>
      <c r="P234" s="28"/>
      <c r="Q234" s="28"/>
      <c r="R234" s="28"/>
    </row>
    <row r="235" spans="1:18" x14ac:dyDescent="0.3">
      <c r="A235" s="30" t="s">
        <v>507</v>
      </c>
      <c r="B235" s="29" t="s">
        <v>61</v>
      </c>
      <c r="C235" s="13">
        <v>1501.3</v>
      </c>
      <c r="D235" s="26">
        <v>1598</v>
      </c>
      <c r="E235" s="26">
        <v>1517.3</v>
      </c>
      <c r="F235" s="13">
        <v>96.700000000000045</v>
      </c>
      <c r="G235" s="26">
        <v>-80.8</v>
      </c>
      <c r="H235" s="27">
        <v>0.6</v>
      </c>
      <c r="I235" s="26">
        <v>-0.5</v>
      </c>
      <c r="J235" s="26">
        <v>155.4</v>
      </c>
      <c r="K235" s="26">
        <v>158.80000000000001</v>
      </c>
      <c r="L235" s="26">
        <v>157.5</v>
      </c>
      <c r="M235" s="26">
        <v>0.2</v>
      </c>
      <c r="N235" s="26">
        <v>-0.1</v>
      </c>
      <c r="O235" s="7"/>
      <c r="P235" s="28"/>
      <c r="Q235" s="28"/>
      <c r="R235" s="28"/>
    </row>
    <row r="236" spans="1:18" x14ac:dyDescent="0.3">
      <c r="A236" s="30" t="s">
        <v>508</v>
      </c>
      <c r="B236" s="29" t="s">
        <v>61</v>
      </c>
      <c r="C236" s="13">
        <v>0</v>
      </c>
      <c r="D236" s="26">
        <v>0</v>
      </c>
      <c r="E236" s="26">
        <v>0</v>
      </c>
      <c r="F236" s="13">
        <v>0</v>
      </c>
      <c r="G236" s="26">
        <v>0</v>
      </c>
      <c r="H236" s="27">
        <v>0</v>
      </c>
      <c r="I236" s="26">
        <v>0</v>
      </c>
      <c r="J236" s="26">
        <v>87.7</v>
      </c>
      <c r="K236" s="26">
        <v>108.5</v>
      </c>
      <c r="L236" s="26">
        <v>107.6</v>
      </c>
      <c r="M236" s="26">
        <v>2.2000000000000002</v>
      </c>
      <c r="N236" s="26">
        <v>-0.1</v>
      </c>
      <c r="O236" s="7"/>
      <c r="P236" s="28"/>
      <c r="Q236" s="28"/>
      <c r="R236" s="28"/>
    </row>
    <row r="237" spans="1:18" ht="25.5" x14ac:dyDescent="0.3">
      <c r="A237" s="36" t="s">
        <v>509</v>
      </c>
      <c r="B237" s="29" t="s">
        <v>61</v>
      </c>
      <c r="C237" s="13">
        <v>0</v>
      </c>
      <c r="D237" s="26">
        <v>0</v>
      </c>
      <c r="E237" s="26">
        <v>0</v>
      </c>
      <c r="F237" s="13">
        <v>0</v>
      </c>
      <c r="G237" s="26">
        <v>0</v>
      </c>
      <c r="H237" s="27">
        <v>0</v>
      </c>
      <c r="I237" s="26">
        <v>0</v>
      </c>
      <c r="J237" s="26">
        <v>111.4</v>
      </c>
      <c r="K237" s="26">
        <v>128</v>
      </c>
      <c r="L237" s="26">
        <v>133.6</v>
      </c>
      <c r="M237" s="26">
        <v>1.4</v>
      </c>
      <c r="N237" s="26">
        <v>0.4</v>
      </c>
      <c r="O237" s="7"/>
      <c r="P237" s="28"/>
      <c r="Q237" s="28"/>
      <c r="R237" s="28"/>
    </row>
    <row r="238" spans="1:18" x14ac:dyDescent="0.3">
      <c r="A238" s="30" t="s">
        <v>510</v>
      </c>
      <c r="B238" s="29" t="s">
        <v>61</v>
      </c>
      <c r="C238" s="13">
        <v>2020</v>
      </c>
      <c r="D238" s="26">
        <v>2141</v>
      </c>
      <c r="E238" s="26">
        <v>2047.8</v>
      </c>
      <c r="F238" s="13">
        <v>121</v>
      </c>
      <c r="G238" s="26">
        <v>-93.2</v>
      </c>
      <c r="H238" s="27">
        <v>0.6</v>
      </c>
      <c r="I238" s="26">
        <v>-0.4</v>
      </c>
      <c r="J238" s="26">
        <v>1021.2</v>
      </c>
      <c r="K238" s="26">
        <v>1028.5999999999999</v>
      </c>
      <c r="L238" s="26">
        <v>1019.2</v>
      </c>
      <c r="M238" s="26">
        <v>0.1</v>
      </c>
      <c r="N238" s="26">
        <v>-0.1</v>
      </c>
      <c r="O238" s="7"/>
      <c r="P238" s="28"/>
      <c r="Q238" s="28"/>
      <c r="R238" s="28"/>
    </row>
    <row r="239" spans="1:18" x14ac:dyDescent="0.3">
      <c r="A239" s="17" t="s">
        <v>511</v>
      </c>
      <c r="B239" s="29" t="s">
        <v>61</v>
      </c>
      <c r="C239" s="13">
        <v>19722.7</v>
      </c>
      <c r="D239" s="26">
        <v>19759.400000000001</v>
      </c>
      <c r="E239" s="26">
        <v>20080</v>
      </c>
      <c r="F239" s="13">
        <v>36.700000000000728</v>
      </c>
      <c r="G239" s="26">
        <v>320.60000000000002</v>
      </c>
      <c r="H239" s="27">
        <v>0</v>
      </c>
      <c r="I239" s="26">
        <v>0.2</v>
      </c>
      <c r="J239" s="26">
        <v>2333.5</v>
      </c>
      <c r="K239" s="26">
        <v>2475.1</v>
      </c>
      <c r="L239" s="26">
        <v>2754.4</v>
      </c>
      <c r="M239" s="26">
        <v>0.6</v>
      </c>
      <c r="N239" s="26">
        <v>1.1000000000000001</v>
      </c>
      <c r="O239" t="s">
        <v>28</v>
      </c>
      <c r="P239" s="28"/>
      <c r="Q239" s="28"/>
      <c r="R239" s="28"/>
    </row>
    <row r="240" spans="1:18" x14ac:dyDescent="0.3">
      <c r="A240" s="30" t="s">
        <v>512</v>
      </c>
      <c r="B240" s="29" t="s">
        <v>61</v>
      </c>
      <c r="C240" s="13">
        <v>269.3</v>
      </c>
      <c r="D240" s="26">
        <v>288.7</v>
      </c>
      <c r="E240" s="26">
        <v>307.39999999999998</v>
      </c>
      <c r="F240" s="13">
        <v>19.399999999999977</v>
      </c>
      <c r="G240" s="26">
        <v>18.7</v>
      </c>
      <c r="H240" s="27">
        <v>0.7</v>
      </c>
      <c r="I240" s="26">
        <v>0.6</v>
      </c>
      <c r="J240" s="26">
        <v>14.8</v>
      </c>
      <c r="K240" s="26">
        <v>15.5</v>
      </c>
      <c r="L240" s="26">
        <v>18.8</v>
      </c>
      <c r="M240" s="26">
        <v>0.4</v>
      </c>
      <c r="N240" s="26">
        <v>2</v>
      </c>
      <c r="O240" s="7"/>
      <c r="P240" s="28"/>
      <c r="Q240" s="28"/>
      <c r="R240" s="28"/>
    </row>
    <row r="241" spans="1:18" x14ac:dyDescent="0.3">
      <c r="A241" s="30" t="s">
        <v>513</v>
      </c>
      <c r="B241" s="29" t="s">
        <v>61</v>
      </c>
      <c r="C241" s="13">
        <v>1346.1</v>
      </c>
      <c r="D241" s="26">
        <v>1346.9</v>
      </c>
      <c r="E241" s="26">
        <v>1368.5</v>
      </c>
      <c r="F241" s="13">
        <v>0.8000000000001819</v>
      </c>
      <c r="G241" s="26">
        <v>21.6</v>
      </c>
      <c r="H241" s="27">
        <v>0</v>
      </c>
      <c r="I241" s="26">
        <v>0.2</v>
      </c>
      <c r="J241" s="26">
        <v>177.3</v>
      </c>
      <c r="K241" s="26">
        <v>197.8</v>
      </c>
      <c r="L241" s="26">
        <v>233.6</v>
      </c>
      <c r="M241" s="26">
        <v>1.1000000000000001</v>
      </c>
      <c r="N241" s="26">
        <v>1.7</v>
      </c>
      <c r="O241" s="7"/>
      <c r="P241" s="28"/>
      <c r="Q241" s="28"/>
      <c r="R241" s="28"/>
    </row>
    <row r="242" spans="1:18" x14ac:dyDescent="0.3">
      <c r="A242" s="30" t="s">
        <v>514</v>
      </c>
      <c r="B242" s="29" t="s">
        <v>61</v>
      </c>
      <c r="C242" s="13">
        <v>660.6</v>
      </c>
      <c r="D242" s="26">
        <v>683.6</v>
      </c>
      <c r="E242" s="26">
        <v>714</v>
      </c>
      <c r="F242" s="13">
        <v>23</v>
      </c>
      <c r="G242" s="26">
        <v>30.4</v>
      </c>
      <c r="H242" s="27">
        <v>0.3</v>
      </c>
      <c r="I242" s="26">
        <v>0.4</v>
      </c>
      <c r="J242" s="26">
        <v>64</v>
      </c>
      <c r="K242" s="26">
        <v>65.7</v>
      </c>
      <c r="L242" s="26">
        <v>70</v>
      </c>
      <c r="M242" s="26">
        <v>0.3</v>
      </c>
      <c r="N242" s="26">
        <v>0.6</v>
      </c>
      <c r="O242" s="7"/>
      <c r="P242" s="28"/>
      <c r="Q242" s="28"/>
      <c r="R242" s="28"/>
    </row>
    <row r="243" spans="1:18" x14ac:dyDescent="0.3">
      <c r="A243" s="30" t="s">
        <v>515</v>
      </c>
      <c r="B243" s="29" t="s">
        <v>61</v>
      </c>
      <c r="C243" s="13">
        <v>8078.8</v>
      </c>
      <c r="D243" s="26">
        <v>8009.7</v>
      </c>
      <c r="E243" s="26">
        <v>8032.6</v>
      </c>
      <c r="F243" s="13">
        <v>-69.100000000000364</v>
      </c>
      <c r="G243" s="26">
        <v>22.9</v>
      </c>
      <c r="H243" s="27">
        <v>-0.1</v>
      </c>
      <c r="I243" s="26">
        <v>0</v>
      </c>
      <c r="J243" s="26">
        <v>436.6</v>
      </c>
      <c r="K243" s="26">
        <v>419.7</v>
      </c>
      <c r="L243" s="26">
        <v>447.1</v>
      </c>
      <c r="M243" s="26">
        <v>-0.4</v>
      </c>
      <c r="N243" s="26">
        <v>0.6</v>
      </c>
      <c r="O243" s="7"/>
      <c r="P243" s="28"/>
      <c r="Q243" s="28"/>
      <c r="R243" s="28"/>
    </row>
    <row r="244" spans="1:18" ht="25.5" x14ac:dyDescent="0.3">
      <c r="A244" s="30" t="s">
        <v>516</v>
      </c>
      <c r="B244" s="29" t="s">
        <v>61</v>
      </c>
      <c r="C244" s="13">
        <v>4198.8999999999996</v>
      </c>
      <c r="D244" s="26">
        <v>4254.3999999999996</v>
      </c>
      <c r="E244" s="26">
        <v>4462.6000000000004</v>
      </c>
      <c r="F244" s="13">
        <v>55.5</v>
      </c>
      <c r="G244" s="26">
        <v>208.2</v>
      </c>
      <c r="H244" s="27">
        <v>0.1</v>
      </c>
      <c r="I244" s="26">
        <v>0.5</v>
      </c>
      <c r="J244" s="26">
        <v>344.1</v>
      </c>
      <c r="K244" s="26">
        <v>347.1</v>
      </c>
      <c r="L244" s="26">
        <v>369.8</v>
      </c>
      <c r="M244" s="26">
        <v>0.1</v>
      </c>
      <c r="N244" s="26">
        <v>0.6</v>
      </c>
      <c r="O244" s="7"/>
      <c r="P244" s="28"/>
      <c r="Q244" s="28"/>
      <c r="R244" s="28"/>
    </row>
    <row r="245" spans="1:18" x14ac:dyDescent="0.3">
      <c r="A245" s="30" t="s">
        <v>517</v>
      </c>
      <c r="B245" s="29" t="s">
        <v>61</v>
      </c>
      <c r="C245" s="13">
        <v>530.9</v>
      </c>
      <c r="D245" s="26">
        <v>480.9</v>
      </c>
      <c r="E245" s="26">
        <v>464.5</v>
      </c>
      <c r="F245" s="13">
        <v>-50</v>
      </c>
      <c r="G245" s="26">
        <v>-16.399999999999999</v>
      </c>
      <c r="H245" s="27">
        <v>-1</v>
      </c>
      <c r="I245" s="26">
        <v>-0.3</v>
      </c>
      <c r="J245" s="26">
        <v>87.4</v>
      </c>
      <c r="K245" s="26">
        <v>96.4</v>
      </c>
      <c r="L245" s="26">
        <v>113.8</v>
      </c>
      <c r="M245" s="26">
        <v>1</v>
      </c>
      <c r="N245" s="26">
        <v>1.7</v>
      </c>
      <c r="O245" s="7"/>
      <c r="P245" s="28"/>
      <c r="Q245" s="28"/>
      <c r="R245" s="28"/>
    </row>
    <row r="246" spans="1:18" x14ac:dyDescent="0.3">
      <c r="A246" s="30" t="s">
        <v>518</v>
      </c>
      <c r="B246" s="29" t="s">
        <v>61</v>
      </c>
      <c r="C246" s="13">
        <v>358.8</v>
      </c>
      <c r="D246" s="26">
        <v>386.5</v>
      </c>
      <c r="E246" s="26">
        <v>406.6</v>
      </c>
      <c r="F246" s="13">
        <v>27.699999999999989</v>
      </c>
      <c r="G246" s="26">
        <v>20.100000000000001</v>
      </c>
      <c r="H246" s="27">
        <v>0.7</v>
      </c>
      <c r="I246" s="26">
        <v>0.5</v>
      </c>
      <c r="J246" s="26">
        <v>44</v>
      </c>
      <c r="K246" s="26">
        <v>39.200000000000003</v>
      </c>
      <c r="L246" s="26">
        <v>41.7</v>
      </c>
      <c r="M246" s="26">
        <v>-1.2</v>
      </c>
      <c r="N246" s="26">
        <v>0.6</v>
      </c>
      <c r="O246" s="7"/>
      <c r="P246" s="28"/>
      <c r="Q246" s="28"/>
      <c r="R246" s="28"/>
    </row>
    <row r="247" spans="1:18" x14ac:dyDescent="0.3">
      <c r="A247" s="30" t="s">
        <v>519</v>
      </c>
      <c r="B247" s="29" t="s">
        <v>61</v>
      </c>
      <c r="C247" s="13">
        <v>2360.1999999999998</v>
      </c>
      <c r="D247" s="26">
        <v>2484</v>
      </c>
      <c r="E247" s="26">
        <v>2528.8000000000002</v>
      </c>
      <c r="F247" s="13">
        <v>123.80000000000018</v>
      </c>
      <c r="G247" s="26">
        <v>44.8</v>
      </c>
      <c r="H247" s="27">
        <v>0.5</v>
      </c>
      <c r="I247" s="26">
        <v>0.2</v>
      </c>
      <c r="J247" s="26">
        <v>128.1</v>
      </c>
      <c r="K247" s="26">
        <v>143.4</v>
      </c>
      <c r="L247" s="26">
        <v>152.69999999999999</v>
      </c>
      <c r="M247" s="26">
        <v>1.1000000000000001</v>
      </c>
      <c r="N247" s="26">
        <v>0.6</v>
      </c>
      <c r="O247" s="7"/>
      <c r="P247" s="28"/>
      <c r="Q247" s="28"/>
      <c r="R247" s="28"/>
    </row>
    <row r="248" spans="1:18" x14ac:dyDescent="0.3">
      <c r="A248" s="30" t="s">
        <v>520</v>
      </c>
      <c r="B248" s="29" t="s">
        <v>61</v>
      </c>
      <c r="C248" s="13">
        <v>1919.1</v>
      </c>
      <c r="D248" s="26">
        <v>1824.7</v>
      </c>
      <c r="E248" s="26">
        <v>1794.9</v>
      </c>
      <c r="F248" s="13">
        <v>-94.399999999999864</v>
      </c>
      <c r="G248" s="26">
        <v>-29.8</v>
      </c>
      <c r="H248" s="27">
        <v>-0.5</v>
      </c>
      <c r="I248" s="26">
        <v>-0.2</v>
      </c>
      <c r="J248" s="26">
        <v>182.4</v>
      </c>
      <c r="K248" s="26">
        <v>173.2</v>
      </c>
      <c r="L248" s="26">
        <v>184.5</v>
      </c>
      <c r="M248" s="26">
        <v>-0.5</v>
      </c>
      <c r="N248" s="26">
        <v>0.6</v>
      </c>
      <c r="O248" s="7"/>
      <c r="P248" s="28"/>
      <c r="Q248" s="28"/>
      <c r="R248" s="28"/>
    </row>
    <row r="249" spans="1:18" x14ac:dyDescent="0.3">
      <c r="A249" s="30" t="s">
        <v>521</v>
      </c>
      <c r="B249" s="29" t="s">
        <v>61</v>
      </c>
      <c r="C249" s="13">
        <v>0</v>
      </c>
      <c r="D249" s="26">
        <v>0</v>
      </c>
      <c r="E249" s="26">
        <v>0</v>
      </c>
      <c r="F249" s="13">
        <v>0</v>
      </c>
      <c r="G249" s="26">
        <v>0</v>
      </c>
      <c r="H249" s="27">
        <v>0</v>
      </c>
      <c r="I249" s="26">
        <v>0</v>
      </c>
      <c r="J249" s="26">
        <v>171.2</v>
      </c>
      <c r="K249" s="26">
        <v>195.9</v>
      </c>
      <c r="L249" s="26">
        <v>208.7</v>
      </c>
      <c r="M249" s="26">
        <v>1.4</v>
      </c>
      <c r="N249" s="26">
        <v>0.6</v>
      </c>
      <c r="O249" s="7"/>
      <c r="P249" s="28"/>
      <c r="Q249" s="28"/>
      <c r="R249" s="28"/>
    </row>
    <row r="250" spans="1:18" ht="25.5" x14ac:dyDescent="0.3">
      <c r="A250" s="30" t="s">
        <v>522</v>
      </c>
      <c r="B250" s="29" t="s">
        <v>61</v>
      </c>
      <c r="C250" s="13">
        <v>0</v>
      </c>
      <c r="D250" s="26">
        <v>0</v>
      </c>
      <c r="E250" s="26">
        <v>0</v>
      </c>
      <c r="F250" s="13">
        <v>0</v>
      </c>
      <c r="G250" s="26">
        <v>0</v>
      </c>
      <c r="H250" s="27">
        <v>0</v>
      </c>
      <c r="I250" s="26">
        <v>0</v>
      </c>
      <c r="J250" s="26">
        <v>684.3</v>
      </c>
      <c r="K250" s="26">
        <v>790.3</v>
      </c>
      <c r="L250" s="26">
        <v>929.4</v>
      </c>
      <c r="M250" s="26">
        <v>1.5</v>
      </c>
      <c r="N250" s="26">
        <v>1.6</v>
      </c>
      <c r="O250" s="7"/>
      <c r="P250" s="28"/>
      <c r="Q250" s="28"/>
      <c r="R250" s="28"/>
    </row>
    <row r="251" spans="1:18" x14ac:dyDescent="0.3">
      <c r="A251" s="30" t="s">
        <v>523</v>
      </c>
      <c r="B251" s="29" t="s">
        <v>61</v>
      </c>
      <c r="C251" s="13">
        <v>0</v>
      </c>
      <c r="D251" s="26">
        <v>0</v>
      </c>
      <c r="E251" s="26">
        <v>0</v>
      </c>
      <c r="F251" s="13">
        <v>0</v>
      </c>
      <c r="G251" s="26">
        <v>0</v>
      </c>
      <c r="H251" s="27">
        <v>0</v>
      </c>
      <c r="I251" s="26">
        <v>0</v>
      </c>
      <c r="J251" s="26">
        <v>1273.7</v>
      </c>
      <c r="K251" s="26">
        <v>1505.5</v>
      </c>
      <c r="L251" s="26">
        <v>1671.1</v>
      </c>
      <c r="M251" s="26">
        <v>1.7</v>
      </c>
      <c r="N251" s="26">
        <v>1</v>
      </c>
      <c r="O251" s="7"/>
      <c r="P251" s="28"/>
      <c r="Q251" s="28"/>
      <c r="R251" s="28"/>
    </row>
    <row r="252" spans="1:18" x14ac:dyDescent="0.3">
      <c r="A252" s="30" t="s">
        <v>524</v>
      </c>
      <c r="B252" s="29" t="s">
        <v>525</v>
      </c>
      <c r="C252" s="13">
        <v>2011.9</v>
      </c>
      <c r="D252" s="26">
        <v>2303.6</v>
      </c>
      <c r="E252" s="26">
        <v>2265.1</v>
      </c>
      <c r="F252" s="13">
        <v>291.69999999999982</v>
      </c>
      <c r="G252" s="26">
        <v>-38.6</v>
      </c>
      <c r="H252" s="27">
        <v>1.4</v>
      </c>
      <c r="I252" s="26">
        <v>-0.2</v>
      </c>
      <c r="J252" s="26">
        <v>459.5</v>
      </c>
      <c r="K252" s="26">
        <v>571.6</v>
      </c>
      <c r="L252" s="26">
        <v>684.5</v>
      </c>
      <c r="M252" s="26">
        <v>2.2000000000000002</v>
      </c>
      <c r="N252" s="26">
        <v>1.8</v>
      </c>
      <c r="O252" t="s">
        <v>2</v>
      </c>
      <c r="P252" s="28"/>
      <c r="Q252" s="28"/>
      <c r="R252" s="28"/>
    </row>
    <row r="253" spans="1:18" x14ac:dyDescent="0.3">
      <c r="A253" s="30" t="s">
        <v>526</v>
      </c>
      <c r="B253" s="29" t="s">
        <v>527</v>
      </c>
      <c r="C253" s="13">
        <v>904.4</v>
      </c>
      <c r="D253" s="26">
        <v>1240.5</v>
      </c>
      <c r="E253" s="26">
        <v>1306.8</v>
      </c>
      <c r="F253" s="13">
        <v>336.1</v>
      </c>
      <c r="G253" s="26">
        <v>66.2</v>
      </c>
      <c r="H253" s="27">
        <v>3.2</v>
      </c>
      <c r="I253" s="26">
        <v>0.5</v>
      </c>
      <c r="J253" s="26">
        <v>212.9</v>
      </c>
      <c r="K253" s="26">
        <v>308.89999999999998</v>
      </c>
      <c r="L253" s="26">
        <v>377.3</v>
      </c>
      <c r="M253" s="26">
        <v>3.8</v>
      </c>
      <c r="N253" s="26">
        <v>2</v>
      </c>
      <c r="O253" s="7"/>
      <c r="P253" s="28"/>
      <c r="Q253" s="28"/>
      <c r="R253" s="28"/>
    </row>
    <row r="254" spans="1:18" x14ac:dyDescent="0.3">
      <c r="A254" s="30" t="s">
        <v>528</v>
      </c>
      <c r="B254" s="29" t="s">
        <v>529</v>
      </c>
      <c r="C254" s="13">
        <v>846.8</v>
      </c>
      <c r="D254" s="26">
        <v>749.7</v>
      </c>
      <c r="E254" s="26">
        <v>646.4</v>
      </c>
      <c r="F254" s="13">
        <v>-97.099999999999909</v>
      </c>
      <c r="G254" s="26">
        <v>-103.3</v>
      </c>
      <c r="H254" s="27">
        <v>-1.2</v>
      </c>
      <c r="I254" s="26">
        <v>-1.5</v>
      </c>
      <c r="J254" s="26">
        <v>200</v>
      </c>
      <c r="K254" s="26">
        <v>216.2</v>
      </c>
      <c r="L254" s="26">
        <v>254</v>
      </c>
      <c r="M254" s="26">
        <v>0.8</v>
      </c>
      <c r="N254" s="26">
        <v>1.6</v>
      </c>
      <c r="O254" s="7"/>
      <c r="P254" s="28"/>
      <c r="Q254" s="28"/>
      <c r="R254" s="28"/>
    </row>
    <row r="255" spans="1:18" x14ac:dyDescent="0.3">
      <c r="A255" s="30" t="s">
        <v>530</v>
      </c>
      <c r="B255" s="29" t="s">
        <v>531</v>
      </c>
      <c r="C255" s="13">
        <v>16.2</v>
      </c>
      <c r="D255" s="26">
        <v>16</v>
      </c>
      <c r="E255" s="26">
        <v>19.5</v>
      </c>
      <c r="F255" s="13">
        <v>-0.19999999999999929</v>
      </c>
      <c r="G255" s="26">
        <v>3.5</v>
      </c>
      <c r="H255" s="27">
        <v>-0.1</v>
      </c>
      <c r="I255" s="26">
        <v>2</v>
      </c>
      <c r="J255" s="26">
        <v>5.4</v>
      </c>
      <c r="K255" s="26">
        <v>4.0999999999999996</v>
      </c>
      <c r="L255" s="26">
        <v>4.5</v>
      </c>
      <c r="M255" s="26">
        <v>-2.7</v>
      </c>
      <c r="N255" s="26">
        <v>0.9</v>
      </c>
      <c r="O255" s="7"/>
      <c r="P255" s="28"/>
      <c r="Q255" s="28"/>
      <c r="R255" s="28"/>
    </row>
    <row r="256" spans="1:18" x14ac:dyDescent="0.3">
      <c r="A256" s="30" t="s">
        <v>532</v>
      </c>
      <c r="B256" s="29" t="s">
        <v>533</v>
      </c>
      <c r="C256" s="13">
        <v>71.900000000000006</v>
      </c>
      <c r="D256" s="26">
        <v>73.2</v>
      </c>
      <c r="E256" s="26">
        <v>58.4</v>
      </c>
      <c r="F256" s="13">
        <v>1.2999999999999972</v>
      </c>
      <c r="G256" s="26">
        <v>-14.8</v>
      </c>
      <c r="H256" s="27">
        <v>0.2</v>
      </c>
      <c r="I256" s="26">
        <v>-2.2000000000000002</v>
      </c>
      <c r="J256" s="26">
        <v>14</v>
      </c>
      <c r="K256" s="26">
        <v>15.1</v>
      </c>
      <c r="L256" s="26">
        <v>17</v>
      </c>
      <c r="M256" s="26">
        <v>0.7</v>
      </c>
      <c r="N256" s="26">
        <v>1.2</v>
      </c>
      <c r="O256" s="7"/>
      <c r="P256" s="28"/>
      <c r="Q256" s="28"/>
      <c r="R256" s="28"/>
    </row>
    <row r="257" spans="1:18" x14ac:dyDescent="0.3">
      <c r="A257" s="30" t="s">
        <v>534</v>
      </c>
      <c r="B257" s="29" t="s">
        <v>535</v>
      </c>
      <c r="C257" s="13">
        <v>41.1</v>
      </c>
      <c r="D257" s="26">
        <v>56.5</v>
      </c>
      <c r="E257" s="26">
        <v>51.6</v>
      </c>
      <c r="F257" s="13">
        <v>15.399999999999999</v>
      </c>
      <c r="G257" s="26">
        <v>-4.9000000000000004</v>
      </c>
      <c r="H257" s="27">
        <v>3.2</v>
      </c>
      <c r="I257" s="26">
        <v>-0.9</v>
      </c>
      <c r="J257" s="26">
        <v>7.5</v>
      </c>
      <c r="K257" s="26">
        <v>9.6999999999999993</v>
      </c>
      <c r="L257" s="26">
        <v>11</v>
      </c>
      <c r="M257" s="26">
        <v>2.6</v>
      </c>
      <c r="N257" s="26">
        <v>1.3</v>
      </c>
      <c r="O257" s="7"/>
      <c r="P257" s="28"/>
      <c r="Q257" s="28"/>
      <c r="R257" s="28"/>
    </row>
    <row r="258" spans="1:18" x14ac:dyDescent="0.3">
      <c r="A258" s="30" t="s">
        <v>536</v>
      </c>
      <c r="B258" s="29" t="s">
        <v>537</v>
      </c>
      <c r="C258" s="13">
        <v>131.5</v>
      </c>
      <c r="D258" s="26">
        <v>167.7</v>
      </c>
      <c r="E258" s="26">
        <v>182.3</v>
      </c>
      <c r="F258" s="13">
        <v>36.199999999999989</v>
      </c>
      <c r="G258" s="26">
        <v>14.6</v>
      </c>
      <c r="H258" s="27">
        <v>2.5</v>
      </c>
      <c r="I258" s="26">
        <v>0.8</v>
      </c>
      <c r="J258" s="26">
        <v>19.8</v>
      </c>
      <c r="K258" s="26">
        <v>23.8</v>
      </c>
      <c r="L258" s="26">
        <v>29.8</v>
      </c>
      <c r="M258" s="26">
        <v>1.9</v>
      </c>
      <c r="N258" s="26">
        <v>2.2999999999999998</v>
      </c>
      <c r="O258" s="7"/>
      <c r="P258" s="28"/>
      <c r="Q258" s="28"/>
      <c r="R258" s="28"/>
    </row>
    <row r="259" spans="1:18" x14ac:dyDescent="0.3">
      <c r="A259" s="24" t="s">
        <v>59</v>
      </c>
      <c r="B259" s="29" t="s">
        <v>59</v>
      </c>
      <c r="C259" s="21"/>
      <c r="D259" s="26"/>
      <c r="E259" s="26"/>
      <c r="F259" s="13"/>
      <c r="G259" s="26"/>
      <c r="H259" s="13"/>
      <c r="I259" s="26"/>
      <c r="J259" s="26"/>
      <c r="K259" s="26"/>
      <c r="L259" s="26"/>
      <c r="M259" s="26"/>
      <c r="N259" s="26"/>
      <c r="P259" s="28"/>
      <c r="Q259" s="28"/>
      <c r="R259" s="28"/>
    </row>
    <row r="260" spans="1:18" ht="17.25" thickBot="1" x14ac:dyDescent="0.35">
      <c r="A260" s="24" t="s">
        <v>538</v>
      </c>
      <c r="B260" s="29" t="s">
        <v>59</v>
      </c>
      <c r="C260" s="13">
        <v>8995.2999999999993</v>
      </c>
      <c r="D260" s="26">
        <v>8782.2999999999993</v>
      </c>
      <c r="E260" s="26">
        <v>8454.1</v>
      </c>
      <c r="F260" s="13">
        <v>-213</v>
      </c>
      <c r="G260" s="26">
        <v>-328.2</v>
      </c>
      <c r="H260" s="27">
        <v>-0.2</v>
      </c>
      <c r="I260" s="26">
        <v>-0.4</v>
      </c>
      <c r="J260" s="26"/>
      <c r="K260" s="26"/>
      <c r="L260" s="26"/>
      <c r="M260" s="26">
        <v>0</v>
      </c>
      <c r="N260" s="26">
        <v>0</v>
      </c>
      <c r="O260" s="7"/>
      <c r="P260" s="28"/>
      <c r="Q260" s="28"/>
      <c r="R260" s="28"/>
    </row>
    <row r="261" spans="1:18" ht="15.6" customHeight="1" x14ac:dyDescent="0.3">
      <c r="A261" s="152" t="s">
        <v>539</v>
      </c>
      <c r="B261" s="152"/>
      <c r="C261" s="152"/>
      <c r="D261" s="152"/>
      <c r="E261" s="152"/>
      <c r="F261" s="152"/>
      <c r="G261" s="152"/>
      <c r="H261" s="152"/>
      <c r="I261" s="152"/>
      <c r="J261" s="152"/>
      <c r="K261" s="152"/>
      <c r="L261" s="152"/>
      <c r="M261" s="152"/>
      <c r="N261" s="152"/>
      <c r="P261" s="28"/>
      <c r="Q261" s="28"/>
      <c r="R261" s="28"/>
    </row>
    <row r="262" spans="1:18" ht="27" customHeight="1" x14ac:dyDescent="0.3">
      <c r="A262" s="153" t="s">
        <v>540</v>
      </c>
      <c r="B262" s="150"/>
      <c r="C262" s="150"/>
      <c r="D262" s="150"/>
      <c r="E262" s="150"/>
      <c r="F262" s="150"/>
      <c r="G262" s="150"/>
      <c r="H262" s="150"/>
      <c r="I262" s="150"/>
      <c r="J262" s="150"/>
      <c r="K262" s="150"/>
      <c r="L262" s="150"/>
      <c r="M262" s="150"/>
      <c r="N262" s="150"/>
      <c r="P262" s="28"/>
      <c r="Q262" s="28"/>
      <c r="R262" s="28"/>
    </row>
    <row r="263" spans="1:18" x14ac:dyDescent="0.3">
      <c r="A263" s="154" t="s">
        <v>541</v>
      </c>
      <c r="B263" s="150"/>
      <c r="C263" s="150"/>
      <c r="D263" s="150"/>
      <c r="E263" s="150"/>
      <c r="F263" s="150"/>
      <c r="G263" s="150"/>
      <c r="H263" s="150"/>
      <c r="I263" s="150"/>
      <c r="J263" s="150"/>
      <c r="K263" s="150"/>
      <c r="L263" s="150"/>
      <c r="M263" s="150"/>
      <c r="N263" s="150"/>
      <c r="P263" s="28"/>
      <c r="Q263" s="28"/>
      <c r="R263" s="28"/>
    </row>
    <row r="264" spans="1:18" ht="30" customHeight="1" x14ac:dyDescent="0.3">
      <c r="A264" s="153" t="s">
        <v>542</v>
      </c>
      <c r="B264" s="150"/>
      <c r="C264" s="150"/>
      <c r="D264" s="150"/>
      <c r="E264" s="150"/>
      <c r="F264" s="150"/>
      <c r="G264" s="150"/>
      <c r="H264" s="150"/>
      <c r="I264" s="150"/>
      <c r="J264" s="150"/>
      <c r="K264" s="150"/>
      <c r="L264" s="150"/>
      <c r="M264" s="150"/>
      <c r="N264" s="150"/>
    </row>
    <row r="265" spans="1:18" x14ac:dyDescent="0.3">
      <c r="A265" s="154" t="s">
        <v>543</v>
      </c>
      <c r="B265" s="150"/>
      <c r="C265" s="150"/>
      <c r="D265" s="150"/>
      <c r="E265" s="150"/>
      <c r="F265" s="150"/>
      <c r="G265" s="150"/>
      <c r="H265" s="150"/>
      <c r="I265" s="150"/>
      <c r="J265" s="150"/>
      <c r="K265" s="150"/>
      <c r="L265" s="150"/>
      <c r="M265" s="150"/>
      <c r="N265" s="150"/>
    </row>
    <row r="266" spans="1:18" ht="15" customHeight="1" x14ac:dyDescent="0.3">
      <c r="A266" s="37" t="s">
        <v>544</v>
      </c>
      <c r="B266" s="38"/>
      <c r="C266" s="38"/>
      <c r="D266" s="38"/>
      <c r="E266" s="38"/>
      <c r="F266" s="38"/>
      <c r="G266" s="38"/>
      <c r="H266" s="38"/>
      <c r="I266" s="38"/>
      <c r="J266" s="38"/>
      <c r="K266" s="38"/>
      <c r="L266" s="38"/>
      <c r="M266" s="38"/>
      <c r="N266" s="38"/>
    </row>
    <row r="267" spans="1:18" ht="15" customHeight="1" x14ac:dyDescent="0.3">
      <c r="A267" s="151"/>
      <c r="B267" s="150"/>
      <c r="C267" s="150"/>
      <c r="D267" s="150"/>
      <c r="E267" s="150"/>
      <c r="F267" s="150"/>
      <c r="G267" s="150"/>
      <c r="H267" s="150"/>
      <c r="I267" s="150"/>
      <c r="J267" s="150"/>
      <c r="K267" s="150"/>
      <c r="L267" s="150"/>
      <c r="M267" s="150"/>
      <c r="N267" s="150"/>
    </row>
    <row r="268" spans="1:18" x14ac:dyDescent="0.3">
      <c r="A268" s="149"/>
      <c r="B268" s="150"/>
      <c r="C268" s="150"/>
      <c r="D268" s="150"/>
      <c r="E268" s="150"/>
      <c r="F268" s="150"/>
      <c r="G268" s="150"/>
      <c r="H268" s="150"/>
      <c r="I268" s="150"/>
      <c r="J268" s="150"/>
      <c r="K268" s="150"/>
      <c r="L268" s="150"/>
      <c r="M268" s="150"/>
      <c r="N268" s="150"/>
    </row>
    <row r="269" spans="1:18" x14ac:dyDescent="0.3">
      <c r="A269" s="151"/>
      <c r="B269" s="150"/>
      <c r="C269" s="150"/>
      <c r="D269" s="150"/>
      <c r="E269" s="150"/>
      <c r="F269" s="150"/>
      <c r="G269" s="150"/>
      <c r="H269" s="150"/>
      <c r="I269" s="150"/>
      <c r="J269" s="150"/>
      <c r="K269" s="150"/>
      <c r="L269" s="150"/>
      <c r="M269" s="150"/>
      <c r="N269" s="150"/>
    </row>
    <row r="270" spans="1:18" x14ac:dyDescent="0.3">
      <c r="A270" s="151"/>
      <c r="B270" s="150"/>
      <c r="C270" s="150"/>
      <c r="D270" s="150"/>
      <c r="E270" s="150"/>
      <c r="F270" s="150"/>
      <c r="G270" s="150"/>
      <c r="H270" s="150"/>
      <c r="I270" s="150"/>
      <c r="J270" s="150"/>
      <c r="K270" s="150"/>
      <c r="L270" s="150"/>
      <c r="M270" s="150"/>
      <c r="N270" s="150"/>
    </row>
  </sheetData>
  <mergeCells count="19">
    <mergeCell ref="A1:N1"/>
    <mergeCell ref="A2:A4"/>
    <mergeCell ref="B2:B4"/>
    <mergeCell ref="C2:I2"/>
    <mergeCell ref="J2:N2"/>
    <mergeCell ref="C3:E3"/>
    <mergeCell ref="F3:G3"/>
    <mergeCell ref="H3:I3"/>
    <mergeCell ref="J3:L3"/>
    <mergeCell ref="M3:N3"/>
    <mergeCell ref="A268:N268"/>
    <mergeCell ref="A269:N269"/>
    <mergeCell ref="A270:N270"/>
    <mergeCell ref="A261:N261"/>
    <mergeCell ref="A262:N262"/>
    <mergeCell ref="A263:N263"/>
    <mergeCell ref="A264:N264"/>
    <mergeCell ref="A265:N265"/>
    <mergeCell ref="A267:N267"/>
  </mergeCells>
  <phoneticPr fontId="34" type="noConversion"/>
  <pageMargins left="0.7" right="0.7" top="0.75" bottom="0.75" header="0.3" footer="0.3"/>
  <pageSetup scale="61" fitToHeight="100" orientation="landscape" r:id="rId1"/>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F681-8694-4B7C-8090-597E3C250770}">
  <dimension ref="A1:AH2831"/>
  <sheetViews>
    <sheetView topLeftCell="J1" workbookViewId="0">
      <selection activeCell="E15" sqref="E15"/>
    </sheetView>
  </sheetViews>
  <sheetFormatPr defaultRowHeight="15" customHeight="1" x14ac:dyDescent="0.3"/>
  <cols>
    <col min="1" max="1" width="25.75" customWidth="1"/>
    <col min="2" max="2" width="22.375" style="39" customWidth="1"/>
    <col min="3" max="3" width="45.75" customWidth="1"/>
  </cols>
  <sheetData>
    <row r="1" spans="1:34" ht="17.25" thickBot="1" x14ac:dyDescent="0.35">
      <c r="C1" s="40" t="s">
        <v>670</v>
      </c>
      <c r="D1" s="41">
        <v>2022</v>
      </c>
      <c r="E1" s="41">
        <v>2023</v>
      </c>
      <c r="F1" s="41">
        <v>2024</v>
      </c>
      <c r="G1" s="41">
        <v>2025</v>
      </c>
      <c r="H1" s="41">
        <v>2026</v>
      </c>
      <c r="I1" s="41">
        <v>2027</v>
      </c>
      <c r="J1" s="41">
        <v>2028</v>
      </c>
      <c r="K1" s="41">
        <v>2029</v>
      </c>
      <c r="L1" s="41">
        <v>2030</v>
      </c>
      <c r="M1" s="41">
        <v>2031</v>
      </c>
      <c r="N1" s="41">
        <v>2032</v>
      </c>
      <c r="O1" s="41">
        <v>2033</v>
      </c>
      <c r="P1" s="41">
        <v>2034</v>
      </c>
      <c r="Q1" s="41">
        <v>2035</v>
      </c>
      <c r="R1" s="41">
        <v>2036</v>
      </c>
      <c r="S1" s="41">
        <v>2037</v>
      </c>
      <c r="T1" s="41">
        <v>2038</v>
      </c>
      <c r="U1" s="41">
        <v>2039</v>
      </c>
      <c r="V1" s="41">
        <v>2040</v>
      </c>
      <c r="W1" s="41">
        <v>2041</v>
      </c>
      <c r="X1" s="41">
        <v>2042</v>
      </c>
      <c r="Y1" s="41">
        <v>2043</v>
      </c>
      <c r="Z1" s="41">
        <v>2044</v>
      </c>
      <c r="AA1" s="41">
        <v>2045</v>
      </c>
      <c r="AB1" s="41">
        <v>2046</v>
      </c>
      <c r="AC1" s="41">
        <v>2047</v>
      </c>
      <c r="AD1" s="41">
        <v>2048</v>
      </c>
      <c r="AE1" s="41">
        <v>2049</v>
      </c>
      <c r="AF1" s="41">
        <v>2050</v>
      </c>
    </row>
    <row r="2" spans="1:34" ht="15" customHeight="1" thickTop="1" x14ac:dyDescent="0.3"/>
    <row r="3" spans="1:34" ht="15" customHeight="1" x14ac:dyDescent="0.3">
      <c r="D3" s="62" t="s">
        <v>545</v>
      </c>
      <c r="E3" s="62" t="s">
        <v>671</v>
      </c>
      <c r="F3" s="63"/>
      <c r="G3" s="63"/>
      <c r="H3" s="63"/>
    </row>
    <row r="4" spans="1:34" ht="15" customHeight="1" x14ac:dyDescent="0.3">
      <c r="D4" s="62" t="s">
        <v>546</v>
      </c>
      <c r="E4" s="62" t="s">
        <v>672</v>
      </c>
      <c r="F4" s="63"/>
      <c r="G4" s="63"/>
      <c r="H4" s="62" t="s">
        <v>673</v>
      </c>
    </row>
    <row r="5" spans="1:34" ht="15" customHeight="1" x14ac:dyDescent="0.3">
      <c r="D5" s="62" t="s">
        <v>547</v>
      </c>
      <c r="E5" s="62" t="s">
        <v>674</v>
      </c>
      <c r="F5" s="63"/>
      <c r="G5" s="63"/>
      <c r="H5" s="63"/>
    </row>
    <row r="6" spans="1:34" ht="15" customHeight="1" x14ac:dyDescent="0.3">
      <c r="D6" s="62" t="s">
        <v>548</v>
      </c>
      <c r="E6" s="63"/>
      <c r="F6" s="62" t="s">
        <v>675</v>
      </c>
      <c r="G6" s="63"/>
      <c r="H6" s="63"/>
    </row>
    <row r="7" spans="1:34" ht="12" customHeight="1" x14ac:dyDescent="0.3"/>
    <row r="8" spans="1:34" ht="12" customHeight="1" x14ac:dyDescent="0.3"/>
    <row r="9" spans="1:34" ht="12" customHeight="1" x14ac:dyDescent="0.3"/>
    <row r="10" spans="1:34" ht="16.5" x14ac:dyDescent="0.3">
      <c r="A10" s="64" t="s">
        <v>549</v>
      </c>
      <c r="B10" s="42"/>
      <c r="C10" s="65" t="s">
        <v>550</v>
      </c>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7" t="s">
        <v>676</v>
      </c>
      <c r="AH10" s="66"/>
    </row>
    <row r="11" spans="1:34" ht="15" customHeight="1" x14ac:dyDescent="0.3">
      <c r="C11" s="68"/>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7" t="s">
        <v>53</v>
      </c>
      <c r="AH11" s="66"/>
    </row>
    <row r="12" spans="1:34" ht="15" customHeight="1" x14ac:dyDescent="0.3">
      <c r="C12" s="68"/>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7" t="s">
        <v>677</v>
      </c>
      <c r="AH12" s="66"/>
    </row>
    <row r="13" spans="1:34" ht="17.25" thickBot="1" x14ac:dyDescent="0.35">
      <c r="B13" s="52" t="s">
        <v>637</v>
      </c>
      <c r="C13" s="70" t="s">
        <v>551</v>
      </c>
      <c r="D13" s="70">
        <v>2022</v>
      </c>
      <c r="E13" s="70">
        <v>2023</v>
      </c>
      <c r="F13" s="70">
        <v>2024</v>
      </c>
      <c r="G13" s="70">
        <v>2025</v>
      </c>
      <c r="H13" s="70">
        <v>2026</v>
      </c>
      <c r="I13" s="70">
        <v>2027</v>
      </c>
      <c r="J13" s="70">
        <v>2028</v>
      </c>
      <c r="K13" s="70">
        <v>2029</v>
      </c>
      <c r="L13" s="70">
        <v>2030</v>
      </c>
      <c r="M13" s="70">
        <v>2031</v>
      </c>
      <c r="N13" s="70">
        <v>2032</v>
      </c>
      <c r="O13" s="70">
        <v>2033</v>
      </c>
      <c r="P13" s="70">
        <v>2034</v>
      </c>
      <c r="Q13" s="70">
        <v>2035</v>
      </c>
      <c r="R13" s="70">
        <v>2036</v>
      </c>
      <c r="S13" s="70">
        <v>2037</v>
      </c>
      <c r="T13" s="70">
        <v>2038</v>
      </c>
      <c r="U13" s="70">
        <v>2039</v>
      </c>
      <c r="V13" s="70">
        <v>2040</v>
      </c>
      <c r="W13" s="70">
        <v>2041</v>
      </c>
      <c r="X13" s="70">
        <v>2042</v>
      </c>
      <c r="Y13" s="70">
        <v>2043</v>
      </c>
      <c r="Z13" s="70">
        <v>2044</v>
      </c>
      <c r="AA13" s="70">
        <v>2045</v>
      </c>
      <c r="AB13" s="70">
        <v>2046</v>
      </c>
      <c r="AC13" s="70">
        <v>2047</v>
      </c>
      <c r="AD13" s="70">
        <v>2048</v>
      </c>
      <c r="AE13" s="70">
        <v>2049</v>
      </c>
      <c r="AF13" s="70">
        <v>2050</v>
      </c>
      <c r="AG13" s="71">
        <v>2050</v>
      </c>
      <c r="AH13" s="66"/>
    </row>
    <row r="14" spans="1:34" ht="17.25" thickTop="1" x14ac:dyDescent="0.3">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row>
    <row r="15" spans="1:34" ht="16.5" x14ac:dyDescent="0.3">
      <c r="A15" s="64" t="s">
        <v>552</v>
      </c>
      <c r="B15" s="42"/>
      <c r="C15" s="72" t="s">
        <v>553</v>
      </c>
      <c r="D15" s="73">
        <v>19750.261718999998</v>
      </c>
      <c r="E15" s="78">
        <v>19903.289062</v>
      </c>
      <c r="F15" s="78">
        <v>20095.435547000001</v>
      </c>
      <c r="G15" s="78">
        <v>20409.421875</v>
      </c>
      <c r="H15" s="78">
        <v>20840.714843999998</v>
      </c>
      <c r="I15" s="78">
        <v>21273.421875</v>
      </c>
      <c r="J15" s="78">
        <v>21681.255859000001</v>
      </c>
      <c r="K15" s="78">
        <v>22051.705077999999</v>
      </c>
      <c r="L15" s="78">
        <v>22391.814452999999</v>
      </c>
      <c r="M15" s="78">
        <v>22742.044922000001</v>
      </c>
      <c r="N15" s="78">
        <v>23153.001952999999</v>
      </c>
      <c r="O15" s="78">
        <v>23603.867188</v>
      </c>
      <c r="P15" s="78">
        <v>24055.123047000001</v>
      </c>
      <c r="Q15" s="78">
        <v>24510.957031000002</v>
      </c>
      <c r="R15" s="78">
        <v>24995.804688</v>
      </c>
      <c r="S15" s="78">
        <v>25506.921875</v>
      </c>
      <c r="T15" s="78">
        <v>26032.332031000002</v>
      </c>
      <c r="U15" s="78">
        <v>26566.107422000001</v>
      </c>
      <c r="V15" s="78">
        <v>27148.945312</v>
      </c>
      <c r="W15" s="78">
        <v>27734.087890999999</v>
      </c>
      <c r="X15" s="78">
        <v>28324.492188</v>
      </c>
      <c r="Y15" s="78">
        <v>28926.738281000002</v>
      </c>
      <c r="Z15" s="78">
        <v>29527.414062</v>
      </c>
      <c r="AA15" s="78">
        <v>30130</v>
      </c>
      <c r="AB15" s="78">
        <v>30747.568359000001</v>
      </c>
      <c r="AC15" s="78">
        <v>31389.150390999999</v>
      </c>
      <c r="AD15" s="78">
        <v>32039.970702999999</v>
      </c>
      <c r="AE15" s="78">
        <v>32698.533202999999</v>
      </c>
      <c r="AF15" s="78">
        <v>33404.984375</v>
      </c>
      <c r="AG15" s="79">
        <v>1.8946999999999999E-2</v>
      </c>
      <c r="AH15" s="66"/>
    </row>
    <row r="16" spans="1:34" ht="15" customHeight="1" x14ac:dyDescent="0.3">
      <c r="C16" s="66"/>
      <c r="D16" s="6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66"/>
    </row>
    <row r="17" spans="1:34" ht="16.5" x14ac:dyDescent="0.3">
      <c r="A17" s="64" t="s">
        <v>554</v>
      </c>
      <c r="B17" s="42"/>
      <c r="C17" s="72" t="s">
        <v>555</v>
      </c>
      <c r="D17" s="73">
        <v>152.78814700000001</v>
      </c>
      <c r="E17" s="78">
        <v>154.27262899999999</v>
      </c>
      <c r="F17" s="78">
        <v>153.35226399999999</v>
      </c>
      <c r="G17" s="78">
        <v>153.08639500000001</v>
      </c>
      <c r="H17" s="78">
        <v>153.72100800000001</v>
      </c>
      <c r="I17" s="78">
        <v>154.673157</v>
      </c>
      <c r="J17" s="78">
        <v>155.57711800000001</v>
      </c>
      <c r="K17" s="78">
        <v>156.19120799999999</v>
      </c>
      <c r="L17" s="78">
        <v>156.51728800000001</v>
      </c>
      <c r="M17" s="78">
        <v>156.684235</v>
      </c>
      <c r="N17" s="78">
        <v>157.135178</v>
      </c>
      <c r="O17" s="78">
        <v>157.837189</v>
      </c>
      <c r="P17" s="78">
        <v>158.855164</v>
      </c>
      <c r="Q17" s="78">
        <v>159.68490600000001</v>
      </c>
      <c r="R17" s="78">
        <v>160.172775</v>
      </c>
      <c r="S17" s="78">
        <v>160.75791899999999</v>
      </c>
      <c r="T17" s="78">
        <v>161.401276</v>
      </c>
      <c r="U17" s="78">
        <v>161.96965</v>
      </c>
      <c r="V17" s="78">
        <v>162.69512900000001</v>
      </c>
      <c r="W17" s="78">
        <v>163.29686000000001</v>
      </c>
      <c r="X17" s="78">
        <v>163.906769</v>
      </c>
      <c r="Y17" s="78">
        <v>164.36605800000001</v>
      </c>
      <c r="Z17" s="78">
        <v>164.78913900000001</v>
      </c>
      <c r="AA17" s="78">
        <v>165.28933699999999</v>
      </c>
      <c r="AB17" s="78">
        <v>165.87802099999999</v>
      </c>
      <c r="AC17" s="78">
        <v>166.58303799999999</v>
      </c>
      <c r="AD17" s="78">
        <v>167.254898</v>
      </c>
      <c r="AE17" s="78">
        <v>167.88226299999999</v>
      </c>
      <c r="AF17" s="78">
        <v>168.61378500000001</v>
      </c>
      <c r="AG17" s="79">
        <v>3.5260000000000001E-3</v>
      </c>
      <c r="AH17" s="66"/>
    </row>
    <row r="18" spans="1:34" ht="15" customHeight="1" x14ac:dyDescent="0.3">
      <c r="C18" s="66"/>
      <c r="D18" s="6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66"/>
    </row>
    <row r="19" spans="1:34" ht="16.5" x14ac:dyDescent="0.3">
      <c r="C19" s="72" t="s">
        <v>556</v>
      </c>
      <c r="D19" s="6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66"/>
    </row>
    <row r="20" spans="1:34" ht="15" customHeight="1" x14ac:dyDescent="0.3">
      <c r="C20" s="66"/>
      <c r="D20" s="6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66"/>
    </row>
    <row r="21" spans="1:34" ht="16.5" x14ac:dyDescent="0.3">
      <c r="C21" s="72" t="s">
        <v>557</v>
      </c>
      <c r="D21" s="6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66"/>
    </row>
    <row r="22" spans="1:34" ht="16.5" x14ac:dyDescent="0.3">
      <c r="A22" s="64" t="s">
        <v>558</v>
      </c>
      <c r="B22" s="42" t="s">
        <v>2</v>
      </c>
      <c r="C22" s="74" t="s">
        <v>559</v>
      </c>
      <c r="D22" s="75">
        <v>545.77941899999996</v>
      </c>
      <c r="E22" s="81">
        <v>545.04199200000005</v>
      </c>
      <c r="F22" s="81">
        <v>550.01971400000002</v>
      </c>
      <c r="G22" s="81">
        <v>557.38793899999996</v>
      </c>
      <c r="H22" s="81">
        <v>565.90930200000003</v>
      </c>
      <c r="I22" s="81">
        <v>573.49780299999998</v>
      </c>
      <c r="J22" s="81">
        <v>580.22204599999998</v>
      </c>
      <c r="K22" s="81">
        <v>586.10894800000005</v>
      </c>
      <c r="L22" s="81">
        <v>591.38091999999995</v>
      </c>
      <c r="M22" s="81">
        <v>596.96917699999995</v>
      </c>
      <c r="N22" s="81">
        <v>602.595642</v>
      </c>
      <c r="O22" s="81">
        <v>607.97412099999997</v>
      </c>
      <c r="P22" s="81">
        <v>612.47906499999999</v>
      </c>
      <c r="Q22" s="81">
        <v>616.59069799999997</v>
      </c>
      <c r="R22" s="81">
        <v>620.11560099999997</v>
      </c>
      <c r="S22" s="81">
        <v>624.81359899999995</v>
      </c>
      <c r="T22" s="81">
        <v>629.28332499999999</v>
      </c>
      <c r="U22" s="81">
        <v>633.78015100000005</v>
      </c>
      <c r="V22" s="81">
        <v>638.52819799999997</v>
      </c>
      <c r="W22" s="81">
        <v>643.14386000000002</v>
      </c>
      <c r="X22" s="81">
        <v>647.884277</v>
      </c>
      <c r="Y22" s="81">
        <v>652.48028599999998</v>
      </c>
      <c r="Z22" s="81">
        <v>656.705017</v>
      </c>
      <c r="AA22" s="81">
        <v>661.02770999999996</v>
      </c>
      <c r="AB22" s="81">
        <v>665.25878899999998</v>
      </c>
      <c r="AC22" s="81">
        <v>669.47393799999998</v>
      </c>
      <c r="AD22" s="81">
        <v>673.57128899999998</v>
      </c>
      <c r="AE22" s="81">
        <v>677.73211700000002</v>
      </c>
      <c r="AF22" s="81">
        <v>681.94012499999997</v>
      </c>
      <c r="AG22" s="82">
        <v>7.986E-3</v>
      </c>
      <c r="AH22" s="66"/>
    </row>
    <row r="23" spans="1:34" ht="15" customHeight="1" x14ac:dyDescent="0.3">
      <c r="A23" s="64" t="s">
        <v>560</v>
      </c>
      <c r="B23" s="42" t="s">
        <v>642</v>
      </c>
      <c r="C23" s="74" t="s">
        <v>561</v>
      </c>
      <c r="D23" s="75">
        <v>722.17889400000001</v>
      </c>
      <c r="E23" s="81">
        <v>701.53491199999996</v>
      </c>
      <c r="F23" s="81">
        <v>702.08783000000005</v>
      </c>
      <c r="G23" s="81">
        <v>704.14086899999995</v>
      </c>
      <c r="H23" s="81">
        <v>709.14672900000005</v>
      </c>
      <c r="I23" s="81">
        <v>706.46862799999997</v>
      </c>
      <c r="J23" s="81">
        <v>708.540527</v>
      </c>
      <c r="K23" s="81">
        <v>706.82507299999997</v>
      </c>
      <c r="L23" s="81">
        <v>708.71057099999996</v>
      </c>
      <c r="M23" s="81">
        <v>711.20165999999995</v>
      </c>
      <c r="N23" s="81">
        <v>717.27392599999996</v>
      </c>
      <c r="O23" s="81">
        <v>723.07965100000001</v>
      </c>
      <c r="P23" s="81">
        <v>726.81701699999996</v>
      </c>
      <c r="Q23" s="81">
        <v>728.95288100000005</v>
      </c>
      <c r="R23" s="81">
        <v>731.61682099999996</v>
      </c>
      <c r="S23" s="81">
        <v>734.78875700000003</v>
      </c>
      <c r="T23" s="81">
        <v>736.19036900000003</v>
      </c>
      <c r="U23" s="81">
        <v>739.040527</v>
      </c>
      <c r="V23" s="81">
        <v>738.38262899999995</v>
      </c>
      <c r="W23" s="81">
        <v>738.59167500000001</v>
      </c>
      <c r="X23" s="81">
        <v>740.92687999999998</v>
      </c>
      <c r="Y23" s="81">
        <v>745.11071800000002</v>
      </c>
      <c r="Z23" s="81">
        <v>749.238159</v>
      </c>
      <c r="AA23" s="81">
        <v>749.89691200000004</v>
      </c>
      <c r="AB23" s="81">
        <v>752.70733600000005</v>
      </c>
      <c r="AC23" s="81">
        <v>752.01501499999995</v>
      </c>
      <c r="AD23" s="81">
        <v>755.05639599999995</v>
      </c>
      <c r="AE23" s="81">
        <v>759.27368200000001</v>
      </c>
      <c r="AF23" s="81">
        <v>763.39056400000004</v>
      </c>
      <c r="AG23" s="82">
        <v>1.9840000000000001E-3</v>
      </c>
      <c r="AH23" s="66"/>
    </row>
    <row r="24" spans="1:34" ht="15" customHeight="1" x14ac:dyDescent="0.3">
      <c r="A24" s="64"/>
      <c r="B24" s="42" t="s">
        <v>39</v>
      </c>
      <c r="C24" s="127" t="s">
        <v>1323</v>
      </c>
      <c r="D24" s="75">
        <v>26.446000000000002</v>
      </c>
      <c r="E24" s="81">
        <v>24.966000000000001</v>
      </c>
      <c r="F24" s="81">
        <v>27.292000000000002</v>
      </c>
      <c r="G24" s="81">
        <v>25.622</v>
      </c>
      <c r="H24" s="81">
        <v>23.437999999999999</v>
      </c>
      <c r="I24" s="81">
        <v>21.012</v>
      </c>
      <c r="J24" s="81">
        <v>18.858000000000001</v>
      </c>
      <c r="K24" s="81">
        <v>16.832999999999998</v>
      </c>
      <c r="L24" s="81">
        <v>15.994999999999999</v>
      </c>
      <c r="M24" s="81">
        <v>15.923999999999999</v>
      </c>
      <c r="N24" s="81">
        <v>16.039000000000001</v>
      </c>
      <c r="O24" s="81">
        <v>15.97</v>
      </c>
      <c r="P24" s="81">
        <v>15.823</v>
      </c>
      <c r="Q24" s="81">
        <v>15.942</v>
      </c>
      <c r="R24" s="81">
        <v>15.755000000000001</v>
      </c>
      <c r="S24" s="81">
        <v>15.398999999999999</v>
      </c>
      <c r="T24" s="81">
        <v>15.151</v>
      </c>
      <c r="U24" s="81">
        <v>14.791</v>
      </c>
      <c r="V24" s="81">
        <v>14.574999999999999</v>
      </c>
      <c r="W24" s="81">
        <v>14.587</v>
      </c>
      <c r="X24" s="81">
        <v>14.614000000000001</v>
      </c>
      <c r="Y24" s="81">
        <v>14.411</v>
      </c>
      <c r="Z24" s="81">
        <v>14.182</v>
      </c>
      <c r="AA24" s="81">
        <v>14.015000000000001</v>
      </c>
      <c r="AB24" s="81">
        <v>13.858000000000001</v>
      </c>
      <c r="AC24" s="81">
        <v>13.784000000000001</v>
      </c>
      <c r="AD24" s="81">
        <v>13.746</v>
      </c>
      <c r="AE24" s="81">
        <v>13.662000000000001</v>
      </c>
      <c r="AF24" s="81">
        <v>13.467000000000001</v>
      </c>
      <c r="AG24" s="82">
        <f>((AF24-D24)/D24)/(AF$13-D$13)</f>
        <v>-1.7527630427501863E-2</v>
      </c>
    </row>
    <row r="25" spans="1:34" ht="15" customHeight="1" x14ac:dyDescent="0.3">
      <c r="A25" s="64"/>
      <c r="B25" s="42" t="s">
        <v>40</v>
      </c>
      <c r="C25" s="127" t="s">
        <v>1324</v>
      </c>
      <c r="D25" s="75">
        <v>623.85299999999995</v>
      </c>
      <c r="E25" s="81">
        <v>606.42700000000002</v>
      </c>
      <c r="F25" s="81">
        <v>606.26</v>
      </c>
      <c r="G25" s="81">
        <v>610.89400000000001</v>
      </c>
      <c r="H25" s="81">
        <v>619.06700000000001</v>
      </c>
      <c r="I25" s="81">
        <v>620.10500000000002</v>
      </c>
      <c r="J25" s="81">
        <v>625.14300000000003</v>
      </c>
      <c r="K25" s="81">
        <v>625.779</v>
      </c>
      <c r="L25" s="81">
        <v>628.85</v>
      </c>
      <c r="M25" s="81">
        <v>631.81700000000001</v>
      </c>
      <c r="N25" s="81">
        <v>638.005</v>
      </c>
      <c r="O25" s="81">
        <v>644.13499999999999</v>
      </c>
      <c r="P25" s="81">
        <v>648.40800000000002</v>
      </c>
      <c r="Q25" s="81">
        <v>650.53599999999994</v>
      </c>
      <c r="R25" s="81">
        <v>653.29399999999998</v>
      </c>
      <c r="S25" s="81">
        <v>656.52300000000002</v>
      </c>
      <c r="T25" s="81">
        <v>657.81</v>
      </c>
      <c r="U25" s="81">
        <v>660.43700000000001</v>
      </c>
      <c r="V25" s="81">
        <v>659.46199999999999</v>
      </c>
      <c r="W25" s="81">
        <v>659.06600000000003</v>
      </c>
      <c r="X25" s="81">
        <v>660.77700000000004</v>
      </c>
      <c r="Y25" s="81">
        <v>664.072</v>
      </c>
      <c r="Z25" s="81">
        <v>667.423</v>
      </c>
      <c r="AA25" s="81">
        <v>667.31200000000001</v>
      </c>
      <c r="AB25" s="81">
        <v>669.46400000000006</v>
      </c>
      <c r="AC25" s="81">
        <v>668.45299999999997</v>
      </c>
      <c r="AD25" s="81">
        <v>671.32399999999996</v>
      </c>
      <c r="AE25" s="81">
        <v>675.18200000000002</v>
      </c>
      <c r="AF25" s="81">
        <v>678.625</v>
      </c>
      <c r="AG25" s="82">
        <f t="shared" ref="AG25:AG26" si="0">((AF25-D25)/D25)/(AF$13-D$13)</f>
        <v>3.1355829933379484E-3</v>
      </c>
    </row>
    <row r="26" spans="1:34" ht="15" customHeight="1" x14ac:dyDescent="0.3">
      <c r="A26" s="64"/>
      <c r="B26" s="42" t="s">
        <v>3</v>
      </c>
      <c r="C26" s="127" t="s">
        <v>1325</v>
      </c>
      <c r="D26" s="75">
        <v>71.88</v>
      </c>
      <c r="E26" s="81">
        <v>70.141999999999996</v>
      </c>
      <c r="F26" s="81">
        <v>68.534999999999997</v>
      </c>
      <c r="G26" s="81">
        <v>67.623999999999995</v>
      </c>
      <c r="H26" s="81">
        <v>66.641999999999996</v>
      </c>
      <c r="I26" s="81">
        <v>65.350999999999999</v>
      </c>
      <c r="J26" s="81">
        <v>64.539000000000001</v>
      </c>
      <c r="K26" s="81">
        <v>64.212999999999994</v>
      </c>
      <c r="L26" s="81">
        <v>63.865000000000002</v>
      </c>
      <c r="M26" s="81">
        <v>63.46</v>
      </c>
      <c r="N26" s="81">
        <v>63.228999999999999</v>
      </c>
      <c r="O26" s="81">
        <v>62.973999999999997</v>
      </c>
      <c r="P26" s="81">
        <v>62.587000000000003</v>
      </c>
      <c r="Q26" s="81">
        <v>62.475000000000001</v>
      </c>
      <c r="R26" s="81">
        <v>62.569000000000003</v>
      </c>
      <c r="S26" s="81">
        <v>62.866</v>
      </c>
      <c r="T26" s="81">
        <v>63.23</v>
      </c>
      <c r="U26" s="81">
        <v>63.813000000000002</v>
      </c>
      <c r="V26" s="81">
        <v>64.346000000000004</v>
      </c>
      <c r="W26" s="81">
        <v>64.938999999999993</v>
      </c>
      <c r="X26" s="81">
        <v>65.537000000000006</v>
      </c>
      <c r="Y26" s="81">
        <v>66.63</v>
      </c>
      <c r="Z26" s="81">
        <v>67.635999999999996</v>
      </c>
      <c r="AA26" s="81">
        <v>68.572000000000003</v>
      </c>
      <c r="AB26" s="81">
        <v>69.388999999999996</v>
      </c>
      <c r="AC26" s="81">
        <v>69.783000000000001</v>
      </c>
      <c r="AD26" s="81">
        <v>69.992000000000004</v>
      </c>
      <c r="AE26" s="81">
        <v>70.436000000000007</v>
      </c>
      <c r="AF26" s="81">
        <v>71.305999999999997</v>
      </c>
      <c r="AG26" s="82">
        <f t="shared" si="0"/>
        <v>-2.8519755147467907E-4</v>
      </c>
    </row>
    <row r="27" spans="1:34" ht="16.5" x14ac:dyDescent="0.3">
      <c r="A27" s="64" t="s">
        <v>562</v>
      </c>
      <c r="B27" s="42" t="s">
        <v>18</v>
      </c>
      <c r="C27" s="74" t="s">
        <v>563</v>
      </c>
      <c r="D27" s="75">
        <v>1413.121948</v>
      </c>
      <c r="E27" s="81">
        <v>1382.275513</v>
      </c>
      <c r="F27" s="81">
        <v>1372.0482179999999</v>
      </c>
      <c r="G27" s="81">
        <v>1393.881226</v>
      </c>
      <c r="H27" s="81">
        <v>1407.64624</v>
      </c>
      <c r="I27" s="81">
        <v>1408.921509</v>
      </c>
      <c r="J27" s="81">
        <v>1419.6782229999999</v>
      </c>
      <c r="K27" s="81">
        <v>1453.1917719999999</v>
      </c>
      <c r="L27" s="81">
        <v>1475.315308</v>
      </c>
      <c r="M27" s="81">
        <v>1477.5269780000001</v>
      </c>
      <c r="N27" s="81">
        <v>1475.791504</v>
      </c>
      <c r="O27" s="81">
        <v>1478.003052</v>
      </c>
      <c r="P27" s="81">
        <v>1479.7020259999999</v>
      </c>
      <c r="Q27" s="81">
        <v>1486.9007570000001</v>
      </c>
      <c r="R27" s="81">
        <v>1499.7144780000001</v>
      </c>
      <c r="S27" s="81">
        <v>1518.9849850000001</v>
      </c>
      <c r="T27" s="81">
        <v>1541.0629879999999</v>
      </c>
      <c r="U27" s="81">
        <v>1559.6639399999999</v>
      </c>
      <c r="V27" s="81">
        <v>1581.4187010000001</v>
      </c>
      <c r="W27" s="81">
        <v>1606.935547</v>
      </c>
      <c r="X27" s="81">
        <v>1626.979736</v>
      </c>
      <c r="Y27" s="81">
        <v>1644.369751</v>
      </c>
      <c r="Z27" s="81">
        <v>1661.7089840000001</v>
      </c>
      <c r="AA27" s="81">
        <v>1681.636475</v>
      </c>
      <c r="AB27" s="81">
        <v>1702.3267820000001</v>
      </c>
      <c r="AC27" s="81">
        <v>1722.484741</v>
      </c>
      <c r="AD27" s="81">
        <v>1739.528442</v>
      </c>
      <c r="AE27" s="81">
        <v>1754.6632079999999</v>
      </c>
      <c r="AF27" s="81">
        <v>1777.8819579999999</v>
      </c>
      <c r="AG27" s="82">
        <v>8.2349999999999993E-3</v>
      </c>
      <c r="AH27" s="66"/>
    </row>
    <row r="28" spans="1:34" ht="15" customHeight="1" x14ac:dyDescent="0.3">
      <c r="C28" s="66"/>
      <c r="D28" s="6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66"/>
    </row>
    <row r="29" spans="1:34" ht="16.5" x14ac:dyDescent="0.3">
      <c r="C29" s="72" t="s">
        <v>564</v>
      </c>
      <c r="D29" s="6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66"/>
    </row>
    <row r="30" spans="1:34" ht="16.5" x14ac:dyDescent="0.3">
      <c r="A30" s="64" t="s">
        <v>565</v>
      </c>
      <c r="B30" s="42" t="s">
        <v>5</v>
      </c>
      <c r="C30" s="74" t="s">
        <v>566</v>
      </c>
      <c r="D30" s="75">
        <v>939.78387499999997</v>
      </c>
      <c r="E30" s="81">
        <v>954.44519000000003</v>
      </c>
      <c r="F30" s="81">
        <v>964.02374299999997</v>
      </c>
      <c r="G30" s="81">
        <v>972.91009499999996</v>
      </c>
      <c r="H30" s="81">
        <v>985.45941200000004</v>
      </c>
      <c r="I30" s="81">
        <v>999.40277100000003</v>
      </c>
      <c r="J30" s="81">
        <v>1013.4375</v>
      </c>
      <c r="K30" s="81">
        <v>1025.6085210000001</v>
      </c>
      <c r="L30" s="81">
        <v>1037.6695560000001</v>
      </c>
      <c r="M30" s="81">
        <v>1051.089966</v>
      </c>
      <c r="N30" s="81">
        <v>1062.798462</v>
      </c>
      <c r="O30" s="81">
        <v>1072.3557129999999</v>
      </c>
      <c r="P30" s="81">
        <v>1082.509033</v>
      </c>
      <c r="Q30" s="81">
        <v>1093.737793</v>
      </c>
      <c r="R30" s="81">
        <v>1105.5932620000001</v>
      </c>
      <c r="S30" s="81">
        <v>1117.116211</v>
      </c>
      <c r="T30" s="81">
        <v>1128.8039550000001</v>
      </c>
      <c r="U30" s="81">
        <v>1140.907471</v>
      </c>
      <c r="V30" s="81">
        <v>1153.0014650000001</v>
      </c>
      <c r="W30" s="81">
        <v>1164.758057</v>
      </c>
      <c r="X30" s="81">
        <v>1177.14978</v>
      </c>
      <c r="Y30" s="81">
        <v>1189.2757570000001</v>
      </c>
      <c r="Z30" s="81">
        <v>1201.2060550000001</v>
      </c>
      <c r="AA30" s="81">
        <v>1213.053711</v>
      </c>
      <c r="AB30" s="81">
        <v>1224.394043</v>
      </c>
      <c r="AC30" s="81">
        <v>1235.898193</v>
      </c>
      <c r="AD30" s="81">
        <v>1247.526245</v>
      </c>
      <c r="AE30" s="81">
        <v>1259.219482</v>
      </c>
      <c r="AF30" s="81">
        <v>1270.886475</v>
      </c>
      <c r="AG30" s="82">
        <v>1.0838E-2</v>
      </c>
      <c r="AH30" s="66"/>
    </row>
    <row r="31" spans="1:34" ht="16.5" x14ac:dyDescent="0.3">
      <c r="A31" s="64" t="s">
        <v>567</v>
      </c>
      <c r="B31" s="42" t="s">
        <v>5</v>
      </c>
      <c r="C31" s="74" t="s">
        <v>568</v>
      </c>
      <c r="D31" s="75">
        <v>147.62364199999999</v>
      </c>
      <c r="E31" s="81">
        <v>145.36935399999999</v>
      </c>
      <c r="F31" s="81">
        <v>143.50830099999999</v>
      </c>
      <c r="G31" s="81">
        <v>142.09101899999999</v>
      </c>
      <c r="H31" s="81">
        <v>141.56497200000001</v>
      </c>
      <c r="I31" s="81">
        <v>141.63072199999999</v>
      </c>
      <c r="J31" s="81">
        <v>142.03497300000001</v>
      </c>
      <c r="K31" s="81">
        <v>142.217545</v>
      </c>
      <c r="L31" s="81">
        <v>142.01887500000001</v>
      </c>
      <c r="M31" s="81">
        <v>141.65545700000001</v>
      </c>
      <c r="N31" s="81">
        <v>141.51817299999999</v>
      </c>
      <c r="O31" s="81">
        <v>141.28598</v>
      </c>
      <c r="P31" s="81">
        <v>140.65535</v>
      </c>
      <c r="Q31" s="81">
        <v>139.87832599999999</v>
      </c>
      <c r="R31" s="81">
        <v>139.17752100000001</v>
      </c>
      <c r="S31" s="81">
        <v>138.62692300000001</v>
      </c>
      <c r="T31" s="81">
        <v>138.15780599999999</v>
      </c>
      <c r="U31" s="81">
        <v>137.73245199999999</v>
      </c>
      <c r="V31" s="81">
        <v>137.43272400000001</v>
      </c>
      <c r="W31" s="81">
        <v>137.28285199999999</v>
      </c>
      <c r="X31" s="81">
        <v>137.25122099999999</v>
      </c>
      <c r="Y31" s="81">
        <v>137.283051</v>
      </c>
      <c r="Z31" s="81">
        <v>137.33689899999999</v>
      </c>
      <c r="AA31" s="81">
        <v>137.38871800000001</v>
      </c>
      <c r="AB31" s="81">
        <v>137.49482699999999</v>
      </c>
      <c r="AC31" s="81">
        <v>137.73367300000001</v>
      </c>
      <c r="AD31" s="81">
        <v>138.528595</v>
      </c>
      <c r="AE31" s="81">
        <v>139.42343099999999</v>
      </c>
      <c r="AF31" s="81">
        <v>140.31994599999999</v>
      </c>
      <c r="AG31" s="82">
        <v>-1.8109999999999999E-3</v>
      </c>
      <c r="AH31" s="66"/>
    </row>
    <row r="32" spans="1:34" ht="16.5" x14ac:dyDescent="0.3">
      <c r="A32" s="64" t="s">
        <v>569</v>
      </c>
      <c r="B32" s="42" t="s">
        <v>6</v>
      </c>
      <c r="C32" s="74" t="s">
        <v>570</v>
      </c>
      <c r="D32" s="75">
        <v>66.688927000000007</v>
      </c>
      <c r="E32" s="81">
        <v>65.669135999999995</v>
      </c>
      <c r="F32" s="81">
        <v>65.001823000000002</v>
      </c>
      <c r="G32" s="81">
        <v>65.029869000000005</v>
      </c>
      <c r="H32" s="81">
        <v>66.256409000000005</v>
      </c>
      <c r="I32" s="81">
        <v>67.770675999999995</v>
      </c>
      <c r="J32" s="81">
        <v>68.830185</v>
      </c>
      <c r="K32" s="81">
        <v>69.285483999999997</v>
      </c>
      <c r="L32" s="81">
        <v>69.392448000000002</v>
      </c>
      <c r="M32" s="81">
        <v>69.699669</v>
      </c>
      <c r="N32" s="81">
        <v>70.340232999999998</v>
      </c>
      <c r="O32" s="81">
        <v>70.872390999999993</v>
      </c>
      <c r="P32" s="81">
        <v>71.188072000000005</v>
      </c>
      <c r="Q32" s="81">
        <v>71.296379000000002</v>
      </c>
      <c r="R32" s="81">
        <v>71.216956999999994</v>
      </c>
      <c r="S32" s="81">
        <v>70.944419999999994</v>
      </c>
      <c r="T32" s="81">
        <v>70.524756999999994</v>
      </c>
      <c r="U32" s="81">
        <v>69.963654000000005</v>
      </c>
      <c r="V32" s="81">
        <v>69.602867000000003</v>
      </c>
      <c r="W32" s="81">
        <v>69.247803000000005</v>
      </c>
      <c r="X32" s="81">
        <v>68.801804000000004</v>
      </c>
      <c r="Y32" s="81">
        <v>68.352920999999995</v>
      </c>
      <c r="Z32" s="81">
        <v>67.758598000000006</v>
      </c>
      <c r="AA32" s="81">
        <v>67.122649999999993</v>
      </c>
      <c r="AB32" s="81">
        <v>66.564980000000006</v>
      </c>
      <c r="AC32" s="81">
        <v>66.076331999999994</v>
      </c>
      <c r="AD32" s="81">
        <v>65.540405000000007</v>
      </c>
      <c r="AE32" s="81">
        <v>64.960021999999995</v>
      </c>
      <c r="AF32" s="81">
        <v>64.499519000000006</v>
      </c>
      <c r="AG32" s="82">
        <v>-1.191E-3</v>
      </c>
      <c r="AH32" s="66"/>
    </row>
    <row r="33" spans="1:34" ht="16.5" x14ac:dyDescent="0.3">
      <c r="A33" s="64" t="s">
        <v>571</v>
      </c>
      <c r="B33" s="42" t="s">
        <v>7</v>
      </c>
      <c r="C33" s="74" t="s">
        <v>572</v>
      </c>
      <c r="D33" s="75">
        <v>109.157951</v>
      </c>
      <c r="E33" s="81">
        <v>99.189582999999999</v>
      </c>
      <c r="F33" s="81">
        <v>96.542572000000007</v>
      </c>
      <c r="G33" s="81">
        <v>98.351212000000004</v>
      </c>
      <c r="H33" s="81">
        <v>97.092917999999997</v>
      </c>
      <c r="I33" s="81">
        <v>96.657241999999997</v>
      </c>
      <c r="J33" s="81">
        <v>97.914101000000002</v>
      </c>
      <c r="K33" s="81">
        <v>99.570167999999995</v>
      </c>
      <c r="L33" s="81">
        <v>100.326973</v>
      </c>
      <c r="M33" s="81">
        <v>100.708099</v>
      </c>
      <c r="N33" s="81">
        <v>101.90055099999999</v>
      </c>
      <c r="O33" s="81">
        <v>103.34674800000001</v>
      </c>
      <c r="P33" s="81">
        <v>105.10797100000001</v>
      </c>
      <c r="Q33" s="81">
        <v>106.07505</v>
      </c>
      <c r="R33" s="81">
        <v>105.740578</v>
      </c>
      <c r="S33" s="81">
        <v>106.268326</v>
      </c>
      <c r="T33" s="81">
        <v>106.630623</v>
      </c>
      <c r="U33" s="81">
        <v>107.17532300000001</v>
      </c>
      <c r="V33" s="81">
        <v>108.014572</v>
      </c>
      <c r="W33" s="81">
        <v>109.217476</v>
      </c>
      <c r="X33" s="81">
        <v>110.19882200000001</v>
      </c>
      <c r="Y33" s="81">
        <v>110.84369700000001</v>
      </c>
      <c r="Z33" s="81">
        <v>110.92272199999999</v>
      </c>
      <c r="AA33" s="81">
        <v>110.26979799999999</v>
      </c>
      <c r="AB33" s="81">
        <v>109.84787799999999</v>
      </c>
      <c r="AC33" s="81">
        <v>109.98687700000001</v>
      </c>
      <c r="AD33" s="81">
        <v>109.763977</v>
      </c>
      <c r="AE33" s="81">
        <v>109.85477400000001</v>
      </c>
      <c r="AF33" s="81">
        <v>111.003975</v>
      </c>
      <c r="AG33" s="82">
        <v>5.9900000000000003E-4</v>
      </c>
      <c r="AH33" s="66"/>
    </row>
    <row r="34" spans="1:34" ht="16.5" x14ac:dyDescent="0.3">
      <c r="A34" s="64" t="s">
        <v>573</v>
      </c>
      <c r="B34" s="42" t="s">
        <v>17</v>
      </c>
      <c r="C34" s="74" t="s">
        <v>574</v>
      </c>
      <c r="D34" s="75">
        <v>72.960655000000003</v>
      </c>
      <c r="E34" s="81">
        <v>71.932334999999995</v>
      </c>
      <c r="F34" s="81">
        <v>72.082061999999993</v>
      </c>
      <c r="G34" s="81">
        <v>72.483345</v>
      </c>
      <c r="H34" s="81">
        <v>74.282700000000006</v>
      </c>
      <c r="I34" s="81">
        <v>76.275893999999994</v>
      </c>
      <c r="J34" s="81">
        <v>77.129929000000004</v>
      </c>
      <c r="K34" s="81">
        <v>78.025360000000006</v>
      </c>
      <c r="L34" s="81">
        <v>78.801345999999995</v>
      </c>
      <c r="M34" s="81">
        <v>79.521880999999993</v>
      </c>
      <c r="N34" s="81">
        <v>81.378906000000001</v>
      </c>
      <c r="O34" s="81">
        <v>82.303070000000005</v>
      </c>
      <c r="P34" s="81">
        <v>83.111808999999994</v>
      </c>
      <c r="Q34" s="81">
        <v>84.547447000000005</v>
      </c>
      <c r="R34" s="81">
        <v>85.969620000000006</v>
      </c>
      <c r="S34" s="81">
        <v>87.383292999999995</v>
      </c>
      <c r="T34" s="81">
        <v>88.995215999999999</v>
      </c>
      <c r="U34" s="81">
        <v>90.363410999999999</v>
      </c>
      <c r="V34" s="81">
        <v>91.695564000000005</v>
      </c>
      <c r="W34" s="81">
        <v>93.597793999999993</v>
      </c>
      <c r="X34" s="81">
        <v>95.362144000000001</v>
      </c>
      <c r="Y34" s="81">
        <v>96.735100000000003</v>
      </c>
      <c r="Z34" s="81">
        <v>97.684455999999997</v>
      </c>
      <c r="AA34" s="81">
        <v>98.192345000000003</v>
      </c>
      <c r="AB34" s="81">
        <v>99.417762999999994</v>
      </c>
      <c r="AC34" s="81">
        <v>100.898827</v>
      </c>
      <c r="AD34" s="81">
        <v>101.979828</v>
      </c>
      <c r="AE34" s="81">
        <v>102.474953</v>
      </c>
      <c r="AF34" s="81">
        <v>105.480751</v>
      </c>
      <c r="AG34" s="82">
        <v>1.3252E-2</v>
      </c>
      <c r="AH34" s="66"/>
    </row>
    <row r="35" spans="1:34" ht="16.5" x14ac:dyDescent="0.3">
      <c r="A35" s="64" t="s">
        <v>575</v>
      </c>
      <c r="B35" s="42" t="s">
        <v>8</v>
      </c>
      <c r="C35" s="74" t="s">
        <v>576</v>
      </c>
      <c r="D35" s="75">
        <v>178.25112899999999</v>
      </c>
      <c r="E35" s="81">
        <v>174.161621</v>
      </c>
      <c r="F35" s="81">
        <v>170.28919999999999</v>
      </c>
      <c r="G35" s="81">
        <v>170.04310599999999</v>
      </c>
      <c r="H35" s="81">
        <v>170.917877</v>
      </c>
      <c r="I35" s="81">
        <v>171.976822</v>
      </c>
      <c r="J35" s="81">
        <v>173.003601</v>
      </c>
      <c r="K35" s="81">
        <v>173.91674800000001</v>
      </c>
      <c r="L35" s="81">
        <v>174.72404499999999</v>
      </c>
      <c r="M35" s="81">
        <v>175.94982899999999</v>
      </c>
      <c r="N35" s="81">
        <v>177.36140399999999</v>
      </c>
      <c r="O35" s="81">
        <v>178.536407</v>
      </c>
      <c r="P35" s="81">
        <v>179.796448</v>
      </c>
      <c r="Q35" s="81">
        <v>181.13580300000001</v>
      </c>
      <c r="R35" s="81">
        <v>182.15789799999999</v>
      </c>
      <c r="S35" s="81">
        <v>183.319031</v>
      </c>
      <c r="T35" s="81">
        <v>184.29617300000001</v>
      </c>
      <c r="U35" s="81">
        <v>185.34754899999999</v>
      </c>
      <c r="V35" s="81">
        <v>186.470169</v>
      </c>
      <c r="W35" s="81">
        <v>187.50720200000001</v>
      </c>
      <c r="X35" s="81">
        <v>188.64054899999999</v>
      </c>
      <c r="Y35" s="81">
        <v>189.59530599999999</v>
      </c>
      <c r="Z35" s="81">
        <v>190.21421799999999</v>
      </c>
      <c r="AA35" s="81">
        <v>190.60817</v>
      </c>
      <c r="AB35" s="81">
        <v>191.395081</v>
      </c>
      <c r="AC35" s="81">
        <v>192.590057</v>
      </c>
      <c r="AD35" s="81">
        <v>193.086319</v>
      </c>
      <c r="AE35" s="81">
        <v>193.76010099999999</v>
      </c>
      <c r="AF35" s="81">
        <v>195.152557</v>
      </c>
      <c r="AG35" s="82">
        <v>3.241E-3</v>
      </c>
      <c r="AH35" s="66"/>
    </row>
    <row r="36" spans="1:34" ht="15" customHeight="1" x14ac:dyDescent="0.3">
      <c r="A36" s="64" t="s">
        <v>577</v>
      </c>
      <c r="B36" s="42" t="s">
        <v>8</v>
      </c>
      <c r="C36" s="74" t="s">
        <v>578</v>
      </c>
      <c r="D36" s="75">
        <v>81.002419000000003</v>
      </c>
      <c r="E36" s="81">
        <v>79.589354999999998</v>
      </c>
      <c r="F36" s="81">
        <v>78.600464000000002</v>
      </c>
      <c r="G36" s="81">
        <v>78.227867000000003</v>
      </c>
      <c r="H36" s="81">
        <v>78.011382999999995</v>
      </c>
      <c r="I36" s="81">
        <v>77.748795000000001</v>
      </c>
      <c r="J36" s="81">
        <v>77.972755000000006</v>
      </c>
      <c r="K36" s="81">
        <v>78.272659000000004</v>
      </c>
      <c r="L36" s="81">
        <v>78.806258999999997</v>
      </c>
      <c r="M36" s="81">
        <v>79.487358</v>
      </c>
      <c r="N36" s="81">
        <v>79.360268000000005</v>
      </c>
      <c r="O36" s="81">
        <v>78.681563999999995</v>
      </c>
      <c r="P36" s="81">
        <v>78.107155000000006</v>
      </c>
      <c r="Q36" s="81">
        <v>77.655876000000006</v>
      </c>
      <c r="R36" s="81">
        <v>77.289139000000006</v>
      </c>
      <c r="S36" s="81">
        <v>77.003219999999999</v>
      </c>
      <c r="T36" s="81">
        <v>76.774658000000002</v>
      </c>
      <c r="U36" s="81">
        <v>76.536818999999994</v>
      </c>
      <c r="V36" s="81">
        <v>76.742324999999994</v>
      </c>
      <c r="W36" s="81">
        <v>76.605957000000004</v>
      </c>
      <c r="X36" s="81">
        <v>76.091614000000007</v>
      </c>
      <c r="Y36" s="81">
        <v>75.878410000000002</v>
      </c>
      <c r="Z36" s="81">
        <v>75.894767999999999</v>
      </c>
      <c r="AA36" s="81">
        <v>76.632271000000003</v>
      </c>
      <c r="AB36" s="81">
        <v>77.276047000000005</v>
      </c>
      <c r="AC36" s="81">
        <v>77.723999000000006</v>
      </c>
      <c r="AD36" s="81">
        <v>77.961830000000006</v>
      </c>
      <c r="AE36" s="81">
        <v>78.920258000000004</v>
      </c>
      <c r="AF36" s="81">
        <v>79.631630000000001</v>
      </c>
      <c r="AG36" s="82">
        <v>-6.0899999999999995E-4</v>
      </c>
      <c r="AH36" s="66"/>
    </row>
    <row r="37" spans="1:34" ht="16.5" x14ac:dyDescent="0.3">
      <c r="A37" s="64" t="s">
        <v>579</v>
      </c>
      <c r="B37" s="42" t="s">
        <v>35</v>
      </c>
      <c r="C37" s="74" t="s">
        <v>580</v>
      </c>
      <c r="D37" s="75">
        <v>967.66296399999999</v>
      </c>
      <c r="E37" s="81">
        <v>946.27154499999995</v>
      </c>
      <c r="F37" s="81">
        <v>935.03002900000001</v>
      </c>
      <c r="G37" s="81">
        <v>950.27484100000004</v>
      </c>
      <c r="H37" s="81">
        <v>972.21118200000001</v>
      </c>
      <c r="I37" s="81">
        <v>994.82507299999997</v>
      </c>
      <c r="J37" s="81">
        <v>1014.735352</v>
      </c>
      <c r="K37" s="81">
        <v>1030.525879</v>
      </c>
      <c r="L37" s="81">
        <v>1043.5344239999999</v>
      </c>
      <c r="M37" s="81">
        <v>1058.1083980000001</v>
      </c>
      <c r="N37" s="81">
        <v>1076.729004</v>
      </c>
      <c r="O37" s="81">
        <v>1095.6530760000001</v>
      </c>
      <c r="P37" s="81">
        <v>1117.4677730000001</v>
      </c>
      <c r="Q37" s="81">
        <v>1139.945068</v>
      </c>
      <c r="R37" s="81">
        <v>1160.9132079999999</v>
      </c>
      <c r="S37" s="81">
        <v>1183.179443</v>
      </c>
      <c r="T37" s="81">
        <v>1205.022461</v>
      </c>
      <c r="U37" s="81">
        <v>1229.1611330000001</v>
      </c>
      <c r="V37" s="81">
        <v>1256.4189449999999</v>
      </c>
      <c r="W37" s="81">
        <v>1284.9853519999999</v>
      </c>
      <c r="X37" s="81">
        <v>1315.005615</v>
      </c>
      <c r="Y37" s="81">
        <v>1345.715332</v>
      </c>
      <c r="Z37" s="81">
        <v>1374.6400149999999</v>
      </c>
      <c r="AA37" s="81">
        <v>1401.1206050000001</v>
      </c>
      <c r="AB37" s="81">
        <v>1430.0170900000001</v>
      </c>
      <c r="AC37" s="81">
        <v>1461.922607</v>
      </c>
      <c r="AD37" s="81">
        <v>1489.793091</v>
      </c>
      <c r="AE37" s="81">
        <v>1517.4370120000001</v>
      </c>
      <c r="AF37" s="81">
        <v>1552.1362300000001</v>
      </c>
      <c r="AG37" s="82">
        <v>1.7017999999999998E-2</v>
      </c>
      <c r="AH37" s="66"/>
    </row>
    <row r="38" spans="1:34" ht="16.5" x14ac:dyDescent="0.3">
      <c r="A38" s="64" t="s">
        <v>581</v>
      </c>
      <c r="B38" s="53"/>
      <c r="C38" s="74" t="s">
        <v>582</v>
      </c>
      <c r="D38" s="75">
        <v>474.04568499999999</v>
      </c>
      <c r="E38" s="81">
        <v>452.66241500000001</v>
      </c>
      <c r="F38" s="81">
        <v>441.20394900000002</v>
      </c>
      <c r="G38" s="81">
        <v>453.24295000000001</v>
      </c>
      <c r="H38" s="81">
        <v>468.34979199999998</v>
      </c>
      <c r="I38" s="81">
        <v>480.999664</v>
      </c>
      <c r="J38" s="81">
        <v>490.772919</v>
      </c>
      <c r="K38" s="81">
        <v>497.28476000000001</v>
      </c>
      <c r="L38" s="81">
        <v>503.20382699999999</v>
      </c>
      <c r="M38" s="81">
        <v>511.00143400000002</v>
      </c>
      <c r="N38" s="81">
        <v>519.99523899999997</v>
      </c>
      <c r="O38" s="81">
        <v>527.93658400000004</v>
      </c>
      <c r="P38" s="81">
        <v>537.20996100000002</v>
      </c>
      <c r="Q38" s="81">
        <v>545.92431599999998</v>
      </c>
      <c r="R38" s="81">
        <v>552.74749799999995</v>
      </c>
      <c r="S38" s="81">
        <v>560.28912400000002</v>
      </c>
      <c r="T38" s="81">
        <v>566.19134499999996</v>
      </c>
      <c r="U38" s="81">
        <v>573.65039100000001</v>
      </c>
      <c r="V38" s="81">
        <v>582.99743699999999</v>
      </c>
      <c r="W38" s="81">
        <v>591.118652</v>
      </c>
      <c r="X38" s="81">
        <v>598.44317599999999</v>
      </c>
      <c r="Y38" s="81">
        <v>605.70812999999998</v>
      </c>
      <c r="Z38" s="81">
        <v>611.42059300000005</v>
      </c>
      <c r="AA38" s="81">
        <v>616.42040999999995</v>
      </c>
      <c r="AB38" s="81">
        <v>624.27166699999998</v>
      </c>
      <c r="AC38" s="81">
        <v>633.372253</v>
      </c>
      <c r="AD38" s="81">
        <v>638.37658699999997</v>
      </c>
      <c r="AE38" s="81">
        <v>645.89202899999998</v>
      </c>
      <c r="AF38" s="81">
        <v>658.58074999999997</v>
      </c>
      <c r="AG38" s="82">
        <v>1.1811E-2</v>
      </c>
      <c r="AH38" s="66"/>
    </row>
    <row r="39" spans="1:34" ht="16.5" x14ac:dyDescent="0.3">
      <c r="A39" s="64" t="s">
        <v>583</v>
      </c>
      <c r="B39" s="53"/>
      <c r="C39" s="74" t="s">
        <v>584</v>
      </c>
      <c r="D39" s="75">
        <v>53.798808999999999</v>
      </c>
      <c r="E39" s="81">
        <v>54.111629000000001</v>
      </c>
      <c r="F39" s="81">
        <v>53.713580999999998</v>
      </c>
      <c r="G39" s="81">
        <v>54.911659</v>
      </c>
      <c r="H39" s="81">
        <v>56.147316000000004</v>
      </c>
      <c r="I39" s="81">
        <v>56.867516000000002</v>
      </c>
      <c r="J39" s="81">
        <v>57.306702000000001</v>
      </c>
      <c r="K39" s="81">
        <v>57.473934</v>
      </c>
      <c r="L39" s="81">
        <v>57.516285000000003</v>
      </c>
      <c r="M39" s="81">
        <v>57.632683</v>
      </c>
      <c r="N39" s="81">
        <v>57.847565000000003</v>
      </c>
      <c r="O39" s="81">
        <v>58.079574999999998</v>
      </c>
      <c r="P39" s="81">
        <v>58.482449000000003</v>
      </c>
      <c r="Q39" s="81">
        <v>58.852043000000002</v>
      </c>
      <c r="R39" s="81">
        <v>59.066029</v>
      </c>
      <c r="S39" s="81">
        <v>59.383343000000004</v>
      </c>
      <c r="T39" s="81">
        <v>59.432822999999999</v>
      </c>
      <c r="U39" s="81">
        <v>59.717860999999999</v>
      </c>
      <c r="V39" s="81">
        <v>60.181441999999997</v>
      </c>
      <c r="W39" s="81">
        <v>60.545665999999997</v>
      </c>
      <c r="X39" s="81">
        <v>60.773445000000002</v>
      </c>
      <c r="Y39" s="81">
        <v>60.956927999999998</v>
      </c>
      <c r="Z39" s="81">
        <v>61.076262999999997</v>
      </c>
      <c r="AA39" s="81">
        <v>60.964103999999999</v>
      </c>
      <c r="AB39" s="81">
        <v>61.165000999999997</v>
      </c>
      <c r="AC39" s="81">
        <v>61.487887999999998</v>
      </c>
      <c r="AD39" s="81">
        <v>61.390053000000002</v>
      </c>
      <c r="AE39" s="81">
        <v>61.481032999999996</v>
      </c>
      <c r="AF39" s="81">
        <v>62.171908999999999</v>
      </c>
      <c r="AG39" s="82">
        <v>5.1799999999999997E-3</v>
      </c>
      <c r="AH39" s="66"/>
    </row>
    <row r="40" spans="1:34" ht="16.5" x14ac:dyDescent="0.3">
      <c r="A40" s="64" t="s">
        <v>585</v>
      </c>
      <c r="B40" s="53"/>
      <c r="C40" s="74" t="s">
        <v>586</v>
      </c>
      <c r="D40" s="75">
        <v>248.33982800000001</v>
      </c>
      <c r="E40" s="81">
        <v>230.08815000000001</v>
      </c>
      <c r="F40" s="81">
        <v>219.43699599999999</v>
      </c>
      <c r="G40" s="81">
        <v>227.44752500000001</v>
      </c>
      <c r="H40" s="81">
        <v>235.278549</v>
      </c>
      <c r="I40" s="81">
        <v>241.427628</v>
      </c>
      <c r="J40" s="81">
        <v>246.63137800000001</v>
      </c>
      <c r="K40" s="81">
        <v>250.203293</v>
      </c>
      <c r="L40" s="81">
        <v>253.86630199999999</v>
      </c>
      <c r="M40" s="81">
        <v>258.56909200000001</v>
      </c>
      <c r="N40" s="81">
        <v>263.46579000000003</v>
      </c>
      <c r="O40" s="81">
        <v>267.666473</v>
      </c>
      <c r="P40" s="81">
        <v>272.58535799999999</v>
      </c>
      <c r="Q40" s="81">
        <v>277.16125499999998</v>
      </c>
      <c r="R40" s="81">
        <v>280.81646699999999</v>
      </c>
      <c r="S40" s="81">
        <v>284.986176</v>
      </c>
      <c r="T40" s="81">
        <v>288.07333399999999</v>
      </c>
      <c r="U40" s="81">
        <v>292.60125699999998</v>
      </c>
      <c r="V40" s="81">
        <v>298.18258700000001</v>
      </c>
      <c r="W40" s="81">
        <v>302.85238600000002</v>
      </c>
      <c r="X40" s="81">
        <v>307.34738199999998</v>
      </c>
      <c r="Y40" s="81">
        <v>311.99383499999999</v>
      </c>
      <c r="Z40" s="81">
        <v>315.715485</v>
      </c>
      <c r="AA40" s="81">
        <v>319.06912199999999</v>
      </c>
      <c r="AB40" s="81">
        <v>324.114777</v>
      </c>
      <c r="AC40" s="81">
        <v>329.666901</v>
      </c>
      <c r="AD40" s="81">
        <v>332.79183999999998</v>
      </c>
      <c r="AE40" s="81">
        <v>337.666718</v>
      </c>
      <c r="AF40" s="81">
        <v>345.46246300000001</v>
      </c>
      <c r="AG40" s="82">
        <v>1.1859E-2</v>
      </c>
      <c r="AH40" s="66"/>
    </row>
    <row r="41" spans="1:34" ht="16.5" x14ac:dyDescent="0.3">
      <c r="A41" s="64" t="s">
        <v>587</v>
      </c>
      <c r="B41" s="53"/>
      <c r="C41" s="74" t="s">
        <v>588</v>
      </c>
      <c r="D41" s="75">
        <v>125.433899</v>
      </c>
      <c r="E41" s="81">
        <v>122.11889600000001</v>
      </c>
      <c r="F41" s="81">
        <v>120.862724</v>
      </c>
      <c r="G41" s="81">
        <v>122.112274</v>
      </c>
      <c r="H41" s="81">
        <v>126.20547500000001</v>
      </c>
      <c r="I41" s="81">
        <v>130.359543</v>
      </c>
      <c r="J41" s="81">
        <v>133.31703200000001</v>
      </c>
      <c r="K41" s="81">
        <v>135.152771</v>
      </c>
      <c r="L41" s="81">
        <v>136.57359299999999</v>
      </c>
      <c r="M41" s="81">
        <v>138.55740399999999</v>
      </c>
      <c r="N41" s="81">
        <v>141.15957599999999</v>
      </c>
      <c r="O41" s="81">
        <v>143.60412600000001</v>
      </c>
      <c r="P41" s="81">
        <v>146.3638</v>
      </c>
      <c r="Q41" s="81">
        <v>148.97583</v>
      </c>
      <c r="R41" s="81">
        <v>151.11196899999999</v>
      </c>
      <c r="S41" s="81">
        <v>153.40373199999999</v>
      </c>
      <c r="T41" s="81">
        <v>155.45434599999999</v>
      </c>
      <c r="U41" s="81">
        <v>157.85867300000001</v>
      </c>
      <c r="V41" s="81">
        <v>160.786148</v>
      </c>
      <c r="W41" s="81">
        <v>163.26277200000001</v>
      </c>
      <c r="X41" s="81">
        <v>165.623672</v>
      </c>
      <c r="Y41" s="81">
        <v>168.16381799999999</v>
      </c>
      <c r="Z41" s="81">
        <v>170.367401</v>
      </c>
      <c r="AA41" s="81">
        <v>172.53684999999999</v>
      </c>
      <c r="AB41" s="81">
        <v>175.234329</v>
      </c>
      <c r="AC41" s="81">
        <v>178.26676900000001</v>
      </c>
      <c r="AD41" s="81">
        <v>180.39846800000001</v>
      </c>
      <c r="AE41" s="81">
        <v>182.98765599999999</v>
      </c>
      <c r="AF41" s="81">
        <v>186.81578099999999</v>
      </c>
      <c r="AG41" s="82">
        <v>1.4328E-2</v>
      </c>
      <c r="AH41" s="66"/>
    </row>
    <row r="42" spans="1:34" ht="16.5" x14ac:dyDescent="0.3">
      <c r="A42" s="64" t="s">
        <v>589</v>
      </c>
      <c r="B42" s="53"/>
      <c r="C42" s="74" t="s">
        <v>590</v>
      </c>
      <c r="D42" s="75">
        <v>46.473137000000001</v>
      </c>
      <c r="E42" s="81">
        <v>46.343746000000003</v>
      </c>
      <c r="F42" s="81">
        <v>47.190632000000001</v>
      </c>
      <c r="G42" s="81">
        <v>48.771492000000002</v>
      </c>
      <c r="H42" s="81">
        <v>50.718432999999997</v>
      </c>
      <c r="I42" s="81">
        <v>52.345001000000003</v>
      </c>
      <c r="J42" s="81">
        <v>53.517792</v>
      </c>
      <c r="K42" s="81">
        <v>54.454768999999999</v>
      </c>
      <c r="L42" s="81">
        <v>55.247646000000003</v>
      </c>
      <c r="M42" s="81">
        <v>56.242249000000001</v>
      </c>
      <c r="N42" s="81">
        <v>57.522289000000001</v>
      </c>
      <c r="O42" s="81">
        <v>58.586426000000003</v>
      </c>
      <c r="P42" s="81">
        <v>59.778351000000001</v>
      </c>
      <c r="Q42" s="81">
        <v>60.93515</v>
      </c>
      <c r="R42" s="81">
        <v>61.753002000000002</v>
      </c>
      <c r="S42" s="81">
        <v>62.515858000000001</v>
      </c>
      <c r="T42" s="81">
        <v>63.230846</v>
      </c>
      <c r="U42" s="81">
        <v>63.472591000000001</v>
      </c>
      <c r="V42" s="81">
        <v>63.847293999999998</v>
      </c>
      <c r="W42" s="81">
        <v>64.457808999999997</v>
      </c>
      <c r="X42" s="81">
        <v>64.698668999999995</v>
      </c>
      <c r="Y42" s="81">
        <v>64.593536</v>
      </c>
      <c r="Z42" s="81">
        <v>64.261429000000007</v>
      </c>
      <c r="AA42" s="81">
        <v>63.850341999999998</v>
      </c>
      <c r="AB42" s="81">
        <v>63.757587000000001</v>
      </c>
      <c r="AC42" s="81">
        <v>63.950690999999999</v>
      </c>
      <c r="AD42" s="81">
        <v>63.796267999999998</v>
      </c>
      <c r="AE42" s="81">
        <v>63.756602999999998</v>
      </c>
      <c r="AF42" s="81">
        <v>64.130591999999993</v>
      </c>
      <c r="AG42" s="82">
        <v>1.1568E-2</v>
      </c>
      <c r="AH42" s="66"/>
    </row>
    <row r="43" spans="1:34" ht="16.5" x14ac:dyDescent="0.3">
      <c r="A43" s="64" t="s">
        <v>591</v>
      </c>
      <c r="B43" s="53"/>
      <c r="C43" s="74" t="s">
        <v>592</v>
      </c>
      <c r="D43" s="75">
        <v>493.617279</v>
      </c>
      <c r="E43" s="81">
        <v>493.60913099999999</v>
      </c>
      <c r="F43" s="81">
        <v>493.82607999999999</v>
      </c>
      <c r="G43" s="81">
        <v>497.03189099999997</v>
      </c>
      <c r="H43" s="81">
        <v>503.86138899999997</v>
      </c>
      <c r="I43" s="81">
        <v>513.825378</v>
      </c>
      <c r="J43" s="81">
        <v>523.962402</v>
      </c>
      <c r="K43" s="81">
        <v>533.24114999999995</v>
      </c>
      <c r="L43" s="81">
        <v>540.33056599999998</v>
      </c>
      <c r="M43" s="81">
        <v>547.10693400000002</v>
      </c>
      <c r="N43" s="81">
        <v>556.73370399999999</v>
      </c>
      <c r="O43" s="81">
        <v>567.71655299999998</v>
      </c>
      <c r="P43" s="81">
        <v>580.25775099999998</v>
      </c>
      <c r="Q43" s="81">
        <v>594.02081299999998</v>
      </c>
      <c r="R43" s="81">
        <v>608.16570999999999</v>
      </c>
      <c r="S43" s="81">
        <v>622.89031999999997</v>
      </c>
      <c r="T43" s="81">
        <v>638.83111599999995</v>
      </c>
      <c r="U43" s="81">
        <v>655.51068099999998</v>
      </c>
      <c r="V43" s="81">
        <v>673.42156999999997</v>
      </c>
      <c r="W43" s="81">
        <v>693.86669900000004</v>
      </c>
      <c r="X43" s="81">
        <v>716.56243900000004</v>
      </c>
      <c r="Y43" s="81">
        <v>740.00720200000001</v>
      </c>
      <c r="Z43" s="81">
        <v>763.21942100000001</v>
      </c>
      <c r="AA43" s="81">
        <v>784.70019500000001</v>
      </c>
      <c r="AB43" s="81">
        <v>805.74548300000004</v>
      </c>
      <c r="AC43" s="81">
        <v>828.55041500000004</v>
      </c>
      <c r="AD43" s="81">
        <v>851.41650400000003</v>
      </c>
      <c r="AE43" s="81">
        <v>871.54504399999996</v>
      </c>
      <c r="AF43" s="81">
        <v>893.55548099999999</v>
      </c>
      <c r="AG43" s="82">
        <v>2.1420999999999999E-2</v>
      </c>
      <c r="AH43" s="66"/>
    </row>
    <row r="44" spans="1:34" ht="16.5" x14ac:dyDescent="0.3">
      <c r="A44" s="64" t="s">
        <v>593</v>
      </c>
      <c r="B44" s="42" t="s">
        <v>9</v>
      </c>
      <c r="C44" s="74" t="s">
        <v>594</v>
      </c>
      <c r="D44" s="75">
        <v>817.11468500000001</v>
      </c>
      <c r="E44" s="81">
        <v>886.91461200000003</v>
      </c>
      <c r="F44" s="81">
        <v>884.32818599999996</v>
      </c>
      <c r="G44" s="81">
        <v>881.06311000000005</v>
      </c>
      <c r="H44" s="81">
        <v>877.14593500000001</v>
      </c>
      <c r="I44" s="81">
        <v>874.703979</v>
      </c>
      <c r="J44" s="81">
        <v>872.06469700000002</v>
      </c>
      <c r="K44" s="81">
        <v>868.17156999999997</v>
      </c>
      <c r="L44" s="81">
        <v>862.20849599999997</v>
      </c>
      <c r="M44" s="81">
        <v>856.569885</v>
      </c>
      <c r="N44" s="81">
        <v>853.14038100000005</v>
      </c>
      <c r="O44" s="81">
        <v>850.25524900000005</v>
      </c>
      <c r="P44" s="81">
        <v>848.71527100000003</v>
      </c>
      <c r="Q44" s="81">
        <v>846.04516599999999</v>
      </c>
      <c r="R44" s="81">
        <v>843.56927499999995</v>
      </c>
      <c r="S44" s="81">
        <v>841.93682899999999</v>
      </c>
      <c r="T44" s="81">
        <v>840.54669200000001</v>
      </c>
      <c r="U44" s="81">
        <v>840.634094</v>
      </c>
      <c r="V44" s="81">
        <v>841.84570299999996</v>
      </c>
      <c r="W44" s="81">
        <v>843.08703600000001</v>
      </c>
      <c r="X44" s="81">
        <v>845.15832499999999</v>
      </c>
      <c r="Y44" s="81">
        <v>847.45727499999998</v>
      </c>
      <c r="Z44" s="81">
        <v>850.05902100000003</v>
      </c>
      <c r="AA44" s="81">
        <v>851.92218000000003</v>
      </c>
      <c r="AB44" s="81">
        <v>856.05602999999996</v>
      </c>
      <c r="AC44" s="81">
        <v>860.54693599999996</v>
      </c>
      <c r="AD44" s="81">
        <v>862.95355199999995</v>
      </c>
      <c r="AE44" s="81">
        <v>867.26434300000005</v>
      </c>
      <c r="AF44" s="81">
        <v>875.41479500000003</v>
      </c>
      <c r="AG44" s="82">
        <v>2.464E-3</v>
      </c>
      <c r="AH44" s="66"/>
    </row>
    <row r="45" spans="1:34" ht="16.5" x14ac:dyDescent="0.3">
      <c r="A45" s="64" t="s">
        <v>595</v>
      </c>
      <c r="B45" s="53"/>
      <c r="C45" s="74" t="s">
        <v>596</v>
      </c>
      <c r="D45" s="75">
        <v>772.46887200000003</v>
      </c>
      <c r="E45" s="81">
        <v>839.67993200000001</v>
      </c>
      <c r="F45" s="81">
        <v>835.56805399999996</v>
      </c>
      <c r="G45" s="81">
        <v>832.39215100000001</v>
      </c>
      <c r="H45" s="81">
        <v>829.06683299999997</v>
      </c>
      <c r="I45" s="81">
        <v>826.93988000000002</v>
      </c>
      <c r="J45" s="81">
        <v>824.657104</v>
      </c>
      <c r="K45" s="81">
        <v>821.24591099999998</v>
      </c>
      <c r="L45" s="81">
        <v>815.68444799999997</v>
      </c>
      <c r="M45" s="81">
        <v>810.43554700000004</v>
      </c>
      <c r="N45" s="81">
        <v>807.50134300000002</v>
      </c>
      <c r="O45" s="81">
        <v>805.01220699999999</v>
      </c>
      <c r="P45" s="81">
        <v>803.82550000000003</v>
      </c>
      <c r="Q45" s="81">
        <v>801.60705600000006</v>
      </c>
      <c r="R45" s="81">
        <v>799.54010000000005</v>
      </c>
      <c r="S45" s="81">
        <v>798.39446999999996</v>
      </c>
      <c r="T45" s="81">
        <v>797.60571300000004</v>
      </c>
      <c r="U45" s="81">
        <v>798.13757299999997</v>
      </c>
      <c r="V45" s="81">
        <v>799.69812000000002</v>
      </c>
      <c r="W45" s="81">
        <v>801.39166299999999</v>
      </c>
      <c r="X45" s="81">
        <v>803.83239700000001</v>
      </c>
      <c r="Y45" s="81">
        <v>806.45361300000002</v>
      </c>
      <c r="Z45" s="81">
        <v>809.37402299999997</v>
      </c>
      <c r="AA45" s="81">
        <v>811.54797399999995</v>
      </c>
      <c r="AB45" s="81">
        <v>815.90722700000003</v>
      </c>
      <c r="AC45" s="81">
        <v>820.65881300000001</v>
      </c>
      <c r="AD45" s="81">
        <v>823.51312299999995</v>
      </c>
      <c r="AE45" s="81">
        <v>828.04888900000003</v>
      </c>
      <c r="AF45" s="81">
        <v>836.25622599999997</v>
      </c>
      <c r="AG45" s="82">
        <v>2.8379999999999998E-3</v>
      </c>
      <c r="AH45" s="66"/>
    </row>
    <row r="46" spans="1:34" ht="16.5" x14ac:dyDescent="0.3">
      <c r="A46" s="64" t="s">
        <v>597</v>
      </c>
      <c r="B46" s="53"/>
      <c r="C46" s="74" t="s">
        <v>598</v>
      </c>
      <c r="D46" s="75">
        <v>44.645794000000002</v>
      </c>
      <c r="E46" s="81">
        <v>47.234665</v>
      </c>
      <c r="F46" s="81">
        <v>48.760154999999997</v>
      </c>
      <c r="G46" s="81">
        <v>48.670940000000002</v>
      </c>
      <c r="H46" s="81">
        <v>48.079116999999997</v>
      </c>
      <c r="I46" s="81">
        <v>47.764068999999999</v>
      </c>
      <c r="J46" s="81">
        <v>47.407600000000002</v>
      </c>
      <c r="K46" s="81">
        <v>46.925643999999998</v>
      </c>
      <c r="L46" s="81">
        <v>46.524067000000002</v>
      </c>
      <c r="M46" s="81">
        <v>46.134365000000003</v>
      </c>
      <c r="N46" s="81">
        <v>45.639007999999997</v>
      </c>
      <c r="O46" s="81">
        <v>45.243049999999997</v>
      </c>
      <c r="P46" s="81">
        <v>44.889744</v>
      </c>
      <c r="Q46" s="81">
        <v>44.438141000000002</v>
      </c>
      <c r="R46" s="81">
        <v>44.029170999999998</v>
      </c>
      <c r="S46" s="81">
        <v>43.542369999999998</v>
      </c>
      <c r="T46" s="81">
        <v>42.940994000000003</v>
      </c>
      <c r="U46" s="81">
        <v>42.496524999999998</v>
      </c>
      <c r="V46" s="81">
        <v>42.147571999999997</v>
      </c>
      <c r="W46" s="81">
        <v>41.695380999999998</v>
      </c>
      <c r="X46" s="81">
        <v>41.325927999999998</v>
      </c>
      <c r="Y46" s="81">
        <v>41.003650999999998</v>
      </c>
      <c r="Z46" s="81">
        <v>40.685012999999998</v>
      </c>
      <c r="AA46" s="81">
        <v>40.374209999999998</v>
      </c>
      <c r="AB46" s="81">
        <v>40.148823</v>
      </c>
      <c r="AC46" s="81">
        <v>39.888148999999999</v>
      </c>
      <c r="AD46" s="81">
        <v>39.440418000000001</v>
      </c>
      <c r="AE46" s="81">
        <v>39.215480999999997</v>
      </c>
      <c r="AF46" s="81">
        <v>39.158562000000003</v>
      </c>
      <c r="AG46" s="82">
        <v>-4.6730000000000001E-3</v>
      </c>
      <c r="AH46" s="66"/>
    </row>
    <row r="47" spans="1:34" ht="16.5" x14ac:dyDescent="0.3">
      <c r="A47" s="64" t="s">
        <v>599</v>
      </c>
      <c r="B47" s="42" t="s">
        <v>10</v>
      </c>
      <c r="C47" s="74" t="s">
        <v>600</v>
      </c>
      <c r="D47" s="75">
        <v>254.56864899999999</v>
      </c>
      <c r="E47" s="81">
        <v>249.40261799999999</v>
      </c>
      <c r="F47" s="81">
        <v>247.59620699999999</v>
      </c>
      <c r="G47" s="81">
        <v>251.19984400000001</v>
      </c>
      <c r="H47" s="81">
        <v>257.79541</v>
      </c>
      <c r="I47" s="81">
        <v>263.61346400000002</v>
      </c>
      <c r="J47" s="81">
        <v>268.53961199999998</v>
      </c>
      <c r="K47" s="81">
        <v>273.15313700000002</v>
      </c>
      <c r="L47" s="81">
        <v>277.04922499999998</v>
      </c>
      <c r="M47" s="81">
        <v>281.63604700000002</v>
      </c>
      <c r="N47" s="81">
        <v>287.50537100000003</v>
      </c>
      <c r="O47" s="81">
        <v>292.88174400000003</v>
      </c>
      <c r="P47" s="81">
        <v>297.91622899999999</v>
      </c>
      <c r="Q47" s="81">
        <v>303.86456299999998</v>
      </c>
      <c r="R47" s="81">
        <v>309.03872699999999</v>
      </c>
      <c r="S47" s="81">
        <v>314.230591</v>
      </c>
      <c r="T47" s="81">
        <v>319.516479</v>
      </c>
      <c r="U47" s="81">
        <v>324.26388500000002</v>
      </c>
      <c r="V47" s="81">
        <v>329.411224</v>
      </c>
      <c r="W47" s="81">
        <v>335.37335200000001</v>
      </c>
      <c r="X47" s="81">
        <v>341.05621300000001</v>
      </c>
      <c r="Y47" s="81">
        <v>347.279449</v>
      </c>
      <c r="Z47" s="81">
        <v>352.69454999999999</v>
      </c>
      <c r="AA47" s="81">
        <v>357.66485599999999</v>
      </c>
      <c r="AB47" s="81">
        <v>363.25119000000001</v>
      </c>
      <c r="AC47" s="81">
        <v>369.17843599999998</v>
      </c>
      <c r="AD47" s="81">
        <v>374.38232399999998</v>
      </c>
      <c r="AE47" s="81">
        <v>379.796875</v>
      </c>
      <c r="AF47" s="81">
        <v>387.68673699999999</v>
      </c>
      <c r="AG47" s="82">
        <v>1.5136E-2</v>
      </c>
      <c r="AH47" s="66"/>
    </row>
    <row r="48" spans="1:34" ht="16.5" x14ac:dyDescent="0.3">
      <c r="A48" s="64" t="s">
        <v>601</v>
      </c>
      <c r="B48" s="53"/>
      <c r="C48" s="74" t="s">
        <v>602</v>
      </c>
      <c r="D48" s="75">
        <v>119.730042</v>
      </c>
      <c r="E48" s="81">
        <v>114.438492</v>
      </c>
      <c r="F48" s="81">
        <v>113.30817399999999</v>
      </c>
      <c r="G48" s="81">
        <v>115.066971</v>
      </c>
      <c r="H48" s="81">
        <v>117.809082</v>
      </c>
      <c r="I48" s="81">
        <v>119.958473</v>
      </c>
      <c r="J48" s="81">
        <v>121.758652</v>
      </c>
      <c r="K48" s="81">
        <v>123.304001</v>
      </c>
      <c r="L48" s="81">
        <v>124.484306</v>
      </c>
      <c r="M48" s="81">
        <v>125.740257</v>
      </c>
      <c r="N48" s="81">
        <v>127.29342699999999</v>
      </c>
      <c r="O48" s="81">
        <v>128.58807400000001</v>
      </c>
      <c r="P48" s="81">
        <v>129.51486199999999</v>
      </c>
      <c r="Q48" s="81">
        <v>131.14477500000001</v>
      </c>
      <c r="R48" s="81">
        <v>132.32974200000001</v>
      </c>
      <c r="S48" s="81">
        <v>133.82093800000001</v>
      </c>
      <c r="T48" s="81">
        <v>135.45262099999999</v>
      </c>
      <c r="U48" s="81">
        <v>137.08142100000001</v>
      </c>
      <c r="V48" s="81">
        <v>138.79272499999999</v>
      </c>
      <c r="W48" s="81">
        <v>140.514984</v>
      </c>
      <c r="X48" s="81">
        <v>141.874741</v>
      </c>
      <c r="Y48" s="81">
        <v>142.38699299999999</v>
      </c>
      <c r="Z48" s="81">
        <v>143.677246</v>
      </c>
      <c r="AA48" s="81">
        <v>145.33727999999999</v>
      </c>
      <c r="AB48" s="81">
        <v>146.83904999999999</v>
      </c>
      <c r="AC48" s="81">
        <v>148.28321800000001</v>
      </c>
      <c r="AD48" s="81">
        <v>149.31997699999999</v>
      </c>
      <c r="AE48" s="81">
        <v>150.348434</v>
      </c>
      <c r="AF48" s="81">
        <v>151.64003</v>
      </c>
      <c r="AG48" s="82">
        <v>8.4740000000000006E-3</v>
      </c>
      <c r="AH48" s="66"/>
    </row>
    <row r="49" spans="1:34" ht="16.5" x14ac:dyDescent="0.3">
      <c r="A49" s="64" t="s">
        <v>603</v>
      </c>
      <c r="B49" s="42" t="s">
        <v>41</v>
      </c>
      <c r="C49" s="74" t="s">
        <v>604</v>
      </c>
      <c r="D49" s="75">
        <v>23.835207</v>
      </c>
      <c r="E49" s="81">
        <v>22.431635</v>
      </c>
      <c r="F49" s="81">
        <v>22.050007000000001</v>
      </c>
      <c r="G49" s="81">
        <v>22.057528999999999</v>
      </c>
      <c r="H49" s="81">
        <v>22.68103</v>
      </c>
      <c r="I49" s="81">
        <v>23.030569</v>
      </c>
      <c r="J49" s="81">
        <v>23.301846999999999</v>
      </c>
      <c r="K49" s="81">
        <v>23.512806000000001</v>
      </c>
      <c r="L49" s="81">
        <v>23.634198999999999</v>
      </c>
      <c r="M49" s="81">
        <v>23.801591999999999</v>
      </c>
      <c r="N49" s="81">
        <v>24.003617999999999</v>
      </c>
      <c r="O49" s="81">
        <v>24.275005</v>
      </c>
      <c r="P49" s="81">
        <v>24.565556000000001</v>
      </c>
      <c r="Q49" s="81">
        <v>24.908245000000001</v>
      </c>
      <c r="R49" s="81">
        <v>25.079616999999999</v>
      </c>
      <c r="S49" s="81">
        <v>25.316305</v>
      </c>
      <c r="T49" s="81">
        <v>25.550051</v>
      </c>
      <c r="U49" s="81">
        <v>25.968063000000001</v>
      </c>
      <c r="V49" s="81">
        <v>26.382377999999999</v>
      </c>
      <c r="W49" s="81">
        <v>26.675877</v>
      </c>
      <c r="X49" s="81">
        <v>27.04561</v>
      </c>
      <c r="Y49" s="81">
        <v>27.182400000000001</v>
      </c>
      <c r="Z49" s="81">
        <v>27.408552</v>
      </c>
      <c r="AA49" s="81">
        <v>27.686163000000001</v>
      </c>
      <c r="AB49" s="81">
        <v>28.096257999999999</v>
      </c>
      <c r="AC49" s="81">
        <v>28.340467</v>
      </c>
      <c r="AD49" s="81">
        <v>28.420309</v>
      </c>
      <c r="AE49" s="81">
        <v>28.615231000000001</v>
      </c>
      <c r="AF49" s="81">
        <v>28.898367</v>
      </c>
      <c r="AG49" s="82">
        <v>6.9030000000000003E-3</v>
      </c>
      <c r="AH49" s="66"/>
    </row>
    <row r="50" spans="1:34" ht="16.5" x14ac:dyDescent="0.3">
      <c r="A50" s="64" t="s">
        <v>605</v>
      </c>
      <c r="B50" s="42" t="s">
        <v>42</v>
      </c>
      <c r="C50" s="74" t="s">
        <v>606</v>
      </c>
      <c r="D50" s="75">
        <v>16.081751000000001</v>
      </c>
      <c r="E50" s="81">
        <v>15.364241</v>
      </c>
      <c r="F50" s="81">
        <v>15.174519</v>
      </c>
      <c r="G50" s="81">
        <v>15.420743999999999</v>
      </c>
      <c r="H50" s="81">
        <v>15.655219000000001</v>
      </c>
      <c r="I50" s="81">
        <v>15.807650000000001</v>
      </c>
      <c r="J50" s="81">
        <v>15.951729</v>
      </c>
      <c r="K50" s="81">
        <v>16.142638999999999</v>
      </c>
      <c r="L50" s="81">
        <v>16.343665999999999</v>
      </c>
      <c r="M50" s="81">
        <v>16.538471000000001</v>
      </c>
      <c r="N50" s="81">
        <v>16.67625</v>
      </c>
      <c r="O50" s="81">
        <v>16.739432999999998</v>
      </c>
      <c r="P50" s="81">
        <v>16.852367000000001</v>
      </c>
      <c r="Q50" s="81">
        <v>17.106045000000002</v>
      </c>
      <c r="R50" s="81">
        <v>17.312027</v>
      </c>
      <c r="S50" s="81">
        <v>17.484805999999999</v>
      </c>
      <c r="T50" s="81">
        <v>17.670828</v>
      </c>
      <c r="U50" s="81">
        <v>17.814067999999999</v>
      </c>
      <c r="V50" s="81">
        <v>18.006584</v>
      </c>
      <c r="W50" s="81">
        <v>18.220645999999999</v>
      </c>
      <c r="X50" s="81">
        <v>18.389344999999999</v>
      </c>
      <c r="Y50" s="81">
        <v>18.476151000000002</v>
      </c>
      <c r="Z50" s="81">
        <v>18.683886999999999</v>
      </c>
      <c r="AA50" s="81">
        <v>18.925754999999999</v>
      </c>
      <c r="AB50" s="81">
        <v>19.120739</v>
      </c>
      <c r="AC50" s="81">
        <v>19.317871</v>
      </c>
      <c r="AD50" s="81">
        <v>19.466255</v>
      </c>
      <c r="AE50" s="81">
        <v>19.601412</v>
      </c>
      <c r="AF50" s="81">
        <v>19.775444</v>
      </c>
      <c r="AG50" s="82">
        <v>7.4110000000000001E-3</v>
      </c>
      <c r="AH50" s="66"/>
    </row>
    <row r="51" spans="1:34" ht="16.5" x14ac:dyDescent="0.3">
      <c r="A51" s="64" t="s">
        <v>607</v>
      </c>
      <c r="B51" s="42" t="s">
        <v>42</v>
      </c>
      <c r="C51" s="74" t="s">
        <v>608</v>
      </c>
      <c r="D51" s="75">
        <v>79.813086999999996</v>
      </c>
      <c r="E51" s="81">
        <v>76.642616000000004</v>
      </c>
      <c r="F51" s="81">
        <v>76.083648999999994</v>
      </c>
      <c r="G51" s="81">
        <v>77.588699000000005</v>
      </c>
      <c r="H51" s="81">
        <v>79.472831999999997</v>
      </c>
      <c r="I51" s="81">
        <v>81.120255</v>
      </c>
      <c r="J51" s="81">
        <v>82.505073999999993</v>
      </c>
      <c r="K51" s="81">
        <v>83.648551999999995</v>
      </c>
      <c r="L51" s="81">
        <v>84.506439</v>
      </c>
      <c r="M51" s="81">
        <v>85.400192000000004</v>
      </c>
      <c r="N51" s="81">
        <v>86.613556000000003</v>
      </c>
      <c r="O51" s="81">
        <v>87.573631000000006</v>
      </c>
      <c r="P51" s="81">
        <v>88.096947</v>
      </c>
      <c r="Q51" s="81">
        <v>89.130486000000005</v>
      </c>
      <c r="R51" s="81">
        <v>89.938095000000004</v>
      </c>
      <c r="S51" s="81">
        <v>91.019829000000001</v>
      </c>
      <c r="T51" s="81">
        <v>92.231742999999994</v>
      </c>
      <c r="U51" s="81">
        <v>93.299285999999995</v>
      </c>
      <c r="V51" s="81">
        <v>94.403755000000004</v>
      </c>
      <c r="W51" s="81">
        <v>95.618454</v>
      </c>
      <c r="X51" s="81">
        <v>96.439789000000005</v>
      </c>
      <c r="Y51" s="81">
        <v>96.728447000000003</v>
      </c>
      <c r="Z51" s="81">
        <v>97.584800999999999</v>
      </c>
      <c r="AA51" s="81">
        <v>98.725357000000002</v>
      </c>
      <c r="AB51" s="81">
        <v>99.622055000000003</v>
      </c>
      <c r="AC51" s="81">
        <v>100.624878</v>
      </c>
      <c r="AD51" s="81">
        <v>101.433403</v>
      </c>
      <c r="AE51" s="81">
        <v>102.131798</v>
      </c>
      <c r="AF51" s="81">
        <v>102.96622499999999</v>
      </c>
      <c r="AG51" s="82">
        <v>9.1380000000000003E-3</v>
      </c>
      <c r="AH51" s="66"/>
    </row>
    <row r="52" spans="1:34" ht="16.5" x14ac:dyDescent="0.3">
      <c r="A52" s="64" t="s">
        <v>609</v>
      </c>
      <c r="B52" s="53"/>
      <c r="C52" s="74" t="s">
        <v>610</v>
      </c>
      <c r="D52" s="75">
        <v>244.92063899999999</v>
      </c>
      <c r="E52" s="81">
        <v>242.71447800000001</v>
      </c>
      <c r="F52" s="81">
        <v>242.907928</v>
      </c>
      <c r="G52" s="81">
        <v>250.14743000000001</v>
      </c>
      <c r="H52" s="81">
        <v>260.91778599999998</v>
      </c>
      <c r="I52" s="81">
        <v>267.47143599999998</v>
      </c>
      <c r="J52" s="81">
        <v>270.68414300000001</v>
      </c>
      <c r="K52" s="81">
        <v>273.12374899999998</v>
      </c>
      <c r="L52" s="81">
        <v>273.69506799999999</v>
      </c>
      <c r="M52" s="81">
        <v>274.63815299999999</v>
      </c>
      <c r="N52" s="81">
        <v>277.50683600000002</v>
      </c>
      <c r="O52" s="81">
        <v>278.695221</v>
      </c>
      <c r="P52" s="81">
        <v>280.69860799999998</v>
      </c>
      <c r="Q52" s="81">
        <v>283.362976</v>
      </c>
      <c r="R52" s="81">
        <v>285.98867799999999</v>
      </c>
      <c r="S52" s="81">
        <v>290.064911</v>
      </c>
      <c r="T52" s="81">
        <v>293.63897700000001</v>
      </c>
      <c r="U52" s="81">
        <v>296.83245799999997</v>
      </c>
      <c r="V52" s="81">
        <v>300.254639</v>
      </c>
      <c r="W52" s="81">
        <v>304.25341800000001</v>
      </c>
      <c r="X52" s="81">
        <v>308.32467700000001</v>
      </c>
      <c r="Y52" s="81">
        <v>311.60855099999998</v>
      </c>
      <c r="Z52" s="81">
        <v>314.53909299999998</v>
      </c>
      <c r="AA52" s="81">
        <v>317.61679099999998</v>
      </c>
      <c r="AB52" s="81">
        <v>321.32205199999999</v>
      </c>
      <c r="AC52" s="81">
        <v>325.11303700000002</v>
      </c>
      <c r="AD52" s="81">
        <v>327.84747299999998</v>
      </c>
      <c r="AE52" s="81">
        <v>330.89224200000001</v>
      </c>
      <c r="AF52" s="81">
        <v>335.55999800000001</v>
      </c>
      <c r="AG52" s="82">
        <v>1.1309E-2</v>
      </c>
      <c r="AH52" s="66"/>
    </row>
    <row r="53" spans="1:34" ht="16.5" x14ac:dyDescent="0.3">
      <c r="A53" s="64" t="s">
        <v>611</v>
      </c>
      <c r="B53" s="42" t="s">
        <v>43</v>
      </c>
      <c r="C53" s="74" t="s">
        <v>612</v>
      </c>
      <c r="D53" s="75">
        <v>126.85520200000001</v>
      </c>
      <c r="E53" s="81">
        <v>124.78827699999999</v>
      </c>
      <c r="F53" s="81">
        <v>122.861504</v>
      </c>
      <c r="G53" s="81">
        <v>125.647324</v>
      </c>
      <c r="H53" s="81">
        <v>131.64794900000001</v>
      </c>
      <c r="I53" s="81">
        <v>134.760132</v>
      </c>
      <c r="J53" s="81">
        <v>135.50010700000001</v>
      </c>
      <c r="K53" s="81">
        <v>136.16549699999999</v>
      </c>
      <c r="L53" s="81">
        <v>135.42817700000001</v>
      </c>
      <c r="M53" s="81">
        <v>135.13987700000001</v>
      </c>
      <c r="N53" s="81">
        <v>136.50102200000001</v>
      </c>
      <c r="O53" s="81">
        <v>136.045624</v>
      </c>
      <c r="P53" s="81">
        <v>135.96459999999999</v>
      </c>
      <c r="Q53" s="81">
        <v>136.36445599999999</v>
      </c>
      <c r="R53" s="81">
        <v>136.71965</v>
      </c>
      <c r="S53" s="81">
        <v>138.30264299999999</v>
      </c>
      <c r="T53" s="81">
        <v>139.27752699999999</v>
      </c>
      <c r="U53" s="81">
        <v>139.56672699999999</v>
      </c>
      <c r="V53" s="81">
        <v>140.15815699999999</v>
      </c>
      <c r="W53" s="81">
        <v>141.206772</v>
      </c>
      <c r="X53" s="81">
        <v>142.31332399999999</v>
      </c>
      <c r="Y53" s="81">
        <v>142.74842799999999</v>
      </c>
      <c r="Z53" s="81">
        <v>142.771469</v>
      </c>
      <c r="AA53" s="81">
        <v>142.45120199999999</v>
      </c>
      <c r="AB53" s="81">
        <v>142.66772499999999</v>
      </c>
      <c r="AC53" s="81">
        <v>143.319153</v>
      </c>
      <c r="AD53" s="81">
        <v>143.41282699999999</v>
      </c>
      <c r="AE53" s="81">
        <v>143.60940600000001</v>
      </c>
      <c r="AF53" s="81">
        <v>145.06587200000001</v>
      </c>
      <c r="AG53" s="82">
        <v>4.8019999999999998E-3</v>
      </c>
      <c r="AH53" s="66"/>
    </row>
    <row r="54" spans="1:34" ht="16.5" x14ac:dyDescent="0.3">
      <c r="A54" s="64" t="s">
        <v>613</v>
      </c>
      <c r="B54" s="42" t="s">
        <v>44</v>
      </c>
      <c r="C54" s="74" t="s">
        <v>614</v>
      </c>
      <c r="D54" s="75">
        <v>39.489657999999999</v>
      </c>
      <c r="E54" s="81">
        <v>39.006199000000002</v>
      </c>
      <c r="F54" s="81">
        <v>39.241928000000001</v>
      </c>
      <c r="G54" s="81">
        <v>40.383499</v>
      </c>
      <c r="H54" s="81">
        <v>41.714424000000001</v>
      </c>
      <c r="I54" s="81">
        <v>42.604626000000003</v>
      </c>
      <c r="J54" s="81">
        <v>43.222197999999999</v>
      </c>
      <c r="K54" s="81">
        <v>43.558788</v>
      </c>
      <c r="L54" s="81">
        <v>43.667107000000001</v>
      </c>
      <c r="M54" s="81">
        <v>43.847262999999998</v>
      </c>
      <c r="N54" s="81">
        <v>44.095450999999997</v>
      </c>
      <c r="O54" s="81">
        <v>44.485649000000002</v>
      </c>
      <c r="P54" s="81">
        <v>45.056721000000003</v>
      </c>
      <c r="Q54" s="81">
        <v>45.648440999999998</v>
      </c>
      <c r="R54" s="81">
        <v>46.072398999999997</v>
      </c>
      <c r="S54" s="81">
        <v>46.591617999999997</v>
      </c>
      <c r="T54" s="81">
        <v>47.106681999999999</v>
      </c>
      <c r="U54" s="81">
        <v>47.672859000000003</v>
      </c>
      <c r="V54" s="81">
        <v>48.027209999999997</v>
      </c>
      <c r="W54" s="81">
        <v>48.631011999999998</v>
      </c>
      <c r="X54" s="81">
        <v>49.402282999999997</v>
      </c>
      <c r="Y54" s="81">
        <v>49.964900999999998</v>
      </c>
      <c r="Z54" s="81">
        <v>50.329197000000001</v>
      </c>
      <c r="AA54" s="81">
        <v>50.972748000000003</v>
      </c>
      <c r="AB54" s="81">
        <v>51.743003999999999</v>
      </c>
      <c r="AC54" s="81">
        <v>52.397064</v>
      </c>
      <c r="AD54" s="81">
        <v>52.615349000000002</v>
      </c>
      <c r="AE54" s="81">
        <v>53.016792000000002</v>
      </c>
      <c r="AF54" s="81">
        <v>53.815617000000003</v>
      </c>
      <c r="AG54" s="82">
        <v>1.1115999999999999E-2</v>
      </c>
      <c r="AH54" s="66"/>
    </row>
    <row r="55" spans="1:34" ht="16.5" x14ac:dyDescent="0.3">
      <c r="A55" s="64" t="s">
        <v>615</v>
      </c>
      <c r="B55" s="42" t="s">
        <v>44</v>
      </c>
      <c r="C55" s="74" t="s">
        <v>616</v>
      </c>
      <c r="D55" s="75">
        <v>78.575774999999993</v>
      </c>
      <c r="E55" s="81">
        <v>78.919990999999996</v>
      </c>
      <c r="F55" s="81">
        <v>80.804496999999998</v>
      </c>
      <c r="G55" s="81">
        <v>84.116607999999999</v>
      </c>
      <c r="H55" s="81">
        <v>87.555404999999993</v>
      </c>
      <c r="I55" s="81">
        <v>90.106673999999998</v>
      </c>
      <c r="J55" s="81">
        <v>91.961853000000005</v>
      </c>
      <c r="K55" s="81">
        <v>93.399451999999997</v>
      </c>
      <c r="L55" s="81">
        <v>94.599777000000003</v>
      </c>
      <c r="M55" s="81">
        <v>95.651015999999998</v>
      </c>
      <c r="N55" s="81">
        <v>96.91037</v>
      </c>
      <c r="O55" s="81">
        <v>98.163939999999997</v>
      </c>
      <c r="P55" s="81">
        <v>99.677277000000004</v>
      </c>
      <c r="Q55" s="81">
        <v>101.350098</v>
      </c>
      <c r="R55" s="81">
        <v>103.196625</v>
      </c>
      <c r="S55" s="81">
        <v>105.170647</v>
      </c>
      <c r="T55" s="81">
        <v>107.25477600000001</v>
      </c>
      <c r="U55" s="81">
        <v>109.59285</v>
      </c>
      <c r="V55" s="81">
        <v>112.069275</v>
      </c>
      <c r="W55" s="81">
        <v>114.415649</v>
      </c>
      <c r="X55" s="81">
        <v>116.609077</v>
      </c>
      <c r="Y55" s="81">
        <v>118.89522599999999</v>
      </c>
      <c r="Z55" s="81">
        <v>121.438423</v>
      </c>
      <c r="AA55" s="81">
        <v>124.192848</v>
      </c>
      <c r="AB55" s="81">
        <v>126.91132399999999</v>
      </c>
      <c r="AC55" s="81">
        <v>129.39681999999999</v>
      </c>
      <c r="AD55" s="81">
        <v>131.819321</v>
      </c>
      <c r="AE55" s="81">
        <v>134.266052</v>
      </c>
      <c r="AF55" s="81">
        <v>136.678528</v>
      </c>
      <c r="AG55" s="82">
        <v>1.9966999999999999E-2</v>
      </c>
      <c r="AH55" s="66"/>
    </row>
    <row r="56" spans="1:34" ht="16.5" x14ac:dyDescent="0.3">
      <c r="A56" s="64" t="s">
        <v>617</v>
      </c>
      <c r="B56" s="42" t="s">
        <v>11</v>
      </c>
      <c r="C56" s="74" t="s">
        <v>618</v>
      </c>
      <c r="D56" s="75">
        <v>361.08462500000002</v>
      </c>
      <c r="E56" s="81">
        <v>354.09451300000001</v>
      </c>
      <c r="F56" s="81">
        <v>351.484802</v>
      </c>
      <c r="G56" s="81">
        <v>357.95004299999999</v>
      </c>
      <c r="H56" s="81">
        <v>369.75707999999997</v>
      </c>
      <c r="I56" s="81">
        <v>379.725708</v>
      </c>
      <c r="J56" s="81">
        <v>385.55938700000002</v>
      </c>
      <c r="K56" s="81">
        <v>390.02487200000002</v>
      </c>
      <c r="L56" s="81">
        <v>392.792755</v>
      </c>
      <c r="M56" s="81">
        <v>396.91482500000001</v>
      </c>
      <c r="N56" s="81">
        <v>405.37014799999997</v>
      </c>
      <c r="O56" s="81">
        <v>412.59906000000001</v>
      </c>
      <c r="P56" s="81">
        <v>418.59823599999999</v>
      </c>
      <c r="Q56" s="81">
        <v>426.64352400000001</v>
      </c>
      <c r="R56" s="81">
        <v>435.44189499999999</v>
      </c>
      <c r="S56" s="81">
        <v>445.069458</v>
      </c>
      <c r="T56" s="81">
        <v>454.907623</v>
      </c>
      <c r="U56" s="81">
        <v>462.154358</v>
      </c>
      <c r="V56" s="81">
        <v>469.06369000000001</v>
      </c>
      <c r="W56" s="81">
        <v>478.09390300000001</v>
      </c>
      <c r="X56" s="81">
        <v>485.71447799999999</v>
      </c>
      <c r="Y56" s="81">
        <v>492.09628300000003</v>
      </c>
      <c r="Z56" s="81">
        <v>496.24026500000002</v>
      </c>
      <c r="AA56" s="81">
        <v>498.41033900000002</v>
      </c>
      <c r="AB56" s="81">
        <v>500.96777300000002</v>
      </c>
      <c r="AC56" s="81">
        <v>505.22824100000003</v>
      </c>
      <c r="AD56" s="81">
        <v>507.26754799999998</v>
      </c>
      <c r="AE56" s="81">
        <v>507.686127</v>
      </c>
      <c r="AF56" s="81">
        <v>514.91851799999995</v>
      </c>
      <c r="AG56" s="82">
        <v>1.2756E-2</v>
      </c>
      <c r="AH56" s="66"/>
    </row>
    <row r="57" spans="1:34" ht="16.5" x14ac:dyDescent="0.3">
      <c r="A57" s="64" t="s">
        <v>619</v>
      </c>
      <c r="B57" s="42" t="s">
        <v>14</v>
      </c>
      <c r="C57" s="74" t="s">
        <v>620</v>
      </c>
      <c r="D57" s="75">
        <v>399.61200000000002</v>
      </c>
      <c r="E57" s="81">
        <v>393.56274400000001</v>
      </c>
      <c r="F57" s="81">
        <v>393.80505399999998</v>
      </c>
      <c r="G57" s="81">
        <v>398.59121699999997</v>
      </c>
      <c r="H57" s="81">
        <v>413.20257600000002</v>
      </c>
      <c r="I57" s="81">
        <v>426.06222500000001</v>
      </c>
      <c r="J57" s="81">
        <v>431.62191799999999</v>
      </c>
      <c r="K57" s="81">
        <v>436.47894300000002</v>
      </c>
      <c r="L57" s="81">
        <v>441.38394199999999</v>
      </c>
      <c r="M57" s="81">
        <v>448.80239899999998</v>
      </c>
      <c r="N57" s="81">
        <v>460.85583500000001</v>
      </c>
      <c r="O57" s="81">
        <v>470.08538800000002</v>
      </c>
      <c r="P57" s="81">
        <v>477.91143799999998</v>
      </c>
      <c r="Q57" s="81">
        <v>487.04830900000002</v>
      </c>
      <c r="R57" s="81">
        <v>495.56310999999999</v>
      </c>
      <c r="S57" s="81">
        <v>503.838593</v>
      </c>
      <c r="T57" s="81">
        <v>512.09667999999999</v>
      </c>
      <c r="U57" s="81">
        <v>518.91455099999996</v>
      </c>
      <c r="V57" s="81">
        <v>525.78979500000003</v>
      </c>
      <c r="W57" s="81">
        <v>533.87219200000004</v>
      </c>
      <c r="X57" s="81">
        <v>541.03369099999998</v>
      </c>
      <c r="Y57" s="81">
        <v>546.68652299999997</v>
      </c>
      <c r="Z57" s="81">
        <v>551.02954099999999</v>
      </c>
      <c r="AA57" s="81">
        <v>554.63653599999998</v>
      </c>
      <c r="AB57" s="81">
        <v>560.65307600000006</v>
      </c>
      <c r="AC57" s="81">
        <v>567.37158199999999</v>
      </c>
      <c r="AD57" s="81">
        <v>573.516479</v>
      </c>
      <c r="AE57" s="81">
        <v>577.69525099999998</v>
      </c>
      <c r="AF57" s="81">
        <v>585.69397000000004</v>
      </c>
      <c r="AG57" s="82">
        <v>1.3747000000000001E-2</v>
      </c>
      <c r="AH57" s="66"/>
    </row>
    <row r="58" spans="1:34" ht="16.5" x14ac:dyDescent="0.3">
      <c r="A58" s="64" t="s">
        <v>621</v>
      </c>
      <c r="B58" s="42" t="s">
        <v>12</v>
      </c>
      <c r="C58" s="74" t="s">
        <v>622</v>
      </c>
      <c r="D58" s="75">
        <v>506.49093599999998</v>
      </c>
      <c r="E58" s="81">
        <v>516.42877199999998</v>
      </c>
      <c r="F58" s="81">
        <v>532.86395300000004</v>
      </c>
      <c r="G58" s="81">
        <v>553.77117899999996</v>
      </c>
      <c r="H58" s="81">
        <v>577.25573699999995</v>
      </c>
      <c r="I58" s="81">
        <v>597.36413600000003</v>
      </c>
      <c r="J58" s="81">
        <v>614.67828399999996</v>
      </c>
      <c r="K58" s="81">
        <v>627.72113000000002</v>
      </c>
      <c r="L58" s="81">
        <v>637.34918200000004</v>
      </c>
      <c r="M58" s="81">
        <v>648.73742700000003</v>
      </c>
      <c r="N58" s="81">
        <v>662.29174799999998</v>
      </c>
      <c r="O58" s="81">
        <v>675.88458300000002</v>
      </c>
      <c r="P58" s="81">
        <v>690.44891399999995</v>
      </c>
      <c r="Q58" s="81">
        <v>704.77856399999996</v>
      </c>
      <c r="R58" s="81">
        <v>720.01513699999998</v>
      </c>
      <c r="S58" s="81">
        <v>736.80139199999996</v>
      </c>
      <c r="T58" s="81">
        <v>754.86901899999998</v>
      </c>
      <c r="U58" s="81">
        <v>773.49487299999998</v>
      </c>
      <c r="V58" s="81">
        <v>794.91992200000004</v>
      </c>
      <c r="W58" s="81">
        <v>816.08807400000001</v>
      </c>
      <c r="X58" s="81">
        <v>835.03979500000003</v>
      </c>
      <c r="Y58" s="81">
        <v>855.20025599999997</v>
      </c>
      <c r="Z58" s="81">
        <v>874.60534700000005</v>
      </c>
      <c r="AA58" s="81">
        <v>893.03076199999998</v>
      </c>
      <c r="AB58" s="81">
        <v>911.92706299999998</v>
      </c>
      <c r="AC58" s="81">
        <v>931.363831</v>
      </c>
      <c r="AD58" s="81">
        <v>950.155396</v>
      </c>
      <c r="AE58" s="81">
        <v>970.80560300000002</v>
      </c>
      <c r="AF58" s="81">
        <v>994.11694299999999</v>
      </c>
      <c r="AG58" s="82">
        <v>2.4375999999999998E-2</v>
      </c>
      <c r="AH58" s="66"/>
    </row>
    <row r="59" spans="1:34" ht="16.5" x14ac:dyDescent="0.3">
      <c r="A59" s="64" t="s">
        <v>623</v>
      </c>
      <c r="B59" s="42" t="s">
        <v>643</v>
      </c>
      <c r="C59" s="74" t="s">
        <v>624</v>
      </c>
      <c r="D59" s="75">
        <v>1128.2124020000001</v>
      </c>
      <c r="E59" s="81">
        <v>1163.3079829999999</v>
      </c>
      <c r="F59" s="81">
        <v>1177.901245</v>
      </c>
      <c r="G59" s="81">
        <v>1174.456543</v>
      </c>
      <c r="H59" s="81">
        <v>1180.570557</v>
      </c>
      <c r="I59" s="81">
        <v>1202.499268</v>
      </c>
      <c r="J59" s="81">
        <v>1218.9282229999999</v>
      </c>
      <c r="K59" s="81">
        <v>1226.8570560000001</v>
      </c>
      <c r="L59" s="81">
        <v>1237.553711</v>
      </c>
      <c r="M59" s="81">
        <v>1256.5177000000001</v>
      </c>
      <c r="N59" s="81">
        <v>1288.404053</v>
      </c>
      <c r="O59" s="81">
        <v>1316.197754</v>
      </c>
      <c r="P59" s="81">
        <v>1337.4107670000001</v>
      </c>
      <c r="Q59" s="81">
        <v>1360.609009</v>
      </c>
      <c r="R59" s="81">
        <v>1382.859741</v>
      </c>
      <c r="S59" s="81">
        <v>1398.0405270000001</v>
      </c>
      <c r="T59" s="81">
        <v>1415.6757809999999</v>
      </c>
      <c r="U59" s="81">
        <v>1429.8842770000001</v>
      </c>
      <c r="V59" s="81">
        <v>1450.1400149999999</v>
      </c>
      <c r="W59" s="81">
        <v>1475.5817870000001</v>
      </c>
      <c r="X59" s="81">
        <v>1500.8208010000001</v>
      </c>
      <c r="Y59" s="81">
        <v>1522.6357419999999</v>
      </c>
      <c r="Z59" s="81">
        <v>1540.6464840000001</v>
      </c>
      <c r="AA59" s="81">
        <v>1558.831543</v>
      </c>
      <c r="AB59" s="81">
        <v>1582.472534</v>
      </c>
      <c r="AC59" s="81">
        <v>1608.056274</v>
      </c>
      <c r="AD59" s="81">
        <v>1631.1317140000001</v>
      </c>
      <c r="AE59" s="81">
        <v>1653.2062989999999</v>
      </c>
      <c r="AF59" s="81">
        <v>1681.0548100000001</v>
      </c>
      <c r="AG59" s="82">
        <v>1.4344000000000001E-2</v>
      </c>
      <c r="AH59" s="66"/>
    </row>
    <row r="60" spans="1:34" ht="16.5" x14ac:dyDescent="0.3">
      <c r="A60" s="64" t="s">
        <v>625</v>
      </c>
      <c r="B60" s="42" t="s">
        <v>13</v>
      </c>
      <c r="C60" s="74" t="s">
        <v>626</v>
      </c>
      <c r="D60" s="75">
        <v>136.71812399999999</v>
      </c>
      <c r="E60" s="81">
        <v>136.660156</v>
      </c>
      <c r="F60" s="81">
        <v>138.18132</v>
      </c>
      <c r="G60" s="81">
        <v>141.502182</v>
      </c>
      <c r="H60" s="81">
        <v>144.87214700000001</v>
      </c>
      <c r="I60" s="81">
        <v>147.97396900000001</v>
      </c>
      <c r="J60" s="81">
        <v>150.72811899999999</v>
      </c>
      <c r="K60" s="81">
        <v>153.04495199999999</v>
      </c>
      <c r="L60" s="81">
        <v>154.97905</v>
      </c>
      <c r="M60" s="81">
        <v>156.095932</v>
      </c>
      <c r="N60" s="81">
        <v>159.33145099999999</v>
      </c>
      <c r="O60" s="81">
        <v>163.81352200000001</v>
      </c>
      <c r="P60" s="81">
        <v>168.14465300000001</v>
      </c>
      <c r="Q60" s="81">
        <v>172.72576900000001</v>
      </c>
      <c r="R60" s="81">
        <v>177.38597100000001</v>
      </c>
      <c r="S60" s="81">
        <v>182.320007</v>
      </c>
      <c r="T60" s="81">
        <v>187.67952</v>
      </c>
      <c r="U60" s="81">
        <v>192.963043</v>
      </c>
      <c r="V60" s="81">
        <v>198.58502200000001</v>
      </c>
      <c r="W60" s="81">
        <v>204.38623000000001</v>
      </c>
      <c r="X60" s="81">
        <v>209.77015700000001</v>
      </c>
      <c r="Y60" s="81">
        <v>215.49572800000001</v>
      </c>
      <c r="Z60" s="81">
        <v>221.13317900000001</v>
      </c>
      <c r="AA60" s="81">
        <v>226.601257</v>
      </c>
      <c r="AB60" s="81">
        <v>232.24366800000001</v>
      </c>
      <c r="AC60" s="81">
        <v>238.18220500000001</v>
      </c>
      <c r="AD60" s="81">
        <v>244.16102599999999</v>
      </c>
      <c r="AE60" s="81">
        <v>250.01297</v>
      </c>
      <c r="AF60" s="81">
        <v>257.04513500000002</v>
      </c>
      <c r="AG60" s="82">
        <v>2.2804000000000001E-2</v>
      </c>
      <c r="AH60" s="66"/>
    </row>
    <row r="61" spans="1:34" ht="16.5" x14ac:dyDescent="0.3">
      <c r="A61" s="64" t="s">
        <v>627</v>
      </c>
      <c r="B61" s="42" t="s">
        <v>17</v>
      </c>
      <c r="C61" s="74" t="s">
        <v>628</v>
      </c>
      <c r="D61" s="75">
        <v>166.3022</v>
      </c>
      <c r="E61" s="81">
        <v>164.43682899999999</v>
      </c>
      <c r="F61" s="81">
        <v>164.33727999999999</v>
      </c>
      <c r="G61" s="81">
        <v>160.20967099999999</v>
      </c>
      <c r="H61" s="81">
        <v>158.97865300000001</v>
      </c>
      <c r="I61" s="81">
        <v>159.30349699999999</v>
      </c>
      <c r="J61" s="81">
        <v>160.67364499999999</v>
      </c>
      <c r="K61" s="81">
        <v>162.23002600000001</v>
      </c>
      <c r="L61" s="81">
        <v>163.81959499999999</v>
      </c>
      <c r="M61" s="81">
        <v>165.476868</v>
      </c>
      <c r="N61" s="81">
        <v>168.42875699999999</v>
      </c>
      <c r="O61" s="81">
        <v>171.31210300000001</v>
      </c>
      <c r="P61" s="81">
        <v>174.08282500000001</v>
      </c>
      <c r="Q61" s="81">
        <v>176.28294399999999</v>
      </c>
      <c r="R61" s="81">
        <v>178.13244599999999</v>
      </c>
      <c r="S61" s="81">
        <v>180.56085200000001</v>
      </c>
      <c r="T61" s="81">
        <v>183.43232699999999</v>
      </c>
      <c r="U61" s="81">
        <v>185.949173</v>
      </c>
      <c r="V61" s="81">
        <v>188.78362999999999</v>
      </c>
      <c r="W61" s="81">
        <v>191.34272799999999</v>
      </c>
      <c r="X61" s="81">
        <v>193.95433</v>
      </c>
      <c r="Y61" s="81">
        <v>196.60256999999999</v>
      </c>
      <c r="Z61" s="81">
        <v>198.85200499999999</v>
      </c>
      <c r="AA61" s="81">
        <v>201.250595</v>
      </c>
      <c r="AB61" s="81">
        <v>203.854996</v>
      </c>
      <c r="AC61" s="81">
        <v>206.75022899999999</v>
      </c>
      <c r="AD61" s="81">
        <v>209.363876</v>
      </c>
      <c r="AE61" s="81">
        <v>211.71012899999999</v>
      </c>
      <c r="AF61" s="81">
        <v>215.37609900000001</v>
      </c>
      <c r="AG61" s="82">
        <v>9.2779999999999998E-3</v>
      </c>
      <c r="AH61" s="66"/>
    </row>
    <row r="62" spans="1:34" ht="15" customHeight="1" x14ac:dyDescent="0.3">
      <c r="C62" s="66"/>
      <c r="D62" s="6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66"/>
    </row>
    <row r="63" spans="1:34" ht="16.5" x14ac:dyDescent="0.3">
      <c r="A63" s="64" t="s">
        <v>629</v>
      </c>
      <c r="B63" s="42"/>
      <c r="C63" s="72" t="s">
        <v>630</v>
      </c>
      <c r="D63" s="73">
        <v>9378.9648440000001</v>
      </c>
      <c r="E63" s="78">
        <v>9387.4414059999999</v>
      </c>
      <c r="F63" s="78">
        <v>9395.9472659999992</v>
      </c>
      <c r="G63" s="78">
        <v>9488.7802730000003</v>
      </c>
      <c r="H63" s="78">
        <v>9626.8046880000002</v>
      </c>
      <c r="I63" s="78">
        <v>9753.8515619999998</v>
      </c>
      <c r="J63" s="78">
        <v>9868.7363280000009</v>
      </c>
      <c r="K63" s="78">
        <v>9977.6572269999997</v>
      </c>
      <c r="L63" s="78">
        <v>10065.997069999999</v>
      </c>
      <c r="M63" s="78">
        <v>10153.047852</v>
      </c>
      <c r="N63" s="78">
        <v>10277.175781</v>
      </c>
      <c r="O63" s="78">
        <v>10392.405273</v>
      </c>
      <c r="P63" s="78">
        <v>10500.383789</v>
      </c>
      <c r="Q63" s="78">
        <v>10619.221680000001</v>
      </c>
      <c r="R63" s="78">
        <v>10739.829102</v>
      </c>
      <c r="S63" s="78">
        <v>10869.113281</v>
      </c>
      <c r="T63" s="78">
        <v>11003.559569999999</v>
      </c>
      <c r="U63" s="78">
        <v>11131.84375</v>
      </c>
      <c r="V63" s="78">
        <v>11275.293944999999</v>
      </c>
      <c r="W63" s="78">
        <v>11434.467773</v>
      </c>
      <c r="X63" s="78">
        <v>11587.041015999999</v>
      </c>
      <c r="Y63" s="78">
        <v>11733.089844</v>
      </c>
      <c r="Z63" s="78">
        <v>11866.786133</v>
      </c>
      <c r="AA63" s="78">
        <v>11992.252930000001</v>
      </c>
      <c r="AB63" s="78">
        <v>12136.289062</v>
      </c>
      <c r="AC63" s="78">
        <v>12286.878906</v>
      </c>
      <c r="AD63" s="78">
        <v>12422.4375</v>
      </c>
      <c r="AE63" s="78">
        <v>12557.137694999999</v>
      </c>
      <c r="AF63" s="78">
        <v>12740.831055000001</v>
      </c>
      <c r="AG63" s="79">
        <v>1.1001E-2</v>
      </c>
      <c r="AH63" s="66"/>
    </row>
    <row r="64" spans="1:34" ht="15" customHeight="1" x14ac:dyDescent="0.3">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row>
    <row r="65" spans="3:34" ht="17.25" thickBot="1" x14ac:dyDescent="0.35">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row>
    <row r="66" spans="3:34" ht="25.5" x14ac:dyDescent="0.3">
      <c r="C66" s="76" t="s">
        <v>631</v>
      </c>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66"/>
    </row>
    <row r="67" spans="3:34" ht="15" customHeight="1" x14ac:dyDescent="0.3">
      <c r="C67" s="66" t="s">
        <v>678</v>
      </c>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row>
    <row r="68" spans="3:34" ht="15" customHeight="1" x14ac:dyDescent="0.3">
      <c r="C68" s="66" t="s">
        <v>679</v>
      </c>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row>
    <row r="69" spans="3:34" ht="15" customHeight="1" x14ac:dyDescent="0.3">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row>
    <row r="70" spans="3:34" ht="16.5" x14ac:dyDescent="0.3">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row>
    <row r="71" spans="3:34" ht="15" customHeight="1" x14ac:dyDescent="0.3">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row>
    <row r="72" spans="3:34" ht="15" customHeight="1" x14ac:dyDescent="0.3">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row>
    <row r="73" spans="3:34" ht="15" customHeight="1" x14ac:dyDescent="0.3">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row>
    <row r="74" spans="3:34" ht="15" customHeight="1" x14ac:dyDescent="0.3">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row>
    <row r="75" spans="3:34" ht="15" customHeight="1" x14ac:dyDescent="0.3">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row>
    <row r="76" spans="3:34" ht="15" customHeight="1" x14ac:dyDescent="0.3">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row>
    <row r="77" spans="3:34" ht="15" customHeight="1" x14ac:dyDescent="0.3">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row>
    <row r="78" spans="3:34" ht="16.5" x14ac:dyDescent="0.3">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3:34" ht="15" customHeight="1" x14ac:dyDescent="0.3">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row>
    <row r="80" spans="3:34" ht="15" customHeight="1" x14ac:dyDescent="0.3">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row>
    <row r="81" spans="3:34" ht="15" customHeight="1" x14ac:dyDescent="0.3">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row>
    <row r="82" spans="3:34" ht="15" customHeight="1" x14ac:dyDescent="0.3">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row>
    <row r="83" spans="3:34" ht="15" customHeight="1" x14ac:dyDescent="0.3">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row>
    <row r="84" spans="3:34" ht="15" customHeight="1" x14ac:dyDescent="0.3">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row>
    <row r="85" spans="3:34" ht="15" customHeight="1" x14ac:dyDescent="0.3">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row>
    <row r="86" spans="3:34" ht="16.5" x14ac:dyDescent="0.3">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row>
    <row r="87" spans="3:34" ht="15" customHeight="1" x14ac:dyDescent="0.3">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row>
    <row r="88" spans="3:34" ht="15" customHeight="1" x14ac:dyDescent="0.3">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row>
    <row r="89" spans="3:34" ht="15" customHeight="1" x14ac:dyDescent="0.3">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row>
    <row r="90" spans="3:34" ht="15" customHeight="1" x14ac:dyDescent="0.3">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row>
    <row r="91" spans="3:34" ht="15" customHeight="1" x14ac:dyDescent="0.3">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row>
    <row r="92" spans="3:34" ht="16.5" x14ac:dyDescent="0.3">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row>
    <row r="93" spans="3:34" ht="15" customHeight="1" x14ac:dyDescent="0.3">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row>
    <row r="94" spans="3:34" ht="15" customHeight="1" x14ac:dyDescent="0.3">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row>
    <row r="95" spans="3:34" ht="15" customHeight="1" x14ac:dyDescent="0.3">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row>
    <row r="96" spans="3:34" ht="15" customHeight="1" x14ac:dyDescent="0.3">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row>
    <row r="97" spans="3:34" ht="16.5" x14ac:dyDescent="0.3">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row>
    <row r="98" spans="3:34" ht="15" customHeight="1" x14ac:dyDescent="0.3">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row>
    <row r="99" spans="3:34" ht="15" customHeight="1" x14ac:dyDescent="0.3">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row>
    <row r="100" spans="3:34" ht="15" customHeight="1" x14ac:dyDescent="0.3">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row>
    <row r="101" spans="3:34" ht="16.5" x14ac:dyDescent="0.3">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row>
    <row r="102" spans="3:34" ht="15" customHeight="1" x14ac:dyDescent="0.3">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row>
    <row r="103" spans="3:34" ht="15" customHeight="1" x14ac:dyDescent="0.3">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row>
    <row r="104" spans="3:34" ht="15" customHeight="1" x14ac:dyDescent="0.3">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row>
    <row r="105" spans="3:34" ht="15" customHeight="1" x14ac:dyDescent="0.3">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row>
    <row r="106" spans="3:34" ht="15" customHeight="1" x14ac:dyDescent="0.3">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row>
    <row r="107" spans="3:34" ht="15" customHeight="1" x14ac:dyDescent="0.3">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row>
    <row r="108" spans="3:34" ht="15" customHeight="1" x14ac:dyDescent="0.3">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row>
    <row r="109" spans="3:34" ht="16.5" x14ac:dyDescent="0.3">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row>
    <row r="110" spans="3:34" ht="15" customHeight="1" x14ac:dyDescent="0.3">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row>
    <row r="111" spans="3:34" ht="15" customHeight="1" x14ac:dyDescent="0.3">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row>
    <row r="112" spans="3:34" ht="15" customHeight="1" x14ac:dyDescent="0.3">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row>
    <row r="113" spans="3:34" ht="15" customHeight="1" x14ac:dyDescent="0.3">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row>
    <row r="114" spans="3:34" ht="15" customHeight="1" x14ac:dyDescent="0.3">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row>
    <row r="115" spans="3:34" ht="15" customHeight="1" x14ac:dyDescent="0.3">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row>
    <row r="116" spans="3:34" ht="16.5" x14ac:dyDescent="0.3">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row>
    <row r="117" spans="3:34" ht="15" customHeight="1" x14ac:dyDescent="0.3">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row>
    <row r="118" spans="3:34" ht="15" customHeight="1" x14ac:dyDescent="0.3">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row>
    <row r="119" spans="3:34" ht="15" customHeight="1" x14ac:dyDescent="0.3">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row>
    <row r="120" spans="3:34" ht="15" customHeight="1" x14ac:dyDescent="0.3">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row>
    <row r="121" spans="3:34" ht="15" customHeight="1" x14ac:dyDescent="0.3">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row>
    <row r="122" spans="3:34" ht="16.5" x14ac:dyDescent="0.3">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row>
    <row r="123" spans="3:34" ht="15" customHeight="1" x14ac:dyDescent="0.3">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row>
    <row r="124" spans="3:34" ht="15" customHeight="1" x14ac:dyDescent="0.3">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row>
    <row r="125" spans="3:34" ht="15" customHeight="1" x14ac:dyDescent="0.3">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row>
    <row r="126" spans="3:34" ht="16.5" x14ac:dyDescent="0.3">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row>
    <row r="127" spans="3:34" ht="15" customHeight="1" x14ac:dyDescent="0.3">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row>
    <row r="128" spans="3:34" ht="15" customHeight="1" x14ac:dyDescent="0.3">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row>
    <row r="129" spans="3:34" ht="15" customHeight="1" x14ac:dyDescent="0.3">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row>
    <row r="130" spans="3:34" ht="15" customHeight="1" x14ac:dyDescent="0.3">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row>
    <row r="131" spans="3:34" ht="15" customHeight="1" x14ac:dyDescent="0.3">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row>
    <row r="132" spans="3:34" ht="16.5" x14ac:dyDescent="0.3">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row>
    <row r="133" spans="3:34" ht="15" customHeight="1" x14ac:dyDescent="0.3">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row>
    <row r="134" spans="3:34" ht="15" customHeight="1" x14ac:dyDescent="0.3">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row>
    <row r="135" spans="3:34" ht="15" customHeight="1" x14ac:dyDescent="0.3">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row>
    <row r="136" spans="3:34" ht="15" customHeight="1" x14ac:dyDescent="0.3">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row>
    <row r="137" spans="3:34" ht="16.5" x14ac:dyDescent="0.3">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row>
    <row r="138" spans="3:34" ht="15" customHeight="1" x14ac:dyDescent="0.3">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row>
    <row r="139" spans="3:34" ht="15" customHeight="1" x14ac:dyDescent="0.3">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row>
    <row r="140" spans="3:34" ht="15" customHeight="1" x14ac:dyDescent="0.3">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row>
    <row r="141" spans="3:34" ht="15" customHeight="1" x14ac:dyDescent="0.3">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row>
    <row r="142" spans="3:34" ht="15" customHeight="1" x14ac:dyDescent="0.3">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row>
    <row r="143" spans="3:34" ht="15" customHeight="1" x14ac:dyDescent="0.3">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row>
    <row r="144" spans="3:34" ht="15" customHeight="1" x14ac:dyDescent="0.3">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row>
    <row r="145" spans="2:34" ht="15" customHeight="1" x14ac:dyDescent="0.3">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row>
    <row r="146" spans="2:34" ht="15" customHeight="1" x14ac:dyDescent="0.3">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row>
    <row r="147" spans="2:34" ht="15" customHeight="1" x14ac:dyDescent="0.3">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row>
    <row r="148" spans="2:34" ht="15" customHeight="1" x14ac:dyDescent="0.3">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row>
    <row r="149" spans="2:34" ht="15" customHeight="1" x14ac:dyDescent="0.3">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row>
    <row r="150" spans="2:34" ht="15" customHeight="1" x14ac:dyDescent="0.3">
      <c r="B150" s="43"/>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row>
    <row r="151" spans="2:34" ht="15" customHeight="1" x14ac:dyDescent="0.3">
      <c r="B151" s="43"/>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row>
    <row r="152" spans="2:34" ht="15" customHeight="1" x14ac:dyDescent="0.3">
      <c r="B152" s="43"/>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row>
    <row r="153" spans="2:34" ht="15" customHeight="1" x14ac:dyDescent="0.3">
      <c r="B153" s="44"/>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row>
    <row r="154" spans="2:34" ht="15" customHeight="1" x14ac:dyDescent="0.3">
      <c r="B154" s="44"/>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row>
    <row r="155" spans="2:34" ht="15" customHeight="1" x14ac:dyDescent="0.3">
      <c r="B155" s="44"/>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row>
    <row r="156" spans="2:34" ht="15" customHeight="1" x14ac:dyDescent="0.3">
      <c r="B156" s="44"/>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row>
    <row r="157" spans="2:34" ht="15" customHeight="1" x14ac:dyDescent="0.3">
      <c r="B157" s="44"/>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row>
    <row r="158" spans="2:34" ht="15" customHeight="1" x14ac:dyDescent="0.3">
      <c r="B158" s="43"/>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row>
    <row r="159" spans="2:34" ht="15" customHeight="1" x14ac:dyDescent="0.3">
      <c r="B159" s="44"/>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c r="AA159" s="163"/>
      <c r="AB159" s="163"/>
      <c r="AC159" s="163"/>
      <c r="AD159" s="163"/>
      <c r="AE159" s="163"/>
      <c r="AF159" s="163"/>
      <c r="AG159" s="163"/>
      <c r="AH159" s="66"/>
    </row>
    <row r="160" spans="2:34" ht="15" customHeight="1" x14ac:dyDescent="0.3">
      <c r="B160" s="43"/>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row>
    <row r="161" spans="2:34" ht="15" customHeight="1" x14ac:dyDescent="0.3">
      <c r="B161" s="44"/>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row>
    <row r="162" spans="2:34" ht="15" customHeight="1" x14ac:dyDescent="0.3">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t="s">
        <v>680</v>
      </c>
      <c r="AH162" s="66"/>
    </row>
    <row r="163" spans="2:34" ht="15" customHeight="1" x14ac:dyDescent="0.3">
      <c r="B163" s="44"/>
    </row>
    <row r="165" spans="2:34" ht="15" customHeight="1" x14ac:dyDescent="0.3">
      <c r="B165" s="44"/>
    </row>
    <row r="167" spans="2:34" ht="15" customHeight="1" x14ac:dyDescent="0.3">
      <c r="B167" s="44"/>
    </row>
    <row r="168" spans="2:34" ht="15" customHeight="1" x14ac:dyDescent="0.3">
      <c r="B168" s="44"/>
    </row>
    <row r="170" spans="2:34" ht="15" customHeight="1" x14ac:dyDescent="0.3">
      <c r="B170" s="44"/>
    </row>
    <row r="172" spans="2:34" ht="15" customHeight="1" x14ac:dyDescent="0.3">
      <c r="B172" s="44"/>
    </row>
    <row r="177" spans="2:2" ht="15" customHeight="1" x14ac:dyDescent="0.3">
      <c r="B177" s="44"/>
    </row>
    <row r="188" spans="2:2" ht="12" customHeight="1" x14ac:dyDescent="0.3"/>
    <row r="189" spans="2:2" ht="12" customHeight="1" x14ac:dyDescent="0.3"/>
    <row r="190" spans="2:2" ht="12" customHeight="1" x14ac:dyDescent="0.3"/>
    <row r="191" spans="2:2" ht="12" customHeight="1" x14ac:dyDescent="0.3"/>
    <row r="192" spans="2:2" ht="12" customHeight="1" x14ac:dyDescent="0.3"/>
    <row r="193" ht="12" customHeight="1" x14ac:dyDescent="0.3"/>
    <row r="194" ht="12" customHeight="1" x14ac:dyDescent="0.3"/>
    <row r="195" ht="12" customHeight="1" x14ac:dyDescent="0.3"/>
    <row r="196" ht="12" customHeight="1" x14ac:dyDescent="0.3"/>
    <row r="197" ht="12" customHeight="1" x14ac:dyDescent="0.3"/>
    <row r="198" ht="12" customHeight="1" x14ac:dyDescent="0.3"/>
    <row r="199" ht="12" customHeight="1" x14ac:dyDescent="0.3"/>
    <row r="200" ht="12" customHeight="1" x14ac:dyDescent="0.3"/>
    <row r="201" ht="12" customHeight="1" x14ac:dyDescent="0.3"/>
    <row r="202" ht="12" customHeight="1" x14ac:dyDescent="0.3"/>
    <row r="222" ht="12" customHeight="1" x14ac:dyDescent="0.3"/>
    <row r="237" ht="12" customHeight="1" x14ac:dyDescent="0.3"/>
    <row r="239" ht="12" customHeight="1" x14ac:dyDescent="0.3"/>
    <row r="244" ht="12" customHeight="1" x14ac:dyDescent="0.3"/>
    <row r="248" ht="12" customHeight="1" x14ac:dyDescent="0.3"/>
    <row r="253" ht="12" customHeight="1" x14ac:dyDescent="0.3"/>
    <row r="256" ht="12" customHeight="1" x14ac:dyDescent="0.3"/>
    <row r="260" ht="12" customHeight="1" x14ac:dyDescent="0.3"/>
    <row r="264" ht="12" customHeight="1" x14ac:dyDescent="0.3"/>
    <row r="267" ht="12" customHeight="1" x14ac:dyDescent="0.3"/>
    <row r="295" spans="3:33" ht="15" customHeight="1" x14ac:dyDescent="0.3">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307" ht="12" customHeight="1" x14ac:dyDescent="0.3"/>
    <row r="308" ht="12" customHeight="1" x14ac:dyDescent="0.3"/>
    <row r="309" ht="12" customHeight="1" x14ac:dyDescent="0.3"/>
    <row r="310" ht="12" customHeight="1" x14ac:dyDescent="0.3"/>
    <row r="311" ht="12" customHeight="1" x14ac:dyDescent="0.3"/>
    <row r="312" ht="12" customHeight="1" x14ac:dyDescent="0.3"/>
    <row r="313" ht="12" customHeight="1" x14ac:dyDescent="0.3"/>
    <row r="314" ht="12" customHeight="1" x14ac:dyDescent="0.3"/>
    <row r="315" ht="12" customHeight="1" x14ac:dyDescent="0.3"/>
    <row r="316" ht="12" customHeight="1" x14ac:dyDescent="0.3"/>
    <row r="317" ht="12" customHeight="1" x14ac:dyDescent="0.3"/>
    <row r="318" ht="12" customHeight="1" x14ac:dyDescent="0.3"/>
    <row r="319" ht="12" customHeight="1" x14ac:dyDescent="0.3"/>
    <row r="320" ht="12" customHeight="1" x14ac:dyDescent="0.3"/>
    <row r="321" ht="12" customHeight="1" x14ac:dyDescent="0.3"/>
    <row r="322" ht="12" customHeight="1" x14ac:dyDescent="0.3"/>
    <row r="323" ht="12" customHeight="1" x14ac:dyDescent="0.3"/>
    <row r="324" ht="12" customHeight="1" x14ac:dyDescent="0.3"/>
    <row r="325" ht="12" customHeight="1" x14ac:dyDescent="0.3"/>
    <row r="326" ht="12" customHeight="1" x14ac:dyDescent="0.3"/>
    <row r="327" ht="12" customHeight="1" x14ac:dyDescent="0.3"/>
    <row r="334" ht="12" customHeight="1" x14ac:dyDescent="0.3"/>
    <row r="336" ht="12" customHeight="1" x14ac:dyDescent="0.3"/>
    <row r="338" ht="12" customHeight="1" x14ac:dyDescent="0.3"/>
    <row r="343" ht="12" customHeight="1" x14ac:dyDescent="0.3"/>
    <row r="377" spans="3:33" ht="12" customHeight="1" x14ac:dyDescent="0.3"/>
    <row r="379" spans="3:33" ht="12" customHeight="1" x14ac:dyDescent="0.3"/>
    <row r="381" spans="3:33" ht="15" customHeight="1" x14ac:dyDescent="0.3">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4" spans="3:33" ht="12" customHeight="1" x14ac:dyDescent="0.3"/>
    <row r="385" ht="12" customHeight="1" x14ac:dyDescent="0.3"/>
    <row r="386" ht="12" customHeight="1" x14ac:dyDescent="0.3"/>
    <row r="387" ht="12" customHeight="1" x14ac:dyDescent="0.3"/>
    <row r="388" ht="12" customHeight="1" x14ac:dyDescent="0.3"/>
    <row r="389" ht="12" customHeight="1" x14ac:dyDescent="0.3"/>
    <row r="390" ht="12" customHeight="1" x14ac:dyDescent="0.3"/>
    <row r="391" ht="12" customHeight="1" x14ac:dyDescent="0.3"/>
    <row r="392" ht="12" customHeight="1" x14ac:dyDescent="0.3"/>
    <row r="393" ht="12" customHeight="1" x14ac:dyDescent="0.3"/>
    <row r="394" ht="12" customHeight="1" x14ac:dyDescent="0.3"/>
    <row r="395" ht="12" customHeight="1" x14ac:dyDescent="0.3"/>
    <row r="396" ht="12" customHeight="1" x14ac:dyDescent="0.3"/>
    <row r="397" ht="12" customHeight="1" x14ac:dyDescent="0.3"/>
    <row r="398" ht="12" customHeight="1" x14ac:dyDescent="0.3"/>
    <row r="399" ht="12" customHeight="1" x14ac:dyDescent="0.3"/>
    <row r="400" ht="12" customHeight="1" x14ac:dyDescent="0.3"/>
    <row r="401" ht="12" customHeight="1" x14ac:dyDescent="0.3"/>
    <row r="402" ht="12" customHeight="1" x14ac:dyDescent="0.3"/>
    <row r="403" ht="12" customHeight="1" x14ac:dyDescent="0.3"/>
    <row r="404" ht="12" customHeight="1" x14ac:dyDescent="0.3"/>
    <row r="405" ht="12" customHeight="1" x14ac:dyDescent="0.3"/>
    <row r="406" ht="12" customHeight="1" x14ac:dyDescent="0.3"/>
    <row r="407" ht="12" customHeight="1" x14ac:dyDescent="0.3"/>
    <row r="408" ht="12" customHeight="1" x14ac:dyDescent="0.3"/>
    <row r="409" ht="12" customHeight="1" x14ac:dyDescent="0.3"/>
    <row r="410" ht="12" customHeight="1" x14ac:dyDescent="0.3"/>
    <row r="411" ht="12" customHeight="1" x14ac:dyDescent="0.3"/>
    <row r="412" ht="12" customHeight="1" x14ac:dyDescent="0.3"/>
    <row r="413" ht="12" customHeight="1" x14ac:dyDescent="0.3"/>
    <row r="414" ht="12" customHeight="1" x14ac:dyDescent="0.3"/>
    <row r="415" ht="12" customHeight="1" x14ac:dyDescent="0.3"/>
    <row r="416" ht="12" customHeight="1" x14ac:dyDescent="0.3"/>
    <row r="417" ht="12" customHeight="1" x14ac:dyDescent="0.3"/>
    <row r="418" ht="12" customHeight="1" x14ac:dyDescent="0.3"/>
    <row r="419" ht="12" customHeight="1" x14ac:dyDescent="0.3"/>
    <row r="420" ht="12" customHeight="1" x14ac:dyDescent="0.3"/>
    <row r="421" ht="12" customHeight="1" x14ac:dyDescent="0.3"/>
    <row r="422" ht="12" customHeight="1" x14ac:dyDescent="0.3"/>
    <row r="423" ht="12" customHeight="1" x14ac:dyDescent="0.3"/>
    <row r="424" ht="12" customHeight="1" x14ac:dyDescent="0.3"/>
    <row r="425" ht="12" customHeight="1" x14ac:dyDescent="0.3"/>
    <row r="426" ht="12" customHeight="1" x14ac:dyDescent="0.3"/>
    <row r="427" ht="12" customHeight="1" x14ac:dyDescent="0.3"/>
    <row r="428" ht="12" customHeight="1" x14ac:dyDescent="0.3"/>
    <row r="429" ht="12" customHeight="1" x14ac:dyDescent="0.3"/>
    <row r="430" ht="12" customHeight="1" x14ac:dyDescent="0.3"/>
    <row r="431" ht="12" customHeight="1" x14ac:dyDescent="0.3"/>
    <row r="432" ht="12" customHeight="1" x14ac:dyDescent="0.3"/>
    <row r="433" ht="12" customHeight="1" x14ac:dyDescent="0.3"/>
    <row r="434" ht="12" customHeight="1" x14ac:dyDescent="0.3"/>
    <row r="435" ht="12" customHeight="1" x14ac:dyDescent="0.3"/>
    <row r="436" ht="12" customHeight="1" x14ac:dyDescent="0.3"/>
    <row r="437" ht="12" customHeight="1" x14ac:dyDescent="0.3"/>
    <row r="438" ht="12" customHeight="1" x14ac:dyDescent="0.3"/>
    <row r="439" ht="12" customHeight="1" x14ac:dyDescent="0.3"/>
    <row r="440" ht="12" customHeight="1" x14ac:dyDescent="0.3"/>
    <row r="441" ht="12" customHeight="1" x14ac:dyDescent="0.3"/>
    <row r="442" ht="12" customHeight="1" x14ac:dyDescent="0.3"/>
    <row r="443" ht="12" customHeight="1" x14ac:dyDescent="0.3"/>
    <row r="444" ht="12" customHeight="1" x14ac:dyDescent="0.3"/>
    <row r="445" ht="12" customHeight="1" x14ac:dyDescent="0.3"/>
    <row r="446" ht="12" customHeight="1" x14ac:dyDescent="0.3"/>
    <row r="447" ht="12" customHeight="1" x14ac:dyDescent="0.3"/>
    <row r="448" ht="12" customHeight="1" x14ac:dyDescent="0.3"/>
    <row r="449" ht="12" customHeight="1" x14ac:dyDescent="0.3"/>
    <row r="450" ht="12" customHeight="1" x14ac:dyDescent="0.3"/>
    <row r="451" ht="12" customHeight="1" x14ac:dyDescent="0.3"/>
    <row r="452" ht="12" customHeight="1" x14ac:dyDescent="0.3"/>
    <row r="453" ht="12" customHeight="1" x14ac:dyDescent="0.3"/>
    <row r="454" ht="12" customHeight="1" x14ac:dyDescent="0.3"/>
    <row r="455" ht="12" customHeight="1" x14ac:dyDescent="0.3"/>
    <row r="456" ht="12" customHeight="1" x14ac:dyDescent="0.3"/>
    <row r="457" ht="12" customHeight="1" x14ac:dyDescent="0.3"/>
    <row r="458" ht="12" customHeight="1" x14ac:dyDescent="0.3"/>
    <row r="459" ht="12" customHeight="1" x14ac:dyDescent="0.3"/>
    <row r="460" ht="12" customHeight="1" x14ac:dyDescent="0.3"/>
    <row r="461" ht="12" customHeight="1" x14ac:dyDescent="0.3"/>
    <row r="462" ht="12" customHeight="1" x14ac:dyDescent="0.3"/>
    <row r="463" ht="12" customHeight="1" x14ac:dyDescent="0.3"/>
    <row r="464"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86" ht="12" customHeight="1" x14ac:dyDescent="0.3"/>
    <row r="503" spans="3:34" ht="16.5" x14ac:dyDescent="0.3">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row>
    <row r="506" spans="3:34" ht="12" customHeight="1" x14ac:dyDescent="0.3"/>
    <row r="520" ht="12" customHeight="1" x14ac:dyDescent="0.3"/>
    <row r="523" ht="12" customHeight="1" x14ac:dyDescent="0.3"/>
    <row r="524" ht="12" customHeight="1" x14ac:dyDescent="0.3"/>
    <row r="538" ht="12" customHeight="1" x14ac:dyDescent="0.3"/>
    <row r="555" ht="12" customHeight="1" x14ac:dyDescent="0.3"/>
    <row r="563" spans="3:33" ht="15" customHeight="1" x14ac:dyDescent="0.3">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2" customHeight="1" x14ac:dyDescent="0.3"/>
    <row r="601" ht="12" customHeight="1" x14ac:dyDescent="0.3"/>
    <row r="602" ht="12" customHeight="1" x14ac:dyDescent="0.3"/>
    <row r="609" ht="12" customHeight="1" x14ac:dyDescent="0.3"/>
    <row r="621" ht="12" customHeight="1" x14ac:dyDescent="0.3"/>
    <row r="634" ht="12" customHeight="1" x14ac:dyDescent="0.3"/>
    <row r="637" ht="12" customHeight="1" x14ac:dyDescent="0.3"/>
    <row r="655" spans="3:33" ht="15" customHeight="1" x14ac:dyDescent="0.3">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68" ht="12" customHeight="1" x14ac:dyDescent="0.3"/>
    <row r="669" ht="12" customHeight="1" x14ac:dyDescent="0.3"/>
    <row r="670" ht="12" customHeight="1" x14ac:dyDescent="0.3"/>
    <row r="671" ht="12" customHeight="1" x14ac:dyDescent="0.3"/>
    <row r="672" ht="12" customHeight="1" x14ac:dyDescent="0.3"/>
    <row r="673" ht="12" customHeight="1" x14ac:dyDescent="0.3"/>
    <row r="674" ht="12" customHeight="1" x14ac:dyDescent="0.3"/>
    <row r="675" ht="12" customHeight="1" x14ac:dyDescent="0.3"/>
    <row r="676" ht="12" customHeight="1" x14ac:dyDescent="0.3"/>
    <row r="677" ht="12" customHeight="1" x14ac:dyDescent="0.3"/>
    <row r="684" ht="12" customHeight="1" x14ac:dyDescent="0.3"/>
    <row r="697" ht="12" customHeight="1" x14ac:dyDescent="0.3"/>
    <row r="711" ht="12" customHeight="1" x14ac:dyDescent="0.3"/>
    <row r="714" ht="12" customHeight="1" x14ac:dyDescent="0.3"/>
    <row r="731" spans="3:33" ht="15" customHeight="1" x14ac:dyDescent="0.3">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9" ht="12" customHeight="1" x14ac:dyDescent="0.3"/>
    <row r="780" ht="12" customHeight="1" x14ac:dyDescent="0.3"/>
    <row r="801" ht="12" customHeight="1" x14ac:dyDescent="0.3"/>
    <row r="804" ht="12" customHeight="1" x14ac:dyDescent="0.3"/>
    <row r="822" spans="3:33" ht="15" customHeight="1" x14ac:dyDescent="0.3">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9" ht="12" customHeight="1" x14ac:dyDescent="0.3"/>
    <row r="869" ht="12" customHeight="1" x14ac:dyDescent="0.3"/>
    <row r="880" ht="12" customHeight="1" x14ac:dyDescent="0.3"/>
    <row r="883" ht="12" customHeight="1" x14ac:dyDescent="0.3"/>
    <row r="900" spans="3:33" ht="15" customHeight="1" x14ac:dyDescent="0.3">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12" spans="3:33"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34" ht="12" customHeight="1" x14ac:dyDescent="0.3"/>
    <row r="949" ht="12" customHeight="1" x14ac:dyDescent="0.3"/>
    <row r="965" ht="12" customHeight="1" x14ac:dyDescent="0.3"/>
    <row r="969" ht="12" customHeight="1" x14ac:dyDescent="0.3"/>
    <row r="986" spans="3:33" ht="15" customHeight="1" x14ac:dyDescent="0.3">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1001" ht="12" customHeight="1" x14ac:dyDescent="0.3"/>
    <row r="1002" ht="12" customHeight="1" x14ac:dyDescent="0.3"/>
    <row r="1003" ht="12" customHeight="1" x14ac:dyDescent="0.3"/>
    <row r="1004" ht="12" customHeight="1" x14ac:dyDescent="0.3"/>
    <row r="1005" ht="12" customHeight="1" x14ac:dyDescent="0.3"/>
    <row r="1006" ht="12" customHeight="1" x14ac:dyDescent="0.3"/>
    <row r="1007" ht="12" customHeight="1" x14ac:dyDescent="0.3"/>
    <row r="1008" ht="12" customHeight="1" x14ac:dyDescent="0.3"/>
    <row r="1009" ht="12" customHeight="1" x14ac:dyDescent="0.3"/>
    <row r="1010" ht="12" customHeight="1" x14ac:dyDescent="0.3"/>
    <row r="1011" ht="12" customHeight="1" x14ac:dyDescent="0.3"/>
    <row r="1012" ht="12" customHeight="1" x14ac:dyDescent="0.3"/>
    <row r="1013" ht="12" customHeight="1" x14ac:dyDescent="0.3"/>
    <row r="1014" ht="12" customHeight="1" x14ac:dyDescent="0.3"/>
    <row r="1015" ht="12" customHeight="1" x14ac:dyDescent="0.3"/>
    <row r="1016" ht="12" customHeight="1" x14ac:dyDescent="0.3"/>
    <row r="1017" ht="12" customHeight="1" x14ac:dyDescent="0.3"/>
    <row r="1018" ht="12" customHeight="1" x14ac:dyDescent="0.3"/>
    <row r="1019" ht="12" customHeight="1" x14ac:dyDescent="0.3"/>
    <row r="1020" ht="12" customHeight="1" x14ac:dyDescent="0.3"/>
    <row r="1021" ht="12" customHeight="1" x14ac:dyDescent="0.3"/>
    <row r="1022" ht="12" customHeight="1" x14ac:dyDescent="0.3"/>
    <row r="1023" ht="12" customHeight="1" x14ac:dyDescent="0.3"/>
    <row r="1024" ht="12" customHeight="1" x14ac:dyDescent="0.3"/>
    <row r="1025" ht="12" customHeight="1" x14ac:dyDescent="0.3"/>
    <row r="1026" ht="12" customHeight="1" x14ac:dyDescent="0.3"/>
    <row r="1027" ht="12" customHeight="1" x14ac:dyDescent="0.3"/>
    <row r="1034" ht="12" customHeight="1" x14ac:dyDescent="0.3"/>
    <row r="1049" ht="12" customHeight="1" x14ac:dyDescent="0.3"/>
    <row r="1065" ht="12" customHeight="1" x14ac:dyDescent="0.3"/>
    <row r="1068" ht="12" customHeight="1" x14ac:dyDescent="0.3"/>
    <row r="1085" spans="3:33" ht="15" customHeight="1" x14ac:dyDescent="0.3">
      <c r="C1085" s="161"/>
      <c r="D1085" s="161"/>
      <c r="E1085" s="161"/>
      <c r="F1085" s="161"/>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1"/>
      <c r="AB1085" s="161"/>
      <c r="AC1085" s="161"/>
      <c r="AD1085" s="161"/>
      <c r="AE1085" s="161"/>
      <c r="AF1085" s="161"/>
      <c r="AG1085" s="161"/>
    </row>
    <row r="1098" ht="12" customHeight="1" x14ac:dyDescent="0.3"/>
    <row r="1099" ht="12" customHeight="1" x14ac:dyDescent="0.3"/>
    <row r="1100" ht="12" customHeight="1" x14ac:dyDescent="0.3"/>
    <row r="1101" ht="12" customHeight="1" x14ac:dyDescent="0.3"/>
    <row r="1102" ht="12" customHeight="1" x14ac:dyDescent="0.3"/>
    <row r="1103" ht="12" customHeight="1" x14ac:dyDescent="0.3"/>
    <row r="1104" ht="12" customHeight="1" x14ac:dyDescent="0.3"/>
    <row r="1105" ht="12" customHeight="1" x14ac:dyDescent="0.3"/>
    <row r="1106" ht="12" customHeight="1" x14ac:dyDescent="0.3"/>
    <row r="1107" ht="12" customHeight="1" x14ac:dyDescent="0.3"/>
    <row r="1108" ht="12" customHeight="1" x14ac:dyDescent="0.3"/>
    <row r="1109" ht="12" customHeight="1" x14ac:dyDescent="0.3"/>
    <row r="1110" ht="12" customHeight="1" x14ac:dyDescent="0.3"/>
    <row r="1111" ht="12" customHeight="1" x14ac:dyDescent="0.3"/>
    <row r="1112" ht="12" customHeight="1" x14ac:dyDescent="0.3"/>
    <row r="1113" ht="12" customHeight="1" x14ac:dyDescent="0.3"/>
    <row r="1114" ht="12" customHeight="1" x14ac:dyDescent="0.3"/>
    <row r="1115" ht="12" customHeight="1" x14ac:dyDescent="0.3"/>
    <row r="1116" ht="12" customHeight="1" x14ac:dyDescent="0.3"/>
    <row r="1117" ht="12" customHeight="1" x14ac:dyDescent="0.3"/>
    <row r="1118" ht="12" customHeight="1" x14ac:dyDescent="0.3"/>
    <row r="1119" ht="12" customHeight="1" x14ac:dyDescent="0.3"/>
    <row r="1120" ht="12" customHeight="1" x14ac:dyDescent="0.3"/>
    <row r="1121" ht="12" customHeight="1" x14ac:dyDescent="0.3"/>
    <row r="1122" ht="12" customHeight="1" x14ac:dyDescent="0.3"/>
    <row r="1123" ht="12" customHeight="1" x14ac:dyDescent="0.3"/>
    <row r="1124" ht="12" customHeight="1" x14ac:dyDescent="0.3"/>
    <row r="1125" ht="12" customHeight="1" x14ac:dyDescent="0.3"/>
    <row r="1126" ht="12" customHeight="1" x14ac:dyDescent="0.3"/>
    <row r="1127" ht="12" customHeight="1" x14ac:dyDescent="0.3"/>
    <row r="1134" ht="12" customHeight="1" x14ac:dyDescent="0.3"/>
    <row r="1147" ht="12" customHeight="1" x14ac:dyDescent="0.3"/>
    <row r="1161" ht="12" customHeight="1" x14ac:dyDescent="0.3"/>
    <row r="1164" ht="12" customHeight="1" x14ac:dyDescent="0.3"/>
    <row r="1165" ht="12" customHeight="1" x14ac:dyDescent="0.3"/>
    <row r="1182" spans="3:33" ht="15" customHeight="1" x14ac:dyDescent="0.3">
      <c r="C1182" s="161"/>
      <c r="D1182" s="161"/>
      <c r="E1182" s="161"/>
      <c r="F1182" s="161"/>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1"/>
      <c r="AB1182" s="161"/>
      <c r="AC1182" s="161"/>
      <c r="AD1182" s="161"/>
      <c r="AE1182" s="161"/>
      <c r="AF1182" s="161"/>
      <c r="AG1182" s="161"/>
    </row>
    <row r="1196" ht="12" customHeight="1" x14ac:dyDescent="0.3"/>
    <row r="1197" ht="12" customHeight="1" x14ac:dyDescent="0.3"/>
    <row r="1198" ht="12" customHeight="1" x14ac:dyDescent="0.3"/>
    <row r="1199" ht="12" customHeight="1" x14ac:dyDescent="0.3"/>
    <row r="1200" ht="12" customHeight="1" x14ac:dyDescent="0.3"/>
    <row r="1201" ht="12" customHeight="1" x14ac:dyDescent="0.3"/>
    <row r="1202" ht="12" customHeight="1" x14ac:dyDescent="0.3"/>
    <row r="1221" ht="12" customHeight="1" x14ac:dyDescent="0.3"/>
    <row r="1233" ht="12" customHeight="1" x14ac:dyDescent="0.3"/>
    <row r="1245" ht="12" customHeight="1" x14ac:dyDescent="0.3"/>
    <row r="1257" ht="12" customHeight="1" x14ac:dyDescent="0.3"/>
    <row r="1258" ht="12" customHeight="1" x14ac:dyDescent="0.3"/>
    <row r="1270" ht="12" customHeight="1" x14ac:dyDescent="0.3"/>
    <row r="1277" ht="12" customHeight="1" x14ac:dyDescent="0.3"/>
    <row r="1285" ht="12" customHeight="1" x14ac:dyDescent="0.3"/>
    <row r="1293" ht="12" customHeight="1" x14ac:dyDescent="0.3"/>
    <row r="1294" ht="12" customHeight="1" x14ac:dyDescent="0.3"/>
    <row r="1298" ht="12" customHeight="1" x14ac:dyDescent="0.3"/>
    <row r="1316" spans="3:33" ht="15" customHeight="1" x14ac:dyDescent="0.3">
      <c r="C1316" s="161"/>
      <c r="D1316" s="161"/>
      <c r="E1316" s="161"/>
      <c r="F1316" s="161"/>
      <c r="G1316" s="161"/>
      <c r="H1316" s="161"/>
      <c r="I1316" s="161"/>
      <c r="J1316" s="161"/>
      <c r="K1316" s="161"/>
      <c r="L1316" s="161"/>
      <c r="M1316" s="161"/>
      <c r="N1316" s="161"/>
      <c r="O1316" s="161"/>
      <c r="P1316" s="161"/>
      <c r="Q1316" s="161"/>
      <c r="R1316" s="161"/>
      <c r="S1316" s="161"/>
      <c r="T1316" s="161"/>
      <c r="U1316" s="161"/>
      <c r="V1316" s="161"/>
      <c r="W1316" s="161"/>
      <c r="X1316" s="161"/>
      <c r="Y1316" s="161"/>
      <c r="Z1316" s="161"/>
      <c r="AA1316" s="161"/>
      <c r="AB1316" s="161"/>
      <c r="AC1316" s="161"/>
      <c r="AD1316" s="161"/>
      <c r="AE1316" s="161"/>
      <c r="AF1316" s="161"/>
      <c r="AG1316" s="161"/>
    </row>
    <row r="1328" spans="3:33" ht="12" customHeight="1" x14ac:dyDescent="0.3"/>
    <row r="1329" ht="12" customHeight="1" x14ac:dyDescent="0.3"/>
    <row r="1330" ht="12" customHeight="1" x14ac:dyDescent="0.3"/>
    <row r="1331" ht="12" customHeight="1" x14ac:dyDescent="0.3"/>
    <row r="1332" ht="12" customHeight="1" x14ac:dyDescent="0.3"/>
    <row r="1333" ht="12" customHeight="1" x14ac:dyDescent="0.3"/>
    <row r="1334" ht="12" customHeight="1" x14ac:dyDescent="0.3"/>
    <row r="1335" ht="12" customHeight="1" x14ac:dyDescent="0.3"/>
    <row r="1336" ht="12" customHeight="1" x14ac:dyDescent="0.3"/>
    <row r="1337" ht="12" customHeight="1" x14ac:dyDescent="0.3"/>
    <row r="1338" ht="12" customHeight="1" x14ac:dyDescent="0.3"/>
    <row r="1339" ht="12" customHeight="1" x14ac:dyDescent="0.3"/>
    <row r="1340" ht="12" customHeight="1" x14ac:dyDescent="0.3"/>
    <row r="1341" ht="12" customHeight="1" x14ac:dyDescent="0.3"/>
    <row r="1342" ht="12" customHeight="1" x14ac:dyDescent="0.3"/>
    <row r="1343" ht="12" customHeight="1" x14ac:dyDescent="0.3"/>
    <row r="1344" ht="12" customHeight="1" x14ac:dyDescent="0.3"/>
    <row r="1345" ht="12" customHeight="1" x14ac:dyDescent="0.3"/>
    <row r="1346" ht="12" customHeight="1" x14ac:dyDescent="0.3"/>
    <row r="1347" ht="12" customHeight="1" x14ac:dyDescent="0.3"/>
    <row r="1348" ht="12" customHeight="1" x14ac:dyDescent="0.3"/>
    <row r="1349" ht="12" customHeight="1" x14ac:dyDescent="0.3"/>
    <row r="1350" ht="12" customHeight="1" x14ac:dyDescent="0.3"/>
    <row r="1351" ht="12" customHeight="1" x14ac:dyDescent="0.3"/>
    <row r="1352" ht="12" customHeight="1" x14ac:dyDescent="0.3"/>
    <row r="1370" ht="12" customHeight="1" x14ac:dyDescent="0.3"/>
    <row r="1382" ht="12" customHeight="1" x14ac:dyDescent="0.3"/>
    <row r="1396" ht="12" customHeight="1" x14ac:dyDescent="0.3"/>
    <row r="1397" ht="12" customHeight="1" x14ac:dyDescent="0.3"/>
    <row r="1402" ht="12" customHeight="1" x14ac:dyDescent="0.3"/>
    <row r="1408" ht="12" customHeight="1" x14ac:dyDescent="0.3"/>
    <row r="1414" ht="12" customHeight="1" x14ac:dyDescent="0.3"/>
    <row r="1415" ht="12" customHeight="1" x14ac:dyDescent="0.3"/>
    <row r="1417" ht="12" customHeight="1" x14ac:dyDescent="0.3"/>
    <row r="1434" spans="3:33" ht="15" customHeight="1" x14ac:dyDescent="0.3">
      <c r="C1434" s="161"/>
      <c r="D1434" s="161"/>
      <c r="E1434" s="161"/>
      <c r="F1434" s="161"/>
      <c r="G1434" s="161"/>
      <c r="H1434" s="161"/>
      <c r="I1434" s="161"/>
      <c r="J1434" s="161"/>
      <c r="K1434" s="161"/>
      <c r="L1434" s="161"/>
      <c r="M1434" s="161"/>
      <c r="N1434" s="161"/>
      <c r="O1434" s="161"/>
      <c r="P1434" s="161"/>
      <c r="Q1434" s="161"/>
      <c r="R1434" s="161"/>
      <c r="S1434" s="161"/>
      <c r="T1434" s="161"/>
      <c r="U1434" s="161"/>
      <c r="V1434" s="161"/>
      <c r="W1434" s="161"/>
      <c r="X1434" s="161"/>
      <c r="Y1434" s="161"/>
      <c r="Z1434" s="161"/>
      <c r="AA1434" s="161"/>
      <c r="AB1434" s="161"/>
      <c r="AC1434" s="161"/>
      <c r="AD1434" s="161"/>
      <c r="AE1434" s="161"/>
      <c r="AF1434" s="161"/>
      <c r="AG1434" s="161"/>
    </row>
    <row r="1447" ht="12" customHeight="1" x14ac:dyDescent="0.3"/>
    <row r="1448" ht="12" customHeight="1" x14ac:dyDescent="0.3"/>
    <row r="1449" ht="12" customHeight="1" x14ac:dyDescent="0.3"/>
    <row r="1450" ht="12" customHeight="1" x14ac:dyDescent="0.3"/>
    <row r="1451" ht="12" customHeight="1" x14ac:dyDescent="0.3"/>
    <row r="1452" ht="12" customHeight="1" x14ac:dyDescent="0.3"/>
    <row r="1471" ht="12" customHeight="1" x14ac:dyDescent="0.3"/>
    <row r="1482" ht="12" customHeight="1" x14ac:dyDescent="0.3"/>
    <row r="1496" ht="12" customHeight="1" x14ac:dyDescent="0.3"/>
    <row r="1497" ht="12" customHeight="1" x14ac:dyDescent="0.3"/>
    <row r="1498" ht="12" customHeight="1" x14ac:dyDescent="0.3"/>
    <row r="1499" ht="12" customHeight="1" x14ac:dyDescent="0.3"/>
    <row r="1504" ht="12" customHeight="1" x14ac:dyDescent="0.3"/>
    <row r="1510" ht="12" customHeight="1" x14ac:dyDescent="0.3"/>
    <row r="1516" ht="12" customHeight="1" x14ac:dyDescent="0.3"/>
    <row r="1517" ht="12" customHeight="1" x14ac:dyDescent="0.3"/>
    <row r="1518" ht="12" customHeight="1" x14ac:dyDescent="0.3"/>
    <row r="1520" ht="12" customHeight="1" x14ac:dyDescent="0.3"/>
    <row r="1538" spans="3:33" ht="15" customHeight="1" x14ac:dyDescent="0.3">
      <c r="C1538" s="161"/>
      <c r="D1538" s="161"/>
      <c r="E1538" s="161"/>
      <c r="F1538" s="161"/>
      <c r="G1538" s="161"/>
      <c r="H1538" s="161"/>
      <c r="I1538" s="161"/>
      <c r="J1538" s="161"/>
      <c r="K1538" s="161"/>
      <c r="L1538" s="161"/>
      <c r="M1538" s="161"/>
      <c r="N1538" s="161"/>
      <c r="O1538" s="161"/>
      <c r="P1538" s="161"/>
      <c r="Q1538" s="161"/>
      <c r="R1538" s="161"/>
      <c r="S1538" s="161"/>
      <c r="T1538" s="161"/>
      <c r="U1538" s="161"/>
      <c r="V1538" s="161"/>
      <c r="W1538" s="161"/>
      <c r="X1538" s="161"/>
      <c r="Y1538" s="161"/>
      <c r="Z1538" s="161"/>
      <c r="AA1538" s="161"/>
      <c r="AB1538" s="161"/>
      <c r="AC1538" s="161"/>
      <c r="AD1538" s="161"/>
      <c r="AE1538" s="161"/>
      <c r="AF1538" s="161"/>
      <c r="AG1538" s="161"/>
    </row>
    <row r="1551" spans="3:33" ht="12" customHeight="1" x14ac:dyDescent="0.3"/>
    <row r="1552" spans="3:33" ht="12" customHeight="1" x14ac:dyDescent="0.3"/>
    <row r="1553" ht="12" customHeight="1" x14ac:dyDescent="0.3"/>
    <row r="1554" ht="12" customHeight="1" x14ac:dyDescent="0.3"/>
    <row r="1555" ht="12" customHeight="1" x14ac:dyDescent="0.3"/>
    <row r="1556" ht="12" customHeight="1" x14ac:dyDescent="0.3"/>
    <row r="1557" ht="12" customHeight="1" x14ac:dyDescent="0.3"/>
    <row r="1558" ht="12" customHeight="1" x14ac:dyDescent="0.3"/>
    <row r="1559" ht="12" customHeight="1" x14ac:dyDescent="0.3"/>
    <row r="1560" ht="12" customHeight="1" x14ac:dyDescent="0.3"/>
    <row r="1561" ht="12" customHeight="1" x14ac:dyDescent="0.3"/>
    <row r="1562" ht="12" customHeight="1" x14ac:dyDescent="0.3"/>
    <row r="1563" ht="12" customHeight="1" x14ac:dyDescent="0.3"/>
    <row r="1564" ht="12" customHeight="1" x14ac:dyDescent="0.3"/>
    <row r="1565" ht="12" customHeight="1" x14ac:dyDescent="0.3"/>
    <row r="1566" ht="12" customHeight="1" x14ac:dyDescent="0.3"/>
    <row r="1567" ht="12" customHeight="1" x14ac:dyDescent="0.3"/>
    <row r="1568" ht="12" customHeight="1" x14ac:dyDescent="0.3"/>
    <row r="1569" ht="12" customHeight="1" x14ac:dyDescent="0.3"/>
    <row r="1570" ht="12" customHeight="1" x14ac:dyDescent="0.3"/>
    <row r="1571" ht="12" customHeight="1" x14ac:dyDescent="0.3"/>
    <row r="1572" ht="12" customHeight="1" x14ac:dyDescent="0.3"/>
    <row r="1573" ht="12" customHeight="1" x14ac:dyDescent="0.3"/>
    <row r="1574" ht="12" customHeight="1" x14ac:dyDescent="0.3"/>
    <row r="1575" ht="12" customHeight="1" x14ac:dyDescent="0.3"/>
    <row r="1576" ht="12" customHeight="1" x14ac:dyDescent="0.3"/>
    <row r="1577" ht="12" customHeight="1" x14ac:dyDescent="0.3"/>
    <row r="1584" ht="12" customHeight="1" x14ac:dyDescent="0.3"/>
    <row r="1586" ht="12" customHeight="1" x14ac:dyDescent="0.3"/>
    <row r="1588" ht="12" customHeight="1" x14ac:dyDescent="0.3"/>
    <row r="1593" ht="12" customHeight="1" x14ac:dyDescent="0.3"/>
    <row r="1627" spans="3:33" ht="12" customHeight="1" x14ac:dyDescent="0.3"/>
    <row r="1629" spans="3:33" ht="12" customHeight="1" x14ac:dyDescent="0.3"/>
    <row r="1631" spans="3:33" ht="15" customHeight="1" x14ac:dyDescent="0.3">
      <c r="C1631" s="161"/>
      <c r="D1631" s="161"/>
      <c r="E1631" s="161"/>
      <c r="F1631" s="161"/>
      <c r="G1631" s="161"/>
      <c r="H1631" s="161"/>
      <c r="I1631" s="161"/>
      <c r="J1631" s="161"/>
      <c r="K1631" s="161"/>
      <c r="L1631" s="161"/>
      <c r="M1631" s="161"/>
      <c r="N1631" s="161"/>
      <c r="O1631" s="161"/>
      <c r="P1631" s="161"/>
      <c r="Q1631" s="161"/>
      <c r="R1631" s="161"/>
      <c r="S1631" s="161"/>
      <c r="T1631" s="161"/>
      <c r="U1631" s="161"/>
      <c r="V1631" s="161"/>
      <c r="W1631" s="161"/>
      <c r="X1631" s="161"/>
      <c r="Y1631" s="161"/>
      <c r="Z1631" s="161"/>
      <c r="AA1631" s="161"/>
      <c r="AB1631" s="161"/>
      <c r="AC1631" s="161"/>
      <c r="AD1631" s="161"/>
      <c r="AE1631" s="161"/>
      <c r="AF1631" s="161"/>
      <c r="AG1631" s="161"/>
    </row>
    <row r="1634" ht="12" customHeight="1" x14ac:dyDescent="0.3"/>
    <row r="1635" ht="12" customHeight="1" x14ac:dyDescent="0.3"/>
    <row r="1636" ht="12" customHeight="1" x14ac:dyDescent="0.3"/>
    <row r="1637" ht="12" customHeight="1" x14ac:dyDescent="0.3"/>
    <row r="1638" ht="12" customHeight="1" x14ac:dyDescent="0.3"/>
    <row r="1639" ht="12" customHeight="1" x14ac:dyDescent="0.3"/>
    <row r="1640" ht="12" customHeight="1" x14ac:dyDescent="0.3"/>
    <row r="1641" ht="12" customHeight="1" x14ac:dyDescent="0.3"/>
    <row r="1642" ht="12" customHeight="1" x14ac:dyDescent="0.3"/>
    <row r="1643" ht="12" customHeight="1" x14ac:dyDescent="0.3"/>
    <row r="1644" ht="12" customHeight="1" x14ac:dyDescent="0.3"/>
    <row r="1645" ht="12" customHeight="1" x14ac:dyDescent="0.3"/>
    <row r="1646" ht="12" customHeight="1" x14ac:dyDescent="0.3"/>
    <row r="1647" ht="12" customHeight="1" x14ac:dyDescent="0.3"/>
    <row r="1648" ht="12" customHeight="1" x14ac:dyDescent="0.3"/>
    <row r="1649" ht="12" customHeight="1" x14ac:dyDescent="0.3"/>
    <row r="1650" ht="12" customHeight="1" x14ac:dyDescent="0.3"/>
    <row r="1651" ht="12" customHeight="1" x14ac:dyDescent="0.3"/>
    <row r="1652" ht="12" customHeight="1" x14ac:dyDescent="0.3"/>
    <row r="1653" ht="12" customHeight="1" x14ac:dyDescent="0.3"/>
    <row r="1654" ht="12" customHeight="1" x14ac:dyDescent="0.3"/>
    <row r="1655" ht="12" customHeight="1" x14ac:dyDescent="0.3"/>
    <row r="1656" ht="12" customHeight="1" x14ac:dyDescent="0.3"/>
    <row r="1657" ht="12" customHeight="1" x14ac:dyDescent="0.3"/>
    <row r="1658" ht="12" customHeight="1" x14ac:dyDescent="0.3"/>
    <row r="1659" ht="12" customHeight="1" x14ac:dyDescent="0.3"/>
    <row r="1660" ht="12" customHeight="1" x14ac:dyDescent="0.3"/>
    <row r="1661" ht="12" customHeight="1" x14ac:dyDescent="0.3"/>
    <row r="1662" ht="12" customHeight="1" x14ac:dyDescent="0.3"/>
    <row r="1663" ht="12" customHeight="1" x14ac:dyDescent="0.3"/>
    <row r="1664" ht="12" customHeight="1" x14ac:dyDescent="0.3"/>
    <row r="1665" ht="12" customHeight="1" x14ac:dyDescent="0.3"/>
    <row r="1666" ht="12" customHeight="1" x14ac:dyDescent="0.3"/>
    <row r="1667" ht="12" customHeight="1" x14ac:dyDescent="0.3"/>
    <row r="1668" ht="12" customHeight="1" x14ac:dyDescent="0.3"/>
    <row r="1669" ht="12" customHeight="1" x14ac:dyDescent="0.3"/>
    <row r="1670" ht="12" customHeight="1" x14ac:dyDescent="0.3"/>
    <row r="1671" ht="12" customHeight="1" x14ac:dyDescent="0.3"/>
    <row r="1672" ht="12" customHeight="1" x14ac:dyDescent="0.3"/>
    <row r="1673" ht="12" customHeight="1" x14ac:dyDescent="0.3"/>
    <row r="1674" ht="12" customHeight="1" x14ac:dyDescent="0.3"/>
    <row r="1675" ht="12" customHeight="1" x14ac:dyDescent="0.3"/>
    <row r="1676" ht="12" customHeight="1" x14ac:dyDescent="0.3"/>
    <row r="1677" ht="12" customHeight="1" x14ac:dyDescent="0.3"/>
    <row r="1678" ht="12" customHeight="1" x14ac:dyDescent="0.3"/>
    <row r="1679" ht="12" customHeight="1" x14ac:dyDescent="0.3"/>
    <row r="1680" ht="12" customHeight="1" x14ac:dyDescent="0.3"/>
    <row r="1681" ht="12" customHeight="1" x14ac:dyDescent="0.3"/>
    <row r="1682" ht="12" customHeight="1" x14ac:dyDescent="0.3"/>
    <row r="1683" ht="12" customHeight="1" x14ac:dyDescent="0.3"/>
    <row r="1684" ht="12" customHeight="1" x14ac:dyDescent="0.3"/>
    <row r="1685" ht="12" customHeight="1" x14ac:dyDescent="0.3"/>
    <row r="1686" ht="12" customHeight="1" x14ac:dyDescent="0.3"/>
    <row r="1687" ht="12" customHeight="1" x14ac:dyDescent="0.3"/>
    <row r="1688" ht="12" customHeight="1" x14ac:dyDescent="0.3"/>
    <row r="1689" ht="12" customHeight="1" x14ac:dyDescent="0.3"/>
    <row r="1690" ht="12" customHeight="1" x14ac:dyDescent="0.3"/>
    <row r="1691" ht="12" customHeight="1" x14ac:dyDescent="0.3"/>
    <row r="1692" ht="12" customHeight="1" x14ac:dyDescent="0.3"/>
    <row r="1693" ht="12" customHeight="1" x14ac:dyDescent="0.3"/>
    <row r="1694" ht="12" customHeight="1" x14ac:dyDescent="0.3"/>
    <row r="1695" ht="12" customHeight="1" x14ac:dyDescent="0.3"/>
    <row r="1696" ht="12" customHeight="1" x14ac:dyDescent="0.3"/>
    <row r="1697" ht="12" customHeight="1" x14ac:dyDescent="0.3"/>
    <row r="1698" ht="12" customHeight="1" x14ac:dyDescent="0.3"/>
    <row r="1699" ht="12" customHeight="1" x14ac:dyDescent="0.3"/>
    <row r="1700" ht="12" customHeight="1" x14ac:dyDescent="0.3"/>
    <row r="1701" ht="12" customHeight="1" x14ac:dyDescent="0.3"/>
    <row r="1702" ht="12" customHeight="1" x14ac:dyDescent="0.3"/>
    <row r="1703" ht="12" customHeight="1" x14ac:dyDescent="0.3"/>
    <row r="1704" ht="12" customHeight="1" x14ac:dyDescent="0.3"/>
    <row r="1705" ht="12" customHeight="1" x14ac:dyDescent="0.3"/>
    <row r="1706" ht="12" customHeight="1" x14ac:dyDescent="0.3"/>
    <row r="1707" ht="12" customHeight="1" x14ac:dyDescent="0.3"/>
    <row r="1708" ht="12" customHeight="1" x14ac:dyDescent="0.3"/>
    <row r="1709" ht="12" customHeight="1" x14ac:dyDescent="0.3"/>
    <row r="1710" ht="12" customHeight="1" x14ac:dyDescent="0.3"/>
    <row r="1711" ht="12" customHeight="1" x14ac:dyDescent="0.3"/>
    <row r="1712" ht="12" customHeight="1" x14ac:dyDescent="0.3"/>
    <row r="1713" ht="12" customHeight="1" x14ac:dyDescent="0.3"/>
    <row r="1714" ht="12" customHeight="1" x14ac:dyDescent="0.3"/>
    <row r="1715" ht="12" customHeight="1" x14ac:dyDescent="0.3"/>
    <row r="1716" ht="12" customHeight="1" x14ac:dyDescent="0.3"/>
    <row r="1717" ht="12" customHeight="1" x14ac:dyDescent="0.3"/>
    <row r="1718" ht="12" customHeight="1" x14ac:dyDescent="0.3"/>
    <row r="1719" ht="12" customHeight="1" x14ac:dyDescent="0.3"/>
    <row r="1720" ht="12" customHeight="1" x14ac:dyDescent="0.3"/>
    <row r="1721" ht="12" customHeight="1" x14ac:dyDescent="0.3"/>
    <row r="1722" ht="12" customHeight="1" x14ac:dyDescent="0.3"/>
    <row r="1723" ht="12" customHeight="1" x14ac:dyDescent="0.3"/>
    <row r="1724" ht="12" customHeight="1" x14ac:dyDescent="0.3"/>
    <row r="1725" ht="12" customHeight="1" x14ac:dyDescent="0.3"/>
    <row r="1726" ht="12" customHeight="1" x14ac:dyDescent="0.3"/>
    <row r="1727" ht="12" customHeight="1" x14ac:dyDescent="0.3"/>
    <row r="1734" ht="12" customHeight="1" x14ac:dyDescent="0.3"/>
    <row r="1736" ht="12" customHeight="1" x14ac:dyDescent="0.3"/>
    <row r="1738" ht="12" customHeight="1" x14ac:dyDescent="0.3"/>
    <row r="1743" ht="12" customHeight="1" x14ac:dyDescent="0.3"/>
    <row r="1777" spans="3:33" ht="12" customHeight="1" x14ac:dyDescent="0.3"/>
    <row r="1779" spans="3:33" ht="12" customHeight="1" x14ac:dyDescent="0.3"/>
    <row r="1781" spans="3:33" ht="15" customHeight="1" x14ac:dyDescent="0.3">
      <c r="C1781" s="161"/>
      <c r="D1781" s="161"/>
      <c r="E1781" s="161"/>
      <c r="F1781" s="161"/>
      <c r="G1781" s="161"/>
      <c r="H1781" s="161"/>
      <c r="I1781" s="161"/>
      <c r="J1781" s="161"/>
      <c r="K1781" s="161"/>
      <c r="L1781" s="161"/>
      <c r="M1781" s="161"/>
      <c r="N1781" s="161"/>
      <c r="O1781" s="161"/>
      <c r="P1781" s="161"/>
      <c r="Q1781" s="161"/>
      <c r="R1781" s="161"/>
      <c r="S1781" s="161"/>
      <c r="T1781" s="161"/>
      <c r="U1781" s="161"/>
      <c r="V1781" s="161"/>
      <c r="W1781" s="161"/>
      <c r="X1781" s="161"/>
      <c r="Y1781" s="161"/>
      <c r="Z1781" s="161"/>
      <c r="AA1781" s="161"/>
      <c r="AB1781" s="161"/>
      <c r="AC1781" s="161"/>
      <c r="AD1781" s="161"/>
      <c r="AE1781" s="161"/>
      <c r="AF1781" s="161"/>
      <c r="AG1781" s="161"/>
    </row>
    <row r="1784" spans="3:33" ht="12" customHeight="1" x14ac:dyDescent="0.3"/>
    <row r="1785" spans="3:33" ht="12" customHeight="1" x14ac:dyDescent="0.3"/>
    <row r="1786" spans="3:33" ht="12" customHeight="1" x14ac:dyDescent="0.3"/>
    <row r="1787" spans="3:33" ht="12" customHeight="1" x14ac:dyDescent="0.3"/>
    <row r="1788" spans="3:33" ht="12" customHeight="1" x14ac:dyDescent="0.3"/>
    <row r="1789" spans="3:33" ht="12" customHeight="1" x14ac:dyDescent="0.3"/>
    <row r="1790" spans="3:33" ht="12" customHeight="1" x14ac:dyDescent="0.3"/>
    <row r="1791" spans="3:33" ht="12" customHeight="1" x14ac:dyDescent="0.3"/>
    <row r="1792" spans="3:33" ht="12" customHeight="1" x14ac:dyDescent="0.3"/>
    <row r="1793" ht="12" customHeight="1" x14ac:dyDescent="0.3"/>
    <row r="1794" ht="12" customHeight="1" x14ac:dyDescent="0.3"/>
    <row r="1795" ht="12" customHeight="1" x14ac:dyDescent="0.3"/>
    <row r="1796" ht="12" customHeight="1" x14ac:dyDescent="0.3"/>
    <row r="1797" ht="12" customHeight="1" x14ac:dyDescent="0.3"/>
    <row r="1798" ht="12" customHeight="1" x14ac:dyDescent="0.3"/>
    <row r="1799" ht="12" customHeight="1" x14ac:dyDescent="0.3"/>
    <row r="1800" ht="12" customHeight="1" x14ac:dyDescent="0.3"/>
    <row r="1801" ht="12" customHeight="1" x14ac:dyDescent="0.3"/>
    <row r="1802" ht="12" customHeight="1" x14ac:dyDescent="0.3"/>
    <row r="1803" ht="12" customHeight="1" x14ac:dyDescent="0.3"/>
    <row r="1804" ht="12" customHeight="1" x14ac:dyDescent="0.3"/>
    <row r="1805" ht="12" customHeight="1" x14ac:dyDescent="0.3"/>
    <row r="1806" ht="12" customHeight="1" x14ac:dyDescent="0.3"/>
    <row r="1807" ht="12" customHeight="1" x14ac:dyDescent="0.3"/>
    <row r="1808" ht="12" customHeight="1" x14ac:dyDescent="0.3"/>
    <row r="1809" ht="12" customHeight="1" x14ac:dyDescent="0.3"/>
    <row r="1810" ht="12" customHeight="1" x14ac:dyDescent="0.3"/>
    <row r="1811" ht="12" customHeight="1" x14ac:dyDescent="0.3"/>
    <row r="1812" ht="12" customHeight="1" x14ac:dyDescent="0.3"/>
    <row r="1813" ht="12" customHeight="1" x14ac:dyDescent="0.3"/>
    <row r="1814" ht="12" customHeight="1" x14ac:dyDescent="0.3"/>
    <row r="1815" ht="12" customHeight="1" x14ac:dyDescent="0.3"/>
    <row r="1816" ht="12" customHeight="1" x14ac:dyDescent="0.3"/>
    <row r="1817" ht="12" customHeight="1" x14ac:dyDescent="0.3"/>
    <row r="1818" ht="12" customHeight="1" x14ac:dyDescent="0.3"/>
    <row r="1819" ht="12" customHeight="1" x14ac:dyDescent="0.3"/>
    <row r="1820" ht="12" customHeight="1" x14ac:dyDescent="0.3"/>
    <row r="1821" ht="12" customHeight="1" x14ac:dyDescent="0.3"/>
    <row r="1822" ht="12" customHeight="1" x14ac:dyDescent="0.3"/>
    <row r="1823" ht="12" customHeight="1" x14ac:dyDescent="0.3"/>
    <row r="1824" ht="12" customHeight="1" x14ac:dyDescent="0.3"/>
    <row r="1825" ht="12" customHeight="1" x14ac:dyDescent="0.3"/>
    <row r="1826" ht="12" customHeight="1" x14ac:dyDescent="0.3"/>
    <row r="1827" ht="12" customHeight="1" x14ac:dyDescent="0.3"/>
    <row r="1828" ht="12" customHeight="1" x14ac:dyDescent="0.3"/>
    <row r="1829" ht="12" customHeight="1" x14ac:dyDescent="0.3"/>
    <row r="1830" ht="12" customHeight="1" x14ac:dyDescent="0.3"/>
    <row r="1831" ht="12" customHeight="1" x14ac:dyDescent="0.3"/>
    <row r="1832" ht="12" customHeight="1" x14ac:dyDescent="0.3"/>
    <row r="1833" ht="12" customHeight="1" x14ac:dyDescent="0.3"/>
    <row r="1834" ht="12" customHeight="1" x14ac:dyDescent="0.3"/>
    <row r="1835" ht="12" customHeight="1" x14ac:dyDescent="0.3"/>
    <row r="1836" ht="12" customHeight="1" x14ac:dyDescent="0.3"/>
    <row r="1837" ht="12" customHeight="1" x14ac:dyDescent="0.3"/>
    <row r="1838" ht="12" customHeight="1" x14ac:dyDescent="0.3"/>
    <row r="1839" ht="12" customHeight="1" x14ac:dyDescent="0.3"/>
    <row r="1840" ht="12" customHeight="1" x14ac:dyDescent="0.3"/>
    <row r="1841" ht="12" customHeight="1" x14ac:dyDescent="0.3"/>
    <row r="1842" ht="12" customHeight="1" x14ac:dyDescent="0.3"/>
    <row r="1843" ht="12" customHeight="1" x14ac:dyDescent="0.3"/>
    <row r="1844" ht="12" customHeight="1" x14ac:dyDescent="0.3"/>
    <row r="1845" ht="12" customHeight="1" x14ac:dyDescent="0.3"/>
    <row r="1846" ht="12" customHeight="1" x14ac:dyDescent="0.3"/>
    <row r="1847" ht="12" customHeight="1" x14ac:dyDescent="0.3"/>
    <row r="1848" ht="12" customHeight="1" x14ac:dyDescent="0.3"/>
    <row r="1849" ht="12" customHeight="1" x14ac:dyDescent="0.3"/>
    <row r="1850" ht="12" customHeight="1" x14ac:dyDescent="0.3"/>
    <row r="1851" ht="12" customHeight="1" x14ac:dyDescent="0.3"/>
    <row r="1852" ht="12" customHeight="1" x14ac:dyDescent="0.3"/>
    <row r="1853" ht="12" customHeight="1" x14ac:dyDescent="0.3"/>
    <row r="1854" ht="12" customHeight="1" x14ac:dyDescent="0.3"/>
    <row r="1855" ht="12" customHeight="1" x14ac:dyDescent="0.3"/>
    <row r="1856" ht="12" customHeight="1" x14ac:dyDescent="0.3"/>
    <row r="1857" ht="12" customHeight="1" x14ac:dyDescent="0.3"/>
    <row r="1858" ht="12" customHeight="1" x14ac:dyDescent="0.3"/>
    <row r="1859" ht="12" customHeight="1" x14ac:dyDescent="0.3"/>
    <row r="1860" ht="12" customHeight="1" x14ac:dyDescent="0.3"/>
    <row r="1861" ht="12" customHeight="1" x14ac:dyDescent="0.3"/>
    <row r="1862" ht="12" customHeight="1" x14ac:dyDescent="0.3"/>
    <row r="1863" ht="12" customHeight="1" x14ac:dyDescent="0.3"/>
    <row r="1864" ht="12" customHeight="1" x14ac:dyDescent="0.3"/>
    <row r="1865" ht="12" customHeight="1" x14ac:dyDescent="0.3"/>
    <row r="1866" ht="12" customHeight="1" x14ac:dyDescent="0.3"/>
    <row r="1867" ht="12" customHeight="1" x14ac:dyDescent="0.3"/>
    <row r="1868" ht="12" customHeight="1" x14ac:dyDescent="0.3"/>
    <row r="1869" ht="12" customHeight="1" x14ac:dyDescent="0.3"/>
    <row r="1870" ht="12" customHeight="1" x14ac:dyDescent="0.3"/>
    <row r="1871" ht="12" customHeight="1" x14ac:dyDescent="0.3"/>
    <row r="1872" ht="12" customHeight="1" x14ac:dyDescent="0.3"/>
    <row r="1873" ht="12" customHeight="1" x14ac:dyDescent="0.3"/>
    <row r="1874" ht="12" customHeight="1" x14ac:dyDescent="0.3"/>
    <row r="1875" ht="12" customHeight="1" x14ac:dyDescent="0.3"/>
    <row r="1876" ht="12" customHeight="1" x14ac:dyDescent="0.3"/>
    <row r="1877" ht="12" customHeight="1" x14ac:dyDescent="0.3"/>
    <row r="1884" ht="12" customHeight="1" x14ac:dyDescent="0.3"/>
    <row r="1886" ht="12" customHeight="1" x14ac:dyDescent="0.3"/>
    <row r="1888" ht="12" customHeight="1" x14ac:dyDescent="0.3"/>
    <row r="1893" ht="12" customHeight="1" x14ac:dyDescent="0.3"/>
    <row r="1927" spans="3:33" ht="12" customHeight="1" x14ac:dyDescent="0.3"/>
    <row r="1929" spans="3:33" ht="12" customHeight="1" x14ac:dyDescent="0.3"/>
    <row r="1931" spans="3:33" ht="15" customHeight="1" x14ac:dyDescent="0.3">
      <c r="C1931" s="161"/>
      <c r="D1931" s="161"/>
      <c r="E1931" s="161"/>
      <c r="F1931" s="161"/>
      <c r="G1931" s="161"/>
      <c r="H1931" s="161"/>
      <c r="I1931" s="161"/>
      <c r="J1931" s="161"/>
      <c r="K1931" s="161"/>
      <c r="L1931" s="161"/>
      <c r="M1931" s="161"/>
      <c r="N1931" s="161"/>
      <c r="O1931" s="161"/>
      <c r="P1931" s="161"/>
      <c r="Q1931" s="161"/>
      <c r="R1931" s="161"/>
      <c r="S1931" s="161"/>
      <c r="T1931" s="161"/>
      <c r="U1931" s="161"/>
      <c r="V1931" s="161"/>
      <c r="W1931" s="161"/>
      <c r="X1931" s="161"/>
      <c r="Y1931" s="161"/>
      <c r="Z1931" s="161"/>
      <c r="AA1931" s="161"/>
      <c r="AB1931" s="161"/>
      <c r="AC1931" s="161"/>
      <c r="AD1931" s="161"/>
      <c r="AE1931" s="161"/>
      <c r="AF1931" s="161"/>
      <c r="AG1931" s="161"/>
    </row>
    <row r="1934" spans="3:33" ht="12" customHeight="1" x14ac:dyDescent="0.3"/>
    <row r="1935" spans="3:33" ht="12" customHeight="1" x14ac:dyDescent="0.3"/>
    <row r="1936" spans="3:33" ht="12" customHeight="1" x14ac:dyDescent="0.3"/>
    <row r="1937" ht="12" customHeight="1" x14ac:dyDescent="0.3"/>
    <row r="1938" ht="12" customHeight="1" x14ac:dyDescent="0.3"/>
    <row r="1939" ht="12" customHeight="1" x14ac:dyDescent="0.3"/>
    <row r="1940" ht="12" customHeight="1" x14ac:dyDescent="0.3"/>
    <row r="1941" ht="12" customHeight="1" x14ac:dyDescent="0.3"/>
    <row r="1942" ht="12" customHeight="1" x14ac:dyDescent="0.3"/>
    <row r="1943" ht="12" customHeight="1" x14ac:dyDescent="0.3"/>
    <row r="1944" ht="12" customHeight="1" x14ac:dyDescent="0.3"/>
    <row r="1945" ht="12" customHeight="1" x14ac:dyDescent="0.3"/>
    <row r="1946" ht="12" customHeight="1" x14ac:dyDescent="0.3"/>
    <row r="1947" ht="12" customHeight="1" x14ac:dyDescent="0.3"/>
    <row r="1948" ht="12" customHeight="1" x14ac:dyDescent="0.3"/>
    <row r="1949" ht="12" customHeight="1" x14ac:dyDescent="0.3"/>
    <row r="1950" ht="12" customHeight="1" x14ac:dyDescent="0.3"/>
    <row r="1951" ht="12" customHeight="1" x14ac:dyDescent="0.3"/>
    <row r="1952" ht="12" customHeight="1" x14ac:dyDescent="0.3"/>
    <row r="1953" ht="12" customHeight="1" x14ac:dyDescent="0.3"/>
    <row r="1954" ht="12" customHeight="1" x14ac:dyDescent="0.3"/>
    <row r="1955" ht="12" customHeight="1" x14ac:dyDescent="0.3"/>
    <row r="1956" ht="12" customHeight="1" x14ac:dyDescent="0.3"/>
    <row r="1957" ht="12" customHeight="1" x14ac:dyDescent="0.3"/>
    <row r="1958" ht="12" customHeight="1" x14ac:dyDescent="0.3"/>
    <row r="1959" ht="12" customHeight="1" x14ac:dyDescent="0.3"/>
    <row r="1960" ht="12" customHeight="1" x14ac:dyDescent="0.3"/>
    <row r="1961" ht="12" customHeight="1" x14ac:dyDescent="0.3"/>
    <row r="1962" ht="12" customHeight="1" x14ac:dyDescent="0.3"/>
    <row r="1963" ht="12" customHeight="1" x14ac:dyDescent="0.3"/>
    <row r="1964" ht="12" customHeight="1" x14ac:dyDescent="0.3"/>
    <row r="1965" ht="12" customHeight="1" x14ac:dyDescent="0.3"/>
    <row r="1966" ht="12" customHeight="1" x14ac:dyDescent="0.3"/>
    <row r="1967" ht="12" customHeight="1" x14ac:dyDescent="0.3"/>
    <row r="1968" ht="12" customHeight="1" x14ac:dyDescent="0.3"/>
    <row r="1969" ht="12" customHeight="1" x14ac:dyDescent="0.3"/>
    <row r="1970" ht="12" customHeight="1" x14ac:dyDescent="0.3"/>
    <row r="1971" ht="12" customHeight="1" x14ac:dyDescent="0.3"/>
    <row r="1972" ht="12" customHeight="1" x14ac:dyDescent="0.3"/>
    <row r="1973" ht="12" customHeight="1" x14ac:dyDescent="0.3"/>
    <row r="1974" ht="12" customHeight="1" x14ac:dyDescent="0.3"/>
    <row r="1975" ht="12" customHeight="1" x14ac:dyDescent="0.3"/>
    <row r="1976" ht="12" customHeight="1" x14ac:dyDescent="0.3"/>
    <row r="1977" ht="12" customHeight="1" x14ac:dyDescent="0.3"/>
    <row r="1978" ht="12" customHeight="1" x14ac:dyDescent="0.3"/>
    <row r="1979" ht="12" customHeight="1" x14ac:dyDescent="0.3"/>
    <row r="1980" ht="12" customHeight="1" x14ac:dyDescent="0.3"/>
    <row r="1981" ht="12" customHeight="1" x14ac:dyDescent="0.3"/>
    <row r="1982" ht="12" customHeight="1" x14ac:dyDescent="0.3"/>
    <row r="1983" ht="12" customHeight="1" x14ac:dyDescent="0.3"/>
    <row r="1984" ht="12" customHeight="1" x14ac:dyDescent="0.3"/>
    <row r="1985" ht="12" customHeight="1" x14ac:dyDescent="0.3"/>
    <row r="1986" ht="12" customHeight="1" x14ac:dyDescent="0.3"/>
    <row r="1987" ht="12" customHeight="1" x14ac:dyDescent="0.3"/>
    <row r="1988" ht="12" customHeight="1" x14ac:dyDescent="0.3"/>
    <row r="1989" ht="12" customHeight="1" x14ac:dyDescent="0.3"/>
    <row r="1990" ht="12" customHeight="1" x14ac:dyDescent="0.3"/>
    <row r="1991" ht="12" customHeight="1" x14ac:dyDescent="0.3"/>
    <row r="1992" ht="12" customHeight="1" x14ac:dyDescent="0.3"/>
    <row r="1993" ht="12" customHeight="1" x14ac:dyDescent="0.3"/>
    <row r="1994" ht="12" customHeight="1" x14ac:dyDescent="0.3"/>
    <row r="1995" ht="12" customHeight="1" x14ac:dyDescent="0.3"/>
    <row r="1996" ht="12" customHeight="1" x14ac:dyDescent="0.3"/>
    <row r="1997" ht="12" customHeight="1" x14ac:dyDescent="0.3"/>
    <row r="1998" ht="12" customHeight="1" x14ac:dyDescent="0.3"/>
    <row r="1999" ht="12" customHeight="1" x14ac:dyDescent="0.3"/>
    <row r="2000" ht="12" customHeight="1" x14ac:dyDescent="0.3"/>
    <row r="2001" ht="12" customHeight="1" x14ac:dyDescent="0.3"/>
    <row r="2002" ht="12" customHeight="1" x14ac:dyDescent="0.3"/>
    <row r="2003" ht="12" customHeight="1" x14ac:dyDescent="0.3"/>
    <row r="2004" ht="12" customHeight="1" x14ac:dyDescent="0.3"/>
    <row r="2005" ht="12" customHeight="1" x14ac:dyDescent="0.3"/>
    <row r="2006" ht="12" customHeight="1" x14ac:dyDescent="0.3"/>
    <row r="2007" ht="12" customHeight="1" x14ac:dyDescent="0.3"/>
    <row r="2008" ht="12" customHeight="1" x14ac:dyDescent="0.3"/>
    <row r="2009" ht="12" customHeight="1" x14ac:dyDescent="0.3"/>
    <row r="2010" ht="12" customHeight="1" x14ac:dyDescent="0.3"/>
    <row r="2011" ht="12" customHeight="1" x14ac:dyDescent="0.3"/>
    <row r="2012" ht="12" customHeight="1" x14ac:dyDescent="0.3"/>
    <row r="2013" ht="12" customHeight="1" x14ac:dyDescent="0.3"/>
    <row r="2014" ht="12" customHeight="1" x14ac:dyDescent="0.3"/>
    <row r="2015" ht="12" customHeight="1" x14ac:dyDescent="0.3"/>
    <row r="2016" ht="12" customHeight="1" x14ac:dyDescent="0.3"/>
    <row r="2017" ht="12" customHeight="1" x14ac:dyDescent="0.3"/>
    <row r="2018" ht="12" customHeight="1" x14ac:dyDescent="0.3"/>
    <row r="2019" ht="12" customHeight="1" x14ac:dyDescent="0.3"/>
    <row r="2020" ht="12" customHeight="1" x14ac:dyDescent="0.3"/>
    <row r="2021" ht="12" customHeight="1" x14ac:dyDescent="0.3"/>
    <row r="2022" ht="12" customHeight="1" x14ac:dyDescent="0.3"/>
    <row r="2023" ht="12" customHeight="1" x14ac:dyDescent="0.3"/>
    <row r="2024" ht="12" customHeight="1" x14ac:dyDescent="0.3"/>
    <row r="2025" ht="12" customHeight="1" x14ac:dyDescent="0.3"/>
    <row r="2026" ht="12" customHeight="1" x14ac:dyDescent="0.3"/>
    <row r="2027" ht="12" customHeight="1" x14ac:dyDescent="0.3"/>
    <row r="2034" ht="12" customHeight="1" x14ac:dyDescent="0.3"/>
    <row r="2036" ht="12" customHeight="1" x14ac:dyDescent="0.3"/>
    <row r="2038" ht="12" customHeight="1" x14ac:dyDescent="0.3"/>
    <row r="2043" ht="12" customHeight="1" x14ac:dyDescent="0.3"/>
    <row r="2077" ht="12" customHeight="1" x14ac:dyDescent="0.3"/>
    <row r="2079" ht="12" customHeight="1" x14ac:dyDescent="0.3"/>
    <row r="2081" spans="3:33" ht="15" customHeight="1" x14ac:dyDescent="0.3">
      <c r="C2081" s="161"/>
      <c r="D2081" s="161"/>
      <c r="E2081" s="161"/>
      <c r="F2081" s="161"/>
      <c r="G2081" s="161"/>
      <c r="H2081" s="161"/>
      <c r="I2081" s="161"/>
      <c r="J2081" s="161"/>
      <c r="K2081" s="161"/>
      <c r="L2081" s="161"/>
      <c r="M2081" s="161"/>
      <c r="N2081" s="161"/>
      <c r="O2081" s="161"/>
      <c r="P2081" s="161"/>
      <c r="Q2081" s="161"/>
      <c r="R2081" s="161"/>
      <c r="S2081" s="161"/>
      <c r="T2081" s="161"/>
      <c r="U2081" s="161"/>
      <c r="V2081" s="161"/>
      <c r="W2081" s="161"/>
      <c r="X2081" s="161"/>
      <c r="Y2081" s="161"/>
      <c r="Z2081" s="161"/>
      <c r="AA2081" s="161"/>
      <c r="AB2081" s="161"/>
      <c r="AC2081" s="161"/>
      <c r="AD2081" s="161"/>
      <c r="AE2081" s="161"/>
      <c r="AF2081" s="161"/>
      <c r="AG2081" s="161"/>
    </row>
    <row r="2084" spans="3:33" ht="12" customHeight="1" x14ac:dyDescent="0.3"/>
    <row r="2085" spans="3:33" ht="12" customHeight="1" x14ac:dyDescent="0.3"/>
    <row r="2086" spans="3:33" ht="12" customHeight="1" x14ac:dyDescent="0.3"/>
    <row r="2087" spans="3:33" ht="12" customHeight="1" x14ac:dyDescent="0.3"/>
    <row r="2088" spans="3:33" ht="12" customHeight="1" x14ac:dyDescent="0.3"/>
    <row r="2089" spans="3:33" ht="12" customHeight="1" x14ac:dyDescent="0.3"/>
    <row r="2090" spans="3:33" ht="12" customHeight="1" x14ac:dyDescent="0.3"/>
    <row r="2091" spans="3:33" ht="12" customHeight="1" x14ac:dyDescent="0.3"/>
    <row r="2092" spans="3:33" ht="12" customHeight="1" x14ac:dyDescent="0.3"/>
    <row r="2093" spans="3:33" ht="12" customHeight="1" x14ac:dyDescent="0.3"/>
    <row r="2094" spans="3:33" ht="12" customHeight="1" x14ac:dyDescent="0.3"/>
    <row r="2095" spans="3:33" ht="12" customHeight="1" x14ac:dyDescent="0.3"/>
    <row r="2096" spans="3:33" ht="12" customHeight="1" x14ac:dyDescent="0.3"/>
    <row r="2097" ht="12" customHeight="1" x14ac:dyDescent="0.3"/>
    <row r="2098" ht="12" customHeight="1" x14ac:dyDescent="0.3"/>
    <row r="2099" ht="12" customHeight="1" x14ac:dyDescent="0.3"/>
    <row r="2100" ht="12" customHeight="1" x14ac:dyDescent="0.3"/>
    <row r="2101" ht="12" customHeight="1" x14ac:dyDescent="0.3"/>
    <row r="2102" ht="12" customHeight="1" x14ac:dyDescent="0.3"/>
    <row r="2103" ht="12" customHeight="1" x14ac:dyDescent="0.3"/>
    <row r="2104" ht="12" customHeight="1" x14ac:dyDescent="0.3"/>
    <row r="2105" ht="12" customHeight="1" x14ac:dyDescent="0.3"/>
    <row r="2106" ht="12" customHeight="1" x14ac:dyDescent="0.3"/>
    <row r="2107" ht="12" customHeight="1" x14ac:dyDescent="0.3"/>
    <row r="2108" ht="12" customHeight="1" x14ac:dyDescent="0.3"/>
    <row r="2109" ht="12" customHeight="1" x14ac:dyDescent="0.3"/>
    <row r="2110" ht="12" customHeight="1" x14ac:dyDescent="0.3"/>
    <row r="2111" ht="12" customHeight="1" x14ac:dyDescent="0.3"/>
    <row r="2112" ht="12" customHeight="1" x14ac:dyDescent="0.3"/>
    <row r="2113" ht="12" customHeight="1" x14ac:dyDescent="0.3"/>
    <row r="2114" ht="12" customHeight="1" x14ac:dyDescent="0.3"/>
    <row r="2115" ht="12" customHeight="1" x14ac:dyDescent="0.3"/>
    <row r="2116" ht="12" customHeight="1" x14ac:dyDescent="0.3"/>
    <row r="2117" ht="12" customHeight="1" x14ac:dyDescent="0.3"/>
    <row r="2118" ht="12" customHeight="1" x14ac:dyDescent="0.3"/>
    <row r="2119" ht="12" customHeight="1" x14ac:dyDescent="0.3"/>
    <row r="2120" ht="12" customHeight="1" x14ac:dyDescent="0.3"/>
    <row r="2121" ht="12" customHeight="1" x14ac:dyDescent="0.3"/>
    <row r="2122" ht="12" customHeight="1" x14ac:dyDescent="0.3"/>
    <row r="2123" ht="12" customHeight="1" x14ac:dyDescent="0.3"/>
    <row r="2124" ht="12" customHeight="1" x14ac:dyDescent="0.3"/>
    <row r="2125" ht="12" customHeight="1" x14ac:dyDescent="0.3"/>
    <row r="2126" ht="12" customHeight="1" x14ac:dyDescent="0.3"/>
    <row r="2127" ht="12" customHeight="1" x14ac:dyDescent="0.3"/>
    <row r="2128" ht="12" customHeight="1" x14ac:dyDescent="0.3"/>
    <row r="2129" ht="12" customHeight="1" x14ac:dyDescent="0.3"/>
    <row r="2130" ht="12" customHeight="1" x14ac:dyDescent="0.3"/>
    <row r="2131" ht="12" customHeight="1" x14ac:dyDescent="0.3"/>
    <row r="2132" ht="12" customHeight="1" x14ac:dyDescent="0.3"/>
    <row r="2133" ht="12" customHeight="1" x14ac:dyDescent="0.3"/>
    <row r="2134" ht="12" customHeight="1" x14ac:dyDescent="0.3"/>
    <row r="2135" ht="12" customHeight="1" x14ac:dyDescent="0.3"/>
    <row r="2136" ht="12" customHeight="1" x14ac:dyDescent="0.3"/>
    <row r="2137" ht="12" customHeight="1" x14ac:dyDescent="0.3"/>
    <row r="2138" ht="12" customHeight="1" x14ac:dyDescent="0.3"/>
    <row r="2139" ht="12" customHeight="1" x14ac:dyDescent="0.3"/>
    <row r="2140" ht="12" customHeight="1" x14ac:dyDescent="0.3"/>
    <row r="2141" ht="12" customHeight="1" x14ac:dyDescent="0.3"/>
    <row r="2142" ht="12" customHeight="1" x14ac:dyDescent="0.3"/>
    <row r="2143" ht="12" customHeight="1" x14ac:dyDescent="0.3"/>
    <row r="2144" ht="12" customHeight="1" x14ac:dyDescent="0.3"/>
    <row r="2145" ht="12" customHeight="1" x14ac:dyDescent="0.3"/>
    <row r="2146" ht="12" customHeight="1" x14ac:dyDescent="0.3"/>
    <row r="2147" ht="12" customHeight="1" x14ac:dyDescent="0.3"/>
    <row r="2148" ht="12" customHeight="1" x14ac:dyDescent="0.3"/>
    <row r="2149" ht="12" customHeight="1" x14ac:dyDescent="0.3"/>
    <row r="2150" ht="12" customHeight="1" x14ac:dyDescent="0.3"/>
    <row r="2151" ht="12" customHeight="1" x14ac:dyDescent="0.3"/>
    <row r="2152" ht="12" customHeight="1" x14ac:dyDescent="0.3"/>
    <row r="2153" ht="12" customHeight="1" x14ac:dyDescent="0.3"/>
    <row r="2154" ht="12" customHeight="1" x14ac:dyDescent="0.3"/>
    <row r="2155" ht="12" customHeight="1" x14ac:dyDescent="0.3"/>
    <row r="2156" ht="12" customHeight="1" x14ac:dyDescent="0.3"/>
    <row r="2157" ht="12" customHeight="1" x14ac:dyDescent="0.3"/>
    <row r="2158" ht="12" customHeight="1" x14ac:dyDescent="0.3"/>
    <row r="2159" ht="12" customHeight="1" x14ac:dyDescent="0.3"/>
    <row r="2160" ht="12" customHeight="1" x14ac:dyDescent="0.3"/>
    <row r="2161" ht="12" customHeight="1" x14ac:dyDescent="0.3"/>
    <row r="2162" ht="12" customHeight="1" x14ac:dyDescent="0.3"/>
    <row r="2163" ht="12" customHeight="1" x14ac:dyDescent="0.3"/>
    <row r="2164" ht="12" customHeight="1" x14ac:dyDescent="0.3"/>
    <row r="2165" ht="12" customHeight="1" x14ac:dyDescent="0.3"/>
    <row r="2166" ht="12" customHeight="1" x14ac:dyDescent="0.3"/>
    <row r="2167" ht="12" customHeight="1" x14ac:dyDescent="0.3"/>
    <row r="2168" ht="12" customHeight="1" x14ac:dyDescent="0.3"/>
    <row r="2169" ht="12" customHeight="1" x14ac:dyDescent="0.3"/>
    <row r="2170" ht="12" customHeight="1" x14ac:dyDescent="0.3"/>
    <row r="2171" ht="12" customHeight="1" x14ac:dyDescent="0.3"/>
    <row r="2172" ht="12" customHeight="1" x14ac:dyDescent="0.3"/>
    <row r="2173" ht="12" customHeight="1" x14ac:dyDescent="0.3"/>
    <row r="2174" ht="12" customHeight="1" x14ac:dyDescent="0.3"/>
    <row r="2175" ht="12" customHeight="1" x14ac:dyDescent="0.3"/>
    <row r="2176" ht="12" customHeight="1" x14ac:dyDescent="0.3"/>
    <row r="2177" ht="12" customHeight="1" x14ac:dyDescent="0.3"/>
    <row r="2184" ht="12" customHeight="1" x14ac:dyDescent="0.3"/>
    <row r="2186" ht="12" customHeight="1" x14ac:dyDescent="0.3"/>
    <row r="2188" ht="12" customHeight="1" x14ac:dyDescent="0.3"/>
    <row r="2193" ht="12" customHeight="1" x14ac:dyDescent="0.3"/>
    <row r="2227" spans="3:33" ht="12" customHeight="1" x14ac:dyDescent="0.3"/>
    <row r="2229" spans="3:33" ht="12" customHeight="1" x14ac:dyDescent="0.3"/>
    <row r="2231" spans="3:33" ht="15" customHeight="1" x14ac:dyDescent="0.3">
      <c r="C2231" s="161"/>
      <c r="D2231" s="161"/>
      <c r="E2231" s="161"/>
      <c r="F2231" s="161"/>
      <c r="G2231" s="161"/>
      <c r="H2231" s="161"/>
      <c r="I2231" s="161"/>
      <c r="J2231" s="161"/>
      <c r="K2231" s="161"/>
      <c r="L2231" s="161"/>
      <c r="M2231" s="161"/>
      <c r="N2231" s="161"/>
      <c r="O2231" s="161"/>
      <c r="P2231" s="161"/>
      <c r="Q2231" s="161"/>
      <c r="R2231" s="161"/>
      <c r="S2231" s="161"/>
      <c r="T2231" s="161"/>
      <c r="U2231" s="161"/>
      <c r="V2231" s="161"/>
      <c r="W2231" s="161"/>
      <c r="X2231" s="161"/>
      <c r="Y2231" s="161"/>
      <c r="Z2231" s="161"/>
      <c r="AA2231" s="161"/>
      <c r="AB2231" s="161"/>
      <c r="AC2231" s="161"/>
      <c r="AD2231" s="161"/>
      <c r="AE2231" s="161"/>
      <c r="AF2231" s="161"/>
      <c r="AG2231" s="161"/>
    </row>
    <row r="2234" spans="3:33" ht="12" customHeight="1" x14ac:dyDescent="0.3"/>
    <row r="2235" spans="3:33" ht="12" customHeight="1" x14ac:dyDescent="0.3"/>
    <row r="2236" spans="3:33" ht="12" customHeight="1" x14ac:dyDescent="0.3"/>
    <row r="2237" spans="3:33" ht="12" customHeight="1" x14ac:dyDescent="0.3"/>
    <row r="2238" spans="3:33" ht="12" customHeight="1" x14ac:dyDescent="0.3"/>
    <row r="2239" spans="3:33" ht="12" customHeight="1" x14ac:dyDescent="0.3"/>
    <row r="2240" spans="3:33" ht="12" customHeight="1" x14ac:dyDescent="0.3"/>
    <row r="2241" ht="12" customHeight="1" x14ac:dyDescent="0.3"/>
    <row r="2242" ht="12" customHeight="1" x14ac:dyDescent="0.3"/>
    <row r="2243" ht="12" customHeight="1" x14ac:dyDescent="0.3"/>
    <row r="2244" ht="12" customHeight="1" x14ac:dyDescent="0.3"/>
    <row r="2245" ht="12" customHeight="1" x14ac:dyDescent="0.3"/>
    <row r="2246" ht="12" customHeight="1" x14ac:dyDescent="0.3"/>
    <row r="2247" ht="12" customHeight="1" x14ac:dyDescent="0.3"/>
    <row r="2248" ht="12" customHeight="1" x14ac:dyDescent="0.3"/>
    <row r="2249" ht="12" customHeight="1" x14ac:dyDescent="0.3"/>
    <row r="2250" ht="12" customHeight="1" x14ac:dyDescent="0.3"/>
    <row r="2251" ht="12" customHeight="1" x14ac:dyDescent="0.3"/>
    <row r="2252" ht="12" customHeight="1" x14ac:dyDescent="0.3"/>
    <row r="2253" ht="12" customHeight="1" x14ac:dyDescent="0.3"/>
    <row r="2254" ht="12" customHeight="1" x14ac:dyDescent="0.3"/>
    <row r="2255" ht="12" customHeight="1" x14ac:dyDescent="0.3"/>
    <row r="2256" ht="12" customHeight="1" x14ac:dyDescent="0.3"/>
    <row r="2257" ht="12" customHeight="1" x14ac:dyDescent="0.3"/>
    <row r="2258" ht="12" customHeight="1" x14ac:dyDescent="0.3"/>
    <row r="2259" ht="12" customHeight="1" x14ac:dyDescent="0.3"/>
    <row r="2260" ht="12" customHeight="1" x14ac:dyDescent="0.3"/>
    <row r="2261" ht="12" customHeight="1" x14ac:dyDescent="0.3"/>
    <row r="2262" ht="12" customHeight="1" x14ac:dyDescent="0.3"/>
    <row r="2263" ht="12" customHeight="1" x14ac:dyDescent="0.3"/>
    <row r="2264" ht="12" customHeight="1" x14ac:dyDescent="0.3"/>
    <row r="2265" ht="12" customHeight="1" x14ac:dyDescent="0.3"/>
    <row r="2266" ht="12" customHeight="1" x14ac:dyDescent="0.3"/>
    <row r="2267" ht="12" customHeight="1" x14ac:dyDescent="0.3"/>
    <row r="2268" ht="12" customHeight="1" x14ac:dyDescent="0.3"/>
    <row r="2269" ht="12" customHeight="1" x14ac:dyDescent="0.3"/>
    <row r="2270" ht="12" customHeight="1" x14ac:dyDescent="0.3"/>
    <row r="2271" ht="12" customHeight="1" x14ac:dyDescent="0.3"/>
    <row r="2272" ht="12" customHeight="1" x14ac:dyDescent="0.3"/>
    <row r="2273" ht="12" customHeight="1" x14ac:dyDescent="0.3"/>
    <row r="2274" ht="12" customHeight="1" x14ac:dyDescent="0.3"/>
    <row r="2275" ht="12" customHeight="1" x14ac:dyDescent="0.3"/>
    <row r="2276" ht="12" customHeight="1" x14ac:dyDescent="0.3"/>
    <row r="2277" ht="12" customHeight="1" x14ac:dyDescent="0.3"/>
    <row r="2278" ht="12" customHeight="1" x14ac:dyDescent="0.3"/>
    <row r="2279" ht="12" customHeight="1" x14ac:dyDescent="0.3"/>
    <row r="2280" ht="12" customHeight="1" x14ac:dyDescent="0.3"/>
    <row r="2281" ht="12" customHeight="1" x14ac:dyDescent="0.3"/>
    <row r="2282" ht="12" customHeight="1" x14ac:dyDescent="0.3"/>
    <row r="2283" ht="12" customHeight="1" x14ac:dyDescent="0.3"/>
    <row r="2284" ht="12" customHeight="1" x14ac:dyDescent="0.3"/>
    <row r="2285" ht="12" customHeight="1" x14ac:dyDescent="0.3"/>
    <row r="2286" ht="12" customHeight="1" x14ac:dyDescent="0.3"/>
    <row r="2287" ht="12" customHeight="1" x14ac:dyDescent="0.3"/>
    <row r="2288" ht="12" customHeight="1" x14ac:dyDescent="0.3"/>
    <row r="2289" ht="12" customHeight="1" x14ac:dyDescent="0.3"/>
    <row r="2290" ht="12" customHeight="1" x14ac:dyDescent="0.3"/>
    <row r="2291" ht="12" customHeight="1" x14ac:dyDescent="0.3"/>
    <row r="2292" ht="12" customHeight="1" x14ac:dyDescent="0.3"/>
    <row r="2293" ht="12" customHeight="1" x14ac:dyDescent="0.3"/>
    <row r="2294" ht="12" customHeight="1" x14ac:dyDescent="0.3"/>
    <row r="2295" ht="12" customHeight="1" x14ac:dyDescent="0.3"/>
    <row r="2296" ht="12" customHeight="1" x14ac:dyDescent="0.3"/>
    <row r="2297" ht="12" customHeight="1" x14ac:dyDescent="0.3"/>
    <row r="2298" ht="12" customHeight="1" x14ac:dyDescent="0.3"/>
    <row r="2299" ht="12" customHeight="1" x14ac:dyDescent="0.3"/>
    <row r="2300" ht="12" customHeight="1" x14ac:dyDescent="0.3"/>
    <row r="2301" ht="12" customHeight="1" x14ac:dyDescent="0.3"/>
    <row r="2302" ht="12" customHeight="1" x14ac:dyDescent="0.3"/>
    <row r="2303" ht="12" customHeight="1" x14ac:dyDescent="0.3"/>
    <row r="2304" ht="12" customHeight="1" x14ac:dyDescent="0.3"/>
    <row r="2305" ht="12" customHeight="1" x14ac:dyDescent="0.3"/>
    <row r="2306" ht="12" customHeight="1" x14ac:dyDescent="0.3"/>
    <row r="2307" ht="12" customHeight="1" x14ac:dyDescent="0.3"/>
    <row r="2308" ht="12" customHeight="1" x14ac:dyDescent="0.3"/>
    <row r="2309" ht="12" customHeight="1" x14ac:dyDescent="0.3"/>
    <row r="2310" ht="12" customHeight="1" x14ac:dyDescent="0.3"/>
    <row r="2311" ht="12" customHeight="1" x14ac:dyDescent="0.3"/>
    <row r="2312" ht="12" customHeight="1" x14ac:dyDescent="0.3"/>
    <row r="2313" ht="12" customHeight="1" x14ac:dyDescent="0.3"/>
    <row r="2314" ht="12" customHeight="1" x14ac:dyDescent="0.3"/>
    <row r="2315" ht="12" customHeight="1" x14ac:dyDescent="0.3"/>
    <row r="2316" ht="12" customHeight="1" x14ac:dyDescent="0.3"/>
    <row r="2317" ht="12" customHeight="1" x14ac:dyDescent="0.3"/>
    <row r="2318" ht="12" customHeight="1" x14ac:dyDescent="0.3"/>
    <row r="2319" ht="12" customHeight="1" x14ac:dyDescent="0.3"/>
    <row r="2320" ht="12" customHeight="1" x14ac:dyDescent="0.3"/>
    <row r="2321" ht="12" customHeight="1" x14ac:dyDescent="0.3"/>
    <row r="2322" ht="12" customHeight="1" x14ac:dyDescent="0.3"/>
    <row r="2323" ht="12" customHeight="1" x14ac:dyDescent="0.3"/>
    <row r="2324" ht="12" customHeight="1" x14ac:dyDescent="0.3"/>
    <row r="2325" ht="12" customHeight="1" x14ac:dyDescent="0.3"/>
    <row r="2326" ht="12" customHeight="1" x14ac:dyDescent="0.3"/>
    <row r="2327" ht="12" customHeight="1" x14ac:dyDescent="0.3"/>
    <row r="2334" ht="12" customHeight="1" x14ac:dyDescent="0.3"/>
    <row r="2336" ht="12" customHeight="1" x14ac:dyDescent="0.3"/>
    <row r="2338" ht="12" customHeight="1" x14ac:dyDescent="0.3"/>
    <row r="2343" ht="12" customHeight="1" x14ac:dyDescent="0.3"/>
    <row r="2377" spans="3:33" ht="12" customHeight="1" x14ac:dyDescent="0.3"/>
    <row r="2379" spans="3:33" ht="12" customHeight="1" x14ac:dyDescent="0.3"/>
    <row r="2381" spans="3:33" ht="15" customHeight="1" x14ac:dyDescent="0.3">
      <c r="C2381" s="161"/>
      <c r="D2381" s="161"/>
      <c r="E2381" s="161"/>
      <c r="F2381" s="161"/>
      <c r="G2381" s="161"/>
      <c r="H2381" s="161"/>
      <c r="I2381" s="161"/>
      <c r="J2381" s="161"/>
      <c r="K2381" s="161"/>
      <c r="L2381" s="161"/>
      <c r="M2381" s="161"/>
      <c r="N2381" s="161"/>
      <c r="O2381" s="161"/>
      <c r="P2381" s="161"/>
      <c r="Q2381" s="161"/>
      <c r="R2381" s="161"/>
      <c r="S2381" s="161"/>
      <c r="T2381" s="161"/>
      <c r="U2381" s="161"/>
      <c r="V2381" s="161"/>
      <c r="W2381" s="161"/>
      <c r="X2381" s="161"/>
      <c r="Y2381" s="161"/>
      <c r="Z2381" s="161"/>
      <c r="AA2381" s="161"/>
      <c r="AB2381" s="161"/>
      <c r="AC2381" s="161"/>
      <c r="AD2381" s="161"/>
      <c r="AE2381" s="161"/>
      <c r="AF2381" s="161"/>
      <c r="AG2381" s="161"/>
    </row>
    <row r="2384" spans="3:33" ht="12" customHeight="1" x14ac:dyDescent="0.3"/>
    <row r="2385" ht="12" customHeight="1" x14ac:dyDescent="0.3"/>
    <row r="2386" ht="12" customHeight="1" x14ac:dyDescent="0.3"/>
    <row r="2387" ht="12" customHeight="1" x14ac:dyDescent="0.3"/>
    <row r="2388" ht="12" customHeight="1" x14ac:dyDescent="0.3"/>
    <row r="2389" ht="12" customHeight="1" x14ac:dyDescent="0.3"/>
    <row r="2390" ht="12" customHeight="1" x14ac:dyDescent="0.3"/>
    <row r="2391" ht="12" customHeight="1" x14ac:dyDescent="0.3"/>
    <row r="2392" ht="12" customHeight="1" x14ac:dyDescent="0.3"/>
    <row r="2393" ht="12" customHeight="1" x14ac:dyDescent="0.3"/>
    <row r="2394" ht="12" customHeight="1" x14ac:dyDescent="0.3"/>
    <row r="2395" ht="12" customHeight="1" x14ac:dyDescent="0.3"/>
    <row r="2396" ht="12" customHeight="1" x14ac:dyDescent="0.3"/>
    <row r="2397" ht="12" customHeight="1" x14ac:dyDescent="0.3"/>
    <row r="2398" ht="12" customHeight="1" x14ac:dyDescent="0.3"/>
    <row r="2399" ht="12" customHeight="1" x14ac:dyDescent="0.3"/>
    <row r="2400" ht="12" customHeight="1" x14ac:dyDescent="0.3"/>
    <row r="2401" ht="12" customHeight="1" x14ac:dyDescent="0.3"/>
    <row r="2402" ht="12" customHeight="1" x14ac:dyDescent="0.3"/>
    <row r="2403" ht="12" customHeight="1" x14ac:dyDescent="0.3"/>
    <row r="2404" ht="12" customHeight="1" x14ac:dyDescent="0.3"/>
    <row r="2405" ht="12" customHeight="1" x14ac:dyDescent="0.3"/>
    <row r="2406" ht="12" customHeight="1" x14ac:dyDescent="0.3"/>
    <row r="2407" ht="12" customHeight="1" x14ac:dyDescent="0.3"/>
    <row r="2408" ht="12" customHeight="1" x14ac:dyDescent="0.3"/>
    <row r="2409" ht="12" customHeight="1" x14ac:dyDescent="0.3"/>
    <row r="2410" ht="12" customHeight="1" x14ac:dyDescent="0.3"/>
    <row r="2411" ht="12" customHeight="1" x14ac:dyDescent="0.3"/>
    <row r="2412" ht="12" customHeight="1" x14ac:dyDescent="0.3"/>
    <row r="2413" ht="12" customHeight="1" x14ac:dyDescent="0.3"/>
    <row r="2414" ht="12" customHeight="1" x14ac:dyDescent="0.3"/>
    <row r="2415" ht="12" customHeight="1" x14ac:dyDescent="0.3"/>
    <row r="2416" ht="12" customHeight="1" x14ac:dyDescent="0.3"/>
    <row r="2417" ht="12" customHeight="1" x14ac:dyDescent="0.3"/>
    <row r="2418" ht="12" customHeight="1" x14ac:dyDescent="0.3"/>
    <row r="2419" ht="12" customHeight="1" x14ac:dyDescent="0.3"/>
    <row r="2420" ht="12" customHeight="1" x14ac:dyDescent="0.3"/>
    <row r="2421" ht="12" customHeight="1" x14ac:dyDescent="0.3"/>
    <row r="2422" ht="12" customHeight="1" x14ac:dyDescent="0.3"/>
    <row r="2423" ht="12" customHeight="1" x14ac:dyDescent="0.3"/>
    <row r="2424" ht="12" customHeight="1" x14ac:dyDescent="0.3"/>
    <row r="2425" ht="12" customHeight="1" x14ac:dyDescent="0.3"/>
    <row r="2426" ht="12" customHeight="1" x14ac:dyDescent="0.3"/>
    <row r="2427" ht="12" customHeight="1" x14ac:dyDescent="0.3"/>
    <row r="2428" ht="12" customHeight="1" x14ac:dyDescent="0.3"/>
    <row r="2429" ht="12" customHeight="1" x14ac:dyDescent="0.3"/>
    <row r="2430" ht="12" customHeight="1" x14ac:dyDescent="0.3"/>
    <row r="2431" ht="12" customHeight="1" x14ac:dyDescent="0.3"/>
    <row r="2432" ht="12" customHeight="1" x14ac:dyDescent="0.3"/>
    <row r="2433" ht="12" customHeight="1" x14ac:dyDescent="0.3"/>
    <row r="2434" ht="12" customHeight="1" x14ac:dyDescent="0.3"/>
    <row r="2435" ht="12" customHeight="1" x14ac:dyDescent="0.3"/>
    <row r="2436" ht="12" customHeight="1" x14ac:dyDescent="0.3"/>
    <row r="2437" ht="12" customHeight="1" x14ac:dyDescent="0.3"/>
    <row r="2438" ht="12" customHeight="1" x14ac:dyDescent="0.3"/>
    <row r="2439" ht="12" customHeight="1" x14ac:dyDescent="0.3"/>
    <row r="2440" ht="12" customHeight="1" x14ac:dyDescent="0.3"/>
    <row r="2441" ht="12" customHeight="1" x14ac:dyDescent="0.3"/>
    <row r="2442" ht="12" customHeight="1" x14ac:dyDescent="0.3"/>
    <row r="2443" ht="12" customHeight="1" x14ac:dyDescent="0.3"/>
    <row r="2444" ht="12" customHeight="1" x14ac:dyDescent="0.3"/>
    <row r="2445" ht="12" customHeight="1" x14ac:dyDescent="0.3"/>
    <row r="2446" ht="12" customHeight="1" x14ac:dyDescent="0.3"/>
    <row r="2447" ht="12" customHeight="1" x14ac:dyDescent="0.3"/>
    <row r="2448" ht="12" customHeight="1" x14ac:dyDescent="0.3"/>
    <row r="2449" ht="12" customHeight="1" x14ac:dyDescent="0.3"/>
    <row r="2450" ht="12" customHeight="1" x14ac:dyDescent="0.3"/>
    <row r="2451" ht="12" customHeight="1" x14ac:dyDescent="0.3"/>
    <row r="2452" ht="12" customHeight="1" x14ac:dyDescent="0.3"/>
    <row r="2453" ht="12" customHeight="1" x14ac:dyDescent="0.3"/>
    <row r="2454" ht="12" customHeight="1" x14ac:dyDescent="0.3"/>
    <row r="2455" ht="12" customHeight="1" x14ac:dyDescent="0.3"/>
    <row r="2456" ht="12" customHeight="1" x14ac:dyDescent="0.3"/>
    <row r="2457" ht="12" customHeight="1" x14ac:dyDescent="0.3"/>
    <row r="2458" ht="12" customHeight="1" x14ac:dyDescent="0.3"/>
    <row r="2459" ht="12" customHeight="1" x14ac:dyDescent="0.3"/>
    <row r="2460" ht="12" customHeight="1" x14ac:dyDescent="0.3"/>
    <row r="2461" ht="12" customHeight="1" x14ac:dyDescent="0.3"/>
    <row r="2462" ht="12" customHeight="1" x14ac:dyDescent="0.3"/>
    <row r="2463" ht="12" customHeight="1" x14ac:dyDescent="0.3"/>
    <row r="2464" ht="12" customHeight="1" x14ac:dyDescent="0.3"/>
    <row r="2465" ht="12" customHeight="1" x14ac:dyDescent="0.3"/>
    <row r="2466" ht="12" customHeight="1" x14ac:dyDescent="0.3"/>
    <row r="2467" ht="12" customHeight="1" x14ac:dyDescent="0.3"/>
    <row r="2468" ht="12" customHeight="1" x14ac:dyDescent="0.3"/>
    <row r="2469" ht="12" customHeight="1" x14ac:dyDescent="0.3"/>
    <row r="2470" ht="12" customHeight="1" x14ac:dyDescent="0.3"/>
    <row r="2471" ht="12" customHeight="1" x14ac:dyDescent="0.3"/>
    <row r="2472" ht="12" customHeight="1" x14ac:dyDescent="0.3"/>
    <row r="2473" ht="12" customHeight="1" x14ac:dyDescent="0.3"/>
    <row r="2474" ht="12" customHeight="1" x14ac:dyDescent="0.3"/>
    <row r="2475" ht="12" customHeight="1" x14ac:dyDescent="0.3"/>
    <row r="2476" ht="12" customHeight="1" x14ac:dyDescent="0.3"/>
    <row r="2477" ht="12" customHeight="1" x14ac:dyDescent="0.3"/>
    <row r="2484" ht="12" customHeight="1" x14ac:dyDescent="0.3"/>
    <row r="2486" ht="12" customHeight="1" x14ac:dyDescent="0.3"/>
    <row r="2488" ht="12" customHeight="1" x14ac:dyDescent="0.3"/>
    <row r="2493" ht="12" customHeight="1" x14ac:dyDescent="0.3"/>
    <row r="2527" ht="12" customHeight="1" x14ac:dyDescent="0.3"/>
    <row r="2529" spans="3:33" ht="12" customHeight="1" x14ac:dyDescent="0.3"/>
    <row r="2531" spans="3:33" ht="15" customHeight="1" x14ac:dyDescent="0.3">
      <c r="C2531" s="161"/>
      <c r="D2531" s="161"/>
      <c r="E2531" s="161"/>
      <c r="F2531" s="161"/>
      <c r="G2531" s="161"/>
      <c r="H2531" s="161"/>
      <c r="I2531" s="161"/>
      <c r="J2531" s="161"/>
      <c r="K2531" s="161"/>
      <c r="L2531" s="161"/>
      <c r="M2531" s="161"/>
      <c r="N2531" s="161"/>
      <c r="O2531" s="161"/>
      <c r="P2531" s="161"/>
      <c r="Q2531" s="161"/>
      <c r="R2531" s="161"/>
      <c r="S2531" s="161"/>
      <c r="T2531" s="161"/>
      <c r="U2531" s="161"/>
      <c r="V2531" s="161"/>
      <c r="W2531" s="161"/>
      <c r="X2531" s="161"/>
      <c r="Y2531" s="161"/>
      <c r="Z2531" s="161"/>
      <c r="AA2531" s="161"/>
      <c r="AB2531" s="161"/>
      <c r="AC2531" s="161"/>
      <c r="AD2531" s="161"/>
      <c r="AE2531" s="161"/>
      <c r="AF2531" s="161"/>
      <c r="AG2531" s="161"/>
    </row>
    <row r="2534" spans="3:33" ht="12" customHeight="1" x14ac:dyDescent="0.3"/>
    <row r="2535" spans="3:33" ht="12" customHeight="1" x14ac:dyDescent="0.3"/>
    <row r="2536" spans="3:33" ht="12" customHeight="1" x14ac:dyDescent="0.3"/>
    <row r="2537" spans="3:33" ht="12" customHeight="1" x14ac:dyDescent="0.3"/>
    <row r="2538" spans="3:33" ht="12" customHeight="1" x14ac:dyDescent="0.3"/>
    <row r="2539" spans="3:33" ht="12" customHeight="1" x14ac:dyDescent="0.3"/>
    <row r="2540" spans="3:33" ht="12" customHeight="1" x14ac:dyDescent="0.3"/>
    <row r="2541" spans="3:33" ht="12" customHeight="1" x14ac:dyDescent="0.3"/>
    <row r="2542" spans="3:33" ht="12" customHeight="1" x14ac:dyDescent="0.3"/>
    <row r="2543" spans="3:33" ht="12" customHeight="1" x14ac:dyDescent="0.3"/>
    <row r="2544" spans="3:33" ht="12" customHeight="1" x14ac:dyDescent="0.3"/>
    <row r="2545" ht="12" customHeight="1" x14ac:dyDescent="0.3"/>
    <row r="2546" ht="12" customHeight="1" x14ac:dyDescent="0.3"/>
    <row r="2547" ht="12" customHeight="1" x14ac:dyDescent="0.3"/>
    <row r="2548" ht="12" customHeight="1" x14ac:dyDescent="0.3"/>
    <row r="2549" ht="12" customHeight="1" x14ac:dyDescent="0.3"/>
    <row r="2550" ht="12" customHeight="1" x14ac:dyDescent="0.3"/>
    <row r="2551" ht="12" customHeight="1" x14ac:dyDescent="0.3"/>
    <row r="2552" ht="12" customHeight="1" x14ac:dyDescent="0.3"/>
    <row r="2553" ht="12" customHeight="1" x14ac:dyDescent="0.3"/>
    <row r="2554" ht="12" customHeight="1" x14ac:dyDescent="0.3"/>
    <row r="2555" ht="12" customHeight="1" x14ac:dyDescent="0.3"/>
    <row r="2556" ht="12" customHeight="1" x14ac:dyDescent="0.3"/>
    <row r="2557" ht="12" customHeight="1" x14ac:dyDescent="0.3"/>
    <row r="2558" ht="12" customHeight="1" x14ac:dyDescent="0.3"/>
    <row r="2559" ht="12" customHeight="1" x14ac:dyDescent="0.3"/>
    <row r="2560" ht="12" customHeight="1" x14ac:dyDescent="0.3"/>
    <row r="2561" ht="12" customHeight="1" x14ac:dyDescent="0.3"/>
    <row r="2562" ht="12" customHeight="1" x14ac:dyDescent="0.3"/>
    <row r="2563" ht="12" customHeight="1" x14ac:dyDescent="0.3"/>
    <row r="2564" ht="12" customHeight="1" x14ac:dyDescent="0.3"/>
    <row r="2565" ht="12" customHeight="1" x14ac:dyDescent="0.3"/>
    <row r="2566" ht="12" customHeight="1" x14ac:dyDescent="0.3"/>
    <row r="2567" ht="12" customHeight="1" x14ac:dyDescent="0.3"/>
    <row r="2568" ht="12" customHeight="1" x14ac:dyDescent="0.3"/>
    <row r="2569" ht="12" customHeight="1" x14ac:dyDescent="0.3"/>
    <row r="2570" ht="12" customHeight="1" x14ac:dyDescent="0.3"/>
    <row r="2571" ht="12" customHeight="1" x14ac:dyDescent="0.3"/>
    <row r="2572" ht="12" customHeight="1" x14ac:dyDescent="0.3"/>
    <row r="2573" ht="12" customHeight="1" x14ac:dyDescent="0.3"/>
    <row r="2574" ht="12" customHeight="1" x14ac:dyDescent="0.3"/>
    <row r="2575" ht="12" customHeight="1" x14ac:dyDescent="0.3"/>
    <row r="2576" ht="12" customHeight="1" x14ac:dyDescent="0.3"/>
    <row r="2577" ht="12" customHeight="1" x14ac:dyDescent="0.3"/>
    <row r="2578" ht="12" customHeight="1" x14ac:dyDescent="0.3"/>
    <row r="2579" ht="12" customHeight="1" x14ac:dyDescent="0.3"/>
    <row r="2580" ht="12" customHeight="1" x14ac:dyDescent="0.3"/>
    <row r="2581" ht="12" customHeight="1" x14ac:dyDescent="0.3"/>
    <row r="2582" ht="12" customHeight="1" x14ac:dyDescent="0.3"/>
    <row r="2583" ht="12" customHeight="1" x14ac:dyDescent="0.3"/>
    <row r="2584" ht="12" customHeight="1" x14ac:dyDescent="0.3"/>
    <row r="2585" ht="12" customHeight="1" x14ac:dyDescent="0.3"/>
    <row r="2586" ht="12" customHeight="1" x14ac:dyDescent="0.3"/>
    <row r="2587" ht="12" customHeight="1" x14ac:dyDescent="0.3"/>
    <row r="2588" ht="12" customHeight="1" x14ac:dyDescent="0.3"/>
    <row r="2589" ht="12" customHeight="1" x14ac:dyDescent="0.3"/>
    <row r="2590" ht="12" customHeight="1" x14ac:dyDescent="0.3"/>
    <row r="2591" ht="12" customHeight="1" x14ac:dyDescent="0.3"/>
    <row r="2592" ht="12" customHeight="1" x14ac:dyDescent="0.3"/>
    <row r="2593" ht="12" customHeight="1" x14ac:dyDescent="0.3"/>
    <row r="2594" ht="12" customHeight="1" x14ac:dyDescent="0.3"/>
    <row r="2595" ht="12" customHeight="1" x14ac:dyDescent="0.3"/>
    <row r="2596" ht="12" customHeight="1" x14ac:dyDescent="0.3"/>
    <row r="2597" ht="12" customHeight="1" x14ac:dyDescent="0.3"/>
    <row r="2598" ht="12" customHeight="1" x14ac:dyDescent="0.3"/>
    <row r="2599" ht="12" customHeight="1" x14ac:dyDescent="0.3"/>
    <row r="2600" ht="12" customHeight="1" x14ac:dyDescent="0.3"/>
    <row r="2601" ht="12" customHeight="1" x14ac:dyDescent="0.3"/>
    <row r="2602" ht="12" customHeight="1" x14ac:dyDescent="0.3"/>
    <row r="2603" ht="12" customHeight="1" x14ac:dyDescent="0.3"/>
    <row r="2604" ht="12" customHeight="1" x14ac:dyDescent="0.3"/>
    <row r="2605" ht="12" customHeight="1" x14ac:dyDescent="0.3"/>
    <row r="2606" ht="12" customHeight="1" x14ac:dyDescent="0.3"/>
    <row r="2607" ht="12" customHeight="1" x14ac:dyDescent="0.3"/>
    <row r="2608" ht="12" customHeight="1" x14ac:dyDescent="0.3"/>
    <row r="2609" ht="12" customHeight="1" x14ac:dyDescent="0.3"/>
    <row r="2610" ht="12" customHeight="1" x14ac:dyDescent="0.3"/>
    <row r="2611" ht="12" customHeight="1" x14ac:dyDescent="0.3"/>
    <row r="2612" ht="12" customHeight="1" x14ac:dyDescent="0.3"/>
    <row r="2613" ht="12" customHeight="1" x14ac:dyDescent="0.3"/>
    <row r="2614" ht="12" customHeight="1" x14ac:dyDescent="0.3"/>
    <row r="2615" ht="12" customHeight="1" x14ac:dyDescent="0.3"/>
    <row r="2616" ht="12" customHeight="1" x14ac:dyDescent="0.3"/>
    <row r="2617" ht="12" customHeight="1" x14ac:dyDescent="0.3"/>
    <row r="2618" ht="12" customHeight="1" x14ac:dyDescent="0.3"/>
    <row r="2619" ht="12" customHeight="1" x14ac:dyDescent="0.3"/>
    <row r="2620" ht="12" customHeight="1" x14ac:dyDescent="0.3"/>
    <row r="2621" ht="12" customHeight="1" x14ac:dyDescent="0.3"/>
    <row r="2622" ht="12" customHeight="1" x14ac:dyDescent="0.3"/>
    <row r="2623" ht="12" customHeight="1" x14ac:dyDescent="0.3"/>
    <row r="2624" ht="12" customHeight="1" x14ac:dyDescent="0.3"/>
    <row r="2625" ht="12" customHeight="1" x14ac:dyDescent="0.3"/>
    <row r="2626" ht="12" customHeight="1" x14ac:dyDescent="0.3"/>
    <row r="2627" ht="12" customHeight="1" x14ac:dyDescent="0.3"/>
    <row r="2634" ht="12" customHeight="1" x14ac:dyDescent="0.3"/>
    <row r="2636" ht="12" customHeight="1" x14ac:dyDescent="0.3"/>
    <row r="2638" ht="12" customHeight="1" x14ac:dyDescent="0.3"/>
    <row r="2643" ht="12" customHeight="1" x14ac:dyDescent="0.3"/>
    <row r="2677" spans="3:33" ht="12" customHeight="1" x14ac:dyDescent="0.3"/>
    <row r="2679" spans="3:33" ht="12" customHeight="1" x14ac:dyDescent="0.3"/>
    <row r="2681" spans="3:33" ht="15" customHeight="1" x14ac:dyDescent="0.3">
      <c r="C2681" s="161"/>
      <c r="D2681" s="161"/>
      <c r="E2681" s="161"/>
      <c r="F2681" s="161"/>
      <c r="G2681" s="161"/>
      <c r="H2681" s="161"/>
      <c r="I2681" s="161"/>
      <c r="J2681" s="161"/>
      <c r="K2681" s="161"/>
      <c r="L2681" s="161"/>
      <c r="M2681" s="161"/>
      <c r="N2681" s="161"/>
      <c r="O2681" s="161"/>
      <c r="P2681" s="161"/>
      <c r="Q2681" s="161"/>
      <c r="R2681" s="161"/>
      <c r="S2681" s="161"/>
      <c r="T2681" s="161"/>
      <c r="U2681" s="161"/>
      <c r="V2681" s="161"/>
      <c r="W2681" s="161"/>
      <c r="X2681" s="161"/>
      <c r="Y2681" s="161"/>
      <c r="Z2681" s="161"/>
      <c r="AA2681" s="161"/>
      <c r="AB2681" s="161"/>
      <c r="AC2681" s="161"/>
      <c r="AD2681" s="161"/>
      <c r="AE2681" s="161"/>
      <c r="AF2681" s="161"/>
      <c r="AG2681" s="161"/>
    </row>
    <row r="2684" spans="3:33" ht="12" customHeight="1" x14ac:dyDescent="0.3"/>
    <row r="2685" spans="3:33" ht="12" customHeight="1" x14ac:dyDescent="0.3"/>
    <row r="2686" spans="3:33" ht="12" customHeight="1" x14ac:dyDescent="0.3"/>
    <row r="2687" spans="3:33" ht="12" customHeight="1" x14ac:dyDescent="0.3"/>
    <row r="2688" spans="3:33" ht="12" customHeight="1" x14ac:dyDescent="0.3"/>
    <row r="2689" ht="12" customHeight="1" x14ac:dyDescent="0.3"/>
    <row r="2690" ht="12" customHeight="1" x14ac:dyDescent="0.3"/>
    <row r="2691" ht="12" customHeight="1" x14ac:dyDescent="0.3"/>
    <row r="2692" ht="12" customHeight="1" x14ac:dyDescent="0.3"/>
    <row r="2693" ht="12" customHeight="1" x14ac:dyDescent="0.3"/>
    <row r="2694" ht="12" customHeight="1" x14ac:dyDescent="0.3"/>
    <row r="2695" ht="12" customHeight="1" x14ac:dyDescent="0.3"/>
    <row r="2696" ht="12" customHeight="1" x14ac:dyDescent="0.3"/>
    <row r="2697" ht="12" customHeight="1" x14ac:dyDescent="0.3"/>
    <row r="2698" ht="12" customHeight="1" x14ac:dyDescent="0.3"/>
    <row r="2699" ht="12" customHeight="1" x14ac:dyDescent="0.3"/>
    <row r="2700" ht="12" customHeight="1" x14ac:dyDescent="0.3"/>
    <row r="2701" ht="12" customHeight="1" x14ac:dyDescent="0.3"/>
    <row r="2702" ht="12" customHeight="1" x14ac:dyDescent="0.3"/>
    <row r="2703" ht="12" customHeight="1" x14ac:dyDescent="0.3"/>
    <row r="2704" ht="12" customHeight="1" x14ac:dyDescent="0.3"/>
    <row r="2705" ht="12" customHeight="1" x14ac:dyDescent="0.3"/>
    <row r="2706" ht="12" customHeight="1" x14ac:dyDescent="0.3"/>
    <row r="2707" ht="12" customHeight="1" x14ac:dyDescent="0.3"/>
    <row r="2708" ht="12" customHeight="1" x14ac:dyDescent="0.3"/>
    <row r="2709" ht="12" customHeight="1" x14ac:dyDescent="0.3"/>
    <row r="2710" ht="12" customHeight="1" x14ac:dyDescent="0.3"/>
    <row r="2711" ht="12" customHeight="1" x14ac:dyDescent="0.3"/>
    <row r="2712" ht="12" customHeight="1" x14ac:dyDescent="0.3"/>
    <row r="2713" ht="12" customHeight="1" x14ac:dyDescent="0.3"/>
    <row r="2714" ht="12" customHeight="1" x14ac:dyDescent="0.3"/>
    <row r="2715" ht="12" customHeight="1" x14ac:dyDescent="0.3"/>
    <row r="2716" ht="12" customHeight="1" x14ac:dyDescent="0.3"/>
    <row r="2717" ht="12" customHeight="1" x14ac:dyDescent="0.3"/>
    <row r="2718" ht="12" customHeight="1" x14ac:dyDescent="0.3"/>
    <row r="2719" ht="12" customHeight="1" x14ac:dyDescent="0.3"/>
    <row r="2720" ht="12" customHeight="1" x14ac:dyDescent="0.3"/>
    <row r="2721" ht="12" customHeight="1" x14ac:dyDescent="0.3"/>
    <row r="2722" ht="12" customHeight="1" x14ac:dyDescent="0.3"/>
    <row r="2723" ht="12" customHeight="1" x14ac:dyDescent="0.3"/>
    <row r="2724" ht="12" customHeight="1" x14ac:dyDescent="0.3"/>
    <row r="2725" ht="12" customHeight="1" x14ac:dyDescent="0.3"/>
    <row r="2726" ht="12" customHeight="1" x14ac:dyDescent="0.3"/>
    <row r="2727" ht="12" customHeight="1" x14ac:dyDescent="0.3"/>
    <row r="2728" ht="12" customHeight="1" x14ac:dyDescent="0.3"/>
    <row r="2729" ht="12" customHeight="1" x14ac:dyDescent="0.3"/>
    <row r="2730" ht="12" customHeight="1" x14ac:dyDescent="0.3"/>
    <row r="2731" ht="12" customHeight="1" x14ac:dyDescent="0.3"/>
    <row r="2732" ht="12" customHeight="1" x14ac:dyDescent="0.3"/>
    <row r="2733" ht="12" customHeight="1" x14ac:dyDescent="0.3"/>
    <row r="2734" ht="12" customHeight="1" x14ac:dyDescent="0.3"/>
    <row r="2735" ht="12" customHeight="1" x14ac:dyDescent="0.3"/>
    <row r="2736" ht="12" customHeight="1" x14ac:dyDescent="0.3"/>
    <row r="2737" ht="12" customHeight="1" x14ac:dyDescent="0.3"/>
    <row r="2738" ht="12" customHeight="1" x14ac:dyDescent="0.3"/>
    <row r="2739" ht="12" customHeight="1" x14ac:dyDescent="0.3"/>
    <row r="2740" ht="12" customHeight="1" x14ac:dyDescent="0.3"/>
    <row r="2741" ht="12" customHeight="1" x14ac:dyDescent="0.3"/>
    <row r="2742" ht="12" customHeight="1" x14ac:dyDescent="0.3"/>
    <row r="2743" ht="12" customHeight="1" x14ac:dyDescent="0.3"/>
    <row r="2744" ht="12" customHeight="1" x14ac:dyDescent="0.3"/>
    <row r="2745" ht="12" customHeight="1" x14ac:dyDescent="0.3"/>
    <row r="2746" ht="12" customHeight="1" x14ac:dyDescent="0.3"/>
    <row r="2747" ht="12" customHeight="1" x14ac:dyDescent="0.3"/>
    <row r="2748" ht="12" customHeight="1" x14ac:dyDescent="0.3"/>
    <row r="2749" ht="12" customHeight="1" x14ac:dyDescent="0.3"/>
    <row r="2750" ht="12" customHeight="1" x14ac:dyDescent="0.3"/>
    <row r="2751" ht="12" customHeight="1" x14ac:dyDescent="0.3"/>
    <row r="2752" ht="12" customHeight="1" x14ac:dyDescent="0.3"/>
    <row r="2753" ht="12" customHeight="1" x14ac:dyDescent="0.3"/>
    <row r="2754" ht="12" customHeight="1" x14ac:dyDescent="0.3"/>
    <row r="2755" ht="12" customHeight="1" x14ac:dyDescent="0.3"/>
    <row r="2756" ht="12" customHeight="1" x14ac:dyDescent="0.3"/>
    <row r="2757" ht="12" customHeight="1" x14ac:dyDescent="0.3"/>
    <row r="2758" ht="12" customHeight="1" x14ac:dyDescent="0.3"/>
    <row r="2759" ht="12" customHeight="1" x14ac:dyDescent="0.3"/>
    <row r="2760" ht="12" customHeight="1" x14ac:dyDescent="0.3"/>
    <row r="2761" ht="12" customHeight="1" x14ac:dyDescent="0.3"/>
    <row r="2762" ht="12" customHeight="1" x14ac:dyDescent="0.3"/>
    <row r="2763" ht="12" customHeight="1" x14ac:dyDescent="0.3"/>
    <row r="2764" ht="12" customHeight="1" x14ac:dyDescent="0.3"/>
    <row r="2765" ht="12" customHeight="1" x14ac:dyDescent="0.3"/>
    <row r="2766" ht="12" customHeight="1" x14ac:dyDescent="0.3"/>
    <row r="2767" ht="12" customHeight="1" x14ac:dyDescent="0.3"/>
    <row r="2768" ht="12" customHeight="1" x14ac:dyDescent="0.3"/>
    <row r="2769" ht="12" customHeight="1" x14ac:dyDescent="0.3"/>
    <row r="2770" ht="12" customHeight="1" x14ac:dyDescent="0.3"/>
    <row r="2771" ht="12" customHeight="1" x14ac:dyDescent="0.3"/>
    <row r="2772" ht="12" customHeight="1" x14ac:dyDescent="0.3"/>
    <row r="2773" ht="12" customHeight="1" x14ac:dyDescent="0.3"/>
    <row r="2774" ht="12" customHeight="1" x14ac:dyDescent="0.3"/>
    <row r="2775" ht="12" customHeight="1" x14ac:dyDescent="0.3"/>
    <row r="2776" ht="12" customHeight="1" x14ac:dyDescent="0.3"/>
    <row r="2777" ht="12" customHeight="1" x14ac:dyDescent="0.3"/>
    <row r="2784" ht="12" customHeight="1" x14ac:dyDescent="0.3"/>
    <row r="2786" ht="12" customHeight="1" x14ac:dyDescent="0.3"/>
    <row r="2788" ht="12" customHeight="1" x14ac:dyDescent="0.3"/>
    <row r="2793" ht="12" customHeight="1" x14ac:dyDescent="0.3"/>
    <row r="2827" spans="3:33" ht="12" customHeight="1" x14ac:dyDescent="0.3"/>
    <row r="2829" spans="3:33" ht="12" customHeight="1" x14ac:dyDescent="0.3"/>
    <row r="2831" spans="3:33" ht="15" customHeight="1" x14ac:dyDescent="0.3">
      <c r="C2831" s="161"/>
      <c r="D2831" s="161"/>
      <c r="E2831" s="161"/>
      <c r="F2831" s="161"/>
      <c r="G2831" s="161"/>
      <c r="H2831" s="161"/>
      <c r="I2831" s="161"/>
      <c r="J2831" s="161"/>
      <c r="K2831" s="161"/>
      <c r="L2831" s="161"/>
      <c r="M2831" s="161"/>
      <c r="N2831" s="161"/>
      <c r="O2831" s="161"/>
      <c r="P2831" s="161"/>
      <c r="Q2831" s="161"/>
      <c r="R2831" s="161"/>
      <c r="S2831" s="161"/>
      <c r="T2831" s="161"/>
      <c r="U2831" s="161"/>
      <c r="V2831" s="161"/>
      <c r="W2831" s="161"/>
      <c r="X2831" s="161"/>
      <c r="Y2831" s="161"/>
      <c r="Z2831" s="161"/>
      <c r="AA2831" s="161"/>
      <c r="AB2831" s="161"/>
      <c r="AC2831" s="161"/>
      <c r="AD2831" s="161"/>
      <c r="AE2831" s="161"/>
      <c r="AF2831" s="161"/>
      <c r="AG2831" s="161"/>
    </row>
  </sheetData>
  <mergeCells count="24">
    <mergeCell ref="C2231:AG2231"/>
    <mergeCell ref="C2381:AG2381"/>
    <mergeCell ref="C2531:AG2531"/>
    <mergeCell ref="C2681:AG2681"/>
    <mergeCell ref="C2831:AG2831"/>
    <mergeCell ref="C1538:AG1538"/>
    <mergeCell ref="C1631:AG1631"/>
    <mergeCell ref="C1781:AG1781"/>
    <mergeCell ref="C1931:AG1931"/>
    <mergeCell ref="C2081:AG2081"/>
    <mergeCell ref="C159:AG159"/>
    <mergeCell ref="C295:AG295"/>
    <mergeCell ref="C381:AG381"/>
    <mergeCell ref="C986:AG986"/>
    <mergeCell ref="C563:AG563"/>
    <mergeCell ref="C655:AG655"/>
    <mergeCell ref="C731:AG731"/>
    <mergeCell ref="C822:AG822"/>
    <mergeCell ref="C900:AG900"/>
    <mergeCell ref="C1085:AG1085"/>
    <mergeCell ref="C1182:AG1182"/>
    <mergeCell ref="C1316:AG1316"/>
    <mergeCell ref="C1434:AG1434"/>
    <mergeCell ref="C503:AH503"/>
  </mergeCells>
  <phoneticPr fontId="34" type="noConversion"/>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8858-54E7-41CA-9811-1FD7E577C535}">
  <dimension ref="A1:AH1513"/>
  <sheetViews>
    <sheetView workbookViewId="0">
      <selection activeCell="A20" sqref="A20"/>
    </sheetView>
  </sheetViews>
  <sheetFormatPr defaultColWidth="30.125" defaultRowHeight="16.5" x14ac:dyDescent="0.3"/>
  <sheetData>
    <row r="1" spans="1:34" ht="15" customHeight="1" thickBot="1" x14ac:dyDescent="0.35">
      <c r="C1" s="40" t="s">
        <v>1326</v>
      </c>
      <c r="D1" s="41">
        <v>2021</v>
      </c>
      <c r="E1" s="41">
        <v>2022</v>
      </c>
      <c r="F1" s="41">
        <v>2023</v>
      </c>
      <c r="G1" s="41">
        <v>2024</v>
      </c>
      <c r="H1" s="41">
        <v>2025</v>
      </c>
      <c r="I1" s="41">
        <v>2026</v>
      </c>
      <c r="J1" s="41">
        <v>2027</v>
      </c>
      <c r="K1" s="41">
        <v>2028</v>
      </c>
      <c r="L1" s="41">
        <v>2029</v>
      </c>
      <c r="M1" s="41">
        <v>2030</v>
      </c>
      <c r="N1" s="41">
        <v>2031</v>
      </c>
      <c r="O1" s="41">
        <v>2032</v>
      </c>
      <c r="P1" s="41">
        <v>2033</v>
      </c>
      <c r="Q1" s="41">
        <v>2034</v>
      </c>
      <c r="R1" s="41">
        <v>2035</v>
      </c>
      <c r="S1" s="41">
        <v>2036</v>
      </c>
      <c r="T1" s="41">
        <v>2037</v>
      </c>
      <c r="U1" s="41">
        <v>2038</v>
      </c>
      <c r="V1" s="41">
        <v>2039</v>
      </c>
      <c r="W1" s="41">
        <v>2040</v>
      </c>
      <c r="X1" s="41">
        <v>2041</v>
      </c>
      <c r="Y1" s="41">
        <v>2042</v>
      </c>
      <c r="Z1" s="41">
        <v>2043</v>
      </c>
      <c r="AA1" s="41">
        <v>2044</v>
      </c>
      <c r="AB1" s="41">
        <v>2045</v>
      </c>
      <c r="AC1" s="41">
        <v>2046</v>
      </c>
      <c r="AD1" s="41">
        <v>2047</v>
      </c>
      <c r="AE1" s="41">
        <v>2048</v>
      </c>
      <c r="AF1" s="41">
        <v>2049</v>
      </c>
      <c r="AG1" s="41">
        <v>2050</v>
      </c>
    </row>
    <row r="2" spans="1:34" ht="15" customHeight="1" thickTop="1" x14ac:dyDescent="0.3"/>
    <row r="3" spans="1:34" ht="15" customHeight="1" x14ac:dyDescent="0.3">
      <c r="D3" s="128" t="s">
        <v>545</v>
      </c>
      <c r="E3" s="128" t="s">
        <v>1327</v>
      </c>
      <c r="F3" s="129"/>
      <c r="G3" s="129"/>
      <c r="H3" s="129"/>
    </row>
    <row r="4" spans="1:34" ht="15" customHeight="1" x14ac:dyDescent="0.3">
      <c r="D4" s="128" t="s">
        <v>546</v>
      </c>
      <c r="E4" s="128" t="s">
        <v>1328</v>
      </c>
      <c r="F4" s="129"/>
      <c r="G4" s="129"/>
      <c r="H4" s="128" t="s">
        <v>673</v>
      </c>
    </row>
    <row r="5" spans="1:34" ht="15" customHeight="1" x14ac:dyDescent="0.3">
      <c r="D5" s="128" t="s">
        <v>547</v>
      </c>
      <c r="E5" s="128" t="s">
        <v>1329</v>
      </c>
      <c r="F5" s="129"/>
      <c r="G5" s="129"/>
      <c r="H5" s="129"/>
    </row>
    <row r="6" spans="1:34" ht="15" customHeight="1" x14ac:dyDescent="0.3">
      <c r="D6" s="128" t="s">
        <v>548</v>
      </c>
      <c r="E6" s="129"/>
      <c r="F6" s="128" t="s">
        <v>1330</v>
      </c>
      <c r="G6" s="129"/>
      <c r="H6" s="129"/>
    </row>
    <row r="7" spans="1:34" ht="12" customHeight="1" x14ac:dyDescent="0.3"/>
    <row r="8" spans="1:34" ht="12" customHeight="1" x14ac:dyDescent="0.3"/>
    <row r="9" spans="1:34" ht="12" customHeight="1" x14ac:dyDescent="0.3"/>
    <row r="10" spans="1:34" ht="15" customHeight="1" x14ac:dyDescent="0.3">
      <c r="A10" s="64" t="s">
        <v>549</v>
      </c>
      <c r="B10" s="64"/>
      <c r="C10" s="130" t="s">
        <v>550</v>
      </c>
      <c r="AH10" s="67" t="s">
        <v>680</v>
      </c>
    </row>
    <row r="11" spans="1:34" ht="15" customHeight="1" x14ac:dyDescent="0.3">
      <c r="C11" s="40"/>
      <c r="AH11" s="67" t="s">
        <v>676</v>
      </c>
    </row>
    <row r="12" spans="1:34" ht="15" customHeight="1" x14ac:dyDescent="0.3">
      <c r="C12" s="40"/>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67" t="s">
        <v>53</v>
      </c>
    </row>
    <row r="13" spans="1:34" ht="15" customHeight="1" thickBot="1" x14ac:dyDescent="0.35">
      <c r="C13" s="41" t="s">
        <v>551</v>
      </c>
      <c r="D13" s="41">
        <v>2021</v>
      </c>
      <c r="E13" s="41">
        <v>2022</v>
      </c>
      <c r="F13" s="41">
        <v>2023</v>
      </c>
      <c r="G13" s="41">
        <v>2024</v>
      </c>
      <c r="H13" s="41">
        <v>2025</v>
      </c>
      <c r="I13" s="41">
        <v>2026</v>
      </c>
      <c r="J13" s="41">
        <v>2027</v>
      </c>
      <c r="K13" s="41">
        <v>2028</v>
      </c>
      <c r="L13" s="41">
        <v>2029</v>
      </c>
      <c r="M13" s="41">
        <v>2030</v>
      </c>
      <c r="N13" s="41">
        <v>2031</v>
      </c>
      <c r="O13" s="41">
        <v>2032</v>
      </c>
      <c r="P13" s="41">
        <v>2033</v>
      </c>
      <c r="Q13" s="41">
        <v>2034</v>
      </c>
      <c r="R13" s="41">
        <v>2035</v>
      </c>
      <c r="S13" s="41">
        <v>2036</v>
      </c>
      <c r="T13" s="41">
        <v>2037</v>
      </c>
      <c r="U13" s="41">
        <v>2038</v>
      </c>
      <c r="V13" s="41">
        <v>2039</v>
      </c>
      <c r="W13" s="41">
        <v>2040</v>
      </c>
      <c r="X13" s="41">
        <v>2041</v>
      </c>
      <c r="Y13" s="41">
        <v>2042</v>
      </c>
      <c r="Z13" s="41">
        <v>2043</v>
      </c>
      <c r="AA13" s="41">
        <v>2044</v>
      </c>
      <c r="AB13" s="41">
        <v>2045</v>
      </c>
      <c r="AC13" s="41">
        <v>2046</v>
      </c>
      <c r="AD13" s="41">
        <v>2047</v>
      </c>
      <c r="AE13" s="41">
        <v>2048</v>
      </c>
      <c r="AF13" s="41">
        <v>2049</v>
      </c>
      <c r="AG13" s="41">
        <v>2050</v>
      </c>
      <c r="AH13" s="71" t="s">
        <v>1331</v>
      </c>
    </row>
    <row r="14" spans="1:34" ht="15" customHeight="1" thickTop="1" x14ac:dyDescent="0.3">
      <c r="AH14" s="3"/>
    </row>
    <row r="15" spans="1:34" ht="15" customHeight="1" x14ac:dyDescent="0.3">
      <c r="A15" s="64" t="s">
        <v>552</v>
      </c>
      <c r="B15" s="64"/>
      <c r="C15" s="131" t="s">
        <v>553</v>
      </c>
      <c r="D15" s="132">
        <v>19438.871093999998</v>
      </c>
      <c r="E15" s="132">
        <v>20303.056640999999</v>
      </c>
      <c r="F15" s="132">
        <v>20862.089843999998</v>
      </c>
      <c r="G15" s="132">
        <v>21484.091797000001</v>
      </c>
      <c r="H15" s="132">
        <v>22061.072265999999</v>
      </c>
      <c r="I15" s="132">
        <v>22609.408202999999</v>
      </c>
      <c r="J15" s="132">
        <v>23060.261718999998</v>
      </c>
      <c r="K15" s="132">
        <v>23516.820312</v>
      </c>
      <c r="L15" s="132">
        <v>24014.523438</v>
      </c>
      <c r="M15" s="132">
        <v>24555.001952999999</v>
      </c>
      <c r="N15" s="132">
        <v>25077.849609000001</v>
      </c>
      <c r="O15" s="132">
        <v>25619.294922000001</v>
      </c>
      <c r="P15" s="132">
        <v>26179.601562</v>
      </c>
      <c r="Q15" s="132">
        <v>26734.855468999998</v>
      </c>
      <c r="R15" s="132">
        <v>27278.783202999999</v>
      </c>
      <c r="S15" s="132">
        <v>27816.730468999998</v>
      </c>
      <c r="T15" s="132">
        <v>28383.761718999998</v>
      </c>
      <c r="U15" s="132">
        <v>28943.429688</v>
      </c>
      <c r="V15" s="132">
        <v>29525.474609000001</v>
      </c>
      <c r="W15" s="132">
        <v>30134.960938</v>
      </c>
      <c r="X15" s="132">
        <v>30703.847656000002</v>
      </c>
      <c r="Y15" s="132">
        <v>31299.001952999999</v>
      </c>
      <c r="Z15" s="132">
        <v>31912.464843999998</v>
      </c>
      <c r="AA15" s="132">
        <v>32530.056640999999</v>
      </c>
      <c r="AB15" s="132">
        <v>33192.914062000003</v>
      </c>
      <c r="AC15" s="132">
        <v>33877.378905999998</v>
      </c>
      <c r="AD15" s="132">
        <v>34526.265625</v>
      </c>
      <c r="AE15" s="132">
        <v>35184.417969000002</v>
      </c>
      <c r="AF15" s="132">
        <v>35901.257812000003</v>
      </c>
      <c r="AG15" s="132">
        <v>36652.417969000002</v>
      </c>
      <c r="AH15" s="133">
        <v>2.2110000000000001E-2</v>
      </c>
    </row>
    <row r="16" spans="1:34" ht="15" customHeight="1" x14ac:dyDescent="0.3"/>
    <row r="17" spans="1:34" ht="15" customHeight="1" x14ac:dyDescent="0.3">
      <c r="A17" s="64" t="s">
        <v>554</v>
      </c>
      <c r="B17" s="64"/>
      <c r="C17" s="131" t="s">
        <v>555</v>
      </c>
      <c r="D17" s="132">
        <v>147.73539700000001</v>
      </c>
      <c r="E17" s="132">
        <v>151.963852</v>
      </c>
      <c r="F17" s="132">
        <v>154.613922</v>
      </c>
      <c r="G17" s="132">
        <v>156.59797699999999</v>
      </c>
      <c r="H17" s="132">
        <v>158.08708200000001</v>
      </c>
      <c r="I17" s="132">
        <v>159.09639000000001</v>
      </c>
      <c r="J17" s="132">
        <v>159.57170099999999</v>
      </c>
      <c r="K17" s="132">
        <v>159.86189300000001</v>
      </c>
      <c r="L17" s="132">
        <v>160.310013</v>
      </c>
      <c r="M17" s="132">
        <v>161.085037</v>
      </c>
      <c r="N17" s="132">
        <v>161.90631099999999</v>
      </c>
      <c r="O17" s="132">
        <v>162.76161200000001</v>
      </c>
      <c r="P17" s="132">
        <v>163.63912999999999</v>
      </c>
      <c r="Q17" s="132">
        <v>164.36712600000001</v>
      </c>
      <c r="R17" s="132">
        <v>164.97369399999999</v>
      </c>
      <c r="S17" s="132">
        <v>165.643585</v>
      </c>
      <c r="T17" s="132">
        <v>166.38374300000001</v>
      </c>
      <c r="U17" s="132">
        <v>167.03009</v>
      </c>
      <c r="V17" s="132">
        <v>167.69004799999999</v>
      </c>
      <c r="W17" s="132">
        <v>168.45996099999999</v>
      </c>
      <c r="X17" s="132">
        <v>169.02302599999999</v>
      </c>
      <c r="Y17" s="132">
        <v>169.64962800000001</v>
      </c>
      <c r="Z17" s="132">
        <v>170.25621000000001</v>
      </c>
      <c r="AA17" s="132">
        <v>170.88241600000001</v>
      </c>
      <c r="AB17" s="132">
        <v>171.69136</v>
      </c>
      <c r="AC17" s="132">
        <v>172.60467499999999</v>
      </c>
      <c r="AD17" s="132">
        <v>173.40042099999999</v>
      </c>
      <c r="AE17" s="132">
        <v>174.12158199999999</v>
      </c>
      <c r="AF17" s="132">
        <v>174.89842200000001</v>
      </c>
      <c r="AG17" s="132">
        <v>175.81246899999999</v>
      </c>
      <c r="AH17" s="133">
        <v>6.0179999999999999E-3</v>
      </c>
    </row>
    <row r="18" spans="1:34" ht="15" customHeight="1" x14ac:dyDescent="0.3"/>
    <row r="19" spans="1:34" ht="15" customHeight="1" x14ac:dyDescent="0.3">
      <c r="C19" s="131" t="s">
        <v>556</v>
      </c>
    </row>
    <row r="20" spans="1:34" ht="15" customHeight="1" x14ac:dyDescent="0.3"/>
    <row r="21" spans="1:34" ht="15" customHeight="1" x14ac:dyDescent="0.3">
      <c r="C21" s="131" t="s">
        <v>557</v>
      </c>
    </row>
    <row r="22" spans="1:34" ht="15" customHeight="1" x14ac:dyDescent="0.3">
      <c r="A22" s="64" t="s">
        <v>558</v>
      </c>
      <c r="B22" s="42" t="s">
        <v>2</v>
      </c>
      <c r="C22" s="134" t="s">
        <v>559</v>
      </c>
      <c r="D22" s="135">
        <v>545.77948000000004</v>
      </c>
      <c r="E22" s="135">
        <v>552.14721699999996</v>
      </c>
      <c r="F22" s="135">
        <v>560.64446999999996</v>
      </c>
      <c r="G22" s="135">
        <v>567.559753</v>
      </c>
      <c r="H22" s="135">
        <v>573.87243699999999</v>
      </c>
      <c r="I22" s="135">
        <v>580.91406199999994</v>
      </c>
      <c r="J22" s="135">
        <v>586.72790499999996</v>
      </c>
      <c r="K22" s="135">
        <v>591.82110599999999</v>
      </c>
      <c r="L22" s="135">
        <v>596.948669</v>
      </c>
      <c r="M22" s="135">
        <v>602.08496100000002</v>
      </c>
      <c r="N22" s="135">
        <v>607.32519500000001</v>
      </c>
      <c r="O22" s="135">
        <v>612.60632299999997</v>
      </c>
      <c r="P22" s="135">
        <v>618.47119099999998</v>
      </c>
      <c r="Q22" s="135">
        <v>624.12738000000002</v>
      </c>
      <c r="R22" s="135">
        <v>629.57202099999995</v>
      </c>
      <c r="S22" s="135">
        <v>634.99017300000003</v>
      </c>
      <c r="T22" s="135">
        <v>640.35760500000004</v>
      </c>
      <c r="U22" s="135">
        <v>645.62768600000004</v>
      </c>
      <c r="V22" s="135">
        <v>651.13116500000001</v>
      </c>
      <c r="W22" s="135">
        <v>656.64172399999995</v>
      </c>
      <c r="X22" s="135">
        <v>661.955017</v>
      </c>
      <c r="Y22" s="135">
        <v>667.49902299999997</v>
      </c>
      <c r="Z22" s="135">
        <v>673.15679899999998</v>
      </c>
      <c r="AA22" s="135">
        <v>678.73230000000001</v>
      </c>
      <c r="AB22" s="135">
        <v>684.35681199999999</v>
      </c>
      <c r="AC22" s="135">
        <v>689.95391800000004</v>
      </c>
      <c r="AD22" s="135">
        <v>695.43633999999997</v>
      </c>
      <c r="AE22" s="135">
        <v>700.97406000000001</v>
      </c>
      <c r="AF22" s="135">
        <v>706.69726600000001</v>
      </c>
      <c r="AG22" s="135">
        <v>712.40210000000002</v>
      </c>
      <c r="AH22" s="136">
        <v>9.2300000000000004E-3</v>
      </c>
    </row>
    <row r="23" spans="1:34" ht="15" customHeight="1" x14ac:dyDescent="0.3">
      <c r="A23" s="64" t="s">
        <v>560</v>
      </c>
      <c r="B23" s="42" t="s">
        <v>642</v>
      </c>
      <c r="C23" s="134" t="s">
        <v>561</v>
      </c>
      <c r="D23" s="135">
        <v>688.52893100000006</v>
      </c>
      <c r="E23" s="135">
        <v>689.23773200000005</v>
      </c>
      <c r="F23" s="135">
        <v>702.49676499999998</v>
      </c>
      <c r="G23" s="135">
        <v>709.75579800000003</v>
      </c>
      <c r="H23" s="135">
        <v>718.94476299999997</v>
      </c>
      <c r="I23" s="135">
        <v>722.81500200000005</v>
      </c>
      <c r="J23" s="135">
        <v>722.08892800000001</v>
      </c>
      <c r="K23" s="135">
        <v>730.04760699999997</v>
      </c>
      <c r="L23" s="135">
        <v>731.65649399999995</v>
      </c>
      <c r="M23" s="135">
        <v>731.262878</v>
      </c>
      <c r="N23" s="135">
        <v>732.96624799999995</v>
      </c>
      <c r="O23" s="135">
        <v>733.21105999999997</v>
      </c>
      <c r="P23" s="135">
        <v>736.24078399999996</v>
      </c>
      <c r="Q23" s="135">
        <v>733.50500499999998</v>
      </c>
      <c r="R23" s="135">
        <v>731.31286599999999</v>
      </c>
      <c r="S23" s="135">
        <v>729.72796600000004</v>
      </c>
      <c r="T23" s="135">
        <v>728.67474400000003</v>
      </c>
      <c r="U23" s="135">
        <v>730.38891599999999</v>
      </c>
      <c r="V23" s="135">
        <v>733.61712599999998</v>
      </c>
      <c r="W23" s="135">
        <v>739.078125</v>
      </c>
      <c r="X23" s="135">
        <v>743.18737799999997</v>
      </c>
      <c r="Y23" s="135">
        <v>747.12030000000004</v>
      </c>
      <c r="Z23" s="135">
        <v>748.44061299999998</v>
      </c>
      <c r="AA23" s="135">
        <v>753.52880900000002</v>
      </c>
      <c r="AB23" s="135">
        <v>758.35400400000003</v>
      </c>
      <c r="AC23" s="135">
        <v>761.52868699999999</v>
      </c>
      <c r="AD23" s="135">
        <v>761.067993</v>
      </c>
      <c r="AE23" s="135">
        <v>761.68920900000001</v>
      </c>
      <c r="AF23" s="135">
        <v>767.09283400000004</v>
      </c>
      <c r="AG23" s="135">
        <v>774.311646</v>
      </c>
      <c r="AH23" s="136">
        <v>4.0569999999999998E-3</v>
      </c>
    </row>
    <row r="24" spans="1:34" ht="15" customHeight="1" x14ac:dyDescent="0.3">
      <c r="A24" s="64" t="s">
        <v>562</v>
      </c>
      <c r="B24" s="42" t="s">
        <v>18</v>
      </c>
      <c r="C24" s="134" t="s">
        <v>563</v>
      </c>
      <c r="D24" s="135">
        <v>1448.7993160000001</v>
      </c>
      <c r="E24" s="135">
        <v>1442.720947</v>
      </c>
      <c r="F24" s="135">
        <v>1437.3000489999999</v>
      </c>
      <c r="G24" s="135">
        <v>1458.235962</v>
      </c>
      <c r="H24" s="135">
        <v>1477.748779</v>
      </c>
      <c r="I24" s="135">
        <v>1492.209961</v>
      </c>
      <c r="J24" s="135">
        <v>1487.427246</v>
      </c>
      <c r="K24" s="135">
        <v>1483.8790280000001</v>
      </c>
      <c r="L24" s="135">
        <v>1494.7619629999999</v>
      </c>
      <c r="M24" s="135">
        <v>1510.8842770000001</v>
      </c>
      <c r="N24" s="135">
        <v>1524.203491</v>
      </c>
      <c r="O24" s="135">
        <v>1540.860962</v>
      </c>
      <c r="P24" s="135">
        <v>1562.8482670000001</v>
      </c>
      <c r="Q24" s="135">
        <v>1583.0124510000001</v>
      </c>
      <c r="R24" s="135">
        <v>1603.24353</v>
      </c>
      <c r="S24" s="135">
        <v>1623.9289550000001</v>
      </c>
      <c r="T24" s="135">
        <v>1649.5417480000001</v>
      </c>
      <c r="U24" s="135">
        <v>1678.0014650000001</v>
      </c>
      <c r="V24" s="135">
        <v>1705.3110349999999</v>
      </c>
      <c r="W24" s="135">
        <v>1732.432251</v>
      </c>
      <c r="X24" s="135">
        <v>1759.1829829999999</v>
      </c>
      <c r="Y24" s="135">
        <v>1783.3942870000001</v>
      </c>
      <c r="Z24" s="135">
        <v>1811.0947269999999</v>
      </c>
      <c r="AA24" s="135">
        <v>1839.1035159999999</v>
      </c>
      <c r="AB24" s="135">
        <v>1867.851807</v>
      </c>
      <c r="AC24" s="135">
        <v>1897.674561</v>
      </c>
      <c r="AD24" s="135">
        <v>1923.607544</v>
      </c>
      <c r="AE24" s="135">
        <v>1949.1225589999999</v>
      </c>
      <c r="AF24" s="135">
        <v>1977.434448</v>
      </c>
      <c r="AG24" s="135">
        <v>2011.724731</v>
      </c>
      <c r="AH24" s="136">
        <v>1.1384E-2</v>
      </c>
    </row>
    <row r="25" spans="1:34" ht="12" customHeight="1" x14ac:dyDescent="0.3"/>
    <row r="26" spans="1:34" ht="12" customHeight="1" x14ac:dyDescent="0.3">
      <c r="C26" s="131" t="s">
        <v>564</v>
      </c>
    </row>
    <row r="27" spans="1:34" ht="12" customHeight="1" x14ac:dyDescent="0.3">
      <c r="A27" s="64" t="s">
        <v>565</v>
      </c>
      <c r="B27" s="42" t="s">
        <v>5</v>
      </c>
      <c r="C27" s="134" t="s">
        <v>566</v>
      </c>
      <c r="D27" s="135">
        <v>951.64434800000004</v>
      </c>
      <c r="E27" s="135">
        <v>969.73547399999995</v>
      </c>
      <c r="F27" s="135">
        <v>975.43127400000003</v>
      </c>
      <c r="G27" s="135">
        <v>983.50012200000003</v>
      </c>
      <c r="H27" s="135">
        <v>993.35528599999998</v>
      </c>
      <c r="I27" s="135">
        <v>1003.631226</v>
      </c>
      <c r="J27" s="135">
        <v>1013.578003</v>
      </c>
      <c r="K27" s="135">
        <v>1024.7404790000001</v>
      </c>
      <c r="L27" s="135">
        <v>1035.0825199999999</v>
      </c>
      <c r="M27" s="135">
        <v>1044.61499</v>
      </c>
      <c r="N27" s="135">
        <v>1054.930298</v>
      </c>
      <c r="O27" s="135">
        <v>1065.0167240000001</v>
      </c>
      <c r="P27" s="135">
        <v>1074.1035159999999</v>
      </c>
      <c r="Q27" s="135">
        <v>1082.758057</v>
      </c>
      <c r="R27" s="135">
        <v>1091.6319579999999</v>
      </c>
      <c r="S27" s="135">
        <v>1100.974731</v>
      </c>
      <c r="T27" s="135">
        <v>1109.900024</v>
      </c>
      <c r="U27" s="135">
        <v>1119.00647</v>
      </c>
      <c r="V27" s="135">
        <v>1128.4291989999999</v>
      </c>
      <c r="W27" s="135">
        <v>1137.693726</v>
      </c>
      <c r="X27" s="135">
        <v>1146.8630370000001</v>
      </c>
      <c r="Y27" s="135">
        <v>1156.28772</v>
      </c>
      <c r="Z27" s="135">
        <v>1165.48999</v>
      </c>
      <c r="AA27" s="135">
        <v>1174.729004</v>
      </c>
      <c r="AB27" s="135">
        <v>1183.954712</v>
      </c>
      <c r="AC27" s="135">
        <v>1192.763794</v>
      </c>
      <c r="AD27" s="135">
        <v>1201.6180420000001</v>
      </c>
      <c r="AE27" s="135">
        <v>1210.6035159999999</v>
      </c>
      <c r="AF27" s="135">
        <v>1219.4704589999999</v>
      </c>
      <c r="AG27" s="135">
        <v>1228.284058</v>
      </c>
      <c r="AH27" s="136">
        <v>8.8380000000000004E-3</v>
      </c>
    </row>
    <row r="28" spans="1:34" ht="12" customHeight="1" x14ac:dyDescent="0.3">
      <c r="A28" s="64" t="s">
        <v>567</v>
      </c>
      <c r="B28" s="42" t="s">
        <v>5</v>
      </c>
      <c r="C28" s="134" t="s">
        <v>568</v>
      </c>
      <c r="D28" s="135">
        <v>150.72590600000001</v>
      </c>
      <c r="E28" s="135">
        <v>147.258499</v>
      </c>
      <c r="F28" s="135">
        <v>144.786148</v>
      </c>
      <c r="G28" s="135">
        <v>143.32643100000001</v>
      </c>
      <c r="H28" s="135">
        <v>142.30044599999999</v>
      </c>
      <c r="I28" s="135">
        <v>141.962051</v>
      </c>
      <c r="J28" s="135">
        <v>142.20155299999999</v>
      </c>
      <c r="K28" s="135">
        <v>142.80542</v>
      </c>
      <c r="L28" s="135">
        <v>143.61657700000001</v>
      </c>
      <c r="M28" s="135">
        <v>144.21667500000001</v>
      </c>
      <c r="N28" s="135">
        <v>144.745026</v>
      </c>
      <c r="O28" s="135">
        <v>145.86900299999999</v>
      </c>
      <c r="P28" s="135">
        <v>146.229401</v>
      </c>
      <c r="Q28" s="135">
        <v>146.5215</v>
      </c>
      <c r="R28" s="135">
        <v>147.08547999999999</v>
      </c>
      <c r="S28" s="135">
        <v>147.69236799999999</v>
      </c>
      <c r="T28" s="135">
        <v>148.363449</v>
      </c>
      <c r="U28" s="135">
        <v>149.079376</v>
      </c>
      <c r="V28" s="135">
        <v>149.82077000000001</v>
      </c>
      <c r="W28" s="135">
        <v>150.58372499999999</v>
      </c>
      <c r="X28" s="135">
        <v>151.42321799999999</v>
      </c>
      <c r="Y28" s="135">
        <v>152.351044</v>
      </c>
      <c r="Z28" s="135">
        <v>153.35232500000001</v>
      </c>
      <c r="AA28" s="135">
        <v>154.40097</v>
      </c>
      <c r="AB28" s="135">
        <v>155.42813100000001</v>
      </c>
      <c r="AC28" s="135">
        <v>156.50402800000001</v>
      </c>
      <c r="AD28" s="135">
        <v>157.642776</v>
      </c>
      <c r="AE28" s="135">
        <v>158.90267900000001</v>
      </c>
      <c r="AF28" s="135">
        <v>160.204025</v>
      </c>
      <c r="AG28" s="135">
        <v>161.54600500000001</v>
      </c>
      <c r="AH28" s="136">
        <v>2.3930000000000002E-3</v>
      </c>
    </row>
    <row r="29" spans="1:34" ht="12" customHeight="1" x14ac:dyDescent="0.3">
      <c r="A29" s="64" t="s">
        <v>569</v>
      </c>
      <c r="B29" s="42" t="s">
        <v>6</v>
      </c>
      <c r="C29" s="134" t="s">
        <v>570</v>
      </c>
      <c r="D29" s="135">
        <v>66.721694999999997</v>
      </c>
      <c r="E29" s="135">
        <v>67.593826000000007</v>
      </c>
      <c r="F29" s="135">
        <v>68.469559000000004</v>
      </c>
      <c r="G29" s="135">
        <v>69.033905000000004</v>
      </c>
      <c r="H29" s="135">
        <v>69.052764999999994</v>
      </c>
      <c r="I29" s="135">
        <v>68.939025999999998</v>
      </c>
      <c r="J29" s="135">
        <v>68.798462000000001</v>
      </c>
      <c r="K29" s="135">
        <v>68.594275999999994</v>
      </c>
      <c r="L29" s="135">
        <v>68.563225000000003</v>
      </c>
      <c r="M29" s="135">
        <v>68.533302000000006</v>
      </c>
      <c r="N29" s="135">
        <v>68.430938999999995</v>
      </c>
      <c r="O29" s="135">
        <v>68.233283999999998</v>
      </c>
      <c r="P29" s="135">
        <v>67.952147999999994</v>
      </c>
      <c r="Q29" s="135">
        <v>67.658034999999998</v>
      </c>
      <c r="R29" s="135">
        <v>67.259186</v>
      </c>
      <c r="S29" s="135">
        <v>66.854468999999995</v>
      </c>
      <c r="T29" s="135">
        <v>66.612335000000002</v>
      </c>
      <c r="U29" s="135">
        <v>66.362815999999995</v>
      </c>
      <c r="V29" s="135">
        <v>66.145142000000007</v>
      </c>
      <c r="W29" s="135">
        <v>65.970000999999996</v>
      </c>
      <c r="X29" s="135">
        <v>65.693213999999998</v>
      </c>
      <c r="Y29" s="135">
        <v>65.481339000000006</v>
      </c>
      <c r="Z29" s="135">
        <v>65.372375000000005</v>
      </c>
      <c r="AA29" s="135">
        <v>65.213631000000007</v>
      </c>
      <c r="AB29" s="135">
        <v>65.032646</v>
      </c>
      <c r="AC29" s="135">
        <v>64.864479000000003</v>
      </c>
      <c r="AD29" s="135">
        <v>64.590843000000007</v>
      </c>
      <c r="AE29" s="135">
        <v>64.266777000000005</v>
      </c>
      <c r="AF29" s="135">
        <v>64.021324000000007</v>
      </c>
      <c r="AG29" s="135">
        <v>63.775252999999999</v>
      </c>
      <c r="AH29" s="136">
        <v>-1.5560000000000001E-3</v>
      </c>
    </row>
    <row r="30" spans="1:34" ht="12" customHeight="1" x14ac:dyDescent="0.3">
      <c r="A30" s="64" t="s">
        <v>571</v>
      </c>
      <c r="B30" s="42" t="s">
        <v>7</v>
      </c>
      <c r="C30" s="134" t="s">
        <v>572</v>
      </c>
      <c r="D30" s="135">
        <v>109.865883</v>
      </c>
      <c r="E30" s="135">
        <v>106.002853</v>
      </c>
      <c r="F30" s="135">
        <v>99.745964000000001</v>
      </c>
      <c r="G30" s="135">
        <v>100.82505</v>
      </c>
      <c r="H30" s="135">
        <v>103.029526</v>
      </c>
      <c r="I30" s="135">
        <v>101.700401</v>
      </c>
      <c r="J30" s="135">
        <v>99.706389999999999</v>
      </c>
      <c r="K30" s="135">
        <v>98.509315000000001</v>
      </c>
      <c r="L30" s="135">
        <v>99.302047999999999</v>
      </c>
      <c r="M30" s="135">
        <v>100.309151</v>
      </c>
      <c r="N30" s="135">
        <v>100.325546</v>
      </c>
      <c r="O30" s="135">
        <v>100.400299</v>
      </c>
      <c r="P30" s="135">
        <v>100.479073</v>
      </c>
      <c r="Q30" s="135">
        <v>100.723373</v>
      </c>
      <c r="R30" s="135">
        <v>101.103523</v>
      </c>
      <c r="S30" s="135">
        <v>101.577248</v>
      </c>
      <c r="T30" s="135">
        <v>102.094872</v>
      </c>
      <c r="U30" s="135">
        <v>102.705704</v>
      </c>
      <c r="V30" s="135">
        <v>103.158226</v>
      </c>
      <c r="W30" s="135">
        <v>103.58487700000001</v>
      </c>
      <c r="X30" s="135">
        <v>104.385452</v>
      </c>
      <c r="Y30" s="135">
        <v>105.333153</v>
      </c>
      <c r="Z30" s="135">
        <v>106.280174</v>
      </c>
      <c r="AA30" s="135">
        <v>107.1138</v>
      </c>
      <c r="AB30" s="135">
        <v>107.567978</v>
      </c>
      <c r="AC30" s="135">
        <v>108.253426</v>
      </c>
      <c r="AD30" s="135">
        <v>108.725647</v>
      </c>
      <c r="AE30" s="135">
        <v>108.808998</v>
      </c>
      <c r="AF30" s="135">
        <v>109.434128</v>
      </c>
      <c r="AG30" s="135">
        <v>110.899147</v>
      </c>
      <c r="AH30" s="136">
        <v>3.2299999999999999E-4</v>
      </c>
    </row>
    <row r="31" spans="1:34" ht="12" customHeight="1" x14ac:dyDescent="0.3">
      <c r="A31" s="64" t="s">
        <v>573</v>
      </c>
      <c r="B31" s="42" t="s">
        <v>17</v>
      </c>
      <c r="C31" s="134" t="s">
        <v>574</v>
      </c>
      <c r="D31" s="135">
        <v>73.106605999999999</v>
      </c>
      <c r="E31" s="135">
        <v>75.028778000000003</v>
      </c>
      <c r="F31" s="135">
        <v>75.784858999999997</v>
      </c>
      <c r="G31" s="135">
        <v>76.957290999999998</v>
      </c>
      <c r="H31" s="135">
        <v>77.742348000000007</v>
      </c>
      <c r="I31" s="135">
        <v>78.483176999999998</v>
      </c>
      <c r="J31" s="135">
        <v>79.329268999999996</v>
      </c>
      <c r="K31" s="135">
        <v>79.386116000000001</v>
      </c>
      <c r="L31" s="135">
        <v>80.388122999999993</v>
      </c>
      <c r="M31" s="135">
        <v>81.368094999999997</v>
      </c>
      <c r="N31" s="135">
        <v>81.871971000000002</v>
      </c>
      <c r="O31" s="135">
        <v>83.068511999999998</v>
      </c>
      <c r="P31" s="135">
        <v>83.768401999999995</v>
      </c>
      <c r="Q31" s="135">
        <v>84.762726000000001</v>
      </c>
      <c r="R31" s="135">
        <v>85.794303999999997</v>
      </c>
      <c r="S31" s="135">
        <v>86.949248999999995</v>
      </c>
      <c r="T31" s="135">
        <v>88.365645999999998</v>
      </c>
      <c r="U31" s="135">
        <v>89.693413000000007</v>
      </c>
      <c r="V31" s="135">
        <v>90.898482999999999</v>
      </c>
      <c r="W31" s="135">
        <v>91.887214999999998</v>
      </c>
      <c r="X31" s="135">
        <v>93.156836999999996</v>
      </c>
      <c r="Y31" s="135">
        <v>94.808250000000001</v>
      </c>
      <c r="Z31" s="135">
        <v>96.239615999999998</v>
      </c>
      <c r="AA31" s="135">
        <v>97.375129999999999</v>
      </c>
      <c r="AB31" s="135">
        <v>98.100868000000006</v>
      </c>
      <c r="AC31" s="135">
        <v>99.55941</v>
      </c>
      <c r="AD31" s="135">
        <v>100.74034899999999</v>
      </c>
      <c r="AE31" s="135">
        <v>101.586502</v>
      </c>
      <c r="AF31" s="135">
        <v>102.708473</v>
      </c>
      <c r="AG31" s="135">
        <v>105.446251</v>
      </c>
      <c r="AH31" s="136">
        <v>1.2711E-2</v>
      </c>
    </row>
    <row r="32" spans="1:34" ht="12" customHeight="1" x14ac:dyDescent="0.3">
      <c r="A32" s="64" t="s">
        <v>575</v>
      </c>
      <c r="B32" s="42" t="s">
        <v>8</v>
      </c>
      <c r="C32" s="134" t="s">
        <v>576</v>
      </c>
      <c r="D32" s="135">
        <v>172.226822</v>
      </c>
      <c r="E32" s="135">
        <v>175.700119</v>
      </c>
      <c r="F32" s="135">
        <v>177.36050399999999</v>
      </c>
      <c r="G32" s="135">
        <v>178.58215300000001</v>
      </c>
      <c r="H32" s="135">
        <v>178.74803199999999</v>
      </c>
      <c r="I32" s="135">
        <v>179.60713200000001</v>
      </c>
      <c r="J32" s="135">
        <v>179.96354700000001</v>
      </c>
      <c r="K32" s="135">
        <v>180.91734299999999</v>
      </c>
      <c r="L32" s="135">
        <v>181.95015000000001</v>
      </c>
      <c r="M32" s="135">
        <v>182.56681800000001</v>
      </c>
      <c r="N32" s="135">
        <v>183.55987500000001</v>
      </c>
      <c r="O32" s="135">
        <v>184.26217700000001</v>
      </c>
      <c r="P32" s="135">
        <v>184.688782</v>
      </c>
      <c r="Q32" s="135">
        <v>185.08689899999999</v>
      </c>
      <c r="R32" s="135">
        <v>185.51359600000001</v>
      </c>
      <c r="S32" s="135">
        <v>186.00328099999999</v>
      </c>
      <c r="T32" s="135">
        <v>186.67716999999999</v>
      </c>
      <c r="U32" s="135">
        <v>187.508545</v>
      </c>
      <c r="V32" s="135">
        <v>188.23452800000001</v>
      </c>
      <c r="W32" s="135">
        <v>188.80972299999999</v>
      </c>
      <c r="X32" s="135">
        <v>189.973602</v>
      </c>
      <c r="Y32" s="135">
        <v>191.32827800000001</v>
      </c>
      <c r="Z32" s="135">
        <v>192.54414399999999</v>
      </c>
      <c r="AA32" s="135">
        <v>193.15605199999999</v>
      </c>
      <c r="AB32" s="135">
        <v>193.70967099999999</v>
      </c>
      <c r="AC32" s="135">
        <v>194.81814600000001</v>
      </c>
      <c r="AD32" s="135">
        <v>195.557098</v>
      </c>
      <c r="AE32" s="135">
        <v>195.99752799999999</v>
      </c>
      <c r="AF32" s="135">
        <v>196.828079</v>
      </c>
      <c r="AG32" s="135">
        <v>198.19729599999999</v>
      </c>
      <c r="AH32" s="136">
        <v>4.8549999999999999E-3</v>
      </c>
    </row>
    <row r="33" spans="1:34" ht="12" customHeight="1" x14ac:dyDescent="0.3">
      <c r="A33" s="64" t="s">
        <v>577</v>
      </c>
      <c r="B33" s="42" t="s">
        <v>8</v>
      </c>
      <c r="C33" s="134" t="s">
        <v>578</v>
      </c>
      <c r="D33" s="135">
        <v>82.234702999999996</v>
      </c>
      <c r="E33" s="135">
        <v>81.876868999999999</v>
      </c>
      <c r="F33" s="135">
        <v>81.840087999999994</v>
      </c>
      <c r="G33" s="135">
        <v>81.445869000000002</v>
      </c>
      <c r="H33" s="135">
        <v>80.929610999999994</v>
      </c>
      <c r="I33" s="135">
        <v>80.451355000000007</v>
      </c>
      <c r="J33" s="135">
        <v>80.031052000000003</v>
      </c>
      <c r="K33" s="135">
        <v>80.296120000000002</v>
      </c>
      <c r="L33" s="135">
        <v>80.499329000000003</v>
      </c>
      <c r="M33" s="135">
        <v>80.719245999999998</v>
      </c>
      <c r="N33" s="135">
        <v>80.959885</v>
      </c>
      <c r="O33" s="135">
        <v>81.481292999999994</v>
      </c>
      <c r="P33" s="135">
        <v>82.232033000000001</v>
      </c>
      <c r="Q33" s="135">
        <v>82.680381999999994</v>
      </c>
      <c r="R33" s="135">
        <v>83.118651999999997</v>
      </c>
      <c r="S33" s="135">
        <v>83.346396999999996</v>
      </c>
      <c r="T33" s="135">
        <v>83.320342999999994</v>
      </c>
      <c r="U33" s="135">
        <v>83.312766999999994</v>
      </c>
      <c r="V33" s="135">
        <v>83.340996000000004</v>
      </c>
      <c r="W33" s="135">
        <v>83.697945000000004</v>
      </c>
      <c r="X33" s="135">
        <v>84.020720999999995</v>
      </c>
      <c r="Y33" s="135">
        <v>83.936171999999999</v>
      </c>
      <c r="Z33" s="135">
        <v>83.985703000000001</v>
      </c>
      <c r="AA33" s="135">
        <v>84.163116000000002</v>
      </c>
      <c r="AB33" s="135">
        <v>84.884033000000002</v>
      </c>
      <c r="AC33" s="135">
        <v>85.389442000000003</v>
      </c>
      <c r="AD33" s="135">
        <v>85.769149999999996</v>
      </c>
      <c r="AE33" s="135">
        <v>86.235259999999997</v>
      </c>
      <c r="AF33" s="135">
        <v>87.047629999999998</v>
      </c>
      <c r="AG33" s="135">
        <v>87.409546000000006</v>
      </c>
      <c r="AH33" s="136">
        <v>2.1069999999999999E-3</v>
      </c>
    </row>
    <row r="34" spans="1:34" ht="12" customHeight="1" x14ac:dyDescent="0.3">
      <c r="A34" s="64" t="s">
        <v>579</v>
      </c>
      <c r="B34" s="42" t="s">
        <v>35</v>
      </c>
      <c r="C34" s="134" t="s">
        <v>580</v>
      </c>
      <c r="D34" s="135">
        <v>980.72161900000003</v>
      </c>
      <c r="E34" s="135">
        <v>957.32135000000005</v>
      </c>
      <c r="F34" s="135">
        <v>966.80651899999998</v>
      </c>
      <c r="G34" s="135">
        <v>977.65759300000002</v>
      </c>
      <c r="H34" s="135">
        <v>995.81481900000006</v>
      </c>
      <c r="I34" s="135">
        <v>1015.524658</v>
      </c>
      <c r="J34" s="135">
        <v>1031.1311040000001</v>
      </c>
      <c r="K34" s="135">
        <v>1046.7871090000001</v>
      </c>
      <c r="L34" s="135">
        <v>1063.3916019999999</v>
      </c>
      <c r="M34" s="135">
        <v>1079.618164</v>
      </c>
      <c r="N34" s="135">
        <v>1098.2725829999999</v>
      </c>
      <c r="O34" s="135">
        <v>1119.458496</v>
      </c>
      <c r="P34" s="135">
        <v>1140.074707</v>
      </c>
      <c r="Q34" s="135">
        <v>1159.6723629999999</v>
      </c>
      <c r="R34" s="135">
        <v>1179.4001459999999</v>
      </c>
      <c r="S34" s="135">
        <v>1199.6979980000001</v>
      </c>
      <c r="T34" s="135">
        <v>1222.3354489999999</v>
      </c>
      <c r="U34" s="135">
        <v>1244.855957</v>
      </c>
      <c r="V34" s="135">
        <v>1266.038818</v>
      </c>
      <c r="W34" s="135">
        <v>1286.3370359999999</v>
      </c>
      <c r="X34" s="135">
        <v>1310.522461</v>
      </c>
      <c r="Y34" s="135">
        <v>1336.5942379999999</v>
      </c>
      <c r="Z34" s="135">
        <v>1363.5805660000001</v>
      </c>
      <c r="AA34" s="135">
        <v>1388.5498050000001</v>
      </c>
      <c r="AB34" s="135">
        <v>1413.763428</v>
      </c>
      <c r="AC34" s="135">
        <v>1441.465698</v>
      </c>
      <c r="AD34" s="135">
        <v>1465.4833980000001</v>
      </c>
      <c r="AE34" s="135">
        <v>1482.9764399999999</v>
      </c>
      <c r="AF34" s="135">
        <v>1504.9686280000001</v>
      </c>
      <c r="AG34" s="135">
        <v>1534.482422</v>
      </c>
      <c r="AH34" s="136">
        <v>1.5556E-2</v>
      </c>
    </row>
    <row r="35" spans="1:34" ht="12" customHeight="1" x14ac:dyDescent="0.3">
      <c r="A35" s="64" t="s">
        <v>581</v>
      </c>
      <c r="B35" s="53"/>
      <c r="C35" s="134" t="s">
        <v>582</v>
      </c>
      <c r="D35" s="135">
        <v>463.10674999999998</v>
      </c>
      <c r="E35" s="135">
        <v>468.24508700000001</v>
      </c>
      <c r="F35" s="135">
        <v>479.790955</v>
      </c>
      <c r="G35" s="135">
        <v>487.43438700000002</v>
      </c>
      <c r="H35" s="135">
        <v>500.19366500000001</v>
      </c>
      <c r="I35" s="135">
        <v>513.36962900000003</v>
      </c>
      <c r="J35" s="135">
        <v>521.77905299999998</v>
      </c>
      <c r="K35" s="135">
        <v>530.20532200000002</v>
      </c>
      <c r="L35" s="135">
        <v>538.04101600000001</v>
      </c>
      <c r="M35" s="135">
        <v>545.00225799999998</v>
      </c>
      <c r="N35" s="135">
        <v>554.26513699999998</v>
      </c>
      <c r="O35" s="135">
        <v>564.98492399999998</v>
      </c>
      <c r="P35" s="135">
        <v>574.23370399999999</v>
      </c>
      <c r="Q35" s="135">
        <v>581.92553699999996</v>
      </c>
      <c r="R35" s="135">
        <v>589.42559800000004</v>
      </c>
      <c r="S35" s="135">
        <v>597.31756600000006</v>
      </c>
      <c r="T35" s="135">
        <v>606.92804000000001</v>
      </c>
      <c r="U35" s="135">
        <v>615.27032499999996</v>
      </c>
      <c r="V35" s="135">
        <v>621.87152100000003</v>
      </c>
      <c r="W35" s="135">
        <v>628.11084000000005</v>
      </c>
      <c r="X35" s="135">
        <v>637.29931599999998</v>
      </c>
      <c r="Y35" s="135">
        <v>645.91149900000005</v>
      </c>
      <c r="Z35" s="135">
        <v>654.99169900000004</v>
      </c>
      <c r="AA35" s="135">
        <v>661.87603799999999</v>
      </c>
      <c r="AB35" s="135">
        <v>669.14624000000003</v>
      </c>
      <c r="AC35" s="135">
        <v>677.84234600000002</v>
      </c>
      <c r="AD35" s="135">
        <v>682.63867200000004</v>
      </c>
      <c r="AE35" s="135">
        <v>683.893372</v>
      </c>
      <c r="AF35" s="135">
        <v>691.96124299999997</v>
      </c>
      <c r="AG35" s="135">
        <v>707.11926300000005</v>
      </c>
      <c r="AH35" s="136">
        <v>1.4702E-2</v>
      </c>
    </row>
    <row r="36" spans="1:34" ht="12" customHeight="1" x14ac:dyDescent="0.3">
      <c r="A36" s="64" t="s">
        <v>583</v>
      </c>
      <c r="B36" s="53"/>
      <c r="C36" s="134" t="s">
        <v>584</v>
      </c>
      <c r="D36" s="135">
        <v>53.850636000000002</v>
      </c>
      <c r="E36" s="135">
        <v>52.575943000000002</v>
      </c>
      <c r="F36" s="135">
        <v>52.256377999999998</v>
      </c>
      <c r="G36" s="135">
        <v>52.022208999999997</v>
      </c>
      <c r="H36" s="135">
        <v>51.873573</v>
      </c>
      <c r="I36" s="135">
        <v>52.164023999999998</v>
      </c>
      <c r="J36" s="135">
        <v>52.213940000000001</v>
      </c>
      <c r="K36" s="135">
        <v>52.573749999999997</v>
      </c>
      <c r="L36" s="135">
        <v>52.879528000000001</v>
      </c>
      <c r="M36" s="135">
        <v>53.059775999999999</v>
      </c>
      <c r="N36" s="135">
        <v>53.259762000000002</v>
      </c>
      <c r="O36" s="135">
        <v>53.452987999999998</v>
      </c>
      <c r="P36" s="135">
        <v>53.654133000000002</v>
      </c>
      <c r="Q36" s="135">
        <v>53.825175999999999</v>
      </c>
      <c r="R36" s="135">
        <v>54.031891000000002</v>
      </c>
      <c r="S36" s="135">
        <v>54.322429999999997</v>
      </c>
      <c r="T36" s="135">
        <v>54.895736999999997</v>
      </c>
      <c r="U36" s="135">
        <v>55.440514</v>
      </c>
      <c r="V36" s="135">
        <v>55.787117000000002</v>
      </c>
      <c r="W36" s="135">
        <v>56.099891999999997</v>
      </c>
      <c r="X36" s="135">
        <v>56.947971000000003</v>
      </c>
      <c r="Y36" s="135">
        <v>57.702495999999996</v>
      </c>
      <c r="Z36" s="135">
        <v>58.261211000000003</v>
      </c>
      <c r="AA36" s="135">
        <v>58.351322000000003</v>
      </c>
      <c r="AB36" s="135">
        <v>58.491787000000002</v>
      </c>
      <c r="AC36" s="135">
        <v>58.508251000000001</v>
      </c>
      <c r="AD36" s="135">
        <v>58.358147000000002</v>
      </c>
      <c r="AE36" s="135">
        <v>57.562294000000001</v>
      </c>
      <c r="AF36" s="135">
        <v>57.502651</v>
      </c>
      <c r="AG36" s="135">
        <v>58</v>
      </c>
      <c r="AH36" s="136">
        <v>2.5630000000000002E-3</v>
      </c>
    </row>
    <row r="37" spans="1:34" ht="12" customHeight="1" x14ac:dyDescent="0.3">
      <c r="A37" s="64" t="s">
        <v>585</v>
      </c>
      <c r="B37" s="53"/>
      <c r="C37" s="134" t="s">
        <v>586</v>
      </c>
      <c r="D37" s="135">
        <v>234.04574600000001</v>
      </c>
      <c r="E37" s="135">
        <v>233.91755699999999</v>
      </c>
      <c r="F37" s="135">
        <v>243.59468100000001</v>
      </c>
      <c r="G37" s="135">
        <v>249.582245</v>
      </c>
      <c r="H37" s="135">
        <v>256.79595899999998</v>
      </c>
      <c r="I37" s="135">
        <v>263.61706500000003</v>
      </c>
      <c r="J37" s="135">
        <v>268.50518799999998</v>
      </c>
      <c r="K37" s="135">
        <v>274.19601399999999</v>
      </c>
      <c r="L37" s="135">
        <v>280.12811299999998</v>
      </c>
      <c r="M37" s="135">
        <v>285.044556</v>
      </c>
      <c r="N37" s="135">
        <v>289.97006199999998</v>
      </c>
      <c r="O37" s="135">
        <v>294.88543700000002</v>
      </c>
      <c r="P37" s="135">
        <v>299.79879799999998</v>
      </c>
      <c r="Q37" s="135">
        <v>304.83197000000001</v>
      </c>
      <c r="R37" s="135">
        <v>309.69406099999998</v>
      </c>
      <c r="S37" s="135">
        <v>314.40493800000002</v>
      </c>
      <c r="T37" s="135">
        <v>319.82986499999998</v>
      </c>
      <c r="U37" s="135">
        <v>324.73733499999997</v>
      </c>
      <c r="V37" s="135">
        <v>328.49111900000003</v>
      </c>
      <c r="W37" s="135">
        <v>332.136841</v>
      </c>
      <c r="X37" s="135">
        <v>337.70959499999998</v>
      </c>
      <c r="Y37" s="135">
        <v>342.512787</v>
      </c>
      <c r="Z37" s="135">
        <v>346.60788000000002</v>
      </c>
      <c r="AA37" s="135">
        <v>349.68331899999998</v>
      </c>
      <c r="AB37" s="135">
        <v>352.98614500000002</v>
      </c>
      <c r="AC37" s="135">
        <v>357.61474600000003</v>
      </c>
      <c r="AD37" s="135">
        <v>360.50830100000002</v>
      </c>
      <c r="AE37" s="135">
        <v>361.564728</v>
      </c>
      <c r="AF37" s="135">
        <v>366.79238900000001</v>
      </c>
      <c r="AG37" s="135">
        <v>375.53976399999999</v>
      </c>
      <c r="AH37" s="136">
        <v>1.6438999999999999E-2</v>
      </c>
    </row>
    <row r="38" spans="1:34" ht="12" customHeight="1" x14ac:dyDescent="0.3">
      <c r="A38" s="64" t="s">
        <v>587</v>
      </c>
      <c r="B38" s="53"/>
      <c r="C38" s="134" t="s">
        <v>588</v>
      </c>
      <c r="D38" s="135">
        <v>130.706772</v>
      </c>
      <c r="E38" s="135">
        <v>138.19717399999999</v>
      </c>
      <c r="F38" s="135">
        <v>138.970932</v>
      </c>
      <c r="G38" s="135">
        <v>140.11990399999999</v>
      </c>
      <c r="H38" s="135">
        <v>145.125168</v>
      </c>
      <c r="I38" s="135">
        <v>150.24118000000001</v>
      </c>
      <c r="J38" s="135">
        <v>152.97287</v>
      </c>
      <c r="K38" s="135">
        <v>154.59092699999999</v>
      </c>
      <c r="L38" s="135">
        <v>155.30874600000001</v>
      </c>
      <c r="M38" s="135">
        <v>156.466522</v>
      </c>
      <c r="N38" s="135">
        <v>159.93933100000001</v>
      </c>
      <c r="O38" s="135">
        <v>164.80334500000001</v>
      </c>
      <c r="P38" s="135">
        <v>168.23661799999999</v>
      </c>
      <c r="Q38" s="135">
        <v>170.06100499999999</v>
      </c>
      <c r="R38" s="135">
        <v>171.89952099999999</v>
      </c>
      <c r="S38" s="135">
        <v>174.295975</v>
      </c>
      <c r="T38" s="135">
        <v>177.36814899999999</v>
      </c>
      <c r="U38" s="135">
        <v>179.804169</v>
      </c>
      <c r="V38" s="135">
        <v>182.01357999999999</v>
      </c>
      <c r="W38" s="135">
        <v>183.98010300000001</v>
      </c>
      <c r="X38" s="135">
        <v>186.17042499999999</v>
      </c>
      <c r="Y38" s="135">
        <v>188.701279</v>
      </c>
      <c r="Z38" s="135">
        <v>192.69180299999999</v>
      </c>
      <c r="AA38" s="135">
        <v>196.091949</v>
      </c>
      <c r="AB38" s="135">
        <v>199.65683000000001</v>
      </c>
      <c r="AC38" s="135">
        <v>203.32124300000001</v>
      </c>
      <c r="AD38" s="135">
        <v>205.16029399999999</v>
      </c>
      <c r="AE38" s="135">
        <v>206.08197000000001</v>
      </c>
      <c r="AF38" s="135">
        <v>208.61030600000001</v>
      </c>
      <c r="AG38" s="135">
        <v>213.863846</v>
      </c>
      <c r="AH38" s="136">
        <v>1.7124E-2</v>
      </c>
    </row>
    <row r="39" spans="1:34" ht="12" customHeight="1" x14ac:dyDescent="0.3">
      <c r="A39" s="64" t="s">
        <v>589</v>
      </c>
      <c r="B39" s="53"/>
      <c r="C39" s="134" t="s">
        <v>590</v>
      </c>
      <c r="D39" s="135">
        <v>44.503590000000003</v>
      </c>
      <c r="E39" s="135">
        <v>43.554400999999999</v>
      </c>
      <c r="F39" s="135">
        <v>44.968929000000003</v>
      </c>
      <c r="G39" s="135">
        <v>45.710006999999997</v>
      </c>
      <c r="H39" s="135">
        <v>46.398997999999999</v>
      </c>
      <c r="I39" s="135">
        <v>47.347340000000003</v>
      </c>
      <c r="J39" s="135">
        <v>48.087069999999997</v>
      </c>
      <c r="K39" s="135">
        <v>48.844593000000003</v>
      </c>
      <c r="L39" s="135">
        <v>49.724612999999998</v>
      </c>
      <c r="M39" s="135">
        <v>50.431415999999999</v>
      </c>
      <c r="N39" s="135">
        <v>51.095984999999999</v>
      </c>
      <c r="O39" s="135">
        <v>51.843142999999998</v>
      </c>
      <c r="P39" s="135">
        <v>52.544131999999998</v>
      </c>
      <c r="Q39" s="135">
        <v>53.207386</v>
      </c>
      <c r="R39" s="135">
        <v>53.800083000000001</v>
      </c>
      <c r="S39" s="135">
        <v>54.294246999999999</v>
      </c>
      <c r="T39" s="135">
        <v>54.834269999999997</v>
      </c>
      <c r="U39" s="135">
        <v>55.288291999999998</v>
      </c>
      <c r="V39" s="135">
        <v>55.579697000000003</v>
      </c>
      <c r="W39" s="135">
        <v>55.894019999999998</v>
      </c>
      <c r="X39" s="135">
        <v>56.471321000000003</v>
      </c>
      <c r="Y39" s="135">
        <v>56.994903999999998</v>
      </c>
      <c r="Z39" s="135">
        <v>57.430779000000001</v>
      </c>
      <c r="AA39" s="135">
        <v>57.749465999999998</v>
      </c>
      <c r="AB39" s="135">
        <v>58.011462999999999</v>
      </c>
      <c r="AC39" s="135">
        <v>58.398116999999999</v>
      </c>
      <c r="AD39" s="135">
        <v>58.611946000000003</v>
      </c>
      <c r="AE39" s="135">
        <v>58.684382999999997</v>
      </c>
      <c r="AF39" s="135">
        <v>59.055881999999997</v>
      </c>
      <c r="AG39" s="135">
        <v>59.71566</v>
      </c>
      <c r="AH39" s="136">
        <v>1.0189999999999999E-2</v>
      </c>
    </row>
    <row r="40" spans="1:34" ht="12" customHeight="1" x14ac:dyDescent="0.3">
      <c r="A40" s="64" t="s">
        <v>591</v>
      </c>
      <c r="B40" s="53"/>
      <c r="C40" s="134" t="s">
        <v>592</v>
      </c>
      <c r="D40" s="135">
        <v>517.614868</v>
      </c>
      <c r="E40" s="135">
        <v>489.07626299999998</v>
      </c>
      <c r="F40" s="135">
        <v>487.01556399999998</v>
      </c>
      <c r="G40" s="135">
        <v>490.22323599999999</v>
      </c>
      <c r="H40" s="135">
        <v>495.62118500000003</v>
      </c>
      <c r="I40" s="135">
        <v>502.15505999999999</v>
      </c>
      <c r="J40" s="135">
        <v>509.35211199999998</v>
      </c>
      <c r="K40" s="135">
        <v>516.581726</v>
      </c>
      <c r="L40" s="135">
        <v>525.35052499999995</v>
      </c>
      <c r="M40" s="135">
        <v>534.615906</v>
      </c>
      <c r="N40" s="135">
        <v>544.00744599999996</v>
      </c>
      <c r="O40" s="135">
        <v>554.47351100000003</v>
      </c>
      <c r="P40" s="135">
        <v>565.84094200000004</v>
      </c>
      <c r="Q40" s="135">
        <v>577.74682600000006</v>
      </c>
      <c r="R40" s="135">
        <v>589.97460899999999</v>
      </c>
      <c r="S40" s="135">
        <v>602.380493</v>
      </c>
      <c r="T40" s="135">
        <v>615.40734899999995</v>
      </c>
      <c r="U40" s="135">
        <v>629.58557099999996</v>
      </c>
      <c r="V40" s="135">
        <v>644.16735800000004</v>
      </c>
      <c r="W40" s="135">
        <v>658.22619599999996</v>
      </c>
      <c r="X40" s="135">
        <v>673.223206</v>
      </c>
      <c r="Y40" s="135">
        <v>690.68273899999997</v>
      </c>
      <c r="Z40" s="135">
        <v>708.58886700000005</v>
      </c>
      <c r="AA40" s="135">
        <v>726.67370600000004</v>
      </c>
      <c r="AB40" s="135">
        <v>744.61712599999998</v>
      </c>
      <c r="AC40" s="135">
        <v>763.62335199999995</v>
      </c>
      <c r="AD40" s="135">
        <v>782.84472700000003</v>
      </c>
      <c r="AE40" s="135">
        <v>799.08306900000002</v>
      </c>
      <c r="AF40" s="135">
        <v>813.007385</v>
      </c>
      <c r="AG40" s="135">
        <v>827.36321999999996</v>
      </c>
      <c r="AH40" s="136">
        <v>1.6303999999999999E-2</v>
      </c>
    </row>
    <row r="41" spans="1:34" ht="15" customHeight="1" x14ac:dyDescent="0.3">
      <c r="A41" s="64" t="s">
        <v>593</v>
      </c>
      <c r="B41" s="42" t="s">
        <v>9</v>
      </c>
      <c r="C41" s="134" t="s">
        <v>594</v>
      </c>
      <c r="D41" s="135">
        <v>789.06366000000003</v>
      </c>
      <c r="E41" s="135">
        <v>885.56707800000004</v>
      </c>
      <c r="F41" s="135">
        <v>913.43841599999996</v>
      </c>
      <c r="G41" s="135">
        <v>917.53393600000004</v>
      </c>
      <c r="H41" s="135">
        <v>921.92327899999998</v>
      </c>
      <c r="I41" s="135">
        <v>923.36242700000003</v>
      </c>
      <c r="J41" s="135">
        <v>922.02447500000005</v>
      </c>
      <c r="K41" s="135">
        <v>921.90979000000004</v>
      </c>
      <c r="L41" s="135">
        <v>921.89788799999997</v>
      </c>
      <c r="M41" s="135">
        <v>922.12646500000005</v>
      </c>
      <c r="N41" s="135">
        <v>923.64569100000006</v>
      </c>
      <c r="O41" s="135">
        <v>924.29199200000005</v>
      </c>
      <c r="P41" s="135">
        <v>925.89446999999996</v>
      </c>
      <c r="Q41" s="135">
        <v>927.13909899999999</v>
      </c>
      <c r="R41" s="135">
        <v>927.53460700000005</v>
      </c>
      <c r="S41" s="135">
        <v>929.30969200000004</v>
      </c>
      <c r="T41" s="135">
        <v>932.10986300000002</v>
      </c>
      <c r="U41" s="135">
        <v>934.198486</v>
      </c>
      <c r="V41" s="135">
        <v>937.57336399999997</v>
      </c>
      <c r="W41" s="135">
        <v>940.02002000000005</v>
      </c>
      <c r="X41" s="135">
        <v>943.57226600000001</v>
      </c>
      <c r="Y41" s="135">
        <v>947.23638900000003</v>
      </c>
      <c r="Z41" s="135">
        <v>950.93243399999994</v>
      </c>
      <c r="AA41" s="135">
        <v>955.54675299999997</v>
      </c>
      <c r="AB41" s="135">
        <v>960.36102300000005</v>
      </c>
      <c r="AC41" s="135">
        <v>966.04888900000003</v>
      </c>
      <c r="AD41" s="135">
        <v>970.07312000000002</v>
      </c>
      <c r="AE41" s="135">
        <v>972.34814500000005</v>
      </c>
      <c r="AF41" s="135">
        <v>978.03411900000003</v>
      </c>
      <c r="AG41" s="135">
        <v>988.23205600000006</v>
      </c>
      <c r="AH41" s="136">
        <v>7.7910000000000002E-3</v>
      </c>
    </row>
    <row r="42" spans="1:34" ht="15" customHeight="1" x14ac:dyDescent="0.3">
      <c r="A42" s="64" t="s">
        <v>595</v>
      </c>
      <c r="B42" s="53"/>
      <c r="C42" s="134" t="s">
        <v>596</v>
      </c>
      <c r="D42" s="135">
        <v>746.87048300000004</v>
      </c>
      <c r="E42" s="135">
        <v>840.716003</v>
      </c>
      <c r="F42" s="135">
        <v>864.66747999999995</v>
      </c>
      <c r="G42" s="135">
        <v>866.287598</v>
      </c>
      <c r="H42" s="135">
        <v>869.92846699999996</v>
      </c>
      <c r="I42" s="135">
        <v>871.23602300000005</v>
      </c>
      <c r="J42" s="135">
        <v>869.83392300000003</v>
      </c>
      <c r="K42" s="135">
        <v>869.694031</v>
      </c>
      <c r="L42" s="135">
        <v>869.68969700000002</v>
      </c>
      <c r="M42" s="135">
        <v>869.81573500000002</v>
      </c>
      <c r="N42" s="135">
        <v>871.24420199999997</v>
      </c>
      <c r="O42" s="135">
        <v>871.91680899999994</v>
      </c>
      <c r="P42" s="135">
        <v>873.39703399999996</v>
      </c>
      <c r="Q42" s="135">
        <v>874.50695800000005</v>
      </c>
      <c r="R42" s="135">
        <v>874.88549799999998</v>
      </c>
      <c r="S42" s="135">
        <v>876.52685499999995</v>
      </c>
      <c r="T42" s="135">
        <v>879.08587599999998</v>
      </c>
      <c r="U42" s="135">
        <v>881.02587900000003</v>
      </c>
      <c r="V42" s="135">
        <v>884.16253700000004</v>
      </c>
      <c r="W42" s="135">
        <v>886.38360599999999</v>
      </c>
      <c r="X42" s="135">
        <v>889.70977800000003</v>
      </c>
      <c r="Y42" s="135">
        <v>893.12829599999998</v>
      </c>
      <c r="Z42" s="135">
        <v>896.598206</v>
      </c>
      <c r="AA42" s="135">
        <v>900.923767</v>
      </c>
      <c r="AB42" s="135">
        <v>905.37664800000005</v>
      </c>
      <c r="AC42" s="135">
        <v>910.61602800000003</v>
      </c>
      <c r="AD42" s="135">
        <v>914.26214600000003</v>
      </c>
      <c r="AE42" s="135">
        <v>916.26385500000004</v>
      </c>
      <c r="AF42" s="135">
        <v>921.54473900000005</v>
      </c>
      <c r="AG42" s="135">
        <v>931.10449200000005</v>
      </c>
      <c r="AH42" s="136">
        <v>7.6319999999999999E-3</v>
      </c>
    </row>
    <row r="43" spans="1:34" ht="15" customHeight="1" x14ac:dyDescent="0.3">
      <c r="A43" s="64" t="s">
        <v>597</v>
      </c>
      <c r="B43" s="53"/>
      <c r="C43" s="134" t="s">
        <v>598</v>
      </c>
      <c r="D43" s="135">
        <v>42.193161000000003</v>
      </c>
      <c r="E43" s="135">
        <v>44.851058999999999</v>
      </c>
      <c r="F43" s="135">
        <v>48.770930999999997</v>
      </c>
      <c r="G43" s="135">
        <v>51.246349000000002</v>
      </c>
      <c r="H43" s="135">
        <v>51.994807999999999</v>
      </c>
      <c r="I43" s="135">
        <v>52.126404000000001</v>
      </c>
      <c r="J43" s="135">
        <v>52.190528999999998</v>
      </c>
      <c r="K43" s="135">
        <v>52.215770999999997</v>
      </c>
      <c r="L43" s="135">
        <v>52.208182999999998</v>
      </c>
      <c r="M43" s="135">
        <v>52.310752999999998</v>
      </c>
      <c r="N43" s="135">
        <v>52.401511999999997</v>
      </c>
      <c r="O43" s="135">
        <v>52.375168000000002</v>
      </c>
      <c r="P43" s="135">
        <v>52.497421000000003</v>
      </c>
      <c r="Q43" s="135">
        <v>52.632153000000002</v>
      </c>
      <c r="R43" s="135">
        <v>52.649116999999997</v>
      </c>
      <c r="S43" s="135">
        <v>52.782863999999996</v>
      </c>
      <c r="T43" s="135">
        <v>53.023978999999997</v>
      </c>
      <c r="U43" s="135">
        <v>53.172587999999998</v>
      </c>
      <c r="V43" s="135">
        <v>53.410815999999997</v>
      </c>
      <c r="W43" s="135">
        <v>53.636420999999999</v>
      </c>
      <c r="X43" s="135">
        <v>53.862468999999997</v>
      </c>
      <c r="Y43" s="135">
        <v>54.108100999999998</v>
      </c>
      <c r="Z43" s="135">
        <v>54.334206000000002</v>
      </c>
      <c r="AA43" s="135">
        <v>54.622996999999998</v>
      </c>
      <c r="AB43" s="135">
        <v>54.984352000000001</v>
      </c>
      <c r="AC43" s="135">
        <v>55.432853999999999</v>
      </c>
      <c r="AD43" s="135">
        <v>55.810958999999997</v>
      </c>
      <c r="AE43" s="135">
        <v>56.084301000000004</v>
      </c>
      <c r="AF43" s="135">
        <v>56.489395000000002</v>
      </c>
      <c r="AG43" s="135">
        <v>57.127536999999997</v>
      </c>
      <c r="AH43" s="136">
        <v>1.0503999999999999E-2</v>
      </c>
    </row>
    <row r="44" spans="1:34" ht="15" customHeight="1" x14ac:dyDescent="0.3">
      <c r="A44" s="64" t="s">
        <v>599</v>
      </c>
      <c r="B44" s="42" t="s">
        <v>10</v>
      </c>
      <c r="C44" s="134" t="s">
        <v>600</v>
      </c>
      <c r="D44" s="135">
        <v>245.455399</v>
      </c>
      <c r="E44" s="135">
        <v>250.38987700000001</v>
      </c>
      <c r="F44" s="135">
        <v>253.82719399999999</v>
      </c>
      <c r="G44" s="135">
        <v>258.67355300000003</v>
      </c>
      <c r="H44" s="135">
        <v>262.79641700000002</v>
      </c>
      <c r="I44" s="135">
        <v>267.250336</v>
      </c>
      <c r="J44" s="135">
        <v>271.50518799999998</v>
      </c>
      <c r="K44" s="135">
        <v>275.65808099999998</v>
      </c>
      <c r="L44" s="135">
        <v>280.75714099999999</v>
      </c>
      <c r="M44" s="135">
        <v>285.67105099999998</v>
      </c>
      <c r="N44" s="135">
        <v>290.53448500000002</v>
      </c>
      <c r="O44" s="135">
        <v>295.40920999999997</v>
      </c>
      <c r="P44" s="135">
        <v>299.62936400000001</v>
      </c>
      <c r="Q44" s="135">
        <v>303.82900999999998</v>
      </c>
      <c r="R44" s="135">
        <v>308.64660600000002</v>
      </c>
      <c r="S44" s="135">
        <v>313.87936400000001</v>
      </c>
      <c r="T44" s="135">
        <v>319.60446200000001</v>
      </c>
      <c r="U44" s="135">
        <v>325.080963</v>
      </c>
      <c r="V44" s="135">
        <v>330.44378699999999</v>
      </c>
      <c r="W44" s="135">
        <v>335.93646200000001</v>
      </c>
      <c r="X44" s="135">
        <v>342.109894</v>
      </c>
      <c r="Y44" s="135">
        <v>348.81362899999999</v>
      </c>
      <c r="Z44" s="135">
        <v>356.26113900000001</v>
      </c>
      <c r="AA44" s="135">
        <v>363.07467700000001</v>
      </c>
      <c r="AB44" s="135">
        <v>369.68866000000003</v>
      </c>
      <c r="AC44" s="135">
        <v>376.73611499999998</v>
      </c>
      <c r="AD44" s="135">
        <v>383.338165</v>
      </c>
      <c r="AE44" s="135">
        <v>389.45663500000001</v>
      </c>
      <c r="AF44" s="135">
        <v>396.51162699999998</v>
      </c>
      <c r="AG44" s="135">
        <v>405.43817100000001</v>
      </c>
      <c r="AH44" s="136">
        <v>1.7455999999999999E-2</v>
      </c>
    </row>
    <row r="45" spans="1:34" ht="15" customHeight="1" x14ac:dyDescent="0.3">
      <c r="A45" s="64" t="s">
        <v>601</v>
      </c>
      <c r="B45" s="53"/>
      <c r="C45" s="134" t="s">
        <v>602</v>
      </c>
      <c r="D45" s="135">
        <v>113.227737</v>
      </c>
      <c r="E45" s="135">
        <v>112.258568</v>
      </c>
      <c r="F45" s="135">
        <v>112.011284</v>
      </c>
      <c r="G45" s="135">
        <v>114.50412</v>
      </c>
      <c r="H45" s="135">
        <v>116.956795</v>
      </c>
      <c r="I45" s="135">
        <v>118.965408</v>
      </c>
      <c r="J45" s="135">
        <v>120.455399</v>
      </c>
      <c r="K45" s="135">
        <v>121.803757</v>
      </c>
      <c r="L45" s="135">
        <v>123.50483699999999</v>
      </c>
      <c r="M45" s="135">
        <v>125.098274</v>
      </c>
      <c r="N45" s="135">
        <v>126.444824</v>
      </c>
      <c r="O45" s="135">
        <v>127.821564</v>
      </c>
      <c r="P45" s="135">
        <v>129.222351</v>
      </c>
      <c r="Q45" s="135">
        <v>130.26516699999999</v>
      </c>
      <c r="R45" s="135">
        <v>131.77514600000001</v>
      </c>
      <c r="S45" s="135">
        <v>133.10328699999999</v>
      </c>
      <c r="T45" s="135">
        <v>134.71250900000001</v>
      </c>
      <c r="U45" s="135">
        <v>136.32273900000001</v>
      </c>
      <c r="V45" s="135">
        <v>137.882599</v>
      </c>
      <c r="W45" s="135">
        <v>139.44326799999999</v>
      </c>
      <c r="X45" s="135">
        <v>141.014374</v>
      </c>
      <c r="Y45" s="135">
        <v>142.47460899999999</v>
      </c>
      <c r="Z45" s="135">
        <v>143.61762999999999</v>
      </c>
      <c r="AA45" s="135">
        <v>145.37103300000001</v>
      </c>
      <c r="AB45" s="135">
        <v>147.542755</v>
      </c>
      <c r="AC45" s="135">
        <v>149.85479699999999</v>
      </c>
      <c r="AD45" s="135">
        <v>151.79113799999999</v>
      </c>
      <c r="AE45" s="135">
        <v>153.381989</v>
      </c>
      <c r="AF45" s="135">
        <v>155.18725599999999</v>
      </c>
      <c r="AG45" s="135">
        <v>157.14366100000001</v>
      </c>
      <c r="AH45" s="136">
        <v>1.1365999999999999E-2</v>
      </c>
    </row>
    <row r="46" spans="1:34" ht="15" customHeight="1" x14ac:dyDescent="0.3">
      <c r="A46" s="64" t="s">
        <v>603</v>
      </c>
      <c r="B46" s="42" t="s">
        <v>41</v>
      </c>
      <c r="C46" s="134" t="s">
        <v>604</v>
      </c>
      <c r="D46" s="135">
        <v>23.465088000000002</v>
      </c>
      <c r="E46" s="135">
        <v>23.200544000000001</v>
      </c>
      <c r="F46" s="135">
        <v>23.227995</v>
      </c>
      <c r="G46" s="135">
        <v>23.386313999999999</v>
      </c>
      <c r="H46" s="135">
        <v>23.718696999999999</v>
      </c>
      <c r="I46" s="135">
        <v>24.0749</v>
      </c>
      <c r="J46" s="135">
        <v>24.301044000000001</v>
      </c>
      <c r="K46" s="135">
        <v>24.549914999999999</v>
      </c>
      <c r="L46" s="135">
        <v>24.870602000000002</v>
      </c>
      <c r="M46" s="135">
        <v>25.157772000000001</v>
      </c>
      <c r="N46" s="135">
        <v>25.406694000000002</v>
      </c>
      <c r="O46" s="135">
        <v>25.60154</v>
      </c>
      <c r="P46" s="135">
        <v>25.878025000000001</v>
      </c>
      <c r="Q46" s="135">
        <v>26.171192000000001</v>
      </c>
      <c r="R46" s="135">
        <v>26.51379</v>
      </c>
      <c r="S46" s="135">
        <v>26.748488999999999</v>
      </c>
      <c r="T46" s="135">
        <v>27.019997</v>
      </c>
      <c r="U46" s="135">
        <v>27.321247</v>
      </c>
      <c r="V46" s="135">
        <v>27.759516000000001</v>
      </c>
      <c r="W46" s="135">
        <v>28.109408999999999</v>
      </c>
      <c r="X46" s="135">
        <v>28.39892</v>
      </c>
      <c r="Y46" s="135">
        <v>28.792788999999999</v>
      </c>
      <c r="Z46" s="135">
        <v>29.014917000000001</v>
      </c>
      <c r="AA46" s="135">
        <v>29.375418</v>
      </c>
      <c r="AB46" s="135">
        <v>29.812539999999998</v>
      </c>
      <c r="AC46" s="135">
        <v>30.297878000000001</v>
      </c>
      <c r="AD46" s="135">
        <v>30.635919999999999</v>
      </c>
      <c r="AE46" s="135">
        <v>30.889900000000001</v>
      </c>
      <c r="AF46" s="135">
        <v>31.296206999999999</v>
      </c>
      <c r="AG46" s="135">
        <v>31.668301</v>
      </c>
      <c r="AH46" s="136">
        <v>1.0392E-2</v>
      </c>
    </row>
    <row r="47" spans="1:34" ht="15" customHeight="1" x14ac:dyDescent="0.3">
      <c r="A47" s="64" t="s">
        <v>605</v>
      </c>
      <c r="B47" s="42" t="s">
        <v>42</v>
      </c>
      <c r="C47" s="134" t="s">
        <v>606</v>
      </c>
      <c r="D47" s="135">
        <v>13.972248</v>
      </c>
      <c r="E47" s="135">
        <v>14.872413999999999</v>
      </c>
      <c r="F47" s="135">
        <v>15.123309000000001</v>
      </c>
      <c r="G47" s="135">
        <v>15.522886</v>
      </c>
      <c r="H47" s="135">
        <v>15.865885</v>
      </c>
      <c r="I47" s="135">
        <v>16.075890000000001</v>
      </c>
      <c r="J47" s="135">
        <v>16.233540000000001</v>
      </c>
      <c r="K47" s="135">
        <v>16.374475</v>
      </c>
      <c r="L47" s="135">
        <v>16.582702999999999</v>
      </c>
      <c r="M47" s="135">
        <v>16.843021</v>
      </c>
      <c r="N47" s="135">
        <v>17.109344</v>
      </c>
      <c r="O47" s="135">
        <v>17.316126000000001</v>
      </c>
      <c r="P47" s="135">
        <v>17.503997999999999</v>
      </c>
      <c r="Q47" s="135">
        <v>17.716549000000001</v>
      </c>
      <c r="R47" s="135">
        <v>17.947384</v>
      </c>
      <c r="S47" s="135">
        <v>18.121517000000001</v>
      </c>
      <c r="T47" s="135">
        <v>18.288838999999999</v>
      </c>
      <c r="U47" s="135">
        <v>18.466609999999999</v>
      </c>
      <c r="V47" s="135">
        <v>18.623085</v>
      </c>
      <c r="W47" s="135">
        <v>18.825593999999999</v>
      </c>
      <c r="X47" s="135">
        <v>19.046333000000001</v>
      </c>
      <c r="Y47" s="135">
        <v>19.232735000000002</v>
      </c>
      <c r="Z47" s="135">
        <v>19.416976999999999</v>
      </c>
      <c r="AA47" s="135">
        <v>19.647311999999999</v>
      </c>
      <c r="AB47" s="135">
        <v>19.898357000000001</v>
      </c>
      <c r="AC47" s="135">
        <v>20.153475</v>
      </c>
      <c r="AD47" s="135">
        <v>20.391369000000001</v>
      </c>
      <c r="AE47" s="135">
        <v>20.613503000000001</v>
      </c>
      <c r="AF47" s="135">
        <v>20.842199000000001</v>
      </c>
      <c r="AG47" s="135">
        <v>21.106788999999999</v>
      </c>
      <c r="AH47" s="136">
        <v>1.4326999999999999E-2</v>
      </c>
    </row>
    <row r="48" spans="1:34" ht="15" customHeight="1" x14ac:dyDescent="0.3">
      <c r="A48" s="64" t="s">
        <v>607</v>
      </c>
      <c r="B48" s="42" t="s">
        <v>42</v>
      </c>
      <c r="C48" s="134" t="s">
        <v>608</v>
      </c>
      <c r="D48" s="135">
        <v>75.790397999999996</v>
      </c>
      <c r="E48" s="135">
        <v>74.185608000000002</v>
      </c>
      <c r="F48" s="135">
        <v>73.659981000000002</v>
      </c>
      <c r="G48" s="135">
        <v>75.594925000000003</v>
      </c>
      <c r="H48" s="135">
        <v>77.372214999999997</v>
      </c>
      <c r="I48" s="135">
        <v>78.814621000000002</v>
      </c>
      <c r="J48" s="135">
        <v>79.920815000000005</v>
      </c>
      <c r="K48" s="135">
        <v>80.879372000000004</v>
      </c>
      <c r="L48" s="135">
        <v>82.051529000000002</v>
      </c>
      <c r="M48" s="135">
        <v>83.097481000000002</v>
      </c>
      <c r="N48" s="135">
        <v>83.928780000000003</v>
      </c>
      <c r="O48" s="135">
        <v>84.903899999999993</v>
      </c>
      <c r="P48" s="135">
        <v>85.840332000000004</v>
      </c>
      <c r="Q48" s="135">
        <v>86.377433999999994</v>
      </c>
      <c r="R48" s="135">
        <v>87.313972000000007</v>
      </c>
      <c r="S48" s="135">
        <v>88.233276000000004</v>
      </c>
      <c r="T48" s="135">
        <v>89.403671000000003</v>
      </c>
      <c r="U48" s="135">
        <v>90.534881999999996</v>
      </c>
      <c r="V48" s="135">
        <v>91.5</v>
      </c>
      <c r="W48" s="135">
        <v>92.508262999999999</v>
      </c>
      <c r="X48" s="135">
        <v>93.569130000000001</v>
      </c>
      <c r="Y48" s="135">
        <v>94.449089000000001</v>
      </c>
      <c r="Z48" s="135">
        <v>95.185738000000001</v>
      </c>
      <c r="AA48" s="135">
        <v>96.348304999999996</v>
      </c>
      <c r="AB48" s="135">
        <v>97.831847999999994</v>
      </c>
      <c r="AC48" s="135">
        <v>99.403441999999998</v>
      </c>
      <c r="AD48" s="135">
        <v>100.763847</v>
      </c>
      <c r="AE48" s="135">
        <v>101.878578</v>
      </c>
      <c r="AF48" s="135">
        <v>103.048851</v>
      </c>
      <c r="AG48" s="135">
        <v>104.368576</v>
      </c>
      <c r="AH48" s="136">
        <v>1.1094E-2</v>
      </c>
    </row>
    <row r="49" spans="1:34" ht="15" customHeight="1" x14ac:dyDescent="0.3">
      <c r="A49" s="64" t="s">
        <v>609</v>
      </c>
      <c r="B49" s="53"/>
      <c r="C49" s="134" t="s">
        <v>610</v>
      </c>
      <c r="D49" s="135">
        <v>240.150848</v>
      </c>
      <c r="E49" s="135">
        <v>247.23757900000001</v>
      </c>
      <c r="F49" s="135">
        <v>251.70339999999999</v>
      </c>
      <c r="G49" s="135">
        <v>255.20181299999999</v>
      </c>
      <c r="H49" s="135">
        <v>259.51004</v>
      </c>
      <c r="I49" s="135">
        <v>263.20581099999998</v>
      </c>
      <c r="J49" s="135">
        <v>265.11868299999998</v>
      </c>
      <c r="K49" s="135">
        <v>266.58917200000002</v>
      </c>
      <c r="L49" s="135">
        <v>269.78070100000002</v>
      </c>
      <c r="M49" s="135">
        <v>271.57281499999999</v>
      </c>
      <c r="N49" s="135">
        <v>272.75878899999998</v>
      </c>
      <c r="O49" s="135">
        <v>274.46804800000001</v>
      </c>
      <c r="P49" s="135">
        <v>275.49896200000001</v>
      </c>
      <c r="Q49" s="135">
        <v>277.36248799999998</v>
      </c>
      <c r="R49" s="135">
        <v>279.20324699999998</v>
      </c>
      <c r="S49" s="135">
        <v>281.25567599999999</v>
      </c>
      <c r="T49" s="135">
        <v>284.17114299999997</v>
      </c>
      <c r="U49" s="135">
        <v>286.97735599999999</v>
      </c>
      <c r="V49" s="135">
        <v>288.83462500000002</v>
      </c>
      <c r="W49" s="135">
        <v>290.27047700000003</v>
      </c>
      <c r="X49" s="135">
        <v>292.964539</v>
      </c>
      <c r="Y49" s="135">
        <v>295.85406499999999</v>
      </c>
      <c r="Z49" s="135">
        <v>298.064819</v>
      </c>
      <c r="AA49" s="135">
        <v>299.501282</v>
      </c>
      <c r="AB49" s="135">
        <v>300.84390300000001</v>
      </c>
      <c r="AC49" s="135">
        <v>302.618561</v>
      </c>
      <c r="AD49" s="135">
        <v>303.69708300000002</v>
      </c>
      <c r="AE49" s="135">
        <v>303.04907200000002</v>
      </c>
      <c r="AF49" s="135">
        <v>304.28308099999998</v>
      </c>
      <c r="AG49" s="135">
        <v>307.40368699999999</v>
      </c>
      <c r="AH49" s="136">
        <v>8.5500000000000003E-3</v>
      </c>
    </row>
    <row r="50" spans="1:34" ht="15" customHeight="1" x14ac:dyDescent="0.3">
      <c r="A50" s="64" t="s">
        <v>611</v>
      </c>
      <c r="B50" s="42" t="s">
        <v>43</v>
      </c>
      <c r="C50" s="134" t="s">
        <v>612</v>
      </c>
      <c r="D50" s="135">
        <v>125.35865</v>
      </c>
      <c r="E50" s="135">
        <v>126.458977</v>
      </c>
      <c r="F50" s="135">
        <v>127.350471</v>
      </c>
      <c r="G50" s="135">
        <v>127.975128</v>
      </c>
      <c r="H50" s="135">
        <v>129.97865300000001</v>
      </c>
      <c r="I50" s="135">
        <v>131.059799</v>
      </c>
      <c r="J50" s="135">
        <v>130.98170500000001</v>
      </c>
      <c r="K50" s="135">
        <v>130.466904</v>
      </c>
      <c r="L50" s="135">
        <v>131.59625199999999</v>
      </c>
      <c r="M50" s="135">
        <v>131.73017899999999</v>
      </c>
      <c r="N50" s="135">
        <v>131.491882</v>
      </c>
      <c r="O50" s="135">
        <v>132.018845</v>
      </c>
      <c r="P50" s="135">
        <v>131.81182899999999</v>
      </c>
      <c r="Q50" s="135">
        <v>132.05624399999999</v>
      </c>
      <c r="R50" s="135">
        <v>132.30509900000001</v>
      </c>
      <c r="S50" s="135">
        <v>132.813019</v>
      </c>
      <c r="T50" s="135">
        <v>134.02912900000001</v>
      </c>
      <c r="U50" s="135">
        <v>134.94963100000001</v>
      </c>
      <c r="V50" s="135">
        <v>134.715576</v>
      </c>
      <c r="W50" s="135">
        <v>134.10549900000001</v>
      </c>
      <c r="X50" s="135">
        <v>134.627579</v>
      </c>
      <c r="Y50" s="135">
        <v>135.25689700000001</v>
      </c>
      <c r="Z50" s="135">
        <v>135.38114899999999</v>
      </c>
      <c r="AA50" s="135">
        <v>134.84979200000001</v>
      </c>
      <c r="AB50" s="135">
        <v>133.881348</v>
      </c>
      <c r="AC50" s="135">
        <v>133.400406</v>
      </c>
      <c r="AD50" s="135">
        <v>132.450424</v>
      </c>
      <c r="AE50" s="135">
        <v>130.174194</v>
      </c>
      <c r="AF50" s="135">
        <v>129.52720600000001</v>
      </c>
      <c r="AG50" s="135">
        <v>130.41459699999999</v>
      </c>
      <c r="AH50" s="136">
        <v>1.364E-3</v>
      </c>
    </row>
    <row r="51" spans="1:34" ht="15" customHeight="1" x14ac:dyDescent="0.3">
      <c r="A51" s="64" t="s">
        <v>613</v>
      </c>
      <c r="B51" s="42" t="s">
        <v>44</v>
      </c>
      <c r="C51" s="134" t="s">
        <v>614</v>
      </c>
      <c r="D51" s="135">
        <v>37.984836999999999</v>
      </c>
      <c r="E51" s="135">
        <v>40.926949</v>
      </c>
      <c r="F51" s="135">
        <v>42.201751999999999</v>
      </c>
      <c r="G51" s="135">
        <v>43.116481999999998</v>
      </c>
      <c r="H51" s="135">
        <v>44.108051000000003</v>
      </c>
      <c r="I51" s="135">
        <v>45.071151999999998</v>
      </c>
      <c r="J51" s="135">
        <v>45.787860999999999</v>
      </c>
      <c r="K51" s="135">
        <v>46.505668999999997</v>
      </c>
      <c r="L51" s="135">
        <v>47.184173999999999</v>
      </c>
      <c r="M51" s="135">
        <v>47.634853</v>
      </c>
      <c r="N51" s="135">
        <v>48.024658000000002</v>
      </c>
      <c r="O51" s="135">
        <v>48.247790999999999</v>
      </c>
      <c r="P51" s="135">
        <v>48.536140000000003</v>
      </c>
      <c r="Q51" s="135">
        <v>48.946041000000001</v>
      </c>
      <c r="R51" s="135">
        <v>49.382027000000001</v>
      </c>
      <c r="S51" s="135">
        <v>49.726951999999997</v>
      </c>
      <c r="T51" s="135">
        <v>50.171985999999997</v>
      </c>
      <c r="U51" s="135">
        <v>50.741580999999996</v>
      </c>
      <c r="V51" s="135">
        <v>51.273304000000003</v>
      </c>
      <c r="W51" s="135">
        <v>51.564490999999997</v>
      </c>
      <c r="X51" s="135">
        <v>52.098796999999998</v>
      </c>
      <c r="Y51" s="135">
        <v>52.803229999999999</v>
      </c>
      <c r="Z51" s="135">
        <v>53.299731999999999</v>
      </c>
      <c r="AA51" s="135">
        <v>53.572741999999998</v>
      </c>
      <c r="AB51" s="135">
        <v>53.934680999999998</v>
      </c>
      <c r="AC51" s="135">
        <v>54.287070999999997</v>
      </c>
      <c r="AD51" s="135">
        <v>54.524368000000003</v>
      </c>
      <c r="AE51" s="135">
        <v>54.507342999999999</v>
      </c>
      <c r="AF51" s="135">
        <v>54.671402</v>
      </c>
      <c r="AG51" s="135">
        <v>55.205109</v>
      </c>
      <c r="AH51" s="136">
        <v>1.2975E-2</v>
      </c>
    </row>
    <row r="52" spans="1:34" ht="15" customHeight="1" x14ac:dyDescent="0.3">
      <c r="A52" s="64" t="s">
        <v>615</v>
      </c>
      <c r="B52" s="42" t="s">
        <v>44</v>
      </c>
      <c r="C52" s="134" t="s">
        <v>616</v>
      </c>
      <c r="D52" s="135">
        <v>76.807365000000004</v>
      </c>
      <c r="E52" s="135">
        <v>79.851653999999996</v>
      </c>
      <c r="F52" s="135">
        <v>82.151191999999995</v>
      </c>
      <c r="G52" s="135">
        <v>84.110191</v>
      </c>
      <c r="H52" s="135">
        <v>85.423347000000007</v>
      </c>
      <c r="I52" s="135">
        <v>87.074866999999998</v>
      </c>
      <c r="J52" s="135">
        <v>88.349120999999997</v>
      </c>
      <c r="K52" s="135">
        <v>89.616614999999996</v>
      </c>
      <c r="L52" s="135">
        <v>91.000275000000002</v>
      </c>
      <c r="M52" s="135">
        <v>92.207770999999994</v>
      </c>
      <c r="N52" s="135">
        <v>93.242255999999998</v>
      </c>
      <c r="O52" s="135">
        <v>94.201424000000003</v>
      </c>
      <c r="P52" s="135">
        <v>95.150993</v>
      </c>
      <c r="Q52" s="135">
        <v>96.360191</v>
      </c>
      <c r="R52" s="135">
        <v>97.516129000000006</v>
      </c>
      <c r="S52" s="135">
        <v>98.715698000000003</v>
      </c>
      <c r="T52" s="135">
        <v>99.970023999999995</v>
      </c>
      <c r="U52" s="135">
        <v>101.286148</v>
      </c>
      <c r="V52" s="135">
        <v>102.845749</v>
      </c>
      <c r="W52" s="135">
        <v>104.60050200000001</v>
      </c>
      <c r="X52" s="135">
        <v>106.238152</v>
      </c>
      <c r="Y52" s="135">
        <v>107.793953</v>
      </c>
      <c r="Z52" s="135">
        <v>109.383926</v>
      </c>
      <c r="AA52" s="135">
        <v>111.078751</v>
      </c>
      <c r="AB52" s="135">
        <v>113.027878</v>
      </c>
      <c r="AC52" s="135">
        <v>114.931099</v>
      </c>
      <c r="AD52" s="135">
        <v>116.722275</v>
      </c>
      <c r="AE52" s="135">
        <v>118.367554</v>
      </c>
      <c r="AF52" s="135">
        <v>120.084473</v>
      </c>
      <c r="AG52" s="135">
        <v>121.783997</v>
      </c>
      <c r="AH52" s="136">
        <v>1.6022000000000002E-2</v>
      </c>
    </row>
    <row r="53" spans="1:34" ht="15" customHeight="1" x14ac:dyDescent="0.3">
      <c r="A53" s="64" t="s">
        <v>617</v>
      </c>
      <c r="B53" s="42" t="s">
        <v>11</v>
      </c>
      <c r="C53" s="134" t="s">
        <v>618</v>
      </c>
      <c r="D53" s="135">
        <v>356.37753300000003</v>
      </c>
      <c r="E53" s="135">
        <v>361.737213</v>
      </c>
      <c r="F53" s="135">
        <v>368.31796300000002</v>
      </c>
      <c r="G53" s="135">
        <v>377.41558800000001</v>
      </c>
      <c r="H53" s="135">
        <v>384.48770100000002</v>
      </c>
      <c r="I53" s="135">
        <v>391.050049</v>
      </c>
      <c r="J53" s="135">
        <v>395.837219</v>
      </c>
      <c r="K53" s="135">
        <v>399.17871100000002</v>
      </c>
      <c r="L53" s="135">
        <v>405.14498900000001</v>
      </c>
      <c r="M53" s="135">
        <v>410.55728099999999</v>
      </c>
      <c r="N53" s="135">
        <v>415.55346700000001</v>
      </c>
      <c r="O53" s="135">
        <v>422.055969</v>
      </c>
      <c r="P53" s="135">
        <v>427.53988600000002</v>
      </c>
      <c r="Q53" s="135">
        <v>433.46798699999999</v>
      </c>
      <c r="R53" s="135">
        <v>439.71466099999998</v>
      </c>
      <c r="S53" s="135">
        <v>446.85046399999999</v>
      </c>
      <c r="T53" s="135">
        <v>455.38812300000001</v>
      </c>
      <c r="U53" s="135">
        <v>463.08239700000001</v>
      </c>
      <c r="V53" s="135">
        <v>469.48071299999998</v>
      </c>
      <c r="W53" s="135">
        <v>474.85220299999997</v>
      </c>
      <c r="X53" s="135">
        <v>481.527985</v>
      </c>
      <c r="Y53" s="135">
        <v>489.66796900000003</v>
      </c>
      <c r="Z53" s="135">
        <v>498.85406499999999</v>
      </c>
      <c r="AA53" s="135">
        <v>506.025757</v>
      </c>
      <c r="AB53" s="135">
        <v>512.24829099999999</v>
      </c>
      <c r="AC53" s="135">
        <v>519.11254899999994</v>
      </c>
      <c r="AD53" s="135">
        <v>524.125</v>
      </c>
      <c r="AE53" s="135">
        <v>526.92883300000005</v>
      </c>
      <c r="AF53" s="135">
        <v>531.45202600000005</v>
      </c>
      <c r="AG53" s="135">
        <v>541.60760500000004</v>
      </c>
      <c r="AH53" s="136">
        <v>1.4537E-2</v>
      </c>
    </row>
    <row r="54" spans="1:34" ht="15" customHeight="1" x14ac:dyDescent="0.3">
      <c r="A54" s="64" t="s">
        <v>619</v>
      </c>
      <c r="B54" s="42" t="s">
        <v>14</v>
      </c>
      <c r="C54" s="134" t="s">
        <v>620</v>
      </c>
      <c r="D54" s="135">
        <v>388.79586799999998</v>
      </c>
      <c r="E54" s="135">
        <v>403.95950299999998</v>
      </c>
      <c r="F54" s="135">
        <v>407.25006100000002</v>
      </c>
      <c r="G54" s="135">
        <v>416.224762</v>
      </c>
      <c r="H54" s="135">
        <v>424.04003899999998</v>
      </c>
      <c r="I54" s="135">
        <v>431.49121100000002</v>
      </c>
      <c r="J54" s="135">
        <v>439.30761699999999</v>
      </c>
      <c r="K54" s="135">
        <v>445.39505000000003</v>
      </c>
      <c r="L54" s="135">
        <v>455.42623900000001</v>
      </c>
      <c r="M54" s="135">
        <v>464.19042999999999</v>
      </c>
      <c r="N54" s="135">
        <v>472.15261800000002</v>
      </c>
      <c r="O54" s="135">
        <v>481.50366200000002</v>
      </c>
      <c r="P54" s="135">
        <v>489.82076999999998</v>
      </c>
      <c r="Q54" s="135">
        <v>499.02780200000001</v>
      </c>
      <c r="R54" s="135">
        <v>508.35711700000002</v>
      </c>
      <c r="S54" s="135">
        <v>518.50830099999996</v>
      </c>
      <c r="T54" s="135">
        <v>529.119507</v>
      </c>
      <c r="U54" s="135">
        <v>538.39868200000001</v>
      </c>
      <c r="V54" s="135">
        <v>547.00848399999995</v>
      </c>
      <c r="W54" s="135">
        <v>555.54620399999999</v>
      </c>
      <c r="X54" s="135">
        <v>565.09680200000003</v>
      </c>
      <c r="Y54" s="135">
        <v>575.75164800000005</v>
      </c>
      <c r="Z54" s="135">
        <v>586.21398899999997</v>
      </c>
      <c r="AA54" s="135">
        <v>595.45770300000004</v>
      </c>
      <c r="AB54" s="135">
        <v>604.20324700000003</v>
      </c>
      <c r="AC54" s="135">
        <v>614.74352999999996</v>
      </c>
      <c r="AD54" s="135">
        <v>623.77667199999996</v>
      </c>
      <c r="AE54" s="135">
        <v>632.38226299999997</v>
      </c>
      <c r="AF54" s="135">
        <v>642.15368699999999</v>
      </c>
      <c r="AG54" s="135">
        <v>654.91442900000004</v>
      </c>
      <c r="AH54" s="136">
        <v>1.8144E-2</v>
      </c>
    </row>
    <row r="55" spans="1:34" ht="15" customHeight="1" x14ac:dyDescent="0.3">
      <c r="A55" s="64" t="s">
        <v>621</v>
      </c>
      <c r="B55" s="42" t="s">
        <v>12</v>
      </c>
      <c r="C55" s="134" t="s">
        <v>622</v>
      </c>
      <c r="D55" s="135">
        <v>481.070221</v>
      </c>
      <c r="E55" s="135">
        <v>503.04681399999998</v>
      </c>
      <c r="F55" s="135">
        <v>519.51629600000001</v>
      </c>
      <c r="G55" s="135">
        <v>533.74114999999995</v>
      </c>
      <c r="H55" s="135">
        <v>546.41052200000001</v>
      </c>
      <c r="I55" s="135">
        <v>559.15704300000004</v>
      </c>
      <c r="J55" s="135">
        <v>572.18597399999999</v>
      </c>
      <c r="K55" s="135">
        <v>587.99060099999997</v>
      </c>
      <c r="L55" s="135">
        <v>603.55963099999997</v>
      </c>
      <c r="M55" s="135">
        <v>618.55658000000005</v>
      </c>
      <c r="N55" s="135">
        <v>634.55084199999999</v>
      </c>
      <c r="O55" s="135">
        <v>649.11218299999996</v>
      </c>
      <c r="P55" s="135">
        <v>663.10205099999996</v>
      </c>
      <c r="Q55" s="135">
        <v>678.17199700000003</v>
      </c>
      <c r="R55" s="135">
        <v>693.63403300000004</v>
      </c>
      <c r="S55" s="135">
        <v>709.75494400000002</v>
      </c>
      <c r="T55" s="135">
        <v>727.07641599999999</v>
      </c>
      <c r="U55" s="135">
        <v>745.456726</v>
      </c>
      <c r="V55" s="135">
        <v>764.20849599999997</v>
      </c>
      <c r="W55" s="135">
        <v>783.631348</v>
      </c>
      <c r="X55" s="135">
        <v>803.89862100000005</v>
      </c>
      <c r="Y55" s="135">
        <v>824.22943099999998</v>
      </c>
      <c r="Z55" s="135">
        <v>845.34020999999996</v>
      </c>
      <c r="AA55" s="135">
        <v>866.998108</v>
      </c>
      <c r="AB55" s="135">
        <v>888.50714100000005</v>
      </c>
      <c r="AC55" s="135">
        <v>909.73651099999995</v>
      </c>
      <c r="AD55" s="135">
        <v>930.98944100000006</v>
      </c>
      <c r="AE55" s="135">
        <v>952.46636999999998</v>
      </c>
      <c r="AF55" s="135">
        <v>975.00781199999994</v>
      </c>
      <c r="AG55" s="135">
        <v>997.70855700000004</v>
      </c>
      <c r="AH55" s="136">
        <v>2.5472000000000002E-2</v>
      </c>
    </row>
    <row r="56" spans="1:34" ht="15" customHeight="1" x14ac:dyDescent="0.3">
      <c r="A56" s="64" t="s">
        <v>623</v>
      </c>
      <c r="B56" s="42" t="s">
        <v>643</v>
      </c>
      <c r="C56" s="134" t="s">
        <v>624</v>
      </c>
      <c r="D56" s="135">
        <v>1097.1733400000001</v>
      </c>
      <c r="E56" s="135">
        <v>1191.681763</v>
      </c>
      <c r="F56" s="135">
        <v>1268.10022</v>
      </c>
      <c r="G56" s="135">
        <v>1261.6687010000001</v>
      </c>
      <c r="H56" s="135">
        <v>1263.2261960000001</v>
      </c>
      <c r="I56" s="135">
        <v>1267.3217770000001</v>
      </c>
      <c r="J56" s="135">
        <v>1269.287476</v>
      </c>
      <c r="K56" s="135">
        <v>1281.6014399999999</v>
      </c>
      <c r="L56" s="135">
        <v>1289.114746</v>
      </c>
      <c r="M56" s="135">
        <v>1298.8572999999999</v>
      </c>
      <c r="N56" s="135">
        <v>1312.8804929999999</v>
      </c>
      <c r="O56" s="135">
        <v>1330.8905030000001</v>
      </c>
      <c r="P56" s="135">
        <v>1351.185547</v>
      </c>
      <c r="Q56" s="135">
        <v>1370.4764399999999</v>
      </c>
      <c r="R56" s="135">
        <v>1391.1259769999999</v>
      </c>
      <c r="S56" s="135">
        <v>1413.0970460000001</v>
      </c>
      <c r="T56" s="135">
        <v>1435.736206</v>
      </c>
      <c r="U56" s="135">
        <v>1458.1304929999999</v>
      </c>
      <c r="V56" s="135">
        <v>1479.6605219999999</v>
      </c>
      <c r="W56" s="135">
        <v>1500.604736</v>
      </c>
      <c r="X56" s="135">
        <v>1524.3339840000001</v>
      </c>
      <c r="Y56" s="135">
        <v>1550.9267580000001</v>
      </c>
      <c r="Z56" s="135">
        <v>1577.604736</v>
      </c>
      <c r="AA56" s="135">
        <v>1602.412231</v>
      </c>
      <c r="AB56" s="135">
        <v>1626.9357910000001</v>
      </c>
      <c r="AC56" s="135">
        <v>1654.372192</v>
      </c>
      <c r="AD56" s="135">
        <v>1682.0417480000001</v>
      </c>
      <c r="AE56" s="135">
        <v>1707.6345209999999</v>
      </c>
      <c r="AF56" s="135">
        <v>1735.310303</v>
      </c>
      <c r="AG56" s="135">
        <v>1766.865967</v>
      </c>
      <c r="AH56" s="136">
        <v>1.6566000000000001E-2</v>
      </c>
    </row>
    <row r="57" spans="1:34" ht="15" customHeight="1" x14ac:dyDescent="0.3">
      <c r="A57" s="64" t="s">
        <v>625</v>
      </c>
      <c r="B57" s="42" t="s">
        <v>13</v>
      </c>
      <c r="C57" s="134" t="s">
        <v>626</v>
      </c>
      <c r="D57" s="135">
        <v>133.00749200000001</v>
      </c>
      <c r="E57" s="135">
        <v>138.84053</v>
      </c>
      <c r="F57" s="135">
        <v>143.80725100000001</v>
      </c>
      <c r="G57" s="135">
        <v>147.96112099999999</v>
      </c>
      <c r="H57" s="135">
        <v>150.880447</v>
      </c>
      <c r="I57" s="135">
        <v>153.851395</v>
      </c>
      <c r="J57" s="135">
        <v>156.615555</v>
      </c>
      <c r="K57" s="135">
        <v>159.551254</v>
      </c>
      <c r="L57" s="135">
        <v>162.86035200000001</v>
      </c>
      <c r="M57" s="135">
        <v>166.260895</v>
      </c>
      <c r="N57" s="135">
        <v>168.41459699999999</v>
      </c>
      <c r="O57" s="135">
        <v>171.77297999999999</v>
      </c>
      <c r="P57" s="135">
        <v>176.09622200000001</v>
      </c>
      <c r="Q57" s="135">
        <v>180.64563000000001</v>
      </c>
      <c r="R57" s="135">
        <v>185.217896</v>
      </c>
      <c r="S57" s="135">
        <v>189.90358000000001</v>
      </c>
      <c r="T57" s="135">
        <v>194.76504499999999</v>
      </c>
      <c r="U57" s="135">
        <v>199.857147</v>
      </c>
      <c r="V57" s="135">
        <v>205.00952100000001</v>
      </c>
      <c r="W57" s="135">
        <v>210.16329999999999</v>
      </c>
      <c r="X57" s="135">
        <v>215.56100499999999</v>
      </c>
      <c r="Y57" s="135">
        <v>221.187927</v>
      </c>
      <c r="Z57" s="135">
        <v>226.986481</v>
      </c>
      <c r="AA57" s="135">
        <v>232.951874</v>
      </c>
      <c r="AB57" s="135">
        <v>239.318207</v>
      </c>
      <c r="AC57" s="135">
        <v>245.749619</v>
      </c>
      <c r="AD57" s="135">
        <v>252.27294900000001</v>
      </c>
      <c r="AE57" s="135">
        <v>258.99041699999998</v>
      </c>
      <c r="AF57" s="135">
        <v>265.57894900000002</v>
      </c>
      <c r="AG57" s="135">
        <v>272.47015399999998</v>
      </c>
      <c r="AH57" s="136">
        <v>2.5037E-2</v>
      </c>
    </row>
    <row r="58" spans="1:34" ht="12" customHeight="1" x14ac:dyDescent="0.3">
      <c r="A58" s="64" t="s">
        <v>627</v>
      </c>
      <c r="B58" s="42" t="s">
        <v>17</v>
      </c>
      <c r="C58" s="134" t="s">
        <v>628</v>
      </c>
      <c r="D58" s="135">
        <v>160.348679</v>
      </c>
      <c r="E58" s="135">
        <v>160.88505599999999</v>
      </c>
      <c r="F58" s="135">
        <v>163.25384500000001</v>
      </c>
      <c r="G58" s="135">
        <v>168.39666700000001</v>
      </c>
      <c r="H58" s="135">
        <v>173.68879699999999</v>
      </c>
      <c r="I58" s="135">
        <v>178.724548</v>
      </c>
      <c r="J58" s="135">
        <v>184.49302700000001</v>
      </c>
      <c r="K58" s="135">
        <v>190.19709800000001</v>
      </c>
      <c r="L58" s="135">
        <v>196.61567700000001</v>
      </c>
      <c r="M58" s="135">
        <v>202.95172099999999</v>
      </c>
      <c r="N58" s="135">
        <v>208.66575599999999</v>
      </c>
      <c r="O58" s="135">
        <v>214.583527</v>
      </c>
      <c r="P58" s="135">
        <v>220.77835099999999</v>
      </c>
      <c r="Q58" s="135">
        <v>227.492096</v>
      </c>
      <c r="R58" s="135">
        <v>233.50599700000001</v>
      </c>
      <c r="S58" s="135">
        <v>239.467026</v>
      </c>
      <c r="T58" s="135">
        <v>246.26289399999999</v>
      </c>
      <c r="U58" s="135">
        <v>253.30375699999999</v>
      </c>
      <c r="V58" s="135">
        <v>260.98226899999997</v>
      </c>
      <c r="W58" s="135">
        <v>268.70086700000002</v>
      </c>
      <c r="X58" s="135">
        <v>276.099152</v>
      </c>
      <c r="Y58" s="135">
        <v>284.92816199999999</v>
      </c>
      <c r="Z58" s="135">
        <v>293.358521</v>
      </c>
      <c r="AA58" s="135">
        <v>302.13580300000001</v>
      </c>
      <c r="AB58" s="135">
        <v>310.903595</v>
      </c>
      <c r="AC58" s="135">
        <v>320.33691399999998</v>
      </c>
      <c r="AD58" s="135">
        <v>328.98419200000001</v>
      </c>
      <c r="AE58" s="135">
        <v>337.27731299999999</v>
      </c>
      <c r="AF58" s="135">
        <v>346.36282299999999</v>
      </c>
      <c r="AG58" s="135">
        <v>354.76004</v>
      </c>
      <c r="AH58" s="136">
        <v>2.7761000000000001E-2</v>
      </c>
    </row>
    <row r="59" spans="1:34" ht="15" customHeight="1" x14ac:dyDescent="0.3"/>
    <row r="60" spans="1:34" ht="15" customHeight="1" x14ac:dyDescent="0.3">
      <c r="A60" s="64" t="s">
        <v>629</v>
      </c>
      <c r="B60" s="64"/>
      <c r="C60" s="131" t="s">
        <v>630</v>
      </c>
      <c r="D60" s="132">
        <v>9275.0263670000004</v>
      </c>
      <c r="E60" s="132">
        <v>9520.2275389999995</v>
      </c>
      <c r="F60" s="132">
        <v>9691.8925780000009</v>
      </c>
      <c r="G60" s="132">
        <v>9798.2001949999994</v>
      </c>
      <c r="H60" s="132">
        <v>9915.4599610000005</v>
      </c>
      <c r="I60" s="132">
        <v>10020.619140999999</v>
      </c>
      <c r="J60" s="132">
        <v>10087.813477</v>
      </c>
      <c r="K60" s="132">
        <v>10177.658203000001</v>
      </c>
      <c r="L60" s="132">
        <v>10284.823242</v>
      </c>
      <c r="M60" s="132">
        <v>10392.021484000001</v>
      </c>
      <c r="N60" s="132">
        <v>10503.195312</v>
      </c>
      <c r="O60" s="132">
        <v>10626.379883</v>
      </c>
      <c r="P60" s="132">
        <v>10755.857421999999</v>
      </c>
      <c r="Q60" s="132">
        <v>10878.384765999999</v>
      </c>
      <c r="R60" s="132">
        <v>11003.75</v>
      </c>
      <c r="S60" s="132">
        <v>11136.871094</v>
      </c>
      <c r="T60" s="132">
        <v>11285.188477</v>
      </c>
      <c r="U60" s="132">
        <v>11437.352539</v>
      </c>
      <c r="V60" s="132">
        <v>11587.208984000001</v>
      </c>
      <c r="W60" s="132">
        <v>11735.884765999999</v>
      </c>
      <c r="X60" s="132">
        <v>11896.541992</v>
      </c>
      <c r="Y60" s="132">
        <v>12065.203125</v>
      </c>
      <c r="Z60" s="132">
        <v>12236.771484000001</v>
      </c>
      <c r="AA60" s="132">
        <v>12405.541992</v>
      </c>
      <c r="AB60" s="132">
        <v>12573.555664</v>
      </c>
      <c r="AC60" s="132">
        <v>12752.084961</v>
      </c>
      <c r="AD60" s="132">
        <v>12911.328125</v>
      </c>
      <c r="AE60" s="132">
        <v>13055.079102</v>
      </c>
      <c r="AF60" s="132">
        <v>13225.791015999999</v>
      </c>
      <c r="AG60" s="132">
        <v>13435.021484000001</v>
      </c>
      <c r="AH60" s="133">
        <v>1.2859000000000001E-2</v>
      </c>
    </row>
    <row r="61" spans="1:34" ht="15" customHeight="1" thickBot="1" x14ac:dyDescent="0.35"/>
    <row r="62" spans="1:34" ht="15" customHeight="1" x14ac:dyDescent="0.3">
      <c r="C62" s="137" t="s">
        <v>631</v>
      </c>
    </row>
    <row r="63" spans="1:34" ht="15" customHeight="1" x14ac:dyDescent="0.3">
      <c r="C63" s="66" t="s">
        <v>1332</v>
      </c>
    </row>
    <row r="64" spans="1:34" ht="15" customHeight="1" x14ac:dyDescent="0.3">
      <c r="C64" s="66" t="s">
        <v>1333</v>
      </c>
    </row>
    <row r="65" ht="15" customHeight="1" x14ac:dyDescent="0.3"/>
    <row r="66" ht="12"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2" customHeight="1" x14ac:dyDescent="0.3"/>
    <row r="75" ht="15" customHeight="1" x14ac:dyDescent="0.3"/>
    <row r="76" ht="15" customHeight="1" x14ac:dyDescent="0.3"/>
    <row r="77" ht="15" customHeight="1" x14ac:dyDescent="0.3"/>
    <row r="78" ht="15" customHeight="1" x14ac:dyDescent="0.3"/>
    <row r="79" ht="15" customHeight="1" x14ac:dyDescent="0.3"/>
    <row r="80" ht="12" customHeight="1" x14ac:dyDescent="0.3"/>
    <row r="81" ht="15" customHeight="1" x14ac:dyDescent="0.3"/>
    <row r="82" ht="15" customHeight="1" x14ac:dyDescent="0.3"/>
    <row r="83" ht="15" customHeight="1" x14ac:dyDescent="0.3"/>
    <row r="84" ht="15" customHeight="1" x14ac:dyDescent="0.3"/>
    <row r="85" ht="12" customHeight="1" x14ac:dyDescent="0.3"/>
    <row r="86" ht="15" customHeight="1" x14ac:dyDescent="0.3"/>
    <row r="87" ht="15" customHeight="1" x14ac:dyDescent="0.3"/>
    <row r="88" ht="15" customHeight="1" x14ac:dyDescent="0.3"/>
    <row r="89" ht="12"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2"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2" customHeight="1" x14ac:dyDescent="0.3"/>
    <row r="105" ht="15" customHeight="1" x14ac:dyDescent="0.3"/>
    <row r="106" ht="15" customHeight="1" x14ac:dyDescent="0.3"/>
    <row r="107" ht="15" customHeight="1" x14ac:dyDescent="0.3"/>
    <row r="108" ht="15" customHeight="1" x14ac:dyDescent="0.3"/>
    <row r="109" ht="15" customHeight="1" x14ac:dyDescent="0.3"/>
    <row r="110" ht="12" customHeight="1" x14ac:dyDescent="0.3"/>
    <row r="111" ht="15" customHeight="1" x14ac:dyDescent="0.3"/>
    <row r="112" ht="15" customHeight="1" x14ac:dyDescent="0.3"/>
    <row r="113" ht="15" customHeight="1" x14ac:dyDescent="0.3"/>
    <row r="114" ht="12" customHeight="1" x14ac:dyDescent="0.3"/>
    <row r="115" ht="15" customHeight="1" x14ac:dyDescent="0.3"/>
    <row r="116" ht="15" customHeight="1" x14ac:dyDescent="0.3"/>
    <row r="117" ht="15" customHeight="1" x14ac:dyDescent="0.3"/>
    <row r="118" ht="15" customHeight="1" x14ac:dyDescent="0.3"/>
    <row r="119" ht="15" customHeight="1" x14ac:dyDescent="0.3"/>
    <row r="120" ht="12" customHeight="1" x14ac:dyDescent="0.3"/>
    <row r="121" ht="15" customHeight="1" x14ac:dyDescent="0.3"/>
    <row r="122" ht="15" customHeight="1" x14ac:dyDescent="0.3"/>
    <row r="123" ht="15" customHeight="1" x14ac:dyDescent="0.3"/>
    <row r="124" ht="15" customHeight="1" x14ac:dyDescent="0.3"/>
    <row r="125" ht="12"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spans="3:34" ht="15" customHeight="1" x14ac:dyDescent="0.3"/>
    <row r="146" spans="3:34" ht="15" customHeight="1" x14ac:dyDescent="0.3"/>
    <row r="147" spans="3:34" ht="15" customHeight="1" x14ac:dyDescent="0.3">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c r="AA147" s="161"/>
      <c r="AB147" s="161"/>
      <c r="AC147" s="161"/>
      <c r="AD147" s="161"/>
      <c r="AE147" s="161"/>
      <c r="AF147" s="161"/>
      <c r="AG147" s="161"/>
      <c r="AH147" s="161"/>
    </row>
    <row r="148" spans="3:34" ht="15" customHeight="1" x14ac:dyDescent="0.3"/>
    <row r="149" spans="3:34" ht="15" customHeight="1" x14ac:dyDescent="0.3"/>
    <row r="150" spans="3:34" ht="15" customHeight="1" x14ac:dyDescent="0.3"/>
    <row r="151" spans="3:34" ht="15" customHeight="1" x14ac:dyDescent="0.3"/>
    <row r="152" spans="3:34" ht="15" customHeight="1" x14ac:dyDescent="0.3"/>
    <row r="153" spans="3:34" ht="15" customHeight="1" x14ac:dyDescent="0.3"/>
    <row r="154" spans="3:34" ht="15" customHeight="1" x14ac:dyDescent="0.3"/>
    <row r="155" spans="3:34" ht="15" customHeight="1" x14ac:dyDescent="0.3"/>
    <row r="156" spans="3:34" ht="15" customHeight="1" x14ac:dyDescent="0.3"/>
    <row r="157" spans="3:34" ht="15" customHeight="1" x14ac:dyDescent="0.3"/>
    <row r="158" spans="3:34" ht="15" customHeight="1" x14ac:dyDescent="0.3"/>
    <row r="159" spans="3:34" ht="15" customHeight="1" x14ac:dyDescent="0.3"/>
    <row r="160" spans="3:34"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2" customHeight="1" x14ac:dyDescent="0.3"/>
    <row r="176" ht="12" customHeight="1" x14ac:dyDescent="0.3"/>
    <row r="177" ht="12" customHeight="1" x14ac:dyDescent="0.3"/>
    <row r="178" ht="12" customHeight="1" x14ac:dyDescent="0.3"/>
    <row r="179" ht="12" customHeight="1" x14ac:dyDescent="0.3"/>
    <row r="180" ht="12" customHeight="1" x14ac:dyDescent="0.3"/>
    <row r="181" ht="12" customHeight="1" x14ac:dyDescent="0.3"/>
    <row r="182" ht="12" customHeight="1" x14ac:dyDescent="0.3"/>
    <row r="183" ht="12" customHeight="1" x14ac:dyDescent="0.3"/>
    <row r="184" ht="12" customHeight="1" x14ac:dyDescent="0.3"/>
    <row r="185" ht="12" customHeight="1" x14ac:dyDescent="0.3"/>
    <row r="186" ht="12" customHeight="1" x14ac:dyDescent="0.3"/>
    <row r="187" ht="12" customHeight="1" x14ac:dyDescent="0.3"/>
    <row r="188" ht="12" customHeight="1" x14ac:dyDescent="0.3"/>
    <row r="189" ht="12" customHeight="1" x14ac:dyDescent="0.3"/>
    <row r="190" ht="12"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2"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2" customHeight="1" x14ac:dyDescent="0.3"/>
    <row r="226" ht="15" customHeight="1" x14ac:dyDescent="0.3"/>
    <row r="227" ht="12" customHeight="1" x14ac:dyDescent="0.3"/>
    <row r="228" ht="15" customHeight="1" x14ac:dyDescent="0.3"/>
    <row r="229" ht="15" customHeight="1" x14ac:dyDescent="0.3"/>
    <row r="230" ht="15" customHeight="1" x14ac:dyDescent="0.3"/>
    <row r="231" ht="15" customHeight="1" x14ac:dyDescent="0.3"/>
    <row r="232" ht="12" customHeight="1" x14ac:dyDescent="0.3"/>
    <row r="233" ht="15" customHeight="1" x14ac:dyDescent="0.3"/>
    <row r="234" ht="15" customHeight="1" x14ac:dyDescent="0.3"/>
    <row r="235" ht="15" customHeight="1" x14ac:dyDescent="0.3"/>
    <row r="236" ht="12" customHeight="1" x14ac:dyDescent="0.3"/>
    <row r="237" ht="15" customHeight="1" x14ac:dyDescent="0.3"/>
    <row r="238" ht="15" customHeight="1" x14ac:dyDescent="0.3"/>
    <row r="239" ht="15" customHeight="1" x14ac:dyDescent="0.3"/>
    <row r="240" ht="15" customHeight="1" x14ac:dyDescent="0.3"/>
    <row r="241" ht="12" customHeight="1" x14ac:dyDescent="0.3"/>
    <row r="242" ht="15" customHeight="1" x14ac:dyDescent="0.3"/>
    <row r="243" ht="15" customHeight="1" x14ac:dyDescent="0.3"/>
    <row r="244" ht="12" customHeight="1" x14ac:dyDescent="0.3"/>
    <row r="245" ht="15" customHeight="1" x14ac:dyDescent="0.3"/>
    <row r="246" ht="15" customHeight="1" x14ac:dyDescent="0.3"/>
    <row r="247" ht="15" customHeight="1" x14ac:dyDescent="0.3"/>
    <row r="248" ht="12" customHeight="1" x14ac:dyDescent="0.3"/>
    <row r="249" ht="15" customHeight="1" x14ac:dyDescent="0.3"/>
    <row r="250" ht="15" customHeight="1" x14ac:dyDescent="0.3"/>
    <row r="251" ht="15" customHeight="1" x14ac:dyDescent="0.3"/>
    <row r="252" ht="12" customHeight="1" x14ac:dyDescent="0.3"/>
    <row r="253" ht="15" customHeight="1" x14ac:dyDescent="0.3"/>
    <row r="254" ht="15" customHeight="1" x14ac:dyDescent="0.3"/>
    <row r="255" ht="12"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spans="3:34" ht="15" customHeight="1" x14ac:dyDescent="0.3"/>
    <row r="274" spans="3:34" ht="15" customHeight="1" x14ac:dyDescent="0.3"/>
    <row r="275" spans="3:34" ht="15" customHeight="1" x14ac:dyDescent="0.3"/>
    <row r="276" spans="3:34" ht="15" customHeight="1" x14ac:dyDescent="0.3"/>
    <row r="277" spans="3:34" ht="15" customHeight="1" x14ac:dyDescent="0.3"/>
    <row r="278" spans="3:34" ht="15" customHeight="1" x14ac:dyDescent="0.3"/>
    <row r="279" spans="3:34" ht="15" customHeight="1" x14ac:dyDescent="0.3"/>
    <row r="280" spans="3:34" ht="15" customHeight="1" x14ac:dyDescent="0.3"/>
    <row r="281" spans="3:34" ht="15" customHeight="1" x14ac:dyDescent="0.3"/>
    <row r="282" spans="3:34" ht="15" customHeight="1" x14ac:dyDescent="0.3"/>
    <row r="283" spans="3:34" ht="15" customHeight="1" x14ac:dyDescent="0.3">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row>
    <row r="284" spans="3:34" ht="15" customHeight="1" x14ac:dyDescent="0.3"/>
    <row r="285" spans="3:34" ht="15" customHeight="1" x14ac:dyDescent="0.3"/>
    <row r="286" spans="3:34" ht="15" customHeight="1" x14ac:dyDescent="0.3"/>
    <row r="287" spans="3:34" ht="15" customHeight="1" x14ac:dyDescent="0.3"/>
    <row r="288" spans="3:34" ht="15" customHeight="1" x14ac:dyDescent="0.3"/>
    <row r="289" ht="15" customHeight="1" x14ac:dyDescent="0.3"/>
    <row r="290" ht="15" customHeight="1" x14ac:dyDescent="0.3"/>
    <row r="291" ht="15" customHeight="1" x14ac:dyDescent="0.3"/>
    <row r="292" ht="15" customHeight="1" x14ac:dyDescent="0.3"/>
    <row r="293" ht="15" customHeight="1" x14ac:dyDescent="0.3"/>
    <row r="294" ht="12" customHeight="1" x14ac:dyDescent="0.3"/>
    <row r="295" ht="12" customHeight="1" x14ac:dyDescent="0.3"/>
    <row r="296" ht="12" customHeight="1" x14ac:dyDescent="0.3"/>
    <row r="297" ht="12" customHeight="1" x14ac:dyDescent="0.3"/>
    <row r="298" ht="12" customHeight="1" x14ac:dyDescent="0.3"/>
    <row r="299" ht="12" customHeight="1" x14ac:dyDescent="0.3"/>
    <row r="300" ht="12" customHeight="1" x14ac:dyDescent="0.3"/>
    <row r="301" ht="12" customHeight="1" x14ac:dyDescent="0.3"/>
    <row r="302" ht="12" customHeight="1" x14ac:dyDescent="0.3"/>
    <row r="303" ht="12" customHeight="1" x14ac:dyDescent="0.3"/>
    <row r="304" ht="12" customHeight="1" x14ac:dyDescent="0.3"/>
    <row r="305" ht="12" customHeight="1" x14ac:dyDescent="0.3"/>
    <row r="306" ht="12" customHeight="1" x14ac:dyDescent="0.3"/>
    <row r="307" ht="12" customHeight="1" x14ac:dyDescent="0.3"/>
    <row r="308" ht="12" customHeight="1" x14ac:dyDescent="0.3"/>
    <row r="309" ht="12" customHeight="1" x14ac:dyDescent="0.3"/>
    <row r="310" ht="12" customHeight="1" x14ac:dyDescent="0.3"/>
    <row r="311" ht="12" customHeight="1" x14ac:dyDescent="0.3"/>
    <row r="312" ht="12" customHeight="1" x14ac:dyDescent="0.3"/>
    <row r="313" ht="12" customHeight="1" x14ac:dyDescent="0.3"/>
    <row r="314" ht="12" customHeight="1" x14ac:dyDescent="0.3"/>
    <row r="315" ht="12"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2" customHeight="1" x14ac:dyDescent="0.3"/>
    <row r="323" ht="15" customHeight="1" x14ac:dyDescent="0.3"/>
    <row r="324" ht="12" customHeight="1" x14ac:dyDescent="0.3"/>
    <row r="325" ht="15" customHeight="1" x14ac:dyDescent="0.3"/>
    <row r="326" ht="12" customHeight="1" x14ac:dyDescent="0.3"/>
    <row r="327" ht="15" customHeight="1" x14ac:dyDescent="0.3"/>
    <row r="328" ht="15" customHeight="1" x14ac:dyDescent="0.3"/>
    <row r="329" ht="15" customHeight="1" x14ac:dyDescent="0.3"/>
    <row r="330" ht="15" customHeight="1" x14ac:dyDescent="0.3"/>
    <row r="331" ht="12"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spans="3:34" ht="15" customHeight="1" x14ac:dyDescent="0.3"/>
    <row r="354" spans="3:34" ht="15" customHeight="1" x14ac:dyDescent="0.3"/>
    <row r="355" spans="3:34" ht="15" customHeight="1" x14ac:dyDescent="0.3"/>
    <row r="356" spans="3:34" ht="15" customHeight="1" x14ac:dyDescent="0.3"/>
    <row r="357" spans="3:34" ht="15" customHeight="1" x14ac:dyDescent="0.3"/>
    <row r="358" spans="3:34" ht="15" customHeight="1" x14ac:dyDescent="0.3"/>
    <row r="359" spans="3:34" ht="15" customHeight="1" x14ac:dyDescent="0.3"/>
    <row r="360" spans="3:34" ht="15" customHeight="1" x14ac:dyDescent="0.3"/>
    <row r="361" spans="3:34" ht="15" customHeight="1" x14ac:dyDescent="0.3"/>
    <row r="362" spans="3:34" ht="15" customHeight="1" x14ac:dyDescent="0.3"/>
    <row r="363" spans="3:34" ht="15" customHeight="1" x14ac:dyDescent="0.3"/>
    <row r="364" spans="3:34" ht="15" customHeight="1" x14ac:dyDescent="0.3"/>
    <row r="365" spans="3:34" ht="12" customHeight="1" x14ac:dyDescent="0.3"/>
    <row r="366" spans="3:34" ht="15" customHeight="1" x14ac:dyDescent="0.3"/>
    <row r="367" spans="3:34" ht="15" customHeight="1" x14ac:dyDescent="0.3"/>
    <row r="368" spans="3:34" ht="15" customHeight="1" x14ac:dyDescent="0.3">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c r="AH368" s="161"/>
    </row>
    <row r="369" ht="15" customHeight="1" x14ac:dyDescent="0.3"/>
    <row r="370" ht="15" customHeight="1" x14ac:dyDescent="0.3"/>
    <row r="371" ht="12" customHeight="1" x14ac:dyDescent="0.3"/>
    <row r="372" ht="12" customHeight="1" x14ac:dyDescent="0.3"/>
    <row r="373" ht="12" customHeight="1" x14ac:dyDescent="0.3"/>
    <row r="374" ht="12" customHeight="1" x14ac:dyDescent="0.3"/>
    <row r="375" ht="12" customHeight="1" x14ac:dyDescent="0.3"/>
    <row r="376" ht="12" customHeight="1" x14ac:dyDescent="0.3"/>
    <row r="377" ht="12" customHeight="1" x14ac:dyDescent="0.3"/>
    <row r="378" ht="12" customHeight="1" x14ac:dyDescent="0.3"/>
    <row r="379" ht="12" customHeight="1" x14ac:dyDescent="0.3"/>
    <row r="380" ht="12" customHeight="1" x14ac:dyDescent="0.3"/>
    <row r="381" ht="12" customHeight="1" x14ac:dyDescent="0.3"/>
    <row r="382" ht="12" customHeight="1" x14ac:dyDescent="0.3"/>
    <row r="383" ht="12" customHeight="1" x14ac:dyDescent="0.3"/>
    <row r="384" ht="12" customHeight="1" x14ac:dyDescent="0.3"/>
    <row r="385" ht="12" customHeight="1" x14ac:dyDescent="0.3"/>
    <row r="386" ht="12" customHeight="1" x14ac:dyDescent="0.3"/>
    <row r="387" ht="12" customHeight="1" x14ac:dyDescent="0.3"/>
    <row r="388" ht="12" customHeight="1" x14ac:dyDescent="0.3"/>
    <row r="389" ht="12" customHeight="1" x14ac:dyDescent="0.3"/>
    <row r="390" ht="12" customHeight="1" x14ac:dyDescent="0.3"/>
    <row r="391" ht="12" customHeight="1" x14ac:dyDescent="0.3"/>
    <row r="392" ht="12" customHeight="1" x14ac:dyDescent="0.3"/>
    <row r="393" ht="12" customHeight="1" x14ac:dyDescent="0.3"/>
    <row r="394" ht="12" customHeight="1" x14ac:dyDescent="0.3"/>
    <row r="395" ht="12" customHeight="1" x14ac:dyDescent="0.3"/>
    <row r="396" ht="12" customHeight="1" x14ac:dyDescent="0.3"/>
    <row r="397" ht="12" customHeight="1" x14ac:dyDescent="0.3"/>
    <row r="398" ht="12" customHeight="1" x14ac:dyDescent="0.3"/>
    <row r="399" ht="12" customHeight="1" x14ac:dyDescent="0.3"/>
    <row r="400" ht="12" customHeight="1" x14ac:dyDescent="0.3"/>
    <row r="401" ht="12" customHeight="1" x14ac:dyDescent="0.3"/>
    <row r="402" ht="12" customHeight="1" x14ac:dyDescent="0.3"/>
    <row r="403" ht="12" customHeight="1" x14ac:dyDescent="0.3"/>
    <row r="404" ht="12" customHeight="1" x14ac:dyDescent="0.3"/>
    <row r="405" ht="12" customHeight="1" x14ac:dyDescent="0.3"/>
    <row r="406" ht="12" customHeight="1" x14ac:dyDescent="0.3"/>
    <row r="407" ht="12" customHeight="1" x14ac:dyDescent="0.3"/>
    <row r="408" ht="12" customHeight="1" x14ac:dyDescent="0.3"/>
    <row r="409" ht="12" customHeight="1" x14ac:dyDescent="0.3"/>
    <row r="410" ht="12" customHeight="1" x14ac:dyDescent="0.3"/>
    <row r="411" ht="12" customHeight="1" x14ac:dyDescent="0.3"/>
    <row r="412" ht="12" customHeight="1" x14ac:dyDescent="0.3"/>
    <row r="413" ht="12" customHeight="1" x14ac:dyDescent="0.3"/>
    <row r="414" ht="12" customHeight="1" x14ac:dyDescent="0.3"/>
    <row r="415" ht="12" customHeight="1" x14ac:dyDescent="0.3"/>
    <row r="416" ht="12" customHeight="1" x14ac:dyDescent="0.3"/>
    <row r="417" ht="12" customHeight="1" x14ac:dyDescent="0.3"/>
    <row r="418" ht="12" customHeight="1" x14ac:dyDescent="0.3"/>
    <row r="419" ht="12" customHeight="1" x14ac:dyDescent="0.3"/>
    <row r="420" ht="12" customHeight="1" x14ac:dyDescent="0.3"/>
    <row r="421" ht="12" customHeight="1" x14ac:dyDescent="0.3"/>
    <row r="422" ht="12" customHeight="1" x14ac:dyDescent="0.3"/>
    <row r="423" ht="12" customHeight="1" x14ac:dyDescent="0.3"/>
    <row r="424" ht="12" customHeight="1" x14ac:dyDescent="0.3"/>
    <row r="425" ht="12" customHeight="1" x14ac:dyDescent="0.3"/>
    <row r="426" ht="12" customHeight="1" x14ac:dyDescent="0.3"/>
    <row r="427" ht="12" customHeight="1" x14ac:dyDescent="0.3"/>
    <row r="428" ht="12" customHeight="1" x14ac:dyDescent="0.3"/>
    <row r="429" ht="12" customHeight="1" x14ac:dyDescent="0.3"/>
    <row r="430" ht="12" customHeight="1" x14ac:dyDescent="0.3"/>
    <row r="431" ht="12" customHeight="1" x14ac:dyDescent="0.3"/>
    <row r="432" ht="12" customHeight="1" x14ac:dyDescent="0.3"/>
    <row r="433" ht="12" customHeight="1" x14ac:dyDescent="0.3"/>
    <row r="434" ht="12" customHeight="1" x14ac:dyDescent="0.3"/>
    <row r="435" ht="12" customHeight="1" x14ac:dyDescent="0.3"/>
    <row r="436" ht="12" customHeight="1" x14ac:dyDescent="0.3"/>
    <row r="437" ht="12" customHeight="1" x14ac:dyDescent="0.3"/>
    <row r="438" ht="12" customHeight="1" x14ac:dyDescent="0.3"/>
    <row r="439" ht="12" customHeight="1" x14ac:dyDescent="0.3"/>
    <row r="440" ht="12" customHeight="1" x14ac:dyDescent="0.3"/>
    <row r="441" ht="12" customHeight="1" x14ac:dyDescent="0.3"/>
    <row r="442" ht="12" customHeight="1" x14ac:dyDescent="0.3"/>
    <row r="443" ht="12" customHeight="1" x14ac:dyDescent="0.3"/>
    <row r="444" ht="12" customHeight="1" x14ac:dyDescent="0.3"/>
    <row r="445" ht="12" customHeight="1" x14ac:dyDescent="0.3"/>
    <row r="446" ht="12" customHeight="1" x14ac:dyDescent="0.3"/>
    <row r="447" ht="12" customHeight="1" x14ac:dyDescent="0.3"/>
    <row r="448" ht="12" customHeight="1" x14ac:dyDescent="0.3"/>
    <row r="449" ht="12" customHeight="1" x14ac:dyDescent="0.3"/>
    <row r="450" ht="12" customHeight="1" x14ac:dyDescent="0.3"/>
    <row r="451" ht="12" customHeight="1" x14ac:dyDescent="0.3"/>
    <row r="452" ht="12" customHeight="1" x14ac:dyDescent="0.3"/>
    <row r="453" ht="12" customHeight="1" x14ac:dyDescent="0.3"/>
    <row r="454" ht="12" customHeight="1" x14ac:dyDescent="0.3"/>
    <row r="455" ht="12" customHeight="1" x14ac:dyDescent="0.3"/>
    <row r="456" ht="12" customHeight="1" x14ac:dyDescent="0.3"/>
    <row r="457" ht="12" customHeight="1" x14ac:dyDescent="0.3"/>
    <row r="458" ht="12" customHeight="1" x14ac:dyDescent="0.3"/>
    <row r="459" ht="12" customHeight="1" x14ac:dyDescent="0.3"/>
    <row r="460" ht="12" customHeight="1" x14ac:dyDescent="0.3"/>
    <row r="461" ht="12" customHeight="1" x14ac:dyDescent="0.3"/>
    <row r="462" ht="12" customHeight="1" x14ac:dyDescent="0.3"/>
    <row r="463" ht="12" customHeight="1" x14ac:dyDescent="0.3"/>
    <row r="464" ht="12" customHeight="1" x14ac:dyDescent="0.3"/>
    <row r="465" ht="12"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2"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2" customHeight="1" x14ac:dyDescent="0.3"/>
    <row r="492" ht="15" customHeight="1" x14ac:dyDescent="0.3"/>
    <row r="493" ht="15" customHeight="1" x14ac:dyDescent="0.3"/>
    <row r="494" ht="12" customHeight="1" x14ac:dyDescent="0.3"/>
    <row r="495" ht="15" customHeight="1" x14ac:dyDescent="0.3"/>
    <row r="496" ht="15" customHeight="1" x14ac:dyDescent="0.3"/>
    <row r="497" spans="3:34" ht="15" customHeight="1" x14ac:dyDescent="0.3"/>
    <row r="498" spans="3:34" ht="15" customHeight="1" x14ac:dyDescent="0.3"/>
    <row r="499" spans="3:34" ht="15" customHeight="1" x14ac:dyDescent="0.3"/>
    <row r="500" spans="3:34" ht="15" customHeight="1" x14ac:dyDescent="0.3">
      <c r="C500" s="163"/>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c r="AH500" s="161"/>
    </row>
    <row r="501" spans="3:34" ht="15" customHeight="1" x14ac:dyDescent="0.3"/>
    <row r="502" spans="3:34" ht="15" customHeight="1" x14ac:dyDescent="0.3"/>
    <row r="503" spans="3:34" ht="15" customHeight="1" x14ac:dyDescent="0.3"/>
    <row r="504" spans="3:34" ht="15" customHeight="1" x14ac:dyDescent="0.3"/>
    <row r="505" spans="3:34" ht="15" customHeight="1" x14ac:dyDescent="0.3"/>
    <row r="506" spans="3:34" ht="15" customHeight="1" x14ac:dyDescent="0.3"/>
    <row r="507" spans="3:34" ht="15" customHeight="1" x14ac:dyDescent="0.3"/>
    <row r="508" spans="3:34" ht="12" customHeight="1" x14ac:dyDescent="0.3"/>
    <row r="509" spans="3:34" ht="15" customHeight="1" x14ac:dyDescent="0.3"/>
    <row r="510" spans="3:34" ht="15" customHeight="1" x14ac:dyDescent="0.3"/>
    <row r="511" spans="3:34" ht="12" customHeight="1" x14ac:dyDescent="0.3"/>
    <row r="512" spans="3:34" ht="12"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2"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2" customHeight="1" x14ac:dyDescent="0.3"/>
    <row r="544" ht="15" customHeight="1" x14ac:dyDescent="0.3"/>
    <row r="545" spans="3:34" ht="15" customHeight="1" x14ac:dyDescent="0.3"/>
    <row r="546" spans="3:34" ht="15" customHeight="1" x14ac:dyDescent="0.3"/>
    <row r="547" spans="3:34" ht="15" customHeight="1" x14ac:dyDescent="0.3"/>
    <row r="548" spans="3:34" ht="15" customHeight="1" x14ac:dyDescent="0.3"/>
    <row r="549" spans="3:34" ht="15" customHeight="1" x14ac:dyDescent="0.3"/>
    <row r="550" spans="3:34" ht="15" customHeight="1" x14ac:dyDescent="0.3"/>
    <row r="551" spans="3:34" ht="15" customHeight="1" x14ac:dyDescent="0.3">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c r="AH551" s="161"/>
    </row>
    <row r="552" spans="3:34" ht="15" customHeight="1" x14ac:dyDescent="0.3"/>
    <row r="553" spans="3:34" ht="15" customHeight="1" x14ac:dyDescent="0.3"/>
    <row r="554" spans="3:34" ht="15" customHeight="1" x14ac:dyDescent="0.3"/>
    <row r="555" spans="3:34" ht="15" customHeight="1" x14ac:dyDescent="0.3"/>
    <row r="556" spans="3:34" ht="15" customHeight="1" x14ac:dyDescent="0.3"/>
    <row r="557" spans="3:34" ht="15" customHeight="1" x14ac:dyDescent="0.3"/>
    <row r="558" spans="3:34" ht="15" customHeight="1" x14ac:dyDescent="0.3"/>
    <row r="559" spans="3:34" ht="15" customHeight="1" x14ac:dyDescent="0.3"/>
    <row r="560" spans="3:34"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2" customHeight="1" x14ac:dyDescent="0.3"/>
    <row r="570" ht="12" customHeight="1" x14ac:dyDescent="0.3"/>
    <row r="571" ht="12" customHeight="1" x14ac:dyDescent="0.3"/>
    <row r="572" ht="12" customHeight="1" x14ac:dyDescent="0.3"/>
    <row r="573" ht="12" customHeight="1" x14ac:dyDescent="0.3"/>
    <row r="574" ht="12" customHeight="1" x14ac:dyDescent="0.3"/>
    <row r="575" ht="12" customHeight="1" x14ac:dyDescent="0.3"/>
    <row r="576"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2"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2"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2" customHeight="1" x14ac:dyDescent="0.3"/>
    <row r="623" ht="15" customHeight="1" x14ac:dyDescent="0.3"/>
    <row r="624" ht="15" customHeight="1" x14ac:dyDescent="0.3"/>
    <row r="625" ht="12"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spans="3:34" ht="15" customHeight="1" x14ac:dyDescent="0.3"/>
    <row r="642" spans="3:34" ht="15" customHeight="1" x14ac:dyDescent="0.3"/>
    <row r="643" spans="3:34" ht="15" customHeight="1" x14ac:dyDescent="0.3">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c r="AH643" s="161"/>
    </row>
    <row r="644" spans="3:34" ht="15" customHeight="1" x14ac:dyDescent="0.3"/>
    <row r="645" spans="3:34" ht="15" customHeight="1" x14ac:dyDescent="0.3"/>
    <row r="646" spans="3:34" ht="15" customHeight="1" x14ac:dyDescent="0.3"/>
    <row r="647" spans="3:34" ht="15" customHeight="1" x14ac:dyDescent="0.3"/>
    <row r="648" spans="3:34" ht="15" customHeight="1" x14ac:dyDescent="0.3"/>
    <row r="649" spans="3:34" ht="15" customHeight="1" x14ac:dyDescent="0.3"/>
    <row r="650" spans="3:34" ht="15" customHeight="1" x14ac:dyDescent="0.3"/>
    <row r="651" spans="3:34" ht="15" customHeight="1" x14ac:dyDescent="0.3"/>
    <row r="652" spans="3:34" ht="15" customHeight="1" x14ac:dyDescent="0.3"/>
    <row r="653" spans="3:34" ht="15" customHeight="1" x14ac:dyDescent="0.3"/>
    <row r="654" spans="3:34" ht="15" customHeight="1" x14ac:dyDescent="0.3"/>
    <row r="655" spans="3:34" ht="12" customHeight="1" x14ac:dyDescent="0.3"/>
    <row r="656" spans="3:34" ht="12" customHeight="1" x14ac:dyDescent="0.3"/>
    <row r="657" ht="12" customHeight="1" x14ac:dyDescent="0.3"/>
    <row r="658" ht="12" customHeight="1" x14ac:dyDescent="0.3"/>
    <row r="659" ht="12" customHeight="1" x14ac:dyDescent="0.3"/>
    <row r="660" ht="12" customHeight="1" x14ac:dyDescent="0.3"/>
    <row r="661" ht="12" customHeight="1" x14ac:dyDescent="0.3"/>
    <row r="662" ht="12" customHeight="1" x14ac:dyDescent="0.3"/>
    <row r="663" ht="12" customHeight="1" x14ac:dyDescent="0.3"/>
    <row r="664" ht="12" customHeight="1" x14ac:dyDescent="0.3"/>
    <row r="665" ht="12" customHeight="1" x14ac:dyDescent="0.3"/>
    <row r="666" ht="15" customHeight="1" x14ac:dyDescent="0.3"/>
    <row r="667" ht="15" customHeight="1" x14ac:dyDescent="0.3"/>
    <row r="668" ht="15" customHeight="1" x14ac:dyDescent="0.3"/>
    <row r="669" ht="15" customHeight="1" x14ac:dyDescent="0.3"/>
    <row r="670" ht="15" customHeight="1" x14ac:dyDescent="0.3"/>
    <row r="671" ht="15" customHeight="1" x14ac:dyDescent="0.3"/>
    <row r="672" ht="12" customHeight="1" x14ac:dyDescent="0.3"/>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2" customHeight="1" x14ac:dyDescent="0.3"/>
    <row r="686" ht="15" customHeight="1" x14ac:dyDescent="0.3"/>
    <row r="687" ht="15" customHeight="1" x14ac:dyDescent="0.3"/>
    <row r="688" ht="15" customHeight="1" x14ac:dyDescent="0.3"/>
    <row r="689" ht="15" customHeight="1" x14ac:dyDescent="0.3"/>
    <row r="690" ht="15" customHeight="1" x14ac:dyDescent="0.3"/>
    <row r="691" ht="15" customHeight="1" x14ac:dyDescent="0.3"/>
    <row r="692" ht="15" customHeight="1" x14ac:dyDescent="0.3"/>
    <row r="693" ht="15" customHeight="1" x14ac:dyDescent="0.3"/>
    <row r="694" ht="15" customHeight="1" x14ac:dyDescent="0.3"/>
    <row r="695" ht="15" customHeight="1" x14ac:dyDescent="0.3"/>
    <row r="696" ht="15" customHeight="1" x14ac:dyDescent="0.3"/>
    <row r="697" ht="15" customHeight="1" x14ac:dyDescent="0.3"/>
    <row r="698" ht="15" customHeight="1" x14ac:dyDescent="0.3"/>
    <row r="699" ht="12" customHeight="1" x14ac:dyDescent="0.3"/>
    <row r="700" ht="15" customHeight="1" x14ac:dyDescent="0.3"/>
    <row r="701" ht="15" customHeight="1" x14ac:dyDescent="0.3"/>
    <row r="702" ht="12" customHeight="1" x14ac:dyDescent="0.3"/>
    <row r="703" ht="15" customHeight="1" x14ac:dyDescent="0.3"/>
    <row r="704" ht="15" customHeight="1" x14ac:dyDescent="0.3"/>
    <row r="705" spans="3:34" ht="15" customHeight="1" x14ac:dyDescent="0.3"/>
    <row r="706" spans="3:34" ht="15" customHeight="1" x14ac:dyDescent="0.3"/>
    <row r="707" spans="3:34" ht="15" customHeight="1" x14ac:dyDescent="0.3"/>
    <row r="708" spans="3:34" ht="15" customHeight="1" x14ac:dyDescent="0.3"/>
    <row r="709" spans="3:34" ht="15" customHeight="1" x14ac:dyDescent="0.3"/>
    <row r="710" spans="3:34" ht="15" customHeight="1" x14ac:dyDescent="0.3"/>
    <row r="711" spans="3:34" ht="15" customHeight="1" x14ac:dyDescent="0.3"/>
    <row r="712" spans="3:34" ht="15" customHeight="1" x14ac:dyDescent="0.3"/>
    <row r="713" spans="3:34" ht="15" customHeight="1" x14ac:dyDescent="0.3"/>
    <row r="714" spans="3:34" ht="15" customHeight="1" x14ac:dyDescent="0.3"/>
    <row r="715" spans="3:34" ht="15" customHeight="1" x14ac:dyDescent="0.3"/>
    <row r="716" spans="3:34" ht="15" customHeight="1" x14ac:dyDescent="0.3"/>
    <row r="717" spans="3:34" ht="15" customHeight="1" x14ac:dyDescent="0.3"/>
    <row r="718" spans="3:34" ht="15" customHeight="1" x14ac:dyDescent="0.3"/>
    <row r="719" spans="3:34" ht="15" customHeight="1" x14ac:dyDescent="0.3">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c r="AH719" s="161"/>
    </row>
    <row r="720" spans="3:34"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2" customHeight="1" x14ac:dyDescent="0.3"/>
    <row r="732" ht="12" customHeight="1" x14ac:dyDescent="0.3"/>
    <row r="733" ht="12" customHeight="1" x14ac:dyDescent="0.3"/>
    <row r="734" ht="12" customHeight="1" x14ac:dyDescent="0.3"/>
    <row r="735" ht="12" customHeight="1" x14ac:dyDescent="0.3"/>
    <row r="736" ht="12" customHeight="1" x14ac:dyDescent="0.3"/>
    <row r="737" ht="12" customHeight="1" x14ac:dyDescent="0.3"/>
    <row r="738" ht="12" customHeight="1" x14ac:dyDescent="0.3"/>
    <row r="739" ht="12" customHeight="1" x14ac:dyDescent="0.3"/>
    <row r="740" ht="12" customHeight="1" x14ac:dyDescent="0.3"/>
    <row r="741" ht="15" customHeight="1" x14ac:dyDescent="0.3"/>
    <row r="742" ht="15" customHeight="1" x14ac:dyDescent="0.3"/>
    <row r="743" ht="15" customHeight="1" x14ac:dyDescent="0.3"/>
    <row r="744" ht="15" customHeight="1" x14ac:dyDescent="0.3"/>
    <row r="745" ht="15" customHeight="1" x14ac:dyDescent="0.3"/>
    <row r="746" ht="15" customHeight="1" x14ac:dyDescent="0.3"/>
    <row r="747" ht="12" customHeight="1" x14ac:dyDescent="0.3"/>
    <row r="748" ht="15" customHeight="1" x14ac:dyDescent="0.3"/>
    <row r="749" ht="15" customHeight="1" x14ac:dyDescent="0.3"/>
    <row r="750" ht="15" customHeight="1" x14ac:dyDescent="0.3"/>
    <row r="751" ht="15" customHeight="1" x14ac:dyDescent="0.3"/>
    <row r="752"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row r="759" ht="15" customHeight="1" x14ac:dyDescent="0.3"/>
    <row r="760" ht="15" customHeight="1" x14ac:dyDescent="0.3"/>
    <row r="761" ht="15" customHeight="1" x14ac:dyDescent="0.3"/>
    <row r="762" ht="15" customHeight="1" x14ac:dyDescent="0.3"/>
    <row r="763" ht="15" customHeight="1" x14ac:dyDescent="0.3"/>
    <row r="764" ht="15" customHeight="1" x14ac:dyDescent="0.3"/>
    <row r="765" ht="15" customHeight="1" x14ac:dyDescent="0.3"/>
    <row r="766" ht="15" customHeight="1" x14ac:dyDescent="0.3"/>
    <row r="767" ht="15" customHeight="1" x14ac:dyDescent="0.3"/>
    <row r="768" ht="12" customHeight="1" x14ac:dyDescent="0.3"/>
    <row r="769" ht="15" customHeight="1" x14ac:dyDescent="0.3"/>
    <row r="770" ht="15" customHeight="1" x14ac:dyDescent="0.3"/>
    <row r="771" ht="15" customHeight="1" x14ac:dyDescent="0.3"/>
    <row r="772" ht="15" customHeight="1" x14ac:dyDescent="0.3"/>
    <row r="773" ht="15" customHeight="1" x14ac:dyDescent="0.3"/>
    <row r="774" ht="15"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2" customHeight="1" x14ac:dyDescent="0.3"/>
    <row r="790" ht="15" customHeight="1" x14ac:dyDescent="0.3"/>
    <row r="791" ht="15" customHeight="1" x14ac:dyDescent="0.3"/>
    <row r="792" ht="12" customHeight="1" x14ac:dyDescent="0.3"/>
    <row r="793" ht="15"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spans="3:34" ht="15" customHeight="1" x14ac:dyDescent="0.3"/>
    <row r="802" spans="3:34" ht="15" customHeight="1" x14ac:dyDescent="0.3"/>
    <row r="803" spans="3:34" ht="15" customHeight="1" x14ac:dyDescent="0.3"/>
    <row r="804" spans="3:34" ht="15" customHeight="1" x14ac:dyDescent="0.3"/>
    <row r="805" spans="3:34" ht="15" customHeight="1" x14ac:dyDescent="0.3"/>
    <row r="806" spans="3:34" ht="15" customHeight="1" x14ac:dyDescent="0.3"/>
    <row r="807" spans="3:34" ht="15" customHeight="1" x14ac:dyDescent="0.3"/>
    <row r="808" spans="3:34" ht="15" customHeight="1" x14ac:dyDescent="0.3"/>
    <row r="809" spans="3:34" ht="15" customHeight="1" x14ac:dyDescent="0.3"/>
    <row r="810" spans="3:34" ht="15" customHeight="1" x14ac:dyDescent="0.3">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c r="AH810" s="161"/>
    </row>
    <row r="811" spans="3:34" ht="15" customHeight="1" x14ac:dyDescent="0.3"/>
    <row r="812" spans="3:34" ht="15" customHeight="1" x14ac:dyDescent="0.3"/>
    <row r="813" spans="3:34" ht="15" customHeight="1" x14ac:dyDescent="0.3"/>
    <row r="814" spans="3:34" ht="15" customHeight="1" x14ac:dyDescent="0.3"/>
    <row r="815" spans="3:34" ht="15" customHeight="1" x14ac:dyDescent="0.3"/>
    <row r="816" spans="3:34"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2"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2"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2" customHeight="1" x14ac:dyDescent="0.3"/>
    <row r="869" ht="15" customHeight="1" x14ac:dyDescent="0.3"/>
    <row r="870" ht="15" customHeight="1" x14ac:dyDescent="0.3"/>
    <row r="871" ht="12"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spans="3:34" ht="15" customHeight="1" x14ac:dyDescent="0.3"/>
    <row r="882" spans="3:34" ht="15" customHeight="1" x14ac:dyDescent="0.3"/>
    <row r="883" spans="3:34" ht="15" customHeight="1" x14ac:dyDescent="0.3"/>
    <row r="884" spans="3:34" ht="15" customHeight="1" x14ac:dyDescent="0.3"/>
    <row r="885" spans="3:34" ht="15" customHeight="1" x14ac:dyDescent="0.3"/>
    <row r="886" spans="3:34" ht="15" customHeight="1" x14ac:dyDescent="0.3"/>
    <row r="887" spans="3:34" ht="15" customHeight="1" x14ac:dyDescent="0.3"/>
    <row r="888" spans="3:34" ht="15" customHeight="1" x14ac:dyDescent="0.3">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c r="AH888" s="161"/>
    </row>
    <row r="889" spans="3:34" ht="15" customHeight="1" x14ac:dyDescent="0.3"/>
    <row r="890" spans="3:34" ht="15" customHeight="1" x14ac:dyDescent="0.3"/>
    <row r="891" spans="3:34" ht="15" customHeight="1" x14ac:dyDescent="0.3"/>
    <row r="892" spans="3:34" ht="15" customHeight="1" x14ac:dyDescent="0.3"/>
    <row r="893" spans="3:34" ht="15" customHeight="1" x14ac:dyDescent="0.3"/>
    <row r="894" spans="3:34" ht="15" customHeight="1" x14ac:dyDescent="0.3"/>
    <row r="895" spans="3:34" ht="15" customHeight="1" x14ac:dyDescent="0.3"/>
    <row r="896" spans="3:34" ht="15" customHeight="1" x14ac:dyDescent="0.3"/>
    <row r="897" ht="15" customHeight="1" x14ac:dyDescent="0.3"/>
    <row r="898" ht="15"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2"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2"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2" customHeight="1" x14ac:dyDescent="0.3"/>
    <row r="954" ht="15" customHeight="1" x14ac:dyDescent="0.3"/>
    <row r="955" ht="15" customHeight="1" x14ac:dyDescent="0.3"/>
    <row r="956" ht="12" customHeight="1" x14ac:dyDescent="0.3"/>
    <row r="957" ht="15" customHeight="1" x14ac:dyDescent="0.3"/>
    <row r="958" ht="15" customHeight="1" x14ac:dyDescent="0.3"/>
    <row r="959" ht="15" customHeight="1" x14ac:dyDescent="0.3"/>
    <row r="960" ht="15" customHeight="1" x14ac:dyDescent="0.3"/>
    <row r="961" spans="3:34" ht="15" customHeight="1" x14ac:dyDescent="0.3"/>
    <row r="962" spans="3:34" ht="15" customHeight="1" x14ac:dyDescent="0.3"/>
    <row r="963" spans="3:34" ht="15" customHeight="1" x14ac:dyDescent="0.3"/>
    <row r="964" spans="3:34" ht="15" customHeight="1" x14ac:dyDescent="0.3"/>
    <row r="965" spans="3:34" ht="15" customHeight="1" x14ac:dyDescent="0.3"/>
    <row r="966" spans="3:34" ht="15" customHeight="1" x14ac:dyDescent="0.3"/>
    <row r="967" spans="3:34" ht="15" customHeight="1" x14ac:dyDescent="0.3"/>
    <row r="968" spans="3:34" ht="15" customHeight="1" x14ac:dyDescent="0.3"/>
    <row r="969" spans="3:34" ht="15" customHeight="1" x14ac:dyDescent="0.3"/>
    <row r="970" spans="3:34" ht="15" customHeight="1" x14ac:dyDescent="0.3"/>
    <row r="971" spans="3:34" ht="15" customHeight="1" x14ac:dyDescent="0.3"/>
    <row r="972" spans="3:34" ht="15" customHeight="1" x14ac:dyDescent="0.3"/>
    <row r="973" spans="3:34" ht="15" customHeight="1" x14ac:dyDescent="0.3">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c r="AH973" s="161"/>
    </row>
    <row r="974" spans="3:34" ht="15" customHeight="1" x14ac:dyDescent="0.3"/>
    <row r="975" spans="3:34" ht="15" customHeight="1" x14ac:dyDescent="0.3"/>
    <row r="976" spans="3:34"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2" customHeight="1" x14ac:dyDescent="0.3"/>
    <row r="987" ht="12" customHeight="1" x14ac:dyDescent="0.3"/>
    <row r="988" ht="12" customHeight="1" x14ac:dyDescent="0.3"/>
    <row r="989" ht="12" customHeight="1" x14ac:dyDescent="0.3"/>
    <row r="990" ht="12" customHeight="1" x14ac:dyDescent="0.3"/>
    <row r="991" ht="12" customHeight="1" x14ac:dyDescent="0.3"/>
    <row r="992" ht="12" customHeight="1" x14ac:dyDescent="0.3"/>
    <row r="993" ht="12" customHeight="1" x14ac:dyDescent="0.3"/>
    <row r="994" ht="12" customHeight="1" x14ac:dyDescent="0.3"/>
    <row r="995" ht="12" customHeight="1" x14ac:dyDescent="0.3"/>
    <row r="996" ht="12" customHeight="1" x14ac:dyDescent="0.3"/>
    <row r="997" ht="12" customHeight="1" x14ac:dyDescent="0.3"/>
    <row r="998" ht="12" customHeight="1" x14ac:dyDescent="0.3"/>
    <row r="999" ht="12" customHeight="1" x14ac:dyDescent="0.3"/>
    <row r="1000" ht="12" customHeight="1" x14ac:dyDescent="0.3"/>
    <row r="1001" ht="12" customHeight="1" x14ac:dyDescent="0.3"/>
    <row r="1002" ht="12" customHeight="1" x14ac:dyDescent="0.3"/>
    <row r="1003" ht="12" customHeight="1" x14ac:dyDescent="0.3"/>
    <row r="1004" ht="12" customHeight="1" x14ac:dyDescent="0.3"/>
    <row r="1005" ht="12" customHeight="1" x14ac:dyDescent="0.3"/>
    <row r="1006" ht="12" customHeight="1" x14ac:dyDescent="0.3"/>
    <row r="1007" ht="12" customHeight="1" x14ac:dyDescent="0.3"/>
    <row r="1008" ht="12" customHeight="1" x14ac:dyDescent="0.3"/>
    <row r="1009" ht="12" customHeight="1" x14ac:dyDescent="0.3"/>
    <row r="1010" ht="12" customHeight="1" x14ac:dyDescent="0.3"/>
    <row r="1011" ht="12" customHeight="1" x14ac:dyDescent="0.3"/>
    <row r="1012" ht="12" customHeight="1" x14ac:dyDescent="0.3"/>
    <row r="1013" ht="12" customHeight="1" x14ac:dyDescent="0.3"/>
    <row r="1014" ht="12" customHeight="1" x14ac:dyDescent="0.3"/>
    <row r="1015" ht="12" customHeight="1" x14ac:dyDescent="0.3"/>
    <row r="1016" ht="15" customHeight="1" x14ac:dyDescent="0.3"/>
    <row r="1017" ht="15" customHeight="1" x14ac:dyDescent="0.3"/>
    <row r="1018" ht="15" customHeight="1" x14ac:dyDescent="0.3"/>
    <row r="1019" ht="15" customHeight="1" x14ac:dyDescent="0.3"/>
    <row r="1020" ht="15" customHeight="1" x14ac:dyDescent="0.3"/>
    <row r="1021" ht="15" customHeight="1" x14ac:dyDescent="0.3"/>
    <row r="1022" ht="12" customHeight="1" x14ac:dyDescent="0.3"/>
    <row r="1023" ht="15" customHeight="1" x14ac:dyDescent="0.3"/>
    <row r="1024" ht="15"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5" customHeight="1" x14ac:dyDescent="0.3"/>
    <row r="1036" ht="15" customHeight="1" x14ac:dyDescent="0.3"/>
    <row r="1037" ht="12"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5" customHeight="1" x14ac:dyDescent="0.3"/>
    <row r="1053" ht="12" customHeight="1" x14ac:dyDescent="0.3"/>
    <row r="1054" ht="15" customHeight="1" x14ac:dyDescent="0.3"/>
    <row r="1055" ht="15" customHeight="1" x14ac:dyDescent="0.3"/>
    <row r="1056" ht="12" customHeight="1" x14ac:dyDescent="0.3"/>
    <row r="1057" ht="15" customHeight="1" x14ac:dyDescent="0.3"/>
    <row r="1058" ht="15" customHeight="1" x14ac:dyDescent="0.3"/>
    <row r="1059" ht="15" customHeight="1" x14ac:dyDescent="0.3"/>
    <row r="1060" ht="15" customHeight="1" x14ac:dyDescent="0.3"/>
    <row r="1061" ht="15"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spans="3:34" ht="15" customHeight="1" x14ac:dyDescent="0.3">
      <c r="C1073" s="161"/>
      <c r="D1073" s="161"/>
      <c r="E1073" s="161"/>
      <c r="F1073" s="161"/>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1"/>
      <c r="AB1073" s="161"/>
      <c r="AC1073" s="161"/>
      <c r="AD1073" s="161"/>
      <c r="AE1073" s="161"/>
      <c r="AF1073" s="161"/>
      <c r="AG1073" s="161"/>
      <c r="AH1073" s="161"/>
    </row>
    <row r="1074" spans="3:34" ht="15" customHeight="1" x14ac:dyDescent="0.3"/>
    <row r="1075" spans="3:34" ht="15" customHeight="1" x14ac:dyDescent="0.3"/>
    <row r="1076" spans="3:34" ht="15" customHeight="1" x14ac:dyDescent="0.3"/>
    <row r="1077" spans="3:34" ht="15" customHeight="1" x14ac:dyDescent="0.3"/>
    <row r="1078" spans="3:34" ht="15" customHeight="1" x14ac:dyDescent="0.3"/>
    <row r="1079" spans="3:34" ht="15" customHeight="1" x14ac:dyDescent="0.3"/>
    <row r="1080" spans="3:34" ht="15" customHeight="1" x14ac:dyDescent="0.3"/>
    <row r="1081" spans="3:34" ht="15" customHeight="1" x14ac:dyDescent="0.3"/>
    <row r="1082" spans="3:34" ht="15" customHeight="1" x14ac:dyDescent="0.3"/>
    <row r="1083" spans="3:34" ht="15" customHeight="1" x14ac:dyDescent="0.3"/>
    <row r="1084" spans="3:34" ht="15" customHeight="1" x14ac:dyDescent="0.3"/>
    <row r="1085" spans="3:34" ht="12" customHeight="1" x14ac:dyDescent="0.3"/>
    <row r="1086" spans="3:34" ht="12" customHeight="1" x14ac:dyDescent="0.3"/>
    <row r="1087" spans="3:34" ht="12" customHeight="1" x14ac:dyDescent="0.3"/>
    <row r="1088" spans="3:34" ht="12" customHeight="1" x14ac:dyDescent="0.3"/>
    <row r="1089" ht="12" customHeight="1" x14ac:dyDescent="0.3"/>
    <row r="1090" ht="12" customHeight="1" x14ac:dyDescent="0.3"/>
    <row r="1091" ht="15" customHeight="1" x14ac:dyDescent="0.3"/>
    <row r="1092" ht="15" customHeight="1" x14ac:dyDescent="0.3"/>
    <row r="1093" ht="15" customHeight="1" x14ac:dyDescent="0.3"/>
    <row r="1094" ht="15" customHeight="1" x14ac:dyDescent="0.3"/>
    <row r="1095" ht="15" customHeight="1" x14ac:dyDescent="0.3"/>
    <row r="1096" ht="15" customHeight="1" x14ac:dyDescent="0.3"/>
    <row r="1097" ht="12" customHeight="1" x14ac:dyDescent="0.3"/>
    <row r="1098" ht="15" customHeight="1" x14ac:dyDescent="0.3"/>
    <row r="1099" ht="15" customHeight="1" x14ac:dyDescent="0.3"/>
    <row r="1100" ht="15" customHeight="1" x14ac:dyDescent="0.3"/>
    <row r="1101" ht="15" customHeight="1" x14ac:dyDescent="0.3"/>
    <row r="1102" ht="15" customHeight="1" x14ac:dyDescent="0.3"/>
    <row r="1103" ht="15" customHeight="1" x14ac:dyDescent="0.3"/>
    <row r="1104" ht="15" customHeight="1" x14ac:dyDescent="0.3"/>
    <row r="1105" ht="15" customHeight="1" x14ac:dyDescent="0.3"/>
    <row r="1106" ht="15" customHeight="1" x14ac:dyDescent="0.3"/>
    <row r="1107" ht="15" customHeight="1" x14ac:dyDescent="0.3"/>
    <row r="1108" ht="15" customHeight="1" x14ac:dyDescent="0.3"/>
    <row r="1109" ht="15" customHeight="1" x14ac:dyDescent="0.3"/>
    <row r="1110" ht="12" customHeight="1" x14ac:dyDescent="0.3"/>
    <row r="1111" ht="15" customHeight="1" x14ac:dyDescent="0.3"/>
    <row r="1112" ht="15" customHeight="1" x14ac:dyDescent="0.3"/>
    <row r="1113" ht="15" customHeight="1" x14ac:dyDescent="0.3"/>
    <row r="1114" ht="15" customHeight="1" x14ac:dyDescent="0.3"/>
    <row r="1115" ht="15" customHeight="1" x14ac:dyDescent="0.3"/>
    <row r="1116" ht="15" customHeight="1" x14ac:dyDescent="0.3"/>
    <row r="1117" ht="15" customHeight="1" x14ac:dyDescent="0.3"/>
    <row r="1118" ht="15" customHeight="1" x14ac:dyDescent="0.3"/>
    <row r="1119" ht="15" customHeight="1" x14ac:dyDescent="0.3"/>
    <row r="1120" ht="15" customHeight="1" x14ac:dyDescent="0.3"/>
    <row r="1121" ht="15" customHeight="1" x14ac:dyDescent="0.3"/>
    <row r="1122" ht="15" customHeight="1" x14ac:dyDescent="0.3"/>
    <row r="1123" ht="15" customHeight="1" x14ac:dyDescent="0.3"/>
    <row r="1124" ht="12" customHeight="1" x14ac:dyDescent="0.3"/>
    <row r="1125" ht="15" customHeight="1" x14ac:dyDescent="0.3"/>
    <row r="1126" ht="15" customHeight="1" x14ac:dyDescent="0.3"/>
    <row r="1127" ht="12" customHeight="1" x14ac:dyDescent="0.3"/>
    <row r="1128" ht="12"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5" customHeight="1" x14ac:dyDescent="0.3"/>
    <row r="1136" ht="15" customHeight="1" x14ac:dyDescent="0.3"/>
    <row r="1137" spans="3:34" ht="15" customHeight="1" x14ac:dyDescent="0.3"/>
    <row r="1138" spans="3:34" ht="15" customHeight="1" x14ac:dyDescent="0.3"/>
    <row r="1139" spans="3:34" ht="15" customHeight="1" x14ac:dyDescent="0.3"/>
    <row r="1140" spans="3:34" ht="15" customHeight="1" x14ac:dyDescent="0.3"/>
    <row r="1141" spans="3:34" ht="15" customHeight="1" x14ac:dyDescent="0.3"/>
    <row r="1142" spans="3:34" ht="15" customHeight="1" x14ac:dyDescent="0.3"/>
    <row r="1143" spans="3:34" ht="15" customHeight="1" x14ac:dyDescent="0.3"/>
    <row r="1144" spans="3:34" ht="15" customHeight="1" x14ac:dyDescent="0.3"/>
    <row r="1145" spans="3:34" ht="15" customHeight="1" x14ac:dyDescent="0.3">
      <c r="C1145" s="161"/>
      <c r="D1145" s="161"/>
      <c r="E1145" s="161"/>
      <c r="F1145" s="161"/>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1"/>
      <c r="AB1145" s="161"/>
      <c r="AC1145" s="161"/>
      <c r="AD1145" s="161"/>
      <c r="AE1145" s="161"/>
      <c r="AF1145" s="161"/>
      <c r="AG1145" s="161"/>
      <c r="AH1145" s="161"/>
    </row>
    <row r="1146" spans="3:34" ht="15" customHeight="1" x14ac:dyDescent="0.3"/>
    <row r="1147" spans="3:34" ht="15" customHeight="1" x14ac:dyDescent="0.3"/>
    <row r="1148" spans="3:34" ht="15" customHeight="1" x14ac:dyDescent="0.3"/>
    <row r="1149" spans="3:34" ht="15" customHeight="1" x14ac:dyDescent="0.3"/>
    <row r="1150" spans="3:34" ht="15" customHeight="1" x14ac:dyDescent="0.3"/>
    <row r="1151" spans="3:34" ht="15" customHeight="1" x14ac:dyDescent="0.3"/>
    <row r="1152" spans="3:34" ht="15" customHeight="1" x14ac:dyDescent="0.3"/>
    <row r="1153" ht="15" customHeight="1" x14ac:dyDescent="0.3"/>
    <row r="1154" ht="15" customHeight="1" x14ac:dyDescent="0.3"/>
    <row r="1155" ht="15" customHeight="1" x14ac:dyDescent="0.3"/>
    <row r="1156" ht="15" customHeight="1" x14ac:dyDescent="0.3"/>
    <row r="1157" ht="15" customHeight="1" x14ac:dyDescent="0.3"/>
    <row r="1158" ht="12" customHeight="1" x14ac:dyDescent="0.3"/>
    <row r="1159" ht="12" customHeight="1" x14ac:dyDescent="0.3"/>
    <row r="1160" ht="12" customHeight="1" x14ac:dyDescent="0.3"/>
    <row r="1161" ht="12" customHeight="1" x14ac:dyDescent="0.3"/>
    <row r="1162" ht="12" customHeight="1" x14ac:dyDescent="0.3"/>
    <row r="1163" ht="12" customHeight="1" x14ac:dyDescent="0.3"/>
    <row r="1164" ht="12" customHeight="1" x14ac:dyDescent="0.3"/>
    <row r="1165" ht="12"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5" customHeight="1" x14ac:dyDescent="0.3"/>
    <row r="1178" ht="15" customHeight="1" x14ac:dyDescent="0.3"/>
    <row r="1179" ht="15" customHeight="1" x14ac:dyDescent="0.3"/>
    <row r="1180" ht="15" customHeight="1" x14ac:dyDescent="0.3"/>
    <row r="1181" ht="15" customHeight="1" x14ac:dyDescent="0.3"/>
    <row r="1182" ht="15" customHeight="1" x14ac:dyDescent="0.3"/>
    <row r="1183" ht="15" customHeight="1" x14ac:dyDescent="0.3"/>
    <row r="1184" ht="12" customHeight="1" x14ac:dyDescent="0.3"/>
    <row r="1185" ht="15" customHeight="1" x14ac:dyDescent="0.3"/>
    <row r="1186" ht="15" customHeight="1" x14ac:dyDescent="0.3"/>
    <row r="1187" ht="15" customHeight="1" x14ac:dyDescent="0.3"/>
    <row r="1188" ht="15" customHeight="1" x14ac:dyDescent="0.3"/>
    <row r="1189" ht="15" customHeight="1" x14ac:dyDescent="0.3"/>
    <row r="1190" ht="15" customHeight="1" x14ac:dyDescent="0.3"/>
    <row r="1191" ht="15" customHeight="1" x14ac:dyDescent="0.3"/>
    <row r="1192" ht="15" customHeight="1" x14ac:dyDescent="0.3"/>
    <row r="1193" ht="15" customHeight="1" x14ac:dyDescent="0.3"/>
    <row r="1194" ht="15" customHeight="1" x14ac:dyDescent="0.3"/>
    <row r="1195" ht="15" customHeight="1" x14ac:dyDescent="0.3"/>
    <row r="1196" ht="12" customHeight="1" x14ac:dyDescent="0.3"/>
    <row r="1197" ht="15" customHeight="1" x14ac:dyDescent="0.3"/>
    <row r="1198" ht="15" customHeight="1" x14ac:dyDescent="0.3"/>
    <row r="1199" ht="15" customHeight="1" x14ac:dyDescent="0.3"/>
    <row r="1200" ht="15" customHeight="1" x14ac:dyDescent="0.3"/>
    <row r="1201" ht="15" customHeight="1" x14ac:dyDescent="0.3"/>
    <row r="1202" ht="15" customHeight="1" x14ac:dyDescent="0.3"/>
    <row r="1203" ht="15" customHeight="1" x14ac:dyDescent="0.3"/>
    <row r="1204" ht="15" customHeight="1" x14ac:dyDescent="0.3"/>
    <row r="1205" ht="15" customHeight="1" x14ac:dyDescent="0.3"/>
    <row r="1206" ht="15" customHeight="1" x14ac:dyDescent="0.3"/>
    <row r="1207" ht="15" customHeight="1" x14ac:dyDescent="0.3"/>
    <row r="1208" ht="12" customHeight="1" x14ac:dyDescent="0.3"/>
    <row r="1209" ht="15" customHeight="1" x14ac:dyDescent="0.3"/>
    <row r="1210" ht="15" customHeight="1" x14ac:dyDescent="0.3"/>
    <row r="1211" ht="15" customHeight="1" x14ac:dyDescent="0.3"/>
    <row r="1212" ht="15" customHeight="1" x14ac:dyDescent="0.3"/>
    <row r="1213" ht="15" customHeight="1" x14ac:dyDescent="0.3"/>
    <row r="1214" ht="15" customHeight="1" x14ac:dyDescent="0.3"/>
    <row r="1215" ht="15" customHeight="1" x14ac:dyDescent="0.3"/>
    <row r="1216" ht="15" customHeight="1" x14ac:dyDescent="0.3"/>
    <row r="1217" ht="15" customHeight="1" x14ac:dyDescent="0.3"/>
    <row r="1218" ht="15" customHeight="1" x14ac:dyDescent="0.3"/>
    <row r="1219" ht="15" customHeight="1" x14ac:dyDescent="0.3"/>
    <row r="1220" ht="12" customHeight="1" x14ac:dyDescent="0.3"/>
    <row r="1221" ht="12" customHeight="1" x14ac:dyDescent="0.3"/>
    <row r="1222" ht="15" customHeight="1" x14ac:dyDescent="0.3"/>
    <row r="1223" ht="15" customHeight="1" x14ac:dyDescent="0.3"/>
    <row r="1224" ht="15"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2" customHeight="1" x14ac:dyDescent="0.3"/>
    <row r="1234" ht="15" customHeight="1" x14ac:dyDescent="0.3"/>
    <row r="1235" ht="15" customHeight="1" x14ac:dyDescent="0.3"/>
    <row r="1236" ht="15" customHeight="1" x14ac:dyDescent="0.3"/>
    <row r="1237" ht="15" customHeight="1" x14ac:dyDescent="0.3"/>
    <row r="1238" ht="15" customHeight="1" x14ac:dyDescent="0.3"/>
    <row r="1239" ht="15" customHeight="1" x14ac:dyDescent="0.3"/>
    <row r="1240" ht="12"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2" customHeight="1" x14ac:dyDescent="0.3"/>
    <row r="1249" ht="15" customHeight="1" x14ac:dyDescent="0.3"/>
    <row r="1250" ht="15" customHeight="1" x14ac:dyDescent="0.3"/>
    <row r="1251" ht="15" customHeight="1" x14ac:dyDescent="0.3"/>
    <row r="1252" ht="15" customHeight="1" x14ac:dyDescent="0.3"/>
    <row r="1253" ht="15" customHeight="1" x14ac:dyDescent="0.3"/>
    <row r="1254" ht="15" customHeight="1" x14ac:dyDescent="0.3"/>
    <row r="1255" ht="15" customHeight="1" x14ac:dyDescent="0.3"/>
    <row r="1256" ht="12" customHeight="1" x14ac:dyDescent="0.3"/>
    <row r="1257" ht="12" customHeight="1" x14ac:dyDescent="0.3"/>
    <row r="1258" ht="15" customHeight="1" x14ac:dyDescent="0.3"/>
    <row r="1259" ht="15" customHeight="1" x14ac:dyDescent="0.3"/>
    <row r="1260" ht="15" customHeight="1" x14ac:dyDescent="0.3"/>
    <row r="1261" ht="12" customHeight="1" x14ac:dyDescent="0.3"/>
    <row r="1262" ht="15" customHeight="1" x14ac:dyDescent="0.3"/>
    <row r="1263" ht="15" customHeight="1" x14ac:dyDescent="0.3"/>
    <row r="1264" ht="15" customHeight="1" x14ac:dyDescent="0.3"/>
    <row r="1265" spans="3:34" ht="15" customHeight="1" x14ac:dyDescent="0.3"/>
    <row r="1266" spans="3:34" ht="15" customHeight="1" x14ac:dyDescent="0.3"/>
    <row r="1267" spans="3:34" ht="15" customHeight="1" x14ac:dyDescent="0.3"/>
    <row r="1268" spans="3:34" ht="15" customHeight="1" x14ac:dyDescent="0.3"/>
    <row r="1269" spans="3:34" ht="15" customHeight="1" x14ac:dyDescent="0.3"/>
    <row r="1270" spans="3:34" ht="15" customHeight="1" x14ac:dyDescent="0.3"/>
    <row r="1271" spans="3:34" ht="15" customHeight="1" x14ac:dyDescent="0.3"/>
    <row r="1272" spans="3:34" ht="15" customHeight="1" x14ac:dyDescent="0.3"/>
    <row r="1273" spans="3:34" ht="15" customHeight="1" x14ac:dyDescent="0.3"/>
    <row r="1274" spans="3:34" ht="15" customHeight="1" x14ac:dyDescent="0.3"/>
    <row r="1275" spans="3:34" ht="15" customHeight="1" x14ac:dyDescent="0.3"/>
    <row r="1276" spans="3:34" ht="15" customHeight="1" x14ac:dyDescent="0.3"/>
    <row r="1277" spans="3:34" ht="15" customHeight="1" x14ac:dyDescent="0.3"/>
    <row r="1278" spans="3:34" ht="15" customHeight="1" x14ac:dyDescent="0.3"/>
    <row r="1279" spans="3:34" ht="15" customHeight="1" x14ac:dyDescent="0.3">
      <c r="C1279" s="161"/>
      <c r="D1279" s="161"/>
      <c r="E1279" s="161"/>
      <c r="F1279" s="161"/>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1"/>
      <c r="AB1279" s="161"/>
      <c r="AC1279" s="161"/>
      <c r="AD1279" s="161"/>
      <c r="AE1279" s="161"/>
      <c r="AF1279" s="161"/>
      <c r="AG1279" s="161"/>
      <c r="AH1279" s="161"/>
    </row>
    <row r="1280" spans="3:34" ht="15" customHeight="1" x14ac:dyDescent="0.3"/>
    <row r="1281" ht="15" customHeight="1" x14ac:dyDescent="0.3"/>
    <row r="1282" ht="15" customHeight="1" x14ac:dyDescent="0.3"/>
    <row r="1283" ht="15" customHeight="1" x14ac:dyDescent="0.3"/>
    <row r="1284" ht="15" customHeight="1" x14ac:dyDescent="0.3"/>
    <row r="1285" ht="15" customHeight="1" x14ac:dyDescent="0.3"/>
    <row r="1286" ht="15" customHeight="1" x14ac:dyDescent="0.3"/>
    <row r="1287" ht="15" customHeight="1" x14ac:dyDescent="0.3"/>
    <row r="1288" ht="15" customHeight="1" x14ac:dyDescent="0.3"/>
    <row r="1289" ht="15" customHeight="1" x14ac:dyDescent="0.3"/>
    <row r="1290" ht="12" customHeight="1" x14ac:dyDescent="0.3"/>
    <row r="1291" ht="12" customHeight="1" x14ac:dyDescent="0.3"/>
    <row r="1292" ht="12" customHeight="1" x14ac:dyDescent="0.3"/>
    <row r="1293" ht="12" customHeight="1" x14ac:dyDescent="0.3"/>
    <row r="1294" ht="12" customHeight="1" x14ac:dyDescent="0.3"/>
    <row r="1295" ht="12" customHeight="1" x14ac:dyDescent="0.3"/>
    <row r="1296" ht="12" customHeight="1" x14ac:dyDescent="0.3"/>
    <row r="1297" ht="12" customHeight="1" x14ac:dyDescent="0.3"/>
    <row r="1298" ht="12" customHeight="1" x14ac:dyDescent="0.3"/>
    <row r="1299" ht="12" customHeight="1" x14ac:dyDescent="0.3"/>
    <row r="1300" ht="12" customHeight="1" x14ac:dyDescent="0.3"/>
    <row r="1301" ht="12" customHeight="1" x14ac:dyDescent="0.3"/>
    <row r="1302" ht="12" customHeight="1" x14ac:dyDescent="0.3"/>
    <row r="1303" ht="12" customHeight="1" x14ac:dyDescent="0.3"/>
    <row r="1304" ht="12" customHeight="1" x14ac:dyDescent="0.3"/>
    <row r="1305" ht="12" customHeight="1" x14ac:dyDescent="0.3"/>
    <row r="1306" ht="12" customHeight="1" x14ac:dyDescent="0.3"/>
    <row r="1307" ht="12" customHeight="1" x14ac:dyDescent="0.3"/>
    <row r="1308" ht="12" customHeight="1" x14ac:dyDescent="0.3"/>
    <row r="1309" ht="12" customHeight="1" x14ac:dyDescent="0.3"/>
    <row r="1310" ht="12" customHeight="1" x14ac:dyDescent="0.3"/>
    <row r="1311" ht="12" customHeight="1" x14ac:dyDescent="0.3"/>
    <row r="1312" ht="12" customHeight="1" x14ac:dyDescent="0.3"/>
    <row r="1313" ht="12" customHeight="1" x14ac:dyDescent="0.3"/>
    <row r="1314" ht="12" customHeight="1" x14ac:dyDescent="0.3"/>
    <row r="1315" ht="12" customHeight="1" x14ac:dyDescent="0.3"/>
    <row r="1316" ht="15" customHeight="1" x14ac:dyDescent="0.3"/>
    <row r="1317" ht="15" customHeight="1" x14ac:dyDescent="0.3"/>
    <row r="1318" ht="15" customHeight="1" x14ac:dyDescent="0.3"/>
    <row r="1319" ht="15" customHeight="1" x14ac:dyDescent="0.3"/>
    <row r="1320" ht="15" customHeight="1" x14ac:dyDescent="0.3"/>
    <row r="1321" ht="15" customHeight="1" x14ac:dyDescent="0.3"/>
    <row r="1322" ht="15" customHeight="1" x14ac:dyDescent="0.3"/>
    <row r="1323" ht="15" customHeight="1" x14ac:dyDescent="0.3"/>
    <row r="1324" ht="15"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5" customHeight="1" x14ac:dyDescent="0.3"/>
    <row r="1332" ht="15" customHeight="1" x14ac:dyDescent="0.3"/>
    <row r="1333" ht="12" customHeight="1" x14ac:dyDescent="0.3"/>
    <row r="1334" ht="15" customHeight="1" x14ac:dyDescent="0.3"/>
    <row r="1335" ht="15"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2"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5" customHeight="1" x14ac:dyDescent="0.3"/>
    <row r="1355" ht="15" customHeight="1" x14ac:dyDescent="0.3"/>
    <row r="1356" ht="15" customHeight="1" x14ac:dyDescent="0.3"/>
    <row r="1357" ht="15" customHeight="1" x14ac:dyDescent="0.3"/>
    <row r="1358" ht="15" customHeight="1" x14ac:dyDescent="0.3"/>
    <row r="1359" ht="12" customHeight="1" x14ac:dyDescent="0.3"/>
    <row r="1360" ht="12" customHeight="1" x14ac:dyDescent="0.3"/>
    <row r="1361" ht="15" customHeight="1" x14ac:dyDescent="0.3"/>
    <row r="1362" ht="15" customHeight="1" x14ac:dyDescent="0.3"/>
    <row r="1363" ht="15" customHeight="1" x14ac:dyDescent="0.3"/>
    <row r="1364" ht="15" customHeight="1" x14ac:dyDescent="0.3"/>
    <row r="1365" ht="12" customHeight="1" x14ac:dyDescent="0.3"/>
    <row r="1366" ht="15" customHeight="1" x14ac:dyDescent="0.3"/>
    <row r="1367" ht="15" customHeight="1" x14ac:dyDescent="0.3"/>
    <row r="1368" ht="15" customHeight="1" x14ac:dyDescent="0.3"/>
    <row r="1369" ht="15" customHeight="1" x14ac:dyDescent="0.3"/>
    <row r="1370" ht="15" customHeight="1" x14ac:dyDescent="0.3"/>
    <row r="1371" ht="12" customHeight="1" x14ac:dyDescent="0.3"/>
    <row r="1372" ht="15" customHeight="1" x14ac:dyDescent="0.3"/>
    <row r="1373" ht="15" customHeight="1" x14ac:dyDescent="0.3"/>
    <row r="1374" ht="15" customHeight="1" x14ac:dyDescent="0.3"/>
    <row r="1375" ht="15" customHeight="1" x14ac:dyDescent="0.3"/>
    <row r="1376" ht="15" customHeight="1" x14ac:dyDescent="0.3"/>
    <row r="1377" ht="12" customHeight="1" x14ac:dyDescent="0.3"/>
    <row r="1378" ht="12" customHeight="1" x14ac:dyDescent="0.3"/>
    <row r="1379" ht="15" customHeight="1" x14ac:dyDescent="0.3"/>
    <row r="1380" ht="12"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spans="3:34" ht="15" customHeight="1" x14ac:dyDescent="0.3"/>
    <row r="1394" spans="3:34" ht="15" customHeight="1" x14ac:dyDescent="0.3"/>
    <row r="1395" spans="3:34" ht="15" customHeight="1" x14ac:dyDescent="0.3"/>
    <row r="1396" spans="3:34" ht="15" customHeight="1" x14ac:dyDescent="0.3"/>
    <row r="1397" spans="3:34" ht="15" customHeight="1" x14ac:dyDescent="0.3">
      <c r="C1397" s="161"/>
      <c r="D1397" s="161"/>
      <c r="E1397" s="161"/>
      <c r="F1397" s="161"/>
      <c r="G1397" s="161"/>
      <c r="H1397" s="161"/>
      <c r="I1397" s="161"/>
      <c r="J1397" s="161"/>
      <c r="K1397" s="161"/>
      <c r="L1397" s="161"/>
      <c r="M1397" s="161"/>
      <c r="N1397" s="161"/>
      <c r="O1397" s="161"/>
      <c r="P1397" s="161"/>
      <c r="Q1397" s="161"/>
      <c r="R1397" s="161"/>
      <c r="S1397" s="161"/>
      <c r="T1397" s="161"/>
      <c r="U1397" s="161"/>
      <c r="V1397" s="161"/>
      <c r="W1397" s="161"/>
      <c r="X1397" s="161"/>
      <c r="Y1397" s="161"/>
      <c r="Z1397" s="161"/>
      <c r="AA1397" s="161"/>
      <c r="AB1397" s="161"/>
      <c r="AC1397" s="161"/>
      <c r="AD1397" s="161"/>
      <c r="AE1397" s="161"/>
      <c r="AF1397" s="161"/>
      <c r="AG1397" s="161"/>
      <c r="AH1397" s="161"/>
    </row>
    <row r="1398" spans="3:34" ht="15" customHeight="1" x14ac:dyDescent="0.3"/>
    <row r="1399" spans="3:34" ht="15" customHeight="1" x14ac:dyDescent="0.3"/>
    <row r="1400" spans="3:34" ht="15" customHeight="1" x14ac:dyDescent="0.3"/>
    <row r="1401" spans="3:34" ht="15" customHeight="1" x14ac:dyDescent="0.3"/>
    <row r="1402" spans="3:34" ht="15" customHeight="1" x14ac:dyDescent="0.3"/>
    <row r="1403" spans="3:34" ht="15" customHeight="1" x14ac:dyDescent="0.3"/>
    <row r="1404" spans="3:34" ht="15" customHeight="1" x14ac:dyDescent="0.3"/>
    <row r="1405" spans="3:34" ht="15" customHeight="1" x14ac:dyDescent="0.3"/>
    <row r="1406" spans="3:34" ht="15" customHeight="1" x14ac:dyDescent="0.3"/>
    <row r="1407" spans="3:34" ht="15" customHeight="1" x14ac:dyDescent="0.3"/>
    <row r="1408" spans="3:34" ht="15" customHeight="1" x14ac:dyDescent="0.3"/>
    <row r="1409" ht="12" customHeight="1" x14ac:dyDescent="0.3"/>
    <row r="1410" ht="12" customHeight="1" x14ac:dyDescent="0.3"/>
    <row r="1411" ht="12" customHeight="1" x14ac:dyDescent="0.3"/>
    <row r="1412" ht="12" customHeight="1" x14ac:dyDescent="0.3"/>
    <row r="1413" ht="12" customHeight="1" x14ac:dyDescent="0.3"/>
    <row r="1414" ht="12" customHeight="1" x14ac:dyDescent="0.3"/>
    <row r="1415" ht="12"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2"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2"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2" customHeight="1" x14ac:dyDescent="0.3"/>
    <row r="1460" ht="15" customHeight="1" x14ac:dyDescent="0.3"/>
    <row r="1461" ht="12" customHeight="1" x14ac:dyDescent="0.3"/>
    <row r="1462" ht="12" customHeight="1" x14ac:dyDescent="0.3"/>
    <row r="1463" ht="15" customHeight="1" x14ac:dyDescent="0.3"/>
    <row r="1464" ht="15" customHeight="1" x14ac:dyDescent="0.3"/>
    <row r="1465" ht="15" customHeight="1" x14ac:dyDescent="0.3"/>
    <row r="1466" ht="15" customHeight="1" x14ac:dyDescent="0.3"/>
    <row r="1467" ht="12" customHeight="1" x14ac:dyDescent="0.3"/>
    <row r="1468" ht="15" customHeight="1" x14ac:dyDescent="0.3"/>
    <row r="1469" ht="15" customHeight="1" x14ac:dyDescent="0.3"/>
    <row r="1470" ht="15" customHeight="1" x14ac:dyDescent="0.3"/>
    <row r="1471" ht="15" customHeight="1" x14ac:dyDescent="0.3"/>
    <row r="1472" ht="15" customHeight="1" x14ac:dyDescent="0.3"/>
    <row r="1473" ht="12" customHeight="1" x14ac:dyDescent="0.3"/>
    <row r="1474" ht="15" customHeight="1" x14ac:dyDescent="0.3"/>
    <row r="1475" ht="15" customHeight="1" x14ac:dyDescent="0.3"/>
    <row r="1476" ht="15" customHeight="1" x14ac:dyDescent="0.3"/>
    <row r="1477" ht="15" customHeight="1" x14ac:dyDescent="0.3"/>
    <row r="1478" ht="15" customHeight="1" x14ac:dyDescent="0.3"/>
    <row r="1479" ht="15" customHeight="1" x14ac:dyDescent="0.3"/>
    <row r="1480" ht="12" customHeight="1" x14ac:dyDescent="0.3"/>
    <row r="1481" ht="12" customHeight="1" x14ac:dyDescent="0.3"/>
    <row r="1482" ht="15" customHeight="1" x14ac:dyDescent="0.3"/>
    <row r="1483" ht="12" customHeight="1" x14ac:dyDescent="0.3"/>
    <row r="1484" ht="15" customHeight="1" x14ac:dyDescent="0.3"/>
    <row r="1485" ht="15" customHeight="1" x14ac:dyDescent="0.3"/>
    <row r="1486" ht="15" customHeight="1" x14ac:dyDescent="0.3"/>
    <row r="1487" ht="15" customHeight="1" x14ac:dyDescent="0.3"/>
    <row r="1488" ht="15" customHeight="1" x14ac:dyDescent="0.3"/>
    <row r="1489" spans="3:34" ht="15" customHeight="1" x14ac:dyDescent="0.3"/>
    <row r="1490" spans="3:34" ht="15" customHeight="1" x14ac:dyDescent="0.3"/>
    <row r="1491" spans="3:34" ht="15" customHeight="1" x14ac:dyDescent="0.3"/>
    <row r="1492" spans="3:34" ht="15" customHeight="1" x14ac:dyDescent="0.3"/>
    <row r="1493" spans="3:34" ht="15" customHeight="1" x14ac:dyDescent="0.3"/>
    <row r="1494" spans="3:34" ht="15" customHeight="1" x14ac:dyDescent="0.3"/>
    <row r="1495" spans="3:34" ht="15" customHeight="1" x14ac:dyDescent="0.3"/>
    <row r="1496" spans="3:34" ht="15" customHeight="1" x14ac:dyDescent="0.3"/>
    <row r="1497" spans="3:34" ht="15" customHeight="1" x14ac:dyDescent="0.3"/>
    <row r="1498" spans="3:34" ht="15" customHeight="1" x14ac:dyDescent="0.3"/>
    <row r="1499" spans="3:34" ht="15" customHeight="1" x14ac:dyDescent="0.3"/>
    <row r="1500" spans="3:34" ht="15" customHeight="1" x14ac:dyDescent="0.3"/>
    <row r="1501" spans="3:34" ht="15" customHeight="1" x14ac:dyDescent="0.3">
      <c r="C1501" s="161"/>
      <c r="D1501" s="161"/>
      <c r="E1501" s="161"/>
      <c r="F1501" s="161"/>
      <c r="G1501" s="161"/>
      <c r="H1501" s="161"/>
      <c r="I1501" s="161"/>
      <c r="J1501" s="161"/>
      <c r="K1501" s="161"/>
      <c r="L1501" s="161"/>
      <c r="M1501" s="161"/>
      <c r="N1501" s="161"/>
      <c r="O1501" s="161"/>
      <c r="P1501" s="161"/>
      <c r="Q1501" s="161"/>
      <c r="R1501" s="161"/>
      <c r="S1501" s="161"/>
      <c r="T1501" s="161"/>
      <c r="U1501" s="161"/>
      <c r="V1501" s="161"/>
      <c r="W1501" s="161"/>
      <c r="X1501" s="161"/>
      <c r="Y1501" s="161"/>
      <c r="Z1501" s="161"/>
      <c r="AA1501" s="161"/>
      <c r="AB1501" s="161"/>
      <c r="AC1501" s="161"/>
      <c r="AD1501" s="161"/>
      <c r="AE1501" s="161"/>
      <c r="AF1501" s="161"/>
      <c r="AG1501" s="161"/>
      <c r="AH1501" s="161"/>
    </row>
    <row r="1502" spans="3:34" ht="15" customHeight="1" x14ac:dyDescent="0.3"/>
    <row r="1503" spans="3:34" ht="15" customHeight="1" x14ac:dyDescent="0.3"/>
    <row r="1504" spans="3:34" ht="15" customHeight="1" x14ac:dyDescent="0.3"/>
    <row r="1505" ht="15" customHeight="1" x14ac:dyDescent="0.3"/>
    <row r="1506" ht="15" customHeight="1" x14ac:dyDescent="0.3"/>
    <row r="1507" ht="15" customHeight="1" x14ac:dyDescent="0.3"/>
    <row r="1508" ht="15" customHeight="1" x14ac:dyDescent="0.3"/>
    <row r="1509" ht="15" customHeight="1" x14ac:dyDescent="0.3"/>
    <row r="1510" ht="15" customHeight="1" x14ac:dyDescent="0.3"/>
    <row r="1511" ht="15" customHeight="1" x14ac:dyDescent="0.3"/>
    <row r="1512" ht="15" customHeight="1" x14ac:dyDescent="0.3"/>
    <row r="1513" ht="15" customHeight="1" x14ac:dyDescent="0.3"/>
  </sheetData>
  <mergeCells count="15">
    <mergeCell ref="C1279:AH1279"/>
    <mergeCell ref="C1397:AH1397"/>
    <mergeCell ref="C1501:AH1501"/>
    <mergeCell ref="C719:AH719"/>
    <mergeCell ref="C810:AH810"/>
    <mergeCell ref="C888:AH888"/>
    <mergeCell ref="C973:AH973"/>
    <mergeCell ref="C1073:AH1073"/>
    <mergeCell ref="C1145:AH1145"/>
    <mergeCell ref="C643:AH643"/>
    <mergeCell ref="C147:AH147"/>
    <mergeCell ref="C283:AH283"/>
    <mergeCell ref="C368:AH368"/>
    <mergeCell ref="C500:AH500"/>
    <mergeCell ref="C551:AH551"/>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1850-4823-47EF-9EC2-7B7534AD36E4}">
  <dimension ref="A1:AQ2"/>
  <sheetViews>
    <sheetView workbookViewId="0">
      <selection activeCell="E17" sqref="E17"/>
    </sheetView>
  </sheetViews>
  <sheetFormatPr defaultRowHeight="16.5" x14ac:dyDescent="0.3"/>
  <cols>
    <col min="1" max="1" width="17.25" customWidth="1"/>
    <col min="2" max="2" width="13.5" bestFit="1" customWidth="1"/>
    <col min="3" max="3" width="9.125" bestFit="1" customWidth="1"/>
    <col min="4" max="4" width="11.25" bestFit="1" customWidth="1"/>
    <col min="5" max="5" width="12.375" bestFit="1" customWidth="1"/>
    <col min="6" max="6" width="10.125" bestFit="1" customWidth="1"/>
    <col min="7" max="8" width="13.5" bestFit="1" customWidth="1"/>
    <col min="9" max="10" width="12.375" bestFit="1" customWidth="1"/>
    <col min="11" max="12" width="13.5" bestFit="1" customWidth="1"/>
    <col min="13" max="13" width="12.375" bestFit="1" customWidth="1"/>
    <col min="14" max="14" width="13.5" bestFit="1" customWidth="1"/>
    <col min="15" max="15" width="12.375" bestFit="1" customWidth="1"/>
    <col min="16" max="17" width="13.5" bestFit="1" customWidth="1"/>
    <col min="18" max="18" width="12.375" bestFit="1" customWidth="1"/>
    <col min="19" max="23" width="13.5" bestFit="1" customWidth="1"/>
    <col min="24" max="25" width="12.375" bestFit="1" customWidth="1"/>
    <col min="26" max="26" width="13.5" bestFit="1" customWidth="1"/>
    <col min="27" max="27" width="11.25" bestFit="1" customWidth="1"/>
    <col min="28" max="28" width="12.375" bestFit="1" customWidth="1"/>
    <col min="29" max="29" width="13.5" bestFit="1" customWidth="1"/>
    <col min="30" max="30" width="14.625" bestFit="1" customWidth="1"/>
    <col min="31" max="36" width="13.5" bestFit="1" customWidth="1"/>
    <col min="37" max="37" width="14.625" bestFit="1" customWidth="1"/>
    <col min="38" max="42" width="13.5" bestFit="1" customWidth="1"/>
    <col min="43" max="43" width="12.375" bestFit="1" customWidth="1"/>
  </cols>
  <sheetData>
    <row r="1" spans="1:43" x14ac:dyDescent="0.3">
      <c r="A1" s="147" t="s">
        <v>33</v>
      </c>
      <c r="B1" s="147" t="s">
        <v>2</v>
      </c>
      <c r="C1" s="147" t="s">
        <v>39</v>
      </c>
      <c r="D1" s="147" t="s">
        <v>40</v>
      </c>
      <c r="E1" s="147" t="s">
        <v>3</v>
      </c>
      <c r="F1" s="147" t="s">
        <v>4</v>
      </c>
      <c r="G1" s="147" t="s">
        <v>5</v>
      </c>
      <c r="H1" s="147" t="s">
        <v>6</v>
      </c>
      <c r="I1" s="147" t="s">
        <v>7</v>
      </c>
      <c r="J1" s="147" t="s">
        <v>8</v>
      </c>
      <c r="K1" s="147" t="s">
        <v>9</v>
      </c>
      <c r="L1" s="147" t="s">
        <v>35</v>
      </c>
      <c r="M1" s="147" t="s">
        <v>36</v>
      </c>
      <c r="N1" s="147" t="s">
        <v>10</v>
      </c>
      <c r="O1" s="147" t="s">
        <v>41</v>
      </c>
      <c r="P1" s="147" t="s">
        <v>42</v>
      </c>
      <c r="Q1" s="147" t="s">
        <v>43</v>
      </c>
      <c r="R1" s="147" t="s">
        <v>44</v>
      </c>
      <c r="S1" s="147" t="s">
        <v>11</v>
      </c>
      <c r="T1" s="147" t="s">
        <v>12</v>
      </c>
      <c r="U1" s="147" t="s">
        <v>13</v>
      </c>
      <c r="V1" s="147" t="s">
        <v>14</v>
      </c>
      <c r="W1" s="147" t="s">
        <v>15</v>
      </c>
      <c r="X1" s="147" t="s">
        <v>16</v>
      </c>
      <c r="Y1" s="147" t="s">
        <v>17</v>
      </c>
      <c r="Z1" s="147" t="s">
        <v>45</v>
      </c>
      <c r="AA1" s="147" t="s">
        <v>46</v>
      </c>
      <c r="AB1" s="147" t="s">
        <v>47</v>
      </c>
      <c r="AC1" s="147" t="s">
        <v>18</v>
      </c>
      <c r="AD1" s="147" t="s">
        <v>19</v>
      </c>
      <c r="AE1" s="147" t="s">
        <v>20</v>
      </c>
      <c r="AF1" s="147" t="s">
        <v>21</v>
      </c>
      <c r="AG1" s="147" t="s">
        <v>22</v>
      </c>
      <c r="AH1" s="147" t="s">
        <v>23</v>
      </c>
      <c r="AI1" s="147" t="s">
        <v>24</v>
      </c>
      <c r="AJ1" s="147" t="s">
        <v>25</v>
      </c>
      <c r="AK1" s="147" t="s">
        <v>26</v>
      </c>
      <c r="AL1" s="147" t="s">
        <v>27</v>
      </c>
      <c r="AM1" s="147" t="s">
        <v>28</v>
      </c>
      <c r="AN1" s="147" t="s">
        <v>29</v>
      </c>
      <c r="AO1" s="147" t="s">
        <v>30</v>
      </c>
      <c r="AP1" s="147" t="s">
        <v>31</v>
      </c>
      <c r="AQ1" s="147" t="s">
        <v>32</v>
      </c>
    </row>
    <row r="2" spans="1:43" x14ac:dyDescent="0.3">
      <c r="A2" s="147" t="s">
        <v>38</v>
      </c>
      <c r="B2" s="148">
        <v>27925733548.226498</v>
      </c>
      <c r="C2" s="148">
        <v>1311397.9043306913</v>
      </c>
      <c r="D2" s="148">
        <v>180901134.02051026</v>
      </c>
      <c r="E2" s="148">
        <v>1262802040.8715241</v>
      </c>
      <c r="F2" s="148">
        <v>11088883.393673377</v>
      </c>
      <c r="G2" s="148">
        <v>17735382677.706902</v>
      </c>
      <c r="H2" s="148">
        <v>11503696343.66391</v>
      </c>
      <c r="I2" s="148">
        <v>1632283635.5487211</v>
      </c>
      <c r="J2" s="148">
        <v>9172192076.8437214</v>
      </c>
      <c r="K2" s="148">
        <v>10038544358.624634</v>
      </c>
      <c r="L2" s="148">
        <v>27808613063.586945</v>
      </c>
      <c r="M2" s="148">
        <v>6956367041.5863323</v>
      </c>
      <c r="N2" s="148">
        <v>19570193679.557671</v>
      </c>
      <c r="O2" s="148">
        <v>3868656683.7611094</v>
      </c>
      <c r="P2" s="148">
        <v>11738713664.137058</v>
      </c>
      <c r="Q2" s="148">
        <v>14577609969.831327</v>
      </c>
      <c r="R2" s="148">
        <v>7171488575.9407301</v>
      </c>
      <c r="S2" s="148">
        <v>25821041604.104927</v>
      </c>
      <c r="T2" s="148">
        <v>92863277358.381226</v>
      </c>
      <c r="U2" s="148">
        <v>21076951155.090012</v>
      </c>
      <c r="V2" s="148">
        <v>32293312352.257057</v>
      </c>
      <c r="W2" s="148">
        <v>28866581250.410534</v>
      </c>
      <c r="X2" s="148">
        <v>8141901742.9707403</v>
      </c>
      <c r="Y2" s="148">
        <v>8269202124.3301105</v>
      </c>
      <c r="Z2" s="148">
        <v>17044383876.561859</v>
      </c>
      <c r="AA2" s="148">
        <v>172817985.40340394</v>
      </c>
      <c r="AB2" s="148">
        <v>8843783706.256691</v>
      </c>
      <c r="AC2" s="148">
        <v>77112272541.738953</v>
      </c>
      <c r="AD2" s="148">
        <v>147991528083.4277</v>
      </c>
      <c r="AE2" s="148">
        <v>48084965729.884354</v>
      </c>
      <c r="AF2" s="148">
        <v>32694197664.705135</v>
      </c>
      <c r="AG2" s="148">
        <v>21182339902.863483</v>
      </c>
      <c r="AH2" s="148">
        <v>13129770204.512175</v>
      </c>
      <c r="AI2" s="148">
        <v>25177442811.936127</v>
      </c>
      <c r="AJ2" s="148">
        <v>75716403900.143356</v>
      </c>
      <c r="AK2" s="148">
        <v>104007782591.15726</v>
      </c>
      <c r="AL2" s="148">
        <v>95146131906.994019</v>
      </c>
      <c r="AM2" s="148">
        <v>93032981629.837997</v>
      </c>
      <c r="AN2" s="148">
        <v>66938443805.71151</v>
      </c>
      <c r="AO2" s="148">
        <v>65010308761.219582</v>
      </c>
      <c r="AP2" s="148">
        <v>30090833728.382355</v>
      </c>
      <c r="AQ2" s="148">
        <v>1630509414.2057333</v>
      </c>
    </row>
  </sheetData>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AF25-ECAC-4472-9089-144EADE28E6C}">
  <dimension ref="A1:B31"/>
  <sheetViews>
    <sheetView workbookViewId="0">
      <selection activeCell="C1" sqref="C1"/>
    </sheetView>
  </sheetViews>
  <sheetFormatPr defaultRowHeight="16.5" x14ac:dyDescent="0.3"/>
  <cols>
    <col min="2" max="2" width="21.25" style="144" customWidth="1"/>
  </cols>
  <sheetData>
    <row r="1" spans="1:2" x14ac:dyDescent="0.3">
      <c r="B1" s="145" t="s">
        <v>669</v>
      </c>
    </row>
    <row r="2" spans="1:2" x14ac:dyDescent="0.3">
      <c r="A2">
        <v>2021</v>
      </c>
      <c r="B2" s="146">
        <v>1643410241299.9807</v>
      </c>
    </row>
    <row r="3" spans="1:2" x14ac:dyDescent="0.3">
      <c r="A3">
        <v>2022</v>
      </c>
      <c r="B3" s="146">
        <v>1686347163672.8076</v>
      </c>
    </row>
    <row r="4" spans="1:2" x14ac:dyDescent="0.3">
      <c r="A4">
        <v>2023</v>
      </c>
      <c r="B4" s="144">
        <v>1709226396236.6152</v>
      </c>
    </row>
    <row r="5" spans="1:2" x14ac:dyDescent="0.3">
      <c r="A5">
        <v>2024</v>
      </c>
      <c r="B5" s="144">
        <v>1747778407582.6704</v>
      </c>
    </row>
    <row r="6" spans="1:2" x14ac:dyDescent="0.3">
      <c r="A6">
        <v>2025</v>
      </c>
      <c r="B6" s="144">
        <v>1785060161438.2739</v>
      </c>
    </row>
    <row r="7" spans="1:2" x14ac:dyDescent="0.3">
      <c r="A7">
        <v>2026</v>
      </c>
      <c r="B7" s="144">
        <v>1826861359591.96</v>
      </c>
    </row>
    <row r="8" spans="1:2" x14ac:dyDescent="0.3">
      <c r="A8">
        <v>2027</v>
      </c>
      <c r="B8" s="144">
        <v>1865700311522.4475</v>
      </c>
    </row>
    <row r="9" spans="1:2" x14ac:dyDescent="0.3">
      <c r="A9">
        <v>2028</v>
      </c>
      <c r="B9" s="144">
        <v>1900613874437.7427</v>
      </c>
    </row>
    <row r="10" spans="1:2" x14ac:dyDescent="0.3">
      <c r="A10">
        <v>2029</v>
      </c>
      <c r="B10" s="144">
        <v>1932921037799.2646</v>
      </c>
    </row>
    <row r="11" spans="1:2" x14ac:dyDescent="0.3">
      <c r="A11">
        <v>2030</v>
      </c>
      <c r="B11" s="144">
        <v>1964065639736.8296</v>
      </c>
    </row>
    <row r="12" spans="1:2" x14ac:dyDescent="0.3">
      <c r="A12">
        <v>2031</v>
      </c>
      <c r="B12" s="144">
        <v>1994773271335.0046</v>
      </c>
    </row>
    <row r="13" spans="1:2" x14ac:dyDescent="0.3">
      <c r="A13">
        <v>2032</v>
      </c>
      <c r="B13" s="144">
        <v>2025148217952.0977</v>
      </c>
    </row>
    <row r="14" spans="1:2" x14ac:dyDescent="0.3">
      <c r="A14">
        <v>2033</v>
      </c>
      <c r="B14" s="144">
        <v>2055106757539.8899</v>
      </c>
    </row>
    <row r="15" spans="1:2" x14ac:dyDescent="0.3">
      <c r="A15">
        <v>2034</v>
      </c>
      <c r="B15" s="144">
        <v>2084459413883.9897</v>
      </c>
    </row>
    <row r="16" spans="1:2" x14ac:dyDescent="0.3">
      <c r="A16">
        <v>2035</v>
      </c>
      <c r="B16" s="144">
        <v>2113021851597.5291</v>
      </c>
    </row>
    <row r="17" spans="1:2" x14ac:dyDescent="0.3">
      <c r="A17">
        <v>2036</v>
      </c>
      <c r="B17" s="144">
        <v>2140636908239.1133</v>
      </c>
    </row>
    <row r="18" spans="1:2" x14ac:dyDescent="0.3">
      <c r="A18">
        <v>2037</v>
      </c>
      <c r="B18" s="144">
        <v>2167152562194.8711</v>
      </c>
    </row>
    <row r="19" spans="1:2" x14ac:dyDescent="0.3">
      <c r="A19">
        <v>2038</v>
      </c>
      <c r="B19" s="144">
        <v>2192468200126.1526</v>
      </c>
    </row>
    <row r="20" spans="1:2" x14ac:dyDescent="0.3">
      <c r="A20">
        <v>2039</v>
      </c>
      <c r="B20" s="144">
        <v>2216569133954.3237</v>
      </c>
    </row>
    <row r="21" spans="1:2" x14ac:dyDescent="0.3">
      <c r="A21">
        <v>2040</v>
      </c>
      <c r="B21" s="144">
        <v>2239558914633.7598</v>
      </c>
    </row>
    <row r="22" spans="1:2" x14ac:dyDescent="0.3">
      <c r="A22">
        <v>2041</v>
      </c>
      <c r="B22" s="144">
        <v>2261617471127.7397</v>
      </c>
    </row>
    <row r="23" spans="1:2" x14ac:dyDescent="0.3">
      <c r="A23">
        <v>2042</v>
      </c>
      <c r="B23" s="144">
        <v>2282887277799.0225</v>
      </c>
    </row>
    <row r="24" spans="1:2" x14ac:dyDescent="0.3">
      <c r="A24">
        <v>2043</v>
      </c>
      <c r="B24" s="144">
        <v>2303443243848.646</v>
      </c>
    </row>
    <row r="25" spans="1:2" x14ac:dyDescent="0.3">
      <c r="A25">
        <v>2044</v>
      </c>
      <c r="B25" s="144">
        <v>2323310339010.2905</v>
      </c>
    </row>
    <row r="26" spans="1:2" x14ac:dyDescent="0.3">
      <c r="A26">
        <v>2045</v>
      </c>
      <c r="B26" s="144">
        <v>2342476812821.0474</v>
      </c>
    </row>
    <row r="27" spans="1:2" x14ac:dyDescent="0.3">
      <c r="A27">
        <v>2046</v>
      </c>
      <c r="B27" s="144">
        <v>2360959556571.3467</v>
      </c>
    </row>
    <row r="28" spans="1:2" x14ac:dyDescent="0.3">
      <c r="A28">
        <v>2047</v>
      </c>
      <c r="B28" s="144">
        <v>2378828338634.7051</v>
      </c>
    </row>
    <row r="29" spans="1:2" x14ac:dyDescent="0.3">
      <c r="A29">
        <v>2048</v>
      </c>
      <c r="B29" s="144">
        <v>2396191116389.0889</v>
      </c>
    </row>
    <row r="30" spans="1:2" x14ac:dyDescent="0.3">
      <c r="A30">
        <v>2049</v>
      </c>
      <c r="B30" s="144">
        <v>2413172738502.8955</v>
      </c>
    </row>
    <row r="31" spans="1:2" x14ac:dyDescent="0.3">
      <c r="A31">
        <v>2050</v>
      </c>
      <c r="B31" s="144">
        <v>2429843707753.5728</v>
      </c>
    </row>
  </sheetData>
  <phoneticPr fontId="3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FE70-F863-4AE1-83A0-BF9DD1AEC782}">
  <sheetPr>
    <tabColor rgb="FF92D050"/>
  </sheetPr>
  <dimension ref="A1:AF189"/>
  <sheetViews>
    <sheetView topLeftCell="A172" workbookViewId="0">
      <selection activeCell="AF202" sqref="AF202"/>
    </sheetView>
  </sheetViews>
  <sheetFormatPr defaultRowHeight="16.5" x14ac:dyDescent="0.3"/>
  <cols>
    <col min="1" max="1" width="13.5" customWidth="1"/>
    <col min="2" max="2" width="14.5" customWidth="1"/>
    <col min="3" max="3" width="14.75" customWidth="1"/>
    <col min="4" max="4" width="17.25" customWidth="1"/>
    <col min="5" max="5" width="12" bestFit="1" customWidth="1"/>
    <col min="6" max="6" width="11.75" customWidth="1"/>
    <col min="7" max="7" width="13.875" customWidth="1"/>
    <col min="8" max="32" width="12" bestFit="1" customWidth="1"/>
  </cols>
  <sheetData>
    <row r="1" spans="1:32" x14ac:dyDescent="0.3">
      <c r="A1" t="s">
        <v>647</v>
      </c>
    </row>
    <row r="2" spans="1:32" x14ac:dyDescent="0.3">
      <c r="A2" t="s">
        <v>648</v>
      </c>
    </row>
    <row r="4" spans="1:32" s="6" customFormat="1" x14ac:dyDescent="0.3">
      <c r="C4" s="58">
        <v>2021</v>
      </c>
      <c r="D4" s="58">
        <v>2022</v>
      </c>
      <c r="E4" s="58">
        <v>2023</v>
      </c>
      <c r="F4" s="58">
        <v>2024</v>
      </c>
      <c r="G4" s="58">
        <v>2025</v>
      </c>
      <c r="H4" s="58">
        <v>2026</v>
      </c>
      <c r="I4" s="58">
        <v>2027</v>
      </c>
      <c r="J4" s="58">
        <v>2028</v>
      </c>
      <c r="K4" s="58">
        <v>2029</v>
      </c>
      <c r="L4" s="58">
        <v>2030</v>
      </c>
      <c r="M4" s="58">
        <v>2031</v>
      </c>
      <c r="N4" s="58">
        <v>2032</v>
      </c>
      <c r="O4" s="58">
        <v>2033</v>
      </c>
      <c r="P4" s="58">
        <v>2034</v>
      </c>
      <c r="Q4" s="58">
        <v>2035</v>
      </c>
      <c r="R4" s="58">
        <v>2036</v>
      </c>
      <c r="S4" s="58">
        <v>2037</v>
      </c>
      <c r="T4" s="58">
        <v>2038</v>
      </c>
      <c r="U4" s="58">
        <v>2039</v>
      </c>
      <c r="V4" s="58">
        <v>2040</v>
      </c>
      <c r="W4" s="58">
        <v>2041</v>
      </c>
      <c r="X4" s="58">
        <v>2042</v>
      </c>
      <c r="Y4" s="58">
        <v>2043</v>
      </c>
      <c r="Z4" s="58">
        <v>2044</v>
      </c>
      <c r="AA4" s="58">
        <v>2045</v>
      </c>
      <c r="AB4" s="58">
        <v>2046</v>
      </c>
      <c r="AC4" s="58">
        <v>2047</v>
      </c>
      <c r="AD4" s="58">
        <v>2048</v>
      </c>
      <c r="AE4" s="58">
        <v>2049</v>
      </c>
      <c r="AF4" s="58">
        <v>2050</v>
      </c>
    </row>
    <row r="5" spans="1:32" x14ac:dyDescent="0.3">
      <c r="A5" t="s">
        <v>1334</v>
      </c>
      <c r="B5" s="1" t="s">
        <v>2</v>
      </c>
      <c r="C5">
        <f t="array" ref="C5:C46">TRANSPOSE('Data from BVAbIC'!B2:AQ2)</f>
        <v>27925733548.226498</v>
      </c>
      <c r="D5">
        <f>C5*(1+'Growth Rates'!C51)</f>
        <v>27925730427.057949</v>
      </c>
      <c r="E5">
        <f>D5*(1+'Growth Rates'!D51)</f>
        <v>27887998722.829594</v>
      </c>
      <c r="F5">
        <f>E5*(1+'Growth Rates'!E51)</f>
        <v>28142692318.582123</v>
      </c>
      <c r="G5">
        <f>F5*(1+'Growth Rates'!F51)</f>
        <v>28519700058.179405</v>
      </c>
      <c r="H5">
        <f>G5*(1+'Growth Rates'!G51)</f>
        <v>28955710060.984413</v>
      </c>
      <c r="I5">
        <f>H5*(1+'Growth Rates'!H51)</f>
        <v>29343988596.037525</v>
      </c>
      <c r="J5">
        <f>I5*(1+'Growth Rates'!I51)</f>
        <v>29688045903.453201</v>
      </c>
      <c r="K5">
        <f>J5*(1+'Growth Rates'!J51)</f>
        <v>29989259237.227722</v>
      </c>
      <c r="L5">
        <f>K5*(1+'Growth Rates'!K51)</f>
        <v>30259008633.716042</v>
      </c>
      <c r="M5">
        <f>L5*(1+'Growth Rates'!L51)</f>
        <v>30544941289.119305</v>
      </c>
      <c r="N5">
        <f>M5*(1+'Growth Rates'!M51)</f>
        <v>30832828921.70018</v>
      </c>
      <c r="O5">
        <f>N5*(1+'Growth Rates'!N51)</f>
        <v>31108027929.637836</v>
      </c>
      <c r="P5">
        <f>O5*(1+'Growth Rates'!O51)</f>
        <v>31338531036.485462</v>
      </c>
      <c r="Q5">
        <f>P5*(1+'Growth Rates'!P51)</f>
        <v>31548909718.377449</v>
      </c>
      <c r="R5">
        <f>Q5*(1+'Growth Rates'!Q51)</f>
        <v>31729267363.852402</v>
      </c>
      <c r="S5">
        <f>R5*(1+'Growth Rates'!R51)</f>
        <v>31969648406.316845</v>
      </c>
      <c r="T5">
        <f>S5*(1+'Growth Rates'!S51)</f>
        <v>32198349524.41235</v>
      </c>
      <c r="U5">
        <f>T5*(1+'Growth Rates'!T51)</f>
        <v>32428437260.009769</v>
      </c>
      <c r="V5">
        <f>U5*(1+'Growth Rates'!U51)</f>
        <v>32671379144.516773</v>
      </c>
      <c r="W5">
        <f>V5*(1+'Growth Rates'!V51)</f>
        <v>32907547325.776859</v>
      </c>
      <c r="X5">
        <f>W5*(1+'Growth Rates'!W51)</f>
        <v>33150098808.382034</v>
      </c>
      <c r="Y5">
        <f>X5*(1+'Growth Rates'!X51)</f>
        <v>33385261410.536388</v>
      </c>
      <c r="Z5">
        <f>Y5*(1+'Growth Rates'!Y51)</f>
        <v>33601426943.58086</v>
      </c>
      <c r="AA5">
        <f>Z5*(1+'Growth Rates'!Z51)</f>
        <v>33822604868.64463</v>
      </c>
      <c r="AB5">
        <f>AA5*(1+'Growth Rates'!AA51)</f>
        <v>34039095207.884754</v>
      </c>
      <c r="AC5">
        <f>AB5*(1+'Growth Rates'!AB51)</f>
        <v>34254770461.633892</v>
      </c>
      <c r="AD5">
        <f>AC5*(1+'Growth Rates'!AC51)</f>
        <v>34464418380.752365</v>
      </c>
      <c r="AE5">
        <f>AD5*(1+'Growth Rates'!AD51)</f>
        <v>34677314208.327271</v>
      </c>
      <c r="AF5">
        <f>AE5*(1+'Growth Rates'!AE51)</f>
        <v>34892624080.689651</v>
      </c>
    </row>
    <row r="6" spans="1:32" x14ac:dyDescent="0.3">
      <c r="A6" t="s">
        <v>1334</v>
      </c>
      <c r="B6" s="1" t="s">
        <v>39</v>
      </c>
      <c r="C6">
        <v>1311397.9043306913</v>
      </c>
      <c r="D6">
        <f>C6*(1+'Growth Rates'!C52)</f>
        <v>1288412.2065201825</v>
      </c>
      <c r="E6">
        <f>D6*(1+'Growth Rates'!D52)</f>
        <v>1216308.6723127458</v>
      </c>
      <c r="F6">
        <f>E6*(1+'Growth Rates'!E52)</f>
        <v>1329628.1456684875</v>
      </c>
      <c r="G6">
        <f>F6*(1+'Growth Rates'!F52)</f>
        <v>1248268.0766641502</v>
      </c>
      <c r="H6">
        <f>G6*(1+'Growth Rates'!G52)</f>
        <v>1141866.6451039868</v>
      </c>
      <c r="I6">
        <f>H6*(1+'Growth Rates'!H52)</f>
        <v>1023675.3113288238</v>
      </c>
      <c r="J6">
        <f>I6*(1+'Growth Rates'!I52)</f>
        <v>918735.43789448694</v>
      </c>
      <c r="K6">
        <f>J6*(1+'Growth Rates'!J52)</f>
        <v>820080.26440120349</v>
      </c>
      <c r="L6">
        <f>K6*(1+'Growth Rates'!K52)</f>
        <v>779254.07408645225</v>
      </c>
      <c r="M6">
        <f>L6*(1+'Growth Rates'!L52)</f>
        <v>775795.05318866309</v>
      </c>
      <c r="N6">
        <f>M6*(1+'Growth Rates'!M52)</f>
        <v>781397.69267099781</v>
      </c>
      <c r="O6">
        <f>N6*(1+'Growth Rates'!N52)</f>
        <v>778036.108981597</v>
      </c>
      <c r="P6">
        <f>O6*(1+'Growth Rates'!O52)</f>
        <v>770874.47416504752</v>
      </c>
      <c r="Q6">
        <f>P6*(1+'Growth Rates'!P52)</f>
        <v>776671.98806415894</v>
      </c>
      <c r="R6">
        <f>Q6*(1+'Growth Rates'!Q52)</f>
        <v>767561.60907984094</v>
      </c>
      <c r="S6">
        <f>R6*(1+'Growth Rates'!R52)</f>
        <v>750217.78598670068</v>
      </c>
      <c r="T6">
        <f>S6*(1+'Growth Rates'!S52)</f>
        <v>738135.57214653562</v>
      </c>
      <c r="U6">
        <f>T6*(1+'Growth Rates'!T52)</f>
        <v>720596.87463661865</v>
      </c>
      <c r="V6">
        <f>U6*(1+'Growth Rates'!U52)</f>
        <v>710073.65613066836</v>
      </c>
      <c r="W6">
        <f>V6*(1+'Growth Rates'!V52)</f>
        <v>710658.27938099892</v>
      </c>
      <c r="X6">
        <f>W6*(1+'Growth Rates'!W52)</f>
        <v>711973.68169424275</v>
      </c>
      <c r="Y6">
        <f>X6*(1+'Growth Rates'!X52)</f>
        <v>702083.80504281726</v>
      </c>
      <c r="Z6">
        <f>Y6*(1+'Growth Rates'!Y52)</f>
        <v>690927.24468234228</v>
      </c>
      <c r="AA6">
        <f>Z6*(1+'Growth Rates'!Z52)</f>
        <v>682791.2377819086</v>
      </c>
      <c r="AB6">
        <f>AA6*(1+'Growth Rates'!AA52)</f>
        <v>675142.41692341701</v>
      </c>
      <c r="AC6">
        <f>AB6*(1+'Growth Rates'!AB52)</f>
        <v>671537.24021304515</v>
      </c>
      <c r="AD6">
        <f>AC6*(1+'Growth Rates'!AC52)</f>
        <v>669685.93325366499</v>
      </c>
      <c r="AE6">
        <f>AD6*(1+'Growth Rates'!AD52)</f>
        <v>665593.57050135103</v>
      </c>
      <c r="AF6">
        <f>AE6*(1+'Growth Rates'!AE52)</f>
        <v>656093.44268347928</v>
      </c>
    </row>
    <row r="7" spans="1:32" x14ac:dyDescent="0.3">
      <c r="A7" t="s">
        <v>1334</v>
      </c>
      <c r="B7" s="1" t="s">
        <v>40</v>
      </c>
      <c r="C7">
        <v>180901134.02051026</v>
      </c>
      <c r="D7">
        <f>C7*(1+'Growth Rates'!C53)</f>
        <v>181468364.53982052</v>
      </c>
      <c r="E7">
        <f>D7*(1+'Growth Rates'!D53)</f>
        <v>176399433.68516263</v>
      </c>
      <c r="F7">
        <f>E7*(1+'Growth Rates'!E53)</f>
        <v>176350856.18873614</v>
      </c>
      <c r="G7">
        <f>F7*(1+'Growth Rates'!F53)</f>
        <v>177698808.99376798</v>
      </c>
      <c r="H7">
        <f>G7*(1+'Growth Rates'!G53)</f>
        <v>180076197.48654425</v>
      </c>
      <c r="I7">
        <f>H7*(1+'Growth Rates'!H53)</f>
        <v>180378134.26074001</v>
      </c>
      <c r="J7">
        <f>I7*(1+'Growth Rates'!I53)</f>
        <v>181843603.88347426</v>
      </c>
      <c r="K7">
        <f>J7*(1+'Growth Rates'!J53)</f>
        <v>182028605.60639185</v>
      </c>
      <c r="L7">
        <f>K7*(1+'Growth Rates'!K53)</f>
        <v>182921907.95085725</v>
      </c>
      <c r="M7">
        <f>L7*(1+'Growth Rates'!L53)</f>
        <v>183784958.44126067</v>
      </c>
      <c r="N7">
        <f>M7*(1+'Growth Rates'!M53)</f>
        <v>185584943.75794974</v>
      </c>
      <c r="O7">
        <f>N7*(1+'Growth Rates'!N53)</f>
        <v>187368057.84833497</v>
      </c>
      <c r="P7">
        <f>O7*(1+'Growth Rates'!O53)</f>
        <v>188611001.81378621</v>
      </c>
      <c r="Q7">
        <f>P7*(1+'Growth Rates'!P53)</f>
        <v>189230001.28920865</v>
      </c>
      <c r="R7">
        <f>Q7*(1+'Growth Rates'!Q53)</f>
        <v>190032257.18827593</v>
      </c>
      <c r="S7">
        <f>R7*(1+'Growth Rates'!R53)</f>
        <v>190971519.08025864</v>
      </c>
      <c r="T7">
        <f>S7*(1+'Growth Rates'!S53)</f>
        <v>191345885.77427587</v>
      </c>
      <c r="U7">
        <f>T7*(1+'Growth Rates'!T53)</f>
        <v>192110035.97255352</v>
      </c>
      <c r="V7">
        <f>U7*(1+'Growth Rates'!U53)</f>
        <v>191826424.84072226</v>
      </c>
      <c r="W7">
        <f>V7*(1+'Growth Rates'!V53)</f>
        <v>191711235.08871698</v>
      </c>
      <c r="X7">
        <f>W7*(1+'Growth Rates'!W53)</f>
        <v>192208936.26467934</v>
      </c>
      <c r="Y7">
        <f>X7*(1+'Growth Rates'!X53)</f>
        <v>193167396.44866294</v>
      </c>
      <c r="Z7">
        <f>Y7*(1+'Growth Rates'!Y53)</f>
        <v>194142146.09252605</v>
      </c>
      <c r="AA7">
        <f>Z7*(1+'Growth Rates'!Z53)</f>
        <v>194109858.0559791</v>
      </c>
      <c r="AB7">
        <f>AA7*(1+'Growth Rates'!AA53)</f>
        <v>194735838.72849283</v>
      </c>
      <c r="AC7">
        <f>AB7*(1+'Growth Rates'!AB53)</f>
        <v>194441755.80102471</v>
      </c>
      <c r="AD7">
        <f>AC7*(1+'Growth Rates'!AC53)</f>
        <v>195276881.50306317</v>
      </c>
      <c r="AE7">
        <f>AD7*(1+'Growth Rates'!AD53)</f>
        <v>196399108.93547857</v>
      </c>
      <c r="AF7">
        <f>AE7*(1+'Growth Rates'!AE53)</f>
        <v>197400619.83485809</v>
      </c>
    </row>
    <row r="8" spans="1:32" x14ac:dyDescent="0.3">
      <c r="A8" t="s">
        <v>1334</v>
      </c>
      <c r="B8" s="1" t="s">
        <v>3</v>
      </c>
      <c r="C8">
        <v>1262802040.8715241</v>
      </c>
      <c r="D8">
        <f>C8*(1+'Growth Rates'!C54)</f>
        <v>1262441892.8214703</v>
      </c>
      <c r="E8">
        <f>D8*(1+'Growth Rates'!D54)</f>
        <v>1231917073.5431771</v>
      </c>
      <c r="F8">
        <f>E8*(1+'Growth Rates'!E54)</f>
        <v>1203693031.7824078</v>
      </c>
      <c r="G8">
        <f>F8*(1+'Growth Rates'!F54)</f>
        <v>1187692968.282681</v>
      </c>
      <c r="H8">
        <f>G8*(1+'Growth Rates'!G54)</f>
        <v>1170445918.4948306</v>
      </c>
      <c r="I8">
        <f>H8*(1+'Growth Rates'!H54)</f>
        <v>1147771843.8755691</v>
      </c>
      <c r="J8">
        <f>I8*(1+'Growth Rates'!I54)</f>
        <v>1133510535.9043527</v>
      </c>
      <c r="K8">
        <f>J8*(1+'Growth Rates'!J54)</f>
        <v>1127784936.891278</v>
      </c>
      <c r="L8">
        <f>K8*(1+'Growth Rates'!K54)</f>
        <v>1121672947.7607567</v>
      </c>
      <c r="M8">
        <f>L8*(1+'Growth Rates'!L54)</f>
        <v>1114559856.9623053</v>
      </c>
      <c r="N8">
        <f>M8*(1+'Growth Rates'!M54)</f>
        <v>1110502760.7291145</v>
      </c>
      <c r="O8">
        <f>N8*(1+'Growth Rates'!N54)</f>
        <v>1106024148.0041635</v>
      </c>
      <c r="P8">
        <f>O8*(1+'Growth Rates'!O54)</f>
        <v>1099227194.574532</v>
      </c>
      <c r="Q8">
        <f>P8*(1+'Growth Rates'!P54)</f>
        <v>1097260117.6129849</v>
      </c>
      <c r="R8">
        <f>Q8*(1+'Growth Rates'!Q54)</f>
        <v>1098911057.2057118</v>
      </c>
      <c r="S8">
        <f>R8*(1+'Growth Rates'!R54)</f>
        <v>1104127323.7912428</v>
      </c>
      <c r="T8">
        <f>S8*(1+'Growth Rates'!S54)</f>
        <v>1110520323.9162707</v>
      </c>
      <c r="U8">
        <f>T8*(1+'Growth Rates'!T54)</f>
        <v>1120759662.0286098</v>
      </c>
      <c r="V8">
        <f>U8*(1+'Growth Rates'!U54)</f>
        <v>1130120840.7831151</v>
      </c>
      <c r="W8">
        <f>V8*(1+'Growth Rates'!V54)</f>
        <v>1140535810.7670205</v>
      </c>
      <c r="X8">
        <f>W8*(1+'Growth Rates'!W54)</f>
        <v>1151038596.6867094</v>
      </c>
      <c r="Y8">
        <f>X8*(1+'Growth Rates'!X54)</f>
        <v>1170235160.24895</v>
      </c>
      <c r="Z8">
        <f>Y8*(1+'Growth Rates'!Y54)</f>
        <v>1187903726.5285604</v>
      </c>
      <c r="AA8">
        <f>Z8*(1+'Growth Rates'!Z54)</f>
        <v>1204342869.7072041</v>
      </c>
      <c r="AB8">
        <f>AA8*(1+'Growth Rates'!AA54)</f>
        <v>1218691993.6142037</v>
      </c>
      <c r="AC8">
        <f>AB8*(1+'Growth Rates'!AB54)</f>
        <v>1225611889.3539319</v>
      </c>
      <c r="AD8">
        <f>AC8*(1+'Growth Rates'!AC54)</f>
        <v>1229282595.4696763</v>
      </c>
      <c r="AE8">
        <f>AD8*(1+'Growth Rates'!AD54)</f>
        <v>1237080650.5672379</v>
      </c>
      <c r="AF8">
        <f>AE8*(1+'Growth Rates'!AE54)</f>
        <v>1252360623.3935409</v>
      </c>
    </row>
    <row r="9" spans="1:32" x14ac:dyDescent="0.3">
      <c r="B9" s="1" t="s">
        <v>4</v>
      </c>
      <c r="C9">
        <v>11088883.393673377</v>
      </c>
      <c r="D9">
        <f>C9*(1+'Growth Rates'!C55)</f>
        <v>11410461.012089904</v>
      </c>
      <c r="E9">
        <f>D9*(1+'Growth Rates'!D55)</f>
        <v>11741364.381440511</v>
      </c>
      <c r="F9">
        <f>E9*(1+'Growth Rates'!E55)</f>
        <v>12081863.948502285</v>
      </c>
      <c r="G9">
        <f>F9*(1+'Growth Rates'!F55)</f>
        <v>12432238.00300885</v>
      </c>
      <c r="H9">
        <f>G9*(1+'Growth Rates'!G55)</f>
        <v>12792772.905096106</v>
      </c>
      <c r="I9">
        <f>H9*(1+'Growth Rates'!H55)</f>
        <v>13163763.319343893</v>
      </c>
      <c r="J9">
        <f>I9*(1+'Growth Rates'!I55)</f>
        <v>13545512.455604864</v>
      </c>
      <c r="K9">
        <f>J9*(1+'Growth Rates'!J55)</f>
        <v>13938332.316817405</v>
      </c>
      <c r="L9">
        <f>K9*(1+'Growth Rates'!K55)</f>
        <v>14342543.954005109</v>
      </c>
      <c r="M9">
        <f>L9*(1+'Growth Rates'!L55)</f>
        <v>14758477.728671256</v>
      </c>
      <c r="N9">
        <f>M9*(1+'Growth Rates'!M55)</f>
        <v>15186473.582802722</v>
      </c>
      <c r="O9">
        <f>N9*(1+'Growth Rates'!N55)</f>
        <v>15626881.316703999</v>
      </c>
      <c r="P9">
        <f>O9*(1+'Growth Rates'!O55)</f>
        <v>16080060.874888415</v>
      </c>
      <c r="Q9">
        <f>P9*(1+'Growth Rates'!P55)</f>
        <v>16546382.640260177</v>
      </c>
      <c r="R9">
        <f>Q9*(1+'Growth Rates'!Q55)</f>
        <v>17026227.73682772</v>
      </c>
      <c r="S9">
        <f>R9*(1+'Growth Rates'!R55)</f>
        <v>17519988.341195721</v>
      </c>
      <c r="T9">
        <f>S9*(1+'Growth Rates'!S55)</f>
        <v>18028068.003090397</v>
      </c>
      <c r="U9">
        <f>T9*(1+'Growth Rates'!T55)</f>
        <v>18550881.975180015</v>
      </c>
      <c r="V9">
        <f>U9*(1+'Growth Rates'!U55)</f>
        <v>19088857.552460235</v>
      </c>
      <c r="W9">
        <f>V9*(1+'Growth Rates'!V55)</f>
        <v>19642434.42148158</v>
      </c>
      <c r="X9">
        <f>W9*(1+'Growth Rates'!W55)</f>
        <v>20212065.019704543</v>
      </c>
      <c r="Y9">
        <f>X9*(1+'Growth Rates'!X55)</f>
        <v>20798214.905275974</v>
      </c>
      <c r="Z9">
        <f>Y9*(1+'Growth Rates'!Y55)</f>
        <v>21401363.137528975</v>
      </c>
      <c r="AA9">
        <f>Z9*(1+'Growth Rates'!Z55)</f>
        <v>22022002.668517314</v>
      </c>
      <c r="AB9">
        <f>AA9*(1+'Growth Rates'!AA55)</f>
        <v>22660640.745904315</v>
      </c>
      <c r="AC9">
        <f>AB9*(1+'Growth Rates'!AB55)</f>
        <v>23317799.32753554</v>
      </c>
      <c r="AD9">
        <f>AC9*(1+'Growth Rates'!AC55)</f>
        <v>23994015.508034069</v>
      </c>
      <c r="AE9">
        <f>AD9*(1+'Growth Rates'!AD55)</f>
        <v>24689841.957767054</v>
      </c>
      <c r="AF9">
        <f>AE9*(1+'Growth Rates'!AE55)</f>
        <v>25405847.374542296</v>
      </c>
    </row>
    <row r="10" spans="1:32" x14ac:dyDescent="0.3">
      <c r="A10" t="s">
        <v>1334</v>
      </c>
      <c r="B10" s="1" t="s">
        <v>5</v>
      </c>
      <c r="C10">
        <v>17735382677.706902</v>
      </c>
      <c r="D10">
        <f>C10*(1+'Growth Rates'!C56)</f>
        <v>17514344190.129387</v>
      </c>
      <c r="E10">
        <f>D10*(1+'Growth Rates'!D56)</f>
        <v>17787580754.429779</v>
      </c>
      <c r="F10">
        <f>E10*(1+'Growth Rates'!E56)</f>
        <v>17966092089.3741</v>
      </c>
      <c r="G10">
        <f>F10*(1+'Growth Rates'!F56)</f>
        <v>18131703174.712891</v>
      </c>
      <c r="H10">
        <f>G10*(1+'Growth Rates'!G56)</f>
        <v>18365579348.943954</v>
      </c>
      <c r="I10">
        <f>H10*(1+'Growth Rates'!H56)</f>
        <v>18625435678.882088</v>
      </c>
      <c r="J10">
        <f>I10*(1+'Growth Rates'!I56)</f>
        <v>18886994831.8535</v>
      </c>
      <c r="K10">
        <f>J10*(1+'Growth Rates'!J56)</f>
        <v>19113820867.721901</v>
      </c>
      <c r="L10">
        <f>K10*(1+'Growth Rates'!K56)</f>
        <v>19338597142.244804</v>
      </c>
      <c r="M10">
        <f>L10*(1+'Growth Rates'!L56)</f>
        <v>19588707498.642067</v>
      </c>
      <c r="N10">
        <f>M10*(1+'Growth Rates'!M56)</f>
        <v>19806913656.832161</v>
      </c>
      <c r="O10">
        <f>N10*(1+'Growth Rates'!N56)</f>
        <v>19985027995.648048</v>
      </c>
      <c r="P10">
        <f>O10*(1+'Growth Rates'!O56)</f>
        <v>20174251013.709011</v>
      </c>
      <c r="Q10">
        <f>P10*(1+'Growth Rates'!P56)</f>
        <v>20383516540.283787</v>
      </c>
      <c r="R10">
        <f>Q10*(1+'Growth Rates'!Q56)</f>
        <v>20604461770.485153</v>
      </c>
      <c r="S10">
        <f>R10*(1+'Growth Rates'!R56)</f>
        <v>20819209969.768002</v>
      </c>
      <c r="T10">
        <f>S10*(1+'Growth Rates'!S56)</f>
        <v>21037029381.940952</v>
      </c>
      <c r="U10">
        <f>T10*(1+'Growth Rates'!T56)</f>
        <v>21262597356.423103</v>
      </c>
      <c r="V10">
        <f>U10*(1+'Growth Rates'!U56)</f>
        <v>21487987873.524029</v>
      </c>
      <c r="W10">
        <f>V10*(1+'Growth Rates'!V56)</f>
        <v>21707090375.991337</v>
      </c>
      <c r="X10">
        <f>W10*(1+'Growth Rates'!W56)</f>
        <v>21938029539.243889</v>
      </c>
      <c r="Y10">
        <f>X10*(1+'Growth Rates'!X56)</f>
        <v>22164016109.634445</v>
      </c>
      <c r="Z10">
        <f>Y10*(1+'Growth Rates'!Y56)</f>
        <v>22386355895.431271</v>
      </c>
      <c r="AA10">
        <f>Z10*(1+'Growth Rates'!Z56)</f>
        <v>22607155518.142662</v>
      </c>
      <c r="AB10">
        <f>AA10*(1+'Growth Rates'!AA56)</f>
        <v>22818500363.656574</v>
      </c>
      <c r="AC10">
        <f>AB10*(1+'Growth Rates'!AB56)</f>
        <v>23032898214.135628</v>
      </c>
      <c r="AD10">
        <f>AC10*(1+'Growth Rates'!AC56)</f>
        <v>23249605172.412312</v>
      </c>
      <c r="AE10">
        <f>AD10*(1+'Growth Rates'!AD56)</f>
        <v>23467526955.242172</v>
      </c>
      <c r="AF10">
        <f>AE10*(1+'Growth Rates'!AE56)</f>
        <v>23684959640.034546</v>
      </c>
    </row>
    <row r="11" spans="1:32" x14ac:dyDescent="0.3">
      <c r="A11" t="s">
        <v>1334</v>
      </c>
      <c r="B11" s="1" t="s">
        <v>6</v>
      </c>
      <c r="C11">
        <v>11503696343.66391</v>
      </c>
      <c r="D11">
        <f>C11*(1+'Growth Rates'!C57)</f>
        <v>11498046710.185787</v>
      </c>
      <c r="E11">
        <f>D11*(1+'Growth Rates'!D57)</f>
        <v>11322221350.862984</v>
      </c>
      <c r="F11">
        <f>E11*(1+'Growth Rates'!E57)</f>
        <v>11207167827.145109</v>
      </c>
      <c r="G11">
        <f>F11*(1+'Growth Rates'!F57)</f>
        <v>11212003325.818434</v>
      </c>
      <c r="H11">
        <f>G11*(1+'Growth Rates'!G57)</f>
        <v>11423474927.571918</v>
      </c>
      <c r="I11">
        <f>H11*(1+'Growth Rates'!H57)</f>
        <v>11684554442.28195</v>
      </c>
      <c r="J11">
        <f>I11*(1+'Growth Rates'!I57)</f>
        <v>11867227706.343647</v>
      </c>
      <c r="K11">
        <f>J11*(1+'Growth Rates'!J57)</f>
        <v>11945727232.495878</v>
      </c>
      <c r="L11">
        <f>K11*(1+'Growth Rates'!K57)</f>
        <v>11964169230.645111</v>
      </c>
      <c r="M11">
        <f>L11*(1+'Growth Rates'!L57)</f>
        <v>12017138165.178276</v>
      </c>
      <c r="N11">
        <f>M11*(1+'Growth Rates'!M57)</f>
        <v>12127579810.053797</v>
      </c>
      <c r="O11">
        <f>N11*(1+'Growth Rates'!N57)</f>
        <v>12219330837.045115</v>
      </c>
      <c r="P11">
        <f>O11*(1+'Growth Rates'!O57)</f>
        <v>12273758386.666933</v>
      </c>
      <c r="Q11">
        <f>P11*(1+'Growth Rates'!P57)</f>
        <v>12292431935.651159</v>
      </c>
      <c r="R11">
        <f>Q11*(1+'Growth Rates'!Q57)</f>
        <v>12278738539.957201</v>
      </c>
      <c r="S11">
        <f>R11*(1+'Growth Rates'!R57)</f>
        <v>12231749582.461245</v>
      </c>
      <c r="T11">
        <f>S11*(1+'Growth Rates'!S57)</f>
        <v>12159394170.646976</v>
      </c>
      <c r="U11">
        <f>T11*(1+'Growth Rates'!T57)</f>
        <v>12062652645.577526</v>
      </c>
      <c r="V11">
        <f>U11*(1+'Growth Rates'!U57)</f>
        <v>12000448229.266737</v>
      </c>
      <c r="W11">
        <f>V11*(1+'Growth Rates'!V57)</f>
        <v>11939230533.304926</v>
      </c>
      <c r="X11">
        <f>W11*(1+'Growth Rates'!W57)</f>
        <v>11862334449.271423</v>
      </c>
      <c r="Y11">
        <f>X11*(1+'Growth Rates'!X57)</f>
        <v>11784941125.767981</v>
      </c>
      <c r="Z11">
        <f>Y11*(1+'Growth Rates'!Y57)</f>
        <v>11682472036.485172</v>
      </c>
      <c r="AA11">
        <f>Z11*(1+'Growth Rates'!Z57)</f>
        <v>11572826250.622561</v>
      </c>
      <c r="AB11">
        <f>AA11*(1+'Growth Rates'!AA57)</f>
        <v>11476676619.831993</v>
      </c>
      <c r="AC11">
        <f>AB11*(1+'Growth Rates'!AB57)</f>
        <v>11392427288.172495</v>
      </c>
      <c r="AD11">
        <f>AC11*(1+'Growth Rates'!AC57)</f>
        <v>11300026436.090265</v>
      </c>
      <c r="AE11">
        <f>AD11*(1+'Growth Rates'!AD57)</f>
        <v>11199960785.854239</v>
      </c>
      <c r="AF11">
        <f>AE11*(1+'Growth Rates'!AE57)</f>
        <v>11120564021.768042</v>
      </c>
    </row>
    <row r="12" spans="1:32" x14ac:dyDescent="0.3">
      <c r="A12" t="s">
        <v>1334</v>
      </c>
      <c r="B12" s="1" t="s">
        <v>7</v>
      </c>
      <c r="C12">
        <v>1632283635.5487211</v>
      </c>
      <c r="D12">
        <f>C12*(1+'Growth Rates'!C58)</f>
        <v>1621765849.7982411</v>
      </c>
      <c r="E12">
        <f>D12*(1+'Growth Rates'!D58)</f>
        <v>1473665242.8106513</v>
      </c>
      <c r="F12">
        <f>E12*(1+'Growth Rates'!E58)</f>
        <v>1434338450.7216327</v>
      </c>
      <c r="G12">
        <f>F12*(1+'Growth Rates'!F58)</f>
        <v>1461209517.4621499</v>
      </c>
      <c r="H12">
        <f>G12*(1+'Growth Rates'!G58)</f>
        <v>1442514972.360199</v>
      </c>
      <c r="I12">
        <f>H12*(1+'Growth Rates'!H58)</f>
        <v>1436042109.3950751</v>
      </c>
      <c r="J12">
        <f>I12*(1+'Growth Rates'!I58)</f>
        <v>1454715334.6208909</v>
      </c>
      <c r="K12">
        <f>J12*(1+'Growth Rates'!J58)</f>
        <v>1479319615.6739292</v>
      </c>
      <c r="L12">
        <f>K12*(1+'Growth Rates'!K58)</f>
        <v>1490563510.3486888</v>
      </c>
      <c r="M12">
        <f>L12*(1+'Growth Rates'!L58)</f>
        <v>1496225920.8795552</v>
      </c>
      <c r="N12">
        <f>M12*(1+'Growth Rates'!M58)</f>
        <v>1513942247.6647987</v>
      </c>
      <c r="O12">
        <f>N12*(1+'Growth Rates'!N58)</f>
        <v>1535428478.2617865</v>
      </c>
      <c r="P12">
        <f>O12*(1+'Growth Rates'!O58)</f>
        <v>1561595067.9523458</v>
      </c>
      <c r="Q12">
        <f>P12*(1+'Growth Rates'!P58)</f>
        <v>1575963015.3339987</v>
      </c>
      <c r="R12">
        <f>Q12*(1+'Growth Rates'!Q58)</f>
        <v>1570993745.9189496</v>
      </c>
      <c r="S12">
        <f>R12*(1+'Growth Rates'!R58)</f>
        <v>1578834527.7938249</v>
      </c>
      <c r="T12">
        <f>S12*(1+'Growth Rates'!S58)</f>
        <v>1584217194.8070996</v>
      </c>
      <c r="U12">
        <f>T12*(1+'Growth Rates'!T58)</f>
        <v>1592309833.5044413</v>
      </c>
      <c r="V12">
        <f>U12*(1+'Growth Rates'!U58)</f>
        <v>1604778603.3485849</v>
      </c>
      <c r="W12">
        <f>V12*(1+'Growth Rates'!V58)</f>
        <v>1622650216.0887847</v>
      </c>
      <c r="X12">
        <f>W12*(1+'Growth Rates'!W58)</f>
        <v>1637230129.0960937</v>
      </c>
      <c r="Y12">
        <f>X12*(1+'Growth Rates'!X58)</f>
        <v>1646811073.4323304</v>
      </c>
      <c r="Z12">
        <f>Y12*(1+'Growth Rates'!Y58)</f>
        <v>1647985152.3254039</v>
      </c>
      <c r="AA12">
        <f>Z12*(1+'Growth Rates'!Z58)</f>
        <v>1638284623.5410769</v>
      </c>
      <c r="AB12">
        <f>AA12*(1+'Growth Rates'!AA58)</f>
        <v>1632016134.2457173</v>
      </c>
      <c r="AC12">
        <f>AB12*(1+'Growth Rates'!AB58)</f>
        <v>1634081250.2477217</v>
      </c>
      <c r="AD12">
        <f>AC12*(1+'Growth Rates'!AC58)</f>
        <v>1630769612.344954</v>
      </c>
      <c r="AE12">
        <f>AD12*(1+'Growth Rates'!AD58)</f>
        <v>1632118588.507617</v>
      </c>
      <c r="AF12">
        <f>AE12*(1+'Growth Rates'!AE58)</f>
        <v>1649192332.7404487</v>
      </c>
    </row>
    <row r="13" spans="1:32" x14ac:dyDescent="0.3">
      <c r="A13" t="s">
        <v>1334</v>
      </c>
      <c r="B13" s="1" t="s">
        <v>8</v>
      </c>
      <c r="C13">
        <v>9172192076.8437214</v>
      </c>
      <c r="D13">
        <f>C13*(1+'Growth Rates'!C59)</f>
        <v>9493025384.2937889</v>
      </c>
      <c r="E13">
        <f>D13*(1+'Growth Rates'!D59)</f>
        <v>9275232636.1015892</v>
      </c>
      <c r="F13">
        <f>E13*(1+'Growth Rates'!E59)</f>
        <v>9069001174.579277</v>
      </c>
      <c r="G13">
        <f>F13*(1+'Growth Rates'!F59)</f>
        <v>9055895077.5686798</v>
      </c>
      <c r="H13">
        <f>G13*(1+'Growth Rates'!G59)</f>
        <v>9102482290.5363121</v>
      </c>
      <c r="I13">
        <f>H13*(1+'Growth Rates'!H59)</f>
        <v>9158877960.0726948</v>
      </c>
      <c r="J13">
        <f>I13*(1+'Growth Rates'!I59)</f>
        <v>9213560582.08885</v>
      </c>
      <c r="K13">
        <f>J13*(1+'Growth Rates'!J59)</f>
        <v>9262191565.2373028</v>
      </c>
      <c r="L13">
        <f>K13*(1+'Growth Rates'!K59)</f>
        <v>9305185351.344902</v>
      </c>
      <c r="M13">
        <f>L13*(1+'Growth Rates'!L59)</f>
        <v>9370466276.5931301</v>
      </c>
      <c r="N13">
        <f>M13*(1+'Growth Rates'!M59)</f>
        <v>9445641774.117382</v>
      </c>
      <c r="O13">
        <f>N13*(1+'Growth Rates'!N59)</f>
        <v>9508218282.7106113</v>
      </c>
      <c r="P13">
        <f>O13*(1+'Growth Rates'!O59)</f>
        <v>9575323614.7517395</v>
      </c>
      <c r="Q13">
        <f>P13*(1+'Growth Rates'!P59)</f>
        <v>9646652930.223177</v>
      </c>
      <c r="R13">
        <f>Q13*(1+'Growth Rates'!Q59)</f>
        <v>9701086098.9475098</v>
      </c>
      <c r="S13">
        <f>R13*(1+'Growth Rates'!R59)</f>
        <v>9762923940.3422832</v>
      </c>
      <c r="T13">
        <f>S13*(1+'Growth Rates'!S59)</f>
        <v>9814963071.1017857</v>
      </c>
      <c r="U13">
        <f>T13*(1+'Growth Rates'!T59)</f>
        <v>9870955642.4388065</v>
      </c>
      <c r="V13">
        <f>U13*(1+'Growth Rates'!U59)</f>
        <v>9930742417.5167694</v>
      </c>
      <c r="W13">
        <f>V13*(1+'Growth Rates'!V59)</f>
        <v>9985971131.346405</v>
      </c>
      <c r="X13">
        <f>W13*(1+'Growth Rates'!W59)</f>
        <v>10046329188.546778</v>
      </c>
      <c r="Y13">
        <f>X13*(1+'Growth Rates'!X59)</f>
        <v>10097176173.2906</v>
      </c>
      <c r="Z13">
        <f>Y13*(1+'Growth Rates'!Y59)</f>
        <v>10130137239.84656</v>
      </c>
      <c r="AA13">
        <f>Z13*(1+'Growth Rates'!Z59)</f>
        <v>10151117731.56728</v>
      </c>
      <c r="AB13">
        <f>AA13*(1+'Growth Rates'!AA59)</f>
        <v>10193025831.336903</v>
      </c>
      <c r="AC13">
        <f>AB13*(1+'Growth Rates'!AB59)</f>
        <v>10256666031.347202</v>
      </c>
      <c r="AD13">
        <f>AC13*(1+'Growth Rates'!AC59)</f>
        <v>10283095192.215298</v>
      </c>
      <c r="AE13">
        <f>AD13*(1+'Growth Rates'!AD59)</f>
        <v>10318978441.120163</v>
      </c>
      <c r="AF13">
        <f>AE13*(1+'Growth Rates'!AE59)</f>
        <v>10393135728.250235</v>
      </c>
    </row>
    <row r="14" spans="1:32" x14ac:dyDescent="0.3">
      <c r="A14" t="s">
        <v>1334</v>
      </c>
      <c r="B14" s="1" t="s">
        <v>9</v>
      </c>
      <c r="C14">
        <v>10038544358.624634</v>
      </c>
      <c r="D14">
        <f>C14*(1+'Growth Rates'!C60)</f>
        <v>10395412217.38192</v>
      </c>
      <c r="E14">
        <f>D14*(1+'Growth Rates'!D60)</f>
        <v>11283413653.689684</v>
      </c>
      <c r="F14">
        <f>E14*(1+'Growth Rates'!E60)</f>
        <v>11250508891.441095</v>
      </c>
      <c r="G14">
        <f>F14*(1+'Growth Rates'!F60)</f>
        <v>11208970278.117704</v>
      </c>
      <c r="H14">
        <f>G14*(1+'Growth Rates'!G60)</f>
        <v>11159135598.114832</v>
      </c>
      <c r="I14">
        <f>H14*(1+'Growth Rates'!H60)</f>
        <v>11128068797.208288</v>
      </c>
      <c r="J14">
        <f>I14*(1+'Growth Rates'!I60)</f>
        <v>11094491595.804895</v>
      </c>
      <c r="K14">
        <f>J14*(1+'Growth Rates'!J60)</f>
        <v>11044962856.788755</v>
      </c>
      <c r="L14">
        <f>K14*(1+'Growth Rates'!K60)</f>
        <v>10969100051.41921</v>
      </c>
      <c r="M14">
        <f>L14*(1+'Growth Rates'!L60)</f>
        <v>10897365095.782642</v>
      </c>
      <c r="N14">
        <f>M14*(1+'Growth Rates'!M60)</f>
        <v>10853734613.506878</v>
      </c>
      <c r="O14">
        <f>N14*(1+'Growth Rates'!N60)</f>
        <v>10817029684.575686</v>
      </c>
      <c r="P14">
        <f>O14*(1+'Growth Rates'!O60)</f>
        <v>10797437935.20491</v>
      </c>
      <c r="Q14">
        <f>P14*(1+'Growth Rates'!P60)</f>
        <v>10763468600.608149</v>
      </c>
      <c r="R14">
        <f>Q14*(1+'Growth Rates'!Q60)</f>
        <v>10731970075.342621</v>
      </c>
      <c r="S14">
        <f>R14*(1+'Growth Rates'!R60)</f>
        <v>10711201939.113842</v>
      </c>
      <c r="T14">
        <f>S14*(1+'Growth Rates'!S60)</f>
        <v>10693516481.467669</v>
      </c>
      <c r="U14">
        <f>T14*(1+'Growth Rates'!T60)</f>
        <v>10694628418.182676</v>
      </c>
      <c r="V14">
        <f>U14*(1+'Growth Rates'!U60)</f>
        <v>10710042625.309904</v>
      </c>
      <c r="W14">
        <f>V14*(1+'Growth Rates'!V60)</f>
        <v>10725834984.045986</v>
      </c>
      <c r="X14">
        <f>W14*(1+'Growth Rates'!W60)</f>
        <v>10752186123.453461</v>
      </c>
      <c r="Y14">
        <f>X14*(1+'Growth Rates'!X60)</f>
        <v>10781433588.167854</v>
      </c>
      <c r="Z14">
        <f>Y14*(1+'Growth Rates'!Y60)</f>
        <v>10814533252.941259</v>
      </c>
      <c r="AA14">
        <f>Z14*(1+'Growth Rates'!Z60)</f>
        <v>10838236542.316757</v>
      </c>
      <c r="AB14">
        <f>AA14*(1+'Growth Rates'!AA60)</f>
        <v>10890827782.669785</v>
      </c>
      <c r="AC14">
        <f>AB14*(1+'Growth Rates'!AB60)</f>
        <v>10947961524.060707</v>
      </c>
      <c r="AD14">
        <f>AC14*(1+'Growth Rates'!AC60)</f>
        <v>10978578726.062096</v>
      </c>
      <c r="AE14">
        <f>AD14*(1+'Growth Rates'!AD60)</f>
        <v>11033421026.966261</v>
      </c>
      <c r="AF14">
        <f>AE14*(1+'Growth Rates'!AE60)</f>
        <v>11137111867.252634</v>
      </c>
    </row>
    <row r="15" spans="1:32" x14ac:dyDescent="0.3">
      <c r="A15" t="s">
        <v>1334</v>
      </c>
      <c r="B15" s="1" t="s">
        <v>35</v>
      </c>
      <c r="C15">
        <v>27808613063.586945</v>
      </c>
      <c r="D15">
        <f>C15*(1+'Growth Rates'!C61)</f>
        <v>27438331551.493679</v>
      </c>
      <c r="E15">
        <f>D15*(1+'Growth Rates'!D61)</f>
        <v>26831772378.811604</v>
      </c>
      <c r="F15">
        <f>E15*(1+'Growth Rates'!E61)</f>
        <v>26513016309.162731</v>
      </c>
      <c r="G15">
        <f>F15*(1+'Growth Rates'!F61)</f>
        <v>26945286863.74416</v>
      </c>
      <c r="H15">
        <f>G15*(1+'Growth Rates'!G61)</f>
        <v>27567297439.509693</v>
      </c>
      <c r="I15">
        <f>H15*(1+'Growth Rates'!H61)</f>
        <v>28208520119.318008</v>
      </c>
      <c r="J15">
        <f>I15*(1+'Growth Rates'!I61)</f>
        <v>28773081187.385036</v>
      </c>
      <c r="K15">
        <f>J15*(1+'Growth Rates'!J61)</f>
        <v>29220825630.768337</v>
      </c>
      <c r="L15">
        <f>K15*(1+'Growth Rates'!K61)</f>
        <v>29589686260.958298</v>
      </c>
      <c r="M15">
        <f>L15*(1+'Growth Rates'!L61)</f>
        <v>30002935031.978588</v>
      </c>
      <c r="N15">
        <f>M15*(1+'Growth Rates'!M61)</f>
        <v>30530927091.32719</v>
      </c>
      <c r="O15">
        <f>N15*(1+'Growth Rates'!N61)</f>
        <v>31067524006.945366</v>
      </c>
      <c r="P15">
        <f>O15*(1+'Growth Rates'!O61)</f>
        <v>31686085335.889</v>
      </c>
      <c r="Q15">
        <f>P15*(1+'Growth Rates'!P61)</f>
        <v>32323434801.080196</v>
      </c>
      <c r="R15">
        <f>Q15*(1+'Growth Rates'!Q61)</f>
        <v>32917991789.145451</v>
      </c>
      <c r="S15">
        <f>R15*(1+'Growth Rates'!R61)</f>
        <v>33549356593.899387</v>
      </c>
      <c r="T15">
        <f>S15*(1+'Growth Rates'!S61)</f>
        <v>34168720972.062408</v>
      </c>
      <c r="U15">
        <f>T15*(1+'Growth Rates'!T61)</f>
        <v>34853179208.234772</v>
      </c>
      <c r="V15">
        <f>U15*(1+'Growth Rates'!U61)</f>
        <v>35626081459.172089</v>
      </c>
      <c r="W15">
        <f>V15*(1+'Growth Rates'!V61)</f>
        <v>36436089256.991356</v>
      </c>
      <c r="X15">
        <f>W15*(1+'Growth Rates'!W61)</f>
        <v>37287321514.607285</v>
      </c>
      <c r="Y15">
        <f>X15*(1+'Growth Rates'!X61)</f>
        <v>38158103417.239388</v>
      </c>
      <c r="Z15">
        <f>Y15*(1+'Growth Rates'!Y61)</f>
        <v>38978270222.937088</v>
      </c>
      <c r="AA15">
        <f>Z15*(1+'Growth Rates'!Z61)</f>
        <v>39729134144.705582</v>
      </c>
      <c r="AB15">
        <f>AA15*(1+'Growth Rates'!AA61)</f>
        <v>40548501388.880455</v>
      </c>
      <c r="AC15">
        <f>AB15*(1+'Growth Rates'!AB61)</f>
        <v>41453190507.237389</v>
      </c>
      <c r="AD15">
        <f>AC15*(1+'Growth Rates'!AC61)</f>
        <v>42243465229.886177</v>
      </c>
      <c r="AE15">
        <f>AD15*(1+'Growth Rates'!AD61)</f>
        <v>43027315700.556145</v>
      </c>
      <c r="AF15">
        <f>AE15*(1+'Growth Rates'!AE61)</f>
        <v>44011220927.357361</v>
      </c>
    </row>
    <row r="16" spans="1:32" x14ac:dyDescent="0.3">
      <c r="B16" s="1" t="s">
        <v>36</v>
      </c>
      <c r="C16">
        <v>6956367041.5863323</v>
      </c>
      <c r="D16">
        <f>C16*(1+'Growth Rates'!C62)</f>
        <v>7081581648.3348866</v>
      </c>
      <c r="E16">
        <f>D16*(1+'Growth Rates'!D62)</f>
        <v>7209050118.0049143</v>
      </c>
      <c r="F16">
        <f>E16*(1+'Growth Rates'!E62)</f>
        <v>7338813020.1290026</v>
      </c>
      <c r="G16">
        <f>F16*(1+'Growth Rates'!F62)</f>
        <v>7470911654.4913244</v>
      </c>
      <c r="H16">
        <f>G16*(1+'Growth Rates'!G62)</f>
        <v>7605388064.2721682</v>
      </c>
      <c r="I16">
        <f>H16*(1+'Growth Rates'!H62)</f>
        <v>7742285049.4290676</v>
      </c>
      <c r="J16">
        <f>I16*(1+'Growth Rates'!I62)</f>
        <v>7881646180.3187914</v>
      </c>
      <c r="K16">
        <f>J16*(1+'Growth Rates'!J62)</f>
        <v>8023515811.5645294</v>
      </c>
      <c r="L16">
        <f>K16*(1+'Growth Rates'!K62)</f>
        <v>8167939096.1726913</v>
      </c>
      <c r="M16">
        <f>L16*(1+'Growth Rates'!L62)</f>
        <v>8314961999.9038</v>
      </c>
      <c r="N16">
        <f>M16*(1+'Growth Rates'!M62)</f>
        <v>8464631315.9020681</v>
      </c>
      <c r="O16">
        <f>N16*(1+'Growth Rates'!N62)</f>
        <v>8616994679.5883064</v>
      </c>
      <c r="P16">
        <f>O16*(1+'Growth Rates'!O62)</f>
        <v>8772100583.8208961</v>
      </c>
      <c r="Q16">
        <f>P16*(1+'Growth Rates'!P62)</f>
        <v>8929998394.3296719</v>
      </c>
      <c r="R16">
        <f>Q16*(1+'Growth Rates'!Q62)</f>
        <v>9090738365.4276066</v>
      </c>
      <c r="S16">
        <f>R16*(1+'Growth Rates'!R62)</f>
        <v>9254371656.0053043</v>
      </c>
      <c r="T16">
        <f>S16*(1+'Growth Rates'!S62)</f>
        <v>9420950345.8134003</v>
      </c>
      <c r="U16">
        <f>T16*(1+'Growth Rates'!T62)</f>
        <v>9590527452.0380421</v>
      </c>
      <c r="V16">
        <f>U16*(1+'Growth Rates'!U62)</f>
        <v>9763156946.1747265</v>
      </c>
      <c r="W16">
        <f>V16*(1+'Growth Rates'!V62)</f>
        <v>9938893771.2058716</v>
      </c>
      <c r="X16">
        <f>W16*(1+'Growth Rates'!W62)</f>
        <v>10117793859.087578</v>
      </c>
      <c r="Y16">
        <f>X16*(1+'Growth Rates'!X62)</f>
        <v>10299914148.551155</v>
      </c>
      <c r="Z16">
        <f>Y16*(1+'Growth Rates'!Y62)</f>
        <v>10485312603.225077</v>
      </c>
      <c r="AA16">
        <f>Z16*(1+'Growth Rates'!Z62)</f>
        <v>10674048230.083128</v>
      </c>
      <c r="AB16">
        <f>AA16*(1+'Growth Rates'!AA62)</f>
        <v>10866181098.224625</v>
      </c>
      <c r="AC16">
        <f>AB16*(1+'Growth Rates'!AB62)</f>
        <v>11061772357.992668</v>
      </c>
      <c r="AD16">
        <f>AC16*(1+'Growth Rates'!AC62)</f>
        <v>11260884260.436537</v>
      </c>
      <c r="AE16">
        <f>AD16*(1+'Growth Rates'!AD62)</f>
        <v>11463580177.124395</v>
      </c>
      <c r="AF16">
        <f>AE16*(1+'Growth Rates'!AE62)</f>
        <v>11669924620.312635</v>
      </c>
    </row>
    <row r="17" spans="1:32" x14ac:dyDescent="0.3">
      <c r="A17" t="s">
        <v>1334</v>
      </c>
      <c r="B17" s="1" t="s">
        <v>10</v>
      </c>
      <c r="C17">
        <v>19570193679.557671</v>
      </c>
      <c r="D17">
        <f>C17*(1+'Growth Rates'!C63)</f>
        <v>20296794391.038574</v>
      </c>
      <c r="E17">
        <f>D17*(1+'Growth Rates'!D63)</f>
        <v>19884906008.723549</v>
      </c>
      <c r="F17">
        <f>E17*(1+'Growth Rates'!E63)</f>
        <v>19740880604.194218</v>
      </c>
      <c r="G17">
        <f>F17*(1+'Growth Rates'!F63)</f>
        <v>20028199091.903755</v>
      </c>
      <c r="H17">
        <f>G17*(1+'Growth Rates'!G63)</f>
        <v>20554064501.96265</v>
      </c>
      <c r="I17">
        <f>H17*(1+'Growth Rates'!H63)</f>
        <v>21017938770.290012</v>
      </c>
      <c r="J17">
        <f>I17*(1+'Growth Rates'!I63)</f>
        <v>21410701247.085907</v>
      </c>
      <c r="K17">
        <f>J17*(1+'Growth Rates'!J63)</f>
        <v>21778538247.874317</v>
      </c>
      <c r="L17">
        <f>K17*(1+'Growth Rates'!K63)</f>
        <v>22089173895.178207</v>
      </c>
      <c r="M17">
        <f>L17*(1+'Growth Rates'!L63)</f>
        <v>22454881861.999733</v>
      </c>
      <c r="N17">
        <f>M17*(1+'Growth Rates'!M63)</f>
        <v>22922843894.678741</v>
      </c>
      <c r="O17">
        <f>N17*(1+'Growth Rates'!N63)</f>
        <v>23351502874.404602</v>
      </c>
      <c r="P17">
        <f>O17*(1+'Growth Rates'!O63)</f>
        <v>23752903075.533718</v>
      </c>
      <c r="Q17">
        <f>P17*(1+'Growth Rates'!P63)</f>
        <v>24227164586.68792</v>
      </c>
      <c r="R17">
        <f>Q17*(1+'Growth Rates'!Q63)</f>
        <v>24639701414.243282</v>
      </c>
      <c r="S17">
        <f>R17*(1+'Growth Rates'!R63)</f>
        <v>25053649465.302135</v>
      </c>
      <c r="T17">
        <f>S17*(1+'Growth Rates'!S63)</f>
        <v>25475094063.179771</v>
      </c>
      <c r="U17">
        <f>T17*(1+'Growth Rates'!T63)</f>
        <v>25853605415.034348</v>
      </c>
      <c r="V17">
        <f>U17*(1+'Growth Rates'!U63)</f>
        <v>26264003481.54557</v>
      </c>
      <c r="W17">
        <f>V17*(1+'Growth Rates'!V63)</f>
        <v>26739364790.270802</v>
      </c>
      <c r="X17">
        <f>W17*(1+'Growth Rates'!W63)</f>
        <v>27192460101.586418</v>
      </c>
      <c r="Y17">
        <f>X17*(1+'Growth Rates'!X63)</f>
        <v>27688639588.082848</v>
      </c>
      <c r="Z17">
        <f>Y17*(1+'Growth Rates'!Y63)</f>
        <v>28120386356.726406</v>
      </c>
      <c r="AA17">
        <f>Z17*(1+'Growth Rates'!Z63)</f>
        <v>28516669557.108025</v>
      </c>
      <c r="AB17">
        <f>AA17*(1+'Growth Rates'!AA63)</f>
        <v>28962068757.060841</v>
      </c>
      <c r="AC17">
        <f>AB17*(1+'Growth Rates'!AB63)</f>
        <v>29434648918.992344</v>
      </c>
      <c r="AD17">
        <f>AC17*(1+'Growth Rates'!AC63)</f>
        <v>29849555645.271873</v>
      </c>
      <c r="AE17">
        <f>AD17*(1+'Growth Rates'!AD63)</f>
        <v>30281258562.337643</v>
      </c>
      <c r="AF17">
        <f>AE17*(1+'Growth Rates'!AE63)</f>
        <v>30910318375.542168</v>
      </c>
    </row>
    <row r="18" spans="1:32" x14ac:dyDescent="0.3">
      <c r="A18" t="s">
        <v>1334</v>
      </c>
      <c r="B18" s="1" t="s">
        <v>41</v>
      </c>
      <c r="C18">
        <v>3868656683.7611094</v>
      </c>
      <c r="D18">
        <f>C18*(1+'Growth Rates'!C64)</f>
        <v>3929677692.6376567</v>
      </c>
      <c r="E18">
        <f>D18*(1+'Growth Rates'!D64)</f>
        <v>3698272713.5069609</v>
      </c>
      <c r="F18">
        <f>E18*(1+'Growth Rates'!E64)</f>
        <v>3635354231.6793885</v>
      </c>
      <c r="G18">
        <f>F18*(1+'Growth Rates'!F64)</f>
        <v>3636594373.4412789</v>
      </c>
      <c r="H18">
        <f>G18*(1+'Growth Rates'!G64)</f>
        <v>3739390123.0664983</v>
      </c>
      <c r="I18">
        <f>H18*(1+'Growth Rates'!H64)</f>
        <v>3797018135.737287</v>
      </c>
      <c r="J18">
        <f>I18*(1+'Growth Rates'!I64)</f>
        <v>3841743365.3148336</v>
      </c>
      <c r="K18">
        <f>J18*(1+'Growth Rates'!J64)</f>
        <v>3876523884.5845494</v>
      </c>
      <c r="L18">
        <f>K18*(1+'Growth Rates'!K64)</f>
        <v>3896537781.0085392</v>
      </c>
      <c r="M18">
        <f>L18*(1+'Growth Rates'!L64)</f>
        <v>3924135633.9662957</v>
      </c>
      <c r="N18">
        <f>M18*(1+'Growth Rates'!M64)</f>
        <v>3957443381.8508773</v>
      </c>
      <c r="O18">
        <f>N18*(1+'Growth Rates'!N64)</f>
        <v>4002186582.108037</v>
      </c>
      <c r="P18">
        <f>O18*(1+'Growth Rates'!O64)</f>
        <v>4050089324.6046124</v>
      </c>
      <c r="Q18">
        <f>P18*(1+'Growth Rates'!P64)</f>
        <v>4106587987.2263513</v>
      </c>
      <c r="R18">
        <f>Q18*(1+'Growth Rates'!Q64)</f>
        <v>4134841852.4242783</v>
      </c>
      <c r="S18">
        <f>R18*(1+'Growth Rates'!R64)</f>
        <v>4173864276.4256735</v>
      </c>
      <c r="T18">
        <f>S18*(1+'Growth Rates'!S64)</f>
        <v>4212401656.9461479</v>
      </c>
      <c r="U18">
        <f>T18*(1+'Growth Rates'!T64)</f>
        <v>4281318718.6546893</v>
      </c>
      <c r="V18">
        <f>U18*(1+'Growth Rates'!U64)</f>
        <v>4349626261.0739832</v>
      </c>
      <c r="W18">
        <f>V18*(1+'Growth Rates'!V64)</f>
        <v>4398015036.2632008</v>
      </c>
      <c r="X18">
        <f>W18*(1+'Growth Rates'!W64)</f>
        <v>4458972405.852313</v>
      </c>
      <c r="Y18">
        <f>X18*(1+'Growth Rates'!X64)</f>
        <v>4481524784.4230518</v>
      </c>
      <c r="Z18">
        <f>Y18*(1+'Growth Rates'!Y64)</f>
        <v>4518810152.6409731</v>
      </c>
      <c r="AA18">
        <f>Z18*(1+'Growth Rates'!Z64)</f>
        <v>4564579495.190876</v>
      </c>
      <c r="AB18">
        <f>AA18*(1+'Growth Rates'!AA64)</f>
        <v>4632191292.0325079</v>
      </c>
      <c r="AC18">
        <f>AB18*(1+'Growth Rates'!AB64)</f>
        <v>4672453692.9271736</v>
      </c>
      <c r="AD18">
        <f>AC18*(1+'Growth Rates'!AC64)</f>
        <v>4685617133.3091078</v>
      </c>
      <c r="AE18">
        <f>AD18*(1+'Growth Rates'!AD64)</f>
        <v>4717753654.5150833</v>
      </c>
      <c r="AF18">
        <f>AE18*(1+'Growth Rates'!AE64)</f>
        <v>4764433896.1921387</v>
      </c>
    </row>
    <row r="19" spans="1:32" x14ac:dyDescent="0.3">
      <c r="A19" t="s">
        <v>1334</v>
      </c>
      <c r="B19" s="1" t="s">
        <v>42</v>
      </c>
      <c r="C19">
        <v>11738713664.137058</v>
      </c>
      <c r="D19">
        <f>C19*(1+'Growth Rates'!C65)</f>
        <v>13511001966.680653</v>
      </c>
      <c r="E19">
        <f>D19*(1+'Growth Rates'!D65)</f>
        <v>12908189560.176346</v>
      </c>
      <c r="F19">
        <f>E19*(1+'Growth Rates'!E65)</f>
        <v>12748795579.065546</v>
      </c>
      <c r="G19">
        <f>F19*(1+'Growth Rates'!F65)</f>
        <v>12955660270.556286</v>
      </c>
      <c r="H19">
        <f>G19*(1+'Growth Rates'!G65)</f>
        <v>13152653258.828362</v>
      </c>
      <c r="I19">
        <f>H19*(1+'Growth Rates'!H65)</f>
        <v>13280717394.430454</v>
      </c>
      <c r="J19">
        <f>I19*(1+'Growth Rates'!I65)</f>
        <v>13401764639.370222</v>
      </c>
      <c r="K19">
        <f>J19*(1+'Growth Rates'!J65)</f>
        <v>13562156712.687298</v>
      </c>
      <c r="L19">
        <f>K19*(1+'Growth Rates'!K65)</f>
        <v>13731048532.511887</v>
      </c>
      <c r="M19">
        <f>L19*(1+'Growth Rates'!L65)</f>
        <v>13894712970.427837</v>
      </c>
      <c r="N19">
        <f>M19*(1+'Growth Rates'!M65)</f>
        <v>14010467302.152491</v>
      </c>
      <c r="O19">
        <f>N19*(1+'Growth Rates'!N65)</f>
        <v>14063550180.830364</v>
      </c>
      <c r="P19">
        <f>O19*(1+'Growth Rates'!O65)</f>
        <v>14158431111.153507</v>
      </c>
      <c r="Q19">
        <f>P19*(1+'Growth Rates'!P65)</f>
        <v>14371557402.992226</v>
      </c>
      <c r="R19">
        <f>Q19*(1+'Growth Rates'!Q65)</f>
        <v>14544612141.067749</v>
      </c>
      <c r="S19">
        <f>R19*(1+'Growth Rates'!R65)</f>
        <v>14689771546.209705</v>
      </c>
      <c r="T19">
        <f>S19*(1+'Growth Rates'!S65)</f>
        <v>14846056990.987818</v>
      </c>
      <c r="U19">
        <f>T19*(1+'Growth Rates'!T65)</f>
        <v>14966399354.310526</v>
      </c>
      <c r="V19">
        <f>U19*(1+'Growth Rates'!U65)</f>
        <v>15128140700.424982</v>
      </c>
      <c r="W19">
        <f>V19*(1+'Growth Rates'!V65)</f>
        <v>15307983809.735128</v>
      </c>
      <c r="X19">
        <f>W19*(1+'Growth Rates'!W65)</f>
        <v>15449715423.461586</v>
      </c>
      <c r="Y19">
        <f>X19*(1+'Growth Rates'!X65)</f>
        <v>15522645046.406235</v>
      </c>
      <c r="Z19">
        <f>Y19*(1+'Growth Rates'!Y65)</f>
        <v>15697173398.732443</v>
      </c>
      <c r="AA19">
        <f>Z19*(1+'Growth Rates'!Z65)</f>
        <v>15900377578.655207</v>
      </c>
      <c r="AB19">
        <f>AA19*(1+'Growth Rates'!AA65)</f>
        <v>16064192402.518061</v>
      </c>
      <c r="AC19">
        <f>AB19*(1+'Growth Rates'!AB65)</f>
        <v>16229811857.74378</v>
      </c>
      <c r="AD19">
        <f>AC19*(1+'Growth Rates'!AC65)</f>
        <v>16354475926.713877</v>
      </c>
      <c r="AE19">
        <f>AD19*(1+'Growth Rates'!AD65)</f>
        <v>16468027398.367098</v>
      </c>
      <c r="AF19">
        <f>AE19*(1+'Growth Rates'!AE65)</f>
        <v>16614239505.137398</v>
      </c>
    </row>
    <row r="20" spans="1:32" x14ac:dyDescent="0.3">
      <c r="A20" t="s">
        <v>1334</v>
      </c>
      <c r="B20" s="1" t="s">
        <v>43</v>
      </c>
      <c r="C20">
        <v>14577609969.831327</v>
      </c>
      <c r="D20">
        <f>C20*(1+'Growth Rates'!C66)</f>
        <v>14751639854.131861</v>
      </c>
      <c r="E20">
        <f>D20*(1+'Growth Rates'!D66)</f>
        <v>14511282874.482719</v>
      </c>
      <c r="F20">
        <f>E20*(1+'Growth Rates'!E66)</f>
        <v>14287223782.474295</v>
      </c>
      <c r="G20">
        <f>F20*(1+'Growth Rates'!F66)</f>
        <v>14611179069.214825</v>
      </c>
      <c r="H20">
        <f>G20*(1+'Growth Rates'!G66)</f>
        <v>15308975119.389418</v>
      </c>
      <c r="I20">
        <f>H20*(1+'Growth Rates'!H66)</f>
        <v>15670882254.866224</v>
      </c>
      <c r="J20">
        <f>I20*(1+'Growth Rates'!I66)</f>
        <v>15756931896.733191</v>
      </c>
      <c r="K20">
        <f>J20*(1+'Growth Rates'!J66)</f>
        <v>15834308255.666744</v>
      </c>
      <c r="L20">
        <f>K20*(1+'Growth Rates'!K66)</f>
        <v>15748567356.391298</v>
      </c>
      <c r="M20">
        <f>L20*(1+'Growth Rates'!L66)</f>
        <v>15715041748.43124</v>
      </c>
      <c r="N20">
        <f>M20*(1+'Growth Rates'!M66)</f>
        <v>15873325527.990019</v>
      </c>
      <c r="O20">
        <f>N20*(1+'Growth Rates'!N66)</f>
        <v>15820368556.731623</v>
      </c>
      <c r="P20">
        <f>O20*(1+'Growth Rates'!O66)</f>
        <v>15810946500.334272</v>
      </c>
      <c r="Q20">
        <f>P20*(1+'Growth Rates'!P66)</f>
        <v>15857444646.350498</v>
      </c>
      <c r="R20">
        <f>Q20*(1+'Growth Rates'!Q66)</f>
        <v>15898749172.170012</v>
      </c>
      <c r="S20">
        <f>R20*(1+'Growth Rates'!R66)</f>
        <v>16082831040.784369</v>
      </c>
      <c r="T20">
        <f>S20*(1+'Growth Rates'!S66)</f>
        <v>16196197599.197603</v>
      </c>
      <c r="U20">
        <f>T20*(1+'Growth Rates'!T66)</f>
        <v>16229827865.663263</v>
      </c>
      <c r="V20">
        <f>U20*(1+'Growth Rates'!U66)</f>
        <v>16298603621.18119</v>
      </c>
      <c r="W20">
        <f>V20*(1+'Growth Rates'!V66)</f>
        <v>16420544153.234741</v>
      </c>
      <c r="X20">
        <f>W20*(1+'Growth Rates'!W66)</f>
        <v>16549222018.442579</v>
      </c>
      <c r="Y20">
        <f>X20*(1+'Growth Rates'!X66)</f>
        <v>16599819056.686956</v>
      </c>
      <c r="Z20">
        <f>Y20*(1+'Growth Rates'!Y66)</f>
        <v>16602498430.717506</v>
      </c>
      <c r="AA20">
        <f>Z20*(1+'Growth Rates'!Z66)</f>
        <v>16565255468.925816</v>
      </c>
      <c r="AB20">
        <f>AA20*(1+'Growth Rates'!AA66)</f>
        <v>16590434328.489937</v>
      </c>
      <c r="AC20">
        <f>AB20*(1+'Growth Rates'!AB66)</f>
        <v>16666187085.139977</v>
      </c>
      <c r="AD20">
        <f>AC20*(1+'Growth Rates'!AC66)</f>
        <v>16677080174.977129</v>
      </c>
      <c r="AE20">
        <f>AD20*(1+'Growth Rates'!AD66)</f>
        <v>16699939802.057188</v>
      </c>
      <c r="AF20">
        <f>AE20*(1+'Growth Rates'!AE66)</f>
        <v>16869308196.518364</v>
      </c>
    </row>
    <row r="21" spans="1:32" x14ac:dyDescent="0.3">
      <c r="A21" t="s">
        <v>1334</v>
      </c>
      <c r="B21" s="1" t="s">
        <v>44</v>
      </c>
      <c r="C21">
        <v>7171488575.9407301</v>
      </c>
      <c r="D21">
        <f>C21*(1+'Growth Rates'!C67)</f>
        <v>7455596853.4182863</v>
      </c>
      <c r="E21">
        <f>D21*(1+'Growth Rates'!D67)</f>
        <v>7364320413.4157743</v>
      </c>
      <c r="F21">
        <f>E21*(1+'Growth Rates'!E67)</f>
        <v>7408825746.7022619</v>
      </c>
      <c r="G21">
        <f>F21*(1+'Growth Rates'!F67)</f>
        <v>7624352889.4177933</v>
      </c>
      <c r="H21">
        <f>G21*(1+'Growth Rates'!G67)</f>
        <v>7875629824.8153019</v>
      </c>
      <c r="I21">
        <f>H21*(1+'Growth Rates'!H67)</f>
        <v>8043698822.2755156</v>
      </c>
      <c r="J21">
        <f>I21*(1+'Growth Rates'!I67)</f>
        <v>8160295624.910758</v>
      </c>
      <c r="K21">
        <f>J21*(1+'Growth Rates'!J67)</f>
        <v>8223843385.8179827</v>
      </c>
      <c r="L21">
        <f>K21*(1+'Growth Rates'!K67)</f>
        <v>8244293874.2867727</v>
      </c>
      <c r="M21">
        <f>L21*(1+'Growth Rates'!L67)</f>
        <v>8278307096.349227</v>
      </c>
      <c r="N21">
        <f>M21*(1+'Growth Rates'!M67)</f>
        <v>8325164672.8786602</v>
      </c>
      <c r="O21">
        <f>N21*(1+'Growth Rates'!N67)</f>
        <v>8398833555.5266228</v>
      </c>
      <c r="P21">
        <f>O21*(1+'Growth Rates'!O67)</f>
        <v>8506651217.7174501</v>
      </c>
      <c r="Q21">
        <f>P21*(1+'Growth Rates'!P67)</f>
        <v>8618367195.8630352</v>
      </c>
      <c r="R21">
        <f>Q21*(1+'Growth Rates'!Q67)</f>
        <v>8698409923.2723618</v>
      </c>
      <c r="S21">
        <f>R21*(1+'Growth Rates'!R67)</f>
        <v>8796437805.4747105</v>
      </c>
      <c r="T21">
        <f>S21*(1+'Growth Rates'!S67)</f>
        <v>8893681228.9986382</v>
      </c>
      <c r="U21">
        <f>T21*(1+'Growth Rates'!T67)</f>
        <v>9000574721.4588127</v>
      </c>
      <c r="V21">
        <f>U21*(1+'Growth Rates'!U67)</f>
        <v>9067475736.4183655</v>
      </c>
      <c r="W21">
        <f>V21*(1+'Growth Rates'!V67)</f>
        <v>9181472780.6897469</v>
      </c>
      <c r="X21">
        <f>W21*(1+'Growth Rates'!W67)</f>
        <v>9327087757.6726513</v>
      </c>
      <c r="Y21">
        <f>X21*(1+'Growth Rates'!X67)</f>
        <v>9433309315.4910679</v>
      </c>
      <c r="Z21">
        <f>Y21*(1+'Growth Rates'!Y67)</f>
        <v>9502087933.7134094</v>
      </c>
      <c r="AA21">
        <f>Z21*(1+'Growth Rates'!Z67)</f>
        <v>9623589538.2756519</v>
      </c>
      <c r="AB21">
        <f>AA21*(1+'Growth Rates'!AA67)</f>
        <v>9769012884.5585327</v>
      </c>
      <c r="AC21">
        <f>AB21*(1+'Growth Rates'!AB67)</f>
        <v>9892498574.8612137</v>
      </c>
      <c r="AD21">
        <f>AC21*(1+'Growth Rates'!AC67)</f>
        <v>9933710503.2893715</v>
      </c>
      <c r="AE21">
        <f>AD21*(1+'Growth Rates'!AD67)</f>
        <v>10009502427.535128</v>
      </c>
      <c r="AF21">
        <f>AE21*(1+'Growth Rates'!AE67)</f>
        <v>10160319564.427828</v>
      </c>
    </row>
    <row r="22" spans="1:32" x14ac:dyDescent="0.3">
      <c r="A22" t="s">
        <v>1334</v>
      </c>
      <c r="B22" s="1" t="s">
        <v>11</v>
      </c>
      <c r="C22">
        <v>25821041604.104927</v>
      </c>
      <c r="D22">
        <f>C22*(1+'Growth Rates'!C68)</f>
        <v>26162090090.925079</v>
      </c>
      <c r="E22">
        <f>D22*(1+'Growth Rates'!D68)</f>
        <v>25655627264.130234</v>
      </c>
      <c r="F22">
        <f>E22*(1+'Growth Rates'!E68)</f>
        <v>25466542795.930351</v>
      </c>
      <c r="G22">
        <f>F22*(1+'Growth Rates'!F68)</f>
        <v>25934976525.285465</v>
      </c>
      <c r="H22">
        <f>G22*(1+'Growth Rates'!G68)</f>
        <v>26790445698.75383</v>
      </c>
      <c r="I22">
        <f>H22*(1+'Growth Rates'!H68)</f>
        <v>27512714457.272469</v>
      </c>
      <c r="J22">
        <f>I22*(1+'Growth Rates'!I68)</f>
        <v>27935388880.365223</v>
      </c>
      <c r="K22">
        <f>J22*(1+'Growth Rates'!J68)</f>
        <v>28258931930.334949</v>
      </c>
      <c r="L22">
        <f>K22*(1+'Growth Rates'!K68)</f>
        <v>28459476620.951836</v>
      </c>
      <c r="M22">
        <f>L22*(1+'Growth Rates'!L68)</f>
        <v>28758137819.005062</v>
      </c>
      <c r="N22">
        <f>M22*(1+'Growth Rates'!M68)</f>
        <v>29370761306.016922</v>
      </c>
      <c r="O22">
        <f>N22*(1+'Growth Rates'!N68)</f>
        <v>29894526190.78146</v>
      </c>
      <c r="P22">
        <f>O22*(1+'Growth Rates'!O68)</f>
        <v>30329191563.153145</v>
      </c>
      <c r="Q22">
        <f>P22*(1+'Growth Rates'!P68)</f>
        <v>30912106300.836697</v>
      </c>
      <c r="R22">
        <f>Q22*(1+'Growth Rates'!Q68)</f>
        <v>31549585049.081326</v>
      </c>
      <c r="S22">
        <f>R22*(1+'Growth Rates'!R68)</f>
        <v>32247142223.00436</v>
      </c>
      <c r="T22">
        <f>S22*(1+'Growth Rates'!S68)</f>
        <v>32959958391.954742</v>
      </c>
      <c r="U22">
        <f>T22*(1+'Growth Rates'!T68)</f>
        <v>33485014627.553421</v>
      </c>
      <c r="V22">
        <f>U22*(1+'Growth Rates'!U68)</f>
        <v>33985624605.760365</v>
      </c>
      <c r="W22">
        <f>V22*(1+'Growth Rates'!V68)</f>
        <v>34639901275.796486</v>
      </c>
      <c r="X22">
        <f>W22*(1+'Growth Rates'!W68)</f>
        <v>35192043781.710861</v>
      </c>
      <c r="Y22">
        <f>X22*(1+'Growth Rates'!X68)</f>
        <v>35654432224.178375</v>
      </c>
      <c r="Z22">
        <f>Y22*(1+'Growth Rates'!Y68)</f>
        <v>35954681038.204094</v>
      </c>
      <c r="AA22">
        <f>Z22*(1+'Growth Rates'!Z68)</f>
        <v>36111911968.465866</v>
      </c>
      <c r="AB22">
        <f>AA22*(1+'Growth Rates'!AA68)</f>
        <v>36297208749.5448</v>
      </c>
      <c r="AC22">
        <f>AB22*(1+'Growth Rates'!AB68)</f>
        <v>36605897461.077461</v>
      </c>
      <c r="AD22">
        <f>AC22*(1+'Growth Rates'!AC68)</f>
        <v>36753653775.700531</v>
      </c>
      <c r="AE22">
        <f>AD22*(1+'Growth Rates'!AD68)</f>
        <v>36783981573.535095</v>
      </c>
      <c r="AF22">
        <f>AE22*(1+'Growth Rates'!AE68)</f>
        <v>37307998526.388718</v>
      </c>
    </row>
    <row r="23" spans="1:32" x14ac:dyDescent="0.3">
      <c r="A23" t="s">
        <v>1334</v>
      </c>
      <c r="B23" s="1" t="s">
        <v>12</v>
      </c>
      <c r="C23">
        <v>92863277358.381226</v>
      </c>
      <c r="D23">
        <f>C23*(1+'Growth Rates'!C69)</f>
        <v>97770359120.345795</v>
      </c>
      <c r="E23">
        <f>D23*(1+'Growth Rates'!D69)</f>
        <v>99688706963.394058</v>
      </c>
      <c r="F23">
        <f>E23*(1+'Growth Rates'!E69)</f>
        <v>102861268275.68156</v>
      </c>
      <c r="G23">
        <f>F23*(1+'Growth Rates'!F69)</f>
        <v>106897089746.39435</v>
      </c>
      <c r="H23">
        <f>G23*(1+'Growth Rates'!G69)</f>
        <v>111430425895.65683</v>
      </c>
      <c r="I23">
        <f>H23*(1+'Growth Rates'!H69)</f>
        <v>115312045983.65225</v>
      </c>
      <c r="J23">
        <f>I23*(1+'Growth Rates'!I69)</f>
        <v>118654278484.77408</v>
      </c>
      <c r="K23">
        <f>J23*(1+'Growth Rates'!J69)</f>
        <v>121172001205.42583</v>
      </c>
      <c r="L23">
        <f>K23*(1+'Growth Rates'!K69)</f>
        <v>123030549966.6407</v>
      </c>
      <c r="M23">
        <f>L23*(1+'Growth Rates'!L69)</f>
        <v>125228877171.05978</v>
      </c>
      <c r="N23">
        <f>M23*(1+'Growth Rates'!M69)</f>
        <v>127845332348.45793</v>
      </c>
      <c r="O23">
        <f>N23*(1+'Growth Rates'!N69)</f>
        <v>130469222066.81926</v>
      </c>
      <c r="P23">
        <f>O23*(1+'Growth Rates'!O69)</f>
        <v>133280644287.84311</v>
      </c>
      <c r="Q23">
        <f>P23*(1+'Growth Rates'!P69)</f>
        <v>136046764917.03609</v>
      </c>
      <c r="R23">
        <f>Q23*(1+'Growth Rates'!Q69)</f>
        <v>138987953214.97113</v>
      </c>
      <c r="S23">
        <f>R23*(1+'Growth Rates'!R69)</f>
        <v>142228284014.56454</v>
      </c>
      <c r="T23">
        <f>S23*(1+'Growth Rates'!S69)</f>
        <v>145715964157.85236</v>
      </c>
      <c r="U23">
        <f>T23*(1+'Growth Rates'!T69)</f>
        <v>149311401519.24896</v>
      </c>
      <c r="V23">
        <f>U23*(1+'Growth Rates'!U69)</f>
        <v>153447180831.40039</v>
      </c>
      <c r="W23">
        <f>V23*(1+'Growth Rates'!V69)</f>
        <v>157533370091.36783</v>
      </c>
      <c r="X23">
        <f>W23*(1+'Growth Rates'!W69)</f>
        <v>161191711112.73331</v>
      </c>
      <c r="Y23">
        <f>X23*(1+'Growth Rates'!X69)</f>
        <v>165083380976.6965</v>
      </c>
      <c r="Z23">
        <f>Y23*(1+'Growth Rates'!Y69)</f>
        <v>168829238169.75195</v>
      </c>
      <c r="AA23">
        <f>Z23*(1+'Growth Rates'!Z69)</f>
        <v>172385983835.76205</v>
      </c>
      <c r="AB23">
        <f>AA23*(1+'Growth Rates'!AA69)</f>
        <v>176033626870.41678</v>
      </c>
      <c r="AC23">
        <f>AB23*(1+'Growth Rates'!AB69)</f>
        <v>179785598825.74286</v>
      </c>
      <c r="AD23">
        <f>AC23*(1+'Growth Rates'!AC69)</f>
        <v>183413024171.18539</v>
      </c>
      <c r="AE23">
        <f>AD23*(1+'Growth Rates'!AD69)</f>
        <v>187399232039.47284</v>
      </c>
      <c r="AF23">
        <f>AE23*(1+'Growth Rates'!AE69)</f>
        <v>191899131092.70383</v>
      </c>
    </row>
    <row r="24" spans="1:32" x14ac:dyDescent="0.3">
      <c r="A24" t="s">
        <v>1334</v>
      </c>
      <c r="B24" s="1" t="s">
        <v>13</v>
      </c>
      <c r="C24">
        <v>21076951155.090012</v>
      </c>
      <c r="D24">
        <f>C24*(1+'Growth Rates'!C70)</f>
        <v>21664954193.433998</v>
      </c>
      <c r="E24">
        <f>D24*(1+'Growth Rates'!D70)</f>
        <v>21655768329.644024</v>
      </c>
      <c r="F24">
        <f>E24*(1+'Growth Rates'!E70)</f>
        <v>21896818655.793179</v>
      </c>
      <c r="G24">
        <f>F24*(1+'Growth Rates'!F70)</f>
        <v>22423057028.64209</v>
      </c>
      <c r="H24">
        <f>G24*(1+'Growth Rates'!G70)</f>
        <v>22957076478.458973</v>
      </c>
      <c r="I24">
        <f>H24*(1+'Growth Rates'!H70)</f>
        <v>23448604811.207203</v>
      </c>
      <c r="J24">
        <f>I24*(1+'Growth Rates'!I70)</f>
        <v>23885039512.372688</v>
      </c>
      <c r="K24">
        <f>J24*(1+'Growth Rates'!J70)</f>
        <v>24252175041.66679</v>
      </c>
      <c r="L24">
        <f>K24*(1+'Growth Rates'!K70)</f>
        <v>24558660702.453156</v>
      </c>
      <c r="M24">
        <f>L24*(1+'Growth Rates'!L70)</f>
        <v>24735646727.871929</v>
      </c>
      <c r="N24">
        <f>M24*(1+'Growth Rates'!M70)</f>
        <v>25248361274.240227</v>
      </c>
      <c r="O24">
        <f>N24*(1+'Growth Rates'!N70)</f>
        <v>25958609923.54673</v>
      </c>
      <c r="P24">
        <f>O24*(1+'Growth Rates'!O70)</f>
        <v>26644939957.74733</v>
      </c>
      <c r="Q24">
        <f>P24*(1+'Growth Rates'!P70)</f>
        <v>27370883712.613422</v>
      </c>
      <c r="R24">
        <f>Q24*(1+'Growth Rates'!Q70)</f>
        <v>28109359782.2686</v>
      </c>
      <c r="S24">
        <f>R24*(1+'Growth Rates'!R70)</f>
        <v>28891228789.838909</v>
      </c>
      <c r="T24">
        <f>S24*(1+'Growth Rates'!S70)</f>
        <v>29740520750.896786</v>
      </c>
      <c r="U24">
        <f>T24*(1+'Growth Rates'!T70)</f>
        <v>30577771002.918636</v>
      </c>
      <c r="V24">
        <f>U24*(1+'Growth Rates'!U70)</f>
        <v>31468654478.70015</v>
      </c>
      <c r="W24">
        <f>V24*(1+'Growth Rates'!V70)</f>
        <v>32387939368.73114</v>
      </c>
      <c r="X24">
        <f>W24*(1+'Growth Rates'!W70)</f>
        <v>33241100079.4193</v>
      </c>
      <c r="Y24">
        <f>X24*(1+'Growth Rates'!X70)</f>
        <v>34148399198.34412</v>
      </c>
      <c r="Z24">
        <f>Y24*(1+'Growth Rates'!Y70)</f>
        <v>35041734435.175842</v>
      </c>
      <c r="AA24">
        <f>Z24*(1+'Growth Rates'!Z70)</f>
        <v>35908230082.7911</v>
      </c>
      <c r="AB24">
        <f>AA24*(1+'Growth Rates'!AA70)</f>
        <v>36802351302.999832</v>
      </c>
      <c r="AC24">
        <f>AB24*(1+'Growth Rates'!AB70)</f>
        <v>37743397949.317284</v>
      </c>
      <c r="AD24">
        <f>AC24*(1+'Growth Rates'!AC70)</f>
        <v>38690828175.142654</v>
      </c>
      <c r="AE24">
        <f>AD24*(1+'Growth Rates'!AD70)</f>
        <v>39618152914.491341</v>
      </c>
      <c r="AF24">
        <f>AE24*(1+'Growth Rates'!AE70)</f>
        <v>40732500655.290291</v>
      </c>
    </row>
    <row r="25" spans="1:32" x14ac:dyDescent="0.3">
      <c r="A25" t="s">
        <v>1334</v>
      </c>
      <c r="B25" s="1" t="s">
        <v>14</v>
      </c>
      <c r="C25">
        <v>32293312352.257057</v>
      </c>
      <c r="D25">
        <f>C25*(1+'Growth Rates'!C71)</f>
        <v>33191698260.821407</v>
      </c>
      <c r="E25">
        <f>D25*(1+'Growth Rates'!D71)</f>
        <v>32689248184.611324</v>
      </c>
      <c r="F25">
        <f>E25*(1+'Growth Rates'!E71)</f>
        <v>32709374408.062016</v>
      </c>
      <c r="G25">
        <f>F25*(1+'Growth Rates'!F71)</f>
        <v>33106912215.042553</v>
      </c>
      <c r="H25">
        <f>G25*(1+'Growth Rates'!G71)</f>
        <v>34320528971.067242</v>
      </c>
      <c r="I25">
        <f>H25*(1+'Growth Rates'!H71)</f>
        <v>35388649020.885742</v>
      </c>
      <c r="J25">
        <f>I25*(1+'Growth Rates'!I71)</f>
        <v>35850436085.535454</v>
      </c>
      <c r="K25">
        <f>J25*(1+'Growth Rates'!J71)</f>
        <v>36253859677.032372</v>
      </c>
      <c r="L25">
        <f>K25*(1+'Growth Rates'!K71)</f>
        <v>36661267980.030357</v>
      </c>
      <c r="M25">
        <f>L25*(1+'Growth Rates'!L71)</f>
        <v>37277443636.179024</v>
      </c>
      <c r="N25">
        <f>M25*(1+'Growth Rates'!M71)</f>
        <v>38278599784.438141</v>
      </c>
      <c r="O25">
        <f>N25*(1+'Growth Rates'!N71)</f>
        <v>39045204736.887665</v>
      </c>
      <c r="P25">
        <f>O25*(1+'Growth Rates'!O71)</f>
        <v>39695234991.670052</v>
      </c>
      <c r="Q25">
        <f>P25*(1+'Growth Rates'!P71)</f>
        <v>40454141794.468895</v>
      </c>
      <c r="R25">
        <f>Q25*(1+'Growth Rates'!Q71)</f>
        <v>41161379578.977219</v>
      </c>
      <c r="S25">
        <f>R25*(1+'Growth Rates'!R71)</f>
        <v>41848739654.997345</v>
      </c>
      <c r="T25">
        <f>S25*(1+'Growth Rates'!S71)</f>
        <v>42534654822.498848</v>
      </c>
      <c r="U25">
        <f>T25*(1+'Growth Rates'!T71)</f>
        <v>43100945917.393906</v>
      </c>
      <c r="V25">
        <f>U25*(1+'Growth Rates'!U71)</f>
        <v>43672002402.978737</v>
      </c>
      <c r="W25">
        <f>V25*(1+'Growth Rates'!V71)</f>
        <v>44343324791.81633</v>
      </c>
      <c r="X25">
        <f>W25*(1+'Growth Rates'!W71)</f>
        <v>44938157564.363625</v>
      </c>
      <c r="Y25">
        <f>X25*(1+'Growth Rates'!X71)</f>
        <v>45407680736.998871</v>
      </c>
      <c r="Z25">
        <f>Y25*(1+'Growth Rates'!Y71)</f>
        <v>45768411002.850044</v>
      </c>
      <c r="AA25">
        <f>Z25*(1+'Growth Rates'!Z71)</f>
        <v>46068007335.463409</v>
      </c>
      <c r="AB25">
        <f>AA25*(1+'Growth Rates'!AA71)</f>
        <v>46567740026.809425</v>
      </c>
      <c r="AC25">
        <f>AB25*(1+'Growth Rates'!AB71)</f>
        <v>47125777883.319023</v>
      </c>
      <c r="AD25">
        <f>AC25*(1+'Growth Rates'!AC71)</f>
        <v>47636171883.168442</v>
      </c>
      <c r="AE25">
        <f>AD25*(1+'Growth Rates'!AD71)</f>
        <v>47983259906.863342</v>
      </c>
      <c r="AF25">
        <f>AE25*(1+'Growth Rates'!AE71)</f>
        <v>48647632016.612549</v>
      </c>
    </row>
    <row r="26" spans="1:32" x14ac:dyDescent="0.3">
      <c r="A26" t="s">
        <v>1334</v>
      </c>
      <c r="B26" s="1" t="s">
        <v>15</v>
      </c>
      <c r="C26">
        <v>28866581250.410534</v>
      </c>
      <c r="D26">
        <f>C26*(1+'Growth Rates'!C72)</f>
        <v>29683217576.225319</v>
      </c>
      <c r="E26">
        <f>D26*(1+'Growth Rates'!D72)</f>
        <v>30606580734.563503</v>
      </c>
      <c r="F26">
        <f>E26*(1+'Growth Rates'!E72)</f>
        <v>30990528801.722637</v>
      </c>
      <c r="G26">
        <f>F26*(1+'Growth Rates'!F72)</f>
        <v>30899898846.964119</v>
      </c>
      <c r="H26">
        <f>G26*(1+'Growth Rates'!G72)</f>
        <v>31060758280.439915</v>
      </c>
      <c r="I26">
        <f>H26*(1+'Growth Rates'!H72)</f>
        <v>31637701681.013496</v>
      </c>
      <c r="J26">
        <f>I26*(1+'Growth Rates'!I72)</f>
        <v>32069946748.476429</v>
      </c>
      <c r="K26">
        <f>J26*(1+'Growth Rates'!J72)</f>
        <v>32278553988.254459</v>
      </c>
      <c r="L26">
        <f>K26*(1+'Growth Rates'!K72)</f>
        <v>32559982500.421108</v>
      </c>
      <c r="M26">
        <f>L26*(1+'Growth Rates'!L72)</f>
        <v>33058924198.457989</v>
      </c>
      <c r="N26">
        <f>M26*(1+'Growth Rates'!M72)</f>
        <v>33897852712.39159</v>
      </c>
      <c r="O26">
        <f>N26*(1+'Growth Rates'!N72)</f>
        <v>34629103736.19619</v>
      </c>
      <c r="P26">
        <f>O26*(1+'Growth Rates'!O72)</f>
        <v>35187217154.564995</v>
      </c>
      <c r="Q26">
        <f>P26*(1+'Growth Rates'!P72)</f>
        <v>35797561858.674995</v>
      </c>
      <c r="R26">
        <f>Q26*(1+'Growth Rates'!Q72)</f>
        <v>36382977617.281662</v>
      </c>
      <c r="S26">
        <f>R26*(1+'Growth Rates'!R72)</f>
        <v>36782383414.467819</v>
      </c>
      <c r="T26">
        <f>S26*(1+'Growth Rates'!S72)</f>
        <v>37246366154.389862</v>
      </c>
      <c r="U26">
        <f>T26*(1+'Growth Rates'!T72)</f>
        <v>37620191045.386703</v>
      </c>
      <c r="V26">
        <f>U26*(1+'Growth Rates'!U72)</f>
        <v>38153118601.541161</v>
      </c>
      <c r="W26">
        <f>V26*(1+'Growth Rates'!V72)</f>
        <v>38822490479.090088</v>
      </c>
      <c r="X26">
        <f>W26*(1+'Growth Rates'!W72)</f>
        <v>39486527802.774284</v>
      </c>
      <c r="Y26">
        <f>X26*(1+'Growth Rates'!X72)</f>
        <v>40060477919.76255</v>
      </c>
      <c r="Z26">
        <f>Y26*(1+'Growth Rates'!Y72)</f>
        <v>40534339732.084007</v>
      </c>
      <c r="AA26">
        <f>Z26*(1+'Growth Rates'!Z72)</f>
        <v>41012787816.838791</v>
      </c>
      <c r="AB26">
        <f>AA26*(1+'Growth Rates'!AA72)</f>
        <v>41634781227.234383</v>
      </c>
      <c r="AC26">
        <f>AB26*(1+'Growth Rates'!AB72)</f>
        <v>42307888276.480927</v>
      </c>
      <c r="AD26">
        <f>AC26*(1+'Growth Rates'!AC72)</f>
        <v>42915002065.491669</v>
      </c>
      <c r="AE26">
        <f>AD26*(1+'Growth Rates'!AD72)</f>
        <v>43495783404.447266</v>
      </c>
      <c r="AF26">
        <f>AE26*(1+'Growth Rates'!AE72)</f>
        <v>44228476476.887817</v>
      </c>
    </row>
    <row r="27" spans="1:32" x14ac:dyDescent="0.3">
      <c r="A27" t="s">
        <v>1334</v>
      </c>
      <c r="B27" s="1" t="s">
        <v>16</v>
      </c>
      <c r="C27">
        <v>8141901742.9707403</v>
      </c>
      <c r="D27">
        <f>C27*(1+'Growth Rates'!C73)</f>
        <v>8372236352.6304846</v>
      </c>
      <c r="E27">
        <f>D27*(1+'Growth Rates'!D73)</f>
        <v>8632673570.4309731</v>
      </c>
      <c r="F27">
        <f>E27*(1+'Growth Rates'!E73)</f>
        <v>8740967220.1048069</v>
      </c>
      <c r="G27">
        <f>F27*(1+'Growth Rates'!F73)</f>
        <v>8715404782.3428631</v>
      </c>
      <c r="H27">
        <f>G27*(1+'Growth Rates'!G73)</f>
        <v>8760775645.2943344</v>
      </c>
      <c r="I27">
        <f>H27*(1+'Growth Rates'!H73)</f>
        <v>8923504180.3424091</v>
      </c>
      <c r="J27">
        <f>I27*(1+'Growth Rates'!I73)</f>
        <v>9045420136.9857655</v>
      </c>
      <c r="K27">
        <f>J27*(1+'Growth Rates'!J73)</f>
        <v>9104258405.1690102</v>
      </c>
      <c r="L27">
        <f>K27*(1+'Growth Rates'!K73)</f>
        <v>9183636121.3541813</v>
      </c>
      <c r="M27">
        <f>L27*(1+'Growth Rates'!L73)</f>
        <v>9324364053.2712841</v>
      </c>
      <c r="N27">
        <f>M27*(1+'Growth Rates'!M73)</f>
        <v>9560986238.3014812</v>
      </c>
      <c r="O27">
        <f>N27*(1+'Growth Rates'!N73)</f>
        <v>9767237679.4962769</v>
      </c>
      <c r="P27">
        <f>O27*(1+'Growth Rates'!O73)</f>
        <v>9924655164.2470112</v>
      </c>
      <c r="Q27">
        <f>P27*(1+'Growth Rates'!P73)</f>
        <v>10096804632.419155</v>
      </c>
      <c r="R27">
        <f>Q27*(1+'Growth Rates'!Q73)</f>
        <v>10261922820.264637</v>
      </c>
      <c r="S27">
        <f>R27*(1+'Growth Rates'!R73)</f>
        <v>10374576366.871109</v>
      </c>
      <c r="T27">
        <f>S27*(1+'Growth Rates'!S73)</f>
        <v>10505444024.738489</v>
      </c>
      <c r="U27">
        <f>T27*(1+'Growth Rates'!T73)</f>
        <v>10610882403.643497</v>
      </c>
      <c r="V27">
        <f>U27*(1+'Growth Rates'!U73)</f>
        <v>10761196143.974953</v>
      </c>
      <c r="W27">
        <f>V27*(1+'Growth Rates'!V73)</f>
        <v>10949994395.116442</v>
      </c>
      <c r="X27">
        <f>W27*(1+'Growth Rates'!W73)</f>
        <v>11137288020.094118</v>
      </c>
      <c r="Y27">
        <f>X27*(1+'Growth Rates'!X73)</f>
        <v>11299172290.952087</v>
      </c>
      <c r="Z27">
        <f>Y27*(1+'Growth Rates'!Y73)</f>
        <v>11432826369.424318</v>
      </c>
      <c r="AA27">
        <f>Z27*(1+'Growth Rates'!Z73)</f>
        <v>11567774019.14403</v>
      </c>
      <c r="AB27">
        <f>AA27*(1+'Growth Rates'!AA73)</f>
        <v>11743209038.21627</v>
      </c>
      <c r="AC27">
        <f>AB27*(1+'Growth Rates'!AB73)</f>
        <v>11933060805.210272</v>
      </c>
      <c r="AD27">
        <f>AC27*(1+'Growth Rates'!AC73)</f>
        <v>12104298984.544649</v>
      </c>
      <c r="AE27">
        <f>AD27*(1+'Growth Rates'!AD73)</f>
        <v>12268110021.082279</v>
      </c>
      <c r="AF27">
        <f>AE27*(1+'Growth Rates'!AE73)</f>
        <v>12474768196.216249</v>
      </c>
    </row>
    <row r="28" spans="1:32" x14ac:dyDescent="0.3">
      <c r="A28" t="s">
        <v>1334</v>
      </c>
      <c r="B28" s="1" t="s">
        <v>17</v>
      </c>
      <c r="C28">
        <v>8269202124.3301105</v>
      </c>
      <c r="D28">
        <f>C28*(1+'Growth Rates'!C74)</f>
        <v>8252693379.2893667</v>
      </c>
      <c r="E28">
        <f>D28*(1+'Growth Rates'!D74)</f>
        <v>8136378501.6914215</v>
      </c>
      <c r="F28">
        <f>E28*(1+'Growth Rates'!E74)</f>
        <v>8153314355.9761839</v>
      </c>
      <c r="G28">
        <f>F28*(1+'Growth Rates'!F74)</f>
        <v>8198704101.4125624</v>
      </c>
      <c r="H28">
        <f>G28*(1+'Growth Rates'!G74)</f>
        <v>8402231949.3395205</v>
      </c>
      <c r="I28">
        <f>H28*(1+'Growth Rates'!H74)</f>
        <v>8627685228.6095486</v>
      </c>
      <c r="J28">
        <f>I28*(1+'Growth Rates'!I74)</f>
        <v>8724286458.2747898</v>
      </c>
      <c r="K28">
        <f>J28*(1+'Growth Rates'!J74)</f>
        <v>8825570054.0060844</v>
      </c>
      <c r="L28">
        <f>K28*(1+'Growth Rates'!K74)</f>
        <v>8913343039.6600819</v>
      </c>
      <c r="M28">
        <f>L28*(1+'Growth Rates'!L74)</f>
        <v>8994843876.2965717</v>
      </c>
      <c r="N28">
        <f>M28*(1+'Growth Rates'!M74)</f>
        <v>9204894867.7888355</v>
      </c>
      <c r="O28">
        <f>N28*(1+'Growth Rates'!N74)</f>
        <v>9309428497.9238396</v>
      </c>
      <c r="P28">
        <f>O28*(1+'Growth Rates'!O74)</f>
        <v>9400906226.4457817</v>
      </c>
      <c r="Q28">
        <f>P28*(1+'Growth Rates'!P74)</f>
        <v>9563293477.734251</v>
      </c>
      <c r="R28">
        <f>Q28*(1+'Growth Rates'!Q74)</f>
        <v>9724157681.8906441</v>
      </c>
      <c r="S28">
        <f>R28*(1+'Growth Rates'!R74)</f>
        <v>9884060437.8017578</v>
      </c>
      <c r="T28">
        <f>S28*(1+'Growth Rates'!S74)</f>
        <v>10066387560.139465</v>
      </c>
      <c r="U28">
        <f>T28*(1+'Growth Rates'!T74)</f>
        <v>10221146228.60368</v>
      </c>
      <c r="V28">
        <f>U28*(1+'Growth Rates'!U74)</f>
        <v>10371828130.284805</v>
      </c>
      <c r="W28">
        <f>V28*(1+'Growth Rates'!V74)</f>
        <v>10586992329.768562</v>
      </c>
      <c r="X28">
        <f>W28*(1+'Growth Rates'!W74)</f>
        <v>10786560707.598356</v>
      </c>
      <c r="Y28">
        <f>X28*(1+'Growth Rates'!X74)</f>
        <v>10941857900.191483</v>
      </c>
      <c r="Z28">
        <f>Y28*(1+'Growth Rates'!Y74)</f>
        <v>11049241036.702368</v>
      </c>
      <c r="AA28">
        <f>Z28*(1+'Growth Rates'!Z74)</f>
        <v>11106689152.919441</v>
      </c>
      <c r="AB28">
        <f>AA28*(1+'Growth Rates'!AA74)</f>
        <v>11245298092.42885</v>
      </c>
      <c r="AC28">
        <f>AB28*(1+'Growth Rates'!AB74)</f>
        <v>11412823549.363192</v>
      </c>
      <c r="AD28">
        <f>AC28*(1+'Growth Rates'!AC74)</f>
        <v>11535097256.96224</v>
      </c>
      <c r="AE28">
        <f>AD28*(1+'Growth Rates'!AD74)</f>
        <v>11591101617.249586</v>
      </c>
      <c r="AF28">
        <f>AE28*(1+'Growth Rates'!AE74)</f>
        <v>11931092112.867823</v>
      </c>
    </row>
    <row r="29" spans="1:32" x14ac:dyDescent="0.3">
      <c r="B29" s="1" t="s">
        <v>45</v>
      </c>
      <c r="C29">
        <v>17044383876.561859</v>
      </c>
      <c r="D29">
        <f>C29*(1+'Growth Rates'!C75)</f>
        <v>17334138402.463409</v>
      </c>
      <c r="E29">
        <f>D29*(1+'Growth Rates'!D75)</f>
        <v>17628818755.305286</v>
      </c>
      <c r="F29">
        <f>E29*(1+'Growth Rates'!E75)</f>
        <v>17928508674.145473</v>
      </c>
      <c r="G29">
        <f>F29*(1+'Growth Rates'!F75)</f>
        <v>18233293321.605946</v>
      </c>
      <c r="H29">
        <f>G29*(1+'Growth Rates'!G75)</f>
        <v>18543259308.073246</v>
      </c>
      <c r="I29">
        <f>H29*(1+'Growth Rates'!H75)</f>
        <v>18858494716.31049</v>
      </c>
      <c r="J29">
        <f>I29*(1+'Growth Rates'!I75)</f>
        <v>19179089126.487766</v>
      </c>
      <c r="K29">
        <f>J29*(1+'Growth Rates'!J75)</f>
        <v>19505133641.638058</v>
      </c>
      <c r="L29">
        <f>K29*(1+'Growth Rates'!K75)</f>
        <v>19836720913.545902</v>
      </c>
      <c r="M29">
        <f>L29*(1+'Growth Rates'!L75)</f>
        <v>20173945169.07618</v>
      </c>
      <c r="N29">
        <f>M29*(1+'Growth Rates'!M75)</f>
        <v>20516902236.950474</v>
      </c>
      <c r="O29">
        <f>N29*(1+'Growth Rates'!N75)</f>
        <v>20865689574.97863</v>
      </c>
      <c r="P29">
        <f>O29*(1+'Growth Rates'!O75)</f>
        <v>21220406297.753265</v>
      </c>
      <c r="Q29">
        <f>P29*(1+'Growth Rates'!P75)</f>
        <v>21581153204.815067</v>
      </c>
      <c r="R29">
        <f>Q29*(1+'Growth Rates'!Q75)</f>
        <v>21948032809.296921</v>
      </c>
      <c r="S29">
        <f>R29*(1+'Growth Rates'!R75)</f>
        <v>22321149367.054966</v>
      </c>
      <c r="T29">
        <f>S29*(1+'Growth Rates'!S75)</f>
        <v>22700608906.294899</v>
      </c>
      <c r="U29">
        <f>T29*(1+'Growth Rates'!T75)</f>
        <v>23086519257.701912</v>
      </c>
      <c r="V29">
        <f>U29*(1+'Growth Rates'!U75)</f>
        <v>23478990085.082844</v>
      </c>
      <c r="W29">
        <f>V29*(1+'Growth Rates'!V75)</f>
        <v>23878132916.529251</v>
      </c>
      <c r="X29">
        <f>W29*(1+'Growth Rates'!W75)</f>
        <v>24284061176.110245</v>
      </c>
      <c r="Y29">
        <f>X29*(1+'Growth Rates'!X75)</f>
        <v>24696890216.104118</v>
      </c>
      <c r="Z29">
        <f>Y29*(1+'Growth Rates'!Y75)</f>
        <v>25116737349.777885</v>
      </c>
      <c r="AA29">
        <f>Z29*(1+'Growth Rates'!Z75)</f>
        <v>25543721884.724106</v>
      </c>
      <c r="AB29">
        <f>AA29*(1+'Growth Rates'!AA75)</f>
        <v>25977965156.764412</v>
      </c>
      <c r="AC29">
        <f>AB29*(1+'Growth Rates'!AB75)</f>
        <v>26419590564.429405</v>
      </c>
      <c r="AD29">
        <f>AC29*(1+'Growth Rates'!AC75)</f>
        <v>26868723604.024704</v>
      </c>
      <c r="AE29">
        <f>AD29*(1+'Growth Rates'!AD75)</f>
        <v>27325491905.293121</v>
      </c>
      <c r="AF29">
        <f>AE29*(1+'Growth Rates'!AE75)</f>
        <v>27790025267.683102</v>
      </c>
    </row>
    <row r="30" spans="1:32" x14ac:dyDescent="0.3">
      <c r="B30" s="1" t="s">
        <v>46</v>
      </c>
      <c r="C30">
        <v>172817985.40340394</v>
      </c>
      <c r="D30">
        <f>C30*(1+'Growth Rates'!C76)</f>
        <v>174200529.28663117</v>
      </c>
      <c r="E30">
        <f>D30*(1+'Growth Rates'!D76)</f>
        <v>175594133.52092421</v>
      </c>
      <c r="F30">
        <f>E30*(1+'Growth Rates'!E76)</f>
        <v>176998886.5890916</v>
      </c>
      <c r="G30">
        <f>F30*(1+'Growth Rates'!F76)</f>
        <v>178414877.68180433</v>
      </c>
      <c r="H30">
        <f>G30*(1+'Growth Rates'!G76)</f>
        <v>179842196.70325875</v>
      </c>
      <c r="I30">
        <f>H30*(1+'Growth Rates'!H76)</f>
        <v>181280934.27688482</v>
      </c>
      <c r="J30">
        <f>I30*(1+'Growth Rates'!I76)</f>
        <v>182731181.75109991</v>
      </c>
      <c r="K30">
        <f>J30*(1+'Growth Rates'!J76)</f>
        <v>184193031.2051087</v>
      </c>
      <c r="L30">
        <f>K30*(1+'Growth Rates'!K76)</f>
        <v>185666575.45474958</v>
      </c>
      <c r="M30">
        <f>L30*(1+'Growth Rates'!L76)</f>
        <v>187151908.05838758</v>
      </c>
      <c r="N30">
        <f>M30*(1+'Growth Rates'!M76)</f>
        <v>188649123.32285467</v>
      </c>
      <c r="O30">
        <f>N30*(1+'Growth Rates'!N76)</f>
        <v>190158316.30943751</v>
      </c>
      <c r="P30">
        <f>O30*(1+'Growth Rates'!O76)</f>
        <v>191679582.83991301</v>
      </c>
      <c r="Q30">
        <f>P30*(1+'Growth Rates'!P76)</f>
        <v>193213019.50263232</v>
      </c>
      <c r="R30">
        <f>Q30*(1+'Growth Rates'!Q76)</f>
        <v>194758723.65865338</v>
      </c>
      <c r="S30">
        <f>R30*(1+'Growth Rates'!R76)</f>
        <v>196316793.44792262</v>
      </c>
      <c r="T30">
        <f>S30*(1+'Growth Rates'!S76)</f>
        <v>197887327.795506</v>
      </c>
      <c r="U30">
        <f>T30*(1+'Growth Rates'!T76)</f>
        <v>199470426.41787004</v>
      </c>
      <c r="V30">
        <f>U30*(1+'Growth Rates'!U76)</f>
        <v>201066189.82921299</v>
      </c>
      <c r="W30">
        <f>V30*(1+'Growth Rates'!V76)</f>
        <v>202674719.34784669</v>
      </c>
      <c r="X30">
        <f>W30*(1+'Growth Rates'!W76)</f>
        <v>204296117.10262945</v>
      </c>
      <c r="Y30">
        <f>X30*(1+'Growth Rates'!X76)</f>
        <v>205930486.0394505</v>
      </c>
      <c r="Z30">
        <f>Y30*(1+'Growth Rates'!Y76)</f>
        <v>207577929.92776611</v>
      </c>
      <c r="AA30">
        <f>Z30*(1+'Growth Rates'!Z76)</f>
        <v>209238553.36718825</v>
      </c>
      <c r="AB30">
        <f>AA30*(1+'Growth Rates'!AA76)</f>
        <v>210912461.79412577</v>
      </c>
      <c r="AC30">
        <f>AB30*(1+'Growth Rates'!AB76)</f>
        <v>212599761.48847878</v>
      </c>
      <c r="AD30">
        <f>AC30*(1+'Growth Rates'!AC76)</f>
        <v>214300559.58038661</v>
      </c>
      <c r="AE30">
        <f>AD30*(1+'Growth Rates'!AD76)</f>
        <v>216014964.05702969</v>
      </c>
      <c r="AF30">
        <f>AE30*(1+'Growth Rates'!AE76)</f>
        <v>217743083.76948592</v>
      </c>
    </row>
    <row r="31" spans="1:32" x14ac:dyDescent="0.3">
      <c r="B31" s="1" t="s">
        <v>47</v>
      </c>
      <c r="C31">
        <v>8843783706.256691</v>
      </c>
      <c r="D31">
        <f>C31*(1+'Growth Rates'!C77)</f>
        <v>8988650589.0320816</v>
      </c>
      <c r="E31">
        <f>D31*(1+'Growth Rates'!D77)</f>
        <v>9135890484.8098392</v>
      </c>
      <c r="F31">
        <f>E31*(1+'Growth Rates'!E77)</f>
        <v>9285542265.0739174</v>
      </c>
      <c r="G31">
        <f>F31*(1+'Growth Rates'!F77)</f>
        <v>9437645438.0482559</v>
      </c>
      <c r="H31">
        <f>G31*(1+'Growth Rates'!G77)</f>
        <v>9592240159.1269932</v>
      </c>
      <c r="I31">
        <f>H31*(1+'Growth Rates'!H77)</f>
        <v>9749367241.4755306</v>
      </c>
      <c r="J31">
        <f>I31*(1+'Growth Rates'!I77)</f>
        <v>9909068166.8052483</v>
      </c>
      <c r="K31">
        <f>J31*(1+'Growth Rates'!J77)</f>
        <v>10071385096.324722</v>
      </c>
      <c r="L31">
        <f>K31*(1+'Growth Rates'!K77)</f>
        <v>10236360881.870325</v>
      </c>
      <c r="M31">
        <f>L31*(1+'Growth Rates'!L77)</f>
        <v>10404039077.219154</v>
      </c>
      <c r="N31">
        <f>M31*(1+'Growth Rates'!M77)</f>
        <v>10574463949.587278</v>
      </c>
      <c r="O31">
        <f>N31*(1+'Growth Rates'!N77)</f>
        <v>10747680491.316322</v>
      </c>
      <c r="P31">
        <f>O31*(1+'Growth Rates'!O77)</f>
        <v>10923734431.751497</v>
      </c>
      <c r="Q31">
        <f>P31*(1+'Growth Rates'!P77)</f>
        <v>11102672249.314186</v>
      </c>
      <c r="R31">
        <f>Q31*(1+'Growth Rates'!Q77)</f>
        <v>11284541183.772306</v>
      </c>
      <c r="S31">
        <f>R31*(1+'Growth Rates'!R77)</f>
        <v>11469389248.711647</v>
      </c>
      <c r="T31">
        <f>S31*(1+'Growth Rates'!S77)</f>
        <v>11657265244.21151</v>
      </c>
      <c r="U31">
        <f>T31*(1+'Growth Rates'!T77)</f>
        <v>11848218769.72798</v>
      </c>
      <c r="V31">
        <f>U31*(1+'Growth Rates'!U77)</f>
        <v>12042300237.188232</v>
      </c>
      <c r="W31">
        <f>V31*(1+'Growth Rates'!V77)</f>
        <v>12239560884.299334</v>
      </c>
      <c r="X31">
        <f>W31*(1+'Growth Rates'!W77)</f>
        <v>12440052788.075048</v>
      </c>
      <c r="Y31">
        <f>X31*(1+'Growth Rates'!X77)</f>
        <v>12643828878.584225</v>
      </c>
      <c r="Z31">
        <f>Y31*(1+'Growth Rates'!Y77)</f>
        <v>12850942952.924387</v>
      </c>
      <c r="AA31">
        <f>Z31*(1+'Growth Rates'!Z77)</f>
        <v>13061449689.424225</v>
      </c>
      <c r="AB31">
        <f>AA31*(1+'Growth Rates'!AA77)</f>
        <v>13275404662.078728</v>
      </c>
      <c r="AC31">
        <f>AB31*(1+'Growth Rates'!AB77)</f>
        <v>13492864355.220778</v>
      </c>
      <c r="AD31">
        <f>AC31*(1+'Growth Rates'!AC77)</f>
        <v>13713886178.433069</v>
      </c>
      <c r="AE31">
        <f>AD31*(1+'Growth Rates'!AD77)</f>
        <v>13938528481.704304</v>
      </c>
      <c r="AF31">
        <f>AE31*(1+'Growth Rates'!AE77)</f>
        <v>14166850570.833639</v>
      </c>
    </row>
    <row r="32" spans="1:32" x14ac:dyDescent="0.3">
      <c r="A32" t="s">
        <v>1334</v>
      </c>
      <c r="B32" s="1" t="s">
        <v>18</v>
      </c>
      <c r="C32">
        <v>77112272541.738953</v>
      </c>
      <c r="D32">
        <f>C32*(1+'Growth Rates'!C78)</f>
        <v>75213346379.636917</v>
      </c>
      <c r="E32">
        <f>D32*(1+'Growth Rates'!D78)</f>
        <v>73571546389.540131</v>
      </c>
      <c r="F32">
        <f>E32*(1+'Growth Rates'!E78)</f>
        <v>73027199114.734558</v>
      </c>
      <c r="G32">
        <f>F32*(1+'Growth Rates'!F78)</f>
        <v>74189259894.794983</v>
      </c>
      <c r="H32">
        <f>G32*(1+'Growth Rates'!G78)</f>
        <v>74921902089.877884</v>
      </c>
      <c r="I32">
        <f>H32*(1+'Growth Rates'!H78)</f>
        <v>74989778219.86084</v>
      </c>
      <c r="J32">
        <f>I32*(1+'Growth Rates'!I78)</f>
        <v>75562303794.977509</v>
      </c>
      <c r="K32">
        <f>J32*(1+'Growth Rates'!J78)</f>
        <v>77346060796.92305</v>
      </c>
      <c r="L32">
        <f>K32*(1+'Growth Rates'!K78)</f>
        <v>78523584915.535324</v>
      </c>
      <c r="M32">
        <f>L32*(1+'Growth Rates'!L78)</f>
        <v>78641300942.820084</v>
      </c>
      <c r="N32">
        <f>M32*(1+'Growth Rates'!M78)</f>
        <v>78548930424.281601</v>
      </c>
      <c r="O32">
        <f>N32*(1+'Growth Rates'!N78)</f>
        <v>78666639958.12233</v>
      </c>
      <c r="P32">
        <f>O32*(1+'Growth Rates'!O78)</f>
        <v>78757067765.950836</v>
      </c>
      <c r="Q32">
        <f>P32*(1+'Growth Rates'!P78)</f>
        <v>79140219870.383972</v>
      </c>
      <c r="R32">
        <f>Q32*(1+'Growth Rates'!Q78)</f>
        <v>79822229542.195419</v>
      </c>
      <c r="S32">
        <f>R32*(1+'Growth Rates'!R78)</f>
        <v>80847901332.201614</v>
      </c>
      <c r="T32">
        <f>S32*(1+'Growth Rates'!S78)</f>
        <v>82023001959.121933</v>
      </c>
      <c r="U32">
        <f>T32*(1+'Growth Rates'!T78)</f>
        <v>83013036717.08963</v>
      </c>
      <c r="V32">
        <f>U32*(1+'Growth Rates'!U78)</f>
        <v>84170932804.41246</v>
      </c>
      <c r="W32">
        <f>V32*(1+'Growth Rates'!V78)</f>
        <v>85529065681.359238</v>
      </c>
      <c r="X32">
        <f>W32*(1+'Growth Rates'!W78)</f>
        <v>86595916657.87236</v>
      </c>
      <c r="Y32">
        <f>X32*(1+'Growth Rates'!X78)</f>
        <v>87521499353.4021</v>
      </c>
      <c r="Z32">
        <f>Y32*(1+'Growth Rates'!Y78)</f>
        <v>88444379179.472305</v>
      </c>
      <c r="AA32">
        <f>Z32*(1+'Growth Rates'!Z78)</f>
        <v>89505018910.658554</v>
      </c>
      <c r="AB32">
        <f>AA32*(1+'Growth Rates'!AA78)</f>
        <v>90606259486.034592</v>
      </c>
      <c r="AC32">
        <f>AB32*(1+'Growth Rates'!AB78)</f>
        <v>91679165865.218155</v>
      </c>
      <c r="AD32">
        <f>AC32*(1+'Growth Rates'!AC78)</f>
        <v>92586316015.081909</v>
      </c>
      <c r="AE32">
        <f>AD32*(1+'Growth Rates'!AD78)</f>
        <v>93391863193.189102</v>
      </c>
      <c r="AF32">
        <f>AE32*(1+'Growth Rates'!AE78)</f>
        <v>94627680023.239639</v>
      </c>
    </row>
    <row r="33" spans="2:32" x14ac:dyDescent="0.3">
      <c r="B33" s="1" t="s">
        <v>19</v>
      </c>
      <c r="C33">
        <v>147991528083.4277</v>
      </c>
      <c r="D33">
        <f>C33*(1+'Growth Rates'!C79)</f>
        <v>151694455687.38531</v>
      </c>
      <c r="E33">
        <f>D33*(1+'Growth Rates'!D79)</f>
        <v>155490035033.086</v>
      </c>
      <c r="F33">
        <f>E33*(1+'Growth Rates'!E79)</f>
        <v>159380584379.53082</v>
      </c>
      <c r="G33">
        <f>F33*(1+'Growth Rates'!F79)</f>
        <v>163368479991.37393</v>
      </c>
      <c r="H33">
        <f>G33*(1+'Growth Rates'!G79)</f>
        <v>167456157590.29453</v>
      </c>
      <c r="I33">
        <f>H33*(1+'Growth Rates'!H79)</f>
        <v>171646113842.68362</v>
      </c>
      <c r="J33">
        <f>I33*(1+'Growth Rates'!I79)</f>
        <v>175940907884.55484</v>
      </c>
      <c r="K33">
        <f>J33*(1+'Growth Rates'!J79)</f>
        <v>180343162884.61005</v>
      </c>
      <c r="L33">
        <f>K33*(1+'Growth Rates'!K79)</f>
        <v>184855567646.41495</v>
      </c>
      <c r="M33">
        <f>L33*(1+'Growth Rates'!L79)</f>
        <v>189480878250.66306</v>
      </c>
      <c r="N33">
        <f>M33*(1+'Growth Rates'!M79)</f>
        <v>194221919738.53104</v>
      </c>
      <c r="O33">
        <f>N33*(1+'Growth Rates'!N79)</f>
        <v>199081587837.15363</v>
      </c>
      <c r="P33">
        <f>O33*(1+'Growth Rates'!O79)</f>
        <v>204062850728.27216</v>
      </c>
      <c r="Q33">
        <f>P33*(1+'Growth Rates'!P79)</f>
        <v>209168750861.13669</v>
      </c>
      <c r="R33">
        <f>Q33*(1+'Growth Rates'!Q79)</f>
        <v>214402406810.76917</v>
      </c>
      <c r="S33">
        <f>R33*(1+'Growth Rates'!R79)</f>
        <v>219767015182.72266</v>
      </c>
      <c r="T33">
        <f>S33*(1+'Growth Rates'!S79)</f>
        <v>225265852565.49985</v>
      </c>
      <c r="U33">
        <f>T33*(1+'Growth Rates'!T79)</f>
        <v>230902277531.82358</v>
      </c>
      <c r="V33">
        <f>U33*(1+'Growth Rates'!U79)</f>
        <v>236679732689.98148</v>
      </c>
      <c r="W33">
        <f>V33*(1+'Growth Rates'!V79)</f>
        <v>242601746786.49771</v>
      </c>
      <c r="X33">
        <f>W33*(1+'Growth Rates'!W79)</f>
        <v>248671936861.41629</v>
      </c>
      <c r="Y33">
        <f>X33*(1+'Growth Rates'!X79)</f>
        <v>254894010457.51193</v>
      </c>
      <c r="Z33">
        <f>Y33*(1+'Growth Rates'!Y79)</f>
        <v>261271767884.77829</v>
      </c>
      <c r="AA33">
        <f>Z33*(1+'Growth Rates'!Z79)</f>
        <v>267809104541.57632</v>
      </c>
      <c r="AB33">
        <f>AA33*(1+'Growth Rates'!AA79)</f>
        <v>274510013293.86063</v>
      </c>
      <c r="AC33">
        <f>AB33*(1+'Growth Rates'!AB79)</f>
        <v>281378586913.93689</v>
      </c>
      <c r="AD33">
        <f>AC33*(1+'Growth Rates'!AC79)</f>
        <v>288419020580.23993</v>
      </c>
      <c r="AE33">
        <f>AD33*(1+'Growth Rates'!AD79)</f>
        <v>295635614439.65955</v>
      </c>
      <c r="AF33">
        <f>AE33*(1+'Growth Rates'!AE79)</f>
        <v>303032776233.97827</v>
      </c>
    </row>
    <row r="34" spans="2:32" x14ac:dyDescent="0.3">
      <c r="B34" s="1" t="s">
        <v>20</v>
      </c>
      <c r="C34">
        <v>48084965729.884354</v>
      </c>
      <c r="D34">
        <f>C34*(1+'Growth Rates'!C80)</f>
        <v>48854325181.562508</v>
      </c>
      <c r="E34">
        <f>D34*(1+'Growth Rates'!D80)</f>
        <v>49635994384.467506</v>
      </c>
      <c r="F34">
        <f>E34*(1+'Growth Rates'!E80)</f>
        <v>50430170294.618988</v>
      </c>
      <c r="G34">
        <f>F34*(1+'Growth Rates'!F80)</f>
        <v>51237053019.332893</v>
      </c>
      <c r="H34">
        <f>G34*(1+'Growth Rates'!G80)</f>
        <v>52056845867.64222</v>
      </c>
      <c r="I34">
        <f>H34*(1+'Growth Rates'!H80)</f>
        <v>52889755401.524498</v>
      </c>
      <c r="J34">
        <f>I34*(1+'Growth Rates'!I80)</f>
        <v>53735991487.948891</v>
      </c>
      <c r="K34">
        <f>J34*(1+'Growth Rates'!J80)</f>
        <v>54595767351.756073</v>
      </c>
      <c r="L34">
        <f>K34*(1+'Growth Rates'!K80)</f>
        <v>55469299629.384171</v>
      </c>
      <c r="M34">
        <f>L34*(1+'Growth Rates'!L80)</f>
        <v>56356808423.454315</v>
      </c>
      <c r="N34">
        <f>M34*(1+'Growth Rates'!M80)</f>
        <v>57258517358.229584</v>
      </c>
      <c r="O34">
        <f>N34*(1+'Growth Rates'!N80)</f>
        <v>58174653635.961258</v>
      </c>
      <c r="P34">
        <f>O34*(1+'Growth Rates'!O80)</f>
        <v>59105448094.136642</v>
      </c>
      <c r="Q34">
        <f>P34*(1+'Growth Rates'!P80)</f>
        <v>60051135263.64283</v>
      </c>
      <c r="R34">
        <f>Q34*(1+'Growth Rates'!Q80)</f>
        <v>61011953427.861115</v>
      </c>
      <c r="S34">
        <f>R34*(1+'Growth Rates'!R80)</f>
        <v>61988144682.706894</v>
      </c>
      <c r="T34">
        <f>S34*(1+'Growth Rates'!S80)</f>
        <v>62979954997.630203</v>
      </c>
      <c r="U34">
        <f>T34*(1+'Growth Rates'!T80)</f>
        <v>63987634277.592285</v>
      </c>
      <c r="V34">
        <f>U34*(1+'Growth Rates'!U80)</f>
        <v>65011436426.03376</v>
      </c>
      <c r="W34">
        <f>V34*(1+'Growth Rates'!V80)</f>
        <v>66051619408.850304</v>
      </c>
      <c r="X34">
        <f>W34*(1+'Growth Rates'!W80)</f>
        <v>67108445319.391907</v>
      </c>
      <c r="Y34">
        <f>X34*(1+'Growth Rates'!X80)</f>
        <v>68182180444.502182</v>
      </c>
      <c r="Z34">
        <f>Y34*(1+'Growth Rates'!Y80)</f>
        <v>69273095331.614212</v>
      </c>
      <c r="AA34">
        <f>Z34*(1+'Growth Rates'!Z80)</f>
        <v>70381464856.920044</v>
      </c>
      <c r="AB34">
        <f>AA34*(1+'Growth Rates'!AA80)</f>
        <v>71507568294.630768</v>
      </c>
      <c r="AC34">
        <f>AB34*(1+'Growth Rates'!AB80)</f>
        <v>72651689387.344864</v>
      </c>
      <c r="AD34">
        <f>AC34*(1+'Growth Rates'!AC80)</f>
        <v>73814116417.542389</v>
      </c>
      <c r="AE34">
        <f>AD34*(1+'Growth Rates'!AD80)</f>
        <v>74995142280.223068</v>
      </c>
      <c r="AF34">
        <f>AE34*(1+'Growth Rates'!AE80)</f>
        <v>76195064556.706635</v>
      </c>
    </row>
    <row r="35" spans="2:32" x14ac:dyDescent="0.3">
      <c r="B35" s="1" t="s">
        <v>21</v>
      </c>
      <c r="C35">
        <v>32694197664.705135</v>
      </c>
      <c r="D35">
        <f>C35*(1+'Growth Rates'!C81)</f>
        <v>33380775815.66394</v>
      </c>
      <c r="E35">
        <f>D35*(1+'Growth Rates'!D81)</f>
        <v>34081772107.792881</v>
      </c>
      <c r="F35">
        <f>E35*(1+'Growth Rates'!E81)</f>
        <v>34797489322.056526</v>
      </c>
      <c r="G35">
        <f>F35*(1+'Growth Rates'!F81)</f>
        <v>35528236597.81971</v>
      </c>
      <c r="H35">
        <f>G35*(1+'Growth Rates'!G81)</f>
        <v>36274329566.373917</v>
      </c>
      <c r="I35">
        <f>H35*(1+'Growth Rates'!H81)</f>
        <v>37036090487.267769</v>
      </c>
      <c r="J35">
        <f>I35*(1+'Growth Rates'!I81)</f>
        <v>37813848387.500389</v>
      </c>
      <c r="K35">
        <f>J35*(1+'Growth Rates'!J81)</f>
        <v>38607939203.637894</v>
      </c>
      <c r="L35">
        <f>K35*(1+'Growth Rates'!K81)</f>
        <v>39418705926.914284</v>
      </c>
      <c r="M35">
        <f>L35*(1+'Growth Rates'!L81)</f>
        <v>40246498751.379478</v>
      </c>
      <c r="N35">
        <f>M35*(1+'Growth Rates'!M81)</f>
        <v>41091675225.158447</v>
      </c>
      <c r="O35">
        <f>N35*(1+'Growth Rates'!N81)</f>
        <v>41954600404.886772</v>
      </c>
      <c r="P35">
        <f>O35*(1+'Growth Rates'!O81)</f>
        <v>42835647013.389389</v>
      </c>
      <c r="Q35">
        <f>P35*(1+'Growth Rates'!P81)</f>
        <v>43735195600.670563</v>
      </c>
      <c r="R35">
        <f>Q35*(1+'Growth Rates'!Q81)</f>
        <v>44653634708.284637</v>
      </c>
      <c r="S35">
        <f>R35*(1+'Growth Rates'!R81)</f>
        <v>45591361037.158607</v>
      </c>
      <c r="T35">
        <f>S35*(1+'Growth Rates'!S81)</f>
        <v>46548779618.938934</v>
      </c>
      <c r="U35">
        <f>T35*(1+'Growth Rates'!T81)</f>
        <v>47526303990.936646</v>
      </c>
      <c r="V35">
        <f>U35*(1+'Growth Rates'!U81)</f>
        <v>48524356374.746307</v>
      </c>
      <c r="W35">
        <f>V35*(1+'Growth Rates'!V81)</f>
        <v>49543367858.615974</v>
      </c>
      <c r="X35">
        <f>W35*(1+'Growth Rates'!W81)</f>
        <v>50583778583.646904</v>
      </c>
      <c r="Y35">
        <f>X35*(1+'Growth Rates'!X81)</f>
        <v>51646037933.903481</v>
      </c>
      <c r="Z35">
        <f>Y35*(1+'Growth Rates'!Y81)</f>
        <v>52730604730.51545</v>
      </c>
      <c r="AA35">
        <f>Z35*(1+'Growth Rates'!Z81)</f>
        <v>53837947429.85627</v>
      </c>
      <c r="AB35">
        <f>AA35*(1+'Growth Rates'!AA81)</f>
        <v>54968544325.883247</v>
      </c>
      <c r="AC35">
        <f>AB35*(1+'Growth Rates'!AB81)</f>
        <v>56122883756.726791</v>
      </c>
      <c r="AD35">
        <f>AC35*(1+'Growth Rates'!AC81)</f>
        <v>57301464315.61805</v>
      </c>
      <c r="AE35">
        <f>AD35*(1+'Growth Rates'!AD81)</f>
        <v>58504795066.246025</v>
      </c>
      <c r="AF35">
        <f>AE35*(1+'Growth Rates'!AE81)</f>
        <v>59733395762.637184</v>
      </c>
    </row>
    <row r="36" spans="2:32" x14ac:dyDescent="0.3">
      <c r="B36" s="1" t="s">
        <v>22</v>
      </c>
      <c r="C36">
        <v>21182339902.863483</v>
      </c>
      <c r="D36">
        <f>C36*(1+'Growth Rates'!C82)</f>
        <v>21741550793.69442</v>
      </c>
      <c r="E36">
        <f>D36*(1+'Growth Rates'!D82)</f>
        <v>22315524775.942921</v>
      </c>
      <c r="F36">
        <f>E36*(1+'Growth Rates'!E82)</f>
        <v>22904651593.213371</v>
      </c>
      <c r="G36">
        <f>F36*(1+'Growth Rates'!F82)</f>
        <v>23509331278.288277</v>
      </c>
      <c r="H36">
        <f>G36*(1+'Growth Rates'!G82)</f>
        <v>24129974424.761154</v>
      </c>
      <c r="I36">
        <f>H36*(1+'Growth Rates'!H82)</f>
        <v>24767002465.840519</v>
      </c>
      <c r="J36">
        <f>I36*(1+'Growth Rates'!I82)</f>
        <v>25420847960.51424</v>
      </c>
      <c r="K36">
        <f>J36*(1+'Growth Rates'!J82)</f>
        <v>26091954887.2686</v>
      </c>
      <c r="L36">
        <f>K36*(1+'Growth Rates'!K82)</f>
        <v>26780778945.561501</v>
      </c>
      <c r="M36">
        <f>L36*(1+'Growth Rates'!L82)</f>
        <v>27487787865.254517</v>
      </c>
      <c r="N36">
        <f>M36*(1+'Growth Rates'!M82)</f>
        <v>28213461724.213924</v>
      </c>
      <c r="O36">
        <f>N36*(1+'Growth Rates'!N82)</f>
        <v>28958293274.296329</v>
      </c>
      <c r="P36">
        <f>O36*(1+'Growth Rates'!O82)</f>
        <v>29722788275.9403</v>
      </c>
      <c r="Q36">
        <f>P36*(1+'Growth Rates'!P82)</f>
        <v>30507465841.591152</v>
      </c>
      <c r="R36">
        <f>Q36*(1+'Growth Rates'!Q82)</f>
        <v>31312858788.192123</v>
      </c>
      <c r="S36">
        <f>R36*(1+'Growth Rates'!R82)</f>
        <v>32139513998.981236</v>
      </c>
      <c r="T36">
        <f>S36*(1+'Growth Rates'!S82)</f>
        <v>32987992794.839573</v>
      </c>
      <c r="U36">
        <f>T36*(1+'Growth Rates'!T82)</f>
        <v>33858871315.443096</v>
      </c>
      <c r="V36">
        <f>U36*(1+'Growth Rates'!U82)</f>
        <v>34752740910.476807</v>
      </c>
      <c r="W36">
        <f>V36*(1+'Growth Rates'!V82)</f>
        <v>35670208541.17691</v>
      </c>
      <c r="X36">
        <f>W36*(1+'Growth Rates'!W82)</f>
        <v>36611897192.473656</v>
      </c>
      <c r="Y36">
        <f>X36*(1+'Growth Rates'!X82)</f>
        <v>37578446296.014671</v>
      </c>
      <c r="Z36">
        <f>Y36*(1+'Growth Rates'!Y82)</f>
        <v>38570512164.356064</v>
      </c>
      <c r="AA36">
        <f>Z36*(1+'Growth Rates'!Z82)</f>
        <v>39588768436.616112</v>
      </c>
      <c r="AB36">
        <f>AA36*(1+'Growth Rates'!AA82)</f>
        <v>40633906535.894135</v>
      </c>
      <c r="AC36">
        <f>AB36*(1+'Growth Rates'!AB82)</f>
        <v>41706636138.765182</v>
      </c>
      <c r="AD36">
        <f>AC36*(1+'Growth Rates'!AC82)</f>
        <v>42807685657.169319</v>
      </c>
      <c r="AE36">
        <f>AD36*(1+'Growth Rates'!AD82)</f>
        <v>43937802733.02269</v>
      </c>
      <c r="AF36">
        <f>AE36*(1+'Growth Rates'!AE82)</f>
        <v>45097754745.886292</v>
      </c>
    </row>
    <row r="37" spans="2:32" x14ac:dyDescent="0.3">
      <c r="B37" s="1" t="s">
        <v>23</v>
      </c>
      <c r="C37">
        <v>13129770204.512175</v>
      </c>
      <c r="D37">
        <f>C37*(1+'Growth Rates'!C83)</f>
        <v>13392365608.602419</v>
      </c>
      <c r="E37">
        <f>D37*(1+'Growth Rates'!D83)</f>
        <v>13660212920.774467</v>
      </c>
      <c r="F37">
        <f>E37*(1+'Growth Rates'!E83)</f>
        <v>13933417179.189957</v>
      </c>
      <c r="G37">
        <f>F37*(1+'Growth Rates'!F83)</f>
        <v>14212085522.773756</v>
      </c>
      <c r="H37">
        <f>G37*(1+'Growth Rates'!G83)</f>
        <v>14496327233.229231</v>
      </c>
      <c r="I37">
        <f>H37*(1+'Growth Rates'!H83)</f>
        <v>14786253777.893816</v>
      </c>
      <c r="J37">
        <f>I37*(1+'Growth Rates'!I83)</f>
        <v>15081978853.451693</v>
      </c>
      <c r="K37">
        <f>J37*(1+'Growth Rates'!J83)</f>
        <v>15383618430.520727</v>
      </c>
      <c r="L37">
        <f>K37*(1+'Growth Rates'!K83)</f>
        <v>15691290799.131142</v>
      </c>
      <c r="M37">
        <f>L37*(1+'Growth Rates'!L83)</f>
        <v>16005116615.113766</v>
      </c>
      <c r="N37">
        <f>M37*(1+'Growth Rates'!M83)</f>
        <v>16325218947.41604</v>
      </c>
      <c r="O37">
        <f>N37*(1+'Growth Rates'!N83)</f>
        <v>16651723326.364361</v>
      </c>
      <c r="P37">
        <f>O37*(1+'Growth Rates'!O83)</f>
        <v>16984757792.891649</v>
      </c>
      <c r="Q37">
        <f>P37*(1+'Growth Rates'!P83)</f>
        <v>17324452948.749481</v>
      </c>
      <c r="R37">
        <f>Q37*(1+'Growth Rates'!Q83)</f>
        <v>17670942007.724472</v>
      </c>
      <c r="S37">
        <f>R37*(1+'Growth Rates'!R83)</f>
        <v>18024360847.878963</v>
      </c>
      <c r="T37">
        <f>S37*(1+'Growth Rates'!S83)</f>
        <v>18384848064.836544</v>
      </c>
      <c r="U37">
        <f>T37*(1+'Growth Rates'!T83)</f>
        <v>18752545026.133274</v>
      </c>
      <c r="V37">
        <f>U37*(1+'Growth Rates'!U83)</f>
        <v>19127595926.655941</v>
      </c>
      <c r="W37">
        <f>V37*(1+'Growth Rates'!V83)</f>
        <v>19510147845.18906</v>
      </c>
      <c r="X37">
        <f>W37*(1+'Growth Rates'!W83)</f>
        <v>19900350802.092842</v>
      </c>
      <c r="Y37">
        <f>X37*(1+'Growth Rates'!X83)</f>
        <v>20298357818.134701</v>
      </c>
      <c r="Z37">
        <f>Y37*(1+'Growth Rates'!Y83)</f>
        <v>20704324974.497395</v>
      </c>
      <c r="AA37">
        <f>Z37*(1+'Growth Rates'!Z83)</f>
        <v>21118411473.987343</v>
      </c>
      <c r="AB37">
        <f>AA37*(1+'Growth Rates'!AA83)</f>
        <v>21540779703.467091</v>
      </c>
      <c r="AC37">
        <f>AB37*(1+'Growth Rates'!AB83)</f>
        <v>21971595297.536434</v>
      </c>
      <c r="AD37">
        <f>AC37*(1+'Growth Rates'!AC83)</f>
        <v>22411027203.487164</v>
      </c>
      <c r="AE37">
        <f>AD37*(1+'Growth Rates'!AD83)</f>
        <v>22859247747.556908</v>
      </c>
      <c r="AF37">
        <f>AE37*(1+'Growth Rates'!AE83)</f>
        <v>23316432702.508045</v>
      </c>
    </row>
    <row r="38" spans="2:32" x14ac:dyDescent="0.3">
      <c r="B38" s="1" t="s">
        <v>24</v>
      </c>
      <c r="C38">
        <v>25177442811.936127</v>
      </c>
      <c r="D38">
        <f>C38*(1+'Growth Rates'!C84)</f>
        <v>26116809760.305584</v>
      </c>
      <c r="E38">
        <f>D38*(1+'Growth Rates'!D84)</f>
        <v>27091224361.062939</v>
      </c>
      <c r="F38">
        <f>E38*(1+'Growth Rates'!E84)</f>
        <v>28101994237.326118</v>
      </c>
      <c r="G38">
        <f>F38*(1+'Growth Rates'!F84)</f>
        <v>29150475799.452763</v>
      </c>
      <c r="H38">
        <f>G38*(1+'Growth Rates'!G84)</f>
        <v>30238076065.285473</v>
      </c>
      <c r="I38">
        <f>H38*(1+'Growth Rates'!H84)</f>
        <v>31366254548.31015</v>
      </c>
      <c r="J38">
        <f>I38*(1+'Growth Rates'!I84)</f>
        <v>32536525216.261272</v>
      </c>
      <c r="K38">
        <f>J38*(1+'Growth Rates'!J84)</f>
        <v>33750458522.802456</v>
      </c>
      <c r="L38">
        <f>K38*(1+'Growth Rates'!K84)</f>
        <v>35009683515.008759</v>
      </c>
      <c r="M38">
        <f>L38*(1+'Growth Rates'!L84)</f>
        <v>36315890019.478828</v>
      </c>
      <c r="N38">
        <f>M38*(1+'Growth Rates'!M84)</f>
        <v>37670830910.010643</v>
      </c>
      <c r="O38">
        <f>N38*(1+'Growth Rates'!N84)</f>
        <v>39076324459.883881</v>
      </c>
      <c r="P38">
        <f>O38*(1+'Growth Rates'!O84)</f>
        <v>40534256781.905632</v>
      </c>
      <c r="Q38">
        <f>P38*(1+'Growth Rates'!P84)</f>
        <v>42046584359.493904</v>
      </c>
      <c r="R38">
        <f>Q38*(1+'Growth Rates'!Q84)</f>
        <v>43615336672.195488</v>
      </c>
      <c r="S38">
        <f>R38*(1+'Growth Rates'!R84)</f>
        <v>45242618919.161537</v>
      </c>
      <c r="T38">
        <f>S38*(1+'Growth Rates'!S84)</f>
        <v>46930614844.235664</v>
      </c>
      <c r="U38">
        <f>T38*(1+'Growth Rates'!T84)</f>
        <v>48681589666.445648</v>
      </c>
      <c r="V38">
        <f>U38*(1+'Growth Rates'!U84)</f>
        <v>50497893119.831451</v>
      </c>
      <c r="W38">
        <f>V38*(1+'Growth Rates'!V84)</f>
        <v>52381962606.688728</v>
      </c>
      <c r="X38">
        <f>W38*(1+'Growth Rates'!W84)</f>
        <v>54336326468.459496</v>
      </c>
      <c r="Y38">
        <f>X38*(1+'Growth Rates'!X84)</f>
        <v>56363607378.659218</v>
      </c>
      <c r="Z38">
        <f>Y38*(1+'Growth Rates'!Y84)</f>
        <v>58466525862.393578</v>
      </c>
      <c r="AA38">
        <f>Z38*(1+'Growth Rates'!Z84)</f>
        <v>60647903947.187927</v>
      </c>
      <c r="AB38">
        <f>AA38*(1+'Growth Rates'!AA84)</f>
        <v>62910668950.028694</v>
      </c>
      <c r="AC38">
        <f>AB38*(1+'Growth Rates'!AB84)</f>
        <v>65257857405.698753</v>
      </c>
      <c r="AD38">
        <f>AC38*(1+'Growth Rates'!AC84)</f>
        <v>67692619141.678497</v>
      </c>
      <c r="AE38">
        <f>AD38*(1+'Growth Rates'!AD84)</f>
        <v>70218221505.080887</v>
      </c>
      <c r="AF38">
        <f>AE38*(1+'Growth Rates'!AE84)</f>
        <v>72838053747.292862</v>
      </c>
    </row>
    <row r="39" spans="2:32" x14ac:dyDescent="0.3">
      <c r="B39" s="1" t="s">
        <v>25</v>
      </c>
      <c r="C39">
        <v>75716403900.143356</v>
      </c>
      <c r="D39">
        <f>C39*(1+'Growth Rates'!C85)</f>
        <v>76776433554.745361</v>
      </c>
      <c r="E39">
        <f>D39*(1+'Growth Rates'!D85)</f>
        <v>77851303624.511795</v>
      </c>
      <c r="F39">
        <f>E39*(1+'Growth Rates'!E85)</f>
        <v>78941221875.254959</v>
      </c>
      <c r="G39">
        <f>F39*(1+'Growth Rates'!F85)</f>
        <v>80046398981.50853</v>
      </c>
      <c r="H39">
        <f>G39*(1+'Growth Rates'!G85)</f>
        <v>81167048567.249649</v>
      </c>
      <c r="I39">
        <f>H39*(1+'Growth Rates'!H85)</f>
        <v>82303387247.191147</v>
      </c>
      <c r="J39">
        <f>I39*(1+'Growth Rates'!I85)</f>
        <v>83455634668.651825</v>
      </c>
      <c r="K39">
        <f>J39*(1+'Growth Rates'!J85)</f>
        <v>84624013554.012955</v>
      </c>
      <c r="L39">
        <f>K39*(1+'Growth Rates'!K85)</f>
        <v>85808749743.769135</v>
      </c>
      <c r="M39">
        <f>L39*(1+'Growth Rates'!L85)</f>
        <v>87010072240.1819</v>
      </c>
      <c r="N39">
        <f>M39*(1+'Growth Rates'!M85)</f>
        <v>88228213251.544449</v>
      </c>
      <c r="O39">
        <f>N39*(1+'Growth Rates'!N85)</f>
        <v>89463408237.066071</v>
      </c>
      <c r="P39">
        <f>O39*(1+'Growth Rates'!O85)</f>
        <v>90715895952.384995</v>
      </c>
      <c r="Q39">
        <f>P39*(1+'Growth Rates'!P85)</f>
        <v>91985918495.718384</v>
      </c>
      <c r="R39">
        <f>Q39*(1+'Growth Rates'!Q85)</f>
        <v>93273721354.658447</v>
      </c>
      <c r="S39">
        <f>R39*(1+'Growth Rates'!R85)</f>
        <v>94579553453.623672</v>
      </c>
      <c r="T39">
        <f>S39*(1+'Growth Rates'!S85)</f>
        <v>95903667201.974411</v>
      </c>
      <c r="U39">
        <f>T39*(1+'Growth Rates'!T85)</f>
        <v>97246318542.802048</v>
      </c>
      <c r="V39">
        <f>U39*(1+'Growth Rates'!U85)</f>
        <v>98607767002.401276</v>
      </c>
      <c r="W39">
        <f>V39*(1+'Growth Rates'!V85)</f>
        <v>99988275740.434891</v>
      </c>
      <c r="X39">
        <f>W39*(1+'Growth Rates'!W85)</f>
        <v>101388111600.80098</v>
      </c>
      <c r="Y39">
        <f>X39*(1+'Growth Rates'!X85)</f>
        <v>102807545163.21219</v>
      </c>
      <c r="Z39">
        <f>Y39*(1+'Growth Rates'!Y85)</f>
        <v>104246850795.49716</v>
      </c>
      <c r="AA39">
        <f>Z39*(1+'Growth Rates'!Z85)</f>
        <v>105706306706.63412</v>
      </c>
      <c r="AB39">
        <f>AA39*(1+'Growth Rates'!AA85)</f>
        <v>107186195000.52701</v>
      </c>
      <c r="AC39">
        <f>AB39*(1+'Growth Rates'!AB85)</f>
        <v>108686801730.53439</v>
      </c>
      <c r="AD39">
        <f>AC39*(1+'Growth Rates'!AC85)</f>
        <v>110208416954.76187</v>
      </c>
      <c r="AE39">
        <f>AD39*(1+'Growth Rates'!AD85)</f>
        <v>111751334792.12854</v>
      </c>
      <c r="AF39">
        <f>AE39*(1+'Growth Rates'!AE85)</f>
        <v>113315853479.21834</v>
      </c>
    </row>
    <row r="40" spans="2:32" x14ac:dyDescent="0.3">
      <c r="B40" s="1" t="s">
        <v>26</v>
      </c>
      <c r="C40">
        <v>104007782591.15726</v>
      </c>
      <c r="D40">
        <f>C40*(1+'Growth Rates'!C86)</f>
        <v>105983930460.38924</v>
      </c>
      <c r="E40">
        <f>D40*(1+'Growth Rates'!D86)</f>
        <v>107997625139.13663</v>
      </c>
      <c r="F40">
        <f>E40*(1+'Growth Rates'!E86)</f>
        <v>110049580016.78021</v>
      </c>
      <c r="G40">
        <f>F40*(1+'Growth Rates'!F86)</f>
        <v>112140522037.09903</v>
      </c>
      <c r="H40">
        <f>G40*(1+'Growth Rates'!G86)</f>
        <v>114271191955.80389</v>
      </c>
      <c r="I40">
        <f>H40*(1+'Growth Rates'!H86)</f>
        <v>116442344602.96416</v>
      </c>
      <c r="J40">
        <f>I40*(1+'Growth Rates'!I86)</f>
        <v>118654749150.42047</v>
      </c>
      <c r="K40">
        <f>J40*(1+'Growth Rates'!J86)</f>
        <v>120909189384.27844</v>
      </c>
      <c r="L40">
        <f>K40*(1+'Growth Rates'!K86)</f>
        <v>123206463982.57973</v>
      </c>
      <c r="M40">
        <f>L40*(1+'Growth Rates'!L86)</f>
        <v>125547386798.24873</v>
      </c>
      <c r="N40">
        <f>M40*(1+'Growth Rates'!M86)</f>
        <v>127932787147.41545</v>
      </c>
      <c r="O40">
        <f>N40*(1+'Growth Rates'!N86)</f>
        <v>130363510103.21634</v>
      </c>
      <c r="P40">
        <f>O40*(1+'Growth Rates'!O86)</f>
        <v>132840416795.17744</v>
      </c>
      <c r="Q40">
        <f>P40*(1+'Growth Rates'!P86)</f>
        <v>135364384714.2858</v>
      </c>
      <c r="R40">
        <f>Q40*(1+'Growth Rates'!Q86)</f>
        <v>137936308023.85721</v>
      </c>
      <c r="S40">
        <f>R40*(1+'Growth Rates'!R86)</f>
        <v>140557097876.31049</v>
      </c>
      <c r="T40">
        <f>S40*(1+'Growth Rates'!S86)</f>
        <v>143227682735.96036</v>
      </c>
      <c r="U40">
        <f>T40*(1+'Growth Rates'!T86)</f>
        <v>145949008707.9436</v>
      </c>
      <c r="V40">
        <f>U40*(1+'Growth Rates'!U86)</f>
        <v>148722039873.39453</v>
      </c>
      <c r="W40">
        <f>V40*(1+'Growth Rates'!V86)</f>
        <v>151547758630.98901</v>
      </c>
      <c r="X40">
        <f>W40*(1+'Growth Rates'!W86)</f>
        <v>154427166044.97778</v>
      </c>
      <c r="Y40">
        <f>X40*(1+'Growth Rates'!X86)</f>
        <v>157361282199.83234</v>
      </c>
      <c r="Z40">
        <f>Y40*(1+'Growth Rates'!Y86)</f>
        <v>160351146561.62915</v>
      </c>
      <c r="AA40">
        <f>Z40*(1+'Growth Rates'!Z86)</f>
        <v>163397818346.30008</v>
      </c>
      <c r="AB40">
        <f>AA40*(1+'Growth Rates'!AA86)</f>
        <v>166502376894.87976</v>
      </c>
      <c r="AC40">
        <f>AB40*(1+'Growth Rates'!AB86)</f>
        <v>169665922055.88245</v>
      </c>
      <c r="AD40">
        <f>AC40*(1+'Growth Rates'!AC86)</f>
        <v>172889574574.94418</v>
      </c>
      <c r="AE40">
        <f>AD40*(1+'Growth Rates'!AD86)</f>
        <v>176174476491.8681</v>
      </c>
      <c r="AF40">
        <f>AE40*(1+'Growth Rates'!AE86)</f>
        <v>179521791545.21359</v>
      </c>
    </row>
    <row r="41" spans="2:32" x14ac:dyDescent="0.3">
      <c r="B41" s="1" t="s">
        <v>27</v>
      </c>
      <c r="C41">
        <v>95146131906.994019</v>
      </c>
      <c r="D41">
        <f>C41*(1+'Growth Rates'!C87)</f>
        <v>97291997979.037216</v>
      </c>
      <c r="E41">
        <f>D41*(1+'Growth Rates'!D87)</f>
        <v>99486260566.071136</v>
      </c>
      <c r="F41">
        <f>E41*(1+'Growth Rates'!E87)</f>
        <v>101730011172.68396</v>
      </c>
      <c r="G41">
        <f>F41*(1+'Growth Rates'!F87)</f>
        <v>104024365920.57246</v>
      </c>
      <c r="H41">
        <f>G41*(1+'Growth Rates'!G87)</f>
        <v>106370466103.74086</v>
      </c>
      <c r="I41">
        <f>H41*(1+'Growth Rates'!H87)</f>
        <v>108769478756.22116</v>
      </c>
      <c r="J41">
        <f>I41*(1+'Growth Rates'!I87)</f>
        <v>111222597232.59761</v>
      </c>
      <c r="K41">
        <f>J41*(1+'Growth Rates'!J87)</f>
        <v>113731041801.62389</v>
      </c>
      <c r="L41">
        <f>K41*(1+'Growth Rates'!K87)</f>
        <v>116296060253.22835</v>
      </c>
      <c r="M41">
        <f>L41*(1+'Growth Rates'!L87)</f>
        <v>118918928519.20932</v>
      </c>
      <c r="N41">
        <f>M41*(1+'Growth Rates'!M87)</f>
        <v>121600951307.92915</v>
      </c>
      <c r="O41">
        <f>N41*(1+'Growth Rates'!N87)</f>
        <v>124343462753.32277</v>
      </c>
      <c r="P41">
        <f>O41*(1+'Growth Rates'!O87)</f>
        <v>127147827078.54353</v>
      </c>
      <c r="Q41">
        <f>P41*(1+'Growth Rates'!P87)</f>
        <v>130015439274.57655</v>
      </c>
      <c r="R41">
        <f>Q41*(1+'Growth Rates'!Q87)</f>
        <v>132947725794.15706</v>
      </c>
      <c r="S41">
        <f>R41*(1+'Growth Rates'!R87)</f>
        <v>135946145261.33891</v>
      </c>
      <c r="T41">
        <f>S41*(1+'Growth Rates'!S87)</f>
        <v>139012189197.06638</v>
      </c>
      <c r="U41">
        <f>T41*(1+'Growth Rates'!T87)</f>
        <v>142147382761.1098</v>
      </c>
      <c r="V41">
        <f>U41*(1+'Growth Rates'!U87)</f>
        <v>145353285510.73468</v>
      </c>
      <c r="W41">
        <f>V41*(1+'Growth Rates'!V87)</f>
        <v>148631492176.48108</v>
      </c>
      <c r="X41">
        <f>W41*(1+'Growth Rates'!W87)</f>
        <v>151983633455.43958</v>
      </c>
      <c r="Y41">
        <f>X41*(1+'Growth Rates'!X87)</f>
        <v>155411376822.41824</v>
      </c>
      <c r="Z41">
        <f>Y41*(1+'Growth Rates'!Y87)</f>
        <v>158916427359.40421</v>
      </c>
      <c r="AA41">
        <f>Z41*(1+'Growth Rates'!Z87)</f>
        <v>162500528603.7323</v>
      </c>
      <c r="AB41">
        <f>AA41*(1+'Growth Rates'!AA87)</f>
        <v>166165463415.38281</v>
      </c>
      <c r="AC41">
        <f>AB41*(1+'Growth Rates'!AB87)</f>
        <v>169913054863.83972</v>
      </c>
      <c r="AD41">
        <f>AC41*(1+'Growth Rates'!AC87)</f>
        <v>173745167134.95062</v>
      </c>
      <c r="AE41">
        <f>AD41*(1+'Growth Rates'!AD87)</f>
        <v>177663706458.23929</v>
      </c>
      <c r="AF41">
        <f>AE41*(1+'Growth Rates'!AE87)</f>
        <v>181670622055.13232</v>
      </c>
    </row>
    <row r="42" spans="2:32" x14ac:dyDescent="0.3">
      <c r="B42" s="1" t="s">
        <v>28</v>
      </c>
      <c r="C42">
        <v>93032981629.837997</v>
      </c>
      <c r="D42">
        <f>C42*(1+'Growth Rates'!C88)</f>
        <v>93735179985.545166</v>
      </c>
      <c r="E42">
        <f>D42*(1+'Growth Rates'!D88)</f>
        <v>94442678424.320938</v>
      </c>
      <c r="F42">
        <f>E42*(1+'Growth Rates'!E88)</f>
        <v>95155516950.361145</v>
      </c>
      <c r="G42">
        <f>F42*(1+'Growth Rates'!F88)</f>
        <v>95873735869.807007</v>
      </c>
      <c r="H42">
        <f>G42*(1+'Growth Rates'!G88)</f>
        <v>96597375793.0242</v>
      </c>
      <c r="I42">
        <f>H42*(1+'Growth Rates'!H88)</f>
        <v>97326477636.899048</v>
      </c>
      <c r="J42">
        <f>I42*(1+'Growth Rates'!I88)</f>
        <v>98061082627.152115</v>
      </c>
      <c r="K42">
        <f>J42*(1+'Growth Rates'!J88)</f>
        <v>98801232300.669266</v>
      </c>
      <c r="L42">
        <f>K42*(1+'Growth Rates'!K88)</f>
        <v>99546968507.850235</v>
      </c>
      <c r="M42">
        <f>L42*(1+'Growth Rates'!L88)</f>
        <v>100298333414.97502</v>
      </c>
      <c r="N42">
        <f>M42*(1+'Growth Rates'!M88)</f>
        <v>101055369506.5881</v>
      </c>
      <c r="O42">
        <f>N42*(1+'Growth Rates'!N88)</f>
        <v>101818119587.90063</v>
      </c>
      <c r="P42">
        <f>O42*(1+'Growth Rates'!O88)</f>
        <v>102586626787.21078</v>
      </c>
      <c r="Q42">
        <f>P42*(1+'Growth Rates'!P88)</f>
        <v>103360934558.34236</v>
      </c>
      <c r="R42">
        <f>Q42*(1+'Growth Rates'!Q88)</f>
        <v>104141086683.10181</v>
      </c>
      <c r="S42">
        <f>R42*(1+'Growth Rates'!R88)</f>
        <v>104927127273.75378</v>
      </c>
      <c r="T42">
        <f>S42*(1+'Growth Rates'!S88)</f>
        <v>105719100775.5154</v>
      </c>
      <c r="U42">
        <f>T42*(1+'Growth Rates'!T88)</f>
        <v>106517051969.06929</v>
      </c>
      <c r="V42">
        <f>U42*(1+'Growth Rates'!U88)</f>
        <v>107321025973.09569</v>
      </c>
      <c r="W42">
        <f>V42*(1+'Growth Rates'!V88)</f>
        <v>108131068246.82353</v>
      </c>
      <c r="X42">
        <f>W42*(1+'Growth Rates'!W88)</f>
        <v>108947224592.60088</v>
      </c>
      <c r="Y42">
        <f>X42*(1+'Growth Rates'!X88)</f>
        <v>109769541158.48473</v>
      </c>
      <c r="Z42">
        <f>Y42*(1+'Growth Rates'!Y88)</f>
        <v>110598064440.85039</v>
      </c>
      <c r="AA42">
        <f>Z42*(1+'Growth Rates'!Z88)</f>
        <v>111432841287.02052</v>
      </c>
      <c r="AB42">
        <f>AA42*(1+'Growth Rates'!AA88)</f>
        <v>112273918897.91403</v>
      </c>
      <c r="AC42">
        <f>AB42*(1+'Growth Rates'!AB88)</f>
        <v>113121344830.71494</v>
      </c>
      <c r="AD42">
        <f>AC42*(1+'Growth Rates'!AC88)</f>
        <v>113975167001.56145</v>
      </c>
      <c r="AE42">
        <f>AD42*(1+'Growth Rates'!AD88)</f>
        <v>114835433688.25525</v>
      </c>
      <c r="AF42">
        <f>AE42*(1+'Growth Rates'!AE88)</f>
        <v>115702193532.99132</v>
      </c>
    </row>
    <row r="43" spans="2:32" x14ac:dyDescent="0.3">
      <c r="B43" s="1" t="s">
        <v>29</v>
      </c>
      <c r="C43">
        <v>66938443805.71151</v>
      </c>
      <c r="D43">
        <f>C43*(1+'Growth Rates'!C89)</f>
        <v>68076397350.4086</v>
      </c>
      <c r="E43">
        <f>D43*(1+'Growth Rates'!D89)</f>
        <v>69233696105.36554</v>
      </c>
      <c r="F43">
        <f>E43*(1+'Growth Rates'!E89)</f>
        <v>70410668939.156754</v>
      </c>
      <c r="G43">
        <f>F43*(1+'Growth Rates'!F89)</f>
        <v>71607650311.122406</v>
      </c>
      <c r="H43">
        <f>G43*(1+'Growth Rates'!G89)</f>
        <v>72824980366.411484</v>
      </c>
      <c r="I43">
        <f>H43*(1+'Growth Rates'!H89)</f>
        <v>74063005032.640472</v>
      </c>
      <c r="J43">
        <f>I43*(1+'Growth Rates'!I89)</f>
        <v>75322076118.195358</v>
      </c>
      <c r="K43">
        <f>J43*(1+'Growth Rates'!J89)</f>
        <v>76602551412.204666</v>
      </c>
      <c r="L43">
        <f>K43*(1+'Growth Rates'!K89)</f>
        <v>77904794786.212143</v>
      </c>
      <c r="M43">
        <f>L43*(1+'Growth Rates'!L89)</f>
        <v>79229176297.577744</v>
      </c>
      <c r="N43">
        <f>M43*(1+'Growth Rates'!M89)</f>
        <v>80576072294.636551</v>
      </c>
      <c r="O43">
        <f>N43*(1+'Growth Rates'!N89)</f>
        <v>81945865523.64537</v>
      </c>
      <c r="P43">
        <f>O43*(1+'Growth Rates'!O89)</f>
        <v>83338945237.547333</v>
      </c>
      <c r="Q43">
        <f>P43*(1+'Growth Rates'!P89)</f>
        <v>84755707306.585632</v>
      </c>
      <c r="R43">
        <f>Q43*(1+'Growth Rates'!Q89)</f>
        <v>86196554330.797577</v>
      </c>
      <c r="S43">
        <f>R43*(1+'Growth Rates'!R89)</f>
        <v>87661895754.421127</v>
      </c>
      <c r="T43">
        <f>S43*(1+'Growth Rates'!S89)</f>
        <v>89152147982.246277</v>
      </c>
      <c r="U43">
        <f>T43*(1+'Growth Rates'!T89)</f>
        <v>90667734497.944458</v>
      </c>
      <c r="V43">
        <f>U43*(1+'Growth Rates'!U89)</f>
        <v>92209085984.4095</v>
      </c>
      <c r="W43">
        <f>V43*(1+'Growth Rates'!V89)</f>
        <v>93776640446.144455</v>
      </c>
      <c r="X43">
        <f>W43*(1+'Growth Rates'!W89)</f>
        <v>95370843333.728897</v>
      </c>
      <c r="Y43">
        <f>X43*(1+'Growth Rates'!X89)</f>
        <v>96992147670.402283</v>
      </c>
      <c r="Z43">
        <f>Y43*(1+'Growth Rates'!Y89)</f>
        <v>98641014180.799118</v>
      </c>
      <c r="AA43">
        <f>Z43*(1+'Growth Rates'!Z89)</f>
        <v>100317911421.8727</v>
      </c>
      <c r="AB43">
        <f>AA43*(1+'Growth Rates'!AA89)</f>
        <v>102023315916.04453</v>
      </c>
      <c r="AC43">
        <f>AB43*(1+'Growth Rates'!AB89)</f>
        <v>103757712286.61728</v>
      </c>
      <c r="AD43">
        <f>AC43*(1+'Growth Rates'!AC89)</f>
        <v>105521593395.48976</v>
      </c>
      <c r="AE43">
        <f>AD43*(1+'Growth Rates'!AD89)</f>
        <v>107315460483.21307</v>
      </c>
      <c r="AF43">
        <f>AE43*(1+'Growth Rates'!AE89)</f>
        <v>109139823311.42769</v>
      </c>
    </row>
    <row r="44" spans="2:32" x14ac:dyDescent="0.3">
      <c r="B44" s="1" t="s">
        <v>30</v>
      </c>
      <c r="C44">
        <v>65010308761.219582</v>
      </c>
      <c r="D44">
        <f>C44*(1+'Growth Rates'!C90)</f>
        <v>66895607715.294945</v>
      </c>
      <c r="E44">
        <f>D44*(1+'Growth Rates'!D90)</f>
        <v>68835580339.038498</v>
      </c>
      <c r="F44">
        <f>E44*(1+'Growth Rates'!E90)</f>
        <v>70831812168.870605</v>
      </c>
      <c r="G44">
        <f>F44*(1+'Growth Rates'!F90)</f>
        <v>72885934721.767853</v>
      </c>
      <c r="H44">
        <f>G44*(1+'Growth Rates'!G90)</f>
        <v>74999626828.699112</v>
      </c>
      <c r="I44">
        <f>H44*(1+'Growth Rates'!H90)</f>
        <v>77174616006.731384</v>
      </c>
      <c r="J44">
        <f>I44*(1+'Growth Rates'!I90)</f>
        <v>79412679870.92659</v>
      </c>
      <c r="K44">
        <f>J44*(1+'Growth Rates'!J90)</f>
        <v>81715647587.183456</v>
      </c>
      <c r="L44">
        <f>K44*(1+'Growth Rates'!K90)</f>
        <v>84085401367.211777</v>
      </c>
      <c r="M44">
        <f>L44*(1+'Growth Rates'!L90)</f>
        <v>86523878006.860916</v>
      </c>
      <c r="N44">
        <f>M44*(1+'Growth Rates'!M90)</f>
        <v>89033070469.059875</v>
      </c>
      <c r="O44">
        <f>N44*(1+'Growth Rates'!N90)</f>
        <v>91615029512.662598</v>
      </c>
      <c r="P44">
        <f>O44*(1+'Growth Rates'!O90)</f>
        <v>94271865368.5298</v>
      </c>
      <c r="Q44">
        <f>P44*(1+'Growth Rates'!P90)</f>
        <v>97005749464.217163</v>
      </c>
      <c r="R44">
        <f>Q44*(1+'Growth Rates'!Q90)</f>
        <v>99818916198.679459</v>
      </c>
      <c r="S44">
        <f>R44*(1+'Growth Rates'!R90)</f>
        <v>102713664768.44115</v>
      </c>
      <c r="T44">
        <f>S44*(1+'Growth Rates'!S90)</f>
        <v>105692361046.72594</v>
      </c>
      <c r="U44">
        <f>T44*(1+'Growth Rates'!T90)</f>
        <v>108757439517.08098</v>
      </c>
      <c r="V44">
        <f>U44*(1+'Growth Rates'!U90)</f>
        <v>111911405263.07632</v>
      </c>
      <c r="W44">
        <f>V44*(1+'Growth Rates'!V90)</f>
        <v>115156836015.70554</v>
      </c>
      <c r="X44">
        <f>W44*(1+'Growth Rates'!W90)</f>
        <v>118496384260.16098</v>
      </c>
      <c r="Y44">
        <f>X44*(1+'Growth Rates'!X90)</f>
        <v>121932779403.70564</v>
      </c>
      <c r="Z44">
        <f>Y44*(1+'Growth Rates'!Y90)</f>
        <v>125468830006.4131</v>
      </c>
      <c r="AA44">
        <f>Z44*(1+'Growth Rates'!Z90)</f>
        <v>129107426076.59908</v>
      </c>
      <c r="AB44">
        <f>AA44*(1+'Growth Rates'!AA90)</f>
        <v>132851541432.82043</v>
      </c>
      <c r="AC44">
        <f>AB44*(1+'Growth Rates'!AB90)</f>
        <v>136704236134.37222</v>
      </c>
      <c r="AD44">
        <f>AC44*(1+'Growth Rates'!AC90)</f>
        <v>140668658982.26901</v>
      </c>
      <c r="AE44">
        <f>AD44*(1+'Growth Rates'!AD90)</f>
        <v>144748050092.75479</v>
      </c>
      <c r="AF44">
        <f>AE44*(1+'Growth Rates'!AE90)</f>
        <v>148945743545.44467</v>
      </c>
    </row>
    <row r="45" spans="2:32" x14ac:dyDescent="0.3">
      <c r="B45" s="1" t="s">
        <v>31</v>
      </c>
      <c r="C45">
        <v>30090833728.382355</v>
      </c>
      <c r="D45">
        <f>C45*(1+'Growth Rates'!C91)</f>
        <v>30752832070.406769</v>
      </c>
      <c r="E45">
        <f>D45*(1+'Growth Rates'!D91)</f>
        <v>31429394375.955719</v>
      </c>
      <c r="F45">
        <f>E45*(1+'Growth Rates'!E91)</f>
        <v>32120841052.226746</v>
      </c>
      <c r="G45">
        <f>F45*(1+'Growth Rates'!F91)</f>
        <v>32827499555.375736</v>
      </c>
      <c r="H45">
        <f>G45*(1+'Growth Rates'!G91)</f>
        <v>33549704545.594002</v>
      </c>
      <c r="I45">
        <f>H45*(1+'Growth Rates'!H91)</f>
        <v>34287798045.597069</v>
      </c>
      <c r="J45">
        <f>I45*(1+'Growth Rates'!I91)</f>
        <v>35042129602.600204</v>
      </c>
      <c r="K45">
        <f>J45*(1+'Growth Rates'!J91)</f>
        <v>35813056453.857407</v>
      </c>
      <c r="L45">
        <f>K45*(1+'Growth Rates'!K91)</f>
        <v>36600943695.84227</v>
      </c>
      <c r="M45">
        <f>L45*(1+'Growth Rates'!L91)</f>
        <v>37406164457.150803</v>
      </c>
      <c r="N45">
        <f>M45*(1+'Growth Rates'!M91)</f>
        <v>38229100075.208122</v>
      </c>
      <c r="O45">
        <f>N45*(1+'Growth Rates'!N91)</f>
        <v>39070140276.862701</v>
      </c>
      <c r="P45">
        <f>O45*(1+'Growth Rates'!O91)</f>
        <v>39929683362.953682</v>
      </c>
      <c r="Q45">
        <f>P45*(1+'Growth Rates'!P91)</f>
        <v>40808136396.938667</v>
      </c>
      <c r="R45">
        <f>Q45*(1+'Growth Rates'!Q91)</f>
        <v>41705915397.671318</v>
      </c>
      <c r="S45">
        <f>R45*(1+'Growth Rates'!R91)</f>
        <v>42623445536.42009</v>
      </c>
      <c r="T45">
        <f>S45*(1+'Growth Rates'!S91)</f>
        <v>43561161338.221329</v>
      </c>
      <c r="U45">
        <f>T45*(1+'Growth Rates'!T91)</f>
        <v>44519506887.662201</v>
      </c>
      <c r="V45">
        <f>U45*(1+'Growth Rates'!U91)</f>
        <v>45498936039.190773</v>
      </c>
      <c r="W45">
        <f>V45*(1+'Growth Rates'!V91)</f>
        <v>46499912632.052971</v>
      </c>
      <c r="X45">
        <f>W45*(1+'Growth Rates'!W91)</f>
        <v>47522910709.958138</v>
      </c>
      <c r="Y45">
        <f>X45*(1+'Growth Rates'!X91)</f>
        <v>48568414745.577217</v>
      </c>
      <c r="Z45">
        <f>Y45*(1+'Growth Rates'!Y91)</f>
        <v>49636919869.979919</v>
      </c>
      <c r="AA45">
        <f>Z45*(1+'Growth Rates'!Z91)</f>
        <v>50728932107.119476</v>
      </c>
      <c r="AB45">
        <f>AA45*(1+'Growth Rates'!AA91)</f>
        <v>51844968613.476105</v>
      </c>
      <c r="AC45">
        <f>AB45*(1+'Growth Rates'!AB91)</f>
        <v>52985557922.97258</v>
      </c>
      <c r="AD45">
        <f>AC45*(1+'Growth Rates'!AC91)</f>
        <v>54151240197.277977</v>
      </c>
      <c r="AE45">
        <f>AD45*(1+'Growth Rates'!AD91)</f>
        <v>55342567481.618095</v>
      </c>
      <c r="AF45">
        <f>AE45*(1+'Growth Rates'!AE91)</f>
        <v>56560103966.213692</v>
      </c>
    </row>
    <row r="46" spans="2:32" x14ac:dyDescent="0.3">
      <c r="B46" s="1" t="s">
        <v>32</v>
      </c>
      <c r="C46">
        <v>1630509414.2057333</v>
      </c>
      <c r="D46">
        <f>C46*(1+'Growth Rates'!C92)</f>
        <v>1658228074.2472305</v>
      </c>
      <c r="E46">
        <f>D46*(1+'Growth Rates'!D92)</f>
        <v>1686417951.5094333</v>
      </c>
      <c r="F46">
        <f>E46*(1+'Growth Rates'!E92)</f>
        <v>1715087056.6850934</v>
      </c>
      <c r="G46">
        <f>F46*(1+'Growth Rates'!F92)</f>
        <v>1744243536.6487398</v>
      </c>
      <c r="H46">
        <f>G46*(1+'Growth Rates'!G92)</f>
        <v>1773895676.7717683</v>
      </c>
      <c r="I46">
        <f>H46*(1+'Growth Rates'!H92)</f>
        <v>1804051903.2768881</v>
      </c>
      <c r="J46">
        <f>I46*(1+'Growth Rates'!I92)</f>
        <v>1834720785.6325951</v>
      </c>
      <c r="K46">
        <f>J46*(1+'Growth Rates'!J92)</f>
        <v>1865911038.988349</v>
      </c>
      <c r="L46">
        <f>K46*(1+'Growth Rates'!K92)</f>
        <v>1897631526.6511507</v>
      </c>
      <c r="M46">
        <f>L46*(1+'Growth Rates'!L92)</f>
        <v>1929891262.6042202</v>
      </c>
      <c r="N46">
        <f>M46*(1+'Growth Rates'!M92)</f>
        <v>1962699414.0684917</v>
      </c>
      <c r="O46">
        <f>N46*(1+'Growth Rates'!N92)</f>
        <v>1996065304.1076558</v>
      </c>
      <c r="P46">
        <f>O46*(1+'Growth Rates'!O92)</f>
        <v>2029998414.2774856</v>
      </c>
      <c r="Q46">
        <f>P46*(1+'Growth Rates'!P92)</f>
        <v>2064508387.3202026</v>
      </c>
      <c r="R46">
        <f>Q46*(1+'Growth Rates'!Q92)</f>
        <v>2099605029.9046459</v>
      </c>
      <c r="S46">
        <f>R46*(1+'Growth Rates'!R92)</f>
        <v>2135298315.4130247</v>
      </c>
      <c r="T46">
        <f>S46*(1+'Growth Rates'!S92)</f>
        <v>2171598386.7750459</v>
      </c>
      <c r="U46">
        <f>T46*(1+'Growth Rates'!T92)</f>
        <v>2208515559.3502216</v>
      </c>
      <c r="V46">
        <f>U46*(1+'Growth Rates'!U92)</f>
        <v>2246060323.8591752</v>
      </c>
      <c r="W46">
        <f>V46*(1+'Growth Rates'!V92)</f>
        <v>2284243349.3647809</v>
      </c>
      <c r="X46">
        <f>W46*(1+'Growth Rates'!W92)</f>
        <v>2323075486.3039818</v>
      </c>
      <c r="Y46">
        <f>X46*(1+'Growth Rates'!X92)</f>
        <v>2362567769.5711493</v>
      </c>
      <c r="Z46">
        <f>Y46*(1+'Growth Rates'!Y92)</f>
        <v>2402731421.6538587</v>
      </c>
      <c r="AA46">
        <f>Z46*(1+'Growth Rates'!Z92)</f>
        <v>2443577855.8219738</v>
      </c>
      <c r="AB46">
        <f>AA46*(1+'Growth Rates'!AA92)</f>
        <v>2485118679.3709469</v>
      </c>
      <c r="AC46">
        <f>AB46*(1+'Growth Rates'!AB92)</f>
        <v>2527365696.9202528</v>
      </c>
      <c r="AD46">
        <f>AC46*(1+'Growth Rates'!AC92)</f>
        <v>2570330913.7678967</v>
      </c>
      <c r="AE46">
        <f>AD46*(1+'Growth Rates'!AD92)</f>
        <v>2614026539.3019505</v>
      </c>
      <c r="AF46">
        <f>AE46*(1+'Growth Rates'!AE92)</f>
        <v>2658464990.4700832</v>
      </c>
    </row>
    <row r="48" spans="2:32" x14ac:dyDescent="0.3">
      <c r="B48" s="1" t="s">
        <v>1335</v>
      </c>
      <c r="C48">
        <f>INDEX('GDP Forecast'!$B:$B,MATCH('Rescale to Fit GDP Proj'!C4,'GDP Forecast'!$A:$A,0))</f>
        <v>1643410241299.9807</v>
      </c>
      <c r="D48">
        <f>INDEX('GDP Forecast'!$B:$B,MATCH('Rescale to Fit GDP Proj'!D4,'GDP Forecast'!$A:$A,0))</f>
        <v>1686347163672.8076</v>
      </c>
      <c r="E48">
        <f>INDEX('GDP Forecast'!$B:$B,MATCH('Rescale to Fit GDP Proj'!E4,'GDP Forecast'!$A:$A,0))</f>
        <v>1709226396236.6152</v>
      </c>
      <c r="F48">
        <f>INDEX('GDP Forecast'!$B:$B,MATCH('Rescale to Fit GDP Proj'!F4,'GDP Forecast'!$A:$A,0))</f>
        <v>1747778407582.6704</v>
      </c>
      <c r="G48">
        <f>INDEX('GDP Forecast'!$B:$B,MATCH('Rescale to Fit GDP Proj'!G4,'GDP Forecast'!$A:$A,0))</f>
        <v>1785060161438.2739</v>
      </c>
      <c r="H48">
        <f>INDEX('GDP Forecast'!$B:$B,MATCH('Rescale to Fit GDP Proj'!H4,'GDP Forecast'!$A:$A,0))</f>
        <v>1826861359591.96</v>
      </c>
      <c r="I48">
        <f>INDEX('GDP Forecast'!$B:$B,MATCH('Rescale to Fit GDP Proj'!I4,'GDP Forecast'!$A:$A,0))</f>
        <v>1865700311522.4475</v>
      </c>
      <c r="J48">
        <f>INDEX('GDP Forecast'!$B:$B,MATCH('Rescale to Fit GDP Proj'!J4,'GDP Forecast'!$A:$A,0))</f>
        <v>1900613874437.7427</v>
      </c>
      <c r="K48">
        <f>INDEX('GDP Forecast'!$B:$B,MATCH('Rescale to Fit GDP Proj'!K4,'GDP Forecast'!$A:$A,0))</f>
        <v>1932921037799.2646</v>
      </c>
      <c r="L48">
        <f>INDEX('GDP Forecast'!$B:$B,MATCH('Rescale to Fit GDP Proj'!L4,'GDP Forecast'!$A:$A,0))</f>
        <v>1964065639736.8296</v>
      </c>
      <c r="M48">
        <f>INDEX('GDP Forecast'!$B:$B,MATCH('Rescale to Fit GDP Proj'!M4,'GDP Forecast'!$A:$A,0))</f>
        <v>1994773271335.0046</v>
      </c>
      <c r="N48">
        <f>INDEX('GDP Forecast'!$B:$B,MATCH('Rescale to Fit GDP Proj'!N4,'GDP Forecast'!$A:$A,0))</f>
        <v>2025148217952.0977</v>
      </c>
      <c r="O48">
        <f>INDEX('GDP Forecast'!$B:$B,MATCH('Rescale to Fit GDP Proj'!O4,'GDP Forecast'!$A:$A,0))</f>
        <v>2055106757539.8899</v>
      </c>
      <c r="P48">
        <f>INDEX('GDP Forecast'!$B:$B,MATCH('Rescale to Fit GDP Proj'!P4,'GDP Forecast'!$A:$A,0))</f>
        <v>2084459413883.9897</v>
      </c>
      <c r="Q48">
        <f>INDEX('GDP Forecast'!$B:$B,MATCH('Rescale to Fit GDP Proj'!Q4,'GDP Forecast'!$A:$A,0))</f>
        <v>2113021851597.5291</v>
      </c>
      <c r="R48">
        <f>INDEX('GDP Forecast'!$B:$B,MATCH('Rescale to Fit GDP Proj'!R4,'GDP Forecast'!$A:$A,0))</f>
        <v>2140636908239.1133</v>
      </c>
      <c r="S48">
        <f>INDEX('GDP Forecast'!$B:$B,MATCH('Rescale to Fit GDP Proj'!S4,'GDP Forecast'!$A:$A,0))</f>
        <v>2167152562194.8711</v>
      </c>
      <c r="T48">
        <f>INDEX('GDP Forecast'!$B:$B,MATCH('Rescale to Fit GDP Proj'!T4,'GDP Forecast'!$A:$A,0))</f>
        <v>2192468200126.1526</v>
      </c>
      <c r="U48">
        <f>INDEX('GDP Forecast'!$B:$B,MATCH('Rescale to Fit GDP Proj'!U4,'GDP Forecast'!$A:$A,0))</f>
        <v>2216569133954.3237</v>
      </c>
      <c r="V48">
        <f>INDEX('GDP Forecast'!$B:$B,MATCH('Rescale to Fit GDP Proj'!V4,'GDP Forecast'!$A:$A,0))</f>
        <v>2239558914633.7598</v>
      </c>
      <c r="W48">
        <f>INDEX('GDP Forecast'!$B:$B,MATCH('Rescale to Fit GDP Proj'!W4,'GDP Forecast'!$A:$A,0))</f>
        <v>2261617471127.7397</v>
      </c>
      <c r="X48">
        <f>INDEX('GDP Forecast'!$B:$B,MATCH('Rescale to Fit GDP Proj'!X4,'GDP Forecast'!$A:$A,0))</f>
        <v>2282887277799.0225</v>
      </c>
      <c r="Y48">
        <f>INDEX('GDP Forecast'!$B:$B,MATCH('Rescale to Fit GDP Proj'!Y4,'GDP Forecast'!$A:$A,0))</f>
        <v>2303443243848.646</v>
      </c>
      <c r="Z48">
        <f>INDEX('GDP Forecast'!$B:$B,MATCH('Rescale to Fit GDP Proj'!Z4,'GDP Forecast'!$A:$A,0))</f>
        <v>2323310339010.2905</v>
      </c>
      <c r="AA48">
        <f>INDEX('GDP Forecast'!$B:$B,MATCH('Rescale to Fit GDP Proj'!AA4,'GDP Forecast'!$A:$A,0))</f>
        <v>2342476812821.0474</v>
      </c>
      <c r="AB48">
        <f>INDEX('GDP Forecast'!$B:$B,MATCH('Rescale to Fit GDP Proj'!AB4,'GDP Forecast'!$A:$A,0))</f>
        <v>2360959556571.3467</v>
      </c>
      <c r="AC48">
        <f>INDEX('GDP Forecast'!$B:$B,MATCH('Rescale to Fit GDP Proj'!AC4,'GDP Forecast'!$A:$A,0))</f>
        <v>2378828338634.7051</v>
      </c>
      <c r="AD48">
        <f>INDEX('GDP Forecast'!$B:$B,MATCH('Rescale to Fit GDP Proj'!AD4,'GDP Forecast'!$A:$A,0))</f>
        <v>2396191116389.0889</v>
      </c>
      <c r="AE48">
        <f>INDEX('GDP Forecast'!$B:$B,MATCH('Rescale to Fit GDP Proj'!AE4,'GDP Forecast'!$A:$A,0))</f>
        <v>2413172738502.8955</v>
      </c>
      <c r="AF48">
        <f>INDEX('GDP Forecast'!$B:$B,MATCH('Rescale to Fit GDP Proj'!AF4,'GDP Forecast'!$A:$A,0))</f>
        <v>2429843707753.5728</v>
      </c>
    </row>
    <row r="49" spans="1:32" x14ac:dyDescent="0.3">
      <c r="B49" s="1" t="s">
        <v>1336</v>
      </c>
      <c r="C49">
        <f>C48-SUMIF($A$5:$A$46,"AEO",C5:C46)</f>
        <v>1184777578320.4714</v>
      </c>
      <c r="D49">
        <f>D48-SUMIF($A$5:$A$46,"AEO",D5:D46)</f>
        <v>1218760002561.6836</v>
      </c>
      <c r="E49">
        <f t="shared" ref="E49:AF49" si="0">E48-SUMIF($A$5:$A$46,"AEO",E5:E46)</f>
        <v>1242951477172.8677</v>
      </c>
      <c r="F49">
        <f t="shared" si="0"/>
        <v>1279147123433.4265</v>
      </c>
      <c r="G49">
        <f t="shared" si="0"/>
        <v>1307937464261.9045</v>
      </c>
      <c r="H49">
        <f t="shared" si="0"/>
        <v>1338218643134.3613</v>
      </c>
      <c r="I49">
        <f t="shared" si="0"/>
        <v>1367134711205.3608</v>
      </c>
      <c r="J49">
        <f t="shared" si="0"/>
        <v>1394020947545.79</v>
      </c>
      <c r="K49">
        <f t="shared" si="0"/>
        <v>1418787515585.1453</v>
      </c>
      <c r="L49">
        <f t="shared" si="0"/>
        <v>1444243832159.9434</v>
      </c>
      <c r="M49">
        <f t="shared" si="0"/>
        <v>1469269753710.2383</v>
      </c>
      <c r="N49">
        <f t="shared" si="0"/>
        <v>1491694816999.248</v>
      </c>
      <c r="O49">
        <f t="shared" si="0"/>
        <v>1514195585543.729</v>
      </c>
      <c r="P49">
        <f t="shared" si="0"/>
        <v>1536264944081.502</v>
      </c>
      <c r="Q49">
        <f t="shared" si="0"/>
        <v>1556637308881.7935</v>
      </c>
      <c r="R49">
        <f t="shared" si="0"/>
        <v>1575896808189.3525</v>
      </c>
      <c r="S49">
        <f t="shared" si="0"/>
        <v>1593332917806.5742</v>
      </c>
      <c r="T49">
        <f t="shared" si="0"/>
        <v>1609093675623.5483</v>
      </c>
      <c r="U49">
        <f t="shared" si="0"/>
        <v>1624218667758.1167</v>
      </c>
      <c r="V49">
        <f t="shared" si="0"/>
        <v>1637066409142.1279</v>
      </c>
      <c r="W49">
        <f t="shared" si="0"/>
        <v>1648119640616.8193</v>
      </c>
      <c r="X49">
        <f t="shared" si="0"/>
        <v>1659323025106.2065</v>
      </c>
      <c r="Y49">
        <f t="shared" si="0"/>
        <v>1670218557918.458</v>
      </c>
      <c r="Z49">
        <f t="shared" si="0"/>
        <v>1681190614230.6816</v>
      </c>
      <c r="AA49">
        <f t="shared" si="0"/>
        <v>1691881442862.3071</v>
      </c>
      <c r="AB49">
        <f t="shared" si="0"/>
        <v>1700998435809.7363</v>
      </c>
      <c r="AC49">
        <f t="shared" si="0"/>
        <v>1708946407430.0811</v>
      </c>
      <c r="AD49">
        <f t="shared" si="0"/>
        <v>1717481096765.5806</v>
      </c>
      <c r="AE49">
        <f t="shared" si="0"/>
        <v>1725673990928.1055</v>
      </c>
      <c r="AF49">
        <f t="shared" si="0"/>
        <v>1730336583180.7839</v>
      </c>
    </row>
    <row r="52" spans="1:32" x14ac:dyDescent="0.3">
      <c r="A52" s="1" t="s">
        <v>1339</v>
      </c>
      <c r="D52" s="49">
        <v>0.95399999999999996</v>
      </c>
    </row>
    <row r="54" spans="1:32" x14ac:dyDescent="0.3">
      <c r="A54" s="1" t="s">
        <v>1338</v>
      </c>
      <c r="D54" s="54">
        <f>(SUM(AF148:AF189)-AF48)/AF48</f>
        <v>-9.5007316850246853E-2</v>
      </c>
    </row>
    <row r="56" spans="1:32" s="8" customFormat="1" x14ac:dyDescent="0.3">
      <c r="A56" s="59" t="s">
        <v>1344</v>
      </c>
    </row>
    <row r="57" spans="1:32" x14ac:dyDescent="0.3">
      <c r="C57">
        <v>2021</v>
      </c>
      <c r="D57">
        <v>2022</v>
      </c>
      <c r="E57">
        <v>2023</v>
      </c>
      <c r="F57">
        <v>2024</v>
      </c>
      <c r="G57">
        <v>2025</v>
      </c>
      <c r="H57">
        <v>2026</v>
      </c>
      <c r="I57">
        <v>2027</v>
      </c>
      <c r="J57">
        <v>2028</v>
      </c>
      <c r="K57">
        <v>2029</v>
      </c>
      <c r="L57">
        <v>2030</v>
      </c>
      <c r="M57">
        <v>2031</v>
      </c>
      <c r="N57">
        <v>2032</v>
      </c>
      <c r="O57">
        <v>2033</v>
      </c>
      <c r="P57">
        <v>2034</v>
      </c>
      <c r="Q57">
        <v>2035</v>
      </c>
      <c r="R57">
        <v>2036</v>
      </c>
      <c r="S57">
        <v>2037</v>
      </c>
      <c r="T57">
        <v>2038</v>
      </c>
      <c r="U57">
        <v>2039</v>
      </c>
      <c r="V57">
        <v>2040</v>
      </c>
      <c r="W57">
        <v>2041</v>
      </c>
      <c r="X57">
        <v>2042</v>
      </c>
      <c r="Y57">
        <v>2043</v>
      </c>
      <c r="Z57">
        <v>2044</v>
      </c>
      <c r="AA57">
        <v>2045</v>
      </c>
      <c r="AB57">
        <v>2046</v>
      </c>
      <c r="AC57">
        <v>2047</v>
      </c>
      <c r="AD57">
        <v>2048</v>
      </c>
      <c r="AE57">
        <v>2049</v>
      </c>
      <c r="AF57">
        <v>2050</v>
      </c>
    </row>
    <row r="58" spans="1:32" x14ac:dyDescent="0.3">
      <c r="A58" t="s">
        <v>1334</v>
      </c>
      <c r="B58" s="1" t="s">
        <v>2</v>
      </c>
      <c r="C58" s="49">
        <f>IF($A58="AEO",'Growth Rates'!B51,'Growth Rates'!B51*'Rescale to Fit GDP Proj'!$D$52)</f>
        <v>0</v>
      </c>
      <c r="D58" s="49">
        <f>IF($A58="AEO",'Growth Rates'!C51,'Growth Rates'!C51*'Rescale to Fit GDP Proj'!$D$52)</f>
        <v>-1.1176675252313165E-7</v>
      </c>
      <c r="E58" s="49">
        <f>IF($A58="AEO",'Growth Rates'!D51,'Growth Rates'!D51*'Rescale to Fit GDP Proj'!$D$52)</f>
        <v>-1.351144756156354E-3</v>
      </c>
      <c r="F58" s="49">
        <f>IF($A58="AEO",'Growth Rates'!E51,'Growth Rates'!E51*'Rescale to Fit GDP Proj'!$D$52)</f>
        <v>9.1327311896364331E-3</v>
      </c>
      <c r="G58" s="49">
        <f>IF($A58="AEO",'Growth Rates'!F51,'Growth Rates'!F51*'Rescale to Fit GDP Proj'!$D$52)</f>
        <v>1.3396292555433637E-2</v>
      </c>
      <c r="H58" s="49">
        <f>IF($A58="AEO",'Growth Rates'!G51,'Growth Rates'!G51*'Rescale to Fit GDP Proj'!$D$52)</f>
        <v>1.5288029043628203E-2</v>
      </c>
      <c r="I58" s="49">
        <f>IF($A58="AEO",'Growth Rates'!H51,'Growth Rates'!H51*'Rescale to Fit GDP Proj'!$D$52)</f>
        <v>1.3409394355563977E-2</v>
      </c>
      <c r="J58" s="49">
        <f>IF($A58="AEO",'Growth Rates'!I51,'Growth Rates'!I51*'Rescale to Fit GDP Proj'!$D$52)</f>
        <v>1.1724967323022162E-2</v>
      </c>
      <c r="K58" s="49">
        <f>IF($A58="AEO",'Growth Rates'!J51,'Growth Rates'!J51*'Rescale to Fit GDP Proj'!$D$52)</f>
        <v>1.0145946781208788E-2</v>
      </c>
      <c r="L58" s="49">
        <f>IF($A58="AEO",'Growth Rates'!K51,'Growth Rates'!K51*'Rescale to Fit GDP Proj'!$D$52)</f>
        <v>8.9948669406765165E-3</v>
      </c>
      <c r="M58" s="49">
        <f>IF($A58="AEO",'Growth Rates'!L51,'Growth Rates'!L51*'Rescale to Fit GDP Proj'!$D$52)</f>
        <v>9.4495050668864985E-3</v>
      </c>
      <c r="N58" s="49">
        <f>IF($A58="AEO",'Growth Rates'!M51,'Growth Rates'!M51*'Rescale to Fit GDP Proj'!$D$52)</f>
        <v>9.4250511027641447E-3</v>
      </c>
      <c r="O58" s="49">
        <f>IF($A58="AEO",'Growth Rates'!N51,'Growth Rates'!N51*'Rescale to Fit GDP Proj'!$D$52)</f>
        <v>8.9255192456237017E-3</v>
      </c>
      <c r="P58" s="49">
        <f>IF($A58="AEO",'Growth Rates'!O51,'Growth Rates'!O51*'Rescale to Fit GDP Proj'!$D$52)</f>
        <v>7.4097627586356156E-3</v>
      </c>
      <c r="Q58" s="49">
        <f>IF($A58="AEO",'Growth Rates'!P51,'Growth Rates'!P51*'Rescale to Fit GDP Proj'!$D$52)</f>
        <v>6.7130996550877758E-3</v>
      </c>
      <c r="R58" s="49">
        <f>IF($A58="AEO",'Growth Rates'!Q51,'Growth Rates'!Q51*'Rescale to Fit GDP Proj'!$D$52)</f>
        <v>5.716763180880804E-3</v>
      </c>
      <c r="S58" s="49">
        <f>IF($A58="AEO",'Growth Rates'!R51,'Growth Rates'!R51*'Rescale to Fit GDP Proj'!$D$52)</f>
        <v>7.5760035587299863E-3</v>
      </c>
      <c r="T58" s="49">
        <f>IF($A58="AEO",'Growth Rates'!S51,'Growth Rates'!S51*'Rescale to Fit GDP Proj'!$D$52)</f>
        <v>7.1536951294813881E-3</v>
      </c>
      <c r="U58" s="49">
        <f>IF($A58="AEO",'Growth Rates'!T51,'Growth Rates'!T51*'Rescale to Fit GDP Proj'!$D$52)</f>
        <v>7.1459481307566122E-3</v>
      </c>
      <c r="V58" s="49">
        <f>IF($A58="AEO",'Growth Rates'!U51,'Growth Rates'!U51*'Rescale to Fit GDP Proj'!$D$52)</f>
        <v>7.4916309583193752E-3</v>
      </c>
      <c r="W58" s="49">
        <f>IF($A58="AEO",'Growth Rates'!V51,'Growth Rates'!V51*'Rescale to Fit GDP Proj'!$D$52)</f>
        <v>7.2285954080919743E-3</v>
      </c>
      <c r="X58" s="49">
        <f>IF($A58="AEO",'Growth Rates'!W51,'Growth Rates'!W51*'Rescale to Fit GDP Proj'!$D$52)</f>
        <v>7.3706946374330297E-3</v>
      </c>
      <c r="Y58" s="49">
        <f>IF($A58="AEO",'Growth Rates'!X51,'Growth Rates'!X51*'Rescale to Fit GDP Proj'!$D$52)</f>
        <v>7.0938733399760852E-3</v>
      </c>
      <c r="Z58" s="49">
        <f>IF($A58="AEO",'Growth Rates'!Y51,'Growth Rates'!Y51*'Rescale to Fit GDP Proj'!$D$52)</f>
        <v>6.4748791506016781E-3</v>
      </c>
      <c r="AA58" s="49">
        <f>IF($A58="AEO",'Growth Rates'!Z51,'Growth Rates'!Z51*'Rescale to Fit GDP Proj'!$D$52)</f>
        <v>6.5823967962771908E-3</v>
      </c>
      <c r="AB58" s="49">
        <f>IF($A58="AEO",'Growth Rates'!AA51,'Growth Rates'!AA51*'Rescale to Fit GDP Proj'!$D$52)</f>
        <v>6.4007589031328544E-3</v>
      </c>
      <c r="AC58" s="49">
        <f>IF($A58="AEO",'Growth Rates'!AB51,'Growth Rates'!AB51*'Rescale to Fit GDP Proj'!$D$52)</f>
        <v>6.336104189372832E-3</v>
      </c>
      <c r="AD58" s="49">
        <f>IF($A58="AEO",'Growth Rates'!AC51,'Growth Rates'!AC51*'Rescale to Fit GDP Proj'!$D$52)</f>
        <v>6.1202546767399378E-3</v>
      </c>
      <c r="AE58" s="49">
        <f>IF($A58="AEO",'Growth Rates'!AD51,'Growth Rates'!AD51*'Rescale to Fit GDP Proj'!$D$52)</f>
        <v>6.1772644825424531E-3</v>
      </c>
      <c r="AF58" s="49">
        <f>IF($A58="AEO",'Growth Rates'!AE51,'Growth Rates'!AE51*'Rescale to Fit GDP Proj'!$D$52)</f>
        <v>6.2089546805407627E-3</v>
      </c>
    </row>
    <row r="59" spans="1:32" x14ac:dyDescent="0.3">
      <c r="A59" t="s">
        <v>1334</v>
      </c>
      <c r="B59" s="1" t="s">
        <v>39</v>
      </c>
      <c r="C59" s="49">
        <f>IF($A59="AEO",'Growth Rates'!B52,'Growth Rates'!B52*'Rescale to Fit GDP Proj'!$D$52)</f>
        <v>0</v>
      </c>
      <c r="D59" s="49">
        <f>IF($A59="AEO",'Growth Rates'!C52,'Growth Rates'!C52*'Rescale to Fit GDP Proj'!$D$52)</f>
        <v>-1.7527630427501863E-2</v>
      </c>
      <c r="E59" s="49">
        <f>IF($A59="AEO",'Growth Rates'!D52,'Growth Rates'!D52*'Rescale to Fit GDP Proj'!$D$52)</f>
        <v>-5.5963094607880223E-2</v>
      </c>
      <c r="F59" s="49">
        <f>IF($A59="AEO",'Growth Rates'!E52,'Growth Rates'!E52*'Rescale to Fit GDP Proj'!$D$52)</f>
        <v>9.3166706721140774E-2</v>
      </c>
      <c r="G59" s="49">
        <f>IF($A59="AEO",'Growth Rates'!F52,'Growth Rates'!F52*'Rescale to Fit GDP Proj'!$D$52)</f>
        <v>-6.1190092334750167E-2</v>
      </c>
      <c r="H59" s="49">
        <f>IF($A59="AEO",'Growth Rates'!G52,'Growth Rates'!G52*'Rescale to Fit GDP Proj'!$D$52)</f>
        <v>-8.5239247521661107E-2</v>
      </c>
      <c r="I59" s="49">
        <f>IF($A59="AEO",'Growth Rates'!H52,'Growth Rates'!H52*'Rescale to Fit GDP Proj'!$D$52)</f>
        <v>-0.1035071251813294</v>
      </c>
      <c r="J59" s="49">
        <f>IF($A59="AEO",'Growth Rates'!I52,'Growth Rates'!I52*'Rescale to Fit GDP Proj'!$D$52)</f>
        <v>-0.10251284980011421</v>
      </c>
      <c r="K59" s="49">
        <f>IF($A59="AEO",'Growth Rates'!J52,'Growth Rates'!J52*'Rescale to Fit GDP Proj'!$D$52)</f>
        <v>-0.10738148265987921</v>
      </c>
      <c r="L59" s="49">
        <f>IF($A59="AEO",'Growth Rates'!K52,'Growth Rates'!K52*'Rescale to Fit GDP Proj'!$D$52)</f>
        <v>-4.9783164023049921E-2</v>
      </c>
      <c r="M59" s="49">
        <f>IF($A59="AEO",'Growth Rates'!L52,'Growth Rates'!L52*'Rescale to Fit GDP Proj'!$D$52)</f>
        <v>-4.4388871522350569E-3</v>
      </c>
      <c r="N59" s="49">
        <f>IF($A59="AEO",'Growth Rates'!M52,'Growth Rates'!M52*'Rescale to Fit GDP Proj'!$D$52)</f>
        <v>7.2218035669431042E-3</v>
      </c>
      <c r="O59" s="49">
        <f>IF($A59="AEO",'Growth Rates'!N52,'Growth Rates'!N52*'Rescale to Fit GDP Proj'!$D$52)</f>
        <v>-4.3020138412619762E-3</v>
      </c>
      <c r="P59" s="49">
        <f>IF($A59="AEO",'Growth Rates'!O52,'Growth Rates'!O52*'Rescale to Fit GDP Proj'!$D$52)</f>
        <v>-9.2047589229806038E-3</v>
      </c>
      <c r="Q59" s="49">
        <f>IF($A59="AEO",'Growth Rates'!P52,'Growth Rates'!P52*'Rescale to Fit GDP Proj'!$D$52)</f>
        <v>7.5206977185110135E-3</v>
      </c>
      <c r="R59" s="49">
        <f>IF($A59="AEO",'Growth Rates'!Q52,'Growth Rates'!Q52*'Rescale to Fit GDP Proj'!$D$52)</f>
        <v>-1.1730021327311466E-2</v>
      </c>
      <c r="S59" s="49">
        <f>IF($A59="AEO",'Growth Rates'!R52,'Growth Rates'!R52*'Rescale to Fit GDP Proj'!$D$52)</f>
        <v>-2.2596001269438375E-2</v>
      </c>
      <c r="T59" s="49">
        <f>IF($A59="AEO",'Growth Rates'!S52,'Growth Rates'!S52*'Rescale to Fit GDP Proj'!$D$52)</f>
        <v>-1.6104941879342773E-2</v>
      </c>
      <c r="U59" s="49">
        <f>IF($A59="AEO",'Growth Rates'!T52,'Growth Rates'!T52*'Rescale to Fit GDP Proj'!$D$52)</f>
        <v>-2.3760807867467457E-2</v>
      </c>
      <c r="V59" s="49">
        <f>IF($A59="AEO",'Growth Rates'!U52,'Growth Rates'!U52*'Rescale to Fit GDP Proj'!$D$52)</f>
        <v>-1.4603475086201141E-2</v>
      </c>
      <c r="W59" s="49">
        <f>IF($A59="AEO",'Growth Rates'!V52,'Growth Rates'!V52*'Rescale to Fit GDP Proj'!$D$52)</f>
        <v>8.2332761578047717E-4</v>
      </c>
      <c r="X59" s="49">
        <f>IF($A59="AEO",'Growth Rates'!W52,'Growth Rates'!W52*'Rescale to Fit GDP Proj'!$D$52)</f>
        <v>1.8509631863989184E-3</v>
      </c>
      <c r="Y59" s="49">
        <f>IF($A59="AEO",'Growth Rates'!X52,'Growth Rates'!X52*'Rescale to Fit GDP Proj'!$D$52)</f>
        <v>-1.3890789653756752E-2</v>
      </c>
      <c r="Z59" s="49">
        <f>IF($A59="AEO",'Growth Rates'!Y52,'Growth Rates'!Y52*'Rescale to Fit GDP Proj'!$D$52)</f>
        <v>-1.5890639095135606E-2</v>
      </c>
      <c r="AA59" s="49">
        <f>IF($A59="AEO",'Growth Rates'!Z52,'Growth Rates'!Z52*'Rescale to Fit GDP Proj'!$D$52)</f>
        <v>-1.1775490057819759E-2</v>
      </c>
      <c r="AB59" s="49">
        <f>IF($A59="AEO",'Growth Rates'!AA52,'Growth Rates'!AA52*'Rescale to Fit GDP Proj'!$D$52)</f>
        <v>-1.1202283267927222E-2</v>
      </c>
      <c r="AC59" s="49">
        <f>IF($A59="AEO",'Growth Rates'!AB52,'Growth Rates'!AB52*'Rescale to Fit GDP Proj'!$D$52)</f>
        <v>-5.3398758839659291E-3</v>
      </c>
      <c r="AD59" s="49">
        <f>IF($A59="AEO",'Growth Rates'!AC52,'Growth Rates'!AC52*'Rescale to Fit GDP Proj'!$D$52)</f>
        <v>-2.756819500870593E-3</v>
      </c>
      <c r="AE59" s="49">
        <f>IF($A59="AEO",'Growth Rates'!AD52,'Growth Rates'!AD52*'Rescale to Fit GDP Proj'!$D$52)</f>
        <v>-6.1108686163247224E-3</v>
      </c>
      <c r="AF59" s="49">
        <f>IF($A59="AEO",'Growth Rates'!AE52,'Growth Rates'!AE52*'Rescale to Fit GDP Proj'!$D$52)</f>
        <v>-1.4273166447079511E-2</v>
      </c>
    </row>
    <row r="60" spans="1:32" x14ac:dyDescent="0.3">
      <c r="A60" t="s">
        <v>1334</v>
      </c>
      <c r="B60" s="1" t="s">
        <v>40</v>
      </c>
      <c r="C60" s="49">
        <f>IF($A60="AEO",'Growth Rates'!B53,'Growth Rates'!B53*'Rescale to Fit GDP Proj'!$D$52)</f>
        <v>0</v>
      </c>
      <c r="D60" s="49">
        <f>IF($A60="AEO",'Growth Rates'!C53,'Growth Rates'!C53*'Rescale to Fit GDP Proj'!$D$52)</f>
        <v>3.1355829933379484E-3</v>
      </c>
      <c r="E60" s="49">
        <f>IF($A60="AEO",'Growth Rates'!D53,'Growth Rates'!D53*'Rescale to Fit GDP Proj'!$D$52)</f>
        <v>-2.7932862389056286E-2</v>
      </c>
      <c r="F60" s="49">
        <f>IF($A60="AEO",'Growth Rates'!E53,'Growth Rates'!E53*'Rescale to Fit GDP Proj'!$D$52)</f>
        <v>-2.7538351689491069E-4</v>
      </c>
      <c r="G60" s="49">
        <f>IF($A60="AEO",'Growth Rates'!F53,'Growth Rates'!F53*'Rescale to Fit GDP Proj'!$D$52)</f>
        <v>7.6435852604493362E-3</v>
      </c>
      <c r="H60" s="49">
        <f>IF($A60="AEO",'Growth Rates'!G53,'Growth Rates'!G53*'Rescale to Fit GDP Proj'!$D$52)</f>
        <v>1.3378753106103517E-2</v>
      </c>
      <c r="I60" s="49">
        <f>IF($A60="AEO",'Growth Rates'!H53,'Growth Rates'!H53*'Rescale to Fit GDP Proj'!$D$52)</f>
        <v>1.6767167366375706E-3</v>
      </c>
      <c r="J60" s="49">
        <f>IF($A60="AEO",'Growth Rates'!I53,'Growth Rates'!I53*'Rescale to Fit GDP Proj'!$D$52)</f>
        <v>8.1244305399892133E-3</v>
      </c>
      <c r="K60" s="49">
        <f>IF($A60="AEO",'Growth Rates'!J53,'Growth Rates'!J53*'Rescale to Fit GDP Proj'!$D$52)</f>
        <v>1.0173672263785521E-3</v>
      </c>
      <c r="L60" s="49">
        <f>IF($A60="AEO",'Growth Rates'!K53,'Growth Rates'!K53*'Rescale to Fit GDP Proj'!$D$52)</f>
        <v>4.9074833127989697E-3</v>
      </c>
      <c r="M60" s="49">
        <f>IF($A60="AEO",'Growth Rates'!L53,'Growth Rates'!L53*'Rescale to Fit GDP Proj'!$D$52)</f>
        <v>4.7181362805120211E-3</v>
      </c>
      <c r="N60" s="49">
        <f>IF($A60="AEO",'Growth Rates'!M53,'Growth Rates'!M53*'Rescale to Fit GDP Proj'!$D$52)</f>
        <v>9.7939751541981108E-3</v>
      </c>
      <c r="O60" s="49">
        <f>IF($A60="AEO",'Growth Rates'!N53,'Growth Rates'!N53*'Rescale to Fit GDP Proj'!$D$52)</f>
        <v>9.6080751718246645E-3</v>
      </c>
      <c r="P60" s="49">
        <f>IF($A60="AEO",'Growth Rates'!O53,'Growth Rates'!O53*'Rescale to Fit GDP Proj'!$D$52)</f>
        <v>6.633702562351098E-3</v>
      </c>
      <c r="Q60" s="49">
        <f>IF($A60="AEO",'Growth Rates'!P53,'Growth Rates'!P53*'Rescale to Fit GDP Proj'!$D$52)</f>
        <v>3.28188424572172E-3</v>
      </c>
      <c r="R60" s="49">
        <f>IF($A60="AEO",'Growth Rates'!Q53,'Growth Rates'!Q53*'Rescale to Fit GDP Proj'!$D$52)</f>
        <v>4.2395808994429799E-3</v>
      </c>
      <c r="S60" s="49">
        <f>IF($A60="AEO",'Growth Rates'!R53,'Growth Rates'!R53*'Rescale to Fit GDP Proj'!$D$52)</f>
        <v>4.9426445061489035E-3</v>
      </c>
      <c r="T60" s="49">
        <f>IF($A60="AEO",'Growth Rates'!S53,'Growth Rates'!S53*'Rescale to Fit GDP Proj'!$D$52)</f>
        <v>1.960327360960577E-3</v>
      </c>
      <c r="U60" s="49">
        <f>IF($A60="AEO",'Growth Rates'!T53,'Growth Rates'!T53*'Rescale to Fit GDP Proj'!$D$52)</f>
        <v>3.9935543698029321E-3</v>
      </c>
      <c r="V60" s="49">
        <f>IF($A60="AEO",'Growth Rates'!U53,'Growth Rates'!U53*'Rescale to Fit GDP Proj'!$D$52)</f>
        <v>-1.4762952408784225E-3</v>
      </c>
      <c r="W60" s="49">
        <f>IF($A60="AEO",'Growth Rates'!V53,'Growth Rates'!V53*'Rescale to Fit GDP Proj'!$D$52)</f>
        <v>-6.0048948991747546E-4</v>
      </c>
      <c r="X60" s="49">
        <f>IF($A60="AEO",'Growth Rates'!W53,'Growth Rates'!W53*'Rescale to Fit GDP Proj'!$D$52)</f>
        <v>2.5960981146046264E-3</v>
      </c>
      <c r="Y60" s="49">
        <f>IF($A60="AEO",'Growth Rates'!X53,'Growth Rates'!X53*'Rescale to Fit GDP Proj'!$D$52)</f>
        <v>4.9865537087397998E-3</v>
      </c>
      <c r="Z60" s="49">
        <f>IF($A60="AEO",'Growth Rates'!Y53,'Growth Rates'!Y53*'Rescale to Fit GDP Proj'!$D$52)</f>
        <v>5.046139575226781E-3</v>
      </c>
      <c r="AA60" s="49">
        <f>IF($A60="AEO",'Growth Rates'!Z53,'Growth Rates'!Z53*'Rescale to Fit GDP Proj'!$D$52)</f>
        <v>-1.6631131980766319E-4</v>
      </c>
      <c r="AB60" s="49">
        <f>IF($A60="AEO",'Growth Rates'!AA53,'Growth Rates'!AA53*'Rescale to Fit GDP Proj'!$D$52)</f>
        <v>3.2248783177884462E-3</v>
      </c>
      <c r="AC60" s="49">
        <f>IF($A60="AEO",'Growth Rates'!AB53,'Growth Rates'!AB53*'Rescale to Fit GDP Proj'!$D$52)</f>
        <v>-1.5101633545643691E-3</v>
      </c>
      <c r="AD60" s="49">
        <f>IF($A60="AEO",'Growth Rates'!AC53,'Growth Rates'!AC53*'Rescale to Fit GDP Proj'!$D$52)</f>
        <v>4.2949915700879211E-3</v>
      </c>
      <c r="AE60" s="49">
        <f>IF($A60="AEO",'Growth Rates'!AD53,'Growth Rates'!AD53*'Rescale to Fit GDP Proj'!$D$52)</f>
        <v>5.7468524885153239E-3</v>
      </c>
      <c r="AF60" s="49">
        <f>IF($A60="AEO",'Growth Rates'!AE53,'Growth Rates'!AE53*'Rescale to Fit GDP Proj'!$D$52)</f>
        <v>5.0993658006285468E-3</v>
      </c>
    </row>
    <row r="61" spans="1:32" x14ac:dyDescent="0.3">
      <c r="A61" t="s">
        <v>1334</v>
      </c>
      <c r="B61" s="1" t="s">
        <v>3</v>
      </c>
      <c r="C61" s="49">
        <f>IF($A61="AEO",'Growth Rates'!B54,'Growth Rates'!B54*'Rescale to Fit GDP Proj'!$D$52)</f>
        <v>0</v>
      </c>
      <c r="D61" s="49">
        <f>IF($A61="AEO",'Growth Rates'!C54,'Growth Rates'!C54*'Rescale to Fit GDP Proj'!$D$52)</f>
        <v>-2.8519755147467907E-4</v>
      </c>
      <c r="E61" s="49">
        <f>IF($A61="AEO",'Growth Rates'!D54,'Growth Rates'!D54*'Rescale to Fit GDP Proj'!$D$52)</f>
        <v>-2.4179187534780183E-2</v>
      </c>
      <c r="F61" s="49">
        <f>IF($A61="AEO",'Growth Rates'!E54,'Growth Rates'!E54*'Rescale to Fit GDP Proj'!$D$52)</f>
        <v>-2.2910666932793467E-2</v>
      </c>
      <c r="G61" s="49">
        <f>IF($A61="AEO",'Growth Rates'!F54,'Growth Rates'!F54*'Rescale to Fit GDP Proj'!$D$52)</f>
        <v>-1.3292478295761311E-2</v>
      </c>
      <c r="H61" s="49">
        <f>IF($A61="AEO",'Growth Rates'!G54,'Growth Rates'!G54*'Rescale to Fit GDP Proj'!$D$52)</f>
        <v>-1.4521471666863826E-2</v>
      </c>
      <c r="I61" s="49">
        <f>IF($A61="AEO",'Growth Rates'!H54,'Growth Rates'!H54*'Rescale to Fit GDP Proj'!$D$52)</f>
        <v>-1.9372167702049713E-2</v>
      </c>
      <c r="J61" s="49">
        <f>IF($A61="AEO",'Growth Rates'!I54,'Growth Rates'!I54*'Rescale to Fit GDP Proj'!$D$52)</f>
        <v>-1.2425211549937991E-2</v>
      </c>
      <c r="K61" s="49">
        <f>IF($A61="AEO",'Growth Rates'!J54,'Growth Rates'!J54*'Rescale to Fit GDP Proj'!$D$52)</f>
        <v>-5.0512093462868595E-3</v>
      </c>
      <c r="L61" s="49">
        <f>IF($A61="AEO",'Growth Rates'!K54,'Growth Rates'!K54*'Rescale to Fit GDP Proj'!$D$52)</f>
        <v>-5.4194633485430037E-3</v>
      </c>
      <c r="M61" s="49">
        <f>IF($A61="AEO",'Growth Rates'!L54,'Growth Rates'!L54*'Rescale to Fit GDP Proj'!$D$52)</f>
        <v>-6.3415016049479548E-3</v>
      </c>
      <c r="N61" s="49">
        <f>IF($A61="AEO",'Growth Rates'!M54,'Growth Rates'!M54*'Rescale to Fit GDP Proj'!$D$52)</f>
        <v>-3.6400882445635305E-3</v>
      </c>
      <c r="O61" s="49">
        <f>IF($A61="AEO",'Growth Rates'!N54,'Growth Rates'!N54*'Rescale to Fit GDP Proj'!$D$52)</f>
        <v>-4.0329595596957498E-3</v>
      </c>
      <c r="P61" s="49">
        <f>IF($A61="AEO",'Growth Rates'!O54,'Growth Rates'!O54*'Rescale to Fit GDP Proj'!$D$52)</f>
        <v>-6.1453933369325971E-3</v>
      </c>
      <c r="Q61" s="49">
        <f>IF($A61="AEO",'Growth Rates'!P54,'Growth Rates'!P54*'Rescale to Fit GDP Proj'!$D$52)</f>
        <v>-1.7895090034672036E-3</v>
      </c>
      <c r="R61" s="49">
        <f>IF($A61="AEO",'Growth Rates'!Q54,'Growth Rates'!Q54*'Rescale to Fit GDP Proj'!$D$52)</f>
        <v>1.5046018407363136E-3</v>
      </c>
      <c r="S61" s="49">
        <f>IF($A61="AEO",'Growth Rates'!R54,'Growth Rates'!R54*'Rescale to Fit GDP Proj'!$D$52)</f>
        <v>4.7467595774264735E-3</v>
      </c>
      <c r="T61" s="49">
        <f>IF($A61="AEO",'Growth Rates'!S54,'Growth Rates'!S54*'Rescale to Fit GDP Proj'!$D$52)</f>
        <v>5.7900932141379639E-3</v>
      </c>
      <c r="U61" s="49">
        <f>IF($A61="AEO",'Growth Rates'!T54,'Growth Rates'!T54*'Rescale to Fit GDP Proj'!$D$52)</f>
        <v>9.2203068163847161E-3</v>
      </c>
      <c r="V61" s="49">
        <f>IF($A61="AEO",'Growth Rates'!U54,'Growth Rates'!U54*'Rescale to Fit GDP Proj'!$D$52)</f>
        <v>8.35253004873617E-3</v>
      </c>
      <c r="W61" s="49">
        <f>IF($A61="AEO",'Growth Rates'!V54,'Growth Rates'!V54*'Rescale to Fit GDP Proj'!$D$52)</f>
        <v>9.2158020700585791E-3</v>
      </c>
      <c r="X61" s="49">
        <f>IF($A61="AEO",'Growth Rates'!W54,'Growth Rates'!W54*'Rescale to Fit GDP Proj'!$D$52)</f>
        <v>9.2086419562976522E-3</v>
      </c>
      <c r="Y61" s="49">
        <f>IF($A61="AEO",'Growth Rates'!X54,'Growth Rates'!X54*'Rescale to Fit GDP Proj'!$D$52)</f>
        <v>1.6677601965301877E-2</v>
      </c>
      <c r="Z61" s="49">
        <f>IF($A61="AEO",'Growth Rates'!Y54,'Growth Rates'!Y54*'Rescale to Fit GDP Proj'!$D$52)</f>
        <v>1.5098304067236985E-2</v>
      </c>
      <c r="AA61" s="49">
        <f>IF($A61="AEO",'Growth Rates'!Z54,'Growth Rates'!Z54*'Rescale to Fit GDP Proj'!$D$52)</f>
        <v>1.3838784079484403E-2</v>
      </c>
      <c r="AB61" s="49">
        <f>IF($A61="AEO",'Growth Rates'!AA54,'Growth Rates'!AA54*'Rescale to Fit GDP Proj'!$D$52)</f>
        <v>1.1914484045966182E-2</v>
      </c>
      <c r="AC61" s="49">
        <f>IF($A61="AEO",'Growth Rates'!AB54,'Growth Rates'!AB54*'Rescale to Fit GDP Proj'!$D$52)</f>
        <v>5.6781334217239831E-3</v>
      </c>
      <c r="AD61" s="49">
        <f>IF($A61="AEO",'Growth Rates'!AC54,'Growth Rates'!AC54*'Rescale to Fit GDP Proj'!$D$52)</f>
        <v>2.9949987819383401E-3</v>
      </c>
      <c r="AE61" s="49">
        <f>IF($A61="AEO",'Growth Rates'!AD54,'Growth Rates'!AD54*'Rescale to Fit GDP Proj'!$D$52)</f>
        <v>6.343582123671314E-3</v>
      </c>
      <c r="AF61" s="49">
        <f>IF($A61="AEO",'Growth Rates'!AE54,'Growth Rates'!AE54*'Rescale to Fit GDP Proj'!$D$52)</f>
        <v>1.235163836674414E-2</v>
      </c>
    </row>
    <row r="62" spans="1:32" x14ac:dyDescent="0.3">
      <c r="B62" s="1" t="s">
        <v>4</v>
      </c>
      <c r="C62" s="49">
        <f>IF($A62="AEO",'Growth Rates'!B55,'Growth Rates'!B55*'Rescale to Fit GDP Proj'!$D$52)</f>
        <v>0</v>
      </c>
      <c r="D62" s="49">
        <f>IF($A62="AEO",'Growth Rates'!C55,'Growth Rates'!C55*'Rescale to Fit GDP Proj'!$D$52)</f>
        <v>2.7665999999999993E-2</v>
      </c>
      <c r="E62" s="49">
        <f>IF($A62="AEO",'Growth Rates'!D55,'Growth Rates'!D55*'Rescale to Fit GDP Proj'!$D$52)</f>
        <v>2.7665999999999993E-2</v>
      </c>
      <c r="F62" s="49">
        <f>IF($A62="AEO",'Growth Rates'!E55,'Growth Rates'!E55*'Rescale to Fit GDP Proj'!$D$52)</f>
        <v>2.7665999999999993E-2</v>
      </c>
      <c r="G62" s="49">
        <f>IF($A62="AEO",'Growth Rates'!F55,'Growth Rates'!F55*'Rescale to Fit GDP Proj'!$D$52)</f>
        <v>2.7665999999999993E-2</v>
      </c>
      <c r="H62" s="49">
        <f>IF($A62="AEO",'Growth Rates'!G55,'Growth Rates'!G55*'Rescale to Fit GDP Proj'!$D$52)</f>
        <v>2.7665999999999993E-2</v>
      </c>
      <c r="I62" s="49">
        <f>IF($A62="AEO",'Growth Rates'!H55,'Growth Rates'!H55*'Rescale to Fit GDP Proj'!$D$52)</f>
        <v>2.7665999999999993E-2</v>
      </c>
      <c r="J62" s="49">
        <f>IF($A62="AEO",'Growth Rates'!I55,'Growth Rates'!I55*'Rescale to Fit GDP Proj'!$D$52)</f>
        <v>2.7665999999999993E-2</v>
      </c>
      <c r="K62" s="49">
        <f>IF($A62="AEO",'Growth Rates'!J55,'Growth Rates'!J55*'Rescale to Fit GDP Proj'!$D$52)</f>
        <v>2.7665999999999993E-2</v>
      </c>
      <c r="L62" s="49">
        <f>IF($A62="AEO",'Growth Rates'!K55,'Growth Rates'!K55*'Rescale to Fit GDP Proj'!$D$52)</f>
        <v>2.7665999999999993E-2</v>
      </c>
      <c r="M62" s="49">
        <f>IF($A62="AEO",'Growth Rates'!L55,'Growth Rates'!L55*'Rescale to Fit GDP Proj'!$D$52)</f>
        <v>2.7665999999999993E-2</v>
      </c>
      <c r="N62" s="49">
        <f>IF($A62="AEO",'Growth Rates'!M55,'Growth Rates'!M55*'Rescale to Fit GDP Proj'!$D$52)</f>
        <v>2.7665999999999993E-2</v>
      </c>
      <c r="O62" s="49">
        <f>IF($A62="AEO",'Growth Rates'!N55,'Growth Rates'!N55*'Rescale to Fit GDP Proj'!$D$52)</f>
        <v>2.7665999999999993E-2</v>
      </c>
      <c r="P62" s="49">
        <f>IF($A62="AEO",'Growth Rates'!O55,'Growth Rates'!O55*'Rescale to Fit GDP Proj'!$D$52)</f>
        <v>2.7665999999999993E-2</v>
      </c>
      <c r="Q62" s="49">
        <f>IF($A62="AEO",'Growth Rates'!P55,'Growth Rates'!P55*'Rescale to Fit GDP Proj'!$D$52)</f>
        <v>2.7665999999999993E-2</v>
      </c>
      <c r="R62" s="49">
        <f>IF($A62="AEO",'Growth Rates'!Q55,'Growth Rates'!Q55*'Rescale to Fit GDP Proj'!$D$52)</f>
        <v>2.7665999999999993E-2</v>
      </c>
      <c r="S62" s="49">
        <f>IF($A62="AEO",'Growth Rates'!R55,'Growth Rates'!R55*'Rescale to Fit GDP Proj'!$D$52)</f>
        <v>2.7665999999999993E-2</v>
      </c>
      <c r="T62" s="49">
        <f>IF($A62="AEO",'Growth Rates'!S55,'Growth Rates'!S55*'Rescale to Fit GDP Proj'!$D$52)</f>
        <v>2.7665999999999993E-2</v>
      </c>
      <c r="U62" s="49">
        <f>IF($A62="AEO",'Growth Rates'!T55,'Growth Rates'!T55*'Rescale to Fit GDP Proj'!$D$52)</f>
        <v>2.7665999999999993E-2</v>
      </c>
      <c r="V62" s="49">
        <f>IF($A62="AEO",'Growth Rates'!U55,'Growth Rates'!U55*'Rescale to Fit GDP Proj'!$D$52)</f>
        <v>2.7665999999999993E-2</v>
      </c>
      <c r="W62" s="49">
        <f>IF($A62="AEO",'Growth Rates'!V55,'Growth Rates'!V55*'Rescale to Fit GDP Proj'!$D$52)</f>
        <v>2.7665999999999993E-2</v>
      </c>
      <c r="X62" s="49">
        <f>IF($A62="AEO",'Growth Rates'!W55,'Growth Rates'!W55*'Rescale to Fit GDP Proj'!$D$52)</f>
        <v>2.7665999999999993E-2</v>
      </c>
      <c r="Y62" s="49">
        <f>IF($A62="AEO",'Growth Rates'!X55,'Growth Rates'!X55*'Rescale to Fit GDP Proj'!$D$52)</f>
        <v>2.7665999999999993E-2</v>
      </c>
      <c r="Z62" s="49">
        <f>IF($A62="AEO",'Growth Rates'!Y55,'Growth Rates'!Y55*'Rescale to Fit GDP Proj'!$D$52)</f>
        <v>2.7665999999999993E-2</v>
      </c>
      <c r="AA62" s="49">
        <f>IF($A62="AEO",'Growth Rates'!Z55,'Growth Rates'!Z55*'Rescale to Fit GDP Proj'!$D$52)</f>
        <v>2.7665999999999993E-2</v>
      </c>
      <c r="AB62" s="49">
        <f>IF($A62="AEO",'Growth Rates'!AA55,'Growth Rates'!AA55*'Rescale to Fit GDP Proj'!$D$52)</f>
        <v>2.7665999999999993E-2</v>
      </c>
      <c r="AC62" s="49">
        <f>IF($A62="AEO",'Growth Rates'!AB55,'Growth Rates'!AB55*'Rescale to Fit GDP Proj'!$D$52)</f>
        <v>2.7665999999999993E-2</v>
      </c>
      <c r="AD62" s="49">
        <f>IF($A62="AEO",'Growth Rates'!AC55,'Growth Rates'!AC55*'Rescale to Fit GDP Proj'!$D$52)</f>
        <v>2.7665999999999993E-2</v>
      </c>
      <c r="AE62" s="49">
        <f>IF($A62="AEO",'Growth Rates'!AD55,'Growth Rates'!AD55*'Rescale to Fit GDP Proj'!$D$52)</f>
        <v>2.7665999999999993E-2</v>
      </c>
      <c r="AF62" s="49">
        <f>IF($A62="AEO",'Growth Rates'!AE55,'Growth Rates'!AE55*'Rescale to Fit GDP Proj'!$D$52)</f>
        <v>2.7665999999999993E-2</v>
      </c>
    </row>
    <row r="63" spans="1:32" x14ac:dyDescent="0.3">
      <c r="A63" t="s">
        <v>1334</v>
      </c>
      <c r="B63" s="1" t="s">
        <v>5</v>
      </c>
      <c r="C63" s="49">
        <f>IF($A63="AEO",'Growth Rates'!B56,'Growth Rates'!B56*'Rescale to Fit GDP Proj'!$D$52)</f>
        <v>0</v>
      </c>
      <c r="D63" s="49">
        <f>IF($A63="AEO",'Growth Rates'!C56,'Growth Rates'!C56*'Rescale to Fit GDP Proj'!$D$52)</f>
        <v>-1.2463136070661631E-2</v>
      </c>
      <c r="E63" s="49">
        <f>IF($A63="AEO",'Growth Rates'!D56,'Growth Rates'!D56*'Rescale to Fit GDP Proj'!$D$52)</f>
        <v>1.5600730540306472E-2</v>
      </c>
      <c r="F63" s="49">
        <f>IF($A63="AEO",'Growth Rates'!E56,'Growth Rates'!E56*'Rescale to Fit GDP Proj'!$D$52)</f>
        <v>1.0035728714814878E-2</v>
      </c>
      <c r="G63" s="49">
        <f>IF($A63="AEO",'Growth Rates'!F56,'Growth Rates'!F56*'Rescale to Fit GDP Proj'!$D$52)</f>
        <v>9.2179804330815001E-3</v>
      </c>
      <c r="H63" s="49">
        <f>IF($A63="AEO",'Growth Rates'!G56,'Growth Rates'!G56*'Rescale to Fit GDP Proj'!$D$52)</f>
        <v>1.2898742714762445E-2</v>
      </c>
      <c r="I63" s="49">
        <f>IF($A63="AEO",'Growth Rates'!H56,'Growth Rates'!H56*'Rescale to Fit GDP Proj'!$D$52)</f>
        <v>1.4149095163342949E-2</v>
      </c>
      <c r="J63" s="49">
        <f>IF($A63="AEO",'Growth Rates'!I56,'Growth Rates'!I56*'Rescale to Fit GDP Proj'!$D$52)</f>
        <v>1.4043115956099314E-2</v>
      </c>
      <c r="K63" s="49">
        <f>IF($A63="AEO",'Growth Rates'!J56,'Growth Rates'!J56*'Rescale to Fit GDP Proj'!$D$52)</f>
        <v>1.2009641443108341E-2</v>
      </c>
      <c r="L63" s="49">
        <f>IF($A63="AEO",'Growth Rates'!K56,'Growth Rates'!K56*'Rescale to Fit GDP Proj'!$D$52)</f>
        <v>1.1759881819468567E-2</v>
      </c>
      <c r="M63" s="49">
        <f>IF($A63="AEO",'Growth Rates'!L56,'Growth Rates'!L56*'Rescale to Fit GDP Proj'!$D$52)</f>
        <v>1.2933221296125166E-2</v>
      </c>
      <c r="N63" s="49">
        <f>IF($A63="AEO",'Growth Rates'!M56,'Growth Rates'!M56*'Rescale to Fit GDP Proj'!$D$52)</f>
        <v>1.1139385189412005E-2</v>
      </c>
      <c r="O63" s="49">
        <f>IF($A63="AEO",'Growth Rates'!N56,'Growth Rates'!N56*'Rescale to Fit GDP Proj'!$D$52)</f>
        <v>8.9925337133202887E-3</v>
      </c>
      <c r="P63" s="49">
        <f>IF($A63="AEO",'Growth Rates'!O56,'Growth Rates'!O56*'Rescale to Fit GDP Proj'!$D$52)</f>
        <v>9.4682388286955691E-3</v>
      </c>
      <c r="Q63" s="49">
        <f>IF($A63="AEO",'Growth Rates'!P56,'Growth Rates'!P56*'Rescale to Fit GDP Proj'!$D$52)</f>
        <v>1.0372901895221382E-2</v>
      </c>
      <c r="R63" s="49">
        <f>IF($A63="AEO",'Growth Rates'!Q56,'Growth Rates'!Q56*'Rescale to Fit GDP Proj'!$D$52)</f>
        <v>1.0839406918071162E-2</v>
      </c>
      <c r="S63" s="49">
        <f>IF($A63="AEO",'Growth Rates'!R56,'Growth Rates'!R56*'Rescale to Fit GDP Proj'!$D$52)</f>
        <v>1.0422412469442062E-2</v>
      </c>
      <c r="T63" s="49">
        <f>IF($A63="AEO",'Growth Rates'!S56,'Growth Rates'!S56*'Rescale to Fit GDP Proj'!$D$52)</f>
        <v>1.0462424486291933E-2</v>
      </c>
      <c r="U63" s="49">
        <f>IF($A63="AEO",'Growth Rates'!T56,'Growth Rates'!T56*'Rescale to Fit GDP Proj'!$D$52)</f>
        <v>1.0722425223961852E-2</v>
      </c>
      <c r="V63" s="49">
        <f>IF($A63="AEO",'Growth Rates'!U56,'Growth Rates'!U56*'Rescale to Fit GDP Proj'!$D$52)</f>
        <v>1.0600328516912715E-2</v>
      </c>
      <c r="W63" s="49">
        <f>IF($A63="AEO",'Growth Rates'!V56,'Growth Rates'!V56*'Rescale to Fit GDP Proj'!$D$52)</f>
        <v>1.0196510895153074E-2</v>
      </c>
      <c r="X63" s="49">
        <f>IF($A63="AEO",'Growth Rates'!W56,'Growth Rates'!W56*'Rescale to Fit GDP Proj'!$D$52)</f>
        <v>1.0638881547569288E-2</v>
      </c>
      <c r="Y63" s="49">
        <f>IF($A63="AEO",'Growth Rates'!X56,'Growth Rates'!X56*'Rescale to Fit GDP Proj'!$D$52)</f>
        <v>1.0301133471732161E-2</v>
      </c>
      <c r="Z63" s="49">
        <f>IF($A63="AEO",'Growth Rates'!Y56,'Growth Rates'!Y56*'Rescale to Fit GDP Proj'!$D$52)</f>
        <v>1.0031565791011068E-2</v>
      </c>
      <c r="AA63" s="49">
        <f>IF($A63="AEO",'Growth Rates'!Z56,'Growth Rates'!Z56*'Rescale to Fit GDP Proj'!$D$52)</f>
        <v>9.8631337651723001E-3</v>
      </c>
      <c r="AB63" s="49">
        <f>IF($A63="AEO",'Growth Rates'!AA56,'Growth Rates'!AA56*'Rescale to Fit GDP Proj'!$D$52)</f>
        <v>9.3485819277131649E-3</v>
      </c>
      <c r="AC63" s="49">
        <f>IF($A63="AEO",'Growth Rates'!AB56,'Growth Rates'!AB56*'Rescale to Fit GDP Proj'!$D$52)</f>
        <v>9.3957905673998626E-3</v>
      </c>
      <c r="AD63" s="49">
        <f>IF($A63="AEO",'Growth Rates'!AC56,'Growth Rates'!AC56*'Rescale to Fit GDP Proj'!$D$52)</f>
        <v>9.4085840288950281E-3</v>
      </c>
      <c r="AE63" s="49">
        <f>IF($A63="AEO",'Growth Rates'!AD56,'Growth Rates'!AD56*'Rescale to Fit GDP Proj'!$D$52)</f>
        <v>9.3731390797313074E-3</v>
      </c>
      <c r="AF63" s="49">
        <f>IF($A63="AEO",'Growth Rates'!AE56,'Growth Rates'!AE56*'Rescale to Fit GDP Proj'!$D$52)</f>
        <v>9.2652576987369457E-3</v>
      </c>
    </row>
    <row r="64" spans="1:32" x14ac:dyDescent="0.3">
      <c r="A64" t="s">
        <v>1334</v>
      </c>
      <c r="B64" s="1" t="s">
        <v>6</v>
      </c>
      <c r="C64" s="49">
        <f>IF($A64="AEO",'Growth Rates'!B57,'Growth Rates'!B57*'Rescale to Fit GDP Proj'!$D$52)</f>
        <v>0</v>
      </c>
      <c r="D64" s="49">
        <f>IF($A64="AEO",'Growth Rates'!C57,'Growth Rates'!C57*'Rescale to Fit GDP Proj'!$D$52)</f>
        <v>-4.9111462171322448E-4</v>
      </c>
      <c r="E64" s="49">
        <f>IF($A64="AEO",'Growth Rates'!D57,'Growth Rates'!D57*'Rescale to Fit GDP Proj'!$D$52)</f>
        <v>-1.5291759005209545E-2</v>
      </c>
      <c r="F64" s="49">
        <f>IF($A64="AEO",'Growth Rates'!E57,'Growth Rates'!E57*'Rescale to Fit GDP Proj'!$D$52)</f>
        <v>-1.016174478068347E-2</v>
      </c>
      <c r="G64" s="49">
        <f>IF($A64="AEO",'Growth Rates'!F57,'Growth Rates'!F57*'Rescale to Fit GDP Proj'!$D$52)</f>
        <v>4.3146482214819338E-4</v>
      </c>
      <c r="H64" s="49">
        <f>IF($A64="AEO",'Growth Rates'!G57,'Growth Rates'!G57*'Rescale to Fit GDP Proj'!$D$52)</f>
        <v>1.8861179006834535E-2</v>
      </c>
      <c r="I64" s="49">
        <f>IF($A64="AEO",'Growth Rates'!H57,'Growth Rates'!H57*'Rescale to Fit GDP Proj'!$D$52)</f>
        <v>2.285464942719714E-2</v>
      </c>
      <c r="J64" s="49">
        <f>IF($A64="AEO",'Growth Rates'!I57,'Growth Rates'!I57*'Rescale to Fit GDP Proj'!$D$52)</f>
        <v>1.5633738108204877E-2</v>
      </c>
      <c r="K64" s="49">
        <f>IF($A64="AEO",'Growth Rates'!J57,'Growth Rates'!J57*'Rescale to Fit GDP Proj'!$D$52)</f>
        <v>6.6148158689388467E-3</v>
      </c>
      <c r="L64" s="49">
        <f>IF($A64="AEO",'Growth Rates'!K57,'Growth Rates'!K57*'Rescale to Fit GDP Proj'!$D$52)</f>
        <v>1.5438154404753086E-3</v>
      </c>
      <c r="M64" s="49">
        <f>IF($A64="AEO",'Growth Rates'!L57,'Growth Rates'!L57*'Rescale to Fit GDP Proj'!$D$52)</f>
        <v>4.4272973335657273E-3</v>
      </c>
      <c r="N64" s="49">
        <f>IF($A64="AEO",'Growth Rates'!M57,'Growth Rates'!M57*'Rescale to Fit GDP Proj'!$D$52)</f>
        <v>9.1903449354974361E-3</v>
      </c>
      <c r="O64" s="49">
        <f>IF($A64="AEO",'Growth Rates'!N57,'Growth Rates'!N57*'Rescale to Fit GDP Proj'!$D$52)</f>
        <v>7.5654853176274732E-3</v>
      </c>
      <c r="P64" s="49">
        <f>IF($A64="AEO",'Growth Rates'!O57,'Growth Rates'!O57*'Rescale to Fit GDP Proj'!$D$52)</f>
        <v>4.4542168755109749E-3</v>
      </c>
      <c r="Q64" s="49">
        <f>IF($A64="AEO",'Growth Rates'!P57,'Growth Rates'!P57*'Rescale to Fit GDP Proj'!$D$52)</f>
        <v>1.5214206110259086E-3</v>
      </c>
      <c r="R64" s="49">
        <f>IF($A64="AEO",'Growth Rates'!Q57,'Growth Rates'!Q57*'Rescale to Fit GDP Proj'!$D$52)</f>
        <v>-1.1139696168862671E-3</v>
      </c>
      <c r="S64" s="49">
        <f>IF($A64="AEO",'Growth Rates'!R57,'Growth Rates'!R57*'Rescale to Fit GDP Proj'!$D$52)</f>
        <v>-3.8268554496087193E-3</v>
      </c>
      <c r="T64" s="49">
        <f>IF($A64="AEO",'Growth Rates'!S57,'Growth Rates'!S57*'Rescale to Fit GDP Proj'!$D$52)</f>
        <v>-5.9153771360735616E-3</v>
      </c>
      <c r="U64" s="49">
        <f>IF($A64="AEO",'Growth Rates'!T57,'Growth Rates'!T57*'Rescale to Fit GDP Proj'!$D$52)</f>
        <v>-7.9561139076308861E-3</v>
      </c>
      <c r="V64" s="49">
        <f>IF($A64="AEO",'Growth Rates'!U57,'Growth Rates'!U57*'Rescale to Fit GDP Proj'!$D$52)</f>
        <v>-5.1567775462385357E-3</v>
      </c>
      <c r="W64" s="49">
        <f>IF($A64="AEO",'Growth Rates'!V57,'Growth Rates'!V57*'Rescale to Fit GDP Proj'!$D$52)</f>
        <v>-5.101284118080922E-3</v>
      </c>
      <c r="X64" s="49">
        <f>IF($A64="AEO",'Growth Rates'!W57,'Growth Rates'!W57*'Rescale to Fit GDP Proj'!$D$52)</f>
        <v>-6.4406231054001881E-3</v>
      </c>
      <c r="Y64" s="49">
        <f>IF($A64="AEO",'Growth Rates'!X57,'Growth Rates'!X57*'Rescale to Fit GDP Proj'!$D$52)</f>
        <v>-6.5242911363197573E-3</v>
      </c>
      <c r="Z64" s="49">
        <f>IF($A64="AEO",'Growth Rates'!Y57,'Growth Rates'!Y57*'Rescale to Fit GDP Proj'!$D$52)</f>
        <v>-8.6949173686372335E-3</v>
      </c>
      <c r="AA64" s="49">
        <f>IF($A64="AEO",'Growth Rates'!Z57,'Growth Rates'!Z57*'Rescale to Fit GDP Proj'!$D$52)</f>
        <v>-9.3854952547869006E-3</v>
      </c>
      <c r="AB64" s="49">
        <f>IF($A64="AEO",'Growth Rates'!AA57,'Growth Rates'!AA57*'Rescale to Fit GDP Proj'!$D$52)</f>
        <v>-8.308223826085346E-3</v>
      </c>
      <c r="AC64" s="49">
        <f>IF($A64="AEO",'Growth Rates'!AB57,'Growth Rates'!AB57*'Rescale to Fit GDP Proj'!$D$52)</f>
        <v>-7.3409171008541113E-3</v>
      </c>
      <c r="AD64" s="49">
        <f>IF($A64="AEO",'Growth Rates'!AC57,'Growth Rates'!AC57*'Rescale to Fit GDP Proj'!$D$52)</f>
        <v>-8.1107256377364705E-3</v>
      </c>
      <c r="AE64" s="49">
        <f>IF($A64="AEO",'Growth Rates'!AD57,'Growth Rates'!AD57*'Rescale to Fit GDP Proj'!$D$52)</f>
        <v>-8.8553465606447165E-3</v>
      </c>
      <c r="AF64" s="49">
        <f>IF($A64="AEO",'Growth Rates'!AE57,'Growth Rates'!AE57*'Rescale to Fit GDP Proj'!$D$52)</f>
        <v>-7.0890216139395485E-3</v>
      </c>
    </row>
    <row r="65" spans="1:32" x14ac:dyDescent="0.3">
      <c r="A65" t="s">
        <v>1334</v>
      </c>
      <c r="B65" s="1" t="s">
        <v>7</v>
      </c>
      <c r="C65" s="49">
        <f>IF($A65="AEO",'Growth Rates'!B58,'Growth Rates'!B58*'Rescale to Fit GDP Proj'!$D$52)</f>
        <v>0</v>
      </c>
      <c r="D65" s="49">
        <f>IF($A65="AEO",'Growth Rates'!C58,'Growth Rates'!C58*'Rescale to Fit GDP Proj'!$D$52)</f>
        <v>-6.4436017867348285E-3</v>
      </c>
      <c r="E65" s="49">
        <f>IF($A65="AEO",'Growth Rates'!D58,'Growth Rates'!D58*'Rescale to Fit GDP Proj'!$D$52)</f>
        <v>-9.1320585524731934E-2</v>
      </c>
      <c r="F65" s="49">
        <f>IF($A65="AEO",'Growth Rates'!E58,'Growth Rates'!E58*'Rescale to Fit GDP Proj'!$D$52)</f>
        <v>-2.6686380968049761E-2</v>
      </c>
      <c r="G65" s="49">
        <f>IF($A65="AEO",'Growth Rates'!F58,'Growth Rates'!F58*'Rescale to Fit GDP Proj'!$D$52)</f>
        <v>1.8734118664251009E-2</v>
      </c>
      <c r="H65" s="49">
        <f>IF($A65="AEO",'Growth Rates'!G58,'Growth Rates'!G58*'Rescale to Fit GDP Proj'!$D$52)</f>
        <v>-1.2793884024530439E-2</v>
      </c>
      <c r="I65" s="49">
        <f>IF($A65="AEO",'Growth Rates'!H58,'Growth Rates'!H58*'Rescale to Fit GDP Proj'!$D$52)</f>
        <v>-4.4872067806222575E-3</v>
      </c>
      <c r="J65" s="49">
        <f>IF($A65="AEO",'Growth Rates'!I58,'Growth Rates'!I58*'Rescale to Fit GDP Proj'!$D$52)</f>
        <v>1.3003257427932877E-2</v>
      </c>
      <c r="K65" s="49">
        <f>IF($A65="AEO",'Growth Rates'!J58,'Growth Rates'!J58*'Rescale to Fit GDP Proj'!$D$52)</f>
        <v>1.6913467856892166E-2</v>
      </c>
      <c r="L65" s="49">
        <f>IF($A65="AEO",'Growth Rates'!K58,'Growth Rates'!K58*'Rescale to Fit GDP Proj'!$D$52)</f>
        <v>7.600720328201113E-3</v>
      </c>
      <c r="M65" s="49">
        <f>IF($A65="AEO",'Growth Rates'!L58,'Growth Rates'!L58*'Rescale to Fit GDP Proj'!$D$52)</f>
        <v>3.7988388227362243E-3</v>
      </c>
      <c r="N65" s="49">
        <f>IF($A65="AEO",'Growth Rates'!M58,'Growth Rates'!M58*'Rescale to Fit GDP Proj'!$D$52)</f>
        <v>1.1840676289599993E-2</v>
      </c>
      <c r="O65" s="49">
        <f>IF($A65="AEO",'Growth Rates'!N58,'Growth Rates'!N58*'Rescale to Fit GDP Proj'!$D$52)</f>
        <v>1.4192239254918379E-2</v>
      </c>
      <c r="P65" s="49">
        <f>IF($A65="AEO",'Growth Rates'!O58,'Growth Rates'!O58*'Rescale to Fit GDP Proj'!$D$52)</f>
        <v>1.7041881182366773E-2</v>
      </c>
      <c r="Q65" s="49">
        <f>IF($A65="AEO",'Growth Rates'!P58,'Growth Rates'!P58*'Rescale to Fit GDP Proj'!$D$52)</f>
        <v>9.2008150361878663E-3</v>
      </c>
      <c r="R65" s="49">
        <f>IF($A65="AEO",'Growth Rates'!Q58,'Growth Rates'!Q58*'Rescale to Fit GDP Proj'!$D$52)</f>
        <v>-3.1531637270027701E-3</v>
      </c>
      <c r="S65" s="49">
        <f>IF($A65="AEO",'Growth Rates'!R58,'Growth Rates'!R58*'Rescale to Fit GDP Proj'!$D$52)</f>
        <v>4.9909695027390765E-3</v>
      </c>
      <c r="T65" s="49">
        <f>IF($A65="AEO",'Growth Rates'!S58,'Growth Rates'!S58*'Rescale to Fit GDP Proj'!$D$52)</f>
        <v>3.4092660874322804E-3</v>
      </c>
      <c r="U65" s="49">
        <f>IF($A65="AEO",'Growth Rates'!T58,'Growth Rates'!T58*'Rescale to Fit GDP Proj'!$D$52)</f>
        <v>5.1082886386212521E-3</v>
      </c>
      <c r="V65" s="49">
        <f>IF($A65="AEO",'Growth Rates'!U58,'Growth Rates'!U58*'Rescale to Fit GDP Proj'!$D$52)</f>
        <v>7.8306178746015559E-3</v>
      </c>
      <c r="W65" s="49">
        <f>IF($A65="AEO",'Growth Rates'!V58,'Growth Rates'!V58*'Rescale to Fit GDP Proj'!$D$52)</f>
        <v>1.1136497397777069E-2</v>
      </c>
      <c r="X65" s="49">
        <f>IF($A65="AEO",'Growth Rates'!W58,'Growth Rates'!W58*'Rescale to Fit GDP Proj'!$D$52)</f>
        <v>8.9852470130329879E-3</v>
      </c>
      <c r="Y65" s="49">
        <f>IF($A65="AEO",'Growth Rates'!X58,'Growth Rates'!X58*'Rescale to Fit GDP Proj'!$D$52)</f>
        <v>5.8519228091203999E-3</v>
      </c>
      <c r="Z65" s="49">
        <f>IF($A65="AEO",'Growth Rates'!Y58,'Growth Rates'!Y58*'Rescale to Fit GDP Proj'!$D$52)</f>
        <v>7.1294085400261636E-4</v>
      </c>
      <c r="AA65" s="49">
        <f>IF($A65="AEO",'Growth Rates'!Z58,'Growth Rates'!Z58*'Rescale to Fit GDP Proj'!$D$52)</f>
        <v>-5.8862962270255035E-3</v>
      </c>
      <c r="AB65" s="49">
        <f>IF($A65="AEO",'Growth Rates'!AA58,'Growth Rates'!AA58*'Rescale to Fit GDP Proj'!$D$52)</f>
        <v>-3.8262516813534026E-3</v>
      </c>
      <c r="AC65" s="49">
        <f>IF($A65="AEO",'Growth Rates'!AB58,'Growth Rates'!AB58*'Rescale to Fit GDP Proj'!$D$52)</f>
        <v>1.2653771973639085E-3</v>
      </c>
      <c r="AD65" s="49">
        <f>IF($A65="AEO",'Growth Rates'!AC58,'Growth Rates'!AC58*'Rescale to Fit GDP Proj'!$D$52)</f>
        <v>-2.0266054103891852E-3</v>
      </c>
      <c r="AE65" s="49">
        <f>IF($A65="AEO",'Growth Rates'!AD58,'Growth Rates'!AD58*'Rescale to Fit GDP Proj'!$D$52)</f>
        <v>8.2720217034418426E-4</v>
      </c>
      <c r="AF65" s="49">
        <f>IF($A65="AEO",'Growth Rates'!AE58,'Growth Rates'!AE58*'Rescale to Fit GDP Proj'!$D$52)</f>
        <v>1.0461092933475889E-2</v>
      </c>
    </row>
    <row r="66" spans="1:32" x14ac:dyDescent="0.3">
      <c r="A66" t="s">
        <v>1334</v>
      </c>
      <c r="B66" s="1" t="s">
        <v>8</v>
      </c>
      <c r="C66" s="49">
        <f>IF($A66="AEO",'Growth Rates'!B59,'Growth Rates'!B59*'Rescale to Fit GDP Proj'!$D$52)</f>
        <v>0</v>
      </c>
      <c r="D66" s="49">
        <f>IF($A66="AEO",'Growth Rates'!C59,'Growth Rates'!C59*'Rescale to Fit GDP Proj'!$D$52)</f>
        <v>3.4978912866429096E-2</v>
      </c>
      <c r="E66" s="49">
        <f>IF($A66="AEO",'Growth Rates'!D59,'Growth Rates'!D59*'Rescale to Fit GDP Proj'!$D$52)</f>
        <v>-2.2942396061906543E-2</v>
      </c>
      <c r="F66" s="49">
        <f>IF($A66="AEO",'Growth Rates'!E59,'Growth Rates'!E59*'Rescale to Fit GDP Proj'!$D$52)</f>
        <v>-2.2234640317225818E-2</v>
      </c>
      <c r="G66" s="49">
        <f>IF($A66="AEO",'Growth Rates'!F59,'Growth Rates'!F59*'Rescale to Fit GDP Proj'!$D$52)</f>
        <v>-1.4451533039088762E-3</v>
      </c>
      <c r="H66" s="49">
        <f>IF($A66="AEO",'Growth Rates'!G59,'Growth Rates'!G59*'Rescale to Fit GDP Proj'!$D$52)</f>
        <v>5.1444073245757449E-3</v>
      </c>
      <c r="I66" s="49">
        <f>IF($A66="AEO",'Growth Rates'!H59,'Growth Rates'!H59*'Rescale to Fit GDP Proj'!$D$52)</f>
        <v>6.1956362820958406E-3</v>
      </c>
      <c r="J66" s="49">
        <f>IF($A66="AEO",'Growth Rates'!I59,'Growth Rates'!I59*'Rescale to Fit GDP Proj'!$D$52)</f>
        <v>5.9704499016734053E-3</v>
      </c>
      <c r="K66" s="49">
        <f>IF($A66="AEO",'Growth Rates'!J59,'Growth Rates'!J59*'Rescale to Fit GDP Proj'!$D$52)</f>
        <v>5.2781964925690148E-3</v>
      </c>
      <c r="L66" s="49">
        <f>IF($A66="AEO",'Growth Rates'!K59,'Growth Rates'!K59*'Rescale to Fit GDP Proj'!$D$52)</f>
        <v>4.6418588737639974E-3</v>
      </c>
      <c r="M66" s="49">
        <f>IF($A66="AEO",'Growth Rates'!L59,'Growth Rates'!L59*'Rescale to Fit GDP Proj'!$D$52)</f>
        <v>7.0155427090759287E-3</v>
      </c>
      <c r="N66" s="49">
        <f>IF($A66="AEO",'Growth Rates'!M59,'Growth Rates'!M59*'Rescale to Fit GDP Proj'!$D$52)</f>
        <v>8.022599442253503E-3</v>
      </c>
      <c r="O66" s="49">
        <f>IF($A66="AEO",'Growth Rates'!N59,'Growth Rates'!N59*'Rescale to Fit GDP Proj'!$D$52)</f>
        <v>6.6249080887970631E-3</v>
      </c>
      <c r="P66" s="49">
        <f>IF($A66="AEO",'Growth Rates'!O59,'Growth Rates'!O59*'Rescale to Fit GDP Proj'!$D$52)</f>
        <v>7.0576137448537376E-3</v>
      </c>
      <c r="Q66" s="49">
        <f>IF($A66="AEO",'Growth Rates'!P59,'Growth Rates'!P59*'Rescale to Fit GDP Proj'!$D$52)</f>
        <v>7.4492850937745549E-3</v>
      </c>
      <c r="R66" s="49">
        <f>IF($A66="AEO",'Growth Rates'!Q59,'Growth Rates'!Q59*'Rescale to Fit GDP Proj'!$D$52)</f>
        <v>5.6427000243567463E-3</v>
      </c>
      <c r="S66" s="49">
        <f>IF($A66="AEO",'Growth Rates'!R59,'Growth Rates'!R59*'Rescale to Fit GDP Proj'!$D$52)</f>
        <v>6.3743214691685049E-3</v>
      </c>
      <c r="T66" s="49">
        <f>IF($A66="AEO",'Growth Rates'!S59,'Growth Rates'!S59*'Rescale to Fit GDP Proj'!$D$52)</f>
        <v>5.3302812843256569E-3</v>
      </c>
      <c r="U66" s="49">
        <f>IF($A66="AEO",'Growth Rates'!T59,'Growth Rates'!T59*'Rescale to Fit GDP Proj'!$D$52)</f>
        <v>5.7048173214100124E-3</v>
      </c>
      <c r="V66" s="49">
        <f>IF($A66="AEO",'Growth Rates'!U59,'Growth Rates'!U59*'Rescale to Fit GDP Proj'!$D$52)</f>
        <v>6.0568375792226532E-3</v>
      </c>
      <c r="W66" s="49">
        <f>IF($A66="AEO",'Growth Rates'!V59,'Growth Rates'!V59*'Rescale to Fit GDP Proj'!$D$52)</f>
        <v>5.5613882132536071E-3</v>
      </c>
      <c r="X66" s="49">
        <f>IF($A66="AEO",'Growth Rates'!W59,'Growth Rates'!W59*'Rescale to Fit GDP Proj'!$D$52)</f>
        <v>6.044285168310422E-3</v>
      </c>
      <c r="Y66" s="49">
        <f>IF($A66="AEO",'Growth Rates'!X59,'Growth Rates'!X59*'Rescale to Fit GDP Proj'!$D$52)</f>
        <v>5.0612501133041167E-3</v>
      </c>
      <c r="Z66" s="49">
        <f>IF($A66="AEO",'Growth Rates'!Y59,'Growth Rates'!Y59*'Rescale to Fit GDP Proj'!$D$52)</f>
        <v>3.2643846150916551E-3</v>
      </c>
      <c r="AA66" s="49">
        <f>IF($A66="AEO",'Growth Rates'!Z59,'Growth Rates'!Z59*'Rescale to Fit GDP Proj'!$D$52)</f>
        <v>2.0710964939540588E-3</v>
      </c>
      <c r="AB66" s="49">
        <f>IF($A66="AEO",'Growth Rates'!AA59,'Growth Rates'!AA59*'Rescale to Fit GDP Proj'!$D$52)</f>
        <v>4.1284221972227291E-3</v>
      </c>
      <c r="AC66" s="49">
        <f>IF($A66="AEO",'Growth Rates'!AB59,'Growth Rates'!AB59*'Rescale to Fit GDP Proj'!$D$52)</f>
        <v>6.2435042413655183E-3</v>
      </c>
      <c r="AD66" s="49">
        <f>IF($A66="AEO",'Growth Rates'!AC59,'Growth Rates'!AC59*'Rescale to Fit GDP Proj'!$D$52)</f>
        <v>2.5767789247811558E-3</v>
      </c>
      <c r="AE66" s="49">
        <f>IF($A66="AEO",'Growth Rates'!AD59,'Growth Rates'!AD59*'Rescale to Fit GDP Proj'!$D$52)</f>
        <v>3.4895377543552866E-3</v>
      </c>
      <c r="AF66" s="49">
        <f>IF($A66="AEO",'Growth Rates'!AE59,'Growth Rates'!AE59*'Rescale to Fit GDP Proj'!$D$52)</f>
        <v>7.1864950152973443E-3</v>
      </c>
    </row>
    <row r="67" spans="1:32" x14ac:dyDescent="0.3">
      <c r="A67" t="s">
        <v>1334</v>
      </c>
      <c r="B67" s="1" t="s">
        <v>9</v>
      </c>
      <c r="C67" s="49">
        <f>IF($A67="AEO",'Growth Rates'!B60,'Growth Rates'!B60*'Rescale to Fit GDP Proj'!$D$52)</f>
        <v>0</v>
      </c>
      <c r="D67" s="49">
        <f>IF($A67="AEO",'Growth Rates'!C60,'Growth Rates'!C60*'Rescale to Fit GDP Proj'!$D$52)</f>
        <v>3.5549761599716782E-2</v>
      </c>
      <c r="E67" s="49">
        <f>IF($A67="AEO",'Growth Rates'!D60,'Growth Rates'!D60*'Rescale to Fit GDP Proj'!$D$52)</f>
        <v>8.5422436141874045E-2</v>
      </c>
      <c r="F67" s="49">
        <f>IF($A67="AEO",'Growth Rates'!E60,'Growth Rates'!E60*'Rescale to Fit GDP Proj'!$D$52)</f>
        <v>-2.9162063235914689E-3</v>
      </c>
      <c r="G67" s="49">
        <f>IF($A67="AEO",'Growth Rates'!F60,'Growth Rates'!F60*'Rescale to Fit GDP Proj'!$D$52)</f>
        <v>-3.6921541704652942E-3</v>
      </c>
      <c r="H67" s="49">
        <f>IF($A67="AEO",'Growth Rates'!G60,'Growth Rates'!G60*'Rescale to Fit GDP Proj'!$D$52)</f>
        <v>-4.4459641489246358E-3</v>
      </c>
      <c r="I67" s="49">
        <f>IF($A67="AEO",'Growth Rates'!H60,'Growth Rates'!H60*'Rescale to Fit GDP Proj'!$D$52)</f>
        <v>-2.7839791562164679E-3</v>
      </c>
      <c r="J67" s="49">
        <f>IF($A67="AEO",'Growth Rates'!I60,'Growth Rates'!I60*'Rescale to Fit GDP Proj'!$D$52)</f>
        <v>-3.0173430821903006E-3</v>
      </c>
      <c r="K67" s="49">
        <f>IF($A67="AEO",'Growth Rates'!J60,'Growth Rates'!J60*'Rescale to Fit GDP Proj'!$D$52)</f>
        <v>-4.4642639627459312E-3</v>
      </c>
      <c r="L67" s="49">
        <f>IF($A67="AEO",'Growth Rates'!K60,'Growth Rates'!K60*'Rescale to Fit GDP Proj'!$D$52)</f>
        <v>-6.8685432765323174E-3</v>
      </c>
      <c r="M67" s="49">
        <f>IF($A67="AEO",'Growth Rates'!L60,'Growth Rates'!L60*'Rescale to Fit GDP Proj'!$D$52)</f>
        <v>-6.5397302696028744E-3</v>
      </c>
      <c r="N67" s="49">
        <f>IF($A67="AEO",'Growth Rates'!M60,'Growth Rates'!M60*'Rescale to Fit GDP Proj'!$D$52)</f>
        <v>-4.0037643863698891E-3</v>
      </c>
      <c r="O67" s="49">
        <f>IF($A67="AEO",'Growth Rates'!N60,'Growth Rates'!N60*'Rescale to Fit GDP Proj'!$D$52)</f>
        <v>-3.3817787368336963E-3</v>
      </c>
      <c r="P67" s="49">
        <f>IF($A67="AEO",'Growth Rates'!O60,'Growth Rates'!O60*'Rescale to Fit GDP Proj'!$D$52)</f>
        <v>-1.8111949344755166E-3</v>
      </c>
      <c r="Q67" s="49">
        <f>IF($A67="AEO",'Growth Rates'!P60,'Growth Rates'!P60*'Rescale to Fit GDP Proj'!$D$52)</f>
        <v>-3.1460550920145219E-3</v>
      </c>
      <c r="R67" s="49">
        <f>IF($A67="AEO",'Growth Rates'!Q60,'Growth Rates'!Q60*'Rescale to Fit GDP Proj'!$D$52)</f>
        <v>-2.9264288710563321E-3</v>
      </c>
      <c r="S67" s="49">
        <f>IF($A67="AEO",'Growth Rates'!R60,'Growth Rates'!R60*'Rescale to Fit GDP Proj'!$D$52)</f>
        <v>-1.9351653128902295E-3</v>
      </c>
      <c r="T67" s="49">
        <f>IF($A67="AEO",'Growth Rates'!S60,'Growth Rates'!S60*'Rescale to Fit GDP Proj'!$D$52)</f>
        <v>-1.6511179367828576E-3</v>
      </c>
      <c r="U67" s="49">
        <f>IF($A67="AEO",'Growth Rates'!T60,'Growth Rates'!T60*'Rescale to Fit GDP Proj'!$D$52)</f>
        <v>1.039823258265792E-4</v>
      </c>
      <c r="V67" s="49">
        <f>IF($A67="AEO",'Growth Rates'!U60,'Growth Rates'!U60*'Rescale to Fit GDP Proj'!$D$52)</f>
        <v>1.4413036642788759E-3</v>
      </c>
      <c r="W67" s="49">
        <f>IF($A67="AEO",'Growth Rates'!V60,'Growth Rates'!V60*'Rescale to Fit GDP Proj'!$D$52)</f>
        <v>1.4745374307624805E-3</v>
      </c>
      <c r="X67" s="49">
        <f>IF($A67="AEO",'Growth Rates'!W60,'Growth Rates'!W60*'Rescale to Fit GDP Proj'!$D$52)</f>
        <v>2.4567914243197766E-3</v>
      </c>
      <c r="Y67" s="49">
        <f>IF($A67="AEO",'Growth Rates'!X60,'Growth Rates'!X60*'Rescale to Fit GDP Proj'!$D$52)</f>
        <v>2.7201412232435748E-3</v>
      </c>
      <c r="Z67" s="49">
        <f>IF($A67="AEO",'Growth Rates'!Y60,'Growth Rates'!Y60*'Rescale to Fit GDP Proj'!$D$52)</f>
        <v>3.0700615556106333E-3</v>
      </c>
      <c r="AA67" s="49">
        <f>IF($A67="AEO",'Growth Rates'!Z60,'Growth Rates'!Z60*'Rescale to Fit GDP Proj'!$D$52)</f>
        <v>2.1917995738792305E-3</v>
      </c>
      <c r="AB67" s="49">
        <f>IF($A67="AEO",'Growth Rates'!AA60,'Growth Rates'!AA60*'Rescale to Fit GDP Proj'!$D$52)</f>
        <v>4.8523798265235193E-3</v>
      </c>
      <c r="AC67" s="49">
        <f>IF($A67="AEO",'Growth Rates'!AB60,'Growth Rates'!AB60*'Rescale to Fit GDP Proj'!$D$52)</f>
        <v>5.2460421311441444E-3</v>
      </c>
      <c r="AD67" s="49">
        <f>IF($A67="AEO",'Growth Rates'!AC60,'Growth Rates'!AC60*'Rescale to Fit GDP Proj'!$D$52)</f>
        <v>2.7966121304044541E-3</v>
      </c>
      <c r="AE67" s="49">
        <f>IF($A67="AEO",'Growth Rates'!AD60,'Growth Rates'!AD60*'Rescale to Fit GDP Proj'!$D$52)</f>
        <v>4.9953916870836505E-3</v>
      </c>
      <c r="AF67" s="49">
        <f>IF($A67="AEO",'Growth Rates'!AE60,'Growth Rates'!AE60*'Rescale to Fit GDP Proj'!$D$52)</f>
        <v>9.3978866602612912E-3</v>
      </c>
    </row>
    <row r="68" spans="1:32" x14ac:dyDescent="0.3">
      <c r="A68" t="s">
        <v>1334</v>
      </c>
      <c r="B68" s="1" t="s">
        <v>35</v>
      </c>
      <c r="C68" s="49">
        <f>IF($A68="AEO",'Growth Rates'!B61,'Growth Rates'!B61*'Rescale to Fit GDP Proj'!$D$52)</f>
        <v>0</v>
      </c>
      <c r="D68" s="49">
        <f>IF($A68="AEO",'Growth Rates'!C61,'Growth Rates'!C61*'Rescale to Fit GDP Proj'!$D$52)</f>
        <v>-1.3315353457095599E-2</v>
      </c>
      <c r="E68" s="49">
        <f>IF($A68="AEO",'Growth Rates'!D61,'Growth Rates'!D61*'Rescale to Fit GDP Proj'!$D$52)</f>
        <v>-2.2106270257130602E-2</v>
      </c>
      <c r="F68" s="49">
        <f>IF($A68="AEO",'Growth Rates'!E61,'Growth Rates'!E61*'Rescale to Fit GDP Proj'!$D$52)</f>
        <v>-1.1879799259947031E-2</v>
      </c>
      <c r="G68" s="49">
        <f>IF($A68="AEO",'Growth Rates'!F61,'Growth Rates'!F61*'Rescale to Fit GDP Proj'!$D$52)</f>
        <v>1.6304088133195158E-2</v>
      </c>
      <c r="H68" s="49">
        <f>IF($A68="AEO",'Growth Rates'!G61,'Growth Rates'!G61*'Rescale to Fit GDP Proj'!$D$52)</f>
        <v>2.3084206856319338E-2</v>
      </c>
      <c r="I68" s="49">
        <f>IF($A68="AEO",'Growth Rates'!H61,'Growth Rates'!H61*'Rescale to Fit GDP Proj'!$D$52)</f>
        <v>2.3260266307037772E-2</v>
      </c>
      <c r="J68" s="49">
        <f>IF($A68="AEO",'Growth Rates'!I61,'Growth Rates'!I61*'Rescale to Fit GDP Proj'!$D$52)</f>
        <v>2.00138492086438E-2</v>
      </c>
      <c r="K68" s="49">
        <f>IF($A68="AEO",'Growth Rates'!J61,'Growth Rates'!J61*'Rescale to Fit GDP Proj'!$D$52)</f>
        <v>1.5561226844888712E-2</v>
      </c>
      <c r="L68" s="49">
        <f>IF($A68="AEO",'Growth Rates'!K61,'Growth Rates'!K61*'Rescale to Fit GDP Proj'!$D$52)</f>
        <v>1.262321040653838E-2</v>
      </c>
      <c r="M68" s="49">
        <f>IF($A68="AEO",'Growth Rates'!L61,'Growth Rates'!L61*'Rescale to Fit GDP Proj'!$D$52)</f>
        <v>1.3965973392747546E-2</v>
      </c>
      <c r="N68" s="49">
        <f>IF($A68="AEO",'Growth Rates'!M61,'Growth Rates'!M61*'Rescale to Fit GDP Proj'!$D$52)</f>
        <v>1.7598013620528839E-2</v>
      </c>
      <c r="O68" s="49">
        <f>IF($A68="AEO",'Growth Rates'!N61,'Growth Rates'!N61*'Rescale to Fit GDP Proj'!$D$52)</f>
        <v>1.7575519865906782E-2</v>
      </c>
      <c r="P68" s="49">
        <f>IF($A68="AEO",'Growth Rates'!O61,'Growth Rates'!O61*'Rescale to Fit GDP Proj'!$D$52)</f>
        <v>1.9910222932646632E-2</v>
      </c>
      <c r="Q68" s="49">
        <f>IF($A68="AEO",'Growth Rates'!P61,'Growth Rates'!P61*'Rescale to Fit GDP Proj'!$D$52)</f>
        <v>2.0114490585850579E-2</v>
      </c>
      <c r="R68" s="49">
        <f>IF($A68="AEO",'Growth Rates'!Q61,'Growth Rates'!Q61*'Rescale to Fit GDP Proj'!$D$52)</f>
        <v>1.8393991595391464E-2</v>
      </c>
      <c r="S68" s="49">
        <f>IF($A68="AEO",'Growth Rates'!R61,'Growth Rates'!R61*'Rescale to Fit GDP Proj'!$D$52)</f>
        <v>1.9179930804956481E-2</v>
      </c>
      <c r="T68" s="49">
        <f>IF($A68="AEO",'Growth Rates'!S61,'Growth Rates'!S61*'Rescale to Fit GDP Proj'!$D$52)</f>
        <v>1.8461289307576338E-2</v>
      </c>
      <c r="U68" s="49">
        <f>IF($A68="AEO",'Growth Rates'!T61,'Growth Rates'!T61*'Rescale to Fit GDP Proj'!$D$52)</f>
        <v>2.003171955813033E-2</v>
      </c>
      <c r="V68" s="49">
        <f>IF($A68="AEO",'Growth Rates'!U61,'Growth Rates'!U61*'Rescale to Fit GDP Proj'!$D$52)</f>
        <v>2.2175946886208473E-2</v>
      </c>
      <c r="W68" s="49">
        <f>IF($A68="AEO",'Growth Rates'!V61,'Growth Rates'!V61*'Rescale to Fit GDP Proj'!$D$52)</f>
        <v>2.2736370789124029E-2</v>
      </c>
      <c r="X68" s="49">
        <f>IF($A68="AEO",'Growth Rates'!W61,'Growth Rates'!W61*'Rescale to Fit GDP Proj'!$D$52)</f>
        <v>2.336233868602116E-2</v>
      </c>
      <c r="Y68" s="49">
        <f>IF($A68="AEO",'Growth Rates'!X61,'Growth Rates'!X61*'Rescale to Fit GDP Proj'!$D$52)</f>
        <v>2.3353297240483611E-2</v>
      </c>
      <c r="Z68" s="49">
        <f>IF($A68="AEO",'Growth Rates'!Y61,'Growth Rates'!Y61*'Rescale to Fit GDP Proj'!$D$52)</f>
        <v>2.1493909084778086E-2</v>
      </c>
      <c r="AA68" s="49">
        <f>IF($A68="AEO",'Growth Rates'!Z61,'Growth Rates'!Z61*'Rescale to Fit GDP Proj'!$D$52)</f>
        <v>1.9263654273879202E-2</v>
      </c>
      <c r="AB68" s="49">
        <f>IF($A68="AEO",'Growth Rates'!AA61,'Growth Rates'!AA61*'Rescale to Fit GDP Proj'!$D$52)</f>
        <v>2.0623838445370649E-2</v>
      </c>
      <c r="AC68" s="49">
        <f>IF($A68="AEO",'Growth Rates'!AB61,'Growth Rates'!AB61*'Rescale to Fit GDP Proj'!$D$52)</f>
        <v>2.2311283706406556E-2</v>
      </c>
      <c r="AD68" s="49">
        <f>IF($A68="AEO",'Growth Rates'!AC61,'Growth Rates'!AC61*'Rescale to Fit GDP Proj'!$D$52)</f>
        <v>1.9064267743415526E-2</v>
      </c>
      <c r="AE68" s="49">
        <f>IF($A68="AEO",'Growth Rates'!AD61,'Growth Rates'!AD61*'Rescale to Fit GDP Proj'!$D$52)</f>
        <v>1.8555543831556196E-2</v>
      </c>
      <c r="AF68" s="49">
        <f>IF($A68="AEO",'Growth Rates'!AE61,'Growth Rates'!AE61*'Rescale to Fit GDP Proj'!$D$52)</f>
        <v>2.2866990672822714E-2</v>
      </c>
    </row>
    <row r="69" spans="1:32" x14ac:dyDescent="0.3">
      <c r="B69" s="1" t="s">
        <v>36</v>
      </c>
      <c r="C69" s="49">
        <f>IF($A69="AEO",'Growth Rates'!B62,'Growth Rates'!B62*'Rescale to Fit GDP Proj'!$D$52)</f>
        <v>0</v>
      </c>
      <c r="D69" s="49">
        <f>IF($A69="AEO",'Growth Rates'!C62,'Growth Rates'!C62*'Rescale to Fit GDP Proj'!$D$52)</f>
        <v>1.7172E-2</v>
      </c>
      <c r="E69" s="49">
        <f>IF($A69="AEO",'Growth Rates'!D62,'Growth Rates'!D62*'Rescale to Fit GDP Proj'!$D$52)</f>
        <v>1.7172E-2</v>
      </c>
      <c r="F69" s="49">
        <f>IF($A69="AEO",'Growth Rates'!E62,'Growth Rates'!E62*'Rescale to Fit GDP Proj'!$D$52)</f>
        <v>1.7172E-2</v>
      </c>
      <c r="G69" s="49">
        <f>IF($A69="AEO",'Growth Rates'!F62,'Growth Rates'!F62*'Rescale to Fit GDP Proj'!$D$52)</f>
        <v>1.7172E-2</v>
      </c>
      <c r="H69" s="49">
        <f>IF($A69="AEO",'Growth Rates'!G62,'Growth Rates'!G62*'Rescale to Fit GDP Proj'!$D$52)</f>
        <v>1.7172E-2</v>
      </c>
      <c r="I69" s="49">
        <f>IF($A69="AEO",'Growth Rates'!H62,'Growth Rates'!H62*'Rescale to Fit GDP Proj'!$D$52)</f>
        <v>1.7172E-2</v>
      </c>
      <c r="J69" s="49">
        <f>IF($A69="AEO",'Growth Rates'!I62,'Growth Rates'!I62*'Rescale to Fit GDP Proj'!$D$52)</f>
        <v>1.7172E-2</v>
      </c>
      <c r="K69" s="49">
        <f>IF($A69="AEO",'Growth Rates'!J62,'Growth Rates'!J62*'Rescale to Fit GDP Proj'!$D$52)</f>
        <v>1.7172E-2</v>
      </c>
      <c r="L69" s="49">
        <f>IF($A69="AEO",'Growth Rates'!K62,'Growth Rates'!K62*'Rescale to Fit GDP Proj'!$D$52)</f>
        <v>1.7172E-2</v>
      </c>
      <c r="M69" s="49">
        <f>IF($A69="AEO",'Growth Rates'!L62,'Growth Rates'!L62*'Rescale to Fit GDP Proj'!$D$52)</f>
        <v>1.7172E-2</v>
      </c>
      <c r="N69" s="49">
        <f>IF($A69="AEO",'Growth Rates'!M62,'Growth Rates'!M62*'Rescale to Fit GDP Proj'!$D$52)</f>
        <v>1.7172E-2</v>
      </c>
      <c r="O69" s="49">
        <f>IF($A69="AEO",'Growth Rates'!N62,'Growth Rates'!N62*'Rescale to Fit GDP Proj'!$D$52)</f>
        <v>1.7172E-2</v>
      </c>
      <c r="P69" s="49">
        <f>IF($A69="AEO",'Growth Rates'!O62,'Growth Rates'!O62*'Rescale to Fit GDP Proj'!$D$52)</f>
        <v>1.7172E-2</v>
      </c>
      <c r="Q69" s="49">
        <f>IF($A69="AEO",'Growth Rates'!P62,'Growth Rates'!P62*'Rescale to Fit GDP Proj'!$D$52)</f>
        <v>1.7172E-2</v>
      </c>
      <c r="R69" s="49">
        <f>IF($A69="AEO",'Growth Rates'!Q62,'Growth Rates'!Q62*'Rescale to Fit GDP Proj'!$D$52)</f>
        <v>1.7172E-2</v>
      </c>
      <c r="S69" s="49">
        <f>IF($A69="AEO",'Growth Rates'!R62,'Growth Rates'!R62*'Rescale to Fit GDP Proj'!$D$52)</f>
        <v>1.7172E-2</v>
      </c>
      <c r="T69" s="49">
        <f>IF($A69="AEO",'Growth Rates'!S62,'Growth Rates'!S62*'Rescale to Fit GDP Proj'!$D$52)</f>
        <v>1.7172E-2</v>
      </c>
      <c r="U69" s="49">
        <f>IF($A69="AEO",'Growth Rates'!T62,'Growth Rates'!T62*'Rescale to Fit GDP Proj'!$D$52)</f>
        <v>1.7172E-2</v>
      </c>
      <c r="V69" s="49">
        <f>IF($A69="AEO",'Growth Rates'!U62,'Growth Rates'!U62*'Rescale to Fit GDP Proj'!$D$52)</f>
        <v>1.7172E-2</v>
      </c>
      <c r="W69" s="49">
        <f>IF($A69="AEO",'Growth Rates'!V62,'Growth Rates'!V62*'Rescale to Fit GDP Proj'!$D$52)</f>
        <v>1.7172E-2</v>
      </c>
      <c r="X69" s="49">
        <f>IF($A69="AEO",'Growth Rates'!W62,'Growth Rates'!W62*'Rescale to Fit GDP Proj'!$D$52)</f>
        <v>1.7172E-2</v>
      </c>
      <c r="Y69" s="49">
        <f>IF($A69="AEO",'Growth Rates'!X62,'Growth Rates'!X62*'Rescale to Fit GDP Proj'!$D$52)</f>
        <v>1.7172E-2</v>
      </c>
      <c r="Z69" s="49">
        <f>IF($A69="AEO",'Growth Rates'!Y62,'Growth Rates'!Y62*'Rescale to Fit GDP Proj'!$D$52)</f>
        <v>1.7172E-2</v>
      </c>
      <c r="AA69" s="49">
        <f>IF($A69="AEO",'Growth Rates'!Z62,'Growth Rates'!Z62*'Rescale to Fit GDP Proj'!$D$52)</f>
        <v>1.7172E-2</v>
      </c>
      <c r="AB69" s="49">
        <f>IF($A69="AEO",'Growth Rates'!AA62,'Growth Rates'!AA62*'Rescale to Fit GDP Proj'!$D$52)</f>
        <v>1.7172E-2</v>
      </c>
      <c r="AC69" s="49">
        <f>IF($A69="AEO",'Growth Rates'!AB62,'Growth Rates'!AB62*'Rescale to Fit GDP Proj'!$D$52)</f>
        <v>1.7172E-2</v>
      </c>
      <c r="AD69" s="49">
        <f>IF($A69="AEO",'Growth Rates'!AC62,'Growth Rates'!AC62*'Rescale to Fit GDP Proj'!$D$52)</f>
        <v>1.7172E-2</v>
      </c>
      <c r="AE69" s="49">
        <f>IF($A69="AEO",'Growth Rates'!AD62,'Growth Rates'!AD62*'Rescale to Fit GDP Proj'!$D$52)</f>
        <v>1.7172E-2</v>
      </c>
      <c r="AF69" s="49">
        <f>IF($A69="AEO",'Growth Rates'!AE62,'Growth Rates'!AE62*'Rescale to Fit GDP Proj'!$D$52)</f>
        <v>1.7172E-2</v>
      </c>
    </row>
    <row r="70" spans="1:32" x14ac:dyDescent="0.3">
      <c r="A70" t="s">
        <v>1334</v>
      </c>
      <c r="B70" s="1" t="s">
        <v>10</v>
      </c>
      <c r="C70" s="49">
        <f>IF($A70="AEO",'Growth Rates'!B63,'Growth Rates'!B63*'Rescale to Fit GDP Proj'!$D$52)</f>
        <v>0</v>
      </c>
      <c r="D70" s="49">
        <f>IF($A70="AEO",'Growth Rates'!C63,'Growth Rates'!C63*'Rescale to Fit GDP Proj'!$D$52)</f>
        <v>3.712792644662908E-2</v>
      </c>
      <c r="E70" s="49">
        <f>IF($A70="AEO",'Growth Rates'!D63,'Growth Rates'!D63*'Rescale to Fit GDP Proj'!$D$52)</f>
        <v>-2.0293272640968463E-2</v>
      </c>
      <c r="F70" s="49">
        <f>IF($A70="AEO",'Growth Rates'!E63,'Growth Rates'!E63*'Rescale to Fit GDP Proj'!$D$52)</f>
        <v>-7.2429512347781258E-3</v>
      </c>
      <c r="G70" s="49">
        <f>IF($A70="AEO",'Growth Rates'!F63,'Growth Rates'!F63*'Rescale to Fit GDP Proj'!$D$52)</f>
        <v>1.4554491943408569E-2</v>
      </c>
      <c r="H70" s="49">
        <f>IF($A70="AEO",'Growth Rates'!G63,'Growth Rates'!G63*'Rescale to Fit GDP Proj'!$D$52)</f>
        <v>2.6256250382066283E-2</v>
      </c>
      <c r="I70" s="49">
        <f>IF($A70="AEO",'Growth Rates'!H63,'Growth Rates'!H63*'Rescale to Fit GDP Proj'!$D$52)</f>
        <v>2.2568493364563853E-2</v>
      </c>
      <c r="J70" s="49">
        <f>IF($A70="AEO",'Growth Rates'!I63,'Growth Rates'!I63*'Rescale to Fit GDP Proj'!$D$52)</f>
        <v>1.8687012132278472E-2</v>
      </c>
      <c r="K70" s="49">
        <f>IF($A70="AEO",'Growth Rates'!J63,'Growth Rates'!J63*'Rescale to Fit GDP Proj'!$D$52)</f>
        <v>1.7180053868551946E-2</v>
      </c>
      <c r="L70" s="49">
        <f>IF($A70="AEO",'Growth Rates'!K63,'Growth Rates'!K63*'Rescale to Fit GDP Proj'!$D$52)</f>
        <v>1.4263383693081888E-2</v>
      </c>
      <c r="M70" s="49">
        <f>IF($A70="AEO",'Growth Rates'!L63,'Growth Rates'!L63*'Rescale to Fit GDP Proj'!$D$52)</f>
        <v>1.6555982064198307E-2</v>
      </c>
      <c r="N70" s="49">
        <f>IF($A70="AEO",'Growth Rates'!M63,'Growth Rates'!M63*'Rescale to Fit GDP Proj'!$D$52)</f>
        <v>2.0840102190469979E-2</v>
      </c>
      <c r="O70" s="49">
        <f>IF($A70="AEO",'Growth Rates'!N63,'Growth Rates'!N63*'Rescale to Fit GDP Proj'!$D$52)</f>
        <v>1.8700078476099148E-2</v>
      </c>
      <c r="P70" s="49">
        <f>IF($A70="AEO",'Growth Rates'!O63,'Growth Rates'!O63*'Rescale to Fit GDP Proj'!$D$52)</f>
        <v>1.7189480406808698E-2</v>
      </c>
      <c r="Q70" s="49">
        <f>IF($A70="AEO",'Growth Rates'!P63,'Growth Rates'!P63*'Rescale to Fit GDP Proj'!$D$52)</f>
        <v>1.9966465136748185E-2</v>
      </c>
      <c r="R70" s="49">
        <f>IF($A70="AEO",'Growth Rates'!Q63,'Growth Rates'!Q63*'Rescale to Fit GDP Proj'!$D$52)</f>
        <v>1.7027862508600645E-2</v>
      </c>
      <c r="S70" s="49">
        <f>IF($A70="AEO",'Growth Rates'!R63,'Growth Rates'!R63*'Rescale to Fit GDP Proj'!$D$52)</f>
        <v>1.6800043316254048E-2</v>
      </c>
      <c r="T70" s="49">
        <f>IF($A70="AEO",'Growth Rates'!S63,'Growth Rates'!S63*'Rescale to Fit GDP Proj'!$D$52)</f>
        <v>1.6821684939007101E-2</v>
      </c>
      <c r="U70" s="49">
        <f>IF($A70="AEO",'Growth Rates'!T63,'Growth Rates'!T63*'Rescale to Fit GDP Proj'!$D$52)</f>
        <v>1.4858094377035284E-2</v>
      </c>
      <c r="V70" s="49">
        <f>IF($A70="AEO",'Growth Rates'!U63,'Growth Rates'!U63*'Rescale to Fit GDP Proj'!$D$52)</f>
        <v>1.5873920094431695E-2</v>
      </c>
      <c r="W70" s="49">
        <f>IF($A70="AEO",'Growth Rates'!V63,'Growth Rates'!V63*'Rescale to Fit GDP Proj'!$D$52)</f>
        <v>1.809934685164221E-2</v>
      </c>
      <c r="X70" s="49">
        <f>IF($A70="AEO",'Growth Rates'!W63,'Growth Rates'!W63*'Rescale to Fit GDP Proj'!$D$52)</f>
        <v>1.6944879389224708E-2</v>
      </c>
      <c r="Y70" s="49">
        <f>IF($A70="AEO",'Growth Rates'!X63,'Growth Rates'!X63*'Rescale to Fit GDP Proj'!$D$52)</f>
        <v>1.8246950979896048E-2</v>
      </c>
      <c r="Z70" s="49">
        <f>IF($A70="AEO",'Growth Rates'!Y63,'Growth Rates'!Y63*'Rescale to Fit GDP Proj'!$D$52)</f>
        <v>1.559292096204631E-2</v>
      </c>
      <c r="AA70" s="49">
        <f>IF($A70="AEO",'Growth Rates'!Z63,'Growth Rates'!Z63*'Rescale to Fit GDP Proj'!$D$52)</f>
        <v>1.4092381070249013E-2</v>
      </c>
      <c r="AB70" s="49">
        <f>IF($A70="AEO",'Growth Rates'!AA63,'Growth Rates'!AA63*'Rescale to Fit GDP Proj'!$D$52)</f>
        <v>1.5618906656012137E-2</v>
      </c>
      <c r="AC70" s="49">
        <f>IF($A70="AEO",'Growth Rates'!AB63,'Growth Rates'!AB63*'Rescale to Fit GDP Proj'!$D$52)</f>
        <v>1.6317210137701044E-2</v>
      </c>
      <c r="AD70" s="49">
        <f>IF($A70="AEO",'Growth Rates'!AC63,'Growth Rates'!AC63*'Rescale to Fit GDP Proj'!$D$52)</f>
        <v>1.4095861221970199E-2</v>
      </c>
      <c r="AE70" s="49">
        <f>IF($A70="AEO",'Growth Rates'!AD63,'Growth Rates'!AD63*'Rescale to Fit GDP Proj'!$D$52)</f>
        <v>1.4462624576260756E-2</v>
      </c>
      <c r="AF70" s="49">
        <f>IF($A70="AEO",'Growth Rates'!AE63,'Growth Rates'!AE63*'Rescale to Fit GDP Proj'!$D$52)</f>
        <v>2.0773899205990029E-2</v>
      </c>
    </row>
    <row r="71" spans="1:32" x14ac:dyDescent="0.3">
      <c r="A71" t="s">
        <v>1334</v>
      </c>
      <c r="B71" s="1" t="s">
        <v>41</v>
      </c>
      <c r="C71" s="49">
        <f>IF($A71="AEO",'Growth Rates'!B64,'Growth Rates'!B64*'Rescale to Fit GDP Proj'!$D$52)</f>
        <v>0</v>
      </c>
      <c r="D71" s="49">
        <f>IF($A71="AEO",'Growth Rates'!C64,'Growth Rates'!C64*'Rescale to Fit GDP Proj'!$D$52)</f>
        <v>1.5773177581946376E-2</v>
      </c>
      <c r="E71" s="49">
        <f>IF($A71="AEO",'Growth Rates'!D64,'Growth Rates'!D64*'Rescale to Fit GDP Proj'!$D$52)</f>
        <v>-5.8886503482012992E-2</v>
      </c>
      <c r="F71" s="49">
        <f>IF($A71="AEO",'Growth Rates'!E64,'Growth Rates'!E64*'Rescale to Fit GDP Proj'!$D$52)</f>
        <v>-1.7012937309295519E-2</v>
      </c>
      <c r="G71" s="49">
        <f>IF($A71="AEO",'Growth Rates'!F64,'Growth Rates'!F64*'Rescale to Fit GDP Proj'!$D$52)</f>
        <v>3.4113367855157731E-4</v>
      </c>
      <c r="H71" s="49">
        <f>IF($A71="AEO",'Growth Rates'!G64,'Growth Rates'!G64*'Rescale to Fit GDP Proj'!$D$52)</f>
        <v>2.8267037527186342E-2</v>
      </c>
      <c r="I71" s="49">
        <f>IF($A71="AEO",'Growth Rates'!H64,'Growth Rates'!H64*'Rescale to Fit GDP Proj'!$D$52)</f>
        <v>1.5411072601200212E-2</v>
      </c>
      <c r="J71" s="49">
        <f>IF($A71="AEO",'Growth Rates'!I64,'Growth Rates'!I64*'Rescale to Fit GDP Proj'!$D$52)</f>
        <v>1.1779040283372885E-2</v>
      </c>
      <c r="K71" s="49">
        <f>IF($A71="AEO",'Growth Rates'!J64,'Growth Rates'!J64*'Rescale to Fit GDP Proj'!$D$52)</f>
        <v>9.0533166748542546E-3</v>
      </c>
      <c r="L71" s="49">
        <f>IF($A71="AEO",'Growth Rates'!K64,'Growth Rates'!K64*'Rescale to Fit GDP Proj'!$D$52)</f>
        <v>5.1628461528580487E-3</v>
      </c>
      <c r="M71" s="49">
        <f>IF($A71="AEO",'Growth Rates'!L64,'Growth Rates'!L64*'Rescale to Fit GDP Proj'!$D$52)</f>
        <v>7.0826601739284916E-3</v>
      </c>
      <c r="N71" s="49">
        <f>IF($A71="AEO",'Growth Rates'!M64,'Growth Rates'!M64*'Rescale to Fit GDP Proj'!$D$52)</f>
        <v>8.4879196315943931E-3</v>
      </c>
      <c r="O71" s="49">
        <f>IF($A71="AEO",'Growth Rates'!N64,'Growth Rates'!N64*'Rescale to Fit GDP Proj'!$D$52)</f>
        <v>1.130608727401014E-2</v>
      </c>
      <c r="P71" s="49">
        <f>IF($A71="AEO",'Growth Rates'!O64,'Growth Rates'!O64*'Rescale to Fit GDP Proj'!$D$52)</f>
        <v>1.1969142745799667E-2</v>
      </c>
      <c r="Q71" s="49">
        <f>IF($A71="AEO",'Growth Rates'!P64,'Growth Rates'!P64*'Rescale to Fit GDP Proj'!$D$52)</f>
        <v>1.3949979393912355E-2</v>
      </c>
      <c r="R71" s="49">
        <f>IF($A71="AEO",'Growth Rates'!Q64,'Growth Rates'!Q64*'Rescale to Fit GDP Proj'!$D$52)</f>
        <v>6.8801314584788324E-3</v>
      </c>
      <c r="S71" s="49">
        <f>IF($A71="AEO",'Growth Rates'!R64,'Growth Rates'!R64*'Rescale to Fit GDP Proj'!$D$52)</f>
        <v>9.4374646949353692E-3</v>
      </c>
      <c r="T71" s="49">
        <f>IF($A71="AEO",'Growth Rates'!S64,'Growth Rates'!S64*'Rescale to Fit GDP Proj'!$D$52)</f>
        <v>9.2330219595632146E-3</v>
      </c>
      <c r="U71" s="49">
        <f>IF($A71="AEO",'Growth Rates'!T64,'Growth Rates'!T64*'Rescale to Fit GDP Proj'!$D$52)</f>
        <v>1.6360515288208269E-2</v>
      </c>
      <c r="V71" s="49">
        <f>IF($A71="AEO",'Growth Rates'!U64,'Growth Rates'!U64*'Rescale to Fit GDP Proj'!$D$52)</f>
        <v>1.5954790313008654E-2</v>
      </c>
      <c r="W71" s="49">
        <f>IF($A71="AEO",'Growth Rates'!V64,'Growth Rates'!V64*'Rescale to Fit GDP Proj'!$D$52)</f>
        <v>1.112481217576371E-2</v>
      </c>
      <c r="X71" s="49">
        <f>IF($A71="AEO",'Growth Rates'!W64,'Growth Rates'!W64*'Rescale to Fit GDP Proj'!$D$52)</f>
        <v>1.3860200360048147E-2</v>
      </c>
      <c r="Y71" s="49">
        <f>IF($A71="AEO",'Growth Rates'!X64,'Growth Rates'!X64*'Rescale to Fit GDP Proj'!$D$52)</f>
        <v>5.0577524411540842E-3</v>
      </c>
      <c r="Z71" s="49">
        <f>IF($A71="AEO",'Growth Rates'!Y64,'Growth Rates'!Y64*'Rescale to Fit GDP Proj'!$D$52)</f>
        <v>8.3197951615751001E-3</v>
      </c>
      <c r="AA71" s="49">
        <f>IF($A71="AEO",'Growth Rates'!Z64,'Growth Rates'!Z64*'Rescale to Fit GDP Proj'!$D$52)</f>
        <v>1.0128627006636479E-2</v>
      </c>
      <c r="AB71" s="49">
        <f>IF($A71="AEO",'Growth Rates'!AA64,'Growth Rates'!AA64*'Rescale to Fit GDP Proj'!$D$52)</f>
        <v>1.4812272831016646E-2</v>
      </c>
      <c r="AC71" s="49">
        <f>IF($A71="AEO",'Growth Rates'!AB64,'Growth Rates'!AB64*'Rescale to Fit GDP Proj'!$D$52)</f>
        <v>8.6918692161782347E-3</v>
      </c>
      <c r="AD71" s="49">
        <f>IF($A71="AEO",'Growth Rates'!AC64,'Growth Rates'!AC64*'Rescale to Fit GDP Proj'!$D$52)</f>
        <v>2.8172436255196253E-3</v>
      </c>
      <c r="AE71" s="49">
        <f>IF($A71="AEO",'Growth Rates'!AD64,'Growth Rates'!AD64*'Rescale to Fit GDP Proj'!$D$52)</f>
        <v>6.8585461192558397E-3</v>
      </c>
      <c r="AF71" s="49">
        <f>IF($A71="AEO",'Growth Rates'!AE64,'Growth Rates'!AE64*'Rescale to Fit GDP Proj'!$D$52)</f>
        <v>9.8945907513379484E-3</v>
      </c>
    </row>
    <row r="72" spans="1:32" x14ac:dyDescent="0.3">
      <c r="A72" t="s">
        <v>1334</v>
      </c>
      <c r="B72" s="1" t="s">
        <v>42</v>
      </c>
      <c r="C72" s="49">
        <f>IF($A72="AEO",'Growth Rates'!B65,'Growth Rates'!B65*'Rescale to Fit GDP Proj'!$D$52)</f>
        <v>0</v>
      </c>
      <c r="D72" s="49">
        <f>IF($A72="AEO",'Growth Rates'!C65,'Growth Rates'!C65*'Rescale to Fit GDP Proj'!$D$52)</f>
        <v>0.15097806738042441</v>
      </c>
      <c r="E72" s="49">
        <f>IF($A72="AEO",'Growth Rates'!D65,'Growth Rates'!D65*'Rescale to Fit GDP Proj'!$D$52)</f>
        <v>-4.4616410240402353E-2</v>
      </c>
      <c r="F72" s="49">
        <f>IF($A72="AEO",'Growth Rates'!E65,'Growth Rates'!E65*'Rescale to Fit GDP Proj'!$D$52)</f>
        <v>-1.2348283263716035E-2</v>
      </c>
      <c r="G72" s="49">
        <f>IF($A72="AEO",'Growth Rates'!F65,'Growth Rates'!F65*'Rescale to Fit GDP Proj'!$D$52)</f>
        <v>1.6226214484953299E-2</v>
      </c>
      <c r="H72" s="49">
        <f>IF($A72="AEO",'Growth Rates'!G65,'Growth Rates'!G65*'Rescale to Fit GDP Proj'!$D$52)</f>
        <v>1.5205167792163696E-2</v>
      </c>
      <c r="I72" s="49">
        <f>IF($A72="AEO",'Growth Rates'!H65,'Growth Rates'!H65*'Rescale to Fit GDP Proj'!$D$52)</f>
        <v>9.7367529639796144E-3</v>
      </c>
      <c r="J72" s="49">
        <f>IF($A72="AEO",'Growth Rates'!I65,'Growth Rates'!I65*'Rescale to Fit GDP Proj'!$D$52)</f>
        <v>9.1145110120732439E-3</v>
      </c>
      <c r="K72" s="49">
        <f>IF($A72="AEO",'Growth Rates'!J65,'Growth Rates'!J65*'Rescale to Fit GDP Proj'!$D$52)</f>
        <v>1.1967981652647107E-2</v>
      </c>
      <c r="L72" s="49">
        <f>IF($A72="AEO",'Growth Rates'!K65,'Growth Rates'!K65*'Rescale to Fit GDP Proj'!$D$52)</f>
        <v>1.2453168283079356E-2</v>
      </c>
      <c r="M72" s="49">
        <f>IF($A72="AEO",'Growth Rates'!L65,'Growth Rates'!L65*'Rescale to Fit GDP Proj'!$D$52)</f>
        <v>1.1919296441814361E-2</v>
      </c>
      <c r="N72" s="49">
        <f>IF($A72="AEO",'Growth Rates'!M65,'Growth Rates'!M65*'Rescale to Fit GDP Proj'!$D$52)</f>
        <v>8.3308184898107148E-3</v>
      </c>
      <c r="O72" s="49">
        <f>IF($A72="AEO",'Growth Rates'!N65,'Growth Rates'!N65*'Rescale to Fit GDP Proj'!$D$52)</f>
        <v>3.7888014391723956E-3</v>
      </c>
      <c r="P72" s="49">
        <f>IF($A72="AEO",'Growth Rates'!O65,'Growth Rates'!O65*'Rescale to Fit GDP Proj'!$D$52)</f>
        <v>6.7465845468005258E-3</v>
      </c>
      <c r="Q72" s="49">
        <f>IF($A72="AEO",'Growth Rates'!P65,'Growth Rates'!P65*'Rescale to Fit GDP Proj'!$D$52)</f>
        <v>1.5052959622823353E-2</v>
      </c>
      <c r="R72" s="49">
        <f>IF($A72="AEO",'Growth Rates'!Q65,'Growth Rates'!Q65*'Rescale to Fit GDP Proj'!$D$52)</f>
        <v>1.2041474227385626E-2</v>
      </c>
      <c r="S72" s="49">
        <f>IF($A72="AEO",'Growth Rates'!R65,'Growth Rates'!R65*'Rescale to Fit GDP Proj'!$D$52)</f>
        <v>9.9802871148478717E-3</v>
      </c>
      <c r="T72" s="49">
        <f>IF($A72="AEO",'Growth Rates'!S65,'Growth Rates'!S65*'Rescale to Fit GDP Proj'!$D$52)</f>
        <v>1.0639065712253327E-2</v>
      </c>
      <c r="U72" s="49">
        <f>IF($A72="AEO",'Growth Rates'!T65,'Growth Rates'!T65*'Rescale to Fit GDP Proj'!$D$52)</f>
        <v>8.1060151793678654E-3</v>
      </c>
      <c r="V72" s="49">
        <f>IF($A72="AEO",'Growth Rates'!U65,'Growth Rates'!U65*'Rescale to Fit GDP Proj'!$D$52)</f>
        <v>1.080696447324672E-2</v>
      </c>
      <c r="W72" s="49">
        <f>IF($A72="AEO",'Growth Rates'!V65,'Growth Rates'!V65*'Rescale to Fit GDP Proj'!$D$52)</f>
        <v>1.1887984972607709E-2</v>
      </c>
      <c r="X72" s="49">
        <f>IF($A72="AEO",'Growth Rates'!W65,'Growth Rates'!W65*'Rescale to Fit GDP Proj'!$D$52)</f>
        <v>9.2586728264190069E-3</v>
      </c>
      <c r="Y72" s="49">
        <f>IF($A72="AEO",'Growth Rates'!X65,'Growth Rates'!X65*'Rescale to Fit GDP Proj'!$D$52)</f>
        <v>4.7204508915354429E-3</v>
      </c>
      <c r="Z72" s="49">
        <f>IF($A72="AEO",'Growth Rates'!Y65,'Growth Rates'!Y65*'Rescale to Fit GDP Proj'!$D$52)</f>
        <v>1.1243467321738008E-2</v>
      </c>
      <c r="AA72" s="49">
        <f>IF($A72="AEO",'Growth Rates'!Z65,'Growth Rates'!Z65*'Rescale to Fit GDP Proj'!$D$52)</f>
        <v>1.2945272041090819E-2</v>
      </c>
      <c r="AB72" s="49">
        <f>IF($A72="AEO",'Growth Rates'!AA65,'Growth Rates'!AA65*'Rescale to Fit GDP Proj'!$D$52)</f>
        <v>1.0302574454757636E-2</v>
      </c>
      <c r="AC72" s="49">
        <f>IF($A72="AEO",'Growth Rates'!AB65,'Growth Rates'!AB65*'Rescale to Fit GDP Proj'!$D$52)</f>
        <v>1.0309852563752889E-2</v>
      </c>
      <c r="AD72" s="49">
        <f>IF($A72="AEO",'Growth Rates'!AC65,'Growth Rates'!AC65*'Rescale to Fit GDP Proj'!$D$52)</f>
        <v>7.6811777032779679E-3</v>
      </c>
      <c r="AE72" s="49">
        <f>IF($A72="AEO",'Growth Rates'!AD65,'Growth Rates'!AD65*'Rescale to Fit GDP Proj'!$D$52)</f>
        <v>6.9431434038031209E-3</v>
      </c>
      <c r="AF72" s="49">
        <f>IF($A72="AEO",'Growth Rates'!AE65,'Growth Rates'!AE65*'Rescale to Fit GDP Proj'!$D$52)</f>
        <v>8.8785440559078308E-3</v>
      </c>
    </row>
    <row r="73" spans="1:32" x14ac:dyDescent="0.3">
      <c r="A73" t="s">
        <v>1334</v>
      </c>
      <c r="B73" s="1" t="s">
        <v>43</v>
      </c>
      <c r="C73" s="49">
        <f>IF($A73="AEO",'Growth Rates'!B66,'Growth Rates'!B66*'Rescale to Fit GDP Proj'!$D$52)</f>
        <v>0</v>
      </c>
      <c r="D73" s="49">
        <f>IF($A73="AEO",'Growth Rates'!C66,'Growth Rates'!C66*'Rescale to Fit GDP Proj'!$D$52)</f>
        <v>1.1938163022655464E-2</v>
      </c>
      <c r="E73" s="49">
        <f>IF($A73="AEO",'Growth Rates'!D66,'Growth Rates'!D66*'Rescale to Fit GDP Proj'!$D$52)</f>
        <v>-1.629357698709125E-2</v>
      </c>
      <c r="F73" s="49">
        <f>IF($A73="AEO",'Growth Rates'!E66,'Growth Rates'!E66*'Rescale to Fit GDP Proj'!$D$52)</f>
        <v>-1.5440336595079339E-2</v>
      </c>
      <c r="G73" s="49">
        <f>IF($A73="AEO",'Growth Rates'!F66,'Growth Rates'!F66*'Rescale to Fit GDP Proj'!$D$52)</f>
        <v>2.2674474178665444E-2</v>
      </c>
      <c r="H73" s="49">
        <f>IF($A73="AEO",'Growth Rates'!G66,'Growth Rates'!G66*'Rescale to Fit GDP Proj'!$D$52)</f>
        <v>4.7757682447737718E-2</v>
      </c>
      <c r="I73" s="49">
        <f>IF($A73="AEO",'Growth Rates'!H66,'Growth Rates'!H66*'Rescale to Fit GDP Proj'!$D$52)</f>
        <v>2.3640193589343252E-2</v>
      </c>
      <c r="J73" s="49">
        <f>IF($A73="AEO",'Growth Rates'!I66,'Growth Rates'!I66*'Rescale to Fit GDP Proj'!$D$52)</f>
        <v>5.4910527989095129E-3</v>
      </c>
      <c r="K73" s="49">
        <f>IF($A73="AEO",'Growth Rates'!J66,'Growth Rates'!J66*'Rescale to Fit GDP Proj'!$D$52)</f>
        <v>4.9106234285111938E-3</v>
      </c>
      <c r="L73" s="49">
        <f>IF($A73="AEO",'Growth Rates'!K66,'Growth Rates'!K66*'Rescale to Fit GDP Proj'!$D$52)</f>
        <v>-5.4148812749531018E-3</v>
      </c>
      <c r="M73" s="49">
        <f>IF($A73="AEO",'Growth Rates'!L66,'Growth Rates'!L66*'Rescale to Fit GDP Proj'!$D$52)</f>
        <v>-2.12880366838278E-3</v>
      </c>
      <c r="N73" s="49">
        <f>IF($A73="AEO",'Growth Rates'!M66,'Growth Rates'!M66*'Rescale to Fit GDP Proj'!$D$52)</f>
        <v>1.0072119571338616E-2</v>
      </c>
      <c r="O73" s="49">
        <f>IF($A73="AEO",'Growth Rates'!N66,'Growth Rates'!N66*'Rescale to Fit GDP Proj'!$D$52)</f>
        <v>-3.3362241053404157E-3</v>
      </c>
      <c r="P73" s="49">
        <f>IF($A73="AEO",'Growth Rates'!O66,'Growth Rates'!O66*'Rescale to Fit GDP Proj'!$D$52)</f>
        <v>-5.9556491137130235E-4</v>
      </c>
      <c r="Q73" s="49">
        <f>IF($A73="AEO",'Growth Rates'!P66,'Growth Rates'!P66*'Rescale to Fit GDP Proj'!$D$52)</f>
        <v>2.9408831416412786E-3</v>
      </c>
      <c r="R73" s="49">
        <f>IF($A73="AEO",'Growth Rates'!Q66,'Growth Rates'!Q66*'Rescale to Fit GDP Proj'!$D$52)</f>
        <v>2.6047403437741254E-3</v>
      </c>
      <c r="S73" s="49">
        <f>IF($A73="AEO",'Growth Rates'!R66,'Growth Rates'!R66*'Rescale to Fit GDP Proj'!$D$52)</f>
        <v>1.1578386866847507E-2</v>
      </c>
      <c r="T73" s="49">
        <f>IF($A73="AEO",'Growth Rates'!S66,'Growth Rates'!S66*'Rescale to Fit GDP Proj'!$D$52)</f>
        <v>7.0489180745446998E-3</v>
      </c>
      <c r="U73" s="49">
        <f>IF($A73="AEO",'Growth Rates'!T66,'Growth Rates'!T66*'Rescale to Fit GDP Proj'!$D$52)</f>
        <v>2.0764297459129493E-3</v>
      </c>
      <c r="V73" s="49">
        <f>IF($A73="AEO",'Growth Rates'!U66,'Growth Rates'!U66*'Rescale to Fit GDP Proj'!$D$52)</f>
        <v>4.2376145999325661E-3</v>
      </c>
      <c r="W73" s="49">
        <f>IF($A73="AEO",'Growth Rates'!V66,'Growth Rates'!V66*'Rescale to Fit GDP Proj'!$D$52)</f>
        <v>7.4816551704515663E-3</v>
      </c>
      <c r="X73" s="49">
        <f>IF($A73="AEO",'Growth Rates'!W66,'Growth Rates'!W66*'Rescale to Fit GDP Proj'!$D$52)</f>
        <v>7.836394702089737E-3</v>
      </c>
      <c r="Y73" s="49">
        <f>IF($A73="AEO",'Growth Rates'!X66,'Growth Rates'!X66*'Rescale to Fit GDP Proj'!$D$52)</f>
        <v>3.0573665751774267E-3</v>
      </c>
      <c r="Z73" s="49">
        <f>IF($A73="AEO",'Growth Rates'!Y66,'Growth Rates'!Y66*'Rescale to Fit GDP Proj'!$D$52)</f>
        <v>1.6140983352899905E-4</v>
      </c>
      <c r="AA73" s="49">
        <f>IF($A73="AEO",'Growth Rates'!Z66,'Growth Rates'!Z66*'Rescale to Fit GDP Proj'!$D$52)</f>
        <v>-2.2432142937466111E-3</v>
      </c>
      <c r="AB73" s="49">
        <f>IF($A73="AEO",'Growth Rates'!AA66,'Growth Rates'!AA66*'Rescale to Fit GDP Proj'!$D$52)</f>
        <v>1.5199801543267788E-3</v>
      </c>
      <c r="AC73" s="49">
        <f>IF($A73="AEO",'Growth Rates'!AB66,'Growth Rates'!AB66*'Rescale to Fit GDP Proj'!$D$52)</f>
        <v>4.5660502401647599E-3</v>
      </c>
      <c r="AD73" s="49">
        <f>IF($A73="AEO",'Growth Rates'!AC66,'Growth Rates'!AC66*'Rescale to Fit GDP Proj'!$D$52)</f>
        <v>6.5360419761895279E-4</v>
      </c>
      <c r="AE73" s="49">
        <f>IF($A73="AEO",'Growth Rates'!AD66,'Growth Rates'!AD66*'Rescale to Fit GDP Proj'!$D$52)</f>
        <v>1.3707211838172191E-3</v>
      </c>
      <c r="AF73" s="49">
        <f>IF($A73="AEO",'Growth Rates'!AE66,'Growth Rates'!AE66*'Rescale to Fit GDP Proj'!$D$52)</f>
        <v>1.0141856585633437E-2</v>
      </c>
    </row>
    <row r="74" spans="1:32" x14ac:dyDescent="0.3">
      <c r="A74" t="s">
        <v>1334</v>
      </c>
      <c r="B74" s="1" t="s">
        <v>44</v>
      </c>
      <c r="C74" s="49">
        <f>IF($A74="AEO",'Growth Rates'!B67,'Growth Rates'!B67*'Rescale to Fit GDP Proj'!$D$52)</f>
        <v>0</v>
      </c>
      <c r="D74" s="49">
        <f>IF($A74="AEO",'Growth Rates'!C67,'Growth Rates'!C67*'Rescale to Fit GDP Proj'!$D$52)</f>
        <v>3.9616360601994943E-2</v>
      </c>
      <c r="E74" s="49">
        <f>IF($A74="AEO",'Growth Rates'!D67,'Growth Rates'!D67*'Rescale to Fit GDP Proj'!$D$52)</f>
        <v>-1.2242673765369057E-2</v>
      </c>
      <c r="F74" s="49">
        <f>IF($A74="AEO",'Growth Rates'!E67,'Growth Rates'!E67*'Rescale to Fit GDP Proj'!$D$52)</f>
        <v>6.0433727469830934E-3</v>
      </c>
      <c r="G74" s="49">
        <f>IF($A74="AEO",'Growth Rates'!F67,'Growth Rates'!F67*'Rescale to Fit GDP Proj'!$D$52)</f>
        <v>2.9090594121675136E-2</v>
      </c>
      <c r="H74" s="49">
        <f>IF($A74="AEO",'Growth Rates'!G67,'Growth Rates'!G67*'Rescale to Fit GDP Proj'!$D$52)</f>
        <v>3.2957149156391835E-2</v>
      </c>
      <c r="I74" s="49">
        <f>IF($A74="AEO",'Growth Rates'!H67,'Growth Rates'!H67*'Rescale to Fit GDP Proj'!$D$52)</f>
        <v>2.1340388159261221E-2</v>
      </c>
      <c r="J74" s="49">
        <f>IF($A74="AEO",'Growth Rates'!I67,'Growth Rates'!I67*'Rescale to Fit GDP Proj'!$D$52)</f>
        <v>1.4495421224915706E-2</v>
      </c>
      <c r="K74" s="49">
        <f>IF($A74="AEO",'Growth Rates'!J67,'Growth Rates'!J67*'Rescale to Fit GDP Proj'!$D$52)</f>
        <v>7.7874336700785342E-3</v>
      </c>
      <c r="L74" s="49">
        <f>IF($A74="AEO",'Growth Rates'!K67,'Growth Rates'!K67*'Rescale to Fit GDP Proj'!$D$52)</f>
        <v>2.4867312653419466E-3</v>
      </c>
      <c r="M74" s="49">
        <f>IF($A74="AEO",'Growth Rates'!L67,'Growth Rates'!L67*'Rescale to Fit GDP Proj'!$D$52)</f>
        <v>4.1256683205506753E-3</v>
      </c>
      <c r="N74" s="49">
        <f>IF($A74="AEO",'Growth Rates'!M67,'Growth Rates'!M67*'Rescale to Fit GDP Proj'!$D$52)</f>
        <v>5.6602848848284777E-3</v>
      </c>
      <c r="O74" s="49">
        <f>IF($A74="AEO",'Growth Rates'!N67,'Growth Rates'!N67*'Rescale to Fit GDP Proj'!$D$52)</f>
        <v>8.8489399961008495E-3</v>
      </c>
      <c r="P74" s="49">
        <f>IF($A74="AEO",'Growth Rates'!O67,'Growth Rates'!O67*'Rescale to Fit GDP Proj'!$D$52)</f>
        <v>1.2837218582559084E-2</v>
      </c>
      <c r="Q74" s="49">
        <f>IF($A74="AEO",'Growth Rates'!P67,'Growth Rates'!P67*'Rescale to Fit GDP Proj'!$D$52)</f>
        <v>1.313277990202605E-2</v>
      </c>
      <c r="R74" s="49">
        <f>IF($A74="AEO",'Growth Rates'!Q67,'Growth Rates'!Q67*'Rescale to Fit GDP Proj'!$D$52)</f>
        <v>9.287458469830305E-3</v>
      </c>
      <c r="S74" s="49">
        <f>IF($A74="AEO",'Growth Rates'!R67,'Growth Rates'!R67*'Rescale to Fit GDP Proj'!$D$52)</f>
        <v>1.1269632388797459E-2</v>
      </c>
      <c r="T74" s="49">
        <f>IF($A74="AEO",'Growth Rates'!S67,'Growth Rates'!S67*'Rescale to Fit GDP Proj'!$D$52)</f>
        <v>1.1054863988625646E-2</v>
      </c>
      <c r="U74" s="49">
        <f>IF($A74="AEO",'Growth Rates'!T67,'Growth Rates'!T67*'Rescale to Fit GDP Proj'!$D$52)</f>
        <v>1.2019037978518702E-2</v>
      </c>
      <c r="V74" s="49">
        <f>IF($A74="AEO",'Growth Rates'!U67,'Growth Rates'!U67*'Rescale to Fit GDP Proj'!$D$52)</f>
        <v>7.4329714523728076E-3</v>
      </c>
      <c r="W74" s="49">
        <f>IF($A74="AEO",'Growth Rates'!V67,'Growth Rates'!V67*'Rescale to Fit GDP Proj'!$D$52)</f>
        <v>1.2572081534613436E-2</v>
      </c>
      <c r="X74" s="49">
        <f>IF($A74="AEO",'Growth Rates'!W67,'Growth Rates'!W67*'Rescale to Fit GDP Proj'!$D$52)</f>
        <v>1.5859653506696481E-2</v>
      </c>
      <c r="Y74" s="49">
        <f>IF($A74="AEO",'Growth Rates'!X67,'Growth Rates'!X67*'Rescale to Fit GDP Proj'!$D$52)</f>
        <v>1.138850202530115E-2</v>
      </c>
      <c r="Z74" s="49">
        <f>IF($A74="AEO",'Growth Rates'!Y67,'Growth Rates'!Y67*'Rescale to Fit GDP Proj'!$D$52)</f>
        <v>7.2910381629697034E-3</v>
      </c>
      <c r="AA74" s="49">
        <f>IF($A74="AEO",'Growth Rates'!Z67,'Growth Rates'!Z67*'Rescale to Fit GDP Proj'!$D$52)</f>
        <v>1.2786832263586526E-2</v>
      </c>
      <c r="AB74" s="49">
        <f>IF($A74="AEO",'Growth Rates'!AA67,'Growth Rates'!AA67*'Rescale to Fit GDP Proj'!$D$52)</f>
        <v>1.5111133502160728E-2</v>
      </c>
      <c r="AC74" s="49">
        <f>IF($A74="AEO",'Growth Rates'!AB67,'Growth Rates'!AB67*'Rescale to Fit GDP Proj'!$D$52)</f>
        <v>1.2640549435436745E-2</v>
      </c>
      <c r="AD74" s="49">
        <f>IF($A74="AEO",'Growth Rates'!AC67,'Growth Rates'!AC67*'Rescale to Fit GDP Proj'!$D$52)</f>
        <v>4.165977696765636E-3</v>
      </c>
      <c r="AE74" s="49">
        <f>IF($A74="AEO",'Growth Rates'!AD67,'Growth Rates'!AD67*'Rescale to Fit GDP Proj'!$D$52)</f>
        <v>7.629769784478678E-3</v>
      </c>
      <c r="AF74" s="49">
        <f>IF($A74="AEO",'Growth Rates'!AE67,'Growth Rates'!AE67*'Rescale to Fit GDP Proj'!$D$52)</f>
        <v>1.5067396005401473E-2</v>
      </c>
    </row>
    <row r="75" spans="1:32" x14ac:dyDescent="0.3">
      <c r="A75" t="s">
        <v>1334</v>
      </c>
      <c r="B75" s="1" t="s">
        <v>11</v>
      </c>
      <c r="C75" s="49">
        <f>IF($A75="AEO",'Growth Rates'!B68,'Growth Rates'!B68*'Rescale to Fit GDP Proj'!$D$52)</f>
        <v>0</v>
      </c>
      <c r="D75" s="49">
        <f>IF($A75="AEO",'Growth Rates'!C68,'Growth Rates'!C68*'Rescale to Fit GDP Proj'!$D$52)</f>
        <v>1.320816146959519E-2</v>
      </c>
      <c r="E75" s="49">
        <f>IF($A75="AEO",'Growth Rates'!D68,'Growth Rates'!D68*'Rescale to Fit GDP Proj'!$D$52)</f>
        <v>-1.9358653113518778E-2</v>
      </c>
      <c r="F75" s="49">
        <f>IF($A75="AEO",'Growth Rates'!E68,'Growth Rates'!E68*'Rescale to Fit GDP Proj'!$D$52)</f>
        <v>-7.3700972598804556E-3</v>
      </c>
      <c r="G75" s="49">
        <f>IF($A75="AEO",'Growth Rates'!F68,'Growth Rates'!F68*'Rescale to Fit GDP Proj'!$D$52)</f>
        <v>1.8394084077638134E-2</v>
      </c>
      <c r="H75" s="49">
        <f>IF($A75="AEO",'Growth Rates'!G68,'Growth Rates'!G68*'Rescale to Fit GDP Proj'!$D$52)</f>
        <v>3.298515318239529E-2</v>
      </c>
      <c r="I75" s="49">
        <f>IF($A75="AEO",'Growth Rates'!H68,'Growth Rates'!H68*'Rescale to Fit GDP Proj'!$D$52)</f>
        <v>2.695993813019084E-2</v>
      </c>
      <c r="J75" s="49">
        <f>IF($A75="AEO",'Growth Rates'!I68,'Growth Rates'!I68*'Rescale to Fit GDP Proj'!$D$52)</f>
        <v>1.5362876089495679E-2</v>
      </c>
      <c r="K75" s="49">
        <f>IF($A75="AEO",'Growth Rates'!J68,'Growth Rates'!J68*'Rescale to Fit GDP Proj'!$D$52)</f>
        <v>1.1581834473660476E-2</v>
      </c>
      <c r="L75" s="49">
        <f>IF($A75="AEO",'Growth Rates'!K68,'Growth Rates'!K68*'Rescale to Fit GDP Proj'!$D$52)</f>
        <v>7.0966833110068508E-3</v>
      </c>
      <c r="M75" s="49">
        <f>IF($A75="AEO",'Growth Rates'!L68,'Growth Rates'!L68*'Rescale to Fit GDP Proj'!$D$52)</f>
        <v>1.0494261789528191E-2</v>
      </c>
      <c r="N75" s="49">
        <f>IF($A75="AEO",'Growth Rates'!M68,'Growth Rates'!M68*'Rescale to Fit GDP Proj'!$D$52)</f>
        <v>2.1302613224386275E-2</v>
      </c>
      <c r="O75" s="49">
        <f>IF($A75="AEO",'Growth Rates'!N68,'Growth Rates'!N68*'Rescale to Fit GDP Proj'!$D$52)</f>
        <v>1.783286716021338E-2</v>
      </c>
      <c r="P75" s="49">
        <f>IF($A75="AEO",'Growth Rates'!O68,'Growth Rates'!O68*'Rescale to Fit GDP Proj'!$D$52)</f>
        <v>1.4539965263129725E-2</v>
      </c>
      <c r="Q75" s="49">
        <f>IF($A75="AEO",'Growth Rates'!P68,'Growth Rates'!P68*'Rescale to Fit GDP Proj'!$D$52)</f>
        <v>1.921959365351943E-2</v>
      </c>
      <c r="R75" s="49">
        <f>IF($A75="AEO",'Growth Rates'!Q68,'Growth Rates'!Q68*'Rescale to Fit GDP Proj'!$D$52)</f>
        <v>2.0622300597723298E-2</v>
      </c>
      <c r="S75" s="49">
        <f>IF($A75="AEO",'Growth Rates'!R68,'Growth Rates'!R68*'Rescale to Fit GDP Proj'!$D$52)</f>
        <v>2.2109868413097939E-2</v>
      </c>
      <c r="T75" s="49">
        <f>IF($A75="AEO",'Growth Rates'!S68,'Growth Rates'!S68*'Rescale to Fit GDP Proj'!$D$52)</f>
        <v>2.2104785720884052E-2</v>
      </c>
      <c r="U75" s="49">
        <f>IF($A75="AEO",'Growth Rates'!T68,'Growth Rates'!T68*'Rescale to Fit GDP Proj'!$D$52)</f>
        <v>1.593012434526735E-2</v>
      </c>
      <c r="V75" s="49">
        <f>IF($A75="AEO",'Growth Rates'!U68,'Growth Rates'!U68*'Rescale to Fit GDP Proj'!$D$52)</f>
        <v>1.4950269061403086E-2</v>
      </c>
      <c r="W75" s="49">
        <f>IF($A75="AEO",'Growth Rates'!V68,'Growth Rates'!V68*'Rescale to Fit GDP Proj'!$D$52)</f>
        <v>1.9251571145914116E-2</v>
      </c>
      <c r="X75" s="49">
        <f>IF($A75="AEO",'Growth Rates'!W68,'Growth Rates'!W68*'Rescale to Fit GDP Proj'!$D$52)</f>
        <v>1.5939494212709033E-2</v>
      </c>
      <c r="Y75" s="49">
        <f>IF($A75="AEO",'Growth Rates'!X68,'Growth Rates'!X68*'Rescale to Fit GDP Proj'!$D$52)</f>
        <v>1.3139005092617484E-2</v>
      </c>
      <c r="Z75" s="49">
        <f>IF($A75="AEO",'Growth Rates'!Y68,'Growth Rates'!Y68*'Rescale to Fit GDP Proj'!$D$52)</f>
        <v>8.421079660949184E-3</v>
      </c>
      <c r="AA75" s="49">
        <f>IF($A75="AEO",'Growth Rates'!Z68,'Growth Rates'!Z68*'Rescale to Fit GDP Proj'!$D$52)</f>
        <v>4.3730308744696477E-3</v>
      </c>
      <c r="AB75" s="49">
        <f>IF($A75="AEO",'Growth Rates'!AA68,'Growth Rates'!AA68*'Rescale to Fit GDP Proj'!$D$52)</f>
        <v>5.1311816787973988E-3</v>
      </c>
      <c r="AC75" s="49">
        <f>IF($A75="AEO",'Growth Rates'!AB68,'Growth Rates'!AB68*'Rescale to Fit GDP Proj'!$D$52)</f>
        <v>8.5044751970502555E-3</v>
      </c>
      <c r="AD75" s="49">
        <f>IF($A75="AEO",'Growth Rates'!AC68,'Growth Rates'!AC68*'Rescale to Fit GDP Proj'!$D$52)</f>
        <v>4.0364073788977904E-3</v>
      </c>
      <c r="AE75" s="49">
        <f>IF($A75="AEO",'Growth Rates'!AD68,'Growth Rates'!AD68*'Rescale to Fit GDP Proj'!$D$52)</f>
        <v>8.2516415972271593E-4</v>
      </c>
      <c r="AF75" s="49">
        <f>IF($A75="AEO",'Growth Rates'!AE68,'Growth Rates'!AE68*'Rescale to Fit GDP Proj'!$D$52)</f>
        <v>1.4245792065931221E-2</v>
      </c>
    </row>
    <row r="76" spans="1:32" x14ac:dyDescent="0.3">
      <c r="A76" t="s">
        <v>1334</v>
      </c>
      <c r="B76" s="1" t="s">
        <v>12</v>
      </c>
      <c r="C76" s="49">
        <f>IF($A76="AEO",'Growth Rates'!B69,'Growth Rates'!B69*'Rescale to Fit GDP Proj'!$D$52)</f>
        <v>0</v>
      </c>
      <c r="D76" s="49">
        <f>IF($A76="AEO",'Growth Rates'!C69,'Growth Rates'!C69*'Rescale to Fit GDP Proj'!$D$52)</f>
        <v>5.284200495128958E-2</v>
      </c>
      <c r="E76" s="49">
        <f>IF($A76="AEO",'Growth Rates'!D69,'Growth Rates'!D69*'Rescale to Fit GDP Proj'!$D$52)</f>
        <v>1.9620955270165E-2</v>
      </c>
      <c r="F76" s="49">
        <f>IF($A76="AEO",'Growth Rates'!E69,'Growth Rates'!E69*'Rescale to Fit GDP Proj'!$D$52)</f>
        <v>3.1824681139183422E-2</v>
      </c>
      <c r="G76" s="49">
        <f>IF($A76="AEO",'Growth Rates'!F69,'Growth Rates'!F69*'Rescale to Fit GDP Proj'!$D$52)</f>
        <v>3.9235579517610794E-2</v>
      </c>
      <c r="H76" s="49">
        <f>IF($A76="AEO",'Growth Rates'!G69,'Growth Rates'!G69*'Rescale to Fit GDP Proj'!$D$52)</f>
        <v>4.2408415046822065E-2</v>
      </c>
      <c r="I76" s="49">
        <f>IF($A76="AEO",'Growth Rates'!H69,'Growth Rates'!H69*'Rescale to Fit GDP Proj'!$D$52)</f>
        <v>3.4834472333706887E-2</v>
      </c>
      <c r="J76" s="49">
        <f>IF($A76="AEO",'Growth Rates'!I69,'Growth Rates'!I69*'Rescale to Fit GDP Proj'!$D$52)</f>
        <v>2.8984244209799583E-2</v>
      </c>
      <c r="K76" s="49">
        <f>IF($A76="AEO",'Growth Rates'!J69,'Growth Rates'!J69*'Rescale to Fit GDP Proj'!$D$52)</f>
        <v>2.1218979650825039E-2</v>
      </c>
      <c r="L76" s="49">
        <f>IF($A76="AEO",'Growth Rates'!K69,'Growth Rates'!K69*'Rescale to Fit GDP Proj'!$D$52)</f>
        <v>1.5338104039926177E-2</v>
      </c>
      <c r="M76" s="49">
        <f>IF($A76="AEO",'Growth Rates'!L69,'Growth Rates'!L69*'Rescale to Fit GDP Proj'!$D$52)</f>
        <v>1.7868140921219512E-2</v>
      </c>
      <c r="N76" s="49">
        <f>IF($A76="AEO",'Growth Rates'!M69,'Growth Rates'!M69*'Rescale to Fit GDP Proj'!$D$52)</f>
        <v>2.0893385267873498E-2</v>
      </c>
      <c r="O76" s="49">
        <f>IF($A76="AEO",'Growth Rates'!N69,'Growth Rates'!N69*'Rescale to Fit GDP Proj'!$D$52)</f>
        <v>2.0523938341445312E-2</v>
      </c>
      <c r="P76" s="49">
        <f>IF($A76="AEO",'Growth Rates'!O69,'Growth Rates'!O69*'Rescale to Fit GDP Proj'!$D$52)</f>
        <v>2.1548547438904851E-2</v>
      </c>
      <c r="Q76" s="49">
        <f>IF($A76="AEO",'Growth Rates'!P69,'Growth Rates'!P69*'Rescale to Fit GDP Proj'!$D$52)</f>
        <v>2.0754106074240296E-2</v>
      </c>
      <c r="R76" s="49">
        <f>IF($A76="AEO",'Growth Rates'!Q69,'Growth Rates'!Q69*'Rescale to Fit GDP Proj'!$D$52)</f>
        <v>2.1618950658096381E-2</v>
      </c>
      <c r="S76" s="49">
        <f>IF($A76="AEO",'Growth Rates'!R69,'Growth Rates'!R69*'Rescale to Fit GDP Proj'!$D$52)</f>
        <v>2.331375291628068E-2</v>
      </c>
      <c r="T76" s="49">
        <f>IF($A76="AEO",'Growth Rates'!S69,'Growth Rates'!S69*'Rescale to Fit GDP Proj'!$D$52)</f>
        <v>2.4521705843899948E-2</v>
      </c>
      <c r="U76" s="49">
        <f>IF($A76="AEO",'Growth Rates'!T69,'Growth Rates'!T69*'Rescale to Fit GDP Proj'!$D$52)</f>
        <v>2.4674285910785278E-2</v>
      </c>
      <c r="V76" s="49">
        <f>IF($A76="AEO",'Growth Rates'!U69,'Growth Rates'!U69*'Rescale to Fit GDP Proj'!$D$52)</f>
        <v>2.7699018762597612E-2</v>
      </c>
      <c r="W76" s="49">
        <f>IF($A76="AEO",'Growth Rates'!V69,'Growth Rates'!V69*'Rescale to Fit GDP Proj'!$D$52)</f>
        <v>2.6629288578831168E-2</v>
      </c>
      <c r="X76" s="49">
        <f>IF($A76="AEO",'Growth Rates'!W69,'Growth Rates'!W69*'Rescale to Fit GDP Proj'!$D$52)</f>
        <v>2.3222641775794434E-2</v>
      </c>
      <c r="Y76" s="49">
        <f>IF($A76="AEO",'Growth Rates'!X69,'Growth Rates'!X69*'Rescale to Fit GDP Proj'!$D$52)</f>
        <v>2.4143114041648685E-2</v>
      </c>
      <c r="Z76" s="49">
        <f>IF($A76="AEO",'Growth Rates'!Y69,'Growth Rates'!Y69*'Rescale to Fit GDP Proj'!$D$52)</f>
        <v>2.2690698305871514E-2</v>
      </c>
      <c r="AA76" s="49">
        <f>IF($A76="AEO",'Growth Rates'!Z69,'Growth Rates'!Z69*'Rescale to Fit GDP Proj'!$D$52)</f>
        <v>2.1067119087713432E-2</v>
      </c>
      <c r="AB76" s="49">
        <f>IF($A76="AEO",'Growth Rates'!AA69,'Growth Rates'!AA69*'Rescale to Fit GDP Proj'!$D$52)</f>
        <v>2.1159742535274494E-2</v>
      </c>
      <c r="AC76" s="49">
        <f>IF($A76="AEO",'Growth Rates'!AB69,'Growth Rates'!AB69*'Rescale to Fit GDP Proj'!$D$52)</f>
        <v>2.1313950192527655E-2</v>
      </c>
      <c r="AD76" s="49">
        <f>IF($A76="AEO",'Growth Rates'!AC69,'Growth Rates'!AC69*'Rescale to Fit GDP Proj'!$D$52)</f>
        <v>2.0176395490711291E-2</v>
      </c>
      <c r="AE76" s="49">
        <f>IF($A76="AEO",'Growth Rates'!AD69,'Growth Rates'!AD69*'Rescale to Fit GDP Proj'!$D$52)</f>
        <v>2.1733504947647555E-2</v>
      </c>
      <c r="AF76" s="49">
        <f>IF($A76="AEO",'Growth Rates'!AE69,'Growth Rates'!AE69*'Rescale to Fit GDP Proj'!$D$52)</f>
        <v>2.4012366562330165E-2</v>
      </c>
    </row>
    <row r="77" spans="1:32" x14ac:dyDescent="0.3">
      <c r="A77" t="s">
        <v>1334</v>
      </c>
      <c r="B77" s="1" t="s">
        <v>13</v>
      </c>
      <c r="C77" s="49">
        <f>IF($A77="AEO",'Growth Rates'!B70,'Growth Rates'!B70*'Rescale to Fit GDP Proj'!$D$52)</f>
        <v>0</v>
      </c>
      <c r="D77" s="49">
        <f>IF($A77="AEO",'Growth Rates'!C70,'Growth Rates'!C70*'Rescale to Fit GDP Proj'!$D$52)</f>
        <v>2.7897917209054473E-2</v>
      </c>
      <c r="E77" s="49">
        <f>IF($A77="AEO",'Growth Rates'!D70,'Growth Rates'!D70*'Rescale to Fit GDP Proj'!$D$52)</f>
        <v>-4.2399645565637119E-4</v>
      </c>
      <c r="F77" s="49">
        <f>IF($A77="AEO",'Growth Rates'!E70,'Growth Rates'!E70*'Rescale to Fit GDP Proj'!$D$52)</f>
        <v>1.113099856259493E-2</v>
      </c>
      <c r="G77" s="49">
        <f>IF($A77="AEO",'Growth Rates'!F70,'Growth Rates'!F70*'Rescale to Fit GDP Proj'!$D$52)</f>
        <v>2.4032640591362172E-2</v>
      </c>
      <c r="H77" s="49">
        <f>IF($A77="AEO",'Growth Rates'!G70,'Growth Rates'!G70*'Rescale to Fit GDP Proj'!$D$52)</f>
        <v>2.3815639818190279E-2</v>
      </c>
      <c r="I77" s="49">
        <f>IF($A77="AEO",'Growth Rates'!H70,'Growth Rates'!H70*'Rescale to Fit GDP Proj'!$D$52)</f>
        <v>2.1410754684266523E-2</v>
      </c>
      <c r="J77" s="49">
        <f>IF($A77="AEO",'Growth Rates'!I70,'Growth Rates'!I70*'Rescale to Fit GDP Proj'!$D$52)</f>
        <v>1.8612395265277918E-2</v>
      </c>
      <c r="K77" s="49">
        <f>IF($A77="AEO",'Growth Rates'!J70,'Growth Rates'!J70*'Rescale to Fit GDP Proj'!$D$52)</f>
        <v>1.5370940839512518E-2</v>
      </c>
      <c r="L77" s="49">
        <f>IF($A77="AEO",'Growth Rates'!K70,'Growth Rates'!K70*'Rescale to Fit GDP Proj'!$D$52)</f>
        <v>1.2637450466187253E-2</v>
      </c>
      <c r="M77" s="49">
        <f>IF($A77="AEO",'Growth Rates'!L70,'Growth Rates'!L70*'Rescale to Fit GDP Proj'!$D$52)</f>
        <v>7.2066643846378196E-3</v>
      </c>
      <c r="N77" s="49">
        <f>IF($A77="AEO",'Growth Rates'!M70,'Growth Rates'!M70*'Rescale to Fit GDP Proj'!$D$52)</f>
        <v>2.07277599008793E-2</v>
      </c>
      <c r="O77" s="49">
        <f>IF($A77="AEO",'Growth Rates'!N70,'Growth Rates'!N70*'Rescale to Fit GDP Proj'!$D$52)</f>
        <v>2.8130485047801513E-2</v>
      </c>
      <c r="P77" s="49">
        <f>IF($A77="AEO",'Growth Rates'!O70,'Growth Rates'!O70*'Rescale to Fit GDP Proj'!$D$52)</f>
        <v>2.6439398574190958E-2</v>
      </c>
      <c r="Q77" s="49">
        <f>IF($A77="AEO",'Growth Rates'!P70,'Growth Rates'!P70*'Rescale to Fit GDP Proj'!$D$52)</f>
        <v>2.7245088786736552E-2</v>
      </c>
      <c r="R77" s="49">
        <f>IF($A77="AEO",'Growth Rates'!Q70,'Growth Rates'!Q70*'Rescale to Fit GDP Proj'!$D$52)</f>
        <v>2.6980351727367315E-2</v>
      </c>
      <c r="S77" s="49">
        <f>IF($A77="AEO",'Growth Rates'!R70,'Growth Rates'!R70*'Rescale to Fit GDP Proj'!$D$52)</f>
        <v>2.78152549053611E-2</v>
      </c>
      <c r="T77" s="49">
        <f>IF($A77="AEO",'Growth Rates'!S70,'Growth Rates'!S70*'Rescale to Fit GDP Proj'!$D$52)</f>
        <v>2.9396186892423674E-2</v>
      </c>
      <c r="U77" s="49">
        <f>IF($A77="AEO",'Growth Rates'!T70,'Growth Rates'!T70*'Rescale to Fit GDP Proj'!$D$52)</f>
        <v>2.8151835639818358E-2</v>
      </c>
      <c r="V77" s="49">
        <f>IF($A77="AEO",'Growth Rates'!U70,'Growth Rates'!U70*'Rescale to Fit GDP Proj'!$D$52)</f>
        <v>2.9135003846306521E-2</v>
      </c>
      <c r="W77" s="49">
        <f>IF($A77="AEO",'Growth Rates'!V70,'Growth Rates'!V70*'Rescale to Fit GDP Proj'!$D$52)</f>
        <v>2.9212716757661624E-2</v>
      </c>
      <c r="X77" s="49">
        <f>IF($A77="AEO",'Growth Rates'!W70,'Growth Rates'!W70*'Rescale to Fit GDP Proj'!$D$52)</f>
        <v>2.6341926263819239E-2</v>
      </c>
      <c r="Y77" s="49">
        <f>IF($A77="AEO",'Growth Rates'!X70,'Growth Rates'!X70*'Rescale to Fit GDP Proj'!$D$52)</f>
        <v>2.7294497376955301E-2</v>
      </c>
      <c r="Z77" s="49">
        <f>IF($A77="AEO",'Growth Rates'!Y70,'Growth Rates'!Y70*'Rescale to Fit GDP Proj'!$D$52)</f>
        <v>2.616038402394686E-2</v>
      </c>
      <c r="AA77" s="49">
        <f>IF($A77="AEO",'Growth Rates'!Z70,'Growth Rates'!Z70*'Rescale to Fit GDP Proj'!$D$52)</f>
        <v>2.4727533085390097E-2</v>
      </c>
      <c r="AB77" s="49">
        <f>IF($A77="AEO",'Growth Rates'!AA70,'Growth Rates'!AA70*'Rescale to Fit GDP Proj'!$D$52)</f>
        <v>2.490017520070513E-2</v>
      </c>
      <c r="AC77" s="49">
        <f>IF($A77="AEO",'Growth Rates'!AB70,'Growth Rates'!AB70*'Rescale to Fit GDP Proj'!$D$52)</f>
        <v>2.5570285946396595E-2</v>
      </c>
      <c r="AD77" s="49">
        <f>IF($A77="AEO",'Growth Rates'!AC70,'Growth Rates'!AC70*'Rescale to Fit GDP Proj'!$D$52)</f>
        <v>2.5101879462405607E-2</v>
      </c>
      <c r="AE77" s="49">
        <f>IF($A77="AEO",'Growth Rates'!AD70,'Growth Rates'!AD70*'Rescale to Fit GDP Proj'!$D$52)</f>
        <v>2.3967559834877181E-2</v>
      </c>
      <c r="AF77" s="49">
        <f>IF($A77="AEO",'Growth Rates'!AE70,'Growth Rates'!AE70*'Rescale to Fit GDP Proj'!$D$52)</f>
        <v>2.812720076082461E-2</v>
      </c>
    </row>
    <row r="78" spans="1:32" x14ac:dyDescent="0.3">
      <c r="A78" t="s">
        <v>1334</v>
      </c>
      <c r="B78" s="1" t="s">
        <v>14</v>
      </c>
      <c r="C78" s="49">
        <f>IF($A78="AEO",'Growth Rates'!B71,'Growth Rates'!B71*'Rescale to Fit GDP Proj'!$D$52)</f>
        <v>0</v>
      </c>
      <c r="D78" s="49">
        <f>IF($A78="AEO",'Growth Rates'!C71,'Growth Rates'!C71*'Rescale to Fit GDP Proj'!$D$52)</f>
        <v>2.7819565201757851E-2</v>
      </c>
      <c r="E78" s="49">
        <f>IF($A78="AEO",'Growth Rates'!D71,'Growth Rates'!D71*'Rescale to Fit GDP Proj'!$D$52)</f>
        <v>-1.5137823688978343E-2</v>
      </c>
      <c r="F78" s="49">
        <f>IF($A78="AEO",'Growth Rates'!E71,'Growth Rates'!E71*'Rescale to Fit GDP Proj'!$D$52)</f>
        <v>6.1568327717517626E-4</v>
      </c>
      <c r="G78" s="49">
        <f>IF($A78="AEO",'Growth Rates'!F71,'Growth Rates'!F71*'Rescale to Fit GDP Proj'!$D$52)</f>
        <v>1.2153635285747217E-2</v>
      </c>
      <c r="H78" s="49">
        <f>IF($A78="AEO",'Growth Rates'!G71,'Growth Rates'!G71*'Rescale to Fit GDP Proj'!$D$52)</f>
        <v>3.6657503669981897E-2</v>
      </c>
      <c r="I78" s="49">
        <f>IF($A78="AEO",'Growth Rates'!H71,'Growth Rates'!H71*'Rescale to Fit GDP Proj'!$D$52)</f>
        <v>3.1121899394935017E-2</v>
      </c>
      <c r="J78" s="49">
        <f>IF($A78="AEO",'Growth Rates'!I71,'Growth Rates'!I71*'Rescale to Fit GDP Proj'!$D$52)</f>
        <v>1.3049016490490284E-2</v>
      </c>
      <c r="K78" s="49">
        <f>IF($A78="AEO",'Growth Rates'!J71,'Growth Rates'!J71*'Rescale to Fit GDP Proj'!$D$52)</f>
        <v>1.1252961903570479E-2</v>
      </c>
      <c r="L78" s="49">
        <f>IF($A78="AEO",'Growth Rates'!K71,'Growth Rates'!K71*'Rescale to Fit GDP Proj'!$D$52)</f>
        <v>1.1237653221681247E-2</v>
      </c>
      <c r="M78" s="49">
        <f>IF($A78="AEO",'Growth Rates'!L71,'Growth Rates'!L71*'Rescale to Fit GDP Proj'!$D$52)</f>
        <v>1.6807265272011162E-2</v>
      </c>
      <c r="N78" s="49">
        <f>IF($A78="AEO",'Growth Rates'!M71,'Growth Rates'!M71*'Rescale to Fit GDP Proj'!$D$52)</f>
        <v>2.6856888525678389E-2</v>
      </c>
      <c r="O78" s="49">
        <f>IF($A78="AEO",'Growth Rates'!N71,'Growth Rates'!N71*'Rescale to Fit GDP Proj'!$D$52)</f>
        <v>2.0026985228471739E-2</v>
      </c>
      <c r="P78" s="49">
        <f>IF($A78="AEO",'Growth Rates'!O71,'Growth Rates'!O71*'Rescale to Fit GDP Proj'!$D$52)</f>
        <v>1.6648145634341548E-2</v>
      </c>
      <c r="Q78" s="49">
        <f>IF($A78="AEO",'Growth Rates'!P71,'Growth Rates'!P71*'Rescale to Fit GDP Proj'!$D$52)</f>
        <v>1.9118335058555435E-2</v>
      </c>
      <c r="R78" s="49">
        <f>IF($A78="AEO",'Growth Rates'!Q71,'Growth Rates'!Q71*'Rescale to Fit GDP Proj'!$D$52)</f>
        <v>1.748245675563977E-2</v>
      </c>
      <c r="S78" s="49">
        <f>IF($A78="AEO",'Growth Rates'!R71,'Growth Rates'!R71*'Rescale to Fit GDP Proj'!$D$52)</f>
        <v>1.6699150588509321E-2</v>
      </c>
      <c r="T78" s="49">
        <f>IF($A78="AEO",'Growth Rates'!S71,'Growth Rates'!S71*'Rescale to Fit GDP Proj'!$D$52)</f>
        <v>1.6390342293608282E-2</v>
      </c>
      <c r="U78" s="49">
        <f>IF($A78="AEO",'Growth Rates'!T71,'Growth Rates'!T71*'Rescale to Fit GDP Proj'!$D$52)</f>
        <v>1.3313640307138816E-2</v>
      </c>
      <c r="V78" s="49">
        <f>IF($A78="AEO",'Growth Rates'!U71,'Growth Rates'!U71*'Rescale to Fit GDP Proj'!$D$52)</f>
        <v>1.3249279648741372E-2</v>
      </c>
      <c r="W78" s="49">
        <f>IF($A78="AEO",'Growth Rates'!V71,'Growth Rates'!V71*'Rescale to Fit GDP Proj'!$D$52)</f>
        <v>1.5371916832277078E-2</v>
      </c>
      <c r="X78" s="49">
        <f>IF($A78="AEO",'Growth Rates'!W71,'Growth Rates'!W71*'Rescale to Fit GDP Proj'!$D$52)</f>
        <v>1.3414257395897359E-2</v>
      </c>
      <c r="Y78" s="49">
        <f>IF($A78="AEO",'Growth Rates'!X71,'Growth Rates'!X71*'Rescale to Fit GDP Proj'!$D$52)</f>
        <v>1.0448207004543068E-2</v>
      </c>
      <c r="Z78" s="49">
        <f>IF($A78="AEO",'Growth Rates'!Y71,'Growth Rates'!Y71*'Rescale to Fit GDP Proj'!$D$52)</f>
        <v>7.9442565662077406E-3</v>
      </c>
      <c r="AA78" s="49">
        <f>IF($A78="AEO",'Growth Rates'!Z71,'Growth Rates'!Z71*'Rescale to Fit GDP Proj'!$D$52)</f>
        <v>6.5459194682268105E-3</v>
      </c>
      <c r="AB78" s="49">
        <f>IF($A78="AEO",'Growth Rates'!AA71,'Growth Rates'!AA71*'Rescale to Fit GDP Proj'!$D$52)</f>
        <v>1.0847716674763159E-2</v>
      </c>
      <c r="AC78" s="49">
        <f>IF($A78="AEO",'Growth Rates'!AB71,'Growth Rates'!AB71*'Rescale to Fit GDP Proj'!$D$52)</f>
        <v>1.1983357066250954E-2</v>
      </c>
      <c r="AD78" s="49">
        <f>IF($A78="AEO",'Growth Rates'!AC71,'Growth Rates'!AC71*'Rescale to Fit GDP Proj'!$D$52)</f>
        <v>1.0830463130245417E-2</v>
      </c>
      <c r="AE78" s="49">
        <f>IF($A78="AEO",'Growth Rates'!AD71,'Growth Rates'!AD71*'Rescale to Fit GDP Proj'!$D$52)</f>
        <v>7.286228300337959E-3</v>
      </c>
      <c r="AF78" s="49">
        <f>IF($A78="AEO",'Growth Rates'!AE71,'Growth Rates'!AE71*'Rescale to Fit GDP Proj'!$D$52)</f>
        <v>1.3845914409291294E-2</v>
      </c>
    </row>
    <row r="79" spans="1:32" x14ac:dyDescent="0.3">
      <c r="A79" t="s">
        <v>1334</v>
      </c>
      <c r="B79" s="1" t="s">
        <v>15</v>
      </c>
      <c r="C79" s="49">
        <f>IF($A79="AEO",'Growth Rates'!B72,'Growth Rates'!B72*'Rescale to Fit GDP Proj'!$D$52)</f>
        <v>0</v>
      </c>
      <c r="D79" s="49">
        <f>IF($A79="AEO",'Growth Rates'!C72,'Growth Rates'!C72*'Rescale to Fit GDP Proj'!$D$52)</f>
        <v>2.8290025712801276E-2</v>
      </c>
      <c r="E79" s="49">
        <f>IF($A79="AEO",'Growth Rates'!D72,'Growth Rates'!D72*'Rescale to Fit GDP Proj'!$D$52)</f>
        <v>3.1107246239968037E-2</v>
      </c>
      <c r="F79" s="49">
        <f>IF($A79="AEO",'Growth Rates'!E72,'Growth Rates'!E72*'Rescale to Fit GDP Proj'!$D$52)</f>
        <v>1.2544624650787853E-2</v>
      </c>
      <c r="G79" s="49">
        <f>IF($A79="AEO",'Growth Rates'!F72,'Growth Rates'!F72*'Rescale to Fit GDP Proj'!$D$52)</f>
        <v>-2.9244404101126547E-3</v>
      </c>
      <c r="H79" s="49">
        <f>IF($A79="AEO",'Growth Rates'!G72,'Growth Rates'!G72*'Rescale to Fit GDP Proj'!$D$52)</f>
        <v>5.205823950184249E-3</v>
      </c>
      <c r="I79" s="49">
        <f>IF($A79="AEO",'Growth Rates'!H72,'Growth Rates'!H72*'Rescale to Fit GDP Proj'!$D$52)</f>
        <v>1.8574672110851245E-2</v>
      </c>
      <c r="J79" s="49">
        <f>IF($A79="AEO",'Growth Rates'!I72,'Growth Rates'!I72*'Rescale to Fit GDP Proj'!$D$52)</f>
        <v>1.3662340957034046E-2</v>
      </c>
      <c r="K79" s="49">
        <f>IF($A79="AEO",'Growth Rates'!J72,'Growth Rates'!J72*'Rescale to Fit GDP Proj'!$D$52)</f>
        <v>6.5047579097692026E-3</v>
      </c>
      <c r="L79" s="49">
        <f>IF($A79="AEO",'Growth Rates'!K72,'Growth Rates'!K72*'Rescale to Fit GDP Proj'!$D$52)</f>
        <v>8.7187459595944681E-3</v>
      </c>
      <c r="M79" s="49">
        <f>IF($A79="AEO",'Growth Rates'!L72,'Growth Rates'!L72*'Rescale to Fit GDP Proj'!$D$52)</f>
        <v>1.5323770460577677E-2</v>
      </c>
      <c r="N79" s="49">
        <f>IF($A79="AEO",'Growth Rates'!M72,'Growth Rates'!M72*'Rescale to Fit GDP Proj'!$D$52)</f>
        <v>2.5376763892780714E-2</v>
      </c>
      <c r="O79" s="49">
        <f>IF($A79="AEO",'Growth Rates'!N72,'Growth Rates'!N72*'Rescale to Fit GDP Proj'!$D$52)</f>
        <v>2.1572193082817052E-2</v>
      </c>
      <c r="P79" s="49">
        <f>IF($A79="AEO",'Growth Rates'!O72,'Growth Rates'!O72*'Rescale to Fit GDP Proj'!$D$52)</f>
        <v>1.6116888921541228E-2</v>
      </c>
      <c r="Q79" s="49">
        <f>IF($A79="AEO",'Growth Rates'!P72,'Growth Rates'!P72*'Rescale to Fit GDP Proj'!$D$52)</f>
        <v>1.7345637236072839E-2</v>
      </c>
      <c r="R79" s="49">
        <f>IF($A79="AEO",'Growth Rates'!Q72,'Growth Rates'!Q72*'Rescale to Fit GDP Proj'!$D$52)</f>
        <v>1.6353509239479078E-2</v>
      </c>
      <c r="S79" s="49">
        <f>IF($A79="AEO",'Growth Rates'!R72,'Growth Rates'!R72*'Rescale to Fit GDP Proj'!$D$52)</f>
        <v>1.0977820490328473E-2</v>
      </c>
      <c r="T79" s="49">
        <f>IF($A79="AEO",'Growth Rates'!S72,'Growth Rates'!S72*'Rescale to Fit GDP Proj'!$D$52)</f>
        <v>1.261426522294214E-2</v>
      </c>
      <c r="U79" s="49">
        <f>IF($A79="AEO",'Growth Rates'!T72,'Growth Rates'!T72*'Rescale to Fit GDP Proj'!$D$52)</f>
        <v>1.0036546637792765E-2</v>
      </c>
      <c r="V79" s="49">
        <f>IF($A79="AEO",'Growth Rates'!U72,'Growth Rates'!U72*'Rescale to Fit GDP Proj'!$D$52)</f>
        <v>1.416599813412721E-2</v>
      </c>
      <c r="W79" s="49">
        <f>IF($A79="AEO",'Growth Rates'!V72,'Growth Rates'!V72*'Rescale to Fit GDP Proj'!$D$52)</f>
        <v>1.7544355535903288E-2</v>
      </c>
      <c r="X79" s="49">
        <f>IF($A79="AEO",'Growth Rates'!W72,'Growth Rates'!W72*'Rescale to Fit GDP Proj'!$D$52)</f>
        <v>1.7104449392339915E-2</v>
      </c>
      <c r="Y79" s="49">
        <f>IF($A79="AEO",'Growth Rates'!X72,'Growth Rates'!X72*'Rescale to Fit GDP Proj'!$D$52)</f>
        <v>1.4535340252123718E-2</v>
      </c>
      <c r="Z79" s="49">
        <f>IF($A79="AEO",'Growth Rates'!Y72,'Growth Rates'!Y72*'Rescale to Fit GDP Proj'!$D$52)</f>
        <v>1.1828660987783488E-2</v>
      </c>
      <c r="AA79" s="49">
        <f>IF($A79="AEO",'Growth Rates'!Z72,'Growth Rates'!Z72*'Rescale to Fit GDP Proj'!$D$52)</f>
        <v>1.1803524811730859E-2</v>
      </c>
      <c r="AB79" s="49">
        <f>IF($A79="AEO",'Growth Rates'!AA72,'Growth Rates'!AA72*'Rescale to Fit GDP Proj'!$D$52)</f>
        <v>1.5165840790277095E-2</v>
      </c>
      <c r="AC79" s="49">
        <f>IF($A79="AEO",'Growth Rates'!AB72,'Growth Rates'!AB72*'Rescale to Fit GDP Proj'!$D$52)</f>
        <v>1.6166940942306449E-2</v>
      </c>
      <c r="AD79" s="49">
        <f>IF($A79="AEO",'Growth Rates'!AC72,'Growth Rates'!AC72*'Rescale to Fit GDP Proj'!$D$52)</f>
        <v>1.434989581714108E-2</v>
      </c>
      <c r="AE79" s="49">
        <f>IF($A79="AEO",'Growth Rates'!AD72,'Growth Rates'!AD72*'Rescale to Fit GDP Proj'!$D$52)</f>
        <v>1.3533293976527907E-2</v>
      </c>
      <c r="AF79" s="49">
        <f>IF($A79="AEO",'Growth Rates'!AE72,'Growth Rates'!AE72*'Rescale to Fit GDP Proj'!$D$52)</f>
        <v>1.6845151761667794E-2</v>
      </c>
    </row>
    <row r="80" spans="1:32" x14ac:dyDescent="0.3">
      <c r="A80" t="s">
        <v>1334</v>
      </c>
      <c r="B80" s="1" t="s">
        <v>16</v>
      </c>
      <c r="C80" s="49">
        <f>IF($A80="AEO",'Growth Rates'!B73,'Growth Rates'!B73*'Rescale to Fit GDP Proj'!$D$52)</f>
        <v>0</v>
      </c>
      <c r="D80" s="49">
        <f>IF($A80="AEO",'Growth Rates'!C73,'Growth Rates'!C73*'Rescale to Fit GDP Proj'!$D$52)</f>
        <v>2.8290025712801276E-2</v>
      </c>
      <c r="E80" s="49">
        <f>IF($A80="AEO",'Growth Rates'!D73,'Growth Rates'!D73*'Rescale to Fit GDP Proj'!$D$52)</f>
        <v>3.1107246239968037E-2</v>
      </c>
      <c r="F80" s="49">
        <f>IF($A80="AEO",'Growth Rates'!E73,'Growth Rates'!E73*'Rescale to Fit GDP Proj'!$D$52)</f>
        <v>1.2544624650787853E-2</v>
      </c>
      <c r="G80" s="49">
        <f>IF($A80="AEO",'Growth Rates'!F73,'Growth Rates'!F73*'Rescale to Fit GDP Proj'!$D$52)</f>
        <v>-2.9244404101126547E-3</v>
      </c>
      <c r="H80" s="49">
        <f>IF($A80="AEO",'Growth Rates'!G73,'Growth Rates'!G73*'Rescale to Fit GDP Proj'!$D$52)</f>
        <v>5.205823950184249E-3</v>
      </c>
      <c r="I80" s="49">
        <f>IF($A80="AEO",'Growth Rates'!H73,'Growth Rates'!H73*'Rescale to Fit GDP Proj'!$D$52)</f>
        <v>1.8574672110851245E-2</v>
      </c>
      <c r="J80" s="49">
        <f>IF($A80="AEO",'Growth Rates'!I73,'Growth Rates'!I73*'Rescale to Fit GDP Proj'!$D$52)</f>
        <v>1.3662340957034046E-2</v>
      </c>
      <c r="K80" s="49">
        <f>IF($A80="AEO",'Growth Rates'!J73,'Growth Rates'!J73*'Rescale to Fit GDP Proj'!$D$52)</f>
        <v>6.5047579097692026E-3</v>
      </c>
      <c r="L80" s="49">
        <f>IF($A80="AEO",'Growth Rates'!K73,'Growth Rates'!K73*'Rescale to Fit GDP Proj'!$D$52)</f>
        <v>8.7187459595944681E-3</v>
      </c>
      <c r="M80" s="49">
        <f>IF($A80="AEO",'Growth Rates'!L73,'Growth Rates'!L73*'Rescale to Fit GDP Proj'!$D$52)</f>
        <v>1.5323770460577677E-2</v>
      </c>
      <c r="N80" s="49">
        <f>IF($A80="AEO",'Growth Rates'!M73,'Growth Rates'!M73*'Rescale to Fit GDP Proj'!$D$52)</f>
        <v>2.5376763892780714E-2</v>
      </c>
      <c r="O80" s="49">
        <f>IF($A80="AEO",'Growth Rates'!N73,'Growth Rates'!N73*'Rescale to Fit GDP Proj'!$D$52)</f>
        <v>2.1572193082817052E-2</v>
      </c>
      <c r="P80" s="49">
        <f>IF($A80="AEO",'Growth Rates'!O73,'Growth Rates'!O73*'Rescale to Fit GDP Proj'!$D$52)</f>
        <v>1.6116888921541228E-2</v>
      </c>
      <c r="Q80" s="49">
        <f>IF($A80="AEO",'Growth Rates'!P73,'Growth Rates'!P73*'Rescale to Fit GDP Proj'!$D$52)</f>
        <v>1.7345637236072839E-2</v>
      </c>
      <c r="R80" s="49">
        <f>IF($A80="AEO",'Growth Rates'!Q73,'Growth Rates'!Q73*'Rescale to Fit GDP Proj'!$D$52)</f>
        <v>1.6353509239479078E-2</v>
      </c>
      <c r="S80" s="49">
        <f>IF($A80="AEO",'Growth Rates'!R73,'Growth Rates'!R73*'Rescale to Fit GDP Proj'!$D$52)</f>
        <v>1.0977820490328473E-2</v>
      </c>
      <c r="T80" s="49">
        <f>IF($A80="AEO",'Growth Rates'!S73,'Growth Rates'!S73*'Rescale to Fit GDP Proj'!$D$52)</f>
        <v>1.261426522294214E-2</v>
      </c>
      <c r="U80" s="49">
        <f>IF($A80="AEO",'Growth Rates'!T73,'Growth Rates'!T73*'Rescale to Fit GDP Proj'!$D$52)</f>
        <v>1.0036546637792765E-2</v>
      </c>
      <c r="V80" s="49">
        <f>IF($A80="AEO",'Growth Rates'!U73,'Growth Rates'!U73*'Rescale to Fit GDP Proj'!$D$52)</f>
        <v>1.416599813412721E-2</v>
      </c>
      <c r="W80" s="49">
        <f>IF($A80="AEO",'Growth Rates'!V73,'Growth Rates'!V73*'Rescale to Fit GDP Proj'!$D$52)</f>
        <v>1.7544355535903288E-2</v>
      </c>
      <c r="X80" s="49">
        <f>IF($A80="AEO",'Growth Rates'!W73,'Growth Rates'!W73*'Rescale to Fit GDP Proj'!$D$52)</f>
        <v>1.7104449392339915E-2</v>
      </c>
      <c r="Y80" s="49">
        <f>IF($A80="AEO",'Growth Rates'!X73,'Growth Rates'!X73*'Rescale to Fit GDP Proj'!$D$52)</f>
        <v>1.4535340252123718E-2</v>
      </c>
      <c r="Z80" s="49">
        <f>IF($A80="AEO",'Growth Rates'!Y73,'Growth Rates'!Y73*'Rescale to Fit GDP Proj'!$D$52)</f>
        <v>1.1828660987783488E-2</v>
      </c>
      <c r="AA80" s="49">
        <f>IF($A80="AEO",'Growth Rates'!Z73,'Growth Rates'!Z73*'Rescale to Fit GDP Proj'!$D$52)</f>
        <v>1.1803524811730859E-2</v>
      </c>
      <c r="AB80" s="49">
        <f>IF($A80="AEO",'Growth Rates'!AA73,'Growth Rates'!AA73*'Rescale to Fit GDP Proj'!$D$52)</f>
        <v>1.5165840790277095E-2</v>
      </c>
      <c r="AC80" s="49">
        <f>IF($A80="AEO",'Growth Rates'!AB73,'Growth Rates'!AB73*'Rescale to Fit GDP Proj'!$D$52)</f>
        <v>1.6166940942306449E-2</v>
      </c>
      <c r="AD80" s="49">
        <f>IF($A80="AEO",'Growth Rates'!AC73,'Growth Rates'!AC73*'Rescale to Fit GDP Proj'!$D$52)</f>
        <v>1.434989581714108E-2</v>
      </c>
      <c r="AE80" s="49">
        <f>IF($A80="AEO",'Growth Rates'!AD73,'Growth Rates'!AD73*'Rescale to Fit GDP Proj'!$D$52)</f>
        <v>1.3533293976527907E-2</v>
      </c>
      <c r="AF80" s="49">
        <f>IF($A80="AEO",'Growth Rates'!AE73,'Growth Rates'!AE73*'Rescale to Fit GDP Proj'!$D$52)</f>
        <v>1.6845151761667794E-2</v>
      </c>
    </row>
    <row r="81" spans="1:32" x14ac:dyDescent="0.3">
      <c r="A81" t="s">
        <v>1334</v>
      </c>
      <c r="B81" s="1" t="s">
        <v>17</v>
      </c>
      <c r="C81" s="49">
        <f>IF($A81="AEO",'Growth Rates'!B74,'Growth Rates'!B74*'Rescale to Fit GDP Proj'!$D$52)</f>
        <v>0</v>
      </c>
      <c r="D81" s="49">
        <f>IF($A81="AEO",'Growth Rates'!C74,'Growth Rates'!C74*'Rescale to Fit GDP Proj'!$D$52)</f>
        <v>-1.9964132926646411E-3</v>
      </c>
      <c r="E81" s="49">
        <f>IF($A81="AEO",'Growth Rates'!D74,'Growth Rates'!D74*'Rescale to Fit GDP Proj'!$D$52)</f>
        <v>-1.4094171714878491E-2</v>
      </c>
      <c r="F81" s="49">
        <f>IF($A81="AEO",'Growth Rates'!E74,'Growth Rates'!E74*'Rescale to Fit GDP Proj'!$D$52)</f>
        <v>2.0814978409917965E-3</v>
      </c>
      <c r="G81" s="49">
        <f>IF($A81="AEO",'Growth Rates'!F74,'Growth Rates'!F74*'Rescale to Fit GDP Proj'!$D$52)</f>
        <v>5.5670299775831406E-3</v>
      </c>
      <c r="H81" s="49">
        <f>IF($A81="AEO",'Growth Rates'!G74,'Growth Rates'!G74*'Rescale to Fit GDP Proj'!$D$52)</f>
        <v>2.4824392417320221E-2</v>
      </c>
      <c r="I81" s="49">
        <f>IF($A81="AEO",'Growth Rates'!H74,'Growth Rates'!H74*'Rescale to Fit GDP Proj'!$D$52)</f>
        <v>2.6832546474481786E-2</v>
      </c>
      <c r="J81" s="49">
        <f>IF($A81="AEO",'Growth Rates'!I74,'Growth Rates'!I74*'Rescale to Fit GDP Proj'!$D$52)</f>
        <v>1.1196656705197193E-2</v>
      </c>
      <c r="K81" s="49">
        <f>IF($A81="AEO",'Growth Rates'!J74,'Growth Rates'!J74*'Rescale to Fit GDP Proj'!$D$52)</f>
        <v>1.1609384471234272E-2</v>
      </c>
      <c r="L81" s="49">
        <f>IF($A81="AEO",'Growth Rates'!K74,'Growth Rates'!K74*'Rescale to Fit GDP Proj'!$D$52)</f>
        <v>9.9453049623864451E-3</v>
      </c>
      <c r="M81" s="49">
        <f>IF($A81="AEO",'Growth Rates'!L74,'Growth Rates'!L74*'Rescale to Fit GDP Proj'!$D$52)</f>
        <v>9.143688992317444E-3</v>
      </c>
      <c r="N81" s="49">
        <f>IF($A81="AEO",'Growth Rates'!M74,'Growth Rates'!M74*'Rescale to Fit GDP Proj'!$D$52)</f>
        <v>2.3352377693379858E-2</v>
      </c>
      <c r="O81" s="49">
        <f>IF($A81="AEO",'Growth Rates'!N74,'Growth Rates'!N74*'Rescale to Fit GDP Proj'!$D$52)</f>
        <v>1.1356308967830124E-2</v>
      </c>
      <c r="P81" s="49">
        <f>IF($A81="AEO",'Growth Rates'!O74,'Growth Rates'!O74*'Rescale to Fit GDP Proj'!$D$52)</f>
        <v>9.8263527715307403E-3</v>
      </c>
      <c r="Q81" s="49">
        <f>IF($A81="AEO",'Growth Rates'!P74,'Growth Rates'!P74*'Rescale to Fit GDP Proj'!$D$52)</f>
        <v>1.7273574204118354E-2</v>
      </c>
      <c r="R81" s="49">
        <f>IF($A81="AEO",'Growth Rates'!Q74,'Growth Rates'!Q74*'Rescale to Fit GDP Proj'!$D$52)</f>
        <v>1.6821004660258997E-2</v>
      </c>
      <c r="S81" s="49">
        <f>IF($A81="AEO",'Growth Rates'!R74,'Growth Rates'!R74*'Rescale to Fit GDP Proj'!$D$52)</f>
        <v>1.6443867031167389E-2</v>
      </c>
      <c r="T81" s="49">
        <f>IF($A81="AEO",'Growth Rates'!S74,'Growth Rates'!S74*'Rescale to Fit GDP Proj'!$D$52)</f>
        <v>1.8446581087302405E-2</v>
      </c>
      <c r="U81" s="49">
        <f>IF($A81="AEO",'Growth Rates'!T74,'Growth Rates'!T74*'Rescale to Fit GDP Proj'!$D$52)</f>
        <v>1.5373803913235068E-2</v>
      </c>
      <c r="V81" s="49">
        <f>IF($A81="AEO",'Growth Rates'!U74,'Growth Rates'!U74*'Rescale to Fit GDP Proj'!$D$52)</f>
        <v>1.474217258133389E-2</v>
      </c>
      <c r="W81" s="49">
        <f>IF($A81="AEO",'Growth Rates'!V74,'Growth Rates'!V74*'Rescale to Fit GDP Proj'!$D$52)</f>
        <v>2.0745060251769525E-2</v>
      </c>
      <c r="X81" s="49">
        <f>IF($A81="AEO",'Growth Rates'!W74,'Growth Rates'!W74*'Rescale to Fit GDP Proj'!$D$52)</f>
        <v>1.885033743423491E-2</v>
      </c>
      <c r="Y81" s="49">
        <f>IF($A81="AEO",'Growth Rates'!X74,'Growth Rates'!X74*'Rescale to Fit GDP Proj'!$D$52)</f>
        <v>1.4397285363047229E-2</v>
      </c>
      <c r="Z81" s="49">
        <f>IF($A81="AEO",'Growth Rates'!Y74,'Growth Rates'!Y74*'Rescale to Fit GDP Proj'!$D$52)</f>
        <v>9.8139765193812224E-3</v>
      </c>
      <c r="AA81" s="49">
        <f>IF($A81="AEO",'Growth Rates'!Z74,'Growth Rates'!Z74*'Rescale to Fit GDP Proj'!$D$52)</f>
        <v>5.1992816543914196E-3</v>
      </c>
      <c r="AB81" s="49">
        <f>IF($A81="AEO",'Growth Rates'!AA74,'Growth Rates'!AA74*'Rescale to Fit GDP Proj'!$D$52)</f>
        <v>1.2479771208234109E-2</v>
      </c>
      <c r="AC81" s="49">
        <f>IF($A81="AEO",'Growth Rates'!AB74,'Growth Rates'!AB74*'Rescale to Fit GDP Proj'!$D$52)</f>
        <v>1.4897378047019662E-2</v>
      </c>
      <c r="AD81" s="49">
        <f>IF($A81="AEO",'Growth Rates'!AC74,'Growth Rates'!AC74*'Rescale to Fit GDP Proj'!$D$52)</f>
        <v>1.071371226149141E-2</v>
      </c>
      <c r="AE81" s="49">
        <f>IF($A81="AEO",'Growth Rates'!AD74,'Growth Rates'!AD74*'Rescale to Fit GDP Proj'!$D$52)</f>
        <v>4.8551268393980974E-3</v>
      </c>
      <c r="AF81" s="49">
        <f>IF($A81="AEO",'Growth Rates'!AE74,'Growth Rates'!AE74*'Rescale to Fit GDP Proj'!$D$52)</f>
        <v>2.9332026139109315E-2</v>
      </c>
    </row>
    <row r="82" spans="1:32" x14ac:dyDescent="0.3">
      <c r="B82" s="1" t="s">
        <v>45</v>
      </c>
      <c r="C82" s="49">
        <f>IF($A82="AEO",'Growth Rates'!B75,'Growth Rates'!B75*'Rescale to Fit GDP Proj'!$D$52)</f>
        <v>0</v>
      </c>
      <c r="D82" s="49">
        <f>IF($A82="AEO",'Growth Rates'!C75,'Growth Rates'!C75*'Rescale to Fit GDP Proj'!$D$52)</f>
        <v>1.6218E-2</v>
      </c>
      <c r="E82" s="49">
        <f>IF($A82="AEO",'Growth Rates'!D75,'Growth Rates'!D75*'Rescale to Fit GDP Proj'!$D$52)</f>
        <v>1.6218E-2</v>
      </c>
      <c r="F82" s="49">
        <f>IF($A82="AEO",'Growth Rates'!E75,'Growth Rates'!E75*'Rescale to Fit GDP Proj'!$D$52)</f>
        <v>1.6218E-2</v>
      </c>
      <c r="G82" s="49">
        <f>IF($A82="AEO",'Growth Rates'!F75,'Growth Rates'!F75*'Rescale to Fit GDP Proj'!$D$52)</f>
        <v>1.6218E-2</v>
      </c>
      <c r="H82" s="49">
        <f>IF($A82="AEO",'Growth Rates'!G75,'Growth Rates'!G75*'Rescale to Fit GDP Proj'!$D$52)</f>
        <v>1.6218E-2</v>
      </c>
      <c r="I82" s="49">
        <f>IF($A82="AEO",'Growth Rates'!H75,'Growth Rates'!H75*'Rescale to Fit GDP Proj'!$D$52)</f>
        <v>1.6218E-2</v>
      </c>
      <c r="J82" s="49">
        <f>IF($A82="AEO",'Growth Rates'!I75,'Growth Rates'!I75*'Rescale to Fit GDP Proj'!$D$52)</f>
        <v>1.6218E-2</v>
      </c>
      <c r="K82" s="49">
        <f>IF($A82="AEO",'Growth Rates'!J75,'Growth Rates'!J75*'Rescale to Fit GDP Proj'!$D$52)</f>
        <v>1.6218E-2</v>
      </c>
      <c r="L82" s="49">
        <f>IF($A82="AEO",'Growth Rates'!K75,'Growth Rates'!K75*'Rescale to Fit GDP Proj'!$D$52)</f>
        <v>1.6218E-2</v>
      </c>
      <c r="M82" s="49">
        <f>IF($A82="AEO",'Growth Rates'!L75,'Growth Rates'!L75*'Rescale to Fit GDP Proj'!$D$52)</f>
        <v>1.6218E-2</v>
      </c>
      <c r="N82" s="49">
        <f>IF($A82="AEO",'Growth Rates'!M75,'Growth Rates'!M75*'Rescale to Fit GDP Proj'!$D$52)</f>
        <v>1.6218E-2</v>
      </c>
      <c r="O82" s="49">
        <f>IF($A82="AEO",'Growth Rates'!N75,'Growth Rates'!N75*'Rescale to Fit GDP Proj'!$D$52)</f>
        <v>1.6218E-2</v>
      </c>
      <c r="P82" s="49">
        <f>IF($A82="AEO",'Growth Rates'!O75,'Growth Rates'!O75*'Rescale to Fit GDP Proj'!$D$52)</f>
        <v>1.6218E-2</v>
      </c>
      <c r="Q82" s="49">
        <f>IF($A82="AEO",'Growth Rates'!P75,'Growth Rates'!P75*'Rescale to Fit GDP Proj'!$D$52)</f>
        <v>1.6218E-2</v>
      </c>
      <c r="R82" s="49">
        <f>IF($A82="AEO",'Growth Rates'!Q75,'Growth Rates'!Q75*'Rescale to Fit GDP Proj'!$D$52)</f>
        <v>1.6218E-2</v>
      </c>
      <c r="S82" s="49">
        <f>IF($A82="AEO",'Growth Rates'!R75,'Growth Rates'!R75*'Rescale to Fit GDP Proj'!$D$52)</f>
        <v>1.6218E-2</v>
      </c>
      <c r="T82" s="49">
        <f>IF($A82="AEO",'Growth Rates'!S75,'Growth Rates'!S75*'Rescale to Fit GDP Proj'!$D$52)</f>
        <v>1.6218E-2</v>
      </c>
      <c r="U82" s="49">
        <f>IF($A82="AEO",'Growth Rates'!T75,'Growth Rates'!T75*'Rescale to Fit GDP Proj'!$D$52)</f>
        <v>1.6218E-2</v>
      </c>
      <c r="V82" s="49">
        <f>IF($A82="AEO",'Growth Rates'!U75,'Growth Rates'!U75*'Rescale to Fit GDP Proj'!$D$52)</f>
        <v>1.6218E-2</v>
      </c>
      <c r="W82" s="49">
        <f>IF($A82="AEO",'Growth Rates'!V75,'Growth Rates'!V75*'Rescale to Fit GDP Proj'!$D$52)</f>
        <v>1.6218E-2</v>
      </c>
      <c r="X82" s="49">
        <f>IF($A82="AEO",'Growth Rates'!W75,'Growth Rates'!W75*'Rescale to Fit GDP Proj'!$D$52)</f>
        <v>1.6218E-2</v>
      </c>
      <c r="Y82" s="49">
        <f>IF($A82="AEO",'Growth Rates'!X75,'Growth Rates'!X75*'Rescale to Fit GDP Proj'!$D$52)</f>
        <v>1.6218E-2</v>
      </c>
      <c r="Z82" s="49">
        <f>IF($A82="AEO",'Growth Rates'!Y75,'Growth Rates'!Y75*'Rescale to Fit GDP Proj'!$D$52)</f>
        <v>1.6218E-2</v>
      </c>
      <c r="AA82" s="49">
        <f>IF($A82="AEO",'Growth Rates'!Z75,'Growth Rates'!Z75*'Rescale to Fit GDP Proj'!$D$52)</f>
        <v>1.6218E-2</v>
      </c>
      <c r="AB82" s="49">
        <f>IF($A82="AEO",'Growth Rates'!AA75,'Growth Rates'!AA75*'Rescale to Fit GDP Proj'!$D$52)</f>
        <v>1.6218E-2</v>
      </c>
      <c r="AC82" s="49">
        <f>IF($A82="AEO",'Growth Rates'!AB75,'Growth Rates'!AB75*'Rescale to Fit GDP Proj'!$D$52)</f>
        <v>1.6218E-2</v>
      </c>
      <c r="AD82" s="49">
        <f>IF($A82="AEO",'Growth Rates'!AC75,'Growth Rates'!AC75*'Rescale to Fit GDP Proj'!$D$52)</f>
        <v>1.6218E-2</v>
      </c>
      <c r="AE82" s="49">
        <f>IF($A82="AEO",'Growth Rates'!AD75,'Growth Rates'!AD75*'Rescale to Fit GDP Proj'!$D$52)</f>
        <v>1.6218E-2</v>
      </c>
      <c r="AF82" s="49">
        <f>IF($A82="AEO",'Growth Rates'!AE75,'Growth Rates'!AE75*'Rescale to Fit GDP Proj'!$D$52)</f>
        <v>1.6218E-2</v>
      </c>
    </row>
    <row r="83" spans="1:32" x14ac:dyDescent="0.3">
      <c r="B83" s="1" t="s">
        <v>46</v>
      </c>
      <c r="C83" s="49">
        <f>IF($A83="AEO",'Growth Rates'!B76,'Growth Rates'!B76*'Rescale to Fit GDP Proj'!$D$52)</f>
        <v>0</v>
      </c>
      <c r="D83" s="49">
        <f>IF($A83="AEO",'Growth Rates'!C76,'Growth Rates'!C76*'Rescale to Fit GDP Proj'!$D$52)</f>
        <v>7.6319999999999999E-3</v>
      </c>
      <c r="E83" s="49">
        <f>IF($A83="AEO",'Growth Rates'!D76,'Growth Rates'!D76*'Rescale to Fit GDP Proj'!$D$52)</f>
        <v>7.6319999999999999E-3</v>
      </c>
      <c r="F83" s="49">
        <f>IF($A83="AEO",'Growth Rates'!E76,'Growth Rates'!E76*'Rescale to Fit GDP Proj'!$D$52)</f>
        <v>7.6319999999999999E-3</v>
      </c>
      <c r="G83" s="49">
        <f>IF($A83="AEO",'Growth Rates'!F76,'Growth Rates'!F76*'Rescale to Fit GDP Proj'!$D$52)</f>
        <v>7.6319999999999999E-3</v>
      </c>
      <c r="H83" s="49">
        <f>IF($A83="AEO",'Growth Rates'!G76,'Growth Rates'!G76*'Rescale to Fit GDP Proj'!$D$52)</f>
        <v>7.6319999999999999E-3</v>
      </c>
      <c r="I83" s="49">
        <f>IF($A83="AEO",'Growth Rates'!H76,'Growth Rates'!H76*'Rescale to Fit GDP Proj'!$D$52)</f>
        <v>7.6319999999999999E-3</v>
      </c>
      <c r="J83" s="49">
        <f>IF($A83="AEO",'Growth Rates'!I76,'Growth Rates'!I76*'Rescale to Fit GDP Proj'!$D$52)</f>
        <v>7.6319999999999999E-3</v>
      </c>
      <c r="K83" s="49">
        <f>IF($A83="AEO",'Growth Rates'!J76,'Growth Rates'!J76*'Rescale to Fit GDP Proj'!$D$52)</f>
        <v>7.6319999999999999E-3</v>
      </c>
      <c r="L83" s="49">
        <f>IF($A83="AEO",'Growth Rates'!K76,'Growth Rates'!K76*'Rescale to Fit GDP Proj'!$D$52)</f>
        <v>7.6319999999999999E-3</v>
      </c>
      <c r="M83" s="49">
        <f>IF($A83="AEO",'Growth Rates'!L76,'Growth Rates'!L76*'Rescale to Fit GDP Proj'!$D$52)</f>
        <v>7.6319999999999999E-3</v>
      </c>
      <c r="N83" s="49">
        <f>IF($A83="AEO",'Growth Rates'!M76,'Growth Rates'!M76*'Rescale to Fit GDP Proj'!$D$52)</f>
        <v>7.6319999999999999E-3</v>
      </c>
      <c r="O83" s="49">
        <f>IF($A83="AEO",'Growth Rates'!N76,'Growth Rates'!N76*'Rescale to Fit GDP Proj'!$D$52)</f>
        <v>7.6319999999999999E-3</v>
      </c>
      <c r="P83" s="49">
        <f>IF($A83="AEO",'Growth Rates'!O76,'Growth Rates'!O76*'Rescale to Fit GDP Proj'!$D$52)</f>
        <v>7.6319999999999999E-3</v>
      </c>
      <c r="Q83" s="49">
        <f>IF($A83="AEO",'Growth Rates'!P76,'Growth Rates'!P76*'Rescale to Fit GDP Proj'!$D$52)</f>
        <v>7.6319999999999999E-3</v>
      </c>
      <c r="R83" s="49">
        <f>IF($A83="AEO",'Growth Rates'!Q76,'Growth Rates'!Q76*'Rescale to Fit GDP Proj'!$D$52)</f>
        <v>7.6319999999999999E-3</v>
      </c>
      <c r="S83" s="49">
        <f>IF($A83="AEO",'Growth Rates'!R76,'Growth Rates'!R76*'Rescale to Fit GDP Proj'!$D$52)</f>
        <v>7.6319999999999999E-3</v>
      </c>
      <c r="T83" s="49">
        <f>IF($A83="AEO",'Growth Rates'!S76,'Growth Rates'!S76*'Rescale to Fit GDP Proj'!$D$52)</f>
        <v>7.6319999999999999E-3</v>
      </c>
      <c r="U83" s="49">
        <f>IF($A83="AEO",'Growth Rates'!T76,'Growth Rates'!T76*'Rescale to Fit GDP Proj'!$D$52)</f>
        <v>7.6319999999999999E-3</v>
      </c>
      <c r="V83" s="49">
        <f>IF($A83="AEO",'Growth Rates'!U76,'Growth Rates'!U76*'Rescale to Fit GDP Proj'!$D$52)</f>
        <v>7.6319999999999999E-3</v>
      </c>
      <c r="W83" s="49">
        <f>IF($A83="AEO",'Growth Rates'!V76,'Growth Rates'!V76*'Rescale to Fit GDP Proj'!$D$52)</f>
        <v>7.6319999999999999E-3</v>
      </c>
      <c r="X83" s="49">
        <f>IF($A83="AEO",'Growth Rates'!W76,'Growth Rates'!W76*'Rescale to Fit GDP Proj'!$D$52)</f>
        <v>7.6319999999999999E-3</v>
      </c>
      <c r="Y83" s="49">
        <f>IF($A83="AEO",'Growth Rates'!X76,'Growth Rates'!X76*'Rescale to Fit GDP Proj'!$D$52)</f>
        <v>7.6319999999999999E-3</v>
      </c>
      <c r="Z83" s="49">
        <f>IF($A83="AEO",'Growth Rates'!Y76,'Growth Rates'!Y76*'Rescale to Fit GDP Proj'!$D$52)</f>
        <v>7.6319999999999999E-3</v>
      </c>
      <c r="AA83" s="49">
        <f>IF($A83="AEO",'Growth Rates'!Z76,'Growth Rates'!Z76*'Rescale to Fit GDP Proj'!$D$52)</f>
        <v>7.6319999999999999E-3</v>
      </c>
      <c r="AB83" s="49">
        <f>IF($A83="AEO",'Growth Rates'!AA76,'Growth Rates'!AA76*'Rescale to Fit GDP Proj'!$D$52)</f>
        <v>7.6319999999999999E-3</v>
      </c>
      <c r="AC83" s="49">
        <f>IF($A83="AEO",'Growth Rates'!AB76,'Growth Rates'!AB76*'Rescale to Fit GDP Proj'!$D$52)</f>
        <v>7.6319999999999999E-3</v>
      </c>
      <c r="AD83" s="49">
        <f>IF($A83="AEO",'Growth Rates'!AC76,'Growth Rates'!AC76*'Rescale to Fit GDP Proj'!$D$52)</f>
        <v>7.6319999999999999E-3</v>
      </c>
      <c r="AE83" s="49">
        <f>IF($A83="AEO",'Growth Rates'!AD76,'Growth Rates'!AD76*'Rescale to Fit GDP Proj'!$D$52)</f>
        <v>7.6319999999999999E-3</v>
      </c>
      <c r="AF83" s="49">
        <f>IF($A83="AEO",'Growth Rates'!AE76,'Growth Rates'!AE76*'Rescale to Fit GDP Proj'!$D$52)</f>
        <v>7.6319999999999999E-3</v>
      </c>
    </row>
    <row r="84" spans="1:32" x14ac:dyDescent="0.3">
      <c r="B84" s="1" t="s">
        <v>47</v>
      </c>
      <c r="C84" s="49">
        <f>IF($A84="AEO",'Growth Rates'!B77,'Growth Rates'!B77*'Rescale to Fit GDP Proj'!$D$52)</f>
        <v>0</v>
      </c>
      <c r="D84" s="49">
        <f>IF($A84="AEO",'Growth Rates'!C77,'Growth Rates'!C77*'Rescale to Fit GDP Proj'!$D$52)</f>
        <v>1.5627135483870968E-2</v>
      </c>
      <c r="E84" s="49">
        <f>IF($A84="AEO",'Growth Rates'!D77,'Growth Rates'!D77*'Rescale to Fit GDP Proj'!$D$52)</f>
        <v>1.5627135483870968E-2</v>
      </c>
      <c r="F84" s="49">
        <f>IF($A84="AEO",'Growth Rates'!E77,'Growth Rates'!E77*'Rescale to Fit GDP Proj'!$D$52)</f>
        <v>1.5627135483870968E-2</v>
      </c>
      <c r="G84" s="49">
        <f>IF($A84="AEO",'Growth Rates'!F77,'Growth Rates'!F77*'Rescale to Fit GDP Proj'!$D$52)</f>
        <v>1.5627135483870968E-2</v>
      </c>
      <c r="H84" s="49">
        <f>IF($A84="AEO",'Growth Rates'!G77,'Growth Rates'!G77*'Rescale to Fit GDP Proj'!$D$52)</f>
        <v>1.5627135483870968E-2</v>
      </c>
      <c r="I84" s="49">
        <f>IF($A84="AEO",'Growth Rates'!H77,'Growth Rates'!H77*'Rescale to Fit GDP Proj'!$D$52)</f>
        <v>1.5627135483870968E-2</v>
      </c>
      <c r="J84" s="49">
        <f>IF($A84="AEO",'Growth Rates'!I77,'Growth Rates'!I77*'Rescale to Fit GDP Proj'!$D$52)</f>
        <v>1.5627135483870968E-2</v>
      </c>
      <c r="K84" s="49">
        <f>IF($A84="AEO",'Growth Rates'!J77,'Growth Rates'!J77*'Rescale to Fit GDP Proj'!$D$52)</f>
        <v>1.5627135483870968E-2</v>
      </c>
      <c r="L84" s="49">
        <f>IF($A84="AEO",'Growth Rates'!K77,'Growth Rates'!K77*'Rescale to Fit GDP Proj'!$D$52)</f>
        <v>1.5627135483870968E-2</v>
      </c>
      <c r="M84" s="49">
        <f>IF($A84="AEO",'Growth Rates'!L77,'Growth Rates'!L77*'Rescale to Fit GDP Proj'!$D$52)</f>
        <v>1.5627135483870968E-2</v>
      </c>
      <c r="N84" s="49">
        <f>IF($A84="AEO",'Growth Rates'!M77,'Growth Rates'!M77*'Rescale to Fit GDP Proj'!$D$52)</f>
        <v>1.5627135483870968E-2</v>
      </c>
      <c r="O84" s="49">
        <f>IF($A84="AEO",'Growth Rates'!N77,'Growth Rates'!N77*'Rescale to Fit GDP Proj'!$D$52)</f>
        <v>1.5627135483870968E-2</v>
      </c>
      <c r="P84" s="49">
        <f>IF($A84="AEO",'Growth Rates'!O77,'Growth Rates'!O77*'Rescale to Fit GDP Proj'!$D$52)</f>
        <v>1.5627135483870968E-2</v>
      </c>
      <c r="Q84" s="49">
        <f>IF($A84="AEO",'Growth Rates'!P77,'Growth Rates'!P77*'Rescale to Fit GDP Proj'!$D$52)</f>
        <v>1.5627135483870968E-2</v>
      </c>
      <c r="R84" s="49">
        <f>IF($A84="AEO",'Growth Rates'!Q77,'Growth Rates'!Q77*'Rescale to Fit GDP Proj'!$D$52)</f>
        <v>1.5627135483870968E-2</v>
      </c>
      <c r="S84" s="49">
        <f>IF($A84="AEO",'Growth Rates'!R77,'Growth Rates'!R77*'Rescale to Fit GDP Proj'!$D$52)</f>
        <v>1.5627135483870968E-2</v>
      </c>
      <c r="T84" s="49">
        <f>IF($A84="AEO",'Growth Rates'!S77,'Growth Rates'!S77*'Rescale to Fit GDP Proj'!$D$52)</f>
        <v>1.5627135483870968E-2</v>
      </c>
      <c r="U84" s="49">
        <f>IF($A84="AEO",'Growth Rates'!T77,'Growth Rates'!T77*'Rescale to Fit GDP Proj'!$D$52)</f>
        <v>1.5627135483870968E-2</v>
      </c>
      <c r="V84" s="49">
        <f>IF($A84="AEO",'Growth Rates'!U77,'Growth Rates'!U77*'Rescale to Fit GDP Proj'!$D$52)</f>
        <v>1.5627135483870968E-2</v>
      </c>
      <c r="W84" s="49">
        <f>IF($A84="AEO",'Growth Rates'!V77,'Growth Rates'!V77*'Rescale to Fit GDP Proj'!$D$52)</f>
        <v>1.5627135483870968E-2</v>
      </c>
      <c r="X84" s="49">
        <f>IF($A84="AEO",'Growth Rates'!W77,'Growth Rates'!W77*'Rescale to Fit GDP Proj'!$D$52)</f>
        <v>1.5627135483870968E-2</v>
      </c>
      <c r="Y84" s="49">
        <f>IF($A84="AEO",'Growth Rates'!X77,'Growth Rates'!X77*'Rescale to Fit GDP Proj'!$D$52)</f>
        <v>1.5627135483870968E-2</v>
      </c>
      <c r="Z84" s="49">
        <f>IF($A84="AEO",'Growth Rates'!Y77,'Growth Rates'!Y77*'Rescale to Fit GDP Proj'!$D$52)</f>
        <v>1.5627135483870968E-2</v>
      </c>
      <c r="AA84" s="49">
        <f>IF($A84="AEO",'Growth Rates'!Z77,'Growth Rates'!Z77*'Rescale to Fit GDP Proj'!$D$52)</f>
        <v>1.5627135483870968E-2</v>
      </c>
      <c r="AB84" s="49">
        <f>IF($A84="AEO",'Growth Rates'!AA77,'Growth Rates'!AA77*'Rescale to Fit GDP Proj'!$D$52)</f>
        <v>1.5627135483870968E-2</v>
      </c>
      <c r="AC84" s="49">
        <f>IF($A84="AEO",'Growth Rates'!AB77,'Growth Rates'!AB77*'Rescale to Fit GDP Proj'!$D$52)</f>
        <v>1.5627135483870968E-2</v>
      </c>
      <c r="AD84" s="49">
        <f>IF($A84="AEO",'Growth Rates'!AC77,'Growth Rates'!AC77*'Rescale to Fit GDP Proj'!$D$52)</f>
        <v>1.5627135483870968E-2</v>
      </c>
      <c r="AE84" s="49">
        <f>IF($A84="AEO",'Growth Rates'!AD77,'Growth Rates'!AD77*'Rescale to Fit GDP Proj'!$D$52)</f>
        <v>1.5627135483870968E-2</v>
      </c>
      <c r="AF84" s="49">
        <f>IF($A84="AEO",'Growth Rates'!AE77,'Growth Rates'!AE77*'Rescale to Fit GDP Proj'!$D$52)</f>
        <v>1.5627135483870968E-2</v>
      </c>
    </row>
    <row r="85" spans="1:32" x14ac:dyDescent="0.3">
      <c r="A85" t="s">
        <v>1334</v>
      </c>
      <c r="B85" s="1" t="s">
        <v>18</v>
      </c>
      <c r="C85" s="49">
        <f>IF($A85="AEO",'Growth Rates'!B78,'Growth Rates'!B78*'Rescale to Fit GDP Proj'!$D$52)</f>
        <v>0</v>
      </c>
      <c r="D85" s="49">
        <f>IF($A85="AEO",'Growth Rates'!C78,'Growth Rates'!C78*'Rescale to Fit GDP Proj'!$D$52)</f>
        <v>-2.462547269728288E-2</v>
      </c>
      <c r="E85" s="49">
        <f>IF($A85="AEO",'Growth Rates'!D78,'Growth Rates'!D78*'Rescale to Fit GDP Proj'!$D$52)</f>
        <v>-2.1828572575535377E-2</v>
      </c>
      <c r="F85" s="49">
        <f>IF($A85="AEO",'Growth Rates'!E78,'Growth Rates'!E78*'Rescale to Fit GDP Proj'!$D$52)</f>
        <v>-7.398883148702743E-3</v>
      </c>
      <c r="G85" s="49">
        <f>IF($A85="AEO",'Growth Rates'!F78,'Growth Rates'!F78*'Rescale to Fit GDP Proj'!$D$52)</f>
        <v>1.5912711895669007E-2</v>
      </c>
      <c r="H85" s="49">
        <f>IF($A85="AEO",'Growth Rates'!G78,'Growth Rates'!G78*'Rescale to Fit GDP Proj'!$D$52)</f>
        <v>9.8753134364979716E-3</v>
      </c>
      <c r="I85" s="49">
        <f>IF($A85="AEO",'Growth Rates'!H78,'Growth Rates'!H78*'Rescale to Fit GDP Proj'!$D$52)</f>
        <v>9.0595844592316049E-4</v>
      </c>
      <c r="J85" s="49">
        <f>IF($A85="AEO",'Growth Rates'!I78,'Growth Rates'!I78*'Rescale to Fit GDP Proj'!$D$52)</f>
        <v>7.6347148732469772E-3</v>
      </c>
      <c r="K85" s="49">
        <f>IF($A85="AEO",'Growth Rates'!J78,'Growth Rates'!J78*'Rescale to Fit GDP Proj'!$D$52)</f>
        <v>2.3606440147529131E-2</v>
      </c>
      <c r="L85" s="49">
        <f>IF($A85="AEO",'Growth Rates'!K78,'Growth Rates'!K78*'Rescale to Fit GDP Proj'!$D$52)</f>
        <v>1.5224099410879446E-2</v>
      </c>
      <c r="M85" s="49">
        <f>IF($A85="AEO",'Growth Rates'!L78,'Growth Rates'!L78*'Rescale to Fit GDP Proj'!$D$52)</f>
        <v>1.4991168247270299E-3</v>
      </c>
      <c r="N85" s="49">
        <f>IF($A85="AEO",'Growth Rates'!M78,'Growth Rates'!M78*'Rescale to Fit GDP Proj'!$D$52)</f>
        <v>-1.1745802451263718E-3</v>
      </c>
      <c r="O85" s="49">
        <f>IF($A85="AEO",'Growth Rates'!N78,'Growth Rates'!N78*'Rescale to Fit GDP Proj'!$D$52)</f>
        <v>1.4985504348045042E-3</v>
      </c>
      <c r="P85" s="49">
        <f>IF($A85="AEO",'Growth Rates'!O78,'Growth Rates'!O78*'Rescale to Fit GDP Proj'!$D$52)</f>
        <v>1.1495064219934422E-3</v>
      </c>
      <c r="Q85" s="49">
        <f>IF($A85="AEO",'Growth Rates'!P78,'Growth Rates'!P78*'Rescale to Fit GDP Proj'!$D$52)</f>
        <v>4.8649869186569456E-3</v>
      </c>
      <c r="R85" s="49">
        <f>IF($A85="AEO",'Growth Rates'!Q78,'Growth Rates'!Q78*'Rescale to Fit GDP Proj'!$D$52)</f>
        <v>8.6177378951996769E-3</v>
      </c>
      <c r="S85" s="49">
        <f>IF($A85="AEO",'Growth Rates'!R78,'Growth Rates'!R78*'Rescale to Fit GDP Proj'!$D$52)</f>
        <v>1.2849450533876856E-2</v>
      </c>
      <c r="T85" s="49">
        <f>IF($A85="AEO",'Growth Rates'!S78,'Growth Rates'!S78*'Rescale to Fit GDP Proj'!$D$52)</f>
        <v>1.4534707859538093E-2</v>
      </c>
      <c r="U85" s="49">
        <f>IF($A85="AEO",'Growth Rates'!T78,'Growth Rates'!T78*'Rescale to Fit GDP Proj'!$D$52)</f>
        <v>1.207020877462019E-2</v>
      </c>
      <c r="V85" s="49">
        <f>IF($A85="AEO",'Growth Rates'!U78,'Growth Rates'!U78*'Rescale to Fit GDP Proj'!$D$52)</f>
        <v>1.3948364414965025E-2</v>
      </c>
      <c r="W85" s="49">
        <f>IF($A85="AEO",'Growth Rates'!V78,'Growth Rates'!V78*'Rescale to Fit GDP Proj'!$D$52)</f>
        <v>1.613541434906807E-2</v>
      </c>
      <c r="X85" s="49">
        <f>IF($A85="AEO",'Growth Rates'!W78,'Growth Rates'!W78*'Rescale to Fit GDP Proj'!$D$52)</f>
        <v>1.2473548822428258E-2</v>
      </c>
      <c r="Y85" s="49">
        <f>IF($A85="AEO",'Growth Rates'!X78,'Growth Rates'!X78*'Rescale to Fit GDP Proj'!$D$52)</f>
        <v>1.0688525871105225E-2</v>
      </c>
      <c r="Z85" s="49">
        <f>IF($A85="AEO",'Growth Rates'!Y78,'Growth Rates'!Y78*'Rescale to Fit GDP Proj'!$D$52)</f>
        <v>1.0544607129543427E-2</v>
      </c>
      <c r="AA85" s="49">
        <f>IF($A85="AEO",'Growth Rates'!Z78,'Growth Rates'!Z78*'Rescale to Fit GDP Proj'!$D$52)</f>
        <v>1.199216661393456E-2</v>
      </c>
      <c r="AB85" s="49">
        <f>IF($A85="AEO",'Growth Rates'!AA78,'Growth Rates'!AA78*'Rescale to Fit GDP Proj'!$D$52)</f>
        <v>1.2303674014920541E-2</v>
      </c>
      <c r="AC85" s="49">
        <f>IF($A85="AEO",'Growth Rates'!AB78,'Growth Rates'!AB78*'Rescale to Fit GDP Proj'!$D$52)</f>
        <v>1.1841415651298783E-2</v>
      </c>
      <c r="AD85" s="49">
        <f>IF($A85="AEO",'Growth Rates'!AC78,'Growth Rates'!AC78*'Rescale to Fit GDP Proj'!$D$52)</f>
        <v>9.8948342439917469E-3</v>
      </c>
      <c r="AE85" s="49">
        <f>IF($A85="AEO",'Growth Rates'!AD78,'Growth Rates'!AD78*'Rescale to Fit GDP Proj'!$D$52)</f>
        <v>8.7004993046270063E-3</v>
      </c>
      <c r="AF85" s="49">
        <f>IF($A85="AEO",'Growth Rates'!AE78,'Growth Rates'!AE78*'Rescale to Fit GDP Proj'!$D$52)</f>
        <v>1.3232596371850296E-2</v>
      </c>
    </row>
    <row r="86" spans="1:32" x14ac:dyDescent="0.3">
      <c r="B86" s="1" t="s">
        <v>19</v>
      </c>
      <c r="C86" s="49">
        <f>IF($A86="AEO",'Growth Rates'!B79,'Growth Rates'!B79*'Rescale to Fit GDP Proj'!$D$52)</f>
        <v>0</v>
      </c>
      <c r="D86" s="49">
        <f>IF($A86="AEO",'Growth Rates'!C79,'Growth Rates'!C79*'Rescale to Fit GDP Proj'!$D$52)</f>
        <v>2.3870237573221754E-2</v>
      </c>
      <c r="E86" s="49">
        <f>IF($A86="AEO",'Growth Rates'!D79,'Growth Rates'!D79*'Rescale to Fit GDP Proj'!$D$52)</f>
        <v>2.3870237573221754E-2</v>
      </c>
      <c r="F86" s="49">
        <f>IF($A86="AEO",'Growth Rates'!E79,'Growth Rates'!E79*'Rescale to Fit GDP Proj'!$D$52)</f>
        <v>2.3870237573221754E-2</v>
      </c>
      <c r="G86" s="49">
        <f>IF($A86="AEO",'Growth Rates'!F79,'Growth Rates'!F79*'Rescale to Fit GDP Proj'!$D$52)</f>
        <v>2.3870237573221754E-2</v>
      </c>
      <c r="H86" s="49">
        <f>IF($A86="AEO",'Growth Rates'!G79,'Growth Rates'!G79*'Rescale to Fit GDP Proj'!$D$52)</f>
        <v>2.3870237573221754E-2</v>
      </c>
      <c r="I86" s="49">
        <f>IF($A86="AEO",'Growth Rates'!H79,'Growth Rates'!H79*'Rescale to Fit GDP Proj'!$D$52)</f>
        <v>2.3870237573221754E-2</v>
      </c>
      <c r="J86" s="49">
        <f>IF($A86="AEO",'Growth Rates'!I79,'Growth Rates'!I79*'Rescale to Fit GDP Proj'!$D$52)</f>
        <v>2.3870237573221754E-2</v>
      </c>
      <c r="K86" s="49">
        <f>IF($A86="AEO",'Growth Rates'!J79,'Growth Rates'!J79*'Rescale to Fit GDP Proj'!$D$52)</f>
        <v>2.3870237573221754E-2</v>
      </c>
      <c r="L86" s="49">
        <f>IF($A86="AEO",'Growth Rates'!K79,'Growth Rates'!K79*'Rescale to Fit GDP Proj'!$D$52)</f>
        <v>2.3870237573221754E-2</v>
      </c>
      <c r="M86" s="49">
        <f>IF($A86="AEO",'Growth Rates'!L79,'Growth Rates'!L79*'Rescale to Fit GDP Proj'!$D$52)</f>
        <v>2.3870237573221754E-2</v>
      </c>
      <c r="N86" s="49">
        <f>IF($A86="AEO",'Growth Rates'!M79,'Growth Rates'!M79*'Rescale to Fit GDP Proj'!$D$52)</f>
        <v>2.3870237573221754E-2</v>
      </c>
      <c r="O86" s="49">
        <f>IF($A86="AEO",'Growth Rates'!N79,'Growth Rates'!N79*'Rescale to Fit GDP Proj'!$D$52)</f>
        <v>2.3870237573221754E-2</v>
      </c>
      <c r="P86" s="49">
        <f>IF($A86="AEO",'Growth Rates'!O79,'Growth Rates'!O79*'Rescale to Fit GDP Proj'!$D$52)</f>
        <v>2.3870237573221754E-2</v>
      </c>
      <c r="Q86" s="49">
        <f>IF($A86="AEO",'Growth Rates'!P79,'Growth Rates'!P79*'Rescale to Fit GDP Proj'!$D$52)</f>
        <v>2.3870237573221754E-2</v>
      </c>
      <c r="R86" s="49">
        <f>IF($A86="AEO",'Growth Rates'!Q79,'Growth Rates'!Q79*'Rescale to Fit GDP Proj'!$D$52)</f>
        <v>2.3870237573221754E-2</v>
      </c>
      <c r="S86" s="49">
        <f>IF($A86="AEO",'Growth Rates'!R79,'Growth Rates'!R79*'Rescale to Fit GDP Proj'!$D$52)</f>
        <v>2.3870237573221754E-2</v>
      </c>
      <c r="T86" s="49">
        <f>IF($A86="AEO",'Growth Rates'!S79,'Growth Rates'!S79*'Rescale to Fit GDP Proj'!$D$52)</f>
        <v>2.3870237573221754E-2</v>
      </c>
      <c r="U86" s="49">
        <f>IF($A86="AEO",'Growth Rates'!T79,'Growth Rates'!T79*'Rescale to Fit GDP Proj'!$D$52)</f>
        <v>2.3870237573221754E-2</v>
      </c>
      <c r="V86" s="49">
        <f>IF($A86="AEO",'Growth Rates'!U79,'Growth Rates'!U79*'Rescale to Fit GDP Proj'!$D$52)</f>
        <v>2.3870237573221754E-2</v>
      </c>
      <c r="W86" s="49">
        <f>IF($A86="AEO",'Growth Rates'!V79,'Growth Rates'!V79*'Rescale to Fit GDP Proj'!$D$52)</f>
        <v>2.3870237573221754E-2</v>
      </c>
      <c r="X86" s="49">
        <f>IF($A86="AEO",'Growth Rates'!W79,'Growth Rates'!W79*'Rescale to Fit GDP Proj'!$D$52)</f>
        <v>2.3870237573221754E-2</v>
      </c>
      <c r="Y86" s="49">
        <f>IF($A86="AEO",'Growth Rates'!X79,'Growth Rates'!X79*'Rescale to Fit GDP Proj'!$D$52)</f>
        <v>2.3870237573221754E-2</v>
      </c>
      <c r="Z86" s="49">
        <f>IF($A86="AEO",'Growth Rates'!Y79,'Growth Rates'!Y79*'Rescale to Fit GDP Proj'!$D$52)</f>
        <v>2.3870237573221754E-2</v>
      </c>
      <c r="AA86" s="49">
        <f>IF($A86="AEO",'Growth Rates'!Z79,'Growth Rates'!Z79*'Rescale to Fit GDP Proj'!$D$52)</f>
        <v>2.3870237573221754E-2</v>
      </c>
      <c r="AB86" s="49">
        <f>IF($A86="AEO",'Growth Rates'!AA79,'Growth Rates'!AA79*'Rescale to Fit GDP Proj'!$D$52)</f>
        <v>2.3870237573221754E-2</v>
      </c>
      <c r="AC86" s="49">
        <f>IF($A86="AEO",'Growth Rates'!AB79,'Growth Rates'!AB79*'Rescale to Fit GDP Proj'!$D$52)</f>
        <v>2.3870237573221754E-2</v>
      </c>
      <c r="AD86" s="49">
        <f>IF($A86="AEO",'Growth Rates'!AC79,'Growth Rates'!AC79*'Rescale to Fit GDP Proj'!$D$52)</f>
        <v>2.3870237573221754E-2</v>
      </c>
      <c r="AE86" s="49">
        <f>IF($A86="AEO",'Growth Rates'!AD79,'Growth Rates'!AD79*'Rescale to Fit GDP Proj'!$D$52)</f>
        <v>2.3870237573221754E-2</v>
      </c>
      <c r="AF86" s="49">
        <f>IF($A86="AEO",'Growth Rates'!AE79,'Growth Rates'!AE79*'Rescale to Fit GDP Proj'!$D$52)</f>
        <v>2.3870237573221754E-2</v>
      </c>
    </row>
    <row r="87" spans="1:32" x14ac:dyDescent="0.3">
      <c r="B87" s="1" t="s">
        <v>20</v>
      </c>
      <c r="C87" s="49">
        <f>IF($A87="AEO",'Growth Rates'!B80,'Growth Rates'!B80*'Rescale to Fit GDP Proj'!$D$52)</f>
        <v>0</v>
      </c>
      <c r="D87" s="49">
        <f>IF($A87="AEO",'Growth Rates'!C80,'Growth Rates'!C80*'Rescale to Fit GDP Proj'!$D$52)</f>
        <v>1.5264E-2</v>
      </c>
      <c r="E87" s="49">
        <f>IF($A87="AEO",'Growth Rates'!D80,'Growth Rates'!D80*'Rescale to Fit GDP Proj'!$D$52)</f>
        <v>1.5264E-2</v>
      </c>
      <c r="F87" s="49">
        <f>IF($A87="AEO",'Growth Rates'!E80,'Growth Rates'!E80*'Rescale to Fit GDP Proj'!$D$52)</f>
        <v>1.5264E-2</v>
      </c>
      <c r="G87" s="49">
        <f>IF($A87="AEO",'Growth Rates'!F80,'Growth Rates'!F80*'Rescale to Fit GDP Proj'!$D$52)</f>
        <v>1.5264E-2</v>
      </c>
      <c r="H87" s="49">
        <f>IF($A87="AEO",'Growth Rates'!G80,'Growth Rates'!G80*'Rescale to Fit GDP Proj'!$D$52)</f>
        <v>1.5264E-2</v>
      </c>
      <c r="I87" s="49">
        <f>IF($A87="AEO",'Growth Rates'!H80,'Growth Rates'!H80*'Rescale to Fit GDP Proj'!$D$52)</f>
        <v>1.5264E-2</v>
      </c>
      <c r="J87" s="49">
        <f>IF($A87="AEO",'Growth Rates'!I80,'Growth Rates'!I80*'Rescale to Fit GDP Proj'!$D$52)</f>
        <v>1.5264E-2</v>
      </c>
      <c r="K87" s="49">
        <f>IF($A87="AEO",'Growth Rates'!J80,'Growth Rates'!J80*'Rescale to Fit GDP Proj'!$D$52)</f>
        <v>1.5264E-2</v>
      </c>
      <c r="L87" s="49">
        <f>IF($A87="AEO",'Growth Rates'!K80,'Growth Rates'!K80*'Rescale to Fit GDP Proj'!$D$52)</f>
        <v>1.5264E-2</v>
      </c>
      <c r="M87" s="49">
        <f>IF($A87="AEO",'Growth Rates'!L80,'Growth Rates'!L80*'Rescale to Fit GDP Proj'!$D$52)</f>
        <v>1.5264E-2</v>
      </c>
      <c r="N87" s="49">
        <f>IF($A87="AEO",'Growth Rates'!M80,'Growth Rates'!M80*'Rescale to Fit GDP Proj'!$D$52)</f>
        <v>1.5264E-2</v>
      </c>
      <c r="O87" s="49">
        <f>IF($A87="AEO",'Growth Rates'!N80,'Growth Rates'!N80*'Rescale to Fit GDP Proj'!$D$52)</f>
        <v>1.5264E-2</v>
      </c>
      <c r="P87" s="49">
        <f>IF($A87="AEO",'Growth Rates'!O80,'Growth Rates'!O80*'Rescale to Fit GDP Proj'!$D$52)</f>
        <v>1.5264E-2</v>
      </c>
      <c r="Q87" s="49">
        <f>IF($A87="AEO",'Growth Rates'!P80,'Growth Rates'!P80*'Rescale to Fit GDP Proj'!$D$52)</f>
        <v>1.5264E-2</v>
      </c>
      <c r="R87" s="49">
        <f>IF($A87="AEO",'Growth Rates'!Q80,'Growth Rates'!Q80*'Rescale to Fit GDP Proj'!$D$52)</f>
        <v>1.5264E-2</v>
      </c>
      <c r="S87" s="49">
        <f>IF($A87="AEO",'Growth Rates'!R80,'Growth Rates'!R80*'Rescale to Fit GDP Proj'!$D$52)</f>
        <v>1.5264E-2</v>
      </c>
      <c r="T87" s="49">
        <f>IF($A87="AEO",'Growth Rates'!S80,'Growth Rates'!S80*'Rescale to Fit GDP Proj'!$D$52)</f>
        <v>1.5264E-2</v>
      </c>
      <c r="U87" s="49">
        <f>IF($A87="AEO",'Growth Rates'!T80,'Growth Rates'!T80*'Rescale to Fit GDP Proj'!$D$52)</f>
        <v>1.5264E-2</v>
      </c>
      <c r="V87" s="49">
        <f>IF($A87="AEO",'Growth Rates'!U80,'Growth Rates'!U80*'Rescale to Fit GDP Proj'!$D$52)</f>
        <v>1.5264E-2</v>
      </c>
      <c r="W87" s="49">
        <f>IF($A87="AEO",'Growth Rates'!V80,'Growth Rates'!V80*'Rescale to Fit GDP Proj'!$D$52)</f>
        <v>1.5264E-2</v>
      </c>
      <c r="X87" s="49">
        <f>IF($A87="AEO",'Growth Rates'!W80,'Growth Rates'!W80*'Rescale to Fit GDP Proj'!$D$52)</f>
        <v>1.5264E-2</v>
      </c>
      <c r="Y87" s="49">
        <f>IF($A87="AEO",'Growth Rates'!X80,'Growth Rates'!X80*'Rescale to Fit GDP Proj'!$D$52)</f>
        <v>1.5264E-2</v>
      </c>
      <c r="Z87" s="49">
        <f>IF($A87="AEO",'Growth Rates'!Y80,'Growth Rates'!Y80*'Rescale to Fit GDP Proj'!$D$52)</f>
        <v>1.5264E-2</v>
      </c>
      <c r="AA87" s="49">
        <f>IF($A87="AEO",'Growth Rates'!Z80,'Growth Rates'!Z80*'Rescale to Fit GDP Proj'!$D$52)</f>
        <v>1.5264E-2</v>
      </c>
      <c r="AB87" s="49">
        <f>IF($A87="AEO",'Growth Rates'!AA80,'Growth Rates'!AA80*'Rescale to Fit GDP Proj'!$D$52)</f>
        <v>1.5264E-2</v>
      </c>
      <c r="AC87" s="49">
        <f>IF($A87="AEO",'Growth Rates'!AB80,'Growth Rates'!AB80*'Rescale to Fit GDP Proj'!$D$52)</f>
        <v>1.5264E-2</v>
      </c>
      <c r="AD87" s="49">
        <f>IF($A87="AEO",'Growth Rates'!AC80,'Growth Rates'!AC80*'Rescale to Fit GDP Proj'!$D$52)</f>
        <v>1.5264E-2</v>
      </c>
      <c r="AE87" s="49">
        <f>IF($A87="AEO",'Growth Rates'!AD80,'Growth Rates'!AD80*'Rescale to Fit GDP Proj'!$D$52)</f>
        <v>1.5264E-2</v>
      </c>
      <c r="AF87" s="49">
        <f>IF($A87="AEO",'Growth Rates'!AE80,'Growth Rates'!AE80*'Rescale to Fit GDP Proj'!$D$52)</f>
        <v>1.5264E-2</v>
      </c>
    </row>
    <row r="88" spans="1:32" x14ac:dyDescent="0.3">
      <c r="B88" s="1" t="s">
        <v>21</v>
      </c>
      <c r="C88" s="49">
        <f>IF($A88="AEO",'Growth Rates'!B81,'Growth Rates'!B81*'Rescale to Fit GDP Proj'!$D$52)</f>
        <v>0</v>
      </c>
      <c r="D88" s="49">
        <f>IF($A88="AEO",'Growth Rates'!C81,'Growth Rates'!C81*'Rescale to Fit GDP Proj'!$D$52)</f>
        <v>2.0034E-2</v>
      </c>
      <c r="E88" s="49">
        <f>IF($A88="AEO",'Growth Rates'!D81,'Growth Rates'!D81*'Rescale to Fit GDP Proj'!$D$52)</f>
        <v>2.0034E-2</v>
      </c>
      <c r="F88" s="49">
        <f>IF($A88="AEO",'Growth Rates'!E81,'Growth Rates'!E81*'Rescale to Fit GDP Proj'!$D$52)</f>
        <v>2.0034E-2</v>
      </c>
      <c r="G88" s="49">
        <f>IF($A88="AEO",'Growth Rates'!F81,'Growth Rates'!F81*'Rescale to Fit GDP Proj'!$D$52)</f>
        <v>2.0034E-2</v>
      </c>
      <c r="H88" s="49">
        <f>IF($A88="AEO",'Growth Rates'!G81,'Growth Rates'!G81*'Rescale to Fit GDP Proj'!$D$52)</f>
        <v>2.0034E-2</v>
      </c>
      <c r="I88" s="49">
        <f>IF($A88="AEO",'Growth Rates'!H81,'Growth Rates'!H81*'Rescale to Fit GDP Proj'!$D$52)</f>
        <v>2.0034E-2</v>
      </c>
      <c r="J88" s="49">
        <f>IF($A88="AEO",'Growth Rates'!I81,'Growth Rates'!I81*'Rescale to Fit GDP Proj'!$D$52)</f>
        <v>2.0034E-2</v>
      </c>
      <c r="K88" s="49">
        <f>IF($A88="AEO",'Growth Rates'!J81,'Growth Rates'!J81*'Rescale to Fit GDP Proj'!$D$52)</f>
        <v>2.0034E-2</v>
      </c>
      <c r="L88" s="49">
        <f>IF($A88="AEO",'Growth Rates'!K81,'Growth Rates'!K81*'Rescale to Fit GDP Proj'!$D$52)</f>
        <v>2.0034E-2</v>
      </c>
      <c r="M88" s="49">
        <f>IF($A88="AEO",'Growth Rates'!L81,'Growth Rates'!L81*'Rescale to Fit GDP Proj'!$D$52)</f>
        <v>2.0034E-2</v>
      </c>
      <c r="N88" s="49">
        <f>IF($A88="AEO",'Growth Rates'!M81,'Growth Rates'!M81*'Rescale to Fit GDP Proj'!$D$52)</f>
        <v>2.0034E-2</v>
      </c>
      <c r="O88" s="49">
        <f>IF($A88="AEO",'Growth Rates'!N81,'Growth Rates'!N81*'Rescale to Fit GDP Proj'!$D$52)</f>
        <v>2.0034E-2</v>
      </c>
      <c r="P88" s="49">
        <f>IF($A88="AEO",'Growth Rates'!O81,'Growth Rates'!O81*'Rescale to Fit GDP Proj'!$D$52)</f>
        <v>2.0034E-2</v>
      </c>
      <c r="Q88" s="49">
        <f>IF($A88="AEO",'Growth Rates'!P81,'Growth Rates'!P81*'Rescale to Fit GDP Proj'!$D$52)</f>
        <v>2.0034E-2</v>
      </c>
      <c r="R88" s="49">
        <f>IF($A88="AEO",'Growth Rates'!Q81,'Growth Rates'!Q81*'Rescale to Fit GDP Proj'!$D$52)</f>
        <v>2.0034E-2</v>
      </c>
      <c r="S88" s="49">
        <f>IF($A88="AEO",'Growth Rates'!R81,'Growth Rates'!R81*'Rescale to Fit GDP Proj'!$D$52)</f>
        <v>2.0034E-2</v>
      </c>
      <c r="T88" s="49">
        <f>IF($A88="AEO",'Growth Rates'!S81,'Growth Rates'!S81*'Rescale to Fit GDP Proj'!$D$52)</f>
        <v>2.0034E-2</v>
      </c>
      <c r="U88" s="49">
        <f>IF($A88="AEO",'Growth Rates'!T81,'Growth Rates'!T81*'Rescale to Fit GDP Proj'!$D$52)</f>
        <v>2.0034E-2</v>
      </c>
      <c r="V88" s="49">
        <f>IF($A88="AEO",'Growth Rates'!U81,'Growth Rates'!U81*'Rescale to Fit GDP Proj'!$D$52)</f>
        <v>2.0034E-2</v>
      </c>
      <c r="W88" s="49">
        <f>IF($A88="AEO",'Growth Rates'!V81,'Growth Rates'!V81*'Rescale to Fit GDP Proj'!$D$52)</f>
        <v>2.0034E-2</v>
      </c>
      <c r="X88" s="49">
        <f>IF($A88="AEO",'Growth Rates'!W81,'Growth Rates'!W81*'Rescale to Fit GDP Proj'!$D$52)</f>
        <v>2.0034E-2</v>
      </c>
      <c r="Y88" s="49">
        <f>IF($A88="AEO",'Growth Rates'!X81,'Growth Rates'!X81*'Rescale to Fit GDP Proj'!$D$52)</f>
        <v>2.0034E-2</v>
      </c>
      <c r="Z88" s="49">
        <f>IF($A88="AEO",'Growth Rates'!Y81,'Growth Rates'!Y81*'Rescale to Fit GDP Proj'!$D$52)</f>
        <v>2.0034E-2</v>
      </c>
      <c r="AA88" s="49">
        <f>IF($A88="AEO",'Growth Rates'!Z81,'Growth Rates'!Z81*'Rescale to Fit GDP Proj'!$D$52)</f>
        <v>2.0034E-2</v>
      </c>
      <c r="AB88" s="49">
        <f>IF($A88="AEO",'Growth Rates'!AA81,'Growth Rates'!AA81*'Rescale to Fit GDP Proj'!$D$52)</f>
        <v>2.0034E-2</v>
      </c>
      <c r="AC88" s="49">
        <f>IF($A88="AEO",'Growth Rates'!AB81,'Growth Rates'!AB81*'Rescale to Fit GDP Proj'!$D$52)</f>
        <v>2.0034E-2</v>
      </c>
      <c r="AD88" s="49">
        <f>IF($A88="AEO",'Growth Rates'!AC81,'Growth Rates'!AC81*'Rescale to Fit GDP Proj'!$D$52)</f>
        <v>2.0034E-2</v>
      </c>
      <c r="AE88" s="49">
        <f>IF($A88="AEO",'Growth Rates'!AD81,'Growth Rates'!AD81*'Rescale to Fit GDP Proj'!$D$52)</f>
        <v>2.0034E-2</v>
      </c>
      <c r="AF88" s="49">
        <f>IF($A88="AEO",'Growth Rates'!AE81,'Growth Rates'!AE81*'Rescale to Fit GDP Proj'!$D$52)</f>
        <v>2.0034E-2</v>
      </c>
    </row>
    <row r="89" spans="1:32" x14ac:dyDescent="0.3">
      <c r="B89" s="1" t="s">
        <v>22</v>
      </c>
      <c r="C89" s="49">
        <f>IF($A89="AEO",'Growth Rates'!B82,'Growth Rates'!B82*'Rescale to Fit GDP Proj'!$D$52)</f>
        <v>0</v>
      </c>
      <c r="D89" s="49">
        <f>IF($A89="AEO",'Growth Rates'!C82,'Growth Rates'!C82*'Rescale to Fit GDP Proj'!$D$52)</f>
        <v>2.5185470174642774E-2</v>
      </c>
      <c r="E89" s="49">
        <f>IF($A89="AEO",'Growth Rates'!D82,'Growth Rates'!D82*'Rescale to Fit GDP Proj'!$D$52)</f>
        <v>2.5185470174642774E-2</v>
      </c>
      <c r="F89" s="49">
        <f>IF($A89="AEO",'Growth Rates'!E82,'Growth Rates'!E82*'Rescale to Fit GDP Proj'!$D$52)</f>
        <v>2.5185470174642774E-2</v>
      </c>
      <c r="G89" s="49">
        <f>IF($A89="AEO",'Growth Rates'!F82,'Growth Rates'!F82*'Rescale to Fit GDP Proj'!$D$52)</f>
        <v>2.5185470174642774E-2</v>
      </c>
      <c r="H89" s="49">
        <f>IF($A89="AEO",'Growth Rates'!G82,'Growth Rates'!G82*'Rescale to Fit GDP Proj'!$D$52)</f>
        <v>2.5185470174642774E-2</v>
      </c>
      <c r="I89" s="49">
        <f>IF($A89="AEO",'Growth Rates'!H82,'Growth Rates'!H82*'Rescale to Fit GDP Proj'!$D$52)</f>
        <v>2.5185470174642774E-2</v>
      </c>
      <c r="J89" s="49">
        <f>IF($A89="AEO",'Growth Rates'!I82,'Growth Rates'!I82*'Rescale to Fit GDP Proj'!$D$52)</f>
        <v>2.5185470174642774E-2</v>
      </c>
      <c r="K89" s="49">
        <f>IF($A89="AEO",'Growth Rates'!J82,'Growth Rates'!J82*'Rescale to Fit GDP Proj'!$D$52)</f>
        <v>2.5185470174642774E-2</v>
      </c>
      <c r="L89" s="49">
        <f>IF($A89="AEO",'Growth Rates'!K82,'Growth Rates'!K82*'Rescale to Fit GDP Proj'!$D$52)</f>
        <v>2.5185470174642774E-2</v>
      </c>
      <c r="M89" s="49">
        <f>IF($A89="AEO",'Growth Rates'!L82,'Growth Rates'!L82*'Rescale to Fit GDP Proj'!$D$52)</f>
        <v>2.5185470174642774E-2</v>
      </c>
      <c r="N89" s="49">
        <f>IF($A89="AEO",'Growth Rates'!M82,'Growth Rates'!M82*'Rescale to Fit GDP Proj'!$D$52)</f>
        <v>2.5185470174642774E-2</v>
      </c>
      <c r="O89" s="49">
        <f>IF($A89="AEO",'Growth Rates'!N82,'Growth Rates'!N82*'Rescale to Fit GDP Proj'!$D$52)</f>
        <v>2.5185470174642774E-2</v>
      </c>
      <c r="P89" s="49">
        <f>IF($A89="AEO",'Growth Rates'!O82,'Growth Rates'!O82*'Rescale to Fit GDP Proj'!$D$52)</f>
        <v>2.5185470174642774E-2</v>
      </c>
      <c r="Q89" s="49">
        <f>IF($A89="AEO",'Growth Rates'!P82,'Growth Rates'!P82*'Rescale to Fit GDP Proj'!$D$52)</f>
        <v>2.5185470174642774E-2</v>
      </c>
      <c r="R89" s="49">
        <f>IF($A89="AEO",'Growth Rates'!Q82,'Growth Rates'!Q82*'Rescale to Fit GDP Proj'!$D$52)</f>
        <v>2.5185470174642774E-2</v>
      </c>
      <c r="S89" s="49">
        <f>IF($A89="AEO",'Growth Rates'!R82,'Growth Rates'!R82*'Rescale to Fit GDP Proj'!$D$52)</f>
        <v>2.5185470174642774E-2</v>
      </c>
      <c r="T89" s="49">
        <f>IF($A89="AEO",'Growth Rates'!S82,'Growth Rates'!S82*'Rescale to Fit GDP Proj'!$D$52)</f>
        <v>2.5185470174642774E-2</v>
      </c>
      <c r="U89" s="49">
        <f>IF($A89="AEO",'Growth Rates'!T82,'Growth Rates'!T82*'Rescale to Fit GDP Proj'!$D$52)</f>
        <v>2.5185470174642774E-2</v>
      </c>
      <c r="V89" s="49">
        <f>IF($A89="AEO",'Growth Rates'!U82,'Growth Rates'!U82*'Rescale to Fit GDP Proj'!$D$52)</f>
        <v>2.5185470174642774E-2</v>
      </c>
      <c r="W89" s="49">
        <f>IF($A89="AEO",'Growth Rates'!V82,'Growth Rates'!V82*'Rescale to Fit GDP Proj'!$D$52)</f>
        <v>2.5185470174642774E-2</v>
      </c>
      <c r="X89" s="49">
        <f>IF($A89="AEO",'Growth Rates'!W82,'Growth Rates'!W82*'Rescale to Fit GDP Proj'!$D$52)</f>
        <v>2.5185470174642774E-2</v>
      </c>
      <c r="Y89" s="49">
        <f>IF($A89="AEO",'Growth Rates'!X82,'Growth Rates'!X82*'Rescale to Fit GDP Proj'!$D$52)</f>
        <v>2.5185470174642774E-2</v>
      </c>
      <c r="Z89" s="49">
        <f>IF($A89="AEO",'Growth Rates'!Y82,'Growth Rates'!Y82*'Rescale to Fit GDP Proj'!$D$52)</f>
        <v>2.5185470174642774E-2</v>
      </c>
      <c r="AA89" s="49">
        <f>IF($A89="AEO",'Growth Rates'!Z82,'Growth Rates'!Z82*'Rescale to Fit GDP Proj'!$D$52)</f>
        <v>2.5185470174642774E-2</v>
      </c>
      <c r="AB89" s="49">
        <f>IF($A89="AEO",'Growth Rates'!AA82,'Growth Rates'!AA82*'Rescale to Fit GDP Proj'!$D$52)</f>
        <v>2.5185470174642774E-2</v>
      </c>
      <c r="AC89" s="49">
        <f>IF($A89="AEO",'Growth Rates'!AB82,'Growth Rates'!AB82*'Rescale to Fit GDP Proj'!$D$52)</f>
        <v>2.5185470174642774E-2</v>
      </c>
      <c r="AD89" s="49">
        <f>IF($A89="AEO",'Growth Rates'!AC82,'Growth Rates'!AC82*'Rescale to Fit GDP Proj'!$D$52)</f>
        <v>2.5185470174642774E-2</v>
      </c>
      <c r="AE89" s="49">
        <f>IF($A89="AEO",'Growth Rates'!AD82,'Growth Rates'!AD82*'Rescale to Fit GDP Proj'!$D$52)</f>
        <v>2.5185470174642774E-2</v>
      </c>
      <c r="AF89" s="49">
        <f>IF($A89="AEO",'Growth Rates'!AE82,'Growth Rates'!AE82*'Rescale to Fit GDP Proj'!$D$52)</f>
        <v>2.5185470174642774E-2</v>
      </c>
    </row>
    <row r="90" spans="1:32" x14ac:dyDescent="0.3">
      <c r="B90" s="1" t="s">
        <v>23</v>
      </c>
      <c r="C90" s="49">
        <f>IF($A90="AEO",'Growth Rates'!B83,'Growth Rates'!B83*'Rescale to Fit GDP Proj'!$D$52)</f>
        <v>0</v>
      </c>
      <c r="D90" s="49">
        <f>IF($A90="AEO",'Growth Rates'!C83,'Growth Rates'!C83*'Rescale to Fit GDP Proj'!$D$52)</f>
        <v>1.908E-2</v>
      </c>
      <c r="E90" s="49">
        <f>IF($A90="AEO",'Growth Rates'!D83,'Growth Rates'!D83*'Rescale to Fit GDP Proj'!$D$52)</f>
        <v>1.908E-2</v>
      </c>
      <c r="F90" s="49">
        <f>IF($A90="AEO",'Growth Rates'!E83,'Growth Rates'!E83*'Rescale to Fit GDP Proj'!$D$52)</f>
        <v>1.908E-2</v>
      </c>
      <c r="G90" s="49">
        <f>IF($A90="AEO",'Growth Rates'!F83,'Growth Rates'!F83*'Rescale to Fit GDP Proj'!$D$52)</f>
        <v>1.908E-2</v>
      </c>
      <c r="H90" s="49">
        <f>IF($A90="AEO",'Growth Rates'!G83,'Growth Rates'!G83*'Rescale to Fit GDP Proj'!$D$52)</f>
        <v>1.908E-2</v>
      </c>
      <c r="I90" s="49">
        <f>IF($A90="AEO",'Growth Rates'!H83,'Growth Rates'!H83*'Rescale to Fit GDP Proj'!$D$52)</f>
        <v>1.908E-2</v>
      </c>
      <c r="J90" s="49">
        <f>IF($A90="AEO",'Growth Rates'!I83,'Growth Rates'!I83*'Rescale to Fit GDP Proj'!$D$52)</f>
        <v>1.908E-2</v>
      </c>
      <c r="K90" s="49">
        <f>IF($A90="AEO",'Growth Rates'!J83,'Growth Rates'!J83*'Rescale to Fit GDP Proj'!$D$52)</f>
        <v>1.908E-2</v>
      </c>
      <c r="L90" s="49">
        <f>IF($A90="AEO",'Growth Rates'!K83,'Growth Rates'!K83*'Rescale to Fit GDP Proj'!$D$52)</f>
        <v>1.908E-2</v>
      </c>
      <c r="M90" s="49">
        <f>IF($A90="AEO",'Growth Rates'!L83,'Growth Rates'!L83*'Rescale to Fit GDP Proj'!$D$52)</f>
        <v>1.908E-2</v>
      </c>
      <c r="N90" s="49">
        <f>IF($A90="AEO",'Growth Rates'!M83,'Growth Rates'!M83*'Rescale to Fit GDP Proj'!$D$52)</f>
        <v>1.908E-2</v>
      </c>
      <c r="O90" s="49">
        <f>IF($A90="AEO",'Growth Rates'!N83,'Growth Rates'!N83*'Rescale to Fit GDP Proj'!$D$52)</f>
        <v>1.908E-2</v>
      </c>
      <c r="P90" s="49">
        <f>IF($A90="AEO",'Growth Rates'!O83,'Growth Rates'!O83*'Rescale to Fit GDP Proj'!$D$52)</f>
        <v>1.908E-2</v>
      </c>
      <c r="Q90" s="49">
        <f>IF($A90="AEO",'Growth Rates'!P83,'Growth Rates'!P83*'Rescale to Fit GDP Proj'!$D$52)</f>
        <v>1.908E-2</v>
      </c>
      <c r="R90" s="49">
        <f>IF($A90="AEO",'Growth Rates'!Q83,'Growth Rates'!Q83*'Rescale to Fit GDP Proj'!$D$52)</f>
        <v>1.908E-2</v>
      </c>
      <c r="S90" s="49">
        <f>IF($A90="AEO",'Growth Rates'!R83,'Growth Rates'!R83*'Rescale to Fit GDP Proj'!$D$52)</f>
        <v>1.908E-2</v>
      </c>
      <c r="T90" s="49">
        <f>IF($A90="AEO",'Growth Rates'!S83,'Growth Rates'!S83*'Rescale to Fit GDP Proj'!$D$52)</f>
        <v>1.908E-2</v>
      </c>
      <c r="U90" s="49">
        <f>IF($A90="AEO",'Growth Rates'!T83,'Growth Rates'!T83*'Rescale to Fit GDP Proj'!$D$52)</f>
        <v>1.908E-2</v>
      </c>
      <c r="V90" s="49">
        <f>IF($A90="AEO",'Growth Rates'!U83,'Growth Rates'!U83*'Rescale to Fit GDP Proj'!$D$52)</f>
        <v>1.908E-2</v>
      </c>
      <c r="W90" s="49">
        <f>IF($A90="AEO",'Growth Rates'!V83,'Growth Rates'!V83*'Rescale to Fit GDP Proj'!$D$52)</f>
        <v>1.908E-2</v>
      </c>
      <c r="X90" s="49">
        <f>IF($A90="AEO",'Growth Rates'!W83,'Growth Rates'!W83*'Rescale to Fit GDP Proj'!$D$52)</f>
        <v>1.908E-2</v>
      </c>
      <c r="Y90" s="49">
        <f>IF($A90="AEO",'Growth Rates'!X83,'Growth Rates'!X83*'Rescale to Fit GDP Proj'!$D$52)</f>
        <v>1.908E-2</v>
      </c>
      <c r="Z90" s="49">
        <f>IF($A90="AEO",'Growth Rates'!Y83,'Growth Rates'!Y83*'Rescale to Fit GDP Proj'!$D$52)</f>
        <v>1.908E-2</v>
      </c>
      <c r="AA90" s="49">
        <f>IF($A90="AEO",'Growth Rates'!Z83,'Growth Rates'!Z83*'Rescale to Fit GDP Proj'!$D$52)</f>
        <v>1.908E-2</v>
      </c>
      <c r="AB90" s="49">
        <f>IF($A90="AEO",'Growth Rates'!AA83,'Growth Rates'!AA83*'Rescale to Fit GDP Proj'!$D$52)</f>
        <v>1.908E-2</v>
      </c>
      <c r="AC90" s="49">
        <f>IF($A90="AEO",'Growth Rates'!AB83,'Growth Rates'!AB83*'Rescale to Fit GDP Proj'!$D$52)</f>
        <v>1.908E-2</v>
      </c>
      <c r="AD90" s="49">
        <f>IF($A90="AEO",'Growth Rates'!AC83,'Growth Rates'!AC83*'Rescale to Fit GDP Proj'!$D$52)</f>
        <v>1.908E-2</v>
      </c>
      <c r="AE90" s="49">
        <f>IF($A90="AEO",'Growth Rates'!AD83,'Growth Rates'!AD83*'Rescale to Fit GDP Proj'!$D$52)</f>
        <v>1.908E-2</v>
      </c>
      <c r="AF90" s="49">
        <f>IF($A90="AEO",'Growth Rates'!AE83,'Growth Rates'!AE83*'Rescale to Fit GDP Proj'!$D$52)</f>
        <v>1.908E-2</v>
      </c>
    </row>
    <row r="91" spans="1:32" x14ac:dyDescent="0.3">
      <c r="B91" s="1" t="s">
        <v>24</v>
      </c>
      <c r="C91" s="49">
        <f>IF($A91="AEO",'Growth Rates'!B84,'Growth Rates'!B84*'Rescale to Fit GDP Proj'!$D$52)</f>
        <v>0</v>
      </c>
      <c r="D91" s="49">
        <f>IF($A91="AEO",'Growth Rates'!C84,'Growth Rates'!C84*'Rescale to Fit GDP Proj'!$D$52)</f>
        <v>3.5593609543206291E-2</v>
      </c>
      <c r="E91" s="49">
        <f>IF($A91="AEO",'Growth Rates'!D84,'Growth Rates'!D84*'Rescale to Fit GDP Proj'!$D$52)</f>
        <v>3.5593609543206291E-2</v>
      </c>
      <c r="F91" s="49">
        <f>IF($A91="AEO",'Growth Rates'!E84,'Growth Rates'!E84*'Rescale to Fit GDP Proj'!$D$52)</f>
        <v>3.5593609543206291E-2</v>
      </c>
      <c r="G91" s="49">
        <f>IF($A91="AEO",'Growth Rates'!F84,'Growth Rates'!F84*'Rescale to Fit GDP Proj'!$D$52)</f>
        <v>3.5593609543206291E-2</v>
      </c>
      <c r="H91" s="49">
        <f>IF($A91="AEO",'Growth Rates'!G84,'Growth Rates'!G84*'Rescale to Fit GDP Proj'!$D$52)</f>
        <v>3.5593609543206291E-2</v>
      </c>
      <c r="I91" s="49">
        <f>IF($A91="AEO",'Growth Rates'!H84,'Growth Rates'!H84*'Rescale to Fit GDP Proj'!$D$52)</f>
        <v>3.5593609543206291E-2</v>
      </c>
      <c r="J91" s="49">
        <f>IF($A91="AEO",'Growth Rates'!I84,'Growth Rates'!I84*'Rescale to Fit GDP Proj'!$D$52)</f>
        <v>3.5593609543206291E-2</v>
      </c>
      <c r="K91" s="49">
        <f>IF($A91="AEO",'Growth Rates'!J84,'Growth Rates'!J84*'Rescale to Fit GDP Proj'!$D$52)</f>
        <v>3.5593609543206291E-2</v>
      </c>
      <c r="L91" s="49">
        <f>IF($A91="AEO",'Growth Rates'!K84,'Growth Rates'!K84*'Rescale to Fit GDP Proj'!$D$52)</f>
        <v>3.5593609543206291E-2</v>
      </c>
      <c r="M91" s="49">
        <f>IF($A91="AEO",'Growth Rates'!L84,'Growth Rates'!L84*'Rescale to Fit GDP Proj'!$D$52)</f>
        <v>3.5593609543206291E-2</v>
      </c>
      <c r="N91" s="49">
        <f>IF($A91="AEO",'Growth Rates'!M84,'Growth Rates'!M84*'Rescale to Fit GDP Proj'!$D$52)</f>
        <v>3.5593609543206291E-2</v>
      </c>
      <c r="O91" s="49">
        <f>IF($A91="AEO",'Growth Rates'!N84,'Growth Rates'!N84*'Rescale to Fit GDP Proj'!$D$52)</f>
        <v>3.5593609543206291E-2</v>
      </c>
      <c r="P91" s="49">
        <f>IF($A91="AEO",'Growth Rates'!O84,'Growth Rates'!O84*'Rescale to Fit GDP Proj'!$D$52)</f>
        <v>3.5593609543206291E-2</v>
      </c>
      <c r="Q91" s="49">
        <f>IF($A91="AEO",'Growth Rates'!P84,'Growth Rates'!P84*'Rescale to Fit GDP Proj'!$D$52)</f>
        <v>3.5593609543206291E-2</v>
      </c>
      <c r="R91" s="49">
        <f>IF($A91="AEO",'Growth Rates'!Q84,'Growth Rates'!Q84*'Rescale to Fit GDP Proj'!$D$52)</f>
        <v>3.5593609543206291E-2</v>
      </c>
      <c r="S91" s="49">
        <f>IF($A91="AEO",'Growth Rates'!R84,'Growth Rates'!R84*'Rescale to Fit GDP Proj'!$D$52)</f>
        <v>3.5593609543206291E-2</v>
      </c>
      <c r="T91" s="49">
        <f>IF($A91="AEO",'Growth Rates'!S84,'Growth Rates'!S84*'Rescale to Fit GDP Proj'!$D$52)</f>
        <v>3.5593609543206291E-2</v>
      </c>
      <c r="U91" s="49">
        <f>IF($A91="AEO",'Growth Rates'!T84,'Growth Rates'!T84*'Rescale to Fit GDP Proj'!$D$52)</f>
        <v>3.5593609543206291E-2</v>
      </c>
      <c r="V91" s="49">
        <f>IF($A91="AEO",'Growth Rates'!U84,'Growth Rates'!U84*'Rescale to Fit GDP Proj'!$D$52)</f>
        <v>3.5593609543206291E-2</v>
      </c>
      <c r="W91" s="49">
        <f>IF($A91="AEO",'Growth Rates'!V84,'Growth Rates'!V84*'Rescale to Fit GDP Proj'!$D$52)</f>
        <v>3.5593609543206291E-2</v>
      </c>
      <c r="X91" s="49">
        <f>IF($A91="AEO",'Growth Rates'!W84,'Growth Rates'!W84*'Rescale to Fit GDP Proj'!$D$52)</f>
        <v>3.5593609543206291E-2</v>
      </c>
      <c r="Y91" s="49">
        <f>IF($A91="AEO",'Growth Rates'!X84,'Growth Rates'!X84*'Rescale to Fit GDP Proj'!$D$52)</f>
        <v>3.5593609543206291E-2</v>
      </c>
      <c r="Z91" s="49">
        <f>IF($A91="AEO",'Growth Rates'!Y84,'Growth Rates'!Y84*'Rescale to Fit GDP Proj'!$D$52)</f>
        <v>3.5593609543206291E-2</v>
      </c>
      <c r="AA91" s="49">
        <f>IF($A91="AEO",'Growth Rates'!Z84,'Growth Rates'!Z84*'Rescale to Fit GDP Proj'!$D$52)</f>
        <v>3.5593609543206291E-2</v>
      </c>
      <c r="AB91" s="49">
        <f>IF($A91="AEO",'Growth Rates'!AA84,'Growth Rates'!AA84*'Rescale to Fit GDP Proj'!$D$52)</f>
        <v>3.5593609543206291E-2</v>
      </c>
      <c r="AC91" s="49">
        <f>IF($A91="AEO",'Growth Rates'!AB84,'Growth Rates'!AB84*'Rescale to Fit GDP Proj'!$D$52)</f>
        <v>3.5593609543206291E-2</v>
      </c>
      <c r="AD91" s="49">
        <f>IF($A91="AEO",'Growth Rates'!AC84,'Growth Rates'!AC84*'Rescale to Fit GDP Proj'!$D$52)</f>
        <v>3.5593609543206291E-2</v>
      </c>
      <c r="AE91" s="49">
        <f>IF($A91="AEO",'Growth Rates'!AD84,'Growth Rates'!AD84*'Rescale to Fit GDP Proj'!$D$52)</f>
        <v>3.5593609543206291E-2</v>
      </c>
      <c r="AF91" s="49">
        <f>IF($A91="AEO",'Growth Rates'!AE84,'Growth Rates'!AE84*'Rescale to Fit GDP Proj'!$D$52)</f>
        <v>3.5593609543206291E-2</v>
      </c>
    </row>
    <row r="92" spans="1:32" x14ac:dyDescent="0.3">
      <c r="B92" s="1" t="s">
        <v>25</v>
      </c>
      <c r="C92" s="49">
        <f>IF($A92="AEO",'Growth Rates'!B85,'Growth Rates'!B85*'Rescale to Fit GDP Proj'!$D$52)</f>
        <v>0</v>
      </c>
      <c r="D92" s="49">
        <f>IF($A92="AEO",'Growth Rates'!C85,'Growth Rates'!C85*'Rescale to Fit GDP Proj'!$D$52)</f>
        <v>1.3355999999999998E-2</v>
      </c>
      <c r="E92" s="49">
        <f>IF($A92="AEO",'Growth Rates'!D85,'Growth Rates'!D85*'Rescale to Fit GDP Proj'!$D$52)</f>
        <v>1.3355999999999998E-2</v>
      </c>
      <c r="F92" s="49">
        <f>IF($A92="AEO",'Growth Rates'!E85,'Growth Rates'!E85*'Rescale to Fit GDP Proj'!$D$52)</f>
        <v>1.3355999999999998E-2</v>
      </c>
      <c r="G92" s="49">
        <f>IF($A92="AEO",'Growth Rates'!F85,'Growth Rates'!F85*'Rescale to Fit GDP Proj'!$D$52)</f>
        <v>1.3355999999999998E-2</v>
      </c>
      <c r="H92" s="49">
        <f>IF($A92="AEO",'Growth Rates'!G85,'Growth Rates'!G85*'Rescale to Fit GDP Proj'!$D$52)</f>
        <v>1.3355999999999998E-2</v>
      </c>
      <c r="I92" s="49">
        <f>IF($A92="AEO",'Growth Rates'!H85,'Growth Rates'!H85*'Rescale to Fit GDP Proj'!$D$52)</f>
        <v>1.3355999999999998E-2</v>
      </c>
      <c r="J92" s="49">
        <f>IF($A92="AEO",'Growth Rates'!I85,'Growth Rates'!I85*'Rescale to Fit GDP Proj'!$D$52)</f>
        <v>1.3355999999999998E-2</v>
      </c>
      <c r="K92" s="49">
        <f>IF($A92="AEO",'Growth Rates'!J85,'Growth Rates'!J85*'Rescale to Fit GDP Proj'!$D$52)</f>
        <v>1.3355999999999998E-2</v>
      </c>
      <c r="L92" s="49">
        <f>IF($A92="AEO",'Growth Rates'!K85,'Growth Rates'!K85*'Rescale to Fit GDP Proj'!$D$52)</f>
        <v>1.3355999999999998E-2</v>
      </c>
      <c r="M92" s="49">
        <f>IF($A92="AEO",'Growth Rates'!L85,'Growth Rates'!L85*'Rescale to Fit GDP Proj'!$D$52)</f>
        <v>1.3355999999999998E-2</v>
      </c>
      <c r="N92" s="49">
        <f>IF($A92="AEO",'Growth Rates'!M85,'Growth Rates'!M85*'Rescale to Fit GDP Proj'!$D$52)</f>
        <v>1.3355999999999998E-2</v>
      </c>
      <c r="O92" s="49">
        <f>IF($A92="AEO",'Growth Rates'!N85,'Growth Rates'!N85*'Rescale to Fit GDP Proj'!$D$52)</f>
        <v>1.3355999999999998E-2</v>
      </c>
      <c r="P92" s="49">
        <f>IF($A92="AEO",'Growth Rates'!O85,'Growth Rates'!O85*'Rescale to Fit GDP Proj'!$D$52)</f>
        <v>1.3355999999999998E-2</v>
      </c>
      <c r="Q92" s="49">
        <f>IF($A92="AEO",'Growth Rates'!P85,'Growth Rates'!P85*'Rescale to Fit GDP Proj'!$D$52)</f>
        <v>1.3355999999999998E-2</v>
      </c>
      <c r="R92" s="49">
        <f>IF($A92="AEO",'Growth Rates'!Q85,'Growth Rates'!Q85*'Rescale to Fit GDP Proj'!$D$52)</f>
        <v>1.3355999999999998E-2</v>
      </c>
      <c r="S92" s="49">
        <f>IF($A92="AEO",'Growth Rates'!R85,'Growth Rates'!R85*'Rescale to Fit GDP Proj'!$D$52)</f>
        <v>1.3355999999999998E-2</v>
      </c>
      <c r="T92" s="49">
        <f>IF($A92="AEO",'Growth Rates'!S85,'Growth Rates'!S85*'Rescale to Fit GDP Proj'!$D$52)</f>
        <v>1.3355999999999998E-2</v>
      </c>
      <c r="U92" s="49">
        <f>IF($A92="AEO",'Growth Rates'!T85,'Growth Rates'!T85*'Rescale to Fit GDP Proj'!$D$52)</f>
        <v>1.3355999999999998E-2</v>
      </c>
      <c r="V92" s="49">
        <f>IF($A92="AEO",'Growth Rates'!U85,'Growth Rates'!U85*'Rescale to Fit GDP Proj'!$D$52)</f>
        <v>1.3355999999999998E-2</v>
      </c>
      <c r="W92" s="49">
        <f>IF($A92="AEO",'Growth Rates'!V85,'Growth Rates'!V85*'Rescale to Fit GDP Proj'!$D$52)</f>
        <v>1.3355999999999998E-2</v>
      </c>
      <c r="X92" s="49">
        <f>IF($A92="AEO",'Growth Rates'!W85,'Growth Rates'!W85*'Rescale to Fit GDP Proj'!$D$52)</f>
        <v>1.3355999999999998E-2</v>
      </c>
      <c r="Y92" s="49">
        <f>IF($A92="AEO",'Growth Rates'!X85,'Growth Rates'!X85*'Rescale to Fit GDP Proj'!$D$52)</f>
        <v>1.3355999999999998E-2</v>
      </c>
      <c r="Z92" s="49">
        <f>IF($A92="AEO",'Growth Rates'!Y85,'Growth Rates'!Y85*'Rescale to Fit GDP Proj'!$D$52)</f>
        <v>1.3355999999999998E-2</v>
      </c>
      <c r="AA92" s="49">
        <f>IF($A92="AEO",'Growth Rates'!Z85,'Growth Rates'!Z85*'Rescale to Fit GDP Proj'!$D$52)</f>
        <v>1.3355999999999998E-2</v>
      </c>
      <c r="AB92" s="49">
        <f>IF($A92="AEO",'Growth Rates'!AA85,'Growth Rates'!AA85*'Rescale to Fit GDP Proj'!$D$52)</f>
        <v>1.3355999999999998E-2</v>
      </c>
      <c r="AC92" s="49">
        <f>IF($A92="AEO",'Growth Rates'!AB85,'Growth Rates'!AB85*'Rescale to Fit GDP Proj'!$D$52)</f>
        <v>1.3355999999999998E-2</v>
      </c>
      <c r="AD92" s="49">
        <f>IF($A92="AEO",'Growth Rates'!AC85,'Growth Rates'!AC85*'Rescale to Fit GDP Proj'!$D$52)</f>
        <v>1.3355999999999998E-2</v>
      </c>
      <c r="AE92" s="49">
        <f>IF($A92="AEO",'Growth Rates'!AD85,'Growth Rates'!AD85*'Rescale to Fit GDP Proj'!$D$52)</f>
        <v>1.3355999999999998E-2</v>
      </c>
      <c r="AF92" s="49">
        <f>IF($A92="AEO",'Growth Rates'!AE85,'Growth Rates'!AE85*'Rescale to Fit GDP Proj'!$D$52)</f>
        <v>1.3355999999999998E-2</v>
      </c>
    </row>
    <row r="93" spans="1:32" x14ac:dyDescent="0.3">
      <c r="B93" s="1" t="s">
        <v>26</v>
      </c>
      <c r="C93" s="49">
        <f>IF($A93="AEO",'Growth Rates'!B86,'Growth Rates'!B86*'Rescale to Fit GDP Proj'!$D$52)</f>
        <v>0</v>
      </c>
      <c r="D93" s="49">
        <f>IF($A93="AEO",'Growth Rates'!C86,'Growth Rates'!C86*'Rescale to Fit GDP Proj'!$D$52)</f>
        <v>1.8126E-2</v>
      </c>
      <c r="E93" s="49">
        <f>IF($A93="AEO",'Growth Rates'!D86,'Growth Rates'!D86*'Rescale to Fit GDP Proj'!$D$52)</f>
        <v>1.8126E-2</v>
      </c>
      <c r="F93" s="49">
        <f>IF($A93="AEO",'Growth Rates'!E86,'Growth Rates'!E86*'Rescale to Fit GDP Proj'!$D$52)</f>
        <v>1.8126E-2</v>
      </c>
      <c r="G93" s="49">
        <f>IF($A93="AEO",'Growth Rates'!F86,'Growth Rates'!F86*'Rescale to Fit GDP Proj'!$D$52)</f>
        <v>1.8126E-2</v>
      </c>
      <c r="H93" s="49">
        <f>IF($A93="AEO",'Growth Rates'!G86,'Growth Rates'!G86*'Rescale to Fit GDP Proj'!$D$52)</f>
        <v>1.8126E-2</v>
      </c>
      <c r="I93" s="49">
        <f>IF($A93="AEO",'Growth Rates'!H86,'Growth Rates'!H86*'Rescale to Fit GDP Proj'!$D$52)</f>
        <v>1.8126E-2</v>
      </c>
      <c r="J93" s="49">
        <f>IF($A93="AEO",'Growth Rates'!I86,'Growth Rates'!I86*'Rescale to Fit GDP Proj'!$D$52)</f>
        <v>1.8126E-2</v>
      </c>
      <c r="K93" s="49">
        <f>IF($A93="AEO",'Growth Rates'!J86,'Growth Rates'!J86*'Rescale to Fit GDP Proj'!$D$52)</f>
        <v>1.8126E-2</v>
      </c>
      <c r="L93" s="49">
        <f>IF($A93="AEO",'Growth Rates'!K86,'Growth Rates'!K86*'Rescale to Fit GDP Proj'!$D$52)</f>
        <v>1.8126E-2</v>
      </c>
      <c r="M93" s="49">
        <f>IF($A93="AEO",'Growth Rates'!L86,'Growth Rates'!L86*'Rescale to Fit GDP Proj'!$D$52)</f>
        <v>1.8126E-2</v>
      </c>
      <c r="N93" s="49">
        <f>IF($A93="AEO",'Growth Rates'!M86,'Growth Rates'!M86*'Rescale to Fit GDP Proj'!$D$52)</f>
        <v>1.8126E-2</v>
      </c>
      <c r="O93" s="49">
        <f>IF($A93="AEO",'Growth Rates'!N86,'Growth Rates'!N86*'Rescale to Fit GDP Proj'!$D$52)</f>
        <v>1.8126E-2</v>
      </c>
      <c r="P93" s="49">
        <f>IF($A93="AEO",'Growth Rates'!O86,'Growth Rates'!O86*'Rescale to Fit GDP Proj'!$D$52)</f>
        <v>1.8126E-2</v>
      </c>
      <c r="Q93" s="49">
        <f>IF($A93="AEO",'Growth Rates'!P86,'Growth Rates'!P86*'Rescale to Fit GDP Proj'!$D$52)</f>
        <v>1.8126E-2</v>
      </c>
      <c r="R93" s="49">
        <f>IF($A93="AEO",'Growth Rates'!Q86,'Growth Rates'!Q86*'Rescale to Fit GDP Proj'!$D$52)</f>
        <v>1.8126E-2</v>
      </c>
      <c r="S93" s="49">
        <f>IF($A93="AEO",'Growth Rates'!R86,'Growth Rates'!R86*'Rescale to Fit GDP Proj'!$D$52)</f>
        <v>1.8126E-2</v>
      </c>
      <c r="T93" s="49">
        <f>IF($A93="AEO",'Growth Rates'!S86,'Growth Rates'!S86*'Rescale to Fit GDP Proj'!$D$52)</f>
        <v>1.8126E-2</v>
      </c>
      <c r="U93" s="49">
        <f>IF($A93="AEO",'Growth Rates'!T86,'Growth Rates'!T86*'Rescale to Fit GDP Proj'!$D$52)</f>
        <v>1.8126E-2</v>
      </c>
      <c r="V93" s="49">
        <f>IF($A93="AEO",'Growth Rates'!U86,'Growth Rates'!U86*'Rescale to Fit GDP Proj'!$D$52)</f>
        <v>1.8126E-2</v>
      </c>
      <c r="W93" s="49">
        <f>IF($A93="AEO",'Growth Rates'!V86,'Growth Rates'!V86*'Rescale to Fit GDP Proj'!$D$52)</f>
        <v>1.8126E-2</v>
      </c>
      <c r="X93" s="49">
        <f>IF($A93="AEO",'Growth Rates'!W86,'Growth Rates'!W86*'Rescale to Fit GDP Proj'!$D$52)</f>
        <v>1.8126E-2</v>
      </c>
      <c r="Y93" s="49">
        <f>IF($A93="AEO",'Growth Rates'!X86,'Growth Rates'!X86*'Rescale to Fit GDP Proj'!$D$52)</f>
        <v>1.8126E-2</v>
      </c>
      <c r="Z93" s="49">
        <f>IF($A93="AEO",'Growth Rates'!Y86,'Growth Rates'!Y86*'Rescale to Fit GDP Proj'!$D$52)</f>
        <v>1.8126E-2</v>
      </c>
      <c r="AA93" s="49">
        <f>IF($A93="AEO",'Growth Rates'!Z86,'Growth Rates'!Z86*'Rescale to Fit GDP Proj'!$D$52)</f>
        <v>1.8126E-2</v>
      </c>
      <c r="AB93" s="49">
        <f>IF($A93="AEO",'Growth Rates'!AA86,'Growth Rates'!AA86*'Rescale to Fit GDP Proj'!$D$52)</f>
        <v>1.8126E-2</v>
      </c>
      <c r="AC93" s="49">
        <f>IF($A93="AEO",'Growth Rates'!AB86,'Growth Rates'!AB86*'Rescale to Fit GDP Proj'!$D$52)</f>
        <v>1.8126E-2</v>
      </c>
      <c r="AD93" s="49">
        <f>IF($A93="AEO",'Growth Rates'!AC86,'Growth Rates'!AC86*'Rescale to Fit GDP Proj'!$D$52)</f>
        <v>1.8126E-2</v>
      </c>
      <c r="AE93" s="49">
        <f>IF($A93="AEO",'Growth Rates'!AD86,'Growth Rates'!AD86*'Rescale to Fit GDP Proj'!$D$52)</f>
        <v>1.8126E-2</v>
      </c>
      <c r="AF93" s="49">
        <f>IF($A93="AEO",'Growth Rates'!AE86,'Growth Rates'!AE86*'Rescale to Fit GDP Proj'!$D$52)</f>
        <v>1.8126E-2</v>
      </c>
    </row>
    <row r="94" spans="1:32" x14ac:dyDescent="0.3">
      <c r="B94" s="1" t="s">
        <v>27</v>
      </c>
      <c r="C94" s="49">
        <f>IF($A94="AEO",'Growth Rates'!B87,'Growth Rates'!B87*'Rescale to Fit GDP Proj'!$D$52)</f>
        <v>0</v>
      </c>
      <c r="D94" s="49">
        <f>IF($A94="AEO",'Growth Rates'!C87,'Growth Rates'!C87*'Rescale to Fit GDP Proj'!$D$52)</f>
        <v>2.1515916534897216E-2</v>
      </c>
      <c r="E94" s="49">
        <f>IF($A94="AEO",'Growth Rates'!D87,'Growth Rates'!D87*'Rescale to Fit GDP Proj'!$D$52)</f>
        <v>2.1515916534897216E-2</v>
      </c>
      <c r="F94" s="49">
        <f>IF($A94="AEO",'Growth Rates'!E87,'Growth Rates'!E87*'Rescale to Fit GDP Proj'!$D$52)</f>
        <v>2.1515916534897216E-2</v>
      </c>
      <c r="G94" s="49">
        <f>IF($A94="AEO",'Growth Rates'!F87,'Growth Rates'!F87*'Rescale to Fit GDP Proj'!$D$52)</f>
        <v>2.1515916534897216E-2</v>
      </c>
      <c r="H94" s="49">
        <f>IF($A94="AEO",'Growth Rates'!G87,'Growth Rates'!G87*'Rescale to Fit GDP Proj'!$D$52)</f>
        <v>2.1515916534897216E-2</v>
      </c>
      <c r="I94" s="49">
        <f>IF($A94="AEO",'Growth Rates'!H87,'Growth Rates'!H87*'Rescale to Fit GDP Proj'!$D$52)</f>
        <v>2.1515916534897216E-2</v>
      </c>
      <c r="J94" s="49">
        <f>IF($A94="AEO",'Growth Rates'!I87,'Growth Rates'!I87*'Rescale to Fit GDP Proj'!$D$52)</f>
        <v>2.1515916534897216E-2</v>
      </c>
      <c r="K94" s="49">
        <f>IF($A94="AEO",'Growth Rates'!J87,'Growth Rates'!J87*'Rescale to Fit GDP Proj'!$D$52)</f>
        <v>2.1515916534897216E-2</v>
      </c>
      <c r="L94" s="49">
        <f>IF($A94="AEO",'Growth Rates'!K87,'Growth Rates'!K87*'Rescale to Fit GDP Proj'!$D$52)</f>
        <v>2.1515916534897216E-2</v>
      </c>
      <c r="M94" s="49">
        <f>IF($A94="AEO",'Growth Rates'!L87,'Growth Rates'!L87*'Rescale to Fit GDP Proj'!$D$52)</f>
        <v>2.1515916534897216E-2</v>
      </c>
      <c r="N94" s="49">
        <f>IF($A94="AEO",'Growth Rates'!M87,'Growth Rates'!M87*'Rescale to Fit GDP Proj'!$D$52)</f>
        <v>2.1515916534897216E-2</v>
      </c>
      <c r="O94" s="49">
        <f>IF($A94="AEO",'Growth Rates'!N87,'Growth Rates'!N87*'Rescale to Fit GDP Proj'!$D$52)</f>
        <v>2.1515916534897216E-2</v>
      </c>
      <c r="P94" s="49">
        <f>IF($A94="AEO",'Growth Rates'!O87,'Growth Rates'!O87*'Rescale to Fit GDP Proj'!$D$52)</f>
        <v>2.1515916534897216E-2</v>
      </c>
      <c r="Q94" s="49">
        <f>IF($A94="AEO",'Growth Rates'!P87,'Growth Rates'!P87*'Rescale to Fit GDP Proj'!$D$52)</f>
        <v>2.1515916534897216E-2</v>
      </c>
      <c r="R94" s="49">
        <f>IF($A94="AEO",'Growth Rates'!Q87,'Growth Rates'!Q87*'Rescale to Fit GDP Proj'!$D$52)</f>
        <v>2.1515916534897216E-2</v>
      </c>
      <c r="S94" s="49">
        <f>IF($A94="AEO",'Growth Rates'!R87,'Growth Rates'!R87*'Rescale to Fit GDP Proj'!$D$52)</f>
        <v>2.1515916534897216E-2</v>
      </c>
      <c r="T94" s="49">
        <f>IF($A94="AEO",'Growth Rates'!S87,'Growth Rates'!S87*'Rescale to Fit GDP Proj'!$D$52)</f>
        <v>2.1515916534897216E-2</v>
      </c>
      <c r="U94" s="49">
        <f>IF($A94="AEO",'Growth Rates'!T87,'Growth Rates'!T87*'Rescale to Fit GDP Proj'!$D$52)</f>
        <v>2.1515916534897216E-2</v>
      </c>
      <c r="V94" s="49">
        <f>IF($A94="AEO",'Growth Rates'!U87,'Growth Rates'!U87*'Rescale to Fit GDP Proj'!$D$52)</f>
        <v>2.1515916534897216E-2</v>
      </c>
      <c r="W94" s="49">
        <f>IF($A94="AEO",'Growth Rates'!V87,'Growth Rates'!V87*'Rescale to Fit GDP Proj'!$D$52)</f>
        <v>2.1515916534897216E-2</v>
      </c>
      <c r="X94" s="49">
        <f>IF($A94="AEO",'Growth Rates'!W87,'Growth Rates'!W87*'Rescale to Fit GDP Proj'!$D$52)</f>
        <v>2.1515916534897216E-2</v>
      </c>
      <c r="Y94" s="49">
        <f>IF($A94="AEO",'Growth Rates'!X87,'Growth Rates'!X87*'Rescale to Fit GDP Proj'!$D$52)</f>
        <v>2.1515916534897216E-2</v>
      </c>
      <c r="Z94" s="49">
        <f>IF($A94="AEO",'Growth Rates'!Y87,'Growth Rates'!Y87*'Rescale to Fit GDP Proj'!$D$52)</f>
        <v>2.1515916534897216E-2</v>
      </c>
      <c r="AA94" s="49">
        <f>IF($A94="AEO",'Growth Rates'!Z87,'Growth Rates'!Z87*'Rescale to Fit GDP Proj'!$D$52)</f>
        <v>2.1515916534897216E-2</v>
      </c>
      <c r="AB94" s="49">
        <f>IF($A94="AEO",'Growth Rates'!AA87,'Growth Rates'!AA87*'Rescale to Fit GDP Proj'!$D$52)</f>
        <v>2.1515916534897216E-2</v>
      </c>
      <c r="AC94" s="49">
        <f>IF($A94="AEO",'Growth Rates'!AB87,'Growth Rates'!AB87*'Rescale to Fit GDP Proj'!$D$52)</f>
        <v>2.1515916534897216E-2</v>
      </c>
      <c r="AD94" s="49">
        <f>IF($A94="AEO",'Growth Rates'!AC87,'Growth Rates'!AC87*'Rescale to Fit GDP Proj'!$D$52)</f>
        <v>2.1515916534897216E-2</v>
      </c>
      <c r="AE94" s="49">
        <f>IF($A94="AEO",'Growth Rates'!AD87,'Growth Rates'!AD87*'Rescale to Fit GDP Proj'!$D$52)</f>
        <v>2.1515916534897216E-2</v>
      </c>
      <c r="AF94" s="49">
        <f>IF($A94="AEO",'Growth Rates'!AE87,'Growth Rates'!AE87*'Rescale to Fit GDP Proj'!$D$52)</f>
        <v>2.1515916534897216E-2</v>
      </c>
    </row>
    <row r="95" spans="1:32" x14ac:dyDescent="0.3">
      <c r="B95" s="1" t="s">
        <v>28</v>
      </c>
      <c r="C95" s="49">
        <f>IF($A95="AEO",'Growth Rates'!B88,'Growth Rates'!B88*'Rescale to Fit GDP Proj'!$D$52)</f>
        <v>0</v>
      </c>
      <c r="D95" s="49">
        <f>IF($A95="AEO",'Growth Rates'!C88,'Growth Rates'!C88*'Rescale to Fit GDP Proj'!$D$52)</f>
        <v>7.200642391641668E-3</v>
      </c>
      <c r="E95" s="49">
        <f>IF($A95="AEO",'Growth Rates'!D88,'Growth Rates'!D88*'Rescale to Fit GDP Proj'!$D$52)</f>
        <v>7.200642391641668E-3</v>
      </c>
      <c r="F95" s="49">
        <f>IF($A95="AEO",'Growth Rates'!E88,'Growth Rates'!E88*'Rescale to Fit GDP Proj'!$D$52)</f>
        <v>7.200642391641668E-3</v>
      </c>
      <c r="G95" s="49">
        <f>IF($A95="AEO",'Growth Rates'!F88,'Growth Rates'!F88*'Rescale to Fit GDP Proj'!$D$52)</f>
        <v>7.200642391641668E-3</v>
      </c>
      <c r="H95" s="49">
        <f>IF($A95="AEO",'Growth Rates'!G88,'Growth Rates'!G88*'Rescale to Fit GDP Proj'!$D$52)</f>
        <v>7.200642391641668E-3</v>
      </c>
      <c r="I95" s="49">
        <f>IF($A95="AEO",'Growth Rates'!H88,'Growth Rates'!H88*'Rescale to Fit GDP Proj'!$D$52)</f>
        <v>7.200642391641668E-3</v>
      </c>
      <c r="J95" s="49">
        <f>IF($A95="AEO",'Growth Rates'!I88,'Growth Rates'!I88*'Rescale to Fit GDP Proj'!$D$52)</f>
        <v>7.200642391641668E-3</v>
      </c>
      <c r="K95" s="49">
        <f>IF($A95="AEO",'Growth Rates'!J88,'Growth Rates'!J88*'Rescale to Fit GDP Proj'!$D$52)</f>
        <v>7.200642391641668E-3</v>
      </c>
      <c r="L95" s="49">
        <f>IF($A95="AEO",'Growth Rates'!K88,'Growth Rates'!K88*'Rescale to Fit GDP Proj'!$D$52)</f>
        <v>7.200642391641668E-3</v>
      </c>
      <c r="M95" s="49">
        <f>IF($A95="AEO",'Growth Rates'!L88,'Growth Rates'!L88*'Rescale to Fit GDP Proj'!$D$52)</f>
        <v>7.200642391641668E-3</v>
      </c>
      <c r="N95" s="49">
        <f>IF($A95="AEO",'Growth Rates'!M88,'Growth Rates'!M88*'Rescale to Fit GDP Proj'!$D$52)</f>
        <v>7.200642391641668E-3</v>
      </c>
      <c r="O95" s="49">
        <f>IF($A95="AEO",'Growth Rates'!N88,'Growth Rates'!N88*'Rescale to Fit GDP Proj'!$D$52)</f>
        <v>7.200642391641668E-3</v>
      </c>
      <c r="P95" s="49">
        <f>IF($A95="AEO",'Growth Rates'!O88,'Growth Rates'!O88*'Rescale to Fit GDP Proj'!$D$52)</f>
        <v>7.200642391641668E-3</v>
      </c>
      <c r="Q95" s="49">
        <f>IF($A95="AEO",'Growth Rates'!P88,'Growth Rates'!P88*'Rescale to Fit GDP Proj'!$D$52)</f>
        <v>7.200642391641668E-3</v>
      </c>
      <c r="R95" s="49">
        <f>IF($A95="AEO",'Growth Rates'!Q88,'Growth Rates'!Q88*'Rescale to Fit GDP Proj'!$D$52)</f>
        <v>7.200642391641668E-3</v>
      </c>
      <c r="S95" s="49">
        <f>IF($A95="AEO",'Growth Rates'!R88,'Growth Rates'!R88*'Rescale to Fit GDP Proj'!$D$52)</f>
        <v>7.200642391641668E-3</v>
      </c>
      <c r="T95" s="49">
        <f>IF($A95="AEO",'Growth Rates'!S88,'Growth Rates'!S88*'Rescale to Fit GDP Proj'!$D$52)</f>
        <v>7.200642391641668E-3</v>
      </c>
      <c r="U95" s="49">
        <f>IF($A95="AEO",'Growth Rates'!T88,'Growth Rates'!T88*'Rescale to Fit GDP Proj'!$D$52)</f>
        <v>7.200642391641668E-3</v>
      </c>
      <c r="V95" s="49">
        <f>IF($A95="AEO",'Growth Rates'!U88,'Growth Rates'!U88*'Rescale to Fit GDP Proj'!$D$52)</f>
        <v>7.200642391641668E-3</v>
      </c>
      <c r="W95" s="49">
        <f>IF($A95="AEO",'Growth Rates'!V88,'Growth Rates'!V88*'Rescale to Fit GDP Proj'!$D$52)</f>
        <v>7.200642391641668E-3</v>
      </c>
      <c r="X95" s="49">
        <f>IF($A95="AEO",'Growth Rates'!W88,'Growth Rates'!W88*'Rescale to Fit GDP Proj'!$D$52)</f>
        <v>7.200642391641668E-3</v>
      </c>
      <c r="Y95" s="49">
        <f>IF($A95="AEO",'Growth Rates'!X88,'Growth Rates'!X88*'Rescale to Fit GDP Proj'!$D$52)</f>
        <v>7.200642391641668E-3</v>
      </c>
      <c r="Z95" s="49">
        <f>IF($A95="AEO",'Growth Rates'!Y88,'Growth Rates'!Y88*'Rescale to Fit GDP Proj'!$D$52)</f>
        <v>7.200642391641668E-3</v>
      </c>
      <c r="AA95" s="49">
        <f>IF($A95="AEO",'Growth Rates'!Z88,'Growth Rates'!Z88*'Rescale to Fit GDP Proj'!$D$52)</f>
        <v>7.200642391641668E-3</v>
      </c>
      <c r="AB95" s="49">
        <f>IF($A95="AEO",'Growth Rates'!AA88,'Growth Rates'!AA88*'Rescale to Fit GDP Proj'!$D$52)</f>
        <v>7.200642391641668E-3</v>
      </c>
      <c r="AC95" s="49">
        <f>IF($A95="AEO",'Growth Rates'!AB88,'Growth Rates'!AB88*'Rescale to Fit GDP Proj'!$D$52)</f>
        <v>7.200642391641668E-3</v>
      </c>
      <c r="AD95" s="49">
        <f>IF($A95="AEO",'Growth Rates'!AC88,'Growth Rates'!AC88*'Rescale to Fit GDP Proj'!$D$52)</f>
        <v>7.200642391641668E-3</v>
      </c>
      <c r="AE95" s="49">
        <f>IF($A95="AEO",'Growth Rates'!AD88,'Growth Rates'!AD88*'Rescale to Fit GDP Proj'!$D$52)</f>
        <v>7.200642391641668E-3</v>
      </c>
      <c r="AF95" s="49">
        <f>IF($A95="AEO",'Growth Rates'!AE88,'Growth Rates'!AE88*'Rescale to Fit GDP Proj'!$D$52)</f>
        <v>7.200642391641668E-3</v>
      </c>
    </row>
    <row r="96" spans="1:32" x14ac:dyDescent="0.3">
      <c r="B96" s="1" t="s">
        <v>29</v>
      </c>
      <c r="C96" s="49">
        <f>IF($A96="AEO",'Growth Rates'!B89,'Growth Rates'!B89*'Rescale to Fit GDP Proj'!$D$52)</f>
        <v>0</v>
      </c>
      <c r="D96" s="49">
        <f>IF($A96="AEO",'Growth Rates'!C89,'Growth Rates'!C89*'Rescale to Fit GDP Proj'!$D$52)</f>
        <v>1.6218E-2</v>
      </c>
      <c r="E96" s="49">
        <f>IF($A96="AEO",'Growth Rates'!D89,'Growth Rates'!D89*'Rescale to Fit GDP Proj'!$D$52)</f>
        <v>1.6218E-2</v>
      </c>
      <c r="F96" s="49">
        <f>IF($A96="AEO",'Growth Rates'!E89,'Growth Rates'!E89*'Rescale to Fit GDP Proj'!$D$52)</f>
        <v>1.6218E-2</v>
      </c>
      <c r="G96" s="49">
        <f>IF($A96="AEO",'Growth Rates'!F89,'Growth Rates'!F89*'Rescale to Fit GDP Proj'!$D$52)</f>
        <v>1.6218E-2</v>
      </c>
      <c r="H96" s="49">
        <f>IF($A96="AEO",'Growth Rates'!G89,'Growth Rates'!G89*'Rescale to Fit GDP Proj'!$D$52)</f>
        <v>1.6218E-2</v>
      </c>
      <c r="I96" s="49">
        <f>IF($A96="AEO",'Growth Rates'!H89,'Growth Rates'!H89*'Rescale to Fit GDP Proj'!$D$52)</f>
        <v>1.6218E-2</v>
      </c>
      <c r="J96" s="49">
        <f>IF($A96="AEO",'Growth Rates'!I89,'Growth Rates'!I89*'Rescale to Fit GDP Proj'!$D$52)</f>
        <v>1.6218E-2</v>
      </c>
      <c r="K96" s="49">
        <f>IF($A96="AEO",'Growth Rates'!J89,'Growth Rates'!J89*'Rescale to Fit GDP Proj'!$D$52)</f>
        <v>1.6218E-2</v>
      </c>
      <c r="L96" s="49">
        <f>IF($A96="AEO",'Growth Rates'!K89,'Growth Rates'!K89*'Rescale to Fit GDP Proj'!$D$52)</f>
        <v>1.6218E-2</v>
      </c>
      <c r="M96" s="49">
        <f>IF($A96="AEO",'Growth Rates'!L89,'Growth Rates'!L89*'Rescale to Fit GDP Proj'!$D$52)</f>
        <v>1.6218E-2</v>
      </c>
      <c r="N96" s="49">
        <f>IF($A96="AEO",'Growth Rates'!M89,'Growth Rates'!M89*'Rescale to Fit GDP Proj'!$D$52)</f>
        <v>1.6218E-2</v>
      </c>
      <c r="O96" s="49">
        <f>IF($A96="AEO",'Growth Rates'!N89,'Growth Rates'!N89*'Rescale to Fit GDP Proj'!$D$52)</f>
        <v>1.6218E-2</v>
      </c>
      <c r="P96" s="49">
        <f>IF($A96="AEO",'Growth Rates'!O89,'Growth Rates'!O89*'Rescale to Fit GDP Proj'!$D$52)</f>
        <v>1.6218E-2</v>
      </c>
      <c r="Q96" s="49">
        <f>IF($A96="AEO",'Growth Rates'!P89,'Growth Rates'!P89*'Rescale to Fit GDP Proj'!$D$52)</f>
        <v>1.6218E-2</v>
      </c>
      <c r="R96" s="49">
        <f>IF($A96="AEO",'Growth Rates'!Q89,'Growth Rates'!Q89*'Rescale to Fit GDP Proj'!$D$52)</f>
        <v>1.6218E-2</v>
      </c>
      <c r="S96" s="49">
        <f>IF($A96="AEO",'Growth Rates'!R89,'Growth Rates'!R89*'Rescale to Fit GDP Proj'!$D$52)</f>
        <v>1.6218E-2</v>
      </c>
      <c r="T96" s="49">
        <f>IF($A96="AEO",'Growth Rates'!S89,'Growth Rates'!S89*'Rescale to Fit GDP Proj'!$D$52)</f>
        <v>1.6218E-2</v>
      </c>
      <c r="U96" s="49">
        <f>IF($A96="AEO",'Growth Rates'!T89,'Growth Rates'!T89*'Rescale to Fit GDP Proj'!$D$52)</f>
        <v>1.6218E-2</v>
      </c>
      <c r="V96" s="49">
        <f>IF($A96="AEO",'Growth Rates'!U89,'Growth Rates'!U89*'Rescale to Fit GDP Proj'!$D$52)</f>
        <v>1.6218E-2</v>
      </c>
      <c r="W96" s="49">
        <f>IF($A96="AEO",'Growth Rates'!V89,'Growth Rates'!V89*'Rescale to Fit GDP Proj'!$D$52)</f>
        <v>1.6218E-2</v>
      </c>
      <c r="X96" s="49">
        <f>IF($A96="AEO",'Growth Rates'!W89,'Growth Rates'!W89*'Rescale to Fit GDP Proj'!$D$52)</f>
        <v>1.6218E-2</v>
      </c>
      <c r="Y96" s="49">
        <f>IF($A96="AEO",'Growth Rates'!X89,'Growth Rates'!X89*'Rescale to Fit GDP Proj'!$D$52)</f>
        <v>1.6218E-2</v>
      </c>
      <c r="Z96" s="49">
        <f>IF($A96="AEO",'Growth Rates'!Y89,'Growth Rates'!Y89*'Rescale to Fit GDP Proj'!$D$52)</f>
        <v>1.6218E-2</v>
      </c>
      <c r="AA96" s="49">
        <f>IF($A96="AEO",'Growth Rates'!Z89,'Growth Rates'!Z89*'Rescale to Fit GDP Proj'!$D$52)</f>
        <v>1.6218E-2</v>
      </c>
      <c r="AB96" s="49">
        <f>IF($A96="AEO",'Growth Rates'!AA89,'Growth Rates'!AA89*'Rescale to Fit GDP Proj'!$D$52)</f>
        <v>1.6218E-2</v>
      </c>
      <c r="AC96" s="49">
        <f>IF($A96="AEO",'Growth Rates'!AB89,'Growth Rates'!AB89*'Rescale to Fit GDP Proj'!$D$52)</f>
        <v>1.6218E-2</v>
      </c>
      <c r="AD96" s="49">
        <f>IF($A96="AEO",'Growth Rates'!AC89,'Growth Rates'!AC89*'Rescale to Fit GDP Proj'!$D$52)</f>
        <v>1.6218E-2</v>
      </c>
      <c r="AE96" s="49">
        <f>IF($A96="AEO",'Growth Rates'!AD89,'Growth Rates'!AD89*'Rescale to Fit GDP Proj'!$D$52)</f>
        <v>1.6218E-2</v>
      </c>
      <c r="AF96" s="49">
        <f>IF($A96="AEO",'Growth Rates'!AE89,'Growth Rates'!AE89*'Rescale to Fit GDP Proj'!$D$52)</f>
        <v>1.6218E-2</v>
      </c>
    </row>
    <row r="97" spans="1:32" x14ac:dyDescent="0.3">
      <c r="B97" s="1" t="s">
        <v>30</v>
      </c>
      <c r="C97" s="49">
        <f>IF($A97="AEO",'Growth Rates'!B90,'Growth Rates'!B90*'Rescale to Fit GDP Proj'!$D$52)</f>
        <v>0</v>
      </c>
      <c r="D97" s="49">
        <f>IF($A97="AEO",'Growth Rates'!C90,'Growth Rates'!C90*'Rescale to Fit GDP Proj'!$D$52)</f>
        <v>2.7665999999999996E-2</v>
      </c>
      <c r="E97" s="49">
        <f>IF($A97="AEO",'Growth Rates'!D90,'Growth Rates'!D90*'Rescale to Fit GDP Proj'!$D$52)</f>
        <v>2.7665999999999996E-2</v>
      </c>
      <c r="F97" s="49">
        <f>IF($A97="AEO",'Growth Rates'!E90,'Growth Rates'!E90*'Rescale to Fit GDP Proj'!$D$52)</f>
        <v>2.7665999999999996E-2</v>
      </c>
      <c r="G97" s="49">
        <f>IF($A97="AEO",'Growth Rates'!F90,'Growth Rates'!F90*'Rescale to Fit GDP Proj'!$D$52)</f>
        <v>2.7665999999999996E-2</v>
      </c>
      <c r="H97" s="49">
        <f>IF($A97="AEO",'Growth Rates'!G90,'Growth Rates'!G90*'Rescale to Fit GDP Proj'!$D$52)</f>
        <v>2.7665999999999996E-2</v>
      </c>
      <c r="I97" s="49">
        <f>IF($A97="AEO",'Growth Rates'!H90,'Growth Rates'!H90*'Rescale to Fit GDP Proj'!$D$52)</f>
        <v>2.7665999999999996E-2</v>
      </c>
      <c r="J97" s="49">
        <f>IF($A97="AEO",'Growth Rates'!I90,'Growth Rates'!I90*'Rescale to Fit GDP Proj'!$D$52)</f>
        <v>2.7665999999999996E-2</v>
      </c>
      <c r="K97" s="49">
        <f>IF($A97="AEO",'Growth Rates'!J90,'Growth Rates'!J90*'Rescale to Fit GDP Proj'!$D$52)</f>
        <v>2.7665999999999996E-2</v>
      </c>
      <c r="L97" s="49">
        <f>IF($A97="AEO",'Growth Rates'!K90,'Growth Rates'!K90*'Rescale to Fit GDP Proj'!$D$52)</f>
        <v>2.7665999999999996E-2</v>
      </c>
      <c r="M97" s="49">
        <f>IF($A97="AEO",'Growth Rates'!L90,'Growth Rates'!L90*'Rescale to Fit GDP Proj'!$D$52)</f>
        <v>2.7665999999999996E-2</v>
      </c>
      <c r="N97" s="49">
        <f>IF($A97="AEO",'Growth Rates'!M90,'Growth Rates'!M90*'Rescale to Fit GDP Proj'!$D$52)</f>
        <v>2.7665999999999996E-2</v>
      </c>
      <c r="O97" s="49">
        <f>IF($A97="AEO",'Growth Rates'!N90,'Growth Rates'!N90*'Rescale to Fit GDP Proj'!$D$52)</f>
        <v>2.7665999999999996E-2</v>
      </c>
      <c r="P97" s="49">
        <f>IF($A97="AEO",'Growth Rates'!O90,'Growth Rates'!O90*'Rescale to Fit GDP Proj'!$D$52)</f>
        <v>2.7665999999999996E-2</v>
      </c>
      <c r="Q97" s="49">
        <f>IF($A97="AEO",'Growth Rates'!P90,'Growth Rates'!P90*'Rescale to Fit GDP Proj'!$D$52)</f>
        <v>2.7665999999999996E-2</v>
      </c>
      <c r="R97" s="49">
        <f>IF($A97="AEO",'Growth Rates'!Q90,'Growth Rates'!Q90*'Rescale to Fit GDP Proj'!$D$52)</f>
        <v>2.7665999999999996E-2</v>
      </c>
      <c r="S97" s="49">
        <f>IF($A97="AEO",'Growth Rates'!R90,'Growth Rates'!R90*'Rescale to Fit GDP Proj'!$D$52)</f>
        <v>2.7665999999999996E-2</v>
      </c>
      <c r="T97" s="49">
        <f>IF($A97="AEO",'Growth Rates'!S90,'Growth Rates'!S90*'Rescale to Fit GDP Proj'!$D$52)</f>
        <v>2.7665999999999996E-2</v>
      </c>
      <c r="U97" s="49">
        <f>IF($A97="AEO",'Growth Rates'!T90,'Growth Rates'!T90*'Rescale to Fit GDP Proj'!$D$52)</f>
        <v>2.7665999999999996E-2</v>
      </c>
      <c r="V97" s="49">
        <f>IF($A97="AEO",'Growth Rates'!U90,'Growth Rates'!U90*'Rescale to Fit GDP Proj'!$D$52)</f>
        <v>2.7665999999999996E-2</v>
      </c>
      <c r="W97" s="49">
        <f>IF($A97="AEO",'Growth Rates'!V90,'Growth Rates'!V90*'Rescale to Fit GDP Proj'!$D$52)</f>
        <v>2.7665999999999996E-2</v>
      </c>
      <c r="X97" s="49">
        <f>IF($A97="AEO",'Growth Rates'!W90,'Growth Rates'!W90*'Rescale to Fit GDP Proj'!$D$52)</f>
        <v>2.7665999999999996E-2</v>
      </c>
      <c r="Y97" s="49">
        <f>IF($A97="AEO",'Growth Rates'!X90,'Growth Rates'!X90*'Rescale to Fit GDP Proj'!$D$52)</f>
        <v>2.7665999999999996E-2</v>
      </c>
      <c r="Z97" s="49">
        <f>IF($A97="AEO",'Growth Rates'!Y90,'Growth Rates'!Y90*'Rescale to Fit GDP Proj'!$D$52)</f>
        <v>2.7665999999999996E-2</v>
      </c>
      <c r="AA97" s="49">
        <f>IF($A97="AEO",'Growth Rates'!Z90,'Growth Rates'!Z90*'Rescale to Fit GDP Proj'!$D$52)</f>
        <v>2.7665999999999996E-2</v>
      </c>
      <c r="AB97" s="49">
        <f>IF($A97="AEO",'Growth Rates'!AA90,'Growth Rates'!AA90*'Rescale to Fit GDP Proj'!$D$52)</f>
        <v>2.7665999999999996E-2</v>
      </c>
      <c r="AC97" s="49">
        <f>IF($A97="AEO",'Growth Rates'!AB90,'Growth Rates'!AB90*'Rescale to Fit GDP Proj'!$D$52)</f>
        <v>2.7665999999999996E-2</v>
      </c>
      <c r="AD97" s="49">
        <f>IF($A97="AEO",'Growth Rates'!AC90,'Growth Rates'!AC90*'Rescale to Fit GDP Proj'!$D$52)</f>
        <v>2.7665999999999996E-2</v>
      </c>
      <c r="AE97" s="49">
        <f>IF($A97="AEO",'Growth Rates'!AD90,'Growth Rates'!AD90*'Rescale to Fit GDP Proj'!$D$52)</f>
        <v>2.7665999999999996E-2</v>
      </c>
      <c r="AF97" s="49">
        <f>IF($A97="AEO",'Growth Rates'!AE90,'Growth Rates'!AE90*'Rescale to Fit GDP Proj'!$D$52)</f>
        <v>2.7665999999999996E-2</v>
      </c>
    </row>
    <row r="98" spans="1:32" x14ac:dyDescent="0.3">
      <c r="B98" s="1" t="s">
        <v>31</v>
      </c>
      <c r="C98" s="49">
        <f>IF($A98="AEO",'Growth Rates'!B91,'Growth Rates'!B91*'Rescale to Fit GDP Proj'!$D$52)</f>
        <v>0</v>
      </c>
      <c r="D98" s="49">
        <f>IF($A98="AEO",'Growth Rates'!C91,'Growth Rates'!C91*'Rescale to Fit GDP Proj'!$D$52)</f>
        <v>2.0988E-2</v>
      </c>
      <c r="E98" s="49">
        <f>IF($A98="AEO",'Growth Rates'!D91,'Growth Rates'!D91*'Rescale to Fit GDP Proj'!$D$52)</f>
        <v>2.0988E-2</v>
      </c>
      <c r="F98" s="49">
        <f>IF($A98="AEO",'Growth Rates'!E91,'Growth Rates'!E91*'Rescale to Fit GDP Proj'!$D$52)</f>
        <v>2.0988E-2</v>
      </c>
      <c r="G98" s="49">
        <f>IF($A98="AEO",'Growth Rates'!F91,'Growth Rates'!F91*'Rescale to Fit GDP Proj'!$D$52)</f>
        <v>2.0988E-2</v>
      </c>
      <c r="H98" s="49">
        <f>IF($A98="AEO",'Growth Rates'!G91,'Growth Rates'!G91*'Rescale to Fit GDP Proj'!$D$52)</f>
        <v>2.0988E-2</v>
      </c>
      <c r="I98" s="49">
        <f>IF($A98="AEO",'Growth Rates'!H91,'Growth Rates'!H91*'Rescale to Fit GDP Proj'!$D$52)</f>
        <v>2.0988E-2</v>
      </c>
      <c r="J98" s="49">
        <f>IF($A98="AEO",'Growth Rates'!I91,'Growth Rates'!I91*'Rescale to Fit GDP Proj'!$D$52)</f>
        <v>2.0988E-2</v>
      </c>
      <c r="K98" s="49">
        <f>IF($A98="AEO",'Growth Rates'!J91,'Growth Rates'!J91*'Rescale to Fit GDP Proj'!$D$52)</f>
        <v>2.0988E-2</v>
      </c>
      <c r="L98" s="49">
        <f>IF($A98="AEO",'Growth Rates'!K91,'Growth Rates'!K91*'Rescale to Fit GDP Proj'!$D$52)</f>
        <v>2.0988E-2</v>
      </c>
      <c r="M98" s="49">
        <f>IF($A98="AEO",'Growth Rates'!L91,'Growth Rates'!L91*'Rescale to Fit GDP Proj'!$D$52)</f>
        <v>2.0988E-2</v>
      </c>
      <c r="N98" s="49">
        <f>IF($A98="AEO",'Growth Rates'!M91,'Growth Rates'!M91*'Rescale to Fit GDP Proj'!$D$52)</f>
        <v>2.0988E-2</v>
      </c>
      <c r="O98" s="49">
        <f>IF($A98="AEO",'Growth Rates'!N91,'Growth Rates'!N91*'Rescale to Fit GDP Proj'!$D$52)</f>
        <v>2.0988E-2</v>
      </c>
      <c r="P98" s="49">
        <f>IF($A98="AEO",'Growth Rates'!O91,'Growth Rates'!O91*'Rescale to Fit GDP Proj'!$D$52)</f>
        <v>2.0988E-2</v>
      </c>
      <c r="Q98" s="49">
        <f>IF($A98="AEO",'Growth Rates'!P91,'Growth Rates'!P91*'Rescale to Fit GDP Proj'!$D$52)</f>
        <v>2.0988E-2</v>
      </c>
      <c r="R98" s="49">
        <f>IF($A98="AEO",'Growth Rates'!Q91,'Growth Rates'!Q91*'Rescale to Fit GDP Proj'!$D$52)</f>
        <v>2.0988E-2</v>
      </c>
      <c r="S98" s="49">
        <f>IF($A98="AEO",'Growth Rates'!R91,'Growth Rates'!R91*'Rescale to Fit GDP Proj'!$D$52)</f>
        <v>2.0988E-2</v>
      </c>
      <c r="T98" s="49">
        <f>IF($A98="AEO",'Growth Rates'!S91,'Growth Rates'!S91*'Rescale to Fit GDP Proj'!$D$52)</f>
        <v>2.0988E-2</v>
      </c>
      <c r="U98" s="49">
        <f>IF($A98="AEO",'Growth Rates'!T91,'Growth Rates'!T91*'Rescale to Fit GDP Proj'!$D$52)</f>
        <v>2.0988E-2</v>
      </c>
      <c r="V98" s="49">
        <f>IF($A98="AEO",'Growth Rates'!U91,'Growth Rates'!U91*'Rescale to Fit GDP Proj'!$D$52)</f>
        <v>2.0988E-2</v>
      </c>
      <c r="W98" s="49">
        <f>IF($A98="AEO",'Growth Rates'!V91,'Growth Rates'!V91*'Rescale to Fit GDP Proj'!$D$52)</f>
        <v>2.0988E-2</v>
      </c>
      <c r="X98" s="49">
        <f>IF($A98="AEO",'Growth Rates'!W91,'Growth Rates'!W91*'Rescale to Fit GDP Proj'!$D$52)</f>
        <v>2.0988E-2</v>
      </c>
      <c r="Y98" s="49">
        <f>IF($A98="AEO",'Growth Rates'!X91,'Growth Rates'!X91*'Rescale to Fit GDP Proj'!$D$52)</f>
        <v>2.0988E-2</v>
      </c>
      <c r="Z98" s="49">
        <f>IF($A98="AEO",'Growth Rates'!Y91,'Growth Rates'!Y91*'Rescale to Fit GDP Proj'!$D$52)</f>
        <v>2.0988E-2</v>
      </c>
      <c r="AA98" s="49">
        <f>IF($A98="AEO",'Growth Rates'!Z91,'Growth Rates'!Z91*'Rescale to Fit GDP Proj'!$D$52)</f>
        <v>2.0988E-2</v>
      </c>
      <c r="AB98" s="49">
        <f>IF($A98="AEO",'Growth Rates'!AA91,'Growth Rates'!AA91*'Rescale to Fit GDP Proj'!$D$52)</f>
        <v>2.0988E-2</v>
      </c>
      <c r="AC98" s="49">
        <f>IF($A98="AEO",'Growth Rates'!AB91,'Growth Rates'!AB91*'Rescale to Fit GDP Proj'!$D$52)</f>
        <v>2.0988E-2</v>
      </c>
      <c r="AD98" s="49">
        <f>IF($A98="AEO",'Growth Rates'!AC91,'Growth Rates'!AC91*'Rescale to Fit GDP Proj'!$D$52)</f>
        <v>2.0988E-2</v>
      </c>
      <c r="AE98" s="49">
        <f>IF($A98="AEO",'Growth Rates'!AD91,'Growth Rates'!AD91*'Rescale to Fit GDP Proj'!$D$52)</f>
        <v>2.0988E-2</v>
      </c>
      <c r="AF98" s="49">
        <f>IF($A98="AEO",'Growth Rates'!AE91,'Growth Rates'!AE91*'Rescale to Fit GDP Proj'!$D$52)</f>
        <v>2.0988E-2</v>
      </c>
    </row>
    <row r="99" spans="1:32" x14ac:dyDescent="0.3">
      <c r="B99" s="1" t="s">
        <v>32</v>
      </c>
      <c r="C99" s="49">
        <f>IF($A99="AEO",'Growth Rates'!B92,'Growth Rates'!B92*'Rescale to Fit GDP Proj'!$D$52)</f>
        <v>0</v>
      </c>
      <c r="D99" s="49">
        <f>IF($A99="AEO",'Growth Rates'!C92,'Growth Rates'!C92*'Rescale to Fit GDP Proj'!$D$52)</f>
        <v>1.6218E-2</v>
      </c>
      <c r="E99" s="49">
        <f>IF($A99="AEO",'Growth Rates'!D92,'Growth Rates'!D92*'Rescale to Fit GDP Proj'!$D$52)</f>
        <v>1.6218E-2</v>
      </c>
      <c r="F99" s="49">
        <f>IF($A99="AEO",'Growth Rates'!E92,'Growth Rates'!E92*'Rescale to Fit GDP Proj'!$D$52)</f>
        <v>1.6218E-2</v>
      </c>
      <c r="G99" s="49">
        <f>IF($A99="AEO",'Growth Rates'!F92,'Growth Rates'!F92*'Rescale to Fit GDP Proj'!$D$52)</f>
        <v>1.6218E-2</v>
      </c>
      <c r="H99" s="49">
        <f>IF($A99="AEO",'Growth Rates'!G92,'Growth Rates'!G92*'Rescale to Fit GDP Proj'!$D$52)</f>
        <v>1.6218E-2</v>
      </c>
      <c r="I99" s="49">
        <f>IF($A99="AEO",'Growth Rates'!H92,'Growth Rates'!H92*'Rescale to Fit GDP Proj'!$D$52)</f>
        <v>1.6218E-2</v>
      </c>
      <c r="J99" s="49">
        <f>IF($A99="AEO",'Growth Rates'!I92,'Growth Rates'!I92*'Rescale to Fit GDP Proj'!$D$52)</f>
        <v>1.6218E-2</v>
      </c>
      <c r="K99" s="49">
        <f>IF($A99="AEO",'Growth Rates'!J92,'Growth Rates'!J92*'Rescale to Fit GDP Proj'!$D$52)</f>
        <v>1.6218E-2</v>
      </c>
      <c r="L99" s="49">
        <f>IF($A99="AEO",'Growth Rates'!K92,'Growth Rates'!K92*'Rescale to Fit GDP Proj'!$D$52)</f>
        <v>1.6218E-2</v>
      </c>
      <c r="M99" s="49">
        <f>IF($A99="AEO",'Growth Rates'!L92,'Growth Rates'!L92*'Rescale to Fit GDP Proj'!$D$52)</f>
        <v>1.6218E-2</v>
      </c>
      <c r="N99" s="49">
        <f>IF($A99="AEO",'Growth Rates'!M92,'Growth Rates'!M92*'Rescale to Fit GDP Proj'!$D$52)</f>
        <v>1.6218E-2</v>
      </c>
      <c r="O99" s="49">
        <f>IF($A99="AEO",'Growth Rates'!N92,'Growth Rates'!N92*'Rescale to Fit GDP Proj'!$D$52)</f>
        <v>1.6218E-2</v>
      </c>
      <c r="P99" s="49">
        <f>IF($A99="AEO",'Growth Rates'!O92,'Growth Rates'!O92*'Rescale to Fit GDP Proj'!$D$52)</f>
        <v>1.6218E-2</v>
      </c>
      <c r="Q99" s="49">
        <f>IF($A99="AEO",'Growth Rates'!P92,'Growth Rates'!P92*'Rescale to Fit GDP Proj'!$D$52)</f>
        <v>1.6218E-2</v>
      </c>
      <c r="R99" s="49">
        <f>IF($A99="AEO",'Growth Rates'!Q92,'Growth Rates'!Q92*'Rescale to Fit GDP Proj'!$D$52)</f>
        <v>1.6218E-2</v>
      </c>
      <c r="S99" s="49">
        <f>IF($A99="AEO",'Growth Rates'!R92,'Growth Rates'!R92*'Rescale to Fit GDP Proj'!$D$52)</f>
        <v>1.6218E-2</v>
      </c>
      <c r="T99" s="49">
        <f>IF($A99="AEO",'Growth Rates'!S92,'Growth Rates'!S92*'Rescale to Fit GDP Proj'!$D$52)</f>
        <v>1.6218E-2</v>
      </c>
      <c r="U99" s="49">
        <f>IF($A99="AEO",'Growth Rates'!T92,'Growth Rates'!T92*'Rescale to Fit GDP Proj'!$D$52)</f>
        <v>1.6218E-2</v>
      </c>
      <c r="V99" s="49">
        <f>IF($A99="AEO",'Growth Rates'!U92,'Growth Rates'!U92*'Rescale to Fit GDP Proj'!$D$52)</f>
        <v>1.6218E-2</v>
      </c>
      <c r="W99" s="49">
        <f>IF($A99="AEO",'Growth Rates'!V92,'Growth Rates'!V92*'Rescale to Fit GDP Proj'!$D$52)</f>
        <v>1.6218E-2</v>
      </c>
      <c r="X99" s="49">
        <f>IF($A99="AEO",'Growth Rates'!W92,'Growth Rates'!W92*'Rescale to Fit GDP Proj'!$D$52)</f>
        <v>1.6218E-2</v>
      </c>
      <c r="Y99" s="49">
        <f>IF($A99="AEO",'Growth Rates'!X92,'Growth Rates'!X92*'Rescale to Fit GDP Proj'!$D$52)</f>
        <v>1.6218E-2</v>
      </c>
      <c r="Z99" s="49">
        <f>IF($A99="AEO",'Growth Rates'!Y92,'Growth Rates'!Y92*'Rescale to Fit GDP Proj'!$D$52)</f>
        <v>1.6218E-2</v>
      </c>
      <c r="AA99" s="49">
        <f>IF($A99="AEO",'Growth Rates'!Z92,'Growth Rates'!Z92*'Rescale to Fit GDP Proj'!$D$52)</f>
        <v>1.6218E-2</v>
      </c>
      <c r="AB99" s="49">
        <f>IF($A99="AEO",'Growth Rates'!AA92,'Growth Rates'!AA92*'Rescale to Fit GDP Proj'!$D$52)</f>
        <v>1.6218E-2</v>
      </c>
      <c r="AC99" s="49">
        <f>IF($A99="AEO",'Growth Rates'!AB92,'Growth Rates'!AB92*'Rescale to Fit GDP Proj'!$D$52)</f>
        <v>1.6218E-2</v>
      </c>
      <c r="AD99" s="49">
        <f>IF($A99="AEO",'Growth Rates'!AC92,'Growth Rates'!AC92*'Rescale to Fit GDP Proj'!$D$52)</f>
        <v>1.6218E-2</v>
      </c>
      <c r="AE99" s="49">
        <f>IF($A99="AEO",'Growth Rates'!AD92,'Growth Rates'!AD92*'Rescale to Fit GDP Proj'!$D$52)</f>
        <v>1.6218E-2</v>
      </c>
      <c r="AF99" s="49">
        <f>IF($A99="AEO",'Growth Rates'!AE92,'Growth Rates'!AE92*'Rescale to Fit GDP Proj'!$D$52)</f>
        <v>1.6218E-2</v>
      </c>
    </row>
    <row r="101" spans="1:32" s="8" customFormat="1" x14ac:dyDescent="0.3">
      <c r="A101" s="59" t="s">
        <v>1345</v>
      </c>
    </row>
    <row r="102" spans="1:32" x14ac:dyDescent="0.3">
      <c r="C102">
        <v>2021</v>
      </c>
      <c r="D102">
        <v>2022</v>
      </c>
      <c r="E102">
        <v>2023</v>
      </c>
      <c r="F102">
        <v>2024</v>
      </c>
      <c r="G102">
        <v>2025</v>
      </c>
      <c r="H102">
        <v>2026</v>
      </c>
      <c r="I102">
        <v>2027</v>
      </c>
      <c r="J102">
        <v>2028</v>
      </c>
      <c r="K102">
        <v>2029</v>
      </c>
      <c r="L102">
        <v>2030</v>
      </c>
      <c r="M102">
        <v>2031</v>
      </c>
      <c r="N102">
        <v>2032</v>
      </c>
      <c r="O102">
        <v>2033</v>
      </c>
      <c r="P102">
        <v>2034</v>
      </c>
      <c r="Q102">
        <v>2035</v>
      </c>
      <c r="R102">
        <v>2036</v>
      </c>
      <c r="S102">
        <v>2037</v>
      </c>
      <c r="T102">
        <v>2038</v>
      </c>
      <c r="U102">
        <v>2039</v>
      </c>
      <c r="V102">
        <v>2040</v>
      </c>
      <c r="W102">
        <v>2041</v>
      </c>
      <c r="X102">
        <v>2042</v>
      </c>
      <c r="Y102">
        <v>2043</v>
      </c>
      <c r="Z102">
        <v>2044</v>
      </c>
      <c r="AA102">
        <v>2045</v>
      </c>
      <c r="AB102">
        <v>2046</v>
      </c>
      <c r="AC102">
        <v>2047</v>
      </c>
      <c r="AD102">
        <v>2048</v>
      </c>
      <c r="AE102">
        <v>2049</v>
      </c>
      <c r="AF102">
        <v>2050</v>
      </c>
    </row>
    <row r="103" spans="1:32" x14ac:dyDescent="0.3">
      <c r="A103" t="s">
        <v>1334</v>
      </c>
      <c r="B103" s="1" t="s">
        <v>2</v>
      </c>
      <c r="C103" s="49">
        <f>IF($A103="AEO",'Growth Rates'!B96,'Growth Rates'!B96*'Rescale to Fit GDP Proj'!$D$52)</f>
        <v>0</v>
      </c>
      <c r="D103" s="49">
        <f>D58</f>
        <v>-1.1176675252313165E-7</v>
      </c>
      <c r="E103" s="49">
        <f>(1+D103)*(1+E58)-1</f>
        <v>-1.3512563718958148E-3</v>
      </c>
      <c r="F103" s="49">
        <f t="shared" ref="F103:AF112" si="1">(1+E103)*(1+F58)-1</f>
        <v>7.7691341565278016E-3</v>
      </c>
      <c r="G103" s="49">
        <f t="shared" si="1"/>
        <v>2.12695043060247E-2</v>
      </c>
      <c r="H103" s="49">
        <f t="shared" si="1"/>
        <v>3.6882702149226843E-2</v>
      </c>
      <c r="I103" s="49">
        <f t="shared" si="1"/>
        <v>5.0786671202808664E-2</v>
      </c>
      <c r="J103" s="49">
        <f t="shared" si="1"/>
        <v>6.3107110586128945E-2</v>
      </c>
      <c r="K103" s="49">
        <f t="shared" si="1"/>
        <v>7.3893338752860416E-2</v>
      </c>
      <c r="L103" s="49">
        <f t="shared" si="1"/>
        <v>8.3552866443421303E-2</v>
      </c>
      <c r="M103" s="49">
        <f t="shared" si="1"/>
        <v>9.3791904745117893E-2</v>
      </c>
      <c r="N103" s="49">
        <f t="shared" si="1"/>
        <v>0.10410094934313019</v>
      </c>
      <c r="O103" s="49">
        <f t="shared" si="1"/>
        <v>0.11395562361560363</v>
      </c>
      <c r="P103" s="49">
        <f t="shared" si="1"/>
        <v>0.12220977051024318</v>
      </c>
      <c r="Q103" s="49">
        <f t="shared" si="1"/>
        <v>0.12974327653359152</v>
      </c>
      <c r="R103" s="49">
        <f t="shared" si="1"/>
        <v>0.13620175130072631</v>
      </c>
      <c r="S103" s="49">
        <f t="shared" si="1"/>
        <v>0.1448096198120159</v>
      </c>
      <c r="T103" s="49">
        <f t="shared" si="1"/>
        <v>0.15299923881344868</v>
      </c>
      <c r="U103" s="49">
        <f t="shared" si="1"/>
        <v>0.1612385115688113</v>
      </c>
      <c r="V103" s="49">
        <f t="shared" si="1"/>
        <v>0.16993808195207283</v>
      </c>
      <c r="W103" s="49">
        <f t="shared" si="1"/>
        <v>0.17839509099902351</v>
      </c>
      <c r="X103" s="49">
        <f t="shared" si="1"/>
        <v>0.18708068137702738</v>
      </c>
      <c r="Y103" s="49">
        <f t="shared" si="1"/>
        <v>0.19550168137504853</v>
      </c>
      <c r="Z103" s="49">
        <f t="shared" si="1"/>
        <v>0.20324241028629308</v>
      </c>
      <c r="AA103" s="49">
        <f t="shared" si="1"/>
        <v>0.21116262927290652</v>
      </c>
      <c r="AB103" s="49">
        <f t="shared" si="1"/>
        <v>0.21891498925536701</v>
      </c>
      <c r="AC103" s="49">
        <f t="shared" si="1"/>
        <v>0.22663816162527728</v>
      </c>
      <c r="AD103" s="49">
        <f t="shared" si="1"/>
        <v>0.23414549957063224</v>
      </c>
      <c r="AE103" s="49">
        <f t="shared" si="1"/>
        <v>0.24176914273141947</v>
      </c>
      <c r="AF103" s="49">
        <f t="shared" si="1"/>
        <v>0.24947923106233283</v>
      </c>
    </row>
    <row r="104" spans="1:32" x14ac:dyDescent="0.3">
      <c r="A104" t="s">
        <v>1334</v>
      </c>
      <c r="B104" s="1" t="s">
        <v>39</v>
      </c>
      <c r="C104" s="49">
        <f>IF($A104="AEO",'Growth Rates'!B97,'Growth Rates'!B97*'Rescale to Fit GDP Proj'!$D$52)</f>
        <v>0</v>
      </c>
      <c r="D104" s="49">
        <f t="shared" ref="D104:D144" si="2">D59</f>
        <v>-1.7527630427501863E-2</v>
      </c>
      <c r="E104" s="49">
        <f t="shared" ref="E104:T144" si="3">(1+D104)*(1+E59)-1</f>
        <v>-7.2509824595515804E-2</v>
      </c>
      <c r="F104" s="49">
        <f t="shared" si="3"/>
        <v>1.390138056313317E-2</v>
      </c>
      <c r="G104" s="49">
        <f t="shared" si="3"/>
        <v>-4.8139338531855591E-2</v>
      </c>
      <c r="H104" s="49">
        <f t="shared" si="3"/>
        <v>-0.12927522506087086</v>
      </c>
      <c r="I104" s="49">
        <f t="shared" si="3"/>
        <v>-0.21940144333898015</v>
      </c>
      <c r="J104" s="49">
        <f t="shared" si="3"/>
        <v>-0.29942282593215719</v>
      </c>
      <c r="K104" s="49">
        <f t="shared" si="3"/>
        <v>-0.37465184160123044</v>
      </c>
      <c r="L104" s="49">
        <f t="shared" si="3"/>
        <v>-0.40578365154230855</v>
      </c>
      <c r="M104" s="49">
        <f t="shared" si="3"/>
        <v>-0.40842131085712541</v>
      </c>
      <c r="N104" s="49">
        <f t="shared" si="3"/>
        <v>-0.40414904576974586</v>
      </c>
      <c r="O104" s="49">
        <f t="shared" si="3"/>
        <v>-0.40671240482217352</v>
      </c>
      <c r="P104" s="49">
        <f t="shared" si="3"/>
        <v>-0.41217347410778027</v>
      </c>
      <c r="Q104" s="49">
        <f t="shared" si="3"/>
        <v>-0.40775260849562245</v>
      </c>
      <c r="R104" s="49">
        <f t="shared" si="3"/>
        <v>-0.41469968302901339</v>
      </c>
      <c r="S104" s="49">
        <f t="shared" si="3"/>
        <v>-0.42792512973429253</v>
      </c>
      <c r="T104" s="49">
        <f t="shared" si="3"/>
        <v>-0.43713836227055425</v>
      </c>
      <c r="U104" s="49">
        <f t="shared" si="1"/>
        <v>-0.45051240950061167</v>
      </c>
      <c r="V104" s="49">
        <f t="shared" si="1"/>
        <v>-0.45853683783864618</v>
      </c>
      <c r="W104" s="49">
        <f t="shared" si="1"/>
        <v>-0.45809103626431091</v>
      </c>
      <c r="X104" s="49">
        <f t="shared" si="1"/>
        <v>-0.45708798272205653</v>
      </c>
      <c r="Y104" s="49">
        <f t="shared" si="1"/>
        <v>-0.46462945935456124</v>
      </c>
      <c r="Z104" s="49">
        <f t="shared" si="1"/>
        <v>-0.47313683939812556</v>
      </c>
      <c r="AA104" s="49">
        <f t="shared" si="1"/>
        <v>-0.47934091130762446</v>
      </c>
      <c r="AB104" s="49">
        <f t="shared" si="1"/>
        <v>-0.48517348190517728</v>
      </c>
      <c r="AC104" s="49">
        <f t="shared" si="1"/>
        <v>-0.48792259161357798</v>
      </c>
      <c r="AD104" s="49">
        <f t="shared" si="1"/>
        <v>-0.48933429659897298</v>
      </c>
      <c r="AE104" s="49">
        <f t="shared" si="1"/>
        <v>-0.49245490761931965</v>
      </c>
      <c r="AF104" s="49">
        <f t="shared" si="1"/>
        <v>-0.49969918320226747</v>
      </c>
    </row>
    <row r="105" spans="1:32" x14ac:dyDescent="0.3">
      <c r="A105" t="s">
        <v>1334</v>
      </c>
      <c r="B105" s="1" t="s">
        <v>40</v>
      </c>
      <c r="C105" s="49">
        <f>IF($A105="AEO",'Growth Rates'!B98,'Growth Rates'!B98*'Rescale to Fit GDP Proj'!$D$52)</f>
        <v>0</v>
      </c>
      <c r="D105" s="49">
        <f t="shared" si="2"/>
        <v>3.1355829933379484E-3</v>
      </c>
      <c r="E105" s="49">
        <f t="shared" si="3"/>
        <v>-2.4884865203980699E-2</v>
      </c>
      <c r="F105" s="49">
        <f t="shared" si="1"/>
        <v>-2.5153395839178305E-2</v>
      </c>
      <c r="G105" s="49">
        <f t="shared" si="1"/>
        <v>-1.7702072704415595E-2</v>
      </c>
      <c r="H105" s="49">
        <f t="shared" si="1"/>
        <v>-4.5601512584906301E-3</v>
      </c>
      <c r="I105" s="49">
        <f t="shared" si="1"/>
        <v>-2.8910806037897308E-3</v>
      </c>
      <c r="J105" s="49">
        <f t="shared" si="1"/>
        <v>5.2098615526485759E-3</v>
      </c>
      <c r="K105" s="49">
        <f t="shared" si="1"/>
        <v>6.2325291214246903E-3</v>
      </c>
      <c r="L105" s="49">
        <f t="shared" si="1"/>
        <v>1.1170598466883508E-2</v>
      </c>
      <c r="M105" s="49">
        <f t="shared" si="1"/>
        <v>1.5941439153297043E-2</v>
      </c>
      <c r="N105" s="49">
        <f t="shared" si="1"/>
        <v>2.5891544366484887E-2</v>
      </c>
      <c r="O105" s="49">
        <f t="shared" si="1"/>
        <v>3.5748387442897211E-2</v>
      </c>
      <c r="P105" s="49">
        <f t="shared" si="1"/>
        <v>4.2619234174628096E-2</v>
      </c>
      <c r="Q105" s="49">
        <f t="shared" si="1"/>
        <v>4.6040989813552091E-2</v>
      </c>
      <c r="R105" s="49">
        <f t="shared" si="1"/>
        <v>5.047576521399999E-2</v>
      </c>
      <c r="S105" s="49">
        <f t="shared" si="1"/>
        <v>5.5667893483777542E-2</v>
      </c>
      <c r="T105" s="49">
        <f t="shared" si="1"/>
        <v>5.7737348139461409E-2</v>
      </c>
      <c r="U105" s="49">
        <f t="shared" si="1"/>
        <v>6.1961479748227521E-2</v>
      </c>
      <c r="V105" s="49">
        <f t="shared" si="1"/>
        <v>6.0393711069679057E-2</v>
      </c>
      <c r="W105" s="49">
        <f t="shared" si="1"/>
        <v>5.9756955791007149E-2</v>
      </c>
      <c r="X105" s="49">
        <f t="shared" si="1"/>
        <v>6.2508188825875388E-2</v>
      </c>
      <c r="Y105" s="49">
        <f t="shared" si="1"/>
        <v>6.780644297543148E-2</v>
      </c>
      <c r="Z105" s="49">
        <f t="shared" si="1"/>
        <v>7.3194743326012057E-2</v>
      </c>
      <c r="AA105" s="49">
        <f t="shared" si="1"/>
        <v>7.3016258891838826E-2</v>
      </c>
      <c r="AB105" s="49">
        <f t="shared" si="1"/>
        <v>7.6476605759773442E-2</v>
      </c>
      <c r="AC105" s="49">
        <f t="shared" si="1"/>
        <v>7.4850950237709268E-2</v>
      </c>
      <c r="AD105" s="49">
        <f t="shared" si="1"/>
        <v>7.946742600808121E-2</v>
      </c>
      <c r="AE105" s="49">
        <f t="shared" si="1"/>
        <v>8.5670966071506927E-2</v>
      </c>
      <c r="AF105" s="49">
        <f t="shared" si="1"/>
        <v>9.1207199466627475E-2</v>
      </c>
    </row>
    <row r="106" spans="1:32" x14ac:dyDescent="0.3">
      <c r="A106" t="s">
        <v>1334</v>
      </c>
      <c r="B106" s="1" t="s">
        <v>3</v>
      </c>
      <c r="C106" s="49">
        <f>IF($A106="AEO",'Growth Rates'!B99,'Growth Rates'!B99*'Rescale to Fit GDP Proj'!$D$52)</f>
        <v>0</v>
      </c>
      <c r="D106" s="49">
        <f t="shared" si="2"/>
        <v>-2.8519755147467907E-4</v>
      </c>
      <c r="E106" s="49">
        <f t="shared" si="3"/>
        <v>-2.4457489241173302E-2</v>
      </c>
      <c r="F106" s="49">
        <f t="shared" si="1"/>
        <v>-4.6807818783949795E-2</v>
      </c>
      <c r="G106" s="49">
        <f t="shared" si="1"/>
        <v>-5.947810516445351E-2</v>
      </c>
      <c r="H106" s="49">
        <f t="shared" si="1"/>
        <v>-7.3135867212372974E-2</v>
      </c>
      <c r="I106" s="49">
        <f t="shared" si="1"/>
        <v>-9.1091234629749773E-2</v>
      </c>
      <c r="J106" s="49">
        <f t="shared" si="1"/>
        <v>-0.10238461831906809</v>
      </c>
      <c r="K106" s="49">
        <f t="shared" si="1"/>
        <v>-0.10691866152438567</v>
      </c>
      <c r="L106" s="49">
        <f t="shared" si="1"/>
        <v>-0.11175868310552206</v>
      </c>
      <c r="M106" s="49">
        <f t="shared" si="1"/>
        <v>-0.11739146684218948</v>
      </c>
      <c r="N106" s="49">
        <f t="shared" si="1"/>
        <v>-0.12060423978828871</v>
      </c>
      <c r="O106" s="49">
        <f t="shared" si="1"/>
        <v>-0.12415080732619044</v>
      </c>
      <c r="P106" s="49">
        <f t="shared" si="1"/>
        <v>-0.12953324511900588</v>
      </c>
      <c r="Q106" s="49">
        <f t="shared" si="1"/>
        <v>-0.13109095321408426</v>
      </c>
      <c r="R106" s="49">
        <f t="shared" si="1"/>
        <v>-0.12978359106285775</v>
      </c>
      <c r="S106" s="49">
        <f t="shared" si="1"/>
        <v>-0.12565288298930177</v>
      </c>
      <c r="T106" s="49">
        <f t="shared" si="1"/>
        <v>-0.12059033168029709</v>
      </c>
      <c r="U106" s="49">
        <f t="shared" si="1"/>
        <v>-0.11248190472109432</v>
      </c>
      <c r="V106" s="49">
        <f t="shared" si="1"/>
        <v>-0.10506888316148022</v>
      </c>
      <c r="W106" s="49">
        <f t="shared" si="1"/>
        <v>-9.6821375122359998E-2</v>
      </c>
      <c r="X106" s="49">
        <f t="shared" si="1"/>
        <v>-8.8504326543280665E-2</v>
      </c>
      <c r="Y106" s="49">
        <f t="shared" si="1"/>
        <v>-7.3302764508274776E-2</v>
      </c>
      <c r="Z106" s="49">
        <f t="shared" si="1"/>
        <v>-5.9311207868552818E-2</v>
      </c>
      <c r="AA106" s="49">
        <f t="shared" si="1"/>
        <v>-4.6293218788254653E-2</v>
      </c>
      <c r="AB106" s="49">
        <f t="shared" si="1"/>
        <v>-3.4930294558977559E-2</v>
      </c>
      <c r="AC106" s="49">
        <f t="shared" si="1"/>
        <v>-2.9450500010219538E-2</v>
      </c>
      <c r="AD106" s="49">
        <f t="shared" si="1"/>
        <v>-2.6543705439939225E-2</v>
      </c>
      <c r="AE106" s="49">
        <f t="shared" si="1"/>
        <v>-2.0368505491592748E-2</v>
      </c>
      <c r="AF106" s="49">
        <f t="shared" si="1"/>
        <v>-8.2684515387517754E-3</v>
      </c>
    </row>
    <row r="107" spans="1:32" x14ac:dyDescent="0.3">
      <c r="B107" s="1" t="s">
        <v>4</v>
      </c>
      <c r="C107" s="49">
        <f>IF($A107="AEO",'Growth Rates'!B100,'Growth Rates'!B100*'Rescale to Fit GDP Proj'!$D$52)</f>
        <v>0</v>
      </c>
      <c r="D107" s="49">
        <f t="shared" si="2"/>
        <v>2.7665999999999993E-2</v>
      </c>
      <c r="E107" s="49">
        <f t="shared" si="3"/>
        <v>5.6097407555999901E-2</v>
      </c>
      <c r="F107" s="49">
        <f t="shared" si="1"/>
        <v>8.5315398433444267E-2</v>
      </c>
      <c r="G107" s="49">
        <f t="shared" si="1"/>
        <v>0.11534173424650396</v>
      </c>
      <c r="H107" s="49">
        <f t="shared" si="1"/>
        <v>0.14619877866616759</v>
      </c>
      <c r="I107" s="49">
        <f t="shared" si="1"/>
        <v>0.17790951407674571</v>
      </c>
      <c r="J107" s="49">
        <f t="shared" si="1"/>
        <v>0.21049755869319298</v>
      </c>
      <c r="K107" s="49">
        <f t="shared" si="1"/>
        <v>0.24398718415199872</v>
      </c>
      <c r="L107" s="49">
        <f t="shared" si="1"/>
        <v>0.27840333358874791</v>
      </c>
      <c r="M107" s="49">
        <f t="shared" si="1"/>
        <v>0.31377164021581416</v>
      </c>
      <c r="N107" s="49">
        <f t="shared" si="1"/>
        <v>0.35011844641402479</v>
      </c>
      <c r="O107" s="49">
        <f t="shared" si="1"/>
        <v>0.38747082335251526</v>
      </c>
      <c r="P107" s="49">
        <f t="shared" si="1"/>
        <v>0.42585659115138585</v>
      </c>
      <c r="Q107" s="49">
        <f t="shared" si="1"/>
        <v>0.46530433960218009</v>
      </c>
      <c r="R107" s="49">
        <f t="shared" si="1"/>
        <v>0.50584344946161397</v>
      </c>
      <c r="S107" s="49">
        <f t="shared" si="1"/>
        <v>0.54750411433441903</v>
      </c>
      <c r="T107" s="49">
        <f t="shared" si="1"/>
        <v>0.590317363161595</v>
      </c>
      <c r="U107" s="49">
        <f t="shared" si="1"/>
        <v>0.63431508333082354</v>
      </c>
      <c r="V107" s="49">
        <f t="shared" si="1"/>
        <v>0.67953004442625398</v>
      </c>
      <c r="W107" s="49">
        <f t="shared" si="1"/>
        <v>0.72599592263535073</v>
      </c>
      <c r="X107" s="49">
        <f t="shared" si="1"/>
        <v>0.77374732583098038</v>
      </c>
      <c r="Y107" s="49">
        <f t="shared" si="1"/>
        <v>0.82281981934742032</v>
      </c>
      <c r="Z107" s="49">
        <f t="shared" si="1"/>
        <v>0.87324995246948589</v>
      </c>
      <c r="AA107" s="49">
        <f t="shared" si="1"/>
        <v>0.92507528565450658</v>
      </c>
      <c r="AB107" s="49">
        <f t="shared" si="1"/>
        <v>0.97833441850742409</v>
      </c>
      <c r="AC107" s="49">
        <f t="shared" si="1"/>
        <v>1.0330670185298505</v>
      </c>
      <c r="AD107" s="49">
        <f t="shared" si="1"/>
        <v>1.0893138506644973</v>
      </c>
      <c r="AE107" s="49">
        <f t="shared" si="1"/>
        <v>1.1471168076569813</v>
      </c>
      <c r="AF107" s="49">
        <f t="shared" si="1"/>
        <v>1.2065189412576194</v>
      </c>
    </row>
    <row r="108" spans="1:32" x14ac:dyDescent="0.3">
      <c r="A108" t="s">
        <v>1334</v>
      </c>
      <c r="B108" s="1" t="s">
        <v>5</v>
      </c>
      <c r="C108" s="49">
        <f>IF($A108="AEO",'Growth Rates'!B101,'Growth Rates'!B101*'Rescale to Fit GDP Proj'!$D$52)</f>
        <v>0</v>
      </c>
      <c r="D108" s="49">
        <f t="shared" si="2"/>
        <v>-1.2463136070661631E-2</v>
      </c>
      <c r="E108" s="49">
        <f t="shared" si="3"/>
        <v>2.9431604421192858E-3</v>
      </c>
      <c r="F108" s="49">
        <f t="shared" si="1"/>
        <v>1.3008425916695598E-2</v>
      </c>
      <c r="G108" s="49">
        <f t="shared" si="1"/>
        <v>2.2346317765342238E-2</v>
      </c>
      <c r="H108" s="49">
        <f t="shared" si="1"/>
        <v>3.5533299883582226E-2</v>
      </c>
      <c r="I108" s="49">
        <f t="shared" si="1"/>
        <v>5.0185159088445674E-2</v>
      </c>
      <c r="J108" s="49">
        <f t="shared" si="1"/>
        <v>6.4933031052899493E-2</v>
      </c>
      <c r="K108" s="49">
        <f t="shared" si="1"/>
        <v>7.7722494916767415E-2</v>
      </c>
      <c r="L108" s="49">
        <f t="shared" si="1"/>
        <v>9.0396384091171456E-2</v>
      </c>
      <c r="M108" s="49">
        <f t="shared" si="1"/>
        <v>0.10449872182711717</v>
      </c>
      <c r="N108" s="49">
        <f t="shared" si="1"/>
        <v>0.11680215853076259</v>
      </c>
      <c r="O108" s="49">
        <f t="shared" si="1"/>
        <v>0.12684503959245941</v>
      </c>
      <c r="P108" s="49">
        <f t="shared" si="1"/>
        <v>0.13751427755025158</v>
      </c>
      <c r="Q108" s="49">
        <f t="shared" si="1"/>
        <v>0.14931360155569395</v>
      </c>
      <c r="R108" s="49">
        <f t="shared" si="1"/>
        <v>0.16177147935942982</v>
      </c>
      <c r="S108" s="49">
        <f t="shared" si="1"/>
        <v>0.17387994091254777</v>
      </c>
      <c r="T108" s="49">
        <f t="shared" si="1"/>
        <v>0.18616157115031795</v>
      </c>
      <c r="U108" s="49">
        <f t="shared" si="1"/>
        <v>0.19888009990051447</v>
      </c>
      <c r="V108" s="49">
        <f t="shared" si="1"/>
        <v>0.21158862281184909</v>
      </c>
      <c r="W108" s="49">
        <f t="shared" si="1"/>
        <v>0.22394259940479366</v>
      </c>
      <c r="X108" s="49">
        <f t="shared" si="1"/>
        <v>0.23696397974088534</v>
      </c>
      <c r="Y108" s="49">
        <f t="shared" si="1"/>
        <v>0.24970611079592131</v>
      </c>
      <c r="Z108" s="49">
        <f t="shared" si="1"/>
        <v>0.26224261986579922</v>
      </c>
      <c r="AA108" s="49">
        <f t="shared" si="1"/>
        <v>0.27469228766963694</v>
      </c>
      <c r="AB108" s="49">
        <f t="shared" si="1"/>
        <v>0.28660885295354088</v>
      </c>
      <c r="AC108" s="49">
        <f t="shared" si="1"/>
        <v>0.29869756027805483</v>
      </c>
      <c r="AD108" s="49">
        <f t="shared" si="1"/>
        <v>0.31091646540205198</v>
      </c>
      <c r="AE108" s="49">
        <f t="shared" si="1"/>
        <v>0.32320386775417531</v>
      </c>
      <c r="AF108" s="49">
        <f t="shared" si="1"/>
        <v>0.33546369257688302</v>
      </c>
    </row>
    <row r="109" spans="1:32" x14ac:dyDescent="0.3">
      <c r="A109" t="s">
        <v>1334</v>
      </c>
      <c r="B109" s="1" t="s">
        <v>6</v>
      </c>
      <c r="C109" s="49">
        <f>IF($A109="AEO",'Growth Rates'!B102,'Growth Rates'!B102*'Rescale to Fit GDP Proj'!$D$52)</f>
        <v>0</v>
      </c>
      <c r="D109" s="49">
        <f t="shared" si="2"/>
        <v>-4.9111462171322448E-4</v>
      </c>
      <c r="E109" s="49">
        <f t="shared" si="3"/>
        <v>-1.5775363620483596E-2</v>
      </c>
      <c r="F109" s="49">
        <f t="shared" si="1"/>
        <v>-2.5776803182233188E-2</v>
      </c>
      <c r="G109" s="49">
        <f t="shared" si="1"/>
        <v>-2.5356460143885595E-2</v>
      </c>
      <c r="H109" s="49">
        <f t="shared" si="1"/>
        <v>-6.9735338708045713E-3</v>
      </c>
      <c r="I109" s="49">
        <f t="shared" si="1"/>
        <v>1.5721737884506481E-2</v>
      </c>
      <c r="J109" s="49">
        <f t="shared" si="1"/>
        <v>3.1601265525403432E-2</v>
      </c>
      <c r="K109" s="49">
        <f t="shared" si="1"/>
        <v>3.8425117947018084E-2</v>
      </c>
      <c r="L109" s="49">
        <f t="shared" si="1"/>
        <v>4.0028254677882069E-2</v>
      </c>
      <c r="M109" s="49">
        <f t="shared" si="1"/>
        <v>4.4632768996650363E-2</v>
      </c>
      <c r="N109" s="49">
        <f t="shared" si="1"/>
        <v>5.4233304474653465E-2</v>
      </c>
      <c r="O109" s="49">
        <f t="shared" si="1"/>
        <v>6.2209091061010247E-2</v>
      </c>
      <c r="P109" s="49">
        <f t="shared" si="1"/>
        <v>6.6940400719735393E-2</v>
      </c>
      <c r="Q109" s="49">
        <f t="shared" si="1"/>
        <v>6.8563665836126608E-2</v>
      </c>
      <c r="R109" s="49">
        <f t="shared" si="1"/>
        <v>6.7373318378676661E-2</v>
      </c>
      <c r="S109" s="49">
        <f t="shared" si="1"/>
        <v>6.3288634978472258E-2</v>
      </c>
      <c r="T109" s="49">
        <f t="shared" si="1"/>
        <v>5.6998881698073767E-2</v>
      </c>
      <c r="U109" s="49">
        <f t="shared" si="1"/>
        <v>4.8589278195045438E-2</v>
      </c>
      <c r="V109" s="49">
        <f t="shared" si="1"/>
        <v>4.3181936550022781E-2</v>
      </c>
      <c r="W109" s="49">
        <f t="shared" si="1"/>
        <v>3.7860369104831149E-2</v>
      </c>
      <c r="X109" s="49">
        <f t="shared" si="1"/>
        <v>3.1175901631395497E-2</v>
      </c>
      <c r="Y109" s="49">
        <f t="shared" si="1"/>
        <v>2.4448209836395174E-2</v>
      </c>
      <c r="Z109" s="49">
        <f t="shared" si="1"/>
        <v>1.5540717303419438E-2</v>
      </c>
      <c r="AA109" s="49">
        <f t="shared" si="1"/>
        <v>6.0093647201253653E-3</v>
      </c>
      <c r="AB109" s="49">
        <f t="shared" si="1"/>
        <v>-2.3487862531073045E-3</v>
      </c>
      <c r="AC109" s="49">
        <f t="shared" si="1"/>
        <v>-9.6724611087898316E-3</v>
      </c>
      <c r="AD109" s="49">
        <f t="shared" si="1"/>
        <v>-1.7704736068231308E-2</v>
      </c>
      <c r="AE109" s="49">
        <f t="shared" si="1"/>
        <v>-2.6403301055227035E-2</v>
      </c>
      <c r="AF109" s="49">
        <f t="shared" si="1"/>
        <v>-3.3305149097306752E-2</v>
      </c>
    </row>
    <row r="110" spans="1:32" x14ac:dyDescent="0.3">
      <c r="A110" t="s">
        <v>1334</v>
      </c>
      <c r="B110" s="1" t="s">
        <v>7</v>
      </c>
      <c r="C110" s="49">
        <f>IF($A110="AEO",'Growth Rates'!B103,'Growth Rates'!B103*'Rescale to Fit GDP Proj'!$D$52)</f>
        <v>0</v>
      </c>
      <c r="D110" s="49">
        <f t="shared" si="2"/>
        <v>-6.4436017867348285E-3</v>
      </c>
      <c r="E110" s="49">
        <f t="shared" si="3"/>
        <v>-9.7175753823413924E-2</v>
      </c>
      <c r="F110" s="49">
        <f t="shared" si="1"/>
        <v>-0.12126886560407468</v>
      </c>
      <c r="G110" s="49">
        <f t="shared" si="1"/>
        <v>-0.10480661225832943</v>
      </c>
      <c r="H110" s="49">
        <f t="shared" si="1"/>
        <v>-0.1162596126406229</v>
      </c>
      <c r="I110" s="49">
        <f t="shared" si="1"/>
        <v>-0.12022513849909167</v>
      </c>
      <c r="J110" s="49">
        <f t="shared" si="1"/>
        <v>-0.10878519949637144</v>
      </c>
      <c r="K110" s="49">
        <f t="shared" si="1"/>
        <v>-9.3711666614466838E-2</v>
      </c>
      <c r="L110" s="49">
        <f t="shared" si="1"/>
        <v>-8.6823222455691851E-2</v>
      </c>
      <c r="M110" s="49">
        <f t="shared" si="1"/>
        <v>-8.3354211061135497E-2</v>
      </c>
      <c r="N110" s="49">
        <f t="shared" si="1"/>
        <v>-7.2500505002085491E-2</v>
      </c>
      <c r="O110" s="49">
        <f t="shared" si="1"/>
        <v>-5.9337210260259177E-2</v>
      </c>
      <c r="P110" s="49">
        <f t="shared" si="1"/>
        <v>-4.3306546764840914E-2</v>
      </c>
      <c r="Q110" s="49">
        <f t="shared" si="1"/>
        <v>-3.4504187255292251E-2</v>
      </c>
      <c r="R110" s="49">
        <f t="shared" si="1"/>
        <v>-3.7548553630611936E-2</v>
      </c>
      <c r="S110" s="49">
        <f t="shared" si="1"/>
        <v>-3.2744987813915216E-2</v>
      </c>
      <c r="T110" s="49">
        <f t="shared" si="1"/>
        <v>-2.9447358102970278E-2</v>
      </c>
      <c r="U110" s="49">
        <f t="shared" si="1"/>
        <v>-2.4489495069183742E-2</v>
      </c>
      <c r="V110" s="49">
        <f t="shared" si="1"/>
        <v>-1.6850645072410964E-2</v>
      </c>
      <c r="W110" s="49">
        <f t="shared" si="1"/>
        <v>-5.9018048396337619E-3</v>
      </c>
      <c r="X110" s="49">
        <f t="shared" si="1"/>
        <v>3.0304129990923467E-3</v>
      </c>
      <c r="Y110" s="49">
        <f t="shared" si="1"/>
        <v>8.9000695511634031E-3</v>
      </c>
      <c r="Z110" s="49">
        <f t="shared" si="1"/>
        <v>9.6193556283523662E-3</v>
      </c>
      <c r="AA110" s="49">
        <f t="shared" si="1"/>
        <v>3.6764370245851996E-3</v>
      </c>
      <c r="AB110" s="49">
        <f t="shared" si="1"/>
        <v>-1.6388163011493706E-4</v>
      </c>
      <c r="AC110" s="49">
        <f t="shared" si="1"/>
        <v>1.1012881951710796E-3</v>
      </c>
      <c r="AD110" s="49">
        <f t="shared" si="1"/>
        <v>-9.2754909183290213E-4</v>
      </c>
      <c r="AE110" s="49">
        <f t="shared" si="1"/>
        <v>-1.0111419211056294E-4</v>
      </c>
      <c r="AF110" s="49">
        <f t="shared" si="1"/>
        <v>1.0358920976404784E-2</v>
      </c>
    </row>
    <row r="111" spans="1:32" x14ac:dyDescent="0.3">
      <c r="A111" t="s">
        <v>1334</v>
      </c>
      <c r="B111" s="1" t="s">
        <v>8</v>
      </c>
      <c r="C111" s="49">
        <f>IF($A111="AEO",'Growth Rates'!B104,'Growth Rates'!B104*'Rescale to Fit GDP Proj'!$D$52)</f>
        <v>0</v>
      </c>
      <c r="D111" s="49">
        <f t="shared" si="2"/>
        <v>3.4978912866429096E-2</v>
      </c>
      <c r="E111" s="49">
        <f t="shared" si="3"/>
        <v>1.1234016731725971E-2</v>
      </c>
      <c r="F111" s="49">
        <f t="shared" si="1"/>
        <v>-1.1250407906847393E-2</v>
      </c>
      <c r="G111" s="49">
        <f t="shared" si="1"/>
        <v>-1.2679302646599444E-2</v>
      </c>
      <c r="H111" s="49">
        <f t="shared" si="1"/>
        <v>-7.6001228194294557E-3</v>
      </c>
      <c r="I111" s="49">
        <f t="shared" si="1"/>
        <v>-1.4515741340220822E-3</v>
      </c>
      <c r="J111" s="49">
        <f t="shared" si="1"/>
        <v>4.510209217005734E-3</v>
      </c>
      <c r="K111" s="49">
        <f t="shared" si="1"/>
        <v>9.8122114800447413E-3</v>
      </c>
      <c r="L111" s="49">
        <f t="shared" si="1"/>
        <v>1.4499617254738695E-2</v>
      </c>
      <c r="M111" s="49">
        <f t="shared" si="1"/>
        <v>2.161688264793038E-2</v>
      </c>
      <c r="N111" s="49">
        <f t="shared" si="1"/>
        <v>2.9812905680858481E-2</v>
      </c>
      <c r="O111" s="49">
        <f t="shared" si="1"/>
        <v>3.6635321529651099E-2</v>
      </c>
      <c r="P111" s="49">
        <f t="shared" si="1"/>
        <v>4.3951493223279625E-2</v>
      </c>
      <c r="Q111" s="49">
        <f t="shared" si="1"/>
        <v>5.1728185520371506E-2</v>
      </c>
      <c r="R111" s="49">
        <f t="shared" si="1"/>
        <v>5.7662772178424193E-2</v>
      </c>
      <c r="S111" s="49">
        <f t="shared" si="1"/>
        <v>6.4404654694261376E-2</v>
      </c>
      <c r="T111" s="49">
        <f t="shared" si="1"/>
        <v>7.0078230904127237E-2</v>
      </c>
      <c r="U111" s="49">
        <f t="shared" si="1"/>
        <v>7.6182831731052891E-2</v>
      </c>
      <c r="V111" s="49">
        <f t="shared" si="1"/>
        <v>8.2701096348395842E-2</v>
      </c>
      <c r="W111" s="49">
        <f t="shared" si="1"/>
        <v>8.8722417464104586E-2</v>
      </c>
      <c r="X111" s="49">
        <f t="shared" si="1"/>
        <v>9.5302966224390051E-2</v>
      </c>
      <c r="Y111" s="49">
        <f t="shared" si="1"/>
        <v>0.10084656848629558</v>
      </c>
      <c r="Z111" s="49">
        <f t="shared" si="1"/>
        <v>0.10444015508803872</v>
      </c>
      <c r="AA111" s="49">
        <f t="shared" si="1"/>
        <v>0.10672755722102378</v>
      </c>
      <c r="AB111" s="49">
        <f t="shared" si="1"/>
        <v>0.11129659583453311</v>
      </c>
      <c r="AC111" s="49">
        <f t="shared" si="1"/>
        <v>0.11823498084404105</v>
      </c>
      <c r="AD111" s="49">
        <f t="shared" si="1"/>
        <v>0.12111642517563315</v>
      </c>
      <c r="AE111" s="49">
        <f t="shared" si="1"/>
        <v>0.12502860326831144</v>
      </c>
      <c r="AF111" s="49">
        <f t="shared" si="1"/>
        <v>0.13311361571776614</v>
      </c>
    </row>
    <row r="112" spans="1:32" x14ac:dyDescent="0.3">
      <c r="A112" t="s">
        <v>1334</v>
      </c>
      <c r="B112" s="1" t="s">
        <v>9</v>
      </c>
      <c r="C112" s="49">
        <f>IF($A112="AEO",'Growth Rates'!B105,'Growth Rates'!B105*'Rescale to Fit GDP Proj'!$D$52)</f>
        <v>0</v>
      </c>
      <c r="D112" s="49">
        <f t="shared" si="2"/>
        <v>3.5549761599716782E-2</v>
      </c>
      <c r="E112" s="49">
        <f t="shared" si="3"/>
        <v>0.12400894498170145</v>
      </c>
      <c r="F112" s="49">
        <f t="shared" si="1"/>
        <v>0.12073110298857248</v>
      </c>
      <c r="G112" s="49">
        <f t="shared" si="1"/>
        <v>0.11659319097270293</v>
      </c>
      <c r="H112" s="49">
        <f t="shared" si="1"/>
        <v>0.11162885767670505</v>
      </c>
      <c r="I112" s="49">
        <f t="shared" si="1"/>
        <v>0.10853410610748448</v>
      </c>
      <c r="J112" s="49">
        <f t="shared" si="1"/>
        <v>0.10518927839104908</v>
      </c>
      <c r="K112" s="49">
        <f t="shared" si="1"/>
        <v>0.10025542172351476</v>
      </c>
      <c r="L112" s="49">
        <f t="shared" si="1"/>
        <v>9.2698269744167394E-2</v>
      </c>
      <c r="M112" s="49">
        <f t="shared" si="1"/>
        <v>8.555231779397876E-2</v>
      </c>
      <c r="N112" s="49">
        <f t="shared" si="1"/>
        <v>8.1206022084453933E-2</v>
      </c>
      <c r="O112" s="49">
        <f t="shared" si="1"/>
        <v>7.7549622548832131E-2</v>
      </c>
      <c r="P112" s="49">
        <f t="shared" si="1"/>
        <v>7.5597970130825587E-2</v>
      </c>
      <c r="Q112" s="49">
        <f t="shared" si="1"/>
        <v>7.2214079659935093E-2</v>
      </c>
      <c r="R112" s="49">
        <f t="shared" si="1"/>
        <v>6.9076321421265074E-2</v>
      </c>
      <c r="S112" s="49">
        <f t="shared" si="1"/>
        <v>6.70074820072184E-2</v>
      </c>
      <c r="T112" s="49">
        <f t="shared" si="1"/>
        <v>6.5245726814994853E-2</v>
      </c>
      <c r="U112" s="49">
        <f t="shared" si="1"/>
        <v>6.5356493543246019E-2</v>
      </c>
      <c r="V112" s="49">
        <f t="shared" si="1"/>
        <v>6.6891995761153122E-2</v>
      </c>
      <c r="W112" s="49">
        <f t="shared" si="1"/>
        <v>6.8465167943483785E-2</v>
      </c>
      <c r="X112" s="49">
        <f t="shared" si="1"/>
        <v>7.1090164005271905E-2</v>
      </c>
      <c r="Y112" s="49">
        <f t="shared" si="1"/>
        <v>7.4003680514193482E-2</v>
      </c>
      <c r="Z112" s="49">
        <f t="shared" si="1"/>
        <v>7.7300937924324575E-2</v>
      </c>
      <c r="AA112" s="49">
        <f t="shared" si="1"/>
        <v>7.9662165661006812E-2</v>
      </c>
      <c r="AB112" s="49">
        <f t="shared" si="1"/>
        <v>8.4901096573120949E-2</v>
      </c>
      <c r="AC112" s="49">
        <f t="shared" si="1"/>
        <v>9.0592533433868194E-2</v>
      </c>
      <c r="AD112" s="49">
        <f t="shared" si="1"/>
        <v>9.3642497742197905E-2</v>
      </c>
      <c r="AE112" s="49">
        <f t="shared" si="1"/>
        <v>9.9105670384060707E-2</v>
      </c>
      <c r="AF112" s="49">
        <f t="shared" si="1"/>
        <v>0.10943494090198058</v>
      </c>
    </row>
    <row r="113" spans="1:32" x14ac:dyDescent="0.3">
      <c r="A113" t="s">
        <v>1334</v>
      </c>
      <c r="B113" s="1" t="s">
        <v>35</v>
      </c>
      <c r="C113" s="49">
        <f>IF($A113="AEO",'Growth Rates'!B106,'Growth Rates'!B106*'Rescale to Fit GDP Proj'!$D$52)</f>
        <v>0</v>
      </c>
      <c r="D113" s="49">
        <f t="shared" si="2"/>
        <v>-1.3315353457095599E-2</v>
      </c>
      <c r="E113" s="49">
        <f t="shared" si="3"/>
        <v>-3.5127270912134412E-2</v>
      </c>
      <c r="F113" s="49">
        <f t="shared" ref="F113:AF122" si="4">(1+E113)*(1+F68)-1</f>
        <v>-4.6589765245095505E-2</v>
      </c>
      <c r="G113" s="49">
        <f t="shared" si="4"/>
        <v>-3.1045280750561344E-2</v>
      </c>
      <c r="H113" s="49">
        <f t="shared" si="4"/>
        <v>-8.6777295770005258E-3</v>
      </c>
      <c r="I113" s="49">
        <f t="shared" si="4"/>
        <v>1.4380690429135701E-2</v>
      </c>
      <c r="J113" s="49">
        <f t="shared" si="4"/>
        <v>3.4682352607544598E-2</v>
      </c>
      <c r="K113" s="49">
        <f t="shared" si="4"/>
        <v>5.0783279408873838E-2</v>
      </c>
      <c r="L113" s="49">
        <f t="shared" si="4"/>
        <v>6.4047537836524615E-2</v>
      </c>
      <c r="M113" s="49">
        <f t="shared" si="4"/>
        <v>7.8907997438568023E-2</v>
      </c>
      <c r="N113" s="49">
        <f t="shared" si="4"/>
        <v>9.7894635072789615E-2</v>
      </c>
      <c r="O113" s="49">
        <f t="shared" si="4"/>
        <v>0.11719070404218401</v>
      </c>
      <c r="P113" s="49">
        <f t="shared" si="4"/>
        <v>0.13943422001794437</v>
      </c>
      <c r="Q113" s="49">
        <f t="shared" si="4"/>
        <v>0.16235335890969127</v>
      </c>
      <c r="R113" s="49">
        <f t="shared" si="4"/>
        <v>0.18373367682435116</v>
      </c>
      <c r="S113" s="49">
        <f t="shared" si="4"/>
        <v>0.20643760683733903</v>
      </c>
      <c r="T113" s="49">
        <f t="shared" si="4"/>
        <v>0.22871000052870327</v>
      </c>
      <c r="U113" s="49">
        <f t="shared" si="4"/>
        <v>0.25332317467756438</v>
      </c>
      <c r="V113" s="49">
        <f t="shared" si="4"/>
        <v>0.28111680283046803</v>
      </c>
      <c r="W113" s="49">
        <f t="shared" si="4"/>
        <v>0.31024474948379854</v>
      </c>
      <c r="X113" s="49">
        <f t="shared" si="4"/>
        <v>0.34085513108281984</v>
      </c>
      <c r="Y113" s="49">
        <f t="shared" si="4"/>
        <v>0.37216851951542451</v>
      </c>
      <c r="Z113" s="49">
        <f t="shared" si="4"/>
        <v>0.40166178492288362</v>
      </c>
      <c r="AA113" s="49">
        <f t="shared" si="4"/>
        <v>0.42866291295654624</v>
      </c>
      <c r="AB113" s="49">
        <f t="shared" si="4"/>
        <v>0.45812742606625489</v>
      </c>
      <c r="AC113" s="49">
        <f t="shared" si="4"/>
        <v>0.49066012074931153</v>
      </c>
      <c r="AD113" s="49">
        <f t="shared" si="4"/>
        <v>0.51907846440570871</v>
      </c>
      <c r="AE113" s="49">
        <f t="shared" si="4"/>
        <v>0.54726579143556187</v>
      </c>
      <c r="AF113" s="49">
        <f t="shared" si="4"/>
        <v>0.58264710385669649</v>
      </c>
    </row>
    <row r="114" spans="1:32" x14ac:dyDescent="0.3">
      <c r="B114" s="1" t="s">
        <v>36</v>
      </c>
      <c r="C114" s="49">
        <f>IF($A114="AEO",'Growth Rates'!B107,'Growth Rates'!B107*'Rescale to Fit GDP Proj'!$D$52)</f>
        <v>0</v>
      </c>
      <c r="D114" s="49">
        <f t="shared" si="2"/>
        <v>1.7172E-2</v>
      </c>
      <c r="E114" s="49">
        <f t="shared" si="3"/>
        <v>3.4638877583999861E-2</v>
      </c>
      <c r="F114" s="49">
        <f t="shared" si="4"/>
        <v>5.2405696389872247E-2</v>
      </c>
      <c r="G114" s="49">
        <f t="shared" si="4"/>
        <v>7.0477607008279097E-2</v>
      </c>
      <c r="H114" s="49">
        <f t="shared" si="4"/>
        <v>8.8859848475825176E-2</v>
      </c>
      <c r="I114" s="49">
        <f t="shared" si="4"/>
        <v>0.10755774979385202</v>
      </c>
      <c r="J114" s="49">
        <f t="shared" si="4"/>
        <v>0.12657673147331194</v>
      </c>
      <c r="K114" s="49">
        <f t="shared" si="4"/>
        <v>0.14592230710617171</v>
      </c>
      <c r="L114" s="49">
        <f t="shared" si="4"/>
        <v>0.16560008496379885</v>
      </c>
      <c r="M114" s="49">
        <f t="shared" si="4"/>
        <v>0.18561576962279713</v>
      </c>
      <c r="N114" s="49">
        <f t="shared" si="4"/>
        <v>0.20597516361875967</v>
      </c>
      <c r="O114" s="49">
        <f t="shared" si="4"/>
        <v>0.22668416912842093</v>
      </c>
      <c r="P114" s="49">
        <f t="shared" si="4"/>
        <v>0.24774878968069403</v>
      </c>
      <c r="Q114" s="49">
        <f t="shared" si="4"/>
        <v>0.26917513189709097</v>
      </c>
      <c r="R114" s="49">
        <f t="shared" si="4"/>
        <v>0.29096940726202769</v>
      </c>
      <c r="S114" s="49">
        <f t="shared" si="4"/>
        <v>0.31313793392353118</v>
      </c>
      <c r="T114" s="49">
        <f t="shared" si="4"/>
        <v>0.33568713852486609</v>
      </c>
      <c r="U114" s="49">
        <f t="shared" si="4"/>
        <v>0.35862355806761514</v>
      </c>
      <c r="V114" s="49">
        <f t="shared" si="4"/>
        <v>0.38195384180675229</v>
      </c>
      <c r="W114" s="49">
        <f t="shared" si="4"/>
        <v>0.4056847531782577</v>
      </c>
      <c r="X114" s="49">
        <f t="shared" si="4"/>
        <v>0.42982317175983464</v>
      </c>
      <c r="Y114" s="49">
        <f t="shared" si="4"/>
        <v>0.45437609526529443</v>
      </c>
      <c r="Z114" s="49">
        <f t="shared" si="4"/>
        <v>0.47935064157319007</v>
      </c>
      <c r="AA114" s="49">
        <f t="shared" si="4"/>
        <v>0.50475405079028479</v>
      </c>
      <c r="AB114" s="49">
        <f t="shared" si="4"/>
        <v>0.53059368735045553</v>
      </c>
      <c r="AC114" s="49">
        <f t="shared" si="4"/>
        <v>0.5568770421496374</v>
      </c>
      <c r="AD114" s="49">
        <f t="shared" si="4"/>
        <v>0.583611734717431</v>
      </c>
      <c r="AE114" s="49">
        <f t="shared" si="4"/>
        <v>0.61080551542599859</v>
      </c>
      <c r="AF114" s="49">
        <f t="shared" si="4"/>
        <v>0.63846626773689374</v>
      </c>
    </row>
    <row r="115" spans="1:32" x14ac:dyDescent="0.3">
      <c r="A115" t="s">
        <v>1334</v>
      </c>
      <c r="B115" s="1" t="s">
        <v>10</v>
      </c>
      <c r="C115" s="49">
        <f>IF($A115="AEO",'Growth Rates'!B108,'Growth Rates'!B108*'Rescale to Fit GDP Proj'!$D$52)</f>
        <v>0</v>
      </c>
      <c r="D115" s="49">
        <f t="shared" si="2"/>
        <v>3.712792644662908E-2</v>
      </c>
      <c r="E115" s="49">
        <f t="shared" si="3"/>
        <v>1.6081206671685333E-2</v>
      </c>
      <c r="F115" s="49">
        <f t="shared" si="4"/>
        <v>8.7217800411878432E-3</v>
      </c>
      <c r="G115" s="49">
        <f t="shared" si="4"/>
        <v>2.3403213061938155E-2</v>
      </c>
      <c r="H115" s="49">
        <f t="shared" si="4"/>
        <v>5.0273944065903464E-2</v>
      </c>
      <c r="I115" s="49">
        <f t="shared" si="4"/>
        <v>7.3977044603529052E-2</v>
      </c>
      <c r="J115" s="49">
        <f t="shared" si="4"/>
        <v>9.4046466665823614E-2</v>
      </c>
      <c r="K115" s="49">
        <f t="shared" si="4"/>
        <v>0.11284224389784159</v>
      </c>
      <c r="L115" s="49">
        <f t="shared" si="4"/>
        <v>0.12871513981242666</v>
      </c>
      <c r="M115" s="49">
        <f t="shared" si="4"/>
        <v>0.14740212742275016</v>
      </c>
      <c r="N115" s="49">
        <f t="shared" si="4"/>
        <v>0.171314105011803</v>
      </c>
      <c r="O115" s="49">
        <f t="shared" si="4"/>
        <v>0.19321777069568546</v>
      </c>
      <c r="P115" s="49">
        <f t="shared" si="4"/>
        <v>0.21372856418611486</v>
      </c>
      <c r="Q115" s="49">
        <f t="shared" si="4"/>
        <v>0.23796243324841226</v>
      </c>
      <c r="R115" s="49">
        <f t="shared" si="4"/>
        <v>0.25904228735257906</v>
      </c>
      <c r="S115" s="49">
        <f t="shared" si="4"/>
        <v>0.28019425231709794</v>
      </c>
      <c r="T115" s="49">
        <f t="shared" si="4"/>
        <v>0.30172927669030392</v>
      </c>
      <c r="U115" s="49">
        <f t="shared" si="4"/>
        <v>0.32107049313671832</v>
      </c>
      <c r="V115" s="49">
        <f t="shared" si="4"/>
        <v>0.34204106058388217</v>
      </c>
      <c r="W115" s="49">
        <f t="shared" si="4"/>
        <v>0.36633112722853567</v>
      </c>
      <c r="X115" s="49">
        <f t="shared" si="4"/>
        <v>0.38948344338516661</v>
      </c>
      <c r="Y115" s="49">
        <f t="shared" si="4"/>
        <v>0.41483727966399297</v>
      </c>
      <c r="Z115" s="49">
        <f t="shared" si="4"/>
        <v>0.43689872553995013</v>
      </c>
      <c r="AA115" s="49">
        <f t="shared" si="4"/>
        <v>0.45714804993961411</v>
      </c>
      <c r="AB115" s="49">
        <f t="shared" si="4"/>
        <v>0.47990710931561109</v>
      </c>
      <c r="AC115" s="49">
        <f t="shared" si="4"/>
        <v>0.50405506460259142</v>
      </c>
      <c r="AD115" s="49">
        <f t="shared" si="4"/>
        <v>0.52525601606343097</v>
      </c>
      <c r="AE115" s="49">
        <f t="shared" si="4"/>
        <v>0.54731522120643938</v>
      </c>
      <c r="AF115" s="49">
        <f t="shared" si="4"/>
        <v>0.57945899165167614</v>
      </c>
    </row>
    <row r="116" spans="1:32" x14ac:dyDescent="0.3">
      <c r="A116" t="s">
        <v>1334</v>
      </c>
      <c r="B116" s="1" t="s">
        <v>41</v>
      </c>
      <c r="C116" s="49">
        <f>IF($A116="AEO",'Growth Rates'!B109,'Growth Rates'!B109*'Rescale to Fit GDP Proj'!$D$52)</f>
        <v>0</v>
      </c>
      <c r="D116" s="49">
        <f t="shared" si="2"/>
        <v>1.5773177581946376E-2</v>
      </c>
      <c r="E116" s="49">
        <f t="shared" si="3"/>
        <v>-4.4042153176668375E-2</v>
      </c>
      <c r="F116" s="49">
        <f t="shared" si="4"/>
        <v>-6.0305804095002857E-2</v>
      </c>
      <c r="G116" s="49">
        <f t="shared" si="4"/>
        <v>-5.9985242757240265E-2</v>
      </c>
      <c r="H116" s="49">
        <f t="shared" si="4"/>
        <v>-3.3413810338150274E-2</v>
      </c>
      <c r="I116" s="49">
        <f t="shared" si="4"/>
        <v>-1.8517680393953961E-2</v>
      </c>
      <c r="J116" s="49">
        <f t="shared" si="4"/>
        <v>-6.9567606138961624E-3</v>
      </c>
      <c r="K116" s="49">
        <f t="shared" si="4"/>
        <v>2.0335743040893473E-3</v>
      </c>
      <c r="L116" s="49">
        <f t="shared" si="4"/>
        <v>7.2069194882198317E-3</v>
      </c>
      <c r="M116" s="49">
        <f t="shared" si="4"/>
        <v>1.4340623823784204E-2</v>
      </c>
      <c r="N116" s="49">
        <f t="shared" si="4"/>
        <v>2.2950265517861723E-2</v>
      </c>
      <c r="O116" s="49">
        <f t="shared" si="4"/>
        <v>3.4515830496778532E-2</v>
      </c>
      <c r="P116" s="49">
        <f t="shared" si="4"/>
        <v>4.6898098144783962E-2</v>
      </c>
      <c r="Q116" s="49">
        <f t="shared" si="4"/>
        <v>6.1502305041429839E-2</v>
      </c>
      <c r="R116" s="49">
        <f t="shared" si="4"/>
        <v>6.8805580443593195E-2</v>
      </c>
      <c r="S116" s="49">
        <f t="shared" si="4"/>
        <v>7.8892395374779545E-2</v>
      </c>
      <c r="T116" s="49">
        <f t="shared" si="4"/>
        <v>8.8853832553280609E-2</v>
      </c>
      <c r="U116" s="49">
        <f t="shared" si="4"/>
        <v>0.10666804232739269</v>
      </c>
      <c r="V116" s="49">
        <f t="shared" si="4"/>
        <v>0.12432469888883402</v>
      </c>
      <c r="W116" s="49">
        <f t="shared" si="4"/>
        <v>0.13683259998854425</v>
      </c>
      <c r="X116" s="49">
        <f t="shared" si="4"/>
        <v>0.15258932760021993</v>
      </c>
      <c r="Y116" s="49">
        <f t="shared" si="4"/>
        <v>0.15841883908553811</v>
      </c>
      <c r="Z116" s="49">
        <f t="shared" si="4"/>
        <v>0.16805664653803931</v>
      </c>
      <c r="AA116" s="49">
        <f t="shared" si="4"/>
        <v>0.17988745663344585</v>
      </c>
      <c r="AB116" s="49">
        <f t="shared" si="4"/>
        <v>0.1973642715509949</v>
      </c>
      <c r="AC116" s="49">
        <f t="shared" si="4"/>
        <v>0.20777160520344062</v>
      </c>
      <c r="AD116" s="49">
        <f t="shared" si="4"/>
        <v>0.21117419205928356</v>
      </c>
      <c r="AE116" s="49">
        <f t="shared" si="4"/>
        <v>0.21948108611397465</v>
      </c>
      <c r="AF116" s="49">
        <f t="shared" si="4"/>
        <v>0.23154735239006952</v>
      </c>
    </row>
    <row r="117" spans="1:32" x14ac:dyDescent="0.3">
      <c r="A117" t="s">
        <v>1334</v>
      </c>
      <c r="B117" s="1" t="s">
        <v>42</v>
      </c>
      <c r="C117" s="49">
        <f>IF($A117="AEO",'Growth Rates'!B110,'Growth Rates'!B110*'Rescale to Fit GDP Proj'!$D$52)</f>
        <v>0</v>
      </c>
      <c r="D117" s="49">
        <f t="shared" si="2"/>
        <v>0.15097806738042441</v>
      </c>
      <c r="E117" s="49">
        <f t="shared" si="3"/>
        <v>9.9625557748473925E-2</v>
      </c>
      <c r="F117" s="49">
        <f t="shared" si="4"/>
        <v>8.6047069877374094E-2</v>
      </c>
      <c r="G117" s="49">
        <f t="shared" si="4"/>
        <v>0.10366950257395935</v>
      </c>
      <c r="H117" s="49">
        <f t="shared" si="4"/>
        <v>0.12045098254769027</v>
      </c>
      <c r="I117" s="49">
        <f t="shared" si="4"/>
        <v>0.13136053697300532</v>
      </c>
      <c r="J117" s="49">
        <f t="shared" si="4"/>
        <v>0.14167233504587085</v>
      </c>
      <c r="K117" s="49">
        <f t="shared" si="4"/>
        <v>0.15533584860503447</v>
      </c>
      <c r="L117" s="49">
        <f t="shared" si="4"/>
        <v>0.16972344035118714</v>
      </c>
      <c r="M117" s="49">
        <f t="shared" si="4"/>
        <v>0.18366572079167209</v>
      </c>
      <c r="N117" s="49">
        <f t="shared" si="4"/>
        <v>0.19352662506419849</v>
      </c>
      <c r="O117" s="49">
        <f t="shared" si="4"/>
        <v>0.19804866045893244</v>
      </c>
      <c r="P117" s="49">
        <f t="shared" si="4"/>
        <v>0.20613139703789973</v>
      </c>
      <c r="Q117" s="49">
        <f t="shared" si="4"/>
        <v>0.22428724425733071</v>
      </c>
      <c r="R117" s="49">
        <f t="shared" si="4"/>
        <v>0.23902946755597232</v>
      </c>
      <c r="S117" s="49">
        <f t="shared" si="4"/>
        <v>0.25139533738593789</v>
      </c>
      <c r="T117" s="49">
        <f t="shared" si="4"/>
        <v>0.26470901461239427</v>
      </c>
      <c r="U117" s="49">
        <f t="shared" si="4"/>
        <v>0.27496076508232581</v>
      </c>
      <c r="V117" s="49">
        <f t="shared" si="4"/>
        <v>0.28873922077535386</v>
      </c>
      <c r="W117" s="49">
        <f t="shared" si="4"/>
        <v>0.30405973326554148</v>
      </c>
      <c r="X117" s="49">
        <f t="shared" si="4"/>
        <v>0.31613359568195443</v>
      </c>
      <c r="Y117" s="49">
        <f t="shared" si="4"/>
        <v>0.32234633968707116</v>
      </c>
      <c r="Z117" s="49">
        <f t="shared" si="4"/>
        <v>0.3372140975453628</v>
      </c>
      <c r="AA117" s="49">
        <f t="shared" si="4"/>
        <v>0.35452469781526919</v>
      </c>
      <c r="AB117" s="49">
        <f t="shared" si="4"/>
        <v>0.36847978936531911</v>
      </c>
      <c r="AC117" s="49">
        <f t="shared" si="4"/>
        <v>0.38258861423015111</v>
      </c>
      <c r="AD117" s="49">
        <f t="shared" si="4"/>
        <v>0.39320852306658161</v>
      </c>
      <c r="AE117" s="49">
        <f t="shared" si="4"/>
        <v>0.40288176963363376</v>
      </c>
      <c r="AF117" s="49">
        <f t="shared" si="4"/>
        <v>0.41533731723055589</v>
      </c>
    </row>
    <row r="118" spans="1:32" x14ac:dyDescent="0.3">
      <c r="A118" t="s">
        <v>1334</v>
      </c>
      <c r="B118" s="1" t="s">
        <v>43</v>
      </c>
      <c r="C118" s="49">
        <f>IF($A118="AEO",'Growth Rates'!B111,'Growth Rates'!B111*'Rescale to Fit GDP Proj'!$D$52)</f>
        <v>0</v>
      </c>
      <c r="D118" s="49">
        <f t="shared" si="2"/>
        <v>1.1938163022655464E-2</v>
      </c>
      <c r="E118" s="49">
        <f t="shared" si="3"/>
        <v>-4.5499293427299081E-3</v>
      </c>
      <c r="F118" s="49">
        <f t="shared" si="4"/>
        <v>-1.9920013497273681E-2</v>
      </c>
      <c r="G118" s="49">
        <f t="shared" si="4"/>
        <v>2.3027848497092496E-3</v>
      </c>
      <c r="H118" s="49">
        <f t="shared" si="4"/>
        <v>5.0170442965044915E-2</v>
      </c>
      <c r="I118" s="49">
        <f t="shared" si="4"/>
        <v>7.4996675538544944E-2</v>
      </c>
      <c r="J118" s="49">
        <f t="shared" si="4"/>
        <v>8.0899539042579294E-2</v>
      </c>
      <c r="K118" s="49">
        <f t="shared" si="4"/>
        <v>8.620742964286876E-2</v>
      </c>
      <c r="L118" s="49">
        <f t="shared" si="4"/>
        <v>8.0325745371380597E-2</v>
      </c>
      <c r="M118" s="49">
        <f t="shared" si="4"/>
        <v>7.8025943961585575E-2</v>
      </c>
      <c r="N118" s="49">
        <f t="shared" si="4"/>
        <v>8.8883950170171921E-2</v>
      </c>
      <c r="O118" s="49">
        <f t="shared" si="4"/>
        <v>8.5251189287695928E-2</v>
      </c>
      <c r="P118" s="49">
        <f t="shared" si="4"/>
        <v>8.46048517593323E-2</v>
      </c>
      <c r="Q118" s="49">
        <f t="shared" si="4"/>
        <v>8.7794547883213614E-2</v>
      </c>
      <c r="R118" s="49">
        <f t="shared" si="4"/>
        <v>9.0627970227822541E-2</v>
      </c>
      <c r="S118" s="49">
        <f t="shared" si="4"/>
        <v>0.10325568279492492</v>
      </c>
      <c r="T118" s="49">
        <f t="shared" si="4"/>
        <v>0.11103244171822224</v>
      </c>
      <c r="U118" s="49">
        <f t="shared" si="4"/>
        <v>0.11333942252888041</v>
      </c>
      <c r="V118" s="49">
        <f t="shared" si="4"/>
        <v>0.11805732592046936</v>
      </c>
      <c r="W118" s="49">
        <f t="shared" si="4"/>
        <v>0.12642224529380353</v>
      </c>
      <c r="X118" s="49">
        <f t="shared" si="4"/>
        <v>0.1352493346091399</v>
      </c>
      <c r="Y118" s="49">
        <f t="shared" si="4"/>
        <v>0.13872020797926621</v>
      </c>
      <c r="Z118" s="49">
        <f t="shared" si="4"/>
        <v>0.1389040086184723</v>
      </c>
      <c r="AA118" s="49">
        <f t="shared" si="4"/>
        <v>0.13634920286713403</v>
      </c>
      <c r="AB118" s="49">
        <f t="shared" si="4"/>
        <v>0.13807643110387713</v>
      </c>
      <c r="AC118" s="49">
        <f t="shared" si="4"/>
        <v>0.14327294526544487</v>
      </c>
      <c r="AD118" s="49">
        <f t="shared" si="4"/>
        <v>0.14402019326149462</v>
      </c>
      <c r="AE118" s="49">
        <f t="shared" si="4"/>
        <v>0.14558832597511273</v>
      </c>
      <c r="AF118" s="49">
        <f t="shared" si="4"/>
        <v>0.15720671848332834</v>
      </c>
    </row>
    <row r="119" spans="1:32" x14ac:dyDescent="0.3">
      <c r="A119" t="s">
        <v>1334</v>
      </c>
      <c r="B119" s="1" t="s">
        <v>44</v>
      </c>
      <c r="C119" s="49">
        <f>IF($A119="AEO",'Growth Rates'!B112,'Growth Rates'!B112*'Rescale to Fit GDP Proj'!$D$52)</f>
        <v>0</v>
      </c>
      <c r="D119" s="49">
        <f t="shared" si="2"/>
        <v>3.9616360601994943E-2</v>
      </c>
      <c r="E119" s="49">
        <f t="shared" si="3"/>
        <v>2.688867665800454E-2</v>
      </c>
      <c r="F119" s="49">
        <f t="shared" si="4"/>
        <v>3.3094547700704968E-2</v>
      </c>
      <c r="G119" s="49">
        <f t="shared" si="4"/>
        <v>6.3147881877181566E-2</v>
      </c>
      <c r="H119" s="49">
        <f t="shared" si="4"/>
        <v>9.8186205195509801E-2</v>
      </c>
      <c r="I119" s="49">
        <f t="shared" si="4"/>
        <v>0.12162192508552816</v>
      </c>
      <c r="J119" s="49">
        <f t="shared" si="4"/>
        <v>0.13788030734474388</v>
      </c>
      <c r="K119" s="49">
        <f t="shared" si="4"/>
        <v>0.14674147476267962</v>
      </c>
      <c r="L119" s="49">
        <f t="shared" si="4"/>
        <v>0.14959311264123643</v>
      </c>
      <c r="M119" s="49">
        <f t="shared" si="4"/>
        <v>0.15433595252758359</v>
      </c>
      <c r="N119" s="49">
        <f t="shared" si="4"/>
        <v>0.16086982287168938</v>
      </c>
      <c r="O119" s="49">
        <f t="shared" si="4"/>
        <v>0.17114229027756522</v>
      </c>
      <c r="P119" s="49">
        <f t="shared" si="4"/>
        <v>0.18617649984913731</v>
      </c>
      <c r="Q119" s="49">
        <f t="shared" si="4"/>
        <v>0.20175429474661155</v>
      </c>
      <c r="R119" s="49">
        <f t="shared" si="4"/>
        <v>0.21291553785001094</v>
      </c>
      <c r="S119" s="49">
        <f t="shared" si="4"/>
        <v>0.22658465008024109</v>
      </c>
      <c r="T119" s="49">
        <f t="shared" si="4"/>
        <v>0.24014437655741405</v>
      </c>
      <c r="U119" s="49">
        <f t="shared" si="4"/>
        <v>0.25504971891810402</v>
      </c>
      <c r="V119" s="49">
        <f t="shared" si="4"/>
        <v>0.26437846765013084</v>
      </c>
      <c r="W119" s="49">
        <f t="shared" si="4"/>
        <v>0.28027433683603808</v>
      </c>
      <c r="X119" s="49">
        <f t="shared" si="4"/>
        <v>0.30057904421177306</v>
      </c>
      <c r="Y119" s="49">
        <f t="shared" si="4"/>
        <v>0.31539069129084285</v>
      </c>
      <c r="Z119" s="49">
        <f t="shared" si="4"/>
        <v>0.32498125502025932</v>
      </c>
      <c r="AA119" s="49">
        <f t="shared" si="4"/>
        <v>0.34192356808059965</v>
      </c>
      <c r="AB119" s="49">
        <f t="shared" si="4"/>
        <v>0.3622015542675614</v>
      </c>
      <c r="AC119" s="49">
        <f t="shared" si="4"/>
        <v>0.37942053035530909</v>
      </c>
      <c r="AD119" s="49">
        <f t="shared" si="4"/>
        <v>0.38516716551923014</v>
      </c>
      <c r="AE119" s="49">
        <f t="shared" si="4"/>
        <v>0.39573567210516081</v>
      </c>
      <c r="AF119" s="49">
        <f t="shared" si="4"/>
        <v>0.41676577419563454</v>
      </c>
    </row>
    <row r="120" spans="1:32" x14ac:dyDescent="0.3">
      <c r="A120" t="s">
        <v>1334</v>
      </c>
      <c r="B120" s="1" t="s">
        <v>11</v>
      </c>
      <c r="C120" s="49">
        <f>IF($A120="AEO",'Growth Rates'!B113,'Growth Rates'!B113*'Rescale to Fit GDP Proj'!$D$52)</f>
        <v>0</v>
      </c>
      <c r="D120" s="49">
        <f t="shared" si="2"/>
        <v>1.320816146959519E-2</v>
      </c>
      <c r="E120" s="49">
        <f t="shared" si="3"/>
        <v>-6.4061838600809606E-3</v>
      </c>
      <c r="F120" s="49">
        <f t="shared" si="4"/>
        <v>-1.3729066921847943E-2</v>
      </c>
      <c r="G120" s="49">
        <f t="shared" si="4"/>
        <v>4.4124835445222832E-3</v>
      </c>
      <c r="H120" s="49">
        <f t="shared" si="4"/>
        <v>3.7543183172548344E-2</v>
      </c>
      <c r="I120" s="49">
        <f t="shared" si="4"/>
        <v>6.5515283198281482E-2</v>
      </c>
      <c r="J120" s="49">
        <f t="shared" si="4"/>
        <v>8.1884662465520508E-2</v>
      </c>
      <c r="K120" s="49">
        <f t="shared" si="4"/>
        <v>9.4414871545788204E-2</v>
      </c>
      <c r="L120" s="49">
        <f t="shared" si="4"/>
        <v>0.10218158730000493</v>
      </c>
      <c r="M120" s="49">
        <f t="shared" si="4"/>
        <v>0.11374816941672905</v>
      </c>
      <c r="N120" s="49">
        <f t="shared" si="4"/>
        <v>0.13747391589918201</v>
      </c>
      <c r="O120" s="49">
        <f t="shared" si="4"/>
        <v>0.15775833713962006</v>
      </c>
      <c r="P120" s="49">
        <f t="shared" si="4"/>
        <v>0.17459210314472906</v>
      </c>
      <c r="Q120" s="49">
        <f t="shared" si="4"/>
        <v>0.19716728607580336</v>
      </c>
      <c r="R120" s="49">
        <f t="shared" si="4"/>
        <v>0.22185562971501915</v>
      </c>
      <c r="S120" s="49">
        <f t="shared" si="4"/>
        <v>0.24887069690782115</v>
      </c>
      <c r="T120" s="49">
        <f t="shared" si="4"/>
        <v>0.27647671605605972</v>
      </c>
      <c r="U120" s="49">
        <f t="shared" si="4"/>
        <v>0.29681114886667137</v>
      </c>
      <c r="V120" s="49">
        <f t="shared" si="4"/>
        <v>0.31619882446405545</v>
      </c>
      <c r="W120" s="49">
        <f t="shared" si="4"/>
        <v>0.34153771977539371</v>
      </c>
      <c r="X120" s="49">
        <f t="shared" si="4"/>
        <v>0.36292115249588464</v>
      </c>
      <c r="Y120" s="49">
        <f t="shared" si="4"/>
        <v>0.38082858045936407</v>
      </c>
      <c r="Z120" s="49">
        <f t="shared" si="4"/>
        <v>0.39245664793352786</v>
      </c>
      <c r="AA120" s="49">
        <f t="shared" si="4"/>
        <v>0.39854590384630173</v>
      </c>
      <c r="AB120" s="49">
        <f t="shared" si="4"/>
        <v>0.405722096965075</v>
      </c>
      <c r="AC120" s="49">
        <f t="shared" si="4"/>
        <v>0.41767702567265985</v>
      </c>
      <c r="AD120" s="49">
        <f t="shared" si="4"/>
        <v>0.42339934767997889</v>
      </c>
      <c r="AE120" s="49">
        <f t="shared" si="4"/>
        <v>0.42457388580665723</v>
      </c>
      <c r="AF120" s="49">
        <f t="shared" si="4"/>
        <v>0.44486806916641441</v>
      </c>
    </row>
    <row r="121" spans="1:32" x14ac:dyDescent="0.3">
      <c r="A121" t="s">
        <v>1334</v>
      </c>
      <c r="B121" s="1" t="s">
        <v>12</v>
      </c>
      <c r="C121" s="49">
        <f>IF($A121="AEO",'Growth Rates'!B114,'Growth Rates'!B114*'Rescale to Fit GDP Proj'!$D$52)</f>
        <v>0</v>
      </c>
      <c r="D121" s="49">
        <f t="shared" si="2"/>
        <v>5.284200495128958E-2</v>
      </c>
      <c r="E121" s="49">
        <f t="shared" si="3"/>
        <v>7.3499770836989775E-2</v>
      </c>
      <c r="F121" s="49">
        <f t="shared" si="4"/>
        <v>0.10766355874686329</v>
      </c>
      <c r="G121" s="49">
        <f t="shared" si="4"/>
        <v>0.15112338038483553</v>
      </c>
      <c r="H121" s="49">
        <f t="shared" si="4"/>
        <v>0.1999406984702965</v>
      </c>
      <c r="I121" s="49">
        <f t="shared" si="4"/>
        <v>0.24173999953324898</v>
      </c>
      <c r="J121" s="49">
        <f t="shared" si="4"/>
        <v>0.27773089492479719</v>
      </c>
      <c r="K121" s="49">
        <f t="shared" si="4"/>
        <v>0.30484304078343705</v>
      </c>
      <c r="L121" s="49">
        <f t="shared" si="4"/>
        <v>0.32485685909874684</v>
      </c>
      <c r="M121" s="49">
        <f t="shared" si="4"/>
        <v>0.34852958815756763</v>
      </c>
      <c r="N121" s="49">
        <f t="shared" si="4"/>
        <v>0.37670493638807034</v>
      </c>
      <c r="O121" s="49">
        <f t="shared" si="4"/>
        <v>0.40496034361686251</v>
      </c>
      <c r="P121" s="49">
        <f t="shared" si="4"/>
        <v>0.43523519823107049</v>
      </c>
      <c r="Q121" s="49">
        <f t="shared" si="4"/>
        <v>0.46502222177664132</v>
      </c>
      <c r="R121" s="49">
        <f t="shared" si="4"/>
        <v>0.49669446490224534</v>
      </c>
      <c r="S121" s="49">
        <f t="shared" si="4"/>
        <v>0.53158802984814102</v>
      </c>
      <c r="T121" s="49">
        <f t="shared" si="4"/>
        <v>0.56914518099011557</v>
      </c>
      <c r="U121" s="49">
        <f t="shared" si="4"/>
        <v>0.60786271782139667</v>
      </c>
      <c r="V121" s="49">
        <f t="shared" si="4"/>
        <v>0.65239893741001276</v>
      </c>
      <c r="W121" s="49">
        <f t="shared" si="4"/>
        <v>0.69640114556165789</v>
      </c>
      <c r="X121" s="49">
        <f t="shared" si="4"/>
        <v>0.73579606167308342</v>
      </c>
      <c r="Y121" s="49">
        <f t="shared" si="4"/>
        <v>0.77770358394310124</v>
      </c>
      <c r="Z121" s="49">
        <f t="shared" si="4"/>
        <v>0.81804091964362047</v>
      </c>
      <c r="AA121" s="49">
        <f t="shared" si="4"/>
        <v>0.85634180420408867</v>
      </c>
      <c r="AB121" s="49">
        <f t="shared" si="4"/>
        <v>0.89562151883851415</v>
      </c>
      <c r="AC121" s="49">
        <f t="shared" si="4"/>
        <v>0.93602470147492189</v>
      </c>
      <c r="AD121" s="49">
        <f t="shared" si="4"/>
        <v>0.97508670153166621</v>
      </c>
      <c r="AE121" s="49">
        <f t="shared" si="4"/>
        <v>1.0180122581314373</v>
      </c>
      <c r="AF121" s="49">
        <f t="shared" si="4"/>
        <v>1.066469508200965</v>
      </c>
    </row>
    <row r="122" spans="1:32" x14ac:dyDescent="0.3">
      <c r="A122" t="s">
        <v>1334</v>
      </c>
      <c r="B122" s="1" t="s">
        <v>13</v>
      </c>
      <c r="C122" s="49">
        <f>IF($A122="AEO",'Growth Rates'!B115,'Growth Rates'!B115*'Rescale to Fit GDP Proj'!$D$52)</f>
        <v>0</v>
      </c>
      <c r="D122" s="49">
        <f t="shared" si="2"/>
        <v>2.7897917209054473E-2</v>
      </c>
      <c r="E122" s="49">
        <f t="shared" si="3"/>
        <v>2.7462092135381422E-2</v>
      </c>
      <c r="F122" s="49">
        <f t="shared" si="4"/>
        <v>3.8898771206061111E-2</v>
      </c>
      <c r="G122" s="49">
        <f t="shared" si="4"/>
        <v>6.3866251985264189E-2</v>
      </c>
      <c r="H122" s="49">
        <f t="shared" si="4"/>
        <v>8.9202907457273328E-2</v>
      </c>
      <c r="I122" s="49">
        <f t="shared" si="4"/>
        <v>0.11252356371023087</v>
      </c>
      <c r="J122" s="49">
        <f t="shared" si="4"/>
        <v>0.1332302920199413</v>
      </c>
      <c r="K122" s="49">
        <f t="shared" si="4"/>
        <v>0.15064910779612339</v>
      </c>
      <c r="L122" s="49">
        <f t="shared" si="4"/>
        <v>0.16519037889985944</v>
      </c>
      <c r="M122" s="49">
        <f t="shared" si="4"/>
        <v>0.17358751490479962</v>
      </c>
      <c r="N122" s="49">
        <f t="shared" si="4"/>
        <v>0.19791335513641584</v>
      </c>
      <c r="O122" s="49">
        <f t="shared" si="4"/>
        <v>0.23161123886164248</v>
      </c>
      <c r="P122" s="49">
        <f t="shared" si="4"/>
        <v>0.26417429929435854</v>
      </c>
      <c r="Q122" s="49">
        <f t="shared" si="4"/>
        <v>0.29861684032054381</v>
      </c>
      <c r="R122" s="49">
        <f t="shared" ref="F122:AF131" si="5">(1+Q122)*(1+R77)-1</f>
        <v>0.33365397943147435</v>
      </c>
      <c r="S122" s="49">
        <f t="shared" si="5"/>
        <v>0.3707499048249101</v>
      </c>
      <c r="T122" s="49">
        <f t="shared" si="5"/>
        <v>0.4110447252099152</v>
      </c>
      <c r="U122" s="49">
        <f t="shared" si="5"/>
        <v>0.4507682243944573</v>
      </c>
      <c r="V122" s="49">
        <f t="shared" si="5"/>
        <v>0.49303636219228908</v>
      </c>
      <c r="W122" s="49">
        <f t="shared" si="5"/>
        <v>0.53665201054990197</v>
      </c>
      <c r="X122" s="49">
        <f t="shared" si="5"/>
        <v>0.57713038450495691</v>
      </c>
      <c r="Y122" s="49">
        <f t="shared" si="5"/>
        <v>0.6201773656479439</v>
      </c>
      <c r="Z122" s="49">
        <f t="shared" si="5"/>
        <v>0.66256182772020056</v>
      </c>
      <c r="AA122" s="49">
        <f t="shared" si="5"/>
        <v>0.70367288032165831</v>
      </c>
      <c r="AB122" s="49">
        <f t="shared" si="5"/>
        <v>0.74609463352635763</v>
      </c>
      <c r="AC122" s="49">
        <f t="shared" si="5"/>
        <v>0.79074277259509529</v>
      </c>
      <c r="AD122" s="49">
        <f t="shared" si="5"/>
        <v>0.83569378182095133</v>
      </c>
      <c r="AE122" s="49">
        <f t="shared" si="5"/>
        <v>0.87969088237525694</v>
      </c>
      <c r="AF122" s="49">
        <f t="shared" si="5"/>
        <v>0.93256132519211743</v>
      </c>
    </row>
    <row r="123" spans="1:32" x14ac:dyDescent="0.3">
      <c r="A123" t="s">
        <v>1334</v>
      </c>
      <c r="B123" s="1" t="s">
        <v>14</v>
      </c>
      <c r="C123" s="49">
        <f>IF($A123="AEO",'Growth Rates'!B116,'Growth Rates'!B116*'Rescale to Fit GDP Proj'!$D$52)</f>
        <v>0</v>
      </c>
      <c r="D123" s="49">
        <f t="shared" si="2"/>
        <v>2.7819565201757851E-2</v>
      </c>
      <c r="E123" s="49">
        <f t="shared" si="3"/>
        <v>1.2260613839651269E-2</v>
      </c>
      <c r="F123" s="49">
        <f t="shared" si="5"/>
        <v>1.2883845771735292E-2</v>
      </c>
      <c r="G123" s="49">
        <f t="shared" si="5"/>
        <v>2.5194066620070066E-2</v>
      </c>
      <c r="H123" s="49">
        <f t="shared" si="5"/>
        <v>6.2775121879638851E-2</v>
      </c>
      <c r="I123" s="49">
        <f t="shared" si="5"/>
        <v>9.5850702302216595E-2</v>
      </c>
      <c r="J123" s="49">
        <f t="shared" si="5"/>
        <v>0.11015047618767371</v>
      </c>
      <c r="K123" s="49">
        <f t="shared" si="5"/>
        <v>0.1226429572034442</v>
      </c>
      <c r="L123" s="49">
        <f t="shared" si="5"/>
        <v>0.13525882944825929</v>
      </c>
      <c r="M123" s="49">
        <f t="shared" si="5"/>
        <v>0.15433942574718906</v>
      </c>
      <c r="N123" s="49">
        <f t="shared" si="5"/>
        <v>0.1853413910252768</v>
      </c>
      <c r="O123" s="49">
        <f t="shared" si="5"/>
        <v>0.20908020555403617</v>
      </c>
      <c r="P123" s="49">
        <f t="shared" si="5"/>
        <v>0.22920914889969923</v>
      </c>
      <c r="Q123" s="49">
        <f t="shared" si="5"/>
        <v>0.25270958126540566</v>
      </c>
      <c r="R123" s="49">
        <f t="shared" si="5"/>
        <v>0.27461002234725362</v>
      </c>
      <c r="S123" s="49">
        <f t="shared" si="5"/>
        <v>0.29589492705205345</v>
      </c>
      <c r="T123" s="49">
        <f t="shared" si="5"/>
        <v>0.3171350884829871</v>
      </c>
      <c r="U123" s="49">
        <f t="shared" si="5"/>
        <v>0.334670951286961</v>
      </c>
      <c r="V123" s="49">
        <f t="shared" si="5"/>
        <v>0.35235437995961361</v>
      </c>
      <c r="W123" s="49">
        <f t="shared" si="5"/>
        <v>0.37314265901611843</v>
      </c>
      <c r="X123" s="49">
        <f t="shared" si="5"/>
        <v>0.39156234808544754</v>
      </c>
      <c r="Y123" s="49">
        <f t="shared" si="5"/>
        <v>0.40610167955797238</v>
      </c>
      <c r="Z123" s="49">
        <f t="shared" si="5"/>
        <v>0.41727211205855652</v>
      </c>
      <c r="AA123" s="49">
        <f t="shared" si="5"/>
        <v>0.42654946116865577</v>
      </c>
      <c r="AB123" s="49">
        <f t="shared" si="5"/>
        <v>0.44202426554594942</v>
      </c>
      <c r="AC123" s="49">
        <f t="shared" si="5"/>
        <v>0.45930455721818464</v>
      </c>
      <c r="AD123" s="49">
        <f t="shared" si="5"/>
        <v>0.47510950142093522</v>
      </c>
      <c r="AE123" s="49">
        <f t="shared" si="5"/>
        <v>0.48585748601628564</v>
      </c>
      <c r="AF123" s="49">
        <f t="shared" si="5"/>
        <v>0.50643054159207179</v>
      </c>
    </row>
    <row r="124" spans="1:32" x14ac:dyDescent="0.3">
      <c r="A124" t="s">
        <v>1334</v>
      </c>
      <c r="B124" s="1" t="s">
        <v>15</v>
      </c>
      <c r="C124" s="49">
        <f>IF($A124="AEO",'Growth Rates'!B117,'Growth Rates'!B117*'Rescale to Fit GDP Proj'!$D$52)</f>
        <v>0</v>
      </c>
      <c r="D124" s="49">
        <f t="shared" si="2"/>
        <v>2.8290025712801276E-2</v>
      </c>
      <c r="E124" s="49">
        <f t="shared" si="3"/>
        <v>6.0277296748752374E-2</v>
      </c>
      <c r="F124" s="49">
        <f t="shared" si="5"/>
        <v>7.357807746221745E-2</v>
      </c>
      <c r="G124" s="49">
        <f t="shared" si="5"/>
        <v>7.0438462349075914E-2</v>
      </c>
      <c r="H124" s="49">
        <f t="shared" si="5"/>
        <v>7.6010976533571029E-2</v>
      </c>
      <c r="I124" s="49">
        <f t="shared" si="5"/>
        <v>9.5997527610359068E-2</v>
      </c>
      <c r="J124" s="49">
        <f t="shared" si="5"/>
        <v>0.11097141952063816</v>
      </c>
      <c r="K124" s="49">
        <f t="shared" si="5"/>
        <v>0.11819801964929266</v>
      </c>
      <c r="L124" s="49">
        <f t="shared" si="5"/>
        <v>0.12794730411513666</v>
      </c>
      <c r="M124" s="49">
        <f t="shared" si="5"/>
        <v>0.14523170969502441</v>
      </c>
      <c r="N124" s="49">
        <f t="shared" si="5"/>
        <v>0.17429398439448063</v>
      </c>
      <c r="O124" s="49">
        <f t="shared" si="5"/>
        <v>0.19962608096182888</v>
      </c>
      <c r="P124" s="49">
        <f t="shared" si="5"/>
        <v>0.21896032125607467</v>
      </c>
      <c r="Q124" s="49">
        <f t="shared" si="5"/>
        <v>0.24010396479374929</v>
      </c>
      <c r="R124" s="49">
        <f t="shared" si="5"/>
        <v>0.26038401643991849</v>
      </c>
      <c r="S124" s="49">
        <f t="shared" si="5"/>
        <v>0.27422028592127523</v>
      </c>
      <c r="T124" s="49">
        <f t="shared" si="5"/>
        <v>0.29029363856033941</v>
      </c>
      <c r="U124" s="49">
        <f t="shared" si="5"/>
        <v>0.30324373084019762</v>
      </c>
      <c r="V124" s="49">
        <f t="shared" si="5"/>
        <v>0.32170547909959279</v>
      </c>
      <c r="W124" s="49">
        <f t="shared" si="5"/>
        <v>0.34489394993866762</v>
      </c>
      <c r="X124" s="49">
        <f t="shared" si="5"/>
        <v>0.36789762044345786</v>
      </c>
      <c r="Y124" s="49">
        <f t="shared" si="5"/>
        <v>0.38778047778667402</v>
      </c>
      <c r="Z124" s="49">
        <f t="shared" si="5"/>
        <v>0.40419606258387697</v>
      </c>
      <c r="AA124" s="49">
        <f t="shared" si="5"/>
        <v>0.42077052564912076</v>
      </c>
      <c r="AB124" s="49">
        <f t="shared" si="5"/>
        <v>0.44231770524063352</v>
      </c>
      <c r="AC124" s="49">
        <f t="shared" si="5"/>
        <v>0.46563557040130177</v>
      </c>
      <c r="AD124" s="49">
        <f t="shared" si="5"/>
        <v>0.48666728814245652</v>
      </c>
      <c r="AE124" s="49">
        <f t="shared" si="5"/>
        <v>0.5067867935981758</v>
      </c>
      <c r="AF124" s="49">
        <f t="shared" si="5"/>
        <v>0.53216884580881407</v>
      </c>
    </row>
    <row r="125" spans="1:32" x14ac:dyDescent="0.3">
      <c r="A125" t="s">
        <v>1334</v>
      </c>
      <c r="B125" s="1" t="s">
        <v>16</v>
      </c>
      <c r="C125" s="49">
        <f>IF($A125="AEO",'Growth Rates'!B118,'Growth Rates'!B118*'Rescale to Fit GDP Proj'!$D$52)</f>
        <v>0</v>
      </c>
      <c r="D125" s="49">
        <f t="shared" si="2"/>
        <v>2.8290025712801276E-2</v>
      </c>
      <c r="E125" s="49">
        <f t="shared" si="3"/>
        <v>6.0277296748752374E-2</v>
      </c>
      <c r="F125" s="49">
        <f t="shared" si="5"/>
        <v>7.357807746221745E-2</v>
      </c>
      <c r="G125" s="49">
        <f t="shared" si="5"/>
        <v>7.0438462349075914E-2</v>
      </c>
      <c r="H125" s="49">
        <f t="shared" si="5"/>
        <v>7.6010976533571029E-2</v>
      </c>
      <c r="I125" s="49">
        <f t="shared" si="5"/>
        <v>9.5997527610359068E-2</v>
      </c>
      <c r="J125" s="49">
        <f t="shared" si="5"/>
        <v>0.11097141952063816</v>
      </c>
      <c r="K125" s="49">
        <f t="shared" si="5"/>
        <v>0.11819801964929266</v>
      </c>
      <c r="L125" s="49">
        <f t="shared" si="5"/>
        <v>0.12794730411513666</v>
      </c>
      <c r="M125" s="49">
        <f t="shared" si="5"/>
        <v>0.14523170969502441</v>
      </c>
      <c r="N125" s="49">
        <f t="shared" si="5"/>
        <v>0.17429398439448063</v>
      </c>
      <c r="O125" s="49">
        <f t="shared" si="5"/>
        <v>0.19962608096182888</v>
      </c>
      <c r="P125" s="49">
        <f t="shared" si="5"/>
        <v>0.21896032125607467</v>
      </c>
      <c r="Q125" s="49">
        <f t="shared" si="5"/>
        <v>0.24010396479374929</v>
      </c>
      <c r="R125" s="49">
        <f t="shared" si="5"/>
        <v>0.26038401643991849</v>
      </c>
      <c r="S125" s="49">
        <f t="shared" si="5"/>
        <v>0.27422028592127523</v>
      </c>
      <c r="T125" s="49">
        <f t="shared" si="5"/>
        <v>0.29029363856033941</v>
      </c>
      <c r="U125" s="49">
        <f t="shared" si="5"/>
        <v>0.30324373084019762</v>
      </c>
      <c r="V125" s="49">
        <f t="shared" si="5"/>
        <v>0.32170547909959279</v>
      </c>
      <c r="W125" s="49">
        <f t="shared" si="5"/>
        <v>0.34489394993866762</v>
      </c>
      <c r="X125" s="49">
        <f t="shared" si="5"/>
        <v>0.36789762044345786</v>
      </c>
      <c r="Y125" s="49">
        <f t="shared" si="5"/>
        <v>0.38778047778667402</v>
      </c>
      <c r="Z125" s="49">
        <f t="shared" si="5"/>
        <v>0.40419606258387697</v>
      </c>
      <c r="AA125" s="49">
        <f t="shared" si="5"/>
        <v>0.42077052564912076</v>
      </c>
      <c r="AB125" s="49">
        <f t="shared" si="5"/>
        <v>0.44231770524063352</v>
      </c>
      <c r="AC125" s="49">
        <f t="shared" si="5"/>
        <v>0.46563557040130177</v>
      </c>
      <c r="AD125" s="49">
        <f t="shared" si="5"/>
        <v>0.48666728814245652</v>
      </c>
      <c r="AE125" s="49">
        <f t="shared" si="5"/>
        <v>0.5067867935981758</v>
      </c>
      <c r="AF125" s="49">
        <f t="shared" si="5"/>
        <v>0.53216884580881407</v>
      </c>
    </row>
    <row r="126" spans="1:32" x14ac:dyDescent="0.3">
      <c r="A126" t="s">
        <v>1334</v>
      </c>
      <c r="B126" s="1" t="s">
        <v>17</v>
      </c>
      <c r="C126" s="49">
        <f>IF($A126="AEO",'Growth Rates'!B119,'Growth Rates'!B119*'Rescale to Fit GDP Proj'!$D$52)</f>
        <v>0</v>
      </c>
      <c r="D126" s="49">
        <f t="shared" si="2"/>
        <v>-1.9964132926646411E-3</v>
      </c>
      <c r="E126" s="49">
        <f t="shared" si="3"/>
        <v>-1.6062447215782427E-2</v>
      </c>
      <c r="F126" s="49">
        <f t="shared" si="5"/>
        <v>-1.4014383323991408E-2</v>
      </c>
      <c r="G126" s="49">
        <f t="shared" si="5"/>
        <v>-8.5253718384902255E-3</v>
      </c>
      <c r="H126" s="49">
        <f t="shared" si="5"/>
        <v>1.6087383402807687E-2</v>
      </c>
      <c r="I126" s="49">
        <f t="shared" si="5"/>
        <v>4.3351595340098248E-2</v>
      </c>
      <c r="J126" s="49">
        <f t="shared" si="5"/>
        <v>5.5033644975940987E-2</v>
      </c>
      <c r="K126" s="49">
        <f t="shared" si="5"/>
        <v>6.7281936190554337E-2</v>
      </c>
      <c r="L126" s="49">
        <f t="shared" si="5"/>
        <v>7.78963805268158E-2</v>
      </c>
      <c r="M126" s="49">
        <f t="shared" si="5"/>
        <v>8.7752329796297879E-2</v>
      </c>
      <c r="N126" s="49">
        <f t="shared" si="5"/>
        <v>0.11315393303855492</v>
      </c>
      <c r="O126" s="49">
        <f t="shared" si="5"/>
        <v>0.12579525303089611</v>
      </c>
      <c r="P126" s="49">
        <f t="shared" si="5"/>
        <v>0.13685771433569238</v>
      </c>
      <c r="Q126" s="49">
        <f t="shared" si="5"/>
        <v>0.15649531042379428</v>
      </c>
      <c r="R126" s="49">
        <f t="shared" si="5"/>
        <v>0.17594872343000056</v>
      </c>
      <c r="S126" s="49">
        <f t="shared" si="5"/>
        <v>0.19528586787355451</v>
      </c>
      <c r="T126" s="49">
        <f t="shared" si="5"/>
        <v>0.21733480555779083</v>
      </c>
      <c r="U126" s="49">
        <f t="shared" si="5"/>
        <v>0.23604987215519269</v>
      </c>
      <c r="V126" s="49">
        <f t="shared" si="5"/>
        <v>0.25427193268964032</v>
      </c>
      <c r="W126" s="49">
        <f t="shared" si="5"/>
        <v>0.28029187950539036</v>
      </c>
      <c r="X126" s="49">
        <f t="shared" si="5"/>
        <v>0.30442581344837771</v>
      </c>
      <c r="Y126" s="49">
        <f t="shared" si="5"/>
        <v>0.32320600411951905</v>
      </c>
      <c r="Z126" s="49">
        <f t="shared" si="5"/>
        <v>0.3361919167742522</v>
      </c>
      <c r="AA126" s="49">
        <f t="shared" si="5"/>
        <v>0.34313915489388247</v>
      </c>
      <c r="AB126" s="49">
        <f t="shared" si="5"/>
        <v>0.35990122424777904</v>
      </c>
      <c r="AC126" s="49">
        <f t="shared" si="5"/>
        <v>0.38016018689200304</v>
      </c>
      <c r="AD126" s="49">
        <f t="shared" si="5"/>
        <v>0.39494682600913</v>
      </c>
      <c r="AE126" s="49">
        <f t="shared" si="5"/>
        <v>0.40171946978362016</v>
      </c>
      <c r="AF126" s="49">
        <f t="shared" si="5"/>
        <v>0.44283474191101169</v>
      </c>
    </row>
    <row r="127" spans="1:32" x14ac:dyDescent="0.3">
      <c r="B127" s="1" t="s">
        <v>45</v>
      </c>
      <c r="C127" s="49">
        <f>IF($A127="AEO",'Growth Rates'!B120,'Growth Rates'!B120*'Rescale to Fit GDP Proj'!$D$52)</f>
        <v>0</v>
      </c>
      <c r="D127" s="49">
        <f t="shared" si="2"/>
        <v>1.6218E-2</v>
      </c>
      <c r="E127" s="49">
        <f t="shared" si="3"/>
        <v>3.2699023524000115E-2</v>
      </c>
      <c r="F127" s="49">
        <f t="shared" si="5"/>
        <v>4.9447336287512522E-2</v>
      </c>
      <c r="G127" s="49">
        <f t="shared" si="5"/>
        <v>6.6467273187423404E-2</v>
      </c>
      <c r="H127" s="49">
        <f t="shared" si="5"/>
        <v>8.3763239423977121E-2</v>
      </c>
      <c r="I127" s="49">
        <f t="shared" si="5"/>
        <v>0.10133971164095534</v>
      </c>
      <c r="J127" s="49">
        <f t="shared" si="5"/>
        <v>0.11920123908434843</v>
      </c>
      <c r="K127" s="49">
        <f t="shared" si="5"/>
        <v>0.13735244477981845</v>
      </c>
      <c r="L127" s="49">
        <f t="shared" si="5"/>
        <v>0.15579802672925758</v>
      </c>
      <c r="M127" s="49">
        <f t="shared" si="5"/>
        <v>0.17454275912675277</v>
      </c>
      <c r="N127" s="49">
        <f t="shared" si="5"/>
        <v>0.19359149359427041</v>
      </c>
      <c r="O127" s="49">
        <f t="shared" si="5"/>
        <v>0.21294916043738232</v>
      </c>
      <c r="P127" s="49">
        <f t="shared" si="5"/>
        <v>0.23262076992135583</v>
      </c>
      <c r="Q127" s="49">
        <f t="shared" si="5"/>
        <v>0.25261141356794048</v>
      </c>
      <c r="R127" s="49">
        <f t="shared" si="5"/>
        <v>0.27292626547318544</v>
      </c>
      <c r="S127" s="49">
        <f t="shared" si="5"/>
        <v>0.29357058364662958</v>
      </c>
      <c r="T127" s="49">
        <f t="shared" si="5"/>
        <v>0.31454971137221066</v>
      </c>
      <c r="U127" s="49">
        <f t="shared" si="5"/>
        <v>0.33586907859124526</v>
      </c>
      <c r="V127" s="49">
        <f t="shared" si="5"/>
        <v>0.35753420330783814</v>
      </c>
      <c r="W127" s="49">
        <f t="shared" si="5"/>
        <v>0.37955069301708466</v>
      </c>
      <c r="X127" s="49">
        <f t="shared" si="5"/>
        <v>0.40192424615643585</v>
      </c>
      <c r="Y127" s="49">
        <f t="shared" si="5"/>
        <v>0.42466065358060101</v>
      </c>
      <c r="Z127" s="49">
        <f t="shared" si="5"/>
        <v>0.44776580006037126</v>
      </c>
      <c r="AA127" s="49">
        <f t="shared" si="5"/>
        <v>0.47124566580575045</v>
      </c>
      <c r="AB127" s="49">
        <f t="shared" si="5"/>
        <v>0.49510632801378818</v>
      </c>
      <c r="AC127" s="49">
        <f t="shared" si="5"/>
        <v>0.51935396244151599</v>
      </c>
      <c r="AD127" s="49">
        <f t="shared" si="5"/>
        <v>0.54399484500439255</v>
      </c>
      <c r="AE127" s="49">
        <f t="shared" si="5"/>
        <v>0.56903535340067379</v>
      </c>
      <c r="AF127" s="49">
        <f t="shared" si="5"/>
        <v>0.59448196876212611</v>
      </c>
    </row>
    <row r="128" spans="1:32" x14ac:dyDescent="0.3">
      <c r="B128" s="1" t="s">
        <v>46</v>
      </c>
      <c r="C128" s="49">
        <f>IF($A128="AEO",'Growth Rates'!B121,'Growth Rates'!B121*'Rescale to Fit GDP Proj'!$D$52)</f>
        <v>0</v>
      </c>
      <c r="D128" s="49">
        <f t="shared" si="2"/>
        <v>7.6319999999999999E-3</v>
      </c>
      <c r="E128" s="49">
        <f t="shared" si="3"/>
        <v>1.5322247424000235E-2</v>
      </c>
      <c r="F128" s="49">
        <f t="shared" si="5"/>
        <v>2.3071186816340239E-2</v>
      </c>
      <c r="G128" s="49">
        <f t="shared" si="5"/>
        <v>3.0879266114122617E-2</v>
      </c>
      <c r="H128" s="49">
        <f t="shared" si="5"/>
        <v>3.8746936673105692E-2</v>
      </c>
      <c r="I128" s="49">
        <f t="shared" si="5"/>
        <v>4.6674653293794943E-2</v>
      </c>
      <c r="J128" s="49">
        <f t="shared" si="5"/>
        <v>5.4662874247733306E-2</v>
      </c>
      <c r="K128" s="49">
        <f t="shared" si="5"/>
        <v>6.2712061303991984E-2</v>
      </c>
      <c r="L128" s="49">
        <f t="shared" si="5"/>
        <v>7.0822679755864204E-2</v>
      </c>
      <c r="M128" s="49">
        <f t="shared" si="5"/>
        <v>7.8995198447761039E-2</v>
      </c>
      <c r="N128" s="49">
        <f t="shared" si="5"/>
        <v>8.7230089802314392E-2</v>
      </c>
      <c r="O128" s="49">
        <f t="shared" si="5"/>
        <v>9.5527829847685819E-2</v>
      </c>
      <c r="P128" s="49">
        <f t="shared" si="5"/>
        <v>0.10388889824508341</v>
      </c>
      <c r="Q128" s="49">
        <f t="shared" si="5"/>
        <v>0.11231377831649003</v>
      </c>
      <c r="R128" s="49">
        <f t="shared" si="5"/>
        <v>0.12080295707260147</v>
      </c>
      <c r="S128" s="49">
        <f t="shared" si="5"/>
        <v>0.12935692524097964</v>
      </c>
      <c r="T128" s="49">
        <f t="shared" si="5"/>
        <v>0.1379761772944188</v>
      </c>
      <c r="U128" s="49">
        <f t="shared" si="5"/>
        <v>0.14666121147952982</v>
      </c>
      <c r="V128" s="49">
        <f t="shared" si="5"/>
        <v>0.15541252984554177</v>
      </c>
      <c r="W128" s="49">
        <f t="shared" si="5"/>
        <v>0.16423063827332296</v>
      </c>
      <c r="X128" s="49">
        <f t="shared" si="5"/>
        <v>0.17311604650462509</v>
      </c>
      <c r="Y128" s="49">
        <f t="shared" si="5"/>
        <v>0.18206926817154856</v>
      </c>
      <c r="Z128" s="49">
        <f t="shared" si="5"/>
        <v>0.19109082082623385</v>
      </c>
      <c r="AA128" s="49">
        <f t="shared" si="5"/>
        <v>0.20018122597077981</v>
      </c>
      <c r="AB128" s="49">
        <f t="shared" si="5"/>
        <v>0.20934100908738884</v>
      </c>
      <c r="AC128" s="49">
        <f t="shared" si="5"/>
        <v>0.21857069966874398</v>
      </c>
      <c r="AD128" s="49">
        <f t="shared" si="5"/>
        <v>0.22787083124861596</v>
      </c>
      <c r="AE128" s="49">
        <f t="shared" si="5"/>
        <v>0.23724194143270561</v>
      </c>
      <c r="AF128" s="49">
        <f t="shared" si="5"/>
        <v>0.24668457192972015</v>
      </c>
    </row>
    <row r="129" spans="1:32" x14ac:dyDescent="0.3">
      <c r="B129" s="1" t="s">
        <v>47</v>
      </c>
      <c r="C129" s="49">
        <f>IF($A129="AEO",'Growth Rates'!B122,'Growth Rates'!B122*'Rescale to Fit GDP Proj'!$D$52)</f>
        <v>0</v>
      </c>
      <c r="D129" s="49">
        <f t="shared" si="2"/>
        <v>1.5627135483870968E-2</v>
      </c>
      <c r="E129" s="49">
        <f t="shared" si="3"/>
        <v>3.1498478331173363E-2</v>
      </c>
      <c r="F129" s="49">
        <f t="shared" si="5"/>
        <v>4.7617844803461429E-2</v>
      </c>
      <c r="G129" s="49">
        <f t="shared" si="5"/>
        <v>6.3989110799526072E-2</v>
      </c>
      <c r="H129" s="49">
        <f t="shared" si="5"/>
        <v>8.0616212787353758E-2</v>
      </c>
      <c r="I129" s="49">
        <f t="shared" si="5"/>
        <v>9.7503148750649471E-2</v>
      </c>
      <c r="J129" s="49">
        <f t="shared" si="5"/>
        <v>0.11465397915015108</v>
      </c>
      <c r="K129" s="49">
        <f t="shared" si="5"/>
        <v>0.13207282789996655</v>
      </c>
      <c r="L129" s="49">
        <f t="shared" si="5"/>
        <v>0.14976388335916835</v>
      </c>
      <c r="M129" s="49">
        <f t="shared" si="5"/>
        <v>0.16773139933888381</v>
      </c>
      <c r="N129" s="49">
        <f t="shared" si="5"/>
        <v>0.185979696125123</v>
      </c>
      <c r="O129" s="49">
        <f t="shared" si="5"/>
        <v>0.20451316151759058</v>
      </c>
      <c r="P129" s="49">
        <f t="shared" si="5"/>
        <v>0.22333625188473194</v>
      </c>
      <c r="Q129" s="49">
        <f t="shared" si="5"/>
        <v>0.24245349323526577</v>
      </c>
      <c r="R129" s="49">
        <f t="shared" si="5"/>
        <v>0.26186948230646223</v>
      </c>
      <c r="S129" s="49">
        <f t="shared" si="5"/>
        <v>0.28158888766942747</v>
      </c>
      <c r="T129" s="49">
        <f t="shared" si="5"/>
        <v>0.30161645085166122</v>
      </c>
      <c r="U129" s="49">
        <f t="shared" si="5"/>
        <v>0.32195698747715551</v>
      </c>
      <c r="V129" s="49">
        <f t="shared" si="5"/>
        <v>0.34261538842431105</v>
      </c>
      <c r="W129" s="49">
        <f t="shared" si="5"/>
        <v>0.3635966210019479</v>
      </c>
      <c r="X129" s="49">
        <f t="shared" si="5"/>
        <v>0.38490573014369422</v>
      </c>
      <c r="Y129" s="49">
        <f t="shared" si="5"/>
        <v>0.40654783962103913</v>
      </c>
      <c r="Z129" s="49">
        <f t="shared" si="5"/>
        <v>0.42852815327534333</v>
      </c>
      <c r="AA129" s="49">
        <f t="shared" si="5"/>
        <v>0.45085195626910135</v>
      </c>
      <c r="AB129" s="49">
        <f t="shared" si="5"/>
        <v>0.47352461635675791</v>
      </c>
      <c r="AC129" s="49">
        <f t="shared" si="5"/>
        <v>0.49655158517538411</v>
      </c>
      <c r="AD129" s="49">
        <f t="shared" si="5"/>
        <v>0.51993839955552179</v>
      </c>
      <c r="AE129" s="49">
        <f t="shared" si="5"/>
        <v>0.5436906828525141</v>
      </c>
      <c r="AF129" s="49">
        <f t="shared" si="5"/>
        <v>0.56781414629863969</v>
      </c>
    </row>
    <row r="130" spans="1:32" x14ac:dyDescent="0.3">
      <c r="A130" t="s">
        <v>1334</v>
      </c>
      <c r="B130" s="1" t="s">
        <v>18</v>
      </c>
      <c r="C130" s="49">
        <f>IF($A130="AEO",'Growth Rates'!B123,'Growth Rates'!B123*'Rescale to Fit GDP Proj'!$D$52)</f>
        <v>0</v>
      </c>
      <c r="D130" s="49">
        <f t="shared" si="2"/>
        <v>-2.462547269728288E-2</v>
      </c>
      <c r="E130" s="49">
        <f t="shared" si="3"/>
        <v>-4.5916506354838793E-2</v>
      </c>
      <c r="F130" s="49">
        <f t="shared" si="5"/>
        <v>-5.297565863842546E-2</v>
      </c>
      <c r="G130" s="49">
        <f t="shared" si="5"/>
        <v>-3.7905933136152981E-2</v>
      </c>
      <c r="H130" s="49">
        <f t="shared" si="5"/>
        <v>-2.840495267047749E-2</v>
      </c>
      <c r="I130" s="49">
        <f t="shared" si="5"/>
        <v>-2.7524727931332094E-2</v>
      </c>
      <c r="J130" s="49">
        <f t="shared" si="5"/>
        <v>-2.0100156507804501E-2</v>
      </c>
      <c r="K130" s="49">
        <f t="shared" si="5"/>
        <v>3.0317904981671528E-3</v>
      </c>
      <c r="L130" s="49">
        <f t="shared" si="5"/>
        <v>1.8302046188983567E-2</v>
      </c>
      <c r="M130" s="49">
        <f t="shared" si="5"/>
        <v>1.9828599919079259E-2</v>
      </c>
      <c r="N130" s="49">
        <f t="shared" si="5"/>
        <v>1.8630729392199452E-2</v>
      </c>
      <c r="O130" s="49">
        <f t="shared" si="5"/>
        <v>2.0157198914635188E-2</v>
      </c>
      <c r="P130" s="49">
        <f t="shared" si="5"/>
        <v>2.1329876166230388E-2</v>
      </c>
      <c r="Q130" s="49">
        <f t="shared" si="5"/>
        <v>2.6298632653412701E-2</v>
      </c>
      <c r="R130" s="49">
        <f t="shared" si="5"/>
        <v>3.514300527182157E-2</v>
      </c>
      <c r="S130" s="49">
        <f t="shared" si="5"/>
        <v>4.8444024113550421E-2</v>
      </c>
      <c r="T130" s="49">
        <f t="shared" si="5"/>
        <v>6.3682851711119426E-2</v>
      </c>
      <c r="U130" s="49">
        <f t="shared" si="5"/>
        <v>7.6521725801256046E-2</v>
      </c>
      <c r="V130" s="49">
        <f t="shared" si="5"/>
        <v>9.1537443133358876E-2</v>
      </c>
      <c r="W130" s="49">
        <f t="shared" si="5"/>
        <v>0.10914985205583805</v>
      </c>
      <c r="X130" s="49">
        <f t="shared" si="5"/>
        <v>0.12298488688684572</v>
      </c>
      <c r="Y130" s="49">
        <f t="shared" si="5"/>
        <v>0.13498793990319591</v>
      </c>
      <c r="Z130" s="49">
        <f t="shared" si="5"/>
        <v>0.14695594182624494</v>
      </c>
      <c r="AA130" s="49">
        <f t="shared" si="5"/>
        <v>0.1607104285794676</v>
      </c>
      <c r="AB130" s="49">
        <f t="shared" si="5"/>
        <v>0.17499143131842798</v>
      </c>
      <c r="AC130" s="49">
        <f t="shared" si="5"/>
        <v>0.18890499324338395</v>
      </c>
      <c r="AD130" s="49">
        <f t="shared" si="5"/>
        <v>0.20066901108338131</v>
      </c>
      <c r="AE130" s="49">
        <f t="shared" si="5"/>
        <v>0.21111543097939944</v>
      </c>
      <c r="AF130" s="49">
        <f t="shared" si="5"/>
        <v>0.22714163263726928</v>
      </c>
    </row>
    <row r="131" spans="1:32" x14ac:dyDescent="0.3">
      <c r="B131" s="1" t="s">
        <v>19</v>
      </c>
      <c r="C131" s="49">
        <f>IF($A131="AEO",'Growth Rates'!B124,'Growth Rates'!B124*'Rescale to Fit GDP Proj'!$D$52)</f>
        <v>0</v>
      </c>
      <c r="D131" s="49">
        <f t="shared" si="2"/>
        <v>2.3870237573221754E-2</v>
      </c>
      <c r="E131" s="49">
        <f t="shared" si="3"/>
        <v>4.8310263388245733E-2</v>
      </c>
      <c r="F131" s="49">
        <f t="shared" si="5"/>
        <v>7.3333678425769877E-2</v>
      </c>
      <c r="G131" s="49">
        <f t="shared" si="5"/>
        <v>9.8954408325133025E-2</v>
      </c>
      <c r="H131" s="49">
        <f t="shared" si="5"/>
        <v>0.12518671113399327</v>
      </c>
      <c r="I131" s="49">
        <f t="shared" si="5"/>
        <v>0.15204518524299382</v>
      </c>
      <c r="J131" s="49">
        <f t="shared" si="5"/>
        <v>0.17954477750983044</v>
      </c>
      <c r="K131" s="49">
        <f t="shared" si="5"/>
        <v>0.20770079157724308</v>
      </c>
      <c r="L131" s="49">
        <f t="shared" si="5"/>
        <v>0.23652889638955998</v>
      </c>
      <c r="M131" s="49">
        <f t="shared" si="5"/>
        <v>0.26604513491253257</v>
      </c>
      <c r="N131" s="49">
        <f t="shared" si="5"/>
        <v>0.29626593306131643</v>
      </c>
      <c r="O131" s="49">
        <f t="shared" si="5"/>
        <v>0.32720810884156415</v>
      </c>
      <c r="P131" s="49">
        <f t="shared" si="5"/>
        <v>0.3588888817087188</v>
      </c>
      <c r="Q131" s="49">
        <f t="shared" si="5"/>
        <v>0.39132588215071573</v>
      </c>
      <c r="R131" s="49">
        <f t="shared" si="5"/>
        <v>0.42453716149942577</v>
      </c>
      <c r="S131" s="49">
        <f t="shared" si="5"/>
        <v>0.45854120197630022</v>
      </c>
      <c r="T131" s="49">
        <f t="shared" si="5"/>
        <v>0.49335692697780709</v>
      </c>
      <c r="U131" s="49">
        <f t="shared" si="5"/>
        <v>0.52900371160638371</v>
      </c>
      <c r="V131" s="49">
        <f t="shared" si="5"/>
        <v>0.56550139345276595</v>
      </c>
      <c r="W131" s="49">
        <f t="shared" si="5"/>
        <v>0.60287028363569339</v>
      </c>
      <c r="X131" s="49">
        <f t="shared" si="5"/>
        <v>0.64113117810513476</v>
      </c>
      <c r="Y131" s="49">
        <f t="shared" si="5"/>
        <v>0.68030536921532581</v>
      </c>
      <c r="Z131" s="49">
        <f t="shared" si="5"/>
        <v>0.72041465757405576</v>
      </c>
      <c r="AA131" s="49">
        <f t="shared" si="5"/>
        <v>0.7614813641748015</v>
      </c>
      <c r="AB131" s="49">
        <f t="shared" si="5"/>
        <v>0.80352834281845698</v>
      </c>
      <c r="AC131" s="49">
        <f t="shared" si="5"/>
        <v>0.84657899283157256</v>
      </c>
      <c r="AD131" s="49">
        <f t="shared" ref="F131:AF141" si="6">(1+AC131)*(1+AD86)-1</f>
        <v>0.89065727208818291</v>
      </c>
      <c r="AE131" s="49">
        <f t="shared" si="6"/>
        <v>0.93578771034246722</v>
      </c>
      <c r="AF131" s="49">
        <f t="shared" si="6"/>
        <v>0.98199542287966501</v>
      </c>
    </row>
    <row r="132" spans="1:32" x14ac:dyDescent="0.3">
      <c r="B132" s="1" t="s">
        <v>20</v>
      </c>
      <c r="C132" s="49">
        <f>IF($A132="AEO",'Growth Rates'!B125,'Growth Rates'!B125*'Rescale to Fit GDP Proj'!$D$52)</f>
        <v>0</v>
      </c>
      <c r="D132" s="49">
        <f t="shared" si="2"/>
        <v>1.5264E-2</v>
      </c>
      <c r="E132" s="49">
        <f t="shared" si="3"/>
        <v>3.0760989695999941E-2</v>
      </c>
      <c r="F132" s="49">
        <f t="shared" si="6"/>
        <v>4.6494525442719592E-2</v>
      </c>
      <c r="G132" s="49">
        <f t="shared" si="6"/>
        <v>6.2468217879077192E-2</v>
      </c>
      <c r="H132" s="49">
        <f t="shared" si="6"/>
        <v>7.8685732756783366E-2</v>
      </c>
      <c r="I132" s="49">
        <f t="shared" si="6"/>
        <v>9.5150791781582811E-2</v>
      </c>
      <c r="J132" s="49">
        <f t="shared" si="6"/>
        <v>0.11186717346733688</v>
      </c>
      <c r="K132" s="49">
        <f t="shared" si="6"/>
        <v>0.12883871400314217</v>
      </c>
      <c r="L132" s="49">
        <f t="shared" si="6"/>
        <v>0.14606930813368613</v>
      </c>
      <c r="M132" s="49">
        <f t="shared" si="6"/>
        <v>0.16356291005303869</v>
      </c>
      <c r="N132" s="49">
        <f t="shared" si="6"/>
        <v>0.18132353431208825</v>
      </c>
      <c r="O132" s="49">
        <f t="shared" si="6"/>
        <v>0.19935525673982779</v>
      </c>
      <c r="P132" s="49">
        <f t="shared" si="6"/>
        <v>0.21766221537870445</v>
      </c>
      <c r="Q132" s="49">
        <f t="shared" si="6"/>
        <v>0.23624861143424503</v>
      </c>
      <c r="R132" s="49">
        <f t="shared" si="6"/>
        <v>0.2551187102391772</v>
      </c>
      <c r="S132" s="49">
        <f t="shared" si="6"/>
        <v>0.27427684223226789</v>
      </c>
      <c r="T132" s="49">
        <f t="shared" si="6"/>
        <v>0.29372740395210117</v>
      </c>
      <c r="U132" s="49">
        <f t="shared" si="6"/>
        <v>0.3134748590460259</v>
      </c>
      <c r="V132" s="49">
        <f t="shared" si="6"/>
        <v>0.3335237392945043</v>
      </c>
      <c r="W132" s="49">
        <f t="shared" si="6"/>
        <v>0.35387864565109561</v>
      </c>
      <c r="X132" s="49">
        <f t="shared" si="6"/>
        <v>0.37454424929831376</v>
      </c>
      <c r="Y132" s="49">
        <f t="shared" si="6"/>
        <v>0.39552529271960313</v>
      </c>
      <c r="Z132" s="49">
        <f t="shared" si="6"/>
        <v>0.41682659078767514</v>
      </c>
      <c r="AA132" s="49">
        <f t="shared" si="6"/>
        <v>0.43845303186945817</v>
      </c>
      <c r="AB132" s="49">
        <f t="shared" si="6"/>
        <v>0.46040957894791346</v>
      </c>
      <c r="AC132" s="49">
        <f t="shared" si="6"/>
        <v>0.48270127076097435</v>
      </c>
      <c r="AD132" s="49">
        <f t="shared" si="6"/>
        <v>0.50533322295786975</v>
      </c>
      <c r="AE132" s="49">
        <f t="shared" si="6"/>
        <v>0.52831062927309858</v>
      </c>
      <c r="AF132" s="49">
        <f t="shared" si="6"/>
        <v>0.55163876271832302</v>
      </c>
    </row>
    <row r="133" spans="1:32" x14ac:dyDescent="0.3">
      <c r="B133" s="1" t="s">
        <v>21</v>
      </c>
      <c r="C133" s="49">
        <f>IF($A133="AEO",'Growth Rates'!B126,'Growth Rates'!B126*'Rescale to Fit GDP Proj'!$D$52)</f>
        <v>0</v>
      </c>
      <c r="D133" s="49">
        <f t="shared" si="2"/>
        <v>2.0034E-2</v>
      </c>
      <c r="E133" s="49">
        <f t="shared" si="3"/>
        <v>4.0469361156000305E-2</v>
      </c>
      <c r="F133" s="49">
        <f t="shared" si="6"/>
        <v>6.13141243373998E-2</v>
      </c>
      <c r="G133" s="49">
        <f t="shared" si="6"/>
        <v>8.2576491504375404E-2</v>
      </c>
      <c r="H133" s="49">
        <f t="shared" si="6"/>
        <v>0.10426482893517419</v>
      </c>
      <c r="I133" s="49">
        <f t="shared" si="6"/>
        <v>0.12638767051806155</v>
      </c>
      <c r="J133" s="49">
        <f t="shared" si="6"/>
        <v>0.14895372110922045</v>
      </c>
      <c r="K133" s="49">
        <f t="shared" si="6"/>
        <v>0.17197185995792275</v>
      </c>
      <c r="L133" s="49">
        <f t="shared" si="6"/>
        <v>0.19545114420031995</v>
      </c>
      <c r="M133" s="49">
        <f t="shared" si="6"/>
        <v>0.2194008124232294</v>
      </c>
      <c r="N133" s="49">
        <f t="shared" si="6"/>
        <v>0.24383028829931641</v>
      </c>
      <c r="O133" s="49">
        <f t="shared" si="6"/>
        <v>0.26874918429510508</v>
      </c>
      <c r="P133" s="49">
        <f t="shared" si="6"/>
        <v>0.29416730545327341</v>
      </c>
      <c r="Q133" s="49">
        <f t="shared" si="6"/>
        <v>0.3200946532507245</v>
      </c>
      <c r="R133" s="49">
        <f t="shared" si="6"/>
        <v>0.34654142953394973</v>
      </c>
      <c r="S133" s="49">
        <f t="shared" si="6"/>
        <v>0.37351804053323301</v>
      </c>
      <c r="T133" s="49">
        <f t="shared" si="6"/>
        <v>0.4010351009572759</v>
      </c>
      <c r="U133" s="49">
        <f t="shared" si="6"/>
        <v>0.42910343816985419</v>
      </c>
      <c r="V133" s="49">
        <f t="shared" si="6"/>
        <v>0.45773409645014929</v>
      </c>
      <c r="W133" s="49">
        <f t="shared" si="6"/>
        <v>0.48693834133843183</v>
      </c>
      <c r="X133" s="49">
        <f t="shared" si="6"/>
        <v>0.5167276640688061</v>
      </c>
      <c r="Y133" s="49">
        <f t="shared" si="6"/>
        <v>0.54711378609076067</v>
      </c>
      <c r="Z133" s="49">
        <f t="shared" si="6"/>
        <v>0.57810866368130309</v>
      </c>
      <c r="AA133" s="49">
        <f t="shared" si="6"/>
        <v>0.60972449264949447</v>
      </c>
      <c r="AB133" s="49">
        <f t="shared" si="6"/>
        <v>0.64197371313523455</v>
      </c>
      <c r="AC133" s="49">
        <f t="shared" si="6"/>
        <v>0.67486901450418602</v>
      </c>
      <c r="AD133" s="49">
        <f t="shared" si="6"/>
        <v>0.70842334034076315</v>
      </c>
      <c r="AE133" s="49">
        <f t="shared" si="6"/>
        <v>0.74264989354115007</v>
      </c>
      <c r="AF133" s="49">
        <f t="shared" si="6"/>
        <v>0.77756214150835357</v>
      </c>
    </row>
    <row r="134" spans="1:32" x14ac:dyDescent="0.3">
      <c r="B134" s="1" t="s">
        <v>22</v>
      </c>
      <c r="C134" s="49">
        <f>IF($A134="AEO",'Growth Rates'!B127,'Growth Rates'!B127*'Rescale to Fit GDP Proj'!$D$52)</f>
        <v>0</v>
      </c>
      <c r="D134" s="49">
        <f t="shared" si="2"/>
        <v>2.5185470174642774E-2</v>
      </c>
      <c r="E134" s="49">
        <f t="shared" si="3"/>
        <v>5.1005248257203428E-2</v>
      </c>
      <c r="F134" s="49">
        <f t="shared" si="6"/>
        <v>7.7475309590578245E-2</v>
      </c>
      <c r="G134" s="49">
        <f t="shared" si="6"/>
        <v>0.10461203186418566</v>
      </c>
      <c r="H134" s="49">
        <f t="shared" si="6"/>
        <v>0.13243220524725263</v>
      </c>
      <c r="I134" s="49">
        <f t="shared" si="6"/>
        <v>0.16095304277731226</v>
      </c>
      <c r="J134" s="49">
        <f t="shared" si="6"/>
        <v>0.19019219101034102</v>
      </c>
      <c r="K134" s="49">
        <f t="shared" si="6"/>
        <v>0.22016774093912472</v>
      </c>
      <c r="L134" s="49">
        <f t="shared" si="6"/>
        <v>0.25089823918660836</v>
      </c>
      <c r="M134" s="49">
        <f t="shared" si="6"/>
        <v>0.28240269948115593</v>
      </c>
      <c r="N134" s="49">
        <f t="shared" si="6"/>
        <v>0.31470061442081998</v>
      </c>
      <c r="O134" s="49">
        <f t="shared" si="6"/>
        <v>0.34781196753389998</v>
      </c>
      <c r="P134" s="49">
        <f t="shared" si="6"/>
        <v>0.38175724564325164</v>
      </c>
      <c r="Q134" s="49">
        <f t="shared" si="6"/>
        <v>0.4165574515419963</v>
      </c>
      <c r="R134" s="49">
        <f t="shared" si="6"/>
        <v>0.45223411698847515</v>
      </c>
      <c r="S134" s="49">
        <f t="shared" si="6"/>
        <v>0.48880931602848721</v>
      </c>
      <c r="T134" s="49">
        <f t="shared" si="6"/>
        <v>0.52630567865305289</v>
      </c>
      <c r="U134" s="49">
        <f t="shared" si="6"/>
        <v>0.56474640480015736</v>
      </c>
      <c r="V134" s="49">
        <f t="shared" si="6"/>
        <v>0.60415527870913133</v>
      </c>
      <c r="W134" s="49">
        <f t="shared" si="6"/>
        <v>0.64455668363655594</v>
      </c>
      <c r="X134" s="49">
        <f t="shared" si="6"/>
        <v>0.68597561694279396</v>
      </c>
      <c r="Y134" s="49">
        <f t="shared" si="6"/>
        <v>0.72843770555848164</v>
      </c>
      <c r="Z134" s="49">
        <f t="shared" si="6"/>
        <v>0.77196922184055272</v>
      </c>
      <c r="AA134" s="49">
        <f t="shared" si="6"/>
        <v>0.81659709982760287</v>
      </c>
      <c r="AB134" s="49">
        <f t="shared" si="6"/>
        <v>0.86234895190465344</v>
      </c>
      <c r="AC134" s="49">
        <f t="shared" si="6"/>
        <v>0.90925308588762532</v>
      </c>
      <c r="AD134" s="49">
        <f t="shared" si="6"/>
        <v>0.95733852253809282</v>
      </c>
      <c r="AE134" s="49">
        <f t="shared" si="6"/>
        <v>1.0066350135191553</v>
      </c>
      <c r="AF134" s="49">
        <f t="shared" si="6"/>
        <v>1.057173059803536</v>
      </c>
    </row>
    <row r="135" spans="1:32" x14ac:dyDescent="0.3">
      <c r="B135" s="1" t="s">
        <v>23</v>
      </c>
      <c r="C135" s="49">
        <f>IF($A135="AEO",'Growth Rates'!B128,'Growth Rates'!B128*'Rescale to Fit GDP Proj'!$D$52)</f>
        <v>0</v>
      </c>
      <c r="D135" s="49">
        <f t="shared" si="2"/>
        <v>1.908E-2</v>
      </c>
      <c r="E135" s="49">
        <f t="shared" si="3"/>
        <v>3.8524046400000067E-2</v>
      </c>
      <c r="F135" s="49">
        <f t="shared" si="6"/>
        <v>5.8339085205312058E-2</v>
      </c>
      <c r="G135" s="49">
        <f t="shared" si="6"/>
        <v>7.8532194951029366E-2</v>
      </c>
      <c r="H135" s="49">
        <f t="shared" si="6"/>
        <v>9.9110589230694934E-2</v>
      </c>
      <c r="I135" s="49">
        <f t="shared" si="6"/>
        <v>0.12008161927321659</v>
      </c>
      <c r="J135" s="49">
        <f t="shared" si="6"/>
        <v>0.1414527765689495</v>
      </c>
      <c r="K135" s="49">
        <f t="shared" si="6"/>
        <v>0.16323169554588501</v>
      </c>
      <c r="L135" s="49">
        <f t="shared" si="6"/>
        <v>0.1854261562969004</v>
      </c>
      <c r="M135" s="49">
        <f t="shared" si="6"/>
        <v>0.20804408735904523</v>
      </c>
      <c r="N135" s="49">
        <f t="shared" si="6"/>
        <v>0.23109356854585572</v>
      </c>
      <c r="O135" s="49">
        <f t="shared" si="6"/>
        <v>0.25458283383371061</v>
      </c>
      <c r="P135" s="49">
        <f t="shared" si="6"/>
        <v>0.27852027430325776</v>
      </c>
      <c r="Q135" s="49">
        <f t="shared" si="6"/>
        <v>0.30291444113696397</v>
      </c>
      <c r="R135" s="49">
        <f t="shared" si="6"/>
        <v>0.32777404867385718</v>
      </c>
      <c r="S135" s="49">
        <f t="shared" si="6"/>
        <v>0.35310797752255429</v>
      </c>
      <c r="T135" s="49">
        <f t="shared" si="6"/>
        <v>0.37892527773368467</v>
      </c>
      <c r="U135" s="49">
        <f t="shared" si="6"/>
        <v>0.40523517203284332</v>
      </c>
      <c r="V135" s="49">
        <f t="shared" si="6"/>
        <v>0.43204705911522989</v>
      </c>
      <c r="W135" s="49">
        <f t="shared" si="6"/>
        <v>0.45937051700314835</v>
      </c>
      <c r="X135" s="49">
        <f t="shared" si="6"/>
        <v>0.48721530646756839</v>
      </c>
      <c r="Y135" s="49">
        <f t="shared" si="6"/>
        <v>0.51559137451496961</v>
      </c>
      <c r="Z135" s="49">
        <f t="shared" si="6"/>
        <v>0.54450885794071513</v>
      </c>
      <c r="AA135" s="49">
        <f t="shared" si="6"/>
        <v>0.57397808695022401</v>
      </c>
      <c r="AB135" s="49">
        <f t="shared" si="6"/>
        <v>0.60400958884923428</v>
      </c>
      <c r="AC135" s="49">
        <f t="shared" si="6"/>
        <v>0.63461409180447759</v>
      </c>
      <c r="AD135" s="49">
        <f t="shared" si="6"/>
        <v>0.6658025286761069</v>
      </c>
      <c r="AE135" s="49">
        <f t="shared" si="6"/>
        <v>0.69758604092324705</v>
      </c>
      <c r="AF135" s="49">
        <f t="shared" si="6"/>
        <v>0.7299759825840626</v>
      </c>
    </row>
    <row r="136" spans="1:32" x14ac:dyDescent="0.3">
      <c r="B136" s="1" t="s">
        <v>24</v>
      </c>
      <c r="C136" s="49">
        <f>IF($A136="AEO",'Growth Rates'!B129,'Growth Rates'!B129*'Rescale to Fit GDP Proj'!$D$52)</f>
        <v>0</v>
      </c>
      <c r="D136" s="49">
        <f t="shared" si="2"/>
        <v>3.5593609543206291E-2</v>
      </c>
      <c r="E136" s="49">
        <f t="shared" si="3"/>
        <v>7.2454124126726915E-2</v>
      </c>
      <c r="F136" s="49">
        <f t="shared" si="6"/>
        <v>0.1106266374738949</v>
      </c>
      <c r="G136" s="49">
        <f t="shared" si="6"/>
        <v>0.15015784835642498</v>
      </c>
      <c r="H136" s="49">
        <f t="shared" si="6"/>
        <v>0.19109611772387791</v>
      </c>
      <c r="I136" s="49">
        <f t="shared" si="6"/>
        <v>0.23349152786657057</v>
      </c>
      <c r="J136" s="49">
        <f t="shared" si="6"/>
        <v>0.27739594368430631</v>
      </c>
      <c r="K136" s="49">
        <f t="shared" si="6"/>
        <v>0.32286307613588106</v>
      </c>
      <c r="L136" s="49">
        <f t="shared" si="6"/>
        <v>0.36994854794698639</v>
      </c>
      <c r="M136" s="49">
        <f t="shared" si="6"/>
        <v>0.41870996165689389</v>
      </c>
      <c r="N136" s="49">
        <f t="shared" si="6"/>
        <v>0.46920697008716661</v>
      </c>
      <c r="O136" s="49">
        <f t="shared" si="6"/>
        <v>0.52150134931860648</v>
      </c>
      <c r="P136" s="49">
        <f t="shared" si="6"/>
        <v>0.57565707426571455</v>
      </c>
      <c r="Q136" s="49">
        <f t="shared" si="6"/>
        <v>0.63174039694111928</v>
      </c>
      <c r="R136" s="49">
        <f t="shared" si="6"/>
        <v>0.68981992750571797</v>
      </c>
      <c r="S136" s="49">
        <f t="shared" si="6"/>
        <v>0.74996671820368577</v>
      </c>
      <c r="T136" s="49">
        <f t="shared" si="6"/>
        <v>0.8122543502850339</v>
      </c>
      <c r="U136" s="49">
        <f t="shared" si="6"/>
        <v>0.87675902402205641</v>
      </c>
      <c r="V136" s="49">
        <f t="shared" si="6"/>
        <v>0.94355965192978641</v>
      </c>
      <c r="W136" s="49">
        <f t="shared" si="6"/>
        <v>1.0127379553045053</v>
      </c>
      <c r="X136" s="49">
        <f t="shared" si="6"/>
        <v>1.0843785641984054</v>
      </c>
      <c r="Y136" s="49">
        <f t="shared" si="6"/>
        <v>1.1585691209527127</v>
      </c>
      <c r="Z136" s="49">
        <f t="shared" si="6"/>
        <v>1.2354003874159258</v>
      </c>
      <c r="AA136" s="49">
        <f t="shared" si="6"/>
        <v>1.3149663559783407</v>
      </c>
      <c r="AB136" s="49">
        <f t="shared" si="6"/>
        <v>1.3973643645586931</v>
      </c>
      <c r="AC136" s="49">
        <f t="shared" si="6"/>
        <v>1.482695215683592</v>
      </c>
      <c r="AD136" s="49">
        <f t="shared" si="6"/>
        <v>1.5710632998054201</v>
      </c>
      <c r="AE136" s="49">
        <f t="shared" si="6"/>
        <v>1.6625767230095621</v>
      </c>
      <c r="AF136" s="49">
        <f t="shared" si="6"/>
        <v>1.7573474392671944</v>
      </c>
    </row>
    <row r="137" spans="1:32" x14ac:dyDescent="0.3">
      <c r="B137" s="1" t="s">
        <v>25</v>
      </c>
      <c r="C137" s="49">
        <f>IF($A137="AEO",'Growth Rates'!B130,'Growth Rates'!B130*'Rescale to Fit GDP Proj'!$D$52)</f>
        <v>0</v>
      </c>
      <c r="D137" s="49">
        <f t="shared" si="2"/>
        <v>1.3355999999999998E-2</v>
      </c>
      <c r="E137" s="49">
        <f t="shared" si="3"/>
        <v>2.6890382735999863E-2</v>
      </c>
      <c r="F137" s="49">
        <f t="shared" si="6"/>
        <v>4.0605530687821689E-2</v>
      </c>
      <c r="G137" s="49">
        <f t="shared" si="6"/>
        <v>5.4503858155688256E-2</v>
      </c>
      <c r="H137" s="49">
        <f t="shared" si="6"/>
        <v>6.8587811685215438E-2</v>
      </c>
      <c r="I137" s="49">
        <f t="shared" si="6"/>
        <v>8.2859870498083188E-2</v>
      </c>
      <c r="J137" s="49">
        <f t="shared" si="6"/>
        <v>9.7322546928455544E-2</v>
      </c>
      <c r="K137" s="49">
        <f t="shared" si="6"/>
        <v>0.11197838686523198</v>
      </c>
      <c r="L137" s="49">
        <f t="shared" si="6"/>
        <v>0.12682997020020403</v>
      </c>
      <c r="M137" s="49">
        <f t="shared" si="6"/>
        <v>0.14187991128219779</v>
      </c>
      <c r="N137" s="49">
        <f t="shared" si="6"/>
        <v>0.15713085937728266</v>
      </c>
      <c r="O137" s="49">
        <f t="shared" si="6"/>
        <v>0.17258549913512566</v>
      </c>
      <c r="P137" s="49">
        <f t="shared" si="6"/>
        <v>0.18824655106157429</v>
      </c>
      <c r="Q137" s="49">
        <f t="shared" si="6"/>
        <v>0.20411677199755252</v>
      </c>
      <c r="R137" s="49">
        <f t="shared" si="6"/>
        <v>0.22019895560435176</v>
      </c>
      <c r="S137" s="49">
        <f t="shared" si="6"/>
        <v>0.23649593285540349</v>
      </c>
      <c r="T137" s="49">
        <f t="shared" si="6"/>
        <v>0.25301057253462012</v>
      </c>
      <c r="U137" s="49">
        <f t="shared" si="6"/>
        <v>0.26974578174139241</v>
      </c>
      <c r="V137" s="49">
        <f t="shared" si="6"/>
        <v>0.28670450640233036</v>
      </c>
      <c r="W137" s="49">
        <f t="shared" si="6"/>
        <v>0.30388973178983969</v>
      </c>
      <c r="X137" s="49">
        <f t="shared" si="6"/>
        <v>0.3213044830476246</v>
      </c>
      <c r="Y137" s="49">
        <f t="shared" si="6"/>
        <v>0.33895182572320848</v>
      </c>
      <c r="Z137" s="49">
        <f t="shared" si="6"/>
        <v>0.35683486630756756</v>
      </c>
      <c r="AA137" s="49">
        <f t="shared" si="6"/>
        <v>0.37495675278197127</v>
      </c>
      <c r="AB137" s="49">
        <f t="shared" si="6"/>
        <v>0.39332067517212721</v>
      </c>
      <c r="AC137" s="49">
        <f t="shared" si="6"/>
        <v>0.41192986610972593</v>
      </c>
      <c r="AD137" s="49">
        <f t="shared" si="6"/>
        <v>0.43078760140148731</v>
      </c>
      <c r="AE137" s="49">
        <f t="shared" si="6"/>
        <v>0.44989720060580551</v>
      </c>
      <c r="AF137" s="49">
        <f t="shared" si="6"/>
        <v>0.46926202761709646</v>
      </c>
    </row>
    <row r="138" spans="1:32" x14ac:dyDescent="0.3">
      <c r="B138" s="1" t="s">
        <v>26</v>
      </c>
      <c r="C138" s="49">
        <f>IF($A138="AEO",'Growth Rates'!B131,'Growth Rates'!B131*'Rescale to Fit GDP Proj'!$D$52)</f>
        <v>0</v>
      </c>
      <c r="D138" s="49">
        <f t="shared" si="2"/>
        <v>1.8126E-2</v>
      </c>
      <c r="E138" s="49">
        <f t="shared" si="3"/>
        <v>3.6580551876000067E-2</v>
      </c>
      <c r="F138" s="49">
        <f t="shared" si="6"/>
        <v>5.5369610959304483E-2</v>
      </c>
      <c r="G138" s="49">
        <f t="shared" si="6"/>
        <v>7.4499240527552857E-2</v>
      </c>
      <c r="H138" s="49">
        <f t="shared" si="6"/>
        <v>9.3975613761355437E-2</v>
      </c>
      <c r="I138" s="49">
        <f t="shared" si="6"/>
        <v>0.1138050157363939</v>
      </c>
      <c r="J138" s="49">
        <f t="shared" si="6"/>
        <v>0.13399384545163184</v>
      </c>
      <c r="K138" s="49">
        <f t="shared" si="6"/>
        <v>0.15454861789428831</v>
      </c>
      <c r="L138" s="49">
        <f t="shared" si="6"/>
        <v>0.17547596614224026</v>
      </c>
      <c r="M138" s="49">
        <f t="shared" si="6"/>
        <v>0.19678264350453456</v>
      </c>
      <c r="N138" s="49">
        <f t="shared" si="6"/>
        <v>0.21847552570069784</v>
      </c>
      <c r="O138" s="49">
        <f t="shared" si="6"/>
        <v>0.24056161307954871</v>
      </c>
      <c r="P138" s="49">
        <f t="shared" si="6"/>
        <v>0.26304803287822875</v>
      </c>
      <c r="Q138" s="49">
        <f t="shared" si="6"/>
        <v>0.28594204152217961</v>
      </c>
      <c r="R138" s="49">
        <f t="shared" si="6"/>
        <v>0.30925102696681073</v>
      </c>
      <c r="S138" s="49">
        <f t="shared" si="6"/>
        <v>0.33298251108161114</v>
      </c>
      <c r="T138" s="49">
        <f t="shared" si="6"/>
        <v>0.35714415207747652</v>
      </c>
      <c r="U138" s="49">
        <f t="shared" si="6"/>
        <v>0.38174374697803293</v>
      </c>
      <c r="V138" s="49">
        <f t="shared" si="6"/>
        <v>0.40678923413575685</v>
      </c>
      <c r="W138" s="49">
        <f t="shared" si="6"/>
        <v>0.43228869579370177</v>
      </c>
      <c r="X138" s="49">
        <f t="shared" si="6"/>
        <v>0.45825036069365854</v>
      </c>
      <c r="Y138" s="49">
        <f t="shared" si="6"/>
        <v>0.48468260673159191</v>
      </c>
      <c r="Z138" s="49">
        <f t="shared" si="6"/>
        <v>0.51159396366120879</v>
      </c>
      <c r="AA138" s="49">
        <f t="shared" si="6"/>
        <v>0.53899311584653198</v>
      </c>
      <c r="AB138" s="49">
        <f t="shared" si="6"/>
        <v>0.5668889050643664</v>
      </c>
      <c r="AC138" s="49">
        <f t="shared" si="6"/>
        <v>0.59529033335756321</v>
      </c>
      <c r="AD138" s="49">
        <f t="shared" si="6"/>
        <v>0.62420656594000246</v>
      </c>
      <c r="AE138" s="49">
        <f t="shared" si="6"/>
        <v>0.65364693415423103</v>
      </c>
      <c r="AF138" s="49">
        <f t="shared" si="6"/>
        <v>0.68362093848271077</v>
      </c>
    </row>
    <row r="139" spans="1:32" x14ac:dyDescent="0.3">
      <c r="B139" s="1" t="s">
        <v>27</v>
      </c>
      <c r="C139" s="49">
        <f>IF($A139="AEO",'Growth Rates'!B132,'Growth Rates'!B132*'Rescale to Fit GDP Proj'!$D$52)</f>
        <v>0</v>
      </c>
      <c r="D139" s="49">
        <f t="shared" si="2"/>
        <v>2.1515916534897216E-2</v>
      </c>
      <c r="E139" s="49">
        <f t="shared" si="3"/>
        <v>4.3494767734131079E-2</v>
      </c>
      <c r="F139" s="49">
        <f t="shared" si="6"/>
        <v>6.5946514061300698E-2</v>
      </c>
      <c r="G139" s="49">
        <f t="shared" si="6"/>
        <v>8.8881330288508309E-2</v>
      </c>
      <c r="H139" s="49">
        <f t="shared" si="6"/>
        <v>0.1123096101074037</v>
      </c>
      <c r="I139" s="49">
        <f t="shared" si="6"/>
        <v>0.13624197083943868</v>
      </c>
      <c r="J139" s="49">
        <f t="shared" si="6"/>
        <v>0.16068925824746727</v>
      </c>
      <c r="K139" s="49">
        <f t="shared" si="6"/>
        <v>0.18566255145087163</v>
      </c>
      <c r="L139" s="49">
        <f t="shared" si="6"/>
        <v>0.21117316794644192</v>
      </c>
      <c r="M139" s="49">
        <f t="shared" si="6"/>
        <v>0.23723266873728477</v>
      </c>
      <c r="N139" s="49">
        <f t="shared" si="6"/>
        <v>0.26385286357208448</v>
      </c>
      <c r="O139" s="49">
        <f t="shared" si="6"/>
        <v>0.29104581629709236</v>
      </c>
      <c r="P139" s="49">
        <f t="shared" si="6"/>
        <v>0.31882385032326899</v>
      </c>
      <c r="Q139" s="49">
        <f t="shared" si="6"/>
        <v>0.34719955421105619</v>
      </c>
      <c r="R139" s="49">
        <f t="shared" si="6"/>
        <v>0.37618578737531205</v>
      </c>
      <c r="S139" s="49">
        <f t="shared" si="6"/>
        <v>0.4057956859129912</v>
      </c>
      <c r="T139" s="49">
        <f t="shared" si="6"/>
        <v>0.43604266855621376</v>
      </c>
      <c r="U139" s="49">
        <f t="shared" si="6"/>
        <v>0.46694044275342028</v>
      </c>
      <c r="V139" s="49">
        <f t="shared" si="6"/>
        <v>0.49850301088136817</v>
      </c>
      <c r="W139" s="49">
        <f t="shared" si="6"/>
        <v>0.53074467659078395</v>
      </c>
      <c r="X139" s="49">
        <f t="shared" si="6"/>
        <v>0.56368005128854959</v>
      </c>
      <c r="Y139" s="49">
        <f t="shared" si="6"/>
        <v>0.59732406075935796</v>
      </c>
      <c r="Z139" s="49">
        <f t="shared" si="6"/>
        <v>0.6316919519298394</v>
      </c>
      <c r="AA139" s="49">
        <f t="shared" si="6"/>
        <v>0.6667992997782255</v>
      </c>
      <c r="AB139" s="49">
        <f t="shared" si="6"/>
        <v>0.70266201439267895</v>
      </c>
      <c r="AC139" s="49">
        <f t="shared" si="6"/>
        <v>0.73929634818149181</v>
      </c>
      <c r="AD139" s="49">
        <f t="shared" si="6"/>
        <v>0.7767189032384163</v>
      </c>
      <c r="AE139" s="49">
        <f t="shared" si="6"/>
        <v>0.81494663886646834</v>
      </c>
      <c r="AF139" s="49">
        <f t="shared" si="6"/>
        <v>0.85399687926361167</v>
      </c>
    </row>
    <row r="140" spans="1:32" x14ac:dyDescent="0.3">
      <c r="B140" s="1" t="s">
        <v>28</v>
      </c>
      <c r="C140" s="49">
        <f>IF($A140="AEO",'Growth Rates'!B133,'Growth Rates'!B133*'Rescale to Fit GDP Proj'!$D$52)</f>
        <v>0</v>
      </c>
      <c r="D140" s="49">
        <f t="shared" si="2"/>
        <v>7.200642391641668E-3</v>
      </c>
      <c r="E140" s="49">
        <f t="shared" si="3"/>
        <v>1.4453134034135839E-2</v>
      </c>
      <c r="F140" s="49">
        <f t="shared" si="6"/>
        <v>2.1757848275395952E-2</v>
      </c>
      <c r="G140" s="49">
        <f t="shared" si="6"/>
        <v>2.9115161151680446E-2</v>
      </c>
      <c r="H140" s="49">
        <f t="shared" si="6"/>
        <v>3.6525451406950404E-2</v>
      </c>
      <c r="I140" s="49">
        <f t="shared" si="6"/>
        <v>4.398910051236693E-2</v>
      </c>
      <c r="J140" s="49">
        <f t="shared" si="6"/>
        <v>5.1506492685928329E-2</v>
      </c>
      <c r="K140" s="49">
        <f t="shared" si="6"/>
        <v>5.9078014912249177E-2</v>
      </c>
      <c r="L140" s="49">
        <f t="shared" si="6"/>
        <v>6.6704056962482161E-2</v>
      </c>
      <c r="M140" s="49">
        <f t="shared" si="6"/>
        <v>7.4385011414382474E-2</v>
      </c>
      <c r="N140" s="49">
        <f t="shared" si="6"/>
        <v>8.2121273672517425E-2</v>
      </c>
      <c r="O140" s="49">
        <f t="shared" si="6"/>
        <v>8.9913241988621051E-2</v>
      </c>
      <c r="P140" s="49">
        <f t="shared" si="6"/>
        <v>9.7761317482095933E-2</v>
      </c>
      <c r="Q140" s="49">
        <f t="shared" si="6"/>
        <v>0.10566590416066202</v>
      </c>
      <c r="R140" s="49">
        <f t="shared" si="6"/>
        <v>0.1136274089411542</v>
      </c>
      <c r="S140" s="49">
        <f t="shared" si="6"/>
        <v>0.12164624167047</v>
      </c>
      <c r="T140" s="49">
        <f t="shared" si="6"/>
        <v>0.12972281514666806</v>
      </c>
      <c r="U140" s="49">
        <f t="shared" si="6"/>
        <v>0.13785754514021797</v>
      </c>
      <c r="V140" s="49">
        <f t="shared" si="6"/>
        <v>0.14605085041540411</v>
      </c>
      <c r="W140" s="49">
        <f t="shared" si="6"/>
        <v>0.15430315275188233</v>
      </c>
      <c r="X140" s="49">
        <f t="shared" si="6"/>
        <v>0.16261487696639332</v>
      </c>
      <c r="Y140" s="49">
        <f t="shared" si="6"/>
        <v>0.17098645093463083</v>
      </c>
      <c r="Z140" s="49">
        <f t="shared" si="6"/>
        <v>0.17941830561326877</v>
      </c>
      <c r="AA140" s="49">
        <f t="shared" si="6"/>
        <v>0.18791087506214588</v>
      </c>
      <c r="AB140" s="49">
        <f t="shared" si="6"/>
        <v>0.19646459646661052</v>
      </c>
      <c r="AC140" s="49">
        <f t="shared" si="6"/>
        <v>0.20507991016002647</v>
      </c>
      <c r="AD140" s="49">
        <f t="shared" si="6"/>
        <v>0.21375725964644054</v>
      </c>
      <c r="AE140" s="49">
        <f t="shared" si="6"/>
        <v>0.22249709162341369</v>
      </c>
      <c r="AF140" s="49">
        <f t="shared" si="6"/>
        <v>0.2312998560050159</v>
      </c>
    </row>
    <row r="141" spans="1:32" x14ac:dyDescent="0.3">
      <c r="B141" s="1" t="s">
        <v>29</v>
      </c>
      <c r="C141" s="49">
        <f>IF($A141="AEO",'Growth Rates'!B134,'Growth Rates'!B134*'Rescale to Fit GDP Proj'!$D$52)</f>
        <v>0</v>
      </c>
      <c r="D141" s="49">
        <f t="shared" si="2"/>
        <v>1.6218E-2</v>
      </c>
      <c r="E141" s="49">
        <f t="shared" si="3"/>
        <v>3.2699023524000115E-2</v>
      </c>
      <c r="F141" s="49">
        <f t="shared" si="6"/>
        <v>4.9447336287512522E-2</v>
      </c>
      <c r="G141" s="49">
        <f t="shared" si="6"/>
        <v>6.6467273187423404E-2</v>
      </c>
      <c r="H141" s="49">
        <f t="shared" si="6"/>
        <v>8.3763239423977121E-2</v>
      </c>
      <c r="I141" s="49">
        <f t="shared" si="6"/>
        <v>0.10133971164095534</v>
      </c>
      <c r="J141" s="49">
        <f t="shared" si="6"/>
        <v>0.11920123908434843</v>
      </c>
      <c r="K141" s="49">
        <f t="shared" si="6"/>
        <v>0.13735244477981845</v>
      </c>
      <c r="L141" s="49">
        <f t="shared" si="6"/>
        <v>0.15579802672925758</v>
      </c>
      <c r="M141" s="49">
        <f t="shared" si="6"/>
        <v>0.17454275912675277</v>
      </c>
      <c r="N141" s="49">
        <f t="shared" si="6"/>
        <v>0.19359149359427041</v>
      </c>
      <c r="O141" s="49">
        <f t="shared" ref="F141:AF144" si="7">(1+N141)*(1+O96)-1</f>
        <v>0.21294916043738232</v>
      </c>
      <c r="P141" s="49">
        <f t="shared" si="7"/>
        <v>0.23262076992135583</v>
      </c>
      <c r="Q141" s="49">
        <f t="shared" si="7"/>
        <v>0.25261141356794048</v>
      </c>
      <c r="R141" s="49">
        <f t="shared" si="7"/>
        <v>0.27292626547318544</v>
      </c>
      <c r="S141" s="49">
        <f t="shared" si="7"/>
        <v>0.29357058364662958</v>
      </c>
      <c r="T141" s="49">
        <f t="shared" si="7"/>
        <v>0.31454971137221066</v>
      </c>
      <c r="U141" s="49">
        <f t="shared" si="7"/>
        <v>0.33586907859124526</v>
      </c>
      <c r="V141" s="49">
        <f t="shared" si="7"/>
        <v>0.35753420330783814</v>
      </c>
      <c r="W141" s="49">
        <f t="shared" si="7"/>
        <v>0.37955069301708466</v>
      </c>
      <c r="X141" s="49">
        <f t="shared" si="7"/>
        <v>0.40192424615643585</v>
      </c>
      <c r="Y141" s="49">
        <f t="shared" si="7"/>
        <v>0.42466065358060101</v>
      </c>
      <c r="Z141" s="49">
        <f t="shared" si="7"/>
        <v>0.44776580006037126</v>
      </c>
      <c r="AA141" s="49">
        <f t="shared" si="7"/>
        <v>0.47124566580575045</v>
      </c>
      <c r="AB141" s="49">
        <f t="shared" si="7"/>
        <v>0.49510632801378818</v>
      </c>
      <c r="AC141" s="49">
        <f t="shared" si="7"/>
        <v>0.51935396244151599</v>
      </c>
      <c r="AD141" s="49">
        <f t="shared" si="7"/>
        <v>0.54399484500439255</v>
      </c>
      <c r="AE141" s="49">
        <f t="shared" si="7"/>
        <v>0.56903535340067379</v>
      </c>
      <c r="AF141" s="49">
        <f t="shared" si="7"/>
        <v>0.59448196876212611</v>
      </c>
    </row>
    <row r="142" spans="1:32" x14ac:dyDescent="0.3">
      <c r="B142" s="1" t="s">
        <v>30</v>
      </c>
      <c r="C142" s="49">
        <f>IF($A142="AEO",'Growth Rates'!B135,'Growth Rates'!B135*'Rescale to Fit GDP Proj'!$D$52)</f>
        <v>0</v>
      </c>
      <c r="D142" s="49">
        <f t="shared" si="2"/>
        <v>2.7665999999999996E-2</v>
      </c>
      <c r="E142" s="49">
        <f t="shared" si="3"/>
        <v>5.6097407555999901E-2</v>
      </c>
      <c r="F142" s="49">
        <f t="shared" si="7"/>
        <v>8.5315398433444267E-2</v>
      </c>
      <c r="G142" s="49">
        <f t="shared" si="7"/>
        <v>0.11534173424650396</v>
      </c>
      <c r="H142" s="49">
        <f t="shared" si="7"/>
        <v>0.14619877866616759</v>
      </c>
      <c r="I142" s="49">
        <f t="shared" si="7"/>
        <v>0.17790951407674571</v>
      </c>
      <c r="J142" s="49">
        <f t="shared" si="7"/>
        <v>0.21049755869319298</v>
      </c>
      <c r="K142" s="49">
        <f t="shared" si="7"/>
        <v>0.24398718415199872</v>
      </c>
      <c r="L142" s="49">
        <f t="shared" si="7"/>
        <v>0.27840333358874791</v>
      </c>
      <c r="M142" s="49">
        <f t="shared" si="7"/>
        <v>0.31377164021581416</v>
      </c>
      <c r="N142" s="49">
        <f t="shared" si="7"/>
        <v>0.35011844641402479</v>
      </c>
      <c r="O142" s="49">
        <f t="shared" si="7"/>
        <v>0.38747082335251526</v>
      </c>
      <c r="P142" s="49">
        <f t="shared" si="7"/>
        <v>0.42585659115138585</v>
      </c>
      <c r="Q142" s="49">
        <f t="shared" si="7"/>
        <v>0.46530433960218009</v>
      </c>
      <c r="R142" s="49">
        <f t="shared" si="7"/>
        <v>0.50584344946161397</v>
      </c>
      <c r="S142" s="49">
        <f t="shared" si="7"/>
        <v>0.54750411433441903</v>
      </c>
      <c r="T142" s="49">
        <f t="shared" si="7"/>
        <v>0.590317363161595</v>
      </c>
      <c r="U142" s="49">
        <f t="shared" si="7"/>
        <v>0.63431508333082354</v>
      </c>
      <c r="V142" s="49">
        <f t="shared" si="7"/>
        <v>0.67953004442625398</v>
      </c>
      <c r="W142" s="49">
        <f t="shared" si="7"/>
        <v>0.72599592263535073</v>
      </c>
      <c r="X142" s="49">
        <f t="shared" si="7"/>
        <v>0.77374732583098038</v>
      </c>
      <c r="Y142" s="49">
        <f t="shared" si="7"/>
        <v>0.82281981934742032</v>
      </c>
      <c r="Z142" s="49">
        <f t="shared" si="7"/>
        <v>0.87324995246948589</v>
      </c>
      <c r="AA142" s="49">
        <f t="shared" si="7"/>
        <v>0.92507528565450658</v>
      </c>
      <c r="AB142" s="49">
        <f t="shared" si="7"/>
        <v>0.97833441850742409</v>
      </c>
      <c r="AC142" s="49">
        <f t="shared" si="7"/>
        <v>1.0330670185298505</v>
      </c>
      <c r="AD142" s="49">
        <f t="shared" si="7"/>
        <v>1.0893138506644973</v>
      </c>
      <c r="AE142" s="49">
        <f t="shared" si="7"/>
        <v>1.1471168076569813</v>
      </c>
      <c r="AF142" s="49">
        <f t="shared" si="7"/>
        <v>1.2065189412576194</v>
      </c>
    </row>
    <row r="143" spans="1:32" x14ac:dyDescent="0.3">
      <c r="B143" s="1" t="s">
        <v>31</v>
      </c>
      <c r="C143" s="49">
        <f>IF($A143="AEO",'Growth Rates'!B136,'Growth Rates'!B136*'Rescale to Fit GDP Proj'!$D$52)</f>
        <v>0</v>
      </c>
      <c r="D143" s="49">
        <f t="shared" si="2"/>
        <v>2.0988E-2</v>
      </c>
      <c r="E143" s="49">
        <f t="shared" si="3"/>
        <v>4.2416496144000115E-2</v>
      </c>
      <c r="F143" s="49">
        <f t="shared" si="7"/>
        <v>6.4294733565070317E-2</v>
      </c>
      <c r="G143" s="49">
        <f t="shared" si="7"/>
        <v>8.6632151433134075E-2</v>
      </c>
      <c r="H143" s="49">
        <f t="shared" si="7"/>
        <v>0.10943838702741271</v>
      </c>
      <c r="I143" s="49">
        <f t="shared" si="7"/>
        <v>0.13272327989434407</v>
      </c>
      <c r="J143" s="49">
        <f t="shared" si="7"/>
        <v>0.15649687609276652</v>
      </c>
      <c r="K143" s="49">
        <f t="shared" si="7"/>
        <v>0.18076943252820143</v>
      </c>
      <c r="L143" s="49">
        <f t="shared" si="7"/>
        <v>0.20555142137810334</v>
      </c>
      <c r="M143" s="49">
        <f t="shared" si="7"/>
        <v>0.23085353460998692</v>
      </c>
      <c r="N143" s="49">
        <f t="shared" si="7"/>
        <v>0.25668668859438126</v>
      </c>
      <c r="O143" s="49">
        <f t="shared" si="7"/>
        <v>0.28306202881460019</v>
      </c>
      <c r="P143" s="49">
        <f t="shared" si="7"/>
        <v>0.3099909346753611</v>
      </c>
      <c r="Q143" s="49">
        <f t="shared" si="7"/>
        <v>0.33748502441232753</v>
      </c>
      <c r="R143" s="49">
        <f t="shared" si="7"/>
        <v>0.36555616010469349</v>
      </c>
      <c r="S143" s="49">
        <f t="shared" si="7"/>
        <v>0.3942164527929708</v>
      </c>
      <c r="T143" s="49">
        <f t="shared" si="7"/>
        <v>0.42347826770418973</v>
      </c>
      <c r="U143" s="49">
        <f t="shared" si="7"/>
        <v>0.45335422958676519</v>
      </c>
      <c r="V143" s="49">
        <f t="shared" si="7"/>
        <v>0.48385722815733212</v>
      </c>
      <c r="W143" s="49">
        <f t="shared" si="7"/>
        <v>0.51500042366189813</v>
      </c>
      <c r="X143" s="49">
        <f t="shared" si="7"/>
        <v>0.54679725255371414</v>
      </c>
      <c r="Y143" s="49">
        <f t="shared" si="7"/>
        <v>0.57926143329031143</v>
      </c>
      <c r="Z143" s="49">
        <f t="shared" si="7"/>
        <v>0.61240697225220853</v>
      </c>
      <c r="AA143" s="49">
        <f t="shared" si="7"/>
        <v>0.64624816978583799</v>
      </c>
      <c r="AB143" s="49">
        <f t="shared" si="7"/>
        <v>0.68079962637330316</v>
      </c>
      <c r="AC143" s="49">
        <f t="shared" si="7"/>
        <v>0.71607624893162614</v>
      </c>
      <c r="AD143" s="49">
        <f t="shared" si="7"/>
        <v>0.75209325724420317</v>
      </c>
      <c r="AE143" s="49">
        <f t="shared" si="7"/>
        <v>0.78886619052724449</v>
      </c>
      <c r="AF143" s="49">
        <f t="shared" si="7"/>
        <v>0.82641091413403034</v>
      </c>
    </row>
    <row r="144" spans="1:32" x14ac:dyDescent="0.3">
      <c r="B144" s="1" t="s">
        <v>32</v>
      </c>
      <c r="C144" s="49">
        <f>IF($A144="AEO",'Growth Rates'!B137,'Growth Rates'!B137*'Rescale to Fit GDP Proj'!$D$52)</f>
        <v>0</v>
      </c>
      <c r="D144" s="49">
        <f t="shared" si="2"/>
        <v>1.6218E-2</v>
      </c>
      <c r="E144" s="49">
        <f t="shared" si="3"/>
        <v>3.2699023524000115E-2</v>
      </c>
      <c r="F144" s="49">
        <f t="shared" si="7"/>
        <v>4.9447336287512522E-2</v>
      </c>
      <c r="G144" s="49">
        <f t="shared" si="7"/>
        <v>6.6467273187423404E-2</v>
      </c>
      <c r="H144" s="49">
        <f t="shared" si="7"/>
        <v>8.3763239423977121E-2</v>
      </c>
      <c r="I144" s="49">
        <f t="shared" si="7"/>
        <v>0.10133971164095534</v>
      </c>
      <c r="J144" s="49">
        <f t="shared" si="7"/>
        <v>0.11920123908434843</v>
      </c>
      <c r="K144" s="49">
        <f t="shared" si="7"/>
        <v>0.13735244477981845</v>
      </c>
      <c r="L144" s="49">
        <f t="shared" si="7"/>
        <v>0.15579802672925758</v>
      </c>
      <c r="M144" s="49">
        <f t="shared" si="7"/>
        <v>0.17454275912675277</v>
      </c>
      <c r="N144" s="49">
        <f t="shared" si="7"/>
        <v>0.19359149359427041</v>
      </c>
      <c r="O144" s="49">
        <f t="shared" si="7"/>
        <v>0.21294916043738232</v>
      </c>
      <c r="P144" s="49">
        <f t="shared" si="7"/>
        <v>0.23262076992135583</v>
      </c>
      <c r="Q144" s="49">
        <f t="shared" si="7"/>
        <v>0.25261141356794048</v>
      </c>
      <c r="R144" s="49">
        <f t="shared" si="7"/>
        <v>0.27292626547318544</v>
      </c>
      <c r="S144" s="49">
        <f t="shared" si="7"/>
        <v>0.29357058364662958</v>
      </c>
      <c r="T144" s="49">
        <f t="shared" si="7"/>
        <v>0.31454971137221066</v>
      </c>
      <c r="U144" s="49">
        <f t="shared" si="7"/>
        <v>0.33586907859124526</v>
      </c>
      <c r="V144" s="49">
        <f t="shared" si="7"/>
        <v>0.35753420330783814</v>
      </c>
      <c r="W144" s="49">
        <f t="shared" si="7"/>
        <v>0.37955069301708466</v>
      </c>
      <c r="X144" s="49">
        <f t="shared" si="7"/>
        <v>0.40192424615643585</v>
      </c>
      <c r="Y144" s="49">
        <f t="shared" si="7"/>
        <v>0.42466065358060101</v>
      </c>
      <c r="Z144" s="49">
        <f t="shared" si="7"/>
        <v>0.44776580006037126</v>
      </c>
      <c r="AA144" s="49">
        <f t="shared" si="7"/>
        <v>0.47124566580575045</v>
      </c>
      <c r="AB144" s="49">
        <f t="shared" si="7"/>
        <v>0.49510632801378818</v>
      </c>
      <c r="AC144" s="49">
        <f t="shared" si="7"/>
        <v>0.51935396244151599</v>
      </c>
      <c r="AD144" s="49">
        <f t="shared" si="7"/>
        <v>0.54399484500439255</v>
      </c>
      <c r="AE144" s="49">
        <f t="shared" si="7"/>
        <v>0.56903535340067379</v>
      </c>
      <c r="AF144" s="49">
        <f t="shared" si="7"/>
        <v>0.59448196876212611</v>
      </c>
    </row>
    <row r="145" spans="1:32" x14ac:dyDescent="0.3">
      <c r="B145" s="1"/>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row>
    <row r="146" spans="1:32" s="8" customFormat="1" x14ac:dyDescent="0.3">
      <c r="A146" s="59" t="s">
        <v>1337</v>
      </c>
    </row>
    <row r="147" spans="1:32" x14ac:dyDescent="0.3">
      <c r="C147">
        <v>2021</v>
      </c>
      <c r="D147">
        <v>2022</v>
      </c>
      <c r="E147">
        <v>2023</v>
      </c>
      <c r="F147">
        <v>2024</v>
      </c>
      <c r="G147">
        <v>2025</v>
      </c>
      <c r="H147">
        <v>2026</v>
      </c>
      <c r="I147">
        <v>2027</v>
      </c>
      <c r="J147">
        <v>2028</v>
      </c>
      <c r="K147">
        <v>2029</v>
      </c>
      <c r="L147">
        <v>2030</v>
      </c>
      <c r="M147">
        <v>2031</v>
      </c>
      <c r="N147">
        <v>2032</v>
      </c>
      <c r="O147">
        <v>2033</v>
      </c>
      <c r="P147">
        <v>2034</v>
      </c>
      <c r="Q147">
        <v>2035</v>
      </c>
      <c r="R147">
        <v>2036</v>
      </c>
      <c r="S147">
        <v>2037</v>
      </c>
      <c r="T147">
        <v>2038</v>
      </c>
      <c r="U147">
        <v>2039</v>
      </c>
      <c r="V147">
        <v>2040</v>
      </c>
      <c r="W147">
        <v>2041</v>
      </c>
      <c r="X147">
        <v>2042</v>
      </c>
      <c r="Y147">
        <v>2043</v>
      </c>
      <c r="Z147">
        <v>2044</v>
      </c>
      <c r="AA147">
        <v>2045</v>
      </c>
      <c r="AB147">
        <v>2046</v>
      </c>
      <c r="AC147">
        <v>2047</v>
      </c>
      <c r="AD147">
        <v>2048</v>
      </c>
      <c r="AE147">
        <v>2049</v>
      </c>
      <c r="AF147">
        <v>2050</v>
      </c>
    </row>
    <row r="148" spans="1:32" x14ac:dyDescent="0.3">
      <c r="A148" t="s">
        <v>1334</v>
      </c>
      <c r="B148" s="1" t="s">
        <v>2</v>
      </c>
      <c r="C148" s="139">
        <f t="shared" ref="C148:C189" si="8">$C5*(1+C58)</f>
        <v>27925733548.226498</v>
      </c>
      <c r="D148" s="139">
        <f t="shared" ref="D148:AF148" si="9">C148*(1+D58)</f>
        <v>27925730427.057949</v>
      </c>
      <c r="E148" s="139">
        <f t="shared" si="9"/>
        <v>27887998722.829594</v>
      </c>
      <c r="F148" s="139">
        <f t="shared" si="9"/>
        <v>28142692318.582123</v>
      </c>
      <c r="G148" s="139">
        <f t="shared" si="9"/>
        <v>28519700058.179405</v>
      </c>
      <c r="H148" s="139">
        <f t="shared" si="9"/>
        <v>28955710060.984413</v>
      </c>
      <c r="I148" s="139">
        <f t="shared" si="9"/>
        <v>29343988596.037525</v>
      </c>
      <c r="J148" s="139">
        <f t="shared" si="9"/>
        <v>29688045903.453201</v>
      </c>
      <c r="K148" s="139">
        <f t="shared" si="9"/>
        <v>29989259237.227722</v>
      </c>
      <c r="L148" s="139">
        <f t="shared" si="9"/>
        <v>30259008633.716042</v>
      </c>
      <c r="M148" s="139">
        <f t="shared" si="9"/>
        <v>30544941289.119305</v>
      </c>
      <c r="N148" s="139">
        <f t="shared" si="9"/>
        <v>30832828921.70018</v>
      </c>
      <c r="O148" s="139">
        <f t="shared" si="9"/>
        <v>31108027929.637836</v>
      </c>
      <c r="P148" s="139">
        <f t="shared" si="9"/>
        <v>31338531036.485462</v>
      </c>
      <c r="Q148" s="139">
        <f t="shared" si="9"/>
        <v>31548909718.377449</v>
      </c>
      <c r="R148" s="139">
        <f t="shared" si="9"/>
        <v>31729267363.852402</v>
      </c>
      <c r="S148" s="139">
        <f t="shared" si="9"/>
        <v>31969648406.316845</v>
      </c>
      <c r="T148" s="139">
        <f t="shared" si="9"/>
        <v>32198349524.41235</v>
      </c>
      <c r="U148" s="139">
        <f t="shared" si="9"/>
        <v>32428437260.009769</v>
      </c>
      <c r="V148" s="139">
        <f t="shared" si="9"/>
        <v>32671379144.516773</v>
      </c>
      <c r="W148" s="139">
        <f t="shared" si="9"/>
        <v>32907547325.776859</v>
      </c>
      <c r="X148" s="139">
        <f t="shared" si="9"/>
        <v>33150098808.382034</v>
      </c>
      <c r="Y148" s="139">
        <f t="shared" si="9"/>
        <v>33385261410.536388</v>
      </c>
      <c r="Z148" s="139">
        <f t="shared" si="9"/>
        <v>33601426943.58086</v>
      </c>
      <c r="AA148" s="139">
        <f t="shared" si="9"/>
        <v>33822604868.64463</v>
      </c>
      <c r="AB148" s="139">
        <f t="shared" si="9"/>
        <v>34039095207.884754</v>
      </c>
      <c r="AC148" s="139">
        <f t="shared" si="9"/>
        <v>34254770461.633892</v>
      </c>
      <c r="AD148" s="139">
        <f t="shared" si="9"/>
        <v>34464418380.752365</v>
      </c>
      <c r="AE148" s="139">
        <f t="shared" si="9"/>
        <v>34677314208.327271</v>
      </c>
      <c r="AF148" s="139">
        <f t="shared" si="9"/>
        <v>34892624080.689651</v>
      </c>
    </row>
    <row r="149" spans="1:32" x14ac:dyDescent="0.3">
      <c r="A149" t="s">
        <v>1334</v>
      </c>
      <c r="B149" s="1" t="s">
        <v>39</v>
      </c>
      <c r="C149" s="139">
        <f t="shared" si="8"/>
        <v>1311397.9043306913</v>
      </c>
      <c r="D149" s="139">
        <f t="shared" ref="D149:AF149" si="10">C149*(1+D59)</f>
        <v>1288412.2065201825</v>
      </c>
      <c r="E149" s="139">
        <f t="shared" si="10"/>
        <v>1216308.6723127458</v>
      </c>
      <c r="F149" s="139">
        <f t="shared" si="10"/>
        <v>1329628.1456684875</v>
      </c>
      <c r="G149" s="139">
        <f t="shared" si="10"/>
        <v>1248268.0766641502</v>
      </c>
      <c r="H149" s="139">
        <f t="shared" si="10"/>
        <v>1141866.6451039868</v>
      </c>
      <c r="I149" s="139">
        <f t="shared" si="10"/>
        <v>1023675.3113288238</v>
      </c>
      <c r="J149" s="139">
        <f t="shared" si="10"/>
        <v>918735.43789448694</v>
      </c>
      <c r="K149" s="139">
        <f t="shared" si="10"/>
        <v>820080.26440120349</v>
      </c>
      <c r="L149" s="139">
        <f t="shared" si="10"/>
        <v>779254.07408645225</v>
      </c>
      <c r="M149" s="139">
        <f t="shared" si="10"/>
        <v>775795.05318866309</v>
      </c>
      <c r="N149" s="139">
        <f t="shared" si="10"/>
        <v>781397.69267099781</v>
      </c>
      <c r="O149" s="139">
        <f t="shared" si="10"/>
        <v>778036.108981597</v>
      </c>
      <c r="P149" s="139">
        <f t="shared" si="10"/>
        <v>770874.47416504752</v>
      </c>
      <c r="Q149" s="139">
        <f t="shared" si="10"/>
        <v>776671.98806415894</v>
      </c>
      <c r="R149" s="139">
        <f t="shared" si="10"/>
        <v>767561.60907984094</v>
      </c>
      <c r="S149" s="139">
        <f t="shared" si="10"/>
        <v>750217.78598670068</v>
      </c>
      <c r="T149" s="139">
        <f t="shared" si="10"/>
        <v>738135.57214653562</v>
      </c>
      <c r="U149" s="139">
        <f t="shared" si="10"/>
        <v>720596.87463661865</v>
      </c>
      <c r="V149" s="139">
        <f t="shared" si="10"/>
        <v>710073.65613066836</v>
      </c>
      <c r="W149" s="139">
        <f t="shared" si="10"/>
        <v>710658.27938099892</v>
      </c>
      <c r="X149" s="139">
        <f t="shared" si="10"/>
        <v>711973.68169424275</v>
      </c>
      <c r="Y149" s="139">
        <f t="shared" si="10"/>
        <v>702083.80504281726</v>
      </c>
      <c r="Z149" s="139">
        <f t="shared" si="10"/>
        <v>690927.24468234228</v>
      </c>
      <c r="AA149" s="139">
        <f t="shared" si="10"/>
        <v>682791.2377819086</v>
      </c>
      <c r="AB149" s="139">
        <f t="shared" si="10"/>
        <v>675142.41692341701</v>
      </c>
      <c r="AC149" s="139">
        <f t="shared" si="10"/>
        <v>671537.24021304515</v>
      </c>
      <c r="AD149" s="139">
        <f t="shared" si="10"/>
        <v>669685.93325366499</v>
      </c>
      <c r="AE149" s="139">
        <f t="shared" si="10"/>
        <v>665593.57050135103</v>
      </c>
      <c r="AF149" s="139">
        <f t="shared" si="10"/>
        <v>656093.44268347928</v>
      </c>
    </row>
    <row r="150" spans="1:32" x14ac:dyDescent="0.3">
      <c r="A150" t="s">
        <v>1334</v>
      </c>
      <c r="B150" s="1" t="s">
        <v>40</v>
      </c>
      <c r="C150" s="139">
        <f t="shared" si="8"/>
        <v>180901134.02051026</v>
      </c>
      <c r="D150" s="139">
        <f t="shared" ref="D150:AF150" si="11">C150*(1+D60)</f>
        <v>181468364.53982052</v>
      </c>
      <c r="E150" s="139">
        <f t="shared" si="11"/>
        <v>176399433.68516263</v>
      </c>
      <c r="F150" s="139">
        <f t="shared" si="11"/>
        <v>176350856.18873614</v>
      </c>
      <c r="G150" s="139">
        <f t="shared" si="11"/>
        <v>177698808.99376798</v>
      </c>
      <c r="H150" s="139">
        <f t="shared" si="11"/>
        <v>180076197.48654425</v>
      </c>
      <c r="I150" s="139">
        <f t="shared" si="11"/>
        <v>180378134.26074001</v>
      </c>
      <c r="J150" s="139">
        <f t="shared" si="11"/>
        <v>181843603.88347426</v>
      </c>
      <c r="K150" s="139">
        <f t="shared" si="11"/>
        <v>182028605.60639185</v>
      </c>
      <c r="L150" s="139">
        <f t="shared" si="11"/>
        <v>182921907.95085725</v>
      </c>
      <c r="M150" s="139">
        <f t="shared" si="11"/>
        <v>183784958.44126067</v>
      </c>
      <c r="N150" s="139">
        <f t="shared" si="11"/>
        <v>185584943.75794974</v>
      </c>
      <c r="O150" s="139">
        <f t="shared" si="11"/>
        <v>187368057.84833497</v>
      </c>
      <c r="P150" s="139">
        <f t="shared" si="11"/>
        <v>188611001.81378621</v>
      </c>
      <c r="Q150" s="139">
        <f t="shared" si="11"/>
        <v>189230001.28920865</v>
      </c>
      <c r="R150" s="139">
        <f t="shared" si="11"/>
        <v>190032257.18827593</v>
      </c>
      <c r="S150" s="139">
        <f t="shared" si="11"/>
        <v>190971519.08025864</v>
      </c>
      <c r="T150" s="139">
        <f t="shared" si="11"/>
        <v>191345885.77427587</v>
      </c>
      <c r="U150" s="139">
        <f t="shared" si="11"/>
        <v>192110035.97255352</v>
      </c>
      <c r="V150" s="139">
        <f t="shared" si="11"/>
        <v>191826424.84072226</v>
      </c>
      <c r="W150" s="139">
        <f t="shared" si="11"/>
        <v>191711235.08871698</v>
      </c>
      <c r="X150" s="139">
        <f t="shared" si="11"/>
        <v>192208936.26467934</v>
      </c>
      <c r="Y150" s="139">
        <f t="shared" si="11"/>
        <v>193167396.44866294</v>
      </c>
      <c r="Z150" s="139">
        <f t="shared" si="11"/>
        <v>194142146.09252605</v>
      </c>
      <c r="AA150" s="139">
        <f t="shared" si="11"/>
        <v>194109858.0559791</v>
      </c>
      <c r="AB150" s="139">
        <f t="shared" si="11"/>
        <v>194735838.72849283</v>
      </c>
      <c r="AC150" s="139">
        <f t="shared" si="11"/>
        <v>194441755.80102471</v>
      </c>
      <c r="AD150" s="139">
        <f t="shared" si="11"/>
        <v>195276881.50306317</v>
      </c>
      <c r="AE150" s="139">
        <f t="shared" si="11"/>
        <v>196399108.93547857</v>
      </c>
      <c r="AF150" s="139">
        <f t="shared" si="11"/>
        <v>197400619.83485809</v>
      </c>
    </row>
    <row r="151" spans="1:32" x14ac:dyDescent="0.3">
      <c r="A151" t="s">
        <v>1334</v>
      </c>
      <c r="B151" s="1" t="s">
        <v>3</v>
      </c>
      <c r="C151" s="139">
        <f t="shared" si="8"/>
        <v>1262802040.8715241</v>
      </c>
      <c r="D151" s="139">
        <f t="shared" ref="D151:AF151" si="12">C151*(1+D61)</f>
        <v>1262441892.8214703</v>
      </c>
      <c r="E151" s="139">
        <f t="shared" si="12"/>
        <v>1231917073.5431771</v>
      </c>
      <c r="F151" s="139">
        <f t="shared" si="12"/>
        <v>1203693031.7824078</v>
      </c>
      <c r="G151" s="139">
        <f t="shared" si="12"/>
        <v>1187692968.282681</v>
      </c>
      <c r="H151" s="139">
        <f t="shared" si="12"/>
        <v>1170445918.4948306</v>
      </c>
      <c r="I151" s="139">
        <f t="shared" si="12"/>
        <v>1147771843.8755691</v>
      </c>
      <c r="J151" s="139">
        <f t="shared" si="12"/>
        <v>1133510535.9043527</v>
      </c>
      <c r="K151" s="139">
        <f t="shared" si="12"/>
        <v>1127784936.891278</v>
      </c>
      <c r="L151" s="139">
        <f t="shared" si="12"/>
        <v>1121672947.7607567</v>
      </c>
      <c r="M151" s="139">
        <f t="shared" si="12"/>
        <v>1114559856.9623053</v>
      </c>
      <c r="N151" s="139">
        <f t="shared" si="12"/>
        <v>1110502760.7291145</v>
      </c>
      <c r="O151" s="139">
        <f t="shared" si="12"/>
        <v>1106024148.0041635</v>
      </c>
      <c r="P151" s="139">
        <f t="shared" si="12"/>
        <v>1099227194.574532</v>
      </c>
      <c r="Q151" s="139">
        <f t="shared" si="12"/>
        <v>1097260117.6129849</v>
      </c>
      <c r="R151" s="139">
        <f t="shared" si="12"/>
        <v>1098911057.2057118</v>
      </c>
      <c r="S151" s="139">
        <f t="shared" si="12"/>
        <v>1104127323.7912428</v>
      </c>
      <c r="T151" s="139">
        <f t="shared" si="12"/>
        <v>1110520323.9162707</v>
      </c>
      <c r="U151" s="139">
        <f t="shared" si="12"/>
        <v>1120759662.0286098</v>
      </c>
      <c r="V151" s="139">
        <f t="shared" si="12"/>
        <v>1130120840.7831151</v>
      </c>
      <c r="W151" s="139">
        <f t="shared" si="12"/>
        <v>1140535810.7670205</v>
      </c>
      <c r="X151" s="139">
        <f t="shared" si="12"/>
        <v>1151038596.6867094</v>
      </c>
      <c r="Y151" s="139">
        <f t="shared" si="12"/>
        <v>1170235160.24895</v>
      </c>
      <c r="Z151" s="139">
        <f t="shared" si="12"/>
        <v>1187903726.5285604</v>
      </c>
      <c r="AA151" s="139">
        <f t="shared" si="12"/>
        <v>1204342869.7072041</v>
      </c>
      <c r="AB151" s="139">
        <f t="shared" si="12"/>
        <v>1218691993.6142037</v>
      </c>
      <c r="AC151" s="139">
        <f t="shared" si="12"/>
        <v>1225611889.3539319</v>
      </c>
      <c r="AD151" s="139">
        <f t="shared" si="12"/>
        <v>1229282595.4696763</v>
      </c>
      <c r="AE151" s="139">
        <f t="shared" si="12"/>
        <v>1237080650.5672379</v>
      </c>
      <c r="AF151" s="139">
        <f t="shared" si="12"/>
        <v>1252360623.3935409</v>
      </c>
    </row>
    <row r="152" spans="1:32" x14ac:dyDescent="0.3">
      <c r="B152" s="1" t="s">
        <v>4</v>
      </c>
      <c r="C152" s="139">
        <f t="shared" si="8"/>
        <v>11088883.393673377</v>
      </c>
      <c r="D152" s="139">
        <f t="shared" ref="D152:AF152" si="13">C152*(1+D62)</f>
        <v>11395668.441642744</v>
      </c>
      <c r="E152" s="139">
        <f t="shared" si="13"/>
        <v>11710941.004749233</v>
      </c>
      <c r="F152" s="139">
        <f t="shared" si="13"/>
        <v>12034935.898586625</v>
      </c>
      <c r="G152" s="139">
        <f t="shared" si="13"/>
        <v>12367894.435156923</v>
      </c>
      <c r="H152" s="139">
        <f t="shared" si="13"/>
        <v>12710064.602599975</v>
      </c>
      <c r="I152" s="139">
        <f t="shared" si="13"/>
        <v>13061701.249895506</v>
      </c>
      <c r="J152" s="139">
        <f t="shared" si="13"/>
        <v>13423066.276675114</v>
      </c>
      <c r="K152" s="139">
        <f t="shared" si="13"/>
        <v>13794428.828285608</v>
      </c>
      <c r="L152" s="139">
        <f t="shared" si="13"/>
        <v>14176065.496248957</v>
      </c>
      <c r="M152" s="139">
        <f t="shared" si="13"/>
        <v>14568260.52426818</v>
      </c>
      <c r="N152" s="139">
        <f t="shared" si="13"/>
        <v>14971306.019932583</v>
      </c>
      <c r="O152" s="139">
        <f t="shared" si="13"/>
        <v>15385502.172280038</v>
      </c>
      <c r="P152" s="139">
        <f t="shared" si="13"/>
        <v>15811157.475378336</v>
      </c>
      <c r="Q152" s="139">
        <f t="shared" si="13"/>
        <v>16248588.958092153</v>
      </c>
      <c r="R152" s="139">
        <f t="shared" si="13"/>
        <v>16698122.420206729</v>
      </c>
      <c r="S152" s="139">
        <f t="shared" si="13"/>
        <v>17160092.67508417</v>
      </c>
      <c r="T152" s="139">
        <f t="shared" si="13"/>
        <v>17634843.799033049</v>
      </c>
      <c r="U152" s="139">
        <f t="shared" si="13"/>
        <v>18122729.387577098</v>
      </c>
      <c r="V152" s="139">
        <f t="shared" si="13"/>
        <v>18624112.818813805</v>
      </c>
      <c r="W152" s="139">
        <f t="shared" si="13"/>
        <v>19139367.524059106</v>
      </c>
      <c r="X152" s="139">
        <f t="shared" si="13"/>
        <v>19668877.265979726</v>
      </c>
      <c r="Y152" s="139">
        <f t="shared" si="13"/>
        <v>20213036.424420319</v>
      </c>
      <c r="Z152" s="139">
        <f t="shared" si="13"/>
        <v>20772250.29013833</v>
      </c>
      <c r="AA152" s="139">
        <f t="shared" si="13"/>
        <v>21346935.366665296</v>
      </c>
      <c r="AB152" s="139">
        <f t="shared" si="13"/>
        <v>21937519.680519458</v>
      </c>
      <c r="AC152" s="139">
        <f t="shared" si="13"/>
        <v>22544443.100000709</v>
      </c>
      <c r="AD152" s="139">
        <f t="shared" si="13"/>
        <v>23168157.66280533</v>
      </c>
      <c r="AE152" s="139">
        <f t="shared" si="13"/>
        <v>23809127.912704501</v>
      </c>
      <c r="AF152" s="139">
        <f t="shared" si="13"/>
        <v>24467831.245537382</v>
      </c>
    </row>
    <row r="153" spans="1:32" x14ac:dyDescent="0.3">
      <c r="A153" t="s">
        <v>1334</v>
      </c>
      <c r="B153" s="1" t="s">
        <v>5</v>
      </c>
      <c r="C153" s="139">
        <f t="shared" si="8"/>
        <v>17735382677.706902</v>
      </c>
      <c r="D153" s="139">
        <f t="shared" ref="D153:AF153" si="14">C153*(1+D63)</f>
        <v>17514344190.129387</v>
      </c>
      <c r="E153" s="139">
        <f t="shared" si="14"/>
        <v>17787580754.429779</v>
      </c>
      <c r="F153" s="139">
        <f t="shared" si="14"/>
        <v>17966092089.3741</v>
      </c>
      <c r="G153" s="139">
        <f t="shared" si="14"/>
        <v>18131703174.712891</v>
      </c>
      <c r="H153" s="139">
        <f t="shared" si="14"/>
        <v>18365579348.943954</v>
      </c>
      <c r="I153" s="139">
        <f t="shared" si="14"/>
        <v>18625435678.882088</v>
      </c>
      <c r="J153" s="139">
        <f t="shared" si="14"/>
        <v>18886994831.8535</v>
      </c>
      <c r="K153" s="139">
        <f t="shared" si="14"/>
        <v>19113820867.721901</v>
      </c>
      <c r="L153" s="139">
        <f t="shared" si="14"/>
        <v>19338597142.244804</v>
      </c>
      <c r="M153" s="139">
        <f t="shared" si="14"/>
        <v>19588707498.642067</v>
      </c>
      <c r="N153" s="139">
        <f t="shared" si="14"/>
        <v>19806913656.832161</v>
      </c>
      <c r="O153" s="139">
        <f t="shared" si="14"/>
        <v>19985027995.648048</v>
      </c>
      <c r="P153" s="139">
        <f t="shared" si="14"/>
        <v>20174251013.709011</v>
      </c>
      <c r="Q153" s="139">
        <f t="shared" si="14"/>
        <v>20383516540.283787</v>
      </c>
      <c r="R153" s="139">
        <f t="shared" si="14"/>
        <v>20604461770.485153</v>
      </c>
      <c r="S153" s="139">
        <f t="shared" si="14"/>
        <v>20819209969.768002</v>
      </c>
      <c r="T153" s="139">
        <f t="shared" si="14"/>
        <v>21037029381.940952</v>
      </c>
      <c r="U153" s="139">
        <f t="shared" si="14"/>
        <v>21262597356.423103</v>
      </c>
      <c r="V153" s="139">
        <f t="shared" si="14"/>
        <v>21487987873.524029</v>
      </c>
      <c r="W153" s="139">
        <f t="shared" si="14"/>
        <v>21707090375.991337</v>
      </c>
      <c r="X153" s="139">
        <f t="shared" si="14"/>
        <v>21938029539.243889</v>
      </c>
      <c r="Y153" s="139">
        <f t="shared" si="14"/>
        <v>22164016109.634445</v>
      </c>
      <c r="Z153" s="139">
        <f t="shared" si="14"/>
        <v>22386355895.431271</v>
      </c>
      <c r="AA153" s="139">
        <f t="shared" si="14"/>
        <v>22607155518.142662</v>
      </c>
      <c r="AB153" s="139">
        <f t="shared" si="14"/>
        <v>22818500363.656574</v>
      </c>
      <c r="AC153" s="139">
        <f t="shared" si="14"/>
        <v>23032898214.135628</v>
      </c>
      <c r="AD153" s="139">
        <f t="shared" si="14"/>
        <v>23249605172.412312</v>
      </c>
      <c r="AE153" s="139">
        <f t="shared" si="14"/>
        <v>23467526955.242172</v>
      </c>
      <c r="AF153" s="139">
        <f t="shared" si="14"/>
        <v>23684959640.034546</v>
      </c>
    </row>
    <row r="154" spans="1:32" x14ac:dyDescent="0.3">
      <c r="A154" t="s">
        <v>1334</v>
      </c>
      <c r="B154" s="1" t="s">
        <v>6</v>
      </c>
      <c r="C154" s="139">
        <f t="shared" si="8"/>
        <v>11503696343.66391</v>
      </c>
      <c r="D154" s="139">
        <f t="shared" ref="D154:AF154" si="15">C154*(1+D64)</f>
        <v>11498046710.185787</v>
      </c>
      <c r="E154" s="139">
        <f t="shared" si="15"/>
        <v>11322221350.862984</v>
      </c>
      <c r="F154" s="139">
        <f t="shared" si="15"/>
        <v>11207167827.145109</v>
      </c>
      <c r="G154" s="139">
        <f t="shared" si="15"/>
        <v>11212003325.818434</v>
      </c>
      <c r="H154" s="139">
        <f t="shared" si="15"/>
        <v>11423474927.571918</v>
      </c>
      <c r="I154" s="139">
        <f t="shared" si="15"/>
        <v>11684554442.28195</v>
      </c>
      <c r="J154" s="139">
        <f t="shared" si="15"/>
        <v>11867227706.343647</v>
      </c>
      <c r="K154" s="139">
        <f t="shared" si="15"/>
        <v>11945727232.495878</v>
      </c>
      <c r="L154" s="139">
        <f t="shared" si="15"/>
        <v>11964169230.645111</v>
      </c>
      <c r="M154" s="139">
        <f t="shared" si="15"/>
        <v>12017138165.178276</v>
      </c>
      <c r="N154" s="139">
        <f t="shared" si="15"/>
        <v>12127579810.053797</v>
      </c>
      <c r="O154" s="139">
        <f t="shared" si="15"/>
        <v>12219330837.045115</v>
      </c>
      <c r="P154" s="139">
        <f t="shared" si="15"/>
        <v>12273758386.666933</v>
      </c>
      <c r="Q154" s="139">
        <f t="shared" si="15"/>
        <v>12292431935.651159</v>
      </c>
      <c r="R154" s="139">
        <f t="shared" si="15"/>
        <v>12278738539.957201</v>
      </c>
      <c r="S154" s="139">
        <f t="shared" si="15"/>
        <v>12231749582.461245</v>
      </c>
      <c r="T154" s="139">
        <f t="shared" si="15"/>
        <v>12159394170.646976</v>
      </c>
      <c r="U154" s="139">
        <f t="shared" si="15"/>
        <v>12062652645.577526</v>
      </c>
      <c r="V154" s="139">
        <f t="shared" si="15"/>
        <v>12000448229.266737</v>
      </c>
      <c r="W154" s="139">
        <f t="shared" si="15"/>
        <v>11939230533.304926</v>
      </c>
      <c r="X154" s="139">
        <f t="shared" si="15"/>
        <v>11862334449.271423</v>
      </c>
      <c r="Y154" s="139">
        <f t="shared" si="15"/>
        <v>11784941125.767981</v>
      </c>
      <c r="Z154" s="139">
        <f t="shared" si="15"/>
        <v>11682472036.485172</v>
      </c>
      <c r="AA154" s="139">
        <f t="shared" si="15"/>
        <v>11572826250.622561</v>
      </c>
      <c r="AB154" s="139">
        <f t="shared" si="15"/>
        <v>11476676619.831993</v>
      </c>
      <c r="AC154" s="139">
        <f t="shared" si="15"/>
        <v>11392427288.172495</v>
      </c>
      <c r="AD154" s="139">
        <f t="shared" si="15"/>
        <v>11300026436.090265</v>
      </c>
      <c r="AE154" s="139">
        <f t="shared" si="15"/>
        <v>11199960785.854239</v>
      </c>
      <c r="AF154" s="139">
        <f t="shared" si="15"/>
        <v>11120564021.768042</v>
      </c>
    </row>
    <row r="155" spans="1:32" x14ac:dyDescent="0.3">
      <c r="A155" t="s">
        <v>1334</v>
      </c>
      <c r="B155" s="1" t="s">
        <v>7</v>
      </c>
      <c r="C155" s="139">
        <f t="shared" si="8"/>
        <v>1632283635.5487211</v>
      </c>
      <c r="D155" s="139">
        <f t="shared" ref="D155:AF155" si="16">C155*(1+D65)</f>
        <v>1621765849.7982411</v>
      </c>
      <c r="E155" s="139">
        <f t="shared" si="16"/>
        <v>1473665242.8106513</v>
      </c>
      <c r="F155" s="139">
        <f t="shared" si="16"/>
        <v>1434338450.7216327</v>
      </c>
      <c r="G155" s="139">
        <f t="shared" si="16"/>
        <v>1461209517.4621499</v>
      </c>
      <c r="H155" s="139">
        <f t="shared" si="16"/>
        <v>1442514972.360199</v>
      </c>
      <c r="I155" s="139">
        <f t="shared" si="16"/>
        <v>1436042109.3950751</v>
      </c>
      <c r="J155" s="139">
        <f t="shared" si="16"/>
        <v>1454715334.6208909</v>
      </c>
      <c r="K155" s="139">
        <f t="shared" si="16"/>
        <v>1479319615.6739292</v>
      </c>
      <c r="L155" s="139">
        <f t="shared" si="16"/>
        <v>1490563510.3486888</v>
      </c>
      <c r="M155" s="139">
        <f t="shared" si="16"/>
        <v>1496225920.8795552</v>
      </c>
      <c r="N155" s="139">
        <f t="shared" si="16"/>
        <v>1513942247.6647987</v>
      </c>
      <c r="O155" s="139">
        <f t="shared" si="16"/>
        <v>1535428478.2617865</v>
      </c>
      <c r="P155" s="139">
        <f t="shared" si="16"/>
        <v>1561595067.9523458</v>
      </c>
      <c r="Q155" s="139">
        <f t="shared" si="16"/>
        <v>1575963015.3339987</v>
      </c>
      <c r="R155" s="139">
        <f t="shared" si="16"/>
        <v>1570993745.9189496</v>
      </c>
      <c r="S155" s="139">
        <f t="shared" si="16"/>
        <v>1578834527.7938249</v>
      </c>
      <c r="T155" s="139">
        <f t="shared" si="16"/>
        <v>1584217194.8070996</v>
      </c>
      <c r="U155" s="139">
        <f t="shared" si="16"/>
        <v>1592309833.5044413</v>
      </c>
      <c r="V155" s="139">
        <f t="shared" si="16"/>
        <v>1604778603.3485849</v>
      </c>
      <c r="W155" s="139">
        <f t="shared" si="16"/>
        <v>1622650216.0887847</v>
      </c>
      <c r="X155" s="139">
        <f t="shared" si="16"/>
        <v>1637230129.0960937</v>
      </c>
      <c r="Y155" s="139">
        <f t="shared" si="16"/>
        <v>1646811073.4323304</v>
      </c>
      <c r="Z155" s="139">
        <f t="shared" si="16"/>
        <v>1647985152.3254039</v>
      </c>
      <c r="AA155" s="139">
        <f t="shared" si="16"/>
        <v>1638284623.5410769</v>
      </c>
      <c r="AB155" s="139">
        <f t="shared" si="16"/>
        <v>1632016134.2457173</v>
      </c>
      <c r="AC155" s="139">
        <f t="shared" si="16"/>
        <v>1634081250.2477217</v>
      </c>
      <c r="AD155" s="139">
        <f t="shared" si="16"/>
        <v>1630769612.344954</v>
      </c>
      <c r="AE155" s="139">
        <f t="shared" si="16"/>
        <v>1632118588.507617</v>
      </c>
      <c r="AF155" s="139">
        <f t="shared" si="16"/>
        <v>1649192332.7404487</v>
      </c>
    </row>
    <row r="156" spans="1:32" x14ac:dyDescent="0.3">
      <c r="A156" t="s">
        <v>1334</v>
      </c>
      <c r="B156" s="1" t="s">
        <v>8</v>
      </c>
      <c r="C156" s="139">
        <f t="shared" si="8"/>
        <v>9172192076.8437214</v>
      </c>
      <c r="D156" s="139">
        <f t="shared" ref="D156:AF156" si="17">C156*(1+D66)</f>
        <v>9493025384.2937889</v>
      </c>
      <c r="E156" s="139">
        <f t="shared" si="17"/>
        <v>9275232636.1015892</v>
      </c>
      <c r="F156" s="139">
        <f t="shared" si="17"/>
        <v>9069001174.579277</v>
      </c>
      <c r="G156" s="139">
        <f t="shared" si="17"/>
        <v>9055895077.5686798</v>
      </c>
      <c r="H156" s="139">
        <f t="shared" si="17"/>
        <v>9102482290.5363121</v>
      </c>
      <c r="I156" s="139">
        <f t="shared" si="17"/>
        <v>9158877960.0726948</v>
      </c>
      <c r="J156" s="139">
        <f t="shared" si="17"/>
        <v>9213560582.08885</v>
      </c>
      <c r="K156" s="139">
        <f t="shared" si="17"/>
        <v>9262191565.2373028</v>
      </c>
      <c r="L156" s="139">
        <f t="shared" si="17"/>
        <v>9305185351.344902</v>
      </c>
      <c r="M156" s="139">
        <f t="shared" si="17"/>
        <v>9370466276.5931301</v>
      </c>
      <c r="N156" s="139">
        <f t="shared" si="17"/>
        <v>9445641774.117382</v>
      </c>
      <c r="O156" s="139">
        <f t="shared" si="17"/>
        <v>9508218282.7106113</v>
      </c>
      <c r="P156" s="139">
        <f t="shared" si="17"/>
        <v>9575323614.7517395</v>
      </c>
      <c r="Q156" s="139">
        <f t="shared" si="17"/>
        <v>9646652930.223177</v>
      </c>
      <c r="R156" s="139">
        <f t="shared" si="17"/>
        <v>9701086098.9475098</v>
      </c>
      <c r="S156" s="139">
        <f t="shared" si="17"/>
        <v>9762923940.3422832</v>
      </c>
      <c r="T156" s="139">
        <f t="shared" si="17"/>
        <v>9814963071.1017857</v>
      </c>
      <c r="U156" s="139">
        <f t="shared" si="17"/>
        <v>9870955642.4388065</v>
      </c>
      <c r="V156" s="139">
        <f t="shared" si="17"/>
        <v>9930742417.5167694</v>
      </c>
      <c r="W156" s="139">
        <f t="shared" si="17"/>
        <v>9985971131.346405</v>
      </c>
      <c r="X156" s="139">
        <f t="shared" si="17"/>
        <v>10046329188.546778</v>
      </c>
      <c r="Y156" s="139">
        <f t="shared" si="17"/>
        <v>10097176173.2906</v>
      </c>
      <c r="Z156" s="139">
        <f t="shared" si="17"/>
        <v>10130137239.84656</v>
      </c>
      <c r="AA156" s="139">
        <f t="shared" si="17"/>
        <v>10151117731.56728</v>
      </c>
      <c r="AB156" s="139">
        <f t="shared" si="17"/>
        <v>10193025831.336903</v>
      </c>
      <c r="AC156" s="139">
        <f t="shared" si="17"/>
        <v>10256666031.347202</v>
      </c>
      <c r="AD156" s="139">
        <f t="shared" si="17"/>
        <v>10283095192.215298</v>
      </c>
      <c r="AE156" s="139">
        <f t="shared" si="17"/>
        <v>10318978441.120163</v>
      </c>
      <c r="AF156" s="139">
        <f t="shared" si="17"/>
        <v>10393135728.250235</v>
      </c>
    </row>
    <row r="157" spans="1:32" x14ac:dyDescent="0.3">
      <c r="A157" t="s">
        <v>1334</v>
      </c>
      <c r="B157" s="1" t="s">
        <v>9</v>
      </c>
      <c r="C157" s="139">
        <f t="shared" si="8"/>
        <v>10038544358.624634</v>
      </c>
      <c r="D157" s="139">
        <f t="shared" ref="D157:AF157" si="18">C157*(1+D67)</f>
        <v>10395412217.38192</v>
      </c>
      <c r="E157" s="139">
        <f t="shared" si="18"/>
        <v>11283413653.689684</v>
      </c>
      <c r="F157" s="139">
        <f t="shared" si="18"/>
        <v>11250508891.441095</v>
      </c>
      <c r="G157" s="139">
        <f t="shared" si="18"/>
        <v>11208970278.117704</v>
      </c>
      <c r="H157" s="139">
        <f t="shared" si="18"/>
        <v>11159135598.114832</v>
      </c>
      <c r="I157" s="139">
        <f t="shared" si="18"/>
        <v>11128068797.208288</v>
      </c>
      <c r="J157" s="139">
        <f t="shared" si="18"/>
        <v>11094491595.804895</v>
      </c>
      <c r="K157" s="139">
        <f t="shared" si="18"/>
        <v>11044962856.788755</v>
      </c>
      <c r="L157" s="139">
        <f t="shared" si="18"/>
        <v>10969100051.41921</v>
      </c>
      <c r="M157" s="139">
        <f t="shared" si="18"/>
        <v>10897365095.782642</v>
      </c>
      <c r="N157" s="139">
        <f t="shared" si="18"/>
        <v>10853734613.506878</v>
      </c>
      <c r="O157" s="139">
        <f t="shared" si="18"/>
        <v>10817029684.575686</v>
      </c>
      <c r="P157" s="139">
        <f t="shared" si="18"/>
        <v>10797437935.20491</v>
      </c>
      <c r="Q157" s="139">
        <f t="shared" si="18"/>
        <v>10763468600.608149</v>
      </c>
      <c r="R157" s="139">
        <f t="shared" si="18"/>
        <v>10731970075.342621</v>
      </c>
      <c r="S157" s="139">
        <f t="shared" si="18"/>
        <v>10711201939.113842</v>
      </c>
      <c r="T157" s="139">
        <f t="shared" si="18"/>
        <v>10693516481.467669</v>
      </c>
      <c r="U157" s="139">
        <f t="shared" si="18"/>
        <v>10694628418.182676</v>
      </c>
      <c r="V157" s="139">
        <f t="shared" si="18"/>
        <v>10710042625.309904</v>
      </c>
      <c r="W157" s="139">
        <f t="shared" si="18"/>
        <v>10725834984.045986</v>
      </c>
      <c r="X157" s="139">
        <f t="shared" si="18"/>
        <v>10752186123.453461</v>
      </c>
      <c r="Y157" s="139">
        <f t="shared" si="18"/>
        <v>10781433588.167854</v>
      </c>
      <c r="Z157" s="139">
        <f t="shared" si="18"/>
        <v>10814533252.941259</v>
      </c>
      <c r="AA157" s="139">
        <f t="shared" si="18"/>
        <v>10838236542.316757</v>
      </c>
      <c r="AB157" s="139">
        <f t="shared" si="18"/>
        <v>10890827782.669785</v>
      </c>
      <c r="AC157" s="139">
        <f t="shared" si="18"/>
        <v>10947961524.060707</v>
      </c>
      <c r="AD157" s="139">
        <f t="shared" si="18"/>
        <v>10978578726.062096</v>
      </c>
      <c r="AE157" s="139">
        <f t="shared" si="18"/>
        <v>11033421026.966261</v>
      </c>
      <c r="AF157" s="139">
        <f t="shared" si="18"/>
        <v>11137111867.252634</v>
      </c>
    </row>
    <row r="158" spans="1:32" x14ac:dyDescent="0.3">
      <c r="A158" t="s">
        <v>1334</v>
      </c>
      <c r="B158" s="1" t="s">
        <v>35</v>
      </c>
      <c r="C158" s="139">
        <f t="shared" si="8"/>
        <v>27808613063.586945</v>
      </c>
      <c r="D158" s="139">
        <f t="shared" ref="D158:AF158" si="19">C158*(1+D68)</f>
        <v>27438331551.493679</v>
      </c>
      <c r="E158" s="139">
        <f t="shared" si="19"/>
        <v>26831772378.811604</v>
      </c>
      <c r="F158" s="139">
        <f t="shared" si="19"/>
        <v>26513016309.162731</v>
      </c>
      <c r="G158" s="139">
        <f t="shared" si="19"/>
        <v>26945286863.74416</v>
      </c>
      <c r="H158" s="139">
        <f t="shared" si="19"/>
        <v>27567297439.509693</v>
      </c>
      <c r="I158" s="139">
        <f t="shared" si="19"/>
        <v>28208520119.318008</v>
      </c>
      <c r="J158" s="139">
        <f t="shared" si="19"/>
        <v>28773081187.385036</v>
      </c>
      <c r="K158" s="139">
        <f t="shared" si="19"/>
        <v>29220825630.768337</v>
      </c>
      <c r="L158" s="139">
        <f t="shared" si="19"/>
        <v>29589686260.958298</v>
      </c>
      <c r="M158" s="139">
        <f t="shared" si="19"/>
        <v>30002935031.978588</v>
      </c>
      <c r="N158" s="139">
        <f t="shared" si="19"/>
        <v>30530927091.32719</v>
      </c>
      <c r="O158" s="139">
        <f t="shared" si="19"/>
        <v>31067524006.945366</v>
      </c>
      <c r="P158" s="139">
        <f t="shared" si="19"/>
        <v>31686085335.889</v>
      </c>
      <c r="Q158" s="139">
        <f t="shared" si="19"/>
        <v>32323434801.080196</v>
      </c>
      <c r="R158" s="139">
        <f t="shared" si="19"/>
        <v>32917991789.145451</v>
      </c>
      <c r="S158" s="139">
        <f t="shared" si="19"/>
        <v>33549356593.899387</v>
      </c>
      <c r="T158" s="139">
        <f t="shared" si="19"/>
        <v>34168720972.062408</v>
      </c>
      <c r="U158" s="139">
        <f t="shared" si="19"/>
        <v>34853179208.234772</v>
      </c>
      <c r="V158" s="139">
        <f t="shared" si="19"/>
        <v>35626081459.172089</v>
      </c>
      <c r="W158" s="139">
        <f t="shared" si="19"/>
        <v>36436089256.991356</v>
      </c>
      <c r="X158" s="139">
        <f t="shared" si="19"/>
        <v>37287321514.607285</v>
      </c>
      <c r="Y158" s="139">
        <f t="shared" si="19"/>
        <v>38158103417.239388</v>
      </c>
      <c r="Z158" s="139">
        <f t="shared" si="19"/>
        <v>38978270222.937088</v>
      </c>
      <c r="AA158" s="139">
        <f t="shared" si="19"/>
        <v>39729134144.705582</v>
      </c>
      <c r="AB158" s="139">
        <f t="shared" si="19"/>
        <v>40548501388.880455</v>
      </c>
      <c r="AC158" s="139">
        <f t="shared" si="19"/>
        <v>41453190507.237389</v>
      </c>
      <c r="AD158" s="139">
        <f t="shared" si="19"/>
        <v>42243465229.886177</v>
      </c>
      <c r="AE158" s="139">
        <f t="shared" si="19"/>
        <v>43027315700.556145</v>
      </c>
      <c r="AF158" s="139">
        <f t="shared" si="19"/>
        <v>44011220927.357361</v>
      </c>
    </row>
    <row r="159" spans="1:32" x14ac:dyDescent="0.3">
      <c r="B159" s="1" t="s">
        <v>36</v>
      </c>
      <c r="C159" s="139">
        <f t="shared" si="8"/>
        <v>6956367041.5863323</v>
      </c>
      <c r="D159" s="139">
        <f t="shared" ref="D159:AF159" si="20">C159*(1+D69)</f>
        <v>7075821776.4244528</v>
      </c>
      <c r="E159" s="139">
        <f t="shared" si="20"/>
        <v>7197327787.9692135</v>
      </c>
      <c r="F159" s="139">
        <f t="shared" si="20"/>
        <v>7320920300.7442207</v>
      </c>
      <c r="G159" s="139">
        <f t="shared" si="20"/>
        <v>7446635144.1486006</v>
      </c>
      <c r="H159" s="139">
        <f t="shared" si="20"/>
        <v>7574508762.8439198</v>
      </c>
      <c r="I159" s="139">
        <f t="shared" si="20"/>
        <v>7704578227.3194752</v>
      </c>
      <c r="J159" s="139">
        <f t="shared" si="20"/>
        <v>7836881244.6390047</v>
      </c>
      <c r="K159" s="139">
        <f t="shared" si="20"/>
        <v>7971456169.3719454</v>
      </c>
      <c r="L159" s="139">
        <f t="shared" si="20"/>
        <v>8108342014.7124004</v>
      </c>
      <c r="M159" s="139">
        <f t="shared" si="20"/>
        <v>8247578463.7890415</v>
      </c>
      <c r="N159" s="139">
        <f t="shared" si="20"/>
        <v>8389205881.1692266</v>
      </c>
      <c r="O159" s="139">
        <f t="shared" si="20"/>
        <v>8533265324.5606642</v>
      </c>
      <c r="P159" s="139">
        <f t="shared" si="20"/>
        <v>8679798556.7140198</v>
      </c>
      <c r="Q159" s="139">
        <f t="shared" si="20"/>
        <v>8828848057.5299129</v>
      </c>
      <c r="R159" s="139">
        <f t="shared" si="20"/>
        <v>8980457036.3738155</v>
      </c>
      <c r="S159" s="139">
        <f t="shared" si="20"/>
        <v>9134669444.6024265</v>
      </c>
      <c r="T159" s="139">
        <f t="shared" si="20"/>
        <v>9291529988.3051395</v>
      </c>
      <c r="U159" s="139">
        <f t="shared" si="20"/>
        <v>9451084141.2643147</v>
      </c>
      <c r="V159" s="139">
        <f t="shared" si="20"/>
        <v>9613378158.1381054</v>
      </c>
      <c r="W159" s="139">
        <f t="shared" si="20"/>
        <v>9778459087.8696518</v>
      </c>
      <c r="X159" s="139">
        <f t="shared" si="20"/>
        <v>9946374787.3265495</v>
      </c>
      <c r="Y159" s="139">
        <f t="shared" si="20"/>
        <v>10117173935.17452</v>
      </c>
      <c r="Z159" s="139">
        <f t="shared" si="20"/>
        <v>10290906045.989338</v>
      </c>
      <c r="AA159" s="139">
        <f t="shared" si="20"/>
        <v>10467621484.611067</v>
      </c>
      <c r="AB159" s="139">
        <f t="shared" si="20"/>
        <v>10647371480.744808</v>
      </c>
      <c r="AC159" s="139">
        <f t="shared" si="20"/>
        <v>10830208143.812159</v>
      </c>
      <c r="AD159" s="139">
        <f t="shared" si="20"/>
        <v>11016184478.057701</v>
      </c>
      <c r="AE159" s="139">
        <f t="shared" si="20"/>
        <v>11205354397.914907</v>
      </c>
      <c r="AF159" s="139">
        <f t="shared" si="20"/>
        <v>11397772743.635902</v>
      </c>
    </row>
    <row r="160" spans="1:32" x14ac:dyDescent="0.3">
      <c r="A160" t="s">
        <v>1334</v>
      </c>
      <c r="B160" s="1" t="s">
        <v>10</v>
      </c>
      <c r="C160" s="139">
        <f t="shared" si="8"/>
        <v>19570193679.557671</v>
      </c>
      <c r="D160" s="139">
        <f t="shared" ref="D160:AF160" si="21">C160*(1+D70)</f>
        <v>20296794391.038574</v>
      </c>
      <c r="E160" s="139">
        <f t="shared" si="21"/>
        <v>19884906008.723549</v>
      </c>
      <c r="F160" s="139">
        <f t="shared" si="21"/>
        <v>19740880604.194218</v>
      </c>
      <c r="G160" s="139">
        <f t="shared" si="21"/>
        <v>20028199091.903755</v>
      </c>
      <c r="H160" s="139">
        <f t="shared" si="21"/>
        <v>20554064501.96265</v>
      </c>
      <c r="I160" s="139">
        <f t="shared" si="21"/>
        <v>21017938770.290012</v>
      </c>
      <c r="J160" s="139">
        <f t="shared" si="21"/>
        <v>21410701247.085907</v>
      </c>
      <c r="K160" s="139">
        <f t="shared" si="21"/>
        <v>21778538247.874317</v>
      </c>
      <c r="L160" s="139">
        <f t="shared" si="21"/>
        <v>22089173895.178207</v>
      </c>
      <c r="M160" s="139">
        <f t="shared" si="21"/>
        <v>22454881861.999733</v>
      </c>
      <c r="N160" s="139">
        <f t="shared" si="21"/>
        <v>22922843894.678741</v>
      </c>
      <c r="O160" s="139">
        <f t="shared" si="21"/>
        <v>23351502874.404602</v>
      </c>
      <c r="P160" s="139">
        <f t="shared" si="21"/>
        <v>23752903075.533718</v>
      </c>
      <c r="Q160" s="139">
        <f t="shared" si="21"/>
        <v>24227164586.68792</v>
      </c>
      <c r="R160" s="139">
        <f t="shared" si="21"/>
        <v>24639701414.243282</v>
      </c>
      <c r="S160" s="139">
        <f t="shared" si="21"/>
        <v>25053649465.302135</v>
      </c>
      <c r="T160" s="139">
        <f t="shared" si="21"/>
        <v>25475094063.179771</v>
      </c>
      <c r="U160" s="139">
        <f t="shared" si="21"/>
        <v>25853605415.034348</v>
      </c>
      <c r="V160" s="139">
        <f t="shared" si="21"/>
        <v>26264003481.54557</v>
      </c>
      <c r="W160" s="139">
        <f t="shared" si="21"/>
        <v>26739364790.270802</v>
      </c>
      <c r="X160" s="139">
        <f t="shared" si="21"/>
        <v>27192460101.586418</v>
      </c>
      <c r="Y160" s="139">
        <f t="shared" si="21"/>
        <v>27688639588.082848</v>
      </c>
      <c r="Z160" s="139">
        <f t="shared" si="21"/>
        <v>28120386356.726406</v>
      </c>
      <c r="AA160" s="139">
        <f t="shared" si="21"/>
        <v>28516669557.108025</v>
      </c>
      <c r="AB160" s="139">
        <f t="shared" si="21"/>
        <v>28962068757.060841</v>
      </c>
      <c r="AC160" s="139">
        <f t="shared" si="21"/>
        <v>29434648918.992344</v>
      </c>
      <c r="AD160" s="139">
        <f t="shared" si="21"/>
        <v>29849555645.271873</v>
      </c>
      <c r="AE160" s="139">
        <f t="shared" si="21"/>
        <v>30281258562.337643</v>
      </c>
      <c r="AF160" s="139">
        <f t="shared" si="21"/>
        <v>30910318375.542168</v>
      </c>
    </row>
    <row r="161" spans="1:32" x14ac:dyDescent="0.3">
      <c r="A161" t="s">
        <v>1334</v>
      </c>
      <c r="B161" s="1" t="s">
        <v>41</v>
      </c>
      <c r="C161" s="139">
        <f t="shared" si="8"/>
        <v>3868656683.7611094</v>
      </c>
      <c r="D161" s="139">
        <f t="shared" ref="D161:AF161" si="22">C161*(1+D71)</f>
        <v>3929677692.6376567</v>
      </c>
      <c r="E161" s="139">
        <f t="shared" si="22"/>
        <v>3698272713.5069609</v>
      </c>
      <c r="F161" s="139">
        <f t="shared" si="22"/>
        <v>3635354231.6793885</v>
      </c>
      <c r="G161" s="139">
        <f t="shared" si="22"/>
        <v>3636594373.4412789</v>
      </c>
      <c r="H161" s="139">
        <f t="shared" si="22"/>
        <v>3739390123.0664983</v>
      </c>
      <c r="I161" s="139">
        <f t="shared" si="22"/>
        <v>3797018135.737287</v>
      </c>
      <c r="J161" s="139">
        <f t="shared" si="22"/>
        <v>3841743365.3148336</v>
      </c>
      <c r="K161" s="139">
        <f t="shared" si="22"/>
        <v>3876523884.5845494</v>
      </c>
      <c r="L161" s="139">
        <f t="shared" si="22"/>
        <v>3896537781.0085392</v>
      </c>
      <c r="M161" s="139">
        <f t="shared" si="22"/>
        <v>3924135633.9662957</v>
      </c>
      <c r="N161" s="139">
        <f t="shared" si="22"/>
        <v>3957443381.8508773</v>
      </c>
      <c r="O161" s="139">
        <f t="shared" si="22"/>
        <v>4002186582.108037</v>
      </c>
      <c r="P161" s="139">
        <f t="shared" si="22"/>
        <v>4050089324.6046124</v>
      </c>
      <c r="Q161" s="139">
        <f t="shared" si="22"/>
        <v>4106587987.2263513</v>
      </c>
      <c r="R161" s="139">
        <f t="shared" si="22"/>
        <v>4134841852.4242783</v>
      </c>
      <c r="S161" s="139">
        <f t="shared" si="22"/>
        <v>4173864276.4256735</v>
      </c>
      <c r="T161" s="139">
        <f t="shared" si="22"/>
        <v>4212401656.9461479</v>
      </c>
      <c r="U161" s="139">
        <f t="shared" si="22"/>
        <v>4281318718.6546893</v>
      </c>
      <c r="V161" s="139">
        <f t="shared" si="22"/>
        <v>4349626261.0739832</v>
      </c>
      <c r="W161" s="139">
        <f t="shared" si="22"/>
        <v>4398015036.2632008</v>
      </c>
      <c r="X161" s="139">
        <f t="shared" si="22"/>
        <v>4458972405.852313</v>
      </c>
      <c r="Y161" s="139">
        <f t="shared" si="22"/>
        <v>4481524784.4230518</v>
      </c>
      <c r="Z161" s="139">
        <f t="shared" si="22"/>
        <v>4518810152.6409731</v>
      </c>
      <c r="AA161" s="139">
        <f t="shared" si="22"/>
        <v>4564579495.190876</v>
      </c>
      <c r="AB161" s="139">
        <f t="shared" si="22"/>
        <v>4632191292.0325079</v>
      </c>
      <c r="AC161" s="139">
        <f t="shared" si="22"/>
        <v>4672453692.9271736</v>
      </c>
      <c r="AD161" s="139">
        <f t="shared" si="22"/>
        <v>4685617133.3091078</v>
      </c>
      <c r="AE161" s="139">
        <f t="shared" si="22"/>
        <v>4717753654.5150833</v>
      </c>
      <c r="AF161" s="139">
        <f t="shared" si="22"/>
        <v>4764433896.1921387</v>
      </c>
    </row>
    <row r="162" spans="1:32" x14ac:dyDescent="0.3">
      <c r="A162" t="s">
        <v>1334</v>
      </c>
      <c r="B162" s="1" t="s">
        <v>42</v>
      </c>
      <c r="C162" s="139">
        <f t="shared" si="8"/>
        <v>11738713664.137058</v>
      </c>
      <c r="D162" s="139">
        <f t="shared" ref="D162:AF162" si="23">C162*(1+D72)</f>
        <v>13511001966.680653</v>
      </c>
      <c r="E162" s="139">
        <f t="shared" si="23"/>
        <v>12908189560.176346</v>
      </c>
      <c r="F162" s="139">
        <f t="shared" si="23"/>
        <v>12748795579.065546</v>
      </c>
      <c r="G162" s="139">
        <f t="shared" si="23"/>
        <v>12955660270.556286</v>
      </c>
      <c r="H162" s="139">
        <f t="shared" si="23"/>
        <v>13152653258.828362</v>
      </c>
      <c r="I162" s="139">
        <f t="shared" si="23"/>
        <v>13280717394.430454</v>
      </c>
      <c r="J162" s="139">
        <f t="shared" si="23"/>
        <v>13401764639.370222</v>
      </c>
      <c r="K162" s="139">
        <f t="shared" si="23"/>
        <v>13562156712.687298</v>
      </c>
      <c r="L162" s="139">
        <f t="shared" si="23"/>
        <v>13731048532.511887</v>
      </c>
      <c r="M162" s="139">
        <f t="shared" si="23"/>
        <v>13894712970.427837</v>
      </c>
      <c r="N162" s="139">
        <f t="shared" si="23"/>
        <v>14010467302.152491</v>
      </c>
      <c r="O162" s="139">
        <f t="shared" si="23"/>
        <v>14063550180.830364</v>
      </c>
      <c r="P162" s="139">
        <f t="shared" si="23"/>
        <v>14158431111.153507</v>
      </c>
      <c r="Q162" s="139">
        <f t="shared" si="23"/>
        <v>14371557402.992226</v>
      </c>
      <c r="R162" s="139">
        <f t="shared" si="23"/>
        <v>14544612141.067749</v>
      </c>
      <c r="S162" s="139">
        <f t="shared" si="23"/>
        <v>14689771546.209705</v>
      </c>
      <c r="T162" s="139">
        <f t="shared" si="23"/>
        <v>14846056990.987818</v>
      </c>
      <c r="U162" s="139">
        <f t="shared" si="23"/>
        <v>14966399354.310526</v>
      </c>
      <c r="V162" s="139">
        <f t="shared" si="23"/>
        <v>15128140700.424982</v>
      </c>
      <c r="W162" s="139">
        <f t="shared" si="23"/>
        <v>15307983809.735128</v>
      </c>
      <c r="X162" s="139">
        <f t="shared" si="23"/>
        <v>15449715423.461586</v>
      </c>
      <c r="Y162" s="139">
        <f t="shared" si="23"/>
        <v>15522645046.406235</v>
      </c>
      <c r="Z162" s="139">
        <f t="shared" si="23"/>
        <v>15697173398.732443</v>
      </c>
      <c r="AA162" s="139">
        <f t="shared" si="23"/>
        <v>15900377578.655207</v>
      </c>
      <c r="AB162" s="139">
        <f t="shared" si="23"/>
        <v>16064192402.518061</v>
      </c>
      <c r="AC162" s="139">
        <f t="shared" si="23"/>
        <v>16229811857.74378</v>
      </c>
      <c r="AD162" s="139">
        <f t="shared" si="23"/>
        <v>16354475926.713877</v>
      </c>
      <c r="AE162" s="139">
        <f t="shared" si="23"/>
        <v>16468027398.367098</v>
      </c>
      <c r="AF162" s="139">
        <f t="shared" si="23"/>
        <v>16614239505.137398</v>
      </c>
    </row>
    <row r="163" spans="1:32" x14ac:dyDescent="0.3">
      <c r="A163" t="s">
        <v>1334</v>
      </c>
      <c r="B163" s="1" t="s">
        <v>43</v>
      </c>
      <c r="C163" s="139">
        <f t="shared" si="8"/>
        <v>14577609969.831327</v>
      </c>
      <c r="D163" s="139">
        <f t="shared" ref="D163:AF163" si="24">C163*(1+D73)</f>
        <v>14751639854.131861</v>
      </c>
      <c r="E163" s="139">
        <f t="shared" si="24"/>
        <v>14511282874.482719</v>
      </c>
      <c r="F163" s="139">
        <f t="shared" si="24"/>
        <v>14287223782.474295</v>
      </c>
      <c r="G163" s="139">
        <f t="shared" si="24"/>
        <v>14611179069.214825</v>
      </c>
      <c r="H163" s="139">
        <f t="shared" si="24"/>
        <v>15308975119.389418</v>
      </c>
      <c r="I163" s="139">
        <f t="shared" si="24"/>
        <v>15670882254.866224</v>
      </c>
      <c r="J163" s="139">
        <f t="shared" si="24"/>
        <v>15756931896.733191</v>
      </c>
      <c r="K163" s="139">
        <f t="shared" si="24"/>
        <v>15834308255.666744</v>
      </c>
      <c r="L163" s="139">
        <f t="shared" si="24"/>
        <v>15748567356.391298</v>
      </c>
      <c r="M163" s="139">
        <f t="shared" si="24"/>
        <v>15715041748.43124</v>
      </c>
      <c r="N163" s="139">
        <f t="shared" si="24"/>
        <v>15873325527.990019</v>
      </c>
      <c r="O163" s="139">
        <f t="shared" si="24"/>
        <v>15820368556.731623</v>
      </c>
      <c r="P163" s="139">
        <f t="shared" si="24"/>
        <v>15810946500.334272</v>
      </c>
      <c r="Q163" s="139">
        <f t="shared" si="24"/>
        <v>15857444646.350498</v>
      </c>
      <c r="R163" s="139">
        <f t="shared" si="24"/>
        <v>15898749172.170012</v>
      </c>
      <c r="S163" s="139">
        <f t="shared" si="24"/>
        <v>16082831040.784369</v>
      </c>
      <c r="T163" s="139">
        <f t="shared" si="24"/>
        <v>16196197599.197603</v>
      </c>
      <c r="U163" s="139">
        <f t="shared" si="24"/>
        <v>16229827865.663263</v>
      </c>
      <c r="V163" s="139">
        <f t="shared" si="24"/>
        <v>16298603621.18119</v>
      </c>
      <c r="W163" s="139">
        <f t="shared" si="24"/>
        <v>16420544153.234741</v>
      </c>
      <c r="X163" s="139">
        <f t="shared" si="24"/>
        <v>16549222018.442579</v>
      </c>
      <c r="Y163" s="139">
        <f t="shared" si="24"/>
        <v>16599819056.686956</v>
      </c>
      <c r="Z163" s="139">
        <f t="shared" si="24"/>
        <v>16602498430.717506</v>
      </c>
      <c r="AA163" s="139">
        <f t="shared" si="24"/>
        <v>16565255468.925816</v>
      </c>
      <c r="AB163" s="139">
        <f t="shared" si="24"/>
        <v>16590434328.489937</v>
      </c>
      <c r="AC163" s="139">
        <f t="shared" si="24"/>
        <v>16666187085.139977</v>
      </c>
      <c r="AD163" s="139">
        <f t="shared" si="24"/>
        <v>16677080174.977129</v>
      </c>
      <c r="AE163" s="139">
        <f t="shared" si="24"/>
        <v>16699939802.057188</v>
      </c>
      <c r="AF163" s="139">
        <f t="shared" si="24"/>
        <v>16869308196.518364</v>
      </c>
    </row>
    <row r="164" spans="1:32" x14ac:dyDescent="0.3">
      <c r="A164" t="s">
        <v>1334</v>
      </c>
      <c r="B164" s="1" t="s">
        <v>44</v>
      </c>
      <c r="C164" s="139">
        <f t="shared" si="8"/>
        <v>7171488575.9407301</v>
      </c>
      <c r="D164" s="139">
        <f t="shared" ref="D164:AF164" si="25">C164*(1+D74)</f>
        <v>7455596853.4182863</v>
      </c>
      <c r="E164" s="139">
        <f t="shared" si="25"/>
        <v>7364320413.4157743</v>
      </c>
      <c r="F164" s="139">
        <f t="shared" si="25"/>
        <v>7408825746.7022619</v>
      </c>
      <c r="G164" s="139">
        <f t="shared" si="25"/>
        <v>7624352889.4177933</v>
      </c>
      <c r="H164" s="139">
        <f t="shared" si="25"/>
        <v>7875629824.8153019</v>
      </c>
      <c r="I164" s="139">
        <f t="shared" si="25"/>
        <v>8043698822.2755156</v>
      </c>
      <c r="J164" s="139">
        <f t="shared" si="25"/>
        <v>8160295624.910758</v>
      </c>
      <c r="K164" s="139">
        <f t="shared" si="25"/>
        <v>8223843385.8179827</v>
      </c>
      <c r="L164" s="139">
        <f t="shared" si="25"/>
        <v>8244293874.2867727</v>
      </c>
      <c r="M164" s="139">
        <f t="shared" si="25"/>
        <v>8278307096.349227</v>
      </c>
      <c r="N164" s="139">
        <f t="shared" si="25"/>
        <v>8325164672.8786602</v>
      </c>
      <c r="O164" s="139">
        <f t="shared" si="25"/>
        <v>8398833555.5266228</v>
      </c>
      <c r="P164" s="139">
        <f t="shared" si="25"/>
        <v>8506651217.7174501</v>
      </c>
      <c r="Q164" s="139">
        <f t="shared" si="25"/>
        <v>8618367195.8630352</v>
      </c>
      <c r="R164" s="139">
        <f t="shared" si="25"/>
        <v>8698409923.2723618</v>
      </c>
      <c r="S164" s="139">
        <f t="shared" si="25"/>
        <v>8796437805.4747105</v>
      </c>
      <c r="T164" s="139">
        <f t="shared" si="25"/>
        <v>8893681228.9986382</v>
      </c>
      <c r="U164" s="139">
        <f t="shared" si="25"/>
        <v>9000574721.4588127</v>
      </c>
      <c r="V164" s="139">
        <f t="shared" si="25"/>
        <v>9067475736.4183655</v>
      </c>
      <c r="W164" s="139">
        <f t="shared" si="25"/>
        <v>9181472780.6897469</v>
      </c>
      <c r="X164" s="139">
        <f t="shared" si="25"/>
        <v>9327087757.6726513</v>
      </c>
      <c r="Y164" s="139">
        <f t="shared" si="25"/>
        <v>9433309315.4910679</v>
      </c>
      <c r="Z164" s="139">
        <f t="shared" si="25"/>
        <v>9502087933.7134094</v>
      </c>
      <c r="AA164" s="139">
        <f t="shared" si="25"/>
        <v>9623589538.2756519</v>
      </c>
      <c r="AB164" s="139">
        <f t="shared" si="25"/>
        <v>9769012884.5585327</v>
      </c>
      <c r="AC164" s="139">
        <f t="shared" si="25"/>
        <v>9892498574.8612137</v>
      </c>
      <c r="AD164" s="139">
        <f t="shared" si="25"/>
        <v>9933710503.2893715</v>
      </c>
      <c r="AE164" s="139">
        <f t="shared" si="25"/>
        <v>10009502427.535128</v>
      </c>
      <c r="AF164" s="139">
        <f t="shared" si="25"/>
        <v>10160319564.427828</v>
      </c>
    </row>
    <row r="165" spans="1:32" x14ac:dyDescent="0.3">
      <c r="A165" t="s">
        <v>1334</v>
      </c>
      <c r="B165" s="1" t="s">
        <v>11</v>
      </c>
      <c r="C165" s="139">
        <f t="shared" si="8"/>
        <v>25821041604.104927</v>
      </c>
      <c r="D165" s="139">
        <f t="shared" ref="D165:AF165" si="26">C165*(1+D75)</f>
        <v>26162090090.925079</v>
      </c>
      <c r="E165" s="139">
        <f t="shared" si="26"/>
        <v>25655627264.130234</v>
      </c>
      <c r="F165" s="139">
        <f t="shared" si="26"/>
        <v>25466542795.930351</v>
      </c>
      <c r="G165" s="139">
        <f t="shared" si="26"/>
        <v>25934976525.285465</v>
      </c>
      <c r="H165" s="139">
        <f t="shared" si="26"/>
        <v>26790445698.75383</v>
      </c>
      <c r="I165" s="139">
        <f t="shared" si="26"/>
        <v>27512714457.272469</v>
      </c>
      <c r="J165" s="139">
        <f t="shared" si="26"/>
        <v>27935388880.365223</v>
      </c>
      <c r="K165" s="139">
        <f t="shared" si="26"/>
        <v>28258931930.334949</v>
      </c>
      <c r="L165" s="139">
        <f t="shared" si="26"/>
        <v>28459476620.951836</v>
      </c>
      <c r="M165" s="139">
        <f t="shared" si="26"/>
        <v>28758137819.005062</v>
      </c>
      <c r="N165" s="139">
        <f t="shared" si="26"/>
        <v>29370761306.016922</v>
      </c>
      <c r="O165" s="139">
        <f t="shared" si="26"/>
        <v>29894526190.78146</v>
      </c>
      <c r="P165" s="139">
        <f t="shared" si="26"/>
        <v>30329191563.153145</v>
      </c>
      <c r="Q165" s="139">
        <f t="shared" si="26"/>
        <v>30912106300.836697</v>
      </c>
      <c r="R165" s="139">
        <f t="shared" si="26"/>
        <v>31549585049.081326</v>
      </c>
      <c r="S165" s="139">
        <f t="shared" si="26"/>
        <v>32247142223.00436</v>
      </c>
      <c r="T165" s="139">
        <f t="shared" si="26"/>
        <v>32959958391.954742</v>
      </c>
      <c r="U165" s="139">
        <f t="shared" si="26"/>
        <v>33485014627.553421</v>
      </c>
      <c r="V165" s="139">
        <f t="shared" si="26"/>
        <v>33985624605.760365</v>
      </c>
      <c r="W165" s="139">
        <f t="shared" si="26"/>
        <v>34639901275.796486</v>
      </c>
      <c r="X165" s="139">
        <f t="shared" si="26"/>
        <v>35192043781.710861</v>
      </c>
      <c r="Y165" s="139">
        <f t="shared" si="26"/>
        <v>35654432224.178375</v>
      </c>
      <c r="Z165" s="139">
        <f t="shared" si="26"/>
        <v>35954681038.204094</v>
      </c>
      <c r="AA165" s="139">
        <f t="shared" si="26"/>
        <v>36111911968.465866</v>
      </c>
      <c r="AB165" s="139">
        <f t="shared" si="26"/>
        <v>36297208749.5448</v>
      </c>
      <c r="AC165" s="139">
        <f t="shared" si="26"/>
        <v>36605897461.077461</v>
      </c>
      <c r="AD165" s="139">
        <f t="shared" si="26"/>
        <v>36753653775.700531</v>
      </c>
      <c r="AE165" s="139">
        <f t="shared" si="26"/>
        <v>36783981573.535095</v>
      </c>
      <c r="AF165" s="139">
        <f t="shared" si="26"/>
        <v>37307998526.388718</v>
      </c>
    </row>
    <row r="166" spans="1:32" x14ac:dyDescent="0.3">
      <c r="A166" t="s">
        <v>1334</v>
      </c>
      <c r="B166" s="1" t="s">
        <v>12</v>
      </c>
      <c r="C166" s="139">
        <f t="shared" si="8"/>
        <v>92863277358.381226</v>
      </c>
      <c r="D166" s="139">
        <f t="shared" ref="D166:AF166" si="27">C166*(1+D76)</f>
        <v>97770359120.345795</v>
      </c>
      <c r="E166" s="139">
        <f t="shared" si="27"/>
        <v>99688706963.394058</v>
      </c>
      <c r="F166" s="139">
        <f t="shared" si="27"/>
        <v>102861268275.68156</v>
      </c>
      <c r="G166" s="139">
        <f t="shared" si="27"/>
        <v>106897089746.39435</v>
      </c>
      <c r="H166" s="139">
        <f t="shared" si="27"/>
        <v>111430425895.65683</v>
      </c>
      <c r="I166" s="139">
        <f t="shared" si="27"/>
        <v>115312045983.65225</v>
      </c>
      <c r="J166" s="139">
        <f t="shared" si="27"/>
        <v>118654278484.77408</v>
      </c>
      <c r="K166" s="139">
        <f t="shared" si="27"/>
        <v>121172001205.42583</v>
      </c>
      <c r="L166" s="139">
        <f t="shared" si="27"/>
        <v>123030549966.6407</v>
      </c>
      <c r="M166" s="139">
        <f t="shared" si="27"/>
        <v>125228877171.05978</v>
      </c>
      <c r="N166" s="139">
        <f t="shared" si="27"/>
        <v>127845332348.45793</v>
      </c>
      <c r="O166" s="139">
        <f t="shared" si="27"/>
        <v>130469222066.81926</v>
      </c>
      <c r="P166" s="139">
        <f t="shared" si="27"/>
        <v>133280644287.84311</v>
      </c>
      <c r="Q166" s="139">
        <f t="shared" si="27"/>
        <v>136046764917.03609</v>
      </c>
      <c r="R166" s="139">
        <f t="shared" si="27"/>
        <v>138987953214.97113</v>
      </c>
      <c r="S166" s="139">
        <f t="shared" si="27"/>
        <v>142228284014.56454</v>
      </c>
      <c r="T166" s="139">
        <f t="shared" si="27"/>
        <v>145715964157.85236</v>
      </c>
      <c r="U166" s="139">
        <f t="shared" si="27"/>
        <v>149311401519.24896</v>
      </c>
      <c r="V166" s="139">
        <f t="shared" si="27"/>
        <v>153447180831.40039</v>
      </c>
      <c r="W166" s="139">
        <f t="shared" si="27"/>
        <v>157533370091.36783</v>
      </c>
      <c r="X166" s="139">
        <f t="shared" si="27"/>
        <v>161191711112.73331</v>
      </c>
      <c r="Y166" s="139">
        <f t="shared" si="27"/>
        <v>165083380976.6965</v>
      </c>
      <c r="Z166" s="139">
        <f t="shared" si="27"/>
        <v>168829238169.75195</v>
      </c>
      <c r="AA166" s="139">
        <f t="shared" si="27"/>
        <v>172385983835.76205</v>
      </c>
      <c r="AB166" s="139">
        <f t="shared" si="27"/>
        <v>176033626870.41678</v>
      </c>
      <c r="AC166" s="139">
        <f t="shared" si="27"/>
        <v>179785598825.74286</v>
      </c>
      <c r="AD166" s="139">
        <f t="shared" si="27"/>
        <v>183413024171.18539</v>
      </c>
      <c r="AE166" s="139">
        <f t="shared" si="27"/>
        <v>187399232039.47284</v>
      </c>
      <c r="AF166" s="139">
        <f t="shared" si="27"/>
        <v>191899131092.70383</v>
      </c>
    </row>
    <row r="167" spans="1:32" x14ac:dyDescent="0.3">
      <c r="A167" t="s">
        <v>1334</v>
      </c>
      <c r="B167" s="1" t="s">
        <v>13</v>
      </c>
      <c r="C167" s="139">
        <f t="shared" si="8"/>
        <v>21076951155.090012</v>
      </c>
      <c r="D167" s="139">
        <f t="shared" ref="D167:AF167" si="28">C167*(1+D77)</f>
        <v>21664954193.433998</v>
      </c>
      <c r="E167" s="139">
        <f t="shared" si="28"/>
        <v>21655768329.644024</v>
      </c>
      <c r="F167" s="139">
        <f t="shared" si="28"/>
        <v>21896818655.793179</v>
      </c>
      <c r="G167" s="139">
        <f t="shared" si="28"/>
        <v>22423057028.64209</v>
      </c>
      <c r="H167" s="139">
        <f t="shared" si="28"/>
        <v>22957076478.458973</v>
      </c>
      <c r="I167" s="139">
        <f t="shared" si="28"/>
        <v>23448604811.207203</v>
      </c>
      <c r="J167" s="139">
        <f t="shared" si="28"/>
        <v>23885039512.372688</v>
      </c>
      <c r="K167" s="139">
        <f t="shared" si="28"/>
        <v>24252175041.66679</v>
      </c>
      <c r="L167" s="139">
        <f t="shared" si="28"/>
        <v>24558660702.453156</v>
      </c>
      <c r="M167" s="139">
        <f t="shared" si="28"/>
        <v>24735646727.871929</v>
      </c>
      <c r="N167" s="139">
        <f t="shared" si="28"/>
        <v>25248361274.240227</v>
      </c>
      <c r="O167" s="139">
        <f t="shared" si="28"/>
        <v>25958609923.54673</v>
      </c>
      <c r="P167" s="139">
        <f t="shared" si="28"/>
        <v>26644939957.74733</v>
      </c>
      <c r="Q167" s="139">
        <f t="shared" si="28"/>
        <v>27370883712.613422</v>
      </c>
      <c r="R167" s="139">
        <f t="shared" si="28"/>
        <v>28109359782.2686</v>
      </c>
      <c r="S167" s="139">
        <f t="shared" si="28"/>
        <v>28891228789.838909</v>
      </c>
      <c r="T167" s="139">
        <f t="shared" si="28"/>
        <v>29740520750.896786</v>
      </c>
      <c r="U167" s="139">
        <f t="shared" si="28"/>
        <v>30577771002.918636</v>
      </c>
      <c r="V167" s="139">
        <f t="shared" si="28"/>
        <v>31468654478.70015</v>
      </c>
      <c r="W167" s="139">
        <f t="shared" si="28"/>
        <v>32387939368.73114</v>
      </c>
      <c r="X167" s="139">
        <f t="shared" si="28"/>
        <v>33241100079.4193</v>
      </c>
      <c r="Y167" s="139">
        <f t="shared" si="28"/>
        <v>34148399198.34412</v>
      </c>
      <c r="Z167" s="139">
        <f t="shared" si="28"/>
        <v>35041734435.175842</v>
      </c>
      <c r="AA167" s="139">
        <f t="shared" si="28"/>
        <v>35908230082.7911</v>
      </c>
      <c r="AB167" s="139">
        <f t="shared" si="28"/>
        <v>36802351302.999832</v>
      </c>
      <c r="AC167" s="139">
        <f t="shared" si="28"/>
        <v>37743397949.317284</v>
      </c>
      <c r="AD167" s="139">
        <f t="shared" si="28"/>
        <v>38690828175.142654</v>
      </c>
      <c r="AE167" s="139">
        <f t="shared" si="28"/>
        <v>39618152914.491341</v>
      </c>
      <c r="AF167" s="139">
        <f t="shared" si="28"/>
        <v>40732500655.290291</v>
      </c>
    </row>
    <row r="168" spans="1:32" x14ac:dyDescent="0.3">
      <c r="A168" t="s">
        <v>1334</v>
      </c>
      <c r="B168" s="1" t="s">
        <v>14</v>
      </c>
      <c r="C168" s="139">
        <f t="shared" si="8"/>
        <v>32293312352.257057</v>
      </c>
      <c r="D168" s="139">
        <f t="shared" ref="D168:AF168" si="29">C168*(1+D78)</f>
        <v>33191698260.821407</v>
      </c>
      <c r="E168" s="139">
        <f t="shared" si="29"/>
        <v>32689248184.611324</v>
      </c>
      <c r="F168" s="139">
        <f t="shared" si="29"/>
        <v>32709374408.062016</v>
      </c>
      <c r="G168" s="139">
        <f t="shared" si="29"/>
        <v>33106912215.042553</v>
      </c>
      <c r="H168" s="139">
        <f t="shared" si="29"/>
        <v>34320528971.067242</v>
      </c>
      <c r="I168" s="139">
        <f t="shared" si="29"/>
        <v>35388649020.885742</v>
      </c>
      <c r="J168" s="139">
        <f t="shared" si="29"/>
        <v>35850436085.535454</v>
      </c>
      <c r="K168" s="139">
        <f t="shared" si="29"/>
        <v>36253859677.032372</v>
      </c>
      <c r="L168" s="139">
        <f t="shared" si="29"/>
        <v>36661267980.030357</v>
      </c>
      <c r="M168" s="139">
        <f t="shared" si="29"/>
        <v>37277443636.179024</v>
      </c>
      <c r="N168" s="139">
        <f t="shared" si="29"/>
        <v>38278599784.438141</v>
      </c>
      <c r="O168" s="139">
        <f t="shared" si="29"/>
        <v>39045204736.887665</v>
      </c>
      <c r="P168" s="139">
        <f t="shared" si="29"/>
        <v>39695234991.670052</v>
      </c>
      <c r="Q168" s="139">
        <f t="shared" si="29"/>
        <v>40454141794.468895</v>
      </c>
      <c r="R168" s="139">
        <f t="shared" si="29"/>
        <v>41161379578.977219</v>
      </c>
      <c r="S168" s="139">
        <f t="shared" si="29"/>
        <v>41848739654.997345</v>
      </c>
      <c r="T168" s="139">
        <f t="shared" si="29"/>
        <v>42534654822.498848</v>
      </c>
      <c r="U168" s="139">
        <f t="shared" si="29"/>
        <v>43100945917.393906</v>
      </c>
      <c r="V168" s="139">
        <f t="shared" si="29"/>
        <v>43672002402.978737</v>
      </c>
      <c r="W168" s="139">
        <f t="shared" si="29"/>
        <v>44343324791.81633</v>
      </c>
      <c r="X168" s="139">
        <f t="shared" si="29"/>
        <v>44938157564.363625</v>
      </c>
      <c r="Y168" s="139">
        <f t="shared" si="29"/>
        <v>45407680736.998871</v>
      </c>
      <c r="Z168" s="139">
        <f t="shared" si="29"/>
        <v>45768411002.850044</v>
      </c>
      <c r="AA168" s="139">
        <f t="shared" si="29"/>
        <v>46068007335.463409</v>
      </c>
      <c r="AB168" s="139">
        <f t="shared" si="29"/>
        <v>46567740026.809425</v>
      </c>
      <c r="AC168" s="139">
        <f t="shared" si="29"/>
        <v>47125777883.319023</v>
      </c>
      <c r="AD168" s="139">
        <f t="shared" si="29"/>
        <v>47636171883.168442</v>
      </c>
      <c r="AE168" s="139">
        <f t="shared" si="29"/>
        <v>47983259906.863342</v>
      </c>
      <c r="AF168" s="139">
        <f t="shared" si="29"/>
        <v>48647632016.612549</v>
      </c>
    </row>
    <row r="169" spans="1:32" x14ac:dyDescent="0.3">
      <c r="A169" t="s">
        <v>1334</v>
      </c>
      <c r="B169" s="1" t="s">
        <v>15</v>
      </c>
      <c r="C169" s="139">
        <f t="shared" si="8"/>
        <v>28866581250.410534</v>
      </c>
      <c r="D169" s="139">
        <f t="shared" ref="D169:AF169" si="30">C169*(1+D79)</f>
        <v>29683217576.225319</v>
      </c>
      <c r="E169" s="139">
        <f t="shared" si="30"/>
        <v>30606580734.563503</v>
      </c>
      <c r="F169" s="139">
        <f t="shared" si="30"/>
        <v>30990528801.722637</v>
      </c>
      <c r="G169" s="139">
        <f t="shared" si="30"/>
        <v>30899898846.964119</v>
      </c>
      <c r="H169" s="139">
        <f t="shared" si="30"/>
        <v>31060758280.439915</v>
      </c>
      <c r="I169" s="139">
        <f t="shared" si="30"/>
        <v>31637701681.013496</v>
      </c>
      <c r="J169" s="139">
        <f t="shared" si="30"/>
        <v>32069946748.476429</v>
      </c>
      <c r="K169" s="139">
        <f t="shared" si="30"/>
        <v>32278553988.254459</v>
      </c>
      <c r="L169" s="139">
        <f t="shared" si="30"/>
        <v>32559982500.421108</v>
      </c>
      <c r="M169" s="139">
        <f t="shared" si="30"/>
        <v>33058924198.457989</v>
      </c>
      <c r="N169" s="139">
        <f t="shared" si="30"/>
        <v>33897852712.39159</v>
      </c>
      <c r="O169" s="139">
        <f t="shared" si="30"/>
        <v>34629103736.19619</v>
      </c>
      <c r="P169" s="139">
        <f t="shared" si="30"/>
        <v>35187217154.564995</v>
      </c>
      <c r="Q169" s="139">
        <f t="shared" si="30"/>
        <v>35797561858.674995</v>
      </c>
      <c r="R169" s="139">
        <f t="shared" si="30"/>
        <v>36382977617.281662</v>
      </c>
      <c r="S169" s="139">
        <f t="shared" si="30"/>
        <v>36782383414.467819</v>
      </c>
      <c r="T169" s="139">
        <f t="shared" si="30"/>
        <v>37246366154.389862</v>
      </c>
      <c r="U169" s="139">
        <f t="shared" si="30"/>
        <v>37620191045.386703</v>
      </c>
      <c r="V169" s="139">
        <f t="shared" si="30"/>
        <v>38153118601.541161</v>
      </c>
      <c r="W169" s="139">
        <f t="shared" si="30"/>
        <v>38822490479.090088</v>
      </c>
      <c r="X169" s="139">
        <f t="shared" si="30"/>
        <v>39486527802.774284</v>
      </c>
      <c r="Y169" s="139">
        <f t="shared" si="30"/>
        <v>40060477919.76255</v>
      </c>
      <c r="Z169" s="139">
        <f t="shared" si="30"/>
        <v>40534339732.084007</v>
      </c>
      <c r="AA169" s="139">
        <f t="shared" si="30"/>
        <v>41012787816.838791</v>
      </c>
      <c r="AB169" s="139">
        <f t="shared" si="30"/>
        <v>41634781227.234383</v>
      </c>
      <c r="AC169" s="139">
        <f t="shared" si="30"/>
        <v>42307888276.480927</v>
      </c>
      <c r="AD169" s="139">
        <f t="shared" si="30"/>
        <v>42915002065.491669</v>
      </c>
      <c r="AE169" s="139">
        <f t="shared" si="30"/>
        <v>43495783404.447266</v>
      </c>
      <c r="AF169" s="139">
        <f t="shared" si="30"/>
        <v>44228476476.887817</v>
      </c>
    </row>
    <row r="170" spans="1:32" x14ac:dyDescent="0.3">
      <c r="A170" t="s">
        <v>1334</v>
      </c>
      <c r="B170" s="1" t="s">
        <v>16</v>
      </c>
      <c r="C170" s="139">
        <f t="shared" si="8"/>
        <v>8141901742.9707403</v>
      </c>
      <c r="D170" s="139">
        <f t="shared" ref="D170:AF170" si="31">C170*(1+D80)</f>
        <v>8372236352.6304846</v>
      </c>
      <c r="E170" s="139">
        <f t="shared" si="31"/>
        <v>8632673570.4309731</v>
      </c>
      <c r="F170" s="139">
        <f t="shared" si="31"/>
        <v>8740967220.1048069</v>
      </c>
      <c r="G170" s="139">
        <f t="shared" si="31"/>
        <v>8715404782.3428631</v>
      </c>
      <c r="H170" s="139">
        <f t="shared" si="31"/>
        <v>8760775645.2943344</v>
      </c>
      <c r="I170" s="139">
        <f t="shared" si="31"/>
        <v>8923504180.3424091</v>
      </c>
      <c r="J170" s="139">
        <f t="shared" si="31"/>
        <v>9045420136.9857655</v>
      </c>
      <c r="K170" s="139">
        <f t="shared" si="31"/>
        <v>9104258405.1690102</v>
      </c>
      <c r="L170" s="139">
        <f t="shared" si="31"/>
        <v>9183636121.3541813</v>
      </c>
      <c r="M170" s="139">
        <f t="shared" si="31"/>
        <v>9324364053.2712841</v>
      </c>
      <c r="N170" s="139">
        <f t="shared" si="31"/>
        <v>9560986238.3014812</v>
      </c>
      <c r="O170" s="139">
        <f t="shared" si="31"/>
        <v>9767237679.4962769</v>
      </c>
      <c r="P170" s="139">
        <f t="shared" si="31"/>
        <v>9924655164.2470112</v>
      </c>
      <c r="Q170" s="139">
        <f t="shared" si="31"/>
        <v>10096804632.419155</v>
      </c>
      <c r="R170" s="139">
        <f t="shared" si="31"/>
        <v>10261922820.264637</v>
      </c>
      <c r="S170" s="139">
        <f t="shared" si="31"/>
        <v>10374576366.871109</v>
      </c>
      <c r="T170" s="139">
        <f t="shared" si="31"/>
        <v>10505444024.738489</v>
      </c>
      <c r="U170" s="139">
        <f t="shared" si="31"/>
        <v>10610882403.643497</v>
      </c>
      <c r="V170" s="139">
        <f t="shared" si="31"/>
        <v>10761196143.974953</v>
      </c>
      <c r="W170" s="139">
        <f t="shared" si="31"/>
        <v>10949994395.116442</v>
      </c>
      <c r="X170" s="139">
        <f t="shared" si="31"/>
        <v>11137288020.094118</v>
      </c>
      <c r="Y170" s="139">
        <f t="shared" si="31"/>
        <v>11299172290.952087</v>
      </c>
      <c r="Z170" s="139">
        <f t="shared" si="31"/>
        <v>11432826369.424318</v>
      </c>
      <c r="AA170" s="139">
        <f t="shared" si="31"/>
        <v>11567774019.14403</v>
      </c>
      <c r="AB170" s="139">
        <f t="shared" si="31"/>
        <v>11743209038.21627</v>
      </c>
      <c r="AC170" s="139">
        <f t="shared" si="31"/>
        <v>11933060805.210272</v>
      </c>
      <c r="AD170" s="139">
        <f t="shared" si="31"/>
        <v>12104298984.544649</v>
      </c>
      <c r="AE170" s="139">
        <f t="shared" si="31"/>
        <v>12268110021.082279</v>
      </c>
      <c r="AF170" s="139">
        <f t="shared" si="31"/>
        <v>12474768196.216249</v>
      </c>
    </row>
    <row r="171" spans="1:32" x14ac:dyDescent="0.3">
      <c r="A171" t="s">
        <v>1334</v>
      </c>
      <c r="B171" s="1" t="s">
        <v>17</v>
      </c>
      <c r="C171" s="139">
        <f t="shared" si="8"/>
        <v>8269202124.3301105</v>
      </c>
      <c r="D171" s="139">
        <f t="shared" ref="D171:AF171" si="32">C171*(1+D81)</f>
        <v>8252693379.2893667</v>
      </c>
      <c r="E171" s="139">
        <f t="shared" si="32"/>
        <v>8136378501.6914215</v>
      </c>
      <c r="F171" s="139">
        <f t="shared" si="32"/>
        <v>8153314355.9761839</v>
      </c>
      <c r="G171" s="139">
        <f t="shared" si="32"/>
        <v>8198704101.4125624</v>
      </c>
      <c r="H171" s="139">
        <f t="shared" si="32"/>
        <v>8402231949.3395205</v>
      </c>
      <c r="I171" s="139">
        <f t="shared" si="32"/>
        <v>8627685228.6095486</v>
      </c>
      <c r="J171" s="139">
        <f t="shared" si="32"/>
        <v>8724286458.2747898</v>
      </c>
      <c r="K171" s="139">
        <f t="shared" si="32"/>
        <v>8825570054.0060844</v>
      </c>
      <c r="L171" s="139">
        <f t="shared" si="32"/>
        <v>8913343039.6600819</v>
      </c>
      <c r="M171" s="139">
        <f t="shared" si="32"/>
        <v>8994843876.2965717</v>
      </c>
      <c r="N171" s="139">
        <f t="shared" si="32"/>
        <v>9204894867.7888355</v>
      </c>
      <c r="O171" s="139">
        <f t="shared" si="32"/>
        <v>9309428497.9238396</v>
      </c>
      <c r="P171" s="139">
        <f t="shared" si="32"/>
        <v>9400906226.4457817</v>
      </c>
      <c r="Q171" s="139">
        <f t="shared" si="32"/>
        <v>9563293477.734251</v>
      </c>
      <c r="R171" s="139">
        <f t="shared" si="32"/>
        <v>9724157681.8906441</v>
      </c>
      <c r="S171" s="139">
        <f t="shared" si="32"/>
        <v>9884060437.8017578</v>
      </c>
      <c r="T171" s="139">
        <f t="shared" si="32"/>
        <v>10066387560.139465</v>
      </c>
      <c r="U171" s="139">
        <f t="shared" si="32"/>
        <v>10221146228.60368</v>
      </c>
      <c r="V171" s="139">
        <f t="shared" si="32"/>
        <v>10371828130.284805</v>
      </c>
      <c r="W171" s="139">
        <f t="shared" si="32"/>
        <v>10586992329.768562</v>
      </c>
      <c r="X171" s="139">
        <f t="shared" si="32"/>
        <v>10786560707.598356</v>
      </c>
      <c r="Y171" s="139">
        <f t="shared" si="32"/>
        <v>10941857900.191483</v>
      </c>
      <c r="Z171" s="139">
        <f t="shared" si="32"/>
        <v>11049241036.702368</v>
      </c>
      <c r="AA171" s="139">
        <f t="shared" si="32"/>
        <v>11106689152.919441</v>
      </c>
      <c r="AB171" s="139">
        <f t="shared" si="32"/>
        <v>11245298092.42885</v>
      </c>
      <c r="AC171" s="139">
        <f t="shared" si="32"/>
        <v>11412823549.363192</v>
      </c>
      <c r="AD171" s="139">
        <f t="shared" si="32"/>
        <v>11535097256.96224</v>
      </c>
      <c r="AE171" s="139">
        <f t="shared" si="32"/>
        <v>11591101617.249586</v>
      </c>
      <c r="AF171" s="139">
        <f t="shared" si="32"/>
        <v>11931092112.867823</v>
      </c>
    </row>
    <row r="172" spans="1:32" x14ac:dyDescent="0.3">
      <c r="B172" s="1" t="s">
        <v>45</v>
      </c>
      <c r="C172" s="139">
        <f t="shared" si="8"/>
        <v>17044383876.561859</v>
      </c>
      <c r="D172" s="139">
        <f t="shared" ref="D172:AF172" si="33">C172*(1+D82)</f>
        <v>17320809694.271942</v>
      </c>
      <c r="E172" s="139">
        <f t="shared" si="33"/>
        <v>17601718585.893646</v>
      </c>
      <c r="F172" s="139">
        <f t="shared" si="33"/>
        <v>17887183257.91967</v>
      </c>
      <c r="G172" s="139">
        <f t="shared" si="33"/>
        <v>18177277595.996613</v>
      </c>
      <c r="H172" s="139">
        <f t="shared" si="33"/>
        <v>18472076684.048489</v>
      </c>
      <c r="I172" s="139">
        <f t="shared" si="33"/>
        <v>18771656823.710388</v>
      </c>
      <c r="J172" s="139">
        <f t="shared" si="33"/>
        <v>19076095554.077324</v>
      </c>
      <c r="K172" s="139">
        <f t="shared" si="33"/>
        <v>19385471671.77335</v>
      </c>
      <c r="L172" s="139">
        <f t="shared" si="33"/>
        <v>19699865251.346172</v>
      </c>
      <c r="M172" s="139">
        <f t="shared" si="33"/>
        <v>20019357665.992504</v>
      </c>
      <c r="N172" s="139">
        <f t="shared" si="33"/>
        <v>20344031608.619572</v>
      </c>
      <c r="O172" s="139">
        <f t="shared" si="33"/>
        <v>20673971113.248165</v>
      </c>
      <c r="P172" s="139">
        <f t="shared" si="33"/>
        <v>21009261576.762825</v>
      </c>
      <c r="Q172" s="139">
        <f t="shared" si="33"/>
        <v>21349989781.014767</v>
      </c>
      <c r="R172" s="139">
        <f t="shared" si="33"/>
        <v>21696243915.283264</v>
      </c>
      <c r="S172" s="139">
        <f t="shared" si="33"/>
        <v>22048113599.10133</v>
      </c>
      <c r="T172" s="139">
        <f t="shared" si="33"/>
        <v>22405689905.451557</v>
      </c>
      <c r="U172" s="139">
        <f t="shared" si="33"/>
        <v>22769065384.338173</v>
      </c>
      <c r="V172" s="139">
        <f t="shared" si="33"/>
        <v>23138334086.741371</v>
      </c>
      <c r="W172" s="139">
        <f t="shared" si="33"/>
        <v>23513591588.960144</v>
      </c>
      <c r="X172" s="139">
        <f t="shared" si="33"/>
        <v>23894935017.349903</v>
      </c>
      <c r="Y172" s="139">
        <f t="shared" si="33"/>
        <v>24282463073.461285</v>
      </c>
      <c r="Z172" s="139">
        <f t="shared" si="33"/>
        <v>24676276059.586681</v>
      </c>
      <c r="AA172" s="139">
        <f t="shared" si="33"/>
        <v>25076475904.721058</v>
      </c>
      <c r="AB172" s="139">
        <f t="shared" si="33"/>
        <v>25483166190.943825</v>
      </c>
      <c r="AC172" s="139">
        <f t="shared" si="33"/>
        <v>25896452180.228554</v>
      </c>
      <c r="AD172" s="139">
        <f t="shared" si="33"/>
        <v>26316440841.687504</v>
      </c>
      <c r="AE172" s="139">
        <f t="shared" si="33"/>
        <v>26743240879.257992</v>
      </c>
      <c r="AF172" s="139">
        <f t="shared" si="33"/>
        <v>27176962759.837799</v>
      </c>
    </row>
    <row r="173" spans="1:32" x14ac:dyDescent="0.3">
      <c r="B173" s="1" t="s">
        <v>46</v>
      </c>
      <c r="C173" s="139">
        <f t="shared" si="8"/>
        <v>172817985.40340394</v>
      </c>
      <c r="D173" s="139">
        <f t="shared" ref="D173:AF173" si="34">C173*(1+D83)</f>
        <v>174136932.26800272</v>
      </c>
      <c r="E173" s="139">
        <f t="shared" si="34"/>
        <v>175465945.33507213</v>
      </c>
      <c r="F173" s="139">
        <f t="shared" si="34"/>
        <v>176805101.42986941</v>
      </c>
      <c r="G173" s="139">
        <f t="shared" si="34"/>
        <v>178154477.96398219</v>
      </c>
      <c r="H173" s="139">
        <f t="shared" si="34"/>
        <v>179514152.93980333</v>
      </c>
      <c r="I173" s="139">
        <f t="shared" si="34"/>
        <v>180884204.95503992</v>
      </c>
      <c r="J173" s="139">
        <f t="shared" si="34"/>
        <v>182264713.20725679</v>
      </c>
      <c r="K173" s="139">
        <f t="shared" si="34"/>
        <v>183655757.4984546</v>
      </c>
      <c r="L173" s="139">
        <f t="shared" si="34"/>
        <v>185057418.23968282</v>
      </c>
      <c r="M173" s="139">
        <f t="shared" si="34"/>
        <v>186469776.45568809</v>
      </c>
      <c r="N173" s="139">
        <f t="shared" si="34"/>
        <v>187892913.78959793</v>
      </c>
      <c r="O173" s="139">
        <f t="shared" si="34"/>
        <v>189326912.50764015</v>
      </c>
      <c r="P173" s="139">
        <f t="shared" si="34"/>
        <v>190771855.50389847</v>
      </c>
      <c r="Q173" s="139">
        <f t="shared" si="34"/>
        <v>192227826.30510423</v>
      </c>
      <c r="R173" s="139">
        <f t="shared" si="34"/>
        <v>193694909.07546479</v>
      </c>
      <c r="S173" s="139">
        <f t="shared" si="34"/>
        <v>195173188.62152874</v>
      </c>
      <c r="T173" s="139">
        <f t="shared" si="34"/>
        <v>196662750.39708826</v>
      </c>
      <c r="U173" s="139">
        <f t="shared" si="34"/>
        <v>198163680.50811887</v>
      </c>
      <c r="V173" s="139">
        <f t="shared" si="34"/>
        <v>199676065.71775684</v>
      </c>
      <c r="W173" s="139">
        <f t="shared" si="34"/>
        <v>201199993.45131478</v>
      </c>
      <c r="X173" s="139">
        <f t="shared" si="34"/>
        <v>202735551.80133522</v>
      </c>
      <c r="Y173" s="139">
        <f t="shared" si="34"/>
        <v>204282829.53268301</v>
      </c>
      <c r="Z173" s="139">
        <f t="shared" si="34"/>
        <v>205841916.08767647</v>
      </c>
      <c r="AA173" s="139">
        <f t="shared" si="34"/>
        <v>207412901.59125763</v>
      </c>
      <c r="AB173" s="139">
        <f t="shared" si="34"/>
        <v>208995876.85620213</v>
      </c>
      <c r="AC173" s="139">
        <f t="shared" si="34"/>
        <v>210590933.38836867</v>
      </c>
      <c r="AD173" s="139">
        <f t="shared" si="34"/>
        <v>212198163.39198872</v>
      </c>
      <c r="AE173" s="139">
        <f t="shared" si="34"/>
        <v>213817659.7749964</v>
      </c>
      <c r="AF173" s="139">
        <f t="shared" si="34"/>
        <v>215449516.15439919</v>
      </c>
    </row>
    <row r="174" spans="1:32" x14ac:dyDescent="0.3">
      <c r="B174" s="1" t="s">
        <v>47</v>
      </c>
      <c r="C174" s="139">
        <f t="shared" si="8"/>
        <v>8843783706.256691</v>
      </c>
      <c r="D174" s="139">
        <f t="shared" ref="D174:AF174" si="35">C174*(1+D84)</f>
        <v>8981986712.4244156</v>
      </c>
      <c r="E174" s="139">
        <f t="shared" si="35"/>
        <v>9122349435.6938019</v>
      </c>
      <c r="F174" s="139">
        <f t="shared" si="35"/>
        <v>9264905626.2566032</v>
      </c>
      <c r="G174" s="139">
        <f t="shared" si="35"/>
        <v>9409689561.7233944</v>
      </c>
      <c r="H174" s="139">
        <f t="shared" si="35"/>
        <v>9556736055.3656139</v>
      </c>
      <c r="I174" s="139">
        <f t="shared" si="35"/>
        <v>9706080464.4864082</v>
      </c>
      <c r="J174" s="139">
        <f t="shared" si="35"/>
        <v>9857758698.9222908</v>
      </c>
      <c r="K174" s="139">
        <f t="shared" si="35"/>
        <v>10011807229.677658</v>
      </c>
      <c r="L174" s="139">
        <f t="shared" si="35"/>
        <v>10168263097.694231</v>
      </c>
      <c r="M174" s="139">
        <f t="shared" si="35"/>
        <v>10327163922.757545</v>
      </c>
      <c r="N174" s="139">
        <f t="shared" si="35"/>
        <v>10488547912.542624</v>
      </c>
      <c r="O174" s="139">
        <f t="shared" si="35"/>
        <v>10652453871.801001</v>
      </c>
      <c r="P174" s="139">
        <f t="shared" si="35"/>
        <v>10818921211.691322</v>
      </c>
      <c r="Q174" s="139">
        <f t="shared" si="35"/>
        <v>10987989959.255749</v>
      </c>
      <c r="R174" s="139">
        <f t="shared" si="35"/>
        <v>11159700767.044453</v>
      </c>
      <c r="S174" s="139">
        <f t="shared" si="35"/>
        <v>11334094922.890516</v>
      </c>
      <c r="T174" s="139">
        <f t="shared" si="35"/>
        <v>11511214359.837582</v>
      </c>
      <c r="U174" s="139">
        <f t="shared" si="35"/>
        <v>11691101666.222645</v>
      </c>
      <c r="V174" s="139">
        <f t="shared" si="35"/>
        <v>11873800095.916416</v>
      </c>
      <c r="W174" s="139">
        <f t="shared" si="35"/>
        <v>12059353578.723703</v>
      </c>
      <c r="X174" s="139">
        <f t="shared" si="35"/>
        <v>12247806730.946323</v>
      </c>
      <c r="Y174" s="139">
        <f t="shared" si="35"/>
        <v>12439204866.11109</v>
      </c>
      <c r="Z174" s="139">
        <f t="shared" si="35"/>
        <v>12633594005.865437</v>
      </c>
      <c r="AA174" s="139">
        <f t="shared" si="35"/>
        <v>12831020891.043318</v>
      </c>
      <c r="AB174" s="139">
        <f t="shared" si="35"/>
        <v>13031532992.904032</v>
      </c>
      <c r="AC174" s="139">
        <f t="shared" si="35"/>
        <v>13235178524.546679</v>
      </c>
      <c r="AD174" s="139">
        <f t="shared" si="35"/>
        <v>13442006452.502991</v>
      </c>
      <c r="AE174" s="139">
        <f t="shared" si="35"/>
        <v>13652066508.511324</v>
      </c>
      <c r="AF174" s="139">
        <f t="shared" si="35"/>
        <v>13865409201.474649</v>
      </c>
    </row>
    <row r="175" spans="1:32" x14ac:dyDescent="0.3">
      <c r="A175" t="s">
        <v>1334</v>
      </c>
      <c r="B175" s="1" t="s">
        <v>18</v>
      </c>
      <c r="C175" s="139">
        <f t="shared" si="8"/>
        <v>77112272541.738953</v>
      </c>
      <c r="D175" s="139">
        <f t="shared" ref="D175:AF175" si="36">C175*(1+D85)</f>
        <v>75213346379.636917</v>
      </c>
      <c r="E175" s="139">
        <f t="shared" si="36"/>
        <v>73571546389.540131</v>
      </c>
      <c r="F175" s="139">
        <f t="shared" si="36"/>
        <v>73027199114.734558</v>
      </c>
      <c r="G175" s="139">
        <f t="shared" si="36"/>
        <v>74189259894.794983</v>
      </c>
      <c r="H175" s="139">
        <f t="shared" si="36"/>
        <v>74921902089.877884</v>
      </c>
      <c r="I175" s="139">
        <f t="shared" si="36"/>
        <v>74989778219.86084</v>
      </c>
      <c r="J175" s="139">
        <f t="shared" si="36"/>
        <v>75562303794.977509</v>
      </c>
      <c r="K175" s="139">
        <f t="shared" si="36"/>
        <v>77346060796.92305</v>
      </c>
      <c r="L175" s="139">
        <f t="shared" si="36"/>
        <v>78523584915.535324</v>
      </c>
      <c r="M175" s="139">
        <f t="shared" si="36"/>
        <v>78641300942.820084</v>
      </c>
      <c r="N175" s="139">
        <f t="shared" si="36"/>
        <v>78548930424.281601</v>
      </c>
      <c r="O175" s="139">
        <f t="shared" si="36"/>
        <v>78666639958.12233</v>
      </c>
      <c r="P175" s="139">
        <f t="shared" si="36"/>
        <v>78757067765.950836</v>
      </c>
      <c r="Q175" s="139">
        <f t="shared" si="36"/>
        <v>79140219870.383972</v>
      </c>
      <c r="R175" s="139">
        <f t="shared" si="36"/>
        <v>79822229542.195419</v>
      </c>
      <c r="S175" s="139">
        <f t="shared" si="36"/>
        <v>80847901332.201614</v>
      </c>
      <c r="T175" s="139">
        <f t="shared" si="36"/>
        <v>82023001959.121933</v>
      </c>
      <c r="U175" s="139">
        <f t="shared" si="36"/>
        <v>83013036717.08963</v>
      </c>
      <c r="V175" s="139">
        <f t="shared" si="36"/>
        <v>84170932804.41246</v>
      </c>
      <c r="W175" s="139">
        <f t="shared" si="36"/>
        <v>85529065681.359238</v>
      </c>
      <c r="X175" s="139">
        <f t="shared" si="36"/>
        <v>86595916657.87236</v>
      </c>
      <c r="Y175" s="139">
        <f t="shared" si="36"/>
        <v>87521499353.4021</v>
      </c>
      <c r="Z175" s="139">
        <f t="shared" si="36"/>
        <v>88444379179.472305</v>
      </c>
      <c r="AA175" s="139">
        <f t="shared" si="36"/>
        <v>89505018910.658554</v>
      </c>
      <c r="AB175" s="139">
        <f t="shared" si="36"/>
        <v>90606259486.034592</v>
      </c>
      <c r="AC175" s="139">
        <f t="shared" si="36"/>
        <v>91679165865.218155</v>
      </c>
      <c r="AD175" s="139">
        <f t="shared" si="36"/>
        <v>92586316015.081909</v>
      </c>
      <c r="AE175" s="139">
        <f t="shared" si="36"/>
        <v>93391863193.189102</v>
      </c>
      <c r="AF175" s="139">
        <f t="shared" si="36"/>
        <v>94627680023.239639</v>
      </c>
    </row>
    <row r="176" spans="1:32" x14ac:dyDescent="0.3">
      <c r="B176" s="1" t="s">
        <v>19</v>
      </c>
      <c r="C176" s="139">
        <f t="shared" si="8"/>
        <v>147991528083.4277</v>
      </c>
      <c r="D176" s="139">
        <f t="shared" ref="D176:AF176" si="37">C176*(1+D86)</f>
        <v>151524121017.60324</v>
      </c>
      <c r="E176" s="139">
        <f t="shared" si="37"/>
        <v>155141037784.36703</v>
      </c>
      <c r="F176" s="139">
        <f t="shared" si="37"/>
        <v>158844291213.63605</v>
      </c>
      <c r="G176" s="139">
        <f t="shared" si="37"/>
        <v>162635942182.05557</v>
      </c>
      <c r="H176" s="139">
        <f t="shared" si="37"/>
        <v>166518100759.88602</v>
      </c>
      <c r="I176" s="139">
        <f t="shared" si="37"/>
        <v>170492927385.26617</v>
      </c>
      <c r="J176" s="139">
        <f t="shared" si="37"/>
        <v>174562634066.50653</v>
      </c>
      <c r="K176" s="139">
        <f t="shared" si="37"/>
        <v>178729485613.08142</v>
      </c>
      <c r="L176" s="139">
        <f t="shared" si="37"/>
        <v>182995800896.0054</v>
      </c>
      <c r="M176" s="139">
        <f t="shared" si="37"/>
        <v>187363954138.29504</v>
      </c>
      <c r="N176" s="139">
        <f t="shared" si="37"/>
        <v>191836376236.23438</v>
      </c>
      <c r="O176" s="139">
        <f t="shared" si="37"/>
        <v>196415556112.17926</v>
      </c>
      <c r="P176" s="139">
        <f t="shared" si="37"/>
        <v>201104042099.65347</v>
      </c>
      <c r="Q176" s="139">
        <f t="shared" si="37"/>
        <v>205904443361.50742</v>
      </c>
      <c r="R176" s="139">
        <f t="shared" si="37"/>
        <v>210819431341.92859</v>
      </c>
      <c r="S176" s="139">
        <f t="shared" si="37"/>
        <v>215851741253.11194</v>
      </c>
      <c r="T176" s="139">
        <f t="shared" si="37"/>
        <v>221004173597.41733</v>
      </c>
      <c r="U176" s="139">
        <f t="shared" si="37"/>
        <v>226279595725.86124</v>
      </c>
      <c r="V176" s="139">
        <f t="shared" si="37"/>
        <v>231680943433.81012</v>
      </c>
      <c r="W176" s="139">
        <f t="shared" si="37"/>
        <v>237211222594.76334</v>
      </c>
      <c r="X176" s="139">
        <f t="shared" si="37"/>
        <v>242873510833.13474</v>
      </c>
      <c r="Y176" s="139">
        <f t="shared" si="37"/>
        <v>248670959236.96411</v>
      </c>
      <c r="Z176" s="139">
        <f t="shared" si="37"/>
        <v>254606794111.51141</v>
      </c>
      <c r="AA176" s="139">
        <f t="shared" si="37"/>
        <v>260684318774.70956</v>
      </c>
      <c r="AB176" s="139">
        <f t="shared" si="37"/>
        <v>266906915395.47537</v>
      </c>
      <c r="AC176" s="139">
        <f t="shared" si="37"/>
        <v>273278046875.90118</v>
      </c>
      <c r="AD176" s="139">
        <f t="shared" si="37"/>
        <v>279801258778.375</v>
      </c>
      <c r="AE176" s="139">
        <f t="shared" si="37"/>
        <v>286480181298.70135</v>
      </c>
      <c r="AF176" s="139">
        <f t="shared" si="37"/>
        <v>293318531286.32104</v>
      </c>
    </row>
    <row r="177" spans="2:32" x14ac:dyDescent="0.3">
      <c r="B177" s="1" t="s">
        <v>20</v>
      </c>
      <c r="C177" s="139">
        <f t="shared" si="8"/>
        <v>48084965729.884354</v>
      </c>
      <c r="D177" s="139">
        <f t="shared" ref="D177:AF177" si="38">C177*(1+D87)</f>
        <v>48818934646.785309</v>
      </c>
      <c r="E177" s="139">
        <f t="shared" si="38"/>
        <v>49564106865.233833</v>
      </c>
      <c r="F177" s="139">
        <f t="shared" si="38"/>
        <v>50320653392.424759</v>
      </c>
      <c r="G177" s="139">
        <f t="shared" si="38"/>
        <v>51088747845.806725</v>
      </c>
      <c r="H177" s="139">
        <f t="shared" si="38"/>
        <v>51868566492.925117</v>
      </c>
      <c r="I177" s="139">
        <f t="shared" si="38"/>
        <v>52660288291.873123</v>
      </c>
      <c r="J177" s="139">
        <f t="shared" si="38"/>
        <v>53464094932.360275</v>
      </c>
      <c r="K177" s="139">
        <f t="shared" si="38"/>
        <v>54280170877.407822</v>
      </c>
      <c r="L177" s="139">
        <f t="shared" si="38"/>
        <v>55108703405.680573</v>
      </c>
      <c r="M177" s="139">
        <f t="shared" si="38"/>
        <v>55949882654.464874</v>
      </c>
      <c r="N177" s="139">
        <f t="shared" si="38"/>
        <v>56803901663.30262</v>
      </c>
      <c r="O177" s="139">
        <f t="shared" si="38"/>
        <v>57670956418.291267</v>
      </c>
      <c r="P177" s="139">
        <f t="shared" si="38"/>
        <v>58551245897.060059</v>
      </c>
      <c r="Q177" s="139">
        <f t="shared" si="38"/>
        <v>59444972114.432777</v>
      </c>
      <c r="R177" s="139">
        <f t="shared" si="38"/>
        <v>60352340168.787476</v>
      </c>
      <c r="S177" s="139">
        <f t="shared" si="38"/>
        <v>61273558289.123848</v>
      </c>
      <c r="T177" s="139">
        <f t="shared" si="38"/>
        <v>62208837882.84903</v>
      </c>
      <c r="U177" s="139">
        <f t="shared" si="38"/>
        <v>63158393584.292831</v>
      </c>
      <c r="V177" s="139">
        <f t="shared" si="38"/>
        <v>64122443303.96347</v>
      </c>
      <c r="W177" s="139">
        <f t="shared" si="38"/>
        <v>65101208278.555168</v>
      </c>
      <c r="X177" s="139">
        <f t="shared" si="38"/>
        <v>66094913121.719032</v>
      </c>
      <c r="Y177" s="139">
        <f t="shared" si="38"/>
        <v>67103785875.608948</v>
      </c>
      <c r="Z177" s="139">
        <f t="shared" si="38"/>
        <v>68128058063.214241</v>
      </c>
      <c r="AA177" s="139">
        <f t="shared" si="38"/>
        <v>69167964741.491135</v>
      </c>
      <c r="AB177" s="139">
        <f t="shared" si="38"/>
        <v>70223744555.305252</v>
      </c>
      <c r="AC177" s="139">
        <f t="shared" si="38"/>
        <v>71295639792.197433</v>
      </c>
      <c r="AD177" s="139">
        <f t="shared" si="38"/>
        <v>72383896437.985535</v>
      </c>
      <c r="AE177" s="139">
        <f t="shared" si="38"/>
        <v>73488764233.214935</v>
      </c>
      <c r="AF177" s="139">
        <f t="shared" si="38"/>
        <v>74610496730.470718</v>
      </c>
    </row>
    <row r="178" spans="2:32" x14ac:dyDescent="0.3">
      <c r="B178" s="1" t="s">
        <v>21</v>
      </c>
      <c r="C178" s="139">
        <f t="shared" si="8"/>
        <v>32694197664.705135</v>
      </c>
      <c r="D178" s="139">
        <f t="shared" ref="D178:AF178" si="39">C178*(1+D88)</f>
        <v>33349193220.719841</v>
      </c>
      <c r="E178" s="139">
        <f t="shared" si="39"/>
        <v>34017310957.703747</v>
      </c>
      <c r="F178" s="139">
        <f t="shared" si="39"/>
        <v>34698813765.430389</v>
      </c>
      <c r="G178" s="139">
        <f t="shared" si="39"/>
        <v>35393969800.407028</v>
      </c>
      <c r="H178" s="139">
        <f t="shared" si="39"/>
        <v>36103052591.38839</v>
      </c>
      <c r="I178" s="139">
        <f t="shared" si="39"/>
        <v>36826341147.004265</v>
      </c>
      <c r="J178" s="139">
        <f t="shared" si="39"/>
        <v>37564120065.54335</v>
      </c>
      <c r="K178" s="139">
        <f t="shared" si="39"/>
        <v>38316679646.936447</v>
      </c>
      <c r="L178" s="139">
        <f t="shared" si="39"/>
        <v>39084316006.983177</v>
      </c>
      <c r="M178" s="139">
        <f t="shared" si="39"/>
        <v>39867331193.867081</v>
      </c>
      <c r="N178" s="139">
        <f t="shared" si="39"/>
        <v>40666033307.00502</v>
      </c>
      <c r="O178" s="139">
        <f t="shared" si="39"/>
        <v>41480736618.277565</v>
      </c>
      <c r="P178" s="139">
        <f t="shared" si="39"/>
        <v>42311761695.688141</v>
      </c>
      <c r="Q178" s="139">
        <f t="shared" si="39"/>
        <v>43159435529.499565</v>
      </c>
      <c r="R178" s="139">
        <f t="shared" si="39"/>
        <v>44024091660.897568</v>
      </c>
      <c r="S178" s="139">
        <f t="shared" si="39"/>
        <v>44906070313.231995</v>
      </c>
      <c r="T178" s="139">
        <f t="shared" si="39"/>
        <v>45805718525.887291</v>
      </c>
      <c r="U178" s="139">
        <f t="shared" si="39"/>
        <v>46723390290.834923</v>
      </c>
      <c r="V178" s="139">
        <f t="shared" si="39"/>
        <v>47659446691.921516</v>
      </c>
      <c r="W178" s="139">
        <f t="shared" si="39"/>
        <v>48614256046.947479</v>
      </c>
      <c r="X178" s="139">
        <f t="shared" si="39"/>
        <v>49588194052.592033</v>
      </c>
      <c r="Y178" s="139">
        <f t="shared" si="39"/>
        <v>50581643932.241669</v>
      </c>
      <c r="Z178" s="139">
        <f t="shared" si="39"/>
        <v>51594996586.780205</v>
      </c>
      <c r="AA178" s="139">
        <f t="shared" si="39"/>
        <v>52628650748.399765</v>
      </c>
      <c r="AB178" s="139">
        <f t="shared" si="39"/>
        <v>53683013137.49321</v>
      </c>
      <c r="AC178" s="139">
        <f t="shared" si="39"/>
        <v>54758498622.689758</v>
      </c>
      <c r="AD178" s="139">
        <f t="shared" si="39"/>
        <v>55855530384.096733</v>
      </c>
      <c r="AE178" s="139">
        <f t="shared" si="39"/>
        <v>56974540079.811729</v>
      </c>
      <c r="AF178" s="139">
        <f t="shared" si="39"/>
        <v>58115968015.770683</v>
      </c>
    </row>
    <row r="179" spans="2:32" x14ac:dyDescent="0.3">
      <c r="B179" s="1" t="s">
        <v>22</v>
      </c>
      <c r="C179" s="139">
        <f t="shared" si="8"/>
        <v>21182339902.863483</v>
      </c>
      <c r="D179" s="139">
        <f t="shared" ref="D179:AF179" si="40">C179*(1+D89)</f>
        <v>21715827092.716198</v>
      </c>
      <c r="E179" s="139">
        <f t="shared" si="40"/>
        <v>22262750408.2775</v>
      </c>
      <c r="F179" s="139">
        <f t="shared" si="40"/>
        <v>22823448244.690689</v>
      </c>
      <c r="G179" s="139">
        <f t="shared" si="40"/>
        <v>23398267519.739849</v>
      </c>
      <c r="H179" s="139">
        <f t="shared" si="40"/>
        <v>23987563888.496571</v>
      </c>
      <c r="I179" s="139">
        <f t="shared" si="40"/>
        <v>24591701963.372639</v>
      </c>
      <c r="J179" s="139">
        <f t="shared" si="40"/>
        <v>25211055539.714867</v>
      </c>
      <c r="K179" s="139">
        <f t="shared" si="40"/>
        <v>25846007827.081619</v>
      </c>
      <c r="L179" s="139">
        <f t="shared" si="40"/>
        <v>26496951686.344166</v>
      </c>
      <c r="M179" s="139">
        <f t="shared" si="40"/>
        <v>27164289872.759537</v>
      </c>
      <c r="N179" s="139">
        <f t="shared" si="40"/>
        <v>27848435285.165272</v>
      </c>
      <c r="O179" s="139">
        <f t="shared" si="40"/>
        <v>28549811221.450272</v>
      </c>
      <c r="P179" s="139">
        <f t="shared" si="40"/>
        <v>29268851640.459789</v>
      </c>
      <c r="Q179" s="139">
        <f t="shared" si="40"/>
        <v>30006001430.496635</v>
      </c>
      <c r="R179" s="139">
        <f t="shared" si="40"/>
        <v>30761716684.584698</v>
      </c>
      <c r="S179" s="139">
        <f t="shared" si="40"/>
        <v>31536464982.665115</v>
      </c>
      <c r="T179" s="139">
        <f t="shared" si="40"/>
        <v>32330725680.899693</v>
      </c>
      <c r="U179" s="139">
        <f t="shared" si="40"/>
        <v>33144990208.260548</v>
      </c>
      <c r="V179" s="139">
        <f t="shared" si="40"/>
        <v>33979762370.58952</v>
      </c>
      <c r="W179" s="139">
        <f t="shared" si="40"/>
        <v>34835558662.315453</v>
      </c>
      <c r="X179" s="139">
        <f t="shared" si="40"/>
        <v>35712908586.022217</v>
      </c>
      <c r="Y179" s="139">
        <f t="shared" si="40"/>
        <v>36612354980.065224</v>
      </c>
      <c r="Z179" s="139">
        <f t="shared" si="40"/>
        <v>37534454354.439087</v>
      </c>
      <c r="AA179" s="139">
        <f t="shared" si="40"/>
        <v>38479777235.104301</v>
      </c>
      <c r="AB179" s="139">
        <f t="shared" si="40"/>
        <v>39448908516.985916</v>
      </c>
      <c r="AC179" s="139">
        <f t="shared" si="40"/>
        <v>40442447825.862679</v>
      </c>
      <c r="AD179" s="139">
        <f t="shared" si="40"/>
        <v>41461009889.370491</v>
      </c>
      <c r="AE179" s="139">
        <f t="shared" si="40"/>
        <v>42505224917.3498</v>
      </c>
      <c r="AF179" s="139">
        <f t="shared" si="40"/>
        <v>43575738991.772194</v>
      </c>
    </row>
    <row r="180" spans="2:32" x14ac:dyDescent="0.3">
      <c r="B180" s="1" t="s">
        <v>23</v>
      </c>
      <c r="C180" s="139">
        <f t="shared" si="8"/>
        <v>13129770204.512175</v>
      </c>
      <c r="D180" s="139">
        <f t="shared" ref="D180:AF180" si="41">C180*(1+D90)</f>
        <v>13380286220.014267</v>
      </c>
      <c r="E180" s="139">
        <f t="shared" si="41"/>
        <v>13635582081.092138</v>
      </c>
      <c r="F180" s="139">
        <f t="shared" si="41"/>
        <v>13895748987.199375</v>
      </c>
      <c r="G180" s="139">
        <f t="shared" si="41"/>
        <v>14160879877.875139</v>
      </c>
      <c r="H180" s="139">
        <f t="shared" si="41"/>
        <v>14431069465.944996</v>
      </c>
      <c r="I180" s="139">
        <f t="shared" si="41"/>
        <v>14706414271.355227</v>
      </c>
      <c r="J180" s="139">
        <f t="shared" si="41"/>
        <v>14987012655.652683</v>
      </c>
      <c r="K180" s="139">
        <f t="shared" si="41"/>
        <v>15272964857.122536</v>
      </c>
      <c r="L180" s="139">
        <f t="shared" si="41"/>
        <v>15564373026.596434</v>
      </c>
      <c r="M180" s="139">
        <f t="shared" si="41"/>
        <v>15861341263.943893</v>
      </c>
      <c r="N180" s="139">
        <f t="shared" si="41"/>
        <v>16163975655.259943</v>
      </c>
      <c r="O180" s="139">
        <f t="shared" si="41"/>
        <v>16472384310.762302</v>
      </c>
      <c r="P180" s="139">
        <f t="shared" si="41"/>
        <v>16786677403.411648</v>
      </c>
      <c r="Q180" s="139">
        <f t="shared" si="41"/>
        <v>17106967208.268742</v>
      </c>
      <c r="R180" s="139">
        <f t="shared" si="41"/>
        <v>17433368142.602509</v>
      </c>
      <c r="S180" s="139">
        <f t="shared" si="41"/>
        <v>17765996806.763363</v>
      </c>
      <c r="T180" s="139">
        <f t="shared" si="41"/>
        <v>18104972025.836407</v>
      </c>
      <c r="U180" s="139">
        <f t="shared" si="41"/>
        <v>18450414892.089367</v>
      </c>
      <c r="V180" s="139">
        <f t="shared" si="41"/>
        <v>18802448808.230431</v>
      </c>
      <c r="W180" s="139">
        <f t="shared" si="41"/>
        <v>19161199531.491467</v>
      </c>
      <c r="X180" s="139">
        <f t="shared" si="41"/>
        <v>19526795218.552322</v>
      </c>
      <c r="Y180" s="139">
        <f t="shared" si="41"/>
        <v>19899366471.3223</v>
      </c>
      <c r="Z180" s="139">
        <f t="shared" si="41"/>
        <v>20279046383.595131</v>
      </c>
      <c r="AA180" s="139">
        <f t="shared" si="41"/>
        <v>20665970588.594124</v>
      </c>
      <c r="AB180" s="139">
        <f t="shared" si="41"/>
        <v>21060277307.4245</v>
      </c>
      <c r="AC180" s="139">
        <f t="shared" si="41"/>
        <v>21462107398.450157</v>
      </c>
      <c r="AD180" s="139">
        <f t="shared" si="41"/>
        <v>21871604407.612587</v>
      </c>
      <c r="AE180" s="139">
        <f t="shared" si="41"/>
        <v>22288914619.709835</v>
      </c>
      <c r="AF180" s="139">
        <f t="shared" si="41"/>
        <v>22714187110.6539</v>
      </c>
    </row>
    <row r="181" spans="2:32" x14ac:dyDescent="0.3">
      <c r="B181" s="1" t="s">
        <v>24</v>
      </c>
      <c r="C181" s="139">
        <f t="shared" si="8"/>
        <v>25177442811.936127</v>
      </c>
      <c r="D181" s="139">
        <f t="shared" ref="D181:AF181" si="42">C181*(1+D91)</f>
        <v>26073598880.680588</v>
      </c>
      <c r="E181" s="139">
        <f t="shared" si="42"/>
        <v>27001652378.625713</v>
      </c>
      <c r="F181" s="139">
        <f t="shared" si="42"/>
        <v>27962738650.411907</v>
      </c>
      <c r="G181" s="139">
        <f t="shared" si="42"/>
        <v>28958033451.693394</v>
      </c>
      <c r="H181" s="139">
        <f t="shared" si="42"/>
        <v>29988754387.512077</v>
      </c>
      <c r="I181" s="139">
        <f t="shared" si="42"/>
        <v>31056162401.868298</v>
      </c>
      <c r="J181" s="139">
        <f t="shared" si="42"/>
        <v>32161563320.310802</v>
      </c>
      <c r="K181" s="139">
        <f t="shared" si="42"/>
        <v>33306309447.433052</v>
      </c>
      <c r="L181" s="139">
        <f t="shared" si="42"/>
        <v>34491801221.230186</v>
      </c>
      <c r="M181" s="139">
        <f t="shared" si="42"/>
        <v>35719488926.340538</v>
      </c>
      <c r="N181" s="139">
        <f t="shared" si="42"/>
        <v>36990874468.267586</v>
      </c>
      <c r="O181" s="139">
        <f t="shared" si="42"/>
        <v>38307513210.752861</v>
      </c>
      <c r="P181" s="139">
        <f t="shared" si="42"/>
        <v>39671015878.547615</v>
      </c>
      <c r="Q181" s="139">
        <f t="shared" si="42"/>
        <v>41083050527.91098</v>
      </c>
      <c r="R181" s="139">
        <f t="shared" si="42"/>
        <v>42545344587.245262</v>
      </c>
      <c r="S181" s="139">
        <f t="shared" si="42"/>
        <v>44059686970.364838</v>
      </c>
      <c r="T181" s="139">
        <f t="shared" si="42"/>
        <v>45627930264.983902</v>
      </c>
      <c r="U181" s="139">
        <f t="shared" si="42"/>
        <v>47251992999.100388</v>
      </c>
      <c r="V181" s="139">
        <f t="shared" si="42"/>
        <v>48933861988.048683</v>
      </c>
      <c r="W181" s="139">
        <f t="shared" si="42"/>
        <v>50675594765.092438</v>
      </c>
      <c r="X181" s="139">
        <f t="shared" si="42"/>
        <v>52479322098.530891</v>
      </c>
      <c r="Y181" s="139">
        <f t="shared" si="42"/>
        <v>54347250598.398163</v>
      </c>
      <c r="Z181" s="139">
        <f t="shared" si="42"/>
        <v>56281665415.944336</v>
      </c>
      <c r="AA181" s="139">
        <f t="shared" si="42"/>
        <v>58284933039.200836</v>
      </c>
      <c r="AB181" s="139">
        <f t="shared" si="42"/>
        <v>60359504188.050079</v>
      </c>
      <c r="AC181" s="139">
        <f t="shared" si="42"/>
        <v>62507916812.341064</v>
      </c>
      <c r="AD181" s="139">
        <f t="shared" si="42"/>
        <v>64732799196.718758</v>
      </c>
      <c r="AE181" s="139">
        <f t="shared" si="42"/>
        <v>67036873175.965546</v>
      </c>
      <c r="AF181" s="139">
        <f t="shared" si="42"/>
        <v>69422957464.7883</v>
      </c>
    </row>
    <row r="182" spans="2:32" x14ac:dyDescent="0.3">
      <c r="B182" s="1" t="s">
        <v>25</v>
      </c>
      <c r="C182" s="139">
        <f t="shared" si="8"/>
        <v>75716403900.143356</v>
      </c>
      <c r="D182" s="139">
        <f t="shared" ref="D182:AF182" si="43">C182*(1+D92)</f>
        <v>76727672190.633667</v>
      </c>
      <c r="E182" s="139">
        <f t="shared" si="43"/>
        <v>77752446980.411758</v>
      </c>
      <c r="F182" s="139">
        <f t="shared" si="43"/>
        <v>78790908662.282135</v>
      </c>
      <c r="G182" s="139">
        <f t="shared" si="43"/>
        <v>79843240038.375565</v>
      </c>
      <c r="H182" s="139">
        <f t="shared" si="43"/>
        <v>80909626352.32811</v>
      </c>
      <c r="I182" s="139">
        <f t="shared" si="43"/>
        <v>81990255321.889801</v>
      </c>
      <c r="J182" s="139">
        <f t="shared" si="43"/>
        <v>83085317171.968948</v>
      </c>
      <c r="K182" s="139">
        <f t="shared" si="43"/>
        <v>84195004668.117752</v>
      </c>
      <c r="L182" s="139">
        <f t="shared" si="43"/>
        <v>85319513150.465134</v>
      </c>
      <c r="M182" s="139">
        <f t="shared" si="43"/>
        <v>86459040568.102737</v>
      </c>
      <c r="N182" s="139">
        <f t="shared" si="43"/>
        <v>87613787513.930313</v>
      </c>
      <c r="O182" s="139">
        <f t="shared" si="43"/>
        <v>88783957259.966354</v>
      </c>
      <c r="P182" s="139">
        <f t="shared" si="43"/>
        <v>89969755793.130463</v>
      </c>
      <c r="Q182" s="139">
        <f t="shared" si="43"/>
        <v>91171391851.50351</v>
      </c>
      <c r="R182" s="139">
        <f t="shared" si="43"/>
        <v>92389076961.072189</v>
      </c>
      <c r="S182" s="139">
        <f t="shared" si="43"/>
        <v>93623025472.964264</v>
      </c>
      <c r="T182" s="139">
        <f t="shared" si="43"/>
        <v>94873454601.181168</v>
      </c>
      <c r="U182" s="139">
        <f t="shared" si="43"/>
        <v>96140584460.834534</v>
      </c>
      <c r="V182" s="139">
        <f t="shared" si="43"/>
        <v>97424638106.893433</v>
      </c>
      <c r="W182" s="139">
        <f t="shared" si="43"/>
        <v>98725841573.449097</v>
      </c>
      <c r="X182" s="139">
        <f t="shared" si="43"/>
        <v>100044423913.50407</v>
      </c>
      <c r="Y182" s="139">
        <f t="shared" si="43"/>
        <v>101380617239.29283</v>
      </c>
      <c r="Z182" s="139">
        <f t="shared" si="43"/>
        <v>102734656763.14082</v>
      </c>
      <c r="AA182" s="139">
        <f t="shared" si="43"/>
        <v>104106780838.86932</v>
      </c>
      <c r="AB182" s="139">
        <f t="shared" si="43"/>
        <v>105497231003.75325</v>
      </c>
      <c r="AC182" s="139">
        <f t="shared" si="43"/>
        <v>106906252021.03937</v>
      </c>
      <c r="AD182" s="139">
        <f t="shared" si="43"/>
        <v>108334091923.03236</v>
      </c>
      <c r="AE182" s="139">
        <f t="shared" si="43"/>
        <v>109781002054.75638</v>
      </c>
      <c r="AF182" s="139">
        <f t="shared" si="43"/>
        <v>111247237118.19969</v>
      </c>
    </row>
    <row r="183" spans="2:32" x14ac:dyDescent="0.3">
      <c r="B183" s="1" t="s">
        <v>26</v>
      </c>
      <c r="C183" s="139">
        <f t="shared" si="8"/>
        <v>104007782591.15726</v>
      </c>
      <c r="D183" s="139">
        <f t="shared" ref="D183:AF183" si="44">C183*(1+D93)</f>
        <v>105893027658.40459</v>
      </c>
      <c r="E183" s="139">
        <f t="shared" si="44"/>
        <v>107812444677.74084</v>
      </c>
      <c r="F183" s="139">
        <f t="shared" si="44"/>
        <v>109766653049.96959</v>
      </c>
      <c r="G183" s="139">
        <f t="shared" si="44"/>
        <v>111756283403.15335</v>
      </c>
      <c r="H183" s="139">
        <f t="shared" si="44"/>
        <v>113781977796.11891</v>
      </c>
      <c r="I183" s="139">
        <f t="shared" si="44"/>
        <v>115844389925.65137</v>
      </c>
      <c r="J183" s="139">
        <f t="shared" si="44"/>
        <v>117944185337.44374</v>
      </c>
      <c r="K183" s="139">
        <f t="shared" si="44"/>
        <v>120082041640.87025</v>
      </c>
      <c r="L183" s="139">
        <f t="shared" si="44"/>
        <v>122258648727.65268</v>
      </c>
      <c r="M183" s="139">
        <f t="shared" si="44"/>
        <v>124474708994.49013</v>
      </c>
      <c r="N183" s="139">
        <f t="shared" si="44"/>
        <v>126730937569.72427</v>
      </c>
      <c r="O183" s="139">
        <f t="shared" si="44"/>
        <v>129028062544.11311</v>
      </c>
      <c r="P183" s="139">
        <f t="shared" si="44"/>
        <v>131366825205.78772</v>
      </c>
      <c r="Q183" s="139">
        <f t="shared" si="44"/>
        <v>133747980279.46783</v>
      </c>
      <c r="R183" s="139">
        <f t="shared" si="44"/>
        <v>136172296170.01347</v>
      </c>
      <c r="S183" s="139">
        <f t="shared" si="44"/>
        <v>138640555210.39114</v>
      </c>
      <c r="T183" s="139">
        <f t="shared" si="44"/>
        <v>141153553914.1347</v>
      </c>
      <c r="U183" s="139">
        <f t="shared" si="44"/>
        <v>143712103232.38232</v>
      </c>
      <c r="V183" s="139">
        <f t="shared" si="44"/>
        <v>146317028815.57251</v>
      </c>
      <c r="W183" s="139">
        <f t="shared" si="44"/>
        <v>148969171279.88358</v>
      </c>
      <c r="X183" s="139">
        <f t="shared" si="44"/>
        <v>151669386478.50275</v>
      </c>
      <c r="Y183" s="139">
        <f t="shared" si="44"/>
        <v>154418545777.8121</v>
      </c>
      <c r="Z183" s="139">
        <f t="shared" si="44"/>
        <v>157217536338.58075</v>
      </c>
      <c r="AA183" s="139">
        <f t="shared" si="44"/>
        <v>160067261402.25388</v>
      </c>
      <c r="AB183" s="139">
        <f t="shared" si="44"/>
        <v>162968640582.43115</v>
      </c>
      <c r="AC183" s="139">
        <f t="shared" si="44"/>
        <v>165922610161.62833</v>
      </c>
      <c r="AD183" s="139">
        <f t="shared" si="44"/>
        <v>168930123393.41803</v>
      </c>
      <c r="AE183" s="139">
        <f t="shared" si="44"/>
        <v>171992150810.04715</v>
      </c>
      <c r="AF183" s="139">
        <f t="shared" si="44"/>
        <v>175109680535.63007</v>
      </c>
    </row>
    <row r="184" spans="2:32" x14ac:dyDescent="0.3">
      <c r="B184" s="1" t="s">
        <v>27</v>
      </c>
      <c r="C184" s="139">
        <f t="shared" si="8"/>
        <v>95146131906.994019</v>
      </c>
      <c r="D184" s="139">
        <f t="shared" ref="D184:AF184" si="45">C184*(1+D94)</f>
        <v>97193288139.723221</v>
      </c>
      <c r="E184" s="139">
        <f t="shared" si="45"/>
        <v>99284490815.089722</v>
      </c>
      <c r="F184" s="139">
        <f t="shared" si="45"/>
        <v>101420687632.67697</v>
      </c>
      <c r="G184" s="139">
        <f t="shared" si="45"/>
        <v>103602846682.69354</v>
      </c>
      <c r="H184" s="139">
        <f t="shared" si="45"/>
        <v>105831956884.69614</v>
      </c>
      <c r="I184" s="139">
        <f t="shared" si="45"/>
        <v>108109028435.75211</v>
      </c>
      <c r="J184" s="139">
        <f t="shared" si="45"/>
        <v>110435093268.24458</v>
      </c>
      <c r="K184" s="139">
        <f t="shared" si="45"/>
        <v>112811205517.52773</v>
      </c>
      <c r="L184" s="139">
        <f t="shared" si="45"/>
        <v>115238441999.644</v>
      </c>
      <c r="M184" s="139">
        <f t="shared" si="45"/>
        <v>117717902699.31993</v>
      </c>
      <c r="N184" s="139">
        <f t="shared" si="45"/>
        <v>120250711268.46165</v>
      </c>
      <c r="O184" s="139">
        <f t="shared" si="45"/>
        <v>122838015535.3759</v>
      </c>
      <c r="P184" s="139">
        <f t="shared" si="45"/>
        <v>125480988024.94746</v>
      </c>
      <c r="Q184" s="139">
        <f t="shared" si="45"/>
        <v>128180826490.00868</v>
      </c>
      <c r="R184" s="139">
        <f t="shared" si="45"/>
        <v>130938754454.14186</v>
      </c>
      <c r="S184" s="139">
        <f t="shared" si="45"/>
        <v>133756021766.16058</v>
      </c>
      <c r="T184" s="139">
        <f t="shared" si="45"/>
        <v>136633905166.52119</v>
      </c>
      <c r="U184" s="139">
        <f t="shared" si="45"/>
        <v>139573708865.92114</v>
      </c>
      <c r="V184" s="139">
        <f t="shared" si="45"/>
        <v>142576765136.34634</v>
      </c>
      <c r="W184" s="139">
        <f t="shared" si="45"/>
        <v>145644434914.83563</v>
      </c>
      <c r="X184" s="139">
        <f t="shared" si="45"/>
        <v>148778108420.2355</v>
      </c>
      <c r="Y184" s="139">
        <f t="shared" si="45"/>
        <v>151979205783.22519</v>
      </c>
      <c r="Z184" s="139">
        <f t="shared" si="45"/>
        <v>155249177689.89703</v>
      </c>
      <c r="AA184" s="139">
        <f t="shared" si="45"/>
        <v>158589506039.1843</v>
      </c>
      <c r="AB184" s="139">
        <f t="shared" si="45"/>
        <v>162001704614.43396</v>
      </c>
      <c r="AC184" s="139">
        <f t="shared" si="45"/>
        <v>165487319769.4292</v>
      </c>
      <c r="AD184" s="139">
        <f t="shared" si="45"/>
        <v>169047931129.17209</v>
      </c>
      <c r="AE184" s="139">
        <f t="shared" si="45"/>
        <v>172685152305.74442</v>
      </c>
      <c r="AF184" s="139">
        <f t="shared" si="45"/>
        <v>176400631629.57083</v>
      </c>
    </row>
    <row r="185" spans="2:32" x14ac:dyDescent="0.3">
      <c r="B185" s="1" t="s">
        <v>28</v>
      </c>
      <c r="C185" s="139">
        <f t="shared" si="8"/>
        <v>93032981629.837997</v>
      </c>
      <c r="D185" s="139">
        <f t="shared" ref="D185:AF185" si="46">C185*(1+D95)</f>
        <v>93702878861.182632</v>
      </c>
      <c r="E185" s="139">
        <f t="shared" si="46"/>
        <v>94377599782.929337</v>
      </c>
      <c r="F185" s="139">
        <f t="shared" si="46"/>
        <v>95057179128.747696</v>
      </c>
      <c r="G185" s="139">
        <f t="shared" si="46"/>
        <v>95741651882.412033</v>
      </c>
      <c r="H185" s="139">
        <f t="shared" si="46"/>
        <v>96431053279.602341</v>
      </c>
      <c r="I185" s="139">
        <f t="shared" si="46"/>
        <v>97125418809.718109</v>
      </c>
      <c r="J185" s="139">
        <f t="shared" si="46"/>
        <v>97824784217.705322</v>
      </c>
      <c r="K185" s="139">
        <f t="shared" si="46"/>
        <v>98529185505.896545</v>
      </c>
      <c r="L185" s="139">
        <f t="shared" si="46"/>
        <v>99238658935.864243</v>
      </c>
      <c r="M185" s="139">
        <f t="shared" si="46"/>
        <v>99953241030.287506</v>
      </c>
      <c r="N185" s="139">
        <f t="shared" si="46"/>
        <v>100672968574.83218</v>
      </c>
      <c r="O185" s="139">
        <f t="shared" si="46"/>
        <v>101397878620.04454</v>
      </c>
      <c r="P185" s="139">
        <f t="shared" si="46"/>
        <v>102128008483.25858</v>
      </c>
      <c r="Q185" s="139">
        <f t="shared" si="46"/>
        <v>102863395750.51707</v>
      </c>
      <c r="R185" s="139">
        <f t="shared" si="46"/>
        <v>103604078278.50647</v>
      </c>
      <c r="S185" s="139">
        <f t="shared" si="46"/>
        <v>104350094196.50566</v>
      </c>
      <c r="T185" s="139">
        <f t="shared" si="46"/>
        <v>105101481908.34883</v>
      </c>
      <c r="U185" s="139">
        <f t="shared" si="46"/>
        <v>105858280094.40245</v>
      </c>
      <c r="V185" s="139">
        <f t="shared" si="46"/>
        <v>106620527713.55649</v>
      </c>
      <c r="W185" s="139">
        <f t="shared" si="46"/>
        <v>107388264005.22993</v>
      </c>
      <c r="X185" s="139">
        <f t="shared" si="46"/>
        <v>108161528491.39081</v>
      </c>
      <c r="Y185" s="139">
        <f t="shared" si="46"/>
        <v>108940360978.59068</v>
      </c>
      <c r="Z185" s="139">
        <f t="shared" si="46"/>
        <v>109724801560.01389</v>
      </c>
      <c r="AA185" s="139">
        <f t="shared" si="46"/>
        <v>110514890617.5414</v>
      </c>
      <c r="AB185" s="139">
        <f t="shared" si="46"/>
        <v>111310668823.82971</v>
      </c>
      <c r="AC185" s="139">
        <f t="shared" si="46"/>
        <v>112112177144.40457</v>
      </c>
      <c r="AD185" s="139">
        <f t="shared" si="46"/>
        <v>112919456839.76982</v>
      </c>
      <c r="AE185" s="139">
        <f t="shared" si="46"/>
        <v>113732549467.53143</v>
      </c>
      <c r="AF185" s="139">
        <f t="shared" si="46"/>
        <v>114551496884.53683</v>
      </c>
    </row>
    <row r="186" spans="2:32" x14ac:dyDescent="0.3">
      <c r="B186" s="1" t="s">
        <v>29</v>
      </c>
      <c r="C186" s="139">
        <f t="shared" si="8"/>
        <v>66938443805.71151</v>
      </c>
      <c r="D186" s="139">
        <f t="shared" ref="D186:AF186" si="47">C186*(1+D96)</f>
        <v>68024051487.352547</v>
      </c>
      <c r="E186" s="139">
        <f t="shared" si="47"/>
        <v>69127265554.374435</v>
      </c>
      <c r="F186" s="139">
        <f t="shared" si="47"/>
        <v>70248371547.135284</v>
      </c>
      <c r="G186" s="139">
        <f t="shared" si="47"/>
        <v>71387659636.886734</v>
      </c>
      <c r="H186" s="139">
        <f t="shared" si="47"/>
        <v>72545424700.877762</v>
      </c>
      <c r="I186" s="139">
        <f t="shared" si="47"/>
        <v>73721966398.676605</v>
      </c>
      <c r="J186" s="139">
        <f t="shared" si="47"/>
        <v>74917589249.730347</v>
      </c>
      <c r="K186" s="139">
        <f t="shared" si="47"/>
        <v>76132602712.18248</v>
      </c>
      <c r="L186" s="139">
        <f t="shared" si="47"/>
        <v>77367321262.968658</v>
      </c>
      <c r="M186" s="139">
        <f t="shared" si="47"/>
        <v>78622064479.211487</v>
      </c>
      <c r="N186" s="139">
        <f t="shared" si="47"/>
        <v>79897157120.935349</v>
      </c>
      <c r="O186" s="139">
        <f t="shared" si="47"/>
        <v>81192929215.122681</v>
      </c>
      <c r="P186" s="139">
        <f t="shared" si="47"/>
        <v>82509716141.133545</v>
      </c>
      <c r="Q186" s="139">
        <f t="shared" si="47"/>
        <v>83847858717.510452</v>
      </c>
      <c r="R186" s="139">
        <f t="shared" si="47"/>
        <v>85207703290.19104</v>
      </c>
      <c r="S186" s="139">
        <f t="shared" si="47"/>
        <v>86589601822.151367</v>
      </c>
      <c r="T186" s="139">
        <f t="shared" si="47"/>
        <v>87993911984.503021</v>
      </c>
      <c r="U186" s="139">
        <f t="shared" si="47"/>
        <v>89420997249.067703</v>
      </c>
      <c r="V186" s="139">
        <f t="shared" si="47"/>
        <v>90871226982.453094</v>
      </c>
      <c r="W186" s="139">
        <f t="shared" si="47"/>
        <v>92344976541.654526</v>
      </c>
      <c r="X186" s="139">
        <f t="shared" si="47"/>
        <v>93842627371.207092</v>
      </c>
      <c r="Y186" s="139">
        <f t="shared" si="47"/>
        <v>95364567101.91333</v>
      </c>
      <c r="Z186" s="139">
        <f t="shared" si="47"/>
        <v>96911189651.172165</v>
      </c>
      <c r="AA186" s="139">
        <f t="shared" si="47"/>
        <v>98482895324.934875</v>
      </c>
      <c r="AB186" s="139">
        <f t="shared" si="47"/>
        <v>100080090921.31468</v>
      </c>
      <c r="AC186" s="139">
        <f t="shared" si="47"/>
        <v>101703189835.87657</v>
      </c>
      <c r="AD186" s="139">
        <f t="shared" si="47"/>
        <v>103352612168.63483</v>
      </c>
      <c r="AE186" s="139">
        <f t="shared" si="47"/>
        <v>105028784832.78575</v>
      </c>
      <c r="AF186" s="139">
        <f t="shared" si="47"/>
        <v>106732141665.20387</v>
      </c>
    </row>
    <row r="187" spans="2:32" x14ac:dyDescent="0.3">
      <c r="B187" s="1" t="s">
        <v>30</v>
      </c>
      <c r="C187" s="139">
        <f t="shared" si="8"/>
        <v>65010308761.219582</v>
      </c>
      <c r="D187" s="139">
        <f t="shared" ref="D187:AF187" si="48">C187*(1+D97)</f>
        <v>66808883963.407478</v>
      </c>
      <c r="E187" s="139">
        <f t="shared" si="48"/>
        <v>68657218547.139107</v>
      </c>
      <c r="F187" s="139">
        <f t="shared" si="48"/>
        <v>70556689155.464249</v>
      </c>
      <c r="G187" s="139">
        <f t="shared" si="48"/>
        <v>72508710517.639313</v>
      </c>
      <c r="H187" s="139">
        <f t="shared" si="48"/>
        <v>74514736502.820313</v>
      </c>
      <c r="I187" s="139">
        <f t="shared" si="48"/>
        <v>76576261202.907333</v>
      </c>
      <c r="J187" s="139">
        <f t="shared" si="48"/>
        <v>78694820045.34697</v>
      </c>
      <c r="K187" s="139">
        <f t="shared" si="48"/>
        <v>80871990936.721542</v>
      </c>
      <c r="L187" s="139">
        <f t="shared" si="48"/>
        <v>83109395437.976883</v>
      </c>
      <c r="M187" s="139">
        <f t="shared" si="48"/>
        <v>85408699972.163956</v>
      </c>
      <c r="N187" s="139">
        <f t="shared" si="48"/>
        <v>87771617065.593842</v>
      </c>
      <c r="O187" s="139">
        <f t="shared" si="48"/>
        <v>90199906623.330551</v>
      </c>
      <c r="P187" s="139">
        <f t="shared" si="48"/>
        <v>92695377239.971619</v>
      </c>
      <c r="Q187" s="139">
        <f t="shared" si="48"/>
        <v>95259887546.692673</v>
      </c>
      <c r="R187" s="139">
        <f t="shared" si="48"/>
        <v>97895347595.559464</v>
      </c>
      <c r="S187" s="139">
        <f t="shared" si="48"/>
        <v>100603720282.13821</v>
      </c>
      <c r="T187" s="139">
        <f t="shared" si="48"/>
        <v>103387022807.46385</v>
      </c>
      <c r="U187" s="139">
        <f t="shared" si="48"/>
        <v>106247328180.45514</v>
      </c>
      <c r="V187" s="139">
        <f t="shared" si="48"/>
        <v>109186766761.89561</v>
      </c>
      <c r="W187" s="139">
        <f t="shared" si="48"/>
        <v>112207527851.13022</v>
      </c>
      <c r="X187" s="139">
        <f t="shared" si="48"/>
        <v>115311861316.65958</v>
      </c>
      <c r="Y187" s="139">
        <f t="shared" si="48"/>
        <v>118502079271.84628</v>
      </c>
      <c r="Z187" s="139">
        <f t="shared" si="48"/>
        <v>121780557796.98119</v>
      </c>
      <c r="AA187" s="139">
        <f t="shared" si="48"/>
        <v>125149738708.99246</v>
      </c>
      <c r="AB187" s="139">
        <f t="shared" si="48"/>
        <v>128612131380.11545</v>
      </c>
      <c r="AC187" s="139">
        <f t="shared" si="48"/>
        <v>132170314606.87772</v>
      </c>
      <c r="AD187" s="139">
        <f t="shared" si="48"/>
        <v>135826938530.7916</v>
      </c>
      <c r="AE187" s="139">
        <f t="shared" si="48"/>
        <v>139584726612.18448</v>
      </c>
      <c r="AF187" s="139">
        <f t="shared" si="48"/>
        <v>143446477658.63718</v>
      </c>
    </row>
    <row r="188" spans="2:32" x14ac:dyDescent="0.3">
      <c r="B188" s="1" t="s">
        <v>31</v>
      </c>
      <c r="C188" s="139">
        <f t="shared" si="8"/>
        <v>30090833728.382355</v>
      </c>
      <c r="D188" s="139">
        <f t="shared" ref="D188:AF188" si="49">C188*(1+D98)</f>
        <v>30722380146.673645</v>
      </c>
      <c r="E188" s="139">
        <f t="shared" si="49"/>
        <v>31367181461.192032</v>
      </c>
      <c r="F188" s="139">
        <f t="shared" si="49"/>
        <v>32025515865.699532</v>
      </c>
      <c r="G188" s="139">
        <f t="shared" si="49"/>
        <v>32697667392.688835</v>
      </c>
      <c r="H188" s="139">
        <f t="shared" si="49"/>
        <v>33383926035.92659</v>
      </c>
      <c r="I188" s="139">
        <f t="shared" si="49"/>
        <v>34084587875.568619</v>
      </c>
      <c r="J188" s="139">
        <f t="shared" si="49"/>
        <v>34799955205.901054</v>
      </c>
      <c r="K188" s="139">
        <f t="shared" si="49"/>
        <v>35530336665.762505</v>
      </c>
      <c r="L188" s="139">
        <f t="shared" si="49"/>
        <v>36276047371.703529</v>
      </c>
      <c r="M188" s="139">
        <f t="shared" si="49"/>
        <v>37037409053.940842</v>
      </c>
      <c r="N188" s="139">
        <f t="shared" si="49"/>
        <v>37814750195.164955</v>
      </c>
      <c r="O188" s="139">
        <f t="shared" si="49"/>
        <v>38608406172.261078</v>
      </c>
      <c r="P188" s="139">
        <f t="shared" si="49"/>
        <v>39418719401.004494</v>
      </c>
      <c r="Q188" s="139">
        <f t="shared" si="49"/>
        <v>40246039483.792778</v>
      </c>
      <c r="R188" s="139">
        <f t="shared" si="49"/>
        <v>41090723360.478622</v>
      </c>
      <c r="S188" s="139">
        <f t="shared" si="49"/>
        <v>41953135462.368347</v>
      </c>
      <c r="T188" s="139">
        <f t="shared" si="49"/>
        <v>42833647869.452538</v>
      </c>
      <c r="U188" s="139">
        <f t="shared" si="49"/>
        <v>43732640470.936607</v>
      </c>
      <c r="V188" s="139">
        <f t="shared" si="49"/>
        <v>44650501129.140625</v>
      </c>
      <c r="W188" s="139">
        <f t="shared" si="49"/>
        <v>45587625846.839027</v>
      </c>
      <c r="X188" s="139">
        <f t="shared" si="49"/>
        <v>46544418938.112488</v>
      </c>
      <c r="Y188" s="139">
        <f t="shared" si="49"/>
        <v>47521293202.785591</v>
      </c>
      <c r="Z188" s="139">
        <f t="shared" si="49"/>
        <v>48518670104.525658</v>
      </c>
      <c r="AA188" s="139">
        <f t="shared" si="49"/>
        <v>49536979952.679443</v>
      </c>
      <c r="AB188" s="139">
        <f t="shared" si="49"/>
        <v>50576662087.926277</v>
      </c>
      <c r="AC188" s="139">
        <f t="shared" si="49"/>
        <v>51638165071.827675</v>
      </c>
      <c r="AD188" s="139">
        <f t="shared" si="49"/>
        <v>52721946880.355194</v>
      </c>
      <c r="AE188" s="139">
        <f t="shared" si="49"/>
        <v>53828475101.480087</v>
      </c>
      <c r="AF188" s="139">
        <f t="shared" si="49"/>
        <v>54958227136.90995</v>
      </c>
    </row>
    <row r="189" spans="2:32" x14ac:dyDescent="0.3">
      <c r="B189" s="1" t="s">
        <v>32</v>
      </c>
      <c r="C189" s="139">
        <f t="shared" si="8"/>
        <v>1630509414.2057333</v>
      </c>
      <c r="D189" s="139">
        <f t="shared" ref="D189:AF189" si="50">C189*(1+D99)</f>
        <v>1656953015.8853221</v>
      </c>
      <c r="E189" s="139">
        <f t="shared" si="50"/>
        <v>1683825479.8969502</v>
      </c>
      <c r="F189" s="139">
        <f t="shared" si="50"/>
        <v>1711133761.5299191</v>
      </c>
      <c r="G189" s="139">
        <f t="shared" si="50"/>
        <v>1738884928.8744116</v>
      </c>
      <c r="H189" s="139">
        <f t="shared" si="50"/>
        <v>1767086164.6508968</v>
      </c>
      <c r="I189" s="139">
        <f t="shared" si="50"/>
        <v>1795744768.069205</v>
      </c>
      <c r="J189" s="139">
        <f t="shared" si="50"/>
        <v>1824868156.7177515</v>
      </c>
      <c r="K189" s="139">
        <f t="shared" si="50"/>
        <v>1854463868.4834001</v>
      </c>
      <c r="L189" s="139">
        <f t="shared" si="50"/>
        <v>1884539563.5024641</v>
      </c>
      <c r="M189" s="139">
        <f t="shared" si="50"/>
        <v>1915103026.143347</v>
      </c>
      <c r="N189" s="139">
        <f t="shared" si="50"/>
        <v>1946162167.0213399</v>
      </c>
      <c r="O189" s="139">
        <f t="shared" si="50"/>
        <v>1977725025.046092</v>
      </c>
      <c r="P189" s="139">
        <f t="shared" si="50"/>
        <v>2009799769.5022898</v>
      </c>
      <c r="Q189" s="139">
        <f t="shared" si="50"/>
        <v>2042394702.164078</v>
      </c>
      <c r="R189" s="139">
        <f t="shared" si="50"/>
        <v>2075518259.4437752</v>
      </c>
      <c r="S189" s="139">
        <f t="shared" si="50"/>
        <v>2109179014.5754344</v>
      </c>
      <c r="T189" s="139">
        <f t="shared" si="50"/>
        <v>2143385679.8338189</v>
      </c>
      <c r="U189" s="139">
        <f t="shared" si="50"/>
        <v>2178147108.7893639</v>
      </c>
      <c r="V189" s="139">
        <f t="shared" si="50"/>
        <v>2213472298.59971</v>
      </c>
      <c r="W189" s="139">
        <f t="shared" si="50"/>
        <v>2249370392.3384004</v>
      </c>
      <c r="X189" s="139">
        <f t="shared" si="50"/>
        <v>2285850681.3613448</v>
      </c>
      <c r="Y189" s="139">
        <f t="shared" si="50"/>
        <v>2322922607.7116632</v>
      </c>
      <c r="Z189" s="139">
        <f t="shared" si="50"/>
        <v>2360595766.5635309</v>
      </c>
      <c r="AA189" s="139">
        <f t="shared" si="50"/>
        <v>2398879908.7056584</v>
      </c>
      <c r="AB189" s="139">
        <f t="shared" si="50"/>
        <v>2437784943.0650468</v>
      </c>
      <c r="AC189" s="139">
        <f t="shared" si="50"/>
        <v>2477320939.2716761</v>
      </c>
      <c r="AD189" s="139">
        <f t="shared" si="50"/>
        <v>2517498130.2647843</v>
      </c>
      <c r="AE189" s="139">
        <f t="shared" si="50"/>
        <v>2558326914.9414186</v>
      </c>
      <c r="AF189" s="139">
        <f t="shared" si="50"/>
        <v>2599817860.8479385</v>
      </c>
    </row>
  </sheetData>
  <phoneticPr fontId="34" type="noConversion"/>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A45E-E6AB-4E85-BAE2-97B4AFD42811}">
  <sheetPr>
    <tabColor rgb="FF92D050"/>
  </sheetPr>
  <dimension ref="A1:AI92"/>
  <sheetViews>
    <sheetView workbookViewId="0">
      <selection activeCell="B4" sqref="B4"/>
    </sheetView>
  </sheetViews>
  <sheetFormatPr defaultRowHeight="16.5" x14ac:dyDescent="0.3"/>
  <cols>
    <col min="1" max="1" width="15.625" customWidth="1"/>
    <col min="2" max="3" width="10.125" customWidth="1"/>
    <col min="6" max="6" width="12.25" customWidth="1"/>
    <col min="8" max="8" width="10.125" bestFit="1" customWidth="1"/>
  </cols>
  <sheetData>
    <row r="1" spans="1:35" x14ac:dyDescent="0.3">
      <c r="A1" s="50" t="s">
        <v>640</v>
      </c>
      <c r="B1" s="51"/>
      <c r="C1" s="51"/>
      <c r="F1" s="55" t="s">
        <v>641</v>
      </c>
      <c r="G1" s="126">
        <v>3</v>
      </c>
      <c r="H1" s="126">
        <v>4</v>
      </c>
      <c r="I1" s="126">
        <v>5</v>
      </c>
      <c r="J1" s="126">
        <v>6</v>
      </c>
      <c r="K1" s="126">
        <v>7</v>
      </c>
      <c r="L1" s="126">
        <v>8</v>
      </c>
      <c r="M1" s="126">
        <v>9</v>
      </c>
      <c r="N1" s="126">
        <v>10</v>
      </c>
      <c r="O1" s="126">
        <v>11</v>
      </c>
      <c r="P1" s="126">
        <v>12</v>
      </c>
      <c r="Q1" s="126">
        <v>13</v>
      </c>
      <c r="R1" s="126">
        <v>14</v>
      </c>
      <c r="S1" s="126">
        <v>15</v>
      </c>
      <c r="T1" s="126">
        <v>16</v>
      </c>
      <c r="U1" s="126">
        <v>17</v>
      </c>
      <c r="V1" s="126">
        <v>18</v>
      </c>
      <c r="W1" s="126">
        <v>19</v>
      </c>
      <c r="X1" s="126">
        <v>20</v>
      </c>
      <c r="Y1" s="126">
        <v>21</v>
      </c>
      <c r="Z1" s="126">
        <v>22</v>
      </c>
      <c r="AA1" s="126">
        <v>23</v>
      </c>
      <c r="AB1" s="126">
        <v>24</v>
      </c>
      <c r="AC1" s="126">
        <v>25</v>
      </c>
      <c r="AD1" s="126">
        <v>26</v>
      </c>
      <c r="AE1" s="126">
        <v>27</v>
      </c>
      <c r="AF1" s="126">
        <v>28</v>
      </c>
      <c r="AG1" s="126">
        <v>29</v>
      </c>
      <c r="AH1" s="126">
        <v>30</v>
      </c>
      <c r="AI1" s="126">
        <v>31</v>
      </c>
    </row>
    <row r="2" spans="1:35" x14ac:dyDescent="0.3">
      <c r="B2" s="1" t="s">
        <v>639</v>
      </c>
    </row>
    <row r="3" spans="1:35" x14ac:dyDescent="0.3">
      <c r="B3" s="48" t="s">
        <v>638</v>
      </c>
      <c r="F3" s="48" t="s">
        <v>681</v>
      </c>
      <c r="G3" s="48">
        <v>2022</v>
      </c>
      <c r="H3" s="1">
        <v>2023</v>
      </c>
      <c r="I3" s="48">
        <v>2024</v>
      </c>
      <c r="J3" s="1">
        <v>2025</v>
      </c>
      <c r="K3" s="48">
        <v>2026</v>
      </c>
      <c r="L3" s="1">
        <v>2027</v>
      </c>
      <c r="M3" s="48">
        <v>2028</v>
      </c>
      <c r="N3" s="1">
        <v>2029</v>
      </c>
      <c r="O3" s="48">
        <v>2030</v>
      </c>
      <c r="P3" s="1">
        <v>2031</v>
      </c>
      <c r="Q3" s="48">
        <v>2032</v>
      </c>
      <c r="R3" s="1">
        <v>2033</v>
      </c>
      <c r="S3" s="48">
        <v>2034</v>
      </c>
      <c r="T3" s="1">
        <v>2035</v>
      </c>
      <c r="U3" s="48">
        <v>2036</v>
      </c>
      <c r="V3" s="1">
        <v>2037</v>
      </c>
      <c r="W3" s="48">
        <v>2038</v>
      </c>
      <c r="X3" s="1">
        <v>2039</v>
      </c>
      <c r="Y3" s="48">
        <v>2040</v>
      </c>
      <c r="Z3" s="1">
        <v>2041</v>
      </c>
      <c r="AA3" s="48">
        <v>2042</v>
      </c>
      <c r="AB3" s="1">
        <v>2043</v>
      </c>
      <c r="AC3" s="48">
        <v>2044</v>
      </c>
      <c r="AD3" s="1">
        <v>2045</v>
      </c>
      <c r="AE3" s="48">
        <v>2046</v>
      </c>
      <c r="AF3" s="1">
        <v>2047</v>
      </c>
      <c r="AG3" s="48">
        <v>2048</v>
      </c>
      <c r="AH3" s="1">
        <v>2049</v>
      </c>
      <c r="AI3" s="48">
        <v>2050</v>
      </c>
    </row>
    <row r="4" spans="1:35" x14ac:dyDescent="0.3">
      <c r="A4" s="125" t="s">
        <v>2</v>
      </c>
      <c r="B4" s="49" cm="1">
        <f t="array" ref="B4">SUMPRODUCT(--('BLS Table 2.7'!$O:$O=$A4),'BLS Table 2.7'!L:L,'BLS Table 2.7'!N:N)/SUMIFS('BLS Table 2.7'!L:L,'BLS Table 2.7'!$O:$O,$A4)/100</f>
        <v>1.8000000000000002E-2</v>
      </c>
      <c r="E4" s="1" t="s">
        <v>2</v>
      </c>
      <c r="F4" s="54">
        <f>IFERROR(INDEX('AEO23 Table 23'!$AG$22:$AG$61,MATCH($E4,'AEO23 Table 23'!$B$22:$B$61,0),1),"")</f>
        <v>7.986E-3</v>
      </c>
      <c r="G4" s="54">
        <f>(INDEX('AEO23 Table 23'!$D$22:$D$61,MATCH('Growth Rates'!E4,'AEO23 Table 23'!$B$22:$B$61,0))-INDEX('AEO22 Table 23'!$D$22:$D$58,MATCH('Growth Rates'!E4,'AEO22 Table 23'!$B$22:$B$58,0)))/INDEX('AEO22 Table 23'!$D$22:$D$58,MATCH('Growth Rates'!E4,'AEO22 Table 23'!$B$22:$B$58,0))</f>
        <v>-1.1176675252313165E-7</v>
      </c>
      <c r="H4" s="54">
        <f>IFERROR((VLOOKUP($E4,'AEO23 Table 23'!$B$13:$AF$61,H$1,FALSE)-(VLOOKUP($E4,'AEO23 Table 23'!$B$13:$AF$61,G$1,FALSE)))/VLOOKUP($E4,'AEO23 Table 23'!$B$13:$AF$61,G$1,FALSE),"")</f>
        <v>-1.351144756156354E-3</v>
      </c>
      <c r="I4" s="54">
        <f>IFERROR((VLOOKUP($E4,'AEO23 Table 23'!$B$13:$AF$61,I$1,FALSE)-(VLOOKUP($E4,'AEO23 Table 23'!$B$13:$AF$61,H$1,FALSE)))/VLOOKUP($E4,'AEO23 Table 23'!$B$13:$AF$61,H$1,FALSE),"")</f>
        <v>9.1327311896364331E-3</v>
      </c>
      <c r="J4" s="54">
        <f>IFERROR((VLOOKUP($E4,'AEO23 Table 23'!$B$13:$AF$61,J$1,FALSE)-(VLOOKUP($E4,'AEO23 Table 23'!$B$13:$AF$61,I$1,FALSE)))/VLOOKUP($E4,'AEO23 Table 23'!$B$13:$AF$61,I$1,FALSE),"")</f>
        <v>1.3396292555433637E-2</v>
      </c>
      <c r="K4" s="54">
        <f>IFERROR((VLOOKUP($E4,'AEO23 Table 23'!$B$13:$AF$61,K$1,FALSE)-(VLOOKUP($E4,'AEO23 Table 23'!$B$13:$AF$61,J$1,FALSE)))/VLOOKUP($E4,'AEO23 Table 23'!$B$13:$AF$61,J$1,FALSE),"")</f>
        <v>1.5288029043628203E-2</v>
      </c>
      <c r="L4" s="54">
        <f>IFERROR((VLOOKUP($E4,'AEO23 Table 23'!$B$13:$AF$61,L$1,FALSE)-(VLOOKUP($E4,'AEO23 Table 23'!$B$13:$AF$61,K$1,FALSE)))/VLOOKUP($E4,'AEO23 Table 23'!$B$13:$AF$61,K$1,FALSE),"")</f>
        <v>1.3409394355563977E-2</v>
      </c>
      <c r="M4" s="54">
        <f>IFERROR((VLOOKUP($E4,'AEO23 Table 23'!$B$13:$AF$61,M$1,FALSE)-(VLOOKUP($E4,'AEO23 Table 23'!$B$13:$AF$61,L$1,FALSE)))/VLOOKUP($E4,'AEO23 Table 23'!$B$13:$AF$61,L$1,FALSE),"")</f>
        <v>1.1724967323022162E-2</v>
      </c>
      <c r="N4" s="54">
        <f>IFERROR((VLOOKUP($E4,'AEO23 Table 23'!$B$13:$AF$61,N$1,FALSE)-(VLOOKUP($E4,'AEO23 Table 23'!$B$13:$AF$61,M$1,FALSE)))/VLOOKUP($E4,'AEO23 Table 23'!$B$13:$AF$61,M$1,FALSE),"")</f>
        <v>1.0145946781208788E-2</v>
      </c>
      <c r="O4" s="54">
        <f>IFERROR((VLOOKUP($E4,'AEO23 Table 23'!$B$13:$AF$61,O$1,FALSE)-(VLOOKUP($E4,'AEO23 Table 23'!$B$13:$AF$61,N$1,FALSE)))/VLOOKUP($E4,'AEO23 Table 23'!$B$13:$AF$61,N$1,FALSE),"")</f>
        <v>8.9948669406765165E-3</v>
      </c>
      <c r="P4" s="54">
        <f>IFERROR((VLOOKUP($E4,'AEO23 Table 23'!$B$13:$AF$61,P$1,FALSE)-(VLOOKUP($E4,'AEO23 Table 23'!$B$13:$AF$61,O$1,FALSE)))/VLOOKUP($E4,'AEO23 Table 23'!$B$13:$AF$61,O$1,FALSE),"")</f>
        <v>9.4495050668864985E-3</v>
      </c>
      <c r="Q4" s="54">
        <f>IFERROR((VLOOKUP($E4,'AEO23 Table 23'!$B$13:$AF$61,Q$1,FALSE)-(VLOOKUP($E4,'AEO23 Table 23'!$B$13:$AF$61,P$1,FALSE)))/VLOOKUP($E4,'AEO23 Table 23'!$B$13:$AF$61,P$1,FALSE),"")</f>
        <v>9.4250511027641447E-3</v>
      </c>
      <c r="R4" s="54">
        <f>IFERROR((VLOOKUP($E4,'AEO23 Table 23'!$B$13:$AF$61,R$1,FALSE)-(VLOOKUP($E4,'AEO23 Table 23'!$B$13:$AF$61,Q$1,FALSE)))/VLOOKUP($E4,'AEO23 Table 23'!$B$13:$AF$61,Q$1,FALSE),"")</f>
        <v>8.9255192456237017E-3</v>
      </c>
      <c r="S4" s="54">
        <f>IFERROR((VLOOKUP($E4,'AEO23 Table 23'!$B$13:$AF$61,S$1,FALSE)-(VLOOKUP($E4,'AEO23 Table 23'!$B$13:$AF$61,R$1,FALSE)))/VLOOKUP($E4,'AEO23 Table 23'!$B$13:$AF$61,R$1,FALSE),"")</f>
        <v>7.4097627586356156E-3</v>
      </c>
      <c r="T4" s="54">
        <f>IFERROR((VLOOKUP($E4,'AEO23 Table 23'!$B$13:$AF$61,T$1,FALSE)-(VLOOKUP($E4,'AEO23 Table 23'!$B$13:$AF$61,S$1,FALSE)))/VLOOKUP($E4,'AEO23 Table 23'!$B$13:$AF$61,S$1,FALSE),"")</f>
        <v>6.7130996550877758E-3</v>
      </c>
      <c r="U4" s="54">
        <f>IFERROR((VLOOKUP($E4,'AEO23 Table 23'!$B$13:$AF$61,U$1,FALSE)-(VLOOKUP($E4,'AEO23 Table 23'!$B$13:$AF$61,T$1,FALSE)))/VLOOKUP($E4,'AEO23 Table 23'!$B$13:$AF$61,T$1,FALSE),"")</f>
        <v>5.716763180880804E-3</v>
      </c>
      <c r="V4" s="54">
        <f>IFERROR((VLOOKUP($E4,'AEO23 Table 23'!$B$13:$AF$61,V$1,FALSE)-(VLOOKUP($E4,'AEO23 Table 23'!$B$13:$AF$61,U$1,FALSE)))/VLOOKUP($E4,'AEO23 Table 23'!$B$13:$AF$61,U$1,FALSE),"")</f>
        <v>7.5760035587299863E-3</v>
      </c>
      <c r="W4" s="54">
        <f>IFERROR((VLOOKUP($E4,'AEO23 Table 23'!$B$13:$AF$61,W$1,FALSE)-(VLOOKUP($E4,'AEO23 Table 23'!$B$13:$AF$61,V$1,FALSE)))/VLOOKUP($E4,'AEO23 Table 23'!$B$13:$AF$61,V$1,FALSE),"")</f>
        <v>7.1536951294813881E-3</v>
      </c>
      <c r="X4" s="54">
        <f>IFERROR((VLOOKUP($E4,'AEO23 Table 23'!$B$13:$AF$61,X$1,FALSE)-(VLOOKUP($E4,'AEO23 Table 23'!$B$13:$AF$61,W$1,FALSE)))/VLOOKUP($E4,'AEO23 Table 23'!$B$13:$AF$61,W$1,FALSE),"")</f>
        <v>7.1459481307566122E-3</v>
      </c>
      <c r="Y4" s="54">
        <f>IFERROR((VLOOKUP($E4,'AEO23 Table 23'!$B$13:$AF$61,Y$1,FALSE)-(VLOOKUP($E4,'AEO23 Table 23'!$B$13:$AF$61,X$1,FALSE)))/VLOOKUP($E4,'AEO23 Table 23'!$B$13:$AF$61,X$1,FALSE),"")</f>
        <v>7.4916309583193752E-3</v>
      </c>
      <c r="Z4" s="54">
        <f>IFERROR((VLOOKUP($E4,'AEO23 Table 23'!$B$13:$AF$61,Z$1,FALSE)-(VLOOKUP($E4,'AEO23 Table 23'!$B$13:$AF$61,Y$1,FALSE)))/VLOOKUP($E4,'AEO23 Table 23'!$B$13:$AF$61,Y$1,FALSE),"")</f>
        <v>7.2285954080919743E-3</v>
      </c>
      <c r="AA4" s="54">
        <f>IFERROR((VLOOKUP($E4,'AEO23 Table 23'!$B$13:$AF$61,AA$1,FALSE)-(VLOOKUP($E4,'AEO23 Table 23'!$B$13:$AF$61,Z$1,FALSE)))/VLOOKUP($E4,'AEO23 Table 23'!$B$13:$AF$61,Z$1,FALSE),"")</f>
        <v>7.3706946374330297E-3</v>
      </c>
      <c r="AB4" s="54">
        <f>IFERROR((VLOOKUP($E4,'AEO23 Table 23'!$B$13:$AF$61,AB$1,FALSE)-(VLOOKUP($E4,'AEO23 Table 23'!$B$13:$AF$61,AA$1,FALSE)))/VLOOKUP($E4,'AEO23 Table 23'!$B$13:$AF$61,AA$1,FALSE),"")</f>
        <v>7.0938733399760852E-3</v>
      </c>
      <c r="AC4" s="54">
        <f>IFERROR((VLOOKUP($E4,'AEO23 Table 23'!$B$13:$AF$61,AC$1,FALSE)-(VLOOKUP($E4,'AEO23 Table 23'!$B$13:$AF$61,AB$1,FALSE)))/VLOOKUP($E4,'AEO23 Table 23'!$B$13:$AF$61,AB$1,FALSE),"")</f>
        <v>6.4748791506016781E-3</v>
      </c>
      <c r="AD4" s="54">
        <f>IFERROR((VLOOKUP($E4,'AEO23 Table 23'!$B$13:$AF$61,AD$1,FALSE)-(VLOOKUP($E4,'AEO23 Table 23'!$B$13:$AF$61,AC$1,FALSE)))/VLOOKUP($E4,'AEO23 Table 23'!$B$13:$AF$61,AC$1,FALSE),"")</f>
        <v>6.5823967962771908E-3</v>
      </c>
      <c r="AE4" s="54">
        <f>IFERROR((VLOOKUP($E4,'AEO23 Table 23'!$B$13:$AF$61,AE$1,FALSE)-(VLOOKUP($E4,'AEO23 Table 23'!$B$13:$AF$61,AD$1,FALSE)))/VLOOKUP($E4,'AEO23 Table 23'!$B$13:$AF$61,AD$1,FALSE),"")</f>
        <v>6.4007589031328544E-3</v>
      </c>
      <c r="AF4" s="54">
        <f>IFERROR((VLOOKUP($E4,'AEO23 Table 23'!$B$13:$AF$61,AF$1,FALSE)-(VLOOKUP($E4,'AEO23 Table 23'!$B$13:$AF$61,AE$1,FALSE)))/VLOOKUP($E4,'AEO23 Table 23'!$B$13:$AF$61,AE$1,FALSE),"")</f>
        <v>6.336104189372832E-3</v>
      </c>
      <c r="AG4" s="54">
        <f>IFERROR((VLOOKUP($E4,'AEO23 Table 23'!$B$13:$AF$61,AG$1,FALSE)-(VLOOKUP($E4,'AEO23 Table 23'!$B$13:$AF$61,AF$1,FALSE)))/VLOOKUP($E4,'AEO23 Table 23'!$B$13:$AF$61,AF$1,FALSE),"")</f>
        <v>6.1202546767399378E-3</v>
      </c>
      <c r="AH4" s="54">
        <f>IFERROR((VLOOKUP($E4,'AEO23 Table 23'!$B$13:$AF$61,AH$1,FALSE)-(VLOOKUP($E4,'AEO23 Table 23'!$B$13:$AF$61,AG$1,FALSE)))/VLOOKUP($E4,'AEO23 Table 23'!$B$13:$AF$61,AG$1,FALSE),"")</f>
        <v>6.1772644825424531E-3</v>
      </c>
      <c r="AI4" s="54">
        <f>IFERROR((VLOOKUP($E4,'AEO23 Table 23'!$B$13:$AF$61,AI$1,FALSE)-(VLOOKUP($E4,'AEO23 Table 23'!$B$13:$AF$61,AH$1,FALSE)))/VLOOKUP($E4,'AEO23 Table 23'!$B$13:$AF$61,AH$1,FALSE),"")</f>
        <v>6.2089546805407627E-3</v>
      </c>
    </row>
    <row r="5" spans="1:35" x14ac:dyDescent="0.3">
      <c r="A5" s="125" t="s">
        <v>39</v>
      </c>
      <c r="B5" s="49" cm="1">
        <f t="array" ref="B5">SUMPRODUCT(--('BLS Table 2.7'!$O:$O=$A5),'BLS Table 2.7'!L:L,'BLS Table 2.7'!N:N)/SUMIFS('BLS Table 2.7'!L:L,'BLS Table 2.7'!$O:$O,$A5)/100</f>
        <v>-2E-3</v>
      </c>
      <c r="E5" s="1" t="s">
        <v>39</v>
      </c>
      <c r="F5" s="54">
        <f>IFERROR(INDEX('AEO23 Table 23'!$AG$22:$AG$61,MATCH($E5,'AEO23 Table 23'!$B$22:$B$61,0)),"")</f>
        <v>-1.7527630427501863E-2</v>
      </c>
      <c r="G5" s="138">
        <f>F5</f>
        <v>-1.7527630427501863E-2</v>
      </c>
      <c r="H5" s="54">
        <f>IFERROR((VLOOKUP($E5,'AEO23 Table 23'!$B$13:$AF$61,H$1,FALSE)-(VLOOKUP($E5,'AEO23 Table 23'!$B$13:$AF$61,G$1,FALSE)))/VLOOKUP($E5,'AEO23 Table 23'!$B$13:$AF$61,G$1,FALSE),"")</f>
        <v>-5.5963094607880223E-2</v>
      </c>
      <c r="I5" s="54">
        <f>IFERROR((VLOOKUP($E5,'AEO23 Table 23'!$B$13:$AF$61,I$1,FALSE)-(VLOOKUP($E5,'AEO23 Table 23'!$B$13:$AF$61,H$1,FALSE)))/VLOOKUP($E5,'AEO23 Table 23'!$B$13:$AF$61,H$1,FALSE),"")</f>
        <v>9.3166706721140774E-2</v>
      </c>
      <c r="J5" s="54">
        <f>IFERROR((VLOOKUP($E5,'AEO23 Table 23'!$B$13:$AF$61,J$1,FALSE)-(VLOOKUP($E5,'AEO23 Table 23'!$B$13:$AF$61,I$1,FALSE)))/VLOOKUP($E5,'AEO23 Table 23'!$B$13:$AF$61,I$1,FALSE),"")</f>
        <v>-6.1190092334750167E-2</v>
      </c>
      <c r="K5" s="54">
        <f>IFERROR((VLOOKUP($E5,'AEO23 Table 23'!$B$13:$AF$61,K$1,FALSE)-(VLOOKUP($E5,'AEO23 Table 23'!$B$13:$AF$61,J$1,FALSE)))/VLOOKUP($E5,'AEO23 Table 23'!$B$13:$AF$61,J$1,FALSE),"")</f>
        <v>-8.5239247521661107E-2</v>
      </c>
      <c r="L5" s="54">
        <f>IFERROR((VLOOKUP($E5,'AEO23 Table 23'!$B$13:$AF$61,L$1,FALSE)-(VLOOKUP($E5,'AEO23 Table 23'!$B$13:$AF$61,K$1,FALSE)))/VLOOKUP($E5,'AEO23 Table 23'!$B$13:$AF$61,K$1,FALSE),"")</f>
        <v>-0.1035071251813294</v>
      </c>
      <c r="M5" s="54">
        <f>IFERROR((VLOOKUP($E5,'AEO23 Table 23'!$B$13:$AF$61,M$1,FALSE)-(VLOOKUP($E5,'AEO23 Table 23'!$B$13:$AF$61,L$1,FALSE)))/VLOOKUP($E5,'AEO23 Table 23'!$B$13:$AF$61,L$1,FALSE),"")</f>
        <v>-0.10251284980011421</v>
      </c>
      <c r="N5" s="54">
        <f>IFERROR((VLOOKUP($E5,'AEO23 Table 23'!$B$13:$AF$61,N$1,FALSE)-(VLOOKUP($E5,'AEO23 Table 23'!$B$13:$AF$61,M$1,FALSE)))/VLOOKUP($E5,'AEO23 Table 23'!$B$13:$AF$61,M$1,FALSE),"")</f>
        <v>-0.10738148265987921</v>
      </c>
      <c r="O5" s="54">
        <f>IFERROR((VLOOKUP($E5,'AEO23 Table 23'!$B$13:$AF$61,O$1,FALSE)-(VLOOKUP($E5,'AEO23 Table 23'!$B$13:$AF$61,N$1,FALSE)))/VLOOKUP($E5,'AEO23 Table 23'!$B$13:$AF$61,N$1,FALSE),"")</f>
        <v>-4.9783164023049921E-2</v>
      </c>
      <c r="P5" s="54">
        <f>IFERROR((VLOOKUP($E5,'AEO23 Table 23'!$B$13:$AF$61,P$1,FALSE)-(VLOOKUP($E5,'AEO23 Table 23'!$B$13:$AF$61,O$1,FALSE)))/VLOOKUP($E5,'AEO23 Table 23'!$B$13:$AF$61,O$1,FALSE),"")</f>
        <v>-4.4388871522350569E-3</v>
      </c>
      <c r="Q5" s="54">
        <f>IFERROR((VLOOKUP($E5,'AEO23 Table 23'!$B$13:$AF$61,Q$1,FALSE)-(VLOOKUP($E5,'AEO23 Table 23'!$B$13:$AF$61,P$1,FALSE)))/VLOOKUP($E5,'AEO23 Table 23'!$B$13:$AF$61,P$1,FALSE),"")</f>
        <v>7.2218035669431042E-3</v>
      </c>
      <c r="R5" s="54">
        <f>IFERROR((VLOOKUP($E5,'AEO23 Table 23'!$B$13:$AF$61,R$1,FALSE)-(VLOOKUP($E5,'AEO23 Table 23'!$B$13:$AF$61,Q$1,FALSE)))/VLOOKUP($E5,'AEO23 Table 23'!$B$13:$AF$61,Q$1,FALSE),"")</f>
        <v>-4.3020138412619762E-3</v>
      </c>
      <c r="S5" s="54">
        <f>IFERROR((VLOOKUP($E5,'AEO23 Table 23'!$B$13:$AF$61,S$1,FALSE)-(VLOOKUP($E5,'AEO23 Table 23'!$B$13:$AF$61,R$1,FALSE)))/VLOOKUP($E5,'AEO23 Table 23'!$B$13:$AF$61,R$1,FALSE),"")</f>
        <v>-9.2047589229806038E-3</v>
      </c>
      <c r="T5" s="54">
        <f>IFERROR((VLOOKUP($E5,'AEO23 Table 23'!$B$13:$AF$61,T$1,FALSE)-(VLOOKUP($E5,'AEO23 Table 23'!$B$13:$AF$61,S$1,FALSE)))/VLOOKUP($E5,'AEO23 Table 23'!$B$13:$AF$61,S$1,FALSE),"")</f>
        <v>7.5206977185110135E-3</v>
      </c>
      <c r="U5" s="54">
        <f>IFERROR((VLOOKUP($E5,'AEO23 Table 23'!$B$13:$AF$61,U$1,FALSE)-(VLOOKUP($E5,'AEO23 Table 23'!$B$13:$AF$61,T$1,FALSE)))/VLOOKUP($E5,'AEO23 Table 23'!$B$13:$AF$61,T$1,FALSE),"")</f>
        <v>-1.1730021327311466E-2</v>
      </c>
      <c r="V5" s="54">
        <f>IFERROR((VLOOKUP($E5,'AEO23 Table 23'!$B$13:$AF$61,V$1,FALSE)-(VLOOKUP($E5,'AEO23 Table 23'!$B$13:$AF$61,U$1,FALSE)))/VLOOKUP($E5,'AEO23 Table 23'!$B$13:$AF$61,U$1,FALSE),"")</f>
        <v>-2.2596001269438375E-2</v>
      </c>
      <c r="W5" s="54">
        <f>IFERROR((VLOOKUP($E5,'AEO23 Table 23'!$B$13:$AF$61,W$1,FALSE)-(VLOOKUP($E5,'AEO23 Table 23'!$B$13:$AF$61,V$1,FALSE)))/VLOOKUP($E5,'AEO23 Table 23'!$B$13:$AF$61,V$1,FALSE),"")</f>
        <v>-1.6104941879342773E-2</v>
      </c>
      <c r="X5" s="54">
        <f>IFERROR((VLOOKUP($E5,'AEO23 Table 23'!$B$13:$AF$61,X$1,FALSE)-(VLOOKUP($E5,'AEO23 Table 23'!$B$13:$AF$61,W$1,FALSE)))/VLOOKUP($E5,'AEO23 Table 23'!$B$13:$AF$61,W$1,FALSE),"")</f>
        <v>-2.3760807867467457E-2</v>
      </c>
      <c r="Y5" s="54">
        <f>IFERROR((VLOOKUP($E5,'AEO23 Table 23'!$B$13:$AF$61,Y$1,FALSE)-(VLOOKUP($E5,'AEO23 Table 23'!$B$13:$AF$61,X$1,FALSE)))/VLOOKUP($E5,'AEO23 Table 23'!$B$13:$AF$61,X$1,FALSE),"")</f>
        <v>-1.4603475086201141E-2</v>
      </c>
      <c r="Z5" s="54">
        <f>IFERROR((VLOOKUP($E5,'AEO23 Table 23'!$B$13:$AF$61,Z$1,FALSE)-(VLOOKUP($E5,'AEO23 Table 23'!$B$13:$AF$61,Y$1,FALSE)))/VLOOKUP($E5,'AEO23 Table 23'!$B$13:$AF$61,Y$1,FALSE),"")</f>
        <v>8.2332761578047717E-4</v>
      </c>
      <c r="AA5" s="54">
        <f>IFERROR((VLOOKUP($E5,'AEO23 Table 23'!$B$13:$AF$61,AA$1,FALSE)-(VLOOKUP($E5,'AEO23 Table 23'!$B$13:$AF$61,Z$1,FALSE)))/VLOOKUP($E5,'AEO23 Table 23'!$B$13:$AF$61,Z$1,FALSE),"")</f>
        <v>1.8509631863989184E-3</v>
      </c>
      <c r="AB5" s="54">
        <f>IFERROR((VLOOKUP($E5,'AEO23 Table 23'!$B$13:$AF$61,AB$1,FALSE)-(VLOOKUP($E5,'AEO23 Table 23'!$B$13:$AF$61,AA$1,FALSE)))/VLOOKUP($E5,'AEO23 Table 23'!$B$13:$AF$61,AA$1,FALSE),"")</f>
        <v>-1.3890789653756752E-2</v>
      </c>
      <c r="AC5" s="54">
        <f>IFERROR((VLOOKUP($E5,'AEO23 Table 23'!$B$13:$AF$61,AC$1,FALSE)-(VLOOKUP($E5,'AEO23 Table 23'!$B$13:$AF$61,AB$1,FALSE)))/VLOOKUP($E5,'AEO23 Table 23'!$B$13:$AF$61,AB$1,FALSE),"")</f>
        <v>-1.5890639095135606E-2</v>
      </c>
      <c r="AD5" s="54">
        <f>IFERROR((VLOOKUP($E5,'AEO23 Table 23'!$B$13:$AF$61,AD$1,FALSE)-(VLOOKUP($E5,'AEO23 Table 23'!$B$13:$AF$61,AC$1,FALSE)))/VLOOKUP($E5,'AEO23 Table 23'!$B$13:$AF$61,AC$1,FALSE),"")</f>
        <v>-1.1775490057819759E-2</v>
      </c>
      <c r="AE5" s="54">
        <f>IFERROR((VLOOKUP($E5,'AEO23 Table 23'!$B$13:$AF$61,AE$1,FALSE)-(VLOOKUP($E5,'AEO23 Table 23'!$B$13:$AF$61,AD$1,FALSE)))/VLOOKUP($E5,'AEO23 Table 23'!$B$13:$AF$61,AD$1,FALSE),"")</f>
        <v>-1.1202283267927222E-2</v>
      </c>
      <c r="AF5" s="54">
        <f>IFERROR((VLOOKUP($E5,'AEO23 Table 23'!$B$13:$AF$61,AF$1,FALSE)-(VLOOKUP($E5,'AEO23 Table 23'!$B$13:$AF$61,AE$1,FALSE)))/VLOOKUP($E5,'AEO23 Table 23'!$B$13:$AF$61,AE$1,FALSE),"")</f>
        <v>-5.3398758839659291E-3</v>
      </c>
      <c r="AG5" s="54">
        <f>IFERROR((VLOOKUP($E5,'AEO23 Table 23'!$B$13:$AF$61,AG$1,FALSE)-(VLOOKUP($E5,'AEO23 Table 23'!$B$13:$AF$61,AF$1,FALSE)))/VLOOKUP($E5,'AEO23 Table 23'!$B$13:$AF$61,AF$1,FALSE),"")</f>
        <v>-2.756819500870593E-3</v>
      </c>
      <c r="AH5" s="54">
        <f>IFERROR((VLOOKUP($E5,'AEO23 Table 23'!$B$13:$AF$61,AH$1,FALSE)-(VLOOKUP($E5,'AEO23 Table 23'!$B$13:$AF$61,AG$1,FALSE)))/VLOOKUP($E5,'AEO23 Table 23'!$B$13:$AF$61,AG$1,FALSE),"")</f>
        <v>-6.1108686163247224E-3</v>
      </c>
      <c r="AI5" s="54">
        <f>IFERROR((VLOOKUP($E5,'AEO23 Table 23'!$B$13:$AF$61,AI$1,FALSE)-(VLOOKUP($E5,'AEO23 Table 23'!$B$13:$AF$61,AH$1,FALSE)))/VLOOKUP($E5,'AEO23 Table 23'!$B$13:$AF$61,AH$1,FALSE),"")</f>
        <v>-1.4273166447079511E-2</v>
      </c>
    </row>
    <row r="6" spans="1:35" x14ac:dyDescent="0.3">
      <c r="A6" s="125" t="s">
        <v>40</v>
      </c>
      <c r="B6" s="49" cm="1">
        <f t="array" ref="B6">SUMPRODUCT(--('BLS Table 2.7'!$O:$O=$A6),'BLS Table 2.7'!L:L,'BLS Table 2.7'!N:N)/SUMIFS('BLS Table 2.7'!L:L,'BLS Table 2.7'!$O:$O,$A6)/100</f>
        <v>3.4000000000000002E-2</v>
      </c>
      <c r="E6" s="1" t="s">
        <v>40</v>
      </c>
      <c r="F6" s="54">
        <f>IFERROR(INDEX('AEO23 Table 23'!$AG$22:$AG$61,MATCH($E6,'AEO23 Table 23'!$B$22:$B$61,0)),"")</f>
        <v>3.1355829933379484E-3</v>
      </c>
      <c r="G6" s="138">
        <f t="shared" ref="G6:G7" si="0">F6</f>
        <v>3.1355829933379484E-3</v>
      </c>
      <c r="H6" s="54">
        <f>IFERROR((VLOOKUP($E6,'AEO23 Table 23'!$B$13:$AF$61,H$1,FALSE)-(VLOOKUP($E6,'AEO23 Table 23'!$B$13:$AF$61,G$1,FALSE)))/VLOOKUP($E6,'AEO23 Table 23'!$B$13:$AF$61,G$1,FALSE),"")</f>
        <v>-2.7932862389056286E-2</v>
      </c>
      <c r="I6" s="54">
        <f>IFERROR((VLOOKUP($E6,'AEO23 Table 23'!$B$13:$AF$61,I$1,FALSE)-(VLOOKUP($E6,'AEO23 Table 23'!$B$13:$AF$61,H$1,FALSE)))/VLOOKUP($E6,'AEO23 Table 23'!$B$13:$AF$61,H$1,FALSE),"")</f>
        <v>-2.7538351689491069E-4</v>
      </c>
      <c r="J6" s="54">
        <f>IFERROR((VLOOKUP($E6,'AEO23 Table 23'!$B$13:$AF$61,J$1,FALSE)-(VLOOKUP($E6,'AEO23 Table 23'!$B$13:$AF$61,I$1,FALSE)))/VLOOKUP($E6,'AEO23 Table 23'!$B$13:$AF$61,I$1,FALSE),"")</f>
        <v>7.6435852604493362E-3</v>
      </c>
      <c r="K6" s="54">
        <f>IFERROR((VLOOKUP($E6,'AEO23 Table 23'!$B$13:$AF$61,K$1,FALSE)-(VLOOKUP($E6,'AEO23 Table 23'!$B$13:$AF$61,J$1,FALSE)))/VLOOKUP($E6,'AEO23 Table 23'!$B$13:$AF$61,J$1,FALSE),"")</f>
        <v>1.3378753106103517E-2</v>
      </c>
      <c r="L6" s="54">
        <f>IFERROR((VLOOKUP($E6,'AEO23 Table 23'!$B$13:$AF$61,L$1,FALSE)-(VLOOKUP($E6,'AEO23 Table 23'!$B$13:$AF$61,K$1,FALSE)))/VLOOKUP($E6,'AEO23 Table 23'!$B$13:$AF$61,K$1,FALSE),"")</f>
        <v>1.6767167366375706E-3</v>
      </c>
      <c r="M6" s="54">
        <f>IFERROR((VLOOKUP($E6,'AEO23 Table 23'!$B$13:$AF$61,M$1,FALSE)-(VLOOKUP($E6,'AEO23 Table 23'!$B$13:$AF$61,L$1,FALSE)))/VLOOKUP($E6,'AEO23 Table 23'!$B$13:$AF$61,L$1,FALSE),"")</f>
        <v>8.1244305399892133E-3</v>
      </c>
      <c r="N6" s="54">
        <f>IFERROR((VLOOKUP($E6,'AEO23 Table 23'!$B$13:$AF$61,N$1,FALSE)-(VLOOKUP($E6,'AEO23 Table 23'!$B$13:$AF$61,M$1,FALSE)))/VLOOKUP($E6,'AEO23 Table 23'!$B$13:$AF$61,M$1,FALSE),"")</f>
        <v>1.0173672263785521E-3</v>
      </c>
      <c r="O6" s="54">
        <f>IFERROR((VLOOKUP($E6,'AEO23 Table 23'!$B$13:$AF$61,O$1,FALSE)-(VLOOKUP($E6,'AEO23 Table 23'!$B$13:$AF$61,N$1,FALSE)))/VLOOKUP($E6,'AEO23 Table 23'!$B$13:$AF$61,N$1,FALSE),"")</f>
        <v>4.9074833127989697E-3</v>
      </c>
      <c r="P6" s="54">
        <f>IFERROR((VLOOKUP($E6,'AEO23 Table 23'!$B$13:$AF$61,P$1,FALSE)-(VLOOKUP($E6,'AEO23 Table 23'!$B$13:$AF$61,O$1,FALSE)))/VLOOKUP($E6,'AEO23 Table 23'!$B$13:$AF$61,O$1,FALSE),"")</f>
        <v>4.7181362805120211E-3</v>
      </c>
      <c r="Q6" s="54">
        <f>IFERROR((VLOOKUP($E6,'AEO23 Table 23'!$B$13:$AF$61,Q$1,FALSE)-(VLOOKUP($E6,'AEO23 Table 23'!$B$13:$AF$61,P$1,FALSE)))/VLOOKUP($E6,'AEO23 Table 23'!$B$13:$AF$61,P$1,FALSE),"")</f>
        <v>9.7939751541981108E-3</v>
      </c>
      <c r="R6" s="54">
        <f>IFERROR((VLOOKUP($E6,'AEO23 Table 23'!$B$13:$AF$61,R$1,FALSE)-(VLOOKUP($E6,'AEO23 Table 23'!$B$13:$AF$61,Q$1,FALSE)))/VLOOKUP($E6,'AEO23 Table 23'!$B$13:$AF$61,Q$1,FALSE),"")</f>
        <v>9.6080751718246645E-3</v>
      </c>
      <c r="S6" s="54">
        <f>IFERROR((VLOOKUP($E6,'AEO23 Table 23'!$B$13:$AF$61,S$1,FALSE)-(VLOOKUP($E6,'AEO23 Table 23'!$B$13:$AF$61,R$1,FALSE)))/VLOOKUP($E6,'AEO23 Table 23'!$B$13:$AF$61,R$1,FALSE),"")</f>
        <v>6.633702562351098E-3</v>
      </c>
      <c r="T6" s="54">
        <f>IFERROR((VLOOKUP($E6,'AEO23 Table 23'!$B$13:$AF$61,T$1,FALSE)-(VLOOKUP($E6,'AEO23 Table 23'!$B$13:$AF$61,S$1,FALSE)))/VLOOKUP($E6,'AEO23 Table 23'!$B$13:$AF$61,S$1,FALSE),"")</f>
        <v>3.28188424572172E-3</v>
      </c>
      <c r="U6" s="54">
        <f>IFERROR((VLOOKUP($E6,'AEO23 Table 23'!$B$13:$AF$61,U$1,FALSE)-(VLOOKUP($E6,'AEO23 Table 23'!$B$13:$AF$61,T$1,FALSE)))/VLOOKUP($E6,'AEO23 Table 23'!$B$13:$AF$61,T$1,FALSE),"")</f>
        <v>4.2395808994429799E-3</v>
      </c>
      <c r="V6" s="54">
        <f>IFERROR((VLOOKUP($E6,'AEO23 Table 23'!$B$13:$AF$61,V$1,FALSE)-(VLOOKUP($E6,'AEO23 Table 23'!$B$13:$AF$61,U$1,FALSE)))/VLOOKUP($E6,'AEO23 Table 23'!$B$13:$AF$61,U$1,FALSE),"")</f>
        <v>4.9426445061489035E-3</v>
      </c>
      <c r="W6" s="54">
        <f>IFERROR((VLOOKUP($E6,'AEO23 Table 23'!$B$13:$AF$61,W$1,FALSE)-(VLOOKUP($E6,'AEO23 Table 23'!$B$13:$AF$61,V$1,FALSE)))/VLOOKUP($E6,'AEO23 Table 23'!$B$13:$AF$61,V$1,FALSE),"")</f>
        <v>1.960327360960577E-3</v>
      </c>
      <c r="X6" s="54">
        <f>IFERROR((VLOOKUP($E6,'AEO23 Table 23'!$B$13:$AF$61,X$1,FALSE)-(VLOOKUP($E6,'AEO23 Table 23'!$B$13:$AF$61,W$1,FALSE)))/VLOOKUP($E6,'AEO23 Table 23'!$B$13:$AF$61,W$1,FALSE),"")</f>
        <v>3.9935543698029321E-3</v>
      </c>
      <c r="Y6" s="54">
        <f>IFERROR((VLOOKUP($E6,'AEO23 Table 23'!$B$13:$AF$61,Y$1,FALSE)-(VLOOKUP($E6,'AEO23 Table 23'!$B$13:$AF$61,X$1,FALSE)))/VLOOKUP($E6,'AEO23 Table 23'!$B$13:$AF$61,X$1,FALSE),"")</f>
        <v>-1.4762952408784225E-3</v>
      </c>
      <c r="Z6" s="54">
        <f>IFERROR((VLOOKUP($E6,'AEO23 Table 23'!$B$13:$AF$61,Z$1,FALSE)-(VLOOKUP($E6,'AEO23 Table 23'!$B$13:$AF$61,Y$1,FALSE)))/VLOOKUP($E6,'AEO23 Table 23'!$B$13:$AF$61,Y$1,FALSE),"")</f>
        <v>-6.0048948991747546E-4</v>
      </c>
      <c r="AA6" s="54">
        <f>IFERROR((VLOOKUP($E6,'AEO23 Table 23'!$B$13:$AF$61,AA$1,FALSE)-(VLOOKUP($E6,'AEO23 Table 23'!$B$13:$AF$61,Z$1,FALSE)))/VLOOKUP($E6,'AEO23 Table 23'!$B$13:$AF$61,Z$1,FALSE),"")</f>
        <v>2.5960981146046264E-3</v>
      </c>
      <c r="AB6" s="54">
        <f>IFERROR((VLOOKUP($E6,'AEO23 Table 23'!$B$13:$AF$61,AB$1,FALSE)-(VLOOKUP($E6,'AEO23 Table 23'!$B$13:$AF$61,AA$1,FALSE)))/VLOOKUP($E6,'AEO23 Table 23'!$B$13:$AF$61,AA$1,FALSE),"")</f>
        <v>4.9865537087397998E-3</v>
      </c>
      <c r="AC6" s="54">
        <f>IFERROR((VLOOKUP($E6,'AEO23 Table 23'!$B$13:$AF$61,AC$1,FALSE)-(VLOOKUP($E6,'AEO23 Table 23'!$B$13:$AF$61,AB$1,FALSE)))/VLOOKUP($E6,'AEO23 Table 23'!$B$13:$AF$61,AB$1,FALSE),"")</f>
        <v>5.046139575226781E-3</v>
      </c>
      <c r="AD6" s="54">
        <f>IFERROR((VLOOKUP($E6,'AEO23 Table 23'!$B$13:$AF$61,AD$1,FALSE)-(VLOOKUP($E6,'AEO23 Table 23'!$B$13:$AF$61,AC$1,FALSE)))/VLOOKUP($E6,'AEO23 Table 23'!$B$13:$AF$61,AC$1,FALSE),"")</f>
        <v>-1.6631131980766319E-4</v>
      </c>
      <c r="AE6" s="54">
        <f>IFERROR((VLOOKUP($E6,'AEO23 Table 23'!$B$13:$AF$61,AE$1,FALSE)-(VLOOKUP($E6,'AEO23 Table 23'!$B$13:$AF$61,AD$1,FALSE)))/VLOOKUP($E6,'AEO23 Table 23'!$B$13:$AF$61,AD$1,FALSE),"")</f>
        <v>3.2248783177884462E-3</v>
      </c>
      <c r="AF6" s="54">
        <f>IFERROR((VLOOKUP($E6,'AEO23 Table 23'!$B$13:$AF$61,AF$1,FALSE)-(VLOOKUP($E6,'AEO23 Table 23'!$B$13:$AF$61,AE$1,FALSE)))/VLOOKUP($E6,'AEO23 Table 23'!$B$13:$AF$61,AE$1,FALSE),"")</f>
        <v>-1.5101633545643691E-3</v>
      </c>
      <c r="AG6" s="54">
        <f>IFERROR((VLOOKUP($E6,'AEO23 Table 23'!$B$13:$AF$61,AG$1,FALSE)-(VLOOKUP($E6,'AEO23 Table 23'!$B$13:$AF$61,AF$1,FALSE)))/VLOOKUP($E6,'AEO23 Table 23'!$B$13:$AF$61,AF$1,FALSE),"")</f>
        <v>4.2949915700879211E-3</v>
      </c>
      <c r="AH6" s="54">
        <f>IFERROR((VLOOKUP($E6,'AEO23 Table 23'!$B$13:$AF$61,AH$1,FALSE)-(VLOOKUP($E6,'AEO23 Table 23'!$B$13:$AF$61,AG$1,FALSE)))/VLOOKUP($E6,'AEO23 Table 23'!$B$13:$AF$61,AG$1,FALSE),"")</f>
        <v>5.7468524885153239E-3</v>
      </c>
      <c r="AI6" s="54">
        <f>IFERROR((VLOOKUP($E6,'AEO23 Table 23'!$B$13:$AF$61,AI$1,FALSE)-(VLOOKUP($E6,'AEO23 Table 23'!$B$13:$AF$61,AH$1,FALSE)))/VLOOKUP($E6,'AEO23 Table 23'!$B$13:$AF$61,AH$1,FALSE),"")</f>
        <v>5.0993658006285468E-3</v>
      </c>
    </row>
    <row r="7" spans="1:35" x14ac:dyDescent="0.3">
      <c r="A7" s="125" t="s">
        <v>3</v>
      </c>
      <c r="B7" s="49" cm="1">
        <f t="array" ref="B7">SUMPRODUCT(--('BLS Table 2.7'!$O:$O=$A7),'BLS Table 2.7'!L:L,'BLS Table 2.7'!N:N)/SUMIFS('BLS Table 2.7'!L:L,'BLS Table 2.7'!$O:$O,$A7)/100</f>
        <v>1.0045584045584047E-2</v>
      </c>
      <c r="E7" s="1" t="s">
        <v>3</v>
      </c>
      <c r="F7" s="54">
        <f>IFERROR(INDEX('AEO23 Table 23'!$AG$22:$AG$61,MATCH($E7,'AEO23 Table 23'!$B$22:$B$61,0)),"")</f>
        <v>-2.8519755147467907E-4</v>
      </c>
      <c r="G7" s="138">
        <f t="shared" si="0"/>
        <v>-2.8519755147467907E-4</v>
      </c>
      <c r="H7" s="54">
        <f>IFERROR((VLOOKUP($E7,'AEO23 Table 23'!$B$13:$AF$61,H$1,FALSE)-(VLOOKUP($E7,'AEO23 Table 23'!$B$13:$AF$61,G$1,FALSE)))/VLOOKUP($E7,'AEO23 Table 23'!$B$13:$AF$61,G$1,FALSE),"")</f>
        <v>-2.4179187534780183E-2</v>
      </c>
      <c r="I7" s="54">
        <f>IFERROR((VLOOKUP($E7,'AEO23 Table 23'!$B$13:$AF$61,I$1,FALSE)-(VLOOKUP($E7,'AEO23 Table 23'!$B$13:$AF$61,H$1,FALSE)))/VLOOKUP($E7,'AEO23 Table 23'!$B$13:$AF$61,H$1,FALSE),"")</f>
        <v>-2.2910666932793467E-2</v>
      </c>
      <c r="J7" s="54">
        <f>IFERROR((VLOOKUP($E7,'AEO23 Table 23'!$B$13:$AF$61,J$1,FALSE)-(VLOOKUP($E7,'AEO23 Table 23'!$B$13:$AF$61,I$1,FALSE)))/VLOOKUP($E7,'AEO23 Table 23'!$B$13:$AF$61,I$1,FALSE),"")</f>
        <v>-1.3292478295761311E-2</v>
      </c>
      <c r="K7" s="54">
        <f>IFERROR((VLOOKUP($E7,'AEO23 Table 23'!$B$13:$AF$61,K$1,FALSE)-(VLOOKUP($E7,'AEO23 Table 23'!$B$13:$AF$61,J$1,FALSE)))/VLOOKUP($E7,'AEO23 Table 23'!$B$13:$AF$61,J$1,FALSE),"")</f>
        <v>-1.4521471666863826E-2</v>
      </c>
      <c r="L7" s="54">
        <f>IFERROR((VLOOKUP($E7,'AEO23 Table 23'!$B$13:$AF$61,L$1,FALSE)-(VLOOKUP($E7,'AEO23 Table 23'!$B$13:$AF$61,K$1,FALSE)))/VLOOKUP($E7,'AEO23 Table 23'!$B$13:$AF$61,K$1,FALSE),"")</f>
        <v>-1.9372167702049713E-2</v>
      </c>
      <c r="M7" s="54">
        <f>IFERROR((VLOOKUP($E7,'AEO23 Table 23'!$B$13:$AF$61,M$1,FALSE)-(VLOOKUP($E7,'AEO23 Table 23'!$B$13:$AF$61,L$1,FALSE)))/VLOOKUP($E7,'AEO23 Table 23'!$B$13:$AF$61,L$1,FALSE),"")</f>
        <v>-1.2425211549937991E-2</v>
      </c>
      <c r="N7" s="54">
        <f>IFERROR((VLOOKUP($E7,'AEO23 Table 23'!$B$13:$AF$61,N$1,FALSE)-(VLOOKUP($E7,'AEO23 Table 23'!$B$13:$AF$61,M$1,FALSE)))/VLOOKUP($E7,'AEO23 Table 23'!$B$13:$AF$61,M$1,FALSE),"")</f>
        <v>-5.0512093462868595E-3</v>
      </c>
      <c r="O7" s="54">
        <f>IFERROR((VLOOKUP($E7,'AEO23 Table 23'!$B$13:$AF$61,O$1,FALSE)-(VLOOKUP($E7,'AEO23 Table 23'!$B$13:$AF$61,N$1,FALSE)))/VLOOKUP($E7,'AEO23 Table 23'!$B$13:$AF$61,N$1,FALSE),"")</f>
        <v>-5.4194633485430037E-3</v>
      </c>
      <c r="P7" s="54">
        <f>IFERROR((VLOOKUP($E7,'AEO23 Table 23'!$B$13:$AF$61,P$1,FALSE)-(VLOOKUP($E7,'AEO23 Table 23'!$B$13:$AF$61,O$1,FALSE)))/VLOOKUP($E7,'AEO23 Table 23'!$B$13:$AF$61,O$1,FALSE),"")</f>
        <v>-6.3415016049479548E-3</v>
      </c>
      <c r="Q7" s="54">
        <f>IFERROR((VLOOKUP($E7,'AEO23 Table 23'!$B$13:$AF$61,Q$1,FALSE)-(VLOOKUP($E7,'AEO23 Table 23'!$B$13:$AF$61,P$1,FALSE)))/VLOOKUP($E7,'AEO23 Table 23'!$B$13:$AF$61,P$1,FALSE),"")</f>
        <v>-3.6400882445635305E-3</v>
      </c>
      <c r="R7" s="54">
        <f>IFERROR((VLOOKUP($E7,'AEO23 Table 23'!$B$13:$AF$61,R$1,FALSE)-(VLOOKUP($E7,'AEO23 Table 23'!$B$13:$AF$61,Q$1,FALSE)))/VLOOKUP($E7,'AEO23 Table 23'!$B$13:$AF$61,Q$1,FALSE),"")</f>
        <v>-4.0329595596957498E-3</v>
      </c>
      <c r="S7" s="54">
        <f>IFERROR((VLOOKUP($E7,'AEO23 Table 23'!$B$13:$AF$61,S$1,FALSE)-(VLOOKUP($E7,'AEO23 Table 23'!$B$13:$AF$61,R$1,FALSE)))/VLOOKUP($E7,'AEO23 Table 23'!$B$13:$AF$61,R$1,FALSE),"")</f>
        <v>-6.1453933369325971E-3</v>
      </c>
      <c r="T7" s="54">
        <f>IFERROR((VLOOKUP($E7,'AEO23 Table 23'!$B$13:$AF$61,T$1,FALSE)-(VLOOKUP($E7,'AEO23 Table 23'!$B$13:$AF$61,S$1,FALSE)))/VLOOKUP($E7,'AEO23 Table 23'!$B$13:$AF$61,S$1,FALSE),"")</f>
        <v>-1.7895090034672036E-3</v>
      </c>
      <c r="U7" s="54">
        <f>IFERROR((VLOOKUP($E7,'AEO23 Table 23'!$B$13:$AF$61,U$1,FALSE)-(VLOOKUP($E7,'AEO23 Table 23'!$B$13:$AF$61,T$1,FALSE)))/VLOOKUP($E7,'AEO23 Table 23'!$B$13:$AF$61,T$1,FALSE),"")</f>
        <v>1.5046018407363136E-3</v>
      </c>
      <c r="V7" s="54">
        <f>IFERROR((VLOOKUP($E7,'AEO23 Table 23'!$B$13:$AF$61,V$1,FALSE)-(VLOOKUP($E7,'AEO23 Table 23'!$B$13:$AF$61,U$1,FALSE)))/VLOOKUP($E7,'AEO23 Table 23'!$B$13:$AF$61,U$1,FALSE),"")</f>
        <v>4.7467595774264735E-3</v>
      </c>
      <c r="W7" s="54">
        <f>IFERROR((VLOOKUP($E7,'AEO23 Table 23'!$B$13:$AF$61,W$1,FALSE)-(VLOOKUP($E7,'AEO23 Table 23'!$B$13:$AF$61,V$1,FALSE)))/VLOOKUP($E7,'AEO23 Table 23'!$B$13:$AF$61,V$1,FALSE),"")</f>
        <v>5.7900932141379639E-3</v>
      </c>
      <c r="X7" s="54">
        <f>IFERROR((VLOOKUP($E7,'AEO23 Table 23'!$B$13:$AF$61,X$1,FALSE)-(VLOOKUP($E7,'AEO23 Table 23'!$B$13:$AF$61,W$1,FALSE)))/VLOOKUP($E7,'AEO23 Table 23'!$B$13:$AF$61,W$1,FALSE),"")</f>
        <v>9.2203068163847161E-3</v>
      </c>
      <c r="Y7" s="54">
        <f>IFERROR((VLOOKUP($E7,'AEO23 Table 23'!$B$13:$AF$61,Y$1,FALSE)-(VLOOKUP($E7,'AEO23 Table 23'!$B$13:$AF$61,X$1,FALSE)))/VLOOKUP($E7,'AEO23 Table 23'!$B$13:$AF$61,X$1,FALSE),"")</f>
        <v>8.35253004873617E-3</v>
      </c>
      <c r="Z7" s="54">
        <f>IFERROR((VLOOKUP($E7,'AEO23 Table 23'!$B$13:$AF$61,Z$1,FALSE)-(VLOOKUP($E7,'AEO23 Table 23'!$B$13:$AF$61,Y$1,FALSE)))/VLOOKUP($E7,'AEO23 Table 23'!$B$13:$AF$61,Y$1,FALSE),"")</f>
        <v>9.2158020700585791E-3</v>
      </c>
      <c r="AA7" s="54">
        <f>IFERROR((VLOOKUP($E7,'AEO23 Table 23'!$B$13:$AF$61,AA$1,FALSE)-(VLOOKUP($E7,'AEO23 Table 23'!$B$13:$AF$61,Z$1,FALSE)))/VLOOKUP($E7,'AEO23 Table 23'!$B$13:$AF$61,Z$1,FALSE),"")</f>
        <v>9.2086419562976522E-3</v>
      </c>
      <c r="AB7" s="54">
        <f>IFERROR((VLOOKUP($E7,'AEO23 Table 23'!$B$13:$AF$61,AB$1,FALSE)-(VLOOKUP($E7,'AEO23 Table 23'!$B$13:$AF$61,AA$1,FALSE)))/VLOOKUP($E7,'AEO23 Table 23'!$B$13:$AF$61,AA$1,FALSE),"")</f>
        <v>1.6677601965301877E-2</v>
      </c>
      <c r="AC7" s="54">
        <f>IFERROR((VLOOKUP($E7,'AEO23 Table 23'!$B$13:$AF$61,AC$1,FALSE)-(VLOOKUP($E7,'AEO23 Table 23'!$B$13:$AF$61,AB$1,FALSE)))/VLOOKUP($E7,'AEO23 Table 23'!$B$13:$AF$61,AB$1,FALSE),"")</f>
        <v>1.5098304067236985E-2</v>
      </c>
      <c r="AD7" s="54">
        <f>IFERROR((VLOOKUP($E7,'AEO23 Table 23'!$B$13:$AF$61,AD$1,FALSE)-(VLOOKUP($E7,'AEO23 Table 23'!$B$13:$AF$61,AC$1,FALSE)))/VLOOKUP($E7,'AEO23 Table 23'!$B$13:$AF$61,AC$1,FALSE),"")</f>
        <v>1.3838784079484403E-2</v>
      </c>
      <c r="AE7" s="54">
        <f>IFERROR((VLOOKUP($E7,'AEO23 Table 23'!$B$13:$AF$61,AE$1,FALSE)-(VLOOKUP($E7,'AEO23 Table 23'!$B$13:$AF$61,AD$1,FALSE)))/VLOOKUP($E7,'AEO23 Table 23'!$B$13:$AF$61,AD$1,FALSE),"")</f>
        <v>1.1914484045966182E-2</v>
      </c>
      <c r="AF7" s="54">
        <f>IFERROR((VLOOKUP($E7,'AEO23 Table 23'!$B$13:$AF$61,AF$1,FALSE)-(VLOOKUP($E7,'AEO23 Table 23'!$B$13:$AF$61,AE$1,FALSE)))/VLOOKUP($E7,'AEO23 Table 23'!$B$13:$AF$61,AE$1,FALSE),"")</f>
        <v>5.6781334217239831E-3</v>
      </c>
      <c r="AG7" s="54">
        <f>IFERROR((VLOOKUP($E7,'AEO23 Table 23'!$B$13:$AF$61,AG$1,FALSE)-(VLOOKUP($E7,'AEO23 Table 23'!$B$13:$AF$61,AF$1,FALSE)))/VLOOKUP($E7,'AEO23 Table 23'!$B$13:$AF$61,AF$1,FALSE),"")</f>
        <v>2.9949987819383401E-3</v>
      </c>
      <c r="AH7" s="54">
        <f>IFERROR((VLOOKUP($E7,'AEO23 Table 23'!$B$13:$AF$61,AH$1,FALSE)-(VLOOKUP($E7,'AEO23 Table 23'!$B$13:$AF$61,AG$1,FALSE)))/VLOOKUP($E7,'AEO23 Table 23'!$B$13:$AF$61,AG$1,FALSE),"")</f>
        <v>6.343582123671314E-3</v>
      </c>
      <c r="AI7" s="54">
        <f>IFERROR((VLOOKUP($E7,'AEO23 Table 23'!$B$13:$AF$61,AI$1,FALSE)-(VLOOKUP($E7,'AEO23 Table 23'!$B$13:$AF$61,AH$1,FALSE)))/VLOOKUP($E7,'AEO23 Table 23'!$B$13:$AF$61,AH$1,FALSE),"")</f>
        <v>1.235163836674414E-2</v>
      </c>
    </row>
    <row r="8" spans="1:35" x14ac:dyDescent="0.3">
      <c r="A8" s="1" t="s">
        <v>4</v>
      </c>
      <c r="B8" s="49" cm="1">
        <f t="array" ref="B8">SUMPRODUCT(--('BLS Table 2.7'!$O:$O=$A8),'BLS Table 2.7'!L:L,'BLS Table 2.7'!N:N)/SUMIFS('BLS Table 2.7'!L:L,'BLS Table 2.7'!$O:$O,$A8)/100</f>
        <v>2.8999999999999995E-2</v>
      </c>
      <c r="E8" s="1" t="s">
        <v>4</v>
      </c>
      <c r="F8" s="54" t="str">
        <f>IFERROR(INDEX('AEO23 Table 23'!$AG$22:$AG$61,MATCH($E8,'AEO23 Table 23'!$B$22:$B$61,0)),"")</f>
        <v/>
      </c>
      <c r="G8" s="54"/>
      <c r="H8" s="54" t="str">
        <f>IFERROR((VLOOKUP($E8,'AEO23 Table 23'!$B$13:$AF$61,H$1,FALSE)-(VLOOKUP($E8,'AEO23 Table 23'!$B$13:$AF$61,G$1,FALSE)))/VLOOKUP($E8,'AEO23 Table 23'!$B$13:$AF$61,G$1,FALSE),"")</f>
        <v/>
      </c>
      <c r="I8" s="54" t="str">
        <f>IFERROR((VLOOKUP($E8,'AEO23 Table 23'!$B$13:$AF$61,I$1,FALSE)-(VLOOKUP($E8,'AEO23 Table 23'!$B$13:$AF$61,H$1,FALSE)))/VLOOKUP($E8,'AEO23 Table 23'!$B$13:$AF$61,H$1,FALSE),"")</f>
        <v/>
      </c>
      <c r="J8" s="54" t="str">
        <f>IFERROR((VLOOKUP($E8,'AEO23 Table 23'!$B$13:$AF$61,J$1,FALSE)-(VLOOKUP($E8,'AEO23 Table 23'!$B$13:$AF$61,I$1,FALSE)))/VLOOKUP($E8,'AEO23 Table 23'!$B$13:$AF$61,I$1,FALSE),"")</f>
        <v/>
      </c>
      <c r="K8" s="54" t="str">
        <f>IFERROR((VLOOKUP($E8,'AEO23 Table 23'!$B$13:$AF$61,K$1,FALSE)-(VLOOKUP($E8,'AEO23 Table 23'!$B$13:$AF$61,J$1,FALSE)))/VLOOKUP($E8,'AEO23 Table 23'!$B$13:$AF$61,J$1,FALSE),"")</f>
        <v/>
      </c>
      <c r="L8" s="54" t="str">
        <f>IFERROR((VLOOKUP($E8,'AEO23 Table 23'!$B$13:$AF$61,L$1,FALSE)-(VLOOKUP($E8,'AEO23 Table 23'!$B$13:$AF$61,K$1,FALSE)))/VLOOKUP($E8,'AEO23 Table 23'!$B$13:$AF$61,K$1,FALSE),"")</f>
        <v/>
      </c>
      <c r="M8" s="54" t="str">
        <f>IFERROR((VLOOKUP($E8,'AEO23 Table 23'!$B$13:$AF$61,M$1,FALSE)-(VLOOKUP($E8,'AEO23 Table 23'!$B$13:$AF$61,L$1,FALSE)))/VLOOKUP($E8,'AEO23 Table 23'!$B$13:$AF$61,L$1,FALSE),"")</f>
        <v/>
      </c>
      <c r="N8" s="54" t="str">
        <f>IFERROR((VLOOKUP($E8,'AEO23 Table 23'!$B$13:$AF$61,N$1,FALSE)-(VLOOKUP($E8,'AEO23 Table 23'!$B$13:$AF$61,M$1,FALSE)))/VLOOKUP($E8,'AEO23 Table 23'!$B$13:$AF$61,M$1,FALSE),"")</f>
        <v/>
      </c>
      <c r="O8" s="54" t="str">
        <f>IFERROR((VLOOKUP($E8,'AEO23 Table 23'!$B$13:$AF$61,O$1,FALSE)-(VLOOKUP($E8,'AEO23 Table 23'!$B$13:$AF$61,N$1,FALSE)))/VLOOKUP($E8,'AEO23 Table 23'!$B$13:$AF$61,N$1,FALSE),"")</f>
        <v/>
      </c>
      <c r="P8" s="54" t="str">
        <f>IFERROR((VLOOKUP($E8,'AEO23 Table 23'!$B$13:$AF$61,P$1,FALSE)-(VLOOKUP($E8,'AEO23 Table 23'!$B$13:$AF$61,O$1,FALSE)))/VLOOKUP($E8,'AEO23 Table 23'!$B$13:$AF$61,O$1,FALSE),"")</f>
        <v/>
      </c>
      <c r="Q8" s="54" t="str">
        <f>IFERROR((VLOOKUP($E8,'AEO23 Table 23'!$B$13:$AF$61,Q$1,FALSE)-(VLOOKUP($E8,'AEO23 Table 23'!$B$13:$AF$61,P$1,FALSE)))/VLOOKUP($E8,'AEO23 Table 23'!$B$13:$AF$61,P$1,FALSE),"")</f>
        <v/>
      </c>
      <c r="R8" s="54" t="str">
        <f>IFERROR((VLOOKUP($E8,'AEO23 Table 23'!$B$13:$AF$61,R$1,FALSE)-(VLOOKUP($E8,'AEO23 Table 23'!$B$13:$AF$61,Q$1,FALSE)))/VLOOKUP($E8,'AEO23 Table 23'!$B$13:$AF$61,Q$1,FALSE),"")</f>
        <v/>
      </c>
      <c r="S8" s="54" t="str">
        <f>IFERROR((VLOOKUP($E8,'AEO23 Table 23'!$B$13:$AF$61,S$1,FALSE)-(VLOOKUP($E8,'AEO23 Table 23'!$B$13:$AF$61,R$1,FALSE)))/VLOOKUP($E8,'AEO23 Table 23'!$B$13:$AF$61,R$1,FALSE),"")</f>
        <v/>
      </c>
      <c r="T8" s="54" t="str">
        <f>IFERROR((VLOOKUP($E8,'AEO23 Table 23'!$B$13:$AF$61,T$1,FALSE)-(VLOOKUP($E8,'AEO23 Table 23'!$B$13:$AF$61,S$1,FALSE)))/VLOOKUP($E8,'AEO23 Table 23'!$B$13:$AF$61,S$1,FALSE),"")</f>
        <v/>
      </c>
      <c r="U8" s="54" t="str">
        <f>IFERROR((VLOOKUP($E8,'AEO23 Table 23'!$B$13:$AF$61,U$1,FALSE)-(VLOOKUP($E8,'AEO23 Table 23'!$B$13:$AF$61,T$1,FALSE)))/VLOOKUP($E8,'AEO23 Table 23'!$B$13:$AF$61,T$1,FALSE),"")</f>
        <v/>
      </c>
      <c r="V8" s="54" t="str">
        <f>IFERROR((VLOOKUP($E8,'AEO23 Table 23'!$B$13:$AF$61,V$1,FALSE)-(VLOOKUP($E8,'AEO23 Table 23'!$B$13:$AF$61,U$1,FALSE)))/VLOOKUP($E8,'AEO23 Table 23'!$B$13:$AF$61,U$1,FALSE),"")</f>
        <v/>
      </c>
      <c r="W8" s="54" t="str">
        <f>IFERROR((VLOOKUP($E8,'AEO23 Table 23'!$B$13:$AF$61,W$1,FALSE)-(VLOOKUP($E8,'AEO23 Table 23'!$B$13:$AF$61,V$1,FALSE)))/VLOOKUP($E8,'AEO23 Table 23'!$B$13:$AF$61,V$1,FALSE),"")</f>
        <v/>
      </c>
      <c r="X8" s="54" t="str">
        <f>IFERROR((VLOOKUP($E8,'AEO23 Table 23'!$B$13:$AF$61,X$1,FALSE)-(VLOOKUP($E8,'AEO23 Table 23'!$B$13:$AF$61,W$1,FALSE)))/VLOOKUP($E8,'AEO23 Table 23'!$B$13:$AF$61,W$1,FALSE),"")</f>
        <v/>
      </c>
      <c r="Y8" s="54" t="str">
        <f>IFERROR((VLOOKUP($E8,'AEO23 Table 23'!$B$13:$AF$61,Y$1,FALSE)-(VLOOKUP($E8,'AEO23 Table 23'!$B$13:$AF$61,X$1,FALSE)))/VLOOKUP($E8,'AEO23 Table 23'!$B$13:$AF$61,X$1,FALSE),"")</f>
        <v/>
      </c>
      <c r="Z8" s="54" t="str">
        <f>IFERROR((VLOOKUP($E8,'AEO23 Table 23'!$B$13:$AF$61,Z$1,FALSE)-(VLOOKUP($E8,'AEO23 Table 23'!$B$13:$AF$61,Y$1,FALSE)))/VLOOKUP($E8,'AEO23 Table 23'!$B$13:$AF$61,Y$1,FALSE),"")</f>
        <v/>
      </c>
      <c r="AA8" s="54" t="str">
        <f>IFERROR((VLOOKUP($E8,'AEO23 Table 23'!$B$13:$AF$61,AA$1,FALSE)-(VLOOKUP($E8,'AEO23 Table 23'!$B$13:$AF$61,Z$1,FALSE)))/VLOOKUP($E8,'AEO23 Table 23'!$B$13:$AF$61,Z$1,FALSE),"")</f>
        <v/>
      </c>
      <c r="AB8" s="54" t="str">
        <f>IFERROR((VLOOKUP($E8,'AEO23 Table 23'!$B$13:$AF$61,AB$1,FALSE)-(VLOOKUP($E8,'AEO23 Table 23'!$B$13:$AF$61,AA$1,FALSE)))/VLOOKUP($E8,'AEO23 Table 23'!$B$13:$AF$61,AA$1,FALSE),"")</f>
        <v/>
      </c>
      <c r="AC8" s="54" t="str">
        <f>IFERROR((VLOOKUP($E8,'AEO23 Table 23'!$B$13:$AF$61,AC$1,FALSE)-(VLOOKUP($E8,'AEO23 Table 23'!$B$13:$AF$61,AB$1,FALSE)))/VLOOKUP($E8,'AEO23 Table 23'!$B$13:$AF$61,AB$1,FALSE),"")</f>
        <v/>
      </c>
      <c r="AD8" s="54" t="str">
        <f>IFERROR((VLOOKUP($E8,'AEO23 Table 23'!$B$13:$AF$61,AD$1,FALSE)-(VLOOKUP($E8,'AEO23 Table 23'!$B$13:$AF$61,AC$1,FALSE)))/VLOOKUP($E8,'AEO23 Table 23'!$B$13:$AF$61,AC$1,FALSE),"")</f>
        <v/>
      </c>
      <c r="AE8" s="54" t="str">
        <f>IFERROR((VLOOKUP($E8,'AEO23 Table 23'!$B$13:$AF$61,AE$1,FALSE)-(VLOOKUP($E8,'AEO23 Table 23'!$B$13:$AF$61,AD$1,FALSE)))/VLOOKUP($E8,'AEO23 Table 23'!$B$13:$AF$61,AD$1,FALSE),"")</f>
        <v/>
      </c>
      <c r="AF8" s="54" t="str">
        <f>IFERROR((VLOOKUP($E8,'AEO23 Table 23'!$B$13:$AF$61,AF$1,FALSE)-(VLOOKUP($E8,'AEO23 Table 23'!$B$13:$AF$61,AE$1,FALSE)))/VLOOKUP($E8,'AEO23 Table 23'!$B$13:$AF$61,AE$1,FALSE),"")</f>
        <v/>
      </c>
      <c r="AG8" s="54" t="str">
        <f>IFERROR((VLOOKUP($E8,'AEO23 Table 23'!$B$13:$AF$61,AG$1,FALSE)-(VLOOKUP($E8,'AEO23 Table 23'!$B$13:$AF$61,AF$1,FALSE)))/VLOOKUP($E8,'AEO23 Table 23'!$B$13:$AF$61,AF$1,FALSE),"")</f>
        <v/>
      </c>
      <c r="AH8" s="54" t="str">
        <f>IFERROR((VLOOKUP($E8,'AEO23 Table 23'!$B$13:$AF$61,AH$1,FALSE)-(VLOOKUP($E8,'AEO23 Table 23'!$B$13:$AF$61,AG$1,FALSE)))/VLOOKUP($E8,'AEO23 Table 23'!$B$13:$AF$61,AG$1,FALSE),"")</f>
        <v/>
      </c>
      <c r="AI8" s="54" t="str">
        <f>IFERROR((VLOOKUP($E8,'AEO23 Table 23'!$B$13:$AF$61,AI$1,FALSE)-(VLOOKUP($E8,'AEO23 Table 23'!$B$13:$AF$61,AH$1,FALSE)))/VLOOKUP($E8,'AEO23 Table 23'!$B$13:$AF$61,AH$1,FALSE),"")</f>
        <v/>
      </c>
    </row>
    <row r="9" spans="1:35" x14ac:dyDescent="0.3">
      <c r="A9" s="125" t="s">
        <v>5</v>
      </c>
      <c r="B9" s="49" cm="1">
        <f t="array" ref="B9">SUMPRODUCT(--('BLS Table 2.7'!$O:$O=$A9),'BLS Table 2.7'!L:L,'BLS Table 2.7'!N:N)/SUMIFS('BLS Table 2.7'!L:L,'BLS Table 2.7'!$O:$O,$A9)/100</f>
        <v>1.558531298768857E-2</v>
      </c>
      <c r="E9" s="1" t="s">
        <v>5</v>
      </c>
      <c r="F9" s="54">
        <f>IFERROR(INDEX('AEO23 Table 23'!$AG$22:$AG$61,MATCH($E9,'AEO23 Table 23'!$B$22:$B$61,0)),"")</f>
        <v>1.0838E-2</v>
      </c>
      <c r="G9" s="54">
        <f>(INDEX('AEO23 Table 23'!$D$22:$D$61,MATCH('Growth Rates'!E9,'AEO23 Table 23'!$B$22:$B$61,0))-INDEX('AEO22 Table 23'!$D$22:$D$58,MATCH('Growth Rates'!E9,'AEO22 Table 23'!$B$22:$B$58,0)))/INDEX('AEO22 Table 23'!$D$22:$D$58,MATCH('Growth Rates'!E9,'AEO22 Table 23'!$B$22:$B$58,0))</f>
        <v>-1.2463136070661631E-2</v>
      </c>
      <c r="H9" s="54">
        <f>IFERROR((VLOOKUP($E9,'AEO23 Table 23'!$B$13:$AF$61,H$1,FALSE)-(VLOOKUP($E9,'AEO23 Table 23'!$B$13:$AF$61,G$1,FALSE)))/VLOOKUP($E9,'AEO23 Table 23'!$B$13:$AF$61,G$1,FALSE),"")</f>
        <v>1.5600730540306472E-2</v>
      </c>
      <c r="I9" s="54">
        <f>IFERROR((VLOOKUP($E9,'AEO23 Table 23'!$B$13:$AF$61,I$1,FALSE)-(VLOOKUP($E9,'AEO23 Table 23'!$B$13:$AF$61,H$1,FALSE)))/VLOOKUP($E9,'AEO23 Table 23'!$B$13:$AF$61,H$1,FALSE),"")</f>
        <v>1.0035728714814878E-2</v>
      </c>
      <c r="J9" s="54">
        <f>IFERROR((VLOOKUP($E9,'AEO23 Table 23'!$B$13:$AF$61,J$1,FALSE)-(VLOOKUP($E9,'AEO23 Table 23'!$B$13:$AF$61,I$1,FALSE)))/VLOOKUP($E9,'AEO23 Table 23'!$B$13:$AF$61,I$1,FALSE),"")</f>
        <v>9.2179804330815001E-3</v>
      </c>
      <c r="K9" s="54">
        <f>IFERROR((VLOOKUP($E9,'AEO23 Table 23'!$B$13:$AF$61,K$1,FALSE)-(VLOOKUP($E9,'AEO23 Table 23'!$B$13:$AF$61,J$1,FALSE)))/VLOOKUP($E9,'AEO23 Table 23'!$B$13:$AF$61,J$1,FALSE),"")</f>
        <v>1.2898742714762445E-2</v>
      </c>
      <c r="L9" s="54">
        <f>IFERROR((VLOOKUP($E9,'AEO23 Table 23'!$B$13:$AF$61,L$1,FALSE)-(VLOOKUP($E9,'AEO23 Table 23'!$B$13:$AF$61,K$1,FALSE)))/VLOOKUP($E9,'AEO23 Table 23'!$B$13:$AF$61,K$1,FALSE),"")</f>
        <v>1.4149095163342949E-2</v>
      </c>
      <c r="M9" s="54">
        <f>IFERROR((VLOOKUP($E9,'AEO23 Table 23'!$B$13:$AF$61,M$1,FALSE)-(VLOOKUP($E9,'AEO23 Table 23'!$B$13:$AF$61,L$1,FALSE)))/VLOOKUP($E9,'AEO23 Table 23'!$B$13:$AF$61,L$1,FALSE),"")</f>
        <v>1.4043115956099314E-2</v>
      </c>
      <c r="N9" s="54">
        <f>IFERROR((VLOOKUP($E9,'AEO23 Table 23'!$B$13:$AF$61,N$1,FALSE)-(VLOOKUP($E9,'AEO23 Table 23'!$B$13:$AF$61,M$1,FALSE)))/VLOOKUP($E9,'AEO23 Table 23'!$B$13:$AF$61,M$1,FALSE),"")</f>
        <v>1.2009641443108341E-2</v>
      </c>
      <c r="O9" s="54">
        <f>IFERROR((VLOOKUP($E9,'AEO23 Table 23'!$B$13:$AF$61,O$1,FALSE)-(VLOOKUP($E9,'AEO23 Table 23'!$B$13:$AF$61,N$1,FALSE)))/VLOOKUP($E9,'AEO23 Table 23'!$B$13:$AF$61,N$1,FALSE),"")</f>
        <v>1.1759881819468567E-2</v>
      </c>
      <c r="P9" s="54">
        <f>IFERROR((VLOOKUP($E9,'AEO23 Table 23'!$B$13:$AF$61,P$1,FALSE)-(VLOOKUP($E9,'AEO23 Table 23'!$B$13:$AF$61,O$1,FALSE)))/VLOOKUP($E9,'AEO23 Table 23'!$B$13:$AF$61,O$1,FALSE),"")</f>
        <v>1.2933221296125166E-2</v>
      </c>
      <c r="Q9" s="54">
        <f>IFERROR((VLOOKUP($E9,'AEO23 Table 23'!$B$13:$AF$61,Q$1,FALSE)-(VLOOKUP($E9,'AEO23 Table 23'!$B$13:$AF$61,P$1,FALSE)))/VLOOKUP($E9,'AEO23 Table 23'!$B$13:$AF$61,P$1,FALSE),"")</f>
        <v>1.1139385189412005E-2</v>
      </c>
      <c r="R9" s="54">
        <f>IFERROR((VLOOKUP($E9,'AEO23 Table 23'!$B$13:$AF$61,R$1,FALSE)-(VLOOKUP($E9,'AEO23 Table 23'!$B$13:$AF$61,Q$1,FALSE)))/VLOOKUP($E9,'AEO23 Table 23'!$B$13:$AF$61,Q$1,FALSE),"")</f>
        <v>8.9925337133202887E-3</v>
      </c>
      <c r="S9" s="54">
        <f>IFERROR((VLOOKUP($E9,'AEO23 Table 23'!$B$13:$AF$61,S$1,FALSE)-(VLOOKUP($E9,'AEO23 Table 23'!$B$13:$AF$61,R$1,FALSE)))/VLOOKUP($E9,'AEO23 Table 23'!$B$13:$AF$61,R$1,FALSE),"")</f>
        <v>9.4682388286955691E-3</v>
      </c>
      <c r="T9" s="54">
        <f>IFERROR((VLOOKUP($E9,'AEO23 Table 23'!$B$13:$AF$61,T$1,FALSE)-(VLOOKUP($E9,'AEO23 Table 23'!$B$13:$AF$61,S$1,FALSE)))/VLOOKUP($E9,'AEO23 Table 23'!$B$13:$AF$61,S$1,FALSE),"")</f>
        <v>1.0372901895221382E-2</v>
      </c>
      <c r="U9" s="54">
        <f>IFERROR((VLOOKUP($E9,'AEO23 Table 23'!$B$13:$AF$61,U$1,FALSE)-(VLOOKUP($E9,'AEO23 Table 23'!$B$13:$AF$61,T$1,FALSE)))/VLOOKUP($E9,'AEO23 Table 23'!$B$13:$AF$61,T$1,FALSE),"")</f>
        <v>1.0839406918071162E-2</v>
      </c>
      <c r="V9" s="54">
        <f>IFERROR((VLOOKUP($E9,'AEO23 Table 23'!$B$13:$AF$61,V$1,FALSE)-(VLOOKUP($E9,'AEO23 Table 23'!$B$13:$AF$61,U$1,FALSE)))/VLOOKUP($E9,'AEO23 Table 23'!$B$13:$AF$61,U$1,FALSE),"")</f>
        <v>1.0422412469442062E-2</v>
      </c>
      <c r="W9" s="54">
        <f>IFERROR((VLOOKUP($E9,'AEO23 Table 23'!$B$13:$AF$61,W$1,FALSE)-(VLOOKUP($E9,'AEO23 Table 23'!$B$13:$AF$61,V$1,FALSE)))/VLOOKUP($E9,'AEO23 Table 23'!$B$13:$AF$61,V$1,FALSE),"")</f>
        <v>1.0462424486291933E-2</v>
      </c>
      <c r="X9" s="54">
        <f>IFERROR((VLOOKUP($E9,'AEO23 Table 23'!$B$13:$AF$61,X$1,FALSE)-(VLOOKUP($E9,'AEO23 Table 23'!$B$13:$AF$61,W$1,FALSE)))/VLOOKUP($E9,'AEO23 Table 23'!$B$13:$AF$61,W$1,FALSE),"")</f>
        <v>1.0722425223961852E-2</v>
      </c>
      <c r="Y9" s="54">
        <f>IFERROR((VLOOKUP($E9,'AEO23 Table 23'!$B$13:$AF$61,Y$1,FALSE)-(VLOOKUP($E9,'AEO23 Table 23'!$B$13:$AF$61,X$1,FALSE)))/VLOOKUP($E9,'AEO23 Table 23'!$B$13:$AF$61,X$1,FALSE),"")</f>
        <v>1.0600328516912715E-2</v>
      </c>
      <c r="Z9" s="54">
        <f>IFERROR((VLOOKUP($E9,'AEO23 Table 23'!$B$13:$AF$61,Z$1,FALSE)-(VLOOKUP($E9,'AEO23 Table 23'!$B$13:$AF$61,Y$1,FALSE)))/VLOOKUP($E9,'AEO23 Table 23'!$B$13:$AF$61,Y$1,FALSE),"")</f>
        <v>1.0196510895153074E-2</v>
      </c>
      <c r="AA9" s="54">
        <f>IFERROR((VLOOKUP($E9,'AEO23 Table 23'!$B$13:$AF$61,AA$1,FALSE)-(VLOOKUP($E9,'AEO23 Table 23'!$B$13:$AF$61,Z$1,FALSE)))/VLOOKUP($E9,'AEO23 Table 23'!$B$13:$AF$61,Z$1,FALSE),"")</f>
        <v>1.0638881547569288E-2</v>
      </c>
      <c r="AB9" s="54">
        <f>IFERROR((VLOOKUP($E9,'AEO23 Table 23'!$B$13:$AF$61,AB$1,FALSE)-(VLOOKUP($E9,'AEO23 Table 23'!$B$13:$AF$61,AA$1,FALSE)))/VLOOKUP($E9,'AEO23 Table 23'!$B$13:$AF$61,AA$1,FALSE),"")</f>
        <v>1.0301133471732161E-2</v>
      </c>
      <c r="AC9" s="54">
        <f>IFERROR((VLOOKUP($E9,'AEO23 Table 23'!$B$13:$AF$61,AC$1,FALSE)-(VLOOKUP($E9,'AEO23 Table 23'!$B$13:$AF$61,AB$1,FALSE)))/VLOOKUP($E9,'AEO23 Table 23'!$B$13:$AF$61,AB$1,FALSE),"")</f>
        <v>1.0031565791011068E-2</v>
      </c>
      <c r="AD9" s="54">
        <f>IFERROR((VLOOKUP($E9,'AEO23 Table 23'!$B$13:$AF$61,AD$1,FALSE)-(VLOOKUP($E9,'AEO23 Table 23'!$B$13:$AF$61,AC$1,FALSE)))/VLOOKUP($E9,'AEO23 Table 23'!$B$13:$AF$61,AC$1,FALSE),"")</f>
        <v>9.8631337651723001E-3</v>
      </c>
      <c r="AE9" s="54">
        <f>IFERROR((VLOOKUP($E9,'AEO23 Table 23'!$B$13:$AF$61,AE$1,FALSE)-(VLOOKUP($E9,'AEO23 Table 23'!$B$13:$AF$61,AD$1,FALSE)))/VLOOKUP($E9,'AEO23 Table 23'!$B$13:$AF$61,AD$1,FALSE),"")</f>
        <v>9.3485819277131649E-3</v>
      </c>
      <c r="AF9" s="54">
        <f>IFERROR((VLOOKUP($E9,'AEO23 Table 23'!$B$13:$AF$61,AF$1,FALSE)-(VLOOKUP($E9,'AEO23 Table 23'!$B$13:$AF$61,AE$1,FALSE)))/VLOOKUP($E9,'AEO23 Table 23'!$B$13:$AF$61,AE$1,FALSE),"")</f>
        <v>9.3957905673998626E-3</v>
      </c>
      <c r="AG9" s="54">
        <f>IFERROR((VLOOKUP($E9,'AEO23 Table 23'!$B$13:$AF$61,AG$1,FALSE)-(VLOOKUP($E9,'AEO23 Table 23'!$B$13:$AF$61,AF$1,FALSE)))/VLOOKUP($E9,'AEO23 Table 23'!$B$13:$AF$61,AF$1,FALSE),"")</f>
        <v>9.4085840288950281E-3</v>
      </c>
      <c r="AH9" s="54">
        <f>IFERROR((VLOOKUP($E9,'AEO23 Table 23'!$B$13:$AF$61,AH$1,FALSE)-(VLOOKUP($E9,'AEO23 Table 23'!$B$13:$AF$61,AG$1,FALSE)))/VLOOKUP($E9,'AEO23 Table 23'!$B$13:$AF$61,AG$1,FALSE),"")</f>
        <v>9.3731390797313074E-3</v>
      </c>
      <c r="AI9" s="54">
        <f>IFERROR((VLOOKUP($E9,'AEO23 Table 23'!$B$13:$AF$61,AI$1,FALSE)-(VLOOKUP($E9,'AEO23 Table 23'!$B$13:$AF$61,AH$1,FALSE)))/VLOOKUP($E9,'AEO23 Table 23'!$B$13:$AF$61,AH$1,FALSE),"")</f>
        <v>9.2652576987369457E-3</v>
      </c>
    </row>
    <row r="10" spans="1:35" x14ac:dyDescent="0.3">
      <c r="A10" s="125" t="s">
        <v>6</v>
      </c>
      <c r="B10" s="49" cm="1">
        <f t="array" ref="B10">SUMPRODUCT(--('BLS Table 2.7'!$O:$O=$A10),'BLS Table 2.7'!L:L,'BLS Table 2.7'!N:N)/SUMIFS('BLS Table 2.7'!L:L,'BLS Table 2.7'!$O:$O,$A10)/100</f>
        <v>-2.1448863636363631E-3</v>
      </c>
      <c r="E10" s="1" t="s">
        <v>6</v>
      </c>
      <c r="F10" s="54">
        <f>IFERROR(INDEX('AEO23 Table 23'!$AG$22:$AG$61,MATCH($E10,'AEO23 Table 23'!$B$22:$B$61,0)),"")</f>
        <v>-1.191E-3</v>
      </c>
      <c r="G10" s="54">
        <f>(INDEX('AEO23 Table 23'!$D$22:$D$61,MATCH('Growth Rates'!E10,'AEO23 Table 23'!$B$22:$B$61,0))-INDEX('AEO22 Table 23'!$D$22:$D$58,MATCH('Growth Rates'!E10,'AEO22 Table 23'!$B$22:$B$58,0)))/INDEX('AEO22 Table 23'!$D$22:$D$58,MATCH('Growth Rates'!E10,'AEO22 Table 23'!$B$22:$B$58,0))</f>
        <v>-4.9111462171322448E-4</v>
      </c>
      <c r="H10" s="54">
        <f>IFERROR((VLOOKUP($E10,'AEO23 Table 23'!$B$13:$AF$61,H$1,FALSE)-(VLOOKUP($E10,'AEO23 Table 23'!$B$13:$AF$61,G$1,FALSE)))/VLOOKUP($E10,'AEO23 Table 23'!$B$13:$AF$61,G$1,FALSE),"")</f>
        <v>-1.5291759005209545E-2</v>
      </c>
      <c r="I10" s="54">
        <f>IFERROR((VLOOKUP($E10,'AEO23 Table 23'!$B$13:$AF$61,I$1,FALSE)-(VLOOKUP($E10,'AEO23 Table 23'!$B$13:$AF$61,H$1,FALSE)))/VLOOKUP($E10,'AEO23 Table 23'!$B$13:$AF$61,H$1,FALSE),"")</f>
        <v>-1.016174478068347E-2</v>
      </c>
      <c r="J10" s="54">
        <f>IFERROR((VLOOKUP($E10,'AEO23 Table 23'!$B$13:$AF$61,J$1,FALSE)-(VLOOKUP($E10,'AEO23 Table 23'!$B$13:$AF$61,I$1,FALSE)))/VLOOKUP($E10,'AEO23 Table 23'!$B$13:$AF$61,I$1,FALSE),"")</f>
        <v>4.3146482214819338E-4</v>
      </c>
      <c r="K10" s="54">
        <f>IFERROR((VLOOKUP($E10,'AEO23 Table 23'!$B$13:$AF$61,K$1,FALSE)-(VLOOKUP($E10,'AEO23 Table 23'!$B$13:$AF$61,J$1,FALSE)))/VLOOKUP($E10,'AEO23 Table 23'!$B$13:$AF$61,J$1,FALSE),"")</f>
        <v>1.8861179006834535E-2</v>
      </c>
      <c r="L10" s="54">
        <f>IFERROR((VLOOKUP($E10,'AEO23 Table 23'!$B$13:$AF$61,L$1,FALSE)-(VLOOKUP($E10,'AEO23 Table 23'!$B$13:$AF$61,K$1,FALSE)))/VLOOKUP($E10,'AEO23 Table 23'!$B$13:$AF$61,K$1,FALSE),"")</f>
        <v>2.285464942719714E-2</v>
      </c>
      <c r="M10" s="54">
        <f>IFERROR((VLOOKUP($E10,'AEO23 Table 23'!$B$13:$AF$61,M$1,FALSE)-(VLOOKUP($E10,'AEO23 Table 23'!$B$13:$AF$61,L$1,FALSE)))/VLOOKUP($E10,'AEO23 Table 23'!$B$13:$AF$61,L$1,FALSE),"")</f>
        <v>1.5633738108204877E-2</v>
      </c>
      <c r="N10" s="54">
        <f>IFERROR((VLOOKUP($E10,'AEO23 Table 23'!$B$13:$AF$61,N$1,FALSE)-(VLOOKUP($E10,'AEO23 Table 23'!$B$13:$AF$61,M$1,FALSE)))/VLOOKUP($E10,'AEO23 Table 23'!$B$13:$AF$61,M$1,FALSE),"")</f>
        <v>6.6148158689388467E-3</v>
      </c>
      <c r="O10" s="54">
        <f>IFERROR((VLOOKUP($E10,'AEO23 Table 23'!$B$13:$AF$61,O$1,FALSE)-(VLOOKUP($E10,'AEO23 Table 23'!$B$13:$AF$61,N$1,FALSE)))/VLOOKUP($E10,'AEO23 Table 23'!$B$13:$AF$61,N$1,FALSE),"")</f>
        <v>1.5438154404753086E-3</v>
      </c>
      <c r="P10" s="54">
        <f>IFERROR((VLOOKUP($E10,'AEO23 Table 23'!$B$13:$AF$61,P$1,FALSE)-(VLOOKUP($E10,'AEO23 Table 23'!$B$13:$AF$61,O$1,FALSE)))/VLOOKUP($E10,'AEO23 Table 23'!$B$13:$AF$61,O$1,FALSE),"")</f>
        <v>4.4272973335657273E-3</v>
      </c>
      <c r="Q10" s="54">
        <f>IFERROR((VLOOKUP($E10,'AEO23 Table 23'!$B$13:$AF$61,Q$1,FALSE)-(VLOOKUP($E10,'AEO23 Table 23'!$B$13:$AF$61,P$1,FALSE)))/VLOOKUP($E10,'AEO23 Table 23'!$B$13:$AF$61,P$1,FALSE),"")</f>
        <v>9.1903449354974361E-3</v>
      </c>
      <c r="R10" s="54">
        <f>IFERROR((VLOOKUP($E10,'AEO23 Table 23'!$B$13:$AF$61,R$1,FALSE)-(VLOOKUP($E10,'AEO23 Table 23'!$B$13:$AF$61,Q$1,FALSE)))/VLOOKUP($E10,'AEO23 Table 23'!$B$13:$AF$61,Q$1,FALSE),"")</f>
        <v>7.5654853176274732E-3</v>
      </c>
      <c r="S10" s="54">
        <f>IFERROR((VLOOKUP($E10,'AEO23 Table 23'!$B$13:$AF$61,S$1,FALSE)-(VLOOKUP($E10,'AEO23 Table 23'!$B$13:$AF$61,R$1,FALSE)))/VLOOKUP($E10,'AEO23 Table 23'!$B$13:$AF$61,R$1,FALSE),"")</f>
        <v>4.4542168755109749E-3</v>
      </c>
      <c r="T10" s="54">
        <f>IFERROR((VLOOKUP($E10,'AEO23 Table 23'!$B$13:$AF$61,T$1,FALSE)-(VLOOKUP($E10,'AEO23 Table 23'!$B$13:$AF$61,S$1,FALSE)))/VLOOKUP($E10,'AEO23 Table 23'!$B$13:$AF$61,S$1,FALSE),"")</f>
        <v>1.5214206110259086E-3</v>
      </c>
      <c r="U10" s="54">
        <f>IFERROR((VLOOKUP($E10,'AEO23 Table 23'!$B$13:$AF$61,U$1,FALSE)-(VLOOKUP($E10,'AEO23 Table 23'!$B$13:$AF$61,T$1,FALSE)))/VLOOKUP($E10,'AEO23 Table 23'!$B$13:$AF$61,T$1,FALSE),"")</f>
        <v>-1.1139696168862671E-3</v>
      </c>
      <c r="V10" s="54">
        <f>IFERROR((VLOOKUP($E10,'AEO23 Table 23'!$B$13:$AF$61,V$1,FALSE)-(VLOOKUP($E10,'AEO23 Table 23'!$B$13:$AF$61,U$1,FALSE)))/VLOOKUP($E10,'AEO23 Table 23'!$B$13:$AF$61,U$1,FALSE),"")</f>
        <v>-3.8268554496087193E-3</v>
      </c>
      <c r="W10" s="54">
        <f>IFERROR((VLOOKUP($E10,'AEO23 Table 23'!$B$13:$AF$61,W$1,FALSE)-(VLOOKUP($E10,'AEO23 Table 23'!$B$13:$AF$61,V$1,FALSE)))/VLOOKUP($E10,'AEO23 Table 23'!$B$13:$AF$61,V$1,FALSE),"")</f>
        <v>-5.9153771360735616E-3</v>
      </c>
      <c r="X10" s="54">
        <f>IFERROR((VLOOKUP($E10,'AEO23 Table 23'!$B$13:$AF$61,X$1,FALSE)-(VLOOKUP($E10,'AEO23 Table 23'!$B$13:$AF$61,W$1,FALSE)))/VLOOKUP($E10,'AEO23 Table 23'!$B$13:$AF$61,W$1,FALSE),"")</f>
        <v>-7.9561139076308861E-3</v>
      </c>
      <c r="Y10" s="54">
        <f>IFERROR((VLOOKUP($E10,'AEO23 Table 23'!$B$13:$AF$61,Y$1,FALSE)-(VLOOKUP($E10,'AEO23 Table 23'!$B$13:$AF$61,X$1,FALSE)))/VLOOKUP($E10,'AEO23 Table 23'!$B$13:$AF$61,X$1,FALSE),"")</f>
        <v>-5.1567775462385357E-3</v>
      </c>
      <c r="Z10" s="54">
        <f>IFERROR((VLOOKUP($E10,'AEO23 Table 23'!$B$13:$AF$61,Z$1,FALSE)-(VLOOKUP($E10,'AEO23 Table 23'!$B$13:$AF$61,Y$1,FALSE)))/VLOOKUP($E10,'AEO23 Table 23'!$B$13:$AF$61,Y$1,FALSE),"")</f>
        <v>-5.101284118080922E-3</v>
      </c>
      <c r="AA10" s="54">
        <f>IFERROR((VLOOKUP($E10,'AEO23 Table 23'!$B$13:$AF$61,AA$1,FALSE)-(VLOOKUP($E10,'AEO23 Table 23'!$B$13:$AF$61,Z$1,FALSE)))/VLOOKUP($E10,'AEO23 Table 23'!$B$13:$AF$61,Z$1,FALSE),"")</f>
        <v>-6.4406231054001881E-3</v>
      </c>
      <c r="AB10" s="54">
        <f>IFERROR((VLOOKUP($E10,'AEO23 Table 23'!$B$13:$AF$61,AB$1,FALSE)-(VLOOKUP($E10,'AEO23 Table 23'!$B$13:$AF$61,AA$1,FALSE)))/VLOOKUP($E10,'AEO23 Table 23'!$B$13:$AF$61,AA$1,FALSE),"")</f>
        <v>-6.5242911363197573E-3</v>
      </c>
      <c r="AC10" s="54">
        <f>IFERROR((VLOOKUP($E10,'AEO23 Table 23'!$B$13:$AF$61,AC$1,FALSE)-(VLOOKUP($E10,'AEO23 Table 23'!$B$13:$AF$61,AB$1,FALSE)))/VLOOKUP($E10,'AEO23 Table 23'!$B$13:$AF$61,AB$1,FALSE),"")</f>
        <v>-8.6949173686372335E-3</v>
      </c>
      <c r="AD10" s="54">
        <f>IFERROR((VLOOKUP($E10,'AEO23 Table 23'!$B$13:$AF$61,AD$1,FALSE)-(VLOOKUP($E10,'AEO23 Table 23'!$B$13:$AF$61,AC$1,FALSE)))/VLOOKUP($E10,'AEO23 Table 23'!$B$13:$AF$61,AC$1,FALSE),"")</f>
        <v>-9.3854952547869006E-3</v>
      </c>
      <c r="AE10" s="54">
        <f>IFERROR((VLOOKUP($E10,'AEO23 Table 23'!$B$13:$AF$61,AE$1,FALSE)-(VLOOKUP($E10,'AEO23 Table 23'!$B$13:$AF$61,AD$1,FALSE)))/VLOOKUP($E10,'AEO23 Table 23'!$B$13:$AF$61,AD$1,FALSE),"")</f>
        <v>-8.308223826085346E-3</v>
      </c>
      <c r="AF10" s="54">
        <f>IFERROR((VLOOKUP($E10,'AEO23 Table 23'!$B$13:$AF$61,AF$1,FALSE)-(VLOOKUP($E10,'AEO23 Table 23'!$B$13:$AF$61,AE$1,FALSE)))/VLOOKUP($E10,'AEO23 Table 23'!$B$13:$AF$61,AE$1,FALSE),"")</f>
        <v>-7.3409171008541113E-3</v>
      </c>
      <c r="AG10" s="54">
        <f>IFERROR((VLOOKUP($E10,'AEO23 Table 23'!$B$13:$AF$61,AG$1,FALSE)-(VLOOKUP($E10,'AEO23 Table 23'!$B$13:$AF$61,AF$1,FALSE)))/VLOOKUP($E10,'AEO23 Table 23'!$B$13:$AF$61,AF$1,FALSE),"")</f>
        <v>-8.1107256377364705E-3</v>
      </c>
      <c r="AH10" s="54">
        <f>IFERROR((VLOOKUP($E10,'AEO23 Table 23'!$B$13:$AF$61,AH$1,FALSE)-(VLOOKUP($E10,'AEO23 Table 23'!$B$13:$AF$61,AG$1,FALSE)))/VLOOKUP($E10,'AEO23 Table 23'!$B$13:$AF$61,AG$1,FALSE),"")</f>
        <v>-8.8553465606447165E-3</v>
      </c>
      <c r="AI10" s="54">
        <f>IFERROR((VLOOKUP($E10,'AEO23 Table 23'!$B$13:$AF$61,AI$1,FALSE)-(VLOOKUP($E10,'AEO23 Table 23'!$B$13:$AF$61,AH$1,FALSE)))/VLOOKUP($E10,'AEO23 Table 23'!$B$13:$AF$61,AH$1,FALSE),"")</f>
        <v>-7.0890216139395485E-3</v>
      </c>
    </row>
    <row r="11" spans="1:35" x14ac:dyDescent="0.3">
      <c r="A11" s="125" t="s">
        <v>7</v>
      </c>
      <c r="B11" s="49" cm="1">
        <f t="array" ref="B11">SUMPRODUCT(--('BLS Table 2.7'!$O:$O=$A11),'BLS Table 2.7'!L:L,'BLS Table 2.7'!N:N)/SUMIFS('BLS Table 2.7'!L:L,'BLS Table 2.7'!$O:$O,$A11)/100</f>
        <v>1.3999999999999999E-2</v>
      </c>
      <c r="E11" s="1" t="s">
        <v>7</v>
      </c>
      <c r="F11" s="54">
        <f>IFERROR(INDEX('AEO23 Table 23'!$AG$22:$AG$61,MATCH($E11,'AEO23 Table 23'!$B$22:$B$61,0)),"")</f>
        <v>5.9900000000000003E-4</v>
      </c>
      <c r="G11" s="54">
        <f>(INDEX('AEO23 Table 23'!$D$22:$D$61,MATCH('Growth Rates'!E11,'AEO23 Table 23'!$B$22:$B$61,0))-INDEX('AEO22 Table 23'!$D$22:$D$58,MATCH('Growth Rates'!E11,'AEO22 Table 23'!$B$22:$B$58,0)))/INDEX('AEO22 Table 23'!$D$22:$D$58,MATCH('Growth Rates'!E11,'AEO22 Table 23'!$B$22:$B$58,0))</f>
        <v>-6.4436017867348285E-3</v>
      </c>
      <c r="H11" s="54">
        <f>IFERROR((VLOOKUP($E11,'AEO23 Table 23'!$B$13:$AF$61,H$1,FALSE)-(VLOOKUP($E11,'AEO23 Table 23'!$B$13:$AF$61,G$1,FALSE)))/VLOOKUP($E11,'AEO23 Table 23'!$B$13:$AF$61,G$1,FALSE),"")</f>
        <v>-9.1320585524731934E-2</v>
      </c>
      <c r="I11" s="54">
        <f>IFERROR((VLOOKUP($E11,'AEO23 Table 23'!$B$13:$AF$61,I$1,FALSE)-(VLOOKUP($E11,'AEO23 Table 23'!$B$13:$AF$61,H$1,FALSE)))/VLOOKUP($E11,'AEO23 Table 23'!$B$13:$AF$61,H$1,FALSE),"")</f>
        <v>-2.6686380968049761E-2</v>
      </c>
      <c r="J11" s="54">
        <f>IFERROR((VLOOKUP($E11,'AEO23 Table 23'!$B$13:$AF$61,J$1,FALSE)-(VLOOKUP($E11,'AEO23 Table 23'!$B$13:$AF$61,I$1,FALSE)))/VLOOKUP($E11,'AEO23 Table 23'!$B$13:$AF$61,I$1,FALSE),"")</f>
        <v>1.8734118664251009E-2</v>
      </c>
      <c r="K11" s="54">
        <f>IFERROR((VLOOKUP($E11,'AEO23 Table 23'!$B$13:$AF$61,K$1,FALSE)-(VLOOKUP($E11,'AEO23 Table 23'!$B$13:$AF$61,J$1,FALSE)))/VLOOKUP($E11,'AEO23 Table 23'!$B$13:$AF$61,J$1,FALSE),"")</f>
        <v>-1.2793884024530439E-2</v>
      </c>
      <c r="L11" s="54">
        <f>IFERROR((VLOOKUP($E11,'AEO23 Table 23'!$B$13:$AF$61,L$1,FALSE)-(VLOOKUP($E11,'AEO23 Table 23'!$B$13:$AF$61,K$1,FALSE)))/VLOOKUP($E11,'AEO23 Table 23'!$B$13:$AF$61,K$1,FALSE),"")</f>
        <v>-4.4872067806222575E-3</v>
      </c>
      <c r="M11" s="54">
        <f>IFERROR((VLOOKUP($E11,'AEO23 Table 23'!$B$13:$AF$61,M$1,FALSE)-(VLOOKUP($E11,'AEO23 Table 23'!$B$13:$AF$61,L$1,FALSE)))/VLOOKUP($E11,'AEO23 Table 23'!$B$13:$AF$61,L$1,FALSE),"")</f>
        <v>1.3003257427932877E-2</v>
      </c>
      <c r="N11" s="54">
        <f>IFERROR((VLOOKUP($E11,'AEO23 Table 23'!$B$13:$AF$61,N$1,FALSE)-(VLOOKUP($E11,'AEO23 Table 23'!$B$13:$AF$61,M$1,FALSE)))/VLOOKUP($E11,'AEO23 Table 23'!$B$13:$AF$61,M$1,FALSE),"")</f>
        <v>1.6913467856892166E-2</v>
      </c>
      <c r="O11" s="54">
        <f>IFERROR((VLOOKUP($E11,'AEO23 Table 23'!$B$13:$AF$61,O$1,FALSE)-(VLOOKUP($E11,'AEO23 Table 23'!$B$13:$AF$61,N$1,FALSE)))/VLOOKUP($E11,'AEO23 Table 23'!$B$13:$AF$61,N$1,FALSE),"")</f>
        <v>7.600720328201113E-3</v>
      </c>
      <c r="P11" s="54">
        <f>IFERROR((VLOOKUP($E11,'AEO23 Table 23'!$B$13:$AF$61,P$1,FALSE)-(VLOOKUP($E11,'AEO23 Table 23'!$B$13:$AF$61,O$1,FALSE)))/VLOOKUP($E11,'AEO23 Table 23'!$B$13:$AF$61,O$1,FALSE),"")</f>
        <v>3.7988388227362243E-3</v>
      </c>
      <c r="Q11" s="54">
        <f>IFERROR((VLOOKUP($E11,'AEO23 Table 23'!$B$13:$AF$61,Q$1,FALSE)-(VLOOKUP($E11,'AEO23 Table 23'!$B$13:$AF$61,P$1,FALSE)))/VLOOKUP($E11,'AEO23 Table 23'!$B$13:$AF$61,P$1,FALSE),"")</f>
        <v>1.1840676289599993E-2</v>
      </c>
      <c r="R11" s="54">
        <f>IFERROR((VLOOKUP($E11,'AEO23 Table 23'!$B$13:$AF$61,R$1,FALSE)-(VLOOKUP($E11,'AEO23 Table 23'!$B$13:$AF$61,Q$1,FALSE)))/VLOOKUP($E11,'AEO23 Table 23'!$B$13:$AF$61,Q$1,FALSE),"")</f>
        <v>1.4192239254918379E-2</v>
      </c>
      <c r="S11" s="54">
        <f>IFERROR((VLOOKUP($E11,'AEO23 Table 23'!$B$13:$AF$61,S$1,FALSE)-(VLOOKUP($E11,'AEO23 Table 23'!$B$13:$AF$61,R$1,FALSE)))/VLOOKUP($E11,'AEO23 Table 23'!$B$13:$AF$61,R$1,FALSE),"")</f>
        <v>1.7041881182366773E-2</v>
      </c>
      <c r="T11" s="54">
        <f>IFERROR((VLOOKUP($E11,'AEO23 Table 23'!$B$13:$AF$61,T$1,FALSE)-(VLOOKUP($E11,'AEO23 Table 23'!$B$13:$AF$61,S$1,FALSE)))/VLOOKUP($E11,'AEO23 Table 23'!$B$13:$AF$61,S$1,FALSE),"")</f>
        <v>9.2008150361878663E-3</v>
      </c>
      <c r="U11" s="54">
        <f>IFERROR((VLOOKUP($E11,'AEO23 Table 23'!$B$13:$AF$61,U$1,FALSE)-(VLOOKUP($E11,'AEO23 Table 23'!$B$13:$AF$61,T$1,FALSE)))/VLOOKUP($E11,'AEO23 Table 23'!$B$13:$AF$61,T$1,FALSE),"")</f>
        <v>-3.1531637270027701E-3</v>
      </c>
      <c r="V11" s="54">
        <f>IFERROR((VLOOKUP($E11,'AEO23 Table 23'!$B$13:$AF$61,V$1,FALSE)-(VLOOKUP($E11,'AEO23 Table 23'!$B$13:$AF$61,U$1,FALSE)))/VLOOKUP($E11,'AEO23 Table 23'!$B$13:$AF$61,U$1,FALSE),"")</f>
        <v>4.9909695027390765E-3</v>
      </c>
      <c r="W11" s="54">
        <f>IFERROR((VLOOKUP($E11,'AEO23 Table 23'!$B$13:$AF$61,W$1,FALSE)-(VLOOKUP($E11,'AEO23 Table 23'!$B$13:$AF$61,V$1,FALSE)))/VLOOKUP($E11,'AEO23 Table 23'!$B$13:$AF$61,V$1,FALSE),"")</f>
        <v>3.4092660874322804E-3</v>
      </c>
      <c r="X11" s="54">
        <f>IFERROR((VLOOKUP($E11,'AEO23 Table 23'!$B$13:$AF$61,X$1,FALSE)-(VLOOKUP($E11,'AEO23 Table 23'!$B$13:$AF$61,W$1,FALSE)))/VLOOKUP($E11,'AEO23 Table 23'!$B$13:$AF$61,W$1,FALSE),"")</f>
        <v>5.1082886386212521E-3</v>
      </c>
      <c r="Y11" s="54">
        <f>IFERROR((VLOOKUP($E11,'AEO23 Table 23'!$B$13:$AF$61,Y$1,FALSE)-(VLOOKUP($E11,'AEO23 Table 23'!$B$13:$AF$61,X$1,FALSE)))/VLOOKUP($E11,'AEO23 Table 23'!$B$13:$AF$61,X$1,FALSE),"")</f>
        <v>7.8306178746015559E-3</v>
      </c>
      <c r="Z11" s="54">
        <f>IFERROR((VLOOKUP($E11,'AEO23 Table 23'!$B$13:$AF$61,Z$1,FALSE)-(VLOOKUP($E11,'AEO23 Table 23'!$B$13:$AF$61,Y$1,FALSE)))/VLOOKUP($E11,'AEO23 Table 23'!$B$13:$AF$61,Y$1,FALSE),"")</f>
        <v>1.1136497397777069E-2</v>
      </c>
      <c r="AA11" s="54">
        <f>IFERROR((VLOOKUP($E11,'AEO23 Table 23'!$B$13:$AF$61,AA$1,FALSE)-(VLOOKUP($E11,'AEO23 Table 23'!$B$13:$AF$61,Z$1,FALSE)))/VLOOKUP($E11,'AEO23 Table 23'!$B$13:$AF$61,Z$1,FALSE),"")</f>
        <v>8.9852470130329879E-3</v>
      </c>
      <c r="AB11" s="54">
        <f>IFERROR((VLOOKUP($E11,'AEO23 Table 23'!$B$13:$AF$61,AB$1,FALSE)-(VLOOKUP($E11,'AEO23 Table 23'!$B$13:$AF$61,AA$1,FALSE)))/VLOOKUP($E11,'AEO23 Table 23'!$B$13:$AF$61,AA$1,FALSE),"")</f>
        <v>5.8519228091203999E-3</v>
      </c>
      <c r="AC11" s="54">
        <f>IFERROR((VLOOKUP($E11,'AEO23 Table 23'!$B$13:$AF$61,AC$1,FALSE)-(VLOOKUP($E11,'AEO23 Table 23'!$B$13:$AF$61,AB$1,FALSE)))/VLOOKUP($E11,'AEO23 Table 23'!$B$13:$AF$61,AB$1,FALSE),"")</f>
        <v>7.1294085400261636E-4</v>
      </c>
      <c r="AD11" s="54">
        <f>IFERROR((VLOOKUP($E11,'AEO23 Table 23'!$B$13:$AF$61,AD$1,FALSE)-(VLOOKUP($E11,'AEO23 Table 23'!$B$13:$AF$61,AC$1,FALSE)))/VLOOKUP($E11,'AEO23 Table 23'!$B$13:$AF$61,AC$1,FALSE),"")</f>
        <v>-5.8862962270255035E-3</v>
      </c>
      <c r="AE11" s="54">
        <f>IFERROR((VLOOKUP($E11,'AEO23 Table 23'!$B$13:$AF$61,AE$1,FALSE)-(VLOOKUP($E11,'AEO23 Table 23'!$B$13:$AF$61,AD$1,FALSE)))/VLOOKUP($E11,'AEO23 Table 23'!$B$13:$AF$61,AD$1,FALSE),"")</f>
        <v>-3.8262516813534026E-3</v>
      </c>
      <c r="AF11" s="54">
        <f>IFERROR((VLOOKUP($E11,'AEO23 Table 23'!$B$13:$AF$61,AF$1,FALSE)-(VLOOKUP($E11,'AEO23 Table 23'!$B$13:$AF$61,AE$1,FALSE)))/VLOOKUP($E11,'AEO23 Table 23'!$B$13:$AF$61,AE$1,FALSE),"")</f>
        <v>1.2653771973639085E-3</v>
      </c>
      <c r="AG11" s="54">
        <f>IFERROR((VLOOKUP($E11,'AEO23 Table 23'!$B$13:$AF$61,AG$1,FALSE)-(VLOOKUP($E11,'AEO23 Table 23'!$B$13:$AF$61,AF$1,FALSE)))/VLOOKUP($E11,'AEO23 Table 23'!$B$13:$AF$61,AF$1,FALSE),"")</f>
        <v>-2.0266054103891852E-3</v>
      </c>
      <c r="AH11" s="54">
        <f>IFERROR((VLOOKUP($E11,'AEO23 Table 23'!$B$13:$AF$61,AH$1,FALSE)-(VLOOKUP($E11,'AEO23 Table 23'!$B$13:$AF$61,AG$1,FALSE)))/VLOOKUP($E11,'AEO23 Table 23'!$B$13:$AF$61,AG$1,FALSE),"")</f>
        <v>8.2720217034418426E-4</v>
      </c>
      <c r="AI11" s="54">
        <f>IFERROR((VLOOKUP($E11,'AEO23 Table 23'!$B$13:$AF$61,AI$1,FALSE)-(VLOOKUP($E11,'AEO23 Table 23'!$B$13:$AF$61,AH$1,FALSE)))/VLOOKUP($E11,'AEO23 Table 23'!$B$13:$AF$61,AH$1,FALSE),"")</f>
        <v>1.0461092933475889E-2</v>
      </c>
    </row>
    <row r="12" spans="1:35" x14ac:dyDescent="0.3">
      <c r="A12" s="125" t="s">
        <v>8</v>
      </c>
      <c r="B12" s="49" cm="1">
        <f t="array" ref="B12">SUMPRODUCT(--('BLS Table 2.7'!$O:$O=$A12),'BLS Table 2.7'!L:L,'BLS Table 2.7'!N:N)/SUMIFS('BLS Table 2.7'!L:L,'BLS Table 2.7'!$O:$O,$A12)/100</f>
        <v>4.9882740930743859E-3</v>
      </c>
      <c r="E12" s="1" t="s">
        <v>8</v>
      </c>
      <c r="F12" s="54">
        <f>IFERROR(INDEX('AEO23 Table 23'!$AG$22:$AG$61,MATCH($E12,'AEO23 Table 23'!$B$22:$B$61,0)),"")</f>
        <v>3.241E-3</v>
      </c>
      <c r="G12" s="54">
        <f>(INDEX('AEO23 Table 23'!$D$22:$D$61,MATCH('Growth Rates'!E12,'AEO23 Table 23'!$B$22:$B$61,0))-INDEX('AEO22 Table 23'!$D$22:$D$58,MATCH('Growth Rates'!E12,'AEO22 Table 23'!$B$22:$B$58,0)))/INDEX('AEO22 Table 23'!$D$22:$D$58,MATCH('Growth Rates'!E12,'AEO22 Table 23'!$B$22:$B$58,0))</f>
        <v>3.4978912866429096E-2</v>
      </c>
      <c r="H12" s="54">
        <f>IFERROR((VLOOKUP($E12,'AEO23 Table 23'!$B$13:$AF$61,H$1,FALSE)-(VLOOKUP($E12,'AEO23 Table 23'!$B$13:$AF$61,G$1,FALSE)))/VLOOKUP($E12,'AEO23 Table 23'!$B$13:$AF$61,G$1,FALSE),"")</f>
        <v>-2.2942396061906543E-2</v>
      </c>
      <c r="I12" s="54">
        <f>IFERROR((VLOOKUP($E12,'AEO23 Table 23'!$B$13:$AF$61,I$1,FALSE)-(VLOOKUP($E12,'AEO23 Table 23'!$B$13:$AF$61,H$1,FALSE)))/VLOOKUP($E12,'AEO23 Table 23'!$B$13:$AF$61,H$1,FALSE),"")</f>
        <v>-2.2234640317225818E-2</v>
      </c>
      <c r="J12" s="54">
        <f>IFERROR((VLOOKUP($E12,'AEO23 Table 23'!$B$13:$AF$61,J$1,FALSE)-(VLOOKUP($E12,'AEO23 Table 23'!$B$13:$AF$61,I$1,FALSE)))/VLOOKUP($E12,'AEO23 Table 23'!$B$13:$AF$61,I$1,FALSE),"")</f>
        <v>-1.4451533039088762E-3</v>
      </c>
      <c r="K12" s="54">
        <f>IFERROR((VLOOKUP($E12,'AEO23 Table 23'!$B$13:$AF$61,K$1,FALSE)-(VLOOKUP($E12,'AEO23 Table 23'!$B$13:$AF$61,J$1,FALSE)))/VLOOKUP($E12,'AEO23 Table 23'!$B$13:$AF$61,J$1,FALSE),"")</f>
        <v>5.1444073245757449E-3</v>
      </c>
      <c r="L12" s="54">
        <f>IFERROR((VLOOKUP($E12,'AEO23 Table 23'!$B$13:$AF$61,L$1,FALSE)-(VLOOKUP($E12,'AEO23 Table 23'!$B$13:$AF$61,K$1,FALSE)))/VLOOKUP($E12,'AEO23 Table 23'!$B$13:$AF$61,K$1,FALSE),"")</f>
        <v>6.1956362820958406E-3</v>
      </c>
      <c r="M12" s="54">
        <f>IFERROR((VLOOKUP($E12,'AEO23 Table 23'!$B$13:$AF$61,M$1,FALSE)-(VLOOKUP($E12,'AEO23 Table 23'!$B$13:$AF$61,L$1,FALSE)))/VLOOKUP($E12,'AEO23 Table 23'!$B$13:$AF$61,L$1,FALSE),"")</f>
        <v>5.9704499016734053E-3</v>
      </c>
      <c r="N12" s="54">
        <f>IFERROR((VLOOKUP($E12,'AEO23 Table 23'!$B$13:$AF$61,N$1,FALSE)-(VLOOKUP($E12,'AEO23 Table 23'!$B$13:$AF$61,M$1,FALSE)))/VLOOKUP($E12,'AEO23 Table 23'!$B$13:$AF$61,M$1,FALSE),"")</f>
        <v>5.2781964925690148E-3</v>
      </c>
      <c r="O12" s="54">
        <f>IFERROR((VLOOKUP($E12,'AEO23 Table 23'!$B$13:$AF$61,O$1,FALSE)-(VLOOKUP($E12,'AEO23 Table 23'!$B$13:$AF$61,N$1,FALSE)))/VLOOKUP($E12,'AEO23 Table 23'!$B$13:$AF$61,N$1,FALSE),"")</f>
        <v>4.6418588737639974E-3</v>
      </c>
      <c r="P12" s="54">
        <f>IFERROR((VLOOKUP($E12,'AEO23 Table 23'!$B$13:$AF$61,P$1,FALSE)-(VLOOKUP($E12,'AEO23 Table 23'!$B$13:$AF$61,O$1,FALSE)))/VLOOKUP($E12,'AEO23 Table 23'!$B$13:$AF$61,O$1,FALSE),"")</f>
        <v>7.0155427090759287E-3</v>
      </c>
      <c r="Q12" s="54">
        <f>IFERROR((VLOOKUP($E12,'AEO23 Table 23'!$B$13:$AF$61,Q$1,FALSE)-(VLOOKUP($E12,'AEO23 Table 23'!$B$13:$AF$61,P$1,FALSE)))/VLOOKUP($E12,'AEO23 Table 23'!$B$13:$AF$61,P$1,FALSE),"")</f>
        <v>8.022599442253503E-3</v>
      </c>
      <c r="R12" s="54">
        <f>IFERROR((VLOOKUP($E12,'AEO23 Table 23'!$B$13:$AF$61,R$1,FALSE)-(VLOOKUP($E12,'AEO23 Table 23'!$B$13:$AF$61,Q$1,FALSE)))/VLOOKUP($E12,'AEO23 Table 23'!$B$13:$AF$61,Q$1,FALSE),"")</f>
        <v>6.6249080887970631E-3</v>
      </c>
      <c r="S12" s="54">
        <f>IFERROR((VLOOKUP($E12,'AEO23 Table 23'!$B$13:$AF$61,S$1,FALSE)-(VLOOKUP($E12,'AEO23 Table 23'!$B$13:$AF$61,R$1,FALSE)))/VLOOKUP($E12,'AEO23 Table 23'!$B$13:$AF$61,R$1,FALSE),"")</f>
        <v>7.0576137448537376E-3</v>
      </c>
      <c r="T12" s="54">
        <f>IFERROR((VLOOKUP($E12,'AEO23 Table 23'!$B$13:$AF$61,T$1,FALSE)-(VLOOKUP($E12,'AEO23 Table 23'!$B$13:$AF$61,S$1,FALSE)))/VLOOKUP($E12,'AEO23 Table 23'!$B$13:$AF$61,S$1,FALSE),"")</f>
        <v>7.4492850937745549E-3</v>
      </c>
      <c r="U12" s="54">
        <f>IFERROR((VLOOKUP($E12,'AEO23 Table 23'!$B$13:$AF$61,U$1,FALSE)-(VLOOKUP($E12,'AEO23 Table 23'!$B$13:$AF$61,T$1,FALSE)))/VLOOKUP($E12,'AEO23 Table 23'!$B$13:$AF$61,T$1,FALSE),"")</f>
        <v>5.6427000243567463E-3</v>
      </c>
      <c r="V12" s="54">
        <f>IFERROR((VLOOKUP($E12,'AEO23 Table 23'!$B$13:$AF$61,V$1,FALSE)-(VLOOKUP($E12,'AEO23 Table 23'!$B$13:$AF$61,U$1,FALSE)))/VLOOKUP($E12,'AEO23 Table 23'!$B$13:$AF$61,U$1,FALSE),"")</f>
        <v>6.3743214691685049E-3</v>
      </c>
      <c r="W12" s="54">
        <f>IFERROR((VLOOKUP($E12,'AEO23 Table 23'!$B$13:$AF$61,W$1,FALSE)-(VLOOKUP($E12,'AEO23 Table 23'!$B$13:$AF$61,V$1,FALSE)))/VLOOKUP($E12,'AEO23 Table 23'!$B$13:$AF$61,V$1,FALSE),"")</f>
        <v>5.3302812843256569E-3</v>
      </c>
      <c r="X12" s="54">
        <f>IFERROR((VLOOKUP($E12,'AEO23 Table 23'!$B$13:$AF$61,X$1,FALSE)-(VLOOKUP($E12,'AEO23 Table 23'!$B$13:$AF$61,W$1,FALSE)))/VLOOKUP($E12,'AEO23 Table 23'!$B$13:$AF$61,W$1,FALSE),"")</f>
        <v>5.7048173214100124E-3</v>
      </c>
      <c r="Y12" s="54">
        <f>IFERROR((VLOOKUP($E12,'AEO23 Table 23'!$B$13:$AF$61,Y$1,FALSE)-(VLOOKUP($E12,'AEO23 Table 23'!$B$13:$AF$61,X$1,FALSE)))/VLOOKUP($E12,'AEO23 Table 23'!$B$13:$AF$61,X$1,FALSE),"")</f>
        <v>6.0568375792226532E-3</v>
      </c>
      <c r="Z12" s="54">
        <f>IFERROR((VLOOKUP($E12,'AEO23 Table 23'!$B$13:$AF$61,Z$1,FALSE)-(VLOOKUP($E12,'AEO23 Table 23'!$B$13:$AF$61,Y$1,FALSE)))/VLOOKUP($E12,'AEO23 Table 23'!$B$13:$AF$61,Y$1,FALSE),"")</f>
        <v>5.5613882132536071E-3</v>
      </c>
      <c r="AA12" s="54">
        <f>IFERROR((VLOOKUP($E12,'AEO23 Table 23'!$B$13:$AF$61,AA$1,FALSE)-(VLOOKUP($E12,'AEO23 Table 23'!$B$13:$AF$61,Z$1,FALSE)))/VLOOKUP($E12,'AEO23 Table 23'!$B$13:$AF$61,Z$1,FALSE),"")</f>
        <v>6.044285168310422E-3</v>
      </c>
      <c r="AB12" s="54">
        <f>IFERROR((VLOOKUP($E12,'AEO23 Table 23'!$B$13:$AF$61,AB$1,FALSE)-(VLOOKUP($E12,'AEO23 Table 23'!$B$13:$AF$61,AA$1,FALSE)))/VLOOKUP($E12,'AEO23 Table 23'!$B$13:$AF$61,AA$1,FALSE),"")</f>
        <v>5.0612501133041167E-3</v>
      </c>
      <c r="AC12" s="54">
        <f>IFERROR((VLOOKUP($E12,'AEO23 Table 23'!$B$13:$AF$61,AC$1,FALSE)-(VLOOKUP($E12,'AEO23 Table 23'!$B$13:$AF$61,AB$1,FALSE)))/VLOOKUP($E12,'AEO23 Table 23'!$B$13:$AF$61,AB$1,FALSE),"")</f>
        <v>3.2643846150916551E-3</v>
      </c>
      <c r="AD12" s="54">
        <f>IFERROR((VLOOKUP($E12,'AEO23 Table 23'!$B$13:$AF$61,AD$1,FALSE)-(VLOOKUP($E12,'AEO23 Table 23'!$B$13:$AF$61,AC$1,FALSE)))/VLOOKUP($E12,'AEO23 Table 23'!$B$13:$AF$61,AC$1,FALSE),"")</f>
        <v>2.0710964939540588E-3</v>
      </c>
      <c r="AE12" s="54">
        <f>IFERROR((VLOOKUP($E12,'AEO23 Table 23'!$B$13:$AF$61,AE$1,FALSE)-(VLOOKUP($E12,'AEO23 Table 23'!$B$13:$AF$61,AD$1,FALSE)))/VLOOKUP($E12,'AEO23 Table 23'!$B$13:$AF$61,AD$1,FALSE),"")</f>
        <v>4.1284221972227291E-3</v>
      </c>
      <c r="AF12" s="54">
        <f>IFERROR((VLOOKUP($E12,'AEO23 Table 23'!$B$13:$AF$61,AF$1,FALSE)-(VLOOKUP($E12,'AEO23 Table 23'!$B$13:$AF$61,AE$1,FALSE)))/VLOOKUP($E12,'AEO23 Table 23'!$B$13:$AF$61,AE$1,FALSE),"")</f>
        <v>6.2435042413655183E-3</v>
      </c>
      <c r="AG12" s="54">
        <f>IFERROR((VLOOKUP($E12,'AEO23 Table 23'!$B$13:$AF$61,AG$1,FALSE)-(VLOOKUP($E12,'AEO23 Table 23'!$B$13:$AF$61,AF$1,FALSE)))/VLOOKUP($E12,'AEO23 Table 23'!$B$13:$AF$61,AF$1,FALSE),"")</f>
        <v>2.5767789247811558E-3</v>
      </c>
      <c r="AH12" s="54">
        <f>IFERROR((VLOOKUP($E12,'AEO23 Table 23'!$B$13:$AF$61,AH$1,FALSE)-(VLOOKUP($E12,'AEO23 Table 23'!$B$13:$AF$61,AG$1,FALSE)))/VLOOKUP($E12,'AEO23 Table 23'!$B$13:$AF$61,AG$1,FALSE),"")</f>
        <v>3.4895377543552866E-3</v>
      </c>
      <c r="AI12" s="54">
        <f>IFERROR((VLOOKUP($E12,'AEO23 Table 23'!$B$13:$AF$61,AI$1,FALSE)-(VLOOKUP($E12,'AEO23 Table 23'!$B$13:$AF$61,AH$1,FALSE)))/VLOOKUP($E12,'AEO23 Table 23'!$B$13:$AF$61,AH$1,FALSE),"")</f>
        <v>7.1864950152973443E-3</v>
      </c>
    </row>
    <row r="13" spans="1:35" x14ac:dyDescent="0.3">
      <c r="A13" s="125" t="s">
        <v>9</v>
      </c>
      <c r="B13" s="49" cm="1">
        <f t="array" ref="B13">SUMPRODUCT(--('BLS Table 2.7'!$O:$O=$A13),'BLS Table 2.7'!L:L,'BLS Table 2.7'!N:N)/SUMIFS('BLS Table 2.7'!L:L,'BLS Table 2.7'!$O:$O,$A13)/100</f>
        <v>2.3E-2</v>
      </c>
      <c r="E13" s="1" t="s">
        <v>9</v>
      </c>
      <c r="F13" s="54">
        <f>IFERROR(INDEX('AEO23 Table 23'!$AG$22:$AG$61,MATCH($E13,'AEO23 Table 23'!$B$22:$B$61,0)),"")</f>
        <v>2.464E-3</v>
      </c>
      <c r="G13" s="54">
        <f>(INDEX('AEO23 Table 23'!$D$22:$D$61,MATCH('Growth Rates'!E13,'AEO23 Table 23'!$B$22:$B$61,0))-INDEX('AEO22 Table 23'!$D$22:$D$58,MATCH('Growth Rates'!E13,'AEO22 Table 23'!$B$22:$B$58,0)))/INDEX('AEO22 Table 23'!$D$22:$D$58,MATCH('Growth Rates'!E13,'AEO22 Table 23'!$B$22:$B$58,0))</f>
        <v>3.5549761599716782E-2</v>
      </c>
      <c r="H13" s="54">
        <f>IFERROR((VLOOKUP($E13,'AEO23 Table 23'!$B$13:$AF$61,H$1,FALSE)-(VLOOKUP($E13,'AEO23 Table 23'!$B$13:$AF$61,G$1,FALSE)))/VLOOKUP($E13,'AEO23 Table 23'!$B$13:$AF$61,G$1,FALSE),"")</f>
        <v>8.5422436141874045E-2</v>
      </c>
      <c r="I13" s="54">
        <f>IFERROR((VLOOKUP($E13,'AEO23 Table 23'!$B$13:$AF$61,I$1,FALSE)-(VLOOKUP($E13,'AEO23 Table 23'!$B$13:$AF$61,H$1,FALSE)))/VLOOKUP($E13,'AEO23 Table 23'!$B$13:$AF$61,H$1,FALSE),"")</f>
        <v>-2.9162063235914689E-3</v>
      </c>
      <c r="J13" s="54">
        <f>IFERROR((VLOOKUP($E13,'AEO23 Table 23'!$B$13:$AF$61,J$1,FALSE)-(VLOOKUP($E13,'AEO23 Table 23'!$B$13:$AF$61,I$1,FALSE)))/VLOOKUP($E13,'AEO23 Table 23'!$B$13:$AF$61,I$1,FALSE),"")</f>
        <v>-3.6921541704652942E-3</v>
      </c>
      <c r="K13" s="54">
        <f>IFERROR((VLOOKUP($E13,'AEO23 Table 23'!$B$13:$AF$61,K$1,FALSE)-(VLOOKUP($E13,'AEO23 Table 23'!$B$13:$AF$61,J$1,FALSE)))/VLOOKUP($E13,'AEO23 Table 23'!$B$13:$AF$61,J$1,FALSE),"")</f>
        <v>-4.4459641489246358E-3</v>
      </c>
      <c r="L13" s="54">
        <f>IFERROR((VLOOKUP($E13,'AEO23 Table 23'!$B$13:$AF$61,L$1,FALSE)-(VLOOKUP($E13,'AEO23 Table 23'!$B$13:$AF$61,K$1,FALSE)))/VLOOKUP($E13,'AEO23 Table 23'!$B$13:$AF$61,K$1,FALSE),"")</f>
        <v>-2.7839791562164679E-3</v>
      </c>
      <c r="M13" s="54">
        <f>IFERROR((VLOOKUP($E13,'AEO23 Table 23'!$B$13:$AF$61,M$1,FALSE)-(VLOOKUP($E13,'AEO23 Table 23'!$B$13:$AF$61,L$1,FALSE)))/VLOOKUP($E13,'AEO23 Table 23'!$B$13:$AF$61,L$1,FALSE),"")</f>
        <v>-3.0173430821903006E-3</v>
      </c>
      <c r="N13" s="54">
        <f>IFERROR((VLOOKUP($E13,'AEO23 Table 23'!$B$13:$AF$61,N$1,FALSE)-(VLOOKUP($E13,'AEO23 Table 23'!$B$13:$AF$61,M$1,FALSE)))/VLOOKUP($E13,'AEO23 Table 23'!$B$13:$AF$61,M$1,FALSE),"")</f>
        <v>-4.4642639627459312E-3</v>
      </c>
      <c r="O13" s="54">
        <f>IFERROR((VLOOKUP($E13,'AEO23 Table 23'!$B$13:$AF$61,O$1,FALSE)-(VLOOKUP($E13,'AEO23 Table 23'!$B$13:$AF$61,N$1,FALSE)))/VLOOKUP($E13,'AEO23 Table 23'!$B$13:$AF$61,N$1,FALSE),"")</f>
        <v>-6.8685432765323174E-3</v>
      </c>
      <c r="P13" s="54">
        <f>IFERROR((VLOOKUP($E13,'AEO23 Table 23'!$B$13:$AF$61,P$1,FALSE)-(VLOOKUP($E13,'AEO23 Table 23'!$B$13:$AF$61,O$1,FALSE)))/VLOOKUP($E13,'AEO23 Table 23'!$B$13:$AF$61,O$1,FALSE),"")</f>
        <v>-6.5397302696028744E-3</v>
      </c>
      <c r="Q13" s="54">
        <f>IFERROR((VLOOKUP($E13,'AEO23 Table 23'!$B$13:$AF$61,Q$1,FALSE)-(VLOOKUP($E13,'AEO23 Table 23'!$B$13:$AF$61,P$1,FALSE)))/VLOOKUP($E13,'AEO23 Table 23'!$B$13:$AF$61,P$1,FALSE),"")</f>
        <v>-4.0037643863698891E-3</v>
      </c>
      <c r="R13" s="54">
        <f>IFERROR((VLOOKUP($E13,'AEO23 Table 23'!$B$13:$AF$61,R$1,FALSE)-(VLOOKUP($E13,'AEO23 Table 23'!$B$13:$AF$61,Q$1,FALSE)))/VLOOKUP($E13,'AEO23 Table 23'!$B$13:$AF$61,Q$1,FALSE),"")</f>
        <v>-3.3817787368336963E-3</v>
      </c>
      <c r="S13" s="54">
        <f>IFERROR((VLOOKUP($E13,'AEO23 Table 23'!$B$13:$AF$61,S$1,FALSE)-(VLOOKUP($E13,'AEO23 Table 23'!$B$13:$AF$61,R$1,FALSE)))/VLOOKUP($E13,'AEO23 Table 23'!$B$13:$AF$61,R$1,FALSE),"")</f>
        <v>-1.8111949344755166E-3</v>
      </c>
      <c r="T13" s="54">
        <f>IFERROR((VLOOKUP($E13,'AEO23 Table 23'!$B$13:$AF$61,T$1,FALSE)-(VLOOKUP($E13,'AEO23 Table 23'!$B$13:$AF$61,S$1,FALSE)))/VLOOKUP($E13,'AEO23 Table 23'!$B$13:$AF$61,S$1,FALSE),"")</f>
        <v>-3.1460550920145219E-3</v>
      </c>
      <c r="U13" s="54">
        <f>IFERROR((VLOOKUP($E13,'AEO23 Table 23'!$B$13:$AF$61,U$1,FALSE)-(VLOOKUP($E13,'AEO23 Table 23'!$B$13:$AF$61,T$1,FALSE)))/VLOOKUP($E13,'AEO23 Table 23'!$B$13:$AF$61,T$1,FALSE),"")</f>
        <v>-2.9264288710563321E-3</v>
      </c>
      <c r="V13" s="54">
        <f>IFERROR((VLOOKUP($E13,'AEO23 Table 23'!$B$13:$AF$61,V$1,FALSE)-(VLOOKUP($E13,'AEO23 Table 23'!$B$13:$AF$61,U$1,FALSE)))/VLOOKUP($E13,'AEO23 Table 23'!$B$13:$AF$61,U$1,FALSE),"")</f>
        <v>-1.9351653128902295E-3</v>
      </c>
      <c r="W13" s="54">
        <f>IFERROR((VLOOKUP($E13,'AEO23 Table 23'!$B$13:$AF$61,W$1,FALSE)-(VLOOKUP($E13,'AEO23 Table 23'!$B$13:$AF$61,V$1,FALSE)))/VLOOKUP($E13,'AEO23 Table 23'!$B$13:$AF$61,V$1,FALSE),"")</f>
        <v>-1.6511179367828576E-3</v>
      </c>
      <c r="X13" s="54">
        <f>IFERROR((VLOOKUP($E13,'AEO23 Table 23'!$B$13:$AF$61,X$1,FALSE)-(VLOOKUP($E13,'AEO23 Table 23'!$B$13:$AF$61,W$1,FALSE)))/VLOOKUP($E13,'AEO23 Table 23'!$B$13:$AF$61,W$1,FALSE),"")</f>
        <v>1.039823258265792E-4</v>
      </c>
      <c r="Y13" s="54">
        <f>IFERROR((VLOOKUP($E13,'AEO23 Table 23'!$B$13:$AF$61,Y$1,FALSE)-(VLOOKUP($E13,'AEO23 Table 23'!$B$13:$AF$61,X$1,FALSE)))/VLOOKUP($E13,'AEO23 Table 23'!$B$13:$AF$61,X$1,FALSE),"")</f>
        <v>1.4413036642788759E-3</v>
      </c>
      <c r="Z13" s="54">
        <f>IFERROR((VLOOKUP($E13,'AEO23 Table 23'!$B$13:$AF$61,Z$1,FALSE)-(VLOOKUP($E13,'AEO23 Table 23'!$B$13:$AF$61,Y$1,FALSE)))/VLOOKUP($E13,'AEO23 Table 23'!$B$13:$AF$61,Y$1,FALSE),"")</f>
        <v>1.4745374307624805E-3</v>
      </c>
      <c r="AA13" s="54">
        <f>IFERROR((VLOOKUP($E13,'AEO23 Table 23'!$B$13:$AF$61,AA$1,FALSE)-(VLOOKUP($E13,'AEO23 Table 23'!$B$13:$AF$61,Z$1,FALSE)))/VLOOKUP($E13,'AEO23 Table 23'!$B$13:$AF$61,Z$1,FALSE),"")</f>
        <v>2.4567914243197766E-3</v>
      </c>
      <c r="AB13" s="54">
        <f>IFERROR((VLOOKUP($E13,'AEO23 Table 23'!$B$13:$AF$61,AB$1,FALSE)-(VLOOKUP($E13,'AEO23 Table 23'!$B$13:$AF$61,AA$1,FALSE)))/VLOOKUP($E13,'AEO23 Table 23'!$B$13:$AF$61,AA$1,FALSE),"")</f>
        <v>2.7201412232435748E-3</v>
      </c>
      <c r="AC13" s="54">
        <f>IFERROR((VLOOKUP($E13,'AEO23 Table 23'!$B$13:$AF$61,AC$1,FALSE)-(VLOOKUP($E13,'AEO23 Table 23'!$B$13:$AF$61,AB$1,FALSE)))/VLOOKUP($E13,'AEO23 Table 23'!$B$13:$AF$61,AB$1,FALSE),"")</f>
        <v>3.0700615556106333E-3</v>
      </c>
      <c r="AD13" s="54">
        <f>IFERROR((VLOOKUP($E13,'AEO23 Table 23'!$B$13:$AF$61,AD$1,FALSE)-(VLOOKUP($E13,'AEO23 Table 23'!$B$13:$AF$61,AC$1,FALSE)))/VLOOKUP($E13,'AEO23 Table 23'!$B$13:$AF$61,AC$1,FALSE),"")</f>
        <v>2.1917995738792305E-3</v>
      </c>
      <c r="AE13" s="54">
        <f>IFERROR((VLOOKUP($E13,'AEO23 Table 23'!$B$13:$AF$61,AE$1,FALSE)-(VLOOKUP($E13,'AEO23 Table 23'!$B$13:$AF$61,AD$1,FALSE)))/VLOOKUP($E13,'AEO23 Table 23'!$B$13:$AF$61,AD$1,FALSE),"")</f>
        <v>4.8523798265235193E-3</v>
      </c>
      <c r="AF13" s="54">
        <f>IFERROR((VLOOKUP($E13,'AEO23 Table 23'!$B$13:$AF$61,AF$1,FALSE)-(VLOOKUP($E13,'AEO23 Table 23'!$B$13:$AF$61,AE$1,FALSE)))/VLOOKUP($E13,'AEO23 Table 23'!$B$13:$AF$61,AE$1,FALSE),"")</f>
        <v>5.2460421311441444E-3</v>
      </c>
      <c r="AG13" s="54">
        <f>IFERROR((VLOOKUP($E13,'AEO23 Table 23'!$B$13:$AF$61,AG$1,FALSE)-(VLOOKUP($E13,'AEO23 Table 23'!$B$13:$AF$61,AF$1,FALSE)))/VLOOKUP($E13,'AEO23 Table 23'!$B$13:$AF$61,AF$1,FALSE),"")</f>
        <v>2.7966121304044541E-3</v>
      </c>
      <c r="AH13" s="54">
        <f>IFERROR((VLOOKUP($E13,'AEO23 Table 23'!$B$13:$AF$61,AH$1,FALSE)-(VLOOKUP($E13,'AEO23 Table 23'!$B$13:$AF$61,AG$1,FALSE)))/VLOOKUP($E13,'AEO23 Table 23'!$B$13:$AF$61,AG$1,FALSE),"")</f>
        <v>4.9953916870836505E-3</v>
      </c>
      <c r="AI13" s="54">
        <f>IFERROR((VLOOKUP($E13,'AEO23 Table 23'!$B$13:$AF$61,AI$1,FALSE)-(VLOOKUP($E13,'AEO23 Table 23'!$B$13:$AF$61,AH$1,FALSE)))/VLOOKUP($E13,'AEO23 Table 23'!$B$13:$AF$61,AH$1,FALSE),"")</f>
        <v>9.3978866602612912E-3</v>
      </c>
    </row>
    <row r="14" spans="1:35" x14ac:dyDescent="0.3">
      <c r="A14" s="125" t="s">
        <v>35</v>
      </c>
      <c r="B14" s="49" cm="1">
        <f t="array" ref="B14">SUMPRODUCT(--('BLS Table 2.7'!$O:$O=$A14),'BLS Table 2.7'!L:L,'BLS Table 2.7'!N:N)/SUMIFS('BLS Table 2.7'!L:L,'BLS Table 2.7'!$O:$O,$A14)/100</f>
        <v>1.8352105718167228E-2</v>
      </c>
      <c r="E14" s="1" t="s">
        <v>35</v>
      </c>
      <c r="F14" s="54">
        <f>IFERROR(INDEX('AEO23 Table 23'!$AG$22:$AG$61,MATCH($E14,'AEO23 Table 23'!$B$22:$B$61,0)),"")</f>
        <v>1.7017999999999998E-2</v>
      </c>
      <c r="G14" s="54">
        <f>(INDEX('AEO23 Table 23'!$D$22:$D$61,MATCH('Growth Rates'!E14,'AEO23 Table 23'!$B$22:$B$61,0))-INDEX('AEO22 Table 23'!$D$22:$D$58,MATCH('Growth Rates'!E14,'AEO22 Table 23'!$B$22:$B$58,0)))/INDEX('AEO22 Table 23'!$D$22:$D$58,MATCH('Growth Rates'!E14,'AEO22 Table 23'!$B$22:$B$58,0))</f>
        <v>-1.3315353457095599E-2</v>
      </c>
      <c r="H14" s="54">
        <f>IFERROR((VLOOKUP($E14,'AEO23 Table 23'!$B$13:$AF$61,H$1,FALSE)-(VLOOKUP($E14,'AEO23 Table 23'!$B$13:$AF$61,G$1,FALSE)))/VLOOKUP($E14,'AEO23 Table 23'!$B$13:$AF$61,G$1,FALSE),"")</f>
        <v>-2.2106270257130602E-2</v>
      </c>
      <c r="I14" s="54">
        <f>IFERROR((VLOOKUP($E14,'AEO23 Table 23'!$B$13:$AF$61,I$1,FALSE)-(VLOOKUP($E14,'AEO23 Table 23'!$B$13:$AF$61,H$1,FALSE)))/VLOOKUP($E14,'AEO23 Table 23'!$B$13:$AF$61,H$1,FALSE),"")</f>
        <v>-1.1879799259947031E-2</v>
      </c>
      <c r="J14" s="54">
        <f>IFERROR((VLOOKUP($E14,'AEO23 Table 23'!$B$13:$AF$61,J$1,FALSE)-(VLOOKUP($E14,'AEO23 Table 23'!$B$13:$AF$61,I$1,FALSE)))/VLOOKUP($E14,'AEO23 Table 23'!$B$13:$AF$61,I$1,FALSE),"")</f>
        <v>1.6304088133195158E-2</v>
      </c>
      <c r="K14" s="54">
        <f>IFERROR((VLOOKUP($E14,'AEO23 Table 23'!$B$13:$AF$61,K$1,FALSE)-(VLOOKUP($E14,'AEO23 Table 23'!$B$13:$AF$61,J$1,FALSE)))/VLOOKUP($E14,'AEO23 Table 23'!$B$13:$AF$61,J$1,FALSE),"")</f>
        <v>2.3084206856319338E-2</v>
      </c>
      <c r="L14" s="54">
        <f>IFERROR((VLOOKUP($E14,'AEO23 Table 23'!$B$13:$AF$61,L$1,FALSE)-(VLOOKUP($E14,'AEO23 Table 23'!$B$13:$AF$61,K$1,FALSE)))/VLOOKUP($E14,'AEO23 Table 23'!$B$13:$AF$61,K$1,FALSE),"")</f>
        <v>2.3260266307037772E-2</v>
      </c>
      <c r="M14" s="54">
        <f>IFERROR((VLOOKUP($E14,'AEO23 Table 23'!$B$13:$AF$61,M$1,FALSE)-(VLOOKUP($E14,'AEO23 Table 23'!$B$13:$AF$61,L$1,FALSE)))/VLOOKUP($E14,'AEO23 Table 23'!$B$13:$AF$61,L$1,FALSE),"")</f>
        <v>2.00138492086438E-2</v>
      </c>
      <c r="N14" s="54">
        <f>IFERROR((VLOOKUP($E14,'AEO23 Table 23'!$B$13:$AF$61,N$1,FALSE)-(VLOOKUP($E14,'AEO23 Table 23'!$B$13:$AF$61,M$1,FALSE)))/VLOOKUP($E14,'AEO23 Table 23'!$B$13:$AF$61,M$1,FALSE),"")</f>
        <v>1.5561226844888712E-2</v>
      </c>
      <c r="O14" s="54">
        <f>IFERROR((VLOOKUP($E14,'AEO23 Table 23'!$B$13:$AF$61,O$1,FALSE)-(VLOOKUP($E14,'AEO23 Table 23'!$B$13:$AF$61,N$1,FALSE)))/VLOOKUP($E14,'AEO23 Table 23'!$B$13:$AF$61,N$1,FALSE),"")</f>
        <v>1.262321040653838E-2</v>
      </c>
      <c r="P14" s="54">
        <f>IFERROR((VLOOKUP($E14,'AEO23 Table 23'!$B$13:$AF$61,P$1,FALSE)-(VLOOKUP($E14,'AEO23 Table 23'!$B$13:$AF$61,O$1,FALSE)))/VLOOKUP($E14,'AEO23 Table 23'!$B$13:$AF$61,O$1,FALSE),"")</f>
        <v>1.3965973392747546E-2</v>
      </c>
      <c r="Q14" s="54">
        <f>IFERROR((VLOOKUP($E14,'AEO23 Table 23'!$B$13:$AF$61,Q$1,FALSE)-(VLOOKUP($E14,'AEO23 Table 23'!$B$13:$AF$61,P$1,FALSE)))/VLOOKUP($E14,'AEO23 Table 23'!$B$13:$AF$61,P$1,FALSE),"")</f>
        <v>1.7598013620528839E-2</v>
      </c>
      <c r="R14" s="54">
        <f>IFERROR((VLOOKUP($E14,'AEO23 Table 23'!$B$13:$AF$61,R$1,FALSE)-(VLOOKUP($E14,'AEO23 Table 23'!$B$13:$AF$61,Q$1,FALSE)))/VLOOKUP($E14,'AEO23 Table 23'!$B$13:$AF$61,Q$1,FALSE),"")</f>
        <v>1.7575519865906782E-2</v>
      </c>
      <c r="S14" s="54">
        <f>IFERROR((VLOOKUP($E14,'AEO23 Table 23'!$B$13:$AF$61,S$1,FALSE)-(VLOOKUP($E14,'AEO23 Table 23'!$B$13:$AF$61,R$1,FALSE)))/VLOOKUP($E14,'AEO23 Table 23'!$B$13:$AF$61,R$1,FALSE),"")</f>
        <v>1.9910222932646632E-2</v>
      </c>
      <c r="T14" s="54">
        <f>IFERROR((VLOOKUP($E14,'AEO23 Table 23'!$B$13:$AF$61,T$1,FALSE)-(VLOOKUP($E14,'AEO23 Table 23'!$B$13:$AF$61,S$1,FALSE)))/VLOOKUP($E14,'AEO23 Table 23'!$B$13:$AF$61,S$1,FALSE),"")</f>
        <v>2.0114490585850579E-2</v>
      </c>
      <c r="U14" s="54">
        <f>IFERROR((VLOOKUP($E14,'AEO23 Table 23'!$B$13:$AF$61,U$1,FALSE)-(VLOOKUP($E14,'AEO23 Table 23'!$B$13:$AF$61,T$1,FALSE)))/VLOOKUP($E14,'AEO23 Table 23'!$B$13:$AF$61,T$1,FALSE),"")</f>
        <v>1.8393991595391464E-2</v>
      </c>
      <c r="V14" s="54">
        <f>IFERROR((VLOOKUP($E14,'AEO23 Table 23'!$B$13:$AF$61,V$1,FALSE)-(VLOOKUP($E14,'AEO23 Table 23'!$B$13:$AF$61,U$1,FALSE)))/VLOOKUP($E14,'AEO23 Table 23'!$B$13:$AF$61,U$1,FALSE),"")</f>
        <v>1.9179930804956481E-2</v>
      </c>
      <c r="W14" s="54">
        <f>IFERROR((VLOOKUP($E14,'AEO23 Table 23'!$B$13:$AF$61,W$1,FALSE)-(VLOOKUP($E14,'AEO23 Table 23'!$B$13:$AF$61,V$1,FALSE)))/VLOOKUP($E14,'AEO23 Table 23'!$B$13:$AF$61,V$1,FALSE),"")</f>
        <v>1.8461289307576338E-2</v>
      </c>
      <c r="X14" s="54">
        <f>IFERROR((VLOOKUP($E14,'AEO23 Table 23'!$B$13:$AF$61,X$1,FALSE)-(VLOOKUP($E14,'AEO23 Table 23'!$B$13:$AF$61,W$1,FALSE)))/VLOOKUP($E14,'AEO23 Table 23'!$B$13:$AF$61,W$1,FALSE),"")</f>
        <v>2.003171955813033E-2</v>
      </c>
      <c r="Y14" s="54">
        <f>IFERROR((VLOOKUP($E14,'AEO23 Table 23'!$B$13:$AF$61,Y$1,FALSE)-(VLOOKUP($E14,'AEO23 Table 23'!$B$13:$AF$61,X$1,FALSE)))/VLOOKUP($E14,'AEO23 Table 23'!$B$13:$AF$61,X$1,FALSE),"")</f>
        <v>2.2175946886208473E-2</v>
      </c>
      <c r="Z14" s="54">
        <f>IFERROR((VLOOKUP($E14,'AEO23 Table 23'!$B$13:$AF$61,Z$1,FALSE)-(VLOOKUP($E14,'AEO23 Table 23'!$B$13:$AF$61,Y$1,FALSE)))/VLOOKUP($E14,'AEO23 Table 23'!$B$13:$AF$61,Y$1,FALSE),"")</f>
        <v>2.2736370789124029E-2</v>
      </c>
      <c r="AA14" s="54">
        <f>IFERROR((VLOOKUP($E14,'AEO23 Table 23'!$B$13:$AF$61,AA$1,FALSE)-(VLOOKUP($E14,'AEO23 Table 23'!$B$13:$AF$61,Z$1,FALSE)))/VLOOKUP($E14,'AEO23 Table 23'!$B$13:$AF$61,Z$1,FALSE),"")</f>
        <v>2.336233868602116E-2</v>
      </c>
      <c r="AB14" s="54">
        <f>IFERROR((VLOOKUP($E14,'AEO23 Table 23'!$B$13:$AF$61,AB$1,FALSE)-(VLOOKUP($E14,'AEO23 Table 23'!$B$13:$AF$61,AA$1,FALSE)))/VLOOKUP($E14,'AEO23 Table 23'!$B$13:$AF$61,AA$1,FALSE),"")</f>
        <v>2.3353297240483611E-2</v>
      </c>
      <c r="AC14" s="54">
        <f>IFERROR((VLOOKUP($E14,'AEO23 Table 23'!$B$13:$AF$61,AC$1,FALSE)-(VLOOKUP($E14,'AEO23 Table 23'!$B$13:$AF$61,AB$1,FALSE)))/VLOOKUP($E14,'AEO23 Table 23'!$B$13:$AF$61,AB$1,FALSE),"")</f>
        <v>2.1493909084778086E-2</v>
      </c>
      <c r="AD14" s="54">
        <f>IFERROR((VLOOKUP($E14,'AEO23 Table 23'!$B$13:$AF$61,AD$1,FALSE)-(VLOOKUP($E14,'AEO23 Table 23'!$B$13:$AF$61,AC$1,FALSE)))/VLOOKUP($E14,'AEO23 Table 23'!$B$13:$AF$61,AC$1,FALSE),"")</f>
        <v>1.9263654273879202E-2</v>
      </c>
      <c r="AE14" s="54">
        <f>IFERROR((VLOOKUP($E14,'AEO23 Table 23'!$B$13:$AF$61,AE$1,FALSE)-(VLOOKUP($E14,'AEO23 Table 23'!$B$13:$AF$61,AD$1,FALSE)))/VLOOKUP($E14,'AEO23 Table 23'!$B$13:$AF$61,AD$1,FALSE),"")</f>
        <v>2.0623838445370649E-2</v>
      </c>
      <c r="AF14" s="54">
        <f>IFERROR((VLOOKUP($E14,'AEO23 Table 23'!$B$13:$AF$61,AF$1,FALSE)-(VLOOKUP($E14,'AEO23 Table 23'!$B$13:$AF$61,AE$1,FALSE)))/VLOOKUP($E14,'AEO23 Table 23'!$B$13:$AF$61,AE$1,FALSE),"")</f>
        <v>2.2311283706406556E-2</v>
      </c>
      <c r="AG14" s="54">
        <f>IFERROR((VLOOKUP($E14,'AEO23 Table 23'!$B$13:$AF$61,AG$1,FALSE)-(VLOOKUP($E14,'AEO23 Table 23'!$B$13:$AF$61,AF$1,FALSE)))/VLOOKUP($E14,'AEO23 Table 23'!$B$13:$AF$61,AF$1,FALSE),"")</f>
        <v>1.9064267743415526E-2</v>
      </c>
      <c r="AH14" s="54">
        <f>IFERROR((VLOOKUP($E14,'AEO23 Table 23'!$B$13:$AF$61,AH$1,FALSE)-(VLOOKUP($E14,'AEO23 Table 23'!$B$13:$AF$61,AG$1,FALSE)))/VLOOKUP($E14,'AEO23 Table 23'!$B$13:$AF$61,AG$1,FALSE),"")</f>
        <v>1.8555543831556196E-2</v>
      </c>
      <c r="AI14" s="54">
        <f>IFERROR((VLOOKUP($E14,'AEO23 Table 23'!$B$13:$AF$61,AI$1,FALSE)-(VLOOKUP($E14,'AEO23 Table 23'!$B$13:$AF$61,AH$1,FALSE)))/VLOOKUP($E14,'AEO23 Table 23'!$B$13:$AF$61,AH$1,FALSE),"")</f>
        <v>2.2866990672822714E-2</v>
      </c>
    </row>
    <row r="15" spans="1:35" x14ac:dyDescent="0.3">
      <c r="A15" s="1" t="s">
        <v>36</v>
      </c>
      <c r="B15" s="49" cm="1">
        <f t="array" ref="B15">SUMPRODUCT(--('BLS Table 2.7'!$O:$O=$A15),'BLS Table 2.7'!L:L,'BLS Table 2.7'!N:N)/SUMIFS('BLS Table 2.7'!L:L,'BLS Table 2.7'!$O:$O,$A15)/100</f>
        <v>1.8000000000000002E-2</v>
      </c>
      <c r="E15" s="1" t="s">
        <v>36</v>
      </c>
      <c r="F15" s="54" t="str">
        <f>IFERROR(INDEX('AEO23 Table 23'!$AG$22:$AG$61,MATCH($E15,'AEO23 Table 23'!$B$22:$B$61,0)),"")</f>
        <v/>
      </c>
      <c r="G15" s="54"/>
      <c r="H15" s="54" t="str">
        <f>IFERROR((VLOOKUP($E15,'AEO23 Table 23'!$B$13:$AF$61,H$1,FALSE)-(VLOOKUP($E15,'AEO23 Table 23'!$B$13:$AF$61,G$1,FALSE)))/VLOOKUP($E15,'AEO23 Table 23'!$B$13:$AF$61,G$1,FALSE),"")</f>
        <v/>
      </c>
      <c r="I15" s="54" t="str">
        <f>IFERROR((VLOOKUP($E15,'AEO23 Table 23'!$B$13:$AF$61,I$1,FALSE)-(VLOOKUP($E15,'AEO23 Table 23'!$B$13:$AF$61,H$1,FALSE)))/VLOOKUP($E15,'AEO23 Table 23'!$B$13:$AF$61,H$1,FALSE),"")</f>
        <v/>
      </c>
      <c r="J15" s="54" t="str">
        <f>IFERROR((VLOOKUP($E15,'AEO23 Table 23'!$B$13:$AF$61,J$1,FALSE)-(VLOOKUP($E15,'AEO23 Table 23'!$B$13:$AF$61,I$1,FALSE)))/VLOOKUP($E15,'AEO23 Table 23'!$B$13:$AF$61,I$1,FALSE),"")</f>
        <v/>
      </c>
      <c r="K15" s="54" t="str">
        <f>IFERROR((VLOOKUP($E15,'AEO23 Table 23'!$B$13:$AF$61,K$1,FALSE)-(VLOOKUP($E15,'AEO23 Table 23'!$B$13:$AF$61,J$1,FALSE)))/VLOOKUP($E15,'AEO23 Table 23'!$B$13:$AF$61,J$1,FALSE),"")</f>
        <v/>
      </c>
      <c r="L15" s="54" t="str">
        <f>IFERROR((VLOOKUP($E15,'AEO23 Table 23'!$B$13:$AF$61,L$1,FALSE)-(VLOOKUP($E15,'AEO23 Table 23'!$B$13:$AF$61,K$1,FALSE)))/VLOOKUP($E15,'AEO23 Table 23'!$B$13:$AF$61,K$1,FALSE),"")</f>
        <v/>
      </c>
      <c r="M15" s="54" t="str">
        <f>IFERROR((VLOOKUP($E15,'AEO23 Table 23'!$B$13:$AF$61,M$1,FALSE)-(VLOOKUP($E15,'AEO23 Table 23'!$B$13:$AF$61,L$1,FALSE)))/VLOOKUP($E15,'AEO23 Table 23'!$B$13:$AF$61,L$1,FALSE),"")</f>
        <v/>
      </c>
      <c r="N15" s="54" t="str">
        <f>IFERROR((VLOOKUP($E15,'AEO23 Table 23'!$B$13:$AF$61,N$1,FALSE)-(VLOOKUP($E15,'AEO23 Table 23'!$B$13:$AF$61,M$1,FALSE)))/VLOOKUP($E15,'AEO23 Table 23'!$B$13:$AF$61,M$1,FALSE),"")</f>
        <v/>
      </c>
      <c r="O15" s="54" t="str">
        <f>IFERROR((VLOOKUP($E15,'AEO23 Table 23'!$B$13:$AF$61,O$1,FALSE)-(VLOOKUP($E15,'AEO23 Table 23'!$B$13:$AF$61,N$1,FALSE)))/VLOOKUP($E15,'AEO23 Table 23'!$B$13:$AF$61,N$1,FALSE),"")</f>
        <v/>
      </c>
      <c r="P15" s="54" t="str">
        <f>IFERROR((VLOOKUP($E15,'AEO23 Table 23'!$B$13:$AF$61,P$1,FALSE)-(VLOOKUP($E15,'AEO23 Table 23'!$B$13:$AF$61,O$1,FALSE)))/VLOOKUP($E15,'AEO23 Table 23'!$B$13:$AF$61,O$1,FALSE),"")</f>
        <v/>
      </c>
      <c r="Q15" s="54" t="str">
        <f>IFERROR((VLOOKUP($E15,'AEO23 Table 23'!$B$13:$AF$61,Q$1,FALSE)-(VLOOKUP($E15,'AEO23 Table 23'!$B$13:$AF$61,P$1,FALSE)))/VLOOKUP($E15,'AEO23 Table 23'!$B$13:$AF$61,P$1,FALSE),"")</f>
        <v/>
      </c>
      <c r="R15" s="54" t="str">
        <f>IFERROR((VLOOKUP($E15,'AEO23 Table 23'!$B$13:$AF$61,R$1,FALSE)-(VLOOKUP($E15,'AEO23 Table 23'!$B$13:$AF$61,Q$1,FALSE)))/VLOOKUP($E15,'AEO23 Table 23'!$B$13:$AF$61,Q$1,FALSE),"")</f>
        <v/>
      </c>
      <c r="S15" s="54" t="str">
        <f>IFERROR((VLOOKUP($E15,'AEO23 Table 23'!$B$13:$AF$61,S$1,FALSE)-(VLOOKUP($E15,'AEO23 Table 23'!$B$13:$AF$61,R$1,FALSE)))/VLOOKUP($E15,'AEO23 Table 23'!$B$13:$AF$61,R$1,FALSE),"")</f>
        <v/>
      </c>
      <c r="T15" s="54" t="str">
        <f>IFERROR((VLOOKUP($E15,'AEO23 Table 23'!$B$13:$AF$61,T$1,FALSE)-(VLOOKUP($E15,'AEO23 Table 23'!$B$13:$AF$61,S$1,FALSE)))/VLOOKUP($E15,'AEO23 Table 23'!$B$13:$AF$61,S$1,FALSE),"")</f>
        <v/>
      </c>
      <c r="U15" s="54" t="str">
        <f>IFERROR((VLOOKUP($E15,'AEO23 Table 23'!$B$13:$AF$61,U$1,FALSE)-(VLOOKUP($E15,'AEO23 Table 23'!$B$13:$AF$61,T$1,FALSE)))/VLOOKUP($E15,'AEO23 Table 23'!$B$13:$AF$61,T$1,FALSE),"")</f>
        <v/>
      </c>
      <c r="V15" s="54" t="str">
        <f>IFERROR((VLOOKUP($E15,'AEO23 Table 23'!$B$13:$AF$61,V$1,FALSE)-(VLOOKUP($E15,'AEO23 Table 23'!$B$13:$AF$61,U$1,FALSE)))/VLOOKUP($E15,'AEO23 Table 23'!$B$13:$AF$61,U$1,FALSE),"")</f>
        <v/>
      </c>
      <c r="W15" s="54" t="str">
        <f>IFERROR((VLOOKUP($E15,'AEO23 Table 23'!$B$13:$AF$61,W$1,FALSE)-(VLOOKUP($E15,'AEO23 Table 23'!$B$13:$AF$61,V$1,FALSE)))/VLOOKUP($E15,'AEO23 Table 23'!$B$13:$AF$61,V$1,FALSE),"")</f>
        <v/>
      </c>
      <c r="X15" s="54" t="str">
        <f>IFERROR((VLOOKUP($E15,'AEO23 Table 23'!$B$13:$AF$61,X$1,FALSE)-(VLOOKUP($E15,'AEO23 Table 23'!$B$13:$AF$61,W$1,FALSE)))/VLOOKUP($E15,'AEO23 Table 23'!$B$13:$AF$61,W$1,FALSE),"")</f>
        <v/>
      </c>
      <c r="Y15" s="54" t="str">
        <f>IFERROR((VLOOKUP($E15,'AEO23 Table 23'!$B$13:$AF$61,Y$1,FALSE)-(VLOOKUP($E15,'AEO23 Table 23'!$B$13:$AF$61,X$1,FALSE)))/VLOOKUP($E15,'AEO23 Table 23'!$B$13:$AF$61,X$1,FALSE),"")</f>
        <v/>
      </c>
      <c r="Z15" s="54" t="str">
        <f>IFERROR((VLOOKUP($E15,'AEO23 Table 23'!$B$13:$AF$61,Z$1,FALSE)-(VLOOKUP($E15,'AEO23 Table 23'!$B$13:$AF$61,Y$1,FALSE)))/VLOOKUP($E15,'AEO23 Table 23'!$B$13:$AF$61,Y$1,FALSE),"")</f>
        <v/>
      </c>
      <c r="AA15" s="54" t="str">
        <f>IFERROR((VLOOKUP($E15,'AEO23 Table 23'!$B$13:$AF$61,AA$1,FALSE)-(VLOOKUP($E15,'AEO23 Table 23'!$B$13:$AF$61,Z$1,FALSE)))/VLOOKUP($E15,'AEO23 Table 23'!$B$13:$AF$61,Z$1,FALSE),"")</f>
        <v/>
      </c>
      <c r="AB15" s="54" t="str">
        <f>IFERROR((VLOOKUP($E15,'AEO23 Table 23'!$B$13:$AF$61,AB$1,FALSE)-(VLOOKUP($E15,'AEO23 Table 23'!$B$13:$AF$61,AA$1,FALSE)))/VLOOKUP($E15,'AEO23 Table 23'!$B$13:$AF$61,AA$1,FALSE),"")</f>
        <v/>
      </c>
      <c r="AC15" s="54" t="str">
        <f>IFERROR((VLOOKUP($E15,'AEO23 Table 23'!$B$13:$AF$61,AC$1,FALSE)-(VLOOKUP($E15,'AEO23 Table 23'!$B$13:$AF$61,AB$1,FALSE)))/VLOOKUP($E15,'AEO23 Table 23'!$B$13:$AF$61,AB$1,FALSE),"")</f>
        <v/>
      </c>
      <c r="AD15" s="54" t="str">
        <f>IFERROR((VLOOKUP($E15,'AEO23 Table 23'!$B$13:$AF$61,AD$1,FALSE)-(VLOOKUP($E15,'AEO23 Table 23'!$B$13:$AF$61,AC$1,FALSE)))/VLOOKUP($E15,'AEO23 Table 23'!$B$13:$AF$61,AC$1,FALSE),"")</f>
        <v/>
      </c>
      <c r="AE15" s="54" t="str">
        <f>IFERROR((VLOOKUP($E15,'AEO23 Table 23'!$B$13:$AF$61,AE$1,FALSE)-(VLOOKUP($E15,'AEO23 Table 23'!$B$13:$AF$61,AD$1,FALSE)))/VLOOKUP($E15,'AEO23 Table 23'!$B$13:$AF$61,AD$1,FALSE),"")</f>
        <v/>
      </c>
      <c r="AF15" s="54" t="str">
        <f>IFERROR((VLOOKUP($E15,'AEO23 Table 23'!$B$13:$AF$61,AF$1,FALSE)-(VLOOKUP($E15,'AEO23 Table 23'!$B$13:$AF$61,AE$1,FALSE)))/VLOOKUP($E15,'AEO23 Table 23'!$B$13:$AF$61,AE$1,FALSE),"")</f>
        <v/>
      </c>
      <c r="AG15" s="54" t="str">
        <f>IFERROR((VLOOKUP($E15,'AEO23 Table 23'!$B$13:$AF$61,AG$1,FALSE)-(VLOOKUP($E15,'AEO23 Table 23'!$B$13:$AF$61,AF$1,FALSE)))/VLOOKUP($E15,'AEO23 Table 23'!$B$13:$AF$61,AF$1,FALSE),"")</f>
        <v/>
      </c>
      <c r="AH15" s="54" t="str">
        <f>IFERROR((VLOOKUP($E15,'AEO23 Table 23'!$B$13:$AF$61,AH$1,FALSE)-(VLOOKUP($E15,'AEO23 Table 23'!$B$13:$AF$61,AG$1,FALSE)))/VLOOKUP($E15,'AEO23 Table 23'!$B$13:$AF$61,AG$1,FALSE),"")</f>
        <v/>
      </c>
      <c r="AI15" s="54" t="str">
        <f>IFERROR((VLOOKUP($E15,'AEO23 Table 23'!$B$13:$AF$61,AI$1,FALSE)-(VLOOKUP($E15,'AEO23 Table 23'!$B$13:$AF$61,AH$1,FALSE)))/VLOOKUP($E15,'AEO23 Table 23'!$B$13:$AF$61,AH$1,FALSE),"")</f>
        <v/>
      </c>
    </row>
    <row r="16" spans="1:35" x14ac:dyDescent="0.3">
      <c r="A16" s="125" t="s">
        <v>10</v>
      </c>
      <c r="B16" s="49" cm="1">
        <f t="array" ref="B16">SUMPRODUCT(--('BLS Table 2.7'!$O:$O=$A16),'BLS Table 2.7'!L:L,'BLS Table 2.7'!N:N)/SUMIFS('BLS Table 2.7'!L:L,'BLS Table 2.7'!$O:$O,$A16)/100</f>
        <v>1.3999999999999999E-2</v>
      </c>
      <c r="E16" s="1" t="s">
        <v>10</v>
      </c>
      <c r="F16" s="54">
        <f>IFERROR(INDEX('AEO23 Table 23'!$AG$22:$AG$61,MATCH($E16,'AEO23 Table 23'!$B$22:$B$61,0)),"")</f>
        <v>1.5136E-2</v>
      </c>
      <c r="G16" s="54">
        <f>(INDEX('AEO23 Table 23'!$D$22:$D$61,MATCH('Growth Rates'!E16,'AEO23 Table 23'!$B$22:$B$61,0))-INDEX('AEO22 Table 23'!$D$22:$D$58,MATCH('Growth Rates'!E16,'AEO22 Table 23'!$B$22:$B$58,0)))/INDEX('AEO22 Table 23'!$D$22:$D$58,MATCH('Growth Rates'!E16,'AEO22 Table 23'!$B$22:$B$58,0))</f>
        <v>3.712792644662908E-2</v>
      </c>
      <c r="H16" s="54">
        <f>IFERROR((VLOOKUP($E16,'AEO23 Table 23'!$B$13:$AF$61,H$1,FALSE)-(VLOOKUP($E16,'AEO23 Table 23'!$B$13:$AF$61,G$1,FALSE)))/VLOOKUP($E16,'AEO23 Table 23'!$B$13:$AF$61,G$1,FALSE),"")</f>
        <v>-2.0293272640968463E-2</v>
      </c>
      <c r="I16" s="54">
        <f>IFERROR((VLOOKUP($E16,'AEO23 Table 23'!$B$13:$AF$61,I$1,FALSE)-(VLOOKUP($E16,'AEO23 Table 23'!$B$13:$AF$61,H$1,FALSE)))/VLOOKUP($E16,'AEO23 Table 23'!$B$13:$AF$61,H$1,FALSE),"")</f>
        <v>-7.2429512347781258E-3</v>
      </c>
      <c r="J16" s="54">
        <f>IFERROR((VLOOKUP($E16,'AEO23 Table 23'!$B$13:$AF$61,J$1,FALSE)-(VLOOKUP($E16,'AEO23 Table 23'!$B$13:$AF$61,I$1,FALSE)))/VLOOKUP($E16,'AEO23 Table 23'!$B$13:$AF$61,I$1,FALSE),"")</f>
        <v>1.4554491943408569E-2</v>
      </c>
      <c r="K16" s="54">
        <f>IFERROR((VLOOKUP($E16,'AEO23 Table 23'!$B$13:$AF$61,K$1,FALSE)-(VLOOKUP($E16,'AEO23 Table 23'!$B$13:$AF$61,J$1,FALSE)))/VLOOKUP($E16,'AEO23 Table 23'!$B$13:$AF$61,J$1,FALSE),"")</f>
        <v>2.6256250382066283E-2</v>
      </c>
      <c r="L16" s="54">
        <f>IFERROR((VLOOKUP($E16,'AEO23 Table 23'!$B$13:$AF$61,L$1,FALSE)-(VLOOKUP($E16,'AEO23 Table 23'!$B$13:$AF$61,K$1,FALSE)))/VLOOKUP($E16,'AEO23 Table 23'!$B$13:$AF$61,K$1,FALSE),"")</f>
        <v>2.2568493364563853E-2</v>
      </c>
      <c r="M16" s="54">
        <f>IFERROR((VLOOKUP($E16,'AEO23 Table 23'!$B$13:$AF$61,M$1,FALSE)-(VLOOKUP($E16,'AEO23 Table 23'!$B$13:$AF$61,L$1,FALSE)))/VLOOKUP($E16,'AEO23 Table 23'!$B$13:$AF$61,L$1,FALSE),"")</f>
        <v>1.8687012132278472E-2</v>
      </c>
      <c r="N16" s="54">
        <f>IFERROR((VLOOKUP($E16,'AEO23 Table 23'!$B$13:$AF$61,N$1,FALSE)-(VLOOKUP($E16,'AEO23 Table 23'!$B$13:$AF$61,M$1,FALSE)))/VLOOKUP($E16,'AEO23 Table 23'!$B$13:$AF$61,M$1,FALSE),"")</f>
        <v>1.7180053868551946E-2</v>
      </c>
      <c r="O16" s="54">
        <f>IFERROR((VLOOKUP($E16,'AEO23 Table 23'!$B$13:$AF$61,O$1,FALSE)-(VLOOKUP($E16,'AEO23 Table 23'!$B$13:$AF$61,N$1,FALSE)))/VLOOKUP($E16,'AEO23 Table 23'!$B$13:$AF$61,N$1,FALSE),"")</f>
        <v>1.4263383693081888E-2</v>
      </c>
      <c r="P16" s="54">
        <f>IFERROR((VLOOKUP($E16,'AEO23 Table 23'!$B$13:$AF$61,P$1,FALSE)-(VLOOKUP($E16,'AEO23 Table 23'!$B$13:$AF$61,O$1,FALSE)))/VLOOKUP($E16,'AEO23 Table 23'!$B$13:$AF$61,O$1,FALSE),"")</f>
        <v>1.6555982064198307E-2</v>
      </c>
      <c r="Q16" s="54">
        <f>IFERROR((VLOOKUP($E16,'AEO23 Table 23'!$B$13:$AF$61,Q$1,FALSE)-(VLOOKUP($E16,'AEO23 Table 23'!$B$13:$AF$61,P$1,FALSE)))/VLOOKUP($E16,'AEO23 Table 23'!$B$13:$AF$61,P$1,FALSE),"")</f>
        <v>2.0840102190469979E-2</v>
      </c>
      <c r="R16" s="54">
        <f>IFERROR((VLOOKUP($E16,'AEO23 Table 23'!$B$13:$AF$61,R$1,FALSE)-(VLOOKUP($E16,'AEO23 Table 23'!$B$13:$AF$61,Q$1,FALSE)))/VLOOKUP($E16,'AEO23 Table 23'!$B$13:$AF$61,Q$1,FALSE),"")</f>
        <v>1.8700078476099148E-2</v>
      </c>
      <c r="S16" s="54">
        <f>IFERROR((VLOOKUP($E16,'AEO23 Table 23'!$B$13:$AF$61,S$1,FALSE)-(VLOOKUP($E16,'AEO23 Table 23'!$B$13:$AF$61,R$1,FALSE)))/VLOOKUP($E16,'AEO23 Table 23'!$B$13:$AF$61,R$1,FALSE),"")</f>
        <v>1.7189480406808698E-2</v>
      </c>
      <c r="T16" s="54">
        <f>IFERROR((VLOOKUP($E16,'AEO23 Table 23'!$B$13:$AF$61,T$1,FALSE)-(VLOOKUP($E16,'AEO23 Table 23'!$B$13:$AF$61,S$1,FALSE)))/VLOOKUP($E16,'AEO23 Table 23'!$B$13:$AF$61,S$1,FALSE),"")</f>
        <v>1.9966465136748185E-2</v>
      </c>
      <c r="U16" s="54">
        <f>IFERROR((VLOOKUP($E16,'AEO23 Table 23'!$B$13:$AF$61,U$1,FALSE)-(VLOOKUP($E16,'AEO23 Table 23'!$B$13:$AF$61,T$1,FALSE)))/VLOOKUP($E16,'AEO23 Table 23'!$B$13:$AF$61,T$1,FALSE),"")</f>
        <v>1.7027862508600645E-2</v>
      </c>
      <c r="V16" s="54">
        <f>IFERROR((VLOOKUP($E16,'AEO23 Table 23'!$B$13:$AF$61,V$1,FALSE)-(VLOOKUP($E16,'AEO23 Table 23'!$B$13:$AF$61,U$1,FALSE)))/VLOOKUP($E16,'AEO23 Table 23'!$B$13:$AF$61,U$1,FALSE),"")</f>
        <v>1.6800043316254048E-2</v>
      </c>
      <c r="W16" s="54">
        <f>IFERROR((VLOOKUP($E16,'AEO23 Table 23'!$B$13:$AF$61,W$1,FALSE)-(VLOOKUP($E16,'AEO23 Table 23'!$B$13:$AF$61,V$1,FALSE)))/VLOOKUP($E16,'AEO23 Table 23'!$B$13:$AF$61,V$1,FALSE),"")</f>
        <v>1.6821684939007101E-2</v>
      </c>
      <c r="X16" s="54">
        <f>IFERROR((VLOOKUP($E16,'AEO23 Table 23'!$B$13:$AF$61,X$1,FALSE)-(VLOOKUP($E16,'AEO23 Table 23'!$B$13:$AF$61,W$1,FALSE)))/VLOOKUP($E16,'AEO23 Table 23'!$B$13:$AF$61,W$1,FALSE),"")</f>
        <v>1.4858094377035284E-2</v>
      </c>
      <c r="Y16" s="54">
        <f>IFERROR((VLOOKUP($E16,'AEO23 Table 23'!$B$13:$AF$61,Y$1,FALSE)-(VLOOKUP($E16,'AEO23 Table 23'!$B$13:$AF$61,X$1,FALSE)))/VLOOKUP($E16,'AEO23 Table 23'!$B$13:$AF$61,X$1,FALSE),"")</f>
        <v>1.5873920094431695E-2</v>
      </c>
      <c r="Z16" s="54">
        <f>IFERROR((VLOOKUP($E16,'AEO23 Table 23'!$B$13:$AF$61,Z$1,FALSE)-(VLOOKUP($E16,'AEO23 Table 23'!$B$13:$AF$61,Y$1,FALSE)))/VLOOKUP($E16,'AEO23 Table 23'!$B$13:$AF$61,Y$1,FALSE),"")</f>
        <v>1.809934685164221E-2</v>
      </c>
      <c r="AA16" s="54">
        <f>IFERROR((VLOOKUP($E16,'AEO23 Table 23'!$B$13:$AF$61,AA$1,FALSE)-(VLOOKUP($E16,'AEO23 Table 23'!$B$13:$AF$61,Z$1,FALSE)))/VLOOKUP($E16,'AEO23 Table 23'!$B$13:$AF$61,Z$1,FALSE),"")</f>
        <v>1.6944879389224708E-2</v>
      </c>
      <c r="AB16" s="54">
        <f>IFERROR((VLOOKUP($E16,'AEO23 Table 23'!$B$13:$AF$61,AB$1,FALSE)-(VLOOKUP($E16,'AEO23 Table 23'!$B$13:$AF$61,AA$1,FALSE)))/VLOOKUP($E16,'AEO23 Table 23'!$B$13:$AF$61,AA$1,FALSE),"")</f>
        <v>1.8246950979896048E-2</v>
      </c>
      <c r="AC16" s="54">
        <f>IFERROR((VLOOKUP($E16,'AEO23 Table 23'!$B$13:$AF$61,AC$1,FALSE)-(VLOOKUP($E16,'AEO23 Table 23'!$B$13:$AF$61,AB$1,FALSE)))/VLOOKUP($E16,'AEO23 Table 23'!$B$13:$AF$61,AB$1,FALSE),"")</f>
        <v>1.559292096204631E-2</v>
      </c>
      <c r="AD16" s="54">
        <f>IFERROR((VLOOKUP($E16,'AEO23 Table 23'!$B$13:$AF$61,AD$1,FALSE)-(VLOOKUP($E16,'AEO23 Table 23'!$B$13:$AF$61,AC$1,FALSE)))/VLOOKUP($E16,'AEO23 Table 23'!$B$13:$AF$61,AC$1,FALSE),"")</f>
        <v>1.4092381070249013E-2</v>
      </c>
      <c r="AE16" s="54">
        <f>IFERROR((VLOOKUP($E16,'AEO23 Table 23'!$B$13:$AF$61,AE$1,FALSE)-(VLOOKUP($E16,'AEO23 Table 23'!$B$13:$AF$61,AD$1,FALSE)))/VLOOKUP($E16,'AEO23 Table 23'!$B$13:$AF$61,AD$1,FALSE),"")</f>
        <v>1.5618906656012137E-2</v>
      </c>
      <c r="AF16" s="54">
        <f>IFERROR((VLOOKUP($E16,'AEO23 Table 23'!$B$13:$AF$61,AF$1,FALSE)-(VLOOKUP($E16,'AEO23 Table 23'!$B$13:$AF$61,AE$1,FALSE)))/VLOOKUP($E16,'AEO23 Table 23'!$B$13:$AF$61,AE$1,FALSE),"")</f>
        <v>1.6317210137701044E-2</v>
      </c>
      <c r="AG16" s="54">
        <f>IFERROR((VLOOKUP($E16,'AEO23 Table 23'!$B$13:$AF$61,AG$1,FALSE)-(VLOOKUP($E16,'AEO23 Table 23'!$B$13:$AF$61,AF$1,FALSE)))/VLOOKUP($E16,'AEO23 Table 23'!$B$13:$AF$61,AF$1,FALSE),"")</f>
        <v>1.4095861221970199E-2</v>
      </c>
      <c r="AH16" s="54">
        <f>IFERROR((VLOOKUP($E16,'AEO23 Table 23'!$B$13:$AF$61,AH$1,FALSE)-(VLOOKUP($E16,'AEO23 Table 23'!$B$13:$AF$61,AG$1,FALSE)))/VLOOKUP($E16,'AEO23 Table 23'!$B$13:$AF$61,AG$1,FALSE),"")</f>
        <v>1.4462624576260756E-2</v>
      </c>
      <c r="AI16" s="54">
        <f>IFERROR((VLOOKUP($E16,'AEO23 Table 23'!$B$13:$AF$61,AI$1,FALSE)-(VLOOKUP($E16,'AEO23 Table 23'!$B$13:$AF$61,AH$1,FALSE)))/VLOOKUP($E16,'AEO23 Table 23'!$B$13:$AF$61,AH$1,FALSE),"")</f>
        <v>2.0773899205990029E-2</v>
      </c>
    </row>
    <row r="17" spans="1:35" x14ac:dyDescent="0.3">
      <c r="A17" s="125" t="s">
        <v>41</v>
      </c>
      <c r="B17" s="49" cm="1">
        <f t="array" ref="B17">SUMPRODUCT(--('BLS Table 2.7'!$O:$O=$A17),'BLS Table 2.7'!L:L,'BLS Table 2.7'!N:N)/SUMIFS('BLS Table 2.7'!L:L,'BLS Table 2.7'!$O:$O,$A17)/100</f>
        <v>1.8000000000000002E-2</v>
      </c>
      <c r="E17" s="1" t="s">
        <v>41</v>
      </c>
      <c r="F17" s="54">
        <f>IFERROR(INDEX('AEO23 Table 23'!$AG$22:$AG$61,MATCH($E17,'AEO23 Table 23'!$B$22:$B$61,0)),"")</f>
        <v>6.9030000000000003E-3</v>
      </c>
      <c r="G17" s="54">
        <f>(INDEX('AEO23 Table 23'!$D$22:$D$61,MATCH('Growth Rates'!E17,'AEO23 Table 23'!$B$22:$B$61,0))-INDEX('AEO22 Table 23'!$D$22:$D$58,MATCH('Growth Rates'!E17,'AEO22 Table 23'!$B$22:$B$58,0)))/INDEX('AEO22 Table 23'!$D$22:$D$58,MATCH('Growth Rates'!E17,'AEO22 Table 23'!$B$22:$B$58,0))</f>
        <v>1.5773177581946376E-2</v>
      </c>
      <c r="H17" s="54">
        <f>IFERROR((VLOOKUP($E17,'AEO23 Table 23'!$B$13:$AF$61,H$1,FALSE)-(VLOOKUP($E17,'AEO23 Table 23'!$B$13:$AF$61,G$1,FALSE)))/VLOOKUP($E17,'AEO23 Table 23'!$B$13:$AF$61,G$1,FALSE),"")</f>
        <v>-5.8886503482012992E-2</v>
      </c>
      <c r="I17" s="54">
        <f>IFERROR((VLOOKUP($E17,'AEO23 Table 23'!$B$13:$AF$61,I$1,FALSE)-(VLOOKUP($E17,'AEO23 Table 23'!$B$13:$AF$61,H$1,FALSE)))/VLOOKUP($E17,'AEO23 Table 23'!$B$13:$AF$61,H$1,FALSE),"")</f>
        <v>-1.7012937309295519E-2</v>
      </c>
      <c r="J17" s="54">
        <f>IFERROR((VLOOKUP($E17,'AEO23 Table 23'!$B$13:$AF$61,J$1,FALSE)-(VLOOKUP($E17,'AEO23 Table 23'!$B$13:$AF$61,I$1,FALSE)))/VLOOKUP($E17,'AEO23 Table 23'!$B$13:$AF$61,I$1,FALSE),"")</f>
        <v>3.4113367855157731E-4</v>
      </c>
      <c r="K17" s="54">
        <f>IFERROR((VLOOKUP($E17,'AEO23 Table 23'!$B$13:$AF$61,K$1,FALSE)-(VLOOKUP($E17,'AEO23 Table 23'!$B$13:$AF$61,J$1,FALSE)))/VLOOKUP($E17,'AEO23 Table 23'!$B$13:$AF$61,J$1,FALSE),"")</f>
        <v>2.8267037527186342E-2</v>
      </c>
      <c r="L17" s="54">
        <f>IFERROR((VLOOKUP($E17,'AEO23 Table 23'!$B$13:$AF$61,L$1,FALSE)-(VLOOKUP($E17,'AEO23 Table 23'!$B$13:$AF$61,K$1,FALSE)))/VLOOKUP($E17,'AEO23 Table 23'!$B$13:$AF$61,K$1,FALSE),"")</f>
        <v>1.5411072601200212E-2</v>
      </c>
      <c r="M17" s="54">
        <f>IFERROR((VLOOKUP($E17,'AEO23 Table 23'!$B$13:$AF$61,M$1,FALSE)-(VLOOKUP($E17,'AEO23 Table 23'!$B$13:$AF$61,L$1,FALSE)))/VLOOKUP($E17,'AEO23 Table 23'!$B$13:$AF$61,L$1,FALSE),"")</f>
        <v>1.1779040283372885E-2</v>
      </c>
      <c r="N17" s="54">
        <f>IFERROR((VLOOKUP($E17,'AEO23 Table 23'!$B$13:$AF$61,N$1,FALSE)-(VLOOKUP($E17,'AEO23 Table 23'!$B$13:$AF$61,M$1,FALSE)))/VLOOKUP($E17,'AEO23 Table 23'!$B$13:$AF$61,M$1,FALSE),"")</f>
        <v>9.0533166748542546E-3</v>
      </c>
      <c r="O17" s="54">
        <f>IFERROR((VLOOKUP($E17,'AEO23 Table 23'!$B$13:$AF$61,O$1,FALSE)-(VLOOKUP($E17,'AEO23 Table 23'!$B$13:$AF$61,N$1,FALSE)))/VLOOKUP($E17,'AEO23 Table 23'!$B$13:$AF$61,N$1,FALSE),"")</f>
        <v>5.1628461528580487E-3</v>
      </c>
      <c r="P17" s="54">
        <f>IFERROR((VLOOKUP($E17,'AEO23 Table 23'!$B$13:$AF$61,P$1,FALSE)-(VLOOKUP($E17,'AEO23 Table 23'!$B$13:$AF$61,O$1,FALSE)))/VLOOKUP($E17,'AEO23 Table 23'!$B$13:$AF$61,O$1,FALSE),"")</f>
        <v>7.0826601739284916E-3</v>
      </c>
      <c r="Q17" s="54">
        <f>IFERROR((VLOOKUP($E17,'AEO23 Table 23'!$B$13:$AF$61,Q$1,FALSE)-(VLOOKUP($E17,'AEO23 Table 23'!$B$13:$AF$61,P$1,FALSE)))/VLOOKUP($E17,'AEO23 Table 23'!$B$13:$AF$61,P$1,FALSE),"")</f>
        <v>8.4879196315943931E-3</v>
      </c>
      <c r="R17" s="54">
        <f>IFERROR((VLOOKUP($E17,'AEO23 Table 23'!$B$13:$AF$61,R$1,FALSE)-(VLOOKUP($E17,'AEO23 Table 23'!$B$13:$AF$61,Q$1,FALSE)))/VLOOKUP($E17,'AEO23 Table 23'!$B$13:$AF$61,Q$1,FALSE),"")</f>
        <v>1.130608727401014E-2</v>
      </c>
      <c r="S17" s="54">
        <f>IFERROR((VLOOKUP($E17,'AEO23 Table 23'!$B$13:$AF$61,S$1,FALSE)-(VLOOKUP($E17,'AEO23 Table 23'!$B$13:$AF$61,R$1,FALSE)))/VLOOKUP($E17,'AEO23 Table 23'!$B$13:$AF$61,R$1,FALSE),"")</f>
        <v>1.1969142745799667E-2</v>
      </c>
      <c r="T17" s="54">
        <f>IFERROR((VLOOKUP($E17,'AEO23 Table 23'!$B$13:$AF$61,T$1,FALSE)-(VLOOKUP($E17,'AEO23 Table 23'!$B$13:$AF$61,S$1,FALSE)))/VLOOKUP($E17,'AEO23 Table 23'!$B$13:$AF$61,S$1,FALSE),"")</f>
        <v>1.3949979393912355E-2</v>
      </c>
      <c r="U17" s="54">
        <f>IFERROR((VLOOKUP($E17,'AEO23 Table 23'!$B$13:$AF$61,U$1,FALSE)-(VLOOKUP($E17,'AEO23 Table 23'!$B$13:$AF$61,T$1,FALSE)))/VLOOKUP($E17,'AEO23 Table 23'!$B$13:$AF$61,T$1,FALSE),"")</f>
        <v>6.8801314584788324E-3</v>
      </c>
      <c r="V17" s="54">
        <f>IFERROR((VLOOKUP($E17,'AEO23 Table 23'!$B$13:$AF$61,V$1,FALSE)-(VLOOKUP($E17,'AEO23 Table 23'!$B$13:$AF$61,U$1,FALSE)))/VLOOKUP($E17,'AEO23 Table 23'!$B$13:$AF$61,U$1,FALSE),"")</f>
        <v>9.4374646949353692E-3</v>
      </c>
      <c r="W17" s="54">
        <f>IFERROR((VLOOKUP($E17,'AEO23 Table 23'!$B$13:$AF$61,W$1,FALSE)-(VLOOKUP($E17,'AEO23 Table 23'!$B$13:$AF$61,V$1,FALSE)))/VLOOKUP($E17,'AEO23 Table 23'!$B$13:$AF$61,V$1,FALSE),"")</f>
        <v>9.2330219595632146E-3</v>
      </c>
      <c r="X17" s="54">
        <f>IFERROR((VLOOKUP($E17,'AEO23 Table 23'!$B$13:$AF$61,X$1,FALSE)-(VLOOKUP($E17,'AEO23 Table 23'!$B$13:$AF$61,W$1,FALSE)))/VLOOKUP($E17,'AEO23 Table 23'!$B$13:$AF$61,W$1,FALSE),"")</f>
        <v>1.6360515288208269E-2</v>
      </c>
      <c r="Y17" s="54">
        <f>IFERROR((VLOOKUP($E17,'AEO23 Table 23'!$B$13:$AF$61,Y$1,FALSE)-(VLOOKUP($E17,'AEO23 Table 23'!$B$13:$AF$61,X$1,FALSE)))/VLOOKUP($E17,'AEO23 Table 23'!$B$13:$AF$61,X$1,FALSE),"")</f>
        <v>1.5954790313008654E-2</v>
      </c>
      <c r="Z17" s="54">
        <f>IFERROR((VLOOKUP($E17,'AEO23 Table 23'!$B$13:$AF$61,Z$1,FALSE)-(VLOOKUP($E17,'AEO23 Table 23'!$B$13:$AF$61,Y$1,FALSE)))/VLOOKUP($E17,'AEO23 Table 23'!$B$13:$AF$61,Y$1,FALSE),"")</f>
        <v>1.112481217576371E-2</v>
      </c>
      <c r="AA17" s="54">
        <f>IFERROR((VLOOKUP($E17,'AEO23 Table 23'!$B$13:$AF$61,AA$1,FALSE)-(VLOOKUP($E17,'AEO23 Table 23'!$B$13:$AF$61,Z$1,FALSE)))/VLOOKUP($E17,'AEO23 Table 23'!$B$13:$AF$61,Z$1,FALSE),"")</f>
        <v>1.3860200360048147E-2</v>
      </c>
      <c r="AB17" s="54">
        <f>IFERROR((VLOOKUP($E17,'AEO23 Table 23'!$B$13:$AF$61,AB$1,FALSE)-(VLOOKUP($E17,'AEO23 Table 23'!$B$13:$AF$61,AA$1,FALSE)))/VLOOKUP($E17,'AEO23 Table 23'!$B$13:$AF$61,AA$1,FALSE),"")</f>
        <v>5.0577524411540842E-3</v>
      </c>
      <c r="AC17" s="54">
        <f>IFERROR((VLOOKUP($E17,'AEO23 Table 23'!$B$13:$AF$61,AC$1,FALSE)-(VLOOKUP($E17,'AEO23 Table 23'!$B$13:$AF$61,AB$1,FALSE)))/VLOOKUP($E17,'AEO23 Table 23'!$B$13:$AF$61,AB$1,FALSE),"")</f>
        <v>8.3197951615751001E-3</v>
      </c>
      <c r="AD17" s="54">
        <f>IFERROR((VLOOKUP($E17,'AEO23 Table 23'!$B$13:$AF$61,AD$1,FALSE)-(VLOOKUP($E17,'AEO23 Table 23'!$B$13:$AF$61,AC$1,FALSE)))/VLOOKUP($E17,'AEO23 Table 23'!$B$13:$AF$61,AC$1,FALSE),"")</f>
        <v>1.0128627006636479E-2</v>
      </c>
      <c r="AE17" s="54">
        <f>IFERROR((VLOOKUP($E17,'AEO23 Table 23'!$B$13:$AF$61,AE$1,FALSE)-(VLOOKUP($E17,'AEO23 Table 23'!$B$13:$AF$61,AD$1,FALSE)))/VLOOKUP($E17,'AEO23 Table 23'!$B$13:$AF$61,AD$1,FALSE),"")</f>
        <v>1.4812272831016646E-2</v>
      </c>
      <c r="AF17" s="54">
        <f>IFERROR((VLOOKUP($E17,'AEO23 Table 23'!$B$13:$AF$61,AF$1,FALSE)-(VLOOKUP($E17,'AEO23 Table 23'!$B$13:$AF$61,AE$1,FALSE)))/VLOOKUP($E17,'AEO23 Table 23'!$B$13:$AF$61,AE$1,FALSE),"")</f>
        <v>8.6918692161782347E-3</v>
      </c>
      <c r="AG17" s="54">
        <f>IFERROR((VLOOKUP($E17,'AEO23 Table 23'!$B$13:$AF$61,AG$1,FALSE)-(VLOOKUP($E17,'AEO23 Table 23'!$B$13:$AF$61,AF$1,FALSE)))/VLOOKUP($E17,'AEO23 Table 23'!$B$13:$AF$61,AF$1,FALSE),"")</f>
        <v>2.8172436255196253E-3</v>
      </c>
      <c r="AH17" s="54">
        <f>IFERROR((VLOOKUP($E17,'AEO23 Table 23'!$B$13:$AF$61,AH$1,FALSE)-(VLOOKUP($E17,'AEO23 Table 23'!$B$13:$AF$61,AG$1,FALSE)))/VLOOKUP($E17,'AEO23 Table 23'!$B$13:$AF$61,AG$1,FALSE),"")</f>
        <v>6.8585461192558397E-3</v>
      </c>
      <c r="AI17" s="54">
        <f>IFERROR((VLOOKUP($E17,'AEO23 Table 23'!$B$13:$AF$61,AI$1,FALSE)-(VLOOKUP($E17,'AEO23 Table 23'!$B$13:$AF$61,AH$1,FALSE)))/VLOOKUP($E17,'AEO23 Table 23'!$B$13:$AF$61,AH$1,FALSE),"")</f>
        <v>9.8945907513379484E-3</v>
      </c>
    </row>
    <row r="18" spans="1:35" x14ac:dyDescent="0.3">
      <c r="A18" s="125" t="s">
        <v>42</v>
      </c>
      <c r="B18" s="49" cm="1">
        <f t="array" ref="B18">SUMPRODUCT(--('BLS Table 2.7'!$O:$O=$A18),'BLS Table 2.7'!L:L,'BLS Table 2.7'!N:N)/SUMIFS('BLS Table 2.7'!L:L,'BLS Table 2.7'!$O:$O,$A18)/100</f>
        <v>1.4749766573295988E-2</v>
      </c>
      <c r="E18" s="1" t="s">
        <v>42</v>
      </c>
      <c r="F18" s="54">
        <f>IFERROR(INDEX('AEO23 Table 23'!$AG$22:$AG$61,MATCH($E18,'AEO23 Table 23'!$B$22:$B$61,0)),"")</f>
        <v>7.4110000000000001E-3</v>
      </c>
      <c r="G18" s="54">
        <f>(INDEX('AEO23 Table 23'!$D$22:$D$61,MATCH('Growth Rates'!E18,'AEO23 Table 23'!$B$22:$B$61,0))-INDEX('AEO22 Table 23'!$D$22:$D$58,MATCH('Growth Rates'!E18,'AEO22 Table 23'!$B$22:$B$58,0)))/INDEX('AEO22 Table 23'!$D$22:$D$58,MATCH('Growth Rates'!E18,'AEO22 Table 23'!$B$22:$B$58,0))</f>
        <v>0.15097806738042441</v>
      </c>
      <c r="H18" s="54">
        <f>IFERROR((VLOOKUP($E18,'AEO23 Table 23'!$B$13:$AF$61,H$1,FALSE)-(VLOOKUP($E18,'AEO23 Table 23'!$B$13:$AF$61,G$1,FALSE)))/VLOOKUP($E18,'AEO23 Table 23'!$B$13:$AF$61,G$1,FALSE),"")</f>
        <v>-4.4616410240402353E-2</v>
      </c>
      <c r="I18" s="54">
        <f>IFERROR((VLOOKUP($E18,'AEO23 Table 23'!$B$13:$AF$61,I$1,FALSE)-(VLOOKUP($E18,'AEO23 Table 23'!$B$13:$AF$61,H$1,FALSE)))/VLOOKUP($E18,'AEO23 Table 23'!$B$13:$AF$61,H$1,FALSE),"")</f>
        <v>-1.2348283263716035E-2</v>
      </c>
      <c r="J18" s="54">
        <f>IFERROR((VLOOKUP($E18,'AEO23 Table 23'!$B$13:$AF$61,J$1,FALSE)-(VLOOKUP($E18,'AEO23 Table 23'!$B$13:$AF$61,I$1,FALSE)))/VLOOKUP($E18,'AEO23 Table 23'!$B$13:$AF$61,I$1,FALSE),"")</f>
        <v>1.6226214484953299E-2</v>
      </c>
      <c r="K18" s="54">
        <f>IFERROR((VLOOKUP($E18,'AEO23 Table 23'!$B$13:$AF$61,K$1,FALSE)-(VLOOKUP($E18,'AEO23 Table 23'!$B$13:$AF$61,J$1,FALSE)))/VLOOKUP($E18,'AEO23 Table 23'!$B$13:$AF$61,J$1,FALSE),"")</f>
        <v>1.5205167792163696E-2</v>
      </c>
      <c r="L18" s="54">
        <f>IFERROR((VLOOKUP($E18,'AEO23 Table 23'!$B$13:$AF$61,L$1,FALSE)-(VLOOKUP($E18,'AEO23 Table 23'!$B$13:$AF$61,K$1,FALSE)))/VLOOKUP($E18,'AEO23 Table 23'!$B$13:$AF$61,K$1,FALSE),"")</f>
        <v>9.7367529639796144E-3</v>
      </c>
      <c r="M18" s="54">
        <f>IFERROR((VLOOKUP($E18,'AEO23 Table 23'!$B$13:$AF$61,M$1,FALSE)-(VLOOKUP($E18,'AEO23 Table 23'!$B$13:$AF$61,L$1,FALSE)))/VLOOKUP($E18,'AEO23 Table 23'!$B$13:$AF$61,L$1,FALSE),"")</f>
        <v>9.1145110120732439E-3</v>
      </c>
      <c r="N18" s="54">
        <f>IFERROR((VLOOKUP($E18,'AEO23 Table 23'!$B$13:$AF$61,N$1,FALSE)-(VLOOKUP($E18,'AEO23 Table 23'!$B$13:$AF$61,M$1,FALSE)))/VLOOKUP($E18,'AEO23 Table 23'!$B$13:$AF$61,M$1,FALSE),"")</f>
        <v>1.1967981652647107E-2</v>
      </c>
      <c r="O18" s="54">
        <f>IFERROR((VLOOKUP($E18,'AEO23 Table 23'!$B$13:$AF$61,O$1,FALSE)-(VLOOKUP($E18,'AEO23 Table 23'!$B$13:$AF$61,N$1,FALSE)))/VLOOKUP($E18,'AEO23 Table 23'!$B$13:$AF$61,N$1,FALSE),"")</f>
        <v>1.2453168283079356E-2</v>
      </c>
      <c r="P18" s="54">
        <f>IFERROR((VLOOKUP($E18,'AEO23 Table 23'!$B$13:$AF$61,P$1,FALSE)-(VLOOKUP($E18,'AEO23 Table 23'!$B$13:$AF$61,O$1,FALSE)))/VLOOKUP($E18,'AEO23 Table 23'!$B$13:$AF$61,O$1,FALSE),"")</f>
        <v>1.1919296441814361E-2</v>
      </c>
      <c r="Q18" s="54">
        <f>IFERROR((VLOOKUP($E18,'AEO23 Table 23'!$B$13:$AF$61,Q$1,FALSE)-(VLOOKUP($E18,'AEO23 Table 23'!$B$13:$AF$61,P$1,FALSE)))/VLOOKUP($E18,'AEO23 Table 23'!$B$13:$AF$61,P$1,FALSE),"")</f>
        <v>8.3308184898107148E-3</v>
      </c>
      <c r="R18" s="54">
        <f>IFERROR((VLOOKUP($E18,'AEO23 Table 23'!$B$13:$AF$61,R$1,FALSE)-(VLOOKUP($E18,'AEO23 Table 23'!$B$13:$AF$61,Q$1,FALSE)))/VLOOKUP($E18,'AEO23 Table 23'!$B$13:$AF$61,Q$1,FALSE),"")</f>
        <v>3.7888014391723956E-3</v>
      </c>
      <c r="S18" s="54">
        <f>IFERROR((VLOOKUP($E18,'AEO23 Table 23'!$B$13:$AF$61,S$1,FALSE)-(VLOOKUP($E18,'AEO23 Table 23'!$B$13:$AF$61,R$1,FALSE)))/VLOOKUP($E18,'AEO23 Table 23'!$B$13:$AF$61,R$1,FALSE),"")</f>
        <v>6.7465845468005258E-3</v>
      </c>
      <c r="T18" s="54">
        <f>IFERROR((VLOOKUP($E18,'AEO23 Table 23'!$B$13:$AF$61,T$1,FALSE)-(VLOOKUP($E18,'AEO23 Table 23'!$B$13:$AF$61,S$1,FALSE)))/VLOOKUP($E18,'AEO23 Table 23'!$B$13:$AF$61,S$1,FALSE),"")</f>
        <v>1.5052959622823353E-2</v>
      </c>
      <c r="U18" s="54">
        <f>IFERROR((VLOOKUP($E18,'AEO23 Table 23'!$B$13:$AF$61,U$1,FALSE)-(VLOOKUP($E18,'AEO23 Table 23'!$B$13:$AF$61,T$1,FALSE)))/VLOOKUP($E18,'AEO23 Table 23'!$B$13:$AF$61,T$1,FALSE),"")</f>
        <v>1.2041474227385626E-2</v>
      </c>
      <c r="V18" s="54">
        <f>IFERROR((VLOOKUP($E18,'AEO23 Table 23'!$B$13:$AF$61,V$1,FALSE)-(VLOOKUP($E18,'AEO23 Table 23'!$B$13:$AF$61,U$1,FALSE)))/VLOOKUP($E18,'AEO23 Table 23'!$B$13:$AF$61,U$1,FALSE),"")</f>
        <v>9.9802871148478717E-3</v>
      </c>
      <c r="W18" s="54">
        <f>IFERROR((VLOOKUP($E18,'AEO23 Table 23'!$B$13:$AF$61,W$1,FALSE)-(VLOOKUP($E18,'AEO23 Table 23'!$B$13:$AF$61,V$1,FALSE)))/VLOOKUP($E18,'AEO23 Table 23'!$B$13:$AF$61,V$1,FALSE),"")</f>
        <v>1.0639065712253327E-2</v>
      </c>
      <c r="X18" s="54">
        <f>IFERROR((VLOOKUP($E18,'AEO23 Table 23'!$B$13:$AF$61,X$1,FALSE)-(VLOOKUP($E18,'AEO23 Table 23'!$B$13:$AF$61,W$1,FALSE)))/VLOOKUP($E18,'AEO23 Table 23'!$B$13:$AF$61,W$1,FALSE),"")</f>
        <v>8.1060151793678654E-3</v>
      </c>
      <c r="Y18" s="54">
        <f>IFERROR((VLOOKUP($E18,'AEO23 Table 23'!$B$13:$AF$61,Y$1,FALSE)-(VLOOKUP($E18,'AEO23 Table 23'!$B$13:$AF$61,X$1,FALSE)))/VLOOKUP($E18,'AEO23 Table 23'!$B$13:$AF$61,X$1,FALSE),"")</f>
        <v>1.080696447324672E-2</v>
      </c>
      <c r="Z18" s="54">
        <f>IFERROR((VLOOKUP($E18,'AEO23 Table 23'!$B$13:$AF$61,Z$1,FALSE)-(VLOOKUP($E18,'AEO23 Table 23'!$B$13:$AF$61,Y$1,FALSE)))/VLOOKUP($E18,'AEO23 Table 23'!$B$13:$AF$61,Y$1,FALSE),"")</f>
        <v>1.1887984972607709E-2</v>
      </c>
      <c r="AA18" s="54">
        <f>IFERROR((VLOOKUP($E18,'AEO23 Table 23'!$B$13:$AF$61,AA$1,FALSE)-(VLOOKUP($E18,'AEO23 Table 23'!$B$13:$AF$61,Z$1,FALSE)))/VLOOKUP($E18,'AEO23 Table 23'!$B$13:$AF$61,Z$1,FALSE),"")</f>
        <v>9.2586728264190069E-3</v>
      </c>
      <c r="AB18" s="54">
        <f>IFERROR((VLOOKUP($E18,'AEO23 Table 23'!$B$13:$AF$61,AB$1,FALSE)-(VLOOKUP($E18,'AEO23 Table 23'!$B$13:$AF$61,AA$1,FALSE)))/VLOOKUP($E18,'AEO23 Table 23'!$B$13:$AF$61,AA$1,FALSE),"")</f>
        <v>4.7204508915354429E-3</v>
      </c>
      <c r="AC18" s="54">
        <f>IFERROR((VLOOKUP($E18,'AEO23 Table 23'!$B$13:$AF$61,AC$1,FALSE)-(VLOOKUP($E18,'AEO23 Table 23'!$B$13:$AF$61,AB$1,FALSE)))/VLOOKUP($E18,'AEO23 Table 23'!$B$13:$AF$61,AB$1,FALSE),"")</f>
        <v>1.1243467321738008E-2</v>
      </c>
      <c r="AD18" s="54">
        <f>IFERROR((VLOOKUP($E18,'AEO23 Table 23'!$B$13:$AF$61,AD$1,FALSE)-(VLOOKUP($E18,'AEO23 Table 23'!$B$13:$AF$61,AC$1,FALSE)))/VLOOKUP($E18,'AEO23 Table 23'!$B$13:$AF$61,AC$1,FALSE),"")</f>
        <v>1.2945272041090819E-2</v>
      </c>
      <c r="AE18" s="54">
        <f>IFERROR((VLOOKUP($E18,'AEO23 Table 23'!$B$13:$AF$61,AE$1,FALSE)-(VLOOKUP($E18,'AEO23 Table 23'!$B$13:$AF$61,AD$1,FALSE)))/VLOOKUP($E18,'AEO23 Table 23'!$B$13:$AF$61,AD$1,FALSE),"")</f>
        <v>1.0302574454757636E-2</v>
      </c>
      <c r="AF18" s="54">
        <f>IFERROR((VLOOKUP($E18,'AEO23 Table 23'!$B$13:$AF$61,AF$1,FALSE)-(VLOOKUP($E18,'AEO23 Table 23'!$B$13:$AF$61,AE$1,FALSE)))/VLOOKUP($E18,'AEO23 Table 23'!$B$13:$AF$61,AE$1,FALSE),"")</f>
        <v>1.0309852563752889E-2</v>
      </c>
      <c r="AG18" s="54">
        <f>IFERROR((VLOOKUP($E18,'AEO23 Table 23'!$B$13:$AF$61,AG$1,FALSE)-(VLOOKUP($E18,'AEO23 Table 23'!$B$13:$AF$61,AF$1,FALSE)))/VLOOKUP($E18,'AEO23 Table 23'!$B$13:$AF$61,AF$1,FALSE),"")</f>
        <v>7.6811777032779679E-3</v>
      </c>
      <c r="AH18" s="54">
        <f>IFERROR((VLOOKUP($E18,'AEO23 Table 23'!$B$13:$AF$61,AH$1,FALSE)-(VLOOKUP($E18,'AEO23 Table 23'!$B$13:$AF$61,AG$1,FALSE)))/VLOOKUP($E18,'AEO23 Table 23'!$B$13:$AF$61,AG$1,FALSE),"")</f>
        <v>6.9431434038031209E-3</v>
      </c>
      <c r="AI18" s="54">
        <f>IFERROR((VLOOKUP($E18,'AEO23 Table 23'!$B$13:$AF$61,AI$1,FALSE)-(VLOOKUP($E18,'AEO23 Table 23'!$B$13:$AF$61,AH$1,FALSE)))/VLOOKUP($E18,'AEO23 Table 23'!$B$13:$AF$61,AH$1,FALSE),"")</f>
        <v>8.8785440559078308E-3</v>
      </c>
    </row>
    <row r="19" spans="1:35" x14ac:dyDescent="0.3">
      <c r="A19" s="125" t="s">
        <v>43</v>
      </c>
      <c r="B19" s="49" cm="1">
        <f t="array" ref="B19">SUMPRODUCT(--('BLS Table 2.7'!$O:$O=$A19),'BLS Table 2.7'!L:L,'BLS Table 2.7'!N:N)/SUMIFS('BLS Table 2.7'!L:L,'BLS Table 2.7'!$O:$O,$A19)/100</f>
        <v>6.0000000000000001E-3</v>
      </c>
      <c r="E19" s="1" t="s">
        <v>43</v>
      </c>
      <c r="F19" s="54">
        <f>IFERROR(INDEX('AEO23 Table 23'!$AG$22:$AG$61,MATCH($E19,'AEO23 Table 23'!$B$22:$B$61,0)),"")</f>
        <v>4.8019999999999998E-3</v>
      </c>
      <c r="G19" s="54">
        <f>(INDEX('AEO23 Table 23'!$D$22:$D$61,MATCH('Growth Rates'!E19,'AEO23 Table 23'!$B$22:$B$61,0))-INDEX('AEO22 Table 23'!$D$22:$D$58,MATCH('Growth Rates'!E19,'AEO22 Table 23'!$B$22:$B$58,0)))/INDEX('AEO22 Table 23'!$D$22:$D$58,MATCH('Growth Rates'!E19,'AEO22 Table 23'!$B$22:$B$58,0))</f>
        <v>1.1938163022655464E-2</v>
      </c>
      <c r="H19" s="54">
        <f>IFERROR((VLOOKUP($E19,'AEO23 Table 23'!$B$13:$AF$61,H$1,FALSE)-(VLOOKUP($E19,'AEO23 Table 23'!$B$13:$AF$61,G$1,FALSE)))/VLOOKUP($E19,'AEO23 Table 23'!$B$13:$AF$61,G$1,FALSE),"")</f>
        <v>-1.629357698709125E-2</v>
      </c>
      <c r="I19" s="54">
        <f>IFERROR((VLOOKUP($E19,'AEO23 Table 23'!$B$13:$AF$61,I$1,FALSE)-(VLOOKUP($E19,'AEO23 Table 23'!$B$13:$AF$61,H$1,FALSE)))/VLOOKUP($E19,'AEO23 Table 23'!$B$13:$AF$61,H$1,FALSE),"")</f>
        <v>-1.5440336595079339E-2</v>
      </c>
      <c r="J19" s="54">
        <f>IFERROR((VLOOKUP($E19,'AEO23 Table 23'!$B$13:$AF$61,J$1,FALSE)-(VLOOKUP($E19,'AEO23 Table 23'!$B$13:$AF$61,I$1,FALSE)))/VLOOKUP($E19,'AEO23 Table 23'!$B$13:$AF$61,I$1,FALSE),"")</f>
        <v>2.2674474178665444E-2</v>
      </c>
      <c r="K19" s="54">
        <f>IFERROR((VLOOKUP($E19,'AEO23 Table 23'!$B$13:$AF$61,K$1,FALSE)-(VLOOKUP($E19,'AEO23 Table 23'!$B$13:$AF$61,J$1,FALSE)))/VLOOKUP($E19,'AEO23 Table 23'!$B$13:$AF$61,J$1,FALSE),"")</f>
        <v>4.7757682447737718E-2</v>
      </c>
      <c r="L19" s="54">
        <f>IFERROR((VLOOKUP($E19,'AEO23 Table 23'!$B$13:$AF$61,L$1,FALSE)-(VLOOKUP($E19,'AEO23 Table 23'!$B$13:$AF$61,K$1,FALSE)))/VLOOKUP($E19,'AEO23 Table 23'!$B$13:$AF$61,K$1,FALSE),"")</f>
        <v>2.3640193589343252E-2</v>
      </c>
      <c r="M19" s="54">
        <f>IFERROR((VLOOKUP($E19,'AEO23 Table 23'!$B$13:$AF$61,M$1,FALSE)-(VLOOKUP($E19,'AEO23 Table 23'!$B$13:$AF$61,L$1,FALSE)))/VLOOKUP($E19,'AEO23 Table 23'!$B$13:$AF$61,L$1,FALSE),"")</f>
        <v>5.4910527989095129E-3</v>
      </c>
      <c r="N19" s="54">
        <f>IFERROR((VLOOKUP($E19,'AEO23 Table 23'!$B$13:$AF$61,N$1,FALSE)-(VLOOKUP($E19,'AEO23 Table 23'!$B$13:$AF$61,M$1,FALSE)))/VLOOKUP($E19,'AEO23 Table 23'!$B$13:$AF$61,M$1,FALSE),"")</f>
        <v>4.9106234285111938E-3</v>
      </c>
      <c r="O19" s="54">
        <f>IFERROR((VLOOKUP($E19,'AEO23 Table 23'!$B$13:$AF$61,O$1,FALSE)-(VLOOKUP($E19,'AEO23 Table 23'!$B$13:$AF$61,N$1,FALSE)))/VLOOKUP($E19,'AEO23 Table 23'!$B$13:$AF$61,N$1,FALSE),"")</f>
        <v>-5.4148812749531018E-3</v>
      </c>
      <c r="P19" s="54">
        <f>IFERROR((VLOOKUP($E19,'AEO23 Table 23'!$B$13:$AF$61,P$1,FALSE)-(VLOOKUP($E19,'AEO23 Table 23'!$B$13:$AF$61,O$1,FALSE)))/VLOOKUP($E19,'AEO23 Table 23'!$B$13:$AF$61,O$1,FALSE),"")</f>
        <v>-2.12880366838278E-3</v>
      </c>
      <c r="Q19" s="54">
        <f>IFERROR((VLOOKUP($E19,'AEO23 Table 23'!$B$13:$AF$61,Q$1,FALSE)-(VLOOKUP($E19,'AEO23 Table 23'!$B$13:$AF$61,P$1,FALSE)))/VLOOKUP($E19,'AEO23 Table 23'!$B$13:$AF$61,P$1,FALSE),"")</f>
        <v>1.0072119571338616E-2</v>
      </c>
      <c r="R19" s="54">
        <f>IFERROR((VLOOKUP($E19,'AEO23 Table 23'!$B$13:$AF$61,R$1,FALSE)-(VLOOKUP($E19,'AEO23 Table 23'!$B$13:$AF$61,Q$1,FALSE)))/VLOOKUP($E19,'AEO23 Table 23'!$B$13:$AF$61,Q$1,FALSE),"")</f>
        <v>-3.3362241053404157E-3</v>
      </c>
      <c r="S19" s="54">
        <f>IFERROR((VLOOKUP($E19,'AEO23 Table 23'!$B$13:$AF$61,S$1,FALSE)-(VLOOKUP($E19,'AEO23 Table 23'!$B$13:$AF$61,R$1,FALSE)))/VLOOKUP($E19,'AEO23 Table 23'!$B$13:$AF$61,R$1,FALSE),"")</f>
        <v>-5.9556491137130235E-4</v>
      </c>
      <c r="T19" s="54">
        <f>IFERROR((VLOOKUP($E19,'AEO23 Table 23'!$B$13:$AF$61,T$1,FALSE)-(VLOOKUP($E19,'AEO23 Table 23'!$B$13:$AF$61,S$1,FALSE)))/VLOOKUP($E19,'AEO23 Table 23'!$B$13:$AF$61,S$1,FALSE),"")</f>
        <v>2.9408831416412786E-3</v>
      </c>
      <c r="U19" s="54">
        <f>IFERROR((VLOOKUP($E19,'AEO23 Table 23'!$B$13:$AF$61,U$1,FALSE)-(VLOOKUP($E19,'AEO23 Table 23'!$B$13:$AF$61,T$1,FALSE)))/VLOOKUP($E19,'AEO23 Table 23'!$B$13:$AF$61,T$1,FALSE),"")</f>
        <v>2.6047403437741254E-3</v>
      </c>
      <c r="V19" s="54">
        <f>IFERROR((VLOOKUP($E19,'AEO23 Table 23'!$B$13:$AF$61,V$1,FALSE)-(VLOOKUP($E19,'AEO23 Table 23'!$B$13:$AF$61,U$1,FALSE)))/VLOOKUP($E19,'AEO23 Table 23'!$B$13:$AF$61,U$1,FALSE),"")</f>
        <v>1.1578386866847507E-2</v>
      </c>
      <c r="W19" s="54">
        <f>IFERROR((VLOOKUP($E19,'AEO23 Table 23'!$B$13:$AF$61,W$1,FALSE)-(VLOOKUP($E19,'AEO23 Table 23'!$B$13:$AF$61,V$1,FALSE)))/VLOOKUP($E19,'AEO23 Table 23'!$B$13:$AF$61,V$1,FALSE),"")</f>
        <v>7.0489180745446998E-3</v>
      </c>
      <c r="X19" s="54">
        <f>IFERROR((VLOOKUP($E19,'AEO23 Table 23'!$B$13:$AF$61,X$1,FALSE)-(VLOOKUP($E19,'AEO23 Table 23'!$B$13:$AF$61,W$1,FALSE)))/VLOOKUP($E19,'AEO23 Table 23'!$B$13:$AF$61,W$1,FALSE),"")</f>
        <v>2.0764297459129493E-3</v>
      </c>
      <c r="Y19" s="54">
        <f>IFERROR((VLOOKUP($E19,'AEO23 Table 23'!$B$13:$AF$61,Y$1,FALSE)-(VLOOKUP($E19,'AEO23 Table 23'!$B$13:$AF$61,X$1,FALSE)))/VLOOKUP($E19,'AEO23 Table 23'!$B$13:$AF$61,X$1,FALSE),"")</f>
        <v>4.2376145999325661E-3</v>
      </c>
      <c r="Z19" s="54">
        <f>IFERROR((VLOOKUP($E19,'AEO23 Table 23'!$B$13:$AF$61,Z$1,FALSE)-(VLOOKUP($E19,'AEO23 Table 23'!$B$13:$AF$61,Y$1,FALSE)))/VLOOKUP($E19,'AEO23 Table 23'!$B$13:$AF$61,Y$1,FALSE),"")</f>
        <v>7.4816551704515663E-3</v>
      </c>
      <c r="AA19" s="54">
        <f>IFERROR((VLOOKUP($E19,'AEO23 Table 23'!$B$13:$AF$61,AA$1,FALSE)-(VLOOKUP($E19,'AEO23 Table 23'!$B$13:$AF$61,Z$1,FALSE)))/VLOOKUP($E19,'AEO23 Table 23'!$B$13:$AF$61,Z$1,FALSE),"")</f>
        <v>7.836394702089737E-3</v>
      </c>
      <c r="AB19" s="54">
        <f>IFERROR((VLOOKUP($E19,'AEO23 Table 23'!$B$13:$AF$61,AB$1,FALSE)-(VLOOKUP($E19,'AEO23 Table 23'!$B$13:$AF$61,AA$1,FALSE)))/VLOOKUP($E19,'AEO23 Table 23'!$B$13:$AF$61,AA$1,FALSE),"")</f>
        <v>3.0573665751774267E-3</v>
      </c>
      <c r="AC19" s="54">
        <f>IFERROR((VLOOKUP($E19,'AEO23 Table 23'!$B$13:$AF$61,AC$1,FALSE)-(VLOOKUP($E19,'AEO23 Table 23'!$B$13:$AF$61,AB$1,FALSE)))/VLOOKUP($E19,'AEO23 Table 23'!$B$13:$AF$61,AB$1,FALSE),"")</f>
        <v>1.6140983352899905E-4</v>
      </c>
      <c r="AD19" s="54">
        <f>IFERROR((VLOOKUP($E19,'AEO23 Table 23'!$B$13:$AF$61,AD$1,FALSE)-(VLOOKUP($E19,'AEO23 Table 23'!$B$13:$AF$61,AC$1,FALSE)))/VLOOKUP($E19,'AEO23 Table 23'!$B$13:$AF$61,AC$1,FALSE),"")</f>
        <v>-2.2432142937466111E-3</v>
      </c>
      <c r="AE19" s="54">
        <f>IFERROR((VLOOKUP($E19,'AEO23 Table 23'!$B$13:$AF$61,AE$1,FALSE)-(VLOOKUP($E19,'AEO23 Table 23'!$B$13:$AF$61,AD$1,FALSE)))/VLOOKUP($E19,'AEO23 Table 23'!$B$13:$AF$61,AD$1,FALSE),"")</f>
        <v>1.5199801543267788E-3</v>
      </c>
      <c r="AF19" s="54">
        <f>IFERROR((VLOOKUP($E19,'AEO23 Table 23'!$B$13:$AF$61,AF$1,FALSE)-(VLOOKUP($E19,'AEO23 Table 23'!$B$13:$AF$61,AE$1,FALSE)))/VLOOKUP($E19,'AEO23 Table 23'!$B$13:$AF$61,AE$1,FALSE),"")</f>
        <v>4.5660502401647599E-3</v>
      </c>
      <c r="AG19" s="54">
        <f>IFERROR((VLOOKUP($E19,'AEO23 Table 23'!$B$13:$AF$61,AG$1,FALSE)-(VLOOKUP($E19,'AEO23 Table 23'!$B$13:$AF$61,AF$1,FALSE)))/VLOOKUP($E19,'AEO23 Table 23'!$B$13:$AF$61,AF$1,FALSE),"")</f>
        <v>6.5360419761895279E-4</v>
      </c>
      <c r="AH19" s="54">
        <f>IFERROR((VLOOKUP($E19,'AEO23 Table 23'!$B$13:$AF$61,AH$1,FALSE)-(VLOOKUP($E19,'AEO23 Table 23'!$B$13:$AF$61,AG$1,FALSE)))/VLOOKUP($E19,'AEO23 Table 23'!$B$13:$AF$61,AG$1,FALSE),"")</f>
        <v>1.3707211838172191E-3</v>
      </c>
      <c r="AI19" s="54">
        <f>IFERROR((VLOOKUP($E19,'AEO23 Table 23'!$B$13:$AF$61,AI$1,FALSE)-(VLOOKUP($E19,'AEO23 Table 23'!$B$13:$AF$61,AH$1,FALSE)))/VLOOKUP($E19,'AEO23 Table 23'!$B$13:$AF$61,AH$1,FALSE),"")</f>
        <v>1.0141856585633437E-2</v>
      </c>
    </row>
    <row r="20" spans="1:35" x14ac:dyDescent="0.3">
      <c r="A20" s="125" t="s">
        <v>44</v>
      </c>
      <c r="B20" s="49" cm="1">
        <f t="array" ref="B20">SUMPRODUCT(--('BLS Table 2.7'!$O:$O=$A20),'BLS Table 2.7'!L:L,'BLS Table 2.7'!N:N)/SUMIFS('BLS Table 2.7'!L:L,'BLS Table 2.7'!$O:$O,$A20)/100</f>
        <v>1.032686711930165E-2</v>
      </c>
      <c r="E20" s="1" t="s">
        <v>44</v>
      </c>
      <c r="F20" s="54">
        <f>IFERROR(INDEX('AEO23 Table 23'!$AG$22:$AG$61,MATCH($E20,'AEO23 Table 23'!$B$22:$B$61,0)),"")</f>
        <v>1.1115999999999999E-2</v>
      </c>
      <c r="G20" s="54">
        <f>(INDEX('AEO23 Table 23'!$D$22:$D$61,MATCH('Growth Rates'!E20,'AEO23 Table 23'!$B$22:$B$61,0))-INDEX('AEO22 Table 23'!$D$22:$D$58,MATCH('Growth Rates'!E20,'AEO22 Table 23'!$B$22:$B$58,0)))/INDEX('AEO22 Table 23'!$D$22:$D$58,MATCH('Growth Rates'!E20,'AEO22 Table 23'!$B$22:$B$58,0))</f>
        <v>3.9616360601994943E-2</v>
      </c>
      <c r="H20" s="54">
        <f>IFERROR((VLOOKUP($E20,'AEO23 Table 23'!$B$13:$AF$61,H$1,FALSE)-(VLOOKUP($E20,'AEO23 Table 23'!$B$13:$AF$61,G$1,FALSE)))/VLOOKUP($E20,'AEO23 Table 23'!$B$13:$AF$61,G$1,FALSE),"")</f>
        <v>-1.2242673765369057E-2</v>
      </c>
      <c r="I20" s="54">
        <f>IFERROR((VLOOKUP($E20,'AEO23 Table 23'!$B$13:$AF$61,I$1,FALSE)-(VLOOKUP($E20,'AEO23 Table 23'!$B$13:$AF$61,H$1,FALSE)))/VLOOKUP($E20,'AEO23 Table 23'!$B$13:$AF$61,H$1,FALSE),"")</f>
        <v>6.0433727469830934E-3</v>
      </c>
      <c r="J20" s="54">
        <f>IFERROR((VLOOKUP($E20,'AEO23 Table 23'!$B$13:$AF$61,J$1,FALSE)-(VLOOKUP($E20,'AEO23 Table 23'!$B$13:$AF$61,I$1,FALSE)))/VLOOKUP($E20,'AEO23 Table 23'!$B$13:$AF$61,I$1,FALSE),"")</f>
        <v>2.9090594121675136E-2</v>
      </c>
      <c r="K20" s="54">
        <f>IFERROR((VLOOKUP($E20,'AEO23 Table 23'!$B$13:$AF$61,K$1,FALSE)-(VLOOKUP($E20,'AEO23 Table 23'!$B$13:$AF$61,J$1,FALSE)))/VLOOKUP($E20,'AEO23 Table 23'!$B$13:$AF$61,J$1,FALSE),"")</f>
        <v>3.2957149156391835E-2</v>
      </c>
      <c r="L20" s="54">
        <f>IFERROR((VLOOKUP($E20,'AEO23 Table 23'!$B$13:$AF$61,L$1,FALSE)-(VLOOKUP($E20,'AEO23 Table 23'!$B$13:$AF$61,K$1,FALSE)))/VLOOKUP($E20,'AEO23 Table 23'!$B$13:$AF$61,K$1,FALSE),"")</f>
        <v>2.1340388159261221E-2</v>
      </c>
      <c r="M20" s="54">
        <f>IFERROR((VLOOKUP($E20,'AEO23 Table 23'!$B$13:$AF$61,M$1,FALSE)-(VLOOKUP($E20,'AEO23 Table 23'!$B$13:$AF$61,L$1,FALSE)))/VLOOKUP($E20,'AEO23 Table 23'!$B$13:$AF$61,L$1,FALSE),"")</f>
        <v>1.4495421224915706E-2</v>
      </c>
      <c r="N20" s="54">
        <f>IFERROR((VLOOKUP($E20,'AEO23 Table 23'!$B$13:$AF$61,N$1,FALSE)-(VLOOKUP($E20,'AEO23 Table 23'!$B$13:$AF$61,M$1,FALSE)))/VLOOKUP($E20,'AEO23 Table 23'!$B$13:$AF$61,M$1,FALSE),"")</f>
        <v>7.7874336700785342E-3</v>
      </c>
      <c r="O20" s="54">
        <f>IFERROR((VLOOKUP($E20,'AEO23 Table 23'!$B$13:$AF$61,O$1,FALSE)-(VLOOKUP($E20,'AEO23 Table 23'!$B$13:$AF$61,N$1,FALSE)))/VLOOKUP($E20,'AEO23 Table 23'!$B$13:$AF$61,N$1,FALSE),"")</f>
        <v>2.4867312653419466E-3</v>
      </c>
      <c r="P20" s="54">
        <f>IFERROR((VLOOKUP($E20,'AEO23 Table 23'!$B$13:$AF$61,P$1,FALSE)-(VLOOKUP($E20,'AEO23 Table 23'!$B$13:$AF$61,O$1,FALSE)))/VLOOKUP($E20,'AEO23 Table 23'!$B$13:$AF$61,O$1,FALSE),"")</f>
        <v>4.1256683205506753E-3</v>
      </c>
      <c r="Q20" s="54">
        <f>IFERROR((VLOOKUP($E20,'AEO23 Table 23'!$B$13:$AF$61,Q$1,FALSE)-(VLOOKUP($E20,'AEO23 Table 23'!$B$13:$AF$61,P$1,FALSE)))/VLOOKUP($E20,'AEO23 Table 23'!$B$13:$AF$61,P$1,FALSE),"")</f>
        <v>5.6602848848284777E-3</v>
      </c>
      <c r="R20" s="54">
        <f>IFERROR((VLOOKUP($E20,'AEO23 Table 23'!$B$13:$AF$61,R$1,FALSE)-(VLOOKUP($E20,'AEO23 Table 23'!$B$13:$AF$61,Q$1,FALSE)))/VLOOKUP($E20,'AEO23 Table 23'!$B$13:$AF$61,Q$1,FALSE),"")</f>
        <v>8.8489399961008495E-3</v>
      </c>
      <c r="S20" s="54">
        <f>IFERROR((VLOOKUP($E20,'AEO23 Table 23'!$B$13:$AF$61,S$1,FALSE)-(VLOOKUP($E20,'AEO23 Table 23'!$B$13:$AF$61,R$1,FALSE)))/VLOOKUP($E20,'AEO23 Table 23'!$B$13:$AF$61,R$1,FALSE),"")</f>
        <v>1.2837218582559084E-2</v>
      </c>
      <c r="T20" s="54">
        <f>IFERROR((VLOOKUP($E20,'AEO23 Table 23'!$B$13:$AF$61,T$1,FALSE)-(VLOOKUP($E20,'AEO23 Table 23'!$B$13:$AF$61,S$1,FALSE)))/VLOOKUP($E20,'AEO23 Table 23'!$B$13:$AF$61,S$1,FALSE),"")</f>
        <v>1.313277990202605E-2</v>
      </c>
      <c r="U20" s="54">
        <f>IFERROR((VLOOKUP($E20,'AEO23 Table 23'!$B$13:$AF$61,U$1,FALSE)-(VLOOKUP($E20,'AEO23 Table 23'!$B$13:$AF$61,T$1,FALSE)))/VLOOKUP($E20,'AEO23 Table 23'!$B$13:$AF$61,T$1,FALSE),"")</f>
        <v>9.287458469830305E-3</v>
      </c>
      <c r="V20" s="54">
        <f>IFERROR((VLOOKUP($E20,'AEO23 Table 23'!$B$13:$AF$61,V$1,FALSE)-(VLOOKUP($E20,'AEO23 Table 23'!$B$13:$AF$61,U$1,FALSE)))/VLOOKUP($E20,'AEO23 Table 23'!$B$13:$AF$61,U$1,FALSE),"")</f>
        <v>1.1269632388797459E-2</v>
      </c>
      <c r="W20" s="54">
        <f>IFERROR((VLOOKUP($E20,'AEO23 Table 23'!$B$13:$AF$61,W$1,FALSE)-(VLOOKUP($E20,'AEO23 Table 23'!$B$13:$AF$61,V$1,FALSE)))/VLOOKUP($E20,'AEO23 Table 23'!$B$13:$AF$61,V$1,FALSE),"")</f>
        <v>1.1054863988625646E-2</v>
      </c>
      <c r="X20" s="54">
        <f>IFERROR((VLOOKUP($E20,'AEO23 Table 23'!$B$13:$AF$61,X$1,FALSE)-(VLOOKUP($E20,'AEO23 Table 23'!$B$13:$AF$61,W$1,FALSE)))/VLOOKUP($E20,'AEO23 Table 23'!$B$13:$AF$61,W$1,FALSE),"")</f>
        <v>1.2019037978518702E-2</v>
      </c>
      <c r="Y20" s="54">
        <f>IFERROR((VLOOKUP($E20,'AEO23 Table 23'!$B$13:$AF$61,Y$1,FALSE)-(VLOOKUP($E20,'AEO23 Table 23'!$B$13:$AF$61,X$1,FALSE)))/VLOOKUP($E20,'AEO23 Table 23'!$B$13:$AF$61,X$1,FALSE),"")</f>
        <v>7.4329714523728076E-3</v>
      </c>
      <c r="Z20" s="54">
        <f>IFERROR((VLOOKUP($E20,'AEO23 Table 23'!$B$13:$AF$61,Z$1,FALSE)-(VLOOKUP($E20,'AEO23 Table 23'!$B$13:$AF$61,Y$1,FALSE)))/VLOOKUP($E20,'AEO23 Table 23'!$B$13:$AF$61,Y$1,FALSE),"")</f>
        <v>1.2572081534613436E-2</v>
      </c>
      <c r="AA20" s="54">
        <f>IFERROR((VLOOKUP($E20,'AEO23 Table 23'!$B$13:$AF$61,AA$1,FALSE)-(VLOOKUP($E20,'AEO23 Table 23'!$B$13:$AF$61,Z$1,FALSE)))/VLOOKUP($E20,'AEO23 Table 23'!$B$13:$AF$61,Z$1,FALSE),"")</f>
        <v>1.5859653506696481E-2</v>
      </c>
      <c r="AB20" s="54">
        <f>IFERROR((VLOOKUP($E20,'AEO23 Table 23'!$B$13:$AF$61,AB$1,FALSE)-(VLOOKUP($E20,'AEO23 Table 23'!$B$13:$AF$61,AA$1,FALSE)))/VLOOKUP($E20,'AEO23 Table 23'!$B$13:$AF$61,AA$1,FALSE),"")</f>
        <v>1.138850202530115E-2</v>
      </c>
      <c r="AC20" s="54">
        <f>IFERROR((VLOOKUP($E20,'AEO23 Table 23'!$B$13:$AF$61,AC$1,FALSE)-(VLOOKUP($E20,'AEO23 Table 23'!$B$13:$AF$61,AB$1,FALSE)))/VLOOKUP($E20,'AEO23 Table 23'!$B$13:$AF$61,AB$1,FALSE),"")</f>
        <v>7.2910381629697034E-3</v>
      </c>
      <c r="AD20" s="54">
        <f>IFERROR((VLOOKUP($E20,'AEO23 Table 23'!$B$13:$AF$61,AD$1,FALSE)-(VLOOKUP($E20,'AEO23 Table 23'!$B$13:$AF$61,AC$1,FALSE)))/VLOOKUP($E20,'AEO23 Table 23'!$B$13:$AF$61,AC$1,FALSE),"")</f>
        <v>1.2786832263586526E-2</v>
      </c>
      <c r="AE20" s="54">
        <f>IFERROR((VLOOKUP($E20,'AEO23 Table 23'!$B$13:$AF$61,AE$1,FALSE)-(VLOOKUP($E20,'AEO23 Table 23'!$B$13:$AF$61,AD$1,FALSE)))/VLOOKUP($E20,'AEO23 Table 23'!$B$13:$AF$61,AD$1,FALSE),"")</f>
        <v>1.5111133502160728E-2</v>
      </c>
      <c r="AF20" s="54">
        <f>IFERROR((VLOOKUP($E20,'AEO23 Table 23'!$B$13:$AF$61,AF$1,FALSE)-(VLOOKUP($E20,'AEO23 Table 23'!$B$13:$AF$61,AE$1,FALSE)))/VLOOKUP($E20,'AEO23 Table 23'!$B$13:$AF$61,AE$1,FALSE),"")</f>
        <v>1.2640549435436745E-2</v>
      </c>
      <c r="AG20" s="54">
        <f>IFERROR((VLOOKUP($E20,'AEO23 Table 23'!$B$13:$AF$61,AG$1,FALSE)-(VLOOKUP($E20,'AEO23 Table 23'!$B$13:$AF$61,AF$1,FALSE)))/VLOOKUP($E20,'AEO23 Table 23'!$B$13:$AF$61,AF$1,FALSE),"")</f>
        <v>4.165977696765636E-3</v>
      </c>
      <c r="AH20" s="54">
        <f>IFERROR((VLOOKUP($E20,'AEO23 Table 23'!$B$13:$AF$61,AH$1,FALSE)-(VLOOKUP($E20,'AEO23 Table 23'!$B$13:$AF$61,AG$1,FALSE)))/VLOOKUP($E20,'AEO23 Table 23'!$B$13:$AF$61,AG$1,FALSE),"")</f>
        <v>7.629769784478678E-3</v>
      </c>
      <c r="AI20" s="54">
        <f>IFERROR((VLOOKUP($E20,'AEO23 Table 23'!$B$13:$AF$61,AI$1,FALSE)-(VLOOKUP($E20,'AEO23 Table 23'!$B$13:$AF$61,AH$1,FALSE)))/VLOOKUP($E20,'AEO23 Table 23'!$B$13:$AF$61,AH$1,FALSE),"")</f>
        <v>1.5067396005401473E-2</v>
      </c>
    </row>
    <row r="21" spans="1:35" x14ac:dyDescent="0.3">
      <c r="A21" s="125" t="s">
        <v>11</v>
      </c>
      <c r="B21" s="49" cm="1">
        <f t="array" ref="B21">SUMPRODUCT(--('BLS Table 2.7'!$O:$O=$A21),'BLS Table 2.7'!L:L,'BLS Table 2.7'!N:N)/SUMIFS('BLS Table 2.7'!L:L,'BLS Table 2.7'!$O:$O,$A21)/100</f>
        <v>1.1000000000000001E-2</v>
      </c>
      <c r="E21" s="1" t="s">
        <v>11</v>
      </c>
      <c r="F21" s="54">
        <f>IFERROR(INDEX('AEO23 Table 23'!$AG$22:$AG$61,MATCH($E21,'AEO23 Table 23'!$B$22:$B$61,0)),"")</f>
        <v>1.2756E-2</v>
      </c>
      <c r="G21" s="54">
        <f>(INDEX('AEO23 Table 23'!$D$22:$D$61,MATCH('Growth Rates'!E21,'AEO23 Table 23'!$B$22:$B$61,0))-INDEX('AEO22 Table 23'!$D$22:$D$58,MATCH('Growth Rates'!E21,'AEO22 Table 23'!$B$22:$B$58,0)))/INDEX('AEO22 Table 23'!$D$22:$D$58,MATCH('Growth Rates'!E21,'AEO22 Table 23'!$B$22:$B$58,0))</f>
        <v>1.320816146959519E-2</v>
      </c>
      <c r="H21" s="54">
        <f>IFERROR((VLOOKUP($E21,'AEO23 Table 23'!$B$13:$AF$61,H$1,FALSE)-(VLOOKUP($E21,'AEO23 Table 23'!$B$13:$AF$61,G$1,FALSE)))/VLOOKUP($E21,'AEO23 Table 23'!$B$13:$AF$61,G$1,FALSE),"")</f>
        <v>-1.9358653113518778E-2</v>
      </c>
      <c r="I21" s="54">
        <f>IFERROR((VLOOKUP($E21,'AEO23 Table 23'!$B$13:$AF$61,I$1,FALSE)-(VLOOKUP($E21,'AEO23 Table 23'!$B$13:$AF$61,H$1,FALSE)))/VLOOKUP($E21,'AEO23 Table 23'!$B$13:$AF$61,H$1,FALSE),"")</f>
        <v>-7.3700972598804556E-3</v>
      </c>
      <c r="J21" s="54">
        <f>IFERROR((VLOOKUP($E21,'AEO23 Table 23'!$B$13:$AF$61,J$1,FALSE)-(VLOOKUP($E21,'AEO23 Table 23'!$B$13:$AF$61,I$1,FALSE)))/VLOOKUP($E21,'AEO23 Table 23'!$B$13:$AF$61,I$1,FALSE),"")</f>
        <v>1.8394084077638134E-2</v>
      </c>
      <c r="K21" s="54">
        <f>IFERROR((VLOOKUP($E21,'AEO23 Table 23'!$B$13:$AF$61,K$1,FALSE)-(VLOOKUP($E21,'AEO23 Table 23'!$B$13:$AF$61,J$1,FALSE)))/VLOOKUP($E21,'AEO23 Table 23'!$B$13:$AF$61,J$1,FALSE),"")</f>
        <v>3.298515318239529E-2</v>
      </c>
      <c r="L21" s="54">
        <f>IFERROR((VLOOKUP($E21,'AEO23 Table 23'!$B$13:$AF$61,L$1,FALSE)-(VLOOKUP($E21,'AEO23 Table 23'!$B$13:$AF$61,K$1,FALSE)))/VLOOKUP($E21,'AEO23 Table 23'!$B$13:$AF$61,K$1,FALSE),"")</f>
        <v>2.695993813019084E-2</v>
      </c>
      <c r="M21" s="54">
        <f>IFERROR((VLOOKUP($E21,'AEO23 Table 23'!$B$13:$AF$61,M$1,FALSE)-(VLOOKUP($E21,'AEO23 Table 23'!$B$13:$AF$61,L$1,FALSE)))/VLOOKUP($E21,'AEO23 Table 23'!$B$13:$AF$61,L$1,FALSE),"")</f>
        <v>1.5362876089495679E-2</v>
      </c>
      <c r="N21" s="54">
        <f>IFERROR((VLOOKUP($E21,'AEO23 Table 23'!$B$13:$AF$61,N$1,FALSE)-(VLOOKUP($E21,'AEO23 Table 23'!$B$13:$AF$61,M$1,FALSE)))/VLOOKUP($E21,'AEO23 Table 23'!$B$13:$AF$61,M$1,FALSE),"")</f>
        <v>1.1581834473660476E-2</v>
      </c>
      <c r="O21" s="54">
        <f>IFERROR((VLOOKUP($E21,'AEO23 Table 23'!$B$13:$AF$61,O$1,FALSE)-(VLOOKUP($E21,'AEO23 Table 23'!$B$13:$AF$61,N$1,FALSE)))/VLOOKUP($E21,'AEO23 Table 23'!$B$13:$AF$61,N$1,FALSE),"")</f>
        <v>7.0966833110068508E-3</v>
      </c>
      <c r="P21" s="54">
        <f>IFERROR((VLOOKUP($E21,'AEO23 Table 23'!$B$13:$AF$61,P$1,FALSE)-(VLOOKUP($E21,'AEO23 Table 23'!$B$13:$AF$61,O$1,FALSE)))/VLOOKUP($E21,'AEO23 Table 23'!$B$13:$AF$61,O$1,FALSE),"")</f>
        <v>1.0494261789528191E-2</v>
      </c>
      <c r="Q21" s="54">
        <f>IFERROR((VLOOKUP($E21,'AEO23 Table 23'!$B$13:$AF$61,Q$1,FALSE)-(VLOOKUP($E21,'AEO23 Table 23'!$B$13:$AF$61,P$1,FALSE)))/VLOOKUP($E21,'AEO23 Table 23'!$B$13:$AF$61,P$1,FALSE),"")</f>
        <v>2.1302613224386275E-2</v>
      </c>
      <c r="R21" s="54">
        <f>IFERROR((VLOOKUP($E21,'AEO23 Table 23'!$B$13:$AF$61,R$1,FALSE)-(VLOOKUP($E21,'AEO23 Table 23'!$B$13:$AF$61,Q$1,FALSE)))/VLOOKUP($E21,'AEO23 Table 23'!$B$13:$AF$61,Q$1,FALSE),"")</f>
        <v>1.783286716021338E-2</v>
      </c>
      <c r="S21" s="54">
        <f>IFERROR((VLOOKUP($E21,'AEO23 Table 23'!$B$13:$AF$61,S$1,FALSE)-(VLOOKUP($E21,'AEO23 Table 23'!$B$13:$AF$61,R$1,FALSE)))/VLOOKUP($E21,'AEO23 Table 23'!$B$13:$AF$61,R$1,FALSE),"")</f>
        <v>1.4539965263129725E-2</v>
      </c>
      <c r="T21" s="54">
        <f>IFERROR((VLOOKUP($E21,'AEO23 Table 23'!$B$13:$AF$61,T$1,FALSE)-(VLOOKUP($E21,'AEO23 Table 23'!$B$13:$AF$61,S$1,FALSE)))/VLOOKUP($E21,'AEO23 Table 23'!$B$13:$AF$61,S$1,FALSE),"")</f>
        <v>1.921959365351943E-2</v>
      </c>
      <c r="U21" s="54">
        <f>IFERROR((VLOOKUP($E21,'AEO23 Table 23'!$B$13:$AF$61,U$1,FALSE)-(VLOOKUP($E21,'AEO23 Table 23'!$B$13:$AF$61,T$1,FALSE)))/VLOOKUP($E21,'AEO23 Table 23'!$B$13:$AF$61,T$1,FALSE),"")</f>
        <v>2.0622300597723298E-2</v>
      </c>
      <c r="V21" s="54">
        <f>IFERROR((VLOOKUP($E21,'AEO23 Table 23'!$B$13:$AF$61,V$1,FALSE)-(VLOOKUP($E21,'AEO23 Table 23'!$B$13:$AF$61,U$1,FALSE)))/VLOOKUP($E21,'AEO23 Table 23'!$B$13:$AF$61,U$1,FALSE),"")</f>
        <v>2.2109868413097939E-2</v>
      </c>
      <c r="W21" s="54">
        <f>IFERROR((VLOOKUP($E21,'AEO23 Table 23'!$B$13:$AF$61,W$1,FALSE)-(VLOOKUP($E21,'AEO23 Table 23'!$B$13:$AF$61,V$1,FALSE)))/VLOOKUP($E21,'AEO23 Table 23'!$B$13:$AF$61,V$1,FALSE),"")</f>
        <v>2.2104785720884052E-2</v>
      </c>
      <c r="X21" s="54">
        <f>IFERROR((VLOOKUP($E21,'AEO23 Table 23'!$B$13:$AF$61,X$1,FALSE)-(VLOOKUP($E21,'AEO23 Table 23'!$B$13:$AF$61,W$1,FALSE)))/VLOOKUP($E21,'AEO23 Table 23'!$B$13:$AF$61,W$1,FALSE),"")</f>
        <v>1.593012434526735E-2</v>
      </c>
      <c r="Y21" s="54">
        <f>IFERROR((VLOOKUP($E21,'AEO23 Table 23'!$B$13:$AF$61,Y$1,FALSE)-(VLOOKUP($E21,'AEO23 Table 23'!$B$13:$AF$61,X$1,FALSE)))/VLOOKUP($E21,'AEO23 Table 23'!$B$13:$AF$61,X$1,FALSE),"")</f>
        <v>1.4950269061403086E-2</v>
      </c>
      <c r="Z21" s="54">
        <f>IFERROR((VLOOKUP($E21,'AEO23 Table 23'!$B$13:$AF$61,Z$1,FALSE)-(VLOOKUP($E21,'AEO23 Table 23'!$B$13:$AF$61,Y$1,FALSE)))/VLOOKUP($E21,'AEO23 Table 23'!$B$13:$AF$61,Y$1,FALSE),"")</f>
        <v>1.9251571145914116E-2</v>
      </c>
      <c r="AA21" s="54">
        <f>IFERROR((VLOOKUP($E21,'AEO23 Table 23'!$B$13:$AF$61,AA$1,FALSE)-(VLOOKUP($E21,'AEO23 Table 23'!$B$13:$AF$61,Z$1,FALSE)))/VLOOKUP($E21,'AEO23 Table 23'!$B$13:$AF$61,Z$1,FALSE),"")</f>
        <v>1.5939494212709033E-2</v>
      </c>
      <c r="AB21" s="54">
        <f>IFERROR((VLOOKUP($E21,'AEO23 Table 23'!$B$13:$AF$61,AB$1,FALSE)-(VLOOKUP($E21,'AEO23 Table 23'!$B$13:$AF$61,AA$1,FALSE)))/VLOOKUP($E21,'AEO23 Table 23'!$B$13:$AF$61,AA$1,FALSE),"")</f>
        <v>1.3139005092617484E-2</v>
      </c>
      <c r="AC21" s="54">
        <f>IFERROR((VLOOKUP($E21,'AEO23 Table 23'!$B$13:$AF$61,AC$1,FALSE)-(VLOOKUP($E21,'AEO23 Table 23'!$B$13:$AF$61,AB$1,FALSE)))/VLOOKUP($E21,'AEO23 Table 23'!$B$13:$AF$61,AB$1,FALSE),"")</f>
        <v>8.421079660949184E-3</v>
      </c>
      <c r="AD21" s="54">
        <f>IFERROR((VLOOKUP($E21,'AEO23 Table 23'!$B$13:$AF$61,AD$1,FALSE)-(VLOOKUP($E21,'AEO23 Table 23'!$B$13:$AF$61,AC$1,FALSE)))/VLOOKUP($E21,'AEO23 Table 23'!$B$13:$AF$61,AC$1,FALSE),"")</f>
        <v>4.3730308744696477E-3</v>
      </c>
      <c r="AE21" s="54">
        <f>IFERROR((VLOOKUP($E21,'AEO23 Table 23'!$B$13:$AF$61,AE$1,FALSE)-(VLOOKUP($E21,'AEO23 Table 23'!$B$13:$AF$61,AD$1,FALSE)))/VLOOKUP($E21,'AEO23 Table 23'!$B$13:$AF$61,AD$1,FALSE),"")</f>
        <v>5.1311816787973988E-3</v>
      </c>
      <c r="AF21" s="54">
        <f>IFERROR((VLOOKUP($E21,'AEO23 Table 23'!$B$13:$AF$61,AF$1,FALSE)-(VLOOKUP($E21,'AEO23 Table 23'!$B$13:$AF$61,AE$1,FALSE)))/VLOOKUP($E21,'AEO23 Table 23'!$B$13:$AF$61,AE$1,FALSE),"")</f>
        <v>8.5044751970502555E-3</v>
      </c>
      <c r="AG21" s="54">
        <f>IFERROR((VLOOKUP($E21,'AEO23 Table 23'!$B$13:$AF$61,AG$1,FALSE)-(VLOOKUP($E21,'AEO23 Table 23'!$B$13:$AF$61,AF$1,FALSE)))/VLOOKUP($E21,'AEO23 Table 23'!$B$13:$AF$61,AF$1,FALSE),"")</f>
        <v>4.0364073788977904E-3</v>
      </c>
      <c r="AH21" s="54">
        <f>IFERROR((VLOOKUP($E21,'AEO23 Table 23'!$B$13:$AF$61,AH$1,FALSE)-(VLOOKUP($E21,'AEO23 Table 23'!$B$13:$AF$61,AG$1,FALSE)))/VLOOKUP($E21,'AEO23 Table 23'!$B$13:$AF$61,AG$1,FALSE),"")</f>
        <v>8.2516415972271593E-4</v>
      </c>
      <c r="AI21" s="54">
        <f>IFERROR((VLOOKUP($E21,'AEO23 Table 23'!$B$13:$AF$61,AI$1,FALSE)-(VLOOKUP($E21,'AEO23 Table 23'!$B$13:$AF$61,AH$1,FALSE)))/VLOOKUP($E21,'AEO23 Table 23'!$B$13:$AF$61,AH$1,FALSE),"")</f>
        <v>1.4245792065931221E-2</v>
      </c>
    </row>
    <row r="22" spans="1:35" x14ac:dyDescent="0.3">
      <c r="A22" s="125" t="s">
        <v>12</v>
      </c>
      <c r="B22" s="49" cm="1">
        <f t="array" ref="B22">SUMPRODUCT(--('BLS Table 2.7'!$O:$O=$A22),'BLS Table 2.7'!L:L,'BLS Table 2.7'!N:N)/SUMIFS('BLS Table 2.7'!L:L,'BLS Table 2.7'!$O:$O,$A22)/100</f>
        <v>1.6E-2</v>
      </c>
      <c r="E22" s="1" t="s">
        <v>12</v>
      </c>
      <c r="F22" s="54">
        <f>IFERROR(INDEX('AEO23 Table 23'!$AG$22:$AG$61,MATCH($E22,'AEO23 Table 23'!$B$22:$B$61,0)),"")</f>
        <v>2.4375999999999998E-2</v>
      </c>
      <c r="G22" s="54">
        <f>(INDEX('AEO23 Table 23'!$D$22:$D$61,MATCH('Growth Rates'!E22,'AEO23 Table 23'!$B$22:$B$61,0))-INDEX('AEO22 Table 23'!$D$22:$D$58,MATCH('Growth Rates'!E22,'AEO22 Table 23'!$B$22:$B$58,0)))/INDEX('AEO22 Table 23'!$D$22:$D$58,MATCH('Growth Rates'!E22,'AEO22 Table 23'!$B$22:$B$58,0))</f>
        <v>5.284200495128958E-2</v>
      </c>
      <c r="H22" s="54">
        <f>IFERROR((VLOOKUP($E22,'AEO23 Table 23'!$B$13:$AF$61,H$1,FALSE)-(VLOOKUP($E22,'AEO23 Table 23'!$B$13:$AF$61,G$1,FALSE)))/VLOOKUP($E22,'AEO23 Table 23'!$B$13:$AF$61,G$1,FALSE),"")</f>
        <v>1.9620955270165E-2</v>
      </c>
      <c r="I22" s="54">
        <f>IFERROR((VLOOKUP($E22,'AEO23 Table 23'!$B$13:$AF$61,I$1,FALSE)-(VLOOKUP($E22,'AEO23 Table 23'!$B$13:$AF$61,H$1,FALSE)))/VLOOKUP($E22,'AEO23 Table 23'!$B$13:$AF$61,H$1,FALSE),"")</f>
        <v>3.1824681139183422E-2</v>
      </c>
      <c r="J22" s="54">
        <f>IFERROR((VLOOKUP($E22,'AEO23 Table 23'!$B$13:$AF$61,J$1,FALSE)-(VLOOKUP($E22,'AEO23 Table 23'!$B$13:$AF$61,I$1,FALSE)))/VLOOKUP($E22,'AEO23 Table 23'!$B$13:$AF$61,I$1,FALSE),"")</f>
        <v>3.9235579517610794E-2</v>
      </c>
      <c r="K22" s="54">
        <f>IFERROR((VLOOKUP($E22,'AEO23 Table 23'!$B$13:$AF$61,K$1,FALSE)-(VLOOKUP($E22,'AEO23 Table 23'!$B$13:$AF$61,J$1,FALSE)))/VLOOKUP($E22,'AEO23 Table 23'!$B$13:$AF$61,J$1,FALSE),"")</f>
        <v>4.2408415046822065E-2</v>
      </c>
      <c r="L22" s="54">
        <f>IFERROR((VLOOKUP($E22,'AEO23 Table 23'!$B$13:$AF$61,L$1,FALSE)-(VLOOKUP($E22,'AEO23 Table 23'!$B$13:$AF$61,K$1,FALSE)))/VLOOKUP($E22,'AEO23 Table 23'!$B$13:$AF$61,K$1,FALSE),"")</f>
        <v>3.4834472333706887E-2</v>
      </c>
      <c r="M22" s="54">
        <f>IFERROR((VLOOKUP($E22,'AEO23 Table 23'!$B$13:$AF$61,M$1,FALSE)-(VLOOKUP($E22,'AEO23 Table 23'!$B$13:$AF$61,L$1,FALSE)))/VLOOKUP($E22,'AEO23 Table 23'!$B$13:$AF$61,L$1,FALSE),"")</f>
        <v>2.8984244209799583E-2</v>
      </c>
      <c r="N22" s="54">
        <f>IFERROR((VLOOKUP($E22,'AEO23 Table 23'!$B$13:$AF$61,N$1,FALSE)-(VLOOKUP($E22,'AEO23 Table 23'!$B$13:$AF$61,M$1,FALSE)))/VLOOKUP($E22,'AEO23 Table 23'!$B$13:$AF$61,M$1,FALSE),"")</f>
        <v>2.1218979650825039E-2</v>
      </c>
      <c r="O22" s="54">
        <f>IFERROR((VLOOKUP($E22,'AEO23 Table 23'!$B$13:$AF$61,O$1,FALSE)-(VLOOKUP($E22,'AEO23 Table 23'!$B$13:$AF$61,N$1,FALSE)))/VLOOKUP($E22,'AEO23 Table 23'!$B$13:$AF$61,N$1,FALSE),"")</f>
        <v>1.5338104039926177E-2</v>
      </c>
      <c r="P22" s="54">
        <f>IFERROR((VLOOKUP($E22,'AEO23 Table 23'!$B$13:$AF$61,P$1,FALSE)-(VLOOKUP($E22,'AEO23 Table 23'!$B$13:$AF$61,O$1,FALSE)))/VLOOKUP($E22,'AEO23 Table 23'!$B$13:$AF$61,O$1,FALSE),"")</f>
        <v>1.7868140921219512E-2</v>
      </c>
      <c r="Q22" s="54">
        <f>IFERROR((VLOOKUP($E22,'AEO23 Table 23'!$B$13:$AF$61,Q$1,FALSE)-(VLOOKUP($E22,'AEO23 Table 23'!$B$13:$AF$61,P$1,FALSE)))/VLOOKUP($E22,'AEO23 Table 23'!$B$13:$AF$61,P$1,FALSE),"")</f>
        <v>2.0893385267873498E-2</v>
      </c>
      <c r="R22" s="54">
        <f>IFERROR((VLOOKUP($E22,'AEO23 Table 23'!$B$13:$AF$61,R$1,FALSE)-(VLOOKUP($E22,'AEO23 Table 23'!$B$13:$AF$61,Q$1,FALSE)))/VLOOKUP($E22,'AEO23 Table 23'!$B$13:$AF$61,Q$1,FALSE),"")</f>
        <v>2.0523938341445312E-2</v>
      </c>
      <c r="S22" s="54">
        <f>IFERROR((VLOOKUP($E22,'AEO23 Table 23'!$B$13:$AF$61,S$1,FALSE)-(VLOOKUP($E22,'AEO23 Table 23'!$B$13:$AF$61,R$1,FALSE)))/VLOOKUP($E22,'AEO23 Table 23'!$B$13:$AF$61,R$1,FALSE),"")</f>
        <v>2.1548547438904851E-2</v>
      </c>
      <c r="T22" s="54">
        <f>IFERROR((VLOOKUP($E22,'AEO23 Table 23'!$B$13:$AF$61,T$1,FALSE)-(VLOOKUP($E22,'AEO23 Table 23'!$B$13:$AF$61,S$1,FALSE)))/VLOOKUP($E22,'AEO23 Table 23'!$B$13:$AF$61,S$1,FALSE),"")</f>
        <v>2.0754106074240296E-2</v>
      </c>
      <c r="U22" s="54">
        <f>IFERROR((VLOOKUP($E22,'AEO23 Table 23'!$B$13:$AF$61,U$1,FALSE)-(VLOOKUP($E22,'AEO23 Table 23'!$B$13:$AF$61,T$1,FALSE)))/VLOOKUP($E22,'AEO23 Table 23'!$B$13:$AF$61,T$1,FALSE),"")</f>
        <v>2.1618950658096381E-2</v>
      </c>
      <c r="V22" s="54">
        <f>IFERROR((VLOOKUP($E22,'AEO23 Table 23'!$B$13:$AF$61,V$1,FALSE)-(VLOOKUP($E22,'AEO23 Table 23'!$B$13:$AF$61,U$1,FALSE)))/VLOOKUP($E22,'AEO23 Table 23'!$B$13:$AF$61,U$1,FALSE),"")</f>
        <v>2.331375291628068E-2</v>
      </c>
      <c r="W22" s="54">
        <f>IFERROR((VLOOKUP($E22,'AEO23 Table 23'!$B$13:$AF$61,W$1,FALSE)-(VLOOKUP($E22,'AEO23 Table 23'!$B$13:$AF$61,V$1,FALSE)))/VLOOKUP($E22,'AEO23 Table 23'!$B$13:$AF$61,V$1,FALSE),"")</f>
        <v>2.4521705843899948E-2</v>
      </c>
      <c r="X22" s="54">
        <f>IFERROR((VLOOKUP($E22,'AEO23 Table 23'!$B$13:$AF$61,X$1,FALSE)-(VLOOKUP($E22,'AEO23 Table 23'!$B$13:$AF$61,W$1,FALSE)))/VLOOKUP($E22,'AEO23 Table 23'!$B$13:$AF$61,W$1,FALSE),"")</f>
        <v>2.4674285910785278E-2</v>
      </c>
      <c r="Y22" s="54">
        <f>IFERROR((VLOOKUP($E22,'AEO23 Table 23'!$B$13:$AF$61,Y$1,FALSE)-(VLOOKUP($E22,'AEO23 Table 23'!$B$13:$AF$61,X$1,FALSE)))/VLOOKUP($E22,'AEO23 Table 23'!$B$13:$AF$61,X$1,FALSE),"")</f>
        <v>2.7699018762597612E-2</v>
      </c>
      <c r="Z22" s="54">
        <f>IFERROR((VLOOKUP($E22,'AEO23 Table 23'!$B$13:$AF$61,Z$1,FALSE)-(VLOOKUP($E22,'AEO23 Table 23'!$B$13:$AF$61,Y$1,FALSE)))/VLOOKUP($E22,'AEO23 Table 23'!$B$13:$AF$61,Y$1,FALSE),"")</f>
        <v>2.6629288578831168E-2</v>
      </c>
      <c r="AA22" s="54">
        <f>IFERROR((VLOOKUP($E22,'AEO23 Table 23'!$B$13:$AF$61,AA$1,FALSE)-(VLOOKUP($E22,'AEO23 Table 23'!$B$13:$AF$61,Z$1,FALSE)))/VLOOKUP($E22,'AEO23 Table 23'!$B$13:$AF$61,Z$1,FALSE),"")</f>
        <v>2.3222641775794434E-2</v>
      </c>
      <c r="AB22" s="54">
        <f>IFERROR((VLOOKUP($E22,'AEO23 Table 23'!$B$13:$AF$61,AB$1,FALSE)-(VLOOKUP($E22,'AEO23 Table 23'!$B$13:$AF$61,AA$1,FALSE)))/VLOOKUP($E22,'AEO23 Table 23'!$B$13:$AF$61,AA$1,FALSE),"")</f>
        <v>2.4143114041648685E-2</v>
      </c>
      <c r="AC22" s="54">
        <f>IFERROR((VLOOKUP($E22,'AEO23 Table 23'!$B$13:$AF$61,AC$1,FALSE)-(VLOOKUP($E22,'AEO23 Table 23'!$B$13:$AF$61,AB$1,FALSE)))/VLOOKUP($E22,'AEO23 Table 23'!$B$13:$AF$61,AB$1,FALSE),"")</f>
        <v>2.2690698305871514E-2</v>
      </c>
      <c r="AD22" s="54">
        <f>IFERROR((VLOOKUP($E22,'AEO23 Table 23'!$B$13:$AF$61,AD$1,FALSE)-(VLOOKUP($E22,'AEO23 Table 23'!$B$13:$AF$61,AC$1,FALSE)))/VLOOKUP($E22,'AEO23 Table 23'!$B$13:$AF$61,AC$1,FALSE),"")</f>
        <v>2.1067119087713432E-2</v>
      </c>
      <c r="AE22" s="54">
        <f>IFERROR((VLOOKUP($E22,'AEO23 Table 23'!$B$13:$AF$61,AE$1,FALSE)-(VLOOKUP($E22,'AEO23 Table 23'!$B$13:$AF$61,AD$1,FALSE)))/VLOOKUP($E22,'AEO23 Table 23'!$B$13:$AF$61,AD$1,FALSE),"")</f>
        <v>2.1159742535274494E-2</v>
      </c>
      <c r="AF22" s="54">
        <f>IFERROR((VLOOKUP($E22,'AEO23 Table 23'!$B$13:$AF$61,AF$1,FALSE)-(VLOOKUP($E22,'AEO23 Table 23'!$B$13:$AF$61,AE$1,FALSE)))/VLOOKUP($E22,'AEO23 Table 23'!$B$13:$AF$61,AE$1,FALSE),"")</f>
        <v>2.1313950192527655E-2</v>
      </c>
      <c r="AG22" s="54">
        <f>IFERROR((VLOOKUP($E22,'AEO23 Table 23'!$B$13:$AF$61,AG$1,FALSE)-(VLOOKUP($E22,'AEO23 Table 23'!$B$13:$AF$61,AF$1,FALSE)))/VLOOKUP($E22,'AEO23 Table 23'!$B$13:$AF$61,AF$1,FALSE),"")</f>
        <v>2.0176395490711291E-2</v>
      </c>
      <c r="AH22" s="54">
        <f>IFERROR((VLOOKUP($E22,'AEO23 Table 23'!$B$13:$AF$61,AH$1,FALSE)-(VLOOKUP($E22,'AEO23 Table 23'!$B$13:$AF$61,AG$1,FALSE)))/VLOOKUP($E22,'AEO23 Table 23'!$B$13:$AF$61,AG$1,FALSE),"")</f>
        <v>2.1733504947647555E-2</v>
      </c>
      <c r="AI22" s="54">
        <f>IFERROR((VLOOKUP($E22,'AEO23 Table 23'!$B$13:$AF$61,AI$1,FALSE)-(VLOOKUP($E22,'AEO23 Table 23'!$B$13:$AF$61,AH$1,FALSE)))/VLOOKUP($E22,'AEO23 Table 23'!$B$13:$AF$61,AH$1,FALSE),"")</f>
        <v>2.4012366562330165E-2</v>
      </c>
    </row>
    <row r="23" spans="1:35" x14ac:dyDescent="0.3">
      <c r="A23" s="125" t="s">
        <v>13</v>
      </c>
      <c r="B23" s="49" cm="1">
        <f t="array" ref="B23">SUMPRODUCT(--('BLS Table 2.7'!$O:$O=$A23),'BLS Table 2.7'!L:L,'BLS Table 2.7'!N:N)/SUMIFS('BLS Table 2.7'!L:L,'BLS Table 2.7'!$O:$O,$A23)/100</f>
        <v>0.01</v>
      </c>
      <c r="E23" s="1" t="s">
        <v>13</v>
      </c>
      <c r="F23" s="54">
        <f>IFERROR(INDEX('AEO23 Table 23'!$AG$22:$AG$61,MATCH($E23,'AEO23 Table 23'!$B$22:$B$61,0)),"")</f>
        <v>2.2804000000000001E-2</v>
      </c>
      <c r="G23" s="54">
        <f>(INDEX('AEO23 Table 23'!$D$22:$D$61,MATCH('Growth Rates'!E23,'AEO23 Table 23'!$B$22:$B$61,0))-INDEX('AEO22 Table 23'!$D$22:$D$58,MATCH('Growth Rates'!E23,'AEO22 Table 23'!$B$22:$B$58,0)))/INDEX('AEO22 Table 23'!$D$22:$D$58,MATCH('Growth Rates'!E23,'AEO22 Table 23'!$B$22:$B$58,0))</f>
        <v>2.7897917209054473E-2</v>
      </c>
      <c r="H23" s="54">
        <f>IFERROR((VLOOKUP($E23,'AEO23 Table 23'!$B$13:$AF$61,H$1,FALSE)-(VLOOKUP($E23,'AEO23 Table 23'!$B$13:$AF$61,G$1,FALSE)))/VLOOKUP($E23,'AEO23 Table 23'!$B$13:$AF$61,G$1,FALSE),"")</f>
        <v>-4.2399645565637119E-4</v>
      </c>
      <c r="I23" s="54">
        <f>IFERROR((VLOOKUP($E23,'AEO23 Table 23'!$B$13:$AF$61,I$1,FALSE)-(VLOOKUP($E23,'AEO23 Table 23'!$B$13:$AF$61,H$1,FALSE)))/VLOOKUP($E23,'AEO23 Table 23'!$B$13:$AF$61,H$1,FALSE),"")</f>
        <v>1.113099856259493E-2</v>
      </c>
      <c r="J23" s="54">
        <f>IFERROR((VLOOKUP($E23,'AEO23 Table 23'!$B$13:$AF$61,J$1,FALSE)-(VLOOKUP($E23,'AEO23 Table 23'!$B$13:$AF$61,I$1,FALSE)))/VLOOKUP($E23,'AEO23 Table 23'!$B$13:$AF$61,I$1,FALSE),"")</f>
        <v>2.4032640591362172E-2</v>
      </c>
      <c r="K23" s="54">
        <f>IFERROR((VLOOKUP($E23,'AEO23 Table 23'!$B$13:$AF$61,K$1,FALSE)-(VLOOKUP($E23,'AEO23 Table 23'!$B$13:$AF$61,J$1,FALSE)))/VLOOKUP($E23,'AEO23 Table 23'!$B$13:$AF$61,J$1,FALSE),"")</f>
        <v>2.3815639818190279E-2</v>
      </c>
      <c r="L23" s="54">
        <f>IFERROR((VLOOKUP($E23,'AEO23 Table 23'!$B$13:$AF$61,L$1,FALSE)-(VLOOKUP($E23,'AEO23 Table 23'!$B$13:$AF$61,K$1,FALSE)))/VLOOKUP($E23,'AEO23 Table 23'!$B$13:$AF$61,K$1,FALSE),"")</f>
        <v>2.1410754684266523E-2</v>
      </c>
      <c r="M23" s="54">
        <f>IFERROR((VLOOKUP($E23,'AEO23 Table 23'!$B$13:$AF$61,M$1,FALSE)-(VLOOKUP($E23,'AEO23 Table 23'!$B$13:$AF$61,L$1,FALSE)))/VLOOKUP($E23,'AEO23 Table 23'!$B$13:$AF$61,L$1,FALSE),"")</f>
        <v>1.8612395265277918E-2</v>
      </c>
      <c r="N23" s="54">
        <f>IFERROR((VLOOKUP($E23,'AEO23 Table 23'!$B$13:$AF$61,N$1,FALSE)-(VLOOKUP($E23,'AEO23 Table 23'!$B$13:$AF$61,M$1,FALSE)))/VLOOKUP($E23,'AEO23 Table 23'!$B$13:$AF$61,M$1,FALSE),"")</f>
        <v>1.5370940839512518E-2</v>
      </c>
      <c r="O23" s="54">
        <f>IFERROR((VLOOKUP($E23,'AEO23 Table 23'!$B$13:$AF$61,O$1,FALSE)-(VLOOKUP($E23,'AEO23 Table 23'!$B$13:$AF$61,N$1,FALSE)))/VLOOKUP($E23,'AEO23 Table 23'!$B$13:$AF$61,N$1,FALSE),"")</f>
        <v>1.2637450466187253E-2</v>
      </c>
      <c r="P23" s="54">
        <f>IFERROR((VLOOKUP($E23,'AEO23 Table 23'!$B$13:$AF$61,P$1,FALSE)-(VLOOKUP($E23,'AEO23 Table 23'!$B$13:$AF$61,O$1,FALSE)))/VLOOKUP($E23,'AEO23 Table 23'!$B$13:$AF$61,O$1,FALSE),"")</f>
        <v>7.2066643846378196E-3</v>
      </c>
      <c r="Q23" s="54">
        <f>IFERROR((VLOOKUP($E23,'AEO23 Table 23'!$B$13:$AF$61,Q$1,FALSE)-(VLOOKUP($E23,'AEO23 Table 23'!$B$13:$AF$61,P$1,FALSE)))/VLOOKUP($E23,'AEO23 Table 23'!$B$13:$AF$61,P$1,FALSE),"")</f>
        <v>2.07277599008793E-2</v>
      </c>
      <c r="R23" s="54">
        <f>IFERROR((VLOOKUP($E23,'AEO23 Table 23'!$B$13:$AF$61,R$1,FALSE)-(VLOOKUP($E23,'AEO23 Table 23'!$B$13:$AF$61,Q$1,FALSE)))/VLOOKUP($E23,'AEO23 Table 23'!$B$13:$AF$61,Q$1,FALSE),"")</f>
        <v>2.8130485047801513E-2</v>
      </c>
      <c r="S23" s="54">
        <f>IFERROR((VLOOKUP($E23,'AEO23 Table 23'!$B$13:$AF$61,S$1,FALSE)-(VLOOKUP($E23,'AEO23 Table 23'!$B$13:$AF$61,R$1,FALSE)))/VLOOKUP($E23,'AEO23 Table 23'!$B$13:$AF$61,R$1,FALSE),"")</f>
        <v>2.6439398574190958E-2</v>
      </c>
      <c r="T23" s="54">
        <f>IFERROR((VLOOKUP($E23,'AEO23 Table 23'!$B$13:$AF$61,T$1,FALSE)-(VLOOKUP($E23,'AEO23 Table 23'!$B$13:$AF$61,S$1,FALSE)))/VLOOKUP($E23,'AEO23 Table 23'!$B$13:$AF$61,S$1,FALSE),"")</f>
        <v>2.7245088786736552E-2</v>
      </c>
      <c r="U23" s="54">
        <f>IFERROR((VLOOKUP($E23,'AEO23 Table 23'!$B$13:$AF$61,U$1,FALSE)-(VLOOKUP($E23,'AEO23 Table 23'!$B$13:$AF$61,T$1,FALSE)))/VLOOKUP($E23,'AEO23 Table 23'!$B$13:$AF$61,T$1,FALSE),"")</f>
        <v>2.6980351727367315E-2</v>
      </c>
      <c r="V23" s="54">
        <f>IFERROR((VLOOKUP($E23,'AEO23 Table 23'!$B$13:$AF$61,V$1,FALSE)-(VLOOKUP($E23,'AEO23 Table 23'!$B$13:$AF$61,U$1,FALSE)))/VLOOKUP($E23,'AEO23 Table 23'!$B$13:$AF$61,U$1,FALSE),"")</f>
        <v>2.78152549053611E-2</v>
      </c>
      <c r="W23" s="54">
        <f>IFERROR((VLOOKUP($E23,'AEO23 Table 23'!$B$13:$AF$61,W$1,FALSE)-(VLOOKUP($E23,'AEO23 Table 23'!$B$13:$AF$61,V$1,FALSE)))/VLOOKUP($E23,'AEO23 Table 23'!$B$13:$AF$61,V$1,FALSE),"")</f>
        <v>2.9396186892423674E-2</v>
      </c>
      <c r="X23" s="54">
        <f>IFERROR((VLOOKUP($E23,'AEO23 Table 23'!$B$13:$AF$61,X$1,FALSE)-(VLOOKUP($E23,'AEO23 Table 23'!$B$13:$AF$61,W$1,FALSE)))/VLOOKUP($E23,'AEO23 Table 23'!$B$13:$AF$61,W$1,FALSE),"")</f>
        <v>2.8151835639818358E-2</v>
      </c>
      <c r="Y23" s="54">
        <f>IFERROR((VLOOKUP($E23,'AEO23 Table 23'!$B$13:$AF$61,Y$1,FALSE)-(VLOOKUP($E23,'AEO23 Table 23'!$B$13:$AF$61,X$1,FALSE)))/VLOOKUP($E23,'AEO23 Table 23'!$B$13:$AF$61,X$1,FALSE),"")</f>
        <v>2.9135003846306521E-2</v>
      </c>
      <c r="Z23" s="54">
        <f>IFERROR((VLOOKUP($E23,'AEO23 Table 23'!$B$13:$AF$61,Z$1,FALSE)-(VLOOKUP($E23,'AEO23 Table 23'!$B$13:$AF$61,Y$1,FALSE)))/VLOOKUP($E23,'AEO23 Table 23'!$B$13:$AF$61,Y$1,FALSE),"")</f>
        <v>2.9212716757661624E-2</v>
      </c>
      <c r="AA23" s="54">
        <f>IFERROR((VLOOKUP($E23,'AEO23 Table 23'!$B$13:$AF$61,AA$1,FALSE)-(VLOOKUP($E23,'AEO23 Table 23'!$B$13:$AF$61,Z$1,FALSE)))/VLOOKUP($E23,'AEO23 Table 23'!$B$13:$AF$61,Z$1,FALSE),"")</f>
        <v>2.6341926263819239E-2</v>
      </c>
      <c r="AB23" s="54">
        <f>IFERROR((VLOOKUP($E23,'AEO23 Table 23'!$B$13:$AF$61,AB$1,FALSE)-(VLOOKUP($E23,'AEO23 Table 23'!$B$13:$AF$61,AA$1,FALSE)))/VLOOKUP($E23,'AEO23 Table 23'!$B$13:$AF$61,AA$1,FALSE),"")</f>
        <v>2.7294497376955301E-2</v>
      </c>
      <c r="AC23" s="54">
        <f>IFERROR((VLOOKUP($E23,'AEO23 Table 23'!$B$13:$AF$61,AC$1,FALSE)-(VLOOKUP($E23,'AEO23 Table 23'!$B$13:$AF$61,AB$1,FALSE)))/VLOOKUP($E23,'AEO23 Table 23'!$B$13:$AF$61,AB$1,FALSE),"")</f>
        <v>2.616038402394686E-2</v>
      </c>
      <c r="AD23" s="54">
        <f>IFERROR((VLOOKUP($E23,'AEO23 Table 23'!$B$13:$AF$61,AD$1,FALSE)-(VLOOKUP($E23,'AEO23 Table 23'!$B$13:$AF$61,AC$1,FALSE)))/VLOOKUP($E23,'AEO23 Table 23'!$B$13:$AF$61,AC$1,FALSE),"")</f>
        <v>2.4727533085390097E-2</v>
      </c>
      <c r="AE23" s="54">
        <f>IFERROR((VLOOKUP($E23,'AEO23 Table 23'!$B$13:$AF$61,AE$1,FALSE)-(VLOOKUP($E23,'AEO23 Table 23'!$B$13:$AF$61,AD$1,FALSE)))/VLOOKUP($E23,'AEO23 Table 23'!$B$13:$AF$61,AD$1,FALSE),"")</f>
        <v>2.490017520070513E-2</v>
      </c>
      <c r="AF23" s="54">
        <f>IFERROR((VLOOKUP($E23,'AEO23 Table 23'!$B$13:$AF$61,AF$1,FALSE)-(VLOOKUP($E23,'AEO23 Table 23'!$B$13:$AF$61,AE$1,FALSE)))/VLOOKUP($E23,'AEO23 Table 23'!$B$13:$AF$61,AE$1,FALSE),"")</f>
        <v>2.5570285946396595E-2</v>
      </c>
      <c r="AG23" s="54">
        <f>IFERROR((VLOOKUP($E23,'AEO23 Table 23'!$B$13:$AF$61,AG$1,FALSE)-(VLOOKUP($E23,'AEO23 Table 23'!$B$13:$AF$61,AF$1,FALSE)))/VLOOKUP($E23,'AEO23 Table 23'!$B$13:$AF$61,AF$1,FALSE),"")</f>
        <v>2.5101879462405607E-2</v>
      </c>
      <c r="AH23" s="54">
        <f>IFERROR((VLOOKUP($E23,'AEO23 Table 23'!$B$13:$AF$61,AH$1,FALSE)-(VLOOKUP($E23,'AEO23 Table 23'!$B$13:$AF$61,AG$1,FALSE)))/VLOOKUP($E23,'AEO23 Table 23'!$B$13:$AF$61,AG$1,FALSE),"")</f>
        <v>2.3967559834877181E-2</v>
      </c>
      <c r="AI23" s="54">
        <f>IFERROR((VLOOKUP($E23,'AEO23 Table 23'!$B$13:$AF$61,AI$1,FALSE)-(VLOOKUP($E23,'AEO23 Table 23'!$B$13:$AF$61,AH$1,FALSE)))/VLOOKUP($E23,'AEO23 Table 23'!$B$13:$AF$61,AH$1,FALSE),"")</f>
        <v>2.812720076082461E-2</v>
      </c>
    </row>
    <row r="24" spans="1:35" x14ac:dyDescent="0.3">
      <c r="A24" s="125" t="s">
        <v>14</v>
      </c>
      <c r="B24" s="49" cm="1">
        <f t="array" ref="B24">SUMPRODUCT(--('BLS Table 2.7'!$O:$O=$A24),'BLS Table 2.7'!L:L,'BLS Table 2.7'!N:N)/SUMIFS('BLS Table 2.7'!L:L,'BLS Table 2.7'!$O:$O,$A24)/100</f>
        <v>1.4999999999999998E-2</v>
      </c>
      <c r="E24" s="1" t="s">
        <v>14</v>
      </c>
      <c r="F24" s="54">
        <f>IFERROR(INDEX('AEO23 Table 23'!$AG$22:$AG$61,MATCH($E24,'AEO23 Table 23'!$B$22:$B$61,0)),"")</f>
        <v>1.3747000000000001E-2</v>
      </c>
      <c r="G24" s="54">
        <f>(INDEX('AEO23 Table 23'!$D$22:$D$61,MATCH('Growth Rates'!E24,'AEO23 Table 23'!$B$22:$B$61,0))-INDEX('AEO22 Table 23'!$D$22:$D$58,MATCH('Growth Rates'!E24,'AEO22 Table 23'!$B$22:$B$58,0)))/INDEX('AEO22 Table 23'!$D$22:$D$58,MATCH('Growth Rates'!E24,'AEO22 Table 23'!$B$22:$B$58,0))</f>
        <v>2.7819565201757851E-2</v>
      </c>
      <c r="H24" s="54">
        <f>IFERROR((VLOOKUP($E24,'AEO23 Table 23'!$B$13:$AF$61,H$1,FALSE)-(VLOOKUP($E24,'AEO23 Table 23'!$B$13:$AF$61,G$1,FALSE)))/VLOOKUP($E24,'AEO23 Table 23'!$B$13:$AF$61,G$1,FALSE),"")</f>
        <v>-1.5137823688978343E-2</v>
      </c>
      <c r="I24" s="54">
        <f>IFERROR((VLOOKUP($E24,'AEO23 Table 23'!$B$13:$AF$61,I$1,FALSE)-(VLOOKUP($E24,'AEO23 Table 23'!$B$13:$AF$61,H$1,FALSE)))/VLOOKUP($E24,'AEO23 Table 23'!$B$13:$AF$61,H$1,FALSE),"")</f>
        <v>6.1568327717517626E-4</v>
      </c>
      <c r="J24" s="54">
        <f>IFERROR((VLOOKUP($E24,'AEO23 Table 23'!$B$13:$AF$61,J$1,FALSE)-(VLOOKUP($E24,'AEO23 Table 23'!$B$13:$AF$61,I$1,FALSE)))/VLOOKUP($E24,'AEO23 Table 23'!$B$13:$AF$61,I$1,FALSE),"")</f>
        <v>1.2153635285747217E-2</v>
      </c>
      <c r="K24" s="54">
        <f>IFERROR((VLOOKUP($E24,'AEO23 Table 23'!$B$13:$AF$61,K$1,FALSE)-(VLOOKUP($E24,'AEO23 Table 23'!$B$13:$AF$61,J$1,FALSE)))/VLOOKUP($E24,'AEO23 Table 23'!$B$13:$AF$61,J$1,FALSE),"")</f>
        <v>3.6657503669981897E-2</v>
      </c>
      <c r="L24" s="54">
        <f>IFERROR((VLOOKUP($E24,'AEO23 Table 23'!$B$13:$AF$61,L$1,FALSE)-(VLOOKUP($E24,'AEO23 Table 23'!$B$13:$AF$61,K$1,FALSE)))/VLOOKUP($E24,'AEO23 Table 23'!$B$13:$AF$61,K$1,FALSE),"")</f>
        <v>3.1121899394935017E-2</v>
      </c>
      <c r="M24" s="54">
        <f>IFERROR((VLOOKUP($E24,'AEO23 Table 23'!$B$13:$AF$61,M$1,FALSE)-(VLOOKUP($E24,'AEO23 Table 23'!$B$13:$AF$61,L$1,FALSE)))/VLOOKUP($E24,'AEO23 Table 23'!$B$13:$AF$61,L$1,FALSE),"")</f>
        <v>1.3049016490490284E-2</v>
      </c>
      <c r="N24" s="54">
        <f>IFERROR((VLOOKUP($E24,'AEO23 Table 23'!$B$13:$AF$61,N$1,FALSE)-(VLOOKUP($E24,'AEO23 Table 23'!$B$13:$AF$61,M$1,FALSE)))/VLOOKUP($E24,'AEO23 Table 23'!$B$13:$AF$61,M$1,FALSE),"")</f>
        <v>1.1252961903570479E-2</v>
      </c>
      <c r="O24" s="54">
        <f>IFERROR((VLOOKUP($E24,'AEO23 Table 23'!$B$13:$AF$61,O$1,FALSE)-(VLOOKUP($E24,'AEO23 Table 23'!$B$13:$AF$61,N$1,FALSE)))/VLOOKUP($E24,'AEO23 Table 23'!$B$13:$AF$61,N$1,FALSE),"")</f>
        <v>1.1237653221681247E-2</v>
      </c>
      <c r="P24" s="54">
        <f>IFERROR((VLOOKUP($E24,'AEO23 Table 23'!$B$13:$AF$61,P$1,FALSE)-(VLOOKUP($E24,'AEO23 Table 23'!$B$13:$AF$61,O$1,FALSE)))/VLOOKUP($E24,'AEO23 Table 23'!$B$13:$AF$61,O$1,FALSE),"")</f>
        <v>1.6807265272011162E-2</v>
      </c>
      <c r="Q24" s="54">
        <f>IFERROR((VLOOKUP($E24,'AEO23 Table 23'!$B$13:$AF$61,Q$1,FALSE)-(VLOOKUP($E24,'AEO23 Table 23'!$B$13:$AF$61,P$1,FALSE)))/VLOOKUP($E24,'AEO23 Table 23'!$B$13:$AF$61,P$1,FALSE),"")</f>
        <v>2.6856888525678389E-2</v>
      </c>
      <c r="R24" s="54">
        <f>IFERROR((VLOOKUP($E24,'AEO23 Table 23'!$B$13:$AF$61,R$1,FALSE)-(VLOOKUP($E24,'AEO23 Table 23'!$B$13:$AF$61,Q$1,FALSE)))/VLOOKUP($E24,'AEO23 Table 23'!$B$13:$AF$61,Q$1,FALSE),"")</f>
        <v>2.0026985228471739E-2</v>
      </c>
      <c r="S24" s="54">
        <f>IFERROR((VLOOKUP($E24,'AEO23 Table 23'!$B$13:$AF$61,S$1,FALSE)-(VLOOKUP($E24,'AEO23 Table 23'!$B$13:$AF$61,R$1,FALSE)))/VLOOKUP($E24,'AEO23 Table 23'!$B$13:$AF$61,R$1,FALSE),"")</f>
        <v>1.6648145634341548E-2</v>
      </c>
      <c r="T24" s="54">
        <f>IFERROR((VLOOKUP($E24,'AEO23 Table 23'!$B$13:$AF$61,T$1,FALSE)-(VLOOKUP($E24,'AEO23 Table 23'!$B$13:$AF$61,S$1,FALSE)))/VLOOKUP($E24,'AEO23 Table 23'!$B$13:$AF$61,S$1,FALSE),"")</f>
        <v>1.9118335058555435E-2</v>
      </c>
      <c r="U24" s="54">
        <f>IFERROR((VLOOKUP($E24,'AEO23 Table 23'!$B$13:$AF$61,U$1,FALSE)-(VLOOKUP($E24,'AEO23 Table 23'!$B$13:$AF$61,T$1,FALSE)))/VLOOKUP($E24,'AEO23 Table 23'!$B$13:$AF$61,T$1,FALSE),"")</f>
        <v>1.748245675563977E-2</v>
      </c>
      <c r="V24" s="54">
        <f>IFERROR((VLOOKUP($E24,'AEO23 Table 23'!$B$13:$AF$61,V$1,FALSE)-(VLOOKUP($E24,'AEO23 Table 23'!$B$13:$AF$61,U$1,FALSE)))/VLOOKUP($E24,'AEO23 Table 23'!$B$13:$AF$61,U$1,FALSE),"")</f>
        <v>1.6699150588509321E-2</v>
      </c>
      <c r="W24" s="54">
        <f>IFERROR((VLOOKUP($E24,'AEO23 Table 23'!$B$13:$AF$61,W$1,FALSE)-(VLOOKUP($E24,'AEO23 Table 23'!$B$13:$AF$61,V$1,FALSE)))/VLOOKUP($E24,'AEO23 Table 23'!$B$13:$AF$61,V$1,FALSE),"")</f>
        <v>1.6390342293608282E-2</v>
      </c>
      <c r="X24" s="54">
        <f>IFERROR((VLOOKUP($E24,'AEO23 Table 23'!$B$13:$AF$61,X$1,FALSE)-(VLOOKUP($E24,'AEO23 Table 23'!$B$13:$AF$61,W$1,FALSE)))/VLOOKUP($E24,'AEO23 Table 23'!$B$13:$AF$61,W$1,FALSE),"")</f>
        <v>1.3313640307138816E-2</v>
      </c>
      <c r="Y24" s="54">
        <f>IFERROR((VLOOKUP($E24,'AEO23 Table 23'!$B$13:$AF$61,Y$1,FALSE)-(VLOOKUP($E24,'AEO23 Table 23'!$B$13:$AF$61,X$1,FALSE)))/VLOOKUP($E24,'AEO23 Table 23'!$B$13:$AF$61,X$1,FALSE),"")</f>
        <v>1.3249279648741372E-2</v>
      </c>
      <c r="Z24" s="54">
        <f>IFERROR((VLOOKUP($E24,'AEO23 Table 23'!$B$13:$AF$61,Z$1,FALSE)-(VLOOKUP($E24,'AEO23 Table 23'!$B$13:$AF$61,Y$1,FALSE)))/VLOOKUP($E24,'AEO23 Table 23'!$B$13:$AF$61,Y$1,FALSE),"")</f>
        <v>1.5371916832277078E-2</v>
      </c>
      <c r="AA24" s="54">
        <f>IFERROR((VLOOKUP($E24,'AEO23 Table 23'!$B$13:$AF$61,AA$1,FALSE)-(VLOOKUP($E24,'AEO23 Table 23'!$B$13:$AF$61,Z$1,FALSE)))/VLOOKUP($E24,'AEO23 Table 23'!$B$13:$AF$61,Z$1,FALSE),"")</f>
        <v>1.3414257395897359E-2</v>
      </c>
      <c r="AB24" s="54">
        <f>IFERROR((VLOOKUP($E24,'AEO23 Table 23'!$B$13:$AF$61,AB$1,FALSE)-(VLOOKUP($E24,'AEO23 Table 23'!$B$13:$AF$61,AA$1,FALSE)))/VLOOKUP($E24,'AEO23 Table 23'!$B$13:$AF$61,AA$1,FALSE),"")</f>
        <v>1.0448207004543068E-2</v>
      </c>
      <c r="AC24" s="54">
        <f>IFERROR((VLOOKUP($E24,'AEO23 Table 23'!$B$13:$AF$61,AC$1,FALSE)-(VLOOKUP($E24,'AEO23 Table 23'!$B$13:$AF$61,AB$1,FALSE)))/VLOOKUP($E24,'AEO23 Table 23'!$B$13:$AF$61,AB$1,FALSE),"")</f>
        <v>7.9442565662077406E-3</v>
      </c>
      <c r="AD24" s="54">
        <f>IFERROR((VLOOKUP($E24,'AEO23 Table 23'!$B$13:$AF$61,AD$1,FALSE)-(VLOOKUP($E24,'AEO23 Table 23'!$B$13:$AF$61,AC$1,FALSE)))/VLOOKUP($E24,'AEO23 Table 23'!$B$13:$AF$61,AC$1,FALSE),"")</f>
        <v>6.5459194682268105E-3</v>
      </c>
      <c r="AE24" s="54">
        <f>IFERROR((VLOOKUP($E24,'AEO23 Table 23'!$B$13:$AF$61,AE$1,FALSE)-(VLOOKUP($E24,'AEO23 Table 23'!$B$13:$AF$61,AD$1,FALSE)))/VLOOKUP($E24,'AEO23 Table 23'!$B$13:$AF$61,AD$1,FALSE),"")</f>
        <v>1.0847716674763159E-2</v>
      </c>
      <c r="AF24" s="54">
        <f>IFERROR((VLOOKUP($E24,'AEO23 Table 23'!$B$13:$AF$61,AF$1,FALSE)-(VLOOKUP($E24,'AEO23 Table 23'!$B$13:$AF$61,AE$1,FALSE)))/VLOOKUP($E24,'AEO23 Table 23'!$B$13:$AF$61,AE$1,FALSE),"")</f>
        <v>1.1983357066250954E-2</v>
      </c>
      <c r="AG24" s="54">
        <f>IFERROR((VLOOKUP($E24,'AEO23 Table 23'!$B$13:$AF$61,AG$1,FALSE)-(VLOOKUP($E24,'AEO23 Table 23'!$B$13:$AF$61,AF$1,FALSE)))/VLOOKUP($E24,'AEO23 Table 23'!$B$13:$AF$61,AF$1,FALSE),"")</f>
        <v>1.0830463130245417E-2</v>
      </c>
      <c r="AH24" s="54">
        <f>IFERROR((VLOOKUP($E24,'AEO23 Table 23'!$B$13:$AF$61,AH$1,FALSE)-(VLOOKUP($E24,'AEO23 Table 23'!$B$13:$AF$61,AG$1,FALSE)))/VLOOKUP($E24,'AEO23 Table 23'!$B$13:$AF$61,AG$1,FALSE),"")</f>
        <v>7.286228300337959E-3</v>
      </c>
      <c r="AI24" s="54">
        <f>IFERROR((VLOOKUP($E24,'AEO23 Table 23'!$B$13:$AF$61,AI$1,FALSE)-(VLOOKUP($E24,'AEO23 Table 23'!$B$13:$AF$61,AH$1,FALSE)))/VLOOKUP($E24,'AEO23 Table 23'!$B$13:$AF$61,AH$1,FALSE),"")</f>
        <v>1.3845914409291294E-2</v>
      </c>
    </row>
    <row r="25" spans="1:35" x14ac:dyDescent="0.3">
      <c r="A25" s="125" t="s">
        <v>15</v>
      </c>
      <c r="B25" s="49" cm="1">
        <f t="array" ref="B25">SUMPRODUCT(--('BLS Table 2.7'!$O:$O=$A25),'BLS Table 2.7'!L:L,'BLS Table 2.7'!N:N)/SUMIFS('BLS Table 2.7'!L:L,'BLS Table 2.7'!$O:$O,$A25)/100</f>
        <v>1.8032437442075996E-2</v>
      </c>
      <c r="E25" s="1" t="s">
        <v>643</v>
      </c>
      <c r="F25" s="54">
        <f>IFERROR(INDEX('AEO23 Table 23'!$AG$22:$AG$61,MATCH($E25,'AEO23 Table 23'!$B$22:$B$61,0)),"")</f>
        <v>1.4344000000000001E-2</v>
      </c>
      <c r="G25" s="54">
        <f>(INDEX('AEO23 Table 23'!$D$22:$D$61,MATCH('Growth Rates'!E25,'AEO23 Table 23'!$B$22:$B$61,0))-INDEX('AEO22 Table 23'!$D$22:$D$58,MATCH('Growth Rates'!E25,'AEO22 Table 23'!$B$22:$B$58,0)))/INDEX('AEO22 Table 23'!$D$22:$D$58,MATCH('Growth Rates'!E25,'AEO22 Table 23'!$B$22:$B$58,0))</f>
        <v>2.8290025712801276E-2</v>
      </c>
      <c r="H25" s="54">
        <f>IFERROR((VLOOKUP($E25,'AEO23 Table 23'!$B$13:$AF$61,H$1,FALSE)-(VLOOKUP($E25,'AEO23 Table 23'!$B$13:$AF$61,G$1,FALSE)))/VLOOKUP($E25,'AEO23 Table 23'!$B$13:$AF$61,G$1,FALSE),"")</f>
        <v>3.1107246239968037E-2</v>
      </c>
      <c r="I25" s="54">
        <f>IFERROR((VLOOKUP($E25,'AEO23 Table 23'!$B$13:$AF$61,I$1,FALSE)-(VLOOKUP($E25,'AEO23 Table 23'!$B$13:$AF$61,H$1,FALSE)))/VLOOKUP($E25,'AEO23 Table 23'!$B$13:$AF$61,H$1,FALSE),"")</f>
        <v>1.2544624650787853E-2</v>
      </c>
      <c r="J25" s="54">
        <f>IFERROR((VLOOKUP($E25,'AEO23 Table 23'!$B$13:$AF$61,J$1,FALSE)-(VLOOKUP($E25,'AEO23 Table 23'!$B$13:$AF$61,I$1,FALSE)))/VLOOKUP($E25,'AEO23 Table 23'!$B$13:$AF$61,I$1,FALSE),"")</f>
        <v>-2.9244404101126547E-3</v>
      </c>
      <c r="K25" s="54">
        <f>IFERROR((VLOOKUP($E25,'AEO23 Table 23'!$B$13:$AF$61,K$1,FALSE)-(VLOOKUP($E25,'AEO23 Table 23'!$B$13:$AF$61,J$1,FALSE)))/VLOOKUP($E25,'AEO23 Table 23'!$B$13:$AF$61,J$1,FALSE),"")</f>
        <v>5.205823950184249E-3</v>
      </c>
      <c r="L25" s="54">
        <f>IFERROR((VLOOKUP($E25,'AEO23 Table 23'!$B$13:$AF$61,L$1,FALSE)-(VLOOKUP($E25,'AEO23 Table 23'!$B$13:$AF$61,K$1,FALSE)))/VLOOKUP($E25,'AEO23 Table 23'!$B$13:$AF$61,K$1,FALSE),"")</f>
        <v>1.8574672110851245E-2</v>
      </c>
      <c r="M25" s="54">
        <f>IFERROR((VLOOKUP($E25,'AEO23 Table 23'!$B$13:$AF$61,M$1,FALSE)-(VLOOKUP($E25,'AEO23 Table 23'!$B$13:$AF$61,L$1,FALSE)))/VLOOKUP($E25,'AEO23 Table 23'!$B$13:$AF$61,L$1,FALSE),"")</f>
        <v>1.3662340957034046E-2</v>
      </c>
      <c r="N25" s="54">
        <f>IFERROR((VLOOKUP($E25,'AEO23 Table 23'!$B$13:$AF$61,N$1,FALSE)-(VLOOKUP($E25,'AEO23 Table 23'!$B$13:$AF$61,M$1,FALSE)))/VLOOKUP($E25,'AEO23 Table 23'!$B$13:$AF$61,M$1,FALSE),"")</f>
        <v>6.5047579097692026E-3</v>
      </c>
      <c r="O25" s="54">
        <f>IFERROR((VLOOKUP($E25,'AEO23 Table 23'!$B$13:$AF$61,O$1,FALSE)-(VLOOKUP($E25,'AEO23 Table 23'!$B$13:$AF$61,N$1,FALSE)))/VLOOKUP($E25,'AEO23 Table 23'!$B$13:$AF$61,N$1,FALSE),"")</f>
        <v>8.7187459595944681E-3</v>
      </c>
      <c r="P25" s="54">
        <f>IFERROR((VLOOKUP($E25,'AEO23 Table 23'!$B$13:$AF$61,P$1,FALSE)-(VLOOKUP($E25,'AEO23 Table 23'!$B$13:$AF$61,O$1,FALSE)))/VLOOKUP($E25,'AEO23 Table 23'!$B$13:$AF$61,O$1,FALSE),"")</f>
        <v>1.5323770460577677E-2</v>
      </c>
      <c r="Q25" s="54">
        <f>IFERROR((VLOOKUP($E25,'AEO23 Table 23'!$B$13:$AF$61,Q$1,FALSE)-(VLOOKUP($E25,'AEO23 Table 23'!$B$13:$AF$61,P$1,FALSE)))/VLOOKUP($E25,'AEO23 Table 23'!$B$13:$AF$61,P$1,FALSE),"")</f>
        <v>2.5376763892780714E-2</v>
      </c>
      <c r="R25" s="54">
        <f>IFERROR((VLOOKUP($E25,'AEO23 Table 23'!$B$13:$AF$61,R$1,FALSE)-(VLOOKUP($E25,'AEO23 Table 23'!$B$13:$AF$61,Q$1,FALSE)))/VLOOKUP($E25,'AEO23 Table 23'!$B$13:$AF$61,Q$1,FALSE),"")</f>
        <v>2.1572193082817052E-2</v>
      </c>
      <c r="S25" s="54">
        <f>IFERROR((VLOOKUP($E25,'AEO23 Table 23'!$B$13:$AF$61,S$1,FALSE)-(VLOOKUP($E25,'AEO23 Table 23'!$B$13:$AF$61,R$1,FALSE)))/VLOOKUP($E25,'AEO23 Table 23'!$B$13:$AF$61,R$1,FALSE),"")</f>
        <v>1.6116888921541228E-2</v>
      </c>
      <c r="T25" s="54">
        <f>IFERROR((VLOOKUP($E25,'AEO23 Table 23'!$B$13:$AF$61,T$1,FALSE)-(VLOOKUP($E25,'AEO23 Table 23'!$B$13:$AF$61,S$1,FALSE)))/VLOOKUP($E25,'AEO23 Table 23'!$B$13:$AF$61,S$1,FALSE),"")</f>
        <v>1.7345637236072839E-2</v>
      </c>
      <c r="U25" s="54">
        <f>IFERROR((VLOOKUP($E25,'AEO23 Table 23'!$B$13:$AF$61,U$1,FALSE)-(VLOOKUP($E25,'AEO23 Table 23'!$B$13:$AF$61,T$1,FALSE)))/VLOOKUP($E25,'AEO23 Table 23'!$B$13:$AF$61,T$1,FALSE),"")</f>
        <v>1.6353509239479078E-2</v>
      </c>
      <c r="V25" s="54">
        <f>IFERROR((VLOOKUP($E25,'AEO23 Table 23'!$B$13:$AF$61,V$1,FALSE)-(VLOOKUP($E25,'AEO23 Table 23'!$B$13:$AF$61,U$1,FALSE)))/VLOOKUP($E25,'AEO23 Table 23'!$B$13:$AF$61,U$1,FALSE),"")</f>
        <v>1.0977820490328473E-2</v>
      </c>
      <c r="W25" s="54">
        <f>IFERROR((VLOOKUP($E25,'AEO23 Table 23'!$B$13:$AF$61,W$1,FALSE)-(VLOOKUP($E25,'AEO23 Table 23'!$B$13:$AF$61,V$1,FALSE)))/VLOOKUP($E25,'AEO23 Table 23'!$B$13:$AF$61,V$1,FALSE),"")</f>
        <v>1.261426522294214E-2</v>
      </c>
      <c r="X25" s="54">
        <f>IFERROR((VLOOKUP($E25,'AEO23 Table 23'!$B$13:$AF$61,X$1,FALSE)-(VLOOKUP($E25,'AEO23 Table 23'!$B$13:$AF$61,W$1,FALSE)))/VLOOKUP($E25,'AEO23 Table 23'!$B$13:$AF$61,W$1,FALSE),"")</f>
        <v>1.0036546637792765E-2</v>
      </c>
      <c r="Y25" s="54">
        <f>IFERROR((VLOOKUP($E25,'AEO23 Table 23'!$B$13:$AF$61,Y$1,FALSE)-(VLOOKUP($E25,'AEO23 Table 23'!$B$13:$AF$61,X$1,FALSE)))/VLOOKUP($E25,'AEO23 Table 23'!$B$13:$AF$61,X$1,FALSE),"")</f>
        <v>1.416599813412721E-2</v>
      </c>
      <c r="Z25" s="54">
        <f>IFERROR((VLOOKUP($E25,'AEO23 Table 23'!$B$13:$AF$61,Z$1,FALSE)-(VLOOKUP($E25,'AEO23 Table 23'!$B$13:$AF$61,Y$1,FALSE)))/VLOOKUP($E25,'AEO23 Table 23'!$B$13:$AF$61,Y$1,FALSE),"")</f>
        <v>1.7544355535903288E-2</v>
      </c>
      <c r="AA25" s="54">
        <f>IFERROR((VLOOKUP($E25,'AEO23 Table 23'!$B$13:$AF$61,AA$1,FALSE)-(VLOOKUP($E25,'AEO23 Table 23'!$B$13:$AF$61,Z$1,FALSE)))/VLOOKUP($E25,'AEO23 Table 23'!$B$13:$AF$61,Z$1,FALSE),"")</f>
        <v>1.7104449392339915E-2</v>
      </c>
      <c r="AB25" s="54">
        <f>IFERROR((VLOOKUP($E25,'AEO23 Table 23'!$B$13:$AF$61,AB$1,FALSE)-(VLOOKUP($E25,'AEO23 Table 23'!$B$13:$AF$61,AA$1,FALSE)))/VLOOKUP($E25,'AEO23 Table 23'!$B$13:$AF$61,AA$1,FALSE),"")</f>
        <v>1.4535340252123718E-2</v>
      </c>
      <c r="AC25" s="54">
        <f>IFERROR((VLOOKUP($E25,'AEO23 Table 23'!$B$13:$AF$61,AC$1,FALSE)-(VLOOKUP($E25,'AEO23 Table 23'!$B$13:$AF$61,AB$1,FALSE)))/VLOOKUP($E25,'AEO23 Table 23'!$B$13:$AF$61,AB$1,FALSE),"")</f>
        <v>1.1828660987783488E-2</v>
      </c>
      <c r="AD25" s="54">
        <f>IFERROR((VLOOKUP($E25,'AEO23 Table 23'!$B$13:$AF$61,AD$1,FALSE)-(VLOOKUP($E25,'AEO23 Table 23'!$B$13:$AF$61,AC$1,FALSE)))/VLOOKUP($E25,'AEO23 Table 23'!$B$13:$AF$61,AC$1,FALSE),"")</f>
        <v>1.1803524811730859E-2</v>
      </c>
      <c r="AE25" s="54">
        <f>IFERROR((VLOOKUP($E25,'AEO23 Table 23'!$B$13:$AF$61,AE$1,FALSE)-(VLOOKUP($E25,'AEO23 Table 23'!$B$13:$AF$61,AD$1,FALSE)))/VLOOKUP($E25,'AEO23 Table 23'!$B$13:$AF$61,AD$1,FALSE),"")</f>
        <v>1.5165840790277095E-2</v>
      </c>
      <c r="AF25" s="54">
        <f>IFERROR((VLOOKUP($E25,'AEO23 Table 23'!$B$13:$AF$61,AF$1,FALSE)-(VLOOKUP($E25,'AEO23 Table 23'!$B$13:$AF$61,AE$1,FALSE)))/VLOOKUP($E25,'AEO23 Table 23'!$B$13:$AF$61,AE$1,FALSE),"")</f>
        <v>1.6166940942306449E-2</v>
      </c>
      <c r="AG25" s="54">
        <f>IFERROR((VLOOKUP($E25,'AEO23 Table 23'!$B$13:$AF$61,AG$1,FALSE)-(VLOOKUP($E25,'AEO23 Table 23'!$B$13:$AF$61,AF$1,FALSE)))/VLOOKUP($E25,'AEO23 Table 23'!$B$13:$AF$61,AF$1,FALSE),"")</f>
        <v>1.434989581714108E-2</v>
      </c>
      <c r="AH25" s="54">
        <f>IFERROR((VLOOKUP($E25,'AEO23 Table 23'!$B$13:$AF$61,AH$1,FALSE)-(VLOOKUP($E25,'AEO23 Table 23'!$B$13:$AF$61,AG$1,FALSE)))/VLOOKUP($E25,'AEO23 Table 23'!$B$13:$AF$61,AG$1,FALSE),"")</f>
        <v>1.3533293976527907E-2</v>
      </c>
      <c r="AI25" s="54">
        <f>IFERROR((VLOOKUP($E25,'AEO23 Table 23'!$B$13:$AF$61,AI$1,FALSE)-(VLOOKUP($E25,'AEO23 Table 23'!$B$13:$AF$61,AH$1,FALSE)))/VLOOKUP($E25,'AEO23 Table 23'!$B$13:$AF$61,AH$1,FALSE),"")</f>
        <v>1.6845151761667794E-2</v>
      </c>
    </row>
    <row r="26" spans="1:35" x14ac:dyDescent="0.3">
      <c r="A26" s="125" t="s">
        <v>16</v>
      </c>
      <c r="B26" s="49" cm="1">
        <f t="array" ref="B26">SUMPRODUCT(--('BLS Table 2.7'!$O:$O=$A26),'BLS Table 2.7'!L:L,'BLS Table 2.7'!N:N)/SUMIFS('BLS Table 2.7'!L:L,'BLS Table 2.7'!$O:$O,$A26)/100</f>
        <v>1.9602006688963208E-2</v>
      </c>
      <c r="E26" s="1" t="s">
        <v>643</v>
      </c>
      <c r="F26" s="54">
        <f>IFERROR(INDEX('AEO23 Table 23'!$AG$22:$AG$61,MATCH($E26,'AEO23 Table 23'!$B$22:$B$61,0)),"")</f>
        <v>1.4344000000000001E-2</v>
      </c>
      <c r="G26" s="54">
        <f>(INDEX('AEO23 Table 23'!$D$22:$D$61,MATCH('Growth Rates'!E26,'AEO23 Table 23'!$B$22:$B$61,0))-INDEX('AEO22 Table 23'!$D$22:$D$58,MATCH('Growth Rates'!E26,'AEO22 Table 23'!$B$22:$B$58,0)))/INDEX('AEO22 Table 23'!$D$22:$D$58,MATCH('Growth Rates'!E26,'AEO22 Table 23'!$B$22:$B$58,0))</f>
        <v>2.8290025712801276E-2</v>
      </c>
      <c r="H26" s="54">
        <f>IFERROR((VLOOKUP($E26,'AEO23 Table 23'!$B$13:$AF$61,H$1,FALSE)-(VLOOKUP($E26,'AEO23 Table 23'!$B$13:$AF$61,G$1,FALSE)))/VLOOKUP($E26,'AEO23 Table 23'!$B$13:$AF$61,G$1,FALSE),"")</f>
        <v>3.1107246239968037E-2</v>
      </c>
      <c r="I26" s="54">
        <f>IFERROR((VLOOKUP($E26,'AEO23 Table 23'!$B$13:$AF$61,I$1,FALSE)-(VLOOKUP($E26,'AEO23 Table 23'!$B$13:$AF$61,H$1,FALSE)))/VLOOKUP($E26,'AEO23 Table 23'!$B$13:$AF$61,H$1,FALSE),"")</f>
        <v>1.2544624650787853E-2</v>
      </c>
      <c r="J26" s="54">
        <f>IFERROR((VLOOKUP($E26,'AEO23 Table 23'!$B$13:$AF$61,J$1,FALSE)-(VLOOKUP($E26,'AEO23 Table 23'!$B$13:$AF$61,I$1,FALSE)))/VLOOKUP($E26,'AEO23 Table 23'!$B$13:$AF$61,I$1,FALSE),"")</f>
        <v>-2.9244404101126547E-3</v>
      </c>
      <c r="K26" s="54">
        <f>IFERROR((VLOOKUP($E26,'AEO23 Table 23'!$B$13:$AF$61,K$1,FALSE)-(VLOOKUP($E26,'AEO23 Table 23'!$B$13:$AF$61,J$1,FALSE)))/VLOOKUP($E26,'AEO23 Table 23'!$B$13:$AF$61,J$1,FALSE),"")</f>
        <v>5.205823950184249E-3</v>
      </c>
      <c r="L26" s="54">
        <f>IFERROR((VLOOKUP($E26,'AEO23 Table 23'!$B$13:$AF$61,L$1,FALSE)-(VLOOKUP($E26,'AEO23 Table 23'!$B$13:$AF$61,K$1,FALSE)))/VLOOKUP($E26,'AEO23 Table 23'!$B$13:$AF$61,K$1,FALSE),"")</f>
        <v>1.8574672110851245E-2</v>
      </c>
      <c r="M26" s="54">
        <f>IFERROR((VLOOKUP($E26,'AEO23 Table 23'!$B$13:$AF$61,M$1,FALSE)-(VLOOKUP($E26,'AEO23 Table 23'!$B$13:$AF$61,L$1,FALSE)))/VLOOKUP($E26,'AEO23 Table 23'!$B$13:$AF$61,L$1,FALSE),"")</f>
        <v>1.3662340957034046E-2</v>
      </c>
      <c r="N26" s="54">
        <f>IFERROR((VLOOKUP($E26,'AEO23 Table 23'!$B$13:$AF$61,N$1,FALSE)-(VLOOKUP($E26,'AEO23 Table 23'!$B$13:$AF$61,M$1,FALSE)))/VLOOKUP($E26,'AEO23 Table 23'!$B$13:$AF$61,M$1,FALSE),"")</f>
        <v>6.5047579097692026E-3</v>
      </c>
      <c r="O26" s="54">
        <f>IFERROR((VLOOKUP($E26,'AEO23 Table 23'!$B$13:$AF$61,O$1,FALSE)-(VLOOKUP($E26,'AEO23 Table 23'!$B$13:$AF$61,N$1,FALSE)))/VLOOKUP($E26,'AEO23 Table 23'!$B$13:$AF$61,N$1,FALSE),"")</f>
        <v>8.7187459595944681E-3</v>
      </c>
      <c r="P26" s="54">
        <f>IFERROR((VLOOKUP($E26,'AEO23 Table 23'!$B$13:$AF$61,P$1,FALSE)-(VLOOKUP($E26,'AEO23 Table 23'!$B$13:$AF$61,O$1,FALSE)))/VLOOKUP($E26,'AEO23 Table 23'!$B$13:$AF$61,O$1,FALSE),"")</f>
        <v>1.5323770460577677E-2</v>
      </c>
      <c r="Q26" s="54">
        <f>IFERROR((VLOOKUP($E26,'AEO23 Table 23'!$B$13:$AF$61,Q$1,FALSE)-(VLOOKUP($E26,'AEO23 Table 23'!$B$13:$AF$61,P$1,FALSE)))/VLOOKUP($E26,'AEO23 Table 23'!$B$13:$AF$61,P$1,FALSE),"")</f>
        <v>2.5376763892780714E-2</v>
      </c>
      <c r="R26" s="54">
        <f>IFERROR((VLOOKUP($E26,'AEO23 Table 23'!$B$13:$AF$61,R$1,FALSE)-(VLOOKUP($E26,'AEO23 Table 23'!$B$13:$AF$61,Q$1,FALSE)))/VLOOKUP($E26,'AEO23 Table 23'!$B$13:$AF$61,Q$1,FALSE),"")</f>
        <v>2.1572193082817052E-2</v>
      </c>
      <c r="S26" s="54">
        <f>IFERROR((VLOOKUP($E26,'AEO23 Table 23'!$B$13:$AF$61,S$1,FALSE)-(VLOOKUP($E26,'AEO23 Table 23'!$B$13:$AF$61,R$1,FALSE)))/VLOOKUP($E26,'AEO23 Table 23'!$B$13:$AF$61,R$1,FALSE),"")</f>
        <v>1.6116888921541228E-2</v>
      </c>
      <c r="T26" s="54">
        <f>IFERROR((VLOOKUP($E26,'AEO23 Table 23'!$B$13:$AF$61,T$1,FALSE)-(VLOOKUP($E26,'AEO23 Table 23'!$B$13:$AF$61,S$1,FALSE)))/VLOOKUP($E26,'AEO23 Table 23'!$B$13:$AF$61,S$1,FALSE),"")</f>
        <v>1.7345637236072839E-2</v>
      </c>
      <c r="U26" s="54">
        <f>IFERROR((VLOOKUP($E26,'AEO23 Table 23'!$B$13:$AF$61,U$1,FALSE)-(VLOOKUP($E26,'AEO23 Table 23'!$B$13:$AF$61,T$1,FALSE)))/VLOOKUP($E26,'AEO23 Table 23'!$B$13:$AF$61,T$1,FALSE),"")</f>
        <v>1.6353509239479078E-2</v>
      </c>
      <c r="V26" s="54">
        <f>IFERROR((VLOOKUP($E26,'AEO23 Table 23'!$B$13:$AF$61,V$1,FALSE)-(VLOOKUP($E26,'AEO23 Table 23'!$B$13:$AF$61,U$1,FALSE)))/VLOOKUP($E26,'AEO23 Table 23'!$B$13:$AF$61,U$1,FALSE),"")</f>
        <v>1.0977820490328473E-2</v>
      </c>
      <c r="W26" s="54">
        <f>IFERROR((VLOOKUP($E26,'AEO23 Table 23'!$B$13:$AF$61,W$1,FALSE)-(VLOOKUP($E26,'AEO23 Table 23'!$B$13:$AF$61,V$1,FALSE)))/VLOOKUP($E26,'AEO23 Table 23'!$B$13:$AF$61,V$1,FALSE),"")</f>
        <v>1.261426522294214E-2</v>
      </c>
      <c r="X26" s="54">
        <f>IFERROR((VLOOKUP($E26,'AEO23 Table 23'!$B$13:$AF$61,X$1,FALSE)-(VLOOKUP($E26,'AEO23 Table 23'!$B$13:$AF$61,W$1,FALSE)))/VLOOKUP($E26,'AEO23 Table 23'!$B$13:$AF$61,W$1,FALSE),"")</f>
        <v>1.0036546637792765E-2</v>
      </c>
      <c r="Y26" s="54">
        <f>IFERROR((VLOOKUP($E26,'AEO23 Table 23'!$B$13:$AF$61,Y$1,FALSE)-(VLOOKUP($E26,'AEO23 Table 23'!$B$13:$AF$61,X$1,FALSE)))/VLOOKUP($E26,'AEO23 Table 23'!$B$13:$AF$61,X$1,FALSE),"")</f>
        <v>1.416599813412721E-2</v>
      </c>
      <c r="Z26" s="54">
        <f>IFERROR((VLOOKUP($E26,'AEO23 Table 23'!$B$13:$AF$61,Z$1,FALSE)-(VLOOKUP($E26,'AEO23 Table 23'!$B$13:$AF$61,Y$1,FALSE)))/VLOOKUP($E26,'AEO23 Table 23'!$B$13:$AF$61,Y$1,FALSE),"")</f>
        <v>1.7544355535903288E-2</v>
      </c>
      <c r="AA26" s="54">
        <f>IFERROR((VLOOKUP($E26,'AEO23 Table 23'!$B$13:$AF$61,AA$1,FALSE)-(VLOOKUP($E26,'AEO23 Table 23'!$B$13:$AF$61,Z$1,FALSE)))/VLOOKUP($E26,'AEO23 Table 23'!$B$13:$AF$61,Z$1,FALSE),"")</f>
        <v>1.7104449392339915E-2</v>
      </c>
      <c r="AB26" s="54">
        <f>IFERROR((VLOOKUP($E26,'AEO23 Table 23'!$B$13:$AF$61,AB$1,FALSE)-(VLOOKUP($E26,'AEO23 Table 23'!$B$13:$AF$61,AA$1,FALSE)))/VLOOKUP($E26,'AEO23 Table 23'!$B$13:$AF$61,AA$1,FALSE),"")</f>
        <v>1.4535340252123718E-2</v>
      </c>
      <c r="AC26" s="54">
        <f>IFERROR((VLOOKUP($E26,'AEO23 Table 23'!$B$13:$AF$61,AC$1,FALSE)-(VLOOKUP($E26,'AEO23 Table 23'!$B$13:$AF$61,AB$1,FALSE)))/VLOOKUP($E26,'AEO23 Table 23'!$B$13:$AF$61,AB$1,FALSE),"")</f>
        <v>1.1828660987783488E-2</v>
      </c>
      <c r="AD26" s="54">
        <f>IFERROR((VLOOKUP($E26,'AEO23 Table 23'!$B$13:$AF$61,AD$1,FALSE)-(VLOOKUP($E26,'AEO23 Table 23'!$B$13:$AF$61,AC$1,FALSE)))/VLOOKUP($E26,'AEO23 Table 23'!$B$13:$AF$61,AC$1,FALSE),"")</f>
        <v>1.1803524811730859E-2</v>
      </c>
      <c r="AE26" s="54">
        <f>IFERROR((VLOOKUP($E26,'AEO23 Table 23'!$B$13:$AF$61,AE$1,FALSE)-(VLOOKUP($E26,'AEO23 Table 23'!$B$13:$AF$61,AD$1,FALSE)))/VLOOKUP($E26,'AEO23 Table 23'!$B$13:$AF$61,AD$1,FALSE),"")</f>
        <v>1.5165840790277095E-2</v>
      </c>
      <c r="AF26" s="54">
        <f>IFERROR((VLOOKUP($E26,'AEO23 Table 23'!$B$13:$AF$61,AF$1,FALSE)-(VLOOKUP($E26,'AEO23 Table 23'!$B$13:$AF$61,AE$1,FALSE)))/VLOOKUP($E26,'AEO23 Table 23'!$B$13:$AF$61,AE$1,FALSE),"")</f>
        <v>1.6166940942306449E-2</v>
      </c>
      <c r="AG26" s="54">
        <f>IFERROR((VLOOKUP($E26,'AEO23 Table 23'!$B$13:$AF$61,AG$1,FALSE)-(VLOOKUP($E26,'AEO23 Table 23'!$B$13:$AF$61,AF$1,FALSE)))/VLOOKUP($E26,'AEO23 Table 23'!$B$13:$AF$61,AF$1,FALSE),"")</f>
        <v>1.434989581714108E-2</v>
      </c>
      <c r="AH26" s="54">
        <f>IFERROR((VLOOKUP($E26,'AEO23 Table 23'!$B$13:$AF$61,AH$1,FALSE)-(VLOOKUP($E26,'AEO23 Table 23'!$B$13:$AF$61,AG$1,FALSE)))/VLOOKUP($E26,'AEO23 Table 23'!$B$13:$AF$61,AG$1,FALSE),"")</f>
        <v>1.3533293976527907E-2</v>
      </c>
      <c r="AI26" s="54">
        <f>IFERROR((VLOOKUP($E26,'AEO23 Table 23'!$B$13:$AF$61,AI$1,FALSE)-(VLOOKUP($E26,'AEO23 Table 23'!$B$13:$AF$61,AH$1,FALSE)))/VLOOKUP($E26,'AEO23 Table 23'!$B$13:$AF$61,AH$1,FALSE),"")</f>
        <v>1.6845151761667794E-2</v>
      </c>
    </row>
    <row r="27" spans="1:35" x14ac:dyDescent="0.3">
      <c r="A27" s="125" t="s">
        <v>17</v>
      </c>
      <c r="B27" s="49" cm="1">
        <f t="array" ref="B27">SUMPRODUCT(--('BLS Table 2.7'!$O:$O=$A27),'BLS Table 2.7'!L:L,'BLS Table 2.7'!N:N)/SUMIFS('BLS Table 2.7'!L:L,'BLS Table 2.7'!$O:$O,$A27)/100</f>
        <v>1.4107992895204265E-2</v>
      </c>
      <c r="E27" s="1" t="s">
        <v>17</v>
      </c>
      <c r="F27" s="54">
        <f>IFERROR(INDEX('AEO23 Table 23'!$AG$22:$AG$61,MATCH($E27,'AEO23 Table 23'!$B$22:$B$61,0)),"")</f>
        <v>1.3252E-2</v>
      </c>
      <c r="G27" s="54">
        <f>(INDEX('AEO23 Table 23'!$D$22:$D$61,MATCH('Growth Rates'!E27,'AEO23 Table 23'!$B$22:$B$61,0))-INDEX('AEO22 Table 23'!$D$22:$D$58,MATCH('Growth Rates'!E27,'AEO22 Table 23'!$B$22:$B$58,0)))/INDEX('AEO22 Table 23'!$D$22:$D$58,MATCH('Growth Rates'!E27,'AEO22 Table 23'!$B$22:$B$58,0))</f>
        <v>-1.9964132926646411E-3</v>
      </c>
      <c r="H27" s="54">
        <f>IFERROR((VLOOKUP($E27,'AEO23 Table 23'!$B$13:$AF$61,H$1,FALSE)-(VLOOKUP($E27,'AEO23 Table 23'!$B$13:$AF$61,G$1,FALSE)))/VLOOKUP($E27,'AEO23 Table 23'!$B$13:$AF$61,G$1,FALSE),"")</f>
        <v>-1.4094171714878491E-2</v>
      </c>
      <c r="I27" s="54">
        <f>IFERROR((VLOOKUP($E27,'AEO23 Table 23'!$B$13:$AF$61,I$1,FALSE)-(VLOOKUP($E27,'AEO23 Table 23'!$B$13:$AF$61,H$1,FALSE)))/VLOOKUP($E27,'AEO23 Table 23'!$B$13:$AF$61,H$1,FALSE),"")</f>
        <v>2.0814978409917965E-3</v>
      </c>
      <c r="J27" s="54">
        <f>IFERROR((VLOOKUP($E27,'AEO23 Table 23'!$B$13:$AF$61,J$1,FALSE)-(VLOOKUP($E27,'AEO23 Table 23'!$B$13:$AF$61,I$1,FALSE)))/VLOOKUP($E27,'AEO23 Table 23'!$B$13:$AF$61,I$1,FALSE),"")</f>
        <v>5.5670299775831406E-3</v>
      </c>
      <c r="K27" s="54">
        <f>IFERROR((VLOOKUP($E27,'AEO23 Table 23'!$B$13:$AF$61,K$1,FALSE)-(VLOOKUP($E27,'AEO23 Table 23'!$B$13:$AF$61,J$1,FALSE)))/VLOOKUP($E27,'AEO23 Table 23'!$B$13:$AF$61,J$1,FALSE),"")</f>
        <v>2.4824392417320221E-2</v>
      </c>
      <c r="L27" s="54">
        <f>IFERROR((VLOOKUP($E27,'AEO23 Table 23'!$B$13:$AF$61,L$1,FALSE)-(VLOOKUP($E27,'AEO23 Table 23'!$B$13:$AF$61,K$1,FALSE)))/VLOOKUP($E27,'AEO23 Table 23'!$B$13:$AF$61,K$1,FALSE),"")</f>
        <v>2.6832546474481786E-2</v>
      </c>
      <c r="M27" s="54">
        <f>IFERROR((VLOOKUP($E27,'AEO23 Table 23'!$B$13:$AF$61,M$1,FALSE)-(VLOOKUP($E27,'AEO23 Table 23'!$B$13:$AF$61,L$1,FALSE)))/VLOOKUP($E27,'AEO23 Table 23'!$B$13:$AF$61,L$1,FALSE),"")</f>
        <v>1.1196656705197193E-2</v>
      </c>
      <c r="N27" s="54">
        <f>IFERROR((VLOOKUP($E27,'AEO23 Table 23'!$B$13:$AF$61,N$1,FALSE)-(VLOOKUP($E27,'AEO23 Table 23'!$B$13:$AF$61,M$1,FALSE)))/VLOOKUP($E27,'AEO23 Table 23'!$B$13:$AF$61,M$1,FALSE),"")</f>
        <v>1.1609384471234272E-2</v>
      </c>
      <c r="O27" s="54">
        <f>IFERROR((VLOOKUP($E27,'AEO23 Table 23'!$B$13:$AF$61,O$1,FALSE)-(VLOOKUP($E27,'AEO23 Table 23'!$B$13:$AF$61,N$1,FALSE)))/VLOOKUP($E27,'AEO23 Table 23'!$B$13:$AF$61,N$1,FALSE),"")</f>
        <v>9.9453049623864451E-3</v>
      </c>
      <c r="P27" s="54">
        <f>IFERROR((VLOOKUP($E27,'AEO23 Table 23'!$B$13:$AF$61,P$1,FALSE)-(VLOOKUP($E27,'AEO23 Table 23'!$B$13:$AF$61,O$1,FALSE)))/VLOOKUP($E27,'AEO23 Table 23'!$B$13:$AF$61,O$1,FALSE),"")</f>
        <v>9.143688992317444E-3</v>
      </c>
      <c r="Q27" s="54">
        <f>IFERROR((VLOOKUP($E27,'AEO23 Table 23'!$B$13:$AF$61,Q$1,FALSE)-(VLOOKUP($E27,'AEO23 Table 23'!$B$13:$AF$61,P$1,FALSE)))/VLOOKUP($E27,'AEO23 Table 23'!$B$13:$AF$61,P$1,FALSE),"")</f>
        <v>2.3352377693379858E-2</v>
      </c>
      <c r="R27" s="54">
        <f>IFERROR((VLOOKUP($E27,'AEO23 Table 23'!$B$13:$AF$61,R$1,FALSE)-(VLOOKUP($E27,'AEO23 Table 23'!$B$13:$AF$61,Q$1,FALSE)))/VLOOKUP($E27,'AEO23 Table 23'!$B$13:$AF$61,Q$1,FALSE),"")</f>
        <v>1.1356308967830124E-2</v>
      </c>
      <c r="S27" s="54">
        <f>IFERROR((VLOOKUP($E27,'AEO23 Table 23'!$B$13:$AF$61,S$1,FALSE)-(VLOOKUP($E27,'AEO23 Table 23'!$B$13:$AF$61,R$1,FALSE)))/VLOOKUP($E27,'AEO23 Table 23'!$B$13:$AF$61,R$1,FALSE),"")</f>
        <v>9.8263527715307403E-3</v>
      </c>
      <c r="T27" s="54">
        <f>IFERROR((VLOOKUP($E27,'AEO23 Table 23'!$B$13:$AF$61,T$1,FALSE)-(VLOOKUP($E27,'AEO23 Table 23'!$B$13:$AF$61,S$1,FALSE)))/VLOOKUP($E27,'AEO23 Table 23'!$B$13:$AF$61,S$1,FALSE),"")</f>
        <v>1.7273574204118354E-2</v>
      </c>
      <c r="U27" s="54">
        <f>IFERROR((VLOOKUP($E27,'AEO23 Table 23'!$B$13:$AF$61,U$1,FALSE)-(VLOOKUP($E27,'AEO23 Table 23'!$B$13:$AF$61,T$1,FALSE)))/VLOOKUP($E27,'AEO23 Table 23'!$B$13:$AF$61,T$1,FALSE),"")</f>
        <v>1.6821004660258997E-2</v>
      </c>
      <c r="V27" s="54">
        <f>IFERROR((VLOOKUP($E27,'AEO23 Table 23'!$B$13:$AF$61,V$1,FALSE)-(VLOOKUP($E27,'AEO23 Table 23'!$B$13:$AF$61,U$1,FALSE)))/VLOOKUP($E27,'AEO23 Table 23'!$B$13:$AF$61,U$1,FALSE),"")</f>
        <v>1.6443867031167389E-2</v>
      </c>
      <c r="W27" s="54">
        <f>IFERROR((VLOOKUP($E27,'AEO23 Table 23'!$B$13:$AF$61,W$1,FALSE)-(VLOOKUP($E27,'AEO23 Table 23'!$B$13:$AF$61,V$1,FALSE)))/VLOOKUP($E27,'AEO23 Table 23'!$B$13:$AF$61,V$1,FALSE),"")</f>
        <v>1.8446581087302405E-2</v>
      </c>
      <c r="X27" s="54">
        <f>IFERROR((VLOOKUP($E27,'AEO23 Table 23'!$B$13:$AF$61,X$1,FALSE)-(VLOOKUP($E27,'AEO23 Table 23'!$B$13:$AF$61,W$1,FALSE)))/VLOOKUP($E27,'AEO23 Table 23'!$B$13:$AF$61,W$1,FALSE),"")</f>
        <v>1.5373803913235068E-2</v>
      </c>
      <c r="Y27" s="54">
        <f>IFERROR((VLOOKUP($E27,'AEO23 Table 23'!$B$13:$AF$61,Y$1,FALSE)-(VLOOKUP($E27,'AEO23 Table 23'!$B$13:$AF$61,X$1,FALSE)))/VLOOKUP($E27,'AEO23 Table 23'!$B$13:$AF$61,X$1,FALSE),"")</f>
        <v>1.474217258133389E-2</v>
      </c>
      <c r="Z27" s="54">
        <f>IFERROR((VLOOKUP($E27,'AEO23 Table 23'!$B$13:$AF$61,Z$1,FALSE)-(VLOOKUP($E27,'AEO23 Table 23'!$B$13:$AF$61,Y$1,FALSE)))/VLOOKUP($E27,'AEO23 Table 23'!$B$13:$AF$61,Y$1,FALSE),"")</f>
        <v>2.0745060251769525E-2</v>
      </c>
      <c r="AA27" s="54">
        <f>IFERROR((VLOOKUP($E27,'AEO23 Table 23'!$B$13:$AF$61,AA$1,FALSE)-(VLOOKUP($E27,'AEO23 Table 23'!$B$13:$AF$61,Z$1,FALSE)))/VLOOKUP($E27,'AEO23 Table 23'!$B$13:$AF$61,Z$1,FALSE),"")</f>
        <v>1.885033743423491E-2</v>
      </c>
      <c r="AB27" s="54">
        <f>IFERROR((VLOOKUP($E27,'AEO23 Table 23'!$B$13:$AF$61,AB$1,FALSE)-(VLOOKUP($E27,'AEO23 Table 23'!$B$13:$AF$61,AA$1,FALSE)))/VLOOKUP($E27,'AEO23 Table 23'!$B$13:$AF$61,AA$1,FALSE),"")</f>
        <v>1.4397285363047229E-2</v>
      </c>
      <c r="AC27" s="54">
        <f>IFERROR((VLOOKUP($E27,'AEO23 Table 23'!$B$13:$AF$61,AC$1,FALSE)-(VLOOKUP($E27,'AEO23 Table 23'!$B$13:$AF$61,AB$1,FALSE)))/VLOOKUP($E27,'AEO23 Table 23'!$B$13:$AF$61,AB$1,FALSE),"")</f>
        <v>9.8139765193812224E-3</v>
      </c>
      <c r="AD27" s="54">
        <f>IFERROR((VLOOKUP($E27,'AEO23 Table 23'!$B$13:$AF$61,AD$1,FALSE)-(VLOOKUP($E27,'AEO23 Table 23'!$B$13:$AF$61,AC$1,FALSE)))/VLOOKUP($E27,'AEO23 Table 23'!$B$13:$AF$61,AC$1,FALSE),"")</f>
        <v>5.1992816543914196E-3</v>
      </c>
      <c r="AE27" s="54">
        <f>IFERROR((VLOOKUP($E27,'AEO23 Table 23'!$B$13:$AF$61,AE$1,FALSE)-(VLOOKUP($E27,'AEO23 Table 23'!$B$13:$AF$61,AD$1,FALSE)))/VLOOKUP($E27,'AEO23 Table 23'!$B$13:$AF$61,AD$1,FALSE),"")</f>
        <v>1.2479771208234109E-2</v>
      </c>
      <c r="AF27" s="54">
        <f>IFERROR((VLOOKUP($E27,'AEO23 Table 23'!$B$13:$AF$61,AF$1,FALSE)-(VLOOKUP($E27,'AEO23 Table 23'!$B$13:$AF$61,AE$1,FALSE)))/VLOOKUP($E27,'AEO23 Table 23'!$B$13:$AF$61,AE$1,FALSE),"")</f>
        <v>1.4897378047019662E-2</v>
      </c>
      <c r="AG27" s="54">
        <f>IFERROR((VLOOKUP($E27,'AEO23 Table 23'!$B$13:$AF$61,AG$1,FALSE)-(VLOOKUP($E27,'AEO23 Table 23'!$B$13:$AF$61,AF$1,FALSE)))/VLOOKUP($E27,'AEO23 Table 23'!$B$13:$AF$61,AF$1,FALSE),"")</f>
        <v>1.071371226149141E-2</v>
      </c>
      <c r="AH27" s="54">
        <f>IFERROR((VLOOKUP($E27,'AEO23 Table 23'!$B$13:$AF$61,AH$1,FALSE)-(VLOOKUP($E27,'AEO23 Table 23'!$B$13:$AF$61,AG$1,FALSE)))/VLOOKUP($E27,'AEO23 Table 23'!$B$13:$AF$61,AG$1,FALSE),"")</f>
        <v>4.8551268393980974E-3</v>
      </c>
      <c r="AI27" s="54">
        <f>IFERROR((VLOOKUP($E27,'AEO23 Table 23'!$B$13:$AF$61,AI$1,FALSE)-(VLOOKUP($E27,'AEO23 Table 23'!$B$13:$AF$61,AH$1,FALSE)))/VLOOKUP($E27,'AEO23 Table 23'!$B$13:$AF$61,AH$1,FALSE),"")</f>
        <v>2.9332026139109315E-2</v>
      </c>
    </row>
    <row r="28" spans="1:35" x14ac:dyDescent="0.3">
      <c r="A28" s="1" t="s">
        <v>45</v>
      </c>
      <c r="B28" s="49" cm="1">
        <f t="array" ref="B28">SUMPRODUCT(--('BLS Table 2.7'!$O:$O=$A28),'BLS Table 2.7'!L:L,'BLS Table 2.7'!N:N)/SUMIFS('BLS Table 2.7'!L:L,'BLS Table 2.7'!$O:$O,$A28)/100</f>
        <v>1.7000000000000001E-2</v>
      </c>
      <c r="E28" s="1" t="s">
        <v>45</v>
      </c>
      <c r="F28" s="54" t="str">
        <f>IFERROR(INDEX('AEO23 Table 23'!$AG$22:$AG$61,MATCH($E28,'AEO23 Table 23'!$B$22:$B$61,0)),"")</f>
        <v/>
      </c>
      <c r="G28" s="54"/>
      <c r="H28" s="54" t="str">
        <f>IFERROR((VLOOKUP($E28,'AEO23 Table 23'!$B$13:$AF$61,H$1,FALSE)-(VLOOKUP($E28,'AEO23 Table 23'!$B$13:$AF$61,G$1,FALSE)))/VLOOKUP($E28,'AEO23 Table 23'!$B$13:$AF$61,G$1,FALSE),"")</f>
        <v/>
      </c>
      <c r="I28" s="54" t="str">
        <f>IFERROR((VLOOKUP($E28,'AEO23 Table 23'!$B$13:$AF$61,I$1,FALSE)-(VLOOKUP($E28,'AEO23 Table 23'!$B$13:$AF$61,H$1,FALSE)))/VLOOKUP($E28,'AEO23 Table 23'!$B$13:$AF$61,H$1,FALSE),"")</f>
        <v/>
      </c>
      <c r="J28" s="54" t="str">
        <f>IFERROR((VLOOKUP($E28,'AEO23 Table 23'!$B$13:$AF$61,J$1,FALSE)-(VLOOKUP($E28,'AEO23 Table 23'!$B$13:$AF$61,I$1,FALSE)))/VLOOKUP($E28,'AEO23 Table 23'!$B$13:$AF$61,I$1,FALSE),"")</f>
        <v/>
      </c>
      <c r="K28" s="54" t="str">
        <f>IFERROR((VLOOKUP($E28,'AEO23 Table 23'!$B$13:$AF$61,K$1,FALSE)-(VLOOKUP($E28,'AEO23 Table 23'!$B$13:$AF$61,J$1,FALSE)))/VLOOKUP($E28,'AEO23 Table 23'!$B$13:$AF$61,J$1,FALSE),"")</f>
        <v/>
      </c>
      <c r="L28" s="54" t="str">
        <f>IFERROR((VLOOKUP($E28,'AEO23 Table 23'!$B$13:$AF$61,L$1,FALSE)-(VLOOKUP($E28,'AEO23 Table 23'!$B$13:$AF$61,K$1,FALSE)))/VLOOKUP($E28,'AEO23 Table 23'!$B$13:$AF$61,K$1,FALSE),"")</f>
        <v/>
      </c>
      <c r="M28" s="54" t="str">
        <f>IFERROR((VLOOKUP($E28,'AEO23 Table 23'!$B$13:$AF$61,M$1,FALSE)-(VLOOKUP($E28,'AEO23 Table 23'!$B$13:$AF$61,L$1,FALSE)))/VLOOKUP($E28,'AEO23 Table 23'!$B$13:$AF$61,L$1,FALSE),"")</f>
        <v/>
      </c>
      <c r="N28" s="54" t="str">
        <f>IFERROR((VLOOKUP($E28,'AEO23 Table 23'!$B$13:$AF$61,N$1,FALSE)-(VLOOKUP($E28,'AEO23 Table 23'!$B$13:$AF$61,M$1,FALSE)))/VLOOKUP($E28,'AEO23 Table 23'!$B$13:$AF$61,M$1,FALSE),"")</f>
        <v/>
      </c>
      <c r="O28" s="54" t="str">
        <f>IFERROR((VLOOKUP($E28,'AEO23 Table 23'!$B$13:$AF$61,O$1,FALSE)-(VLOOKUP($E28,'AEO23 Table 23'!$B$13:$AF$61,N$1,FALSE)))/VLOOKUP($E28,'AEO23 Table 23'!$B$13:$AF$61,N$1,FALSE),"")</f>
        <v/>
      </c>
      <c r="P28" s="54" t="str">
        <f>IFERROR((VLOOKUP($E28,'AEO23 Table 23'!$B$13:$AF$61,P$1,FALSE)-(VLOOKUP($E28,'AEO23 Table 23'!$B$13:$AF$61,O$1,FALSE)))/VLOOKUP($E28,'AEO23 Table 23'!$B$13:$AF$61,O$1,FALSE),"")</f>
        <v/>
      </c>
      <c r="Q28" s="54" t="str">
        <f>IFERROR((VLOOKUP($E28,'AEO23 Table 23'!$B$13:$AF$61,Q$1,FALSE)-(VLOOKUP($E28,'AEO23 Table 23'!$B$13:$AF$61,P$1,FALSE)))/VLOOKUP($E28,'AEO23 Table 23'!$B$13:$AF$61,P$1,FALSE),"")</f>
        <v/>
      </c>
      <c r="R28" s="54" t="str">
        <f>IFERROR((VLOOKUP($E28,'AEO23 Table 23'!$B$13:$AF$61,R$1,FALSE)-(VLOOKUP($E28,'AEO23 Table 23'!$B$13:$AF$61,Q$1,FALSE)))/VLOOKUP($E28,'AEO23 Table 23'!$B$13:$AF$61,Q$1,FALSE),"")</f>
        <v/>
      </c>
      <c r="S28" s="54" t="str">
        <f>IFERROR((VLOOKUP($E28,'AEO23 Table 23'!$B$13:$AF$61,S$1,FALSE)-(VLOOKUP($E28,'AEO23 Table 23'!$B$13:$AF$61,R$1,FALSE)))/VLOOKUP($E28,'AEO23 Table 23'!$B$13:$AF$61,R$1,FALSE),"")</f>
        <v/>
      </c>
      <c r="T28" s="54" t="str">
        <f>IFERROR((VLOOKUP($E28,'AEO23 Table 23'!$B$13:$AF$61,T$1,FALSE)-(VLOOKUP($E28,'AEO23 Table 23'!$B$13:$AF$61,S$1,FALSE)))/VLOOKUP($E28,'AEO23 Table 23'!$B$13:$AF$61,S$1,FALSE),"")</f>
        <v/>
      </c>
      <c r="U28" s="54" t="str">
        <f>IFERROR((VLOOKUP($E28,'AEO23 Table 23'!$B$13:$AF$61,U$1,FALSE)-(VLOOKUP($E28,'AEO23 Table 23'!$B$13:$AF$61,T$1,FALSE)))/VLOOKUP($E28,'AEO23 Table 23'!$B$13:$AF$61,T$1,FALSE),"")</f>
        <v/>
      </c>
      <c r="V28" s="54" t="str">
        <f>IFERROR((VLOOKUP($E28,'AEO23 Table 23'!$B$13:$AF$61,V$1,FALSE)-(VLOOKUP($E28,'AEO23 Table 23'!$B$13:$AF$61,U$1,FALSE)))/VLOOKUP($E28,'AEO23 Table 23'!$B$13:$AF$61,U$1,FALSE),"")</f>
        <v/>
      </c>
      <c r="W28" s="54" t="str">
        <f>IFERROR((VLOOKUP($E28,'AEO23 Table 23'!$B$13:$AF$61,W$1,FALSE)-(VLOOKUP($E28,'AEO23 Table 23'!$B$13:$AF$61,V$1,FALSE)))/VLOOKUP($E28,'AEO23 Table 23'!$B$13:$AF$61,V$1,FALSE),"")</f>
        <v/>
      </c>
      <c r="X28" s="54" t="str">
        <f>IFERROR((VLOOKUP($E28,'AEO23 Table 23'!$B$13:$AF$61,X$1,FALSE)-(VLOOKUP($E28,'AEO23 Table 23'!$B$13:$AF$61,W$1,FALSE)))/VLOOKUP($E28,'AEO23 Table 23'!$B$13:$AF$61,W$1,FALSE),"")</f>
        <v/>
      </c>
      <c r="Y28" s="54" t="str">
        <f>IFERROR((VLOOKUP($E28,'AEO23 Table 23'!$B$13:$AF$61,Y$1,FALSE)-(VLOOKUP($E28,'AEO23 Table 23'!$B$13:$AF$61,X$1,FALSE)))/VLOOKUP($E28,'AEO23 Table 23'!$B$13:$AF$61,X$1,FALSE),"")</f>
        <v/>
      </c>
      <c r="Z28" s="54" t="str">
        <f>IFERROR((VLOOKUP($E28,'AEO23 Table 23'!$B$13:$AF$61,Z$1,FALSE)-(VLOOKUP($E28,'AEO23 Table 23'!$B$13:$AF$61,Y$1,FALSE)))/VLOOKUP($E28,'AEO23 Table 23'!$B$13:$AF$61,Y$1,FALSE),"")</f>
        <v/>
      </c>
      <c r="AA28" s="54" t="str">
        <f>IFERROR((VLOOKUP($E28,'AEO23 Table 23'!$B$13:$AF$61,AA$1,FALSE)-(VLOOKUP($E28,'AEO23 Table 23'!$B$13:$AF$61,Z$1,FALSE)))/VLOOKUP($E28,'AEO23 Table 23'!$B$13:$AF$61,Z$1,FALSE),"")</f>
        <v/>
      </c>
      <c r="AB28" s="54" t="str">
        <f>IFERROR((VLOOKUP($E28,'AEO23 Table 23'!$B$13:$AF$61,AB$1,FALSE)-(VLOOKUP($E28,'AEO23 Table 23'!$B$13:$AF$61,AA$1,FALSE)))/VLOOKUP($E28,'AEO23 Table 23'!$B$13:$AF$61,AA$1,FALSE),"")</f>
        <v/>
      </c>
      <c r="AC28" s="54" t="str">
        <f>IFERROR((VLOOKUP($E28,'AEO23 Table 23'!$B$13:$AF$61,AC$1,FALSE)-(VLOOKUP($E28,'AEO23 Table 23'!$B$13:$AF$61,AB$1,FALSE)))/VLOOKUP($E28,'AEO23 Table 23'!$B$13:$AF$61,AB$1,FALSE),"")</f>
        <v/>
      </c>
      <c r="AD28" s="54" t="str">
        <f>IFERROR((VLOOKUP($E28,'AEO23 Table 23'!$B$13:$AF$61,AD$1,FALSE)-(VLOOKUP($E28,'AEO23 Table 23'!$B$13:$AF$61,AC$1,FALSE)))/VLOOKUP($E28,'AEO23 Table 23'!$B$13:$AF$61,AC$1,FALSE),"")</f>
        <v/>
      </c>
      <c r="AE28" s="54" t="str">
        <f>IFERROR((VLOOKUP($E28,'AEO23 Table 23'!$B$13:$AF$61,AE$1,FALSE)-(VLOOKUP($E28,'AEO23 Table 23'!$B$13:$AF$61,AD$1,FALSE)))/VLOOKUP($E28,'AEO23 Table 23'!$B$13:$AF$61,AD$1,FALSE),"")</f>
        <v/>
      </c>
      <c r="AF28" s="54" t="str">
        <f>IFERROR((VLOOKUP($E28,'AEO23 Table 23'!$B$13:$AF$61,AF$1,FALSE)-(VLOOKUP($E28,'AEO23 Table 23'!$B$13:$AF$61,AE$1,FALSE)))/VLOOKUP($E28,'AEO23 Table 23'!$B$13:$AF$61,AE$1,FALSE),"")</f>
        <v/>
      </c>
      <c r="AG28" s="54" t="str">
        <f>IFERROR((VLOOKUP($E28,'AEO23 Table 23'!$B$13:$AF$61,AG$1,FALSE)-(VLOOKUP($E28,'AEO23 Table 23'!$B$13:$AF$61,AF$1,FALSE)))/VLOOKUP($E28,'AEO23 Table 23'!$B$13:$AF$61,AF$1,FALSE),"")</f>
        <v/>
      </c>
      <c r="AH28" s="54" t="str">
        <f>IFERROR((VLOOKUP($E28,'AEO23 Table 23'!$B$13:$AF$61,AH$1,FALSE)-(VLOOKUP($E28,'AEO23 Table 23'!$B$13:$AF$61,AG$1,FALSE)))/VLOOKUP($E28,'AEO23 Table 23'!$B$13:$AF$61,AG$1,FALSE),"")</f>
        <v/>
      </c>
      <c r="AI28" s="54" t="str">
        <f>IFERROR((VLOOKUP($E28,'AEO23 Table 23'!$B$13:$AF$61,AI$1,FALSE)-(VLOOKUP($E28,'AEO23 Table 23'!$B$13:$AF$61,AH$1,FALSE)))/VLOOKUP($E28,'AEO23 Table 23'!$B$13:$AF$61,AH$1,FALSE),"")</f>
        <v/>
      </c>
    </row>
    <row r="29" spans="1:35" x14ac:dyDescent="0.3">
      <c r="A29" s="125" t="s">
        <v>46</v>
      </c>
      <c r="B29" s="49" cm="1">
        <f t="array" ref="B29">SUMPRODUCT(--('BLS Table 2.7'!$O:$O=$A29),'BLS Table 2.7'!L:L,'BLS Table 2.7'!N:N)/SUMIFS('BLS Table 2.7'!L:L,'BLS Table 2.7'!$O:$O,$A29)/100</f>
        <v>8.0000000000000002E-3</v>
      </c>
      <c r="E29" s="1" t="s">
        <v>46</v>
      </c>
      <c r="F29" s="54" t="str">
        <f>IFERROR(INDEX('AEO23 Table 23'!$AG$22:$AG$61,MATCH($E29,'AEO23 Table 23'!$B$22:$B$61,0)),"")</f>
        <v/>
      </c>
      <c r="G29" s="54"/>
      <c r="H29" s="54" t="str">
        <f>IFERROR((VLOOKUP($E29,'AEO23 Table 23'!$B$13:$AF$61,H$1,FALSE)-(VLOOKUP($E29,'AEO23 Table 23'!$B$13:$AF$61,G$1,FALSE)))/VLOOKUP($E29,'AEO23 Table 23'!$B$13:$AF$61,G$1,FALSE),"")</f>
        <v/>
      </c>
      <c r="I29" s="54" t="str">
        <f>IFERROR((VLOOKUP($E29,'AEO23 Table 23'!$B$13:$AF$61,I$1,FALSE)-(VLOOKUP($E29,'AEO23 Table 23'!$B$13:$AF$61,H$1,FALSE)))/VLOOKUP($E29,'AEO23 Table 23'!$B$13:$AF$61,H$1,FALSE),"")</f>
        <v/>
      </c>
      <c r="J29" s="54" t="str">
        <f>IFERROR((VLOOKUP($E29,'AEO23 Table 23'!$B$13:$AF$61,J$1,FALSE)-(VLOOKUP($E29,'AEO23 Table 23'!$B$13:$AF$61,I$1,FALSE)))/VLOOKUP($E29,'AEO23 Table 23'!$B$13:$AF$61,I$1,FALSE),"")</f>
        <v/>
      </c>
      <c r="K29" s="54" t="str">
        <f>IFERROR((VLOOKUP($E29,'AEO23 Table 23'!$B$13:$AF$61,K$1,FALSE)-(VLOOKUP($E29,'AEO23 Table 23'!$B$13:$AF$61,J$1,FALSE)))/VLOOKUP($E29,'AEO23 Table 23'!$B$13:$AF$61,J$1,FALSE),"")</f>
        <v/>
      </c>
      <c r="L29" s="54" t="str">
        <f>IFERROR((VLOOKUP($E29,'AEO23 Table 23'!$B$13:$AF$61,L$1,FALSE)-(VLOOKUP($E29,'AEO23 Table 23'!$B$13:$AF$61,K$1,FALSE)))/VLOOKUP($E29,'AEO23 Table 23'!$B$13:$AF$61,K$1,FALSE),"")</f>
        <v/>
      </c>
      <c r="M29" s="54" t="str">
        <f>IFERROR((VLOOKUP($E29,'AEO23 Table 23'!$B$13:$AF$61,M$1,FALSE)-(VLOOKUP($E29,'AEO23 Table 23'!$B$13:$AF$61,L$1,FALSE)))/VLOOKUP($E29,'AEO23 Table 23'!$B$13:$AF$61,L$1,FALSE),"")</f>
        <v/>
      </c>
      <c r="N29" s="54" t="str">
        <f>IFERROR((VLOOKUP($E29,'AEO23 Table 23'!$B$13:$AF$61,N$1,FALSE)-(VLOOKUP($E29,'AEO23 Table 23'!$B$13:$AF$61,M$1,FALSE)))/VLOOKUP($E29,'AEO23 Table 23'!$B$13:$AF$61,M$1,FALSE),"")</f>
        <v/>
      </c>
      <c r="O29" s="54" t="str">
        <f>IFERROR((VLOOKUP($E29,'AEO23 Table 23'!$B$13:$AF$61,O$1,FALSE)-(VLOOKUP($E29,'AEO23 Table 23'!$B$13:$AF$61,N$1,FALSE)))/VLOOKUP($E29,'AEO23 Table 23'!$B$13:$AF$61,N$1,FALSE),"")</f>
        <v/>
      </c>
      <c r="P29" s="54" t="str">
        <f>IFERROR((VLOOKUP($E29,'AEO23 Table 23'!$B$13:$AF$61,P$1,FALSE)-(VLOOKUP($E29,'AEO23 Table 23'!$B$13:$AF$61,O$1,FALSE)))/VLOOKUP($E29,'AEO23 Table 23'!$B$13:$AF$61,O$1,FALSE),"")</f>
        <v/>
      </c>
      <c r="Q29" s="54" t="str">
        <f>IFERROR((VLOOKUP($E29,'AEO23 Table 23'!$B$13:$AF$61,Q$1,FALSE)-(VLOOKUP($E29,'AEO23 Table 23'!$B$13:$AF$61,P$1,FALSE)))/VLOOKUP($E29,'AEO23 Table 23'!$B$13:$AF$61,P$1,FALSE),"")</f>
        <v/>
      </c>
      <c r="R29" s="54" t="str">
        <f>IFERROR((VLOOKUP($E29,'AEO23 Table 23'!$B$13:$AF$61,R$1,FALSE)-(VLOOKUP($E29,'AEO23 Table 23'!$B$13:$AF$61,Q$1,FALSE)))/VLOOKUP($E29,'AEO23 Table 23'!$B$13:$AF$61,Q$1,FALSE),"")</f>
        <v/>
      </c>
      <c r="S29" s="54" t="str">
        <f>IFERROR((VLOOKUP($E29,'AEO23 Table 23'!$B$13:$AF$61,S$1,FALSE)-(VLOOKUP($E29,'AEO23 Table 23'!$B$13:$AF$61,R$1,FALSE)))/VLOOKUP($E29,'AEO23 Table 23'!$B$13:$AF$61,R$1,FALSE),"")</f>
        <v/>
      </c>
      <c r="T29" s="54" t="str">
        <f>IFERROR((VLOOKUP($E29,'AEO23 Table 23'!$B$13:$AF$61,T$1,FALSE)-(VLOOKUP($E29,'AEO23 Table 23'!$B$13:$AF$61,S$1,FALSE)))/VLOOKUP($E29,'AEO23 Table 23'!$B$13:$AF$61,S$1,FALSE),"")</f>
        <v/>
      </c>
      <c r="U29" s="54" t="str">
        <f>IFERROR((VLOOKUP($E29,'AEO23 Table 23'!$B$13:$AF$61,U$1,FALSE)-(VLOOKUP($E29,'AEO23 Table 23'!$B$13:$AF$61,T$1,FALSE)))/VLOOKUP($E29,'AEO23 Table 23'!$B$13:$AF$61,T$1,FALSE),"")</f>
        <v/>
      </c>
      <c r="V29" s="54" t="str">
        <f>IFERROR((VLOOKUP($E29,'AEO23 Table 23'!$B$13:$AF$61,V$1,FALSE)-(VLOOKUP($E29,'AEO23 Table 23'!$B$13:$AF$61,U$1,FALSE)))/VLOOKUP($E29,'AEO23 Table 23'!$B$13:$AF$61,U$1,FALSE),"")</f>
        <v/>
      </c>
      <c r="W29" s="54" t="str">
        <f>IFERROR((VLOOKUP($E29,'AEO23 Table 23'!$B$13:$AF$61,W$1,FALSE)-(VLOOKUP($E29,'AEO23 Table 23'!$B$13:$AF$61,V$1,FALSE)))/VLOOKUP($E29,'AEO23 Table 23'!$B$13:$AF$61,V$1,FALSE),"")</f>
        <v/>
      </c>
      <c r="X29" s="54" t="str">
        <f>IFERROR((VLOOKUP($E29,'AEO23 Table 23'!$B$13:$AF$61,X$1,FALSE)-(VLOOKUP($E29,'AEO23 Table 23'!$B$13:$AF$61,W$1,FALSE)))/VLOOKUP($E29,'AEO23 Table 23'!$B$13:$AF$61,W$1,FALSE),"")</f>
        <v/>
      </c>
      <c r="Y29" s="54" t="str">
        <f>IFERROR((VLOOKUP($E29,'AEO23 Table 23'!$B$13:$AF$61,Y$1,FALSE)-(VLOOKUP($E29,'AEO23 Table 23'!$B$13:$AF$61,X$1,FALSE)))/VLOOKUP($E29,'AEO23 Table 23'!$B$13:$AF$61,X$1,FALSE),"")</f>
        <v/>
      </c>
      <c r="Z29" s="54" t="str">
        <f>IFERROR((VLOOKUP($E29,'AEO23 Table 23'!$B$13:$AF$61,Z$1,FALSE)-(VLOOKUP($E29,'AEO23 Table 23'!$B$13:$AF$61,Y$1,FALSE)))/VLOOKUP($E29,'AEO23 Table 23'!$B$13:$AF$61,Y$1,FALSE),"")</f>
        <v/>
      </c>
      <c r="AA29" s="54" t="str">
        <f>IFERROR((VLOOKUP($E29,'AEO23 Table 23'!$B$13:$AF$61,AA$1,FALSE)-(VLOOKUP($E29,'AEO23 Table 23'!$B$13:$AF$61,Z$1,FALSE)))/VLOOKUP($E29,'AEO23 Table 23'!$B$13:$AF$61,Z$1,FALSE),"")</f>
        <v/>
      </c>
      <c r="AB29" s="54" t="str">
        <f>IFERROR((VLOOKUP($E29,'AEO23 Table 23'!$B$13:$AF$61,AB$1,FALSE)-(VLOOKUP($E29,'AEO23 Table 23'!$B$13:$AF$61,AA$1,FALSE)))/VLOOKUP($E29,'AEO23 Table 23'!$B$13:$AF$61,AA$1,FALSE),"")</f>
        <v/>
      </c>
      <c r="AC29" s="54" t="str">
        <f>IFERROR((VLOOKUP($E29,'AEO23 Table 23'!$B$13:$AF$61,AC$1,FALSE)-(VLOOKUP($E29,'AEO23 Table 23'!$B$13:$AF$61,AB$1,FALSE)))/VLOOKUP($E29,'AEO23 Table 23'!$B$13:$AF$61,AB$1,FALSE),"")</f>
        <v/>
      </c>
      <c r="AD29" s="54" t="str">
        <f>IFERROR((VLOOKUP($E29,'AEO23 Table 23'!$B$13:$AF$61,AD$1,FALSE)-(VLOOKUP($E29,'AEO23 Table 23'!$B$13:$AF$61,AC$1,FALSE)))/VLOOKUP($E29,'AEO23 Table 23'!$B$13:$AF$61,AC$1,FALSE),"")</f>
        <v/>
      </c>
      <c r="AE29" s="54" t="str">
        <f>IFERROR((VLOOKUP($E29,'AEO23 Table 23'!$B$13:$AF$61,AE$1,FALSE)-(VLOOKUP($E29,'AEO23 Table 23'!$B$13:$AF$61,AD$1,FALSE)))/VLOOKUP($E29,'AEO23 Table 23'!$B$13:$AF$61,AD$1,FALSE),"")</f>
        <v/>
      </c>
      <c r="AF29" s="54" t="str">
        <f>IFERROR((VLOOKUP($E29,'AEO23 Table 23'!$B$13:$AF$61,AF$1,FALSE)-(VLOOKUP($E29,'AEO23 Table 23'!$B$13:$AF$61,AE$1,FALSE)))/VLOOKUP($E29,'AEO23 Table 23'!$B$13:$AF$61,AE$1,FALSE),"")</f>
        <v/>
      </c>
      <c r="AG29" s="54" t="str">
        <f>IFERROR((VLOOKUP($E29,'AEO23 Table 23'!$B$13:$AF$61,AG$1,FALSE)-(VLOOKUP($E29,'AEO23 Table 23'!$B$13:$AF$61,AF$1,FALSE)))/VLOOKUP($E29,'AEO23 Table 23'!$B$13:$AF$61,AF$1,FALSE),"")</f>
        <v/>
      </c>
      <c r="AH29" s="54" t="str">
        <f>IFERROR((VLOOKUP($E29,'AEO23 Table 23'!$B$13:$AF$61,AH$1,FALSE)-(VLOOKUP($E29,'AEO23 Table 23'!$B$13:$AF$61,AG$1,FALSE)))/VLOOKUP($E29,'AEO23 Table 23'!$B$13:$AF$61,AG$1,FALSE),"")</f>
        <v/>
      </c>
      <c r="AI29" s="54" t="str">
        <f>IFERROR((VLOOKUP($E29,'AEO23 Table 23'!$B$13:$AF$61,AI$1,FALSE)-(VLOOKUP($E29,'AEO23 Table 23'!$B$13:$AF$61,AH$1,FALSE)))/VLOOKUP($E29,'AEO23 Table 23'!$B$13:$AF$61,AH$1,FALSE),"")</f>
        <v/>
      </c>
    </row>
    <row r="30" spans="1:35" x14ac:dyDescent="0.3">
      <c r="A30" s="125" t="s">
        <v>47</v>
      </c>
      <c r="B30" s="49" cm="1">
        <f t="array" ref="B30">SUMPRODUCT(--('BLS Table 2.7'!$O:$O=$A30),'BLS Table 2.7'!L:L,'BLS Table 2.7'!N:N)/SUMIFS('BLS Table 2.7'!L:L,'BLS Table 2.7'!$O:$O,$A30)/100</f>
        <v>1.6380645161290324E-2</v>
      </c>
      <c r="E30" s="1" t="s">
        <v>47</v>
      </c>
      <c r="F30" s="54" t="str">
        <f>IFERROR(INDEX('AEO23 Table 23'!$AG$22:$AG$61,MATCH($E30,'AEO23 Table 23'!$B$22:$B$61,0)),"")</f>
        <v/>
      </c>
      <c r="G30" s="54"/>
      <c r="H30" s="54" t="str">
        <f>IFERROR((VLOOKUP($E30,'AEO23 Table 23'!$B$13:$AF$61,H$1,FALSE)-(VLOOKUP($E30,'AEO23 Table 23'!$B$13:$AF$61,G$1,FALSE)))/VLOOKUP($E30,'AEO23 Table 23'!$B$13:$AF$61,G$1,FALSE),"")</f>
        <v/>
      </c>
      <c r="I30" s="54" t="str">
        <f>IFERROR((VLOOKUP($E30,'AEO23 Table 23'!$B$13:$AF$61,I$1,FALSE)-(VLOOKUP($E30,'AEO23 Table 23'!$B$13:$AF$61,H$1,FALSE)))/VLOOKUP($E30,'AEO23 Table 23'!$B$13:$AF$61,H$1,FALSE),"")</f>
        <v/>
      </c>
      <c r="J30" s="54" t="str">
        <f>IFERROR((VLOOKUP($E30,'AEO23 Table 23'!$B$13:$AF$61,J$1,FALSE)-(VLOOKUP($E30,'AEO23 Table 23'!$B$13:$AF$61,I$1,FALSE)))/VLOOKUP($E30,'AEO23 Table 23'!$B$13:$AF$61,I$1,FALSE),"")</f>
        <v/>
      </c>
      <c r="K30" s="54" t="str">
        <f>IFERROR((VLOOKUP($E30,'AEO23 Table 23'!$B$13:$AF$61,K$1,FALSE)-(VLOOKUP($E30,'AEO23 Table 23'!$B$13:$AF$61,J$1,FALSE)))/VLOOKUP($E30,'AEO23 Table 23'!$B$13:$AF$61,J$1,FALSE),"")</f>
        <v/>
      </c>
      <c r="L30" s="54" t="str">
        <f>IFERROR((VLOOKUP($E30,'AEO23 Table 23'!$B$13:$AF$61,L$1,FALSE)-(VLOOKUP($E30,'AEO23 Table 23'!$B$13:$AF$61,K$1,FALSE)))/VLOOKUP($E30,'AEO23 Table 23'!$B$13:$AF$61,K$1,FALSE),"")</f>
        <v/>
      </c>
      <c r="M30" s="54" t="str">
        <f>IFERROR((VLOOKUP($E30,'AEO23 Table 23'!$B$13:$AF$61,M$1,FALSE)-(VLOOKUP($E30,'AEO23 Table 23'!$B$13:$AF$61,L$1,FALSE)))/VLOOKUP($E30,'AEO23 Table 23'!$B$13:$AF$61,L$1,FALSE),"")</f>
        <v/>
      </c>
      <c r="N30" s="54" t="str">
        <f>IFERROR((VLOOKUP($E30,'AEO23 Table 23'!$B$13:$AF$61,N$1,FALSE)-(VLOOKUP($E30,'AEO23 Table 23'!$B$13:$AF$61,M$1,FALSE)))/VLOOKUP($E30,'AEO23 Table 23'!$B$13:$AF$61,M$1,FALSE),"")</f>
        <v/>
      </c>
      <c r="O30" s="54" t="str">
        <f>IFERROR((VLOOKUP($E30,'AEO23 Table 23'!$B$13:$AF$61,O$1,FALSE)-(VLOOKUP($E30,'AEO23 Table 23'!$B$13:$AF$61,N$1,FALSE)))/VLOOKUP($E30,'AEO23 Table 23'!$B$13:$AF$61,N$1,FALSE),"")</f>
        <v/>
      </c>
      <c r="P30" s="54" t="str">
        <f>IFERROR((VLOOKUP($E30,'AEO23 Table 23'!$B$13:$AF$61,P$1,FALSE)-(VLOOKUP($E30,'AEO23 Table 23'!$B$13:$AF$61,O$1,FALSE)))/VLOOKUP($E30,'AEO23 Table 23'!$B$13:$AF$61,O$1,FALSE),"")</f>
        <v/>
      </c>
      <c r="Q30" s="54" t="str">
        <f>IFERROR((VLOOKUP($E30,'AEO23 Table 23'!$B$13:$AF$61,Q$1,FALSE)-(VLOOKUP($E30,'AEO23 Table 23'!$B$13:$AF$61,P$1,FALSE)))/VLOOKUP($E30,'AEO23 Table 23'!$B$13:$AF$61,P$1,FALSE),"")</f>
        <v/>
      </c>
      <c r="R30" s="54" t="str">
        <f>IFERROR((VLOOKUP($E30,'AEO23 Table 23'!$B$13:$AF$61,R$1,FALSE)-(VLOOKUP($E30,'AEO23 Table 23'!$B$13:$AF$61,Q$1,FALSE)))/VLOOKUP($E30,'AEO23 Table 23'!$B$13:$AF$61,Q$1,FALSE),"")</f>
        <v/>
      </c>
      <c r="S30" s="54" t="str">
        <f>IFERROR((VLOOKUP($E30,'AEO23 Table 23'!$B$13:$AF$61,S$1,FALSE)-(VLOOKUP($E30,'AEO23 Table 23'!$B$13:$AF$61,R$1,FALSE)))/VLOOKUP($E30,'AEO23 Table 23'!$B$13:$AF$61,R$1,FALSE),"")</f>
        <v/>
      </c>
      <c r="T30" s="54" t="str">
        <f>IFERROR((VLOOKUP($E30,'AEO23 Table 23'!$B$13:$AF$61,T$1,FALSE)-(VLOOKUP($E30,'AEO23 Table 23'!$B$13:$AF$61,S$1,FALSE)))/VLOOKUP($E30,'AEO23 Table 23'!$B$13:$AF$61,S$1,FALSE),"")</f>
        <v/>
      </c>
      <c r="U30" s="54" t="str">
        <f>IFERROR((VLOOKUP($E30,'AEO23 Table 23'!$B$13:$AF$61,U$1,FALSE)-(VLOOKUP($E30,'AEO23 Table 23'!$B$13:$AF$61,T$1,FALSE)))/VLOOKUP($E30,'AEO23 Table 23'!$B$13:$AF$61,T$1,FALSE),"")</f>
        <v/>
      </c>
      <c r="V30" s="54" t="str">
        <f>IFERROR((VLOOKUP($E30,'AEO23 Table 23'!$B$13:$AF$61,V$1,FALSE)-(VLOOKUP($E30,'AEO23 Table 23'!$B$13:$AF$61,U$1,FALSE)))/VLOOKUP($E30,'AEO23 Table 23'!$B$13:$AF$61,U$1,FALSE),"")</f>
        <v/>
      </c>
      <c r="W30" s="54" t="str">
        <f>IFERROR((VLOOKUP($E30,'AEO23 Table 23'!$B$13:$AF$61,W$1,FALSE)-(VLOOKUP($E30,'AEO23 Table 23'!$B$13:$AF$61,V$1,FALSE)))/VLOOKUP($E30,'AEO23 Table 23'!$B$13:$AF$61,V$1,FALSE),"")</f>
        <v/>
      </c>
      <c r="X30" s="54" t="str">
        <f>IFERROR((VLOOKUP($E30,'AEO23 Table 23'!$B$13:$AF$61,X$1,FALSE)-(VLOOKUP($E30,'AEO23 Table 23'!$B$13:$AF$61,W$1,FALSE)))/VLOOKUP($E30,'AEO23 Table 23'!$B$13:$AF$61,W$1,FALSE),"")</f>
        <v/>
      </c>
      <c r="Y30" s="54" t="str">
        <f>IFERROR((VLOOKUP($E30,'AEO23 Table 23'!$B$13:$AF$61,Y$1,FALSE)-(VLOOKUP($E30,'AEO23 Table 23'!$B$13:$AF$61,X$1,FALSE)))/VLOOKUP($E30,'AEO23 Table 23'!$B$13:$AF$61,X$1,FALSE),"")</f>
        <v/>
      </c>
      <c r="Z30" s="54" t="str">
        <f>IFERROR((VLOOKUP($E30,'AEO23 Table 23'!$B$13:$AF$61,Z$1,FALSE)-(VLOOKUP($E30,'AEO23 Table 23'!$B$13:$AF$61,Y$1,FALSE)))/VLOOKUP($E30,'AEO23 Table 23'!$B$13:$AF$61,Y$1,FALSE),"")</f>
        <v/>
      </c>
      <c r="AA30" s="54" t="str">
        <f>IFERROR((VLOOKUP($E30,'AEO23 Table 23'!$B$13:$AF$61,AA$1,FALSE)-(VLOOKUP($E30,'AEO23 Table 23'!$B$13:$AF$61,Z$1,FALSE)))/VLOOKUP($E30,'AEO23 Table 23'!$B$13:$AF$61,Z$1,FALSE),"")</f>
        <v/>
      </c>
      <c r="AB30" s="54" t="str">
        <f>IFERROR((VLOOKUP($E30,'AEO23 Table 23'!$B$13:$AF$61,AB$1,FALSE)-(VLOOKUP($E30,'AEO23 Table 23'!$B$13:$AF$61,AA$1,FALSE)))/VLOOKUP($E30,'AEO23 Table 23'!$B$13:$AF$61,AA$1,FALSE),"")</f>
        <v/>
      </c>
      <c r="AC30" s="54" t="str">
        <f>IFERROR((VLOOKUP($E30,'AEO23 Table 23'!$B$13:$AF$61,AC$1,FALSE)-(VLOOKUP($E30,'AEO23 Table 23'!$B$13:$AF$61,AB$1,FALSE)))/VLOOKUP($E30,'AEO23 Table 23'!$B$13:$AF$61,AB$1,FALSE),"")</f>
        <v/>
      </c>
      <c r="AD30" s="54" t="str">
        <f>IFERROR((VLOOKUP($E30,'AEO23 Table 23'!$B$13:$AF$61,AD$1,FALSE)-(VLOOKUP($E30,'AEO23 Table 23'!$B$13:$AF$61,AC$1,FALSE)))/VLOOKUP($E30,'AEO23 Table 23'!$B$13:$AF$61,AC$1,FALSE),"")</f>
        <v/>
      </c>
      <c r="AE30" s="54" t="str">
        <f>IFERROR((VLOOKUP($E30,'AEO23 Table 23'!$B$13:$AF$61,AE$1,FALSE)-(VLOOKUP($E30,'AEO23 Table 23'!$B$13:$AF$61,AD$1,FALSE)))/VLOOKUP($E30,'AEO23 Table 23'!$B$13:$AF$61,AD$1,FALSE),"")</f>
        <v/>
      </c>
      <c r="AF30" s="54" t="str">
        <f>IFERROR((VLOOKUP($E30,'AEO23 Table 23'!$B$13:$AF$61,AF$1,FALSE)-(VLOOKUP($E30,'AEO23 Table 23'!$B$13:$AF$61,AE$1,FALSE)))/VLOOKUP($E30,'AEO23 Table 23'!$B$13:$AF$61,AE$1,FALSE),"")</f>
        <v/>
      </c>
      <c r="AG30" s="54" t="str">
        <f>IFERROR((VLOOKUP($E30,'AEO23 Table 23'!$B$13:$AF$61,AG$1,FALSE)-(VLOOKUP($E30,'AEO23 Table 23'!$B$13:$AF$61,AF$1,FALSE)))/VLOOKUP($E30,'AEO23 Table 23'!$B$13:$AF$61,AF$1,FALSE),"")</f>
        <v/>
      </c>
      <c r="AH30" s="54" t="str">
        <f>IFERROR((VLOOKUP($E30,'AEO23 Table 23'!$B$13:$AF$61,AH$1,FALSE)-(VLOOKUP($E30,'AEO23 Table 23'!$B$13:$AF$61,AG$1,FALSE)))/VLOOKUP($E30,'AEO23 Table 23'!$B$13:$AF$61,AG$1,FALSE),"")</f>
        <v/>
      </c>
      <c r="AI30" s="54" t="str">
        <f>IFERROR((VLOOKUP($E30,'AEO23 Table 23'!$B$13:$AF$61,AI$1,FALSE)-(VLOOKUP($E30,'AEO23 Table 23'!$B$13:$AF$61,AH$1,FALSE)))/VLOOKUP($E30,'AEO23 Table 23'!$B$13:$AF$61,AH$1,FALSE),"")</f>
        <v/>
      </c>
    </row>
    <row r="31" spans="1:35" x14ac:dyDescent="0.3">
      <c r="A31" s="125" t="s">
        <v>18</v>
      </c>
      <c r="B31" s="49" cm="1">
        <f t="array" ref="B31">SUMPRODUCT(--('BLS Table 2.7'!$O:$O=$A31),'BLS Table 2.7'!L:L,'BLS Table 2.7'!N:N)/SUMIFS('BLS Table 2.7'!L:L,'BLS Table 2.7'!$O:$O,$A31)/100</f>
        <v>1.3000000000000001E-2</v>
      </c>
      <c r="E31" s="1" t="s">
        <v>18</v>
      </c>
      <c r="F31" s="54">
        <f>IFERROR(INDEX('AEO23 Table 23'!$AG$22:$AG$61,MATCH($E31,'AEO23 Table 23'!$B$22:$B$61,0)),"")</f>
        <v>8.2349999999999993E-3</v>
      </c>
      <c r="G31" s="54">
        <f>(INDEX('AEO23 Table 23'!$D$22:$D$61,MATCH('Growth Rates'!E31,'AEO23 Table 23'!$B$22:$B$61,0))-INDEX('AEO22 Table 23'!$D$22:$D$58,MATCH('Growth Rates'!E31,'AEO22 Table 23'!$B$22:$B$58,0)))/INDEX('AEO22 Table 23'!$D$22:$D$58,MATCH('Growth Rates'!E31,'AEO22 Table 23'!$B$22:$B$58,0))</f>
        <v>-2.462547269728288E-2</v>
      </c>
      <c r="H31" s="54">
        <f>IFERROR((VLOOKUP($E31,'AEO23 Table 23'!$B$13:$AF$61,H$1,FALSE)-(VLOOKUP($E31,'AEO23 Table 23'!$B$13:$AF$61,G$1,FALSE)))/VLOOKUP($E31,'AEO23 Table 23'!$B$13:$AF$61,G$1,FALSE),"")</f>
        <v>-2.1828572575535377E-2</v>
      </c>
      <c r="I31" s="54">
        <f>IFERROR((VLOOKUP($E31,'AEO23 Table 23'!$B$13:$AF$61,I$1,FALSE)-(VLOOKUP($E31,'AEO23 Table 23'!$B$13:$AF$61,H$1,FALSE)))/VLOOKUP($E31,'AEO23 Table 23'!$B$13:$AF$61,H$1,FALSE),"")</f>
        <v>-7.398883148702743E-3</v>
      </c>
      <c r="J31" s="54">
        <f>IFERROR((VLOOKUP($E31,'AEO23 Table 23'!$B$13:$AF$61,J$1,FALSE)-(VLOOKUP($E31,'AEO23 Table 23'!$B$13:$AF$61,I$1,FALSE)))/VLOOKUP($E31,'AEO23 Table 23'!$B$13:$AF$61,I$1,FALSE),"")</f>
        <v>1.5912711895669007E-2</v>
      </c>
      <c r="K31" s="54">
        <f>IFERROR((VLOOKUP($E31,'AEO23 Table 23'!$B$13:$AF$61,K$1,FALSE)-(VLOOKUP($E31,'AEO23 Table 23'!$B$13:$AF$61,J$1,FALSE)))/VLOOKUP($E31,'AEO23 Table 23'!$B$13:$AF$61,J$1,FALSE),"")</f>
        <v>9.8753134364979716E-3</v>
      </c>
      <c r="L31" s="54">
        <f>IFERROR((VLOOKUP($E31,'AEO23 Table 23'!$B$13:$AF$61,L$1,FALSE)-(VLOOKUP($E31,'AEO23 Table 23'!$B$13:$AF$61,K$1,FALSE)))/VLOOKUP($E31,'AEO23 Table 23'!$B$13:$AF$61,K$1,FALSE),"")</f>
        <v>9.0595844592316049E-4</v>
      </c>
      <c r="M31" s="54">
        <f>IFERROR((VLOOKUP($E31,'AEO23 Table 23'!$B$13:$AF$61,M$1,FALSE)-(VLOOKUP($E31,'AEO23 Table 23'!$B$13:$AF$61,L$1,FALSE)))/VLOOKUP($E31,'AEO23 Table 23'!$B$13:$AF$61,L$1,FALSE),"")</f>
        <v>7.6347148732469772E-3</v>
      </c>
      <c r="N31" s="54">
        <f>IFERROR((VLOOKUP($E31,'AEO23 Table 23'!$B$13:$AF$61,N$1,FALSE)-(VLOOKUP($E31,'AEO23 Table 23'!$B$13:$AF$61,M$1,FALSE)))/VLOOKUP($E31,'AEO23 Table 23'!$B$13:$AF$61,M$1,FALSE),"")</f>
        <v>2.3606440147529131E-2</v>
      </c>
      <c r="O31" s="54">
        <f>IFERROR((VLOOKUP($E31,'AEO23 Table 23'!$B$13:$AF$61,O$1,FALSE)-(VLOOKUP($E31,'AEO23 Table 23'!$B$13:$AF$61,N$1,FALSE)))/VLOOKUP($E31,'AEO23 Table 23'!$B$13:$AF$61,N$1,FALSE),"")</f>
        <v>1.5224099410879446E-2</v>
      </c>
      <c r="P31" s="54">
        <f>IFERROR((VLOOKUP($E31,'AEO23 Table 23'!$B$13:$AF$61,P$1,FALSE)-(VLOOKUP($E31,'AEO23 Table 23'!$B$13:$AF$61,O$1,FALSE)))/VLOOKUP($E31,'AEO23 Table 23'!$B$13:$AF$61,O$1,FALSE),"")</f>
        <v>1.4991168247270299E-3</v>
      </c>
      <c r="Q31" s="54">
        <f>IFERROR((VLOOKUP($E31,'AEO23 Table 23'!$B$13:$AF$61,Q$1,FALSE)-(VLOOKUP($E31,'AEO23 Table 23'!$B$13:$AF$61,P$1,FALSE)))/VLOOKUP($E31,'AEO23 Table 23'!$B$13:$AF$61,P$1,FALSE),"")</f>
        <v>-1.1745802451263718E-3</v>
      </c>
      <c r="R31" s="54">
        <f>IFERROR((VLOOKUP($E31,'AEO23 Table 23'!$B$13:$AF$61,R$1,FALSE)-(VLOOKUP($E31,'AEO23 Table 23'!$B$13:$AF$61,Q$1,FALSE)))/VLOOKUP($E31,'AEO23 Table 23'!$B$13:$AF$61,Q$1,FALSE),"")</f>
        <v>1.4985504348045042E-3</v>
      </c>
      <c r="S31" s="54">
        <f>IFERROR((VLOOKUP($E31,'AEO23 Table 23'!$B$13:$AF$61,S$1,FALSE)-(VLOOKUP($E31,'AEO23 Table 23'!$B$13:$AF$61,R$1,FALSE)))/VLOOKUP($E31,'AEO23 Table 23'!$B$13:$AF$61,R$1,FALSE),"")</f>
        <v>1.1495064219934422E-3</v>
      </c>
      <c r="T31" s="54">
        <f>IFERROR((VLOOKUP($E31,'AEO23 Table 23'!$B$13:$AF$61,T$1,FALSE)-(VLOOKUP($E31,'AEO23 Table 23'!$B$13:$AF$61,S$1,FALSE)))/VLOOKUP($E31,'AEO23 Table 23'!$B$13:$AF$61,S$1,FALSE),"")</f>
        <v>4.8649869186569456E-3</v>
      </c>
      <c r="U31" s="54">
        <f>IFERROR((VLOOKUP($E31,'AEO23 Table 23'!$B$13:$AF$61,U$1,FALSE)-(VLOOKUP($E31,'AEO23 Table 23'!$B$13:$AF$61,T$1,FALSE)))/VLOOKUP($E31,'AEO23 Table 23'!$B$13:$AF$61,T$1,FALSE),"")</f>
        <v>8.6177378951996769E-3</v>
      </c>
      <c r="V31" s="54">
        <f>IFERROR((VLOOKUP($E31,'AEO23 Table 23'!$B$13:$AF$61,V$1,FALSE)-(VLOOKUP($E31,'AEO23 Table 23'!$B$13:$AF$61,U$1,FALSE)))/VLOOKUP($E31,'AEO23 Table 23'!$B$13:$AF$61,U$1,FALSE),"")</f>
        <v>1.2849450533876856E-2</v>
      </c>
      <c r="W31" s="54">
        <f>IFERROR((VLOOKUP($E31,'AEO23 Table 23'!$B$13:$AF$61,W$1,FALSE)-(VLOOKUP($E31,'AEO23 Table 23'!$B$13:$AF$61,V$1,FALSE)))/VLOOKUP($E31,'AEO23 Table 23'!$B$13:$AF$61,V$1,FALSE),"")</f>
        <v>1.4534707859538093E-2</v>
      </c>
      <c r="X31" s="54">
        <f>IFERROR((VLOOKUP($E31,'AEO23 Table 23'!$B$13:$AF$61,X$1,FALSE)-(VLOOKUP($E31,'AEO23 Table 23'!$B$13:$AF$61,W$1,FALSE)))/VLOOKUP($E31,'AEO23 Table 23'!$B$13:$AF$61,W$1,FALSE),"")</f>
        <v>1.207020877462019E-2</v>
      </c>
      <c r="Y31" s="54">
        <f>IFERROR((VLOOKUP($E31,'AEO23 Table 23'!$B$13:$AF$61,Y$1,FALSE)-(VLOOKUP($E31,'AEO23 Table 23'!$B$13:$AF$61,X$1,FALSE)))/VLOOKUP($E31,'AEO23 Table 23'!$B$13:$AF$61,X$1,FALSE),"")</f>
        <v>1.3948364414965025E-2</v>
      </c>
      <c r="Z31" s="54">
        <f>IFERROR((VLOOKUP($E31,'AEO23 Table 23'!$B$13:$AF$61,Z$1,FALSE)-(VLOOKUP($E31,'AEO23 Table 23'!$B$13:$AF$61,Y$1,FALSE)))/VLOOKUP($E31,'AEO23 Table 23'!$B$13:$AF$61,Y$1,FALSE),"")</f>
        <v>1.613541434906807E-2</v>
      </c>
      <c r="AA31" s="54">
        <f>IFERROR((VLOOKUP($E31,'AEO23 Table 23'!$B$13:$AF$61,AA$1,FALSE)-(VLOOKUP($E31,'AEO23 Table 23'!$B$13:$AF$61,Z$1,FALSE)))/VLOOKUP($E31,'AEO23 Table 23'!$B$13:$AF$61,Z$1,FALSE),"")</f>
        <v>1.2473548822428258E-2</v>
      </c>
      <c r="AB31" s="54">
        <f>IFERROR((VLOOKUP($E31,'AEO23 Table 23'!$B$13:$AF$61,AB$1,FALSE)-(VLOOKUP($E31,'AEO23 Table 23'!$B$13:$AF$61,AA$1,FALSE)))/VLOOKUP($E31,'AEO23 Table 23'!$B$13:$AF$61,AA$1,FALSE),"")</f>
        <v>1.0688525871105225E-2</v>
      </c>
      <c r="AC31" s="54">
        <f>IFERROR((VLOOKUP($E31,'AEO23 Table 23'!$B$13:$AF$61,AC$1,FALSE)-(VLOOKUP($E31,'AEO23 Table 23'!$B$13:$AF$61,AB$1,FALSE)))/VLOOKUP($E31,'AEO23 Table 23'!$B$13:$AF$61,AB$1,FALSE),"")</f>
        <v>1.0544607129543427E-2</v>
      </c>
      <c r="AD31" s="54">
        <f>IFERROR((VLOOKUP($E31,'AEO23 Table 23'!$B$13:$AF$61,AD$1,FALSE)-(VLOOKUP($E31,'AEO23 Table 23'!$B$13:$AF$61,AC$1,FALSE)))/VLOOKUP($E31,'AEO23 Table 23'!$B$13:$AF$61,AC$1,FALSE),"")</f>
        <v>1.199216661393456E-2</v>
      </c>
      <c r="AE31" s="54">
        <f>IFERROR((VLOOKUP($E31,'AEO23 Table 23'!$B$13:$AF$61,AE$1,FALSE)-(VLOOKUP($E31,'AEO23 Table 23'!$B$13:$AF$61,AD$1,FALSE)))/VLOOKUP($E31,'AEO23 Table 23'!$B$13:$AF$61,AD$1,FALSE),"")</f>
        <v>1.2303674014920541E-2</v>
      </c>
      <c r="AF31" s="54">
        <f>IFERROR((VLOOKUP($E31,'AEO23 Table 23'!$B$13:$AF$61,AF$1,FALSE)-(VLOOKUP($E31,'AEO23 Table 23'!$B$13:$AF$61,AE$1,FALSE)))/VLOOKUP($E31,'AEO23 Table 23'!$B$13:$AF$61,AE$1,FALSE),"")</f>
        <v>1.1841415651298783E-2</v>
      </c>
      <c r="AG31" s="54">
        <f>IFERROR((VLOOKUP($E31,'AEO23 Table 23'!$B$13:$AF$61,AG$1,FALSE)-(VLOOKUP($E31,'AEO23 Table 23'!$B$13:$AF$61,AF$1,FALSE)))/VLOOKUP($E31,'AEO23 Table 23'!$B$13:$AF$61,AF$1,FALSE),"")</f>
        <v>9.8948342439917469E-3</v>
      </c>
      <c r="AH31" s="54">
        <f>IFERROR((VLOOKUP($E31,'AEO23 Table 23'!$B$13:$AF$61,AH$1,FALSE)-(VLOOKUP($E31,'AEO23 Table 23'!$B$13:$AF$61,AG$1,FALSE)))/VLOOKUP($E31,'AEO23 Table 23'!$B$13:$AF$61,AG$1,FALSE),"")</f>
        <v>8.7004993046270063E-3</v>
      </c>
      <c r="AI31" s="54">
        <f>IFERROR((VLOOKUP($E31,'AEO23 Table 23'!$B$13:$AF$61,AI$1,FALSE)-(VLOOKUP($E31,'AEO23 Table 23'!$B$13:$AF$61,AH$1,FALSE)))/VLOOKUP($E31,'AEO23 Table 23'!$B$13:$AF$61,AH$1,FALSE),"")</f>
        <v>1.3232596371850296E-2</v>
      </c>
    </row>
    <row r="32" spans="1:35" x14ac:dyDescent="0.3">
      <c r="A32" s="1" t="s">
        <v>19</v>
      </c>
      <c r="B32" s="49" cm="1">
        <f t="array" ref="B32">SUMPRODUCT(--('BLS Table 2.7'!$O:$O=$A32),'BLS Table 2.7'!L:L,'BLS Table 2.7'!N:N)/SUMIFS('BLS Table 2.7'!L:L,'BLS Table 2.7'!$O:$O,$A32)/100</f>
        <v>2.5021213389121336E-2</v>
      </c>
      <c r="E32" s="1" t="s">
        <v>19</v>
      </c>
      <c r="F32" s="54" t="str">
        <f>IFERROR(INDEX('AEO23 Table 23'!$AG$22:$AG$61,MATCH($E32,'AEO23 Table 23'!$B$22:$B$61,0)),"")</f>
        <v/>
      </c>
      <c r="G32" s="54" t="str">
        <f>IFERROR((VLOOKUP($E32,'AEO23 Table 23'!$B$13:$AF$61,H$1,FALSE)-(VLOOKUP($E32,'AEO23 Table 23'!$B$13:$AF$61,G$1,FALSE)))/VLOOKUP($E32,'AEO23 Table 23'!$B$13:$AF$61,G$1,FALSE),"")</f>
        <v/>
      </c>
      <c r="H32" s="54" t="str">
        <f>IFERROR((VLOOKUP($E32,'AEO23 Table 23'!$B$13:$AF$61,I$1,FALSE)-(VLOOKUP($E32,'AEO23 Table 23'!$B$13:$AF$61,H$1,FALSE)))/VLOOKUP($E32,'AEO23 Table 23'!$B$13:$AF$61,H$1,FALSE),"")</f>
        <v/>
      </c>
      <c r="I32" s="54" t="str">
        <f>IFERROR((VLOOKUP($E32,'AEO23 Table 23'!$B$13:$AF$61,J$1,FALSE)-(VLOOKUP($E32,'AEO23 Table 23'!$B$13:$AF$61,I$1,FALSE)))/VLOOKUP($E32,'AEO23 Table 23'!$B$13:$AF$61,I$1,FALSE),"")</f>
        <v/>
      </c>
      <c r="J32" s="54" t="str">
        <f>IFERROR((VLOOKUP($E32,'AEO23 Table 23'!$B$13:$AF$61,K$1,FALSE)-(VLOOKUP($E32,'AEO23 Table 23'!$B$13:$AF$61,J$1,FALSE)))/VLOOKUP($E32,'AEO23 Table 23'!$B$13:$AF$61,J$1,FALSE),"")</f>
        <v/>
      </c>
      <c r="K32" s="54" t="str">
        <f>IFERROR((VLOOKUP($E32,'AEO23 Table 23'!$B$13:$AF$61,L$1,FALSE)-(VLOOKUP($E32,'AEO23 Table 23'!$B$13:$AF$61,K$1,FALSE)))/VLOOKUP($E32,'AEO23 Table 23'!$B$13:$AF$61,K$1,FALSE),"")</f>
        <v/>
      </c>
      <c r="L32" s="54" t="str">
        <f>IFERROR((VLOOKUP($E32,'AEO23 Table 23'!$B$13:$AF$61,M$1,FALSE)-(VLOOKUP($E32,'AEO23 Table 23'!$B$13:$AF$61,L$1,FALSE)))/VLOOKUP($E32,'AEO23 Table 23'!$B$13:$AF$61,L$1,FALSE),"")</f>
        <v/>
      </c>
      <c r="M32" s="54" t="str">
        <f>IFERROR((VLOOKUP($E32,'AEO23 Table 23'!$B$13:$AF$61,N$1,FALSE)-(VLOOKUP($E32,'AEO23 Table 23'!$B$13:$AF$61,M$1,FALSE)))/VLOOKUP($E32,'AEO23 Table 23'!$B$13:$AF$61,M$1,FALSE),"")</f>
        <v/>
      </c>
      <c r="N32" s="54" t="str">
        <f>IFERROR((VLOOKUP($E32,'AEO23 Table 23'!$B$13:$AF$61,O$1,FALSE)-(VLOOKUP($E32,'AEO23 Table 23'!$B$13:$AF$61,N$1,FALSE)))/VLOOKUP($E32,'AEO23 Table 23'!$B$13:$AF$61,N$1,FALSE),"")</f>
        <v/>
      </c>
      <c r="O32" s="54" t="str">
        <f>IFERROR((VLOOKUP($E32,'AEO23 Table 23'!$B$13:$AF$61,P$1,FALSE)-(VLOOKUP($E32,'AEO23 Table 23'!$B$13:$AF$61,O$1,FALSE)))/VLOOKUP($E32,'AEO23 Table 23'!$B$13:$AF$61,O$1,FALSE),"")</f>
        <v/>
      </c>
      <c r="P32" s="54" t="str">
        <f>IFERROR((VLOOKUP($E32,'AEO23 Table 23'!$B$13:$AF$61,Q$1,FALSE)-(VLOOKUP($E32,'AEO23 Table 23'!$B$13:$AF$61,P$1,FALSE)))/VLOOKUP($E32,'AEO23 Table 23'!$B$13:$AF$61,P$1,FALSE),"")</f>
        <v/>
      </c>
      <c r="Q32" s="54" t="str">
        <f>IFERROR((VLOOKUP($E32,'AEO23 Table 23'!$B$13:$AF$61,R$1,FALSE)-(VLOOKUP($E32,'AEO23 Table 23'!$B$13:$AF$61,Q$1,FALSE)))/VLOOKUP($E32,'AEO23 Table 23'!$B$13:$AF$61,Q$1,FALSE),"")</f>
        <v/>
      </c>
      <c r="R32" s="54" t="str">
        <f>IFERROR((VLOOKUP($E32,'AEO23 Table 23'!$B$13:$AF$61,S$1,FALSE)-(VLOOKUP($E32,'AEO23 Table 23'!$B$13:$AF$61,R$1,FALSE)))/VLOOKUP($E32,'AEO23 Table 23'!$B$13:$AF$61,R$1,FALSE),"")</f>
        <v/>
      </c>
      <c r="S32" s="54" t="str">
        <f>IFERROR((VLOOKUP($E32,'AEO23 Table 23'!$B$13:$AF$61,T$1,FALSE)-(VLOOKUP($E32,'AEO23 Table 23'!$B$13:$AF$61,S$1,FALSE)))/VLOOKUP($E32,'AEO23 Table 23'!$B$13:$AF$61,S$1,FALSE),"")</f>
        <v/>
      </c>
      <c r="T32" s="54" t="str">
        <f>IFERROR((VLOOKUP($E32,'AEO23 Table 23'!$B$13:$AF$61,U$1,FALSE)-(VLOOKUP($E32,'AEO23 Table 23'!$B$13:$AF$61,T$1,FALSE)))/VLOOKUP($E32,'AEO23 Table 23'!$B$13:$AF$61,T$1,FALSE),"")</f>
        <v/>
      </c>
      <c r="U32" s="54" t="str">
        <f>IFERROR((VLOOKUP($E32,'AEO23 Table 23'!$B$13:$AF$61,V$1,FALSE)-(VLOOKUP($E32,'AEO23 Table 23'!$B$13:$AF$61,U$1,FALSE)))/VLOOKUP($E32,'AEO23 Table 23'!$B$13:$AF$61,U$1,FALSE),"")</f>
        <v/>
      </c>
      <c r="V32" s="54" t="str">
        <f>IFERROR((VLOOKUP($E32,'AEO23 Table 23'!$B$13:$AF$61,W$1,FALSE)-(VLOOKUP($E32,'AEO23 Table 23'!$B$13:$AF$61,V$1,FALSE)))/VLOOKUP($E32,'AEO23 Table 23'!$B$13:$AF$61,V$1,FALSE),"")</f>
        <v/>
      </c>
      <c r="W32" s="54" t="str">
        <f>IFERROR((VLOOKUP($E32,'AEO23 Table 23'!$B$13:$AF$61,X$1,FALSE)-(VLOOKUP($E32,'AEO23 Table 23'!$B$13:$AF$61,W$1,FALSE)))/VLOOKUP($E32,'AEO23 Table 23'!$B$13:$AF$61,W$1,FALSE),"")</f>
        <v/>
      </c>
      <c r="X32" s="54" t="str">
        <f>IFERROR((VLOOKUP($E32,'AEO23 Table 23'!$B$13:$AF$61,Y$1,FALSE)-(VLOOKUP($E32,'AEO23 Table 23'!$B$13:$AF$61,X$1,FALSE)))/VLOOKUP($E32,'AEO23 Table 23'!$B$13:$AF$61,X$1,FALSE),"")</f>
        <v/>
      </c>
      <c r="Y32" s="54" t="str">
        <f>IFERROR((VLOOKUP($E32,'AEO23 Table 23'!$B$13:$AF$61,Z$1,FALSE)-(VLOOKUP($E32,'AEO23 Table 23'!$B$13:$AF$61,Y$1,FALSE)))/VLOOKUP($E32,'AEO23 Table 23'!$B$13:$AF$61,Y$1,FALSE),"")</f>
        <v/>
      </c>
      <c r="Z32" s="54" t="str">
        <f>IFERROR((VLOOKUP($E32,'AEO23 Table 23'!$B$13:$AF$61,AA$1,FALSE)-(VLOOKUP($E32,'AEO23 Table 23'!$B$13:$AF$61,Z$1,FALSE)))/VLOOKUP($E32,'AEO23 Table 23'!$B$13:$AF$61,Z$1,FALSE),"")</f>
        <v/>
      </c>
      <c r="AA32" s="54" t="str">
        <f>IFERROR((VLOOKUP($E32,'AEO23 Table 23'!$B$13:$AF$61,AB$1,FALSE)-(VLOOKUP($E32,'AEO23 Table 23'!$B$13:$AF$61,AA$1,FALSE)))/VLOOKUP($E32,'AEO23 Table 23'!$B$13:$AF$61,AA$1,FALSE),"")</f>
        <v/>
      </c>
      <c r="AB32" s="54" t="str">
        <f>IFERROR((VLOOKUP($E32,'AEO23 Table 23'!$B$13:$AF$61,AC$1,FALSE)-(VLOOKUP($E32,'AEO23 Table 23'!$B$13:$AF$61,AB$1,FALSE)))/VLOOKUP($E32,'AEO23 Table 23'!$B$13:$AF$61,AB$1,FALSE),"")</f>
        <v/>
      </c>
      <c r="AC32" s="54" t="str">
        <f>IFERROR((VLOOKUP($E32,'AEO23 Table 23'!$B$13:$AF$61,AD$1,FALSE)-(VLOOKUP($E32,'AEO23 Table 23'!$B$13:$AF$61,AC$1,FALSE)))/VLOOKUP($E32,'AEO23 Table 23'!$B$13:$AF$61,AC$1,FALSE),"")</f>
        <v/>
      </c>
      <c r="AD32" s="54" t="str">
        <f>IFERROR((VLOOKUP($E32,'AEO23 Table 23'!$B$13:$AF$61,AE$1,FALSE)-(VLOOKUP($E32,'AEO23 Table 23'!$B$13:$AF$61,AD$1,FALSE)))/VLOOKUP($E32,'AEO23 Table 23'!$B$13:$AF$61,AD$1,FALSE),"")</f>
        <v/>
      </c>
      <c r="AE32" s="54" t="str">
        <f>IFERROR((VLOOKUP($E32,'AEO23 Table 23'!$B$13:$AF$61,AF$1,FALSE)-(VLOOKUP($E32,'AEO23 Table 23'!$B$13:$AF$61,AE$1,FALSE)))/VLOOKUP($E32,'AEO23 Table 23'!$B$13:$AF$61,AE$1,FALSE),"")</f>
        <v/>
      </c>
      <c r="AF32" s="54" t="str">
        <f>IFERROR((VLOOKUP($E32,'AEO23 Table 23'!$B$13:$AF$61,AG$1,FALSE)-(VLOOKUP($E32,'AEO23 Table 23'!$B$13:$AF$61,AF$1,FALSE)))/VLOOKUP($E32,'AEO23 Table 23'!$B$13:$AF$61,AF$1,FALSE),"")</f>
        <v/>
      </c>
      <c r="AG32" s="54" t="str">
        <f>IFERROR((VLOOKUP($E32,'AEO23 Table 23'!$B$13:$AF$61,AH$1,FALSE)-(VLOOKUP($E32,'AEO23 Table 23'!$B$13:$AF$61,AG$1,FALSE)))/VLOOKUP($E32,'AEO23 Table 23'!$B$13:$AF$61,AG$1,FALSE),"")</f>
        <v/>
      </c>
      <c r="AH32" s="54" t="str">
        <f>IFERROR((VLOOKUP($E32,'AEO23 Table 23'!$B$13:$AF$61,AI$1,FALSE)-(VLOOKUP($E32,'AEO23 Table 23'!$B$13:$AF$61,AH$1,FALSE)))/VLOOKUP($E32,'AEO23 Table 23'!$B$13:$AF$61,AH$1,FALSE),"")</f>
        <v/>
      </c>
    </row>
    <row r="33" spans="1:34" x14ac:dyDescent="0.3">
      <c r="A33" s="1" t="s">
        <v>20</v>
      </c>
      <c r="B33" s="49" cm="1">
        <f t="array" ref="B33">SUMPRODUCT(--('BLS Table 2.7'!$O:$O=$A33),'BLS Table 2.7'!L:L,'BLS Table 2.7'!N:N)/SUMIFS('BLS Table 2.7'!L:L,'BLS Table 2.7'!$O:$O,$A33)/100</f>
        <v>1.6E-2</v>
      </c>
      <c r="E33" s="1" t="s">
        <v>20</v>
      </c>
      <c r="F33" s="54" t="str">
        <f>IFERROR(INDEX('AEO23 Table 23'!$AG$22:$AG$61,MATCH($E33,'AEO23 Table 23'!$B$22:$B$61,0)),"")</f>
        <v/>
      </c>
      <c r="G33" s="54" t="str">
        <f>IFERROR((VLOOKUP($E33,'AEO23 Table 23'!$B$13:$AF$61,H$1,FALSE)-(VLOOKUP($E33,'AEO23 Table 23'!$B$13:$AF$61,G$1,FALSE)))/VLOOKUP($E33,'AEO23 Table 23'!$B$13:$AF$61,G$1,FALSE),"")</f>
        <v/>
      </c>
      <c r="H33" s="54" t="str">
        <f>IFERROR((VLOOKUP($E33,'AEO23 Table 23'!$B$13:$AF$61,I$1,FALSE)-(VLOOKUP($E33,'AEO23 Table 23'!$B$13:$AF$61,H$1,FALSE)))/VLOOKUP($E33,'AEO23 Table 23'!$B$13:$AF$61,H$1,FALSE),"")</f>
        <v/>
      </c>
      <c r="I33" s="54" t="str">
        <f>IFERROR((VLOOKUP($E33,'AEO23 Table 23'!$B$13:$AF$61,J$1,FALSE)-(VLOOKUP($E33,'AEO23 Table 23'!$B$13:$AF$61,I$1,FALSE)))/VLOOKUP($E33,'AEO23 Table 23'!$B$13:$AF$61,I$1,FALSE),"")</f>
        <v/>
      </c>
      <c r="J33" s="54" t="str">
        <f>IFERROR((VLOOKUP($E33,'AEO23 Table 23'!$B$13:$AF$61,K$1,FALSE)-(VLOOKUP($E33,'AEO23 Table 23'!$B$13:$AF$61,J$1,FALSE)))/VLOOKUP($E33,'AEO23 Table 23'!$B$13:$AF$61,J$1,FALSE),"")</f>
        <v/>
      </c>
      <c r="K33" s="54" t="str">
        <f>IFERROR((VLOOKUP($E33,'AEO23 Table 23'!$B$13:$AF$61,L$1,FALSE)-(VLOOKUP($E33,'AEO23 Table 23'!$B$13:$AF$61,K$1,FALSE)))/VLOOKUP($E33,'AEO23 Table 23'!$B$13:$AF$61,K$1,FALSE),"")</f>
        <v/>
      </c>
      <c r="L33" s="54" t="str">
        <f>IFERROR((VLOOKUP($E33,'AEO23 Table 23'!$B$13:$AF$61,M$1,FALSE)-(VLOOKUP($E33,'AEO23 Table 23'!$B$13:$AF$61,L$1,FALSE)))/VLOOKUP($E33,'AEO23 Table 23'!$B$13:$AF$61,L$1,FALSE),"")</f>
        <v/>
      </c>
      <c r="M33" s="54" t="str">
        <f>IFERROR((VLOOKUP($E33,'AEO23 Table 23'!$B$13:$AF$61,N$1,FALSE)-(VLOOKUP($E33,'AEO23 Table 23'!$B$13:$AF$61,M$1,FALSE)))/VLOOKUP($E33,'AEO23 Table 23'!$B$13:$AF$61,M$1,FALSE),"")</f>
        <v/>
      </c>
      <c r="N33" s="54" t="str">
        <f>IFERROR((VLOOKUP($E33,'AEO23 Table 23'!$B$13:$AF$61,O$1,FALSE)-(VLOOKUP($E33,'AEO23 Table 23'!$B$13:$AF$61,N$1,FALSE)))/VLOOKUP($E33,'AEO23 Table 23'!$B$13:$AF$61,N$1,FALSE),"")</f>
        <v/>
      </c>
      <c r="O33" s="54" t="str">
        <f>IFERROR((VLOOKUP($E33,'AEO23 Table 23'!$B$13:$AF$61,P$1,FALSE)-(VLOOKUP($E33,'AEO23 Table 23'!$B$13:$AF$61,O$1,FALSE)))/VLOOKUP($E33,'AEO23 Table 23'!$B$13:$AF$61,O$1,FALSE),"")</f>
        <v/>
      </c>
      <c r="P33" s="54" t="str">
        <f>IFERROR((VLOOKUP($E33,'AEO23 Table 23'!$B$13:$AF$61,Q$1,FALSE)-(VLOOKUP($E33,'AEO23 Table 23'!$B$13:$AF$61,P$1,FALSE)))/VLOOKUP($E33,'AEO23 Table 23'!$B$13:$AF$61,P$1,FALSE),"")</f>
        <v/>
      </c>
      <c r="Q33" s="54" t="str">
        <f>IFERROR((VLOOKUP($E33,'AEO23 Table 23'!$B$13:$AF$61,R$1,FALSE)-(VLOOKUP($E33,'AEO23 Table 23'!$B$13:$AF$61,Q$1,FALSE)))/VLOOKUP($E33,'AEO23 Table 23'!$B$13:$AF$61,Q$1,FALSE),"")</f>
        <v/>
      </c>
      <c r="R33" s="54" t="str">
        <f>IFERROR((VLOOKUP($E33,'AEO23 Table 23'!$B$13:$AF$61,S$1,FALSE)-(VLOOKUP($E33,'AEO23 Table 23'!$B$13:$AF$61,R$1,FALSE)))/VLOOKUP($E33,'AEO23 Table 23'!$B$13:$AF$61,R$1,FALSE),"")</f>
        <v/>
      </c>
      <c r="S33" s="54" t="str">
        <f>IFERROR((VLOOKUP($E33,'AEO23 Table 23'!$B$13:$AF$61,T$1,FALSE)-(VLOOKUP($E33,'AEO23 Table 23'!$B$13:$AF$61,S$1,FALSE)))/VLOOKUP($E33,'AEO23 Table 23'!$B$13:$AF$61,S$1,FALSE),"")</f>
        <v/>
      </c>
      <c r="T33" s="54" t="str">
        <f>IFERROR((VLOOKUP($E33,'AEO23 Table 23'!$B$13:$AF$61,U$1,FALSE)-(VLOOKUP($E33,'AEO23 Table 23'!$B$13:$AF$61,T$1,FALSE)))/VLOOKUP($E33,'AEO23 Table 23'!$B$13:$AF$61,T$1,FALSE),"")</f>
        <v/>
      </c>
      <c r="U33" s="54" t="str">
        <f>IFERROR((VLOOKUP($E33,'AEO23 Table 23'!$B$13:$AF$61,V$1,FALSE)-(VLOOKUP($E33,'AEO23 Table 23'!$B$13:$AF$61,U$1,FALSE)))/VLOOKUP($E33,'AEO23 Table 23'!$B$13:$AF$61,U$1,FALSE),"")</f>
        <v/>
      </c>
      <c r="V33" s="54" t="str">
        <f>IFERROR((VLOOKUP($E33,'AEO23 Table 23'!$B$13:$AF$61,W$1,FALSE)-(VLOOKUP($E33,'AEO23 Table 23'!$B$13:$AF$61,V$1,FALSE)))/VLOOKUP($E33,'AEO23 Table 23'!$B$13:$AF$61,V$1,FALSE),"")</f>
        <v/>
      </c>
      <c r="W33" s="54" t="str">
        <f>IFERROR((VLOOKUP($E33,'AEO23 Table 23'!$B$13:$AF$61,X$1,FALSE)-(VLOOKUP($E33,'AEO23 Table 23'!$B$13:$AF$61,W$1,FALSE)))/VLOOKUP($E33,'AEO23 Table 23'!$B$13:$AF$61,W$1,FALSE),"")</f>
        <v/>
      </c>
      <c r="X33" s="54" t="str">
        <f>IFERROR((VLOOKUP($E33,'AEO23 Table 23'!$B$13:$AF$61,Y$1,FALSE)-(VLOOKUP($E33,'AEO23 Table 23'!$B$13:$AF$61,X$1,FALSE)))/VLOOKUP($E33,'AEO23 Table 23'!$B$13:$AF$61,X$1,FALSE),"")</f>
        <v/>
      </c>
      <c r="Y33" s="54" t="str">
        <f>IFERROR((VLOOKUP($E33,'AEO23 Table 23'!$B$13:$AF$61,Z$1,FALSE)-(VLOOKUP($E33,'AEO23 Table 23'!$B$13:$AF$61,Y$1,FALSE)))/VLOOKUP($E33,'AEO23 Table 23'!$B$13:$AF$61,Y$1,FALSE),"")</f>
        <v/>
      </c>
      <c r="Z33" s="54" t="str">
        <f>IFERROR((VLOOKUP($E33,'AEO23 Table 23'!$B$13:$AF$61,AA$1,FALSE)-(VLOOKUP($E33,'AEO23 Table 23'!$B$13:$AF$61,Z$1,FALSE)))/VLOOKUP($E33,'AEO23 Table 23'!$B$13:$AF$61,Z$1,FALSE),"")</f>
        <v/>
      </c>
      <c r="AA33" s="54" t="str">
        <f>IFERROR((VLOOKUP($E33,'AEO23 Table 23'!$B$13:$AF$61,AB$1,FALSE)-(VLOOKUP($E33,'AEO23 Table 23'!$B$13:$AF$61,AA$1,FALSE)))/VLOOKUP($E33,'AEO23 Table 23'!$B$13:$AF$61,AA$1,FALSE),"")</f>
        <v/>
      </c>
      <c r="AB33" s="54" t="str">
        <f>IFERROR((VLOOKUP($E33,'AEO23 Table 23'!$B$13:$AF$61,AC$1,FALSE)-(VLOOKUP($E33,'AEO23 Table 23'!$B$13:$AF$61,AB$1,FALSE)))/VLOOKUP($E33,'AEO23 Table 23'!$B$13:$AF$61,AB$1,FALSE),"")</f>
        <v/>
      </c>
      <c r="AC33" s="54" t="str">
        <f>IFERROR((VLOOKUP($E33,'AEO23 Table 23'!$B$13:$AF$61,AD$1,FALSE)-(VLOOKUP($E33,'AEO23 Table 23'!$B$13:$AF$61,AC$1,FALSE)))/VLOOKUP($E33,'AEO23 Table 23'!$B$13:$AF$61,AC$1,FALSE),"")</f>
        <v/>
      </c>
      <c r="AD33" s="54" t="str">
        <f>IFERROR((VLOOKUP($E33,'AEO23 Table 23'!$B$13:$AF$61,AE$1,FALSE)-(VLOOKUP($E33,'AEO23 Table 23'!$B$13:$AF$61,AD$1,FALSE)))/VLOOKUP($E33,'AEO23 Table 23'!$B$13:$AF$61,AD$1,FALSE),"")</f>
        <v/>
      </c>
      <c r="AE33" s="54" t="str">
        <f>IFERROR((VLOOKUP($E33,'AEO23 Table 23'!$B$13:$AF$61,AF$1,FALSE)-(VLOOKUP($E33,'AEO23 Table 23'!$B$13:$AF$61,AE$1,FALSE)))/VLOOKUP($E33,'AEO23 Table 23'!$B$13:$AF$61,AE$1,FALSE),"")</f>
        <v/>
      </c>
      <c r="AF33" s="54" t="str">
        <f>IFERROR((VLOOKUP($E33,'AEO23 Table 23'!$B$13:$AF$61,AG$1,FALSE)-(VLOOKUP($E33,'AEO23 Table 23'!$B$13:$AF$61,AF$1,FALSE)))/VLOOKUP($E33,'AEO23 Table 23'!$B$13:$AF$61,AF$1,FALSE),"")</f>
        <v/>
      </c>
      <c r="AG33" s="54" t="str">
        <f>IFERROR((VLOOKUP($E33,'AEO23 Table 23'!$B$13:$AF$61,AH$1,FALSE)-(VLOOKUP($E33,'AEO23 Table 23'!$B$13:$AF$61,AG$1,FALSE)))/VLOOKUP($E33,'AEO23 Table 23'!$B$13:$AF$61,AG$1,FALSE),"")</f>
        <v/>
      </c>
      <c r="AH33" s="54" t="str">
        <f>IFERROR((VLOOKUP($E33,'AEO23 Table 23'!$B$13:$AF$61,AI$1,FALSE)-(VLOOKUP($E33,'AEO23 Table 23'!$B$13:$AF$61,AH$1,FALSE)))/VLOOKUP($E33,'AEO23 Table 23'!$B$13:$AF$61,AH$1,FALSE),"")</f>
        <v/>
      </c>
    </row>
    <row r="34" spans="1:34" x14ac:dyDescent="0.3">
      <c r="A34" s="1" t="s">
        <v>21</v>
      </c>
      <c r="B34" s="49" cm="1">
        <f t="array" ref="B34">SUMPRODUCT(--('BLS Table 2.7'!$O:$O=$A34),'BLS Table 2.7'!L:L,'BLS Table 2.7'!N:N)/SUMIFS('BLS Table 2.7'!L:L,'BLS Table 2.7'!$O:$O,$A34)/100</f>
        <v>2.1000000000000001E-2</v>
      </c>
      <c r="E34" s="1" t="s">
        <v>21</v>
      </c>
      <c r="F34" s="54" t="str">
        <f>IFERROR(INDEX('AEO23 Table 23'!$AG$22:$AG$61,MATCH($E34,'AEO23 Table 23'!$B$22:$B$61,0)),"")</f>
        <v/>
      </c>
      <c r="G34" s="54" t="str">
        <f>IFERROR((VLOOKUP($E34,'AEO23 Table 23'!$B$13:$AF$61,H$1,FALSE)-(VLOOKUP($E34,'AEO23 Table 23'!$B$13:$AF$61,G$1,FALSE)))/VLOOKUP($E34,'AEO23 Table 23'!$B$13:$AF$61,G$1,FALSE),"")</f>
        <v/>
      </c>
      <c r="H34" s="54" t="str">
        <f>IFERROR((VLOOKUP($E34,'AEO23 Table 23'!$B$13:$AF$61,I$1,FALSE)-(VLOOKUP($E34,'AEO23 Table 23'!$B$13:$AF$61,H$1,FALSE)))/VLOOKUP($E34,'AEO23 Table 23'!$B$13:$AF$61,H$1,FALSE),"")</f>
        <v/>
      </c>
      <c r="I34" s="54" t="str">
        <f>IFERROR((VLOOKUP($E34,'AEO23 Table 23'!$B$13:$AF$61,J$1,FALSE)-(VLOOKUP($E34,'AEO23 Table 23'!$B$13:$AF$61,I$1,FALSE)))/VLOOKUP($E34,'AEO23 Table 23'!$B$13:$AF$61,I$1,FALSE),"")</f>
        <v/>
      </c>
      <c r="J34" s="54" t="str">
        <f>IFERROR((VLOOKUP($E34,'AEO23 Table 23'!$B$13:$AF$61,K$1,FALSE)-(VLOOKUP($E34,'AEO23 Table 23'!$B$13:$AF$61,J$1,FALSE)))/VLOOKUP($E34,'AEO23 Table 23'!$B$13:$AF$61,J$1,FALSE),"")</f>
        <v/>
      </c>
      <c r="K34" s="54" t="str">
        <f>IFERROR((VLOOKUP($E34,'AEO23 Table 23'!$B$13:$AF$61,L$1,FALSE)-(VLOOKUP($E34,'AEO23 Table 23'!$B$13:$AF$61,K$1,FALSE)))/VLOOKUP($E34,'AEO23 Table 23'!$B$13:$AF$61,K$1,FALSE),"")</f>
        <v/>
      </c>
      <c r="L34" s="54" t="str">
        <f>IFERROR((VLOOKUP($E34,'AEO23 Table 23'!$B$13:$AF$61,M$1,FALSE)-(VLOOKUP($E34,'AEO23 Table 23'!$B$13:$AF$61,L$1,FALSE)))/VLOOKUP($E34,'AEO23 Table 23'!$B$13:$AF$61,L$1,FALSE),"")</f>
        <v/>
      </c>
      <c r="M34" s="54" t="str">
        <f>IFERROR((VLOOKUP($E34,'AEO23 Table 23'!$B$13:$AF$61,N$1,FALSE)-(VLOOKUP($E34,'AEO23 Table 23'!$B$13:$AF$61,M$1,FALSE)))/VLOOKUP($E34,'AEO23 Table 23'!$B$13:$AF$61,M$1,FALSE),"")</f>
        <v/>
      </c>
      <c r="N34" s="54" t="str">
        <f>IFERROR((VLOOKUP($E34,'AEO23 Table 23'!$B$13:$AF$61,O$1,FALSE)-(VLOOKUP($E34,'AEO23 Table 23'!$B$13:$AF$61,N$1,FALSE)))/VLOOKUP($E34,'AEO23 Table 23'!$B$13:$AF$61,N$1,FALSE),"")</f>
        <v/>
      </c>
      <c r="O34" s="54" t="str">
        <f>IFERROR((VLOOKUP($E34,'AEO23 Table 23'!$B$13:$AF$61,P$1,FALSE)-(VLOOKUP($E34,'AEO23 Table 23'!$B$13:$AF$61,O$1,FALSE)))/VLOOKUP($E34,'AEO23 Table 23'!$B$13:$AF$61,O$1,FALSE),"")</f>
        <v/>
      </c>
      <c r="P34" s="54" t="str">
        <f>IFERROR((VLOOKUP($E34,'AEO23 Table 23'!$B$13:$AF$61,Q$1,FALSE)-(VLOOKUP($E34,'AEO23 Table 23'!$B$13:$AF$61,P$1,FALSE)))/VLOOKUP($E34,'AEO23 Table 23'!$B$13:$AF$61,P$1,FALSE),"")</f>
        <v/>
      </c>
      <c r="Q34" s="54" t="str">
        <f>IFERROR((VLOOKUP($E34,'AEO23 Table 23'!$B$13:$AF$61,R$1,FALSE)-(VLOOKUP($E34,'AEO23 Table 23'!$B$13:$AF$61,Q$1,FALSE)))/VLOOKUP($E34,'AEO23 Table 23'!$B$13:$AF$61,Q$1,FALSE),"")</f>
        <v/>
      </c>
      <c r="R34" s="54" t="str">
        <f>IFERROR((VLOOKUP($E34,'AEO23 Table 23'!$B$13:$AF$61,S$1,FALSE)-(VLOOKUP($E34,'AEO23 Table 23'!$B$13:$AF$61,R$1,FALSE)))/VLOOKUP($E34,'AEO23 Table 23'!$B$13:$AF$61,R$1,FALSE),"")</f>
        <v/>
      </c>
      <c r="S34" s="54" t="str">
        <f>IFERROR((VLOOKUP($E34,'AEO23 Table 23'!$B$13:$AF$61,T$1,FALSE)-(VLOOKUP($E34,'AEO23 Table 23'!$B$13:$AF$61,S$1,FALSE)))/VLOOKUP($E34,'AEO23 Table 23'!$B$13:$AF$61,S$1,FALSE),"")</f>
        <v/>
      </c>
      <c r="T34" s="54" t="str">
        <f>IFERROR((VLOOKUP($E34,'AEO23 Table 23'!$B$13:$AF$61,U$1,FALSE)-(VLOOKUP($E34,'AEO23 Table 23'!$B$13:$AF$61,T$1,FALSE)))/VLOOKUP($E34,'AEO23 Table 23'!$B$13:$AF$61,T$1,FALSE),"")</f>
        <v/>
      </c>
      <c r="U34" s="54" t="str">
        <f>IFERROR((VLOOKUP($E34,'AEO23 Table 23'!$B$13:$AF$61,V$1,FALSE)-(VLOOKUP($E34,'AEO23 Table 23'!$B$13:$AF$61,U$1,FALSE)))/VLOOKUP($E34,'AEO23 Table 23'!$B$13:$AF$61,U$1,FALSE),"")</f>
        <v/>
      </c>
      <c r="V34" s="54" t="str">
        <f>IFERROR((VLOOKUP($E34,'AEO23 Table 23'!$B$13:$AF$61,W$1,FALSE)-(VLOOKUP($E34,'AEO23 Table 23'!$B$13:$AF$61,V$1,FALSE)))/VLOOKUP($E34,'AEO23 Table 23'!$B$13:$AF$61,V$1,FALSE),"")</f>
        <v/>
      </c>
      <c r="W34" s="54" t="str">
        <f>IFERROR((VLOOKUP($E34,'AEO23 Table 23'!$B$13:$AF$61,X$1,FALSE)-(VLOOKUP($E34,'AEO23 Table 23'!$B$13:$AF$61,W$1,FALSE)))/VLOOKUP($E34,'AEO23 Table 23'!$B$13:$AF$61,W$1,FALSE),"")</f>
        <v/>
      </c>
      <c r="X34" s="54" t="str">
        <f>IFERROR((VLOOKUP($E34,'AEO23 Table 23'!$B$13:$AF$61,Y$1,FALSE)-(VLOOKUP($E34,'AEO23 Table 23'!$B$13:$AF$61,X$1,FALSE)))/VLOOKUP($E34,'AEO23 Table 23'!$B$13:$AF$61,X$1,FALSE),"")</f>
        <v/>
      </c>
      <c r="Y34" s="54" t="str">
        <f>IFERROR((VLOOKUP($E34,'AEO23 Table 23'!$B$13:$AF$61,Z$1,FALSE)-(VLOOKUP($E34,'AEO23 Table 23'!$B$13:$AF$61,Y$1,FALSE)))/VLOOKUP($E34,'AEO23 Table 23'!$B$13:$AF$61,Y$1,FALSE),"")</f>
        <v/>
      </c>
      <c r="Z34" s="54" t="str">
        <f>IFERROR((VLOOKUP($E34,'AEO23 Table 23'!$B$13:$AF$61,AA$1,FALSE)-(VLOOKUP($E34,'AEO23 Table 23'!$B$13:$AF$61,Z$1,FALSE)))/VLOOKUP($E34,'AEO23 Table 23'!$B$13:$AF$61,Z$1,FALSE),"")</f>
        <v/>
      </c>
      <c r="AA34" s="54" t="str">
        <f>IFERROR((VLOOKUP($E34,'AEO23 Table 23'!$B$13:$AF$61,AB$1,FALSE)-(VLOOKUP($E34,'AEO23 Table 23'!$B$13:$AF$61,AA$1,FALSE)))/VLOOKUP($E34,'AEO23 Table 23'!$B$13:$AF$61,AA$1,FALSE),"")</f>
        <v/>
      </c>
      <c r="AB34" s="54" t="str">
        <f>IFERROR((VLOOKUP($E34,'AEO23 Table 23'!$B$13:$AF$61,AC$1,FALSE)-(VLOOKUP($E34,'AEO23 Table 23'!$B$13:$AF$61,AB$1,FALSE)))/VLOOKUP($E34,'AEO23 Table 23'!$B$13:$AF$61,AB$1,FALSE),"")</f>
        <v/>
      </c>
      <c r="AC34" s="54" t="str">
        <f>IFERROR((VLOOKUP($E34,'AEO23 Table 23'!$B$13:$AF$61,AD$1,FALSE)-(VLOOKUP($E34,'AEO23 Table 23'!$B$13:$AF$61,AC$1,FALSE)))/VLOOKUP($E34,'AEO23 Table 23'!$B$13:$AF$61,AC$1,FALSE),"")</f>
        <v/>
      </c>
      <c r="AD34" s="54" t="str">
        <f>IFERROR((VLOOKUP($E34,'AEO23 Table 23'!$B$13:$AF$61,AE$1,FALSE)-(VLOOKUP($E34,'AEO23 Table 23'!$B$13:$AF$61,AD$1,FALSE)))/VLOOKUP($E34,'AEO23 Table 23'!$B$13:$AF$61,AD$1,FALSE),"")</f>
        <v/>
      </c>
      <c r="AE34" s="54" t="str">
        <f>IFERROR((VLOOKUP($E34,'AEO23 Table 23'!$B$13:$AF$61,AF$1,FALSE)-(VLOOKUP($E34,'AEO23 Table 23'!$B$13:$AF$61,AE$1,FALSE)))/VLOOKUP($E34,'AEO23 Table 23'!$B$13:$AF$61,AE$1,FALSE),"")</f>
        <v/>
      </c>
      <c r="AF34" s="54" t="str">
        <f>IFERROR((VLOOKUP($E34,'AEO23 Table 23'!$B$13:$AF$61,AG$1,FALSE)-(VLOOKUP($E34,'AEO23 Table 23'!$B$13:$AF$61,AF$1,FALSE)))/VLOOKUP($E34,'AEO23 Table 23'!$B$13:$AF$61,AF$1,FALSE),"")</f>
        <v/>
      </c>
      <c r="AG34" s="54" t="str">
        <f>IFERROR((VLOOKUP($E34,'AEO23 Table 23'!$B$13:$AF$61,AH$1,FALSE)-(VLOOKUP($E34,'AEO23 Table 23'!$B$13:$AF$61,AG$1,FALSE)))/VLOOKUP($E34,'AEO23 Table 23'!$B$13:$AF$61,AG$1,FALSE),"")</f>
        <v/>
      </c>
      <c r="AH34" s="54" t="str">
        <f>IFERROR((VLOOKUP($E34,'AEO23 Table 23'!$B$13:$AF$61,AI$1,FALSE)-(VLOOKUP($E34,'AEO23 Table 23'!$B$13:$AF$61,AH$1,FALSE)))/VLOOKUP($E34,'AEO23 Table 23'!$B$13:$AF$61,AH$1,FALSE),"")</f>
        <v/>
      </c>
    </row>
    <row r="35" spans="1:34" x14ac:dyDescent="0.3">
      <c r="A35" s="1" t="s">
        <v>22</v>
      </c>
      <c r="B35" s="49" cm="1">
        <f t="array" ref="B35">SUMPRODUCT(--('BLS Table 2.7'!$O:$O=$A35),'BLS Table 2.7'!L:L,'BLS Table 2.7'!N:N)/SUMIFS('BLS Table 2.7'!L:L,'BLS Table 2.7'!$O:$O,$A35)/100</f>
        <v>2.6399863914719889E-2</v>
      </c>
      <c r="E35" s="1" t="s">
        <v>22</v>
      </c>
      <c r="F35" s="54" t="str">
        <f>IFERROR(INDEX('AEO23 Table 23'!$AG$22:$AG$61,MATCH($E35,'AEO23 Table 23'!$B$22:$B$61,0)),"")</f>
        <v/>
      </c>
      <c r="G35" s="54" t="str">
        <f>IFERROR((VLOOKUP($E35,'AEO23 Table 23'!$B$13:$AF$61,H$1,FALSE)-(VLOOKUP($E35,'AEO23 Table 23'!$B$13:$AF$61,G$1,FALSE)))/VLOOKUP($E35,'AEO23 Table 23'!$B$13:$AF$61,G$1,FALSE),"")</f>
        <v/>
      </c>
      <c r="H35" s="54" t="str">
        <f>IFERROR((VLOOKUP($E35,'AEO23 Table 23'!$B$13:$AF$61,I$1,FALSE)-(VLOOKUP($E35,'AEO23 Table 23'!$B$13:$AF$61,H$1,FALSE)))/VLOOKUP($E35,'AEO23 Table 23'!$B$13:$AF$61,H$1,FALSE),"")</f>
        <v/>
      </c>
      <c r="I35" s="54" t="str">
        <f>IFERROR((VLOOKUP($E35,'AEO23 Table 23'!$B$13:$AF$61,J$1,FALSE)-(VLOOKUP($E35,'AEO23 Table 23'!$B$13:$AF$61,I$1,FALSE)))/VLOOKUP($E35,'AEO23 Table 23'!$B$13:$AF$61,I$1,FALSE),"")</f>
        <v/>
      </c>
      <c r="J35" s="54" t="str">
        <f>IFERROR((VLOOKUP($E35,'AEO23 Table 23'!$B$13:$AF$61,K$1,FALSE)-(VLOOKUP($E35,'AEO23 Table 23'!$B$13:$AF$61,J$1,FALSE)))/VLOOKUP($E35,'AEO23 Table 23'!$B$13:$AF$61,J$1,FALSE),"")</f>
        <v/>
      </c>
      <c r="K35" s="54" t="str">
        <f>IFERROR((VLOOKUP($E35,'AEO23 Table 23'!$B$13:$AF$61,L$1,FALSE)-(VLOOKUP($E35,'AEO23 Table 23'!$B$13:$AF$61,K$1,FALSE)))/VLOOKUP($E35,'AEO23 Table 23'!$B$13:$AF$61,K$1,FALSE),"")</f>
        <v/>
      </c>
      <c r="L35" s="54" t="str">
        <f>IFERROR((VLOOKUP($E35,'AEO23 Table 23'!$B$13:$AF$61,M$1,FALSE)-(VLOOKUP($E35,'AEO23 Table 23'!$B$13:$AF$61,L$1,FALSE)))/VLOOKUP($E35,'AEO23 Table 23'!$B$13:$AF$61,L$1,FALSE),"")</f>
        <v/>
      </c>
      <c r="M35" s="54" t="str">
        <f>IFERROR((VLOOKUP($E35,'AEO23 Table 23'!$B$13:$AF$61,N$1,FALSE)-(VLOOKUP($E35,'AEO23 Table 23'!$B$13:$AF$61,M$1,FALSE)))/VLOOKUP($E35,'AEO23 Table 23'!$B$13:$AF$61,M$1,FALSE),"")</f>
        <v/>
      </c>
      <c r="N35" s="54" t="str">
        <f>IFERROR((VLOOKUP($E35,'AEO23 Table 23'!$B$13:$AF$61,O$1,FALSE)-(VLOOKUP($E35,'AEO23 Table 23'!$B$13:$AF$61,N$1,FALSE)))/VLOOKUP($E35,'AEO23 Table 23'!$B$13:$AF$61,N$1,FALSE),"")</f>
        <v/>
      </c>
      <c r="O35" s="54" t="str">
        <f>IFERROR((VLOOKUP($E35,'AEO23 Table 23'!$B$13:$AF$61,P$1,FALSE)-(VLOOKUP($E35,'AEO23 Table 23'!$B$13:$AF$61,O$1,FALSE)))/VLOOKUP($E35,'AEO23 Table 23'!$B$13:$AF$61,O$1,FALSE),"")</f>
        <v/>
      </c>
      <c r="P35" s="54" t="str">
        <f>IFERROR((VLOOKUP($E35,'AEO23 Table 23'!$B$13:$AF$61,Q$1,FALSE)-(VLOOKUP($E35,'AEO23 Table 23'!$B$13:$AF$61,P$1,FALSE)))/VLOOKUP($E35,'AEO23 Table 23'!$B$13:$AF$61,P$1,FALSE),"")</f>
        <v/>
      </c>
      <c r="Q35" s="54" t="str">
        <f>IFERROR((VLOOKUP($E35,'AEO23 Table 23'!$B$13:$AF$61,R$1,FALSE)-(VLOOKUP($E35,'AEO23 Table 23'!$B$13:$AF$61,Q$1,FALSE)))/VLOOKUP($E35,'AEO23 Table 23'!$B$13:$AF$61,Q$1,FALSE),"")</f>
        <v/>
      </c>
      <c r="R35" s="54" t="str">
        <f>IFERROR((VLOOKUP($E35,'AEO23 Table 23'!$B$13:$AF$61,S$1,FALSE)-(VLOOKUP($E35,'AEO23 Table 23'!$B$13:$AF$61,R$1,FALSE)))/VLOOKUP($E35,'AEO23 Table 23'!$B$13:$AF$61,R$1,FALSE),"")</f>
        <v/>
      </c>
      <c r="S35" s="54" t="str">
        <f>IFERROR((VLOOKUP($E35,'AEO23 Table 23'!$B$13:$AF$61,T$1,FALSE)-(VLOOKUP($E35,'AEO23 Table 23'!$B$13:$AF$61,S$1,FALSE)))/VLOOKUP($E35,'AEO23 Table 23'!$B$13:$AF$61,S$1,FALSE),"")</f>
        <v/>
      </c>
      <c r="T35" s="54" t="str">
        <f>IFERROR((VLOOKUP($E35,'AEO23 Table 23'!$B$13:$AF$61,U$1,FALSE)-(VLOOKUP($E35,'AEO23 Table 23'!$B$13:$AF$61,T$1,FALSE)))/VLOOKUP($E35,'AEO23 Table 23'!$B$13:$AF$61,T$1,FALSE),"")</f>
        <v/>
      </c>
      <c r="U35" s="54" t="str">
        <f>IFERROR((VLOOKUP($E35,'AEO23 Table 23'!$B$13:$AF$61,V$1,FALSE)-(VLOOKUP($E35,'AEO23 Table 23'!$B$13:$AF$61,U$1,FALSE)))/VLOOKUP($E35,'AEO23 Table 23'!$B$13:$AF$61,U$1,FALSE),"")</f>
        <v/>
      </c>
      <c r="V35" s="54" t="str">
        <f>IFERROR((VLOOKUP($E35,'AEO23 Table 23'!$B$13:$AF$61,W$1,FALSE)-(VLOOKUP($E35,'AEO23 Table 23'!$B$13:$AF$61,V$1,FALSE)))/VLOOKUP($E35,'AEO23 Table 23'!$B$13:$AF$61,V$1,FALSE),"")</f>
        <v/>
      </c>
      <c r="W35" s="54" t="str">
        <f>IFERROR((VLOOKUP($E35,'AEO23 Table 23'!$B$13:$AF$61,X$1,FALSE)-(VLOOKUP($E35,'AEO23 Table 23'!$B$13:$AF$61,W$1,FALSE)))/VLOOKUP($E35,'AEO23 Table 23'!$B$13:$AF$61,W$1,FALSE),"")</f>
        <v/>
      </c>
      <c r="X35" s="54" t="str">
        <f>IFERROR((VLOOKUP($E35,'AEO23 Table 23'!$B$13:$AF$61,Y$1,FALSE)-(VLOOKUP($E35,'AEO23 Table 23'!$B$13:$AF$61,X$1,FALSE)))/VLOOKUP($E35,'AEO23 Table 23'!$B$13:$AF$61,X$1,FALSE),"")</f>
        <v/>
      </c>
      <c r="Y35" s="54" t="str">
        <f>IFERROR((VLOOKUP($E35,'AEO23 Table 23'!$B$13:$AF$61,Z$1,FALSE)-(VLOOKUP($E35,'AEO23 Table 23'!$B$13:$AF$61,Y$1,FALSE)))/VLOOKUP($E35,'AEO23 Table 23'!$B$13:$AF$61,Y$1,FALSE),"")</f>
        <v/>
      </c>
      <c r="Z35" s="54" t="str">
        <f>IFERROR((VLOOKUP($E35,'AEO23 Table 23'!$B$13:$AF$61,AA$1,FALSE)-(VLOOKUP($E35,'AEO23 Table 23'!$B$13:$AF$61,Z$1,FALSE)))/VLOOKUP($E35,'AEO23 Table 23'!$B$13:$AF$61,Z$1,FALSE),"")</f>
        <v/>
      </c>
      <c r="AA35" s="54" t="str">
        <f>IFERROR((VLOOKUP($E35,'AEO23 Table 23'!$B$13:$AF$61,AB$1,FALSE)-(VLOOKUP($E35,'AEO23 Table 23'!$B$13:$AF$61,AA$1,FALSE)))/VLOOKUP($E35,'AEO23 Table 23'!$B$13:$AF$61,AA$1,FALSE),"")</f>
        <v/>
      </c>
      <c r="AB35" s="54" t="str">
        <f>IFERROR((VLOOKUP($E35,'AEO23 Table 23'!$B$13:$AF$61,AC$1,FALSE)-(VLOOKUP($E35,'AEO23 Table 23'!$B$13:$AF$61,AB$1,FALSE)))/VLOOKUP($E35,'AEO23 Table 23'!$B$13:$AF$61,AB$1,FALSE),"")</f>
        <v/>
      </c>
      <c r="AC35" s="54" t="str">
        <f>IFERROR((VLOOKUP($E35,'AEO23 Table 23'!$B$13:$AF$61,AD$1,FALSE)-(VLOOKUP($E35,'AEO23 Table 23'!$B$13:$AF$61,AC$1,FALSE)))/VLOOKUP($E35,'AEO23 Table 23'!$B$13:$AF$61,AC$1,FALSE),"")</f>
        <v/>
      </c>
      <c r="AD35" s="54" t="str">
        <f>IFERROR((VLOOKUP($E35,'AEO23 Table 23'!$B$13:$AF$61,AE$1,FALSE)-(VLOOKUP($E35,'AEO23 Table 23'!$B$13:$AF$61,AD$1,FALSE)))/VLOOKUP($E35,'AEO23 Table 23'!$B$13:$AF$61,AD$1,FALSE),"")</f>
        <v/>
      </c>
      <c r="AE35" s="54" t="str">
        <f>IFERROR((VLOOKUP($E35,'AEO23 Table 23'!$B$13:$AF$61,AF$1,FALSE)-(VLOOKUP($E35,'AEO23 Table 23'!$B$13:$AF$61,AE$1,FALSE)))/VLOOKUP($E35,'AEO23 Table 23'!$B$13:$AF$61,AE$1,FALSE),"")</f>
        <v/>
      </c>
      <c r="AF35" s="54" t="str">
        <f>IFERROR((VLOOKUP($E35,'AEO23 Table 23'!$B$13:$AF$61,AG$1,FALSE)-(VLOOKUP($E35,'AEO23 Table 23'!$B$13:$AF$61,AF$1,FALSE)))/VLOOKUP($E35,'AEO23 Table 23'!$B$13:$AF$61,AF$1,FALSE),"")</f>
        <v/>
      </c>
      <c r="AG35" s="54" t="str">
        <f>IFERROR((VLOOKUP($E35,'AEO23 Table 23'!$B$13:$AF$61,AH$1,FALSE)-(VLOOKUP($E35,'AEO23 Table 23'!$B$13:$AF$61,AG$1,FALSE)))/VLOOKUP($E35,'AEO23 Table 23'!$B$13:$AF$61,AG$1,FALSE),"")</f>
        <v/>
      </c>
      <c r="AH35" s="54" t="str">
        <f>IFERROR((VLOOKUP($E35,'AEO23 Table 23'!$B$13:$AF$61,AI$1,FALSE)-(VLOOKUP($E35,'AEO23 Table 23'!$B$13:$AF$61,AH$1,FALSE)))/VLOOKUP($E35,'AEO23 Table 23'!$B$13:$AF$61,AH$1,FALSE),"")</f>
        <v/>
      </c>
    </row>
    <row r="36" spans="1:34" x14ac:dyDescent="0.3">
      <c r="A36" s="1" t="s">
        <v>23</v>
      </c>
      <c r="B36" s="49" cm="1">
        <f t="array" ref="B36">SUMPRODUCT(--('BLS Table 2.7'!$O:$O=$A36),'BLS Table 2.7'!L:L,'BLS Table 2.7'!N:N)/SUMIFS('BLS Table 2.7'!L:L,'BLS Table 2.7'!$O:$O,$A36)/100</f>
        <v>0.02</v>
      </c>
      <c r="E36" s="1" t="s">
        <v>23</v>
      </c>
      <c r="F36" s="54" t="str">
        <f>IFERROR(INDEX('AEO23 Table 23'!$AG$22:$AG$61,MATCH($E36,'AEO23 Table 23'!$B$22:$B$61,0)),"")</f>
        <v/>
      </c>
      <c r="G36" s="54" t="str">
        <f>IFERROR((VLOOKUP($E36,'AEO23 Table 23'!$B$13:$AF$61,H$1,FALSE)-(VLOOKUP($E36,'AEO23 Table 23'!$B$13:$AF$61,G$1,FALSE)))/VLOOKUP($E36,'AEO23 Table 23'!$B$13:$AF$61,G$1,FALSE),"")</f>
        <v/>
      </c>
      <c r="H36" s="54" t="str">
        <f>IFERROR((VLOOKUP($E36,'AEO23 Table 23'!$B$13:$AF$61,I$1,FALSE)-(VLOOKUP($E36,'AEO23 Table 23'!$B$13:$AF$61,H$1,FALSE)))/VLOOKUP($E36,'AEO23 Table 23'!$B$13:$AF$61,H$1,FALSE),"")</f>
        <v/>
      </c>
      <c r="I36" s="54" t="str">
        <f>IFERROR((VLOOKUP($E36,'AEO23 Table 23'!$B$13:$AF$61,J$1,FALSE)-(VLOOKUP($E36,'AEO23 Table 23'!$B$13:$AF$61,I$1,FALSE)))/VLOOKUP($E36,'AEO23 Table 23'!$B$13:$AF$61,I$1,FALSE),"")</f>
        <v/>
      </c>
      <c r="J36" s="54" t="str">
        <f>IFERROR((VLOOKUP($E36,'AEO23 Table 23'!$B$13:$AF$61,K$1,FALSE)-(VLOOKUP($E36,'AEO23 Table 23'!$B$13:$AF$61,J$1,FALSE)))/VLOOKUP($E36,'AEO23 Table 23'!$B$13:$AF$61,J$1,FALSE),"")</f>
        <v/>
      </c>
      <c r="K36" s="54" t="str">
        <f>IFERROR((VLOOKUP($E36,'AEO23 Table 23'!$B$13:$AF$61,L$1,FALSE)-(VLOOKUP($E36,'AEO23 Table 23'!$B$13:$AF$61,K$1,FALSE)))/VLOOKUP($E36,'AEO23 Table 23'!$B$13:$AF$61,K$1,FALSE),"")</f>
        <v/>
      </c>
      <c r="L36" s="54" t="str">
        <f>IFERROR((VLOOKUP($E36,'AEO23 Table 23'!$B$13:$AF$61,M$1,FALSE)-(VLOOKUP($E36,'AEO23 Table 23'!$B$13:$AF$61,L$1,FALSE)))/VLOOKUP($E36,'AEO23 Table 23'!$B$13:$AF$61,L$1,FALSE),"")</f>
        <v/>
      </c>
      <c r="M36" s="54" t="str">
        <f>IFERROR((VLOOKUP($E36,'AEO23 Table 23'!$B$13:$AF$61,N$1,FALSE)-(VLOOKUP($E36,'AEO23 Table 23'!$B$13:$AF$61,M$1,FALSE)))/VLOOKUP($E36,'AEO23 Table 23'!$B$13:$AF$61,M$1,FALSE),"")</f>
        <v/>
      </c>
      <c r="N36" s="54" t="str">
        <f>IFERROR((VLOOKUP($E36,'AEO23 Table 23'!$B$13:$AF$61,O$1,FALSE)-(VLOOKUP($E36,'AEO23 Table 23'!$B$13:$AF$61,N$1,FALSE)))/VLOOKUP($E36,'AEO23 Table 23'!$B$13:$AF$61,N$1,FALSE),"")</f>
        <v/>
      </c>
      <c r="O36" s="54" t="str">
        <f>IFERROR((VLOOKUP($E36,'AEO23 Table 23'!$B$13:$AF$61,P$1,FALSE)-(VLOOKUP($E36,'AEO23 Table 23'!$B$13:$AF$61,O$1,FALSE)))/VLOOKUP($E36,'AEO23 Table 23'!$B$13:$AF$61,O$1,FALSE),"")</f>
        <v/>
      </c>
      <c r="P36" s="54" t="str">
        <f>IFERROR((VLOOKUP($E36,'AEO23 Table 23'!$B$13:$AF$61,Q$1,FALSE)-(VLOOKUP($E36,'AEO23 Table 23'!$B$13:$AF$61,P$1,FALSE)))/VLOOKUP($E36,'AEO23 Table 23'!$B$13:$AF$61,P$1,FALSE),"")</f>
        <v/>
      </c>
      <c r="Q36" s="54" t="str">
        <f>IFERROR((VLOOKUP($E36,'AEO23 Table 23'!$B$13:$AF$61,R$1,FALSE)-(VLOOKUP($E36,'AEO23 Table 23'!$B$13:$AF$61,Q$1,FALSE)))/VLOOKUP($E36,'AEO23 Table 23'!$B$13:$AF$61,Q$1,FALSE),"")</f>
        <v/>
      </c>
      <c r="R36" s="54" t="str">
        <f>IFERROR((VLOOKUP($E36,'AEO23 Table 23'!$B$13:$AF$61,S$1,FALSE)-(VLOOKUP($E36,'AEO23 Table 23'!$B$13:$AF$61,R$1,FALSE)))/VLOOKUP($E36,'AEO23 Table 23'!$B$13:$AF$61,R$1,FALSE),"")</f>
        <v/>
      </c>
      <c r="S36" s="54" t="str">
        <f>IFERROR((VLOOKUP($E36,'AEO23 Table 23'!$B$13:$AF$61,T$1,FALSE)-(VLOOKUP($E36,'AEO23 Table 23'!$B$13:$AF$61,S$1,FALSE)))/VLOOKUP($E36,'AEO23 Table 23'!$B$13:$AF$61,S$1,FALSE),"")</f>
        <v/>
      </c>
      <c r="T36" s="54" t="str">
        <f>IFERROR((VLOOKUP($E36,'AEO23 Table 23'!$B$13:$AF$61,U$1,FALSE)-(VLOOKUP($E36,'AEO23 Table 23'!$B$13:$AF$61,T$1,FALSE)))/VLOOKUP($E36,'AEO23 Table 23'!$B$13:$AF$61,T$1,FALSE),"")</f>
        <v/>
      </c>
      <c r="U36" s="54" t="str">
        <f>IFERROR((VLOOKUP($E36,'AEO23 Table 23'!$B$13:$AF$61,V$1,FALSE)-(VLOOKUP($E36,'AEO23 Table 23'!$B$13:$AF$61,U$1,FALSE)))/VLOOKUP($E36,'AEO23 Table 23'!$B$13:$AF$61,U$1,FALSE),"")</f>
        <v/>
      </c>
      <c r="V36" s="54" t="str">
        <f>IFERROR((VLOOKUP($E36,'AEO23 Table 23'!$B$13:$AF$61,W$1,FALSE)-(VLOOKUP($E36,'AEO23 Table 23'!$B$13:$AF$61,V$1,FALSE)))/VLOOKUP($E36,'AEO23 Table 23'!$B$13:$AF$61,V$1,FALSE),"")</f>
        <v/>
      </c>
      <c r="W36" s="54" t="str">
        <f>IFERROR((VLOOKUP($E36,'AEO23 Table 23'!$B$13:$AF$61,X$1,FALSE)-(VLOOKUP($E36,'AEO23 Table 23'!$B$13:$AF$61,W$1,FALSE)))/VLOOKUP($E36,'AEO23 Table 23'!$B$13:$AF$61,W$1,FALSE),"")</f>
        <v/>
      </c>
      <c r="X36" s="54" t="str">
        <f>IFERROR((VLOOKUP($E36,'AEO23 Table 23'!$B$13:$AF$61,Y$1,FALSE)-(VLOOKUP($E36,'AEO23 Table 23'!$B$13:$AF$61,X$1,FALSE)))/VLOOKUP($E36,'AEO23 Table 23'!$B$13:$AF$61,X$1,FALSE),"")</f>
        <v/>
      </c>
      <c r="Y36" s="54" t="str">
        <f>IFERROR((VLOOKUP($E36,'AEO23 Table 23'!$B$13:$AF$61,Z$1,FALSE)-(VLOOKUP($E36,'AEO23 Table 23'!$B$13:$AF$61,Y$1,FALSE)))/VLOOKUP($E36,'AEO23 Table 23'!$B$13:$AF$61,Y$1,FALSE),"")</f>
        <v/>
      </c>
      <c r="Z36" s="54" t="str">
        <f>IFERROR((VLOOKUP($E36,'AEO23 Table 23'!$B$13:$AF$61,AA$1,FALSE)-(VLOOKUP($E36,'AEO23 Table 23'!$B$13:$AF$61,Z$1,FALSE)))/VLOOKUP($E36,'AEO23 Table 23'!$B$13:$AF$61,Z$1,FALSE),"")</f>
        <v/>
      </c>
      <c r="AA36" s="54" t="str">
        <f>IFERROR((VLOOKUP($E36,'AEO23 Table 23'!$B$13:$AF$61,AB$1,FALSE)-(VLOOKUP($E36,'AEO23 Table 23'!$B$13:$AF$61,AA$1,FALSE)))/VLOOKUP($E36,'AEO23 Table 23'!$B$13:$AF$61,AA$1,FALSE),"")</f>
        <v/>
      </c>
      <c r="AB36" s="54" t="str">
        <f>IFERROR((VLOOKUP($E36,'AEO23 Table 23'!$B$13:$AF$61,AC$1,FALSE)-(VLOOKUP($E36,'AEO23 Table 23'!$B$13:$AF$61,AB$1,FALSE)))/VLOOKUP($E36,'AEO23 Table 23'!$B$13:$AF$61,AB$1,FALSE),"")</f>
        <v/>
      </c>
      <c r="AC36" s="54" t="str">
        <f>IFERROR((VLOOKUP($E36,'AEO23 Table 23'!$B$13:$AF$61,AD$1,FALSE)-(VLOOKUP($E36,'AEO23 Table 23'!$B$13:$AF$61,AC$1,FALSE)))/VLOOKUP($E36,'AEO23 Table 23'!$B$13:$AF$61,AC$1,FALSE),"")</f>
        <v/>
      </c>
      <c r="AD36" s="54" t="str">
        <f>IFERROR((VLOOKUP($E36,'AEO23 Table 23'!$B$13:$AF$61,AE$1,FALSE)-(VLOOKUP($E36,'AEO23 Table 23'!$B$13:$AF$61,AD$1,FALSE)))/VLOOKUP($E36,'AEO23 Table 23'!$B$13:$AF$61,AD$1,FALSE),"")</f>
        <v/>
      </c>
      <c r="AE36" s="54" t="str">
        <f>IFERROR((VLOOKUP($E36,'AEO23 Table 23'!$B$13:$AF$61,AF$1,FALSE)-(VLOOKUP($E36,'AEO23 Table 23'!$B$13:$AF$61,AE$1,FALSE)))/VLOOKUP($E36,'AEO23 Table 23'!$B$13:$AF$61,AE$1,FALSE),"")</f>
        <v/>
      </c>
      <c r="AF36" s="54" t="str">
        <f>IFERROR((VLOOKUP($E36,'AEO23 Table 23'!$B$13:$AF$61,AG$1,FALSE)-(VLOOKUP($E36,'AEO23 Table 23'!$B$13:$AF$61,AF$1,FALSE)))/VLOOKUP($E36,'AEO23 Table 23'!$B$13:$AF$61,AF$1,FALSE),"")</f>
        <v/>
      </c>
      <c r="AG36" s="54" t="str">
        <f>IFERROR((VLOOKUP($E36,'AEO23 Table 23'!$B$13:$AF$61,AH$1,FALSE)-(VLOOKUP($E36,'AEO23 Table 23'!$B$13:$AF$61,AG$1,FALSE)))/VLOOKUP($E36,'AEO23 Table 23'!$B$13:$AF$61,AG$1,FALSE),"")</f>
        <v/>
      </c>
      <c r="AH36" s="54" t="str">
        <f>IFERROR((VLOOKUP($E36,'AEO23 Table 23'!$B$13:$AF$61,AI$1,FALSE)-(VLOOKUP($E36,'AEO23 Table 23'!$B$13:$AF$61,AH$1,FALSE)))/VLOOKUP($E36,'AEO23 Table 23'!$B$13:$AF$61,AH$1,FALSE),"")</f>
        <v/>
      </c>
    </row>
    <row r="37" spans="1:34" x14ac:dyDescent="0.3">
      <c r="A37" s="1" t="s">
        <v>24</v>
      </c>
      <c r="B37" s="49" cm="1">
        <f t="array" ref="B37">SUMPRODUCT(--('BLS Table 2.7'!$O:$O=$A37),'BLS Table 2.7'!L:L,'BLS Table 2.7'!N:N)/SUMIFS('BLS Table 2.7'!L:L,'BLS Table 2.7'!$O:$O,$A37)/100</f>
        <v>3.7309863252836785E-2</v>
      </c>
      <c r="E37" s="1" t="s">
        <v>24</v>
      </c>
      <c r="F37" s="54" t="str">
        <f>IFERROR(INDEX('AEO23 Table 23'!$AG$22:$AG$61,MATCH($E37,'AEO23 Table 23'!$B$22:$B$61,0)),"")</f>
        <v/>
      </c>
      <c r="G37" s="54" t="str">
        <f>IFERROR((VLOOKUP($E37,'AEO23 Table 23'!$B$13:$AF$61,H$1,FALSE)-(VLOOKUP($E37,'AEO23 Table 23'!$B$13:$AF$61,G$1,FALSE)))/VLOOKUP($E37,'AEO23 Table 23'!$B$13:$AF$61,G$1,FALSE),"")</f>
        <v/>
      </c>
      <c r="H37" s="54" t="str">
        <f>IFERROR((VLOOKUP($E37,'AEO23 Table 23'!$B$13:$AF$61,I$1,FALSE)-(VLOOKUP($E37,'AEO23 Table 23'!$B$13:$AF$61,H$1,FALSE)))/VLOOKUP($E37,'AEO23 Table 23'!$B$13:$AF$61,H$1,FALSE),"")</f>
        <v/>
      </c>
      <c r="I37" s="54" t="str">
        <f>IFERROR((VLOOKUP($E37,'AEO23 Table 23'!$B$13:$AF$61,J$1,FALSE)-(VLOOKUP($E37,'AEO23 Table 23'!$B$13:$AF$61,I$1,FALSE)))/VLOOKUP($E37,'AEO23 Table 23'!$B$13:$AF$61,I$1,FALSE),"")</f>
        <v/>
      </c>
      <c r="J37" s="54" t="str">
        <f>IFERROR((VLOOKUP($E37,'AEO23 Table 23'!$B$13:$AF$61,K$1,FALSE)-(VLOOKUP($E37,'AEO23 Table 23'!$B$13:$AF$61,J$1,FALSE)))/VLOOKUP($E37,'AEO23 Table 23'!$B$13:$AF$61,J$1,FALSE),"")</f>
        <v/>
      </c>
      <c r="K37" s="54" t="str">
        <f>IFERROR((VLOOKUP($E37,'AEO23 Table 23'!$B$13:$AF$61,L$1,FALSE)-(VLOOKUP($E37,'AEO23 Table 23'!$B$13:$AF$61,K$1,FALSE)))/VLOOKUP($E37,'AEO23 Table 23'!$B$13:$AF$61,K$1,FALSE),"")</f>
        <v/>
      </c>
      <c r="L37" s="54" t="str">
        <f>IFERROR((VLOOKUP($E37,'AEO23 Table 23'!$B$13:$AF$61,M$1,FALSE)-(VLOOKUP($E37,'AEO23 Table 23'!$B$13:$AF$61,L$1,FALSE)))/VLOOKUP($E37,'AEO23 Table 23'!$B$13:$AF$61,L$1,FALSE),"")</f>
        <v/>
      </c>
      <c r="M37" s="54" t="str">
        <f>IFERROR((VLOOKUP($E37,'AEO23 Table 23'!$B$13:$AF$61,N$1,FALSE)-(VLOOKUP($E37,'AEO23 Table 23'!$B$13:$AF$61,M$1,FALSE)))/VLOOKUP($E37,'AEO23 Table 23'!$B$13:$AF$61,M$1,FALSE),"")</f>
        <v/>
      </c>
      <c r="N37" s="54" t="str">
        <f>IFERROR((VLOOKUP($E37,'AEO23 Table 23'!$B$13:$AF$61,O$1,FALSE)-(VLOOKUP($E37,'AEO23 Table 23'!$B$13:$AF$61,N$1,FALSE)))/VLOOKUP($E37,'AEO23 Table 23'!$B$13:$AF$61,N$1,FALSE),"")</f>
        <v/>
      </c>
      <c r="O37" s="54" t="str">
        <f>IFERROR((VLOOKUP($E37,'AEO23 Table 23'!$B$13:$AF$61,P$1,FALSE)-(VLOOKUP($E37,'AEO23 Table 23'!$B$13:$AF$61,O$1,FALSE)))/VLOOKUP($E37,'AEO23 Table 23'!$B$13:$AF$61,O$1,FALSE),"")</f>
        <v/>
      </c>
      <c r="P37" s="54" t="str">
        <f>IFERROR((VLOOKUP($E37,'AEO23 Table 23'!$B$13:$AF$61,Q$1,FALSE)-(VLOOKUP($E37,'AEO23 Table 23'!$B$13:$AF$61,P$1,FALSE)))/VLOOKUP($E37,'AEO23 Table 23'!$B$13:$AF$61,P$1,FALSE),"")</f>
        <v/>
      </c>
      <c r="Q37" s="54" t="str">
        <f>IFERROR((VLOOKUP($E37,'AEO23 Table 23'!$B$13:$AF$61,R$1,FALSE)-(VLOOKUP($E37,'AEO23 Table 23'!$B$13:$AF$61,Q$1,FALSE)))/VLOOKUP($E37,'AEO23 Table 23'!$B$13:$AF$61,Q$1,FALSE),"")</f>
        <v/>
      </c>
      <c r="R37" s="54" t="str">
        <f>IFERROR((VLOOKUP($E37,'AEO23 Table 23'!$B$13:$AF$61,S$1,FALSE)-(VLOOKUP($E37,'AEO23 Table 23'!$B$13:$AF$61,R$1,FALSE)))/VLOOKUP($E37,'AEO23 Table 23'!$B$13:$AF$61,R$1,FALSE),"")</f>
        <v/>
      </c>
      <c r="S37" s="54" t="str">
        <f>IFERROR((VLOOKUP($E37,'AEO23 Table 23'!$B$13:$AF$61,T$1,FALSE)-(VLOOKUP($E37,'AEO23 Table 23'!$B$13:$AF$61,S$1,FALSE)))/VLOOKUP($E37,'AEO23 Table 23'!$B$13:$AF$61,S$1,FALSE),"")</f>
        <v/>
      </c>
      <c r="T37" s="54" t="str">
        <f>IFERROR((VLOOKUP($E37,'AEO23 Table 23'!$B$13:$AF$61,U$1,FALSE)-(VLOOKUP($E37,'AEO23 Table 23'!$B$13:$AF$61,T$1,FALSE)))/VLOOKUP($E37,'AEO23 Table 23'!$B$13:$AF$61,T$1,FALSE),"")</f>
        <v/>
      </c>
      <c r="U37" s="54" t="str">
        <f>IFERROR((VLOOKUP($E37,'AEO23 Table 23'!$B$13:$AF$61,V$1,FALSE)-(VLOOKUP($E37,'AEO23 Table 23'!$B$13:$AF$61,U$1,FALSE)))/VLOOKUP($E37,'AEO23 Table 23'!$B$13:$AF$61,U$1,FALSE),"")</f>
        <v/>
      </c>
      <c r="V37" s="54" t="str">
        <f>IFERROR((VLOOKUP($E37,'AEO23 Table 23'!$B$13:$AF$61,W$1,FALSE)-(VLOOKUP($E37,'AEO23 Table 23'!$B$13:$AF$61,V$1,FALSE)))/VLOOKUP($E37,'AEO23 Table 23'!$B$13:$AF$61,V$1,FALSE),"")</f>
        <v/>
      </c>
      <c r="W37" s="54" t="str">
        <f>IFERROR((VLOOKUP($E37,'AEO23 Table 23'!$B$13:$AF$61,X$1,FALSE)-(VLOOKUP($E37,'AEO23 Table 23'!$B$13:$AF$61,W$1,FALSE)))/VLOOKUP($E37,'AEO23 Table 23'!$B$13:$AF$61,W$1,FALSE),"")</f>
        <v/>
      </c>
      <c r="X37" s="54" t="str">
        <f>IFERROR((VLOOKUP($E37,'AEO23 Table 23'!$B$13:$AF$61,Y$1,FALSE)-(VLOOKUP($E37,'AEO23 Table 23'!$B$13:$AF$61,X$1,FALSE)))/VLOOKUP($E37,'AEO23 Table 23'!$B$13:$AF$61,X$1,FALSE),"")</f>
        <v/>
      </c>
      <c r="Y37" s="54" t="str">
        <f>IFERROR((VLOOKUP($E37,'AEO23 Table 23'!$B$13:$AF$61,Z$1,FALSE)-(VLOOKUP($E37,'AEO23 Table 23'!$B$13:$AF$61,Y$1,FALSE)))/VLOOKUP($E37,'AEO23 Table 23'!$B$13:$AF$61,Y$1,FALSE),"")</f>
        <v/>
      </c>
      <c r="Z37" s="54" t="str">
        <f>IFERROR((VLOOKUP($E37,'AEO23 Table 23'!$B$13:$AF$61,AA$1,FALSE)-(VLOOKUP($E37,'AEO23 Table 23'!$B$13:$AF$61,Z$1,FALSE)))/VLOOKUP($E37,'AEO23 Table 23'!$B$13:$AF$61,Z$1,FALSE),"")</f>
        <v/>
      </c>
      <c r="AA37" s="54" t="str">
        <f>IFERROR((VLOOKUP($E37,'AEO23 Table 23'!$B$13:$AF$61,AB$1,FALSE)-(VLOOKUP($E37,'AEO23 Table 23'!$B$13:$AF$61,AA$1,FALSE)))/VLOOKUP($E37,'AEO23 Table 23'!$B$13:$AF$61,AA$1,FALSE),"")</f>
        <v/>
      </c>
      <c r="AB37" s="54" t="str">
        <f>IFERROR((VLOOKUP($E37,'AEO23 Table 23'!$B$13:$AF$61,AC$1,FALSE)-(VLOOKUP($E37,'AEO23 Table 23'!$B$13:$AF$61,AB$1,FALSE)))/VLOOKUP($E37,'AEO23 Table 23'!$B$13:$AF$61,AB$1,FALSE),"")</f>
        <v/>
      </c>
      <c r="AC37" s="54" t="str">
        <f>IFERROR((VLOOKUP($E37,'AEO23 Table 23'!$B$13:$AF$61,AD$1,FALSE)-(VLOOKUP($E37,'AEO23 Table 23'!$B$13:$AF$61,AC$1,FALSE)))/VLOOKUP($E37,'AEO23 Table 23'!$B$13:$AF$61,AC$1,FALSE),"")</f>
        <v/>
      </c>
      <c r="AD37" s="54" t="str">
        <f>IFERROR((VLOOKUP($E37,'AEO23 Table 23'!$B$13:$AF$61,AE$1,FALSE)-(VLOOKUP($E37,'AEO23 Table 23'!$B$13:$AF$61,AD$1,FALSE)))/VLOOKUP($E37,'AEO23 Table 23'!$B$13:$AF$61,AD$1,FALSE),"")</f>
        <v/>
      </c>
      <c r="AE37" s="54" t="str">
        <f>IFERROR((VLOOKUP($E37,'AEO23 Table 23'!$B$13:$AF$61,AF$1,FALSE)-(VLOOKUP($E37,'AEO23 Table 23'!$B$13:$AF$61,AE$1,FALSE)))/VLOOKUP($E37,'AEO23 Table 23'!$B$13:$AF$61,AE$1,FALSE),"")</f>
        <v/>
      </c>
      <c r="AF37" s="54" t="str">
        <f>IFERROR((VLOOKUP($E37,'AEO23 Table 23'!$B$13:$AF$61,AG$1,FALSE)-(VLOOKUP($E37,'AEO23 Table 23'!$B$13:$AF$61,AF$1,FALSE)))/VLOOKUP($E37,'AEO23 Table 23'!$B$13:$AF$61,AF$1,FALSE),"")</f>
        <v/>
      </c>
      <c r="AG37" s="54" t="str">
        <f>IFERROR((VLOOKUP($E37,'AEO23 Table 23'!$B$13:$AF$61,AH$1,FALSE)-(VLOOKUP($E37,'AEO23 Table 23'!$B$13:$AF$61,AG$1,FALSE)))/VLOOKUP($E37,'AEO23 Table 23'!$B$13:$AF$61,AG$1,FALSE),"")</f>
        <v/>
      </c>
      <c r="AH37" s="54" t="str">
        <f>IFERROR((VLOOKUP($E37,'AEO23 Table 23'!$B$13:$AF$61,AI$1,FALSE)-(VLOOKUP($E37,'AEO23 Table 23'!$B$13:$AF$61,AH$1,FALSE)))/VLOOKUP($E37,'AEO23 Table 23'!$B$13:$AF$61,AH$1,FALSE),"")</f>
        <v/>
      </c>
    </row>
    <row r="38" spans="1:34" x14ac:dyDescent="0.3">
      <c r="A38" s="1" t="s">
        <v>25</v>
      </c>
      <c r="B38" s="49" cm="1">
        <f t="array" ref="B38">SUMPRODUCT(--('BLS Table 2.7'!$O:$O=$A38),'BLS Table 2.7'!L:L,'BLS Table 2.7'!N:N)/SUMIFS('BLS Table 2.7'!L:L,'BLS Table 2.7'!$O:$O,$A38)/100</f>
        <v>1.3999999999999999E-2</v>
      </c>
      <c r="E38" s="1" t="s">
        <v>25</v>
      </c>
      <c r="F38" s="54" t="str">
        <f>IFERROR(INDEX('AEO23 Table 23'!$AG$22:$AG$61,MATCH($E38,'AEO23 Table 23'!$B$22:$B$61,0)),"")</f>
        <v/>
      </c>
      <c r="G38" s="54" t="str">
        <f>IFERROR((VLOOKUP($E38,'AEO23 Table 23'!$B$13:$AF$61,H$1,FALSE)-(VLOOKUP($E38,'AEO23 Table 23'!$B$13:$AF$61,G$1,FALSE)))/VLOOKUP($E38,'AEO23 Table 23'!$B$13:$AF$61,G$1,FALSE),"")</f>
        <v/>
      </c>
      <c r="H38" s="54" t="str">
        <f>IFERROR((VLOOKUP($E38,'AEO23 Table 23'!$B$13:$AF$61,I$1,FALSE)-(VLOOKUP($E38,'AEO23 Table 23'!$B$13:$AF$61,H$1,FALSE)))/VLOOKUP($E38,'AEO23 Table 23'!$B$13:$AF$61,H$1,FALSE),"")</f>
        <v/>
      </c>
      <c r="I38" s="54" t="str">
        <f>IFERROR((VLOOKUP($E38,'AEO23 Table 23'!$B$13:$AF$61,J$1,FALSE)-(VLOOKUP($E38,'AEO23 Table 23'!$B$13:$AF$61,I$1,FALSE)))/VLOOKUP($E38,'AEO23 Table 23'!$B$13:$AF$61,I$1,FALSE),"")</f>
        <v/>
      </c>
      <c r="J38" s="54" t="str">
        <f>IFERROR((VLOOKUP($E38,'AEO23 Table 23'!$B$13:$AF$61,K$1,FALSE)-(VLOOKUP($E38,'AEO23 Table 23'!$B$13:$AF$61,J$1,FALSE)))/VLOOKUP($E38,'AEO23 Table 23'!$B$13:$AF$61,J$1,FALSE),"")</f>
        <v/>
      </c>
      <c r="K38" s="54" t="str">
        <f>IFERROR((VLOOKUP($E38,'AEO23 Table 23'!$B$13:$AF$61,L$1,FALSE)-(VLOOKUP($E38,'AEO23 Table 23'!$B$13:$AF$61,K$1,FALSE)))/VLOOKUP($E38,'AEO23 Table 23'!$B$13:$AF$61,K$1,FALSE),"")</f>
        <v/>
      </c>
      <c r="L38" s="54" t="str">
        <f>IFERROR((VLOOKUP($E38,'AEO23 Table 23'!$B$13:$AF$61,M$1,FALSE)-(VLOOKUP($E38,'AEO23 Table 23'!$B$13:$AF$61,L$1,FALSE)))/VLOOKUP($E38,'AEO23 Table 23'!$B$13:$AF$61,L$1,FALSE),"")</f>
        <v/>
      </c>
      <c r="M38" s="54" t="str">
        <f>IFERROR((VLOOKUP($E38,'AEO23 Table 23'!$B$13:$AF$61,N$1,FALSE)-(VLOOKUP($E38,'AEO23 Table 23'!$B$13:$AF$61,M$1,FALSE)))/VLOOKUP($E38,'AEO23 Table 23'!$B$13:$AF$61,M$1,FALSE),"")</f>
        <v/>
      </c>
      <c r="N38" s="54" t="str">
        <f>IFERROR((VLOOKUP($E38,'AEO23 Table 23'!$B$13:$AF$61,O$1,FALSE)-(VLOOKUP($E38,'AEO23 Table 23'!$B$13:$AF$61,N$1,FALSE)))/VLOOKUP($E38,'AEO23 Table 23'!$B$13:$AF$61,N$1,FALSE),"")</f>
        <v/>
      </c>
      <c r="O38" s="54" t="str">
        <f>IFERROR((VLOOKUP($E38,'AEO23 Table 23'!$B$13:$AF$61,P$1,FALSE)-(VLOOKUP($E38,'AEO23 Table 23'!$B$13:$AF$61,O$1,FALSE)))/VLOOKUP($E38,'AEO23 Table 23'!$B$13:$AF$61,O$1,FALSE),"")</f>
        <v/>
      </c>
      <c r="P38" s="54" t="str">
        <f>IFERROR((VLOOKUP($E38,'AEO23 Table 23'!$B$13:$AF$61,Q$1,FALSE)-(VLOOKUP($E38,'AEO23 Table 23'!$B$13:$AF$61,P$1,FALSE)))/VLOOKUP($E38,'AEO23 Table 23'!$B$13:$AF$61,P$1,FALSE),"")</f>
        <v/>
      </c>
      <c r="Q38" s="54" t="str">
        <f>IFERROR((VLOOKUP($E38,'AEO23 Table 23'!$B$13:$AF$61,R$1,FALSE)-(VLOOKUP($E38,'AEO23 Table 23'!$B$13:$AF$61,Q$1,FALSE)))/VLOOKUP($E38,'AEO23 Table 23'!$B$13:$AF$61,Q$1,FALSE),"")</f>
        <v/>
      </c>
      <c r="R38" s="54" t="str">
        <f>IFERROR((VLOOKUP($E38,'AEO23 Table 23'!$B$13:$AF$61,S$1,FALSE)-(VLOOKUP($E38,'AEO23 Table 23'!$B$13:$AF$61,R$1,FALSE)))/VLOOKUP($E38,'AEO23 Table 23'!$B$13:$AF$61,R$1,FALSE),"")</f>
        <v/>
      </c>
      <c r="S38" s="54" t="str">
        <f>IFERROR((VLOOKUP($E38,'AEO23 Table 23'!$B$13:$AF$61,T$1,FALSE)-(VLOOKUP($E38,'AEO23 Table 23'!$B$13:$AF$61,S$1,FALSE)))/VLOOKUP($E38,'AEO23 Table 23'!$B$13:$AF$61,S$1,FALSE),"")</f>
        <v/>
      </c>
      <c r="T38" s="54" t="str">
        <f>IFERROR((VLOOKUP($E38,'AEO23 Table 23'!$B$13:$AF$61,U$1,FALSE)-(VLOOKUP($E38,'AEO23 Table 23'!$B$13:$AF$61,T$1,FALSE)))/VLOOKUP($E38,'AEO23 Table 23'!$B$13:$AF$61,T$1,FALSE),"")</f>
        <v/>
      </c>
      <c r="U38" s="54" t="str">
        <f>IFERROR((VLOOKUP($E38,'AEO23 Table 23'!$B$13:$AF$61,V$1,FALSE)-(VLOOKUP($E38,'AEO23 Table 23'!$B$13:$AF$61,U$1,FALSE)))/VLOOKUP($E38,'AEO23 Table 23'!$B$13:$AF$61,U$1,FALSE),"")</f>
        <v/>
      </c>
      <c r="V38" s="54" t="str">
        <f>IFERROR((VLOOKUP($E38,'AEO23 Table 23'!$B$13:$AF$61,W$1,FALSE)-(VLOOKUP($E38,'AEO23 Table 23'!$B$13:$AF$61,V$1,FALSE)))/VLOOKUP($E38,'AEO23 Table 23'!$B$13:$AF$61,V$1,FALSE),"")</f>
        <v/>
      </c>
      <c r="W38" s="54" t="str">
        <f>IFERROR((VLOOKUP($E38,'AEO23 Table 23'!$B$13:$AF$61,X$1,FALSE)-(VLOOKUP($E38,'AEO23 Table 23'!$B$13:$AF$61,W$1,FALSE)))/VLOOKUP($E38,'AEO23 Table 23'!$B$13:$AF$61,W$1,FALSE),"")</f>
        <v/>
      </c>
      <c r="X38" s="54" t="str">
        <f>IFERROR((VLOOKUP($E38,'AEO23 Table 23'!$B$13:$AF$61,Y$1,FALSE)-(VLOOKUP($E38,'AEO23 Table 23'!$B$13:$AF$61,X$1,FALSE)))/VLOOKUP($E38,'AEO23 Table 23'!$B$13:$AF$61,X$1,FALSE),"")</f>
        <v/>
      </c>
      <c r="Y38" s="54" t="str">
        <f>IFERROR((VLOOKUP($E38,'AEO23 Table 23'!$B$13:$AF$61,Z$1,FALSE)-(VLOOKUP($E38,'AEO23 Table 23'!$B$13:$AF$61,Y$1,FALSE)))/VLOOKUP($E38,'AEO23 Table 23'!$B$13:$AF$61,Y$1,FALSE),"")</f>
        <v/>
      </c>
      <c r="Z38" s="54" t="str">
        <f>IFERROR((VLOOKUP($E38,'AEO23 Table 23'!$B$13:$AF$61,AA$1,FALSE)-(VLOOKUP($E38,'AEO23 Table 23'!$B$13:$AF$61,Z$1,FALSE)))/VLOOKUP($E38,'AEO23 Table 23'!$B$13:$AF$61,Z$1,FALSE),"")</f>
        <v/>
      </c>
      <c r="AA38" s="54" t="str">
        <f>IFERROR((VLOOKUP($E38,'AEO23 Table 23'!$B$13:$AF$61,AB$1,FALSE)-(VLOOKUP($E38,'AEO23 Table 23'!$B$13:$AF$61,AA$1,FALSE)))/VLOOKUP($E38,'AEO23 Table 23'!$B$13:$AF$61,AA$1,FALSE),"")</f>
        <v/>
      </c>
      <c r="AB38" s="54" t="str">
        <f>IFERROR((VLOOKUP($E38,'AEO23 Table 23'!$B$13:$AF$61,AC$1,FALSE)-(VLOOKUP($E38,'AEO23 Table 23'!$B$13:$AF$61,AB$1,FALSE)))/VLOOKUP($E38,'AEO23 Table 23'!$B$13:$AF$61,AB$1,FALSE),"")</f>
        <v/>
      </c>
      <c r="AC38" s="54" t="str">
        <f>IFERROR((VLOOKUP($E38,'AEO23 Table 23'!$B$13:$AF$61,AD$1,FALSE)-(VLOOKUP($E38,'AEO23 Table 23'!$B$13:$AF$61,AC$1,FALSE)))/VLOOKUP($E38,'AEO23 Table 23'!$B$13:$AF$61,AC$1,FALSE),"")</f>
        <v/>
      </c>
      <c r="AD38" s="54" t="str">
        <f>IFERROR((VLOOKUP($E38,'AEO23 Table 23'!$B$13:$AF$61,AE$1,FALSE)-(VLOOKUP($E38,'AEO23 Table 23'!$B$13:$AF$61,AD$1,FALSE)))/VLOOKUP($E38,'AEO23 Table 23'!$B$13:$AF$61,AD$1,FALSE),"")</f>
        <v/>
      </c>
      <c r="AE38" s="54" t="str">
        <f>IFERROR((VLOOKUP($E38,'AEO23 Table 23'!$B$13:$AF$61,AF$1,FALSE)-(VLOOKUP($E38,'AEO23 Table 23'!$B$13:$AF$61,AE$1,FALSE)))/VLOOKUP($E38,'AEO23 Table 23'!$B$13:$AF$61,AE$1,FALSE),"")</f>
        <v/>
      </c>
      <c r="AF38" s="54" t="str">
        <f>IFERROR((VLOOKUP($E38,'AEO23 Table 23'!$B$13:$AF$61,AG$1,FALSE)-(VLOOKUP($E38,'AEO23 Table 23'!$B$13:$AF$61,AF$1,FALSE)))/VLOOKUP($E38,'AEO23 Table 23'!$B$13:$AF$61,AF$1,FALSE),"")</f>
        <v/>
      </c>
      <c r="AG38" s="54" t="str">
        <f>IFERROR((VLOOKUP($E38,'AEO23 Table 23'!$B$13:$AF$61,AH$1,FALSE)-(VLOOKUP($E38,'AEO23 Table 23'!$B$13:$AF$61,AG$1,FALSE)))/VLOOKUP($E38,'AEO23 Table 23'!$B$13:$AF$61,AG$1,FALSE),"")</f>
        <v/>
      </c>
      <c r="AH38" s="54" t="str">
        <f>IFERROR((VLOOKUP($E38,'AEO23 Table 23'!$B$13:$AF$61,AI$1,FALSE)-(VLOOKUP($E38,'AEO23 Table 23'!$B$13:$AF$61,AH$1,FALSE)))/VLOOKUP($E38,'AEO23 Table 23'!$B$13:$AF$61,AH$1,FALSE),"")</f>
        <v/>
      </c>
    </row>
    <row r="39" spans="1:34" x14ac:dyDescent="0.3">
      <c r="A39" s="1" t="s">
        <v>26</v>
      </c>
      <c r="B39" s="49" cm="1">
        <f t="array" ref="B39">SUMPRODUCT(--('BLS Table 2.7'!$O:$O=$A39),'BLS Table 2.7'!L:L,'BLS Table 2.7'!N:N)/SUMIFS('BLS Table 2.7'!L:L,'BLS Table 2.7'!$O:$O,$A39)/100</f>
        <v>1.9E-2</v>
      </c>
      <c r="E39" s="1" t="s">
        <v>26</v>
      </c>
      <c r="F39" s="54" t="str">
        <f>IFERROR(INDEX('AEO23 Table 23'!$AG$22:$AG$61,MATCH($E39,'AEO23 Table 23'!$B$22:$B$61,0)),"")</f>
        <v/>
      </c>
      <c r="G39" s="54" t="str">
        <f>IFERROR((VLOOKUP($E39,'AEO23 Table 23'!$B$13:$AF$61,H$1,FALSE)-(VLOOKUP($E39,'AEO23 Table 23'!$B$13:$AF$61,G$1,FALSE)))/VLOOKUP($E39,'AEO23 Table 23'!$B$13:$AF$61,G$1,FALSE),"")</f>
        <v/>
      </c>
      <c r="H39" s="54" t="str">
        <f>IFERROR((VLOOKUP($E39,'AEO23 Table 23'!$B$13:$AF$61,I$1,FALSE)-(VLOOKUP($E39,'AEO23 Table 23'!$B$13:$AF$61,H$1,FALSE)))/VLOOKUP($E39,'AEO23 Table 23'!$B$13:$AF$61,H$1,FALSE),"")</f>
        <v/>
      </c>
      <c r="I39" s="54" t="str">
        <f>IFERROR((VLOOKUP($E39,'AEO23 Table 23'!$B$13:$AF$61,J$1,FALSE)-(VLOOKUP($E39,'AEO23 Table 23'!$B$13:$AF$61,I$1,FALSE)))/VLOOKUP($E39,'AEO23 Table 23'!$B$13:$AF$61,I$1,FALSE),"")</f>
        <v/>
      </c>
      <c r="J39" s="54" t="str">
        <f>IFERROR((VLOOKUP($E39,'AEO23 Table 23'!$B$13:$AF$61,K$1,FALSE)-(VLOOKUP($E39,'AEO23 Table 23'!$B$13:$AF$61,J$1,FALSE)))/VLOOKUP($E39,'AEO23 Table 23'!$B$13:$AF$61,J$1,FALSE),"")</f>
        <v/>
      </c>
      <c r="K39" s="54" t="str">
        <f>IFERROR((VLOOKUP($E39,'AEO23 Table 23'!$B$13:$AF$61,L$1,FALSE)-(VLOOKUP($E39,'AEO23 Table 23'!$B$13:$AF$61,K$1,FALSE)))/VLOOKUP($E39,'AEO23 Table 23'!$B$13:$AF$61,K$1,FALSE),"")</f>
        <v/>
      </c>
      <c r="L39" s="54" t="str">
        <f>IFERROR((VLOOKUP($E39,'AEO23 Table 23'!$B$13:$AF$61,M$1,FALSE)-(VLOOKUP($E39,'AEO23 Table 23'!$B$13:$AF$61,L$1,FALSE)))/VLOOKUP($E39,'AEO23 Table 23'!$B$13:$AF$61,L$1,FALSE),"")</f>
        <v/>
      </c>
      <c r="M39" s="54" t="str">
        <f>IFERROR((VLOOKUP($E39,'AEO23 Table 23'!$B$13:$AF$61,N$1,FALSE)-(VLOOKUP($E39,'AEO23 Table 23'!$B$13:$AF$61,M$1,FALSE)))/VLOOKUP($E39,'AEO23 Table 23'!$B$13:$AF$61,M$1,FALSE),"")</f>
        <v/>
      </c>
      <c r="N39" s="54" t="str">
        <f>IFERROR((VLOOKUP($E39,'AEO23 Table 23'!$B$13:$AF$61,O$1,FALSE)-(VLOOKUP($E39,'AEO23 Table 23'!$B$13:$AF$61,N$1,FALSE)))/VLOOKUP($E39,'AEO23 Table 23'!$B$13:$AF$61,N$1,FALSE),"")</f>
        <v/>
      </c>
      <c r="O39" s="54" t="str">
        <f>IFERROR((VLOOKUP($E39,'AEO23 Table 23'!$B$13:$AF$61,P$1,FALSE)-(VLOOKUP($E39,'AEO23 Table 23'!$B$13:$AF$61,O$1,FALSE)))/VLOOKUP($E39,'AEO23 Table 23'!$B$13:$AF$61,O$1,FALSE),"")</f>
        <v/>
      </c>
      <c r="P39" s="54" t="str">
        <f>IFERROR((VLOOKUP($E39,'AEO23 Table 23'!$B$13:$AF$61,Q$1,FALSE)-(VLOOKUP($E39,'AEO23 Table 23'!$B$13:$AF$61,P$1,FALSE)))/VLOOKUP($E39,'AEO23 Table 23'!$B$13:$AF$61,P$1,FALSE),"")</f>
        <v/>
      </c>
      <c r="Q39" s="54" t="str">
        <f>IFERROR((VLOOKUP($E39,'AEO23 Table 23'!$B$13:$AF$61,R$1,FALSE)-(VLOOKUP($E39,'AEO23 Table 23'!$B$13:$AF$61,Q$1,FALSE)))/VLOOKUP($E39,'AEO23 Table 23'!$B$13:$AF$61,Q$1,FALSE),"")</f>
        <v/>
      </c>
      <c r="R39" s="54" t="str">
        <f>IFERROR((VLOOKUP($E39,'AEO23 Table 23'!$B$13:$AF$61,S$1,FALSE)-(VLOOKUP($E39,'AEO23 Table 23'!$B$13:$AF$61,R$1,FALSE)))/VLOOKUP($E39,'AEO23 Table 23'!$B$13:$AF$61,R$1,FALSE),"")</f>
        <v/>
      </c>
      <c r="S39" s="54" t="str">
        <f>IFERROR((VLOOKUP($E39,'AEO23 Table 23'!$B$13:$AF$61,T$1,FALSE)-(VLOOKUP($E39,'AEO23 Table 23'!$B$13:$AF$61,S$1,FALSE)))/VLOOKUP($E39,'AEO23 Table 23'!$B$13:$AF$61,S$1,FALSE),"")</f>
        <v/>
      </c>
      <c r="T39" s="54" t="str">
        <f>IFERROR((VLOOKUP($E39,'AEO23 Table 23'!$B$13:$AF$61,U$1,FALSE)-(VLOOKUP($E39,'AEO23 Table 23'!$B$13:$AF$61,T$1,FALSE)))/VLOOKUP($E39,'AEO23 Table 23'!$B$13:$AF$61,T$1,FALSE),"")</f>
        <v/>
      </c>
      <c r="U39" s="54" t="str">
        <f>IFERROR((VLOOKUP($E39,'AEO23 Table 23'!$B$13:$AF$61,V$1,FALSE)-(VLOOKUP($E39,'AEO23 Table 23'!$B$13:$AF$61,U$1,FALSE)))/VLOOKUP($E39,'AEO23 Table 23'!$B$13:$AF$61,U$1,FALSE),"")</f>
        <v/>
      </c>
      <c r="V39" s="54" t="str">
        <f>IFERROR((VLOOKUP($E39,'AEO23 Table 23'!$B$13:$AF$61,W$1,FALSE)-(VLOOKUP($E39,'AEO23 Table 23'!$B$13:$AF$61,V$1,FALSE)))/VLOOKUP($E39,'AEO23 Table 23'!$B$13:$AF$61,V$1,FALSE),"")</f>
        <v/>
      </c>
      <c r="W39" s="54" t="str">
        <f>IFERROR((VLOOKUP($E39,'AEO23 Table 23'!$B$13:$AF$61,X$1,FALSE)-(VLOOKUP($E39,'AEO23 Table 23'!$B$13:$AF$61,W$1,FALSE)))/VLOOKUP($E39,'AEO23 Table 23'!$B$13:$AF$61,W$1,FALSE),"")</f>
        <v/>
      </c>
      <c r="X39" s="54" t="str">
        <f>IFERROR((VLOOKUP($E39,'AEO23 Table 23'!$B$13:$AF$61,Y$1,FALSE)-(VLOOKUP($E39,'AEO23 Table 23'!$B$13:$AF$61,X$1,FALSE)))/VLOOKUP($E39,'AEO23 Table 23'!$B$13:$AF$61,X$1,FALSE),"")</f>
        <v/>
      </c>
      <c r="Y39" s="54" t="str">
        <f>IFERROR((VLOOKUP($E39,'AEO23 Table 23'!$B$13:$AF$61,Z$1,FALSE)-(VLOOKUP($E39,'AEO23 Table 23'!$B$13:$AF$61,Y$1,FALSE)))/VLOOKUP($E39,'AEO23 Table 23'!$B$13:$AF$61,Y$1,FALSE),"")</f>
        <v/>
      </c>
      <c r="Z39" s="54" t="str">
        <f>IFERROR((VLOOKUP($E39,'AEO23 Table 23'!$B$13:$AF$61,AA$1,FALSE)-(VLOOKUP($E39,'AEO23 Table 23'!$B$13:$AF$61,Z$1,FALSE)))/VLOOKUP($E39,'AEO23 Table 23'!$B$13:$AF$61,Z$1,FALSE),"")</f>
        <v/>
      </c>
      <c r="AA39" s="54" t="str">
        <f>IFERROR((VLOOKUP($E39,'AEO23 Table 23'!$B$13:$AF$61,AB$1,FALSE)-(VLOOKUP($E39,'AEO23 Table 23'!$B$13:$AF$61,AA$1,FALSE)))/VLOOKUP($E39,'AEO23 Table 23'!$B$13:$AF$61,AA$1,FALSE),"")</f>
        <v/>
      </c>
      <c r="AB39" s="54" t="str">
        <f>IFERROR((VLOOKUP($E39,'AEO23 Table 23'!$B$13:$AF$61,AC$1,FALSE)-(VLOOKUP($E39,'AEO23 Table 23'!$B$13:$AF$61,AB$1,FALSE)))/VLOOKUP($E39,'AEO23 Table 23'!$B$13:$AF$61,AB$1,FALSE),"")</f>
        <v/>
      </c>
      <c r="AC39" s="54" t="str">
        <f>IFERROR((VLOOKUP($E39,'AEO23 Table 23'!$B$13:$AF$61,AD$1,FALSE)-(VLOOKUP($E39,'AEO23 Table 23'!$B$13:$AF$61,AC$1,FALSE)))/VLOOKUP($E39,'AEO23 Table 23'!$B$13:$AF$61,AC$1,FALSE),"")</f>
        <v/>
      </c>
      <c r="AD39" s="54" t="str">
        <f>IFERROR((VLOOKUP($E39,'AEO23 Table 23'!$B$13:$AF$61,AE$1,FALSE)-(VLOOKUP($E39,'AEO23 Table 23'!$B$13:$AF$61,AD$1,FALSE)))/VLOOKUP($E39,'AEO23 Table 23'!$B$13:$AF$61,AD$1,FALSE),"")</f>
        <v/>
      </c>
      <c r="AE39" s="54" t="str">
        <f>IFERROR((VLOOKUP($E39,'AEO23 Table 23'!$B$13:$AF$61,AF$1,FALSE)-(VLOOKUP($E39,'AEO23 Table 23'!$B$13:$AF$61,AE$1,FALSE)))/VLOOKUP($E39,'AEO23 Table 23'!$B$13:$AF$61,AE$1,FALSE),"")</f>
        <v/>
      </c>
      <c r="AF39" s="54" t="str">
        <f>IFERROR((VLOOKUP($E39,'AEO23 Table 23'!$B$13:$AF$61,AG$1,FALSE)-(VLOOKUP($E39,'AEO23 Table 23'!$B$13:$AF$61,AF$1,FALSE)))/VLOOKUP($E39,'AEO23 Table 23'!$B$13:$AF$61,AF$1,FALSE),"")</f>
        <v/>
      </c>
      <c r="AG39" s="54" t="str">
        <f>IFERROR((VLOOKUP($E39,'AEO23 Table 23'!$B$13:$AF$61,AH$1,FALSE)-(VLOOKUP($E39,'AEO23 Table 23'!$B$13:$AF$61,AG$1,FALSE)))/VLOOKUP($E39,'AEO23 Table 23'!$B$13:$AF$61,AG$1,FALSE),"")</f>
        <v/>
      </c>
      <c r="AH39" s="54" t="str">
        <f>IFERROR((VLOOKUP($E39,'AEO23 Table 23'!$B$13:$AF$61,AI$1,FALSE)-(VLOOKUP($E39,'AEO23 Table 23'!$B$13:$AF$61,AH$1,FALSE)))/VLOOKUP($E39,'AEO23 Table 23'!$B$13:$AF$61,AH$1,FALSE),"")</f>
        <v/>
      </c>
    </row>
    <row r="40" spans="1:34" x14ac:dyDescent="0.3">
      <c r="A40" s="1" t="s">
        <v>27</v>
      </c>
      <c r="B40" s="49" cm="1">
        <f t="array" ref="B40">SUMPRODUCT(--('BLS Table 2.7'!$O:$O=$A40),'BLS Table 2.7'!L:L,'BLS Table 2.7'!N:N)/SUMIFS('BLS Table 2.7'!L:L,'BLS Table 2.7'!$O:$O,$A40)/100</f>
        <v>2.2553371629871297E-2</v>
      </c>
      <c r="E40" s="1" t="s">
        <v>27</v>
      </c>
      <c r="F40" s="54" t="str">
        <f>IFERROR(INDEX('AEO23 Table 23'!$AG$22:$AG$61,MATCH($E40,'AEO23 Table 23'!$B$22:$B$61,0)),"")</f>
        <v/>
      </c>
      <c r="G40" s="54" t="str">
        <f>IFERROR((VLOOKUP($E40,'AEO23 Table 23'!$B$13:$AF$61,H$1,FALSE)-(VLOOKUP($E40,'AEO23 Table 23'!$B$13:$AF$61,G$1,FALSE)))/VLOOKUP($E40,'AEO23 Table 23'!$B$13:$AF$61,G$1,FALSE),"")</f>
        <v/>
      </c>
      <c r="H40" s="54" t="str">
        <f>IFERROR((VLOOKUP($E40,'AEO23 Table 23'!$B$13:$AF$61,I$1,FALSE)-(VLOOKUP($E40,'AEO23 Table 23'!$B$13:$AF$61,H$1,FALSE)))/VLOOKUP($E40,'AEO23 Table 23'!$B$13:$AF$61,H$1,FALSE),"")</f>
        <v/>
      </c>
      <c r="I40" s="54" t="str">
        <f>IFERROR((VLOOKUP($E40,'AEO23 Table 23'!$B$13:$AF$61,J$1,FALSE)-(VLOOKUP($E40,'AEO23 Table 23'!$B$13:$AF$61,I$1,FALSE)))/VLOOKUP($E40,'AEO23 Table 23'!$B$13:$AF$61,I$1,FALSE),"")</f>
        <v/>
      </c>
      <c r="J40" s="54" t="str">
        <f>IFERROR((VLOOKUP($E40,'AEO23 Table 23'!$B$13:$AF$61,K$1,FALSE)-(VLOOKUP($E40,'AEO23 Table 23'!$B$13:$AF$61,J$1,FALSE)))/VLOOKUP($E40,'AEO23 Table 23'!$B$13:$AF$61,J$1,FALSE),"")</f>
        <v/>
      </c>
      <c r="K40" s="54" t="str">
        <f>IFERROR((VLOOKUP($E40,'AEO23 Table 23'!$B$13:$AF$61,L$1,FALSE)-(VLOOKUP($E40,'AEO23 Table 23'!$B$13:$AF$61,K$1,FALSE)))/VLOOKUP($E40,'AEO23 Table 23'!$B$13:$AF$61,K$1,FALSE),"")</f>
        <v/>
      </c>
      <c r="L40" s="54" t="str">
        <f>IFERROR((VLOOKUP($E40,'AEO23 Table 23'!$B$13:$AF$61,M$1,FALSE)-(VLOOKUP($E40,'AEO23 Table 23'!$B$13:$AF$61,L$1,FALSE)))/VLOOKUP($E40,'AEO23 Table 23'!$B$13:$AF$61,L$1,FALSE),"")</f>
        <v/>
      </c>
      <c r="M40" s="54" t="str">
        <f>IFERROR((VLOOKUP($E40,'AEO23 Table 23'!$B$13:$AF$61,N$1,FALSE)-(VLOOKUP($E40,'AEO23 Table 23'!$B$13:$AF$61,M$1,FALSE)))/VLOOKUP($E40,'AEO23 Table 23'!$B$13:$AF$61,M$1,FALSE),"")</f>
        <v/>
      </c>
      <c r="N40" s="54" t="str">
        <f>IFERROR((VLOOKUP($E40,'AEO23 Table 23'!$B$13:$AF$61,O$1,FALSE)-(VLOOKUP($E40,'AEO23 Table 23'!$B$13:$AF$61,N$1,FALSE)))/VLOOKUP($E40,'AEO23 Table 23'!$B$13:$AF$61,N$1,FALSE),"")</f>
        <v/>
      </c>
      <c r="O40" s="54" t="str">
        <f>IFERROR((VLOOKUP($E40,'AEO23 Table 23'!$B$13:$AF$61,P$1,FALSE)-(VLOOKUP($E40,'AEO23 Table 23'!$B$13:$AF$61,O$1,FALSE)))/VLOOKUP($E40,'AEO23 Table 23'!$B$13:$AF$61,O$1,FALSE),"")</f>
        <v/>
      </c>
      <c r="P40" s="54" t="str">
        <f>IFERROR((VLOOKUP($E40,'AEO23 Table 23'!$B$13:$AF$61,Q$1,FALSE)-(VLOOKUP($E40,'AEO23 Table 23'!$B$13:$AF$61,P$1,FALSE)))/VLOOKUP($E40,'AEO23 Table 23'!$B$13:$AF$61,P$1,FALSE),"")</f>
        <v/>
      </c>
      <c r="Q40" s="54" t="str">
        <f>IFERROR((VLOOKUP($E40,'AEO23 Table 23'!$B$13:$AF$61,R$1,FALSE)-(VLOOKUP($E40,'AEO23 Table 23'!$B$13:$AF$61,Q$1,FALSE)))/VLOOKUP($E40,'AEO23 Table 23'!$B$13:$AF$61,Q$1,FALSE),"")</f>
        <v/>
      </c>
      <c r="R40" s="54" t="str">
        <f>IFERROR((VLOOKUP($E40,'AEO23 Table 23'!$B$13:$AF$61,S$1,FALSE)-(VLOOKUP($E40,'AEO23 Table 23'!$B$13:$AF$61,R$1,FALSE)))/VLOOKUP($E40,'AEO23 Table 23'!$B$13:$AF$61,R$1,FALSE),"")</f>
        <v/>
      </c>
      <c r="S40" s="54" t="str">
        <f>IFERROR((VLOOKUP($E40,'AEO23 Table 23'!$B$13:$AF$61,T$1,FALSE)-(VLOOKUP($E40,'AEO23 Table 23'!$B$13:$AF$61,S$1,FALSE)))/VLOOKUP($E40,'AEO23 Table 23'!$B$13:$AF$61,S$1,FALSE),"")</f>
        <v/>
      </c>
      <c r="T40" s="54" t="str">
        <f>IFERROR((VLOOKUP($E40,'AEO23 Table 23'!$B$13:$AF$61,U$1,FALSE)-(VLOOKUP($E40,'AEO23 Table 23'!$B$13:$AF$61,T$1,FALSE)))/VLOOKUP($E40,'AEO23 Table 23'!$B$13:$AF$61,T$1,FALSE),"")</f>
        <v/>
      </c>
      <c r="U40" s="54" t="str">
        <f>IFERROR((VLOOKUP($E40,'AEO23 Table 23'!$B$13:$AF$61,V$1,FALSE)-(VLOOKUP($E40,'AEO23 Table 23'!$B$13:$AF$61,U$1,FALSE)))/VLOOKUP($E40,'AEO23 Table 23'!$B$13:$AF$61,U$1,FALSE),"")</f>
        <v/>
      </c>
      <c r="V40" s="54" t="str">
        <f>IFERROR((VLOOKUP($E40,'AEO23 Table 23'!$B$13:$AF$61,W$1,FALSE)-(VLOOKUP($E40,'AEO23 Table 23'!$B$13:$AF$61,V$1,FALSE)))/VLOOKUP($E40,'AEO23 Table 23'!$B$13:$AF$61,V$1,FALSE),"")</f>
        <v/>
      </c>
      <c r="W40" s="54" t="str">
        <f>IFERROR((VLOOKUP($E40,'AEO23 Table 23'!$B$13:$AF$61,X$1,FALSE)-(VLOOKUP($E40,'AEO23 Table 23'!$B$13:$AF$61,W$1,FALSE)))/VLOOKUP($E40,'AEO23 Table 23'!$B$13:$AF$61,W$1,FALSE),"")</f>
        <v/>
      </c>
      <c r="X40" s="54" t="str">
        <f>IFERROR((VLOOKUP($E40,'AEO23 Table 23'!$B$13:$AF$61,Y$1,FALSE)-(VLOOKUP($E40,'AEO23 Table 23'!$B$13:$AF$61,X$1,FALSE)))/VLOOKUP($E40,'AEO23 Table 23'!$B$13:$AF$61,X$1,FALSE),"")</f>
        <v/>
      </c>
      <c r="Y40" s="54" t="str">
        <f>IFERROR((VLOOKUP($E40,'AEO23 Table 23'!$B$13:$AF$61,Z$1,FALSE)-(VLOOKUP($E40,'AEO23 Table 23'!$B$13:$AF$61,Y$1,FALSE)))/VLOOKUP($E40,'AEO23 Table 23'!$B$13:$AF$61,Y$1,FALSE),"")</f>
        <v/>
      </c>
      <c r="Z40" s="54" t="str">
        <f>IFERROR((VLOOKUP($E40,'AEO23 Table 23'!$B$13:$AF$61,AA$1,FALSE)-(VLOOKUP($E40,'AEO23 Table 23'!$B$13:$AF$61,Z$1,FALSE)))/VLOOKUP($E40,'AEO23 Table 23'!$B$13:$AF$61,Z$1,FALSE),"")</f>
        <v/>
      </c>
      <c r="AA40" s="54" t="str">
        <f>IFERROR((VLOOKUP($E40,'AEO23 Table 23'!$B$13:$AF$61,AB$1,FALSE)-(VLOOKUP($E40,'AEO23 Table 23'!$B$13:$AF$61,AA$1,FALSE)))/VLOOKUP($E40,'AEO23 Table 23'!$B$13:$AF$61,AA$1,FALSE),"")</f>
        <v/>
      </c>
      <c r="AB40" s="54" t="str">
        <f>IFERROR((VLOOKUP($E40,'AEO23 Table 23'!$B$13:$AF$61,AC$1,FALSE)-(VLOOKUP($E40,'AEO23 Table 23'!$B$13:$AF$61,AB$1,FALSE)))/VLOOKUP($E40,'AEO23 Table 23'!$B$13:$AF$61,AB$1,FALSE),"")</f>
        <v/>
      </c>
      <c r="AC40" s="54" t="str">
        <f>IFERROR((VLOOKUP($E40,'AEO23 Table 23'!$B$13:$AF$61,AD$1,FALSE)-(VLOOKUP($E40,'AEO23 Table 23'!$B$13:$AF$61,AC$1,FALSE)))/VLOOKUP($E40,'AEO23 Table 23'!$B$13:$AF$61,AC$1,FALSE),"")</f>
        <v/>
      </c>
      <c r="AD40" s="54" t="str">
        <f>IFERROR((VLOOKUP($E40,'AEO23 Table 23'!$B$13:$AF$61,AE$1,FALSE)-(VLOOKUP($E40,'AEO23 Table 23'!$B$13:$AF$61,AD$1,FALSE)))/VLOOKUP($E40,'AEO23 Table 23'!$B$13:$AF$61,AD$1,FALSE),"")</f>
        <v/>
      </c>
      <c r="AE40" s="54" t="str">
        <f>IFERROR((VLOOKUP($E40,'AEO23 Table 23'!$B$13:$AF$61,AF$1,FALSE)-(VLOOKUP($E40,'AEO23 Table 23'!$B$13:$AF$61,AE$1,FALSE)))/VLOOKUP($E40,'AEO23 Table 23'!$B$13:$AF$61,AE$1,FALSE),"")</f>
        <v/>
      </c>
      <c r="AF40" s="54" t="str">
        <f>IFERROR((VLOOKUP($E40,'AEO23 Table 23'!$B$13:$AF$61,AG$1,FALSE)-(VLOOKUP($E40,'AEO23 Table 23'!$B$13:$AF$61,AF$1,FALSE)))/VLOOKUP($E40,'AEO23 Table 23'!$B$13:$AF$61,AF$1,FALSE),"")</f>
        <v/>
      </c>
      <c r="AG40" s="54" t="str">
        <f>IFERROR((VLOOKUP($E40,'AEO23 Table 23'!$B$13:$AF$61,AH$1,FALSE)-(VLOOKUP($E40,'AEO23 Table 23'!$B$13:$AF$61,AG$1,FALSE)))/VLOOKUP($E40,'AEO23 Table 23'!$B$13:$AF$61,AG$1,FALSE),"")</f>
        <v/>
      </c>
      <c r="AH40" s="54" t="str">
        <f>IFERROR((VLOOKUP($E40,'AEO23 Table 23'!$B$13:$AF$61,AI$1,FALSE)-(VLOOKUP($E40,'AEO23 Table 23'!$B$13:$AF$61,AH$1,FALSE)))/VLOOKUP($E40,'AEO23 Table 23'!$B$13:$AF$61,AH$1,FALSE),"")</f>
        <v/>
      </c>
    </row>
    <row r="41" spans="1:34" x14ac:dyDescent="0.3">
      <c r="A41" s="1" t="s">
        <v>28</v>
      </c>
      <c r="B41" s="49" cm="1">
        <f t="array" ref="B41">SUMPRODUCT(--('BLS Table 2.7'!$O:$O=$A41),'BLS Table 2.7'!L:L,'BLS Table 2.7'!N:N)/SUMIFS('BLS Table 2.7'!L:L,'BLS Table 2.7'!$O:$O,$A41)/100</f>
        <v>7.5478431778214549E-3</v>
      </c>
      <c r="E41" s="1" t="s">
        <v>28</v>
      </c>
      <c r="F41" s="54" t="str">
        <f>IFERROR(INDEX('AEO23 Table 23'!$AG$22:$AG$61,MATCH($E41,'AEO23 Table 23'!$B$22:$B$61,0)),"")</f>
        <v/>
      </c>
      <c r="G41" s="54" t="str">
        <f>IFERROR((VLOOKUP($E41,'AEO23 Table 23'!$B$13:$AF$61,H$1,FALSE)-(VLOOKUP($E41,'AEO23 Table 23'!$B$13:$AF$61,G$1,FALSE)))/VLOOKUP($E41,'AEO23 Table 23'!$B$13:$AF$61,G$1,FALSE),"")</f>
        <v/>
      </c>
      <c r="H41" s="54" t="str">
        <f>IFERROR((VLOOKUP($E41,'AEO23 Table 23'!$B$13:$AF$61,I$1,FALSE)-(VLOOKUP($E41,'AEO23 Table 23'!$B$13:$AF$61,H$1,FALSE)))/VLOOKUP($E41,'AEO23 Table 23'!$B$13:$AF$61,H$1,FALSE),"")</f>
        <v/>
      </c>
      <c r="I41" s="54" t="str">
        <f>IFERROR((VLOOKUP($E41,'AEO23 Table 23'!$B$13:$AF$61,J$1,FALSE)-(VLOOKUP($E41,'AEO23 Table 23'!$B$13:$AF$61,I$1,FALSE)))/VLOOKUP($E41,'AEO23 Table 23'!$B$13:$AF$61,I$1,FALSE),"")</f>
        <v/>
      </c>
      <c r="J41" s="54" t="str">
        <f>IFERROR((VLOOKUP($E41,'AEO23 Table 23'!$B$13:$AF$61,K$1,FALSE)-(VLOOKUP($E41,'AEO23 Table 23'!$B$13:$AF$61,J$1,FALSE)))/VLOOKUP($E41,'AEO23 Table 23'!$B$13:$AF$61,J$1,FALSE),"")</f>
        <v/>
      </c>
      <c r="K41" s="54" t="str">
        <f>IFERROR((VLOOKUP($E41,'AEO23 Table 23'!$B$13:$AF$61,L$1,FALSE)-(VLOOKUP($E41,'AEO23 Table 23'!$B$13:$AF$61,K$1,FALSE)))/VLOOKUP($E41,'AEO23 Table 23'!$B$13:$AF$61,K$1,FALSE),"")</f>
        <v/>
      </c>
      <c r="L41" s="54" t="str">
        <f>IFERROR((VLOOKUP($E41,'AEO23 Table 23'!$B$13:$AF$61,M$1,FALSE)-(VLOOKUP($E41,'AEO23 Table 23'!$B$13:$AF$61,L$1,FALSE)))/VLOOKUP($E41,'AEO23 Table 23'!$B$13:$AF$61,L$1,FALSE),"")</f>
        <v/>
      </c>
      <c r="M41" s="54" t="str">
        <f>IFERROR((VLOOKUP($E41,'AEO23 Table 23'!$B$13:$AF$61,N$1,FALSE)-(VLOOKUP($E41,'AEO23 Table 23'!$B$13:$AF$61,M$1,FALSE)))/VLOOKUP($E41,'AEO23 Table 23'!$B$13:$AF$61,M$1,FALSE),"")</f>
        <v/>
      </c>
      <c r="N41" s="54" t="str">
        <f>IFERROR((VLOOKUP($E41,'AEO23 Table 23'!$B$13:$AF$61,O$1,FALSE)-(VLOOKUP($E41,'AEO23 Table 23'!$B$13:$AF$61,N$1,FALSE)))/VLOOKUP($E41,'AEO23 Table 23'!$B$13:$AF$61,N$1,FALSE),"")</f>
        <v/>
      </c>
      <c r="O41" s="54" t="str">
        <f>IFERROR((VLOOKUP($E41,'AEO23 Table 23'!$B$13:$AF$61,P$1,FALSE)-(VLOOKUP($E41,'AEO23 Table 23'!$B$13:$AF$61,O$1,FALSE)))/VLOOKUP($E41,'AEO23 Table 23'!$B$13:$AF$61,O$1,FALSE),"")</f>
        <v/>
      </c>
      <c r="P41" s="54" t="str">
        <f>IFERROR((VLOOKUP($E41,'AEO23 Table 23'!$B$13:$AF$61,Q$1,FALSE)-(VLOOKUP($E41,'AEO23 Table 23'!$B$13:$AF$61,P$1,FALSE)))/VLOOKUP($E41,'AEO23 Table 23'!$B$13:$AF$61,P$1,FALSE),"")</f>
        <v/>
      </c>
      <c r="Q41" s="54" t="str">
        <f>IFERROR((VLOOKUP($E41,'AEO23 Table 23'!$B$13:$AF$61,R$1,FALSE)-(VLOOKUP($E41,'AEO23 Table 23'!$B$13:$AF$61,Q$1,FALSE)))/VLOOKUP($E41,'AEO23 Table 23'!$B$13:$AF$61,Q$1,FALSE),"")</f>
        <v/>
      </c>
      <c r="R41" s="54" t="str">
        <f>IFERROR((VLOOKUP($E41,'AEO23 Table 23'!$B$13:$AF$61,S$1,FALSE)-(VLOOKUP($E41,'AEO23 Table 23'!$B$13:$AF$61,R$1,FALSE)))/VLOOKUP($E41,'AEO23 Table 23'!$B$13:$AF$61,R$1,FALSE),"")</f>
        <v/>
      </c>
      <c r="S41" s="54" t="str">
        <f>IFERROR((VLOOKUP($E41,'AEO23 Table 23'!$B$13:$AF$61,T$1,FALSE)-(VLOOKUP($E41,'AEO23 Table 23'!$B$13:$AF$61,S$1,FALSE)))/VLOOKUP($E41,'AEO23 Table 23'!$B$13:$AF$61,S$1,FALSE),"")</f>
        <v/>
      </c>
      <c r="T41" s="54" t="str">
        <f>IFERROR((VLOOKUP($E41,'AEO23 Table 23'!$B$13:$AF$61,U$1,FALSE)-(VLOOKUP($E41,'AEO23 Table 23'!$B$13:$AF$61,T$1,FALSE)))/VLOOKUP($E41,'AEO23 Table 23'!$B$13:$AF$61,T$1,FALSE),"")</f>
        <v/>
      </c>
      <c r="U41" s="54" t="str">
        <f>IFERROR((VLOOKUP($E41,'AEO23 Table 23'!$B$13:$AF$61,V$1,FALSE)-(VLOOKUP($E41,'AEO23 Table 23'!$B$13:$AF$61,U$1,FALSE)))/VLOOKUP($E41,'AEO23 Table 23'!$B$13:$AF$61,U$1,FALSE),"")</f>
        <v/>
      </c>
      <c r="V41" s="54" t="str">
        <f>IFERROR((VLOOKUP($E41,'AEO23 Table 23'!$B$13:$AF$61,W$1,FALSE)-(VLOOKUP($E41,'AEO23 Table 23'!$B$13:$AF$61,V$1,FALSE)))/VLOOKUP($E41,'AEO23 Table 23'!$B$13:$AF$61,V$1,FALSE),"")</f>
        <v/>
      </c>
      <c r="W41" s="54" t="str">
        <f>IFERROR((VLOOKUP($E41,'AEO23 Table 23'!$B$13:$AF$61,X$1,FALSE)-(VLOOKUP($E41,'AEO23 Table 23'!$B$13:$AF$61,W$1,FALSE)))/VLOOKUP($E41,'AEO23 Table 23'!$B$13:$AF$61,W$1,FALSE),"")</f>
        <v/>
      </c>
      <c r="X41" s="54" t="str">
        <f>IFERROR((VLOOKUP($E41,'AEO23 Table 23'!$B$13:$AF$61,Y$1,FALSE)-(VLOOKUP($E41,'AEO23 Table 23'!$B$13:$AF$61,X$1,FALSE)))/VLOOKUP($E41,'AEO23 Table 23'!$B$13:$AF$61,X$1,FALSE),"")</f>
        <v/>
      </c>
      <c r="Y41" s="54" t="str">
        <f>IFERROR((VLOOKUP($E41,'AEO23 Table 23'!$B$13:$AF$61,Z$1,FALSE)-(VLOOKUP($E41,'AEO23 Table 23'!$B$13:$AF$61,Y$1,FALSE)))/VLOOKUP($E41,'AEO23 Table 23'!$B$13:$AF$61,Y$1,FALSE),"")</f>
        <v/>
      </c>
      <c r="Z41" s="54" t="str">
        <f>IFERROR((VLOOKUP($E41,'AEO23 Table 23'!$B$13:$AF$61,AA$1,FALSE)-(VLOOKUP($E41,'AEO23 Table 23'!$B$13:$AF$61,Z$1,FALSE)))/VLOOKUP($E41,'AEO23 Table 23'!$B$13:$AF$61,Z$1,FALSE),"")</f>
        <v/>
      </c>
      <c r="AA41" s="54" t="str">
        <f>IFERROR((VLOOKUP($E41,'AEO23 Table 23'!$B$13:$AF$61,AB$1,FALSE)-(VLOOKUP($E41,'AEO23 Table 23'!$B$13:$AF$61,AA$1,FALSE)))/VLOOKUP($E41,'AEO23 Table 23'!$B$13:$AF$61,AA$1,FALSE),"")</f>
        <v/>
      </c>
      <c r="AB41" s="54" t="str">
        <f>IFERROR((VLOOKUP($E41,'AEO23 Table 23'!$B$13:$AF$61,AC$1,FALSE)-(VLOOKUP($E41,'AEO23 Table 23'!$B$13:$AF$61,AB$1,FALSE)))/VLOOKUP($E41,'AEO23 Table 23'!$B$13:$AF$61,AB$1,FALSE),"")</f>
        <v/>
      </c>
      <c r="AC41" s="54" t="str">
        <f>IFERROR((VLOOKUP($E41,'AEO23 Table 23'!$B$13:$AF$61,AD$1,FALSE)-(VLOOKUP($E41,'AEO23 Table 23'!$B$13:$AF$61,AC$1,FALSE)))/VLOOKUP($E41,'AEO23 Table 23'!$B$13:$AF$61,AC$1,FALSE),"")</f>
        <v/>
      </c>
      <c r="AD41" s="54" t="str">
        <f>IFERROR((VLOOKUP($E41,'AEO23 Table 23'!$B$13:$AF$61,AE$1,FALSE)-(VLOOKUP($E41,'AEO23 Table 23'!$B$13:$AF$61,AD$1,FALSE)))/VLOOKUP($E41,'AEO23 Table 23'!$B$13:$AF$61,AD$1,FALSE),"")</f>
        <v/>
      </c>
      <c r="AE41" s="54" t="str">
        <f>IFERROR((VLOOKUP($E41,'AEO23 Table 23'!$B$13:$AF$61,AF$1,FALSE)-(VLOOKUP($E41,'AEO23 Table 23'!$B$13:$AF$61,AE$1,FALSE)))/VLOOKUP($E41,'AEO23 Table 23'!$B$13:$AF$61,AE$1,FALSE),"")</f>
        <v/>
      </c>
      <c r="AF41" s="54" t="str">
        <f>IFERROR((VLOOKUP($E41,'AEO23 Table 23'!$B$13:$AF$61,AG$1,FALSE)-(VLOOKUP($E41,'AEO23 Table 23'!$B$13:$AF$61,AF$1,FALSE)))/VLOOKUP($E41,'AEO23 Table 23'!$B$13:$AF$61,AF$1,FALSE),"")</f>
        <v/>
      </c>
      <c r="AG41" s="54" t="str">
        <f>IFERROR((VLOOKUP($E41,'AEO23 Table 23'!$B$13:$AF$61,AH$1,FALSE)-(VLOOKUP($E41,'AEO23 Table 23'!$B$13:$AF$61,AG$1,FALSE)))/VLOOKUP($E41,'AEO23 Table 23'!$B$13:$AF$61,AG$1,FALSE),"")</f>
        <v/>
      </c>
      <c r="AH41" s="54" t="str">
        <f>IFERROR((VLOOKUP($E41,'AEO23 Table 23'!$B$13:$AF$61,AI$1,FALSE)-(VLOOKUP($E41,'AEO23 Table 23'!$B$13:$AF$61,AH$1,FALSE)))/VLOOKUP($E41,'AEO23 Table 23'!$B$13:$AF$61,AH$1,FALSE),"")</f>
        <v/>
      </c>
    </row>
    <row r="42" spans="1:34" x14ac:dyDescent="0.3">
      <c r="A42" s="1" t="s">
        <v>29</v>
      </c>
      <c r="B42" s="49" cm="1">
        <f t="array" ref="B42">SUMPRODUCT(--('BLS Table 2.7'!$O:$O=$A42),'BLS Table 2.7'!L:L,'BLS Table 2.7'!N:N)/SUMIFS('BLS Table 2.7'!L:L,'BLS Table 2.7'!$O:$O,$A42)/100</f>
        <v>1.7000000000000001E-2</v>
      </c>
      <c r="E42" s="1" t="s">
        <v>29</v>
      </c>
      <c r="F42" s="54" t="str">
        <f>IFERROR(INDEX('AEO23 Table 23'!$AG$22:$AG$61,MATCH($E42,'AEO23 Table 23'!$B$22:$B$61,0)),"")</f>
        <v/>
      </c>
      <c r="G42" s="54" t="str">
        <f>IFERROR((VLOOKUP($E42,'AEO23 Table 23'!$B$13:$AF$61,H$1,FALSE)-(VLOOKUP($E42,'AEO23 Table 23'!$B$13:$AF$61,G$1,FALSE)))/VLOOKUP($E42,'AEO23 Table 23'!$B$13:$AF$61,G$1,FALSE),"")</f>
        <v/>
      </c>
      <c r="H42" s="54" t="str">
        <f>IFERROR((VLOOKUP($E42,'AEO23 Table 23'!$B$13:$AF$61,I$1,FALSE)-(VLOOKUP($E42,'AEO23 Table 23'!$B$13:$AF$61,H$1,FALSE)))/VLOOKUP($E42,'AEO23 Table 23'!$B$13:$AF$61,H$1,FALSE),"")</f>
        <v/>
      </c>
      <c r="I42" s="54" t="str">
        <f>IFERROR((VLOOKUP($E42,'AEO23 Table 23'!$B$13:$AF$61,J$1,FALSE)-(VLOOKUP($E42,'AEO23 Table 23'!$B$13:$AF$61,I$1,FALSE)))/VLOOKUP($E42,'AEO23 Table 23'!$B$13:$AF$61,I$1,FALSE),"")</f>
        <v/>
      </c>
      <c r="J42" s="54" t="str">
        <f>IFERROR((VLOOKUP($E42,'AEO23 Table 23'!$B$13:$AF$61,K$1,FALSE)-(VLOOKUP($E42,'AEO23 Table 23'!$B$13:$AF$61,J$1,FALSE)))/VLOOKUP($E42,'AEO23 Table 23'!$B$13:$AF$61,J$1,FALSE),"")</f>
        <v/>
      </c>
      <c r="K42" s="54" t="str">
        <f>IFERROR((VLOOKUP($E42,'AEO23 Table 23'!$B$13:$AF$61,L$1,FALSE)-(VLOOKUP($E42,'AEO23 Table 23'!$B$13:$AF$61,K$1,FALSE)))/VLOOKUP($E42,'AEO23 Table 23'!$B$13:$AF$61,K$1,FALSE),"")</f>
        <v/>
      </c>
      <c r="L42" s="54" t="str">
        <f>IFERROR((VLOOKUP($E42,'AEO23 Table 23'!$B$13:$AF$61,M$1,FALSE)-(VLOOKUP($E42,'AEO23 Table 23'!$B$13:$AF$61,L$1,FALSE)))/VLOOKUP($E42,'AEO23 Table 23'!$B$13:$AF$61,L$1,FALSE),"")</f>
        <v/>
      </c>
      <c r="M42" s="54" t="str">
        <f>IFERROR((VLOOKUP($E42,'AEO23 Table 23'!$B$13:$AF$61,N$1,FALSE)-(VLOOKUP($E42,'AEO23 Table 23'!$B$13:$AF$61,M$1,FALSE)))/VLOOKUP($E42,'AEO23 Table 23'!$B$13:$AF$61,M$1,FALSE),"")</f>
        <v/>
      </c>
      <c r="N42" s="54" t="str">
        <f>IFERROR((VLOOKUP($E42,'AEO23 Table 23'!$B$13:$AF$61,O$1,FALSE)-(VLOOKUP($E42,'AEO23 Table 23'!$B$13:$AF$61,N$1,FALSE)))/VLOOKUP($E42,'AEO23 Table 23'!$B$13:$AF$61,N$1,FALSE),"")</f>
        <v/>
      </c>
      <c r="O42" s="54" t="str">
        <f>IFERROR((VLOOKUP($E42,'AEO23 Table 23'!$B$13:$AF$61,P$1,FALSE)-(VLOOKUP($E42,'AEO23 Table 23'!$B$13:$AF$61,O$1,FALSE)))/VLOOKUP($E42,'AEO23 Table 23'!$B$13:$AF$61,O$1,FALSE),"")</f>
        <v/>
      </c>
      <c r="P42" s="54" t="str">
        <f>IFERROR((VLOOKUP($E42,'AEO23 Table 23'!$B$13:$AF$61,Q$1,FALSE)-(VLOOKUP($E42,'AEO23 Table 23'!$B$13:$AF$61,P$1,FALSE)))/VLOOKUP($E42,'AEO23 Table 23'!$B$13:$AF$61,P$1,FALSE),"")</f>
        <v/>
      </c>
      <c r="Q42" s="54" t="str">
        <f>IFERROR((VLOOKUP($E42,'AEO23 Table 23'!$B$13:$AF$61,R$1,FALSE)-(VLOOKUP($E42,'AEO23 Table 23'!$B$13:$AF$61,Q$1,FALSE)))/VLOOKUP($E42,'AEO23 Table 23'!$B$13:$AF$61,Q$1,FALSE),"")</f>
        <v/>
      </c>
      <c r="R42" s="54" t="str">
        <f>IFERROR((VLOOKUP($E42,'AEO23 Table 23'!$B$13:$AF$61,S$1,FALSE)-(VLOOKUP($E42,'AEO23 Table 23'!$B$13:$AF$61,R$1,FALSE)))/VLOOKUP($E42,'AEO23 Table 23'!$B$13:$AF$61,R$1,FALSE),"")</f>
        <v/>
      </c>
      <c r="S42" s="54" t="str">
        <f>IFERROR((VLOOKUP($E42,'AEO23 Table 23'!$B$13:$AF$61,T$1,FALSE)-(VLOOKUP($E42,'AEO23 Table 23'!$B$13:$AF$61,S$1,FALSE)))/VLOOKUP($E42,'AEO23 Table 23'!$B$13:$AF$61,S$1,FALSE),"")</f>
        <v/>
      </c>
      <c r="T42" s="54" t="str">
        <f>IFERROR((VLOOKUP($E42,'AEO23 Table 23'!$B$13:$AF$61,U$1,FALSE)-(VLOOKUP($E42,'AEO23 Table 23'!$B$13:$AF$61,T$1,FALSE)))/VLOOKUP($E42,'AEO23 Table 23'!$B$13:$AF$61,T$1,FALSE),"")</f>
        <v/>
      </c>
      <c r="U42" s="54" t="str">
        <f>IFERROR((VLOOKUP($E42,'AEO23 Table 23'!$B$13:$AF$61,V$1,FALSE)-(VLOOKUP($E42,'AEO23 Table 23'!$B$13:$AF$61,U$1,FALSE)))/VLOOKUP($E42,'AEO23 Table 23'!$B$13:$AF$61,U$1,FALSE),"")</f>
        <v/>
      </c>
      <c r="V42" s="54" t="str">
        <f>IFERROR((VLOOKUP($E42,'AEO23 Table 23'!$B$13:$AF$61,W$1,FALSE)-(VLOOKUP($E42,'AEO23 Table 23'!$B$13:$AF$61,V$1,FALSE)))/VLOOKUP($E42,'AEO23 Table 23'!$B$13:$AF$61,V$1,FALSE),"")</f>
        <v/>
      </c>
      <c r="W42" s="54" t="str">
        <f>IFERROR((VLOOKUP($E42,'AEO23 Table 23'!$B$13:$AF$61,X$1,FALSE)-(VLOOKUP($E42,'AEO23 Table 23'!$B$13:$AF$61,W$1,FALSE)))/VLOOKUP($E42,'AEO23 Table 23'!$B$13:$AF$61,W$1,FALSE),"")</f>
        <v/>
      </c>
      <c r="X42" s="54" t="str">
        <f>IFERROR((VLOOKUP($E42,'AEO23 Table 23'!$B$13:$AF$61,Y$1,FALSE)-(VLOOKUP($E42,'AEO23 Table 23'!$B$13:$AF$61,X$1,FALSE)))/VLOOKUP($E42,'AEO23 Table 23'!$B$13:$AF$61,X$1,FALSE),"")</f>
        <v/>
      </c>
      <c r="Y42" s="54" t="str">
        <f>IFERROR((VLOOKUP($E42,'AEO23 Table 23'!$B$13:$AF$61,Z$1,FALSE)-(VLOOKUP($E42,'AEO23 Table 23'!$B$13:$AF$61,Y$1,FALSE)))/VLOOKUP($E42,'AEO23 Table 23'!$B$13:$AF$61,Y$1,FALSE),"")</f>
        <v/>
      </c>
      <c r="Z42" s="54" t="str">
        <f>IFERROR((VLOOKUP($E42,'AEO23 Table 23'!$B$13:$AF$61,AA$1,FALSE)-(VLOOKUP($E42,'AEO23 Table 23'!$B$13:$AF$61,Z$1,FALSE)))/VLOOKUP($E42,'AEO23 Table 23'!$B$13:$AF$61,Z$1,FALSE),"")</f>
        <v/>
      </c>
      <c r="AA42" s="54" t="str">
        <f>IFERROR((VLOOKUP($E42,'AEO23 Table 23'!$B$13:$AF$61,AB$1,FALSE)-(VLOOKUP($E42,'AEO23 Table 23'!$B$13:$AF$61,AA$1,FALSE)))/VLOOKUP($E42,'AEO23 Table 23'!$B$13:$AF$61,AA$1,FALSE),"")</f>
        <v/>
      </c>
      <c r="AB42" s="54" t="str">
        <f>IFERROR((VLOOKUP($E42,'AEO23 Table 23'!$B$13:$AF$61,AC$1,FALSE)-(VLOOKUP($E42,'AEO23 Table 23'!$B$13:$AF$61,AB$1,FALSE)))/VLOOKUP($E42,'AEO23 Table 23'!$B$13:$AF$61,AB$1,FALSE),"")</f>
        <v/>
      </c>
      <c r="AC42" s="54" t="str">
        <f>IFERROR((VLOOKUP($E42,'AEO23 Table 23'!$B$13:$AF$61,AD$1,FALSE)-(VLOOKUP($E42,'AEO23 Table 23'!$B$13:$AF$61,AC$1,FALSE)))/VLOOKUP($E42,'AEO23 Table 23'!$B$13:$AF$61,AC$1,FALSE),"")</f>
        <v/>
      </c>
      <c r="AD42" s="54" t="str">
        <f>IFERROR((VLOOKUP($E42,'AEO23 Table 23'!$B$13:$AF$61,AE$1,FALSE)-(VLOOKUP($E42,'AEO23 Table 23'!$B$13:$AF$61,AD$1,FALSE)))/VLOOKUP($E42,'AEO23 Table 23'!$B$13:$AF$61,AD$1,FALSE),"")</f>
        <v/>
      </c>
      <c r="AE42" s="54" t="str">
        <f>IFERROR((VLOOKUP($E42,'AEO23 Table 23'!$B$13:$AF$61,AF$1,FALSE)-(VLOOKUP($E42,'AEO23 Table 23'!$B$13:$AF$61,AE$1,FALSE)))/VLOOKUP($E42,'AEO23 Table 23'!$B$13:$AF$61,AE$1,FALSE),"")</f>
        <v/>
      </c>
      <c r="AF42" s="54" t="str">
        <f>IFERROR((VLOOKUP($E42,'AEO23 Table 23'!$B$13:$AF$61,AG$1,FALSE)-(VLOOKUP($E42,'AEO23 Table 23'!$B$13:$AF$61,AF$1,FALSE)))/VLOOKUP($E42,'AEO23 Table 23'!$B$13:$AF$61,AF$1,FALSE),"")</f>
        <v/>
      </c>
      <c r="AG42" s="54" t="str">
        <f>IFERROR((VLOOKUP($E42,'AEO23 Table 23'!$B$13:$AF$61,AH$1,FALSE)-(VLOOKUP($E42,'AEO23 Table 23'!$B$13:$AF$61,AG$1,FALSE)))/VLOOKUP($E42,'AEO23 Table 23'!$B$13:$AF$61,AG$1,FALSE),"")</f>
        <v/>
      </c>
      <c r="AH42" s="54" t="str">
        <f>IFERROR((VLOOKUP($E42,'AEO23 Table 23'!$B$13:$AF$61,AI$1,FALSE)-(VLOOKUP($E42,'AEO23 Table 23'!$B$13:$AF$61,AH$1,FALSE)))/VLOOKUP($E42,'AEO23 Table 23'!$B$13:$AF$61,AH$1,FALSE),"")</f>
        <v/>
      </c>
    </row>
    <row r="43" spans="1:34" x14ac:dyDescent="0.3">
      <c r="A43" s="1" t="s">
        <v>30</v>
      </c>
      <c r="B43" s="49" cm="1">
        <f t="array" ref="B43">SUMPRODUCT(--('BLS Table 2.7'!$O:$O=$A43),'BLS Table 2.7'!L:L,'BLS Table 2.7'!N:N)/SUMIFS('BLS Table 2.7'!L:L,'BLS Table 2.7'!$O:$O,$A43)/100</f>
        <v>2.8999999999999998E-2</v>
      </c>
      <c r="E43" s="1" t="s">
        <v>30</v>
      </c>
      <c r="F43" s="54" t="str">
        <f>IFERROR(INDEX('AEO23 Table 23'!$AG$22:$AG$61,MATCH($E43,'AEO23 Table 23'!$B$22:$B$61,0)),"")</f>
        <v/>
      </c>
      <c r="G43" s="54" t="str">
        <f>IFERROR((VLOOKUP($E43,'AEO23 Table 23'!$B$13:$AF$61,H$1,FALSE)-(VLOOKUP($E43,'AEO23 Table 23'!$B$13:$AF$61,G$1,FALSE)))/VLOOKUP($E43,'AEO23 Table 23'!$B$13:$AF$61,G$1,FALSE),"")</f>
        <v/>
      </c>
      <c r="H43" s="54" t="str">
        <f>IFERROR((VLOOKUP($E43,'AEO23 Table 23'!$B$13:$AF$61,I$1,FALSE)-(VLOOKUP($E43,'AEO23 Table 23'!$B$13:$AF$61,H$1,FALSE)))/VLOOKUP($E43,'AEO23 Table 23'!$B$13:$AF$61,H$1,FALSE),"")</f>
        <v/>
      </c>
      <c r="I43" s="54" t="str">
        <f>IFERROR((VLOOKUP($E43,'AEO23 Table 23'!$B$13:$AF$61,J$1,FALSE)-(VLOOKUP($E43,'AEO23 Table 23'!$B$13:$AF$61,I$1,FALSE)))/VLOOKUP($E43,'AEO23 Table 23'!$B$13:$AF$61,I$1,FALSE),"")</f>
        <v/>
      </c>
      <c r="J43" s="54" t="str">
        <f>IFERROR((VLOOKUP($E43,'AEO23 Table 23'!$B$13:$AF$61,K$1,FALSE)-(VLOOKUP($E43,'AEO23 Table 23'!$B$13:$AF$61,J$1,FALSE)))/VLOOKUP($E43,'AEO23 Table 23'!$B$13:$AF$61,J$1,FALSE),"")</f>
        <v/>
      </c>
      <c r="K43" s="54" t="str">
        <f>IFERROR((VLOOKUP($E43,'AEO23 Table 23'!$B$13:$AF$61,L$1,FALSE)-(VLOOKUP($E43,'AEO23 Table 23'!$B$13:$AF$61,K$1,FALSE)))/VLOOKUP($E43,'AEO23 Table 23'!$B$13:$AF$61,K$1,FALSE),"")</f>
        <v/>
      </c>
      <c r="L43" s="54" t="str">
        <f>IFERROR((VLOOKUP($E43,'AEO23 Table 23'!$B$13:$AF$61,M$1,FALSE)-(VLOOKUP($E43,'AEO23 Table 23'!$B$13:$AF$61,L$1,FALSE)))/VLOOKUP($E43,'AEO23 Table 23'!$B$13:$AF$61,L$1,FALSE),"")</f>
        <v/>
      </c>
      <c r="M43" s="54" t="str">
        <f>IFERROR((VLOOKUP($E43,'AEO23 Table 23'!$B$13:$AF$61,N$1,FALSE)-(VLOOKUP($E43,'AEO23 Table 23'!$B$13:$AF$61,M$1,FALSE)))/VLOOKUP($E43,'AEO23 Table 23'!$B$13:$AF$61,M$1,FALSE),"")</f>
        <v/>
      </c>
      <c r="N43" s="54" t="str">
        <f>IFERROR((VLOOKUP($E43,'AEO23 Table 23'!$B$13:$AF$61,O$1,FALSE)-(VLOOKUP($E43,'AEO23 Table 23'!$B$13:$AF$61,N$1,FALSE)))/VLOOKUP($E43,'AEO23 Table 23'!$B$13:$AF$61,N$1,FALSE),"")</f>
        <v/>
      </c>
      <c r="O43" s="54" t="str">
        <f>IFERROR((VLOOKUP($E43,'AEO23 Table 23'!$B$13:$AF$61,P$1,FALSE)-(VLOOKUP($E43,'AEO23 Table 23'!$B$13:$AF$61,O$1,FALSE)))/VLOOKUP($E43,'AEO23 Table 23'!$B$13:$AF$61,O$1,FALSE),"")</f>
        <v/>
      </c>
      <c r="P43" s="54" t="str">
        <f>IFERROR((VLOOKUP($E43,'AEO23 Table 23'!$B$13:$AF$61,Q$1,FALSE)-(VLOOKUP($E43,'AEO23 Table 23'!$B$13:$AF$61,P$1,FALSE)))/VLOOKUP($E43,'AEO23 Table 23'!$B$13:$AF$61,P$1,FALSE),"")</f>
        <v/>
      </c>
      <c r="Q43" s="54" t="str">
        <f>IFERROR((VLOOKUP($E43,'AEO23 Table 23'!$B$13:$AF$61,R$1,FALSE)-(VLOOKUP($E43,'AEO23 Table 23'!$B$13:$AF$61,Q$1,FALSE)))/VLOOKUP($E43,'AEO23 Table 23'!$B$13:$AF$61,Q$1,FALSE),"")</f>
        <v/>
      </c>
      <c r="R43" s="54" t="str">
        <f>IFERROR((VLOOKUP($E43,'AEO23 Table 23'!$B$13:$AF$61,S$1,FALSE)-(VLOOKUP($E43,'AEO23 Table 23'!$B$13:$AF$61,R$1,FALSE)))/VLOOKUP($E43,'AEO23 Table 23'!$B$13:$AF$61,R$1,FALSE),"")</f>
        <v/>
      </c>
      <c r="S43" s="54" t="str">
        <f>IFERROR((VLOOKUP($E43,'AEO23 Table 23'!$B$13:$AF$61,T$1,FALSE)-(VLOOKUP($E43,'AEO23 Table 23'!$B$13:$AF$61,S$1,FALSE)))/VLOOKUP($E43,'AEO23 Table 23'!$B$13:$AF$61,S$1,FALSE),"")</f>
        <v/>
      </c>
      <c r="T43" s="54" t="str">
        <f>IFERROR((VLOOKUP($E43,'AEO23 Table 23'!$B$13:$AF$61,U$1,FALSE)-(VLOOKUP($E43,'AEO23 Table 23'!$B$13:$AF$61,T$1,FALSE)))/VLOOKUP($E43,'AEO23 Table 23'!$B$13:$AF$61,T$1,FALSE),"")</f>
        <v/>
      </c>
      <c r="U43" s="54" t="str">
        <f>IFERROR((VLOOKUP($E43,'AEO23 Table 23'!$B$13:$AF$61,V$1,FALSE)-(VLOOKUP($E43,'AEO23 Table 23'!$B$13:$AF$61,U$1,FALSE)))/VLOOKUP($E43,'AEO23 Table 23'!$B$13:$AF$61,U$1,FALSE),"")</f>
        <v/>
      </c>
      <c r="V43" s="54" t="str">
        <f>IFERROR((VLOOKUP($E43,'AEO23 Table 23'!$B$13:$AF$61,W$1,FALSE)-(VLOOKUP($E43,'AEO23 Table 23'!$B$13:$AF$61,V$1,FALSE)))/VLOOKUP($E43,'AEO23 Table 23'!$B$13:$AF$61,V$1,FALSE),"")</f>
        <v/>
      </c>
      <c r="W43" s="54" t="str">
        <f>IFERROR((VLOOKUP($E43,'AEO23 Table 23'!$B$13:$AF$61,X$1,FALSE)-(VLOOKUP($E43,'AEO23 Table 23'!$B$13:$AF$61,W$1,FALSE)))/VLOOKUP($E43,'AEO23 Table 23'!$B$13:$AF$61,W$1,FALSE),"")</f>
        <v/>
      </c>
      <c r="X43" s="54" t="str">
        <f>IFERROR((VLOOKUP($E43,'AEO23 Table 23'!$B$13:$AF$61,Y$1,FALSE)-(VLOOKUP($E43,'AEO23 Table 23'!$B$13:$AF$61,X$1,FALSE)))/VLOOKUP($E43,'AEO23 Table 23'!$B$13:$AF$61,X$1,FALSE),"")</f>
        <v/>
      </c>
      <c r="Y43" s="54" t="str">
        <f>IFERROR((VLOOKUP($E43,'AEO23 Table 23'!$B$13:$AF$61,Z$1,FALSE)-(VLOOKUP($E43,'AEO23 Table 23'!$B$13:$AF$61,Y$1,FALSE)))/VLOOKUP($E43,'AEO23 Table 23'!$B$13:$AF$61,Y$1,FALSE),"")</f>
        <v/>
      </c>
      <c r="Z43" s="54" t="str">
        <f>IFERROR((VLOOKUP($E43,'AEO23 Table 23'!$B$13:$AF$61,AA$1,FALSE)-(VLOOKUP($E43,'AEO23 Table 23'!$B$13:$AF$61,Z$1,FALSE)))/VLOOKUP($E43,'AEO23 Table 23'!$B$13:$AF$61,Z$1,FALSE),"")</f>
        <v/>
      </c>
      <c r="AA43" s="54" t="str">
        <f>IFERROR((VLOOKUP($E43,'AEO23 Table 23'!$B$13:$AF$61,AB$1,FALSE)-(VLOOKUP($E43,'AEO23 Table 23'!$B$13:$AF$61,AA$1,FALSE)))/VLOOKUP($E43,'AEO23 Table 23'!$B$13:$AF$61,AA$1,FALSE),"")</f>
        <v/>
      </c>
      <c r="AB43" s="54" t="str">
        <f>IFERROR((VLOOKUP($E43,'AEO23 Table 23'!$B$13:$AF$61,AC$1,FALSE)-(VLOOKUP($E43,'AEO23 Table 23'!$B$13:$AF$61,AB$1,FALSE)))/VLOOKUP($E43,'AEO23 Table 23'!$B$13:$AF$61,AB$1,FALSE),"")</f>
        <v/>
      </c>
      <c r="AC43" s="54" t="str">
        <f>IFERROR((VLOOKUP($E43,'AEO23 Table 23'!$B$13:$AF$61,AD$1,FALSE)-(VLOOKUP($E43,'AEO23 Table 23'!$B$13:$AF$61,AC$1,FALSE)))/VLOOKUP($E43,'AEO23 Table 23'!$B$13:$AF$61,AC$1,FALSE),"")</f>
        <v/>
      </c>
      <c r="AD43" s="54" t="str">
        <f>IFERROR((VLOOKUP($E43,'AEO23 Table 23'!$B$13:$AF$61,AE$1,FALSE)-(VLOOKUP($E43,'AEO23 Table 23'!$B$13:$AF$61,AD$1,FALSE)))/VLOOKUP($E43,'AEO23 Table 23'!$B$13:$AF$61,AD$1,FALSE),"")</f>
        <v/>
      </c>
      <c r="AE43" s="54" t="str">
        <f>IFERROR((VLOOKUP($E43,'AEO23 Table 23'!$B$13:$AF$61,AF$1,FALSE)-(VLOOKUP($E43,'AEO23 Table 23'!$B$13:$AF$61,AE$1,FALSE)))/VLOOKUP($E43,'AEO23 Table 23'!$B$13:$AF$61,AE$1,FALSE),"")</f>
        <v/>
      </c>
      <c r="AF43" s="54" t="str">
        <f>IFERROR((VLOOKUP($E43,'AEO23 Table 23'!$B$13:$AF$61,AG$1,FALSE)-(VLOOKUP($E43,'AEO23 Table 23'!$B$13:$AF$61,AF$1,FALSE)))/VLOOKUP($E43,'AEO23 Table 23'!$B$13:$AF$61,AF$1,FALSE),"")</f>
        <v/>
      </c>
      <c r="AG43" s="54" t="str">
        <f>IFERROR((VLOOKUP($E43,'AEO23 Table 23'!$B$13:$AF$61,AH$1,FALSE)-(VLOOKUP($E43,'AEO23 Table 23'!$B$13:$AF$61,AG$1,FALSE)))/VLOOKUP($E43,'AEO23 Table 23'!$B$13:$AF$61,AG$1,FALSE),"")</f>
        <v/>
      </c>
      <c r="AH43" s="54" t="str">
        <f>IFERROR((VLOOKUP($E43,'AEO23 Table 23'!$B$13:$AF$61,AI$1,FALSE)-(VLOOKUP($E43,'AEO23 Table 23'!$B$13:$AF$61,AH$1,FALSE)))/VLOOKUP($E43,'AEO23 Table 23'!$B$13:$AF$61,AH$1,FALSE),"")</f>
        <v/>
      </c>
    </row>
    <row r="44" spans="1:34" x14ac:dyDescent="0.3">
      <c r="A44" s="1" t="s">
        <v>31</v>
      </c>
      <c r="B44" s="49" cm="1">
        <f t="array" ref="B44">SUMPRODUCT(--('BLS Table 2.7'!$O:$O=$A44),'BLS Table 2.7'!L:L,'BLS Table 2.7'!N:N)/SUMIFS('BLS Table 2.7'!L:L,'BLS Table 2.7'!$O:$O,$A44)/100</f>
        <v>2.2000000000000002E-2</v>
      </c>
      <c r="E44" s="1" t="s">
        <v>31</v>
      </c>
      <c r="F44" s="54" t="str">
        <f>IFERROR(INDEX('AEO23 Table 23'!$AG$22:$AG$61,MATCH($E44,'AEO23 Table 23'!$B$22:$B$61,0)),"")</f>
        <v/>
      </c>
      <c r="G44" s="54" t="str">
        <f>IFERROR((VLOOKUP($E44,'AEO23 Table 23'!$B$13:$AF$61,H$1,FALSE)-(VLOOKUP($E44,'AEO23 Table 23'!$B$13:$AF$61,G$1,FALSE)))/VLOOKUP($E44,'AEO23 Table 23'!$B$13:$AF$61,G$1,FALSE),"")</f>
        <v/>
      </c>
      <c r="H44" s="54" t="str">
        <f>IFERROR((VLOOKUP($E44,'AEO23 Table 23'!$B$13:$AF$61,I$1,FALSE)-(VLOOKUP($E44,'AEO23 Table 23'!$B$13:$AF$61,H$1,FALSE)))/VLOOKUP($E44,'AEO23 Table 23'!$B$13:$AF$61,H$1,FALSE),"")</f>
        <v/>
      </c>
      <c r="I44" s="54" t="str">
        <f>IFERROR((VLOOKUP($E44,'AEO23 Table 23'!$B$13:$AF$61,J$1,FALSE)-(VLOOKUP($E44,'AEO23 Table 23'!$B$13:$AF$61,I$1,FALSE)))/VLOOKUP($E44,'AEO23 Table 23'!$B$13:$AF$61,I$1,FALSE),"")</f>
        <v/>
      </c>
      <c r="J44" s="54" t="str">
        <f>IFERROR((VLOOKUP($E44,'AEO23 Table 23'!$B$13:$AF$61,K$1,FALSE)-(VLOOKUP($E44,'AEO23 Table 23'!$B$13:$AF$61,J$1,FALSE)))/VLOOKUP($E44,'AEO23 Table 23'!$B$13:$AF$61,J$1,FALSE),"")</f>
        <v/>
      </c>
      <c r="K44" s="54" t="str">
        <f>IFERROR((VLOOKUP($E44,'AEO23 Table 23'!$B$13:$AF$61,L$1,FALSE)-(VLOOKUP($E44,'AEO23 Table 23'!$B$13:$AF$61,K$1,FALSE)))/VLOOKUP($E44,'AEO23 Table 23'!$B$13:$AF$61,K$1,FALSE),"")</f>
        <v/>
      </c>
      <c r="L44" s="54" t="str">
        <f>IFERROR((VLOOKUP($E44,'AEO23 Table 23'!$B$13:$AF$61,M$1,FALSE)-(VLOOKUP($E44,'AEO23 Table 23'!$B$13:$AF$61,L$1,FALSE)))/VLOOKUP($E44,'AEO23 Table 23'!$B$13:$AF$61,L$1,FALSE),"")</f>
        <v/>
      </c>
      <c r="M44" s="54" t="str">
        <f>IFERROR((VLOOKUP($E44,'AEO23 Table 23'!$B$13:$AF$61,N$1,FALSE)-(VLOOKUP($E44,'AEO23 Table 23'!$B$13:$AF$61,M$1,FALSE)))/VLOOKUP($E44,'AEO23 Table 23'!$B$13:$AF$61,M$1,FALSE),"")</f>
        <v/>
      </c>
      <c r="N44" s="54" t="str">
        <f>IFERROR((VLOOKUP($E44,'AEO23 Table 23'!$B$13:$AF$61,O$1,FALSE)-(VLOOKUP($E44,'AEO23 Table 23'!$B$13:$AF$61,N$1,FALSE)))/VLOOKUP($E44,'AEO23 Table 23'!$B$13:$AF$61,N$1,FALSE),"")</f>
        <v/>
      </c>
      <c r="O44" s="54" t="str">
        <f>IFERROR((VLOOKUP($E44,'AEO23 Table 23'!$B$13:$AF$61,P$1,FALSE)-(VLOOKUP($E44,'AEO23 Table 23'!$B$13:$AF$61,O$1,FALSE)))/VLOOKUP($E44,'AEO23 Table 23'!$B$13:$AF$61,O$1,FALSE),"")</f>
        <v/>
      </c>
      <c r="P44" s="54" t="str">
        <f>IFERROR((VLOOKUP($E44,'AEO23 Table 23'!$B$13:$AF$61,Q$1,FALSE)-(VLOOKUP($E44,'AEO23 Table 23'!$B$13:$AF$61,P$1,FALSE)))/VLOOKUP($E44,'AEO23 Table 23'!$B$13:$AF$61,P$1,FALSE),"")</f>
        <v/>
      </c>
      <c r="Q44" s="54" t="str">
        <f>IFERROR((VLOOKUP($E44,'AEO23 Table 23'!$B$13:$AF$61,R$1,FALSE)-(VLOOKUP($E44,'AEO23 Table 23'!$B$13:$AF$61,Q$1,FALSE)))/VLOOKUP($E44,'AEO23 Table 23'!$B$13:$AF$61,Q$1,FALSE),"")</f>
        <v/>
      </c>
      <c r="R44" s="54" t="str">
        <f>IFERROR((VLOOKUP($E44,'AEO23 Table 23'!$B$13:$AF$61,S$1,FALSE)-(VLOOKUP($E44,'AEO23 Table 23'!$B$13:$AF$61,R$1,FALSE)))/VLOOKUP($E44,'AEO23 Table 23'!$B$13:$AF$61,R$1,FALSE),"")</f>
        <v/>
      </c>
      <c r="S44" s="54" t="str">
        <f>IFERROR((VLOOKUP($E44,'AEO23 Table 23'!$B$13:$AF$61,T$1,FALSE)-(VLOOKUP($E44,'AEO23 Table 23'!$B$13:$AF$61,S$1,FALSE)))/VLOOKUP($E44,'AEO23 Table 23'!$B$13:$AF$61,S$1,FALSE),"")</f>
        <v/>
      </c>
      <c r="T44" s="54" t="str">
        <f>IFERROR((VLOOKUP($E44,'AEO23 Table 23'!$B$13:$AF$61,U$1,FALSE)-(VLOOKUP($E44,'AEO23 Table 23'!$B$13:$AF$61,T$1,FALSE)))/VLOOKUP($E44,'AEO23 Table 23'!$B$13:$AF$61,T$1,FALSE),"")</f>
        <v/>
      </c>
      <c r="U44" s="54" t="str">
        <f>IFERROR((VLOOKUP($E44,'AEO23 Table 23'!$B$13:$AF$61,V$1,FALSE)-(VLOOKUP($E44,'AEO23 Table 23'!$B$13:$AF$61,U$1,FALSE)))/VLOOKUP($E44,'AEO23 Table 23'!$B$13:$AF$61,U$1,FALSE),"")</f>
        <v/>
      </c>
      <c r="V44" s="54" t="str">
        <f>IFERROR((VLOOKUP($E44,'AEO23 Table 23'!$B$13:$AF$61,W$1,FALSE)-(VLOOKUP($E44,'AEO23 Table 23'!$B$13:$AF$61,V$1,FALSE)))/VLOOKUP($E44,'AEO23 Table 23'!$B$13:$AF$61,V$1,FALSE),"")</f>
        <v/>
      </c>
      <c r="W44" s="54" t="str">
        <f>IFERROR((VLOOKUP($E44,'AEO23 Table 23'!$B$13:$AF$61,X$1,FALSE)-(VLOOKUP($E44,'AEO23 Table 23'!$B$13:$AF$61,W$1,FALSE)))/VLOOKUP($E44,'AEO23 Table 23'!$B$13:$AF$61,W$1,FALSE),"")</f>
        <v/>
      </c>
      <c r="X44" s="54" t="str">
        <f>IFERROR((VLOOKUP($E44,'AEO23 Table 23'!$B$13:$AF$61,Y$1,FALSE)-(VLOOKUP($E44,'AEO23 Table 23'!$B$13:$AF$61,X$1,FALSE)))/VLOOKUP($E44,'AEO23 Table 23'!$B$13:$AF$61,X$1,FALSE),"")</f>
        <v/>
      </c>
      <c r="Y44" s="54" t="str">
        <f>IFERROR((VLOOKUP($E44,'AEO23 Table 23'!$B$13:$AF$61,Z$1,FALSE)-(VLOOKUP($E44,'AEO23 Table 23'!$B$13:$AF$61,Y$1,FALSE)))/VLOOKUP($E44,'AEO23 Table 23'!$B$13:$AF$61,Y$1,FALSE),"")</f>
        <v/>
      </c>
      <c r="Z44" s="54" t="str">
        <f>IFERROR((VLOOKUP($E44,'AEO23 Table 23'!$B$13:$AF$61,AA$1,FALSE)-(VLOOKUP($E44,'AEO23 Table 23'!$B$13:$AF$61,Z$1,FALSE)))/VLOOKUP($E44,'AEO23 Table 23'!$B$13:$AF$61,Z$1,FALSE),"")</f>
        <v/>
      </c>
      <c r="AA44" s="54" t="str">
        <f>IFERROR((VLOOKUP($E44,'AEO23 Table 23'!$B$13:$AF$61,AB$1,FALSE)-(VLOOKUP($E44,'AEO23 Table 23'!$B$13:$AF$61,AA$1,FALSE)))/VLOOKUP($E44,'AEO23 Table 23'!$B$13:$AF$61,AA$1,FALSE),"")</f>
        <v/>
      </c>
      <c r="AB44" s="54" t="str">
        <f>IFERROR((VLOOKUP($E44,'AEO23 Table 23'!$B$13:$AF$61,AC$1,FALSE)-(VLOOKUP($E44,'AEO23 Table 23'!$B$13:$AF$61,AB$1,FALSE)))/VLOOKUP($E44,'AEO23 Table 23'!$B$13:$AF$61,AB$1,FALSE),"")</f>
        <v/>
      </c>
      <c r="AC44" s="54" t="str">
        <f>IFERROR((VLOOKUP($E44,'AEO23 Table 23'!$B$13:$AF$61,AD$1,FALSE)-(VLOOKUP($E44,'AEO23 Table 23'!$B$13:$AF$61,AC$1,FALSE)))/VLOOKUP($E44,'AEO23 Table 23'!$B$13:$AF$61,AC$1,FALSE),"")</f>
        <v/>
      </c>
      <c r="AD44" s="54" t="str">
        <f>IFERROR((VLOOKUP($E44,'AEO23 Table 23'!$B$13:$AF$61,AE$1,FALSE)-(VLOOKUP($E44,'AEO23 Table 23'!$B$13:$AF$61,AD$1,FALSE)))/VLOOKUP($E44,'AEO23 Table 23'!$B$13:$AF$61,AD$1,FALSE),"")</f>
        <v/>
      </c>
      <c r="AE44" s="54" t="str">
        <f>IFERROR((VLOOKUP($E44,'AEO23 Table 23'!$B$13:$AF$61,AF$1,FALSE)-(VLOOKUP($E44,'AEO23 Table 23'!$B$13:$AF$61,AE$1,FALSE)))/VLOOKUP($E44,'AEO23 Table 23'!$B$13:$AF$61,AE$1,FALSE),"")</f>
        <v/>
      </c>
      <c r="AF44" s="54" t="str">
        <f>IFERROR((VLOOKUP($E44,'AEO23 Table 23'!$B$13:$AF$61,AG$1,FALSE)-(VLOOKUP($E44,'AEO23 Table 23'!$B$13:$AF$61,AF$1,FALSE)))/VLOOKUP($E44,'AEO23 Table 23'!$B$13:$AF$61,AF$1,FALSE),"")</f>
        <v/>
      </c>
      <c r="AG44" s="54" t="str">
        <f>IFERROR((VLOOKUP($E44,'AEO23 Table 23'!$B$13:$AF$61,AH$1,FALSE)-(VLOOKUP($E44,'AEO23 Table 23'!$B$13:$AF$61,AG$1,FALSE)))/VLOOKUP($E44,'AEO23 Table 23'!$B$13:$AF$61,AG$1,FALSE),"")</f>
        <v/>
      </c>
      <c r="AH44" s="54" t="str">
        <f>IFERROR((VLOOKUP($E44,'AEO23 Table 23'!$B$13:$AF$61,AI$1,FALSE)-(VLOOKUP($E44,'AEO23 Table 23'!$B$13:$AF$61,AH$1,FALSE)))/VLOOKUP($E44,'AEO23 Table 23'!$B$13:$AF$61,AH$1,FALSE),"")</f>
        <v/>
      </c>
    </row>
    <row r="45" spans="1:34" x14ac:dyDescent="0.3">
      <c r="A45" s="1" t="s">
        <v>32</v>
      </c>
      <c r="B45" s="49" cm="1">
        <f t="array" ref="B45">SUMPRODUCT(--('BLS Table 2.7'!$O:$O=$A45),'BLS Table 2.7'!L:L,'BLS Table 2.7'!N:N)/SUMIFS('BLS Table 2.7'!L:L,'BLS Table 2.7'!$O:$O,$A45)/100</f>
        <v>1.7000000000000001E-2</v>
      </c>
      <c r="E45" s="1" t="s">
        <v>32</v>
      </c>
      <c r="F45" s="54" t="str">
        <f>IFERROR(INDEX('AEO23 Table 23'!$AG$22:$AG$61,MATCH($E45,'AEO23 Table 23'!$B$22:$B$61,0)),"")</f>
        <v/>
      </c>
      <c r="G45" s="54" t="str">
        <f>IFERROR((VLOOKUP($E45,'AEO23 Table 23'!$B$13:$AF$61,H$1,FALSE)-(VLOOKUP($E45,'AEO23 Table 23'!$B$13:$AF$61,G$1,FALSE)))/VLOOKUP($E45,'AEO23 Table 23'!$B$13:$AF$61,G$1,FALSE),"")</f>
        <v/>
      </c>
      <c r="H45" s="54" t="str">
        <f>IFERROR((VLOOKUP($E45,'AEO23 Table 23'!$B$13:$AF$61,I$1,FALSE)-(VLOOKUP($E45,'AEO23 Table 23'!$B$13:$AF$61,H$1,FALSE)))/VLOOKUP($E45,'AEO23 Table 23'!$B$13:$AF$61,H$1,FALSE),"")</f>
        <v/>
      </c>
      <c r="I45" s="54" t="str">
        <f>IFERROR((VLOOKUP($E45,'AEO23 Table 23'!$B$13:$AF$61,J$1,FALSE)-(VLOOKUP($E45,'AEO23 Table 23'!$B$13:$AF$61,I$1,FALSE)))/VLOOKUP($E45,'AEO23 Table 23'!$B$13:$AF$61,I$1,FALSE),"")</f>
        <v/>
      </c>
      <c r="J45" s="54" t="str">
        <f>IFERROR((VLOOKUP($E45,'AEO23 Table 23'!$B$13:$AF$61,K$1,FALSE)-(VLOOKUP($E45,'AEO23 Table 23'!$B$13:$AF$61,J$1,FALSE)))/VLOOKUP($E45,'AEO23 Table 23'!$B$13:$AF$61,J$1,FALSE),"")</f>
        <v/>
      </c>
      <c r="K45" s="54" t="str">
        <f>IFERROR((VLOOKUP($E45,'AEO23 Table 23'!$B$13:$AF$61,L$1,FALSE)-(VLOOKUP($E45,'AEO23 Table 23'!$B$13:$AF$61,K$1,FALSE)))/VLOOKUP($E45,'AEO23 Table 23'!$B$13:$AF$61,K$1,FALSE),"")</f>
        <v/>
      </c>
      <c r="L45" s="54" t="str">
        <f>IFERROR((VLOOKUP($E45,'AEO23 Table 23'!$B$13:$AF$61,M$1,FALSE)-(VLOOKUP($E45,'AEO23 Table 23'!$B$13:$AF$61,L$1,FALSE)))/VLOOKUP($E45,'AEO23 Table 23'!$B$13:$AF$61,L$1,FALSE),"")</f>
        <v/>
      </c>
      <c r="M45" s="54" t="str">
        <f>IFERROR((VLOOKUP($E45,'AEO23 Table 23'!$B$13:$AF$61,N$1,FALSE)-(VLOOKUP($E45,'AEO23 Table 23'!$B$13:$AF$61,M$1,FALSE)))/VLOOKUP($E45,'AEO23 Table 23'!$B$13:$AF$61,M$1,FALSE),"")</f>
        <v/>
      </c>
      <c r="N45" s="54" t="str">
        <f>IFERROR((VLOOKUP($E45,'AEO23 Table 23'!$B$13:$AF$61,O$1,FALSE)-(VLOOKUP($E45,'AEO23 Table 23'!$B$13:$AF$61,N$1,FALSE)))/VLOOKUP($E45,'AEO23 Table 23'!$B$13:$AF$61,N$1,FALSE),"")</f>
        <v/>
      </c>
      <c r="O45" s="54" t="str">
        <f>IFERROR((VLOOKUP($E45,'AEO23 Table 23'!$B$13:$AF$61,P$1,FALSE)-(VLOOKUP($E45,'AEO23 Table 23'!$B$13:$AF$61,O$1,FALSE)))/VLOOKUP($E45,'AEO23 Table 23'!$B$13:$AF$61,O$1,FALSE),"")</f>
        <v/>
      </c>
      <c r="P45" s="54" t="str">
        <f>IFERROR((VLOOKUP($E45,'AEO23 Table 23'!$B$13:$AF$61,Q$1,FALSE)-(VLOOKUP($E45,'AEO23 Table 23'!$B$13:$AF$61,P$1,FALSE)))/VLOOKUP($E45,'AEO23 Table 23'!$B$13:$AF$61,P$1,FALSE),"")</f>
        <v/>
      </c>
      <c r="Q45" s="54" t="str">
        <f>IFERROR((VLOOKUP($E45,'AEO23 Table 23'!$B$13:$AF$61,R$1,FALSE)-(VLOOKUP($E45,'AEO23 Table 23'!$B$13:$AF$61,Q$1,FALSE)))/VLOOKUP($E45,'AEO23 Table 23'!$B$13:$AF$61,Q$1,FALSE),"")</f>
        <v/>
      </c>
      <c r="R45" s="54" t="str">
        <f>IFERROR((VLOOKUP($E45,'AEO23 Table 23'!$B$13:$AF$61,S$1,FALSE)-(VLOOKUP($E45,'AEO23 Table 23'!$B$13:$AF$61,R$1,FALSE)))/VLOOKUP($E45,'AEO23 Table 23'!$B$13:$AF$61,R$1,FALSE),"")</f>
        <v/>
      </c>
      <c r="S45" s="54" t="str">
        <f>IFERROR((VLOOKUP($E45,'AEO23 Table 23'!$B$13:$AF$61,T$1,FALSE)-(VLOOKUP($E45,'AEO23 Table 23'!$B$13:$AF$61,S$1,FALSE)))/VLOOKUP($E45,'AEO23 Table 23'!$B$13:$AF$61,S$1,FALSE),"")</f>
        <v/>
      </c>
      <c r="T45" s="54" t="str">
        <f>IFERROR((VLOOKUP($E45,'AEO23 Table 23'!$B$13:$AF$61,U$1,FALSE)-(VLOOKUP($E45,'AEO23 Table 23'!$B$13:$AF$61,T$1,FALSE)))/VLOOKUP($E45,'AEO23 Table 23'!$B$13:$AF$61,T$1,FALSE),"")</f>
        <v/>
      </c>
      <c r="U45" s="54" t="str">
        <f>IFERROR((VLOOKUP($E45,'AEO23 Table 23'!$B$13:$AF$61,V$1,FALSE)-(VLOOKUP($E45,'AEO23 Table 23'!$B$13:$AF$61,U$1,FALSE)))/VLOOKUP($E45,'AEO23 Table 23'!$B$13:$AF$61,U$1,FALSE),"")</f>
        <v/>
      </c>
      <c r="V45" s="54" t="str">
        <f>IFERROR((VLOOKUP($E45,'AEO23 Table 23'!$B$13:$AF$61,W$1,FALSE)-(VLOOKUP($E45,'AEO23 Table 23'!$B$13:$AF$61,V$1,FALSE)))/VLOOKUP($E45,'AEO23 Table 23'!$B$13:$AF$61,V$1,FALSE),"")</f>
        <v/>
      </c>
      <c r="W45" s="54" t="str">
        <f>IFERROR((VLOOKUP($E45,'AEO23 Table 23'!$B$13:$AF$61,X$1,FALSE)-(VLOOKUP($E45,'AEO23 Table 23'!$B$13:$AF$61,W$1,FALSE)))/VLOOKUP($E45,'AEO23 Table 23'!$B$13:$AF$61,W$1,FALSE),"")</f>
        <v/>
      </c>
      <c r="X45" s="54" t="str">
        <f>IFERROR((VLOOKUP($E45,'AEO23 Table 23'!$B$13:$AF$61,Y$1,FALSE)-(VLOOKUP($E45,'AEO23 Table 23'!$B$13:$AF$61,X$1,FALSE)))/VLOOKUP($E45,'AEO23 Table 23'!$B$13:$AF$61,X$1,FALSE),"")</f>
        <v/>
      </c>
      <c r="Y45" s="54" t="str">
        <f>IFERROR((VLOOKUP($E45,'AEO23 Table 23'!$B$13:$AF$61,Z$1,FALSE)-(VLOOKUP($E45,'AEO23 Table 23'!$B$13:$AF$61,Y$1,FALSE)))/VLOOKUP($E45,'AEO23 Table 23'!$B$13:$AF$61,Y$1,FALSE),"")</f>
        <v/>
      </c>
      <c r="Z45" s="54" t="str">
        <f>IFERROR((VLOOKUP($E45,'AEO23 Table 23'!$B$13:$AF$61,AA$1,FALSE)-(VLOOKUP($E45,'AEO23 Table 23'!$B$13:$AF$61,Z$1,FALSE)))/VLOOKUP($E45,'AEO23 Table 23'!$B$13:$AF$61,Z$1,FALSE),"")</f>
        <v/>
      </c>
      <c r="AA45" s="54" t="str">
        <f>IFERROR((VLOOKUP($E45,'AEO23 Table 23'!$B$13:$AF$61,AB$1,FALSE)-(VLOOKUP($E45,'AEO23 Table 23'!$B$13:$AF$61,AA$1,FALSE)))/VLOOKUP($E45,'AEO23 Table 23'!$B$13:$AF$61,AA$1,FALSE),"")</f>
        <v/>
      </c>
      <c r="AB45" s="54" t="str">
        <f>IFERROR((VLOOKUP($E45,'AEO23 Table 23'!$B$13:$AF$61,AC$1,FALSE)-(VLOOKUP($E45,'AEO23 Table 23'!$B$13:$AF$61,AB$1,FALSE)))/VLOOKUP($E45,'AEO23 Table 23'!$B$13:$AF$61,AB$1,FALSE),"")</f>
        <v/>
      </c>
      <c r="AC45" s="54" t="str">
        <f>IFERROR((VLOOKUP($E45,'AEO23 Table 23'!$B$13:$AF$61,AD$1,FALSE)-(VLOOKUP($E45,'AEO23 Table 23'!$B$13:$AF$61,AC$1,FALSE)))/VLOOKUP($E45,'AEO23 Table 23'!$B$13:$AF$61,AC$1,FALSE),"")</f>
        <v/>
      </c>
      <c r="AD45" s="54" t="str">
        <f>IFERROR((VLOOKUP($E45,'AEO23 Table 23'!$B$13:$AF$61,AE$1,FALSE)-(VLOOKUP($E45,'AEO23 Table 23'!$B$13:$AF$61,AD$1,FALSE)))/VLOOKUP($E45,'AEO23 Table 23'!$B$13:$AF$61,AD$1,FALSE),"")</f>
        <v/>
      </c>
      <c r="AE45" s="54" t="str">
        <f>IFERROR((VLOOKUP($E45,'AEO23 Table 23'!$B$13:$AF$61,AF$1,FALSE)-(VLOOKUP($E45,'AEO23 Table 23'!$B$13:$AF$61,AE$1,FALSE)))/VLOOKUP($E45,'AEO23 Table 23'!$B$13:$AF$61,AE$1,FALSE),"")</f>
        <v/>
      </c>
      <c r="AF45" s="54" t="str">
        <f>IFERROR((VLOOKUP($E45,'AEO23 Table 23'!$B$13:$AF$61,AG$1,FALSE)-(VLOOKUP($E45,'AEO23 Table 23'!$B$13:$AF$61,AF$1,FALSE)))/VLOOKUP($E45,'AEO23 Table 23'!$B$13:$AF$61,AF$1,FALSE),"")</f>
        <v/>
      </c>
      <c r="AG45" s="54" t="str">
        <f>IFERROR((VLOOKUP($E45,'AEO23 Table 23'!$B$13:$AF$61,AH$1,FALSE)-(VLOOKUP($E45,'AEO23 Table 23'!$B$13:$AF$61,AG$1,FALSE)))/VLOOKUP($E45,'AEO23 Table 23'!$B$13:$AF$61,AG$1,FALSE),"")</f>
        <v/>
      </c>
      <c r="AH45" s="54" t="str">
        <f>IFERROR((VLOOKUP($E45,'AEO23 Table 23'!$B$13:$AF$61,AI$1,FALSE)-(VLOOKUP($E45,'AEO23 Table 23'!$B$13:$AF$61,AH$1,FALSE)))/VLOOKUP($E45,'AEO23 Table 23'!$B$13:$AF$61,AH$1,FALSE),"")</f>
        <v/>
      </c>
    </row>
    <row r="48" spans="1:34" x14ac:dyDescent="0.3">
      <c r="A48" s="1" t="s">
        <v>644</v>
      </c>
    </row>
    <row r="49" spans="1:31" x14ac:dyDescent="0.3">
      <c r="A49" s="1"/>
    </row>
    <row r="50" spans="1:31" x14ac:dyDescent="0.3">
      <c r="B50" s="55">
        <v>2021</v>
      </c>
      <c r="C50" s="55">
        <v>2022</v>
      </c>
      <c r="D50" s="55">
        <v>2023</v>
      </c>
      <c r="E50" s="55">
        <v>2024</v>
      </c>
      <c r="F50" s="55">
        <v>2025</v>
      </c>
      <c r="G50" s="57">
        <v>2026</v>
      </c>
      <c r="H50" s="57">
        <v>2027</v>
      </c>
      <c r="I50" s="57">
        <v>2028</v>
      </c>
      <c r="J50" s="57">
        <v>2029</v>
      </c>
      <c r="K50" s="57">
        <v>2030</v>
      </c>
      <c r="L50" s="57">
        <v>2031</v>
      </c>
      <c r="M50" s="57">
        <v>2032</v>
      </c>
      <c r="N50" s="57">
        <v>2033</v>
      </c>
      <c r="O50" s="57">
        <v>2034</v>
      </c>
      <c r="P50" s="57">
        <v>2035</v>
      </c>
      <c r="Q50" s="57">
        <v>2036</v>
      </c>
      <c r="R50" s="57">
        <v>2037</v>
      </c>
      <c r="S50" s="57">
        <v>2038</v>
      </c>
      <c r="T50" s="57">
        <v>2039</v>
      </c>
      <c r="U50" s="57">
        <v>2040</v>
      </c>
      <c r="V50" s="57">
        <v>2041</v>
      </c>
      <c r="W50" s="57">
        <v>2042</v>
      </c>
      <c r="X50" s="57">
        <v>2043</v>
      </c>
      <c r="Y50" s="57">
        <v>2044</v>
      </c>
      <c r="Z50" s="57">
        <v>2045</v>
      </c>
      <c r="AA50" s="57">
        <v>2046</v>
      </c>
      <c r="AB50" s="57">
        <v>2047</v>
      </c>
      <c r="AC50" s="57">
        <v>2048</v>
      </c>
      <c r="AD50" s="57">
        <v>2049</v>
      </c>
      <c r="AE50" s="57">
        <v>2050</v>
      </c>
    </row>
    <row r="51" spans="1:31" x14ac:dyDescent="0.3">
      <c r="A51" s="1" t="s">
        <v>2</v>
      </c>
      <c r="B51" s="56">
        <v>0</v>
      </c>
      <c r="C51" s="56">
        <f t="shared" ref="C51:C78" si="1">IF(G4="",$B4,G4)</f>
        <v>-1.1176675252313165E-7</v>
      </c>
      <c r="D51" s="56">
        <f t="shared" ref="D51:D78" si="2">IF(H4="",$B4,H4)</f>
        <v>-1.351144756156354E-3</v>
      </c>
      <c r="E51" s="56">
        <f t="shared" ref="E51:E78" si="3">IF(I4="",$B4,I4)</f>
        <v>9.1327311896364331E-3</v>
      </c>
      <c r="F51" s="56">
        <f t="shared" ref="F51:F78" si="4">IF(J4="",$B4,J4)</f>
        <v>1.3396292555433637E-2</v>
      </c>
      <c r="G51" s="56">
        <f t="shared" ref="G51:G78" si="5">IF(K4="",$B4,K4)</f>
        <v>1.5288029043628203E-2</v>
      </c>
      <c r="H51" s="56">
        <f t="shared" ref="H51:H78" si="6">IF(L4="",$B4,L4)</f>
        <v>1.3409394355563977E-2</v>
      </c>
      <c r="I51" s="56">
        <f t="shared" ref="I51:I78" si="7">IF(M4="",$B4,M4)</f>
        <v>1.1724967323022162E-2</v>
      </c>
      <c r="J51" s="56">
        <f t="shared" ref="J51:J78" si="8">IF(N4="",$B4,N4)</f>
        <v>1.0145946781208788E-2</v>
      </c>
      <c r="K51" s="56">
        <f t="shared" ref="K51:K78" si="9">IF(O4="",$B4,O4)</f>
        <v>8.9948669406765165E-3</v>
      </c>
      <c r="L51" s="56">
        <f t="shared" ref="L51:L78" si="10">IF(P4="",$B4,P4)</f>
        <v>9.4495050668864985E-3</v>
      </c>
      <c r="M51" s="56">
        <f t="shared" ref="M51:M78" si="11">IF(Q4="",$B4,Q4)</f>
        <v>9.4250511027641447E-3</v>
      </c>
      <c r="N51" s="56">
        <f t="shared" ref="N51:N78" si="12">IF(R4="",$B4,R4)</f>
        <v>8.9255192456237017E-3</v>
      </c>
      <c r="O51" s="56">
        <f t="shared" ref="O51:O78" si="13">IF(S4="",$B4,S4)</f>
        <v>7.4097627586356156E-3</v>
      </c>
      <c r="P51" s="56">
        <f t="shared" ref="P51:P78" si="14">IF(T4="",$B4,T4)</f>
        <v>6.7130996550877758E-3</v>
      </c>
      <c r="Q51" s="56">
        <f t="shared" ref="Q51:Q78" si="15">IF(U4="",$B4,U4)</f>
        <v>5.716763180880804E-3</v>
      </c>
      <c r="R51" s="56">
        <f t="shared" ref="R51:R78" si="16">IF(V4="",$B4,V4)</f>
        <v>7.5760035587299863E-3</v>
      </c>
      <c r="S51" s="56">
        <f t="shared" ref="S51:S78" si="17">IF(W4="",$B4,W4)</f>
        <v>7.1536951294813881E-3</v>
      </c>
      <c r="T51" s="56">
        <f t="shared" ref="T51:T78" si="18">IF(X4="",$B4,X4)</f>
        <v>7.1459481307566122E-3</v>
      </c>
      <c r="U51" s="56">
        <f t="shared" ref="U51:U78" si="19">IF(Y4="",$B4,Y4)</f>
        <v>7.4916309583193752E-3</v>
      </c>
      <c r="V51" s="56">
        <f t="shared" ref="V51:V78" si="20">IF(Z4="",$B4,Z4)</f>
        <v>7.2285954080919743E-3</v>
      </c>
      <c r="W51" s="56">
        <f t="shared" ref="W51:W78" si="21">IF(AA4="",$B4,AA4)</f>
        <v>7.3706946374330297E-3</v>
      </c>
      <c r="X51" s="56">
        <f t="shared" ref="X51:X78" si="22">IF(AB4="",$B4,AB4)</f>
        <v>7.0938733399760852E-3</v>
      </c>
      <c r="Y51" s="56">
        <f t="shared" ref="Y51:Y78" si="23">IF(AC4="",$B4,AC4)</f>
        <v>6.4748791506016781E-3</v>
      </c>
      <c r="Z51" s="56">
        <f t="shared" ref="Z51:Z78" si="24">IF(AD4="",$B4,AD4)</f>
        <v>6.5823967962771908E-3</v>
      </c>
      <c r="AA51" s="56">
        <f t="shared" ref="AA51:AA78" si="25">IF(AE4="",$B4,AE4)</f>
        <v>6.4007589031328544E-3</v>
      </c>
      <c r="AB51" s="56">
        <f t="shared" ref="AB51:AB78" si="26">IF(AF4="",$B4,AF4)</f>
        <v>6.336104189372832E-3</v>
      </c>
      <c r="AC51" s="56">
        <f t="shared" ref="AC51:AC78" si="27">IF(AG4="",$B4,AG4)</f>
        <v>6.1202546767399378E-3</v>
      </c>
      <c r="AD51" s="56">
        <f t="shared" ref="AD51:AD78" si="28">IF(AH4="",$B4,AH4)</f>
        <v>6.1772644825424531E-3</v>
      </c>
      <c r="AE51" s="56">
        <f t="shared" ref="AE51:AE78" si="29">IF(AI4="",$B4,AI4)</f>
        <v>6.2089546805407627E-3</v>
      </c>
    </row>
    <row r="52" spans="1:31" x14ac:dyDescent="0.3">
      <c r="A52" s="1" t="s">
        <v>39</v>
      </c>
      <c r="B52" s="56">
        <v>0</v>
      </c>
      <c r="C52" s="56">
        <f t="shared" si="1"/>
        <v>-1.7527630427501863E-2</v>
      </c>
      <c r="D52" s="56">
        <f t="shared" si="2"/>
        <v>-5.5963094607880223E-2</v>
      </c>
      <c r="E52" s="56">
        <f t="shared" si="3"/>
        <v>9.3166706721140774E-2</v>
      </c>
      <c r="F52" s="56">
        <f t="shared" si="4"/>
        <v>-6.1190092334750167E-2</v>
      </c>
      <c r="G52" s="56">
        <f t="shared" si="5"/>
        <v>-8.5239247521661107E-2</v>
      </c>
      <c r="H52" s="56">
        <f t="shared" si="6"/>
        <v>-0.1035071251813294</v>
      </c>
      <c r="I52" s="56">
        <f t="shared" si="7"/>
        <v>-0.10251284980011421</v>
      </c>
      <c r="J52" s="56">
        <f t="shared" si="8"/>
        <v>-0.10738148265987921</v>
      </c>
      <c r="K52" s="56">
        <f t="shared" si="9"/>
        <v>-4.9783164023049921E-2</v>
      </c>
      <c r="L52" s="56">
        <f t="shared" si="10"/>
        <v>-4.4388871522350569E-3</v>
      </c>
      <c r="M52" s="56">
        <f t="shared" si="11"/>
        <v>7.2218035669431042E-3</v>
      </c>
      <c r="N52" s="56">
        <f t="shared" si="12"/>
        <v>-4.3020138412619762E-3</v>
      </c>
      <c r="O52" s="56">
        <f t="shared" si="13"/>
        <v>-9.2047589229806038E-3</v>
      </c>
      <c r="P52" s="56">
        <f t="shared" si="14"/>
        <v>7.5206977185110135E-3</v>
      </c>
      <c r="Q52" s="56">
        <f t="shared" si="15"/>
        <v>-1.1730021327311466E-2</v>
      </c>
      <c r="R52" s="56">
        <f t="shared" si="16"/>
        <v>-2.2596001269438375E-2</v>
      </c>
      <c r="S52" s="56">
        <f t="shared" si="17"/>
        <v>-1.6104941879342773E-2</v>
      </c>
      <c r="T52" s="56">
        <f t="shared" si="18"/>
        <v>-2.3760807867467457E-2</v>
      </c>
      <c r="U52" s="56">
        <f t="shared" si="19"/>
        <v>-1.4603475086201141E-2</v>
      </c>
      <c r="V52" s="56">
        <f t="shared" si="20"/>
        <v>8.2332761578047717E-4</v>
      </c>
      <c r="W52" s="56">
        <f t="shared" si="21"/>
        <v>1.8509631863989184E-3</v>
      </c>
      <c r="X52" s="56">
        <f t="shared" si="22"/>
        <v>-1.3890789653756752E-2</v>
      </c>
      <c r="Y52" s="56">
        <f t="shared" si="23"/>
        <v>-1.5890639095135606E-2</v>
      </c>
      <c r="Z52" s="56">
        <f t="shared" si="24"/>
        <v>-1.1775490057819759E-2</v>
      </c>
      <c r="AA52" s="56">
        <f t="shared" si="25"/>
        <v>-1.1202283267927222E-2</v>
      </c>
      <c r="AB52" s="56">
        <f t="shared" si="26"/>
        <v>-5.3398758839659291E-3</v>
      </c>
      <c r="AC52" s="56">
        <f t="shared" si="27"/>
        <v>-2.756819500870593E-3</v>
      </c>
      <c r="AD52" s="56">
        <f t="shared" si="28"/>
        <v>-6.1108686163247224E-3</v>
      </c>
      <c r="AE52" s="56">
        <f t="shared" si="29"/>
        <v>-1.4273166447079511E-2</v>
      </c>
    </row>
    <row r="53" spans="1:31" x14ac:dyDescent="0.3">
      <c r="A53" s="1" t="s">
        <v>40</v>
      </c>
      <c r="B53" s="56">
        <v>0</v>
      </c>
      <c r="C53" s="56">
        <f t="shared" si="1"/>
        <v>3.1355829933379484E-3</v>
      </c>
      <c r="D53" s="56">
        <f t="shared" si="2"/>
        <v>-2.7932862389056286E-2</v>
      </c>
      <c r="E53" s="56">
        <f t="shared" si="3"/>
        <v>-2.7538351689491069E-4</v>
      </c>
      <c r="F53" s="56">
        <f t="shared" si="4"/>
        <v>7.6435852604493362E-3</v>
      </c>
      <c r="G53" s="56">
        <f t="shared" si="5"/>
        <v>1.3378753106103517E-2</v>
      </c>
      <c r="H53" s="56">
        <f t="shared" si="6"/>
        <v>1.6767167366375706E-3</v>
      </c>
      <c r="I53" s="56">
        <f t="shared" si="7"/>
        <v>8.1244305399892133E-3</v>
      </c>
      <c r="J53" s="56">
        <f t="shared" si="8"/>
        <v>1.0173672263785521E-3</v>
      </c>
      <c r="K53" s="56">
        <f t="shared" si="9"/>
        <v>4.9074833127989697E-3</v>
      </c>
      <c r="L53" s="56">
        <f t="shared" si="10"/>
        <v>4.7181362805120211E-3</v>
      </c>
      <c r="M53" s="56">
        <f t="shared" si="11"/>
        <v>9.7939751541981108E-3</v>
      </c>
      <c r="N53" s="56">
        <f t="shared" si="12"/>
        <v>9.6080751718246645E-3</v>
      </c>
      <c r="O53" s="56">
        <f t="shared" si="13"/>
        <v>6.633702562351098E-3</v>
      </c>
      <c r="P53" s="56">
        <f t="shared" si="14"/>
        <v>3.28188424572172E-3</v>
      </c>
      <c r="Q53" s="56">
        <f t="shared" si="15"/>
        <v>4.2395808994429799E-3</v>
      </c>
      <c r="R53" s="56">
        <f t="shared" si="16"/>
        <v>4.9426445061489035E-3</v>
      </c>
      <c r="S53" s="56">
        <f t="shared" si="17"/>
        <v>1.960327360960577E-3</v>
      </c>
      <c r="T53" s="56">
        <f t="shared" si="18"/>
        <v>3.9935543698029321E-3</v>
      </c>
      <c r="U53" s="56">
        <f t="shared" si="19"/>
        <v>-1.4762952408784225E-3</v>
      </c>
      <c r="V53" s="56">
        <f t="shared" si="20"/>
        <v>-6.0048948991747546E-4</v>
      </c>
      <c r="W53" s="56">
        <f t="shared" si="21"/>
        <v>2.5960981146046264E-3</v>
      </c>
      <c r="X53" s="56">
        <f t="shared" si="22"/>
        <v>4.9865537087397998E-3</v>
      </c>
      <c r="Y53" s="56">
        <f t="shared" si="23"/>
        <v>5.046139575226781E-3</v>
      </c>
      <c r="Z53" s="56">
        <f t="shared" si="24"/>
        <v>-1.6631131980766319E-4</v>
      </c>
      <c r="AA53" s="56">
        <f t="shared" si="25"/>
        <v>3.2248783177884462E-3</v>
      </c>
      <c r="AB53" s="56">
        <f t="shared" si="26"/>
        <v>-1.5101633545643691E-3</v>
      </c>
      <c r="AC53" s="56">
        <f t="shared" si="27"/>
        <v>4.2949915700879211E-3</v>
      </c>
      <c r="AD53" s="56">
        <f t="shared" si="28"/>
        <v>5.7468524885153239E-3</v>
      </c>
      <c r="AE53" s="56">
        <f t="shared" si="29"/>
        <v>5.0993658006285468E-3</v>
      </c>
    </row>
    <row r="54" spans="1:31" x14ac:dyDescent="0.3">
      <c r="A54" s="1" t="s">
        <v>3</v>
      </c>
      <c r="B54" s="56">
        <v>0</v>
      </c>
      <c r="C54" s="56">
        <f t="shared" si="1"/>
        <v>-2.8519755147467907E-4</v>
      </c>
      <c r="D54" s="56">
        <f t="shared" si="2"/>
        <v>-2.4179187534780183E-2</v>
      </c>
      <c r="E54" s="56">
        <f t="shared" si="3"/>
        <v>-2.2910666932793467E-2</v>
      </c>
      <c r="F54" s="56">
        <f t="shared" si="4"/>
        <v>-1.3292478295761311E-2</v>
      </c>
      <c r="G54" s="56">
        <f t="shared" si="5"/>
        <v>-1.4521471666863826E-2</v>
      </c>
      <c r="H54" s="56">
        <f t="shared" si="6"/>
        <v>-1.9372167702049713E-2</v>
      </c>
      <c r="I54" s="56">
        <f t="shared" si="7"/>
        <v>-1.2425211549937991E-2</v>
      </c>
      <c r="J54" s="56">
        <f t="shared" si="8"/>
        <v>-5.0512093462868595E-3</v>
      </c>
      <c r="K54" s="56">
        <f t="shared" si="9"/>
        <v>-5.4194633485430037E-3</v>
      </c>
      <c r="L54" s="56">
        <f t="shared" si="10"/>
        <v>-6.3415016049479548E-3</v>
      </c>
      <c r="M54" s="56">
        <f t="shared" si="11"/>
        <v>-3.6400882445635305E-3</v>
      </c>
      <c r="N54" s="56">
        <f t="shared" si="12"/>
        <v>-4.0329595596957498E-3</v>
      </c>
      <c r="O54" s="56">
        <f t="shared" si="13"/>
        <v>-6.1453933369325971E-3</v>
      </c>
      <c r="P54" s="56">
        <f t="shared" si="14"/>
        <v>-1.7895090034672036E-3</v>
      </c>
      <c r="Q54" s="56">
        <f t="shared" si="15"/>
        <v>1.5046018407363136E-3</v>
      </c>
      <c r="R54" s="56">
        <f t="shared" si="16"/>
        <v>4.7467595774264735E-3</v>
      </c>
      <c r="S54" s="56">
        <f t="shared" si="17"/>
        <v>5.7900932141379639E-3</v>
      </c>
      <c r="T54" s="56">
        <f t="shared" si="18"/>
        <v>9.2203068163847161E-3</v>
      </c>
      <c r="U54" s="56">
        <f t="shared" si="19"/>
        <v>8.35253004873617E-3</v>
      </c>
      <c r="V54" s="56">
        <f t="shared" si="20"/>
        <v>9.2158020700585791E-3</v>
      </c>
      <c r="W54" s="56">
        <f t="shared" si="21"/>
        <v>9.2086419562976522E-3</v>
      </c>
      <c r="X54" s="56">
        <f t="shared" si="22"/>
        <v>1.6677601965301877E-2</v>
      </c>
      <c r="Y54" s="56">
        <f t="shared" si="23"/>
        <v>1.5098304067236985E-2</v>
      </c>
      <c r="Z54" s="56">
        <f t="shared" si="24"/>
        <v>1.3838784079484403E-2</v>
      </c>
      <c r="AA54" s="56">
        <f t="shared" si="25"/>
        <v>1.1914484045966182E-2</v>
      </c>
      <c r="AB54" s="56">
        <f t="shared" si="26"/>
        <v>5.6781334217239831E-3</v>
      </c>
      <c r="AC54" s="56">
        <f t="shared" si="27"/>
        <v>2.9949987819383401E-3</v>
      </c>
      <c r="AD54" s="56">
        <f t="shared" si="28"/>
        <v>6.343582123671314E-3</v>
      </c>
      <c r="AE54" s="56">
        <f t="shared" si="29"/>
        <v>1.235163836674414E-2</v>
      </c>
    </row>
    <row r="55" spans="1:31" x14ac:dyDescent="0.3">
      <c r="A55" s="1" t="s">
        <v>4</v>
      </c>
      <c r="B55" s="56">
        <v>0</v>
      </c>
      <c r="C55" s="56">
        <f t="shared" si="1"/>
        <v>2.8999999999999995E-2</v>
      </c>
      <c r="D55" s="56">
        <f t="shared" si="2"/>
        <v>2.8999999999999995E-2</v>
      </c>
      <c r="E55" s="56">
        <f t="shared" si="3"/>
        <v>2.8999999999999995E-2</v>
      </c>
      <c r="F55" s="56">
        <f t="shared" si="4"/>
        <v>2.8999999999999995E-2</v>
      </c>
      <c r="G55" s="56">
        <f t="shared" si="5"/>
        <v>2.8999999999999995E-2</v>
      </c>
      <c r="H55" s="56">
        <f t="shared" si="6"/>
        <v>2.8999999999999995E-2</v>
      </c>
      <c r="I55" s="56">
        <f t="shared" si="7"/>
        <v>2.8999999999999995E-2</v>
      </c>
      <c r="J55" s="56">
        <f t="shared" si="8"/>
        <v>2.8999999999999995E-2</v>
      </c>
      <c r="K55" s="56">
        <f t="shared" si="9"/>
        <v>2.8999999999999995E-2</v>
      </c>
      <c r="L55" s="56">
        <f t="shared" si="10"/>
        <v>2.8999999999999995E-2</v>
      </c>
      <c r="M55" s="56">
        <f t="shared" si="11"/>
        <v>2.8999999999999995E-2</v>
      </c>
      <c r="N55" s="56">
        <f t="shared" si="12"/>
        <v>2.8999999999999995E-2</v>
      </c>
      <c r="O55" s="56">
        <f t="shared" si="13"/>
        <v>2.8999999999999995E-2</v>
      </c>
      <c r="P55" s="56">
        <f t="shared" si="14"/>
        <v>2.8999999999999995E-2</v>
      </c>
      <c r="Q55" s="56">
        <f t="shared" si="15"/>
        <v>2.8999999999999995E-2</v>
      </c>
      <c r="R55" s="56">
        <f t="shared" si="16"/>
        <v>2.8999999999999995E-2</v>
      </c>
      <c r="S55" s="56">
        <f t="shared" si="17"/>
        <v>2.8999999999999995E-2</v>
      </c>
      <c r="T55" s="56">
        <f t="shared" si="18"/>
        <v>2.8999999999999995E-2</v>
      </c>
      <c r="U55" s="56">
        <f t="shared" si="19"/>
        <v>2.8999999999999995E-2</v>
      </c>
      <c r="V55" s="56">
        <f t="shared" si="20"/>
        <v>2.8999999999999995E-2</v>
      </c>
      <c r="W55" s="56">
        <f t="shared" si="21"/>
        <v>2.8999999999999995E-2</v>
      </c>
      <c r="X55" s="56">
        <f t="shared" si="22"/>
        <v>2.8999999999999995E-2</v>
      </c>
      <c r="Y55" s="56">
        <f t="shared" si="23"/>
        <v>2.8999999999999995E-2</v>
      </c>
      <c r="Z55" s="56">
        <f t="shared" si="24"/>
        <v>2.8999999999999995E-2</v>
      </c>
      <c r="AA55" s="56">
        <f t="shared" si="25"/>
        <v>2.8999999999999995E-2</v>
      </c>
      <c r="AB55" s="56">
        <f t="shared" si="26"/>
        <v>2.8999999999999995E-2</v>
      </c>
      <c r="AC55" s="56">
        <f t="shared" si="27"/>
        <v>2.8999999999999995E-2</v>
      </c>
      <c r="AD55" s="56">
        <f t="shared" si="28"/>
        <v>2.8999999999999995E-2</v>
      </c>
      <c r="AE55" s="56">
        <f t="shared" si="29"/>
        <v>2.8999999999999995E-2</v>
      </c>
    </row>
    <row r="56" spans="1:31" x14ac:dyDescent="0.3">
      <c r="A56" s="1" t="s">
        <v>5</v>
      </c>
      <c r="B56" s="56">
        <v>0</v>
      </c>
      <c r="C56" s="56">
        <f t="shared" si="1"/>
        <v>-1.2463136070661631E-2</v>
      </c>
      <c r="D56" s="56">
        <f t="shared" si="2"/>
        <v>1.5600730540306472E-2</v>
      </c>
      <c r="E56" s="56">
        <f t="shared" si="3"/>
        <v>1.0035728714814878E-2</v>
      </c>
      <c r="F56" s="56">
        <f t="shared" si="4"/>
        <v>9.2179804330815001E-3</v>
      </c>
      <c r="G56" s="56">
        <f t="shared" si="5"/>
        <v>1.2898742714762445E-2</v>
      </c>
      <c r="H56" s="56">
        <f t="shared" si="6"/>
        <v>1.4149095163342949E-2</v>
      </c>
      <c r="I56" s="56">
        <f t="shared" si="7"/>
        <v>1.4043115956099314E-2</v>
      </c>
      <c r="J56" s="56">
        <f t="shared" si="8"/>
        <v>1.2009641443108341E-2</v>
      </c>
      <c r="K56" s="56">
        <f t="shared" si="9"/>
        <v>1.1759881819468567E-2</v>
      </c>
      <c r="L56" s="56">
        <f t="shared" si="10"/>
        <v>1.2933221296125166E-2</v>
      </c>
      <c r="M56" s="56">
        <f t="shared" si="11"/>
        <v>1.1139385189412005E-2</v>
      </c>
      <c r="N56" s="56">
        <f t="shared" si="12"/>
        <v>8.9925337133202887E-3</v>
      </c>
      <c r="O56" s="56">
        <f t="shared" si="13"/>
        <v>9.4682388286955691E-3</v>
      </c>
      <c r="P56" s="56">
        <f t="shared" si="14"/>
        <v>1.0372901895221382E-2</v>
      </c>
      <c r="Q56" s="56">
        <f t="shared" si="15"/>
        <v>1.0839406918071162E-2</v>
      </c>
      <c r="R56" s="56">
        <f t="shared" si="16"/>
        <v>1.0422412469442062E-2</v>
      </c>
      <c r="S56" s="56">
        <f t="shared" si="17"/>
        <v>1.0462424486291933E-2</v>
      </c>
      <c r="T56" s="56">
        <f t="shared" si="18"/>
        <v>1.0722425223961852E-2</v>
      </c>
      <c r="U56" s="56">
        <f t="shared" si="19"/>
        <v>1.0600328516912715E-2</v>
      </c>
      <c r="V56" s="56">
        <f t="shared" si="20"/>
        <v>1.0196510895153074E-2</v>
      </c>
      <c r="W56" s="56">
        <f t="shared" si="21"/>
        <v>1.0638881547569288E-2</v>
      </c>
      <c r="X56" s="56">
        <f t="shared" si="22"/>
        <v>1.0301133471732161E-2</v>
      </c>
      <c r="Y56" s="56">
        <f t="shared" si="23"/>
        <v>1.0031565791011068E-2</v>
      </c>
      <c r="Z56" s="56">
        <f t="shared" si="24"/>
        <v>9.8631337651723001E-3</v>
      </c>
      <c r="AA56" s="56">
        <f t="shared" si="25"/>
        <v>9.3485819277131649E-3</v>
      </c>
      <c r="AB56" s="56">
        <f t="shared" si="26"/>
        <v>9.3957905673998626E-3</v>
      </c>
      <c r="AC56" s="56">
        <f t="shared" si="27"/>
        <v>9.4085840288950281E-3</v>
      </c>
      <c r="AD56" s="56">
        <f t="shared" si="28"/>
        <v>9.3731390797313074E-3</v>
      </c>
      <c r="AE56" s="56">
        <f t="shared" si="29"/>
        <v>9.2652576987369457E-3</v>
      </c>
    </row>
    <row r="57" spans="1:31" x14ac:dyDescent="0.3">
      <c r="A57" s="1" t="s">
        <v>6</v>
      </c>
      <c r="B57" s="56">
        <v>0</v>
      </c>
      <c r="C57" s="56">
        <f t="shared" si="1"/>
        <v>-4.9111462171322448E-4</v>
      </c>
      <c r="D57" s="56">
        <f t="shared" si="2"/>
        <v>-1.5291759005209545E-2</v>
      </c>
      <c r="E57" s="56">
        <f t="shared" si="3"/>
        <v>-1.016174478068347E-2</v>
      </c>
      <c r="F57" s="56">
        <f t="shared" si="4"/>
        <v>4.3146482214819338E-4</v>
      </c>
      <c r="G57" s="56">
        <f t="shared" si="5"/>
        <v>1.8861179006834535E-2</v>
      </c>
      <c r="H57" s="56">
        <f t="shared" si="6"/>
        <v>2.285464942719714E-2</v>
      </c>
      <c r="I57" s="56">
        <f t="shared" si="7"/>
        <v>1.5633738108204877E-2</v>
      </c>
      <c r="J57" s="56">
        <f t="shared" si="8"/>
        <v>6.6148158689388467E-3</v>
      </c>
      <c r="K57" s="56">
        <f t="shared" si="9"/>
        <v>1.5438154404753086E-3</v>
      </c>
      <c r="L57" s="56">
        <f t="shared" si="10"/>
        <v>4.4272973335657273E-3</v>
      </c>
      <c r="M57" s="56">
        <f t="shared" si="11"/>
        <v>9.1903449354974361E-3</v>
      </c>
      <c r="N57" s="56">
        <f t="shared" si="12"/>
        <v>7.5654853176274732E-3</v>
      </c>
      <c r="O57" s="56">
        <f t="shared" si="13"/>
        <v>4.4542168755109749E-3</v>
      </c>
      <c r="P57" s="56">
        <f t="shared" si="14"/>
        <v>1.5214206110259086E-3</v>
      </c>
      <c r="Q57" s="56">
        <f t="shared" si="15"/>
        <v>-1.1139696168862671E-3</v>
      </c>
      <c r="R57" s="56">
        <f t="shared" si="16"/>
        <v>-3.8268554496087193E-3</v>
      </c>
      <c r="S57" s="56">
        <f t="shared" si="17"/>
        <v>-5.9153771360735616E-3</v>
      </c>
      <c r="T57" s="56">
        <f t="shared" si="18"/>
        <v>-7.9561139076308861E-3</v>
      </c>
      <c r="U57" s="56">
        <f t="shared" si="19"/>
        <v>-5.1567775462385357E-3</v>
      </c>
      <c r="V57" s="56">
        <f t="shared" si="20"/>
        <v>-5.101284118080922E-3</v>
      </c>
      <c r="W57" s="56">
        <f t="shared" si="21"/>
        <v>-6.4406231054001881E-3</v>
      </c>
      <c r="X57" s="56">
        <f t="shared" si="22"/>
        <v>-6.5242911363197573E-3</v>
      </c>
      <c r="Y57" s="56">
        <f t="shared" si="23"/>
        <v>-8.6949173686372335E-3</v>
      </c>
      <c r="Z57" s="56">
        <f t="shared" si="24"/>
        <v>-9.3854952547869006E-3</v>
      </c>
      <c r="AA57" s="56">
        <f t="shared" si="25"/>
        <v>-8.308223826085346E-3</v>
      </c>
      <c r="AB57" s="56">
        <f t="shared" si="26"/>
        <v>-7.3409171008541113E-3</v>
      </c>
      <c r="AC57" s="56">
        <f t="shared" si="27"/>
        <v>-8.1107256377364705E-3</v>
      </c>
      <c r="AD57" s="56">
        <f t="shared" si="28"/>
        <v>-8.8553465606447165E-3</v>
      </c>
      <c r="AE57" s="56">
        <f t="shared" si="29"/>
        <v>-7.0890216139395485E-3</v>
      </c>
    </row>
    <row r="58" spans="1:31" x14ac:dyDescent="0.3">
      <c r="A58" s="1" t="s">
        <v>7</v>
      </c>
      <c r="B58" s="56">
        <v>0</v>
      </c>
      <c r="C58" s="56">
        <f t="shared" si="1"/>
        <v>-6.4436017867348285E-3</v>
      </c>
      <c r="D58" s="56">
        <f t="shared" si="2"/>
        <v>-9.1320585524731934E-2</v>
      </c>
      <c r="E58" s="56">
        <f t="shared" si="3"/>
        <v>-2.6686380968049761E-2</v>
      </c>
      <c r="F58" s="56">
        <f t="shared" si="4"/>
        <v>1.8734118664251009E-2</v>
      </c>
      <c r="G58" s="56">
        <f t="shared" si="5"/>
        <v>-1.2793884024530439E-2</v>
      </c>
      <c r="H58" s="56">
        <f t="shared" si="6"/>
        <v>-4.4872067806222575E-3</v>
      </c>
      <c r="I58" s="56">
        <f t="shared" si="7"/>
        <v>1.3003257427932877E-2</v>
      </c>
      <c r="J58" s="56">
        <f t="shared" si="8"/>
        <v>1.6913467856892166E-2</v>
      </c>
      <c r="K58" s="56">
        <f t="shared" si="9"/>
        <v>7.600720328201113E-3</v>
      </c>
      <c r="L58" s="56">
        <f t="shared" si="10"/>
        <v>3.7988388227362243E-3</v>
      </c>
      <c r="M58" s="56">
        <f t="shared" si="11"/>
        <v>1.1840676289599993E-2</v>
      </c>
      <c r="N58" s="56">
        <f t="shared" si="12"/>
        <v>1.4192239254918379E-2</v>
      </c>
      <c r="O58" s="56">
        <f t="shared" si="13"/>
        <v>1.7041881182366773E-2</v>
      </c>
      <c r="P58" s="56">
        <f t="shared" si="14"/>
        <v>9.2008150361878663E-3</v>
      </c>
      <c r="Q58" s="56">
        <f t="shared" si="15"/>
        <v>-3.1531637270027701E-3</v>
      </c>
      <c r="R58" s="56">
        <f t="shared" si="16"/>
        <v>4.9909695027390765E-3</v>
      </c>
      <c r="S58" s="56">
        <f t="shared" si="17"/>
        <v>3.4092660874322804E-3</v>
      </c>
      <c r="T58" s="56">
        <f t="shared" si="18"/>
        <v>5.1082886386212521E-3</v>
      </c>
      <c r="U58" s="56">
        <f t="shared" si="19"/>
        <v>7.8306178746015559E-3</v>
      </c>
      <c r="V58" s="56">
        <f t="shared" si="20"/>
        <v>1.1136497397777069E-2</v>
      </c>
      <c r="W58" s="56">
        <f t="shared" si="21"/>
        <v>8.9852470130329879E-3</v>
      </c>
      <c r="X58" s="56">
        <f t="shared" si="22"/>
        <v>5.8519228091203999E-3</v>
      </c>
      <c r="Y58" s="56">
        <f t="shared" si="23"/>
        <v>7.1294085400261636E-4</v>
      </c>
      <c r="Z58" s="56">
        <f t="shared" si="24"/>
        <v>-5.8862962270255035E-3</v>
      </c>
      <c r="AA58" s="56">
        <f t="shared" si="25"/>
        <v>-3.8262516813534026E-3</v>
      </c>
      <c r="AB58" s="56">
        <f t="shared" si="26"/>
        <v>1.2653771973639085E-3</v>
      </c>
      <c r="AC58" s="56">
        <f t="shared" si="27"/>
        <v>-2.0266054103891852E-3</v>
      </c>
      <c r="AD58" s="56">
        <f t="shared" si="28"/>
        <v>8.2720217034418426E-4</v>
      </c>
      <c r="AE58" s="56">
        <f t="shared" si="29"/>
        <v>1.0461092933475889E-2</v>
      </c>
    </row>
    <row r="59" spans="1:31" x14ac:dyDescent="0.3">
      <c r="A59" s="1" t="s">
        <v>8</v>
      </c>
      <c r="B59" s="56">
        <v>0</v>
      </c>
      <c r="C59" s="56">
        <f t="shared" si="1"/>
        <v>3.4978912866429096E-2</v>
      </c>
      <c r="D59" s="56">
        <f t="shared" si="2"/>
        <v>-2.2942396061906543E-2</v>
      </c>
      <c r="E59" s="56">
        <f t="shared" si="3"/>
        <v>-2.2234640317225818E-2</v>
      </c>
      <c r="F59" s="56">
        <f t="shared" si="4"/>
        <v>-1.4451533039088762E-3</v>
      </c>
      <c r="G59" s="56">
        <f t="shared" si="5"/>
        <v>5.1444073245757449E-3</v>
      </c>
      <c r="H59" s="56">
        <f t="shared" si="6"/>
        <v>6.1956362820958406E-3</v>
      </c>
      <c r="I59" s="56">
        <f t="shared" si="7"/>
        <v>5.9704499016734053E-3</v>
      </c>
      <c r="J59" s="56">
        <f t="shared" si="8"/>
        <v>5.2781964925690148E-3</v>
      </c>
      <c r="K59" s="56">
        <f t="shared" si="9"/>
        <v>4.6418588737639974E-3</v>
      </c>
      <c r="L59" s="56">
        <f t="shared" si="10"/>
        <v>7.0155427090759287E-3</v>
      </c>
      <c r="M59" s="56">
        <f t="shared" si="11"/>
        <v>8.022599442253503E-3</v>
      </c>
      <c r="N59" s="56">
        <f t="shared" si="12"/>
        <v>6.6249080887970631E-3</v>
      </c>
      <c r="O59" s="56">
        <f t="shared" si="13"/>
        <v>7.0576137448537376E-3</v>
      </c>
      <c r="P59" s="56">
        <f t="shared" si="14"/>
        <v>7.4492850937745549E-3</v>
      </c>
      <c r="Q59" s="56">
        <f t="shared" si="15"/>
        <v>5.6427000243567463E-3</v>
      </c>
      <c r="R59" s="56">
        <f t="shared" si="16"/>
        <v>6.3743214691685049E-3</v>
      </c>
      <c r="S59" s="56">
        <f t="shared" si="17"/>
        <v>5.3302812843256569E-3</v>
      </c>
      <c r="T59" s="56">
        <f t="shared" si="18"/>
        <v>5.7048173214100124E-3</v>
      </c>
      <c r="U59" s="56">
        <f t="shared" si="19"/>
        <v>6.0568375792226532E-3</v>
      </c>
      <c r="V59" s="56">
        <f t="shared" si="20"/>
        <v>5.5613882132536071E-3</v>
      </c>
      <c r="W59" s="56">
        <f t="shared" si="21"/>
        <v>6.044285168310422E-3</v>
      </c>
      <c r="X59" s="56">
        <f t="shared" si="22"/>
        <v>5.0612501133041167E-3</v>
      </c>
      <c r="Y59" s="56">
        <f t="shared" si="23"/>
        <v>3.2643846150916551E-3</v>
      </c>
      <c r="Z59" s="56">
        <f t="shared" si="24"/>
        <v>2.0710964939540588E-3</v>
      </c>
      <c r="AA59" s="56">
        <f t="shared" si="25"/>
        <v>4.1284221972227291E-3</v>
      </c>
      <c r="AB59" s="56">
        <f t="shared" si="26"/>
        <v>6.2435042413655183E-3</v>
      </c>
      <c r="AC59" s="56">
        <f t="shared" si="27"/>
        <v>2.5767789247811558E-3</v>
      </c>
      <c r="AD59" s="56">
        <f t="shared" si="28"/>
        <v>3.4895377543552866E-3</v>
      </c>
      <c r="AE59" s="56">
        <f t="shared" si="29"/>
        <v>7.1864950152973443E-3</v>
      </c>
    </row>
    <row r="60" spans="1:31" x14ac:dyDescent="0.3">
      <c r="A60" s="1" t="s">
        <v>9</v>
      </c>
      <c r="B60" s="56">
        <v>0</v>
      </c>
      <c r="C60" s="56">
        <f t="shared" si="1"/>
        <v>3.5549761599716782E-2</v>
      </c>
      <c r="D60" s="56">
        <f t="shared" si="2"/>
        <v>8.5422436141874045E-2</v>
      </c>
      <c r="E60" s="56">
        <f t="shared" si="3"/>
        <v>-2.9162063235914689E-3</v>
      </c>
      <c r="F60" s="56">
        <f t="shared" si="4"/>
        <v>-3.6921541704652942E-3</v>
      </c>
      <c r="G60" s="56">
        <f t="shared" si="5"/>
        <v>-4.4459641489246358E-3</v>
      </c>
      <c r="H60" s="56">
        <f t="shared" si="6"/>
        <v>-2.7839791562164679E-3</v>
      </c>
      <c r="I60" s="56">
        <f t="shared" si="7"/>
        <v>-3.0173430821903006E-3</v>
      </c>
      <c r="J60" s="56">
        <f t="shared" si="8"/>
        <v>-4.4642639627459312E-3</v>
      </c>
      <c r="K60" s="56">
        <f t="shared" si="9"/>
        <v>-6.8685432765323174E-3</v>
      </c>
      <c r="L60" s="56">
        <f t="shared" si="10"/>
        <v>-6.5397302696028744E-3</v>
      </c>
      <c r="M60" s="56">
        <f t="shared" si="11"/>
        <v>-4.0037643863698891E-3</v>
      </c>
      <c r="N60" s="56">
        <f t="shared" si="12"/>
        <v>-3.3817787368336963E-3</v>
      </c>
      <c r="O60" s="56">
        <f t="shared" si="13"/>
        <v>-1.8111949344755166E-3</v>
      </c>
      <c r="P60" s="56">
        <f t="shared" si="14"/>
        <v>-3.1460550920145219E-3</v>
      </c>
      <c r="Q60" s="56">
        <f t="shared" si="15"/>
        <v>-2.9264288710563321E-3</v>
      </c>
      <c r="R60" s="56">
        <f t="shared" si="16"/>
        <v>-1.9351653128902295E-3</v>
      </c>
      <c r="S60" s="56">
        <f t="shared" si="17"/>
        <v>-1.6511179367828576E-3</v>
      </c>
      <c r="T60" s="56">
        <f t="shared" si="18"/>
        <v>1.039823258265792E-4</v>
      </c>
      <c r="U60" s="56">
        <f t="shared" si="19"/>
        <v>1.4413036642788759E-3</v>
      </c>
      <c r="V60" s="56">
        <f t="shared" si="20"/>
        <v>1.4745374307624805E-3</v>
      </c>
      <c r="W60" s="56">
        <f t="shared" si="21"/>
        <v>2.4567914243197766E-3</v>
      </c>
      <c r="X60" s="56">
        <f t="shared" si="22"/>
        <v>2.7201412232435748E-3</v>
      </c>
      <c r="Y60" s="56">
        <f t="shared" si="23"/>
        <v>3.0700615556106333E-3</v>
      </c>
      <c r="Z60" s="56">
        <f t="shared" si="24"/>
        <v>2.1917995738792305E-3</v>
      </c>
      <c r="AA60" s="56">
        <f t="shared" si="25"/>
        <v>4.8523798265235193E-3</v>
      </c>
      <c r="AB60" s="56">
        <f t="shared" si="26"/>
        <v>5.2460421311441444E-3</v>
      </c>
      <c r="AC60" s="56">
        <f t="shared" si="27"/>
        <v>2.7966121304044541E-3</v>
      </c>
      <c r="AD60" s="56">
        <f t="shared" si="28"/>
        <v>4.9953916870836505E-3</v>
      </c>
      <c r="AE60" s="56">
        <f t="shared" si="29"/>
        <v>9.3978866602612912E-3</v>
      </c>
    </row>
    <row r="61" spans="1:31" x14ac:dyDescent="0.3">
      <c r="A61" s="1" t="s">
        <v>35</v>
      </c>
      <c r="B61" s="56">
        <v>0</v>
      </c>
      <c r="C61" s="56">
        <f t="shared" si="1"/>
        <v>-1.3315353457095599E-2</v>
      </c>
      <c r="D61" s="56">
        <f t="shared" si="2"/>
        <v>-2.2106270257130602E-2</v>
      </c>
      <c r="E61" s="56">
        <f t="shared" si="3"/>
        <v>-1.1879799259947031E-2</v>
      </c>
      <c r="F61" s="56">
        <f t="shared" si="4"/>
        <v>1.6304088133195158E-2</v>
      </c>
      <c r="G61" s="56">
        <f t="shared" si="5"/>
        <v>2.3084206856319338E-2</v>
      </c>
      <c r="H61" s="56">
        <f t="shared" si="6"/>
        <v>2.3260266307037772E-2</v>
      </c>
      <c r="I61" s="56">
        <f t="shared" si="7"/>
        <v>2.00138492086438E-2</v>
      </c>
      <c r="J61" s="56">
        <f t="shared" si="8"/>
        <v>1.5561226844888712E-2</v>
      </c>
      <c r="K61" s="56">
        <f t="shared" si="9"/>
        <v>1.262321040653838E-2</v>
      </c>
      <c r="L61" s="56">
        <f t="shared" si="10"/>
        <v>1.3965973392747546E-2</v>
      </c>
      <c r="M61" s="56">
        <f t="shared" si="11"/>
        <v>1.7598013620528839E-2</v>
      </c>
      <c r="N61" s="56">
        <f t="shared" si="12"/>
        <v>1.7575519865906782E-2</v>
      </c>
      <c r="O61" s="56">
        <f t="shared" si="13"/>
        <v>1.9910222932646632E-2</v>
      </c>
      <c r="P61" s="56">
        <f t="shared" si="14"/>
        <v>2.0114490585850579E-2</v>
      </c>
      <c r="Q61" s="56">
        <f t="shared" si="15"/>
        <v>1.8393991595391464E-2</v>
      </c>
      <c r="R61" s="56">
        <f t="shared" si="16"/>
        <v>1.9179930804956481E-2</v>
      </c>
      <c r="S61" s="56">
        <f t="shared" si="17"/>
        <v>1.8461289307576338E-2</v>
      </c>
      <c r="T61" s="56">
        <f t="shared" si="18"/>
        <v>2.003171955813033E-2</v>
      </c>
      <c r="U61" s="56">
        <f t="shared" si="19"/>
        <v>2.2175946886208473E-2</v>
      </c>
      <c r="V61" s="56">
        <f t="shared" si="20"/>
        <v>2.2736370789124029E-2</v>
      </c>
      <c r="W61" s="56">
        <f t="shared" si="21"/>
        <v>2.336233868602116E-2</v>
      </c>
      <c r="X61" s="56">
        <f t="shared" si="22"/>
        <v>2.3353297240483611E-2</v>
      </c>
      <c r="Y61" s="56">
        <f t="shared" si="23"/>
        <v>2.1493909084778086E-2</v>
      </c>
      <c r="Z61" s="56">
        <f t="shared" si="24"/>
        <v>1.9263654273879202E-2</v>
      </c>
      <c r="AA61" s="56">
        <f t="shared" si="25"/>
        <v>2.0623838445370649E-2</v>
      </c>
      <c r="AB61" s="56">
        <f t="shared" si="26"/>
        <v>2.2311283706406556E-2</v>
      </c>
      <c r="AC61" s="56">
        <f t="shared" si="27"/>
        <v>1.9064267743415526E-2</v>
      </c>
      <c r="AD61" s="56">
        <f t="shared" si="28"/>
        <v>1.8555543831556196E-2</v>
      </c>
      <c r="AE61" s="56">
        <f t="shared" si="29"/>
        <v>2.2866990672822714E-2</v>
      </c>
    </row>
    <row r="62" spans="1:31" x14ac:dyDescent="0.3">
      <c r="A62" s="1" t="s">
        <v>36</v>
      </c>
      <c r="B62" s="56">
        <v>0</v>
      </c>
      <c r="C62" s="56">
        <f t="shared" si="1"/>
        <v>1.8000000000000002E-2</v>
      </c>
      <c r="D62" s="56">
        <f t="shared" si="2"/>
        <v>1.8000000000000002E-2</v>
      </c>
      <c r="E62" s="56">
        <f t="shared" si="3"/>
        <v>1.8000000000000002E-2</v>
      </c>
      <c r="F62" s="56">
        <f t="shared" si="4"/>
        <v>1.8000000000000002E-2</v>
      </c>
      <c r="G62" s="56">
        <f t="shared" si="5"/>
        <v>1.8000000000000002E-2</v>
      </c>
      <c r="H62" s="56">
        <f t="shared" si="6"/>
        <v>1.8000000000000002E-2</v>
      </c>
      <c r="I62" s="56">
        <f t="shared" si="7"/>
        <v>1.8000000000000002E-2</v>
      </c>
      <c r="J62" s="56">
        <f t="shared" si="8"/>
        <v>1.8000000000000002E-2</v>
      </c>
      <c r="K62" s="56">
        <f t="shared" si="9"/>
        <v>1.8000000000000002E-2</v>
      </c>
      <c r="L62" s="56">
        <f t="shared" si="10"/>
        <v>1.8000000000000002E-2</v>
      </c>
      <c r="M62" s="56">
        <f t="shared" si="11"/>
        <v>1.8000000000000002E-2</v>
      </c>
      <c r="N62" s="56">
        <f t="shared" si="12"/>
        <v>1.8000000000000002E-2</v>
      </c>
      <c r="O62" s="56">
        <f t="shared" si="13"/>
        <v>1.8000000000000002E-2</v>
      </c>
      <c r="P62" s="56">
        <f t="shared" si="14"/>
        <v>1.8000000000000002E-2</v>
      </c>
      <c r="Q62" s="56">
        <f t="shared" si="15"/>
        <v>1.8000000000000002E-2</v>
      </c>
      <c r="R62" s="56">
        <f t="shared" si="16"/>
        <v>1.8000000000000002E-2</v>
      </c>
      <c r="S62" s="56">
        <f t="shared" si="17"/>
        <v>1.8000000000000002E-2</v>
      </c>
      <c r="T62" s="56">
        <f t="shared" si="18"/>
        <v>1.8000000000000002E-2</v>
      </c>
      <c r="U62" s="56">
        <f t="shared" si="19"/>
        <v>1.8000000000000002E-2</v>
      </c>
      <c r="V62" s="56">
        <f t="shared" si="20"/>
        <v>1.8000000000000002E-2</v>
      </c>
      <c r="W62" s="56">
        <f t="shared" si="21"/>
        <v>1.8000000000000002E-2</v>
      </c>
      <c r="X62" s="56">
        <f t="shared" si="22"/>
        <v>1.8000000000000002E-2</v>
      </c>
      <c r="Y62" s="56">
        <f t="shared" si="23"/>
        <v>1.8000000000000002E-2</v>
      </c>
      <c r="Z62" s="56">
        <f t="shared" si="24"/>
        <v>1.8000000000000002E-2</v>
      </c>
      <c r="AA62" s="56">
        <f t="shared" si="25"/>
        <v>1.8000000000000002E-2</v>
      </c>
      <c r="AB62" s="56">
        <f t="shared" si="26"/>
        <v>1.8000000000000002E-2</v>
      </c>
      <c r="AC62" s="56">
        <f t="shared" si="27"/>
        <v>1.8000000000000002E-2</v>
      </c>
      <c r="AD62" s="56">
        <f t="shared" si="28"/>
        <v>1.8000000000000002E-2</v>
      </c>
      <c r="AE62" s="56">
        <f t="shared" si="29"/>
        <v>1.8000000000000002E-2</v>
      </c>
    </row>
    <row r="63" spans="1:31" x14ac:dyDescent="0.3">
      <c r="A63" s="1" t="s">
        <v>10</v>
      </c>
      <c r="B63" s="56">
        <v>0</v>
      </c>
      <c r="C63" s="56">
        <f t="shared" si="1"/>
        <v>3.712792644662908E-2</v>
      </c>
      <c r="D63" s="56">
        <f t="shared" si="2"/>
        <v>-2.0293272640968463E-2</v>
      </c>
      <c r="E63" s="56">
        <f t="shared" si="3"/>
        <v>-7.2429512347781258E-3</v>
      </c>
      <c r="F63" s="56">
        <f t="shared" si="4"/>
        <v>1.4554491943408569E-2</v>
      </c>
      <c r="G63" s="56">
        <f t="shared" si="5"/>
        <v>2.6256250382066283E-2</v>
      </c>
      <c r="H63" s="56">
        <f t="shared" si="6"/>
        <v>2.2568493364563853E-2</v>
      </c>
      <c r="I63" s="56">
        <f t="shared" si="7"/>
        <v>1.8687012132278472E-2</v>
      </c>
      <c r="J63" s="56">
        <f t="shared" si="8"/>
        <v>1.7180053868551946E-2</v>
      </c>
      <c r="K63" s="56">
        <f t="shared" si="9"/>
        <v>1.4263383693081888E-2</v>
      </c>
      <c r="L63" s="56">
        <f t="shared" si="10"/>
        <v>1.6555982064198307E-2</v>
      </c>
      <c r="M63" s="56">
        <f t="shared" si="11"/>
        <v>2.0840102190469979E-2</v>
      </c>
      <c r="N63" s="56">
        <f t="shared" si="12"/>
        <v>1.8700078476099148E-2</v>
      </c>
      <c r="O63" s="56">
        <f t="shared" si="13"/>
        <v>1.7189480406808698E-2</v>
      </c>
      <c r="P63" s="56">
        <f t="shared" si="14"/>
        <v>1.9966465136748185E-2</v>
      </c>
      <c r="Q63" s="56">
        <f t="shared" si="15"/>
        <v>1.7027862508600645E-2</v>
      </c>
      <c r="R63" s="56">
        <f t="shared" si="16"/>
        <v>1.6800043316254048E-2</v>
      </c>
      <c r="S63" s="56">
        <f t="shared" si="17"/>
        <v>1.6821684939007101E-2</v>
      </c>
      <c r="T63" s="56">
        <f t="shared" si="18"/>
        <v>1.4858094377035284E-2</v>
      </c>
      <c r="U63" s="56">
        <f t="shared" si="19"/>
        <v>1.5873920094431695E-2</v>
      </c>
      <c r="V63" s="56">
        <f t="shared" si="20"/>
        <v>1.809934685164221E-2</v>
      </c>
      <c r="W63" s="56">
        <f t="shared" si="21"/>
        <v>1.6944879389224708E-2</v>
      </c>
      <c r="X63" s="56">
        <f t="shared" si="22"/>
        <v>1.8246950979896048E-2</v>
      </c>
      <c r="Y63" s="56">
        <f t="shared" si="23"/>
        <v>1.559292096204631E-2</v>
      </c>
      <c r="Z63" s="56">
        <f t="shared" si="24"/>
        <v>1.4092381070249013E-2</v>
      </c>
      <c r="AA63" s="56">
        <f t="shared" si="25"/>
        <v>1.5618906656012137E-2</v>
      </c>
      <c r="AB63" s="56">
        <f t="shared" si="26"/>
        <v>1.6317210137701044E-2</v>
      </c>
      <c r="AC63" s="56">
        <f t="shared" si="27"/>
        <v>1.4095861221970199E-2</v>
      </c>
      <c r="AD63" s="56">
        <f t="shared" si="28"/>
        <v>1.4462624576260756E-2</v>
      </c>
      <c r="AE63" s="56">
        <f t="shared" si="29"/>
        <v>2.0773899205990029E-2</v>
      </c>
    </row>
    <row r="64" spans="1:31" x14ac:dyDescent="0.3">
      <c r="A64" s="1" t="s">
        <v>41</v>
      </c>
      <c r="B64" s="56">
        <v>0</v>
      </c>
      <c r="C64" s="56">
        <f t="shared" si="1"/>
        <v>1.5773177581946376E-2</v>
      </c>
      <c r="D64" s="56">
        <f t="shared" si="2"/>
        <v>-5.8886503482012992E-2</v>
      </c>
      <c r="E64" s="56">
        <f t="shared" si="3"/>
        <v>-1.7012937309295519E-2</v>
      </c>
      <c r="F64" s="56">
        <f t="shared" si="4"/>
        <v>3.4113367855157731E-4</v>
      </c>
      <c r="G64" s="56">
        <f t="shared" si="5"/>
        <v>2.8267037527186342E-2</v>
      </c>
      <c r="H64" s="56">
        <f t="shared" si="6"/>
        <v>1.5411072601200212E-2</v>
      </c>
      <c r="I64" s="56">
        <f t="shared" si="7"/>
        <v>1.1779040283372885E-2</v>
      </c>
      <c r="J64" s="56">
        <f t="shared" si="8"/>
        <v>9.0533166748542546E-3</v>
      </c>
      <c r="K64" s="56">
        <f t="shared" si="9"/>
        <v>5.1628461528580487E-3</v>
      </c>
      <c r="L64" s="56">
        <f t="shared" si="10"/>
        <v>7.0826601739284916E-3</v>
      </c>
      <c r="M64" s="56">
        <f t="shared" si="11"/>
        <v>8.4879196315943931E-3</v>
      </c>
      <c r="N64" s="56">
        <f t="shared" si="12"/>
        <v>1.130608727401014E-2</v>
      </c>
      <c r="O64" s="56">
        <f t="shared" si="13"/>
        <v>1.1969142745799667E-2</v>
      </c>
      <c r="P64" s="56">
        <f t="shared" si="14"/>
        <v>1.3949979393912355E-2</v>
      </c>
      <c r="Q64" s="56">
        <f t="shared" si="15"/>
        <v>6.8801314584788324E-3</v>
      </c>
      <c r="R64" s="56">
        <f t="shared" si="16"/>
        <v>9.4374646949353692E-3</v>
      </c>
      <c r="S64" s="56">
        <f t="shared" si="17"/>
        <v>9.2330219595632146E-3</v>
      </c>
      <c r="T64" s="56">
        <f t="shared" si="18"/>
        <v>1.6360515288208269E-2</v>
      </c>
      <c r="U64" s="56">
        <f t="shared" si="19"/>
        <v>1.5954790313008654E-2</v>
      </c>
      <c r="V64" s="56">
        <f t="shared" si="20"/>
        <v>1.112481217576371E-2</v>
      </c>
      <c r="W64" s="56">
        <f t="shared" si="21"/>
        <v>1.3860200360048147E-2</v>
      </c>
      <c r="X64" s="56">
        <f t="shared" si="22"/>
        <v>5.0577524411540842E-3</v>
      </c>
      <c r="Y64" s="56">
        <f t="shared" si="23"/>
        <v>8.3197951615751001E-3</v>
      </c>
      <c r="Z64" s="56">
        <f t="shared" si="24"/>
        <v>1.0128627006636479E-2</v>
      </c>
      <c r="AA64" s="56">
        <f t="shared" si="25"/>
        <v>1.4812272831016646E-2</v>
      </c>
      <c r="AB64" s="56">
        <f t="shared" si="26"/>
        <v>8.6918692161782347E-3</v>
      </c>
      <c r="AC64" s="56">
        <f t="shared" si="27"/>
        <v>2.8172436255196253E-3</v>
      </c>
      <c r="AD64" s="56">
        <f t="shared" si="28"/>
        <v>6.8585461192558397E-3</v>
      </c>
      <c r="AE64" s="56">
        <f t="shared" si="29"/>
        <v>9.8945907513379484E-3</v>
      </c>
    </row>
    <row r="65" spans="1:31" x14ac:dyDescent="0.3">
      <c r="A65" s="1" t="s">
        <v>42</v>
      </c>
      <c r="B65" s="56">
        <v>0</v>
      </c>
      <c r="C65" s="56">
        <f t="shared" si="1"/>
        <v>0.15097806738042441</v>
      </c>
      <c r="D65" s="56">
        <f t="shared" si="2"/>
        <v>-4.4616410240402353E-2</v>
      </c>
      <c r="E65" s="56">
        <f t="shared" si="3"/>
        <v>-1.2348283263716035E-2</v>
      </c>
      <c r="F65" s="56">
        <f t="shared" si="4"/>
        <v>1.6226214484953299E-2</v>
      </c>
      <c r="G65" s="56">
        <f t="shared" si="5"/>
        <v>1.5205167792163696E-2</v>
      </c>
      <c r="H65" s="56">
        <f t="shared" si="6"/>
        <v>9.7367529639796144E-3</v>
      </c>
      <c r="I65" s="56">
        <f t="shared" si="7"/>
        <v>9.1145110120732439E-3</v>
      </c>
      <c r="J65" s="56">
        <f t="shared" si="8"/>
        <v>1.1967981652647107E-2</v>
      </c>
      <c r="K65" s="56">
        <f t="shared" si="9"/>
        <v>1.2453168283079356E-2</v>
      </c>
      <c r="L65" s="56">
        <f t="shared" si="10"/>
        <v>1.1919296441814361E-2</v>
      </c>
      <c r="M65" s="56">
        <f t="shared" si="11"/>
        <v>8.3308184898107148E-3</v>
      </c>
      <c r="N65" s="56">
        <f t="shared" si="12"/>
        <v>3.7888014391723956E-3</v>
      </c>
      <c r="O65" s="56">
        <f t="shared" si="13"/>
        <v>6.7465845468005258E-3</v>
      </c>
      <c r="P65" s="56">
        <f t="shared" si="14"/>
        <v>1.5052959622823353E-2</v>
      </c>
      <c r="Q65" s="56">
        <f t="shared" si="15"/>
        <v>1.2041474227385626E-2</v>
      </c>
      <c r="R65" s="56">
        <f t="shared" si="16"/>
        <v>9.9802871148478717E-3</v>
      </c>
      <c r="S65" s="56">
        <f t="shared" si="17"/>
        <v>1.0639065712253327E-2</v>
      </c>
      <c r="T65" s="56">
        <f t="shared" si="18"/>
        <v>8.1060151793678654E-3</v>
      </c>
      <c r="U65" s="56">
        <f t="shared" si="19"/>
        <v>1.080696447324672E-2</v>
      </c>
      <c r="V65" s="56">
        <f t="shared" si="20"/>
        <v>1.1887984972607709E-2</v>
      </c>
      <c r="W65" s="56">
        <f t="shared" si="21"/>
        <v>9.2586728264190069E-3</v>
      </c>
      <c r="X65" s="56">
        <f t="shared" si="22"/>
        <v>4.7204508915354429E-3</v>
      </c>
      <c r="Y65" s="56">
        <f t="shared" si="23"/>
        <v>1.1243467321738008E-2</v>
      </c>
      <c r="Z65" s="56">
        <f t="shared" si="24"/>
        <v>1.2945272041090819E-2</v>
      </c>
      <c r="AA65" s="56">
        <f t="shared" si="25"/>
        <v>1.0302574454757636E-2</v>
      </c>
      <c r="AB65" s="56">
        <f t="shared" si="26"/>
        <v>1.0309852563752889E-2</v>
      </c>
      <c r="AC65" s="56">
        <f t="shared" si="27"/>
        <v>7.6811777032779679E-3</v>
      </c>
      <c r="AD65" s="56">
        <f t="shared" si="28"/>
        <v>6.9431434038031209E-3</v>
      </c>
      <c r="AE65" s="56">
        <f t="shared" si="29"/>
        <v>8.8785440559078308E-3</v>
      </c>
    </row>
    <row r="66" spans="1:31" x14ac:dyDescent="0.3">
      <c r="A66" s="1" t="s">
        <v>43</v>
      </c>
      <c r="B66" s="56">
        <v>0</v>
      </c>
      <c r="C66" s="56">
        <f t="shared" si="1"/>
        <v>1.1938163022655464E-2</v>
      </c>
      <c r="D66" s="56">
        <f t="shared" si="2"/>
        <v>-1.629357698709125E-2</v>
      </c>
      <c r="E66" s="56">
        <f t="shared" si="3"/>
        <v>-1.5440336595079339E-2</v>
      </c>
      <c r="F66" s="56">
        <f t="shared" si="4"/>
        <v>2.2674474178665444E-2</v>
      </c>
      <c r="G66" s="56">
        <f t="shared" si="5"/>
        <v>4.7757682447737718E-2</v>
      </c>
      <c r="H66" s="56">
        <f t="shared" si="6"/>
        <v>2.3640193589343252E-2</v>
      </c>
      <c r="I66" s="56">
        <f t="shared" si="7"/>
        <v>5.4910527989095129E-3</v>
      </c>
      <c r="J66" s="56">
        <f t="shared" si="8"/>
        <v>4.9106234285111938E-3</v>
      </c>
      <c r="K66" s="56">
        <f t="shared" si="9"/>
        <v>-5.4148812749531018E-3</v>
      </c>
      <c r="L66" s="56">
        <f t="shared" si="10"/>
        <v>-2.12880366838278E-3</v>
      </c>
      <c r="M66" s="56">
        <f t="shared" si="11"/>
        <v>1.0072119571338616E-2</v>
      </c>
      <c r="N66" s="56">
        <f t="shared" si="12"/>
        <v>-3.3362241053404157E-3</v>
      </c>
      <c r="O66" s="56">
        <f t="shared" si="13"/>
        <v>-5.9556491137130235E-4</v>
      </c>
      <c r="P66" s="56">
        <f t="shared" si="14"/>
        <v>2.9408831416412786E-3</v>
      </c>
      <c r="Q66" s="56">
        <f t="shared" si="15"/>
        <v>2.6047403437741254E-3</v>
      </c>
      <c r="R66" s="56">
        <f t="shared" si="16"/>
        <v>1.1578386866847507E-2</v>
      </c>
      <c r="S66" s="56">
        <f t="shared" si="17"/>
        <v>7.0489180745446998E-3</v>
      </c>
      <c r="T66" s="56">
        <f t="shared" si="18"/>
        <v>2.0764297459129493E-3</v>
      </c>
      <c r="U66" s="56">
        <f t="shared" si="19"/>
        <v>4.2376145999325661E-3</v>
      </c>
      <c r="V66" s="56">
        <f t="shared" si="20"/>
        <v>7.4816551704515663E-3</v>
      </c>
      <c r="W66" s="56">
        <f t="shared" si="21"/>
        <v>7.836394702089737E-3</v>
      </c>
      <c r="X66" s="56">
        <f t="shared" si="22"/>
        <v>3.0573665751774267E-3</v>
      </c>
      <c r="Y66" s="56">
        <f t="shared" si="23"/>
        <v>1.6140983352899905E-4</v>
      </c>
      <c r="Z66" s="56">
        <f t="shared" si="24"/>
        <v>-2.2432142937466111E-3</v>
      </c>
      <c r="AA66" s="56">
        <f t="shared" si="25"/>
        <v>1.5199801543267788E-3</v>
      </c>
      <c r="AB66" s="56">
        <f t="shared" si="26"/>
        <v>4.5660502401647599E-3</v>
      </c>
      <c r="AC66" s="56">
        <f t="shared" si="27"/>
        <v>6.5360419761895279E-4</v>
      </c>
      <c r="AD66" s="56">
        <f t="shared" si="28"/>
        <v>1.3707211838172191E-3</v>
      </c>
      <c r="AE66" s="56">
        <f t="shared" si="29"/>
        <v>1.0141856585633437E-2</v>
      </c>
    </row>
    <row r="67" spans="1:31" x14ac:dyDescent="0.3">
      <c r="A67" s="1" t="s">
        <v>44</v>
      </c>
      <c r="B67" s="56">
        <v>0</v>
      </c>
      <c r="C67" s="56">
        <f t="shared" si="1"/>
        <v>3.9616360601994943E-2</v>
      </c>
      <c r="D67" s="56">
        <f t="shared" si="2"/>
        <v>-1.2242673765369057E-2</v>
      </c>
      <c r="E67" s="56">
        <f t="shared" si="3"/>
        <v>6.0433727469830934E-3</v>
      </c>
      <c r="F67" s="56">
        <f t="shared" si="4"/>
        <v>2.9090594121675136E-2</v>
      </c>
      <c r="G67" s="56">
        <f t="shared" si="5"/>
        <v>3.2957149156391835E-2</v>
      </c>
      <c r="H67" s="56">
        <f t="shared" si="6"/>
        <v>2.1340388159261221E-2</v>
      </c>
      <c r="I67" s="56">
        <f t="shared" si="7"/>
        <v>1.4495421224915706E-2</v>
      </c>
      <c r="J67" s="56">
        <f t="shared" si="8"/>
        <v>7.7874336700785342E-3</v>
      </c>
      <c r="K67" s="56">
        <f t="shared" si="9"/>
        <v>2.4867312653419466E-3</v>
      </c>
      <c r="L67" s="56">
        <f t="shared" si="10"/>
        <v>4.1256683205506753E-3</v>
      </c>
      <c r="M67" s="56">
        <f t="shared" si="11"/>
        <v>5.6602848848284777E-3</v>
      </c>
      <c r="N67" s="56">
        <f t="shared" si="12"/>
        <v>8.8489399961008495E-3</v>
      </c>
      <c r="O67" s="56">
        <f t="shared" si="13"/>
        <v>1.2837218582559084E-2</v>
      </c>
      <c r="P67" s="56">
        <f t="shared" si="14"/>
        <v>1.313277990202605E-2</v>
      </c>
      <c r="Q67" s="56">
        <f t="shared" si="15"/>
        <v>9.287458469830305E-3</v>
      </c>
      <c r="R67" s="56">
        <f t="shared" si="16"/>
        <v>1.1269632388797459E-2</v>
      </c>
      <c r="S67" s="56">
        <f t="shared" si="17"/>
        <v>1.1054863988625646E-2</v>
      </c>
      <c r="T67" s="56">
        <f t="shared" si="18"/>
        <v>1.2019037978518702E-2</v>
      </c>
      <c r="U67" s="56">
        <f t="shared" si="19"/>
        <v>7.4329714523728076E-3</v>
      </c>
      <c r="V67" s="56">
        <f t="shared" si="20"/>
        <v>1.2572081534613436E-2</v>
      </c>
      <c r="W67" s="56">
        <f t="shared" si="21"/>
        <v>1.5859653506696481E-2</v>
      </c>
      <c r="X67" s="56">
        <f t="shared" si="22"/>
        <v>1.138850202530115E-2</v>
      </c>
      <c r="Y67" s="56">
        <f t="shared" si="23"/>
        <v>7.2910381629697034E-3</v>
      </c>
      <c r="Z67" s="56">
        <f t="shared" si="24"/>
        <v>1.2786832263586526E-2</v>
      </c>
      <c r="AA67" s="56">
        <f t="shared" si="25"/>
        <v>1.5111133502160728E-2</v>
      </c>
      <c r="AB67" s="56">
        <f t="shared" si="26"/>
        <v>1.2640549435436745E-2</v>
      </c>
      <c r="AC67" s="56">
        <f t="shared" si="27"/>
        <v>4.165977696765636E-3</v>
      </c>
      <c r="AD67" s="56">
        <f t="shared" si="28"/>
        <v>7.629769784478678E-3</v>
      </c>
      <c r="AE67" s="56">
        <f t="shared" si="29"/>
        <v>1.5067396005401473E-2</v>
      </c>
    </row>
    <row r="68" spans="1:31" x14ac:dyDescent="0.3">
      <c r="A68" s="1" t="s">
        <v>11</v>
      </c>
      <c r="B68" s="56">
        <v>0</v>
      </c>
      <c r="C68" s="56">
        <f t="shared" si="1"/>
        <v>1.320816146959519E-2</v>
      </c>
      <c r="D68" s="56">
        <f t="shared" si="2"/>
        <v>-1.9358653113518778E-2</v>
      </c>
      <c r="E68" s="56">
        <f t="shared" si="3"/>
        <v>-7.3700972598804556E-3</v>
      </c>
      <c r="F68" s="56">
        <f t="shared" si="4"/>
        <v>1.8394084077638134E-2</v>
      </c>
      <c r="G68" s="56">
        <f t="shared" si="5"/>
        <v>3.298515318239529E-2</v>
      </c>
      <c r="H68" s="56">
        <f t="shared" si="6"/>
        <v>2.695993813019084E-2</v>
      </c>
      <c r="I68" s="56">
        <f t="shared" si="7"/>
        <v>1.5362876089495679E-2</v>
      </c>
      <c r="J68" s="56">
        <f t="shared" si="8"/>
        <v>1.1581834473660476E-2</v>
      </c>
      <c r="K68" s="56">
        <f t="shared" si="9"/>
        <v>7.0966833110068508E-3</v>
      </c>
      <c r="L68" s="56">
        <f t="shared" si="10"/>
        <v>1.0494261789528191E-2</v>
      </c>
      <c r="M68" s="56">
        <f t="shared" si="11"/>
        <v>2.1302613224386275E-2</v>
      </c>
      <c r="N68" s="56">
        <f t="shared" si="12"/>
        <v>1.783286716021338E-2</v>
      </c>
      <c r="O68" s="56">
        <f t="shared" si="13"/>
        <v>1.4539965263129725E-2</v>
      </c>
      <c r="P68" s="56">
        <f t="shared" si="14"/>
        <v>1.921959365351943E-2</v>
      </c>
      <c r="Q68" s="56">
        <f t="shared" si="15"/>
        <v>2.0622300597723298E-2</v>
      </c>
      <c r="R68" s="56">
        <f t="shared" si="16"/>
        <v>2.2109868413097939E-2</v>
      </c>
      <c r="S68" s="56">
        <f t="shared" si="17"/>
        <v>2.2104785720884052E-2</v>
      </c>
      <c r="T68" s="56">
        <f t="shared" si="18"/>
        <v>1.593012434526735E-2</v>
      </c>
      <c r="U68" s="56">
        <f t="shared" si="19"/>
        <v>1.4950269061403086E-2</v>
      </c>
      <c r="V68" s="56">
        <f t="shared" si="20"/>
        <v>1.9251571145914116E-2</v>
      </c>
      <c r="W68" s="56">
        <f t="shared" si="21"/>
        <v>1.5939494212709033E-2</v>
      </c>
      <c r="X68" s="56">
        <f t="shared" si="22"/>
        <v>1.3139005092617484E-2</v>
      </c>
      <c r="Y68" s="56">
        <f t="shared" si="23"/>
        <v>8.421079660949184E-3</v>
      </c>
      <c r="Z68" s="56">
        <f t="shared" si="24"/>
        <v>4.3730308744696477E-3</v>
      </c>
      <c r="AA68" s="56">
        <f t="shared" si="25"/>
        <v>5.1311816787973988E-3</v>
      </c>
      <c r="AB68" s="56">
        <f t="shared" si="26"/>
        <v>8.5044751970502555E-3</v>
      </c>
      <c r="AC68" s="56">
        <f t="shared" si="27"/>
        <v>4.0364073788977904E-3</v>
      </c>
      <c r="AD68" s="56">
        <f t="shared" si="28"/>
        <v>8.2516415972271593E-4</v>
      </c>
      <c r="AE68" s="56">
        <f t="shared" si="29"/>
        <v>1.4245792065931221E-2</v>
      </c>
    </row>
    <row r="69" spans="1:31" x14ac:dyDescent="0.3">
      <c r="A69" s="1" t="s">
        <v>12</v>
      </c>
      <c r="B69" s="56">
        <v>0</v>
      </c>
      <c r="C69" s="56">
        <f t="shared" si="1"/>
        <v>5.284200495128958E-2</v>
      </c>
      <c r="D69" s="56">
        <f t="shared" si="2"/>
        <v>1.9620955270165E-2</v>
      </c>
      <c r="E69" s="56">
        <f t="shared" si="3"/>
        <v>3.1824681139183422E-2</v>
      </c>
      <c r="F69" s="56">
        <f t="shared" si="4"/>
        <v>3.9235579517610794E-2</v>
      </c>
      <c r="G69" s="56">
        <f t="shared" si="5"/>
        <v>4.2408415046822065E-2</v>
      </c>
      <c r="H69" s="56">
        <f t="shared" si="6"/>
        <v>3.4834472333706887E-2</v>
      </c>
      <c r="I69" s="56">
        <f t="shared" si="7"/>
        <v>2.8984244209799583E-2</v>
      </c>
      <c r="J69" s="56">
        <f t="shared" si="8"/>
        <v>2.1218979650825039E-2</v>
      </c>
      <c r="K69" s="56">
        <f t="shared" si="9"/>
        <v>1.5338104039926177E-2</v>
      </c>
      <c r="L69" s="56">
        <f t="shared" si="10"/>
        <v>1.7868140921219512E-2</v>
      </c>
      <c r="M69" s="56">
        <f t="shared" si="11"/>
        <v>2.0893385267873498E-2</v>
      </c>
      <c r="N69" s="56">
        <f t="shared" si="12"/>
        <v>2.0523938341445312E-2</v>
      </c>
      <c r="O69" s="56">
        <f t="shared" si="13"/>
        <v>2.1548547438904851E-2</v>
      </c>
      <c r="P69" s="56">
        <f t="shared" si="14"/>
        <v>2.0754106074240296E-2</v>
      </c>
      <c r="Q69" s="56">
        <f t="shared" si="15"/>
        <v>2.1618950658096381E-2</v>
      </c>
      <c r="R69" s="56">
        <f t="shared" si="16"/>
        <v>2.331375291628068E-2</v>
      </c>
      <c r="S69" s="56">
        <f t="shared" si="17"/>
        <v>2.4521705843899948E-2</v>
      </c>
      <c r="T69" s="56">
        <f t="shared" si="18"/>
        <v>2.4674285910785278E-2</v>
      </c>
      <c r="U69" s="56">
        <f t="shared" si="19"/>
        <v>2.7699018762597612E-2</v>
      </c>
      <c r="V69" s="56">
        <f t="shared" si="20"/>
        <v>2.6629288578831168E-2</v>
      </c>
      <c r="W69" s="56">
        <f t="shared" si="21"/>
        <v>2.3222641775794434E-2</v>
      </c>
      <c r="X69" s="56">
        <f t="shared" si="22"/>
        <v>2.4143114041648685E-2</v>
      </c>
      <c r="Y69" s="56">
        <f t="shared" si="23"/>
        <v>2.2690698305871514E-2</v>
      </c>
      <c r="Z69" s="56">
        <f t="shared" si="24"/>
        <v>2.1067119087713432E-2</v>
      </c>
      <c r="AA69" s="56">
        <f t="shared" si="25"/>
        <v>2.1159742535274494E-2</v>
      </c>
      <c r="AB69" s="56">
        <f t="shared" si="26"/>
        <v>2.1313950192527655E-2</v>
      </c>
      <c r="AC69" s="56">
        <f t="shared" si="27"/>
        <v>2.0176395490711291E-2</v>
      </c>
      <c r="AD69" s="56">
        <f t="shared" si="28"/>
        <v>2.1733504947647555E-2</v>
      </c>
      <c r="AE69" s="56">
        <f t="shared" si="29"/>
        <v>2.4012366562330165E-2</v>
      </c>
    </row>
    <row r="70" spans="1:31" x14ac:dyDescent="0.3">
      <c r="A70" s="1" t="s">
        <v>13</v>
      </c>
      <c r="B70" s="56">
        <v>0</v>
      </c>
      <c r="C70" s="56">
        <f t="shared" si="1"/>
        <v>2.7897917209054473E-2</v>
      </c>
      <c r="D70" s="56">
        <f t="shared" si="2"/>
        <v>-4.2399645565637119E-4</v>
      </c>
      <c r="E70" s="56">
        <f t="shared" si="3"/>
        <v>1.113099856259493E-2</v>
      </c>
      <c r="F70" s="56">
        <f t="shared" si="4"/>
        <v>2.4032640591362172E-2</v>
      </c>
      <c r="G70" s="56">
        <f t="shared" si="5"/>
        <v>2.3815639818190279E-2</v>
      </c>
      <c r="H70" s="56">
        <f t="shared" si="6"/>
        <v>2.1410754684266523E-2</v>
      </c>
      <c r="I70" s="56">
        <f t="shared" si="7"/>
        <v>1.8612395265277918E-2</v>
      </c>
      <c r="J70" s="56">
        <f t="shared" si="8"/>
        <v>1.5370940839512518E-2</v>
      </c>
      <c r="K70" s="56">
        <f t="shared" si="9"/>
        <v>1.2637450466187253E-2</v>
      </c>
      <c r="L70" s="56">
        <f t="shared" si="10"/>
        <v>7.2066643846378196E-3</v>
      </c>
      <c r="M70" s="56">
        <f t="shared" si="11"/>
        <v>2.07277599008793E-2</v>
      </c>
      <c r="N70" s="56">
        <f t="shared" si="12"/>
        <v>2.8130485047801513E-2</v>
      </c>
      <c r="O70" s="56">
        <f t="shared" si="13"/>
        <v>2.6439398574190958E-2</v>
      </c>
      <c r="P70" s="56">
        <f t="shared" si="14"/>
        <v>2.7245088786736552E-2</v>
      </c>
      <c r="Q70" s="56">
        <f t="shared" si="15"/>
        <v>2.6980351727367315E-2</v>
      </c>
      <c r="R70" s="56">
        <f t="shared" si="16"/>
        <v>2.78152549053611E-2</v>
      </c>
      <c r="S70" s="56">
        <f t="shared" si="17"/>
        <v>2.9396186892423674E-2</v>
      </c>
      <c r="T70" s="56">
        <f t="shared" si="18"/>
        <v>2.8151835639818358E-2</v>
      </c>
      <c r="U70" s="56">
        <f t="shared" si="19"/>
        <v>2.9135003846306521E-2</v>
      </c>
      <c r="V70" s="56">
        <f t="shared" si="20"/>
        <v>2.9212716757661624E-2</v>
      </c>
      <c r="W70" s="56">
        <f t="shared" si="21"/>
        <v>2.6341926263819239E-2</v>
      </c>
      <c r="X70" s="56">
        <f t="shared" si="22"/>
        <v>2.7294497376955301E-2</v>
      </c>
      <c r="Y70" s="56">
        <f t="shared" si="23"/>
        <v>2.616038402394686E-2</v>
      </c>
      <c r="Z70" s="56">
        <f t="shared" si="24"/>
        <v>2.4727533085390097E-2</v>
      </c>
      <c r="AA70" s="56">
        <f t="shared" si="25"/>
        <v>2.490017520070513E-2</v>
      </c>
      <c r="AB70" s="56">
        <f t="shared" si="26"/>
        <v>2.5570285946396595E-2</v>
      </c>
      <c r="AC70" s="56">
        <f t="shared" si="27"/>
        <v>2.5101879462405607E-2</v>
      </c>
      <c r="AD70" s="56">
        <f t="shared" si="28"/>
        <v>2.3967559834877181E-2</v>
      </c>
      <c r="AE70" s="56">
        <f t="shared" si="29"/>
        <v>2.812720076082461E-2</v>
      </c>
    </row>
    <row r="71" spans="1:31" x14ac:dyDescent="0.3">
      <c r="A71" s="1" t="s">
        <v>14</v>
      </c>
      <c r="B71" s="56">
        <v>0</v>
      </c>
      <c r="C71" s="56">
        <f t="shared" si="1"/>
        <v>2.7819565201757851E-2</v>
      </c>
      <c r="D71" s="56">
        <f t="shared" si="2"/>
        <v>-1.5137823688978343E-2</v>
      </c>
      <c r="E71" s="56">
        <f t="shared" si="3"/>
        <v>6.1568327717517626E-4</v>
      </c>
      <c r="F71" s="56">
        <f t="shared" si="4"/>
        <v>1.2153635285747217E-2</v>
      </c>
      <c r="G71" s="56">
        <f t="shared" si="5"/>
        <v>3.6657503669981897E-2</v>
      </c>
      <c r="H71" s="56">
        <f t="shared" si="6"/>
        <v>3.1121899394935017E-2</v>
      </c>
      <c r="I71" s="56">
        <f t="shared" si="7"/>
        <v>1.3049016490490284E-2</v>
      </c>
      <c r="J71" s="56">
        <f t="shared" si="8"/>
        <v>1.1252961903570479E-2</v>
      </c>
      <c r="K71" s="56">
        <f t="shared" si="9"/>
        <v>1.1237653221681247E-2</v>
      </c>
      <c r="L71" s="56">
        <f t="shared" si="10"/>
        <v>1.6807265272011162E-2</v>
      </c>
      <c r="M71" s="56">
        <f t="shared" si="11"/>
        <v>2.6856888525678389E-2</v>
      </c>
      <c r="N71" s="56">
        <f t="shared" si="12"/>
        <v>2.0026985228471739E-2</v>
      </c>
      <c r="O71" s="56">
        <f t="shared" si="13"/>
        <v>1.6648145634341548E-2</v>
      </c>
      <c r="P71" s="56">
        <f t="shared" si="14"/>
        <v>1.9118335058555435E-2</v>
      </c>
      <c r="Q71" s="56">
        <f t="shared" si="15"/>
        <v>1.748245675563977E-2</v>
      </c>
      <c r="R71" s="56">
        <f t="shared" si="16"/>
        <v>1.6699150588509321E-2</v>
      </c>
      <c r="S71" s="56">
        <f t="shared" si="17"/>
        <v>1.6390342293608282E-2</v>
      </c>
      <c r="T71" s="56">
        <f t="shared" si="18"/>
        <v>1.3313640307138816E-2</v>
      </c>
      <c r="U71" s="56">
        <f t="shared" si="19"/>
        <v>1.3249279648741372E-2</v>
      </c>
      <c r="V71" s="56">
        <f t="shared" si="20"/>
        <v>1.5371916832277078E-2</v>
      </c>
      <c r="W71" s="56">
        <f t="shared" si="21"/>
        <v>1.3414257395897359E-2</v>
      </c>
      <c r="X71" s="56">
        <f t="shared" si="22"/>
        <v>1.0448207004543068E-2</v>
      </c>
      <c r="Y71" s="56">
        <f t="shared" si="23"/>
        <v>7.9442565662077406E-3</v>
      </c>
      <c r="Z71" s="56">
        <f t="shared" si="24"/>
        <v>6.5459194682268105E-3</v>
      </c>
      <c r="AA71" s="56">
        <f t="shared" si="25"/>
        <v>1.0847716674763159E-2</v>
      </c>
      <c r="AB71" s="56">
        <f t="shared" si="26"/>
        <v>1.1983357066250954E-2</v>
      </c>
      <c r="AC71" s="56">
        <f t="shared" si="27"/>
        <v>1.0830463130245417E-2</v>
      </c>
      <c r="AD71" s="56">
        <f t="shared" si="28"/>
        <v>7.286228300337959E-3</v>
      </c>
      <c r="AE71" s="56">
        <f t="shared" si="29"/>
        <v>1.3845914409291294E-2</v>
      </c>
    </row>
    <row r="72" spans="1:31" x14ac:dyDescent="0.3">
      <c r="A72" s="1" t="s">
        <v>15</v>
      </c>
      <c r="B72" s="56">
        <v>0</v>
      </c>
      <c r="C72" s="56">
        <f t="shared" si="1"/>
        <v>2.8290025712801276E-2</v>
      </c>
      <c r="D72" s="56">
        <f t="shared" si="2"/>
        <v>3.1107246239968037E-2</v>
      </c>
      <c r="E72" s="56">
        <f t="shared" si="3"/>
        <v>1.2544624650787853E-2</v>
      </c>
      <c r="F72" s="56">
        <f t="shared" si="4"/>
        <v>-2.9244404101126547E-3</v>
      </c>
      <c r="G72" s="56">
        <f t="shared" si="5"/>
        <v>5.205823950184249E-3</v>
      </c>
      <c r="H72" s="56">
        <f t="shared" si="6"/>
        <v>1.8574672110851245E-2</v>
      </c>
      <c r="I72" s="56">
        <f t="shared" si="7"/>
        <v>1.3662340957034046E-2</v>
      </c>
      <c r="J72" s="56">
        <f t="shared" si="8"/>
        <v>6.5047579097692026E-3</v>
      </c>
      <c r="K72" s="56">
        <f t="shared" si="9"/>
        <v>8.7187459595944681E-3</v>
      </c>
      <c r="L72" s="56">
        <f t="shared" si="10"/>
        <v>1.5323770460577677E-2</v>
      </c>
      <c r="M72" s="56">
        <f t="shared" si="11"/>
        <v>2.5376763892780714E-2</v>
      </c>
      <c r="N72" s="56">
        <f t="shared" si="12"/>
        <v>2.1572193082817052E-2</v>
      </c>
      <c r="O72" s="56">
        <f t="shared" si="13"/>
        <v>1.6116888921541228E-2</v>
      </c>
      <c r="P72" s="56">
        <f t="shared" si="14"/>
        <v>1.7345637236072839E-2</v>
      </c>
      <c r="Q72" s="56">
        <f t="shared" si="15"/>
        <v>1.6353509239479078E-2</v>
      </c>
      <c r="R72" s="56">
        <f t="shared" si="16"/>
        <v>1.0977820490328473E-2</v>
      </c>
      <c r="S72" s="56">
        <f t="shared" si="17"/>
        <v>1.261426522294214E-2</v>
      </c>
      <c r="T72" s="56">
        <f t="shared" si="18"/>
        <v>1.0036546637792765E-2</v>
      </c>
      <c r="U72" s="56">
        <f t="shared" si="19"/>
        <v>1.416599813412721E-2</v>
      </c>
      <c r="V72" s="56">
        <f t="shared" si="20"/>
        <v>1.7544355535903288E-2</v>
      </c>
      <c r="W72" s="56">
        <f t="shared" si="21"/>
        <v>1.7104449392339915E-2</v>
      </c>
      <c r="X72" s="56">
        <f t="shared" si="22"/>
        <v>1.4535340252123718E-2</v>
      </c>
      <c r="Y72" s="56">
        <f t="shared" si="23"/>
        <v>1.1828660987783488E-2</v>
      </c>
      <c r="Z72" s="56">
        <f t="shared" si="24"/>
        <v>1.1803524811730859E-2</v>
      </c>
      <c r="AA72" s="56">
        <f t="shared" si="25"/>
        <v>1.5165840790277095E-2</v>
      </c>
      <c r="AB72" s="56">
        <f t="shared" si="26"/>
        <v>1.6166940942306449E-2</v>
      </c>
      <c r="AC72" s="56">
        <f t="shared" si="27"/>
        <v>1.434989581714108E-2</v>
      </c>
      <c r="AD72" s="56">
        <f t="shared" si="28"/>
        <v>1.3533293976527907E-2</v>
      </c>
      <c r="AE72" s="56">
        <f t="shared" si="29"/>
        <v>1.6845151761667794E-2</v>
      </c>
    </row>
    <row r="73" spans="1:31" x14ac:dyDescent="0.3">
      <c r="A73" s="1" t="s">
        <v>16</v>
      </c>
      <c r="B73" s="56">
        <v>0</v>
      </c>
      <c r="C73" s="56">
        <f t="shared" si="1"/>
        <v>2.8290025712801276E-2</v>
      </c>
      <c r="D73" s="56">
        <f t="shared" si="2"/>
        <v>3.1107246239968037E-2</v>
      </c>
      <c r="E73" s="56">
        <f t="shared" si="3"/>
        <v>1.2544624650787853E-2</v>
      </c>
      <c r="F73" s="56">
        <f t="shared" si="4"/>
        <v>-2.9244404101126547E-3</v>
      </c>
      <c r="G73" s="56">
        <f t="shared" si="5"/>
        <v>5.205823950184249E-3</v>
      </c>
      <c r="H73" s="56">
        <f t="shared" si="6"/>
        <v>1.8574672110851245E-2</v>
      </c>
      <c r="I73" s="56">
        <f t="shared" si="7"/>
        <v>1.3662340957034046E-2</v>
      </c>
      <c r="J73" s="56">
        <f t="shared" si="8"/>
        <v>6.5047579097692026E-3</v>
      </c>
      <c r="K73" s="56">
        <f t="shared" si="9"/>
        <v>8.7187459595944681E-3</v>
      </c>
      <c r="L73" s="56">
        <f t="shared" si="10"/>
        <v>1.5323770460577677E-2</v>
      </c>
      <c r="M73" s="56">
        <f t="shared" si="11"/>
        <v>2.5376763892780714E-2</v>
      </c>
      <c r="N73" s="56">
        <f t="shared" si="12"/>
        <v>2.1572193082817052E-2</v>
      </c>
      <c r="O73" s="56">
        <f t="shared" si="13"/>
        <v>1.6116888921541228E-2</v>
      </c>
      <c r="P73" s="56">
        <f t="shared" si="14"/>
        <v>1.7345637236072839E-2</v>
      </c>
      <c r="Q73" s="56">
        <f t="shared" si="15"/>
        <v>1.6353509239479078E-2</v>
      </c>
      <c r="R73" s="56">
        <f t="shared" si="16"/>
        <v>1.0977820490328473E-2</v>
      </c>
      <c r="S73" s="56">
        <f t="shared" si="17"/>
        <v>1.261426522294214E-2</v>
      </c>
      <c r="T73" s="56">
        <f t="shared" si="18"/>
        <v>1.0036546637792765E-2</v>
      </c>
      <c r="U73" s="56">
        <f t="shared" si="19"/>
        <v>1.416599813412721E-2</v>
      </c>
      <c r="V73" s="56">
        <f t="shared" si="20"/>
        <v>1.7544355535903288E-2</v>
      </c>
      <c r="W73" s="56">
        <f t="shared" si="21"/>
        <v>1.7104449392339915E-2</v>
      </c>
      <c r="X73" s="56">
        <f t="shared" si="22"/>
        <v>1.4535340252123718E-2</v>
      </c>
      <c r="Y73" s="56">
        <f t="shared" si="23"/>
        <v>1.1828660987783488E-2</v>
      </c>
      <c r="Z73" s="56">
        <f t="shared" si="24"/>
        <v>1.1803524811730859E-2</v>
      </c>
      <c r="AA73" s="56">
        <f t="shared" si="25"/>
        <v>1.5165840790277095E-2</v>
      </c>
      <c r="AB73" s="56">
        <f t="shared" si="26"/>
        <v>1.6166940942306449E-2</v>
      </c>
      <c r="AC73" s="56">
        <f t="shared" si="27"/>
        <v>1.434989581714108E-2</v>
      </c>
      <c r="AD73" s="56">
        <f t="shared" si="28"/>
        <v>1.3533293976527907E-2</v>
      </c>
      <c r="AE73" s="56">
        <f t="shared" si="29"/>
        <v>1.6845151761667794E-2</v>
      </c>
    </row>
    <row r="74" spans="1:31" x14ac:dyDescent="0.3">
      <c r="A74" s="1" t="s">
        <v>17</v>
      </c>
      <c r="B74" s="56">
        <v>0</v>
      </c>
      <c r="C74" s="56">
        <f t="shared" si="1"/>
        <v>-1.9964132926646411E-3</v>
      </c>
      <c r="D74" s="56">
        <f t="shared" si="2"/>
        <v>-1.4094171714878491E-2</v>
      </c>
      <c r="E74" s="56">
        <f t="shared" si="3"/>
        <v>2.0814978409917965E-3</v>
      </c>
      <c r="F74" s="56">
        <f t="shared" si="4"/>
        <v>5.5670299775831406E-3</v>
      </c>
      <c r="G74" s="56">
        <f t="shared" si="5"/>
        <v>2.4824392417320221E-2</v>
      </c>
      <c r="H74" s="56">
        <f t="shared" si="6"/>
        <v>2.6832546474481786E-2</v>
      </c>
      <c r="I74" s="56">
        <f t="shared" si="7"/>
        <v>1.1196656705197193E-2</v>
      </c>
      <c r="J74" s="56">
        <f t="shared" si="8"/>
        <v>1.1609384471234272E-2</v>
      </c>
      <c r="K74" s="56">
        <f t="shared" si="9"/>
        <v>9.9453049623864451E-3</v>
      </c>
      <c r="L74" s="56">
        <f t="shared" si="10"/>
        <v>9.143688992317444E-3</v>
      </c>
      <c r="M74" s="56">
        <f t="shared" si="11"/>
        <v>2.3352377693379858E-2</v>
      </c>
      <c r="N74" s="56">
        <f t="shared" si="12"/>
        <v>1.1356308967830124E-2</v>
      </c>
      <c r="O74" s="56">
        <f t="shared" si="13"/>
        <v>9.8263527715307403E-3</v>
      </c>
      <c r="P74" s="56">
        <f t="shared" si="14"/>
        <v>1.7273574204118354E-2</v>
      </c>
      <c r="Q74" s="56">
        <f t="shared" si="15"/>
        <v>1.6821004660258997E-2</v>
      </c>
      <c r="R74" s="56">
        <f t="shared" si="16"/>
        <v>1.6443867031167389E-2</v>
      </c>
      <c r="S74" s="56">
        <f t="shared" si="17"/>
        <v>1.8446581087302405E-2</v>
      </c>
      <c r="T74" s="56">
        <f t="shared" si="18"/>
        <v>1.5373803913235068E-2</v>
      </c>
      <c r="U74" s="56">
        <f t="shared" si="19"/>
        <v>1.474217258133389E-2</v>
      </c>
      <c r="V74" s="56">
        <f t="shared" si="20"/>
        <v>2.0745060251769525E-2</v>
      </c>
      <c r="W74" s="56">
        <f t="shared" si="21"/>
        <v>1.885033743423491E-2</v>
      </c>
      <c r="X74" s="56">
        <f t="shared" si="22"/>
        <v>1.4397285363047229E-2</v>
      </c>
      <c r="Y74" s="56">
        <f t="shared" si="23"/>
        <v>9.8139765193812224E-3</v>
      </c>
      <c r="Z74" s="56">
        <f t="shared" si="24"/>
        <v>5.1992816543914196E-3</v>
      </c>
      <c r="AA74" s="56">
        <f t="shared" si="25"/>
        <v>1.2479771208234109E-2</v>
      </c>
      <c r="AB74" s="56">
        <f t="shared" si="26"/>
        <v>1.4897378047019662E-2</v>
      </c>
      <c r="AC74" s="56">
        <f t="shared" si="27"/>
        <v>1.071371226149141E-2</v>
      </c>
      <c r="AD74" s="56">
        <f t="shared" si="28"/>
        <v>4.8551268393980974E-3</v>
      </c>
      <c r="AE74" s="56">
        <f t="shared" si="29"/>
        <v>2.9332026139109315E-2</v>
      </c>
    </row>
    <row r="75" spans="1:31" x14ac:dyDescent="0.3">
      <c r="A75" s="1" t="s">
        <v>45</v>
      </c>
      <c r="B75" s="56">
        <v>0</v>
      </c>
      <c r="C75" s="56">
        <f t="shared" si="1"/>
        <v>1.7000000000000001E-2</v>
      </c>
      <c r="D75" s="56">
        <f t="shared" si="2"/>
        <v>1.7000000000000001E-2</v>
      </c>
      <c r="E75" s="56">
        <f t="shared" si="3"/>
        <v>1.7000000000000001E-2</v>
      </c>
      <c r="F75" s="56">
        <f t="shared" si="4"/>
        <v>1.7000000000000001E-2</v>
      </c>
      <c r="G75" s="56">
        <f t="shared" si="5"/>
        <v>1.7000000000000001E-2</v>
      </c>
      <c r="H75" s="56">
        <f t="shared" si="6"/>
        <v>1.7000000000000001E-2</v>
      </c>
      <c r="I75" s="56">
        <f t="shared" si="7"/>
        <v>1.7000000000000001E-2</v>
      </c>
      <c r="J75" s="56">
        <f t="shared" si="8"/>
        <v>1.7000000000000001E-2</v>
      </c>
      <c r="K75" s="56">
        <f t="shared" si="9"/>
        <v>1.7000000000000001E-2</v>
      </c>
      <c r="L75" s="56">
        <f t="shared" si="10"/>
        <v>1.7000000000000001E-2</v>
      </c>
      <c r="M75" s="56">
        <f t="shared" si="11"/>
        <v>1.7000000000000001E-2</v>
      </c>
      <c r="N75" s="56">
        <f t="shared" si="12"/>
        <v>1.7000000000000001E-2</v>
      </c>
      <c r="O75" s="56">
        <f t="shared" si="13"/>
        <v>1.7000000000000001E-2</v>
      </c>
      <c r="P75" s="56">
        <f t="shared" si="14"/>
        <v>1.7000000000000001E-2</v>
      </c>
      <c r="Q75" s="56">
        <f t="shared" si="15"/>
        <v>1.7000000000000001E-2</v>
      </c>
      <c r="R75" s="56">
        <f t="shared" si="16"/>
        <v>1.7000000000000001E-2</v>
      </c>
      <c r="S75" s="56">
        <f t="shared" si="17"/>
        <v>1.7000000000000001E-2</v>
      </c>
      <c r="T75" s="56">
        <f t="shared" si="18"/>
        <v>1.7000000000000001E-2</v>
      </c>
      <c r="U75" s="56">
        <f t="shared" si="19"/>
        <v>1.7000000000000001E-2</v>
      </c>
      <c r="V75" s="56">
        <f t="shared" si="20"/>
        <v>1.7000000000000001E-2</v>
      </c>
      <c r="W75" s="56">
        <f t="shared" si="21"/>
        <v>1.7000000000000001E-2</v>
      </c>
      <c r="X75" s="56">
        <f t="shared" si="22"/>
        <v>1.7000000000000001E-2</v>
      </c>
      <c r="Y75" s="56">
        <f t="shared" si="23"/>
        <v>1.7000000000000001E-2</v>
      </c>
      <c r="Z75" s="56">
        <f t="shared" si="24"/>
        <v>1.7000000000000001E-2</v>
      </c>
      <c r="AA75" s="56">
        <f t="shared" si="25"/>
        <v>1.7000000000000001E-2</v>
      </c>
      <c r="AB75" s="56">
        <f t="shared" si="26"/>
        <v>1.7000000000000001E-2</v>
      </c>
      <c r="AC75" s="56">
        <f t="shared" si="27"/>
        <v>1.7000000000000001E-2</v>
      </c>
      <c r="AD75" s="56">
        <f t="shared" si="28"/>
        <v>1.7000000000000001E-2</v>
      </c>
      <c r="AE75" s="56">
        <f t="shared" si="29"/>
        <v>1.7000000000000001E-2</v>
      </c>
    </row>
    <row r="76" spans="1:31" x14ac:dyDescent="0.3">
      <c r="A76" s="1" t="s">
        <v>46</v>
      </c>
      <c r="B76" s="56">
        <v>0</v>
      </c>
      <c r="C76" s="56">
        <f t="shared" si="1"/>
        <v>8.0000000000000002E-3</v>
      </c>
      <c r="D76" s="56">
        <f t="shared" si="2"/>
        <v>8.0000000000000002E-3</v>
      </c>
      <c r="E76" s="56">
        <f t="shared" si="3"/>
        <v>8.0000000000000002E-3</v>
      </c>
      <c r="F76" s="56">
        <f t="shared" si="4"/>
        <v>8.0000000000000002E-3</v>
      </c>
      <c r="G76" s="56">
        <f t="shared" si="5"/>
        <v>8.0000000000000002E-3</v>
      </c>
      <c r="H76" s="56">
        <f t="shared" si="6"/>
        <v>8.0000000000000002E-3</v>
      </c>
      <c r="I76" s="56">
        <f t="shared" si="7"/>
        <v>8.0000000000000002E-3</v>
      </c>
      <c r="J76" s="56">
        <f t="shared" si="8"/>
        <v>8.0000000000000002E-3</v>
      </c>
      <c r="K76" s="56">
        <f t="shared" si="9"/>
        <v>8.0000000000000002E-3</v>
      </c>
      <c r="L76" s="56">
        <f t="shared" si="10"/>
        <v>8.0000000000000002E-3</v>
      </c>
      <c r="M76" s="56">
        <f t="shared" si="11"/>
        <v>8.0000000000000002E-3</v>
      </c>
      <c r="N76" s="56">
        <f t="shared" si="12"/>
        <v>8.0000000000000002E-3</v>
      </c>
      <c r="O76" s="56">
        <f t="shared" si="13"/>
        <v>8.0000000000000002E-3</v>
      </c>
      <c r="P76" s="56">
        <f t="shared" si="14"/>
        <v>8.0000000000000002E-3</v>
      </c>
      <c r="Q76" s="56">
        <f t="shared" si="15"/>
        <v>8.0000000000000002E-3</v>
      </c>
      <c r="R76" s="56">
        <f t="shared" si="16"/>
        <v>8.0000000000000002E-3</v>
      </c>
      <c r="S76" s="56">
        <f t="shared" si="17"/>
        <v>8.0000000000000002E-3</v>
      </c>
      <c r="T76" s="56">
        <f t="shared" si="18"/>
        <v>8.0000000000000002E-3</v>
      </c>
      <c r="U76" s="56">
        <f t="shared" si="19"/>
        <v>8.0000000000000002E-3</v>
      </c>
      <c r="V76" s="56">
        <f t="shared" si="20"/>
        <v>8.0000000000000002E-3</v>
      </c>
      <c r="W76" s="56">
        <f t="shared" si="21"/>
        <v>8.0000000000000002E-3</v>
      </c>
      <c r="X76" s="56">
        <f t="shared" si="22"/>
        <v>8.0000000000000002E-3</v>
      </c>
      <c r="Y76" s="56">
        <f t="shared" si="23"/>
        <v>8.0000000000000002E-3</v>
      </c>
      <c r="Z76" s="56">
        <f t="shared" si="24"/>
        <v>8.0000000000000002E-3</v>
      </c>
      <c r="AA76" s="56">
        <f t="shared" si="25"/>
        <v>8.0000000000000002E-3</v>
      </c>
      <c r="AB76" s="56">
        <f t="shared" si="26"/>
        <v>8.0000000000000002E-3</v>
      </c>
      <c r="AC76" s="56">
        <f t="shared" si="27"/>
        <v>8.0000000000000002E-3</v>
      </c>
      <c r="AD76" s="56">
        <f t="shared" si="28"/>
        <v>8.0000000000000002E-3</v>
      </c>
      <c r="AE76" s="56">
        <f t="shared" si="29"/>
        <v>8.0000000000000002E-3</v>
      </c>
    </row>
    <row r="77" spans="1:31" x14ac:dyDescent="0.3">
      <c r="A77" s="1" t="s">
        <v>47</v>
      </c>
      <c r="B77" s="56">
        <v>0</v>
      </c>
      <c r="C77" s="56">
        <f t="shared" si="1"/>
        <v>1.6380645161290324E-2</v>
      </c>
      <c r="D77" s="56">
        <f t="shared" si="2"/>
        <v>1.6380645161290324E-2</v>
      </c>
      <c r="E77" s="56">
        <f t="shared" si="3"/>
        <v>1.6380645161290324E-2</v>
      </c>
      <c r="F77" s="56">
        <f t="shared" si="4"/>
        <v>1.6380645161290324E-2</v>
      </c>
      <c r="G77" s="56">
        <f t="shared" si="5"/>
        <v>1.6380645161290324E-2</v>
      </c>
      <c r="H77" s="56">
        <f t="shared" si="6"/>
        <v>1.6380645161290324E-2</v>
      </c>
      <c r="I77" s="56">
        <f t="shared" si="7"/>
        <v>1.6380645161290324E-2</v>
      </c>
      <c r="J77" s="56">
        <f t="shared" si="8"/>
        <v>1.6380645161290324E-2</v>
      </c>
      <c r="K77" s="56">
        <f t="shared" si="9"/>
        <v>1.6380645161290324E-2</v>
      </c>
      <c r="L77" s="56">
        <f t="shared" si="10"/>
        <v>1.6380645161290324E-2</v>
      </c>
      <c r="M77" s="56">
        <f t="shared" si="11"/>
        <v>1.6380645161290324E-2</v>
      </c>
      <c r="N77" s="56">
        <f t="shared" si="12"/>
        <v>1.6380645161290324E-2</v>
      </c>
      <c r="O77" s="56">
        <f t="shared" si="13"/>
        <v>1.6380645161290324E-2</v>
      </c>
      <c r="P77" s="56">
        <f t="shared" si="14"/>
        <v>1.6380645161290324E-2</v>
      </c>
      <c r="Q77" s="56">
        <f t="shared" si="15"/>
        <v>1.6380645161290324E-2</v>
      </c>
      <c r="R77" s="56">
        <f t="shared" si="16"/>
        <v>1.6380645161290324E-2</v>
      </c>
      <c r="S77" s="56">
        <f t="shared" si="17"/>
        <v>1.6380645161290324E-2</v>
      </c>
      <c r="T77" s="56">
        <f t="shared" si="18"/>
        <v>1.6380645161290324E-2</v>
      </c>
      <c r="U77" s="56">
        <f t="shared" si="19"/>
        <v>1.6380645161290324E-2</v>
      </c>
      <c r="V77" s="56">
        <f t="shared" si="20"/>
        <v>1.6380645161290324E-2</v>
      </c>
      <c r="W77" s="56">
        <f t="shared" si="21"/>
        <v>1.6380645161290324E-2</v>
      </c>
      <c r="X77" s="56">
        <f t="shared" si="22"/>
        <v>1.6380645161290324E-2</v>
      </c>
      <c r="Y77" s="56">
        <f t="shared" si="23"/>
        <v>1.6380645161290324E-2</v>
      </c>
      <c r="Z77" s="56">
        <f t="shared" si="24"/>
        <v>1.6380645161290324E-2</v>
      </c>
      <c r="AA77" s="56">
        <f t="shared" si="25"/>
        <v>1.6380645161290324E-2</v>
      </c>
      <c r="AB77" s="56">
        <f t="shared" si="26"/>
        <v>1.6380645161290324E-2</v>
      </c>
      <c r="AC77" s="56">
        <f t="shared" si="27"/>
        <v>1.6380645161290324E-2</v>
      </c>
      <c r="AD77" s="56">
        <f t="shared" si="28"/>
        <v>1.6380645161290324E-2</v>
      </c>
      <c r="AE77" s="56">
        <f t="shared" si="29"/>
        <v>1.6380645161290324E-2</v>
      </c>
    </row>
    <row r="78" spans="1:31" x14ac:dyDescent="0.3">
      <c r="A78" s="1" t="s">
        <v>18</v>
      </c>
      <c r="B78" s="56">
        <v>0</v>
      </c>
      <c r="C78" s="56">
        <f t="shared" si="1"/>
        <v>-2.462547269728288E-2</v>
      </c>
      <c r="D78" s="56">
        <f t="shared" si="2"/>
        <v>-2.1828572575535377E-2</v>
      </c>
      <c r="E78" s="56">
        <f t="shared" si="3"/>
        <v>-7.398883148702743E-3</v>
      </c>
      <c r="F78" s="56">
        <f t="shared" si="4"/>
        <v>1.5912711895669007E-2</v>
      </c>
      <c r="G78" s="56">
        <f t="shared" si="5"/>
        <v>9.8753134364979716E-3</v>
      </c>
      <c r="H78" s="56">
        <f t="shared" si="6"/>
        <v>9.0595844592316049E-4</v>
      </c>
      <c r="I78" s="56">
        <f t="shared" si="7"/>
        <v>7.6347148732469772E-3</v>
      </c>
      <c r="J78" s="56">
        <f t="shared" si="8"/>
        <v>2.3606440147529131E-2</v>
      </c>
      <c r="K78" s="56">
        <f t="shared" si="9"/>
        <v>1.5224099410879446E-2</v>
      </c>
      <c r="L78" s="56">
        <f t="shared" si="10"/>
        <v>1.4991168247270299E-3</v>
      </c>
      <c r="M78" s="56">
        <f t="shared" si="11"/>
        <v>-1.1745802451263718E-3</v>
      </c>
      <c r="N78" s="56">
        <f t="shared" si="12"/>
        <v>1.4985504348045042E-3</v>
      </c>
      <c r="O78" s="56">
        <f t="shared" si="13"/>
        <v>1.1495064219934422E-3</v>
      </c>
      <c r="P78" s="56">
        <f t="shared" si="14"/>
        <v>4.8649869186569456E-3</v>
      </c>
      <c r="Q78" s="56">
        <f t="shared" si="15"/>
        <v>8.6177378951996769E-3</v>
      </c>
      <c r="R78" s="56">
        <f t="shared" si="16"/>
        <v>1.2849450533876856E-2</v>
      </c>
      <c r="S78" s="56">
        <f t="shared" si="17"/>
        <v>1.4534707859538093E-2</v>
      </c>
      <c r="T78" s="56">
        <f t="shared" si="18"/>
        <v>1.207020877462019E-2</v>
      </c>
      <c r="U78" s="56">
        <f t="shared" si="19"/>
        <v>1.3948364414965025E-2</v>
      </c>
      <c r="V78" s="56">
        <f t="shared" si="20"/>
        <v>1.613541434906807E-2</v>
      </c>
      <c r="W78" s="56">
        <f t="shared" si="21"/>
        <v>1.2473548822428258E-2</v>
      </c>
      <c r="X78" s="56">
        <f t="shared" si="22"/>
        <v>1.0688525871105225E-2</v>
      </c>
      <c r="Y78" s="56">
        <f t="shared" si="23"/>
        <v>1.0544607129543427E-2</v>
      </c>
      <c r="Z78" s="56">
        <f t="shared" si="24"/>
        <v>1.199216661393456E-2</v>
      </c>
      <c r="AA78" s="56">
        <f t="shared" si="25"/>
        <v>1.2303674014920541E-2</v>
      </c>
      <c r="AB78" s="56">
        <f t="shared" si="26"/>
        <v>1.1841415651298783E-2</v>
      </c>
      <c r="AC78" s="56">
        <f t="shared" si="27"/>
        <v>9.8948342439917469E-3</v>
      </c>
      <c r="AD78" s="56">
        <f t="shared" si="28"/>
        <v>8.7004993046270063E-3</v>
      </c>
      <c r="AE78" s="56">
        <f t="shared" si="29"/>
        <v>1.3232596371850296E-2</v>
      </c>
    </row>
    <row r="79" spans="1:31" x14ac:dyDescent="0.3">
      <c r="A79" s="1" t="s">
        <v>19</v>
      </c>
      <c r="B79" s="56">
        <v>0</v>
      </c>
      <c r="C79" s="56">
        <f t="shared" ref="C79:C92" si="30">IF(G32="",$B32,G32)</f>
        <v>2.5021213389121336E-2</v>
      </c>
      <c r="D79" s="56">
        <f t="shared" ref="D79:D92" si="31">IF(H32="",$B32,H32)</f>
        <v>2.5021213389121336E-2</v>
      </c>
      <c r="E79" s="56">
        <f t="shared" ref="E79:E92" si="32">IF(I32="",$B32,I32)</f>
        <v>2.5021213389121336E-2</v>
      </c>
      <c r="F79" s="56">
        <f t="shared" ref="F79:F92" si="33">IF(J32="",$B32,J32)</f>
        <v>2.5021213389121336E-2</v>
      </c>
      <c r="G79" s="56">
        <f t="shared" ref="G79:G92" si="34">IF(J32="",$B32,J32)</f>
        <v>2.5021213389121336E-2</v>
      </c>
      <c r="H79" s="56">
        <f t="shared" ref="H79:H92" si="35">IF(K32="",$B32,K32)</f>
        <v>2.5021213389121336E-2</v>
      </c>
      <c r="I79" s="56">
        <f t="shared" ref="I79:I92" si="36">IF(L32="",$B32,L32)</f>
        <v>2.5021213389121336E-2</v>
      </c>
      <c r="J79" s="56">
        <f t="shared" ref="J79:J92" si="37">IF(M32="",$B32,M32)</f>
        <v>2.5021213389121336E-2</v>
      </c>
      <c r="K79" s="56">
        <f t="shared" ref="K79:K92" si="38">IF(N32="",$B32,N32)</f>
        <v>2.5021213389121336E-2</v>
      </c>
      <c r="L79" s="56">
        <f t="shared" ref="L79:L92" si="39">IF(O32="",$B32,O32)</f>
        <v>2.5021213389121336E-2</v>
      </c>
      <c r="M79" s="56">
        <f t="shared" ref="M79:M92" si="40">IF(P32="",$B32,P32)</f>
        <v>2.5021213389121336E-2</v>
      </c>
      <c r="N79" s="56">
        <f t="shared" ref="N79:N92" si="41">IF(Q32="",$B32,Q32)</f>
        <v>2.5021213389121336E-2</v>
      </c>
      <c r="O79" s="56">
        <f t="shared" ref="O79:O92" si="42">IF(R32="",$B32,R32)</f>
        <v>2.5021213389121336E-2</v>
      </c>
      <c r="P79" s="56">
        <f t="shared" ref="P79:P92" si="43">IF(S32="",$B32,S32)</f>
        <v>2.5021213389121336E-2</v>
      </c>
      <c r="Q79" s="56">
        <f t="shared" ref="Q79:Q92" si="44">IF(T32="",$B32,T32)</f>
        <v>2.5021213389121336E-2</v>
      </c>
      <c r="R79" s="56">
        <f t="shared" ref="R79:R92" si="45">IF(U32="",$B32,U32)</f>
        <v>2.5021213389121336E-2</v>
      </c>
      <c r="S79" s="56">
        <f t="shared" ref="S79:S92" si="46">IF(V32="",$B32,V32)</f>
        <v>2.5021213389121336E-2</v>
      </c>
      <c r="T79" s="56">
        <f t="shared" ref="T79:T92" si="47">IF(W32="",$B32,W32)</f>
        <v>2.5021213389121336E-2</v>
      </c>
      <c r="U79" s="56">
        <f t="shared" ref="U79:U92" si="48">IF(X32="",$B32,X32)</f>
        <v>2.5021213389121336E-2</v>
      </c>
      <c r="V79" s="56">
        <f t="shared" ref="V79:V92" si="49">IF(Y32="",$B32,Y32)</f>
        <v>2.5021213389121336E-2</v>
      </c>
      <c r="W79" s="56">
        <f t="shared" ref="W79:W92" si="50">IF(Z32="",$B32,Z32)</f>
        <v>2.5021213389121336E-2</v>
      </c>
      <c r="X79" s="56">
        <f t="shared" ref="X79:X92" si="51">IF(AA32="",$B32,AA32)</f>
        <v>2.5021213389121336E-2</v>
      </c>
      <c r="Y79" s="56">
        <f t="shared" ref="Y79:Y92" si="52">IF(AB32="",$B32,AB32)</f>
        <v>2.5021213389121336E-2</v>
      </c>
      <c r="Z79" s="56">
        <f t="shared" ref="Z79:Z92" si="53">IF(AC32="",$B32,AC32)</f>
        <v>2.5021213389121336E-2</v>
      </c>
      <c r="AA79" s="56">
        <f t="shared" ref="AA79:AA92" si="54">IF(AD32="",$B32,AD32)</f>
        <v>2.5021213389121336E-2</v>
      </c>
      <c r="AB79" s="56">
        <f t="shared" ref="AB79:AB92" si="55">IF(AE32="",$B32,AE32)</f>
        <v>2.5021213389121336E-2</v>
      </c>
      <c r="AC79" s="56">
        <f t="shared" ref="AC79:AC92" si="56">IF(AF32="",$B32,AF32)</f>
        <v>2.5021213389121336E-2</v>
      </c>
      <c r="AD79" s="56">
        <f t="shared" ref="AD79:AD92" si="57">IF(AG32="",$B32,AG32)</f>
        <v>2.5021213389121336E-2</v>
      </c>
      <c r="AE79" s="56">
        <f t="shared" ref="AE79:AE92" si="58">IF(AH32="",$B32,AH32)</f>
        <v>2.5021213389121336E-2</v>
      </c>
    </row>
    <row r="80" spans="1:31" x14ac:dyDescent="0.3">
      <c r="A80" s="1" t="s">
        <v>20</v>
      </c>
      <c r="B80" s="56">
        <v>0</v>
      </c>
      <c r="C80" s="56">
        <f t="shared" si="30"/>
        <v>1.6E-2</v>
      </c>
      <c r="D80" s="56">
        <f t="shared" si="31"/>
        <v>1.6E-2</v>
      </c>
      <c r="E80" s="56">
        <f t="shared" si="32"/>
        <v>1.6E-2</v>
      </c>
      <c r="F80" s="56">
        <f t="shared" si="33"/>
        <v>1.6E-2</v>
      </c>
      <c r="G80" s="56">
        <f t="shared" si="34"/>
        <v>1.6E-2</v>
      </c>
      <c r="H80" s="56">
        <f t="shared" si="35"/>
        <v>1.6E-2</v>
      </c>
      <c r="I80" s="56">
        <f t="shared" si="36"/>
        <v>1.6E-2</v>
      </c>
      <c r="J80" s="56">
        <f t="shared" si="37"/>
        <v>1.6E-2</v>
      </c>
      <c r="K80" s="56">
        <f t="shared" si="38"/>
        <v>1.6E-2</v>
      </c>
      <c r="L80" s="56">
        <f t="shared" si="39"/>
        <v>1.6E-2</v>
      </c>
      <c r="M80" s="56">
        <f t="shared" si="40"/>
        <v>1.6E-2</v>
      </c>
      <c r="N80" s="56">
        <f t="shared" si="41"/>
        <v>1.6E-2</v>
      </c>
      <c r="O80" s="56">
        <f t="shared" si="42"/>
        <v>1.6E-2</v>
      </c>
      <c r="P80" s="56">
        <f t="shared" si="43"/>
        <v>1.6E-2</v>
      </c>
      <c r="Q80" s="56">
        <f t="shared" si="44"/>
        <v>1.6E-2</v>
      </c>
      <c r="R80" s="56">
        <f t="shared" si="45"/>
        <v>1.6E-2</v>
      </c>
      <c r="S80" s="56">
        <f t="shared" si="46"/>
        <v>1.6E-2</v>
      </c>
      <c r="T80" s="56">
        <f t="shared" si="47"/>
        <v>1.6E-2</v>
      </c>
      <c r="U80" s="56">
        <f t="shared" si="48"/>
        <v>1.6E-2</v>
      </c>
      <c r="V80" s="56">
        <f t="shared" si="49"/>
        <v>1.6E-2</v>
      </c>
      <c r="W80" s="56">
        <f t="shared" si="50"/>
        <v>1.6E-2</v>
      </c>
      <c r="X80" s="56">
        <f t="shared" si="51"/>
        <v>1.6E-2</v>
      </c>
      <c r="Y80" s="56">
        <f t="shared" si="52"/>
        <v>1.6E-2</v>
      </c>
      <c r="Z80" s="56">
        <f t="shared" si="53"/>
        <v>1.6E-2</v>
      </c>
      <c r="AA80" s="56">
        <f t="shared" si="54"/>
        <v>1.6E-2</v>
      </c>
      <c r="AB80" s="56">
        <f t="shared" si="55"/>
        <v>1.6E-2</v>
      </c>
      <c r="AC80" s="56">
        <f t="shared" si="56"/>
        <v>1.6E-2</v>
      </c>
      <c r="AD80" s="56">
        <f t="shared" si="57"/>
        <v>1.6E-2</v>
      </c>
      <c r="AE80" s="56">
        <f t="shared" si="58"/>
        <v>1.6E-2</v>
      </c>
    </row>
    <row r="81" spans="1:31" x14ac:dyDescent="0.3">
      <c r="A81" s="1" t="s">
        <v>21</v>
      </c>
      <c r="B81" s="56">
        <v>0</v>
      </c>
      <c r="C81" s="56">
        <f t="shared" si="30"/>
        <v>2.1000000000000001E-2</v>
      </c>
      <c r="D81" s="56">
        <f t="shared" si="31"/>
        <v>2.1000000000000001E-2</v>
      </c>
      <c r="E81" s="56">
        <f t="shared" si="32"/>
        <v>2.1000000000000001E-2</v>
      </c>
      <c r="F81" s="56">
        <f t="shared" si="33"/>
        <v>2.1000000000000001E-2</v>
      </c>
      <c r="G81" s="56">
        <f t="shared" si="34"/>
        <v>2.1000000000000001E-2</v>
      </c>
      <c r="H81" s="56">
        <f t="shared" si="35"/>
        <v>2.1000000000000001E-2</v>
      </c>
      <c r="I81" s="56">
        <f t="shared" si="36"/>
        <v>2.1000000000000001E-2</v>
      </c>
      <c r="J81" s="56">
        <f t="shared" si="37"/>
        <v>2.1000000000000001E-2</v>
      </c>
      <c r="K81" s="56">
        <f t="shared" si="38"/>
        <v>2.1000000000000001E-2</v>
      </c>
      <c r="L81" s="56">
        <f t="shared" si="39"/>
        <v>2.1000000000000001E-2</v>
      </c>
      <c r="M81" s="56">
        <f t="shared" si="40"/>
        <v>2.1000000000000001E-2</v>
      </c>
      <c r="N81" s="56">
        <f t="shared" si="41"/>
        <v>2.1000000000000001E-2</v>
      </c>
      <c r="O81" s="56">
        <f t="shared" si="42"/>
        <v>2.1000000000000001E-2</v>
      </c>
      <c r="P81" s="56">
        <f t="shared" si="43"/>
        <v>2.1000000000000001E-2</v>
      </c>
      <c r="Q81" s="56">
        <f t="shared" si="44"/>
        <v>2.1000000000000001E-2</v>
      </c>
      <c r="R81" s="56">
        <f t="shared" si="45"/>
        <v>2.1000000000000001E-2</v>
      </c>
      <c r="S81" s="56">
        <f t="shared" si="46"/>
        <v>2.1000000000000001E-2</v>
      </c>
      <c r="T81" s="56">
        <f t="shared" si="47"/>
        <v>2.1000000000000001E-2</v>
      </c>
      <c r="U81" s="56">
        <f t="shared" si="48"/>
        <v>2.1000000000000001E-2</v>
      </c>
      <c r="V81" s="56">
        <f t="shared" si="49"/>
        <v>2.1000000000000001E-2</v>
      </c>
      <c r="W81" s="56">
        <f t="shared" si="50"/>
        <v>2.1000000000000001E-2</v>
      </c>
      <c r="X81" s="56">
        <f t="shared" si="51"/>
        <v>2.1000000000000001E-2</v>
      </c>
      <c r="Y81" s="56">
        <f t="shared" si="52"/>
        <v>2.1000000000000001E-2</v>
      </c>
      <c r="Z81" s="56">
        <f t="shared" si="53"/>
        <v>2.1000000000000001E-2</v>
      </c>
      <c r="AA81" s="56">
        <f t="shared" si="54"/>
        <v>2.1000000000000001E-2</v>
      </c>
      <c r="AB81" s="56">
        <f t="shared" si="55"/>
        <v>2.1000000000000001E-2</v>
      </c>
      <c r="AC81" s="56">
        <f t="shared" si="56"/>
        <v>2.1000000000000001E-2</v>
      </c>
      <c r="AD81" s="56">
        <f t="shared" si="57"/>
        <v>2.1000000000000001E-2</v>
      </c>
      <c r="AE81" s="56">
        <f t="shared" si="58"/>
        <v>2.1000000000000001E-2</v>
      </c>
    </row>
    <row r="82" spans="1:31" x14ac:dyDescent="0.3">
      <c r="A82" s="1" t="s">
        <v>22</v>
      </c>
      <c r="B82" s="56">
        <v>0</v>
      </c>
      <c r="C82" s="56">
        <f t="shared" si="30"/>
        <v>2.6399863914719889E-2</v>
      </c>
      <c r="D82" s="56">
        <f t="shared" si="31"/>
        <v>2.6399863914719889E-2</v>
      </c>
      <c r="E82" s="56">
        <f t="shared" si="32"/>
        <v>2.6399863914719889E-2</v>
      </c>
      <c r="F82" s="56">
        <f t="shared" si="33"/>
        <v>2.6399863914719889E-2</v>
      </c>
      <c r="G82" s="56">
        <f t="shared" si="34"/>
        <v>2.6399863914719889E-2</v>
      </c>
      <c r="H82" s="56">
        <f t="shared" si="35"/>
        <v>2.6399863914719889E-2</v>
      </c>
      <c r="I82" s="56">
        <f t="shared" si="36"/>
        <v>2.6399863914719889E-2</v>
      </c>
      <c r="J82" s="56">
        <f t="shared" si="37"/>
        <v>2.6399863914719889E-2</v>
      </c>
      <c r="K82" s="56">
        <f t="shared" si="38"/>
        <v>2.6399863914719889E-2</v>
      </c>
      <c r="L82" s="56">
        <f t="shared" si="39"/>
        <v>2.6399863914719889E-2</v>
      </c>
      <c r="M82" s="56">
        <f t="shared" si="40"/>
        <v>2.6399863914719889E-2</v>
      </c>
      <c r="N82" s="56">
        <f t="shared" si="41"/>
        <v>2.6399863914719889E-2</v>
      </c>
      <c r="O82" s="56">
        <f t="shared" si="42"/>
        <v>2.6399863914719889E-2</v>
      </c>
      <c r="P82" s="56">
        <f t="shared" si="43"/>
        <v>2.6399863914719889E-2</v>
      </c>
      <c r="Q82" s="56">
        <f t="shared" si="44"/>
        <v>2.6399863914719889E-2</v>
      </c>
      <c r="R82" s="56">
        <f t="shared" si="45"/>
        <v>2.6399863914719889E-2</v>
      </c>
      <c r="S82" s="56">
        <f t="shared" si="46"/>
        <v>2.6399863914719889E-2</v>
      </c>
      <c r="T82" s="56">
        <f t="shared" si="47"/>
        <v>2.6399863914719889E-2</v>
      </c>
      <c r="U82" s="56">
        <f t="shared" si="48"/>
        <v>2.6399863914719889E-2</v>
      </c>
      <c r="V82" s="56">
        <f t="shared" si="49"/>
        <v>2.6399863914719889E-2</v>
      </c>
      <c r="W82" s="56">
        <f t="shared" si="50"/>
        <v>2.6399863914719889E-2</v>
      </c>
      <c r="X82" s="56">
        <f t="shared" si="51"/>
        <v>2.6399863914719889E-2</v>
      </c>
      <c r="Y82" s="56">
        <f t="shared" si="52"/>
        <v>2.6399863914719889E-2</v>
      </c>
      <c r="Z82" s="56">
        <f t="shared" si="53"/>
        <v>2.6399863914719889E-2</v>
      </c>
      <c r="AA82" s="56">
        <f t="shared" si="54"/>
        <v>2.6399863914719889E-2</v>
      </c>
      <c r="AB82" s="56">
        <f t="shared" si="55"/>
        <v>2.6399863914719889E-2</v>
      </c>
      <c r="AC82" s="56">
        <f t="shared" si="56"/>
        <v>2.6399863914719889E-2</v>
      </c>
      <c r="AD82" s="56">
        <f t="shared" si="57"/>
        <v>2.6399863914719889E-2</v>
      </c>
      <c r="AE82" s="56">
        <f t="shared" si="58"/>
        <v>2.6399863914719889E-2</v>
      </c>
    </row>
    <row r="83" spans="1:31" x14ac:dyDescent="0.3">
      <c r="A83" s="1" t="s">
        <v>23</v>
      </c>
      <c r="B83" s="56">
        <v>0</v>
      </c>
      <c r="C83" s="56">
        <f t="shared" si="30"/>
        <v>0.02</v>
      </c>
      <c r="D83" s="56">
        <f t="shared" si="31"/>
        <v>0.02</v>
      </c>
      <c r="E83" s="56">
        <f t="shared" si="32"/>
        <v>0.02</v>
      </c>
      <c r="F83" s="56">
        <f t="shared" si="33"/>
        <v>0.02</v>
      </c>
      <c r="G83" s="56">
        <f t="shared" si="34"/>
        <v>0.02</v>
      </c>
      <c r="H83" s="56">
        <f t="shared" si="35"/>
        <v>0.02</v>
      </c>
      <c r="I83" s="56">
        <f t="shared" si="36"/>
        <v>0.02</v>
      </c>
      <c r="J83" s="56">
        <f t="shared" si="37"/>
        <v>0.02</v>
      </c>
      <c r="K83" s="56">
        <f t="shared" si="38"/>
        <v>0.02</v>
      </c>
      <c r="L83" s="56">
        <f t="shared" si="39"/>
        <v>0.02</v>
      </c>
      <c r="M83" s="56">
        <f t="shared" si="40"/>
        <v>0.02</v>
      </c>
      <c r="N83" s="56">
        <f t="shared" si="41"/>
        <v>0.02</v>
      </c>
      <c r="O83" s="56">
        <f t="shared" si="42"/>
        <v>0.02</v>
      </c>
      <c r="P83" s="56">
        <f t="shared" si="43"/>
        <v>0.02</v>
      </c>
      <c r="Q83" s="56">
        <f t="shared" si="44"/>
        <v>0.02</v>
      </c>
      <c r="R83" s="56">
        <f t="shared" si="45"/>
        <v>0.02</v>
      </c>
      <c r="S83" s="56">
        <f t="shared" si="46"/>
        <v>0.02</v>
      </c>
      <c r="T83" s="56">
        <f t="shared" si="47"/>
        <v>0.02</v>
      </c>
      <c r="U83" s="56">
        <f t="shared" si="48"/>
        <v>0.02</v>
      </c>
      <c r="V83" s="56">
        <f t="shared" si="49"/>
        <v>0.02</v>
      </c>
      <c r="W83" s="56">
        <f t="shared" si="50"/>
        <v>0.02</v>
      </c>
      <c r="X83" s="56">
        <f t="shared" si="51"/>
        <v>0.02</v>
      </c>
      <c r="Y83" s="56">
        <f t="shared" si="52"/>
        <v>0.02</v>
      </c>
      <c r="Z83" s="56">
        <f t="shared" si="53"/>
        <v>0.02</v>
      </c>
      <c r="AA83" s="56">
        <f t="shared" si="54"/>
        <v>0.02</v>
      </c>
      <c r="AB83" s="56">
        <f t="shared" si="55"/>
        <v>0.02</v>
      </c>
      <c r="AC83" s="56">
        <f t="shared" si="56"/>
        <v>0.02</v>
      </c>
      <c r="AD83" s="56">
        <f t="shared" si="57"/>
        <v>0.02</v>
      </c>
      <c r="AE83" s="56">
        <f t="shared" si="58"/>
        <v>0.02</v>
      </c>
    </row>
    <row r="84" spans="1:31" x14ac:dyDescent="0.3">
      <c r="A84" s="1" t="s">
        <v>24</v>
      </c>
      <c r="B84" s="56">
        <v>0</v>
      </c>
      <c r="C84" s="56">
        <f t="shared" si="30"/>
        <v>3.7309863252836785E-2</v>
      </c>
      <c r="D84" s="56">
        <f t="shared" si="31"/>
        <v>3.7309863252836785E-2</v>
      </c>
      <c r="E84" s="56">
        <f t="shared" si="32"/>
        <v>3.7309863252836785E-2</v>
      </c>
      <c r="F84" s="56">
        <f t="shared" si="33"/>
        <v>3.7309863252836785E-2</v>
      </c>
      <c r="G84" s="56">
        <f t="shared" si="34"/>
        <v>3.7309863252836785E-2</v>
      </c>
      <c r="H84" s="56">
        <f t="shared" si="35"/>
        <v>3.7309863252836785E-2</v>
      </c>
      <c r="I84" s="56">
        <f t="shared" si="36"/>
        <v>3.7309863252836785E-2</v>
      </c>
      <c r="J84" s="56">
        <f t="shared" si="37"/>
        <v>3.7309863252836785E-2</v>
      </c>
      <c r="K84" s="56">
        <f t="shared" si="38"/>
        <v>3.7309863252836785E-2</v>
      </c>
      <c r="L84" s="56">
        <f t="shared" si="39"/>
        <v>3.7309863252836785E-2</v>
      </c>
      <c r="M84" s="56">
        <f t="shared" si="40"/>
        <v>3.7309863252836785E-2</v>
      </c>
      <c r="N84" s="56">
        <f t="shared" si="41"/>
        <v>3.7309863252836785E-2</v>
      </c>
      <c r="O84" s="56">
        <f t="shared" si="42"/>
        <v>3.7309863252836785E-2</v>
      </c>
      <c r="P84" s="56">
        <f t="shared" si="43"/>
        <v>3.7309863252836785E-2</v>
      </c>
      <c r="Q84" s="56">
        <f t="shared" si="44"/>
        <v>3.7309863252836785E-2</v>
      </c>
      <c r="R84" s="56">
        <f t="shared" si="45"/>
        <v>3.7309863252836785E-2</v>
      </c>
      <c r="S84" s="56">
        <f t="shared" si="46"/>
        <v>3.7309863252836785E-2</v>
      </c>
      <c r="T84" s="56">
        <f t="shared" si="47"/>
        <v>3.7309863252836785E-2</v>
      </c>
      <c r="U84" s="56">
        <f t="shared" si="48"/>
        <v>3.7309863252836785E-2</v>
      </c>
      <c r="V84" s="56">
        <f t="shared" si="49"/>
        <v>3.7309863252836785E-2</v>
      </c>
      <c r="W84" s="56">
        <f t="shared" si="50"/>
        <v>3.7309863252836785E-2</v>
      </c>
      <c r="X84" s="56">
        <f t="shared" si="51"/>
        <v>3.7309863252836785E-2</v>
      </c>
      <c r="Y84" s="56">
        <f t="shared" si="52"/>
        <v>3.7309863252836785E-2</v>
      </c>
      <c r="Z84" s="56">
        <f t="shared" si="53"/>
        <v>3.7309863252836785E-2</v>
      </c>
      <c r="AA84" s="56">
        <f t="shared" si="54"/>
        <v>3.7309863252836785E-2</v>
      </c>
      <c r="AB84" s="56">
        <f t="shared" si="55"/>
        <v>3.7309863252836785E-2</v>
      </c>
      <c r="AC84" s="56">
        <f t="shared" si="56"/>
        <v>3.7309863252836785E-2</v>
      </c>
      <c r="AD84" s="56">
        <f t="shared" si="57"/>
        <v>3.7309863252836785E-2</v>
      </c>
      <c r="AE84" s="56">
        <f t="shared" si="58"/>
        <v>3.7309863252836785E-2</v>
      </c>
    </row>
    <row r="85" spans="1:31" x14ac:dyDescent="0.3">
      <c r="A85" s="1" t="s">
        <v>25</v>
      </c>
      <c r="B85" s="56">
        <v>0</v>
      </c>
      <c r="C85" s="56">
        <f t="shared" si="30"/>
        <v>1.3999999999999999E-2</v>
      </c>
      <c r="D85" s="56">
        <f t="shared" si="31"/>
        <v>1.3999999999999999E-2</v>
      </c>
      <c r="E85" s="56">
        <f t="shared" si="32"/>
        <v>1.3999999999999999E-2</v>
      </c>
      <c r="F85" s="56">
        <f t="shared" si="33"/>
        <v>1.3999999999999999E-2</v>
      </c>
      <c r="G85" s="56">
        <f t="shared" si="34"/>
        <v>1.3999999999999999E-2</v>
      </c>
      <c r="H85" s="56">
        <f t="shared" si="35"/>
        <v>1.3999999999999999E-2</v>
      </c>
      <c r="I85" s="56">
        <f t="shared" si="36"/>
        <v>1.3999999999999999E-2</v>
      </c>
      <c r="J85" s="56">
        <f t="shared" si="37"/>
        <v>1.3999999999999999E-2</v>
      </c>
      <c r="K85" s="56">
        <f t="shared" si="38"/>
        <v>1.3999999999999999E-2</v>
      </c>
      <c r="L85" s="56">
        <f t="shared" si="39"/>
        <v>1.3999999999999999E-2</v>
      </c>
      <c r="M85" s="56">
        <f t="shared" si="40"/>
        <v>1.3999999999999999E-2</v>
      </c>
      <c r="N85" s="56">
        <f t="shared" si="41"/>
        <v>1.3999999999999999E-2</v>
      </c>
      <c r="O85" s="56">
        <f t="shared" si="42"/>
        <v>1.3999999999999999E-2</v>
      </c>
      <c r="P85" s="56">
        <f t="shared" si="43"/>
        <v>1.3999999999999999E-2</v>
      </c>
      <c r="Q85" s="56">
        <f t="shared" si="44"/>
        <v>1.3999999999999999E-2</v>
      </c>
      <c r="R85" s="56">
        <f t="shared" si="45"/>
        <v>1.3999999999999999E-2</v>
      </c>
      <c r="S85" s="56">
        <f t="shared" si="46"/>
        <v>1.3999999999999999E-2</v>
      </c>
      <c r="T85" s="56">
        <f t="shared" si="47"/>
        <v>1.3999999999999999E-2</v>
      </c>
      <c r="U85" s="56">
        <f t="shared" si="48"/>
        <v>1.3999999999999999E-2</v>
      </c>
      <c r="V85" s="56">
        <f t="shared" si="49"/>
        <v>1.3999999999999999E-2</v>
      </c>
      <c r="W85" s="56">
        <f t="shared" si="50"/>
        <v>1.3999999999999999E-2</v>
      </c>
      <c r="X85" s="56">
        <f t="shared" si="51"/>
        <v>1.3999999999999999E-2</v>
      </c>
      <c r="Y85" s="56">
        <f t="shared" si="52"/>
        <v>1.3999999999999999E-2</v>
      </c>
      <c r="Z85" s="56">
        <f t="shared" si="53"/>
        <v>1.3999999999999999E-2</v>
      </c>
      <c r="AA85" s="56">
        <f t="shared" si="54"/>
        <v>1.3999999999999999E-2</v>
      </c>
      <c r="AB85" s="56">
        <f t="shared" si="55"/>
        <v>1.3999999999999999E-2</v>
      </c>
      <c r="AC85" s="56">
        <f t="shared" si="56"/>
        <v>1.3999999999999999E-2</v>
      </c>
      <c r="AD85" s="56">
        <f t="shared" si="57"/>
        <v>1.3999999999999999E-2</v>
      </c>
      <c r="AE85" s="56">
        <f t="shared" si="58"/>
        <v>1.3999999999999999E-2</v>
      </c>
    </row>
    <row r="86" spans="1:31" x14ac:dyDescent="0.3">
      <c r="A86" s="1" t="s">
        <v>26</v>
      </c>
      <c r="B86" s="56">
        <v>0</v>
      </c>
      <c r="C86" s="56">
        <f t="shared" si="30"/>
        <v>1.9E-2</v>
      </c>
      <c r="D86" s="56">
        <f t="shared" si="31"/>
        <v>1.9E-2</v>
      </c>
      <c r="E86" s="56">
        <f t="shared" si="32"/>
        <v>1.9E-2</v>
      </c>
      <c r="F86" s="56">
        <f t="shared" si="33"/>
        <v>1.9E-2</v>
      </c>
      <c r="G86" s="56">
        <f t="shared" si="34"/>
        <v>1.9E-2</v>
      </c>
      <c r="H86" s="56">
        <f t="shared" si="35"/>
        <v>1.9E-2</v>
      </c>
      <c r="I86" s="56">
        <f t="shared" si="36"/>
        <v>1.9E-2</v>
      </c>
      <c r="J86" s="56">
        <f t="shared" si="37"/>
        <v>1.9E-2</v>
      </c>
      <c r="K86" s="56">
        <f t="shared" si="38"/>
        <v>1.9E-2</v>
      </c>
      <c r="L86" s="56">
        <f t="shared" si="39"/>
        <v>1.9E-2</v>
      </c>
      <c r="M86" s="56">
        <f t="shared" si="40"/>
        <v>1.9E-2</v>
      </c>
      <c r="N86" s="56">
        <f t="shared" si="41"/>
        <v>1.9E-2</v>
      </c>
      <c r="O86" s="56">
        <f t="shared" si="42"/>
        <v>1.9E-2</v>
      </c>
      <c r="P86" s="56">
        <f t="shared" si="43"/>
        <v>1.9E-2</v>
      </c>
      <c r="Q86" s="56">
        <f t="shared" si="44"/>
        <v>1.9E-2</v>
      </c>
      <c r="R86" s="56">
        <f t="shared" si="45"/>
        <v>1.9E-2</v>
      </c>
      <c r="S86" s="56">
        <f t="shared" si="46"/>
        <v>1.9E-2</v>
      </c>
      <c r="T86" s="56">
        <f t="shared" si="47"/>
        <v>1.9E-2</v>
      </c>
      <c r="U86" s="56">
        <f t="shared" si="48"/>
        <v>1.9E-2</v>
      </c>
      <c r="V86" s="56">
        <f t="shared" si="49"/>
        <v>1.9E-2</v>
      </c>
      <c r="W86" s="56">
        <f t="shared" si="50"/>
        <v>1.9E-2</v>
      </c>
      <c r="X86" s="56">
        <f t="shared" si="51"/>
        <v>1.9E-2</v>
      </c>
      <c r="Y86" s="56">
        <f t="shared" si="52"/>
        <v>1.9E-2</v>
      </c>
      <c r="Z86" s="56">
        <f t="shared" si="53"/>
        <v>1.9E-2</v>
      </c>
      <c r="AA86" s="56">
        <f t="shared" si="54"/>
        <v>1.9E-2</v>
      </c>
      <c r="AB86" s="56">
        <f t="shared" si="55"/>
        <v>1.9E-2</v>
      </c>
      <c r="AC86" s="56">
        <f t="shared" si="56"/>
        <v>1.9E-2</v>
      </c>
      <c r="AD86" s="56">
        <f t="shared" si="57"/>
        <v>1.9E-2</v>
      </c>
      <c r="AE86" s="56">
        <f t="shared" si="58"/>
        <v>1.9E-2</v>
      </c>
    </row>
    <row r="87" spans="1:31" x14ac:dyDescent="0.3">
      <c r="A87" s="1" t="s">
        <v>27</v>
      </c>
      <c r="B87" s="56">
        <v>0</v>
      </c>
      <c r="C87" s="56">
        <f t="shared" si="30"/>
        <v>2.2553371629871297E-2</v>
      </c>
      <c r="D87" s="56">
        <f t="shared" si="31"/>
        <v>2.2553371629871297E-2</v>
      </c>
      <c r="E87" s="56">
        <f t="shared" si="32"/>
        <v>2.2553371629871297E-2</v>
      </c>
      <c r="F87" s="56">
        <f t="shared" si="33"/>
        <v>2.2553371629871297E-2</v>
      </c>
      <c r="G87" s="56">
        <f t="shared" si="34"/>
        <v>2.2553371629871297E-2</v>
      </c>
      <c r="H87" s="56">
        <f t="shared" si="35"/>
        <v>2.2553371629871297E-2</v>
      </c>
      <c r="I87" s="56">
        <f t="shared" si="36"/>
        <v>2.2553371629871297E-2</v>
      </c>
      <c r="J87" s="56">
        <f t="shared" si="37"/>
        <v>2.2553371629871297E-2</v>
      </c>
      <c r="K87" s="56">
        <f t="shared" si="38"/>
        <v>2.2553371629871297E-2</v>
      </c>
      <c r="L87" s="56">
        <f t="shared" si="39"/>
        <v>2.2553371629871297E-2</v>
      </c>
      <c r="M87" s="56">
        <f t="shared" si="40"/>
        <v>2.2553371629871297E-2</v>
      </c>
      <c r="N87" s="56">
        <f t="shared" si="41"/>
        <v>2.2553371629871297E-2</v>
      </c>
      <c r="O87" s="56">
        <f t="shared" si="42"/>
        <v>2.2553371629871297E-2</v>
      </c>
      <c r="P87" s="56">
        <f t="shared" si="43"/>
        <v>2.2553371629871297E-2</v>
      </c>
      <c r="Q87" s="56">
        <f t="shared" si="44"/>
        <v>2.2553371629871297E-2</v>
      </c>
      <c r="R87" s="56">
        <f t="shared" si="45"/>
        <v>2.2553371629871297E-2</v>
      </c>
      <c r="S87" s="56">
        <f t="shared" si="46"/>
        <v>2.2553371629871297E-2</v>
      </c>
      <c r="T87" s="56">
        <f t="shared" si="47"/>
        <v>2.2553371629871297E-2</v>
      </c>
      <c r="U87" s="56">
        <f t="shared" si="48"/>
        <v>2.2553371629871297E-2</v>
      </c>
      <c r="V87" s="56">
        <f t="shared" si="49"/>
        <v>2.2553371629871297E-2</v>
      </c>
      <c r="W87" s="56">
        <f t="shared" si="50"/>
        <v>2.2553371629871297E-2</v>
      </c>
      <c r="X87" s="56">
        <f t="shared" si="51"/>
        <v>2.2553371629871297E-2</v>
      </c>
      <c r="Y87" s="56">
        <f t="shared" si="52"/>
        <v>2.2553371629871297E-2</v>
      </c>
      <c r="Z87" s="56">
        <f t="shared" si="53"/>
        <v>2.2553371629871297E-2</v>
      </c>
      <c r="AA87" s="56">
        <f t="shared" si="54"/>
        <v>2.2553371629871297E-2</v>
      </c>
      <c r="AB87" s="56">
        <f t="shared" si="55"/>
        <v>2.2553371629871297E-2</v>
      </c>
      <c r="AC87" s="56">
        <f t="shared" si="56"/>
        <v>2.2553371629871297E-2</v>
      </c>
      <c r="AD87" s="56">
        <f t="shared" si="57"/>
        <v>2.2553371629871297E-2</v>
      </c>
      <c r="AE87" s="56">
        <f t="shared" si="58"/>
        <v>2.2553371629871297E-2</v>
      </c>
    </row>
    <row r="88" spans="1:31" x14ac:dyDescent="0.3">
      <c r="A88" s="1" t="s">
        <v>28</v>
      </c>
      <c r="B88" s="56">
        <v>0</v>
      </c>
      <c r="C88" s="56">
        <f t="shared" si="30"/>
        <v>7.5478431778214549E-3</v>
      </c>
      <c r="D88" s="56">
        <f t="shared" si="31"/>
        <v>7.5478431778214549E-3</v>
      </c>
      <c r="E88" s="56">
        <f t="shared" si="32"/>
        <v>7.5478431778214549E-3</v>
      </c>
      <c r="F88" s="56">
        <f t="shared" si="33"/>
        <v>7.5478431778214549E-3</v>
      </c>
      <c r="G88" s="56">
        <f t="shared" si="34"/>
        <v>7.5478431778214549E-3</v>
      </c>
      <c r="H88" s="56">
        <f t="shared" si="35"/>
        <v>7.5478431778214549E-3</v>
      </c>
      <c r="I88" s="56">
        <f t="shared" si="36"/>
        <v>7.5478431778214549E-3</v>
      </c>
      <c r="J88" s="56">
        <f t="shared" si="37"/>
        <v>7.5478431778214549E-3</v>
      </c>
      <c r="K88" s="56">
        <f t="shared" si="38"/>
        <v>7.5478431778214549E-3</v>
      </c>
      <c r="L88" s="56">
        <f t="shared" si="39"/>
        <v>7.5478431778214549E-3</v>
      </c>
      <c r="M88" s="56">
        <f t="shared" si="40"/>
        <v>7.5478431778214549E-3</v>
      </c>
      <c r="N88" s="56">
        <f t="shared" si="41"/>
        <v>7.5478431778214549E-3</v>
      </c>
      <c r="O88" s="56">
        <f t="shared" si="42"/>
        <v>7.5478431778214549E-3</v>
      </c>
      <c r="P88" s="56">
        <f t="shared" si="43"/>
        <v>7.5478431778214549E-3</v>
      </c>
      <c r="Q88" s="56">
        <f t="shared" si="44"/>
        <v>7.5478431778214549E-3</v>
      </c>
      <c r="R88" s="56">
        <f t="shared" si="45"/>
        <v>7.5478431778214549E-3</v>
      </c>
      <c r="S88" s="56">
        <f t="shared" si="46"/>
        <v>7.5478431778214549E-3</v>
      </c>
      <c r="T88" s="56">
        <f t="shared" si="47"/>
        <v>7.5478431778214549E-3</v>
      </c>
      <c r="U88" s="56">
        <f t="shared" si="48"/>
        <v>7.5478431778214549E-3</v>
      </c>
      <c r="V88" s="56">
        <f t="shared" si="49"/>
        <v>7.5478431778214549E-3</v>
      </c>
      <c r="W88" s="56">
        <f t="shared" si="50"/>
        <v>7.5478431778214549E-3</v>
      </c>
      <c r="X88" s="56">
        <f t="shared" si="51"/>
        <v>7.5478431778214549E-3</v>
      </c>
      <c r="Y88" s="56">
        <f t="shared" si="52"/>
        <v>7.5478431778214549E-3</v>
      </c>
      <c r="Z88" s="56">
        <f t="shared" si="53"/>
        <v>7.5478431778214549E-3</v>
      </c>
      <c r="AA88" s="56">
        <f t="shared" si="54"/>
        <v>7.5478431778214549E-3</v>
      </c>
      <c r="AB88" s="56">
        <f t="shared" si="55"/>
        <v>7.5478431778214549E-3</v>
      </c>
      <c r="AC88" s="56">
        <f t="shared" si="56"/>
        <v>7.5478431778214549E-3</v>
      </c>
      <c r="AD88" s="56">
        <f t="shared" si="57"/>
        <v>7.5478431778214549E-3</v>
      </c>
      <c r="AE88" s="56">
        <f t="shared" si="58"/>
        <v>7.5478431778214549E-3</v>
      </c>
    </row>
    <row r="89" spans="1:31" x14ac:dyDescent="0.3">
      <c r="A89" s="1" t="s">
        <v>29</v>
      </c>
      <c r="B89" s="56">
        <v>0</v>
      </c>
      <c r="C89" s="56">
        <f t="shared" si="30"/>
        <v>1.7000000000000001E-2</v>
      </c>
      <c r="D89" s="56">
        <f t="shared" si="31"/>
        <v>1.7000000000000001E-2</v>
      </c>
      <c r="E89" s="56">
        <f t="shared" si="32"/>
        <v>1.7000000000000001E-2</v>
      </c>
      <c r="F89" s="56">
        <f t="shared" si="33"/>
        <v>1.7000000000000001E-2</v>
      </c>
      <c r="G89" s="56">
        <f t="shared" si="34"/>
        <v>1.7000000000000001E-2</v>
      </c>
      <c r="H89" s="56">
        <f t="shared" si="35"/>
        <v>1.7000000000000001E-2</v>
      </c>
      <c r="I89" s="56">
        <f t="shared" si="36"/>
        <v>1.7000000000000001E-2</v>
      </c>
      <c r="J89" s="56">
        <f t="shared" si="37"/>
        <v>1.7000000000000001E-2</v>
      </c>
      <c r="K89" s="56">
        <f t="shared" si="38"/>
        <v>1.7000000000000001E-2</v>
      </c>
      <c r="L89" s="56">
        <f t="shared" si="39"/>
        <v>1.7000000000000001E-2</v>
      </c>
      <c r="M89" s="56">
        <f t="shared" si="40"/>
        <v>1.7000000000000001E-2</v>
      </c>
      <c r="N89" s="56">
        <f t="shared" si="41"/>
        <v>1.7000000000000001E-2</v>
      </c>
      <c r="O89" s="56">
        <f t="shared" si="42"/>
        <v>1.7000000000000001E-2</v>
      </c>
      <c r="P89" s="56">
        <f t="shared" si="43"/>
        <v>1.7000000000000001E-2</v>
      </c>
      <c r="Q89" s="56">
        <f t="shared" si="44"/>
        <v>1.7000000000000001E-2</v>
      </c>
      <c r="R89" s="56">
        <f t="shared" si="45"/>
        <v>1.7000000000000001E-2</v>
      </c>
      <c r="S89" s="56">
        <f t="shared" si="46"/>
        <v>1.7000000000000001E-2</v>
      </c>
      <c r="T89" s="56">
        <f t="shared" si="47"/>
        <v>1.7000000000000001E-2</v>
      </c>
      <c r="U89" s="56">
        <f t="shared" si="48"/>
        <v>1.7000000000000001E-2</v>
      </c>
      <c r="V89" s="56">
        <f t="shared" si="49"/>
        <v>1.7000000000000001E-2</v>
      </c>
      <c r="W89" s="56">
        <f t="shared" si="50"/>
        <v>1.7000000000000001E-2</v>
      </c>
      <c r="X89" s="56">
        <f t="shared" si="51"/>
        <v>1.7000000000000001E-2</v>
      </c>
      <c r="Y89" s="56">
        <f t="shared" si="52"/>
        <v>1.7000000000000001E-2</v>
      </c>
      <c r="Z89" s="56">
        <f t="shared" si="53"/>
        <v>1.7000000000000001E-2</v>
      </c>
      <c r="AA89" s="56">
        <f t="shared" si="54"/>
        <v>1.7000000000000001E-2</v>
      </c>
      <c r="AB89" s="56">
        <f t="shared" si="55"/>
        <v>1.7000000000000001E-2</v>
      </c>
      <c r="AC89" s="56">
        <f t="shared" si="56"/>
        <v>1.7000000000000001E-2</v>
      </c>
      <c r="AD89" s="56">
        <f t="shared" si="57"/>
        <v>1.7000000000000001E-2</v>
      </c>
      <c r="AE89" s="56">
        <f t="shared" si="58"/>
        <v>1.7000000000000001E-2</v>
      </c>
    </row>
    <row r="90" spans="1:31" x14ac:dyDescent="0.3">
      <c r="A90" s="1" t="s">
        <v>30</v>
      </c>
      <c r="B90" s="56">
        <v>0</v>
      </c>
      <c r="C90" s="56">
        <f t="shared" si="30"/>
        <v>2.8999999999999998E-2</v>
      </c>
      <c r="D90" s="56">
        <f t="shared" si="31"/>
        <v>2.8999999999999998E-2</v>
      </c>
      <c r="E90" s="56">
        <f t="shared" si="32"/>
        <v>2.8999999999999998E-2</v>
      </c>
      <c r="F90" s="56">
        <f t="shared" si="33"/>
        <v>2.8999999999999998E-2</v>
      </c>
      <c r="G90" s="56">
        <f t="shared" si="34"/>
        <v>2.8999999999999998E-2</v>
      </c>
      <c r="H90" s="56">
        <f t="shared" si="35"/>
        <v>2.8999999999999998E-2</v>
      </c>
      <c r="I90" s="56">
        <f t="shared" si="36"/>
        <v>2.8999999999999998E-2</v>
      </c>
      <c r="J90" s="56">
        <f t="shared" si="37"/>
        <v>2.8999999999999998E-2</v>
      </c>
      <c r="K90" s="56">
        <f t="shared" si="38"/>
        <v>2.8999999999999998E-2</v>
      </c>
      <c r="L90" s="56">
        <f t="shared" si="39"/>
        <v>2.8999999999999998E-2</v>
      </c>
      <c r="M90" s="56">
        <f t="shared" si="40"/>
        <v>2.8999999999999998E-2</v>
      </c>
      <c r="N90" s="56">
        <f t="shared" si="41"/>
        <v>2.8999999999999998E-2</v>
      </c>
      <c r="O90" s="56">
        <f t="shared" si="42"/>
        <v>2.8999999999999998E-2</v>
      </c>
      <c r="P90" s="56">
        <f t="shared" si="43"/>
        <v>2.8999999999999998E-2</v>
      </c>
      <c r="Q90" s="56">
        <f t="shared" si="44"/>
        <v>2.8999999999999998E-2</v>
      </c>
      <c r="R90" s="56">
        <f t="shared" si="45"/>
        <v>2.8999999999999998E-2</v>
      </c>
      <c r="S90" s="56">
        <f t="shared" si="46"/>
        <v>2.8999999999999998E-2</v>
      </c>
      <c r="T90" s="56">
        <f t="shared" si="47"/>
        <v>2.8999999999999998E-2</v>
      </c>
      <c r="U90" s="56">
        <f t="shared" si="48"/>
        <v>2.8999999999999998E-2</v>
      </c>
      <c r="V90" s="56">
        <f t="shared" si="49"/>
        <v>2.8999999999999998E-2</v>
      </c>
      <c r="W90" s="56">
        <f t="shared" si="50"/>
        <v>2.8999999999999998E-2</v>
      </c>
      <c r="X90" s="56">
        <f t="shared" si="51"/>
        <v>2.8999999999999998E-2</v>
      </c>
      <c r="Y90" s="56">
        <f t="shared" si="52"/>
        <v>2.8999999999999998E-2</v>
      </c>
      <c r="Z90" s="56">
        <f t="shared" si="53"/>
        <v>2.8999999999999998E-2</v>
      </c>
      <c r="AA90" s="56">
        <f t="shared" si="54"/>
        <v>2.8999999999999998E-2</v>
      </c>
      <c r="AB90" s="56">
        <f t="shared" si="55"/>
        <v>2.8999999999999998E-2</v>
      </c>
      <c r="AC90" s="56">
        <f t="shared" si="56"/>
        <v>2.8999999999999998E-2</v>
      </c>
      <c r="AD90" s="56">
        <f t="shared" si="57"/>
        <v>2.8999999999999998E-2</v>
      </c>
      <c r="AE90" s="56">
        <f t="shared" si="58"/>
        <v>2.8999999999999998E-2</v>
      </c>
    </row>
    <row r="91" spans="1:31" x14ac:dyDescent="0.3">
      <c r="A91" s="1" t="s">
        <v>31</v>
      </c>
      <c r="B91" s="56">
        <v>0</v>
      </c>
      <c r="C91" s="56">
        <f t="shared" si="30"/>
        <v>2.2000000000000002E-2</v>
      </c>
      <c r="D91" s="56">
        <f t="shared" si="31"/>
        <v>2.2000000000000002E-2</v>
      </c>
      <c r="E91" s="56">
        <f t="shared" si="32"/>
        <v>2.2000000000000002E-2</v>
      </c>
      <c r="F91" s="56">
        <f t="shared" si="33"/>
        <v>2.2000000000000002E-2</v>
      </c>
      <c r="G91" s="56">
        <f t="shared" si="34"/>
        <v>2.2000000000000002E-2</v>
      </c>
      <c r="H91" s="56">
        <f t="shared" si="35"/>
        <v>2.2000000000000002E-2</v>
      </c>
      <c r="I91" s="56">
        <f t="shared" si="36"/>
        <v>2.2000000000000002E-2</v>
      </c>
      <c r="J91" s="56">
        <f t="shared" si="37"/>
        <v>2.2000000000000002E-2</v>
      </c>
      <c r="K91" s="56">
        <f t="shared" si="38"/>
        <v>2.2000000000000002E-2</v>
      </c>
      <c r="L91" s="56">
        <f t="shared" si="39"/>
        <v>2.2000000000000002E-2</v>
      </c>
      <c r="M91" s="56">
        <f t="shared" si="40"/>
        <v>2.2000000000000002E-2</v>
      </c>
      <c r="N91" s="56">
        <f t="shared" si="41"/>
        <v>2.2000000000000002E-2</v>
      </c>
      <c r="O91" s="56">
        <f t="shared" si="42"/>
        <v>2.2000000000000002E-2</v>
      </c>
      <c r="P91" s="56">
        <f t="shared" si="43"/>
        <v>2.2000000000000002E-2</v>
      </c>
      <c r="Q91" s="56">
        <f t="shared" si="44"/>
        <v>2.2000000000000002E-2</v>
      </c>
      <c r="R91" s="56">
        <f t="shared" si="45"/>
        <v>2.2000000000000002E-2</v>
      </c>
      <c r="S91" s="56">
        <f t="shared" si="46"/>
        <v>2.2000000000000002E-2</v>
      </c>
      <c r="T91" s="56">
        <f t="shared" si="47"/>
        <v>2.2000000000000002E-2</v>
      </c>
      <c r="U91" s="56">
        <f t="shared" si="48"/>
        <v>2.2000000000000002E-2</v>
      </c>
      <c r="V91" s="56">
        <f t="shared" si="49"/>
        <v>2.2000000000000002E-2</v>
      </c>
      <c r="W91" s="56">
        <f t="shared" si="50"/>
        <v>2.2000000000000002E-2</v>
      </c>
      <c r="X91" s="56">
        <f t="shared" si="51"/>
        <v>2.2000000000000002E-2</v>
      </c>
      <c r="Y91" s="56">
        <f t="shared" si="52"/>
        <v>2.2000000000000002E-2</v>
      </c>
      <c r="Z91" s="56">
        <f t="shared" si="53"/>
        <v>2.2000000000000002E-2</v>
      </c>
      <c r="AA91" s="56">
        <f t="shared" si="54"/>
        <v>2.2000000000000002E-2</v>
      </c>
      <c r="AB91" s="56">
        <f t="shared" si="55"/>
        <v>2.2000000000000002E-2</v>
      </c>
      <c r="AC91" s="56">
        <f t="shared" si="56"/>
        <v>2.2000000000000002E-2</v>
      </c>
      <c r="AD91" s="56">
        <f t="shared" si="57"/>
        <v>2.2000000000000002E-2</v>
      </c>
      <c r="AE91" s="56">
        <f t="shared" si="58"/>
        <v>2.2000000000000002E-2</v>
      </c>
    </row>
    <row r="92" spans="1:31" x14ac:dyDescent="0.3">
      <c r="A92" s="1" t="s">
        <v>32</v>
      </c>
      <c r="B92" s="56">
        <v>0</v>
      </c>
      <c r="C92" s="56">
        <f t="shared" si="30"/>
        <v>1.7000000000000001E-2</v>
      </c>
      <c r="D92" s="56">
        <f t="shared" si="31"/>
        <v>1.7000000000000001E-2</v>
      </c>
      <c r="E92" s="56">
        <f t="shared" si="32"/>
        <v>1.7000000000000001E-2</v>
      </c>
      <c r="F92" s="56">
        <f t="shared" si="33"/>
        <v>1.7000000000000001E-2</v>
      </c>
      <c r="G92" s="56">
        <f t="shared" si="34"/>
        <v>1.7000000000000001E-2</v>
      </c>
      <c r="H92" s="56">
        <f t="shared" si="35"/>
        <v>1.7000000000000001E-2</v>
      </c>
      <c r="I92" s="56">
        <f t="shared" si="36"/>
        <v>1.7000000000000001E-2</v>
      </c>
      <c r="J92" s="56">
        <f t="shared" si="37"/>
        <v>1.7000000000000001E-2</v>
      </c>
      <c r="K92" s="56">
        <f t="shared" si="38"/>
        <v>1.7000000000000001E-2</v>
      </c>
      <c r="L92" s="56">
        <f t="shared" si="39"/>
        <v>1.7000000000000001E-2</v>
      </c>
      <c r="M92" s="56">
        <f t="shared" si="40"/>
        <v>1.7000000000000001E-2</v>
      </c>
      <c r="N92" s="56">
        <f t="shared" si="41"/>
        <v>1.7000000000000001E-2</v>
      </c>
      <c r="O92" s="56">
        <f t="shared" si="42"/>
        <v>1.7000000000000001E-2</v>
      </c>
      <c r="P92" s="56">
        <f t="shared" si="43"/>
        <v>1.7000000000000001E-2</v>
      </c>
      <c r="Q92" s="56">
        <f t="shared" si="44"/>
        <v>1.7000000000000001E-2</v>
      </c>
      <c r="R92" s="56">
        <f t="shared" si="45"/>
        <v>1.7000000000000001E-2</v>
      </c>
      <c r="S92" s="56">
        <f t="shared" si="46"/>
        <v>1.7000000000000001E-2</v>
      </c>
      <c r="T92" s="56">
        <f t="shared" si="47"/>
        <v>1.7000000000000001E-2</v>
      </c>
      <c r="U92" s="56">
        <f t="shared" si="48"/>
        <v>1.7000000000000001E-2</v>
      </c>
      <c r="V92" s="56">
        <f t="shared" si="49"/>
        <v>1.7000000000000001E-2</v>
      </c>
      <c r="W92" s="56">
        <f t="shared" si="50"/>
        <v>1.7000000000000001E-2</v>
      </c>
      <c r="X92" s="56">
        <f t="shared" si="51"/>
        <v>1.7000000000000001E-2</v>
      </c>
      <c r="Y92" s="56">
        <f t="shared" si="52"/>
        <v>1.7000000000000001E-2</v>
      </c>
      <c r="Z92" s="56">
        <f t="shared" si="53"/>
        <v>1.7000000000000001E-2</v>
      </c>
      <c r="AA92" s="56">
        <f t="shared" si="54"/>
        <v>1.7000000000000001E-2</v>
      </c>
      <c r="AB92" s="56">
        <f t="shared" si="55"/>
        <v>1.7000000000000001E-2</v>
      </c>
      <c r="AC92" s="56">
        <f t="shared" si="56"/>
        <v>1.7000000000000001E-2</v>
      </c>
      <c r="AD92" s="56">
        <f t="shared" si="57"/>
        <v>1.7000000000000001E-2</v>
      </c>
      <c r="AE92" s="56">
        <f t="shared" si="58"/>
        <v>1.7000000000000001E-2</v>
      </c>
    </row>
  </sheetData>
  <phoneticPr fontId="33"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4832-82CD-4863-AC04-515CF1BFAE44}">
  <sheetPr>
    <tabColor rgb="FF92D050"/>
  </sheetPr>
  <dimension ref="A1:AT530"/>
  <sheetViews>
    <sheetView topLeftCell="A19" workbookViewId="0">
      <selection activeCell="D146" sqref="D146"/>
    </sheetView>
  </sheetViews>
  <sheetFormatPr defaultColWidth="12.625" defaultRowHeight="16.5" x14ac:dyDescent="0.3"/>
  <cols>
    <col min="1" max="1" width="72.875" customWidth="1"/>
    <col min="2" max="2" width="33" customWidth="1"/>
    <col min="3" max="3" width="13.375" bestFit="1" customWidth="1"/>
    <col min="15" max="15" width="75" customWidth="1"/>
  </cols>
  <sheetData>
    <row r="1" spans="1:46" x14ac:dyDescent="0.3">
      <c r="A1" s="83" t="s">
        <v>682</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row>
    <row r="2" spans="1:46" ht="54" customHeight="1" x14ac:dyDescent="0.3">
      <c r="A2" s="85" t="s">
        <v>683</v>
      </c>
    </row>
    <row r="3" spans="1:46" ht="27.75" x14ac:dyDescent="0.3">
      <c r="A3" s="85" t="s">
        <v>684</v>
      </c>
    </row>
    <row r="4" spans="1:46" x14ac:dyDescent="0.3">
      <c r="A4" s="86"/>
    </row>
    <row r="5" spans="1:46" x14ac:dyDescent="0.3">
      <c r="A5" s="87" t="s">
        <v>685</v>
      </c>
    </row>
    <row r="6" spans="1:46" x14ac:dyDescent="0.3">
      <c r="A6" s="83" t="s">
        <v>686</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row>
    <row r="7" spans="1:46" x14ac:dyDescent="0.3">
      <c r="AG7" s="86"/>
      <c r="AH7" s="86"/>
      <c r="AI7" s="86"/>
      <c r="AJ7" s="86"/>
      <c r="AK7" s="86"/>
      <c r="AL7" s="86"/>
      <c r="AM7" s="86"/>
      <c r="AN7" s="86"/>
      <c r="AO7" s="86"/>
      <c r="AP7" s="86"/>
      <c r="AQ7" s="86"/>
      <c r="AR7" s="86"/>
      <c r="AS7" s="86"/>
      <c r="AT7" s="86"/>
    </row>
    <row r="8" spans="1:46" x14ac:dyDescent="0.3">
      <c r="A8" s="88" t="s">
        <v>687</v>
      </c>
      <c r="C8" s="86">
        <v>2023</v>
      </c>
      <c r="D8" s="86">
        <v>2024</v>
      </c>
      <c r="E8" s="86">
        <v>2025</v>
      </c>
      <c r="F8" s="86">
        <v>2026</v>
      </c>
      <c r="G8" s="86">
        <v>2027</v>
      </c>
      <c r="H8" s="86">
        <v>2028</v>
      </c>
      <c r="I8" s="86">
        <v>2029</v>
      </c>
      <c r="J8" s="86">
        <v>2030</v>
      </c>
      <c r="K8" s="86">
        <v>2031</v>
      </c>
      <c r="L8" s="86">
        <v>2032</v>
      </c>
      <c r="M8" s="86">
        <v>2033</v>
      </c>
      <c r="N8" s="86">
        <v>2034</v>
      </c>
      <c r="O8" s="86">
        <v>2035</v>
      </c>
      <c r="P8" s="86">
        <v>2036</v>
      </c>
      <c r="Q8" s="86">
        <v>2037</v>
      </c>
      <c r="R8" s="86">
        <v>2038</v>
      </c>
      <c r="S8" s="86">
        <v>2039</v>
      </c>
      <c r="T8" s="86">
        <v>2040</v>
      </c>
      <c r="U8" s="86">
        <v>2041</v>
      </c>
      <c r="V8" s="86">
        <v>2042</v>
      </c>
      <c r="W8" s="86">
        <v>2043</v>
      </c>
      <c r="X8" s="86">
        <v>2044</v>
      </c>
      <c r="Y8" s="86">
        <v>2045</v>
      </c>
      <c r="Z8" s="86">
        <v>2046</v>
      </c>
      <c r="AA8" s="86">
        <v>2047</v>
      </c>
      <c r="AB8" s="86">
        <v>2048</v>
      </c>
      <c r="AC8" s="86">
        <v>2049</v>
      </c>
      <c r="AD8" s="86">
        <v>2050</v>
      </c>
      <c r="AG8" s="86"/>
      <c r="AH8" s="86"/>
      <c r="AI8" s="86"/>
      <c r="AJ8" s="86"/>
      <c r="AK8" s="86"/>
      <c r="AL8" s="86"/>
      <c r="AM8" s="86"/>
      <c r="AN8" s="86"/>
      <c r="AO8" s="86"/>
      <c r="AP8" s="86"/>
      <c r="AQ8" s="86"/>
      <c r="AR8" s="86"/>
      <c r="AS8" s="86"/>
      <c r="AT8" s="86"/>
    </row>
    <row r="9" spans="1:46" x14ac:dyDescent="0.3">
      <c r="A9" s="89" t="s">
        <v>688</v>
      </c>
      <c r="B9" s="89"/>
      <c r="C9" s="89">
        <f>C216</f>
        <v>1.1701007435629178E-2</v>
      </c>
      <c r="D9" s="89">
        <f t="shared" ref="D9:L9" si="0">D216</f>
        <v>2.2786846928505099E-2</v>
      </c>
      <c r="E9" s="89">
        <f t="shared" si="0"/>
        <v>2.6796986963979075E-2</v>
      </c>
      <c r="F9" s="89">
        <f t="shared" si="0"/>
        <v>3.0678669249900734E-2</v>
      </c>
      <c r="G9" s="89">
        <f t="shared" si="0"/>
        <v>3.4446601536934449E-2</v>
      </c>
      <c r="H9" s="89">
        <f t="shared" si="0"/>
        <v>3.8083243210655184E-2</v>
      </c>
      <c r="I9" s="89">
        <f t="shared" si="0"/>
        <v>4.1592711425459547E-2</v>
      </c>
      <c r="J9" s="89">
        <f t="shared" si="0"/>
        <v>4.4979193919467642E-2</v>
      </c>
      <c r="K9" s="89">
        <f t="shared" si="0"/>
        <v>4.8246453640772458E-2</v>
      </c>
      <c r="L9" s="89">
        <f t="shared" si="0"/>
        <v>5.1408256464346422E-2</v>
      </c>
      <c r="M9" s="89">
        <f t="shared" ref="M9:M19" si="1">SUMIFS($N$489:$N$530,$A$489:$A$530,"*"&amp;$B9&amp;"*")/SUMIFS(O$489:O$530,$A$489:$A$530,"*"&amp;$B9&amp;"*")*$L9</f>
        <v>5.0573846391066386E-2</v>
      </c>
      <c r="N9" s="89">
        <f t="shared" ref="N9:N19" si="2">SUMIFS($N$489:$N$530,$A$489:$A$530,"*"&amp;$B9&amp;"*")/SUMIFS(P$489:P$530,$A$489:$A$530,"*"&amp;$B9&amp;"*")*$L9</f>
        <v>4.9747841897770977E-2</v>
      </c>
      <c r="O9" s="89">
        <f t="shared" ref="O9:O19" si="3">SUMIFS($N$489:$N$530,$A$489:$A$530,"*"&amp;$B9&amp;"*")/SUMIFS(Q$489:Q$530,$A$489:$A$530,"*"&amp;$B9&amp;"*")*$L9</f>
        <v>4.8930388896684524E-2</v>
      </c>
      <c r="P9" s="89">
        <f t="shared" ref="P9:P19" si="4">SUMIFS($N$489:$N$530,$A$489:$A$530,"*"&amp;$B9&amp;"*")/SUMIFS(R$489:R$530,$A$489:$A$530,"*"&amp;$B9&amp;"*")*$L9</f>
        <v>4.8121439096318545E-2</v>
      </c>
      <c r="Q9" s="89">
        <f t="shared" ref="Q9:Q19" si="5">SUMIFS($N$489:$N$530,$A$489:$A$530,"*"&amp;$B9&amp;"*")/SUMIFS(S$489:S$530,$A$489:$A$530,"*"&amp;$B9&amp;"*")*$L9</f>
        <v>4.7321055914543463E-2</v>
      </c>
      <c r="R9" s="89">
        <f t="shared" ref="R9:R19" si="6">SUMIFS($N$489:$N$530,$A$489:$A$530,"*"&amp;$B9&amp;"*")/SUMIFS(T$489:T$530,$A$489:$A$530,"*"&amp;$B9&amp;"*")*$L9</f>
        <v>4.652926940310502E-2</v>
      </c>
      <c r="S9" s="89">
        <f t="shared" ref="S9:S19" si="7">SUMIFS($N$489:$N$530,$A$489:$A$530,"*"&amp;$B9&amp;"*")/SUMIFS(U$489:U$530,$A$489:$A$530,"*"&amp;$B9&amp;"*")*$L9</f>
        <v>4.5746069915478062E-2</v>
      </c>
      <c r="T9" s="89">
        <f t="shared" ref="T9:T19" si="8">SUMIFS($N$489:$N$530,$A$489:$A$530,"*"&amp;$B9&amp;"*")/SUMIFS(V$489:V$530,$A$489:$A$530,"*"&amp;$B9&amp;"*")*$L9</f>
        <v>4.4971516111844016E-2</v>
      </c>
      <c r="U9" s="89">
        <f t="shared" ref="U9:U19" si="9">SUMIFS($N$489:$N$530,$A$489:$A$530,"*"&amp;$B9&amp;"*")/SUMIFS(W$489:W$530,$A$489:$A$530,"*"&amp;$B9&amp;"*")*$L9</f>
        <v>4.420563965892077E-2</v>
      </c>
      <c r="V9" s="89">
        <f t="shared" ref="V9:V19" si="10">SUMIFS($N$489:$N$530,$A$489:$A$530,"*"&amp;$B9&amp;"*")/SUMIFS(X$489:X$530,$A$489:$A$530,"*"&amp;$B9&amp;"*")*$L9</f>
        <v>4.344841818492326E-2</v>
      </c>
      <c r="W9" s="89">
        <f t="shared" ref="W9:W19" si="11">SUMIFS($N$489:$N$530,$A$489:$A$530,"*"&amp;$B9&amp;"*")/SUMIFS(Y$489:Y$530,$A$489:$A$530,"*"&amp;$B9&amp;"*")*$L9</f>
        <v>4.2699906392751535E-2</v>
      </c>
      <c r="X9" s="89">
        <f t="shared" ref="X9:X19" si="12">SUMIFS($N$489:$N$530,$A$489:$A$530,"*"&amp;$B9&amp;"*")/SUMIFS(Z$489:Z$530,$A$489:$A$530,"*"&amp;$B9&amp;"*")*$L9</f>
        <v>4.1960045251672802E-2</v>
      </c>
      <c r="Y9" s="89">
        <f t="shared" ref="Y9:Y19" si="13">SUMIFS($N$489:$N$530,$A$489:$A$530,"*"&amp;$B9&amp;"*")/SUMIFS(AA$489:AA$530,$A$489:$A$530,"*"&amp;$B9&amp;"*")*$L9</f>
        <v>4.1228934619562042E-2</v>
      </c>
      <c r="Z9" s="89">
        <f t="shared" ref="Z9:Z19" si="14">SUMIFS($N$489:$N$530,$A$489:$A$530,"*"&amp;$B9&amp;"*")/SUMIFS(AB$489:AB$530,$A$489:$A$530,"*"&amp;$B9&amp;"*")*$L9</f>
        <v>4.0506499344882145E-2</v>
      </c>
      <c r="AA9" s="89">
        <f t="shared" ref="AA9:AA19" si="15">SUMIFS($N$489:$N$530,$A$489:$A$530,"*"&amp;$B9&amp;"*")/SUMIFS(AC$489:AC$530,$A$489:$A$530,"*"&amp;$B9&amp;"*")*$L9</f>
        <v>3.9792762542183134E-2</v>
      </c>
      <c r="AB9" s="89">
        <f t="shared" ref="AB9:AB19" si="16">SUMIFS($N$489:$N$530,$A$489:$A$530,"*"&amp;$B9&amp;"*")/SUMIFS(AD$489:AD$530,$A$489:$A$530,"*"&amp;$B9&amp;"*")*$L9</f>
        <v>3.9087739427989814E-2</v>
      </c>
      <c r="AC9" s="89">
        <f t="shared" ref="AC9:AC19" si="17">SUMIFS($N$489:$N$530,$A$489:$A$530,"*"&amp;$B9&amp;"*")/SUMIFS(AE$489:AE$530,$A$489:$A$530,"*"&amp;$B9&amp;"*")*$L9</f>
        <v>3.8391412883708141E-2</v>
      </c>
      <c r="AD9" s="89">
        <f t="shared" ref="AD9:AD19" si="18">SUMIFS($N$489:$N$530,$A$489:$A$530,"*"&amp;$B9&amp;"*")/SUMIFS(AF$489:AF$530,$A$489:$A$530,"*"&amp;$B9&amp;"*")*$L9</f>
        <v>3.7703763732275276E-2</v>
      </c>
    </row>
    <row r="10" spans="1:46" x14ac:dyDescent="0.3">
      <c r="A10" s="89" t="s">
        <v>689</v>
      </c>
      <c r="B10" s="89"/>
      <c r="C10" s="89">
        <f t="shared" ref="C10:L19" si="19">C217</f>
        <v>1.0686048701209067E-4</v>
      </c>
      <c r="D10" s="89">
        <f t="shared" si="19"/>
        <v>2.1018908537891873E-4</v>
      </c>
      <c r="E10" s="89">
        <f t="shared" si="19"/>
        <v>2.455708866646103E-4</v>
      </c>
      <c r="F10" s="89">
        <f t="shared" si="19"/>
        <v>2.7984814853637685E-4</v>
      </c>
      <c r="G10" s="89">
        <f t="shared" si="19"/>
        <v>3.130841084459518E-4</v>
      </c>
      <c r="H10" s="89">
        <f t="shared" si="19"/>
        <v>3.4520646105106606E-4</v>
      </c>
      <c r="I10" s="89">
        <f t="shared" si="19"/>
        <v>3.7623768518041389E-4</v>
      </c>
      <c r="J10" s="89">
        <f t="shared" si="19"/>
        <v>4.0619845781061925E-4</v>
      </c>
      <c r="K10" s="89">
        <f t="shared" si="19"/>
        <v>4.3511043380101144E-4</v>
      </c>
      <c r="L10" s="89">
        <f t="shared" si="19"/>
        <v>4.6312999566529983E-4</v>
      </c>
      <c r="M10" s="89">
        <f t="shared" si="1"/>
        <v>4.5561290871858973E-4</v>
      </c>
      <c r="N10" s="89">
        <f t="shared" si="2"/>
        <v>4.4817154649957078E-4</v>
      </c>
      <c r="O10" s="89">
        <f t="shared" si="3"/>
        <v>4.4080722351164142E-4</v>
      </c>
      <c r="P10" s="89">
        <f t="shared" si="4"/>
        <v>4.3351950470334508E-4</v>
      </c>
      <c r="Q10" s="89">
        <f t="shared" si="5"/>
        <v>4.2630896139765726E-4</v>
      </c>
      <c r="R10" s="89">
        <f t="shared" si="6"/>
        <v>4.1917586432667125E-4</v>
      </c>
      <c r="S10" s="89">
        <f t="shared" si="7"/>
        <v>4.1212012658615283E-4</v>
      </c>
      <c r="T10" s="89">
        <f t="shared" si="8"/>
        <v>4.0514227663770416E-4</v>
      </c>
      <c r="U10" s="89">
        <f t="shared" si="9"/>
        <v>3.9824259976248283E-4</v>
      </c>
      <c r="V10" s="89">
        <f t="shared" si="10"/>
        <v>3.9142089441611779E-4</v>
      </c>
      <c r="W10" s="89">
        <f t="shared" si="11"/>
        <v>3.8467765340960088E-4</v>
      </c>
      <c r="X10" s="89">
        <f t="shared" si="12"/>
        <v>3.7801234494308326E-4</v>
      </c>
      <c r="Y10" s="89">
        <f t="shared" si="13"/>
        <v>3.7142586862258905E-4</v>
      </c>
      <c r="Z10" s="89">
        <f t="shared" si="14"/>
        <v>3.6491754741813418E-4</v>
      </c>
      <c r="AA10" s="89">
        <f t="shared" si="15"/>
        <v>3.5848758956555832E-4</v>
      </c>
      <c r="AB10" s="89">
        <f t="shared" si="16"/>
        <v>3.5213613214846542E-4</v>
      </c>
      <c r="AC10" s="89">
        <f t="shared" si="17"/>
        <v>3.4586302094776822E-4</v>
      </c>
      <c r="AD10" s="89">
        <f t="shared" si="18"/>
        <v>3.3966808319991397E-4</v>
      </c>
    </row>
    <row r="11" spans="1:46" x14ac:dyDescent="0.3">
      <c r="A11" s="89" t="s">
        <v>690</v>
      </c>
      <c r="B11" s="89"/>
      <c r="C11" s="89">
        <f t="shared" si="19"/>
        <v>8.1239116568538011E-4</v>
      </c>
      <c r="D11" s="89">
        <f t="shared" si="19"/>
        <v>1.5976636462910147E-3</v>
      </c>
      <c r="E11" s="89">
        <f t="shared" si="19"/>
        <v>1.8684413484483149E-3</v>
      </c>
      <c r="F11" s="89">
        <f t="shared" si="19"/>
        <v>2.1328650888584248E-3</v>
      </c>
      <c r="G11" s="89">
        <f t="shared" si="19"/>
        <v>2.3919603166555393E-3</v>
      </c>
      <c r="H11" s="89">
        <f t="shared" si="19"/>
        <v>2.6438295783584686E-3</v>
      </c>
      <c r="I11" s="89">
        <f t="shared" si="19"/>
        <v>2.8885993258834374E-3</v>
      </c>
      <c r="J11" s="89">
        <f t="shared" si="19"/>
        <v>3.1263891625767076E-3</v>
      </c>
      <c r="K11" s="89">
        <f t="shared" si="19"/>
        <v>3.3573237387730433E-3</v>
      </c>
      <c r="L11" s="89">
        <f t="shared" si="19"/>
        <v>3.5822392673305874E-3</v>
      </c>
      <c r="M11" s="89">
        <f t="shared" si="1"/>
        <v>3.5240957562462745E-3</v>
      </c>
      <c r="N11" s="89">
        <f t="shared" si="2"/>
        <v>3.4665379642809611E-3</v>
      </c>
      <c r="O11" s="89">
        <f t="shared" si="3"/>
        <v>3.4095760589162066E-3</v>
      </c>
      <c r="P11" s="89">
        <f t="shared" si="4"/>
        <v>3.3532066750959245E-3</v>
      </c>
      <c r="Q11" s="89">
        <f t="shared" si="5"/>
        <v>3.2974342319154366E-3</v>
      </c>
      <c r="R11" s="89">
        <f t="shared" si="6"/>
        <v>3.2422608234458339E-3</v>
      </c>
      <c r="S11" s="89">
        <f t="shared" si="7"/>
        <v>3.1876857774962349E-3</v>
      </c>
      <c r="T11" s="89">
        <f t="shared" si="8"/>
        <v>3.1337131816358316E-3</v>
      </c>
      <c r="U11" s="89">
        <f t="shared" si="9"/>
        <v>3.0803452424704898E-3</v>
      </c>
      <c r="V11" s="89">
        <f t="shared" si="10"/>
        <v>3.0275804010855057E-3</v>
      </c>
      <c r="W11" s="89">
        <f t="shared" si="11"/>
        <v>2.9754224692980862E-3</v>
      </c>
      <c r="X11" s="89">
        <f t="shared" si="12"/>
        <v>2.9238673337182134E-3</v>
      </c>
      <c r="Y11" s="89">
        <f t="shared" si="13"/>
        <v>2.8729219526600863E-3</v>
      </c>
      <c r="Z11" s="89">
        <f t="shared" si="14"/>
        <v>2.8225810894009339E-3</v>
      </c>
      <c r="AA11" s="89">
        <f t="shared" si="15"/>
        <v>2.7728463546129417E-3</v>
      </c>
      <c r="AB11" s="89">
        <f t="shared" si="16"/>
        <v>2.7237188086166953E-3</v>
      </c>
      <c r="AC11" s="89">
        <f t="shared" si="17"/>
        <v>2.6751972585512813E-3</v>
      </c>
      <c r="AD11" s="89">
        <f t="shared" si="18"/>
        <v>2.6272803681171974E-3</v>
      </c>
    </row>
    <row r="12" spans="1:46" x14ac:dyDescent="0.3">
      <c r="A12" s="89" t="s">
        <v>691</v>
      </c>
      <c r="B12" s="89"/>
      <c r="C12" s="89">
        <f t="shared" si="19"/>
        <v>1.7863327637603386E-5</v>
      </c>
      <c r="D12" s="89">
        <f t="shared" si="19"/>
        <v>3.5436440538959198E-5</v>
      </c>
      <c r="E12" s="89">
        <f t="shared" si="19"/>
        <v>4.1705189792064986E-5</v>
      </c>
      <c r="F12" s="89">
        <f t="shared" si="19"/>
        <v>4.7820308098378718E-5</v>
      </c>
      <c r="G12" s="89">
        <f t="shared" si="19"/>
        <v>5.3767750321255311E-5</v>
      </c>
      <c r="H12" s="89">
        <f t="shared" si="19"/>
        <v>5.9583008642131175E-5</v>
      </c>
      <c r="I12" s="89">
        <f t="shared" si="19"/>
        <v>6.5267434499706773E-5</v>
      </c>
      <c r="J12" s="89">
        <f t="shared" si="19"/>
        <v>7.082278870525911E-5</v>
      </c>
      <c r="K12" s="89">
        <f t="shared" si="19"/>
        <v>7.6250582604578266E-5</v>
      </c>
      <c r="L12" s="89">
        <f t="shared" si="19"/>
        <v>8.1563919299092692E-5</v>
      </c>
      <c r="M12" s="89">
        <f t="shared" si="1"/>
        <v>8.0240051100478264E-5</v>
      </c>
      <c r="N12" s="89">
        <f t="shared" si="2"/>
        <v>7.8929519126328163E-5</v>
      </c>
      <c r="O12" s="89">
        <f t="shared" si="3"/>
        <v>7.7632554879784269E-5</v>
      </c>
      <c r="P12" s="89">
        <f t="shared" si="4"/>
        <v>7.6349081741965868E-5</v>
      </c>
      <c r="Q12" s="89">
        <f t="shared" si="5"/>
        <v>7.5079200331147549E-5</v>
      </c>
      <c r="R12" s="89">
        <f t="shared" si="6"/>
        <v>7.3822958327183355E-5</v>
      </c>
      <c r="S12" s="89">
        <f t="shared" si="7"/>
        <v>7.2580340424975386E-5</v>
      </c>
      <c r="T12" s="89">
        <f t="shared" si="8"/>
        <v>7.1351439694287749E-5</v>
      </c>
      <c r="U12" s="89">
        <f t="shared" si="9"/>
        <v>7.0136306377276096E-5</v>
      </c>
      <c r="V12" s="89">
        <f t="shared" si="10"/>
        <v>6.8934904979049192E-5</v>
      </c>
      <c r="W12" s="89">
        <f t="shared" si="11"/>
        <v>6.774732229078091E-5</v>
      </c>
      <c r="X12" s="89">
        <f t="shared" si="12"/>
        <v>6.6573464654793348E-5</v>
      </c>
      <c r="Y12" s="89">
        <f t="shared" si="13"/>
        <v>6.5413490504774308E-5</v>
      </c>
      <c r="Z12" s="89">
        <f t="shared" si="14"/>
        <v>6.4267280605909615E-5</v>
      </c>
      <c r="AA12" s="89">
        <f t="shared" si="15"/>
        <v>6.3134871631555299E-5</v>
      </c>
      <c r="AB12" s="89">
        <f t="shared" si="16"/>
        <v>6.2016287724125162E-5</v>
      </c>
      <c r="AC12" s="89">
        <f t="shared" si="17"/>
        <v>6.0911501723397901E-5</v>
      </c>
      <c r="AD12" s="89">
        <f t="shared" si="18"/>
        <v>5.9820483203202439E-5</v>
      </c>
    </row>
    <row r="13" spans="1:46" x14ac:dyDescent="0.3">
      <c r="A13" s="89" t="s">
        <v>692</v>
      </c>
      <c r="B13" s="89"/>
      <c r="C13" s="89">
        <f t="shared" si="19"/>
        <v>1.1657517574014163E-5</v>
      </c>
      <c r="D13" s="89">
        <f t="shared" si="19"/>
        <v>2.2980827628751079E-5</v>
      </c>
      <c r="E13" s="89">
        <f t="shared" si="19"/>
        <v>2.689843510536366E-5</v>
      </c>
      <c r="F13" s="89">
        <f t="shared" si="19"/>
        <v>3.0698721880585571E-5</v>
      </c>
      <c r="G13" s="89">
        <f t="shared" si="19"/>
        <v>3.4384133941941111E-5</v>
      </c>
      <c r="H13" s="89">
        <f t="shared" si="19"/>
        <v>3.7955662735876179E-5</v>
      </c>
      <c r="I13" s="89">
        <f t="shared" si="19"/>
        <v>4.1415494861263467E-5</v>
      </c>
      <c r="J13" s="89">
        <f t="shared" si="19"/>
        <v>4.4765374000480443E-5</v>
      </c>
      <c r="K13" s="89">
        <f t="shared" si="19"/>
        <v>4.8007647795235547E-5</v>
      </c>
      <c r="L13" s="89">
        <f t="shared" si="19"/>
        <v>5.1157079056595537E-5</v>
      </c>
      <c r="M13" s="89">
        <f t="shared" si="1"/>
        <v>5.0326745856830032E-5</v>
      </c>
      <c r="N13" s="89">
        <f t="shared" si="2"/>
        <v>4.9504777167930371E-5</v>
      </c>
      <c r="O13" s="89">
        <f t="shared" si="3"/>
        <v>4.8691318189203215E-5</v>
      </c>
      <c r="P13" s="89">
        <f t="shared" si="4"/>
        <v>4.7886320865109163E-5</v>
      </c>
      <c r="Q13" s="89">
        <f t="shared" si="5"/>
        <v>4.7089848303663035E-5</v>
      </c>
      <c r="R13" s="89">
        <f t="shared" si="6"/>
        <v>4.63019304097797E-5</v>
      </c>
      <c r="S13" s="89">
        <f t="shared" si="7"/>
        <v>4.5522557584066289E-5</v>
      </c>
      <c r="T13" s="89">
        <f t="shared" si="8"/>
        <v>4.4751788200094391E-5</v>
      </c>
      <c r="U13" s="89">
        <f t="shared" si="9"/>
        <v>4.398965376986036E-5</v>
      </c>
      <c r="V13" s="89">
        <f t="shared" si="10"/>
        <v>4.3236132030886228E-5</v>
      </c>
      <c r="W13" s="89">
        <f t="shared" si="11"/>
        <v>4.2491277418797221E-5</v>
      </c>
      <c r="X13" s="89">
        <f t="shared" si="12"/>
        <v>4.1755031191280884E-5</v>
      </c>
      <c r="Y13" s="89">
        <f t="shared" si="13"/>
        <v>4.1027492718313075E-5</v>
      </c>
      <c r="Z13" s="89">
        <f t="shared" si="14"/>
        <v>4.0308587215542245E-5</v>
      </c>
      <c r="AA13" s="89">
        <f t="shared" si="15"/>
        <v>3.9598337684582217E-5</v>
      </c>
      <c r="AB13" s="89">
        <f t="shared" si="16"/>
        <v>3.8896759267610835E-5</v>
      </c>
      <c r="AC13" s="89">
        <f t="shared" si="17"/>
        <v>3.8203834929674409E-5</v>
      </c>
      <c r="AD13" s="89">
        <f t="shared" si="18"/>
        <v>3.7519545587407966E-5</v>
      </c>
    </row>
    <row r="14" spans="1:46" x14ac:dyDescent="0.3">
      <c r="A14" s="89" t="s">
        <v>693</v>
      </c>
      <c r="B14" s="89"/>
      <c r="C14" s="89">
        <f t="shared" si="19"/>
        <v>6.3846028974171151E-4</v>
      </c>
      <c r="D14" s="89">
        <f t="shared" si="19"/>
        <v>1.2569466155002405E-3</v>
      </c>
      <c r="E14" s="89">
        <f t="shared" si="19"/>
        <v>1.4723366051172997E-3</v>
      </c>
      <c r="F14" s="89">
        <f t="shared" si="19"/>
        <v>1.6844952025182978E-3</v>
      </c>
      <c r="G14" s="89">
        <f t="shared" si="19"/>
        <v>1.8946359137853009E-3</v>
      </c>
      <c r="H14" s="89">
        <f t="shared" si="19"/>
        <v>2.1002704006972562E-3</v>
      </c>
      <c r="I14" s="89">
        <f t="shared" si="19"/>
        <v>2.3014616835295293E-3</v>
      </c>
      <c r="J14" s="89">
        <f t="shared" si="19"/>
        <v>2.4982624254790125E-3</v>
      </c>
      <c r="K14" s="89">
        <f t="shared" si="19"/>
        <v>2.690740458931592E-3</v>
      </c>
      <c r="L14" s="89">
        <f t="shared" si="19"/>
        <v>2.8793002077591215E-3</v>
      </c>
      <c r="M14" s="89">
        <f t="shared" si="1"/>
        <v>2.8325661369583009E-3</v>
      </c>
      <c r="N14" s="89">
        <f t="shared" si="2"/>
        <v>2.7863028502272112E-3</v>
      </c>
      <c r="O14" s="89">
        <f t="shared" si="3"/>
        <v>2.7405185198931549E-3</v>
      </c>
      <c r="P14" s="89">
        <f t="shared" si="4"/>
        <v>2.6952104412214756E-3</v>
      </c>
      <c r="Q14" s="89">
        <f t="shared" si="5"/>
        <v>2.6503821661530498E-3</v>
      </c>
      <c r="R14" s="89">
        <f t="shared" si="6"/>
        <v>2.6060353778415905E-3</v>
      </c>
      <c r="S14" s="89">
        <f t="shared" si="7"/>
        <v>2.5621695359995295E-3</v>
      </c>
      <c r="T14" s="89">
        <f t="shared" si="8"/>
        <v>2.5187879260966371E-3</v>
      </c>
      <c r="U14" s="89">
        <f t="shared" si="9"/>
        <v>2.4758923217388213E-3</v>
      </c>
      <c r="V14" s="89">
        <f t="shared" si="10"/>
        <v>2.4334814699155777E-3</v>
      </c>
      <c r="W14" s="89">
        <f t="shared" si="11"/>
        <v>2.3915584344552155E-3</v>
      </c>
      <c r="X14" s="89">
        <f t="shared" si="12"/>
        <v>2.3501199091339312E-3</v>
      </c>
      <c r="Y14" s="89">
        <f t="shared" si="13"/>
        <v>2.3091714868432164E-3</v>
      </c>
      <c r="Z14" s="89">
        <f t="shared" si="14"/>
        <v>2.2687089584569253E-3</v>
      </c>
      <c r="AA14" s="89">
        <f t="shared" si="15"/>
        <v>2.2287336185867271E-3</v>
      </c>
      <c r="AB14" s="89">
        <f t="shared" si="16"/>
        <v>2.1892463194876088E-3</v>
      </c>
      <c r="AC14" s="89">
        <f t="shared" si="17"/>
        <v>2.1502461023725061E-3</v>
      </c>
      <c r="AD14" s="89">
        <f t="shared" si="18"/>
        <v>2.1117318931625668E-3</v>
      </c>
    </row>
    <row r="15" spans="1:46" x14ac:dyDescent="0.3">
      <c r="A15" s="89" t="s">
        <v>694</v>
      </c>
      <c r="B15" s="89"/>
      <c r="C15" s="89">
        <f t="shared" si="19"/>
        <v>6.4130061512840245E-4</v>
      </c>
      <c r="D15" s="89">
        <f t="shared" si="19"/>
        <v>1.2613116054537496E-3</v>
      </c>
      <c r="E15" s="89">
        <f t="shared" si="19"/>
        <v>1.4728683186169659E-3</v>
      </c>
      <c r="F15" s="89">
        <f t="shared" si="19"/>
        <v>1.6762541963120496E-3</v>
      </c>
      <c r="G15" s="89">
        <f t="shared" si="19"/>
        <v>1.8713801679358739E-3</v>
      </c>
      <c r="H15" s="89">
        <f t="shared" si="19"/>
        <v>2.0590247360309389E-3</v>
      </c>
      <c r="I15" s="89">
        <f t="shared" si="19"/>
        <v>2.2393428695318359E-3</v>
      </c>
      <c r="J15" s="89">
        <f t="shared" si="19"/>
        <v>2.4125192879062367E-3</v>
      </c>
      <c r="K15" s="89">
        <f t="shared" si="19"/>
        <v>2.5787105694228202E-3</v>
      </c>
      <c r="L15" s="89">
        <f t="shared" si="19"/>
        <v>2.739095493015156E-3</v>
      </c>
      <c r="M15" s="89">
        <f t="shared" si="1"/>
        <v>2.6946370922010204E-3</v>
      </c>
      <c r="N15" s="89">
        <f t="shared" si="2"/>
        <v>2.6506265510856091E-3</v>
      </c>
      <c r="O15" s="89">
        <f t="shared" si="3"/>
        <v>2.6070716440527186E-3</v>
      </c>
      <c r="P15" s="89">
        <f t="shared" si="4"/>
        <v>2.5639697980721081E-3</v>
      </c>
      <c r="Q15" s="89">
        <f t="shared" si="5"/>
        <v>2.5213243921263584E-3</v>
      </c>
      <c r="R15" s="89">
        <f t="shared" si="6"/>
        <v>2.4791370274096546E-3</v>
      </c>
      <c r="S15" s="89">
        <f t="shared" si="7"/>
        <v>2.4374071899432043E-3</v>
      </c>
      <c r="T15" s="89">
        <f t="shared" si="8"/>
        <v>2.3961380052140322E-3</v>
      </c>
      <c r="U15" s="89">
        <f t="shared" si="9"/>
        <v>2.3553311604640375E-3</v>
      </c>
      <c r="V15" s="89">
        <f t="shared" si="10"/>
        <v>2.3149854636968395E-3</v>
      </c>
      <c r="W15" s="89">
        <f t="shared" si="11"/>
        <v>2.2751038295506167E-3</v>
      </c>
      <c r="X15" s="89">
        <f t="shared" si="12"/>
        <v>2.2356831127949084E-3</v>
      </c>
      <c r="Y15" s="89">
        <f t="shared" si="13"/>
        <v>2.1967286339808112E-3</v>
      </c>
      <c r="Z15" s="89">
        <f t="shared" si="14"/>
        <v>2.1582363889414711E-3</v>
      </c>
      <c r="AA15" s="89">
        <f t="shared" si="15"/>
        <v>2.1202076092487038E-3</v>
      </c>
      <c r="AB15" s="89">
        <f t="shared" si="16"/>
        <v>2.0826431056577728E-3</v>
      </c>
      <c r="AC15" s="89">
        <f t="shared" si="17"/>
        <v>2.0455419660688136E-3</v>
      </c>
      <c r="AD15" s="89">
        <f t="shared" si="18"/>
        <v>2.0089031687041963E-3</v>
      </c>
    </row>
    <row r="16" spans="1:46" x14ac:dyDescent="0.3">
      <c r="A16" s="89" t="s">
        <v>695</v>
      </c>
      <c r="B16" s="89"/>
      <c r="C16" s="89">
        <f t="shared" si="19"/>
        <v>3.7264366172212022E-4</v>
      </c>
      <c r="D16" s="89">
        <f t="shared" si="19"/>
        <v>7.3467142757816374E-4</v>
      </c>
      <c r="E16" s="89">
        <f t="shared" si="19"/>
        <v>8.6083502918251524E-4</v>
      </c>
      <c r="F16" s="89">
        <f t="shared" si="19"/>
        <v>9.8425873757284742E-4</v>
      </c>
      <c r="G16" s="89">
        <f t="shared" si="19"/>
        <v>1.1052961464526226E-3</v>
      </c>
      <c r="H16" s="89">
        <f t="shared" si="19"/>
        <v>1.2233252478282962E-3</v>
      </c>
      <c r="I16" s="89">
        <f t="shared" si="19"/>
        <v>1.3383611602693704E-3</v>
      </c>
      <c r="J16" s="89">
        <f t="shared" si="19"/>
        <v>1.450486297761025E-3</v>
      </c>
      <c r="K16" s="89">
        <f t="shared" si="19"/>
        <v>1.5597117416342701E-3</v>
      </c>
      <c r="L16" s="89">
        <f t="shared" si="19"/>
        <v>1.6663715911145985E-3</v>
      </c>
      <c r="M16" s="89">
        <f t="shared" si="1"/>
        <v>1.6393246275122049E-3</v>
      </c>
      <c r="N16" s="89">
        <f t="shared" si="2"/>
        <v>1.6125501263634431E-3</v>
      </c>
      <c r="O16" s="89">
        <f t="shared" si="3"/>
        <v>1.5860528173363112E-3</v>
      </c>
      <c r="P16" s="89">
        <f t="shared" si="4"/>
        <v>1.5598311350876128E-3</v>
      </c>
      <c r="Q16" s="89">
        <f t="shared" si="5"/>
        <v>1.5338871352742576E-3</v>
      </c>
      <c r="R16" s="89">
        <f t="shared" si="6"/>
        <v>1.5082217920077763E-3</v>
      </c>
      <c r="S16" s="89">
        <f t="shared" si="7"/>
        <v>1.4828347926011303E-3</v>
      </c>
      <c r="T16" s="89">
        <f t="shared" si="8"/>
        <v>1.4577280384932437E-3</v>
      </c>
      <c r="U16" s="89">
        <f t="shared" si="9"/>
        <v>1.4329025561441186E-3</v>
      </c>
      <c r="V16" s="89">
        <f t="shared" si="10"/>
        <v>1.4083576203841113E-3</v>
      </c>
      <c r="W16" s="89">
        <f t="shared" si="11"/>
        <v>1.3840950043789509E-3</v>
      </c>
      <c r="X16" s="89">
        <f t="shared" si="12"/>
        <v>1.3601127946784861E-3</v>
      </c>
      <c r="Y16" s="89">
        <f t="shared" si="13"/>
        <v>1.3364142281232063E-3</v>
      </c>
      <c r="Z16" s="89">
        <f t="shared" si="14"/>
        <v>1.3129968687155679E-3</v>
      </c>
      <c r="AA16" s="89">
        <f t="shared" si="15"/>
        <v>1.2898614657015509E-3</v>
      </c>
      <c r="AB16" s="89">
        <f t="shared" si="16"/>
        <v>1.2670085123168027E-3</v>
      </c>
      <c r="AC16" s="89">
        <f t="shared" si="17"/>
        <v>1.2444374536711021E-3</v>
      </c>
      <c r="AD16" s="89">
        <f t="shared" si="18"/>
        <v>1.2221476681500447E-3</v>
      </c>
    </row>
    <row r="17" spans="1:46" x14ac:dyDescent="0.3">
      <c r="A17" s="89" t="s">
        <v>696</v>
      </c>
      <c r="B17" s="89"/>
      <c r="C17" s="89">
        <f t="shared" si="19"/>
        <v>7.0149814966102798E-4</v>
      </c>
      <c r="D17" s="89">
        <f t="shared" si="19"/>
        <v>1.3850850321533226E-3</v>
      </c>
      <c r="E17" s="89">
        <f t="shared" si="19"/>
        <v>2.00555289993555E-3</v>
      </c>
      <c r="F17" s="89">
        <f t="shared" si="19"/>
        <v>2.6137664389364063E-3</v>
      </c>
      <c r="G17" s="89">
        <f t="shared" si="19"/>
        <v>3.2117815879055796E-3</v>
      </c>
      <c r="H17" s="89">
        <f t="shared" si="19"/>
        <v>3.7977352387799511E-3</v>
      </c>
      <c r="I17" s="89">
        <f t="shared" si="19"/>
        <v>4.3718581020003588E-3</v>
      </c>
      <c r="J17" s="89">
        <f t="shared" si="19"/>
        <v>4.9342496418400524E-3</v>
      </c>
      <c r="K17" s="89">
        <f t="shared" si="19"/>
        <v>5.4851139420027065E-3</v>
      </c>
      <c r="L17" s="89">
        <f t="shared" si="19"/>
        <v>6.0252278996544987E-3</v>
      </c>
      <c r="M17" s="89">
        <f t="shared" si="1"/>
        <v>5.9274321135483043E-3</v>
      </c>
      <c r="N17" s="89">
        <f t="shared" si="2"/>
        <v>5.830621490887037E-3</v>
      </c>
      <c r="O17" s="89">
        <f t="shared" si="3"/>
        <v>5.7348131330949709E-3</v>
      </c>
      <c r="P17" s="89">
        <f t="shared" si="4"/>
        <v>5.6400013802403413E-3</v>
      </c>
      <c r="Q17" s="89">
        <f t="shared" si="5"/>
        <v>5.5461936651199101E-3</v>
      </c>
      <c r="R17" s="89">
        <f t="shared" si="6"/>
        <v>5.4533935099036427E-3</v>
      </c>
      <c r="S17" s="89">
        <f t="shared" si="7"/>
        <v>5.3615997839849706E-3</v>
      </c>
      <c r="T17" s="89">
        <f t="shared" si="8"/>
        <v>5.2708193625428234E-3</v>
      </c>
      <c r="U17" s="89">
        <f t="shared" si="9"/>
        <v>5.1810559570275644E-3</v>
      </c>
      <c r="V17" s="89">
        <f t="shared" si="10"/>
        <v>5.0923069453875465E-3</v>
      </c>
      <c r="W17" s="89">
        <f t="shared" si="11"/>
        <v>5.0045787389944489E-3</v>
      </c>
      <c r="X17" s="89">
        <f t="shared" si="12"/>
        <v>4.917864419239421E-3</v>
      </c>
      <c r="Y17" s="89">
        <f t="shared" si="13"/>
        <v>4.8321756898155217E-3</v>
      </c>
      <c r="Z17" s="89">
        <f t="shared" si="14"/>
        <v>4.7475037426991142E-3</v>
      </c>
      <c r="AA17" s="89">
        <f t="shared" si="15"/>
        <v>4.6638512869965022E-3</v>
      </c>
      <c r="AB17" s="89">
        <f t="shared" si="16"/>
        <v>4.5812201061377423E-3</v>
      </c>
      <c r="AC17" s="89">
        <f t="shared" si="17"/>
        <v>4.499608193763595E-3</v>
      </c>
      <c r="AD17" s="89">
        <f t="shared" si="18"/>
        <v>4.4190133022550581E-3</v>
      </c>
    </row>
    <row r="18" spans="1:46" x14ac:dyDescent="0.3">
      <c r="A18" s="89" t="s">
        <v>697</v>
      </c>
      <c r="B18" s="89"/>
      <c r="C18" s="89">
        <f t="shared" si="19"/>
        <v>2.2005650943645373E-3</v>
      </c>
      <c r="D18" s="89">
        <f t="shared" si="19"/>
        <v>4.2927943719340113E-3</v>
      </c>
      <c r="E18" s="89">
        <f t="shared" si="19"/>
        <v>4.9946320314850218E-3</v>
      </c>
      <c r="F18" s="89">
        <f t="shared" si="19"/>
        <v>5.6842881781893539E-3</v>
      </c>
      <c r="G18" s="89">
        <f t="shared" si="19"/>
        <v>6.3691993182307576E-3</v>
      </c>
      <c r="H18" s="89">
        <f t="shared" si="19"/>
        <v>7.0338025689658211E-3</v>
      </c>
      <c r="I18" s="89">
        <f t="shared" si="19"/>
        <v>7.6784929610674325E-3</v>
      </c>
      <c r="J18" s="89">
        <f t="shared" si="19"/>
        <v>8.3036540325585727E-3</v>
      </c>
      <c r="K18" s="89">
        <f t="shared" si="19"/>
        <v>8.9097306806177907E-3</v>
      </c>
      <c r="L18" s="89">
        <f t="shared" si="19"/>
        <v>9.4990597301711482E-3</v>
      </c>
      <c r="M18" s="89">
        <f t="shared" si="1"/>
        <v>9.3448799997023543E-3</v>
      </c>
      <c r="N18" s="89">
        <f t="shared" si="2"/>
        <v>9.1922534264855683E-3</v>
      </c>
      <c r="O18" s="89">
        <f t="shared" si="3"/>
        <v>9.0412069717334381E-3</v>
      </c>
      <c r="P18" s="89">
        <f t="shared" si="4"/>
        <v>8.8917317122930439E-3</v>
      </c>
      <c r="Q18" s="89">
        <f t="shared" si="5"/>
        <v>8.7438393663236986E-3</v>
      </c>
      <c r="R18" s="89">
        <f t="shared" si="6"/>
        <v>8.5975354866946775E-3</v>
      </c>
      <c r="S18" s="89">
        <f t="shared" si="7"/>
        <v>8.4528182909506915E-3</v>
      </c>
      <c r="T18" s="89">
        <f t="shared" si="8"/>
        <v>8.309698618139889E-3</v>
      </c>
      <c r="U18" s="89">
        <f t="shared" si="9"/>
        <v>8.1681823195411396E-3</v>
      </c>
      <c r="V18" s="89">
        <f t="shared" si="10"/>
        <v>8.0282652613647143E-3</v>
      </c>
      <c r="W18" s="89">
        <f t="shared" si="11"/>
        <v>7.8899575514444625E-3</v>
      </c>
      <c r="X18" s="89">
        <f t="shared" si="12"/>
        <v>7.7532482822628944E-3</v>
      </c>
      <c r="Y18" s="89">
        <f t="shared" si="13"/>
        <v>7.6181559052514343E-3</v>
      </c>
      <c r="Z18" s="89">
        <f t="shared" si="14"/>
        <v>7.4846665341398834E-3</v>
      </c>
      <c r="AA18" s="89">
        <f t="shared" si="15"/>
        <v>7.3527844399637983E-3</v>
      </c>
      <c r="AB18" s="89">
        <f t="shared" si="16"/>
        <v>7.2225124343858948E-3</v>
      </c>
      <c r="AC18" s="89">
        <f t="shared" si="17"/>
        <v>7.0938473542849455E-3</v>
      </c>
      <c r="AD18" s="89">
        <f t="shared" si="18"/>
        <v>6.9667856561821803E-3</v>
      </c>
    </row>
    <row r="19" spans="1:46" x14ac:dyDescent="0.3">
      <c r="A19" s="89" t="s">
        <v>698</v>
      </c>
      <c r="B19" s="89"/>
      <c r="C19" s="89">
        <f t="shared" si="19"/>
        <v>5.4826335982347246E-4</v>
      </c>
      <c r="D19" s="89">
        <f t="shared" si="19"/>
        <v>1.0558743786545067E-3</v>
      </c>
      <c r="E19" s="89">
        <f t="shared" si="19"/>
        <v>1.2151515620487682E-3</v>
      </c>
      <c r="F19" s="89">
        <f t="shared" si="19"/>
        <v>1.37208831259341E-3</v>
      </c>
      <c r="G19" s="89">
        <f t="shared" si="19"/>
        <v>1.5301365524193781E-3</v>
      </c>
      <c r="H19" s="89">
        <f t="shared" si="19"/>
        <v>1.6817541234847504E-3</v>
      </c>
      <c r="I19" s="89">
        <f t="shared" si="19"/>
        <v>1.8270911584974696E-3</v>
      </c>
      <c r="J19" s="89">
        <f t="shared" si="19"/>
        <v>1.9663246253243116E-3</v>
      </c>
      <c r="K19" s="89">
        <f t="shared" si="19"/>
        <v>2.0996151670599102E-3</v>
      </c>
      <c r="L19" s="89">
        <f t="shared" si="19"/>
        <v>2.2279888665514649E-3</v>
      </c>
      <c r="M19" s="89">
        <f t="shared" si="1"/>
        <v>2.1918262638633999E-3</v>
      </c>
      <c r="N19" s="89">
        <f t="shared" si="2"/>
        <v>2.1560279516592115E-3</v>
      </c>
      <c r="O19" s="89">
        <f t="shared" si="3"/>
        <v>2.120600253647068E-3</v>
      </c>
      <c r="P19" s="89">
        <f t="shared" si="4"/>
        <v>2.0855410769161E-3</v>
      </c>
      <c r="Q19" s="89">
        <f t="shared" si="5"/>
        <v>2.0508531699413388E-3</v>
      </c>
      <c r="R19" s="89">
        <f t="shared" si="6"/>
        <v>2.0165378351391572E-3</v>
      </c>
      <c r="S19" s="89">
        <f t="shared" si="7"/>
        <v>1.9825946544375925E-3</v>
      </c>
      <c r="T19" s="89">
        <f t="shared" si="8"/>
        <v>1.9490261701175968E-3</v>
      </c>
      <c r="U19" s="89">
        <f t="shared" si="9"/>
        <v>1.9158337545870225E-3</v>
      </c>
      <c r="V19" s="89">
        <f t="shared" si="10"/>
        <v>1.8830164382722745E-3</v>
      </c>
      <c r="W19" s="89">
        <f t="shared" si="11"/>
        <v>1.8505765919491904E-3</v>
      </c>
      <c r="X19" s="89">
        <f t="shared" si="12"/>
        <v>1.8185116572774476E-3</v>
      </c>
      <c r="Y19" s="89">
        <f t="shared" si="13"/>
        <v>1.7868259620099978E-3</v>
      </c>
      <c r="Z19" s="89">
        <f t="shared" si="14"/>
        <v>1.7555162491449609E-3</v>
      </c>
      <c r="AA19" s="89">
        <f t="shared" si="15"/>
        <v>1.7245835204467159E-3</v>
      </c>
      <c r="AB19" s="89">
        <f t="shared" si="16"/>
        <v>1.6940284353861371E-3</v>
      </c>
      <c r="AC19" s="89">
        <f t="shared" si="17"/>
        <v>1.6638502520583329E-3</v>
      </c>
      <c r="AD19" s="89">
        <f t="shared" si="18"/>
        <v>1.6340481393461745E-3</v>
      </c>
    </row>
    <row r="20" spans="1:46" x14ac:dyDescent="0.3">
      <c r="A20" s="88"/>
      <c r="C20" s="86"/>
      <c r="D20" s="86"/>
      <c r="E20" s="86"/>
      <c r="F20" s="86"/>
      <c r="G20" s="86"/>
      <c r="H20" s="86"/>
      <c r="I20" s="86"/>
      <c r="J20" s="86"/>
      <c r="K20" s="86"/>
      <c r="L20" s="86"/>
    </row>
    <row r="22" spans="1:46" x14ac:dyDescent="0.3">
      <c r="A22" s="83" t="s">
        <v>699</v>
      </c>
      <c r="B22" s="83"/>
      <c r="C22" s="83"/>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row>
    <row r="23" spans="1:46" x14ac:dyDescent="0.3">
      <c r="A23" s="88" t="s">
        <v>700</v>
      </c>
      <c r="B23" s="90">
        <v>0.3</v>
      </c>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row>
    <row r="24" spans="1:46" x14ac:dyDescent="0.3">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row>
    <row r="25" spans="1:46" x14ac:dyDescent="0.3">
      <c r="A25" s="88" t="s">
        <v>701</v>
      </c>
    </row>
    <row r="26" spans="1:46" x14ac:dyDescent="0.3">
      <c r="A26" s="91">
        <v>2500000000</v>
      </c>
      <c r="B26" s="86" t="s">
        <v>702</v>
      </c>
    </row>
    <row r="27" spans="1:46" x14ac:dyDescent="0.3">
      <c r="A27" s="91">
        <v>400000000</v>
      </c>
      <c r="B27" s="86" t="s">
        <v>703</v>
      </c>
    </row>
    <row r="28" spans="1:46" x14ac:dyDescent="0.3">
      <c r="A28" s="91">
        <f>A26-A27</f>
        <v>2100000000</v>
      </c>
      <c r="B28" s="86" t="s">
        <v>704</v>
      </c>
    </row>
    <row r="30" spans="1:46" x14ac:dyDescent="0.3">
      <c r="A30" s="88"/>
      <c r="B30" s="86">
        <v>2022</v>
      </c>
      <c r="C30" s="86">
        <v>2023</v>
      </c>
      <c r="D30" s="86">
        <v>2024</v>
      </c>
      <c r="E30" s="86">
        <v>2025</v>
      </c>
      <c r="F30" s="86">
        <v>2026</v>
      </c>
      <c r="G30" s="86">
        <v>2027</v>
      </c>
      <c r="H30" s="86">
        <v>2028</v>
      </c>
      <c r="I30" s="86">
        <v>2029</v>
      </c>
      <c r="J30" s="86">
        <v>2030</v>
      </c>
      <c r="K30" s="86">
        <v>2031</v>
      </c>
    </row>
    <row r="31" spans="1:46" x14ac:dyDescent="0.3">
      <c r="A31" s="86" t="s">
        <v>705</v>
      </c>
      <c r="B31" s="92">
        <v>5000000000</v>
      </c>
      <c r="C31" s="92">
        <v>5000000000</v>
      </c>
      <c r="D31" s="92">
        <v>1875000000</v>
      </c>
      <c r="E31" s="92">
        <v>1875000000</v>
      </c>
      <c r="F31" s="92">
        <v>1875000000</v>
      </c>
      <c r="G31" s="92">
        <v>1875000000</v>
      </c>
      <c r="H31" s="92">
        <v>1875000000</v>
      </c>
      <c r="I31" s="92">
        <v>1875000000</v>
      </c>
      <c r="J31" s="92">
        <v>1875000000</v>
      </c>
      <c r="K31" s="92">
        <v>1875000000</v>
      </c>
    </row>
    <row r="32" spans="1:46" x14ac:dyDescent="0.3">
      <c r="A32" s="86" t="s">
        <v>706</v>
      </c>
      <c r="B32" s="92">
        <v>800000000</v>
      </c>
      <c r="C32" s="92">
        <v>300000000</v>
      </c>
      <c r="D32" s="92">
        <v>300000000</v>
      </c>
      <c r="E32" s="92">
        <v>300000000</v>
      </c>
      <c r="F32" s="92">
        <v>300000000</v>
      </c>
      <c r="G32" s="92">
        <v>300000000</v>
      </c>
      <c r="H32" s="92">
        <v>300000000</v>
      </c>
      <c r="I32" s="92">
        <v>300000000</v>
      </c>
      <c r="J32" s="92">
        <v>300000000</v>
      </c>
      <c r="K32" s="92">
        <v>300000000</v>
      </c>
    </row>
    <row r="33" spans="1:11" x14ac:dyDescent="0.3">
      <c r="A33" s="86" t="s">
        <v>707</v>
      </c>
      <c r="B33" s="92">
        <f t="shared" ref="B33:K33" si="20">B31-B32</f>
        <v>4200000000</v>
      </c>
      <c r="C33" s="92">
        <f t="shared" si="20"/>
        <v>4700000000</v>
      </c>
      <c r="D33" s="92">
        <f t="shared" si="20"/>
        <v>1575000000</v>
      </c>
      <c r="E33" s="92">
        <f t="shared" si="20"/>
        <v>1575000000</v>
      </c>
      <c r="F33" s="92">
        <f t="shared" si="20"/>
        <v>1575000000</v>
      </c>
      <c r="G33" s="92">
        <f t="shared" si="20"/>
        <v>1575000000</v>
      </c>
      <c r="H33" s="92">
        <f t="shared" si="20"/>
        <v>1575000000</v>
      </c>
      <c r="I33" s="92">
        <f t="shared" si="20"/>
        <v>1575000000</v>
      </c>
      <c r="J33" s="92">
        <f t="shared" si="20"/>
        <v>1575000000</v>
      </c>
      <c r="K33" s="92">
        <f t="shared" si="20"/>
        <v>1575000000</v>
      </c>
    </row>
    <row r="34" spans="1:11" x14ac:dyDescent="0.3">
      <c r="A34" s="88"/>
    </row>
    <row r="35" spans="1:11" x14ac:dyDescent="0.3">
      <c r="A35" s="88" t="s">
        <v>708</v>
      </c>
      <c r="B35" s="89">
        <v>0.3</v>
      </c>
      <c r="C35" s="86"/>
      <c r="D35" s="86"/>
      <c r="E35" s="86"/>
      <c r="F35" s="86"/>
      <c r="G35" s="86"/>
      <c r="H35" s="86"/>
      <c r="I35" s="86"/>
      <c r="J35" s="86"/>
      <c r="K35" s="86"/>
    </row>
    <row r="36" spans="1:11" x14ac:dyDescent="0.3">
      <c r="A36" s="88"/>
      <c r="B36" s="86"/>
      <c r="C36" s="86"/>
      <c r="D36" s="86"/>
      <c r="E36" s="86"/>
      <c r="F36" s="86"/>
      <c r="G36" s="86"/>
      <c r="H36" s="86"/>
      <c r="I36" s="86"/>
      <c r="J36" s="86"/>
      <c r="K36" s="86"/>
    </row>
    <row r="37" spans="1:11" x14ac:dyDescent="0.3">
      <c r="A37" s="88"/>
      <c r="B37" s="86">
        <v>2023</v>
      </c>
      <c r="C37" s="86">
        <v>2024</v>
      </c>
      <c r="D37" s="86">
        <v>2025</v>
      </c>
      <c r="E37" s="86">
        <v>2026</v>
      </c>
      <c r="F37" s="86">
        <v>2027</v>
      </c>
      <c r="G37" s="86">
        <v>2028</v>
      </c>
      <c r="H37" s="86">
        <v>2029</v>
      </c>
      <c r="I37" s="86">
        <v>2030</v>
      </c>
      <c r="J37" s="86">
        <v>2031</v>
      </c>
      <c r="K37" s="86">
        <v>2032</v>
      </c>
    </row>
    <row r="38" spans="1:11" x14ac:dyDescent="0.3">
      <c r="A38" s="86" t="s">
        <v>709</v>
      </c>
      <c r="B38" s="92">
        <f t="shared" ref="B38:K40" si="21">B31*10/25*(1-$B$35)</f>
        <v>1400000000</v>
      </c>
      <c r="C38" s="92">
        <f t="shared" si="21"/>
        <v>1400000000</v>
      </c>
      <c r="D38" s="92">
        <f t="shared" si="21"/>
        <v>524999999.99999994</v>
      </c>
      <c r="E38" s="92">
        <f t="shared" si="21"/>
        <v>524999999.99999994</v>
      </c>
      <c r="F38" s="92">
        <f t="shared" si="21"/>
        <v>524999999.99999994</v>
      </c>
      <c r="G38" s="92">
        <f t="shared" si="21"/>
        <v>524999999.99999994</v>
      </c>
      <c r="H38" s="92">
        <f t="shared" si="21"/>
        <v>524999999.99999994</v>
      </c>
      <c r="I38" s="92">
        <f t="shared" si="21"/>
        <v>524999999.99999994</v>
      </c>
      <c r="J38" s="92">
        <f t="shared" si="21"/>
        <v>524999999.99999994</v>
      </c>
      <c r="K38" s="92">
        <f t="shared" si="21"/>
        <v>524999999.99999994</v>
      </c>
    </row>
    <row r="39" spans="1:11" x14ac:dyDescent="0.3">
      <c r="A39" s="86" t="s">
        <v>706</v>
      </c>
      <c r="B39" s="92">
        <f t="shared" si="21"/>
        <v>224000000</v>
      </c>
      <c r="C39" s="92">
        <f t="shared" si="21"/>
        <v>84000000</v>
      </c>
      <c r="D39" s="92">
        <f t="shared" si="21"/>
        <v>84000000</v>
      </c>
      <c r="E39" s="92">
        <f t="shared" si="21"/>
        <v>84000000</v>
      </c>
      <c r="F39" s="92">
        <f t="shared" si="21"/>
        <v>84000000</v>
      </c>
      <c r="G39" s="92">
        <f t="shared" si="21"/>
        <v>84000000</v>
      </c>
      <c r="H39" s="92">
        <f t="shared" si="21"/>
        <v>84000000</v>
      </c>
      <c r="I39" s="92">
        <f t="shared" si="21"/>
        <v>84000000</v>
      </c>
      <c r="J39" s="92">
        <f t="shared" si="21"/>
        <v>84000000</v>
      </c>
      <c r="K39" s="92">
        <f t="shared" si="21"/>
        <v>84000000</v>
      </c>
    </row>
    <row r="40" spans="1:11" x14ac:dyDescent="0.3">
      <c r="A40" s="86" t="s">
        <v>707</v>
      </c>
      <c r="B40" s="92">
        <f t="shared" si="21"/>
        <v>1176000000</v>
      </c>
      <c r="C40" s="92">
        <f t="shared" si="21"/>
        <v>1316000000</v>
      </c>
      <c r="D40" s="92">
        <f t="shared" si="21"/>
        <v>441000000</v>
      </c>
      <c r="E40" s="92">
        <f t="shared" si="21"/>
        <v>441000000</v>
      </c>
      <c r="F40" s="92">
        <f t="shared" si="21"/>
        <v>441000000</v>
      </c>
      <c r="G40" s="92">
        <f t="shared" si="21"/>
        <v>441000000</v>
      </c>
      <c r="H40" s="92">
        <f t="shared" si="21"/>
        <v>441000000</v>
      </c>
      <c r="I40" s="92">
        <f t="shared" si="21"/>
        <v>441000000</v>
      </c>
      <c r="J40" s="92">
        <f t="shared" si="21"/>
        <v>441000000</v>
      </c>
      <c r="K40" s="92">
        <f t="shared" si="21"/>
        <v>441000000</v>
      </c>
    </row>
    <row r="41" spans="1:11" x14ac:dyDescent="0.3">
      <c r="A41" s="88"/>
    </row>
    <row r="42" spans="1:11" x14ac:dyDescent="0.3">
      <c r="A42" s="88" t="s">
        <v>710</v>
      </c>
    </row>
    <row r="43" spans="1:11" x14ac:dyDescent="0.3">
      <c r="A43" s="88" t="s">
        <v>711</v>
      </c>
      <c r="B43" s="88"/>
      <c r="C43" s="88"/>
    </row>
    <row r="44" spans="1:11" x14ac:dyDescent="0.3">
      <c r="A44" s="88" t="s">
        <v>712</v>
      </c>
      <c r="B44" s="88" t="s">
        <v>713</v>
      </c>
      <c r="C44" s="88" t="s">
        <v>714</v>
      </c>
    </row>
    <row r="45" spans="1:11" x14ac:dyDescent="0.3">
      <c r="A45" s="89">
        <f t="shared" ref="A45:A55" si="22">C474</f>
        <v>0.6618814743668382</v>
      </c>
      <c r="B45" s="86" t="str">
        <f t="shared" ref="B45:C55" si="23">A474</f>
        <v>appliances and and electrical equipment 27</v>
      </c>
      <c r="C45" s="86" t="str">
        <f t="shared" si="23"/>
        <v>ISIC 27</v>
      </c>
    </row>
    <row r="46" spans="1:11" x14ac:dyDescent="0.3">
      <c r="A46" s="89">
        <f t="shared" si="22"/>
        <v>1.7782478268941946E-2</v>
      </c>
      <c r="B46" s="86" t="str">
        <f t="shared" si="23"/>
        <v>chemicals 20</v>
      </c>
      <c r="C46" s="86" t="str">
        <f t="shared" si="23"/>
        <v>ISIC 20</v>
      </c>
    </row>
    <row r="47" spans="1:11" x14ac:dyDescent="0.3">
      <c r="A47" s="89">
        <f t="shared" si="22"/>
        <v>0.11787782481068719</v>
      </c>
      <c r="B47" s="86" t="str">
        <f t="shared" si="23"/>
        <v>other machinery 28</v>
      </c>
      <c r="C47" s="86" t="str">
        <f t="shared" si="23"/>
        <v>ISIC 28</v>
      </c>
    </row>
    <row r="48" spans="1:11" x14ac:dyDescent="0.3">
      <c r="A48" s="89">
        <f t="shared" si="22"/>
        <v>1.5496109959526627E-3</v>
      </c>
      <c r="B48" s="86" t="str">
        <f t="shared" si="23"/>
        <v>other manufacturing 31T33</v>
      </c>
      <c r="C48" s="86" t="str">
        <f t="shared" si="23"/>
        <v>ISIC 31T33</v>
      </c>
    </row>
    <row r="49" spans="1:3" x14ac:dyDescent="0.3">
      <c r="A49" s="89">
        <f t="shared" si="22"/>
        <v>8.8664188451909693E-4</v>
      </c>
      <c r="B49" s="86" t="str">
        <f t="shared" si="23"/>
        <v>rubber and plastic products 22</v>
      </c>
      <c r="C49" s="86" t="str">
        <f t="shared" si="23"/>
        <v>ISIC 22</v>
      </c>
    </row>
    <row r="50" spans="1:3" x14ac:dyDescent="0.3">
      <c r="A50" s="89">
        <f t="shared" si="22"/>
        <v>7.8652416974080486E-2</v>
      </c>
      <c r="B50" s="86" t="str">
        <f t="shared" si="23"/>
        <v>metal products except machinery and vehicles 25</v>
      </c>
      <c r="C50" s="86" t="str">
        <f t="shared" si="23"/>
        <v>ISIC 25</v>
      </c>
    </row>
    <row r="51" spans="1:3" x14ac:dyDescent="0.3">
      <c r="A51" s="89">
        <f t="shared" si="22"/>
        <v>7.3297826254832332E-2</v>
      </c>
      <c r="B51" s="86" t="str">
        <f t="shared" si="23"/>
        <v>nonroad vehicles 30</v>
      </c>
      <c r="C51" s="86" t="str">
        <f t="shared" si="23"/>
        <v>ISIC 30</v>
      </c>
    </row>
    <row r="52" spans="1:3" x14ac:dyDescent="0.3">
      <c r="A52" s="89">
        <f t="shared" si="22"/>
        <v>1.1507289830772744E-2</v>
      </c>
      <c r="B52" s="86" t="str">
        <f t="shared" si="23"/>
        <v>cement and other nonmetallic minerals 239</v>
      </c>
      <c r="C52" s="86" t="str">
        <f t="shared" si="23"/>
        <v>ISIC 239</v>
      </c>
    </row>
    <row r="53" spans="1:3" x14ac:dyDescent="0.3">
      <c r="A53" s="89">
        <f t="shared" si="22"/>
        <v>2.9316718497395945E-3</v>
      </c>
      <c r="B53" s="86" t="str">
        <f t="shared" si="23"/>
        <v>other metals 242</v>
      </c>
      <c r="C53" s="86" t="str">
        <f t="shared" si="23"/>
        <v>ISIC 242</v>
      </c>
    </row>
    <row r="54" spans="1:3" x14ac:dyDescent="0.3">
      <c r="A54" s="89">
        <f t="shared" si="22"/>
        <v>2.3458757323451922E-2</v>
      </c>
      <c r="B54" s="86" t="str">
        <f t="shared" si="23"/>
        <v>glass and glass products 231</v>
      </c>
      <c r="C54" s="86" t="str">
        <f t="shared" si="23"/>
        <v>ISIC 231</v>
      </c>
    </row>
    <row r="55" spans="1:3" x14ac:dyDescent="0.3">
      <c r="A55" s="89">
        <f t="shared" si="22"/>
        <v>1.0174007440183873E-2</v>
      </c>
      <c r="B55" s="86" t="str">
        <f t="shared" si="23"/>
        <v>road vehicles 29</v>
      </c>
      <c r="C55" s="86" t="str">
        <f t="shared" si="23"/>
        <v>ISIC 29</v>
      </c>
    </row>
    <row r="56" spans="1:3" x14ac:dyDescent="0.3">
      <c r="A56" s="88"/>
    </row>
    <row r="57" spans="1:3" x14ac:dyDescent="0.3">
      <c r="A57" s="88" t="s">
        <v>715</v>
      </c>
    </row>
    <row r="58" spans="1:3" x14ac:dyDescent="0.3">
      <c r="A58" s="88" t="s">
        <v>712</v>
      </c>
      <c r="B58" s="88" t="s">
        <v>713</v>
      </c>
      <c r="C58" s="88" t="s">
        <v>714</v>
      </c>
    </row>
    <row r="59" spans="1:3" x14ac:dyDescent="0.3">
      <c r="A59" s="89">
        <f t="shared" ref="A59:A68" si="24">A45/(SUM($A$45:$A$55)-$A$55)*(1-$A$69)</f>
        <v>0.56169512888857132</v>
      </c>
      <c r="B59" s="86" t="str">
        <f t="shared" ref="B59:C69" si="25">B45</f>
        <v>appliances and and electrical equipment 27</v>
      </c>
      <c r="C59" s="86" t="str">
        <f t="shared" si="25"/>
        <v>ISIC 27</v>
      </c>
    </row>
    <row r="60" spans="1:3" x14ac:dyDescent="0.3">
      <c r="A60" s="89">
        <f t="shared" si="24"/>
        <v>1.5090815818325319E-2</v>
      </c>
      <c r="B60" s="86" t="str">
        <f t="shared" si="25"/>
        <v>chemicals 20</v>
      </c>
      <c r="C60" s="86" t="str">
        <f t="shared" si="25"/>
        <v>ISIC 20</v>
      </c>
    </row>
    <row r="61" spans="1:3" x14ac:dyDescent="0.3">
      <c r="A61" s="89">
        <f t="shared" si="24"/>
        <v>0.10003513100813374</v>
      </c>
      <c r="B61" s="86" t="str">
        <f t="shared" si="25"/>
        <v>other machinery 28</v>
      </c>
      <c r="C61" s="86" t="str">
        <f t="shared" si="25"/>
        <v>ISIC 28</v>
      </c>
    </row>
    <row r="62" spans="1:3" x14ac:dyDescent="0.3">
      <c r="A62" s="89">
        <f t="shared" si="24"/>
        <v>1.3150525914498808E-3</v>
      </c>
      <c r="B62" s="86" t="str">
        <f t="shared" si="25"/>
        <v>other manufacturing 31T33</v>
      </c>
      <c r="C62" s="86" t="str">
        <f t="shared" si="25"/>
        <v>ISIC 31T33</v>
      </c>
    </row>
    <row r="63" spans="1:3" x14ac:dyDescent="0.3">
      <c r="A63" s="89">
        <f t="shared" si="24"/>
        <v>7.5243445675734122E-4</v>
      </c>
      <c r="B63" s="86" t="str">
        <f t="shared" si="25"/>
        <v>rubber and plastic products 22</v>
      </c>
      <c r="C63" s="86" t="str">
        <f t="shared" si="25"/>
        <v>ISIC 22</v>
      </c>
    </row>
    <row r="64" spans="1:3" x14ac:dyDescent="0.3">
      <c r="A64" s="89">
        <f t="shared" si="24"/>
        <v>6.674711591212841E-2</v>
      </c>
      <c r="B64" s="86" t="str">
        <f t="shared" si="25"/>
        <v>metal products except machinery and vehicles 25</v>
      </c>
      <c r="C64" s="86" t="str">
        <f t="shared" si="25"/>
        <v>ISIC 25</v>
      </c>
    </row>
    <row r="65" spans="1:12" x14ac:dyDescent="0.3">
      <c r="A65" s="89">
        <f t="shared" si="24"/>
        <v>6.2203028125004924E-2</v>
      </c>
      <c r="B65" s="86" t="str">
        <f t="shared" si="25"/>
        <v>nonroad vehicles 30</v>
      </c>
      <c r="C65" s="86" t="str">
        <f t="shared" si="25"/>
        <v>ISIC 30</v>
      </c>
    </row>
    <row r="66" spans="1:12" x14ac:dyDescent="0.3">
      <c r="A66" s="89">
        <f t="shared" si="24"/>
        <v>9.7654774985765705E-3</v>
      </c>
      <c r="B66" s="86" t="str">
        <f t="shared" si="25"/>
        <v>cement and other nonmetallic minerals 239</v>
      </c>
      <c r="C66" s="86" t="str">
        <f t="shared" si="25"/>
        <v>ISIC 239</v>
      </c>
    </row>
    <row r="67" spans="1:12" x14ac:dyDescent="0.3">
      <c r="A67" s="89">
        <f t="shared" si="24"/>
        <v>2.4879164340922697E-3</v>
      </c>
      <c r="B67" s="86" t="str">
        <f t="shared" si="25"/>
        <v>other metals 242</v>
      </c>
      <c r="C67" s="86" t="str">
        <f t="shared" si="25"/>
        <v>ISIC 242</v>
      </c>
    </row>
    <row r="68" spans="1:12" x14ac:dyDescent="0.3">
      <c r="A68" s="89">
        <f t="shared" si="24"/>
        <v>1.9907899266960096E-2</v>
      </c>
      <c r="B68" s="86" t="str">
        <f t="shared" si="25"/>
        <v>glass and glass products 231</v>
      </c>
      <c r="C68" s="86" t="str">
        <f t="shared" si="25"/>
        <v>ISIC 231</v>
      </c>
    </row>
    <row r="69" spans="1:12" x14ac:dyDescent="0.3">
      <c r="A69" s="89">
        <f>B39/B38</f>
        <v>0.16</v>
      </c>
      <c r="B69" s="86" t="str">
        <f t="shared" si="25"/>
        <v>road vehicles 29</v>
      </c>
      <c r="C69" s="86" t="str">
        <f t="shared" si="25"/>
        <v>ISIC 29</v>
      </c>
    </row>
    <row r="70" spans="1:12" x14ac:dyDescent="0.3">
      <c r="A70" s="88"/>
    </row>
    <row r="71" spans="1:12" x14ac:dyDescent="0.3">
      <c r="A71" s="88" t="s">
        <v>716</v>
      </c>
    </row>
    <row r="72" spans="1:12" x14ac:dyDescent="0.3">
      <c r="A72" s="86">
        <f>500000000</f>
        <v>500000000</v>
      </c>
      <c r="B72" s="86" t="s">
        <v>717</v>
      </c>
    </row>
    <row r="73" spans="1:12" x14ac:dyDescent="0.3">
      <c r="A73" s="88"/>
    </row>
    <row r="74" spans="1:12" x14ac:dyDescent="0.3">
      <c r="A74" s="88" t="s">
        <v>718</v>
      </c>
    </row>
    <row r="75" spans="1:12" x14ac:dyDescent="0.3">
      <c r="A75" s="88" t="s">
        <v>713</v>
      </c>
      <c r="B75" s="88" t="s">
        <v>714</v>
      </c>
      <c r="C75" s="86">
        <v>2023</v>
      </c>
      <c r="D75" s="86">
        <v>2024</v>
      </c>
      <c r="E75" s="86">
        <v>2025</v>
      </c>
      <c r="F75" s="86">
        <v>2026</v>
      </c>
      <c r="G75" s="86">
        <v>2027</v>
      </c>
      <c r="H75" s="86">
        <v>2028</v>
      </c>
      <c r="I75" s="86">
        <v>2029</v>
      </c>
      <c r="J75" s="86">
        <v>2030</v>
      </c>
      <c r="K75" s="86">
        <v>2031</v>
      </c>
      <c r="L75" s="86">
        <v>2032</v>
      </c>
    </row>
    <row r="76" spans="1:12" x14ac:dyDescent="0.3">
      <c r="A76" s="86" t="str">
        <f t="shared" ref="A76:B86" si="26">B59</f>
        <v>appliances and and electrical equipment 27</v>
      </c>
      <c r="B76" s="86" t="str">
        <f t="shared" si="26"/>
        <v>ISIC 27</v>
      </c>
      <c r="C76" s="91">
        <f t="shared" ref="C76:L76" si="27">$A59*B$38+$A$72/2/9</f>
        <v>814150958.22177768</v>
      </c>
      <c r="D76" s="91">
        <f t="shared" si="27"/>
        <v>814150958.22177768</v>
      </c>
      <c r="E76" s="91">
        <f t="shared" si="27"/>
        <v>322667720.4442777</v>
      </c>
      <c r="F76" s="91">
        <f t="shared" si="27"/>
        <v>322667720.4442777</v>
      </c>
      <c r="G76" s="91">
        <f t="shared" si="27"/>
        <v>322667720.4442777</v>
      </c>
      <c r="H76" s="91">
        <f t="shared" si="27"/>
        <v>322667720.4442777</v>
      </c>
      <c r="I76" s="91">
        <f t="shared" si="27"/>
        <v>322667720.4442777</v>
      </c>
      <c r="J76" s="91">
        <f t="shared" si="27"/>
        <v>322667720.4442777</v>
      </c>
      <c r="K76" s="91">
        <f t="shared" si="27"/>
        <v>322667720.4442777</v>
      </c>
      <c r="L76" s="91">
        <f t="shared" si="27"/>
        <v>322667720.4442777</v>
      </c>
    </row>
    <row r="77" spans="1:12" x14ac:dyDescent="0.3">
      <c r="A77" s="86" t="str">
        <f t="shared" si="26"/>
        <v>chemicals 20</v>
      </c>
      <c r="B77" s="86" t="str">
        <f t="shared" si="26"/>
        <v>ISIC 20</v>
      </c>
      <c r="C77" s="91">
        <f t="shared" ref="C77:L83" si="28">$A60*B$38</f>
        <v>21127142.145655446</v>
      </c>
      <c r="D77" s="91">
        <f t="shared" si="28"/>
        <v>21127142.145655446</v>
      </c>
      <c r="E77" s="91">
        <f t="shared" si="28"/>
        <v>7922678.3046207922</v>
      </c>
      <c r="F77" s="91">
        <f t="shared" si="28"/>
        <v>7922678.3046207922</v>
      </c>
      <c r="G77" s="91">
        <f t="shared" si="28"/>
        <v>7922678.3046207922</v>
      </c>
      <c r="H77" s="91">
        <f t="shared" si="28"/>
        <v>7922678.3046207922</v>
      </c>
      <c r="I77" s="91">
        <f t="shared" si="28"/>
        <v>7922678.3046207922</v>
      </c>
      <c r="J77" s="91">
        <f t="shared" si="28"/>
        <v>7922678.3046207922</v>
      </c>
      <c r="K77" s="91">
        <f t="shared" si="28"/>
        <v>7922678.3046207922</v>
      </c>
      <c r="L77" s="91">
        <f t="shared" si="28"/>
        <v>7922678.3046207922</v>
      </c>
    </row>
    <row r="78" spans="1:12" x14ac:dyDescent="0.3">
      <c r="A78" s="86" t="str">
        <f t="shared" si="26"/>
        <v>other machinery 28</v>
      </c>
      <c r="B78" s="86" t="str">
        <f t="shared" si="26"/>
        <v>ISIC 28</v>
      </c>
      <c r="C78" s="91">
        <f t="shared" si="28"/>
        <v>140049183.41138723</v>
      </c>
      <c r="D78" s="91">
        <f t="shared" si="28"/>
        <v>140049183.41138723</v>
      </c>
      <c r="E78" s="91">
        <f t="shared" si="28"/>
        <v>52518443.779270209</v>
      </c>
      <c r="F78" s="91">
        <f t="shared" si="28"/>
        <v>52518443.779270209</v>
      </c>
      <c r="G78" s="91">
        <f t="shared" si="28"/>
        <v>52518443.779270209</v>
      </c>
      <c r="H78" s="91">
        <f t="shared" si="28"/>
        <v>52518443.779270209</v>
      </c>
      <c r="I78" s="91">
        <f t="shared" si="28"/>
        <v>52518443.779270209</v>
      </c>
      <c r="J78" s="91">
        <f t="shared" si="28"/>
        <v>52518443.779270209</v>
      </c>
      <c r="K78" s="91">
        <f t="shared" si="28"/>
        <v>52518443.779270209</v>
      </c>
      <c r="L78" s="91">
        <f t="shared" si="28"/>
        <v>52518443.779270209</v>
      </c>
    </row>
    <row r="79" spans="1:12" x14ac:dyDescent="0.3">
      <c r="A79" s="86" t="str">
        <f t="shared" si="26"/>
        <v>other manufacturing 31T33</v>
      </c>
      <c r="B79" s="86" t="str">
        <f t="shared" si="26"/>
        <v>ISIC 31T33</v>
      </c>
      <c r="C79" s="91">
        <f t="shared" si="28"/>
        <v>1841073.6280298331</v>
      </c>
      <c r="D79" s="91">
        <f t="shared" si="28"/>
        <v>1841073.6280298331</v>
      </c>
      <c r="E79" s="91">
        <f t="shared" si="28"/>
        <v>690402.61051118735</v>
      </c>
      <c r="F79" s="91">
        <f t="shared" si="28"/>
        <v>690402.61051118735</v>
      </c>
      <c r="G79" s="91">
        <f t="shared" si="28"/>
        <v>690402.61051118735</v>
      </c>
      <c r="H79" s="91">
        <f t="shared" si="28"/>
        <v>690402.61051118735</v>
      </c>
      <c r="I79" s="91">
        <f t="shared" si="28"/>
        <v>690402.61051118735</v>
      </c>
      <c r="J79" s="91">
        <f t="shared" si="28"/>
        <v>690402.61051118735</v>
      </c>
      <c r="K79" s="91">
        <f t="shared" si="28"/>
        <v>690402.61051118735</v>
      </c>
      <c r="L79" s="91">
        <f t="shared" si="28"/>
        <v>690402.61051118735</v>
      </c>
    </row>
    <row r="80" spans="1:12" x14ac:dyDescent="0.3">
      <c r="A80" s="86" t="str">
        <f t="shared" si="26"/>
        <v>rubber and plastic products 22</v>
      </c>
      <c r="B80" s="86" t="str">
        <f t="shared" si="26"/>
        <v>ISIC 22</v>
      </c>
      <c r="C80" s="91">
        <f t="shared" si="28"/>
        <v>1053408.2394602776</v>
      </c>
      <c r="D80" s="91">
        <f t="shared" si="28"/>
        <v>1053408.2394602776</v>
      </c>
      <c r="E80" s="91">
        <f t="shared" si="28"/>
        <v>395028.08979760407</v>
      </c>
      <c r="F80" s="91">
        <f t="shared" si="28"/>
        <v>395028.08979760407</v>
      </c>
      <c r="G80" s="91">
        <f t="shared" si="28"/>
        <v>395028.08979760407</v>
      </c>
      <c r="H80" s="91">
        <f t="shared" si="28"/>
        <v>395028.08979760407</v>
      </c>
      <c r="I80" s="91">
        <f t="shared" si="28"/>
        <v>395028.08979760407</v>
      </c>
      <c r="J80" s="91">
        <f t="shared" si="28"/>
        <v>395028.08979760407</v>
      </c>
      <c r="K80" s="91">
        <f t="shared" si="28"/>
        <v>395028.08979760407</v>
      </c>
      <c r="L80" s="91">
        <f t="shared" si="28"/>
        <v>395028.08979760407</v>
      </c>
    </row>
    <row r="81" spans="1:43" x14ac:dyDescent="0.3">
      <c r="A81" s="86" t="str">
        <f t="shared" si="26"/>
        <v>metal products except machinery and vehicles 25</v>
      </c>
      <c r="B81" s="86" t="str">
        <f t="shared" si="26"/>
        <v>ISIC 25</v>
      </c>
      <c r="C81" s="91">
        <f t="shared" si="28"/>
        <v>93445962.276979774</v>
      </c>
      <c r="D81" s="91">
        <f t="shared" si="28"/>
        <v>93445962.276979774</v>
      </c>
      <c r="E81" s="91">
        <f t="shared" si="28"/>
        <v>35042235.853867412</v>
      </c>
      <c r="F81" s="91">
        <f t="shared" si="28"/>
        <v>35042235.853867412</v>
      </c>
      <c r="G81" s="91">
        <f t="shared" si="28"/>
        <v>35042235.853867412</v>
      </c>
      <c r="H81" s="91">
        <f t="shared" si="28"/>
        <v>35042235.853867412</v>
      </c>
      <c r="I81" s="91">
        <f t="shared" si="28"/>
        <v>35042235.853867412</v>
      </c>
      <c r="J81" s="91">
        <f t="shared" si="28"/>
        <v>35042235.853867412</v>
      </c>
      <c r="K81" s="91">
        <f t="shared" si="28"/>
        <v>35042235.853867412</v>
      </c>
      <c r="L81" s="91">
        <f t="shared" si="28"/>
        <v>35042235.853867412</v>
      </c>
    </row>
    <row r="82" spans="1:43" x14ac:dyDescent="0.3">
      <c r="A82" s="86" t="str">
        <f t="shared" si="26"/>
        <v>nonroad vehicles 30</v>
      </c>
      <c r="B82" s="86" t="str">
        <f t="shared" si="26"/>
        <v>ISIC 30</v>
      </c>
      <c r="C82" s="91">
        <f t="shared" si="28"/>
        <v>87084239.375006899</v>
      </c>
      <c r="D82" s="91">
        <f t="shared" si="28"/>
        <v>87084239.375006899</v>
      </c>
      <c r="E82" s="91">
        <f t="shared" si="28"/>
        <v>32656589.765627582</v>
      </c>
      <c r="F82" s="91">
        <f t="shared" si="28"/>
        <v>32656589.765627582</v>
      </c>
      <c r="G82" s="91">
        <f t="shared" si="28"/>
        <v>32656589.765627582</v>
      </c>
      <c r="H82" s="91">
        <f t="shared" si="28"/>
        <v>32656589.765627582</v>
      </c>
      <c r="I82" s="91">
        <f t="shared" si="28"/>
        <v>32656589.765627582</v>
      </c>
      <c r="J82" s="91">
        <f t="shared" si="28"/>
        <v>32656589.765627582</v>
      </c>
      <c r="K82" s="91">
        <f t="shared" si="28"/>
        <v>32656589.765627582</v>
      </c>
      <c r="L82" s="91">
        <f t="shared" si="28"/>
        <v>32656589.765627582</v>
      </c>
    </row>
    <row r="83" spans="1:43" x14ac:dyDescent="0.3">
      <c r="A83" s="86" t="str">
        <f t="shared" si="26"/>
        <v>cement and other nonmetallic minerals 239</v>
      </c>
      <c r="B83" s="86" t="str">
        <f t="shared" si="26"/>
        <v>ISIC 239</v>
      </c>
      <c r="C83" s="91">
        <f t="shared" si="28"/>
        <v>13671668.498007199</v>
      </c>
      <c r="D83" s="91">
        <f t="shared" si="28"/>
        <v>13671668.498007199</v>
      </c>
      <c r="E83" s="91">
        <f t="shared" si="28"/>
        <v>5126875.6867526993</v>
      </c>
      <c r="F83" s="91">
        <f t="shared" si="28"/>
        <v>5126875.6867526993</v>
      </c>
      <c r="G83" s="91">
        <f t="shared" si="28"/>
        <v>5126875.6867526993</v>
      </c>
      <c r="H83" s="91">
        <f t="shared" si="28"/>
        <v>5126875.6867526993</v>
      </c>
      <c r="I83" s="91">
        <f t="shared" si="28"/>
        <v>5126875.6867526993</v>
      </c>
      <c r="J83" s="91">
        <f t="shared" si="28"/>
        <v>5126875.6867526993</v>
      </c>
      <c r="K83" s="91">
        <f t="shared" si="28"/>
        <v>5126875.6867526993</v>
      </c>
      <c r="L83" s="91">
        <f t="shared" si="28"/>
        <v>5126875.6867526993</v>
      </c>
    </row>
    <row r="84" spans="1:43" x14ac:dyDescent="0.3">
      <c r="A84" s="86" t="str">
        <f t="shared" si="26"/>
        <v>other metals 242</v>
      </c>
      <c r="B84" s="86" t="str">
        <f t="shared" si="26"/>
        <v>ISIC 242</v>
      </c>
      <c r="C84" s="91">
        <f t="shared" ref="C84:L84" si="29">$A67*B$38+$A$72/2/9</f>
        <v>31260860.785506953</v>
      </c>
      <c r="D84" s="91">
        <f t="shared" si="29"/>
        <v>31260860.785506953</v>
      </c>
      <c r="E84" s="91">
        <f t="shared" si="29"/>
        <v>29083933.905676216</v>
      </c>
      <c r="F84" s="91">
        <f t="shared" si="29"/>
        <v>29083933.905676216</v>
      </c>
      <c r="G84" s="91">
        <f t="shared" si="29"/>
        <v>29083933.905676216</v>
      </c>
      <c r="H84" s="91">
        <f t="shared" si="29"/>
        <v>29083933.905676216</v>
      </c>
      <c r="I84" s="91">
        <f t="shared" si="29"/>
        <v>29083933.905676216</v>
      </c>
      <c r="J84" s="91">
        <f t="shared" si="29"/>
        <v>29083933.905676216</v>
      </c>
      <c r="K84" s="91">
        <f t="shared" si="29"/>
        <v>29083933.905676216</v>
      </c>
      <c r="L84" s="91">
        <f t="shared" si="29"/>
        <v>29083933.905676216</v>
      </c>
    </row>
    <row r="85" spans="1:43" x14ac:dyDescent="0.3">
      <c r="A85" s="86" t="str">
        <f t="shared" si="26"/>
        <v>glass and glass products 231</v>
      </c>
      <c r="B85" s="86" t="str">
        <f t="shared" si="26"/>
        <v>ISIC 231</v>
      </c>
      <c r="C85" s="91">
        <f t="shared" ref="C85:L86" si="30">$A68*B$38</f>
        <v>27871058.973744135</v>
      </c>
      <c r="D85" s="91">
        <f t="shared" si="30"/>
        <v>27871058.973744135</v>
      </c>
      <c r="E85" s="91">
        <f t="shared" si="30"/>
        <v>10451647.115154048</v>
      </c>
      <c r="F85" s="91">
        <f t="shared" si="30"/>
        <v>10451647.115154048</v>
      </c>
      <c r="G85" s="91">
        <f t="shared" si="30"/>
        <v>10451647.115154048</v>
      </c>
      <c r="H85" s="91">
        <f t="shared" si="30"/>
        <v>10451647.115154048</v>
      </c>
      <c r="I85" s="91">
        <f t="shared" si="30"/>
        <v>10451647.115154048</v>
      </c>
      <c r="J85" s="91">
        <f t="shared" si="30"/>
        <v>10451647.115154048</v>
      </c>
      <c r="K85" s="91">
        <f t="shared" si="30"/>
        <v>10451647.115154048</v>
      </c>
      <c r="L85" s="91">
        <f t="shared" si="30"/>
        <v>10451647.115154048</v>
      </c>
    </row>
    <row r="86" spans="1:43" x14ac:dyDescent="0.3">
      <c r="A86" s="86" t="str">
        <f t="shared" si="26"/>
        <v>road vehicles 29</v>
      </c>
      <c r="B86" s="86" t="str">
        <f t="shared" si="26"/>
        <v>ISIC 29</v>
      </c>
      <c r="C86" s="91">
        <f t="shared" si="30"/>
        <v>224000000</v>
      </c>
      <c r="D86" s="91">
        <f t="shared" si="30"/>
        <v>224000000</v>
      </c>
      <c r="E86" s="91">
        <f t="shared" si="30"/>
        <v>83999999.999999985</v>
      </c>
      <c r="F86" s="91">
        <f t="shared" si="30"/>
        <v>83999999.999999985</v>
      </c>
      <c r="G86" s="91">
        <f t="shared" si="30"/>
        <v>83999999.999999985</v>
      </c>
      <c r="H86" s="91">
        <f t="shared" si="30"/>
        <v>83999999.999999985</v>
      </c>
      <c r="I86" s="91">
        <f t="shared" si="30"/>
        <v>83999999.999999985</v>
      </c>
      <c r="J86" s="91">
        <f t="shared" si="30"/>
        <v>83999999.999999985</v>
      </c>
      <c r="K86" s="91">
        <f t="shared" si="30"/>
        <v>83999999.999999985</v>
      </c>
      <c r="L86" s="91">
        <f t="shared" si="30"/>
        <v>83999999.999999985</v>
      </c>
    </row>
    <row r="87" spans="1:43" x14ac:dyDescent="0.3">
      <c r="A87" s="88"/>
    </row>
    <row r="88" spans="1:43" x14ac:dyDescent="0.3">
      <c r="A88" s="88" t="s">
        <v>719</v>
      </c>
    </row>
    <row r="89" spans="1:43" x14ac:dyDescent="0.3">
      <c r="A89" s="88" t="str">
        <f t="shared" ref="A89:B100" si="31">A75</f>
        <v>Industry Category</v>
      </c>
      <c r="B89" s="88" t="str">
        <f t="shared" si="31"/>
        <v>ISIC Code</v>
      </c>
      <c r="C89" s="86">
        <v>2023</v>
      </c>
      <c r="D89" s="86">
        <v>2024</v>
      </c>
      <c r="E89" s="86">
        <v>2025</v>
      </c>
      <c r="F89" s="86">
        <v>2026</v>
      </c>
      <c r="G89" s="86">
        <v>2027</v>
      </c>
      <c r="H89" s="86">
        <v>2028</v>
      </c>
      <c r="I89" s="86">
        <v>2029</v>
      </c>
      <c r="J89" s="86">
        <v>2030</v>
      </c>
      <c r="K89" s="86">
        <v>2031</v>
      </c>
      <c r="L89" s="86">
        <v>2032</v>
      </c>
    </row>
    <row r="90" spans="1:43" x14ac:dyDescent="0.3">
      <c r="A90" s="86" t="str">
        <f t="shared" si="31"/>
        <v>appliances and and electrical equipment 27</v>
      </c>
      <c r="B90" s="86" t="str">
        <f t="shared" si="31"/>
        <v>ISIC 27</v>
      </c>
      <c r="C90" s="91">
        <f>C76/$B$23</f>
        <v>2713836527.4059258</v>
      </c>
      <c r="D90" s="91">
        <f t="shared" ref="D90:L90" si="32">D76/$B$23</f>
        <v>2713836527.4059258</v>
      </c>
      <c r="E90" s="91">
        <f t="shared" si="32"/>
        <v>1075559068.1475923</v>
      </c>
      <c r="F90" s="91">
        <f t="shared" si="32"/>
        <v>1075559068.1475923</v>
      </c>
      <c r="G90" s="91">
        <f t="shared" si="32"/>
        <v>1075559068.1475923</v>
      </c>
      <c r="H90" s="91">
        <f t="shared" si="32"/>
        <v>1075559068.1475923</v>
      </c>
      <c r="I90" s="91">
        <f t="shared" si="32"/>
        <v>1075559068.1475923</v>
      </c>
      <c r="J90" s="91">
        <f t="shared" si="32"/>
        <v>1075559068.1475923</v>
      </c>
      <c r="K90" s="91">
        <f t="shared" si="32"/>
        <v>1075559068.1475923</v>
      </c>
      <c r="L90" s="91">
        <f t="shared" si="32"/>
        <v>1075559068.1475923</v>
      </c>
    </row>
    <row r="91" spans="1:43" x14ac:dyDescent="0.3">
      <c r="A91" s="86" t="str">
        <f t="shared" si="31"/>
        <v>chemicals 20</v>
      </c>
      <c r="B91" s="86" t="str">
        <f t="shared" si="31"/>
        <v>ISIC 20</v>
      </c>
      <c r="C91" s="91">
        <f t="shared" ref="C91:L100" si="33">C77/$B$23</f>
        <v>70423807.152184829</v>
      </c>
      <c r="D91" s="91">
        <f t="shared" si="33"/>
        <v>70423807.152184829</v>
      </c>
      <c r="E91" s="91">
        <f t="shared" si="33"/>
        <v>26408927.682069309</v>
      </c>
      <c r="F91" s="91">
        <f t="shared" si="33"/>
        <v>26408927.682069309</v>
      </c>
      <c r="G91" s="91">
        <f t="shared" si="33"/>
        <v>26408927.682069309</v>
      </c>
      <c r="H91" s="91">
        <f t="shared" si="33"/>
        <v>26408927.682069309</v>
      </c>
      <c r="I91" s="91">
        <f t="shared" si="33"/>
        <v>26408927.682069309</v>
      </c>
      <c r="J91" s="91">
        <f t="shared" si="33"/>
        <v>26408927.682069309</v>
      </c>
      <c r="K91" s="91">
        <f t="shared" si="33"/>
        <v>26408927.682069309</v>
      </c>
      <c r="L91" s="91">
        <f t="shared" si="33"/>
        <v>26408927.682069309</v>
      </c>
    </row>
    <row r="92" spans="1:43" x14ac:dyDescent="0.3">
      <c r="A92" s="86" t="str">
        <f t="shared" si="31"/>
        <v>other machinery 28</v>
      </c>
      <c r="B92" s="86" t="str">
        <f t="shared" si="31"/>
        <v>ISIC 28</v>
      </c>
      <c r="C92" s="91">
        <f t="shared" si="33"/>
        <v>466830611.3712908</v>
      </c>
      <c r="D92" s="91">
        <f t="shared" si="33"/>
        <v>466830611.3712908</v>
      </c>
      <c r="E92" s="91">
        <f t="shared" si="33"/>
        <v>175061479.26423404</v>
      </c>
      <c r="F92" s="91">
        <f t="shared" si="33"/>
        <v>175061479.26423404</v>
      </c>
      <c r="G92" s="91">
        <f t="shared" si="33"/>
        <v>175061479.26423404</v>
      </c>
      <c r="H92" s="91">
        <f t="shared" si="33"/>
        <v>175061479.26423404</v>
      </c>
      <c r="I92" s="91">
        <f t="shared" si="33"/>
        <v>175061479.26423404</v>
      </c>
      <c r="J92" s="91">
        <f t="shared" si="33"/>
        <v>175061479.26423404</v>
      </c>
      <c r="K92" s="91">
        <f t="shared" si="33"/>
        <v>175061479.26423404</v>
      </c>
      <c r="L92" s="91">
        <f t="shared" si="33"/>
        <v>175061479.26423404</v>
      </c>
    </row>
    <row r="93" spans="1:43" x14ac:dyDescent="0.3">
      <c r="A93" s="86" t="str">
        <f t="shared" si="31"/>
        <v>other manufacturing 31T33</v>
      </c>
      <c r="B93" s="86" t="str">
        <f t="shared" si="31"/>
        <v>ISIC 31T33</v>
      </c>
      <c r="C93" s="91">
        <f t="shared" si="33"/>
        <v>6136912.0934327776</v>
      </c>
      <c r="D93" s="91">
        <f t="shared" si="33"/>
        <v>6136912.0934327776</v>
      </c>
      <c r="E93" s="91">
        <f t="shared" si="33"/>
        <v>2301342.0350372912</v>
      </c>
      <c r="F93" s="91">
        <f t="shared" si="33"/>
        <v>2301342.0350372912</v>
      </c>
      <c r="G93" s="91">
        <f t="shared" si="33"/>
        <v>2301342.0350372912</v>
      </c>
      <c r="H93" s="91">
        <f t="shared" si="33"/>
        <v>2301342.0350372912</v>
      </c>
      <c r="I93" s="91">
        <f t="shared" si="33"/>
        <v>2301342.0350372912</v>
      </c>
      <c r="J93" s="91">
        <f t="shared" si="33"/>
        <v>2301342.0350372912</v>
      </c>
      <c r="K93" s="91">
        <f t="shared" si="33"/>
        <v>2301342.0350372912</v>
      </c>
      <c r="L93" s="91">
        <f t="shared" si="33"/>
        <v>2301342.0350372912</v>
      </c>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2"/>
    </row>
    <row r="94" spans="1:43" x14ac:dyDescent="0.3">
      <c r="A94" s="86" t="str">
        <f t="shared" si="31"/>
        <v>rubber and plastic products 22</v>
      </c>
      <c r="B94" s="86" t="str">
        <f t="shared" si="31"/>
        <v>ISIC 22</v>
      </c>
      <c r="C94" s="91">
        <f t="shared" si="33"/>
        <v>3511360.7982009253</v>
      </c>
      <c r="D94" s="91">
        <f t="shared" si="33"/>
        <v>3511360.7982009253</v>
      </c>
      <c r="E94" s="91">
        <f t="shared" si="33"/>
        <v>1316760.2993253469</v>
      </c>
      <c r="F94" s="91">
        <f t="shared" si="33"/>
        <v>1316760.2993253469</v>
      </c>
      <c r="G94" s="91">
        <f t="shared" si="33"/>
        <v>1316760.2993253469</v>
      </c>
      <c r="H94" s="91">
        <f t="shared" si="33"/>
        <v>1316760.2993253469</v>
      </c>
      <c r="I94" s="91">
        <f t="shared" si="33"/>
        <v>1316760.2993253469</v>
      </c>
      <c r="J94" s="91">
        <f t="shared" si="33"/>
        <v>1316760.2993253469</v>
      </c>
      <c r="K94" s="91">
        <f t="shared" si="33"/>
        <v>1316760.2993253469</v>
      </c>
      <c r="L94" s="91">
        <f t="shared" si="33"/>
        <v>1316760.2993253469</v>
      </c>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row>
    <row r="95" spans="1:43" x14ac:dyDescent="0.3">
      <c r="A95" s="86" t="str">
        <f t="shared" si="31"/>
        <v>metal products except machinery and vehicles 25</v>
      </c>
      <c r="B95" s="86" t="str">
        <f t="shared" si="31"/>
        <v>ISIC 25</v>
      </c>
      <c r="C95" s="91">
        <f t="shared" si="33"/>
        <v>311486540.92326593</v>
      </c>
      <c r="D95" s="91">
        <f t="shared" si="33"/>
        <v>311486540.92326593</v>
      </c>
      <c r="E95" s="91">
        <f t="shared" si="33"/>
        <v>116807452.84622471</v>
      </c>
      <c r="F95" s="91">
        <f t="shared" si="33"/>
        <v>116807452.84622471</v>
      </c>
      <c r="G95" s="91">
        <f t="shared" si="33"/>
        <v>116807452.84622471</v>
      </c>
      <c r="H95" s="91">
        <f t="shared" si="33"/>
        <v>116807452.84622471</v>
      </c>
      <c r="I95" s="91">
        <f t="shared" si="33"/>
        <v>116807452.84622471</v>
      </c>
      <c r="J95" s="91">
        <f t="shared" si="33"/>
        <v>116807452.84622471</v>
      </c>
      <c r="K95" s="91">
        <f t="shared" si="33"/>
        <v>116807452.84622471</v>
      </c>
      <c r="L95" s="91">
        <f t="shared" si="33"/>
        <v>116807452.84622471</v>
      </c>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2"/>
    </row>
    <row r="96" spans="1:43" x14ac:dyDescent="0.3">
      <c r="A96" s="86" t="str">
        <f t="shared" si="31"/>
        <v>nonroad vehicles 30</v>
      </c>
      <c r="B96" s="86" t="str">
        <f t="shared" si="31"/>
        <v>ISIC 30</v>
      </c>
      <c r="C96" s="91">
        <f t="shared" si="33"/>
        <v>290280797.91668969</v>
      </c>
      <c r="D96" s="91">
        <f t="shared" si="33"/>
        <v>290280797.91668969</v>
      </c>
      <c r="E96" s="91">
        <f t="shared" si="33"/>
        <v>108855299.21875861</v>
      </c>
      <c r="F96" s="91">
        <f t="shared" si="33"/>
        <v>108855299.21875861</v>
      </c>
      <c r="G96" s="91">
        <f t="shared" si="33"/>
        <v>108855299.21875861</v>
      </c>
      <c r="H96" s="91">
        <f t="shared" si="33"/>
        <v>108855299.21875861</v>
      </c>
      <c r="I96" s="91">
        <f t="shared" si="33"/>
        <v>108855299.21875861</v>
      </c>
      <c r="J96" s="91">
        <f t="shared" si="33"/>
        <v>108855299.21875861</v>
      </c>
      <c r="K96" s="91">
        <f t="shared" si="33"/>
        <v>108855299.21875861</v>
      </c>
      <c r="L96" s="91">
        <f t="shared" si="33"/>
        <v>108855299.21875861</v>
      </c>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2"/>
    </row>
    <row r="97" spans="1:43" x14ac:dyDescent="0.3">
      <c r="A97" s="86" t="str">
        <f t="shared" si="31"/>
        <v>cement and other nonmetallic minerals 239</v>
      </c>
      <c r="B97" s="86" t="str">
        <f t="shared" si="31"/>
        <v>ISIC 239</v>
      </c>
      <c r="C97" s="91">
        <f t="shared" si="33"/>
        <v>45572228.326690666</v>
      </c>
      <c r="D97" s="91">
        <f t="shared" si="33"/>
        <v>45572228.326690666</v>
      </c>
      <c r="E97" s="91">
        <f t="shared" si="33"/>
        <v>17089585.622508999</v>
      </c>
      <c r="F97" s="91">
        <f t="shared" si="33"/>
        <v>17089585.622508999</v>
      </c>
      <c r="G97" s="91">
        <f t="shared" si="33"/>
        <v>17089585.622508999</v>
      </c>
      <c r="H97" s="91">
        <f t="shared" si="33"/>
        <v>17089585.622508999</v>
      </c>
      <c r="I97" s="91">
        <f t="shared" si="33"/>
        <v>17089585.622508999</v>
      </c>
      <c r="J97" s="91">
        <f t="shared" si="33"/>
        <v>17089585.622508999</v>
      </c>
      <c r="K97" s="91">
        <f t="shared" si="33"/>
        <v>17089585.622508999</v>
      </c>
      <c r="L97" s="91">
        <f t="shared" si="33"/>
        <v>17089585.622508999</v>
      </c>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2"/>
    </row>
    <row r="98" spans="1:43" x14ac:dyDescent="0.3">
      <c r="A98" s="86" t="str">
        <f t="shared" si="31"/>
        <v>other metals 242</v>
      </c>
      <c r="B98" s="86" t="str">
        <f t="shared" si="31"/>
        <v>ISIC 242</v>
      </c>
      <c r="C98" s="91">
        <f t="shared" si="33"/>
        <v>104202869.28502318</v>
      </c>
      <c r="D98" s="91">
        <f t="shared" si="33"/>
        <v>104202869.28502318</v>
      </c>
      <c r="E98" s="91">
        <f t="shared" si="33"/>
        <v>96946446.352254063</v>
      </c>
      <c r="F98" s="91">
        <f t="shared" si="33"/>
        <v>96946446.352254063</v>
      </c>
      <c r="G98" s="91">
        <f t="shared" si="33"/>
        <v>96946446.352254063</v>
      </c>
      <c r="H98" s="91">
        <f t="shared" si="33"/>
        <v>96946446.352254063</v>
      </c>
      <c r="I98" s="91">
        <f t="shared" si="33"/>
        <v>96946446.352254063</v>
      </c>
      <c r="J98" s="91">
        <f t="shared" si="33"/>
        <v>96946446.352254063</v>
      </c>
      <c r="K98" s="91">
        <f t="shared" si="33"/>
        <v>96946446.352254063</v>
      </c>
      <c r="L98" s="91">
        <f t="shared" si="33"/>
        <v>96946446.352254063</v>
      </c>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2"/>
    </row>
    <row r="99" spans="1:43" x14ac:dyDescent="0.3">
      <c r="A99" s="86" t="str">
        <f t="shared" si="31"/>
        <v>glass and glass products 231</v>
      </c>
      <c r="B99" s="86" t="str">
        <f t="shared" si="31"/>
        <v>ISIC 231</v>
      </c>
      <c r="C99" s="91">
        <f t="shared" si="33"/>
        <v>92903529.912480459</v>
      </c>
      <c r="D99" s="91">
        <f t="shared" si="33"/>
        <v>92903529.912480459</v>
      </c>
      <c r="E99" s="91">
        <f t="shared" si="33"/>
        <v>34838823.717180163</v>
      </c>
      <c r="F99" s="91">
        <f t="shared" si="33"/>
        <v>34838823.717180163</v>
      </c>
      <c r="G99" s="91">
        <f t="shared" si="33"/>
        <v>34838823.717180163</v>
      </c>
      <c r="H99" s="91">
        <f t="shared" si="33"/>
        <v>34838823.717180163</v>
      </c>
      <c r="I99" s="91">
        <f t="shared" si="33"/>
        <v>34838823.717180163</v>
      </c>
      <c r="J99" s="91">
        <f t="shared" si="33"/>
        <v>34838823.717180163</v>
      </c>
      <c r="K99" s="91">
        <f t="shared" si="33"/>
        <v>34838823.717180163</v>
      </c>
      <c r="L99" s="91">
        <f t="shared" si="33"/>
        <v>34838823.717180163</v>
      </c>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2"/>
    </row>
    <row r="100" spans="1:43" x14ac:dyDescent="0.3">
      <c r="A100" s="86" t="str">
        <f t="shared" si="31"/>
        <v>road vehicles 29</v>
      </c>
      <c r="B100" s="86" t="str">
        <f t="shared" si="31"/>
        <v>ISIC 29</v>
      </c>
      <c r="C100" s="91">
        <f t="shared" si="33"/>
        <v>746666666.66666675</v>
      </c>
      <c r="D100" s="91">
        <f t="shared" si="33"/>
        <v>746666666.66666675</v>
      </c>
      <c r="E100" s="91">
        <f t="shared" si="33"/>
        <v>279999999.99999994</v>
      </c>
      <c r="F100" s="91">
        <f t="shared" si="33"/>
        <v>279999999.99999994</v>
      </c>
      <c r="G100" s="91">
        <f t="shared" si="33"/>
        <v>279999999.99999994</v>
      </c>
      <c r="H100" s="91">
        <f t="shared" si="33"/>
        <v>279999999.99999994</v>
      </c>
      <c r="I100" s="91">
        <f t="shared" si="33"/>
        <v>279999999.99999994</v>
      </c>
      <c r="J100" s="91">
        <f t="shared" si="33"/>
        <v>279999999.99999994</v>
      </c>
      <c r="K100" s="91">
        <f t="shared" si="33"/>
        <v>279999999.99999994</v>
      </c>
      <c r="L100" s="91">
        <f t="shared" si="33"/>
        <v>279999999.99999994</v>
      </c>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row>
    <row r="101" spans="1:43" x14ac:dyDescent="0.3">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2"/>
    </row>
    <row r="102" spans="1:43" x14ac:dyDescent="0.3">
      <c r="A102" s="88" t="s">
        <v>720</v>
      </c>
    </row>
    <row r="103" spans="1:43" x14ac:dyDescent="0.3">
      <c r="A103" s="88" t="str">
        <f t="shared" ref="A103:B114" si="34">A89</f>
        <v>Industry Category</v>
      </c>
      <c r="B103" s="88" t="str">
        <f t="shared" si="34"/>
        <v>ISIC Code</v>
      </c>
      <c r="C103" s="86">
        <v>2023</v>
      </c>
      <c r="D103" s="86">
        <v>2024</v>
      </c>
      <c r="E103" s="86">
        <v>2025</v>
      </c>
      <c r="F103" s="86">
        <v>2026</v>
      </c>
      <c r="G103" s="86">
        <v>2027</v>
      </c>
      <c r="H103" s="86">
        <v>2028</v>
      </c>
      <c r="I103" s="86">
        <v>2029</v>
      </c>
      <c r="J103" s="86">
        <v>2030</v>
      </c>
      <c r="K103" s="86">
        <v>2031</v>
      </c>
      <c r="L103" s="86">
        <v>2032</v>
      </c>
    </row>
    <row r="104" spans="1:43" x14ac:dyDescent="0.3">
      <c r="A104" s="86" t="str">
        <f t="shared" si="34"/>
        <v>appliances and and electrical equipment 27</v>
      </c>
      <c r="B104" s="86" t="str">
        <f t="shared" si="34"/>
        <v>ISIC 27</v>
      </c>
      <c r="C104" s="91">
        <f t="shared" ref="C104:L104" si="35">SUM($C90:C90)</f>
        <v>2713836527.4059258</v>
      </c>
      <c r="D104" s="91">
        <f t="shared" si="35"/>
        <v>5427673054.8118515</v>
      </c>
      <c r="E104" s="91">
        <f t="shared" si="35"/>
        <v>6503232122.959444</v>
      </c>
      <c r="F104" s="91">
        <f t="shared" si="35"/>
        <v>7578791191.1070366</v>
      </c>
      <c r="G104" s="91">
        <f t="shared" si="35"/>
        <v>8654350259.2546291</v>
      </c>
      <c r="H104" s="91">
        <f t="shared" si="35"/>
        <v>9729909327.4022217</v>
      </c>
      <c r="I104" s="91">
        <f t="shared" si="35"/>
        <v>10805468395.549814</v>
      </c>
      <c r="J104" s="91">
        <f t="shared" si="35"/>
        <v>11881027463.697407</v>
      </c>
      <c r="K104" s="91">
        <f t="shared" si="35"/>
        <v>12956586531.844999</v>
      </c>
      <c r="L104" s="91">
        <f t="shared" si="35"/>
        <v>14032145599.992592</v>
      </c>
    </row>
    <row r="105" spans="1:43" x14ac:dyDescent="0.3">
      <c r="A105" s="86" t="str">
        <f t="shared" si="34"/>
        <v>chemicals 20</v>
      </c>
      <c r="B105" s="86" t="str">
        <f t="shared" si="34"/>
        <v>ISIC 20</v>
      </c>
      <c r="C105" s="91">
        <f t="shared" ref="C105:L114" si="36">SUM($C91:C91)</f>
        <v>70423807.152184829</v>
      </c>
      <c r="D105" s="91">
        <f t="shared" si="36"/>
        <v>140847614.30436966</v>
      </c>
      <c r="E105" s="91">
        <f t="shared" si="36"/>
        <v>167256541.98643896</v>
      </c>
      <c r="F105" s="91">
        <f t="shared" si="36"/>
        <v>193665469.66850826</v>
      </c>
      <c r="G105" s="91">
        <f t="shared" si="36"/>
        <v>220074397.35057756</v>
      </c>
      <c r="H105" s="91">
        <f t="shared" si="36"/>
        <v>246483325.03264686</v>
      </c>
      <c r="I105" s="91">
        <f t="shared" si="36"/>
        <v>272892252.7147162</v>
      </c>
      <c r="J105" s="91">
        <f t="shared" si="36"/>
        <v>299301180.3967855</v>
      </c>
      <c r="K105" s="91">
        <f t="shared" si="36"/>
        <v>325710108.0788548</v>
      </c>
      <c r="L105" s="91">
        <f t="shared" si="36"/>
        <v>352119035.7609241</v>
      </c>
    </row>
    <row r="106" spans="1:43" x14ac:dyDescent="0.3">
      <c r="A106" s="86" t="str">
        <f t="shared" si="34"/>
        <v>other machinery 28</v>
      </c>
      <c r="B106" s="86" t="str">
        <f t="shared" si="34"/>
        <v>ISIC 28</v>
      </c>
      <c r="C106" s="91">
        <f t="shared" si="36"/>
        <v>466830611.3712908</v>
      </c>
      <c r="D106" s="91">
        <f t="shared" si="36"/>
        <v>933661222.74258161</v>
      </c>
      <c r="E106" s="91">
        <f t="shared" si="36"/>
        <v>1108722702.0068157</v>
      </c>
      <c r="F106" s="91">
        <f t="shared" si="36"/>
        <v>1283784181.2710497</v>
      </c>
      <c r="G106" s="91">
        <f t="shared" si="36"/>
        <v>1458845660.5352838</v>
      </c>
      <c r="H106" s="91">
        <f t="shared" si="36"/>
        <v>1633907139.7995179</v>
      </c>
      <c r="I106" s="91">
        <f t="shared" si="36"/>
        <v>1808968619.0637519</v>
      </c>
      <c r="J106" s="91">
        <f t="shared" si="36"/>
        <v>1984030098.327986</v>
      </c>
      <c r="K106" s="91">
        <f t="shared" si="36"/>
        <v>2159091577.5922198</v>
      </c>
      <c r="L106" s="91">
        <f t="shared" si="36"/>
        <v>2334153056.8564539</v>
      </c>
    </row>
    <row r="107" spans="1:43" x14ac:dyDescent="0.3">
      <c r="A107" s="86" t="str">
        <f t="shared" si="34"/>
        <v>other manufacturing 31T33</v>
      </c>
      <c r="B107" s="86" t="str">
        <f t="shared" si="34"/>
        <v>ISIC 31T33</v>
      </c>
      <c r="C107" s="91">
        <f t="shared" si="36"/>
        <v>6136912.0934327776</v>
      </c>
      <c r="D107" s="91">
        <f t="shared" si="36"/>
        <v>12273824.186865555</v>
      </c>
      <c r="E107" s="91">
        <f t="shared" si="36"/>
        <v>14575166.221902847</v>
      </c>
      <c r="F107" s="91">
        <f t="shared" si="36"/>
        <v>16876508.256940138</v>
      </c>
      <c r="G107" s="91">
        <f t="shared" si="36"/>
        <v>19177850.291977428</v>
      </c>
      <c r="H107" s="91">
        <f t="shared" si="36"/>
        <v>21479192.327014718</v>
      </c>
      <c r="I107" s="91">
        <f t="shared" si="36"/>
        <v>23780534.362052009</v>
      </c>
      <c r="J107" s="91">
        <f t="shared" si="36"/>
        <v>26081876.397089299</v>
      </c>
      <c r="K107" s="91">
        <f t="shared" si="36"/>
        <v>28383218.432126589</v>
      </c>
      <c r="L107" s="91">
        <f t="shared" si="36"/>
        <v>30684560.467163879</v>
      </c>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2"/>
    </row>
    <row r="108" spans="1:43" x14ac:dyDescent="0.3">
      <c r="A108" s="86" t="str">
        <f t="shared" si="34"/>
        <v>rubber and plastic products 22</v>
      </c>
      <c r="B108" s="86" t="str">
        <f t="shared" si="34"/>
        <v>ISIC 22</v>
      </c>
      <c r="C108" s="91">
        <f t="shared" si="36"/>
        <v>3511360.7982009253</v>
      </c>
      <c r="D108" s="91">
        <f t="shared" si="36"/>
        <v>7022721.5964018507</v>
      </c>
      <c r="E108" s="91">
        <f t="shared" si="36"/>
        <v>8339481.8957271976</v>
      </c>
      <c r="F108" s="91">
        <f t="shared" si="36"/>
        <v>9656242.1950525455</v>
      </c>
      <c r="G108" s="91">
        <f t="shared" si="36"/>
        <v>10973002.494377892</v>
      </c>
      <c r="H108" s="91">
        <f t="shared" si="36"/>
        <v>12289762.793703239</v>
      </c>
      <c r="I108" s="91">
        <f t="shared" si="36"/>
        <v>13606523.093028586</v>
      </c>
      <c r="J108" s="91">
        <f t="shared" si="36"/>
        <v>14923283.392353933</v>
      </c>
      <c r="K108" s="91">
        <f t="shared" si="36"/>
        <v>16240043.69167928</v>
      </c>
      <c r="L108" s="91">
        <f t="shared" si="36"/>
        <v>17556803.991004627</v>
      </c>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row>
    <row r="109" spans="1:43" x14ac:dyDescent="0.3">
      <c r="A109" s="86" t="str">
        <f t="shared" si="34"/>
        <v>metal products except machinery and vehicles 25</v>
      </c>
      <c r="B109" s="86" t="str">
        <f t="shared" si="34"/>
        <v>ISIC 25</v>
      </c>
      <c r="C109" s="91">
        <f t="shared" si="36"/>
        <v>311486540.92326593</v>
      </c>
      <c r="D109" s="91">
        <f t="shared" si="36"/>
        <v>622973081.84653187</v>
      </c>
      <c r="E109" s="91">
        <f t="shared" si="36"/>
        <v>739780534.69275653</v>
      </c>
      <c r="F109" s="91">
        <f t="shared" si="36"/>
        <v>856587987.5389812</v>
      </c>
      <c r="G109" s="91">
        <f t="shared" si="36"/>
        <v>973395440.38520586</v>
      </c>
      <c r="H109" s="91">
        <f t="shared" si="36"/>
        <v>1090202893.2314305</v>
      </c>
      <c r="I109" s="91">
        <f t="shared" si="36"/>
        <v>1207010346.0776553</v>
      </c>
      <c r="J109" s="91">
        <f t="shared" si="36"/>
        <v>1323817798.9238801</v>
      </c>
      <c r="K109" s="91">
        <f t="shared" si="36"/>
        <v>1440625251.7701049</v>
      </c>
      <c r="L109" s="91">
        <f t="shared" si="36"/>
        <v>1557432704.6163297</v>
      </c>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2"/>
    </row>
    <row r="110" spans="1:43" x14ac:dyDescent="0.3">
      <c r="A110" s="86" t="str">
        <f t="shared" si="34"/>
        <v>nonroad vehicles 30</v>
      </c>
      <c r="B110" s="86" t="str">
        <f t="shared" si="34"/>
        <v>ISIC 30</v>
      </c>
      <c r="C110" s="91">
        <f t="shared" si="36"/>
        <v>290280797.91668969</v>
      </c>
      <c r="D110" s="91">
        <f t="shared" si="36"/>
        <v>580561595.83337939</v>
      </c>
      <c r="E110" s="91">
        <f t="shared" si="36"/>
        <v>689416895.05213797</v>
      </c>
      <c r="F110" s="91">
        <f t="shared" si="36"/>
        <v>798272194.27089655</v>
      </c>
      <c r="G110" s="91">
        <f t="shared" si="36"/>
        <v>907127493.48965514</v>
      </c>
      <c r="H110" s="91">
        <f t="shared" si="36"/>
        <v>1015982792.7084137</v>
      </c>
      <c r="I110" s="91">
        <f t="shared" si="36"/>
        <v>1124838091.9271724</v>
      </c>
      <c r="J110" s="91">
        <f t="shared" si="36"/>
        <v>1233693391.145931</v>
      </c>
      <c r="K110" s="91">
        <f t="shared" si="36"/>
        <v>1342548690.3646896</v>
      </c>
      <c r="L110" s="91">
        <f t="shared" si="36"/>
        <v>1451403989.5834482</v>
      </c>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2"/>
    </row>
    <row r="111" spans="1:43" x14ac:dyDescent="0.3">
      <c r="A111" s="86" t="str">
        <f t="shared" si="34"/>
        <v>cement and other nonmetallic minerals 239</v>
      </c>
      <c r="B111" s="86" t="str">
        <f t="shared" si="34"/>
        <v>ISIC 239</v>
      </c>
      <c r="C111" s="91">
        <f t="shared" si="36"/>
        <v>45572228.326690666</v>
      </c>
      <c r="D111" s="91">
        <f t="shared" si="36"/>
        <v>91144456.653381333</v>
      </c>
      <c r="E111" s="91">
        <f t="shared" si="36"/>
        <v>108234042.27589034</v>
      </c>
      <c r="F111" s="91">
        <f t="shared" si="36"/>
        <v>125323627.89839934</v>
      </c>
      <c r="G111" s="91">
        <f t="shared" si="36"/>
        <v>142413213.52090833</v>
      </c>
      <c r="H111" s="91">
        <f t="shared" si="36"/>
        <v>159502799.14341733</v>
      </c>
      <c r="I111" s="91">
        <f t="shared" si="36"/>
        <v>176592384.76592633</v>
      </c>
      <c r="J111" s="91">
        <f t="shared" si="36"/>
        <v>193681970.38843533</v>
      </c>
      <c r="K111" s="91">
        <f t="shared" si="36"/>
        <v>210771556.01094434</v>
      </c>
      <c r="L111" s="91">
        <f t="shared" si="36"/>
        <v>227861141.63345334</v>
      </c>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2"/>
    </row>
    <row r="112" spans="1:43" x14ac:dyDescent="0.3">
      <c r="A112" s="86" t="str">
        <f t="shared" si="34"/>
        <v>other metals 242</v>
      </c>
      <c r="B112" s="86" t="str">
        <f t="shared" si="34"/>
        <v>ISIC 242</v>
      </c>
      <c r="C112" s="91">
        <f t="shared" si="36"/>
        <v>104202869.28502318</v>
      </c>
      <c r="D112" s="91">
        <f t="shared" si="36"/>
        <v>208405738.57004637</v>
      </c>
      <c r="E112" s="91">
        <f t="shared" si="36"/>
        <v>305352184.92230046</v>
      </c>
      <c r="F112" s="91">
        <f t="shared" si="36"/>
        <v>402298631.27455449</v>
      </c>
      <c r="G112" s="91">
        <f t="shared" si="36"/>
        <v>499245077.62680852</v>
      </c>
      <c r="H112" s="91">
        <f t="shared" si="36"/>
        <v>596191523.97906256</v>
      </c>
      <c r="I112" s="91">
        <f t="shared" si="36"/>
        <v>693137970.33131659</v>
      </c>
      <c r="J112" s="91">
        <f t="shared" si="36"/>
        <v>790084416.68357062</v>
      </c>
      <c r="K112" s="91">
        <f t="shared" si="36"/>
        <v>887030863.03582466</v>
      </c>
      <c r="L112" s="91">
        <f t="shared" si="36"/>
        <v>983977309.38807869</v>
      </c>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2"/>
    </row>
    <row r="113" spans="1:43" x14ac:dyDescent="0.3">
      <c r="A113" s="86" t="str">
        <f t="shared" si="34"/>
        <v>glass and glass products 231</v>
      </c>
      <c r="B113" s="86" t="str">
        <f t="shared" si="34"/>
        <v>ISIC 231</v>
      </c>
      <c r="C113" s="91">
        <f t="shared" si="36"/>
        <v>92903529.912480459</v>
      </c>
      <c r="D113" s="91">
        <f t="shared" si="36"/>
        <v>185807059.82496092</v>
      </c>
      <c r="E113" s="91">
        <f t="shared" si="36"/>
        <v>220645883.54214108</v>
      </c>
      <c r="F113" s="91">
        <f t="shared" si="36"/>
        <v>255484707.25932124</v>
      </c>
      <c r="G113" s="91">
        <f t="shared" si="36"/>
        <v>290323530.97650141</v>
      </c>
      <c r="H113" s="91">
        <f t="shared" si="36"/>
        <v>325162354.6936816</v>
      </c>
      <c r="I113" s="91">
        <f t="shared" si="36"/>
        <v>360001178.41086173</v>
      </c>
      <c r="J113" s="91">
        <f t="shared" si="36"/>
        <v>394840002.12804186</v>
      </c>
      <c r="K113" s="91">
        <f t="shared" si="36"/>
        <v>429678825.845222</v>
      </c>
      <c r="L113" s="91">
        <f t="shared" si="36"/>
        <v>464517649.56240213</v>
      </c>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2"/>
    </row>
    <row r="114" spans="1:43" x14ac:dyDescent="0.3">
      <c r="A114" s="86" t="str">
        <f t="shared" si="34"/>
        <v>road vehicles 29</v>
      </c>
      <c r="B114" s="86" t="str">
        <f t="shared" si="34"/>
        <v>ISIC 29</v>
      </c>
      <c r="C114" s="91">
        <f t="shared" si="36"/>
        <v>746666666.66666675</v>
      </c>
      <c r="D114" s="91">
        <f t="shared" si="36"/>
        <v>1493333333.3333335</v>
      </c>
      <c r="E114" s="91">
        <f t="shared" si="36"/>
        <v>1773333333.3333335</v>
      </c>
      <c r="F114" s="91">
        <f t="shared" si="36"/>
        <v>2053333333.3333335</v>
      </c>
      <c r="G114" s="91">
        <f t="shared" si="36"/>
        <v>2333333333.3333335</v>
      </c>
      <c r="H114" s="91">
        <f t="shared" si="36"/>
        <v>2613333333.3333335</v>
      </c>
      <c r="I114" s="91">
        <f t="shared" si="36"/>
        <v>2893333333.3333335</v>
      </c>
      <c r="J114" s="91">
        <f t="shared" si="36"/>
        <v>3173333333.3333335</v>
      </c>
      <c r="K114" s="91">
        <f t="shared" si="36"/>
        <v>3453333333.3333335</v>
      </c>
      <c r="L114" s="91">
        <f t="shared" si="36"/>
        <v>3733333333.3333335</v>
      </c>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2"/>
    </row>
    <row r="115" spans="1:43" x14ac:dyDescent="0.3">
      <c r="A115" s="88"/>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2"/>
    </row>
    <row r="116" spans="1:43" x14ac:dyDescent="0.3">
      <c r="A116" s="88" t="s">
        <v>721</v>
      </c>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2"/>
    </row>
    <row r="117" spans="1:43" x14ac:dyDescent="0.3">
      <c r="A117" s="88" t="str">
        <f t="shared" ref="A117:B128" si="37">A89</f>
        <v>Industry Category</v>
      </c>
      <c r="B117" s="88" t="str">
        <f t="shared" si="37"/>
        <v>ISIC Code</v>
      </c>
      <c r="C117" s="86">
        <v>2023</v>
      </c>
      <c r="D117" s="86">
        <v>2024</v>
      </c>
      <c r="E117" s="86">
        <v>2025</v>
      </c>
      <c r="F117" s="86">
        <v>2026</v>
      </c>
      <c r="G117" s="86">
        <v>2027</v>
      </c>
      <c r="H117" s="86">
        <v>2028</v>
      </c>
      <c r="I117" s="86">
        <v>2029</v>
      </c>
      <c r="J117" s="86">
        <v>2030</v>
      </c>
      <c r="K117" s="86">
        <v>2031</v>
      </c>
      <c r="L117" s="86">
        <v>2032</v>
      </c>
      <c r="Y117" s="92"/>
      <c r="Z117" s="92"/>
      <c r="AA117" s="92"/>
      <c r="AB117" s="92"/>
      <c r="AC117" s="92"/>
      <c r="AD117" s="92"/>
      <c r="AE117" s="92"/>
      <c r="AF117" s="92"/>
      <c r="AG117" s="92"/>
      <c r="AH117" s="92"/>
      <c r="AI117" s="92"/>
      <c r="AJ117" s="92"/>
      <c r="AK117" s="92"/>
      <c r="AL117" s="92"/>
      <c r="AM117" s="92"/>
      <c r="AN117" s="92"/>
      <c r="AO117" s="92"/>
      <c r="AP117" s="92"/>
      <c r="AQ117" s="92"/>
    </row>
    <row r="118" spans="1:43" x14ac:dyDescent="0.3">
      <c r="A118" s="86" t="str">
        <f t="shared" si="37"/>
        <v>appliances and and electrical equipment 27</v>
      </c>
      <c r="B118" s="86" t="str">
        <f t="shared" si="37"/>
        <v>ISIC 27</v>
      </c>
      <c r="C118" s="92">
        <v>139823000000</v>
      </c>
      <c r="D118" s="92">
        <v>141987000000</v>
      </c>
      <c r="E118" s="92">
        <v>144071000000</v>
      </c>
      <c r="F118" s="92">
        <v>146070000000</v>
      </c>
      <c r="G118" s="92">
        <v>147977000000</v>
      </c>
      <c r="H118" s="92">
        <v>149914000000</v>
      </c>
      <c r="I118" s="92">
        <v>151882000000</v>
      </c>
      <c r="J118" s="92">
        <v>153881000000</v>
      </c>
      <c r="K118" s="92">
        <v>155912000000</v>
      </c>
      <c r="L118" s="92">
        <v>157943000000</v>
      </c>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2"/>
    </row>
    <row r="119" spans="1:43" x14ac:dyDescent="0.3">
      <c r="A119" s="86" t="str">
        <f t="shared" si="37"/>
        <v>chemicals 20</v>
      </c>
      <c r="B119" s="86" t="str">
        <f t="shared" si="37"/>
        <v>ISIC 20</v>
      </c>
      <c r="C119" s="92">
        <v>574609000000</v>
      </c>
      <c r="D119" s="92">
        <v>584204000000</v>
      </c>
      <c r="E119" s="92">
        <v>593767000000</v>
      </c>
      <c r="F119" s="92">
        <v>603288000000</v>
      </c>
      <c r="G119" s="92">
        <v>612758000000</v>
      </c>
      <c r="H119" s="92">
        <v>622408000000</v>
      </c>
      <c r="I119" s="92">
        <v>632240000000</v>
      </c>
      <c r="J119" s="92">
        <v>642259000000</v>
      </c>
      <c r="K119" s="92">
        <v>652468000000</v>
      </c>
      <c r="L119" s="92">
        <v>662677000000</v>
      </c>
      <c r="Y119" s="92"/>
      <c r="Z119" s="92"/>
      <c r="AA119" s="92"/>
      <c r="AB119" s="92"/>
      <c r="AC119" s="92"/>
      <c r="AD119" s="92"/>
      <c r="AE119" s="92"/>
      <c r="AF119" s="92"/>
      <c r="AG119" s="92"/>
      <c r="AH119" s="92"/>
      <c r="AI119" s="92"/>
      <c r="AJ119" s="92"/>
      <c r="AK119" s="92"/>
      <c r="AL119" s="92"/>
      <c r="AM119" s="92"/>
      <c r="AN119" s="92"/>
      <c r="AO119" s="92"/>
      <c r="AP119" s="92"/>
      <c r="AQ119" s="92"/>
    </row>
    <row r="120" spans="1:43" x14ac:dyDescent="0.3">
      <c r="A120" s="86" t="str">
        <f t="shared" si="37"/>
        <v>other machinery 28</v>
      </c>
      <c r="B120" s="86" t="str">
        <f t="shared" si="37"/>
        <v>ISIC 28</v>
      </c>
      <c r="C120" s="92">
        <v>430054000000</v>
      </c>
      <c r="D120" s="92">
        <v>437010000000</v>
      </c>
      <c r="E120" s="92">
        <v>443622000000</v>
      </c>
      <c r="F120" s="92">
        <v>449866000000</v>
      </c>
      <c r="G120" s="92">
        <v>455719000000</v>
      </c>
      <c r="H120" s="92">
        <v>461664000000</v>
      </c>
      <c r="I120" s="92">
        <v>467702000000</v>
      </c>
      <c r="J120" s="92">
        <v>473835000000</v>
      </c>
      <c r="K120" s="92">
        <v>480064000000</v>
      </c>
      <c r="L120" s="92">
        <v>486293000000</v>
      </c>
      <c r="Y120" s="92"/>
      <c r="Z120" s="92"/>
      <c r="AA120" s="92"/>
      <c r="AB120" s="92"/>
      <c r="AC120" s="92"/>
      <c r="AD120" s="92"/>
      <c r="AE120" s="92"/>
      <c r="AF120" s="92"/>
      <c r="AG120" s="92"/>
      <c r="AH120" s="92"/>
      <c r="AI120" s="92"/>
      <c r="AJ120" s="92"/>
      <c r="AK120" s="92"/>
      <c r="AL120" s="92"/>
      <c r="AM120" s="92"/>
      <c r="AN120" s="92"/>
      <c r="AO120" s="92"/>
      <c r="AP120" s="92"/>
      <c r="AQ120" s="92"/>
    </row>
    <row r="121" spans="1:43" x14ac:dyDescent="0.3">
      <c r="A121" s="86" t="str">
        <f t="shared" si="37"/>
        <v>other manufacturing 31T33</v>
      </c>
      <c r="B121" s="86" t="str">
        <f t="shared" si="37"/>
        <v>ISIC 31T33</v>
      </c>
      <c r="C121" s="92">
        <v>249755000000</v>
      </c>
      <c r="D121" s="92">
        <v>251796000000</v>
      </c>
      <c r="E121" s="92">
        <v>254062000000</v>
      </c>
      <c r="F121" s="92">
        <v>256557000000</v>
      </c>
      <c r="G121" s="92">
        <v>259292000000</v>
      </c>
      <c r="H121" s="92">
        <v>262062000000</v>
      </c>
      <c r="I121" s="92">
        <v>264869000000</v>
      </c>
      <c r="J121" s="92">
        <v>267713000000</v>
      </c>
      <c r="K121" s="92">
        <v>270595000000</v>
      </c>
      <c r="L121" s="92">
        <v>273477000000</v>
      </c>
      <c r="Y121" s="92"/>
      <c r="Z121" s="92"/>
      <c r="AA121" s="92"/>
      <c r="AB121" s="92"/>
      <c r="AC121" s="92"/>
      <c r="AD121" s="92"/>
      <c r="AE121" s="92"/>
      <c r="AF121" s="92"/>
      <c r="AG121" s="92"/>
      <c r="AH121" s="92"/>
      <c r="AI121" s="92"/>
      <c r="AJ121" s="92"/>
      <c r="AK121" s="92"/>
      <c r="AL121" s="92"/>
      <c r="AM121" s="92"/>
      <c r="AN121" s="92"/>
      <c r="AO121" s="92"/>
      <c r="AP121" s="92"/>
      <c r="AQ121" s="92"/>
    </row>
    <row r="122" spans="1:43" x14ac:dyDescent="0.3">
      <c r="A122" s="86" t="str">
        <f t="shared" si="37"/>
        <v>rubber and plastic products 22</v>
      </c>
      <c r="B122" s="86" t="str">
        <f t="shared" si="37"/>
        <v>ISIC 22</v>
      </c>
      <c r="C122" s="92">
        <v>250905000000</v>
      </c>
      <c r="D122" s="92">
        <v>254551000000</v>
      </c>
      <c r="E122" s="92">
        <v>258253000000</v>
      </c>
      <c r="F122" s="92">
        <v>262011000000</v>
      </c>
      <c r="G122" s="92">
        <v>265826000000</v>
      </c>
      <c r="H122" s="92">
        <v>269709000000</v>
      </c>
      <c r="I122" s="92">
        <v>273660000000</v>
      </c>
      <c r="J122" s="92">
        <v>277682000000</v>
      </c>
      <c r="K122" s="92">
        <v>281774000000</v>
      </c>
      <c r="L122" s="92">
        <v>285866000000</v>
      </c>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row>
    <row r="123" spans="1:43" x14ac:dyDescent="0.3">
      <c r="A123" s="86" t="str">
        <f t="shared" si="37"/>
        <v>metal products except machinery and vehicles 25</v>
      </c>
      <c r="B123" s="86" t="str">
        <f t="shared" si="37"/>
        <v>ISIC 25</v>
      </c>
      <c r="C123" s="92">
        <v>418814000000</v>
      </c>
      <c r="D123" s="92">
        <v>425206000000</v>
      </c>
      <c r="E123" s="92">
        <v>430972000000</v>
      </c>
      <c r="F123" s="92">
        <v>436077000000</v>
      </c>
      <c r="G123" s="92">
        <v>440487000000</v>
      </c>
      <c r="H123" s="92">
        <v>444951000000</v>
      </c>
      <c r="I123" s="92">
        <v>449469000000</v>
      </c>
      <c r="J123" s="92">
        <v>454043000000</v>
      </c>
      <c r="K123" s="92">
        <v>458672000000</v>
      </c>
      <c r="L123" s="92">
        <v>463301000000</v>
      </c>
      <c r="Y123" s="92"/>
      <c r="Z123" s="92"/>
      <c r="AA123" s="92"/>
      <c r="AB123" s="92"/>
      <c r="AC123" s="92"/>
      <c r="AD123" s="92"/>
      <c r="AE123" s="92"/>
      <c r="AF123" s="92"/>
      <c r="AG123" s="92"/>
      <c r="AH123" s="92"/>
      <c r="AI123" s="92"/>
      <c r="AJ123" s="92"/>
      <c r="AK123" s="92"/>
      <c r="AL123" s="92"/>
      <c r="AM123" s="92"/>
      <c r="AN123" s="92"/>
      <c r="AO123" s="92"/>
      <c r="AP123" s="92"/>
      <c r="AQ123" s="92"/>
    </row>
    <row r="124" spans="1:43" x14ac:dyDescent="0.3">
      <c r="A124" s="86" t="str">
        <f t="shared" si="37"/>
        <v>nonroad vehicles 30</v>
      </c>
      <c r="B124" s="86" t="str">
        <f t="shared" si="37"/>
        <v>ISIC 30</v>
      </c>
      <c r="C124" s="92">
        <v>364597000000</v>
      </c>
      <c r="D124" s="92">
        <v>370521000000</v>
      </c>
      <c r="E124" s="92">
        <v>376715000000</v>
      </c>
      <c r="F124" s="92">
        <v>383193000000</v>
      </c>
      <c r="G124" s="92">
        <v>389967000000</v>
      </c>
      <c r="H124" s="92">
        <v>396885000000</v>
      </c>
      <c r="I124" s="92">
        <v>403953000000</v>
      </c>
      <c r="J124" s="92">
        <v>411171000000</v>
      </c>
      <c r="K124" s="92">
        <v>418544000000</v>
      </c>
      <c r="L124" s="92">
        <v>425917000000</v>
      </c>
      <c r="Y124" s="92"/>
      <c r="Z124" s="92"/>
      <c r="AA124" s="92"/>
      <c r="AB124" s="92"/>
      <c r="AC124" s="92"/>
      <c r="AD124" s="92"/>
      <c r="AE124" s="92"/>
      <c r="AF124" s="92"/>
      <c r="AG124" s="92"/>
      <c r="AH124" s="92"/>
      <c r="AI124" s="92"/>
      <c r="AJ124" s="92"/>
      <c r="AK124" s="92"/>
      <c r="AL124" s="92"/>
      <c r="AM124" s="92"/>
      <c r="AN124" s="92"/>
      <c r="AO124" s="92"/>
      <c r="AP124" s="92"/>
      <c r="AQ124" s="92"/>
    </row>
    <row r="125" spans="1:43" x14ac:dyDescent="0.3">
      <c r="A125" s="86" t="str">
        <f t="shared" si="37"/>
        <v>cement and other nonmetallic minerals 239</v>
      </c>
      <c r="B125" s="86" t="str">
        <f t="shared" si="37"/>
        <v>ISIC 239</v>
      </c>
      <c r="C125" s="92">
        <v>103178000000</v>
      </c>
      <c r="D125" s="92">
        <v>104631000000</v>
      </c>
      <c r="E125" s="92">
        <v>106026000000</v>
      </c>
      <c r="F125" s="92">
        <v>107359000000</v>
      </c>
      <c r="G125" s="92">
        <v>108626000000</v>
      </c>
      <c r="H125" s="92">
        <v>109910000000</v>
      </c>
      <c r="I125" s="92">
        <v>111214000000</v>
      </c>
      <c r="J125" s="92">
        <v>112535000000</v>
      </c>
      <c r="K125" s="92">
        <v>113876000000</v>
      </c>
      <c r="L125" s="92">
        <v>115217000000</v>
      </c>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2"/>
    </row>
    <row r="126" spans="1:43" x14ac:dyDescent="0.3">
      <c r="A126" s="86" t="str">
        <f t="shared" si="37"/>
        <v>other metals 242</v>
      </c>
      <c r="B126" s="86" t="str">
        <f t="shared" si="37"/>
        <v>ISIC 242</v>
      </c>
      <c r="C126" s="92">
        <v>108509000000</v>
      </c>
      <c r="D126" s="92">
        <v>109837000000</v>
      </c>
      <c r="E126" s="92">
        <v>111074000000</v>
      </c>
      <c r="F126" s="92">
        <v>112218000000</v>
      </c>
      <c r="G126" s="92">
        <v>113263000000</v>
      </c>
      <c r="H126" s="92">
        <v>114321000000</v>
      </c>
      <c r="I126" s="92">
        <v>115390000000</v>
      </c>
      <c r="J126" s="92">
        <v>116472000000</v>
      </c>
      <c r="K126" s="92">
        <v>117566000000</v>
      </c>
      <c r="L126" s="92">
        <v>118660000000</v>
      </c>
      <c r="M126" s="86"/>
      <c r="N126" s="86"/>
      <c r="Y126" s="92"/>
      <c r="Z126" s="92"/>
      <c r="AA126" s="92"/>
      <c r="AB126" s="92"/>
      <c r="AC126" s="92"/>
      <c r="AD126" s="92"/>
      <c r="AE126" s="92"/>
      <c r="AF126" s="92"/>
      <c r="AG126" s="92"/>
      <c r="AH126" s="92"/>
      <c r="AI126" s="92"/>
      <c r="AJ126" s="92"/>
      <c r="AK126" s="92"/>
      <c r="AL126" s="92"/>
      <c r="AM126" s="92"/>
      <c r="AN126" s="92"/>
      <c r="AO126" s="92"/>
      <c r="AP126" s="92"/>
      <c r="AQ126" s="92"/>
    </row>
    <row r="127" spans="1:43" x14ac:dyDescent="0.3">
      <c r="A127" s="86" t="str">
        <f t="shared" si="37"/>
        <v>glass and glass products 231</v>
      </c>
      <c r="B127" s="86" t="str">
        <f t="shared" si="37"/>
        <v>ISIC 231</v>
      </c>
      <c r="C127" s="92">
        <v>32520600000</v>
      </c>
      <c r="D127" s="92">
        <v>33271400000</v>
      </c>
      <c r="E127" s="92">
        <v>33934000000</v>
      </c>
      <c r="F127" s="92">
        <v>34500900000</v>
      </c>
      <c r="G127" s="92">
        <v>34965500000</v>
      </c>
      <c r="H127" s="92">
        <v>35437400000</v>
      </c>
      <c r="I127" s="92">
        <v>35916800000</v>
      </c>
      <c r="J127" s="92">
        <v>36403900000</v>
      </c>
      <c r="K127" s="92">
        <v>36898600000</v>
      </c>
      <c r="L127" s="92">
        <v>37393300000</v>
      </c>
      <c r="M127" s="86"/>
      <c r="N127" s="86"/>
      <c r="Y127" s="92"/>
      <c r="Z127" s="92"/>
      <c r="AA127" s="92"/>
      <c r="AB127" s="92"/>
      <c r="AC127" s="92"/>
      <c r="AD127" s="92"/>
      <c r="AE127" s="92"/>
      <c r="AF127" s="92"/>
      <c r="AG127" s="92"/>
      <c r="AH127" s="92"/>
      <c r="AI127" s="92"/>
      <c r="AJ127" s="92"/>
      <c r="AK127" s="92"/>
      <c r="AL127" s="92"/>
      <c r="AM127" s="92"/>
      <c r="AN127" s="92"/>
      <c r="AO127" s="92"/>
      <c r="AP127" s="92"/>
      <c r="AQ127" s="92"/>
    </row>
    <row r="128" spans="1:43" x14ac:dyDescent="0.3">
      <c r="A128" s="86" t="str">
        <f t="shared" si="37"/>
        <v>road vehicles 29</v>
      </c>
      <c r="B128" s="86" t="str">
        <f t="shared" si="37"/>
        <v>ISIC 29</v>
      </c>
      <c r="C128" s="92">
        <v>1000430000000</v>
      </c>
      <c r="D128" s="92">
        <v>1038420000000</v>
      </c>
      <c r="E128" s="92">
        <v>1071320000000</v>
      </c>
      <c r="F128" s="92">
        <v>1098420000000</v>
      </c>
      <c r="G128" s="92">
        <v>1119100000000</v>
      </c>
      <c r="H128" s="92">
        <v>1140220000000</v>
      </c>
      <c r="I128" s="92">
        <v>1161800000000</v>
      </c>
      <c r="J128" s="92">
        <v>1183840000000</v>
      </c>
      <c r="K128" s="92">
        <v>1206350000000</v>
      </c>
      <c r="L128" s="92">
        <v>1228860000000</v>
      </c>
      <c r="M128" s="86"/>
      <c r="N128" s="86"/>
      <c r="Y128" s="92"/>
      <c r="Z128" s="92"/>
      <c r="AA128" s="92"/>
      <c r="AB128" s="92"/>
      <c r="AC128" s="92"/>
      <c r="AD128" s="92"/>
      <c r="AE128" s="92"/>
      <c r="AF128" s="92"/>
      <c r="AG128" s="92"/>
      <c r="AH128" s="92"/>
      <c r="AI128" s="92"/>
      <c r="AJ128" s="92"/>
      <c r="AK128" s="92"/>
      <c r="AL128" s="92"/>
      <c r="AM128" s="92"/>
      <c r="AN128" s="92"/>
      <c r="AO128" s="92"/>
      <c r="AP128" s="92"/>
      <c r="AQ128" s="92"/>
    </row>
    <row r="129" spans="1:43" x14ac:dyDescent="0.3">
      <c r="Y129" s="92"/>
      <c r="Z129" s="92"/>
      <c r="AA129" s="92"/>
      <c r="AB129" s="92"/>
      <c r="AC129" s="92"/>
      <c r="AD129" s="92"/>
      <c r="AE129" s="92"/>
      <c r="AF129" s="92"/>
      <c r="AG129" s="92"/>
      <c r="AH129" s="92"/>
      <c r="AI129" s="92"/>
      <c r="AJ129" s="92"/>
      <c r="AK129" s="92"/>
      <c r="AL129" s="92"/>
      <c r="AM129" s="92"/>
      <c r="AN129" s="92"/>
      <c r="AO129" s="92"/>
      <c r="AP129" s="92"/>
      <c r="AQ129" s="92"/>
    </row>
    <row r="130" spans="1:43" x14ac:dyDescent="0.3">
      <c r="A130" s="88" t="s">
        <v>722</v>
      </c>
      <c r="Y130" s="92"/>
      <c r="Z130" s="92"/>
      <c r="AA130" s="92"/>
      <c r="AB130" s="92"/>
      <c r="AC130" s="92"/>
      <c r="AD130" s="92"/>
      <c r="AE130" s="92"/>
      <c r="AF130" s="92"/>
      <c r="AG130" s="92"/>
      <c r="AH130" s="92"/>
      <c r="AI130" s="92"/>
      <c r="AJ130" s="92"/>
      <c r="AK130" s="92"/>
      <c r="AL130" s="92"/>
      <c r="AM130" s="92"/>
      <c r="AN130" s="92"/>
      <c r="AO130" s="92"/>
      <c r="AP130" s="92"/>
      <c r="AQ130" s="92"/>
    </row>
    <row r="131" spans="1:43" x14ac:dyDescent="0.3">
      <c r="A131" s="88" t="str">
        <f t="shared" ref="A131:B142" si="38">A117</f>
        <v>Industry Category</v>
      </c>
      <c r="B131" s="88" t="str">
        <f t="shared" si="38"/>
        <v>ISIC Code</v>
      </c>
      <c r="C131" s="88" t="s">
        <v>723</v>
      </c>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2"/>
    </row>
    <row r="132" spans="1:43" x14ac:dyDescent="0.3">
      <c r="A132" s="86" t="str">
        <f t="shared" si="38"/>
        <v>appliances and and electrical equipment 27</v>
      </c>
      <c r="B132" s="86" t="str">
        <f t="shared" si="38"/>
        <v>ISIC 27</v>
      </c>
      <c r="C132" s="86">
        <f t="shared" ref="C132:C142" si="39">INDEX($B$277:$B$318,MATCH("*"&amp;B132&amp;"*",$A$277:$A$318,0),1)</f>
        <v>0.61</v>
      </c>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2"/>
    </row>
    <row r="133" spans="1:43" x14ac:dyDescent="0.3">
      <c r="A133" s="86" t="str">
        <f t="shared" si="38"/>
        <v>chemicals 20</v>
      </c>
      <c r="B133" s="86" t="str">
        <f t="shared" si="38"/>
        <v>ISIC 20</v>
      </c>
      <c r="C133" s="86">
        <f t="shared" si="39"/>
        <v>0.872</v>
      </c>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2"/>
    </row>
    <row r="134" spans="1:43" x14ac:dyDescent="0.3">
      <c r="A134" s="86" t="str">
        <f t="shared" si="38"/>
        <v>other machinery 28</v>
      </c>
      <c r="B134" s="86" t="str">
        <f t="shared" si="38"/>
        <v>ISIC 28</v>
      </c>
      <c r="C134" s="86">
        <f t="shared" si="39"/>
        <v>0.749</v>
      </c>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2"/>
    </row>
    <row r="135" spans="1:43" x14ac:dyDescent="0.3">
      <c r="A135" s="86" t="str">
        <f t="shared" si="38"/>
        <v>other manufacturing 31T33</v>
      </c>
      <c r="B135" s="86" t="str">
        <f t="shared" si="38"/>
        <v>ISIC 31T33</v>
      </c>
      <c r="C135" s="86">
        <f t="shared" si="39"/>
        <v>0.72699999999999998</v>
      </c>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2"/>
    </row>
    <row r="136" spans="1:43" x14ac:dyDescent="0.3">
      <c r="A136" s="86" t="str">
        <f t="shared" si="38"/>
        <v>rubber and plastic products 22</v>
      </c>
      <c r="B136" s="86" t="str">
        <f t="shared" si="38"/>
        <v>ISIC 22</v>
      </c>
      <c r="C136" s="86">
        <f t="shared" si="39"/>
        <v>0.83299999999999996</v>
      </c>
      <c r="E136" s="86"/>
      <c r="F136" s="86"/>
      <c r="G136" s="86"/>
      <c r="H136" s="86"/>
      <c r="I136" s="86"/>
      <c r="J136" s="86"/>
      <c r="K136" s="86"/>
      <c r="L136" s="86"/>
      <c r="M136" s="86"/>
      <c r="N136" s="86"/>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2"/>
    </row>
    <row r="137" spans="1:43" x14ac:dyDescent="0.3">
      <c r="A137" s="86" t="str">
        <f t="shared" si="38"/>
        <v>metal products except machinery and vehicles 25</v>
      </c>
      <c r="B137" s="86" t="str">
        <f t="shared" si="38"/>
        <v>ISIC 25</v>
      </c>
      <c r="C137" s="86">
        <f t="shared" si="39"/>
        <v>0.85899999999999999</v>
      </c>
      <c r="E137" s="86"/>
      <c r="F137" s="86"/>
      <c r="G137" s="86"/>
      <c r="H137" s="86"/>
      <c r="I137" s="86"/>
      <c r="J137" s="86"/>
      <c r="K137" s="86"/>
      <c r="L137" s="86"/>
      <c r="M137" s="86"/>
      <c r="N137" s="86"/>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2"/>
    </row>
    <row r="138" spans="1:43" x14ac:dyDescent="0.3">
      <c r="A138" s="86" t="str">
        <f t="shared" si="38"/>
        <v>nonroad vehicles 30</v>
      </c>
      <c r="B138" s="86" t="str">
        <f t="shared" si="38"/>
        <v>ISIC 30</v>
      </c>
      <c r="C138" s="86">
        <f t="shared" si="39"/>
        <v>0.80600000000000005</v>
      </c>
      <c r="E138" s="86"/>
      <c r="F138" s="86"/>
      <c r="G138" s="86"/>
      <c r="H138" s="86"/>
      <c r="I138" s="86"/>
      <c r="J138" s="86"/>
      <c r="K138" s="86"/>
      <c r="L138" s="86"/>
      <c r="M138" s="86"/>
      <c r="N138" s="86"/>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2"/>
    </row>
    <row r="139" spans="1:43" x14ac:dyDescent="0.3">
      <c r="A139" s="86" t="str">
        <f t="shared" si="38"/>
        <v>cement and other nonmetallic minerals 239</v>
      </c>
      <c r="B139" s="86" t="str">
        <f t="shared" si="38"/>
        <v>ISIC 239</v>
      </c>
      <c r="C139" s="86">
        <f t="shared" si="39"/>
        <v>0.84399999999999997</v>
      </c>
      <c r="E139" s="86"/>
      <c r="F139" s="86"/>
      <c r="G139" s="86"/>
      <c r="H139" s="86"/>
      <c r="I139" s="86"/>
      <c r="J139" s="86"/>
      <c r="K139" s="86"/>
      <c r="L139" s="86"/>
      <c r="M139" s="86"/>
      <c r="N139" s="86"/>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2"/>
    </row>
    <row r="140" spans="1:43" x14ac:dyDescent="0.3">
      <c r="A140" s="86" t="str">
        <f t="shared" si="38"/>
        <v>other metals 242</v>
      </c>
      <c r="B140" s="86" t="str">
        <f t="shared" si="38"/>
        <v>ISIC 242</v>
      </c>
      <c r="C140" s="86">
        <f t="shared" si="39"/>
        <v>0.73099999999999998</v>
      </c>
      <c r="E140" s="86"/>
      <c r="F140" s="86"/>
      <c r="G140" s="86"/>
      <c r="H140" s="86"/>
      <c r="I140" s="86"/>
      <c r="J140" s="86"/>
      <c r="K140" s="86"/>
      <c r="L140" s="86"/>
      <c r="M140" s="86"/>
      <c r="N140" s="86"/>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2"/>
    </row>
    <row r="141" spans="1:43" x14ac:dyDescent="0.3">
      <c r="A141" s="86" t="str">
        <f t="shared" si="38"/>
        <v>glass and glass products 231</v>
      </c>
      <c r="B141" s="86" t="str">
        <f t="shared" si="38"/>
        <v>ISIC 231</v>
      </c>
      <c r="C141" s="86">
        <f t="shared" si="39"/>
        <v>0.77200000000000002</v>
      </c>
      <c r="E141" s="86"/>
      <c r="F141" s="86"/>
      <c r="G141" s="86"/>
      <c r="H141" s="86"/>
      <c r="I141" s="86"/>
      <c r="J141" s="86"/>
      <c r="K141" s="86"/>
      <c r="L141" s="86"/>
      <c r="M141" s="86"/>
      <c r="N141" s="86"/>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2"/>
    </row>
    <row r="142" spans="1:43" x14ac:dyDescent="0.3">
      <c r="A142" s="86" t="str">
        <f t="shared" si="38"/>
        <v>road vehicles 29</v>
      </c>
      <c r="B142" s="86" t="str">
        <f t="shared" si="38"/>
        <v>ISIC 29</v>
      </c>
      <c r="C142" s="86">
        <f t="shared" si="39"/>
        <v>0.73499999999999999</v>
      </c>
      <c r="E142" s="86"/>
      <c r="F142" s="86"/>
      <c r="G142" s="86"/>
      <c r="H142" s="86"/>
      <c r="I142" s="86"/>
      <c r="J142" s="86"/>
      <c r="K142" s="86"/>
      <c r="L142" s="86"/>
      <c r="M142" s="86"/>
      <c r="N142" s="86"/>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2"/>
    </row>
    <row r="143" spans="1:43" x14ac:dyDescent="0.3">
      <c r="D143" s="86"/>
      <c r="E143" s="86"/>
      <c r="F143" s="86"/>
      <c r="G143" s="86"/>
      <c r="H143" s="86"/>
      <c r="I143" s="86"/>
      <c r="J143" s="86"/>
      <c r="K143" s="86"/>
      <c r="L143" s="86"/>
      <c r="M143" s="86"/>
      <c r="N143" s="86"/>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2"/>
    </row>
    <row r="144" spans="1:43" x14ac:dyDescent="0.3">
      <c r="A144" s="88" t="s">
        <v>724</v>
      </c>
      <c r="B144" s="86"/>
      <c r="C144" s="86"/>
      <c r="D144" s="86"/>
      <c r="E144" s="86"/>
      <c r="F144" s="86"/>
      <c r="G144" s="86"/>
      <c r="H144" s="86"/>
      <c r="I144" s="86"/>
      <c r="J144" s="86"/>
      <c r="K144" s="86"/>
      <c r="L144" s="86"/>
      <c r="M144" s="86"/>
      <c r="N144" s="86"/>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2"/>
    </row>
    <row r="145" spans="1:46" x14ac:dyDescent="0.3">
      <c r="A145" s="88" t="str">
        <f t="shared" ref="A145:B156" si="40">A131</f>
        <v>Industry Category</v>
      </c>
      <c r="B145" s="88" t="str">
        <f t="shared" si="40"/>
        <v>ISIC Code</v>
      </c>
      <c r="C145" s="86">
        <v>2023</v>
      </c>
      <c r="D145" s="86">
        <v>2024</v>
      </c>
      <c r="E145" s="86">
        <v>2025</v>
      </c>
      <c r="F145" s="86">
        <v>2026</v>
      </c>
      <c r="G145" s="86">
        <v>2027</v>
      </c>
      <c r="H145" s="86">
        <v>2028</v>
      </c>
      <c r="I145" s="86">
        <v>2029</v>
      </c>
      <c r="J145" s="86">
        <v>2030</v>
      </c>
      <c r="K145" s="86">
        <v>2031</v>
      </c>
      <c r="L145" s="86">
        <v>2032</v>
      </c>
      <c r="M145" s="86"/>
      <c r="N145" s="86"/>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2"/>
    </row>
    <row r="146" spans="1:46" x14ac:dyDescent="0.3">
      <c r="A146" s="86" t="str">
        <f t="shared" si="40"/>
        <v>appliances and and electrical equipment 27</v>
      </c>
      <c r="B146" s="86" t="str">
        <f t="shared" si="40"/>
        <v>ISIC 27</v>
      </c>
      <c r="C146" s="92">
        <f>C118/$C132</f>
        <v>229218032786.88525</v>
      </c>
      <c r="D146" s="92">
        <f t="shared" ref="C146:L156" si="41">D118/$C132</f>
        <v>232765573770.49182</v>
      </c>
      <c r="E146" s="92">
        <f t="shared" si="41"/>
        <v>236181967213.11475</v>
      </c>
      <c r="F146" s="92">
        <f t="shared" si="41"/>
        <v>239459016393.44263</v>
      </c>
      <c r="G146" s="92">
        <f t="shared" si="41"/>
        <v>242585245901.63934</v>
      </c>
      <c r="H146" s="92">
        <f t="shared" si="41"/>
        <v>245760655737.70493</v>
      </c>
      <c r="I146" s="92">
        <f t="shared" si="41"/>
        <v>248986885245.90164</v>
      </c>
      <c r="J146" s="92">
        <f t="shared" si="41"/>
        <v>252263934426.22952</v>
      </c>
      <c r="K146" s="92">
        <f t="shared" si="41"/>
        <v>255593442622.95084</v>
      </c>
      <c r="L146" s="92">
        <f t="shared" si="41"/>
        <v>258922950819.67215</v>
      </c>
      <c r="M146" s="86"/>
      <c r="N146" s="86"/>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2"/>
    </row>
    <row r="147" spans="1:46" x14ac:dyDescent="0.3">
      <c r="A147" s="86" t="str">
        <f t="shared" si="40"/>
        <v>chemicals 20</v>
      </c>
      <c r="B147" s="86" t="str">
        <f t="shared" si="40"/>
        <v>ISIC 20</v>
      </c>
      <c r="C147" s="92">
        <f t="shared" si="41"/>
        <v>658955275229.35779</v>
      </c>
      <c r="D147" s="92">
        <f t="shared" si="41"/>
        <v>669958715596.33032</v>
      </c>
      <c r="E147" s="92">
        <f t="shared" si="41"/>
        <v>680925458715.59631</v>
      </c>
      <c r="F147" s="92">
        <f t="shared" si="41"/>
        <v>691844036697.24768</v>
      </c>
      <c r="G147" s="92">
        <f t="shared" si="41"/>
        <v>702704128440.36694</v>
      </c>
      <c r="H147" s="92">
        <f t="shared" si="41"/>
        <v>713770642201.83484</v>
      </c>
      <c r="I147" s="92">
        <f t="shared" si="41"/>
        <v>725045871559.63306</v>
      </c>
      <c r="J147" s="92">
        <f t="shared" si="41"/>
        <v>736535550458.71558</v>
      </c>
      <c r="K147" s="92">
        <f t="shared" si="41"/>
        <v>748243119266.05505</v>
      </c>
      <c r="L147" s="92">
        <f t="shared" si="41"/>
        <v>759950688073.39453</v>
      </c>
      <c r="M147" s="86"/>
      <c r="N147" s="86"/>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2"/>
    </row>
    <row r="148" spans="1:46" x14ac:dyDescent="0.3">
      <c r="A148" s="86" t="str">
        <f t="shared" si="40"/>
        <v>other machinery 28</v>
      </c>
      <c r="B148" s="86" t="str">
        <f t="shared" si="40"/>
        <v>ISIC 28</v>
      </c>
      <c r="C148" s="92">
        <f t="shared" si="41"/>
        <v>574170894526.03467</v>
      </c>
      <c r="D148" s="92">
        <f t="shared" si="41"/>
        <v>583457943925.23364</v>
      </c>
      <c r="E148" s="92">
        <f t="shared" si="41"/>
        <v>592285714285.71423</v>
      </c>
      <c r="F148" s="92">
        <f t="shared" si="41"/>
        <v>600622162883.84509</v>
      </c>
      <c r="G148" s="92">
        <f t="shared" si="41"/>
        <v>608436582109.47925</v>
      </c>
      <c r="H148" s="92">
        <f t="shared" si="41"/>
        <v>616373831775.70093</v>
      </c>
      <c r="I148" s="92">
        <f t="shared" si="41"/>
        <v>624435246995.99463</v>
      </c>
      <c r="J148" s="92">
        <f t="shared" si="41"/>
        <v>632623497997.32983</v>
      </c>
      <c r="K148" s="92">
        <f t="shared" si="41"/>
        <v>640939919893.19092</v>
      </c>
      <c r="L148" s="92">
        <f t="shared" si="41"/>
        <v>649256341789.05212</v>
      </c>
      <c r="M148" s="86"/>
      <c r="N148" s="86"/>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2"/>
    </row>
    <row r="149" spans="1:46" x14ac:dyDescent="0.3">
      <c r="A149" s="86" t="str">
        <f t="shared" si="40"/>
        <v>other manufacturing 31T33</v>
      </c>
      <c r="B149" s="86" t="str">
        <f t="shared" si="40"/>
        <v>ISIC 31T33</v>
      </c>
      <c r="C149" s="92">
        <f t="shared" si="41"/>
        <v>343541953232.46216</v>
      </c>
      <c r="D149" s="92">
        <f t="shared" si="41"/>
        <v>346349381017.88171</v>
      </c>
      <c r="E149" s="92">
        <f t="shared" si="41"/>
        <v>349466299862.44843</v>
      </c>
      <c r="F149" s="92">
        <f t="shared" si="41"/>
        <v>352898211829.43604</v>
      </c>
      <c r="G149" s="92">
        <f t="shared" si="41"/>
        <v>356660247592.84735</v>
      </c>
      <c r="H149" s="92">
        <f t="shared" si="41"/>
        <v>360470426409.90375</v>
      </c>
      <c r="I149" s="92">
        <f t="shared" si="41"/>
        <v>364331499312.24213</v>
      </c>
      <c r="J149" s="92">
        <f t="shared" si="41"/>
        <v>368243466299.86249</v>
      </c>
      <c r="K149" s="92">
        <f t="shared" si="41"/>
        <v>372207702888.58325</v>
      </c>
      <c r="L149" s="92">
        <f t="shared" si="41"/>
        <v>376171939477.30402</v>
      </c>
      <c r="M149" s="86"/>
      <c r="N149" s="86"/>
    </row>
    <row r="150" spans="1:46" x14ac:dyDescent="0.3">
      <c r="A150" s="86" t="str">
        <f t="shared" si="40"/>
        <v>rubber and plastic products 22</v>
      </c>
      <c r="B150" s="86" t="str">
        <f t="shared" si="40"/>
        <v>ISIC 22</v>
      </c>
      <c r="C150" s="92">
        <f t="shared" si="41"/>
        <v>301206482593.03723</v>
      </c>
      <c r="D150" s="92">
        <f t="shared" si="41"/>
        <v>305583433373.34937</v>
      </c>
      <c r="E150" s="92">
        <f t="shared" si="41"/>
        <v>310027611044.41779</v>
      </c>
      <c r="F150" s="92">
        <f t="shared" si="41"/>
        <v>314539015606.24249</v>
      </c>
      <c r="G150" s="92">
        <f t="shared" si="41"/>
        <v>319118847539.01563</v>
      </c>
      <c r="H150" s="92">
        <f t="shared" si="41"/>
        <v>323780312124.84998</v>
      </c>
      <c r="I150" s="92">
        <f t="shared" si="41"/>
        <v>328523409363.74548</v>
      </c>
      <c r="J150" s="92">
        <f t="shared" si="41"/>
        <v>333351740696.2785</v>
      </c>
      <c r="K150" s="92">
        <f t="shared" si="41"/>
        <v>338264105642.2569</v>
      </c>
      <c r="L150" s="92">
        <f t="shared" si="41"/>
        <v>343176470588.23529</v>
      </c>
      <c r="M150" s="86"/>
      <c r="N150" s="86"/>
    </row>
    <row r="151" spans="1:46" x14ac:dyDescent="0.3">
      <c r="A151" s="86" t="str">
        <f t="shared" si="40"/>
        <v>metal products except machinery and vehicles 25</v>
      </c>
      <c r="B151" s="86" t="str">
        <f t="shared" si="40"/>
        <v>ISIC 25</v>
      </c>
      <c r="C151" s="92">
        <f t="shared" si="41"/>
        <v>487559953434.22583</v>
      </c>
      <c r="D151" s="92">
        <f t="shared" si="41"/>
        <v>495001164144.35388</v>
      </c>
      <c r="E151" s="92">
        <f t="shared" si="41"/>
        <v>501713620488.94061</v>
      </c>
      <c r="F151" s="92">
        <f t="shared" si="41"/>
        <v>507656577415.59955</v>
      </c>
      <c r="G151" s="92">
        <f t="shared" si="41"/>
        <v>512790454016.29803</v>
      </c>
      <c r="H151" s="92">
        <f t="shared" si="41"/>
        <v>517987194412.10712</v>
      </c>
      <c r="I151" s="92">
        <f t="shared" si="41"/>
        <v>523246798603.02679</v>
      </c>
      <c r="J151" s="92">
        <f t="shared" si="41"/>
        <v>528571594877.76483</v>
      </c>
      <c r="K151" s="92">
        <f t="shared" si="41"/>
        <v>533960419091.96741</v>
      </c>
      <c r="L151" s="92">
        <f t="shared" si="41"/>
        <v>539349243306.16998</v>
      </c>
      <c r="M151" s="86"/>
      <c r="N151" s="86"/>
    </row>
    <row r="152" spans="1:46" x14ac:dyDescent="0.3">
      <c r="A152" s="86" t="str">
        <f t="shared" si="40"/>
        <v>nonroad vehicles 30</v>
      </c>
      <c r="B152" s="86" t="str">
        <f t="shared" si="40"/>
        <v>ISIC 30</v>
      </c>
      <c r="C152" s="92">
        <f t="shared" si="41"/>
        <v>452353598014.88831</v>
      </c>
      <c r="D152" s="92">
        <f t="shared" si="41"/>
        <v>459703473945.40942</v>
      </c>
      <c r="E152" s="92">
        <f t="shared" si="41"/>
        <v>467388337468.9826</v>
      </c>
      <c r="F152" s="92">
        <f t="shared" si="41"/>
        <v>475425558312.65503</v>
      </c>
      <c r="G152" s="92">
        <f t="shared" si="41"/>
        <v>483830024813.89575</v>
      </c>
      <c r="H152" s="92">
        <f t="shared" si="41"/>
        <v>492413151364.76422</v>
      </c>
      <c r="I152" s="92">
        <f t="shared" si="41"/>
        <v>501182382133.995</v>
      </c>
      <c r="J152" s="92">
        <f t="shared" si="41"/>
        <v>510137717121.58807</v>
      </c>
      <c r="K152" s="92">
        <f t="shared" si="41"/>
        <v>519285359801.48883</v>
      </c>
      <c r="L152" s="92">
        <f t="shared" si="41"/>
        <v>528433002481.38953</v>
      </c>
      <c r="M152" s="86"/>
      <c r="N152" s="86"/>
    </row>
    <row r="153" spans="1:46" x14ac:dyDescent="0.3">
      <c r="A153" s="86" t="str">
        <f t="shared" si="40"/>
        <v>cement and other nonmetallic minerals 239</v>
      </c>
      <c r="B153" s="86" t="str">
        <f t="shared" si="40"/>
        <v>ISIC 239</v>
      </c>
      <c r="C153" s="92">
        <f t="shared" si="41"/>
        <v>122248815165.87679</v>
      </c>
      <c r="D153" s="92">
        <f t="shared" si="41"/>
        <v>123970379146.91943</v>
      </c>
      <c r="E153" s="92">
        <f t="shared" si="41"/>
        <v>125623222748.81517</v>
      </c>
      <c r="F153" s="92">
        <f t="shared" si="41"/>
        <v>127202606635.07109</v>
      </c>
      <c r="G153" s="92">
        <f t="shared" si="41"/>
        <v>128703791469.19432</v>
      </c>
      <c r="H153" s="92">
        <f t="shared" si="41"/>
        <v>130225118483.41232</v>
      </c>
      <c r="I153" s="92">
        <f t="shared" si="41"/>
        <v>131770142180.09479</v>
      </c>
      <c r="J153" s="92">
        <f t="shared" si="41"/>
        <v>133335308056.87204</v>
      </c>
      <c r="K153" s="92">
        <f t="shared" si="41"/>
        <v>134924170616.11375</v>
      </c>
      <c r="L153" s="92">
        <f t="shared" si="41"/>
        <v>136513033175.35545</v>
      </c>
      <c r="M153" s="86"/>
      <c r="N153" s="86"/>
    </row>
    <row r="154" spans="1:46" x14ac:dyDescent="0.3">
      <c r="A154" s="86" t="str">
        <f t="shared" si="40"/>
        <v>other metals 242</v>
      </c>
      <c r="B154" s="86" t="str">
        <f t="shared" si="40"/>
        <v>ISIC 242</v>
      </c>
      <c r="C154" s="92">
        <f t="shared" si="41"/>
        <v>148439124487.00412</v>
      </c>
      <c r="D154" s="92">
        <f t="shared" si="41"/>
        <v>150255813953.48837</v>
      </c>
      <c r="E154" s="92">
        <f t="shared" si="41"/>
        <v>151948016415.86868</v>
      </c>
      <c r="F154" s="92">
        <f t="shared" si="41"/>
        <v>153512995896.03284</v>
      </c>
      <c r="G154" s="92">
        <f t="shared" si="41"/>
        <v>154942544459.64432</v>
      </c>
      <c r="H154" s="92">
        <f t="shared" si="41"/>
        <v>156389876880.98495</v>
      </c>
      <c r="I154" s="92">
        <f t="shared" si="41"/>
        <v>157852257181.94254</v>
      </c>
      <c r="J154" s="92">
        <f t="shared" si="41"/>
        <v>159332421340.62927</v>
      </c>
      <c r="K154" s="92">
        <f t="shared" si="41"/>
        <v>160829001367.98907</v>
      </c>
      <c r="L154" s="92">
        <f t="shared" si="41"/>
        <v>162325581395.34885</v>
      </c>
      <c r="M154" s="86"/>
      <c r="N154" s="86"/>
    </row>
    <row r="155" spans="1:46" x14ac:dyDescent="0.3">
      <c r="A155" s="86" t="str">
        <f t="shared" si="40"/>
        <v>glass and glass products 231</v>
      </c>
      <c r="B155" s="86" t="str">
        <f t="shared" si="40"/>
        <v>ISIC 231</v>
      </c>
      <c r="C155" s="92">
        <f t="shared" si="41"/>
        <v>42125129533.678757</v>
      </c>
      <c r="D155" s="92">
        <f t="shared" si="41"/>
        <v>43097668393.782379</v>
      </c>
      <c r="E155" s="92">
        <f t="shared" si="41"/>
        <v>43955958549.222794</v>
      </c>
      <c r="F155" s="92">
        <f t="shared" si="41"/>
        <v>44690284974.093262</v>
      </c>
      <c r="G155" s="92">
        <f t="shared" si="41"/>
        <v>45292098445.595856</v>
      </c>
      <c r="H155" s="92">
        <f t="shared" si="41"/>
        <v>45903367875.647667</v>
      </c>
      <c r="I155" s="92">
        <f t="shared" si="41"/>
        <v>46524352331.606216</v>
      </c>
      <c r="J155" s="92">
        <f t="shared" si="41"/>
        <v>47155310880.829018</v>
      </c>
      <c r="K155" s="92">
        <f t="shared" si="41"/>
        <v>47796113989.637306</v>
      </c>
      <c r="L155" s="92">
        <f t="shared" si="41"/>
        <v>48436917098.445595</v>
      </c>
      <c r="M155" s="86"/>
      <c r="N155" s="86"/>
    </row>
    <row r="156" spans="1:46" x14ac:dyDescent="0.3">
      <c r="A156" s="86" t="str">
        <f t="shared" si="40"/>
        <v>road vehicles 29</v>
      </c>
      <c r="B156" s="86" t="str">
        <f t="shared" si="40"/>
        <v>ISIC 29</v>
      </c>
      <c r="C156" s="92">
        <f t="shared" si="41"/>
        <v>1361129251700.6802</v>
      </c>
      <c r="D156" s="92">
        <f t="shared" si="41"/>
        <v>1412816326530.6123</v>
      </c>
      <c r="E156" s="92">
        <f t="shared" si="41"/>
        <v>1457578231292.5171</v>
      </c>
      <c r="F156" s="92">
        <f t="shared" si="41"/>
        <v>1494448979591.8367</v>
      </c>
      <c r="G156" s="92">
        <f t="shared" si="41"/>
        <v>1522585034013.6055</v>
      </c>
      <c r="H156" s="92">
        <f t="shared" si="41"/>
        <v>1551319727891.1565</v>
      </c>
      <c r="I156" s="92">
        <f t="shared" si="41"/>
        <v>1580680272108.8435</v>
      </c>
      <c r="J156" s="92">
        <f t="shared" si="41"/>
        <v>1610666666666.6667</v>
      </c>
      <c r="K156" s="92">
        <f t="shared" si="41"/>
        <v>1641292517006.8027</v>
      </c>
      <c r="L156" s="92">
        <f t="shared" si="41"/>
        <v>1671918367346.9387</v>
      </c>
      <c r="M156" s="86"/>
      <c r="N156" s="86"/>
    </row>
    <row r="157" spans="1:46" x14ac:dyDescent="0.3">
      <c r="A157" s="88"/>
      <c r="B157" s="86"/>
      <c r="C157" s="86"/>
      <c r="D157" s="86"/>
      <c r="E157" s="86"/>
      <c r="F157" s="86"/>
      <c r="G157" s="86"/>
      <c r="H157" s="86"/>
      <c r="I157" s="86"/>
      <c r="J157" s="86"/>
      <c r="K157" s="86"/>
      <c r="L157" s="86"/>
      <c r="M157" s="86"/>
      <c r="N157" s="86"/>
    </row>
    <row r="158" spans="1:46" x14ac:dyDescent="0.3">
      <c r="A158" s="88" t="s">
        <v>725</v>
      </c>
      <c r="B158" s="86"/>
      <c r="N158" s="86"/>
    </row>
    <row r="159" spans="1:46" x14ac:dyDescent="0.3">
      <c r="A159" s="88" t="str">
        <f t="shared" ref="A159:B170" si="42">A117</f>
        <v>Industry Category</v>
      </c>
      <c r="B159" s="88" t="str">
        <f t="shared" si="42"/>
        <v>ISIC Code</v>
      </c>
      <c r="C159" s="92"/>
      <c r="D159" s="92"/>
      <c r="E159" s="92"/>
      <c r="F159" s="92"/>
      <c r="G159" s="92"/>
      <c r="H159" s="92"/>
      <c r="I159" s="92"/>
      <c r="J159" s="92"/>
      <c r="K159" s="92"/>
      <c r="L159" s="92"/>
      <c r="M159" s="86"/>
      <c r="N159" s="86"/>
    </row>
    <row r="160" spans="1:46" x14ac:dyDescent="0.3">
      <c r="A160" s="86" t="str">
        <f t="shared" si="42"/>
        <v>appliances and and electrical equipment 27</v>
      </c>
      <c r="B160" s="86" t="str">
        <f t="shared" si="42"/>
        <v>ISIC 27</v>
      </c>
      <c r="C160" s="92">
        <f>C118+C104</f>
        <v>142536836527.40591</v>
      </c>
      <c r="D160" s="92">
        <f t="shared" ref="C160:L170" si="43">D118+D104</f>
        <v>147414673054.81186</v>
      </c>
      <c r="E160" s="92">
        <f t="shared" si="43"/>
        <v>150574232122.95944</v>
      </c>
      <c r="F160" s="92">
        <f t="shared" si="43"/>
        <v>153648791191.10703</v>
      </c>
      <c r="G160" s="92">
        <f t="shared" si="43"/>
        <v>156631350259.25464</v>
      </c>
      <c r="H160" s="92">
        <f t="shared" si="43"/>
        <v>159643909327.40222</v>
      </c>
      <c r="I160" s="92">
        <f t="shared" si="43"/>
        <v>162687468395.5498</v>
      </c>
      <c r="J160" s="92">
        <f t="shared" si="43"/>
        <v>165762027463.69742</v>
      </c>
      <c r="K160" s="92">
        <f t="shared" si="43"/>
        <v>168868586531.845</v>
      </c>
      <c r="L160" s="92">
        <f t="shared" si="43"/>
        <v>171975145599.99258</v>
      </c>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row>
    <row r="161" spans="1:46" x14ac:dyDescent="0.3">
      <c r="A161" s="86" t="str">
        <f t="shared" si="42"/>
        <v>chemicals 20</v>
      </c>
      <c r="B161" s="86" t="str">
        <f t="shared" si="42"/>
        <v>ISIC 20</v>
      </c>
      <c r="C161" s="92">
        <f t="shared" si="43"/>
        <v>574679423807.15222</v>
      </c>
      <c r="D161" s="92">
        <f t="shared" si="43"/>
        <v>584344847614.30432</v>
      </c>
      <c r="E161" s="92">
        <f t="shared" si="43"/>
        <v>593934256541.98645</v>
      </c>
      <c r="F161" s="92">
        <f t="shared" si="43"/>
        <v>603481665469.66846</v>
      </c>
      <c r="G161" s="92">
        <f t="shared" si="43"/>
        <v>612978074397.35059</v>
      </c>
      <c r="H161" s="92">
        <f t="shared" si="43"/>
        <v>622654483325.03259</v>
      </c>
      <c r="I161" s="92">
        <f t="shared" si="43"/>
        <v>632512892252.71472</v>
      </c>
      <c r="J161" s="92">
        <f t="shared" si="43"/>
        <v>642558301180.39673</v>
      </c>
      <c r="K161" s="92">
        <f t="shared" si="43"/>
        <v>652793710108.07886</v>
      </c>
      <c r="L161" s="92">
        <f t="shared" si="43"/>
        <v>663029119035.76086</v>
      </c>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row>
    <row r="162" spans="1:46" x14ac:dyDescent="0.3">
      <c r="A162" s="86" t="str">
        <f t="shared" si="42"/>
        <v>other machinery 28</v>
      </c>
      <c r="B162" s="86" t="str">
        <f t="shared" si="42"/>
        <v>ISIC 28</v>
      </c>
      <c r="C162" s="92">
        <f t="shared" si="43"/>
        <v>430520830611.37128</v>
      </c>
      <c r="D162" s="92">
        <f t="shared" si="43"/>
        <v>437943661222.74255</v>
      </c>
      <c r="E162" s="92">
        <f t="shared" si="43"/>
        <v>444730722702.00684</v>
      </c>
      <c r="F162" s="92">
        <f t="shared" si="43"/>
        <v>451149784181.27106</v>
      </c>
      <c r="G162" s="92">
        <f t="shared" si="43"/>
        <v>457177845660.53528</v>
      </c>
      <c r="H162" s="92">
        <f t="shared" si="43"/>
        <v>463297907139.7995</v>
      </c>
      <c r="I162" s="92">
        <f t="shared" si="43"/>
        <v>469510968619.06378</v>
      </c>
      <c r="J162" s="92">
        <f t="shared" si="43"/>
        <v>475819030098.328</v>
      </c>
      <c r="K162" s="92">
        <f t="shared" si="43"/>
        <v>482223091577.59222</v>
      </c>
      <c r="L162" s="92">
        <f t="shared" si="43"/>
        <v>488627153056.85645</v>
      </c>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row>
    <row r="163" spans="1:46" x14ac:dyDescent="0.3">
      <c r="A163" s="86" t="str">
        <f t="shared" si="42"/>
        <v>other manufacturing 31T33</v>
      </c>
      <c r="B163" s="86" t="str">
        <f t="shared" si="42"/>
        <v>ISIC 31T33</v>
      </c>
      <c r="C163" s="92">
        <f t="shared" si="43"/>
        <v>249761136912.09344</v>
      </c>
      <c r="D163" s="92">
        <f t="shared" si="43"/>
        <v>251808273824.18686</v>
      </c>
      <c r="E163" s="92">
        <f t="shared" si="43"/>
        <v>254076575166.22189</v>
      </c>
      <c r="F163" s="92">
        <f t="shared" si="43"/>
        <v>256573876508.25693</v>
      </c>
      <c r="G163" s="92">
        <f t="shared" si="43"/>
        <v>259311177850.29199</v>
      </c>
      <c r="H163" s="92">
        <f t="shared" si="43"/>
        <v>262083479192.32703</v>
      </c>
      <c r="I163" s="92">
        <f t="shared" si="43"/>
        <v>264892780534.36206</v>
      </c>
      <c r="J163" s="92">
        <f t="shared" si="43"/>
        <v>267739081876.39709</v>
      </c>
      <c r="K163" s="92">
        <f t="shared" si="43"/>
        <v>270623383218.43213</v>
      </c>
      <c r="L163" s="92">
        <f t="shared" si="43"/>
        <v>273507684560.46716</v>
      </c>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row>
    <row r="164" spans="1:46" x14ac:dyDescent="0.3">
      <c r="A164" s="86" t="str">
        <f t="shared" si="42"/>
        <v>rubber and plastic products 22</v>
      </c>
      <c r="B164" s="86" t="str">
        <f t="shared" si="42"/>
        <v>ISIC 22</v>
      </c>
      <c r="C164" s="92">
        <f t="shared" si="43"/>
        <v>250908511360.79819</v>
      </c>
      <c r="D164" s="92">
        <f t="shared" si="43"/>
        <v>254558022721.59641</v>
      </c>
      <c r="E164" s="92">
        <f t="shared" si="43"/>
        <v>258261339481.89572</v>
      </c>
      <c r="F164" s="92">
        <f t="shared" si="43"/>
        <v>262020656242.19504</v>
      </c>
      <c r="G164" s="92">
        <f t="shared" si="43"/>
        <v>265836973002.49438</v>
      </c>
      <c r="H164" s="92">
        <f t="shared" si="43"/>
        <v>269721289762.7937</v>
      </c>
      <c r="I164" s="92">
        <f t="shared" si="43"/>
        <v>273673606523.09302</v>
      </c>
      <c r="J164" s="92">
        <f t="shared" si="43"/>
        <v>277696923283.39233</v>
      </c>
      <c r="K164" s="92">
        <f t="shared" si="43"/>
        <v>281790240043.69165</v>
      </c>
      <c r="L164" s="92">
        <f t="shared" si="43"/>
        <v>285883556803.99103</v>
      </c>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row>
    <row r="165" spans="1:46" x14ac:dyDescent="0.3">
      <c r="A165" s="86" t="str">
        <f t="shared" si="42"/>
        <v>metal products except machinery and vehicles 25</v>
      </c>
      <c r="B165" s="86" t="str">
        <f t="shared" si="42"/>
        <v>ISIC 25</v>
      </c>
      <c r="C165" s="92">
        <f t="shared" si="43"/>
        <v>419125486540.92328</v>
      </c>
      <c r="D165" s="92">
        <f t="shared" si="43"/>
        <v>425828973081.84656</v>
      </c>
      <c r="E165" s="92">
        <f t="shared" si="43"/>
        <v>431711780534.69275</v>
      </c>
      <c r="F165" s="92">
        <f t="shared" si="43"/>
        <v>436933587987.539</v>
      </c>
      <c r="G165" s="92">
        <f t="shared" si="43"/>
        <v>441460395440.38519</v>
      </c>
      <c r="H165" s="92">
        <f t="shared" si="43"/>
        <v>446041202893.23145</v>
      </c>
      <c r="I165" s="92">
        <f t="shared" si="43"/>
        <v>450676010346.07764</v>
      </c>
      <c r="J165" s="92">
        <f t="shared" si="43"/>
        <v>455366817798.92389</v>
      </c>
      <c r="K165" s="92">
        <f t="shared" si="43"/>
        <v>460112625251.77008</v>
      </c>
      <c r="L165" s="92">
        <f t="shared" si="43"/>
        <v>464858432704.61633</v>
      </c>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row>
    <row r="166" spans="1:46" x14ac:dyDescent="0.3">
      <c r="A166" s="86" t="str">
        <f t="shared" si="42"/>
        <v>nonroad vehicles 30</v>
      </c>
      <c r="B166" s="86" t="str">
        <f t="shared" si="42"/>
        <v>ISIC 30</v>
      </c>
      <c r="C166" s="92">
        <f t="shared" si="43"/>
        <v>364887280797.91669</v>
      </c>
      <c r="D166" s="92">
        <f t="shared" si="43"/>
        <v>371101561595.83337</v>
      </c>
      <c r="E166" s="92">
        <f t="shared" si="43"/>
        <v>377404416895.05212</v>
      </c>
      <c r="F166" s="92">
        <f t="shared" si="43"/>
        <v>383991272194.27087</v>
      </c>
      <c r="G166" s="92">
        <f t="shared" si="43"/>
        <v>390874127493.48969</v>
      </c>
      <c r="H166" s="92">
        <f t="shared" si="43"/>
        <v>397900982792.70844</v>
      </c>
      <c r="I166" s="92">
        <f t="shared" si="43"/>
        <v>405077838091.92719</v>
      </c>
      <c r="J166" s="92">
        <f t="shared" si="43"/>
        <v>412404693391.14594</v>
      </c>
      <c r="K166" s="92">
        <f t="shared" si="43"/>
        <v>419886548690.36469</v>
      </c>
      <c r="L166" s="92">
        <f t="shared" si="43"/>
        <v>427368403989.58344</v>
      </c>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row>
    <row r="167" spans="1:46" x14ac:dyDescent="0.3">
      <c r="A167" s="86" t="str">
        <f t="shared" si="42"/>
        <v>cement and other nonmetallic minerals 239</v>
      </c>
      <c r="B167" s="86" t="str">
        <f t="shared" si="42"/>
        <v>ISIC 239</v>
      </c>
      <c r="C167" s="92">
        <f t="shared" si="43"/>
        <v>103223572228.32669</v>
      </c>
      <c r="D167" s="92">
        <f t="shared" si="43"/>
        <v>104722144456.65338</v>
      </c>
      <c r="E167" s="92">
        <f t="shared" si="43"/>
        <v>106134234042.27589</v>
      </c>
      <c r="F167" s="92">
        <f t="shared" si="43"/>
        <v>107484323627.89839</v>
      </c>
      <c r="G167" s="92">
        <f t="shared" si="43"/>
        <v>108768413213.5209</v>
      </c>
      <c r="H167" s="92">
        <f t="shared" si="43"/>
        <v>110069502799.14342</v>
      </c>
      <c r="I167" s="92">
        <f t="shared" si="43"/>
        <v>111390592384.76593</v>
      </c>
      <c r="J167" s="92">
        <f t="shared" si="43"/>
        <v>112728681970.38843</v>
      </c>
      <c r="K167" s="92">
        <f t="shared" si="43"/>
        <v>114086771556.01094</v>
      </c>
      <c r="L167" s="92">
        <f t="shared" si="43"/>
        <v>115444861141.63345</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row>
    <row r="168" spans="1:46" x14ac:dyDescent="0.3">
      <c r="A168" s="86" t="str">
        <f t="shared" si="42"/>
        <v>other metals 242</v>
      </c>
      <c r="B168" s="86" t="str">
        <f t="shared" si="42"/>
        <v>ISIC 242</v>
      </c>
      <c r="C168" s="92">
        <f t="shared" si="43"/>
        <v>108613202869.28502</v>
      </c>
      <c r="D168" s="92">
        <f t="shared" si="43"/>
        <v>110045405738.57005</v>
      </c>
      <c r="E168" s="92">
        <f t="shared" si="43"/>
        <v>111379352184.9223</v>
      </c>
      <c r="F168" s="92">
        <f t="shared" si="43"/>
        <v>112620298631.27455</v>
      </c>
      <c r="G168" s="92">
        <f t="shared" si="43"/>
        <v>113762245077.62682</v>
      </c>
      <c r="H168" s="92">
        <f t="shared" si="43"/>
        <v>114917191523.97906</v>
      </c>
      <c r="I168" s="92">
        <f t="shared" si="43"/>
        <v>116083137970.33131</v>
      </c>
      <c r="J168" s="92">
        <f t="shared" si="43"/>
        <v>117262084416.68356</v>
      </c>
      <c r="K168" s="92">
        <f t="shared" si="43"/>
        <v>118453030863.03583</v>
      </c>
      <c r="L168" s="92">
        <f t="shared" si="43"/>
        <v>119643977309.38808</v>
      </c>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row>
    <row r="169" spans="1:46" x14ac:dyDescent="0.3">
      <c r="A169" s="86" t="str">
        <f t="shared" si="42"/>
        <v>glass and glass products 231</v>
      </c>
      <c r="B169" s="86" t="str">
        <f t="shared" si="42"/>
        <v>ISIC 231</v>
      </c>
      <c r="C169" s="92">
        <f t="shared" si="43"/>
        <v>32613503529.912479</v>
      </c>
      <c r="D169" s="92">
        <f t="shared" si="43"/>
        <v>33457207059.824963</v>
      </c>
      <c r="E169" s="92">
        <f t="shared" si="43"/>
        <v>34154645883.542141</v>
      </c>
      <c r="F169" s="92">
        <f t="shared" si="43"/>
        <v>34756384707.259323</v>
      </c>
      <c r="G169" s="92">
        <f t="shared" si="43"/>
        <v>35255823530.976501</v>
      </c>
      <c r="H169" s="92">
        <f t="shared" si="43"/>
        <v>35762562354.69368</v>
      </c>
      <c r="I169" s="92">
        <f t="shared" si="43"/>
        <v>36276801178.410858</v>
      </c>
      <c r="J169" s="92">
        <f t="shared" si="43"/>
        <v>36798740002.128044</v>
      </c>
      <c r="K169" s="92">
        <f t="shared" si="43"/>
        <v>37328278825.845222</v>
      </c>
      <c r="L169" s="92">
        <f t="shared" si="43"/>
        <v>37857817649.562401</v>
      </c>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row>
    <row r="170" spans="1:46" x14ac:dyDescent="0.3">
      <c r="A170" s="86" t="str">
        <f t="shared" si="42"/>
        <v>road vehicles 29</v>
      </c>
      <c r="B170" s="86" t="str">
        <f t="shared" si="42"/>
        <v>ISIC 29</v>
      </c>
      <c r="C170" s="92">
        <f t="shared" si="43"/>
        <v>1001176666666.6666</v>
      </c>
      <c r="D170" s="92">
        <f t="shared" si="43"/>
        <v>1039913333333.3334</v>
      </c>
      <c r="E170" s="92">
        <f t="shared" si="43"/>
        <v>1073093333333.3334</v>
      </c>
      <c r="F170" s="92">
        <f t="shared" si="43"/>
        <v>1100473333333.3333</v>
      </c>
      <c r="G170" s="92">
        <f t="shared" si="43"/>
        <v>1121433333333.3333</v>
      </c>
      <c r="H170" s="92">
        <f t="shared" si="43"/>
        <v>1142833333333.3333</v>
      </c>
      <c r="I170" s="92">
        <f t="shared" si="43"/>
        <v>1164693333333.3333</v>
      </c>
      <c r="J170" s="92">
        <f t="shared" si="43"/>
        <v>1187013333333.3333</v>
      </c>
      <c r="K170" s="92">
        <f t="shared" si="43"/>
        <v>1209803333333.3333</v>
      </c>
      <c r="L170" s="92">
        <f t="shared" si="43"/>
        <v>1232593333333.3333</v>
      </c>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row>
    <row r="171" spans="1:46" x14ac:dyDescent="0.3">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row>
    <row r="172" spans="1:46" x14ac:dyDescent="0.3">
      <c r="A172" s="88" t="s">
        <v>1320</v>
      </c>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6"/>
    </row>
    <row r="173" spans="1:46" x14ac:dyDescent="0.3">
      <c r="A173" s="88" t="str">
        <f t="shared" ref="A173:B173" si="44">A131</f>
        <v>Industry Category</v>
      </c>
      <c r="B173" s="88" t="str">
        <f t="shared" si="44"/>
        <v>ISIC Code</v>
      </c>
      <c r="C173" s="92"/>
      <c r="D173" s="92"/>
      <c r="E173" s="92"/>
      <c r="F173" s="92"/>
      <c r="G173" s="92"/>
      <c r="H173" s="92"/>
      <c r="I173" s="92"/>
      <c r="J173" s="92"/>
      <c r="K173" s="92"/>
      <c r="L173" s="92"/>
      <c r="M173" s="86"/>
      <c r="N173" s="86"/>
    </row>
    <row r="174" spans="1:46" x14ac:dyDescent="0.3">
      <c r="A174" s="86" t="str">
        <f t="shared" ref="A174:A184" si="45">A146</f>
        <v>appliances and and electrical equipment 27</v>
      </c>
      <c r="B174" s="86" t="str">
        <f t="shared" ref="B174" si="46">B146</f>
        <v>ISIC 27</v>
      </c>
      <c r="C174" s="124">
        <f>C160/C118-1</f>
        <v>1.9409085253541347E-2</v>
      </c>
      <c r="D174" s="124">
        <f t="shared" ref="D174:L174" si="47">D160/D118-1</f>
        <v>3.8226549295441448E-2</v>
      </c>
      <c r="E174" s="124">
        <f t="shared" si="47"/>
        <v>4.5139078113981546E-2</v>
      </c>
      <c r="F174" s="124">
        <f t="shared" si="47"/>
        <v>5.1884652502957707E-2</v>
      </c>
      <c r="G174" s="124">
        <f t="shared" si="47"/>
        <v>5.8484428385861653E-2</v>
      </c>
      <c r="H174" s="124">
        <f t="shared" si="47"/>
        <v>6.4903273392759919E-2</v>
      </c>
      <c r="I174" s="124">
        <f t="shared" si="47"/>
        <v>7.1143837950183642E-2</v>
      </c>
      <c r="J174" s="124">
        <f t="shared" si="47"/>
        <v>7.7209190632355096E-2</v>
      </c>
      <c r="K174" s="124">
        <f t="shared" si="47"/>
        <v>8.3101919876885644E-2</v>
      </c>
      <c r="L174" s="124">
        <f t="shared" si="47"/>
        <v>8.8843099092663635E-2</v>
      </c>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row>
    <row r="175" spans="1:46" x14ac:dyDescent="0.3">
      <c r="A175" s="86" t="str">
        <f t="shared" si="45"/>
        <v>chemicals 20</v>
      </c>
      <c r="B175" s="86" t="str">
        <f t="shared" ref="B175:B184" si="48">B147</f>
        <v>ISIC 20</v>
      </c>
      <c r="C175" s="124">
        <f t="shared" ref="C175:L184" si="49">C161/C119-1</f>
        <v>1.2255952682993509E-4</v>
      </c>
      <c r="D175" s="124">
        <f t="shared" si="49"/>
        <v>2.4109320426490832E-4</v>
      </c>
      <c r="E175" s="124">
        <f t="shared" si="49"/>
        <v>2.8168716346055334E-4</v>
      </c>
      <c r="F175" s="124">
        <f t="shared" si="49"/>
        <v>3.2101661174843699E-4</v>
      </c>
      <c r="G175" s="124">
        <f t="shared" si="49"/>
        <v>3.5915385413254342E-4</v>
      </c>
      <c r="H175" s="124">
        <f t="shared" si="49"/>
        <v>3.9601567626479373E-4</v>
      </c>
      <c r="I175" s="124">
        <f t="shared" si="49"/>
        <v>4.3162762987902781E-4</v>
      </c>
      <c r="J175" s="124">
        <f t="shared" si="49"/>
        <v>4.6601321335582035E-4</v>
      </c>
      <c r="K175" s="124">
        <f t="shared" si="49"/>
        <v>4.9919706112611095E-4</v>
      </c>
      <c r="L175" s="124">
        <f t="shared" si="49"/>
        <v>5.3135846839547085E-4</v>
      </c>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row>
    <row r="176" spans="1:46" x14ac:dyDescent="0.3">
      <c r="A176" s="86" t="str">
        <f t="shared" si="45"/>
        <v>other machinery 28</v>
      </c>
      <c r="B176" s="86" t="str">
        <f t="shared" si="48"/>
        <v>ISIC 28</v>
      </c>
      <c r="C176" s="124">
        <f t="shared" si="49"/>
        <v>1.0855162639371585E-3</v>
      </c>
      <c r="D176" s="124">
        <f t="shared" si="49"/>
        <v>2.1364756475654723E-3</v>
      </c>
      <c r="E176" s="124">
        <f t="shared" si="49"/>
        <v>2.4992509433860999E-3</v>
      </c>
      <c r="F176" s="124">
        <f t="shared" si="49"/>
        <v>2.8537035056461768E-3</v>
      </c>
      <c r="G176" s="124">
        <f t="shared" si="49"/>
        <v>3.201195606361118E-3</v>
      </c>
      <c r="H176" s="124">
        <f t="shared" si="49"/>
        <v>3.5391694821331754E-3</v>
      </c>
      <c r="I176" s="124">
        <f t="shared" si="49"/>
        <v>3.867780379523289E-3</v>
      </c>
      <c r="J176" s="124">
        <f t="shared" si="49"/>
        <v>4.1871750679625119E-3</v>
      </c>
      <c r="K176" s="124">
        <f t="shared" si="49"/>
        <v>4.4975077856124202E-3</v>
      </c>
      <c r="L176" s="124">
        <f t="shared" si="49"/>
        <v>4.7998903065773479E-3</v>
      </c>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6"/>
    </row>
    <row r="177" spans="1:46" x14ac:dyDescent="0.3">
      <c r="A177" s="86" t="str">
        <f t="shared" si="45"/>
        <v>other manufacturing 31T33</v>
      </c>
      <c r="B177" s="86" t="str">
        <f t="shared" si="48"/>
        <v>ISIC 31T33</v>
      </c>
      <c r="C177" s="124">
        <f t="shared" si="49"/>
        <v>2.4571728667766024E-5</v>
      </c>
      <c r="D177" s="124">
        <f t="shared" si="49"/>
        <v>4.8745111863812696E-5</v>
      </c>
      <c r="E177" s="124">
        <f t="shared" si="49"/>
        <v>5.7368540836044701E-5</v>
      </c>
      <c r="F177" s="124">
        <f t="shared" si="49"/>
        <v>6.5780735886811215E-5</v>
      </c>
      <c r="G177" s="124">
        <f t="shared" si="49"/>
        <v>7.3962367878710467E-5</v>
      </c>
      <c r="H177" s="124">
        <f t="shared" si="49"/>
        <v>8.1962254455225647E-5</v>
      </c>
      <c r="I177" s="124">
        <f t="shared" si="49"/>
        <v>8.9782248440029022E-5</v>
      </c>
      <c r="J177" s="124">
        <f t="shared" si="49"/>
        <v>9.7424766063225476E-5</v>
      </c>
      <c r="K177" s="124">
        <f t="shared" si="49"/>
        <v>1.0489188060436305E-4</v>
      </c>
      <c r="L177" s="124">
        <f t="shared" si="49"/>
        <v>1.1220161281255692E-4</v>
      </c>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6"/>
    </row>
    <row r="178" spans="1:46" x14ac:dyDescent="0.3">
      <c r="A178" s="86" t="str">
        <f t="shared" si="45"/>
        <v>rubber and plastic products 22</v>
      </c>
      <c r="B178" s="86" t="str">
        <f t="shared" si="48"/>
        <v>ISIC 22</v>
      </c>
      <c r="C178" s="124">
        <f t="shared" si="49"/>
        <v>1.3994782081638846E-5</v>
      </c>
      <c r="D178" s="124">
        <f t="shared" si="49"/>
        <v>2.7588662375732653E-5</v>
      </c>
      <c r="E178" s="124">
        <f t="shared" si="49"/>
        <v>3.2291907144266219E-5</v>
      </c>
      <c r="F178" s="124">
        <f t="shared" si="49"/>
        <v>3.685433892108847E-5</v>
      </c>
      <c r="G178" s="124">
        <f t="shared" si="49"/>
        <v>4.1278891057983103E-5</v>
      </c>
      <c r="H178" s="124">
        <f t="shared" si="49"/>
        <v>4.5566750808134771E-5</v>
      </c>
      <c r="I178" s="124">
        <f t="shared" si="49"/>
        <v>4.9720540426179127E-5</v>
      </c>
      <c r="J178" s="124">
        <f t="shared" si="49"/>
        <v>5.3742350574870201E-5</v>
      </c>
      <c r="K178" s="124">
        <f t="shared" si="49"/>
        <v>5.7634997166600144E-5</v>
      </c>
      <c r="L178" s="124">
        <f t="shared" si="49"/>
        <v>6.1416201965425188E-5</v>
      </c>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row>
    <row r="179" spans="1:46" x14ac:dyDescent="0.3">
      <c r="A179" s="86" t="str">
        <f t="shared" si="45"/>
        <v>metal products except machinery and vehicles 25</v>
      </c>
      <c r="B179" s="86" t="str">
        <f t="shared" si="48"/>
        <v>ISIC 25</v>
      </c>
      <c r="C179" s="124">
        <f t="shared" si="49"/>
        <v>7.4373478661948766E-4</v>
      </c>
      <c r="D179" s="124">
        <f t="shared" si="49"/>
        <v>1.4651088692223535E-3</v>
      </c>
      <c r="E179" s="124">
        <f t="shared" si="49"/>
        <v>1.716539670077788E-3</v>
      </c>
      <c r="F179" s="124">
        <f t="shared" si="49"/>
        <v>1.9643044405897037E-3</v>
      </c>
      <c r="G179" s="124">
        <f t="shared" si="49"/>
        <v>2.2098164994317493E-3</v>
      </c>
      <c r="H179" s="124">
        <f t="shared" si="49"/>
        <v>2.450163935425298E-3</v>
      </c>
      <c r="I179" s="124">
        <f t="shared" si="49"/>
        <v>2.6854140020282635E-3</v>
      </c>
      <c r="J179" s="124">
        <f t="shared" si="49"/>
        <v>2.9156220862867066E-3</v>
      </c>
      <c r="K179" s="124">
        <f t="shared" si="49"/>
        <v>3.1408615563410791E-3</v>
      </c>
      <c r="L179" s="124">
        <f t="shared" si="49"/>
        <v>3.3616001360159409E-3</v>
      </c>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6"/>
    </row>
    <row r="180" spans="1:46" x14ac:dyDescent="0.3">
      <c r="A180" s="86" t="str">
        <f t="shared" si="45"/>
        <v>nonroad vehicles 30</v>
      </c>
      <c r="B180" s="86" t="str">
        <f t="shared" si="48"/>
        <v>ISIC 30</v>
      </c>
      <c r="C180" s="124">
        <f t="shared" si="49"/>
        <v>7.9616891503953013E-4</v>
      </c>
      <c r="D180" s="124">
        <f t="shared" si="49"/>
        <v>1.566879059036852E-3</v>
      </c>
      <c r="E180" s="124">
        <f t="shared" si="49"/>
        <v>1.8300755081483988E-3</v>
      </c>
      <c r="F180" s="124">
        <f t="shared" si="49"/>
        <v>2.08321183912763E-3</v>
      </c>
      <c r="G180" s="124">
        <f t="shared" si="49"/>
        <v>2.3261647613508352E-3</v>
      </c>
      <c r="H180" s="124">
        <f t="shared" si="49"/>
        <v>2.5598921418255038E-3</v>
      </c>
      <c r="I180" s="124">
        <f t="shared" si="49"/>
        <v>2.7845766510639081E-3</v>
      </c>
      <c r="J180" s="124">
        <f t="shared" si="49"/>
        <v>3.0004387253623754E-3</v>
      </c>
      <c r="K180" s="124">
        <f t="shared" si="49"/>
        <v>3.2076644041358904E-3</v>
      </c>
      <c r="L180" s="124">
        <f t="shared" si="49"/>
        <v>3.407715563322089E-3</v>
      </c>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row>
    <row r="181" spans="1:46" x14ac:dyDescent="0.3">
      <c r="A181" s="86" t="str">
        <f t="shared" si="45"/>
        <v>cement and other nonmetallic minerals 239</v>
      </c>
      <c r="B181" s="86" t="str">
        <f t="shared" si="48"/>
        <v>ISIC 239</v>
      </c>
      <c r="C181" s="124">
        <f t="shared" si="49"/>
        <v>4.4168551752021834E-4</v>
      </c>
      <c r="D181" s="124">
        <f t="shared" si="49"/>
        <v>8.7110375178856003E-4</v>
      </c>
      <c r="E181" s="124">
        <f t="shared" si="49"/>
        <v>1.0208254793719895E-3</v>
      </c>
      <c r="F181" s="124">
        <f t="shared" si="49"/>
        <v>1.1673322953678067E-3</v>
      </c>
      <c r="G181" s="124">
        <f t="shared" si="49"/>
        <v>1.3110416799007041E-3</v>
      </c>
      <c r="H181" s="124">
        <f t="shared" si="49"/>
        <v>1.4512128026877846E-3</v>
      </c>
      <c r="I181" s="124">
        <f t="shared" si="49"/>
        <v>1.5878611035116119E-3</v>
      </c>
      <c r="J181" s="124">
        <f t="shared" si="49"/>
        <v>1.7210820668096538E-3</v>
      </c>
      <c r="K181" s="124">
        <f t="shared" si="49"/>
        <v>1.8508865433537469E-3</v>
      </c>
      <c r="L181" s="124">
        <f t="shared" si="49"/>
        <v>1.9776694553186314E-3</v>
      </c>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row>
    <row r="182" spans="1:46" x14ac:dyDescent="0.3">
      <c r="A182" s="86" t="str">
        <f t="shared" si="45"/>
        <v>other metals 242</v>
      </c>
      <c r="B182" s="86" t="str">
        <f t="shared" si="48"/>
        <v>ISIC 242</v>
      </c>
      <c r="C182" s="124">
        <f t="shared" si="49"/>
        <v>9.6031545111485705E-4</v>
      </c>
      <c r="D182" s="124">
        <f t="shared" si="49"/>
        <v>1.8974092388726049E-3</v>
      </c>
      <c r="E182" s="124">
        <f t="shared" si="49"/>
        <v>2.7490878596458934E-3</v>
      </c>
      <c r="F182" s="124">
        <f t="shared" si="49"/>
        <v>3.5849741688014358E-3</v>
      </c>
      <c r="G182" s="124">
        <f t="shared" si="49"/>
        <v>4.4078390791946198E-3</v>
      </c>
      <c r="H182" s="124">
        <f t="shared" si="49"/>
        <v>5.2150656832870013E-3</v>
      </c>
      <c r="I182" s="124">
        <f t="shared" si="49"/>
        <v>6.0069154201518593E-3</v>
      </c>
      <c r="J182" s="124">
        <f t="shared" si="49"/>
        <v>6.7834708486465001E-3</v>
      </c>
      <c r="K182" s="124">
        <f t="shared" si="49"/>
        <v>7.5449608138051794E-3</v>
      </c>
      <c r="L182" s="124">
        <f t="shared" si="49"/>
        <v>8.2924094841401175E-3</v>
      </c>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row>
    <row r="183" spans="1:46" x14ac:dyDescent="0.3">
      <c r="A183" s="86" t="str">
        <f t="shared" si="45"/>
        <v>glass and glass products 231</v>
      </c>
      <c r="B183" s="86" t="str">
        <f t="shared" si="48"/>
        <v>ISIC 231</v>
      </c>
      <c r="C183" s="124">
        <f t="shared" si="49"/>
        <v>2.856759405191811E-3</v>
      </c>
      <c r="D183" s="124">
        <f t="shared" si="49"/>
        <v>5.5845879591769343E-3</v>
      </c>
      <c r="E183" s="124">
        <f t="shared" si="49"/>
        <v>6.5022067407951578E-3</v>
      </c>
      <c r="F183" s="124">
        <f t="shared" si="49"/>
        <v>7.4051606554994542E-3</v>
      </c>
      <c r="G183" s="124">
        <f t="shared" si="49"/>
        <v>8.3031425541320036E-3</v>
      </c>
      <c r="H183" s="124">
        <f t="shared" si="49"/>
        <v>9.1756831678870832E-3</v>
      </c>
      <c r="I183" s="124">
        <f t="shared" si="49"/>
        <v>1.0023197456645816E-2</v>
      </c>
      <c r="J183" s="124">
        <f t="shared" si="49"/>
        <v>1.0846090724566437E-2</v>
      </c>
      <c r="K183" s="124">
        <f t="shared" si="49"/>
        <v>1.1644854434727181E-2</v>
      </c>
      <c r="L183" s="124">
        <f t="shared" si="49"/>
        <v>1.2422483427844133E-2</v>
      </c>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c r="AT183" s="86"/>
    </row>
    <row r="184" spans="1:46" x14ac:dyDescent="0.3">
      <c r="A184" s="86" t="str">
        <f t="shared" si="45"/>
        <v>road vehicles 29</v>
      </c>
      <c r="B184" s="86" t="str">
        <f t="shared" si="48"/>
        <v>ISIC 29</v>
      </c>
      <c r="C184" s="124">
        <f t="shared" si="49"/>
        <v>7.4634573799925441E-4</v>
      </c>
      <c r="D184" s="124">
        <f t="shared" si="49"/>
        <v>1.4380822146466965E-3</v>
      </c>
      <c r="E184" s="124">
        <f t="shared" si="49"/>
        <v>1.6552788460342249E-3</v>
      </c>
      <c r="F184" s="124">
        <f t="shared" si="49"/>
        <v>1.8693517355230505E-3</v>
      </c>
      <c r="G184" s="124">
        <f t="shared" si="49"/>
        <v>2.0850087868227174E-3</v>
      </c>
      <c r="H184" s="124">
        <f t="shared" si="49"/>
        <v>2.2919553536451254E-3</v>
      </c>
      <c r="I184" s="124">
        <f t="shared" si="49"/>
        <v>2.4903884776494856E-3</v>
      </c>
      <c r="J184" s="124">
        <f t="shared" si="49"/>
        <v>2.6805424156417512E-3</v>
      </c>
      <c r="K184" s="124">
        <f t="shared" si="49"/>
        <v>2.8626296956382191E-3</v>
      </c>
      <c r="L184" s="124">
        <f t="shared" si="49"/>
        <v>3.0380461023495897E-3</v>
      </c>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c r="AT184" s="86"/>
    </row>
    <row r="185" spans="1:46" x14ac:dyDescent="0.3">
      <c r="A185" s="86"/>
      <c r="B185" s="86"/>
      <c r="C185" s="93"/>
      <c r="D185" s="93"/>
      <c r="E185" s="93"/>
      <c r="F185" s="93"/>
      <c r="G185" s="93"/>
      <c r="H185" s="93"/>
      <c r="I185" s="93"/>
      <c r="J185" s="93"/>
      <c r="K185" s="93"/>
      <c r="L185" s="93"/>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row>
    <row r="186" spans="1:46" x14ac:dyDescent="0.3">
      <c r="A186" s="88" t="s">
        <v>726</v>
      </c>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row>
    <row r="187" spans="1:46" x14ac:dyDescent="0.3">
      <c r="A187" s="88" t="str">
        <f t="shared" ref="A187:B198" si="50">A159</f>
        <v>Industry Category</v>
      </c>
      <c r="B187" s="88" t="str">
        <f t="shared" si="50"/>
        <v>ISIC Code</v>
      </c>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row>
    <row r="188" spans="1:46" x14ac:dyDescent="0.3">
      <c r="A188" s="86" t="str">
        <f t="shared" si="50"/>
        <v>appliances and and electrical equipment 27</v>
      </c>
      <c r="B188" s="86" t="str">
        <f t="shared" si="50"/>
        <v>ISIC 27</v>
      </c>
      <c r="C188" s="93">
        <f t="shared" ref="C188:L188" si="51">C160/(C146+C104)</f>
        <v>0.61456339289989537</v>
      </c>
      <c r="D188" s="93">
        <f t="shared" si="51"/>
        <v>0.61888687030211698</v>
      </c>
      <c r="E188" s="93">
        <f t="shared" si="51"/>
        <v>0.62045082491595183</v>
      </c>
      <c r="F188" s="93">
        <f t="shared" si="51"/>
        <v>0.62196468100746127</v>
      </c>
      <c r="G188" s="93">
        <f t="shared" si="51"/>
        <v>0.62343417459940442</v>
      </c>
      <c r="H188" s="93">
        <f t="shared" si="51"/>
        <v>0.62485246485215551</v>
      </c>
      <c r="I188" s="93">
        <f t="shared" si="51"/>
        <v>0.62622115745592921</v>
      </c>
      <c r="J188" s="93">
        <f t="shared" si="51"/>
        <v>0.62754188562859237</v>
      </c>
      <c r="K188" s="93">
        <f t="shared" si="51"/>
        <v>0.62881611691990125</v>
      </c>
      <c r="L188" s="93">
        <f t="shared" si="51"/>
        <v>0.63004922002109509</v>
      </c>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row>
    <row r="189" spans="1:46" x14ac:dyDescent="0.3">
      <c r="A189" s="86" t="str">
        <f t="shared" si="50"/>
        <v>chemicals 20</v>
      </c>
      <c r="B189" s="86" t="str">
        <f t="shared" si="50"/>
        <v>ISIC 20</v>
      </c>
      <c r="C189" s="93">
        <f t="shared" ref="C189:L189" si="52">C161/(C147+C105)</f>
        <v>0.87201367814233754</v>
      </c>
      <c r="D189" s="93">
        <f t="shared" si="52"/>
        <v>0.8720269042029285</v>
      </c>
      <c r="E189" s="93">
        <f t="shared" si="52"/>
        <v>0.87203143307349307</v>
      </c>
      <c r="F189" s="93">
        <f t="shared" si="52"/>
        <v>0.87203582056301265</v>
      </c>
      <c r="G189" s="93">
        <f t="shared" si="52"/>
        <v>0.87204007476588108</v>
      </c>
      <c r="H189" s="93">
        <f t="shared" si="52"/>
        <v>0.87204418642701453</v>
      </c>
      <c r="I189" s="93">
        <f t="shared" si="52"/>
        <v>0.87204815842370309</v>
      </c>
      <c r="J189" s="93">
        <f t="shared" si="52"/>
        <v>0.87205199340259976</v>
      </c>
      <c r="K189" s="93">
        <f t="shared" si="52"/>
        <v>0.87205569413552653</v>
      </c>
      <c r="L189" s="93">
        <f t="shared" si="52"/>
        <v>0.87205928063944516</v>
      </c>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row>
    <row r="190" spans="1:46" x14ac:dyDescent="0.3">
      <c r="A190" s="86" t="str">
        <f t="shared" si="50"/>
        <v>other machinery 28</v>
      </c>
      <c r="B190" s="86" t="str">
        <f t="shared" si="50"/>
        <v>ISIC 28</v>
      </c>
      <c r="C190" s="93">
        <f t="shared" ref="C190:L190" si="53">C162/(C148+C106)</f>
        <v>0.74920391018258703</v>
      </c>
      <c r="D190" s="93">
        <f t="shared" si="53"/>
        <v>0.74940101357521904</v>
      </c>
      <c r="E190" s="93">
        <f t="shared" si="53"/>
        <v>0.74946897877846053</v>
      </c>
      <c r="F190" s="93">
        <f t="shared" si="53"/>
        <v>0.74953534913730346</v>
      </c>
      <c r="G190" s="93">
        <f t="shared" si="53"/>
        <v>0.74960038203948054</v>
      </c>
      <c r="H190" s="93">
        <f t="shared" si="53"/>
        <v>0.74966360122416797</v>
      </c>
      <c r="I190" s="93">
        <f t="shared" si="53"/>
        <v>0.74972503843079674</v>
      </c>
      <c r="J190" s="93">
        <f t="shared" si="53"/>
        <v>0.74978472367980675</v>
      </c>
      <c r="K190" s="93">
        <f t="shared" si="53"/>
        <v>0.74984268825843203</v>
      </c>
      <c r="L190" s="93">
        <f t="shared" si="53"/>
        <v>0.74989914205609998</v>
      </c>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row>
    <row r="191" spans="1:46" x14ac:dyDescent="0.3">
      <c r="A191" s="86" t="str">
        <f t="shared" si="50"/>
        <v>other manufacturing 31T33</v>
      </c>
      <c r="B191" s="86" t="str">
        <f t="shared" si="50"/>
        <v>ISIC 31T33</v>
      </c>
      <c r="C191" s="93">
        <f t="shared" ref="C191:L191" si="54">C163/(C149+C107)</f>
        <v>0.72700487668844505</v>
      </c>
      <c r="D191" s="93">
        <f t="shared" si="54"/>
        <v>0.72700967414826712</v>
      </c>
      <c r="E191" s="93">
        <f t="shared" si="54"/>
        <v>0.72701138551681321</v>
      </c>
      <c r="F191" s="93">
        <f t="shared" si="54"/>
        <v>0.72701305494411084</v>
      </c>
      <c r="G191" s="93">
        <f t="shared" si="54"/>
        <v>0.72701467859583768</v>
      </c>
      <c r="H191" s="93">
        <f t="shared" si="54"/>
        <v>0.72701626616135928</v>
      </c>
      <c r="I191" s="93">
        <f t="shared" si="54"/>
        <v>0.7270178180096184</v>
      </c>
      <c r="J191" s="93">
        <f t="shared" si="54"/>
        <v>0.72701933462131652</v>
      </c>
      <c r="K191" s="93">
        <f t="shared" si="54"/>
        <v>0.72702081640905103</v>
      </c>
      <c r="L191" s="93">
        <f t="shared" si="54"/>
        <v>0.72702226694996863</v>
      </c>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row>
    <row r="192" spans="1:46" x14ac:dyDescent="0.3">
      <c r="A192" s="86" t="str">
        <f t="shared" si="50"/>
        <v>rubber and plastic products 22</v>
      </c>
      <c r="B192" s="86" t="str">
        <f t="shared" si="50"/>
        <v>ISIC 22</v>
      </c>
      <c r="C192" s="93">
        <f t="shared" ref="C192:L192" si="55">C164/(C150+C108)</f>
        <v>0.83300194680543482</v>
      </c>
      <c r="D192" s="93">
        <f t="shared" si="55"/>
        <v>0.83300383779821396</v>
      </c>
      <c r="E192" s="93">
        <f t="shared" si="55"/>
        <v>0.83300449203866256</v>
      </c>
      <c r="F192" s="93">
        <f t="shared" si="55"/>
        <v>0.83300512668655402</v>
      </c>
      <c r="G192" s="93">
        <f t="shared" si="55"/>
        <v>0.83300574215036827</v>
      </c>
      <c r="H192" s="93">
        <f t="shared" si="55"/>
        <v>0.83300633859567685</v>
      </c>
      <c r="I192" s="93">
        <f t="shared" si="55"/>
        <v>0.83300691638764179</v>
      </c>
      <c r="J192" s="93">
        <f t="shared" si="55"/>
        <v>0.83300747581745804</v>
      </c>
      <c r="K192" s="93">
        <f t="shared" si="55"/>
        <v>0.83300801727718177</v>
      </c>
      <c r="L192" s="93">
        <f t="shared" si="55"/>
        <v>0.83300854323220241</v>
      </c>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row>
    <row r="193" spans="1:46" x14ac:dyDescent="0.3">
      <c r="A193" s="86" t="str">
        <f t="shared" si="50"/>
        <v>metal products except machinery and vehicles 25</v>
      </c>
      <c r="B193" s="86" t="str">
        <f t="shared" si="50"/>
        <v>ISIC 25</v>
      </c>
      <c r="C193" s="93">
        <f t="shared" ref="C193:L193" si="56">C165/(C151+C109)</f>
        <v>0.85909002290085357</v>
      </c>
      <c r="D193" s="93">
        <f t="shared" si="56"/>
        <v>0.85917722947278552</v>
      </c>
      <c r="E193" s="93">
        <f t="shared" si="56"/>
        <v>0.85920759946132153</v>
      </c>
      <c r="F193" s="93">
        <f t="shared" si="56"/>
        <v>0.85923751382355507</v>
      </c>
      <c r="G193" s="93">
        <f t="shared" si="56"/>
        <v>0.85926714366384371</v>
      </c>
      <c r="H193" s="93">
        <f t="shared" si="56"/>
        <v>0.8592961381264983</v>
      </c>
      <c r="I193" s="93">
        <f t="shared" si="56"/>
        <v>0.85932450609737765</v>
      </c>
      <c r="J193" s="93">
        <f t="shared" si="56"/>
        <v>0.85935225500199253</v>
      </c>
      <c r="K193" s="93">
        <f t="shared" si="56"/>
        <v>0.85937939440470934</v>
      </c>
      <c r="L193" s="93">
        <f t="shared" si="56"/>
        <v>0.85940598132929402</v>
      </c>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row>
    <row r="194" spans="1:46" x14ac:dyDescent="0.3">
      <c r="A194" s="86" t="str">
        <f t="shared" si="50"/>
        <v>nonroad vehicles 30</v>
      </c>
      <c r="B194" s="86" t="str">
        <f t="shared" si="50"/>
        <v>ISIC 30</v>
      </c>
      <c r="C194" s="93">
        <f t="shared" ref="C194:L194" si="57">C166/(C152+C110)</f>
        <v>0.80612441231933496</v>
      </c>
      <c r="D194" s="93">
        <f t="shared" si="57"/>
        <v>0.80624469445145808</v>
      </c>
      <c r="E194" s="93">
        <f t="shared" si="57"/>
        <v>0.80628573645381174</v>
      </c>
      <c r="F194" s="93">
        <f t="shared" si="57"/>
        <v>0.80632519331408459</v>
      </c>
      <c r="G194" s="93">
        <f t="shared" si="57"/>
        <v>0.80636304775257961</v>
      </c>
      <c r="H194" s="93">
        <f t="shared" si="57"/>
        <v>0.80639945079879005</v>
      </c>
      <c r="I194" s="93">
        <f t="shared" si="57"/>
        <v>0.80643443251668923</v>
      </c>
      <c r="J194" s="93">
        <f t="shared" si="57"/>
        <v>0.80646802874185386</v>
      </c>
      <c r="K194" s="93">
        <f t="shared" si="57"/>
        <v>0.80650026985046808</v>
      </c>
      <c r="L194" s="93">
        <f t="shared" si="57"/>
        <v>0.80653138452564499</v>
      </c>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row>
    <row r="195" spans="1:46" x14ac:dyDescent="0.3">
      <c r="A195" s="86" t="str">
        <f t="shared" si="50"/>
        <v>cement and other nonmetallic minerals 239</v>
      </c>
      <c r="B195" s="86" t="str">
        <f t="shared" si="50"/>
        <v>ISIC 239</v>
      </c>
      <c r="C195" s="93">
        <f t="shared" ref="C195:L195" si="58">C167/(C153+C111)</f>
        <v>0.84405813241122862</v>
      </c>
      <c r="D195" s="93">
        <f t="shared" si="58"/>
        <v>0.84411460874270217</v>
      </c>
      <c r="E195" s="93">
        <f t="shared" si="58"/>
        <v>0.84413429026455244</v>
      </c>
      <c r="F195" s="93">
        <f t="shared" si="58"/>
        <v>0.84415354436306134</v>
      </c>
      <c r="G195" s="93">
        <f t="shared" si="58"/>
        <v>0.84417242619884658</v>
      </c>
      <c r="H195" s="93">
        <f t="shared" si="58"/>
        <v>0.84419083873866119</v>
      </c>
      <c r="I195" s="93">
        <f t="shared" si="58"/>
        <v>0.84420878434100199</v>
      </c>
      <c r="J195" s="93">
        <f t="shared" si="58"/>
        <v>0.84422627586245069</v>
      </c>
      <c r="K195" s="93">
        <f t="shared" si="58"/>
        <v>0.84424331503169492</v>
      </c>
      <c r="L195" s="93">
        <f t="shared" si="58"/>
        <v>0.84425995396821385</v>
      </c>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row>
    <row r="196" spans="1:46" x14ac:dyDescent="0.3">
      <c r="A196" s="86" t="str">
        <f t="shared" si="50"/>
        <v>other metals 242</v>
      </c>
      <c r="B196" s="86" t="str">
        <f t="shared" si="50"/>
        <v>ISIC 242</v>
      </c>
      <c r="C196" s="93">
        <f t="shared" ref="C196:L196" si="59">C168/(C154+C112)</f>
        <v>0.7311887030022588</v>
      </c>
      <c r="D196" s="93">
        <f t="shared" si="59"/>
        <v>0.73137258787364923</v>
      </c>
      <c r="E196" s="93">
        <f t="shared" si="59"/>
        <v>0.73153949373008265</v>
      </c>
      <c r="F196" s="93">
        <f t="shared" si="59"/>
        <v>0.73170310317207388</v>
      </c>
      <c r="G196" s="93">
        <f t="shared" si="59"/>
        <v>0.73186396924714658</v>
      </c>
      <c r="H196" s="93">
        <f t="shared" si="59"/>
        <v>0.73202159077923179</v>
      </c>
      <c r="I196" s="93">
        <f t="shared" si="59"/>
        <v>0.73217602982943808</v>
      </c>
      <c r="J196" s="93">
        <f t="shared" si="59"/>
        <v>0.73232731315365496</v>
      </c>
      <c r="K196" s="93">
        <f t="shared" si="59"/>
        <v>0.73247549565039871</v>
      </c>
      <c r="L196" s="93">
        <f t="shared" si="59"/>
        <v>0.73262078630500704</v>
      </c>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row>
    <row r="197" spans="1:46" x14ac:dyDescent="0.3">
      <c r="A197" s="86" t="str">
        <f t="shared" si="50"/>
        <v>glass and glass products 231</v>
      </c>
      <c r="B197" s="86" t="str">
        <f t="shared" si="50"/>
        <v>ISIC 231</v>
      </c>
      <c r="C197" s="93">
        <f t="shared" ref="C197:L197" si="60">C169/(C155+C113)</f>
        <v>0.77250172884151513</v>
      </c>
      <c r="D197" s="93">
        <f t="shared" si="60"/>
        <v>0.77297875711680097</v>
      </c>
      <c r="E197" s="93">
        <f t="shared" si="60"/>
        <v>0.7731387761031786</v>
      </c>
      <c r="F197" s="93">
        <f t="shared" si="60"/>
        <v>0.77329601770462719</v>
      </c>
      <c r="G197" s="93">
        <f t="shared" si="60"/>
        <v>0.77345217744455663</v>
      </c>
      <c r="H197" s="93">
        <f t="shared" si="60"/>
        <v>0.77360370698572423</v>
      </c>
      <c r="I197" s="93">
        <f t="shared" si="60"/>
        <v>0.77375069639512339</v>
      </c>
      <c r="J197" s="93">
        <f t="shared" si="60"/>
        <v>0.77389323311942337</v>
      </c>
      <c r="K197" s="93">
        <f t="shared" si="60"/>
        <v>0.77403141859518088</v>
      </c>
      <c r="L197" s="93">
        <f t="shared" si="60"/>
        <v>0.77416578561847904</v>
      </c>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c r="AQ197" s="86"/>
      <c r="AR197" s="86"/>
      <c r="AS197" s="86"/>
      <c r="AT197" s="86"/>
    </row>
    <row r="198" spans="1:46" x14ac:dyDescent="0.3">
      <c r="A198" s="86" t="str">
        <f t="shared" si="50"/>
        <v>road vehicles 29</v>
      </c>
      <c r="B198" s="86" t="str">
        <f t="shared" si="50"/>
        <v>ISIC 29</v>
      </c>
      <c r="C198" s="93">
        <f t="shared" ref="C198:L198" si="61">C170/(C156+C114)</f>
        <v>0.73514528979035321</v>
      </c>
      <c r="D198" s="93">
        <f t="shared" si="61"/>
        <v>0.73527980671034343</v>
      </c>
      <c r="E198" s="93">
        <f t="shared" si="61"/>
        <v>0.73532201516394291</v>
      </c>
      <c r="F198" s="93">
        <f t="shared" si="61"/>
        <v>0.73536360340283724</v>
      </c>
      <c r="G198" s="93">
        <f t="shared" si="61"/>
        <v>0.73540548618639112</v>
      </c>
      <c r="H198" s="93">
        <f t="shared" si="61"/>
        <v>0.73544566484272345</v>
      </c>
      <c r="I198" s="93">
        <f t="shared" si="61"/>
        <v>0.73548417915700182</v>
      </c>
      <c r="J198" s="93">
        <f t="shared" si="61"/>
        <v>0.73552107602571093</v>
      </c>
      <c r="K198" s="93">
        <f t="shared" si="61"/>
        <v>0.73555639801927086</v>
      </c>
      <c r="L198" s="93">
        <f t="shared" si="61"/>
        <v>0.73559041704963612</v>
      </c>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c r="AT198" s="86"/>
    </row>
    <row r="199" spans="1:46" x14ac:dyDescent="0.3">
      <c r="A199" s="88"/>
      <c r="B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c r="AT199" s="86"/>
    </row>
    <row r="200" spans="1:46" x14ac:dyDescent="0.3">
      <c r="A200" s="88" t="s">
        <v>1319</v>
      </c>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row>
    <row r="201" spans="1:46" x14ac:dyDescent="0.3">
      <c r="A201" s="88" t="str">
        <f t="shared" ref="A201:B201" si="62">A187</f>
        <v>Industry Category</v>
      </c>
      <c r="B201" s="88" t="str">
        <f t="shared" si="62"/>
        <v>ISIC Code</v>
      </c>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row>
    <row r="202" spans="1:46" x14ac:dyDescent="0.3">
      <c r="A202" s="86" t="str">
        <f t="shared" ref="A202:B202" si="63">A188</f>
        <v>appliances and and electrical equipment 27</v>
      </c>
      <c r="B202" s="86" t="str">
        <f t="shared" si="63"/>
        <v>ISIC 27</v>
      </c>
      <c r="C202" s="93">
        <f t="shared" ref="C202:C212" si="64">C188/$C132-1</f>
        <v>7.4809719670416719E-3</v>
      </c>
      <c r="D202" s="93">
        <f t="shared" ref="D202:L202" si="65">D188/$C132-1</f>
        <v>1.4568639839536157E-2</v>
      </c>
      <c r="E202" s="93">
        <f t="shared" si="65"/>
        <v>1.7132499862216211E-2</v>
      </c>
      <c r="F202" s="93">
        <f t="shared" si="65"/>
        <v>1.9614231159772677E-2</v>
      </c>
      <c r="G202" s="93">
        <f t="shared" si="65"/>
        <v>2.2023237048204081E-2</v>
      </c>
      <c r="H202" s="93">
        <f t="shared" si="65"/>
        <v>2.4348303036320518E-2</v>
      </c>
      <c r="I202" s="93">
        <f t="shared" si="65"/>
        <v>2.6592061403162726E-2</v>
      </c>
      <c r="J202" s="93">
        <f t="shared" si="65"/>
        <v>2.8757189555069562E-2</v>
      </c>
      <c r="K202" s="93">
        <f t="shared" si="65"/>
        <v>3.0846093311313494E-2</v>
      </c>
      <c r="L202" s="93">
        <f t="shared" si="65"/>
        <v>3.286757380507388E-2</v>
      </c>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6"/>
    </row>
    <row r="203" spans="1:46" x14ac:dyDescent="0.3">
      <c r="A203" s="86" t="str">
        <f t="shared" ref="A203:B203" si="66">A189</f>
        <v>chemicals 20</v>
      </c>
      <c r="B203" s="86" t="str">
        <f t="shared" si="66"/>
        <v>ISIC 20</v>
      </c>
      <c r="C203" s="93">
        <f t="shared" si="64"/>
        <v>1.5685943047571982E-5</v>
      </c>
      <c r="D203" s="93">
        <f t="shared" ref="D203:L203" si="67">D189/$C133-1</f>
        <v>3.0853443725442631E-5</v>
      </c>
      <c r="E203" s="93">
        <f t="shared" si="67"/>
        <v>3.604710262972155E-5</v>
      </c>
      <c r="F203" s="93">
        <f t="shared" si="67"/>
        <v>4.1078627308177573E-5</v>
      </c>
      <c r="G203" s="93">
        <f t="shared" si="67"/>
        <v>4.5957300322418959E-5</v>
      </c>
      <c r="H203" s="93">
        <f t="shared" si="67"/>
        <v>5.0672508044247166E-5</v>
      </c>
      <c r="I203" s="93">
        <f t="shared" si="67"/>
        <v>5.5227550118219781E-5</v>
      </c>
      <c r="J203" s="93">
        <f t="shared" si="67"/>
        <v>5.962546169691052E-5</v>
      </c>
      <c r="K203" s="93">
        <f t="shared" si="67"/>
        <v>6.3869421475404309E-5</v>
      </c>
      <c r="L203" s="93">
        <f t="shared" si="67"/>
        <v>6.7982384684750485E-5</v>
      </c>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c r="AQ203" s="86"/>
      <c r="AR203" s="86"/>
      <c r="AS203" s="86"/>
      <c r="AT203" s="86"/>
    </row>
    <row r="204" spans="1:46" x14ac:dyDescent="0.3">
      <c r="A204" s="86" t="str">
        <f t="shared" ref="A204:B204" si="68">A190</f>
        <v>other machinery 28</v>
      </c>
      <c r="B204" s="86" t="str">
        <f t="shared" si="68"/>
        <v>ISIC 28</v>
      </c>
      <c r="C204" s="93">
        <f t="shared" si="64"/>
        <v>2.7224323442864851E-4</v>
      </c>
      <c r="D204" s="93">
        <f t="shared" ref="D204:L204" si="69">D190/$C134-1</f>
        <v>5.3539863180107616E-4</v>
      </c>
      <c r="E204" s="93">
        <f t="shared" si="69"/>
        <v>6.2613989113557977E-4</v>
      </c>
      <c r="F204" s="93">
        <f t="shared" si="69"/>
        <v>7.1475185220748472E-4</v>
      </c>
      <c r="G204" s="93">
        <f t="shared" si="69"/>
        <v>8.015781568497804E-4</v>
      </c>
      <c r="H204" s="93">
        <f t="shared" si="69"/>
        <v>8.8598294281427847E-4</v>
      </c>
      <c r="I204" s="93">
        <f t="shared" si="69"/>
        <v>9.6800858584344951E-4</v>
      </c>
      <c r="J204" s="93">
        <f t="shared" si="69"/>
        <v>1.0476951666311685E-3</v>
      </c>
      <c r="K204" s="93">
        <f t="shared" si="69"/>
        <v>1.1250844571857321E-3</v>
      </c>
      <c r="L204" s="93">
        <f t="shared" si="69"/>
        <v>1.2004566837116037E-3</v>
      </c>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c r="AQ204" s="86"/>
      <c r="AR204" s="86"/>
      <c r="AS204" s="86"/>
      <c r="AT204" s="86"/>
    </row>
    <row r="205" spans="1:46" x14ac:dyDescent="0.3">
      <c r="A205" s="86" t="str">
        <f t="shared" ref="A205:B205" si="70">A191</f>
        <v>other manufacturing 31T33</v>
      </c>
      <c r="B205" s="86" t="str">
        <f t="shared" si="70"/>
        <v>ISIC 31T33</v>
      </c>
      <c r="C205" s="93">
        <f t="shared" si="64"/>
        <v>6.7079620977850141E-6</v>
      </c>
      <c r="D205" s="93">
        <f t="shared" ref="D205:L205" si="71">D191/$C135-1</f>
        <v>1.330694397139176E-5</v>
      </c>
      <c r="E205" s="93">
        <f t="shared" si="71"/>
        <v>1.5660958477603515E-5</v>
      </c>
      <c r="F205" s="93">
        <f t="shared" si="71"/>
        <v>1.7957282133274077E-5</v>
      </c>
      <c r="G205" s="93">
        <f t="shared" si="71"/>
        <v>2.0190640767081547E-5</v>
      </c>
      <c r="H205" s="93">
        <f t="shared" si="71"/>
        <v>2.2374362254939939E-5</v>
      </c>
      <c r="I205" s="93">
        <f t="shared" si="71"/>
        <v>2.4508954083124479E-5</v>
      </c>
      <c r="J205" s="93">
        <f t="shared" si="71"/>
        <v>2.6595077464275363E-5</v>
      </c>
      <c r="K205" s="93">
        <f t="shared" si="71"/>
        <v>2.8633299932634415E-5</v>
      </c>
      <c r="L205" s="93">
        <f t="shared" si="71"/>
        <v>3.0628541910049378E-5</v>
      </c>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row>
    <row r="206" spans="1:46" x14ac:dyDescent="0.3">
      <c r="A206" s="86" t="str">
        <f t="shared" ref="A206:B206" si="72">A192</f>
        <v>rubber and plastic products 22</v>
      </c>
      <c r="B206" s="86" t="str">
        <f t="shared" si="72"/>
        <v>ISIC 22</v>
      </c>
      <c r="C206" s="93">
        <f t="shared" si="64"/>
        <v>2.337101362437366E-6</v>
      </c>
      <c r="D206" s="93">
        <f t="shared" ref="D206:L206" si="73">D192/$C136-1</f>
        <v>4.607200737138939E-6</v>
      </c>
      <c r="E206" s="93">
        <f t="shared" si="73"/>
        <v>5.3926034364604192E-6</v>
      </c>
      <c r="F206" s="93">
        <f t="shared" si="73"/>
        <v>6.1544856591044805E-6</v>
      </c>
      <c r="G206" s="93">
        <f t="shared" si="73"/>
        <v>6.8933377770363791E-6</v>
      </c>
      <c r="H206" s="93">
        <f t="shared" si="73"/>
        <v>7.6093585557046595E-6</v>
      </c>
      <c r="I206" s="93">
        <f t="shared" si="73"/>
        <v>8.3029863646721935E-6</v>
      </c>
      <c r="J206" s="93">
        <f t="shared" si="73"/>
        <v>8.9745707780863881E-6</v>
      </c>
      <c r="K206" s="93">
        <f t="shared" si="73"/>
        <v>9.6245824512397604E-6</v>
      </c>
      <c r="L206" s="93">
        <f t="shared" si="73"/>
        <v>1.0255981035323103E-5</v>
      </c>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row>
    <row r="207" spans="1:46" x14ac:dyDescent="0.3">
      <c r="A207" s="86" t="str">
        <f t="shared" ref="A207:B207" si="74">A193</f>
        <v>metal products except machinery and vehicles 25</v>
      </c>
      <c r="B207" s="86" t="str">
        <f t="shared" si="74"/>
        <v>ISIC 25</v>
      </c>
      <c r="C207" s="93">
        <f t="shared" si="64"/>
        <v>1.0479965175047568E-4</v>
      </c>
      <c r="D207" s="93">
        <f t="shared" ref="D207:L207" si="75">D193/$C137-1</f>
        <v>2.0632069008796883E-4</v>
      </c>
      <c r="E207" s="93">
        <f t="shared" si="75"/>
        <v>2.4167574077016418E-4</v>
      </c>
      <c r="F207" s="93">
        <f t="shared" si="75"/>
        <v>2.7650037666471228E-4</v>
      </c>
      <c r="G207" s="93">
        <f t="shared" si="75"/>
        <v>3.1099378794374744E-4</v>
      </c>
      <c r="H207" s="93">
        <f t="shared" si="75"/>
        <v>3.4474752793745012E-4</v>
      </c>
      <c r="I207" s="93">
        <f t="shared" si="75"/>
        <v>3.7777194106825007E-4</v>
      </c>
      <c r="J207" s="93">
        <f t="shared" si="75"/>
        <v>4.100756717027032E-4</v>
      </c>
      <c r="K207" s="93">
        <f t="shared" si="75"/>
        <v>4.4166985414362259E-4</v>
      </c>
      <c r="L207" s="93">
        <f t="shared" si="75"/>
        <v>4.7262087228649996E-4</v>
      </c>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row>
    <row r="208" spans="1:46" x14ac:dyDescent="0.3">
      <c r="A208" s="86" t="str">
        <f t="shared" ref="A208:B208" si="76">A194</f>
        <v>nonroad vehicles 30</v>
      </c>
      <c r="B208" s="86" t="str">
        <f t="shared" si="76"/>
        <v>ISIC 30</v>
      </c>
      <c r="C208" s="93">
        <f t="shared" si="64"/>
        <v>1.5435771629634942E-4</v>
      </c>
      <c r="D208" s="93">
        <f t="shared" ref="D208:L208" si="77">D194/$C138-1</f>
        <v>3.0359113084132971E-4</v>
      </c>
      <c r="E208" s="93">
        <f t="shared" si="77"/>
        <v>3.5451172929490404E-4</v>
      </c>
      <c r="F208" s="93">
        <f t="shared" si="77"/>
        <v>4.0346565022897352E-4</v>
      </c>
      <c r="G208" s="93">
        <f t="shared" si="77"/>
        <v>4.5043145481327151E-4</v>
      </c>
      <c r="H208" s="93">
        <f t="shared" si="77"/>
        <v>4.9559652455344327E-4</v>
      </c>
      <c r="I208" s="93">
        <f t="shared" si="77"/>
        <v>5.3899815966396147E-4</v>
      </c>
      <c r="J208" s="93">
        <f t="shared" si="77"/>
        <v>5.8068082115858566E-4</v>
      </c>
      <c r="K208" s="93">
        <f t="shared" si="77"/>
        <v>6.2068219661037816E-4</v>
      </c>
      <c r="L208" s="93">
        <f t="shared" si="77"/>
        <v>6.5928601196652004E-4</v>
      </c>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row>
    <row r="209" spans="1:46" x14ac:dyDescent="0.3">
      <c r="A209" s="86" t="str">
        <f t="shared" ref="A209:B209" si="78">A195</f>
        <v>cement and other nonmetallic minerals 239</v>
      </c>
      <c r="B209" s="86" t="str">
        <f t="shared" si="78"/>
        <v>ISIC 239</v>
      </c>
      <c r="C209" s="93">
        <f t="shared" si="64"/>
        <v>6.8877264489008994E-5</v>
      </c>
      <c r="D209" s="93">
        <f t="shared" ref="D209:L209" si="79">D195/$C139-1</f>
        <v>1.357923491731583E-4</v>
      </c>
      <c r="E209" s="93">
        <f t="shared" si="79"/>
        <v>1.5911168785831542E-4</v>
      </c>
      <c r="F209" s="93">
        <f t="shared" si="79"/>
        <v>1.8192460078370054E-4</v>
      </c>
      <c r="G209" s="93">
        <f t="shared" si="79"/>
        <v>2.0429644413111347E-4</v>
      </c>
      <c r="H209" s="93">
        <f t="shared" si="79"/>
        <v>2.2611224959856457E-4</v>
      </c>
      <c r="I209" s="93">
        <f t="shared" si="79"/>
        <v>2.4737481161385411E-4</v>
      </c>
      <c r="J209" s="93">
        <f t="shared" si="79"/>
        <v>2.6809936309324378E-4</v>
      </c>
      <c r="K209" s="93">
        <f t="shared" si="79"/>
        <v>2.882879522452253E-4</v>
      </c>
      <c r="L209" s="93">
        <f t="shared" si="79"/>
        <v>3.0800233200700688E-4</v>
      </c>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row>
    <row r="210" spans="1:46" x14ac:dyDescent="0.3">
      <c r="A210" s="86" t="str">
        <f t="shared" ref="A210:B210" si="80">A196</f>
        <v>other metals 242</v>
      </c>
      <c r="B210" s="86" t="str">
        <f t="shared" si="80"/>
        <v>ISIC 242</v>
      </c>
      <c r="C210" s="93">
        <f t="shared" si="64"/>
        <v>2.581436419408778E-4</v>
      </c>
      <c r="D210" s="93">
        <f t="shared" ref="D210:L210" si="81">D196/$C140-1</f>
        <v>5.0969613358309296E-4</v>
      </c>
      <c r="E210" s="93">
        <f t="shared" si="81"/>
        <v>7.3802151858104459E-4</v>
      </c>
      <c r="F210" s="93">
        <f t="shared" si="81"/>
        <v>9.6183744469757748E-4</v>
      </c>
      <c r="G210" s="93">
        <f t="shared" si="81"/>
        <v>1.1819004748927497E-3</v>
      </c>
      <c r="H210" s="93">
        <f t="shared" si="81"/>
        <v>1.3975250057891575E-3</v>
      </c>
      <c r="I210" s="93">
        <f t="shared" si="81"/>
        <v>1.6087959363038085E-3</v>
      </c>
      <c r="J210" s="93">
        <f t="shared" si="81"/>
        <v>1.8157498682009887E-3</v>
      </c>
      <c r="K210" s="93">
        <f t="shared" si="81"/>
        <v>2.0184619020502392E-3</v>
      </c>
      <c r="L210" s="93">
        <f t="shared" si="81"/>
        <v>2.2172179275061765E-3</v>
      </c>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row>
    <row r="211" spans="1:46" x14ac:dyDescent="0.3">
      <c r="A211" s="86" t="str">
        <f t="shared" ref="A211:B211" si="82">A197</f>
        <v>glass and glass products 231</v>
      </c>
      <c r="B211" s="86" t="str">
        <f t="shared" si="82"/>
        <v>ISIC 231</v>
      </c>
      <c r="C211" s="93">
        <f t="shared" si="64"/>
        <v>6.4990782579688045E-4</v>
      </c>
      <c r="D211" s="93">
        <f t="shared" ref="D211:L211" si="83">D197/$C141-1</f>
        <v>1.267820099483119E-3</v>
      </c>
      <c r="E211" s="93">
        <f t="shared" si="83"/>
        <v>1.4750985792468807E-3</v>
      </c>
      <c r="F211" s="93">
        <f t="shared" si="83"/>
        <v>1.6787794101387199E-3</v>
      </c>
      <c r="G211" s="93">
        <f t="shared" si="83"/>
        <v>1.8810588660058691E-3</v>
      </c>
      <c r="H211" s="93">
        <f t="shared" si="83"/>
        <v>2.0773406550831375E-3</v>
      </c>
      <c r="I211" s="93">
        <f t="shared" si="83"/>
        <v>2.2677414444602917E-3</v>
      </c>
      <c r="J211" s="93">
        <f t="shared" si="83"/>
        <v>2.452374507025068E-3</v>
      </c>
      <c r="K211" s="93">
        <f t="shared" si="83"/>
        <v>2.6313712372809661E-3</v>
      </c>
      <c r="L211" s="93">
        <f t="shared" si="83"/>
        <v>2.8054217855946195E-3</v>
      </c>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c r="AQ211" s="86"/>
      <c r="AR211" s="86"/>
      <c r="AS211" s="86"/>
      <c r="AT211" s="86"/>
    </row>
    <row r="212" spans="1:46" x14ac:dyDescent="0.3">
      <c r="A212" s="86" t="str">
        <f t="shared" ref="A212:B212" si="84">A198</f>
        <v>road vehicles 29</v>
      </c>
      <c r="B212" s="86" t="str">
        <f t="shared" si="84"/>
        <v>ISIC 29</v>
      </c>
      <c r="C212" s="93">
        <f t="shared" si="64"/>
        <v>1.9767318415397916E-4</v>
      </c>
      <c r="D212" s="93">
        <f t="shared" ref="D212:L212" si="85">D198/$C142-1</f>
        <v>3.806894018278939E-4</v>
      </c>
      <c r="E212" s="93">
        <f t="shared" si="85"/>
        <v>4.3811586931008506E-4</v>
      </c>
      <c r="F212" s="93">
        <f t="shared" si="85"/>
        <v>4.9469850726158171E-4</v>
      </c>
      <c r="G212" s="93">
        <f t="shared" si="85"/>
        <v>5.5168188624654668E-4</v>
      </c>
      <c r="H212" s="93">
        <f t="shared" si="85"/>
        <v>6.0634672479387142E-4</v>
      </c>
      <c r="I212" s="93">
        <f t="shared" si="85"/>
        <v>6.5874715238334325E-4</v>
      </c>
      <c r="J212" s="93">
        <f t="shared" si="85"/>
        <v>7.0894697375645244E-4</v>
      </c>
      <c r="K212" s="93">
        <f t="shared" si="85"/>
        <v>7.5700410785151107E-4</v>
      </c>
      <c r="L212" s="93">
        <f t="shared" si="85"/>
        <v>8.032885029063408E-4</v>
      </c>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c r="AQ212" s="86"/>
      <c r="AR212" s="86"/>
      <c r="AS212" s="86"/>
      <c r="AT212" s="86"/>
    </row>
    <row r="213" spans="1:46" x14ac:dyDescent="0.3">
      <c r="A213" s="86"/>
      <c r="B213" s="86"/>
      <c r="C213" s="93"/>
      <c r="D213" s="93"/>
      <c r="E213" s="93"/>
      <c r="F213" s="93"/>
      <c r="G213" s="93"/>
      <c r="H213" s="93"/>
      <c r="I213" s="93"/>
      <c r="J213" s="93"/>
      <c r="K213" s="93"/>
      <c r="L213" s="93"/>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c r="AQ213" s="86"/>
      <c r="AR213" s="86"/>
      <c r="AS213" s="86"/>
      <c r="AT213" s="86"/>
    </row>
    <row r="214" spans="1:46" x14ac:dyDescent="0.3">
      <c r="A214" s="88" t="s">
        <v>727</v>
      </c>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row>
    <row r="215" spans="1:46" x14ac:dyDescent="0.3">
      <c r="A215" s="88" t="str">
        <f t="shared" ref="A215:B226" si="86">A187</f>
        <v>Industry Category</v>
      </c>
      <c r="B215" s="88" t="str">
        <f t="shared" si="86"/>
        <v>ISIC Code</v>
      </c>
      <c r="C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row>
    <row r="216" spans="1:46" x14ac:dyDescent="0.3">
      <c r="A216" s="86" t="str">
        <f t="shared" si="86"/>
        <v>appliances and and electrical equipment 27</v>
      </c>
      <c r="B216" s="86" t="str">
        <f t="shared" si="86"/>
        <v>ISIC 27</v>
      </c>
      <c r="C216" s="89">
        <f t="shared" ref="C216:L216" si="87">(C188-$C132)/(1-$C132)</f>
        <v>1.1701007435629178E-2</v>
      </c>
      <c r="D216" s="89">
        <f t="shared" si="87"/>
        <v>2.2786846928505099E-2</v>
      </c>
      <c r="E216" s="89">
        <f t="shared" si="87"/>
        <v>2.6796986963979075E-2</v>
      </c>
      <c r="F216" s="89">
        <f t="shared" si="87"/>
        <v>3.0678669249900734E-2</v>
      </c>
      <c r="G216" s="89">
        <f t="shared" si="87"/>
        <v>3.4446601536934449E-2</v>
      </c>
      <c r="H216" s="89">
        <f t="shared" si="87"/>
        <v>3.8083243210655184E-2</v>
      </c>
      <c r="I216" s="89">
        <f t="shared" si="87"/>
        <v>4.1592711425459547E-2</v>
      </c>
      <c r="J216" s="89">
        <f t="shared" si="87"/>
        <v>4.4979193919467642E-2</v>
      </c>
      <c r="K216" s="89">
        <f t="shared" si="87"/>
        <v>4.8246453640772458E-2</v>
      </c>
      <c r="L216" s="89">
        <f t="shared" si="87"/>
        <v>5.1408256464346422E-2</v>
      </c>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c r="AQ216" s="86"/>
      <c r="AR216" s="86"/>
      <c r="AS216" s="86"/>
      <c r="AT216" s="86"/>
    </row>
    <row r="217" spans="1:46" x14ac:dyDescent="0.3">
      <c r="A217" s="86" t="str">
        <f t="shared" si="86"/>
        <v>chemicals 20</v>
      </c>
      <c r="B217" s="86" t="str">
        <f t="shared" si="86"/>
        <v>ISIC 20</v>
      </c>
      <c r="C217" s="89">
        <f t="shared" ref="C217:L217" si="88">(C189-$C133)/(1-$C133)</f>
        <v>1.0686048701209067E-4</v>
      </c>
      <c r="D217" s="89">
        <f t="shared" si="88"/>
        <v>2.1018908537891873E-4</v>
      </c>
      <c r="E217" s="89">
        <f t="shared" si="88"/>
        <v>2.455708866646103E-4</v>
      </c>
      <c r="F217" s="89">
        <f t="shared" si="88"/>
        <v>2.7984814853637685E-4</v>
      </c>
      <c r="G217" s="89">
        <f t="shared" si="88"/>
        <v>3.130841084459518E-4</v>
      </c>
      <c r="H217" s="89">
        <f t="shared" si="88"/>
        <v>3.4520646105106606E-4</v>
      </c>
      <c r="I217" s="89">
        <f t="shared" si="88"/>
        <v>3.7623768518041389E-4</v>
      </c>
      <c r="J217" s="89">
        <f t="shared" si="88"/>
        <v>4.0619845781061925E-4</v>
      </c>
      <c r="K217" s="89">
        <f t="shared" si="88"/>
        <v>4.3511043380101144E-4</v>
      </c>
      <c r="L217" s="89">
        <f t="shared" si="88"/>
        <v>4.6312999566529983E-4</v>
      </c>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c r="AQ217" s="86"/>
      <c r="AR217" s="86"/>
      <c r="AS217" s="86"/>
      <c r="AT217" s="86"/>
    </row>
    <row r="218" spans="1:46" x14ac:dyDescent="0.3">
      <c r="A218" s="86" t="str">
        <f t="shared" si="86"/>
        <v>other machinery 28</v>
      </c>
      <c r="B218" s="86" t="str">
        <f t="shared" si="86"/>
        <v>ISIC 28</v>
      </c>
      <c r="C218" s="89">
        <f t="shared" ref="C218:L218" si="89">(C190-$C134)/(1-$C134)</f>
        <v>8.1239116568538011E-4</v>
      </c>
      <c r="D218" s="89">
        <f t="shared" si="89"/>
        <v>1.5976636462910147E-3</v>
      </c>
      <c r="E218" s="89">
        <f t="shared" si="89"/>
        <v>1.8684413484483149E-3</v>
      </c>
      <c r="F218" s="89">
        <f t="shared" si="89"/>
        <v>2.1328650888584248E-3</v>
      </c>
      <c r="G218" s="89">
        <f t="shared" si="89"/>
        <v>2.3919603166555393E-3</v>
      </c>
      <c r="H218" s="89">
        <f t="shared" si="89"/>
        <v>2.6438295783584686E-3</v>
      </c>
      <c r="I218" s="89">
        <f t="shared" si="89"/>
        <v>2.8885993258834374E-3</v>
      </c>
      <c r="J218" s="89">
        <f t="shared" si="89"/>
        <v>3.1263891625767076E-3</v>
      </c>
      <c r="K218" s="89">
        <f t="shared" si="89"/>
        <v>3.3573237387730433E-3</v>
      </c>
      <c r="L218" s="89">
        <f t="shared" si="89"/>
        <v>3.5822392673305874E-3</v>
      </c>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c r="AT218" s="86"/>
    </row>
    <row r="219" spans="1:46" x14ac:dyDescent="0.3">
      <c r="A219" s="86" t="str">
        <f t="shared" si="86"/>
        <v>other manufacturing 31T33</v>
      </c>
      <c r="B219" s="86" t="str">
        <f t="shared" si="86"/>
        <v>ISIC 31T33</v>
      </c>
      <c r="C219" s="89">
        <f t="shared" ref="C219:L219" si="90">(C191-$C135)/(1-$C135)</f>
        <v>1.7863327637603386E-5</v>
      </c>
      <c r="D219" s="89">
        <f t="shared" si="90"/>
        <v>3.5436440538959198E-5</v>
      </c>
      <c r="E219" s="89">
        <f t="shared" si="90"/>
        <v>4.1705189792064986E-5</v>
      </c>
      <c r="F219" s="89">
        <f t="shared" si="90"/>
        <v>4.7820308098378718E-5</v>
      </c>
      <c r="G219" s="89">
        <f t="shared" si="90"/>
        <v>5.3767750321255311E-5</v>
      </c>
      <c r="H219" s="89">
        <f t="shared" si="90"/>
        <v>5.9583008642131175E-5</v>
      </c>
      <c r="I219" s="89">
        <f t="shared" si="90"/>
        <v>6.5267434499706773E-5</v>
      </c>
      <c r="J219" s="89">
        <f t="shared" si="90"/>
        <v>7.082278870525911E-5</v>
      </c>
      <c r="K219" s="89">
        <f t="shared" si="90"/>
        <v>7.6250582604578266E-5</v>
      </c>
      <c r="L219" s="89">
        <f t="shared" si="90"/>
        <v>8.1563919299092692E-5</v>
      </c>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c r="AQ219" s="86"/>
      <c r="AR219" s="86"/>
      <c r="AS219" s="86"/>
      <c r="AT219" s="86"/>
    </row>
    <row r="220" spans="1:46" x14ac:dyDescent="0.3">
      <c r="A220" s="86" t="str">
        <f t="shared" si="86"/>
        <v>rubber and plastic products 22</v>
      </c>
      <c r="B220" s="86" t="str">
        <f t="shared" si="86"/>
        <v>ISIC 22</v>
      </c>
      <c r="C220" s="89">
        <f t="shared" ref="C220:L220" si="91">(C192-$C136)/(1-$C136)</f>
        <v>1.1657517574014163E-5</v>
      </c>
      <c r="D220" s="89">
        <f t="shared" si="91"/>
        <v>2.2980827628751079E-5</v>
      </c>
      <c r="E220" s="89">
        <f t="shared" si="91"/>
        <v>2.689843510536366E-5</v>
      </c>
      <c r="F220" s="89">
        <f t="shared" si="91"/>
        <v>3.0698721880585571E-5</v>
      </c>
      <c r="G220" s="89">
        <f t="shared" si="91"/>
        <v>3.4384133941941111E-5</v>
      </c>
      <c r="H220" s="89">
        <f t="shared" si="91"/>
        <v>3.7955662735876179E-5</v>
      </c>
      <c r="I220" s="89">
        <f t="shared" si="91"/>
        <v>4.1415494861263467E-5</v>
      </c>
      <c r="J220" s="89">
        <f t="shared" si="91"/>
        <v>4.4765374000480443E-5</v>
      </c>
      <c r="K220" s="89">
        <f t="shared" si="91"/>
        <v>4.8007647795235547E-5</v>
      </c>
      <c r="L220" s="89">
        <f t="shared" si="91"/>
        <v>5.1157079056595537E-5</v>
      </c>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c r="AQ220" s="86"/>
      <c r="AR220" s="86"/>
      <c r="AS220" s="86"/>
      <c r="AT220" s="86"/>
    </row>
    <row r="221" spans="1:46" x14ac:dyDescent="0.3">
      <c r="A221" s="86" t="str">
        <f t="shared" si="86"/>
        <v>metal products except machinery and vehicles 25</v>
      </c>
      <c r="B221" s="86" t="str">
        <f t="shared" si="86"/>
        <v>ISIC 25</v>
      </c>
      <c r="C221" s="89">
        <f t="shared" ref="C221:L221" si="92">(C193-$C137)/(1-$C137)</f>
        <v>6.3846028974171151E-4</v>
      </c>
      <c r="D221" s="89">
        <f t="shared" si="92"/>
        <v>1.2569466155002405E-3</v>
      </c>
      <c r="E221" s="89">
        <f t="shared" si="92"/>
        <v>1.4723366051172997E-3</v>
      </c>
      <c r="F221" s="89">
        <f t="shared" si="92"/>
        <v>1.6844952025182978E-3</v>
      </c>
      <c r="G221" s="89">
        <f t="shared" si="92"/>
        <v>1.8946359137853009E-3</v>
      </c>
      <c r="H221" s="89">
        <f t="shared" si="92"/>
        <v>2.1002704006972562E-3</v>
      </c>
      <c r="I221" s="89">
        <f t="shared" si="92"/>
        <v>2.3014616835295293E-3</v>
      </c>
      <c r="J221" s="89">
        <f t="shared" si="92"/>
        <v>2.4982624254790125E-3</v>
      </c>
      <c r="K221" s="89">
        <f t="shared" si="92"/>
        <v>2.690740458931592E-3</v>
      </c>
      <c r="L221" s="89">
        <f t="shared" si="92"/>
        <v>2.8793002077591215E-3</v>
      </c>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c r="AQ221" s="86"/>
      <c r="AR221" s="86"/>
      <c r="AS221" s="86"/>
      <c r="AT221" s="86"/>
    </row>
    <row r="222" spans="1:46" x14ac:dyDescent="0.3">
      <c r="A222" s="86" t="str">
        <f t="shared" si="86"/>
        <v>nonroad vehicles 30</v>
      </c>
      <c r="B222" s="86" t="str">
        <f t="shared" si="86"/>
        <v>ISIC 30</v>
      </c>
      <c r="C222" s="89">
        <f t="shared" ref="C222:L222" si="93">(C194-$C138)/(1-$C138)</f>
        <v>6.4130061512840245E-4</v>
      </c>
      <c r="D222" s="89">
        <f t="shared" si="93"/>
        <v>1.2613116054537496E-3</v>
      </c>
      <c r="E222" s="89">
        <f t="shared" si="93"/>
        <v>1.4728683186169659E-3</v>
      </c>
      <c r="F222" s="89">
        <f t="shared" si="93"/>
        <v>1.6762541963120496E-3</v>
      </c>
      <c r="G222" s="89">
        <f t="shared" si="93"/>
        <v>1.8713801679358739E-3</v>
      </c>
      <c r="H222" s="89">
        <f t="shared" si="93"/>
        <v>2.0590247360309389E-3</v>
      </c>
      <c r="I222" s="89">
        <f t="shared" si="93"/>
        <v>2.2393428695318359E-3</v>
      </c>
      <c r="J222" s="89">
        <f t="shared" si="93"/>
        <v>2.4125192879062367E-3</v>
      </c>
      <c r="K222" s="89">
        <f t="shared" si="93"/>
        <v>2.5787105694228202E-3</v>
      </c>
      <c r="L222" s="89">
        <f t="shared" si="93"/>
        <v>2.739095493015156E-3</v>
      </c>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c r="AQ222" s="86"/>
      <c r="AR222" s="86"/>
      <c r="AS222" s="86"/>
      <c r="AT222" s="86"/>
    </row>
    <row r="223" spans="1:46" x14ac:dyDescent="0.3">
      <c r="A223" s="86" t="str">
        <f t="shared" si="86"/>
        <v>cement and other nonmetallic minerals 239</v>
      </c>
      <c r="B223" s="86" t="str">
        <f t="shared" si="86"/>
        <v>ISIC 239</v>
      </c>
      <c r="C223" s="89">
        <f t="shared" ref="C223:L223" si="94">(C195-$C139)/(1-$C139)</f>
        <v>3.7264366172212022E-4</v>
      </c>
      <c r="D223" s="89">
        <f t="shared" si="94"/>
        <v>7.3467142757816374E-4</v>
      </c>
      <c r="E223" s="89">
        <f t="shared" si="94"/>
        <v>8.6083502918251524E-4</v>
      </c>
      <c r="F223" s="89">
        <f t="shared" si="94"/>
        <v>9.8425873757284742E-4</v>
      </c>
      <c r="G223" s="89">
        <f t="shared" si="94"/>
        <v>1.1052961464526226E-3</v>
      </c>
      <c r="H223" s="89">
        <f t="shared" si="94"/>
        <v>1.2233252478282962E-3</v>
      </c>
      <c r="I223" s="89">
        <f t="shared" si="94"/>
        <v>1.3383611602693704E-3</v>
      </c>
      <c r="J223" s="89">
        <f t="shared" si="94"/>
        <v>1.450486297761025E-3</v>
      </c>
      <c r="K223" s="89">
        <f t="shared" si="94"/>
        <v>1.5597117416342701E-3</v>
      </c>
      <c r="L223" s="89">
        <f t="shared" si="94"/>
        <v>1.6663715911145985E-3</v>
      </c>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c r="AQ223" s="86"/>
      <c r="AR223" s="86"/>
      <c r="AS223" s="86"/>
      <c r="AT223" s="86"/>
    </row>
    <row r="224" spans="1:46" x14ac:dyDescent="0.3">
      <c r="A224" s="86" t="str">
        <f t="shared" si="86"/>
        <v>other metals 242</v>
      </c>
      <c r="B224" s="86" t="str">
        <f t="shared" si="86"/>
        <v>ISIC 242</v>
      </c>
      <c r="C224" s="89">
        <f t="shared" ref="C224:L224" si="95">(C196-$C140)/(1-$C140)</f>
        <v>7.0149814966102798E-4</v>
      </c>
      <c r="D224" s="89">
        <f t="shared" si="95"/>
        <v>1.3850850321533226E-3</v>
      </c>
      <c r="E224" s="89">
        <f t="shared" si="95"/>
        <v>2.00555289993555E-3</v>
      </c>
      <c r="F224" s="89">
        <f t="shared" si="95"/>
        <v>2.6137664389364063E-3</v>
      </c>
      <c r="G224" s="89">
        <f t="shared" si="95"/>
        <v>3.2117815879055796E-3</v>
      </c>
      <c r="H224" s="89">
        <f t="shared" si="95"/>
        <v>3.7977352387799511E-3</v>
      </c>
      <c r="I224" s="89">
        <f t="shared" si="95"/>
        <v>4.3718581020003588E-3</v>
      </c>
      <c r="J224" s="89">
        <f t="shared" si="95"/>
        <v>4.9342496418400524E-3</v>
      </c>
      <c r="K224" s="89">
        <f t="shared" si="95"/>
        <v>5.4851139420027065E-3</v>
      </c>
      <c r="L224" s="89">
        <f t="shared" si="95"/>
        <v>6.0252278996544987E-3</v>
      </c>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c r="AQ224" s="86"/>
      <c r="AR224" s="86"/>
      <c r="AS224" s="86"/>
      <c r="AT224" s="86"/>
    </row>
    <row r="225" spans="1:46" x14ac:dyDescent="0.3">
      <c r="A225" s="86" t="str">
        <f t="shared" si="86"/>
        <v>glass and glass products 231</v>
      </c>
      <c r="B225" s="86" t="str">
        <f t="shared" si="86"/>
        <v>ISIC 231</v>
      </c>
      <c r="C225" s="89">
        <f t="shared" ref="C225:L225" si="96">(C197-$C141)/(1-$C141)</f>
        <v>2.2005650943645373E-3</v>
      </c>
      <c r="D225" s="89">
        <f t="shared" si="96"/>
        <v>4.2927943719340113E-3</v>
      </c>
      <c r="E225" s="89">
        <f t="shared" si="96"/>
        <v>4.9946320314850218E-3</v>
      </c>
      <c r="F225" s="89">
        <f t="shared" si="96"/>
        <v>5.6842881781893539E-3</v>
      </c>
      <c r="G225" s="89">
        <f t="shared" si="96"/>
        <v>6.3691993182307576E-3</v>
      </c>
      <c r="H225" s="89">
        <f t="shared" si="96"/>
        <v>7.0338025689658211E-3</v>
      </c>
      <c r="I225" s="89">
        <f t="shared" si="96"/>
        <v>7.6784929610674325E-3</v>
      </c>
      <c r="J225" s="89">
        <f t="shared" si="96"/>
        <v>8.3036540325585727E-3</v>
      </c>
      <c r="K225" s="89">
        <f t="shared" si="96"/>
        <v>8.9097306806177907E-3</v>
      </c>
      <c r="L225" s="89">
        <f t="shared" si="96"/>
        <v>9.4990597301711482E-3</v>
      </c>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c r="AQ225" s="86"/>
      <c r="AR225" s="86"/>
      <c r="AS225" s="86"/>
      <c r="AT225" s="86"/>
    </row>
    <row r="226" spans="1:46" x14ac:dyDescent="0.3">
      <c r="A226" s="86" t="str">
        <f t="shared" si="86"/>
        <v>road vehicles 29</v>
      </c>
      <c r="B226" s="86" t="str">
        <f t="shared" si="86"/>
        <v>ISIC 29</v>
      </c>
      <c r="C226" s="89">
        <f t="shared" ref="C226:L226" si="97">(C198-$C142)/(1-$C142)</f>
        <v>5.4826335982347246E-4</v>
      </c>
      <c r="D226" s="89">
        <f t="shared" si="97"/>
        <v>1.0558743786545067E-3</v>
      </c>
      <c r="E226" s="89">
        <f t="shared" si="97"/>
        <v>1.2151515620487682E-3</v>
      </c>
      <c r="F226" s="89">
        <f t="shared" si="97"/>
        <v>1.37208831259341E-3</v>
      </c>
      <c r="G226" s="89">
        <f t="shared" si="97"/>
        <v>1.5301365524193781E-3</v>
      </c>
      <c r="H226" s="89">
        <f t="shared" si="97"/>
        <v>1.6817541234847504E-3</v>
      </c>
      <c r="I226" s="89">
        <f t="shared" si="97"/>
        <v>1.8270911584974696E-3</v>
      </c>
      <c r="J226" s="89">
        <f t="shared" si="97"/>
        <v>1.9663246253243116E-3</v>
      </c>
      <c r="K226" s="89">
        <f t="shared" si="97"/>
        <v>2.0996151670599102E-3</v>
      </c>
      <c r="L226" s="89">
        <f t="shared" si="97"/>
        <v>2.2279888665514649E-3</v>
      </c>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c r="AQ226" s="86"/>
      <c r="AR226" s="86"/>
      <c r="AS226" s="86"/>
      <c r="AT226" s="86"/>
    </row>
    <row r="227" spans="1:46" x14ac:dyDescent="0.3">
      <c r="A227" s="88"/>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c r="AQ227" s="86"/>
      <c r="AR227" s="86"/>
      <c r="AS227" s="86"/>
      <c r="AT227" s="86"/>
    </row>
    <row r="228" spans="1:46" x14ac:dyDescent="0.3">
      <c r="A228" s="88"/>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c r="AQ228" s="86"/>
      <c r="AR228" s="86"/>
      <c r="AS228" s="86"/>
      <c r="AT228" s="86"/>
    </row>
    <row r="229" spans="1:46" x14ac:dyDescent="0.3">
      <c r="A229" s="94" t="s">
        <v>728</v>
      </c>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95"/>
      <c r="AO229" s="95"/>
      <c r="AP229" s="95"/>
      <c r="AQ229" s="95"/>
      <c r="AR229" s="95"/>
      <c r="AS229" s="95"/>
      <c r="AT229" s="95"/>
    </row>
    <row r="230" spans="1:46" x14ac:dyDescent="0.3">
      <c r="A230" s="88" t="s">
        <v>729</v>
      </c>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c r="AQ230" s="86"/>
      <c r="AR230" s="86"/>
      <c r="AS230" s="86"/>
      <c r="AT230" s="86"/>
    </row>
    <row r="231" spans="1:46" x14ac:dyDescent="0.3">
      <c r="A231" s="86" t="s">
        <v>730</v>
      </c>
      <c r="B231" s="86">
        <v>2020</v>
      </c>
      <c r="C231" s="86">
        <v>2021</v>
      </c>
      <c r="D231" s="86">
        <v>2022</v>
      </c>
      <c r="E231" s="86">
        <v>2023</v>
      </c>
      <c r="F231" s="86">
        <v>2024</v>
      </c>
      <c r="G231" s="86">
        <v>2025</v>
      </c>
      <c r="H231" s="86">
        <v>2026</v>
      </c>
      <c r="I231" s="86">
        <v>2027</v>
      </c>
      <c r="J231" s="86">
        <v>2028</v>
      </c>
      <c r="K231" s="86">
        <v>2029</v>
      </c>
      <c r="L231" s="86">
        <v>2030</v>
      </c>
      <c r="M231" s="86">
        <v>2031</v>
      </c>
      <c r="N231" s="86">
        <v>2032</v>
      </c>
      <c r="O231" s="86">
        <v>2033</v>
      </c>
      <c r="P231" s="86">
        <v>2034</v>
      </c>
      <c r="Q231" s="86">
        <v>2035</v>
      </c>
      <c r="R231" s="86">
        <v>2036</v>
      </c>
      <c r="S231" s="86">
        <v>2037</v>
      </c>
      <c r="T231" s="86">
        <v>2038</v>
      </c>
      <c r="U231" s="86">
        <v>2039</v>
      </c>
      <c r="V231" s="86">
        <v>2040</v>
      </c>
      <c r="W231" s="86">
        <v>2041</v>
      </c>
      <c r="X231" s="86">
        <v>2042</v>
      </c>
      <c r="Y231" s="86">
        <v>2043</v>
      </c>
      <c r="Z231" s="86">
        <v>2044</v>
      </c>
      <c r="AA231" s="86">
        <v>2045</v>
      </c>
      <c r="AB231" s="86">
        <v>2046</v>
      </c>
      <c r="AC231" s="86">
        <v>2047</v>
      </c>
      <c r="AD231" s="86">
        <v>2048</v>
      </c>
      <c r="AE231" s="86">
        <v>2049</v>
      </c>
      <c r="AF231" s="86">
        <v>2050</v>
      </c>
      <c r="AG231" s="86"/>
      <c r="AH231" s="86"/>
      <c r="AI231" s="86"/>
      <c r="AJ231" s="86"/>
      <c r="AK231" s="86"/>
      <c r="AL231" s="86"/>
      <c r="AM231" s="86"/>
      <c r="AN231" s="86"/>
      <c r="AO231" s="86"/>
      <c r="AP231" s="86"/>
      <c r="AQ231" s="86"/>
      <c r="AR231" s="86"/>
      <c r="AS231" s="86"/>
      <c r="AT231" s="86"/>
    </row>
    <row r="232" spans="1:46" x14ac:dyDescent="0.3">
      <c r="A232" s="86" t="s">
        <v>731</v>
      </c>
      <c r="B232" s="92">
        <v>481712000000</v>
      </c>
      <c r="C232" s="92">
        <v>490013000000</v>
      </c>
      <c r="D232" s="92">
        <v>498201000000</v>
      </c>
      <c r="E232" s="92">
        <v>506262000000</v>
      </c>
      <c r="F232" s="92">
        <v>514181000000</v>
      </c>
      <c r="G232" s="92">
        <v>521945000000</v>
      </c>
      <c r="H232" s="92">
        <v>529539000000</v>
      </c>
      <c r="I232" s="92">
        <v>536948000000</v>
      </c>
      <c r="J232" s="92">
        <v>544483000000</v>
      </c>
      <c r="K232" s="92">
        <v>552145000000</v>
      </c>
      <c r="L232" s="92">
        <v>559937000000</v>
      </c>
      <c r="M232" s="92">
        <v>567861000000</v>
      </c>
      <c r="N232" s="92">
        <v>575919000000</v>
      </c>
      <c r="O232" s="92">
        <v>584113000000</v>
      </c>
      <c r="P232" s="92">
        <v>592446000000</v>
      </c>
      <c r="Q232" s="92">
        <v>600919000000</v>
      </c>
      <c r="R232" s="92">
        <v>609537000000</v>
      </c>
      <c r="S232" s="92">
        <v>618299000000</v>
      </c>
      <c r="T232" s="92">
        <v>627210000000</v>
      </c>
      <c r="U232" s="92">
        <v>636272000000</v>
      </c>
      <c r="V232" s="92">
        <v>645487000000</v>
      </c>
      <c r="W232" s="92">
        <v>654858000000</v>
      </c>
      <c r="X232" s="92">
        <v>664388000000</v>
      </c>
      <c r="Y232" s="92">
        <v>674078000000</v>
      </c>
      <c r="Z232" s="92">
        <v>683933000000</v>
      </c>
      <c r="AA232" s="92">
        <v>693954000000</v>
      </c>
      <c r="AB232" s="92">
        <v>704145000000</v>
      </c>
      <c r="AC232" s="92">
        <v>714508000000</v>
      </c>
      <c r="AD232" s="92">
        <v>725047000000</v>
      </c>
      <c r="AE232" s="92">
        <v>735763000000</v>
      </c>
      <c r="AF232" s="92">
        <v>746661000000</v>
      </c>
      <c r="AG232" s="92"/>
      <c r="AH232" s="92"/>
      <c r="AI232" s="92"/>
      <c r="AJ232" s="92"/>
      <c r="AK232" s="92"/>
      <c r="AL232" s="92"/>
      <c r="AM232" s="92"/>
      <c r="AN232" s="92"/>
      <c r="AO232" s="92"/>
      <c r="AP232" s="92"/>
      <c r="AQ232" s="92"/>
      <c r="AR232" s="92"/>
      <c r="AS232" s="92"/>
      <c r="AT232" s="92"/>
    </row>
    <row r="233" spans="1:46" x14ac:dyDescent="0.3">
      <c r="A233" s="86" t="s">
        <v>732</v>
      </c>
      <c r="B233" s="92">
        <v>35047500000</v>
      </c>
      <c r="C233" s="92">
        <v>34734400000</v>
      </c>
      <c r="D233" s="92">
        <v>34467400000</v>
      </c>
      <c r="E233" s="92">
        <v>34245200000</v>
      </c>
      <c r="F233" s="92">
        <v>34066600000</v>
      </c>
      <c r="G233" s="92">
        <v>33930700000</v>
      </c>
      <c r="H233" s="92">
        <v>33836900000</v>
      </c>
      <c r="I233" s="92">
        <v>33784500000</v>
      </c>
      <c r="J233" s="92">
        <v>33732200000</v>
      </c>
      <c r="K233" s="92">
        <v>33680100000</v>
      </c>
      <c r="L233" s="92">
        <v>33628000000</v>
      </c>
      <c r="M233" s="92">
        <v>33576100000</v>
      </c>
      <c r="N233" s="92">
        <v>33524200000</v>
      </c>
      <c r="O233" s="92">
        <v>33472500000</v>
      </c>
      <c r="P233" s="92">
        <v>33420800000</v>
      </c>
      <c r="Q233" s="92">
        <v>33369300000</v>
      </c>
      <c r="R233" s="92">
        <v>33317800000</v>
      </c>
      <c r="S233" s="92">
        <v>33266500000</v>
      </c>
      <c r="T233" s="92">
        <v>33215300000</v>
      </c>
      <c r="U233" s="92">
        <v>33164100000</v>
      </c>
      <c r="V233" s="92">
        <v>33113100000</v>
      </c>
      <c r="W233" s="92">
        <v>33062200000</v>
      </c>
      <c r="X233" s="92">
        <v>33011300000</v>
      </c>
      <c r="Y233" s="92">
        <v>32960600000</v>
      </c>
      <c r="Z233" s="92">
        <v>32910000000</v>
      </c>
      <c r="AA233" s="92">
        <v>32859500000</v>
      </c>
      <c r="AB233" s="92">
        <v>32809000000</v>
      </c>
      <c r="AC233" s="92">
        <v>32758700000</v>
      </c>
      <c r="AD233" s="92">
        <v>32708500000</v>
      </c>
      <c r="AE233" s="92">
        <v>32658400000</v>
      </c>
      <c r="AF233" s="92">
        <v>32608400000</v>
      </c>
      <c r="AG233" s="92"/>
      <c r="AH233" s="92"/>
      <c r="AI233" s="92"/>
      <c r="AJ233" s="92"/>
      <c r="AK233" s="92"/>
      <c r="AL233" s="92"/>
      <c r="AM233" s="92"/>
      <c r="AN233" s="92"/>
      <c r="AO233" s="92"/>
      <c r="AP233" s="92"/>
      <c r="AQ233" s="92"/>
      <c r="AR233" s="92"/>
      <c r="AS233" s="92"/>
      <c r="AT233" s="92"/>
    </row>
    <row r="234" spans="1:46" x14ac:dyDescent="0.3">
      <c r="A234" s="86" t="s">
        <v>733</v>
      </c>
      <c r="B234" s="92">
        <v>308345000000</v>
      </c>
      <c r="C234" s="92">
        <v>321706000000</v>
      </c>
      <c r="D234" s="92">
        <v>334951000000</v>
      </c>
      <c r="E234" s="92">
        <v>347994000000</v>
      </c>
      <c r="F234" s="92">
        <v>360747000000</v>
      </c>
      <c r="G234" s="92">
        <v>373120000000</v>
      </c>
      <c r="H234" s="92">
        <v>385023000000</v>
      </c>
      <c r="I234" s="92">
        <v>396366000000</v>
      </c>
      <c r="J234" s="92">
        <v>408095000000</v>
      </c>
      <c r="K234" s="92">
        <v>420222000000</v>
      </c>
      <c r="L234" s="92">
        <v>432762000000</v>
      </c>
      <c r="M234" s="92">
        <v>445728000000</v>
      </c>
      <c r="N234" s="92">
        <v>459135000000</v>
      </c>
      <c r="O234" s="92">
        <v>472997000000</v>
      </c>
      <c r="P234" s="92">
        <v>487331000000</v>
      </c>
      <c r="Q234" s="92">
        <v>502153000000</v>
      </c>
      <c r="R234" s="92">
        <v>517478000000</v>
      </c>
      <c r="S234" s="92">
        <v>533324000000</v>
      </c>
      <c r="T234" s="92">
        <v>549709000000</v>
      </c>
      <c r="U234" s="92">
        <v>566651000000</v>
      </c>
      <c r="V234" s="92">
        <v>584170000000</v>
      </c>
      <c r="W234" s="92">
        <v>602284000000</v>
      </c>
      <c r="X234" s="92">
        <v>621013000000</v>
      </c>
      <c r="Y234" s="92">
        <v>640380000000</v>
      </c>
      <c r="Z234" s="92">
        <v>660405000000</v>
      </c>
      <c r="AA234" s="92">
        <v>681111000000</v>
      </c>
      <c r="AB234" s="92">
        <v>702520000000</v>
      </c>
      <c r="AC234" s="92">
        <v>724658000000</v>
      </c>
      <c r="AD234" s="92">
        <v>747549000000</v>
      </c>
      <c r="AE234" s="92">
        <v>771217000000</v>
      </c>
      <c r="AF234" s="92">
        <v>795691000000</v>
      </c>
      <c r="AG234" s="92"/>
      <c r="AH234" s="92"/>
      <c r="AI234" s="92"/>
      <c r="AJ234" s="92"/>
      <c r="AK234" s="92"/>
      <c r="AL234" s="92"/>
      <c r="AM234" s="92"/>
      <c r="AN234" s="92"/>
      <c r="AO234" s="92"/>
      <c r="AP234" s="92"/>
      <c r="AQ234" s="92"/>
      <c r="AR234" s="92"/>
      <c r="AS234" s="92"/>
      <c r="AT234" s="92"/>
    </row>
    <row r="235" spans="1:46" x14ac:dyDescent="0.3">
      <c r="A235" s="86" t="s">
        <v>734</v>
      </c>
      <c r="B235" s="92">
        <v>59127500000</v>
      </c>
      <c r="C235" s="92">
        <v>58583600000</v>
      </c>
      <c r="D235" s="92">
        <v>58212000000</v>
      </c>
      <c r="E235" s="92">
        <v>58007900000</v>
      </c>
      <c r="F235" s="92">
        <v>57968500000</v>
      </c>
      <c r="G235" s="92">
        <v>58092700000</v>
      </c>
      <c r="H235" s="92">
        <v>58381300000</v>
      </c>
      <c r="I235" s="92">
        <v>58836900000</v>
      </c>
      <c r="J235" s="92">
        <v>59297100000</v>
      </c>
      <c r="K235" s="92">
        <v>59761900000</v>
      </c>
      <c r="L235" s="92">
        <v>60231300000</v>
      </c>
      <c r="M235" s="92">
        <v>60705500000</v>
      </c>
      <c r="N235" s="92">
        <v>61184400000</v>
      </c>
      <c r="O235" s="92">
        <v>61668100000</v>
      </c>
      <c r="P235" s="92">
        <v>62156700000</v>
      </c>
      <c r="Q235" s="92">
        <v>62650200000</v>
      </c>
      <c r="R235" s="92">
        <v>63148700000</v>
      </c>
      <c r="S235" s="92">
        <v>63652200000</v>
      </c>
      <c r="T235" s="92">
        <v>64160700000</v>
      </c>
      <c r="U235" s="92">
        <v>64674300000</v>
      </c>
      <c r="V235" s="92">
        <v>65193100000</v>
      </c>
      <c r="W235" s="92">
        <v>65717100000</v>
      </c>
      <c r="X235" s="92">
        <v>66246400000</v>
      </c>
      <c r="Y235" s="92">
        <v>66781000000</v>
      </c>
      <c r="Z235" s="92">
        <v>67321000000</v>
      </c>
      <c r="AA235" s="92">
        <v>67866300000</v>
      </c>
      <c r="AB235" s="92">
        <v>68417200000</v>
      </c>
      <c r="AC235" s="92">
        <v>68973600000</v>
      </c>
      <c r="AD235" s="92">
        <v>69535600000</v>
      </c>
      <c r="AE235" s="92">
        <v>70103200000</v>
      </c>
      <c r="AF235" s="92">
        <v>70676600000</v>
      </c>
      <c r="AG235" s="92"/>
      <c r="AH235" s="92"/>
      <c r="AI235" s="92"/>
      <c r="AJ235" s="92"/>
      <c r="AK235" s="92"/>
      <c r="AL235" s="92"/>
      <c r="AM235" s="92"/>
      <c r="AN235" s="92"/>
      <c r="AO235" s="92"/>
      <c r="AP235" s="92"/>
      <c r="AQ235" s="92"/>
      <c r="AR235" s="92"/>
      <c r="AS235" s="92"/>
      <c r="AT235" s="92"/>
    </row>
    <row r="236" spans="1:46" x14ac:dyDescent="0.3">
      <c r="A236" s="86" t="s">
        <v>735</v>
      </c>
      <c r="B236" s="92">
        <v>84700400000</v>
      </c>
      <c r="C236" s="92">
        <v>84920800000</v>
      </c>
      <c r="D236" s="92">
        <v>85430300000</v>
      </c>
      <c r="E236" s="92">
        <v>86234200000</v>
      </c>
      <c r="F236" s="92">
        <v>87341700000</v>
      </c>
      <c r="G236" s="92">
        <v>88765900000</v>
      </c>
      <c r="H236" s="92">
        <v>90524000000</v>
      </c>
      <c r="I236" s="92">
        <v>92638000000</v>
      </c>
      <c r="J236" s="92">
        <v>94813300000</v>
      </c>
      <c r="K236" s="92">
        <v>97051700000</v>
      </c>
      <c r="L236" s="92">
        <v>99355000000</v>
      </c>
      <c r="M236" s="92">
        <v>101725000000</v>
      </c>
      <c r="N236" s="92">
        <v>104164000000</v>
      </c>
      <c r="O236" s="92">
        <v>106673000000</v>
      </c>
      <c r="P236" s="92">
        <v>109256000000</v>
      </c>
      <c r="Q236" s="92">
        <v>111913000000</v>
      </c>
      <c r="R236" s="92">
        <v>114647000000</v>
      </c>
      <c r="S236" s="92">
        <v>117461000000</v>
      </c>
      <c r="T236" s="92">
        <v>120356000000</v>
      </c>
      <c r="U236" s="92">
        <v>123335000000</v>
      </c>
      <c r="V236" s="92">
        <v>126401000000</v>
      </c>
      <c r="W236" s="92">
        <v>129555000000</v>
      </c>
      <c r="X236" s="92">
        <v>132801000000</v>
      </c>
      <c r="Y236" s="92">
        <v>136141000000</v>
      </c>
      <c r="Z236" s="92">
        <v>139578000000</v>
      </c>
      <c r="AA236" s="92">
        <v>143114000000</v>
      </c>
      <c r="AB236" s="92">
        <v>146753000000</v>
      </c>
      <c r="AC236" s="92">
        <v>150498000000</v>
      </c>
      <c r="AD236" s="92">
        <v>154351000000</v>
      </c>
      <c r="AE236" s="92">
        <v>158316000000</v>
      </c>
      <c r="AF236" s="92">
        <v>162396000000</v>
      </c>
      <c r="AG236" s="92"/>
      <c r="AH236" s="92"/>
      <c r="AI236" s="92"/>
      <c r="AJ236" s="92"/>
      <c r="AK236" s="92"/>
      <c r="AL236" s="92"/>
      <c r="AM236" s="92"/>
      <c r="AN236" s="92"/>
      <c r="AO236" s="92"/>
      <c r="AP236" s="92"/>
      <c r="AQ236" s="92"/>
      <c r="AR236" s="92"/>
      <c r="AS236" s="92"/>
      <c r="AT236" s="92"/>
    </row>
    <row r="237" spans="1:46" x14ac:dyDescent="0.3">
      <c r="A237" s="86" t="s">
        <v>736</v>
      </c>
      <c r="B237" s="92">
        <v>940566000000</v>
      </c>
      <c r="C237" s="92">
        <v>948675000000</v>
      </c>
      <c r="D237" s="92">
        <v>957988000000</v>
      </c>
      <c r="E237" s="92">
        <v>968546000000</v>
      </c>
      <c r="F237" s="92">
        <v>980394000000</v>
      </c>
      <c r="G237" s="92">
        <v>993585000000</v>
      </c>
      <c r="H237" s="92">
        <v>1008180000000</v>
      </c>
      <c r="I237" s="92">
        <v>1024240000000</v>
      </c>
      <c r="J237" s="92">
        <v>1040620000000</v>
      </c>
      <c r="K237" s="92">
        <v>1057310000000</v>
      </c>
      <c r="L237" s="92">
        <v>1074340000000</v>
      </c>
      <c r="M237" s="92">
        <v>1091690000000</v>
      </c>
      <c r="N237" s="92">
        <v>1109390000000</v>
      </c>
      <c r="O237" s="92">
        <v>1127430000000</v>
      </c>
      <c r="P237" s="92">
        <v>1145830000000</v>
      </c>
      <c r="Q237" s="92">
        <v>1164590000000</v>
      </c>
      <c r="R237" s="92">
        <v>1183710000000</v>
      </c>
      <c r="S237" s="92">
        <v>1203210000000</v>
      </c>
      <c r="T237" s="92">
        <v>1223090000000</v>
      </c>
      <c r="U237" s="92">
        <v>1243360000000</v>
      </c>
      <c r="V237" s="92">
        <v>1264030000000</v>
      </c>
      <c r="W237" s="92">
        <v>1285100000000</v>
      </c>
      <c r="X237" s="92">
        <v>1306580000000</v>
      </c>
      <c r="Y237" s="92">
        <v>1328490000000</v>
      </c>
      <c r="Z237" s="92">
        <v>1350820000000</v>
      </c>
      <c r="AA237" s="92">
        <v>1373590000000</v>
      </c>
      <c r="AB237" s="92">
        <v>1396810000000</v>
      </c>
      <c r="AC237" s="92">
        <v>1420480000000</v>
      </c>
      <c r="AD237" s="92">
        <v>1444620000000</v>
      </c>
      <c r="AE237" s="92">
        <v>1469220000000</v>
      </c>
      <c r="AF237" s="92">
        <v>1494310000000</v>
      </c>
      <c r="AG237" s="92"/>
      <c r="AH237" s="92"/>
      <c r="AI237" s="92"/>
      <c r="AJ237" s="92"/>
      <c r="AK237" s="92"/>
      <c r="AL237" s="92"/>
      <c r="AM237" s="92"/>
      <c r="AN237" s="92"/>
      <c r="AO237" s="92"/>
      <c r="AP237" s="92"/>
      <c r="AQ237" s="92"/>
      <c r="AR237" s="92"/>
      <c r="AS237" s="92"/>
      <c r="AT237" s="92"/>
    </row>
    <row r="238" spans="1:46" x14ac:dyDescent="0.3">
      <c r="A238" s="86" t="s">
        <v>737</v>
      </c>
      <c r="B238" s="92">
        <v>82562700000</v>
      </c>
      <c r="C238" s="92">
        <v>82093300000</v>
      </c>
      <c r="D238" s="92">
        <v>81499600000</v>
      </c>
      <c r="E238" s="92">
        <v>80784800000</v>
      </c>
      <c r="F238" s="92">
        <v>79952800000</v>
      </c>
      <c r="G238" s="92">
        <v>79008300000</v>
      </c>
      <c r="H238" s="92">
        <v>77956500000</v>
      </c>
      <c r="I238" s="92">
        <v>76803100000</v>
      </c>
      <c r="J238" s="92">
        <v>75671700000</v>
      </c>
      <c r="K238" s="92">
        <v>74561800000</v>
      </c>
      <c r="L238" s="92">
        <v>73473200000</v>
      </c>
      <c r="M238" s="92">
        <v>72405300000</v>
      </c>
      <c r="N238" s="92">
        <v>71357700000</v>
      </c>
      <c r="O238" s="92">
        <v>70330100000</v>
      </c>
      <c r="P238" s="92">
        <v>69322200000</v>
      </c>
      <c r="Q238" s="92">
        <v>68333400000</v>
      </c>
      <c r="R238" s="92">
        <v>67363500000</v>
      </c>
      <c r="S238" s="92">
        <v>66412100000</v>
      </c>
      <c r="T238" s="92">
        <v>65478900000</v>
      </c>
      <c r="U238" s="92">
        <v>64563400000</v>
      </c>
      <c r="V238" s="92">
        <v>63665400000</v>
      </c>
      <c r="W238" s="92">
        <v>62784500000</v>
      </c>
      <c r="X238" s="92">
        <v>61920500000</v>
      </c>
      <c r="Y238" s="92">
        <v>61072900000</v>
      </c>
      <c r="Z238" s="92">
        <v>60241400000</v>
      </c>
      <c r="AA238" s="92">
        <v>59425800000</v>
      </c>
      <c r="AB238" s="92">
        <v>58625800000</v>
      </c>
      <c r="AC238" s="92">
        <v>57841000000</v>
      </c>
      <c r="AD238" s="92">
        <v>57071200000</v>
      </c>
      <c r="AE238" s="92">
        <v>56316100000</v>
      </c>
      <c r="AF238" s="92">
        <v>55575400000</v>
      </c>
      <c r="AG238" s="92"/>
      <c r="AH238" s="92"/>
      <c r="AI238" s="92"/>
      <c r="AJ238" s="92"/>
      <c r="AK238" s="92"/>
      <c r="AL238" s="92"/>
      <c r="AM238" s="92"/>
      <c r="AN238" s="92"/>
      <c r="AO238" s="92"/>
      <c r="AP238" s="92"/>
      <c r="AQ238" s="92"/>
      <c r="AR238" s="92"/>
      <c r="AS238" s="92"/>
      <c r="AT238" s="92"/>
    </row>
    <row r="239" spans="1:46" x14ac:dyDescent="0.3">
      <c r="A239" s="86" t="s">
        <v>738</v>
      </c>
      <c r="B239" s="92">
        <v>105058000000</v>
      </c>
      <c r="C239" s="92">
        <v>106892000000</v>
      </c>
      <c r="D239" s="92">
        <v>108549000000</v>
      </c>
      <c r="E239" s="92">
        <v>110016000000</v>
      </c>
      <c r="F239" s="92">
        <v>111283000000</v>
      </c>
      <c r="G239" s="92">
        <v>112340000000</v>
      </c>
      <c r="H239" s="92">
        <v>113179000000</v>
      </c>
      <c r="I239" s="92">
        <v>113793000000</v>
      </c>
      <c r="J239" s="92">
        <v>114411000000</v>
      </c>
      <c r="K239" s="92">
        <v>115033000000</v>
      </c>
      <c r="L239" s="92">
        <v>115660000000</v>
      </c>
      <c r="M239" s="92">
        <v>116290000000</v>
      </c>
      <c r="N239" s="92">
        <v>116925000000</v>
      </c>
      <c r="O239" s="92">
        <v>117564000000</v>
      </c>
      <c r="P239" s="92">
        <v>118207000000</v>
      </c>
      <c r="Q239" s="92">
        <v>118854000000</v>
      </c>
      <c r="R239" s="92">
        <v>119505000000</v>
      </c>
      <c r="S239" s="92">
        <v>120161000000</v>
      </c>
      <c r="T239" s="92">
        <v>120821000000</v>
      </c>
      <c r="U239" s="92">
        <v>121485000000</v>
      </c>
      <c r="V239" s="92">
        <v>122154000000</v>
      </c>
      <c r="W239" s="92">
        <v>122827000000</v>
      </c>
      <c r="X239" s="92">
        <v>123505000000</v>
      </c>
      <c r="Y239" s="92">
        <v>124187000000</v>
      </c>
      <c r="Z239" s="92">
        <v>124874000000</v>
      </c>
      <c r="AA239" s="92">
        <v>125565000000</v>
      </c>
      <c r="AB239" s="92">
        <v>126260000000</v>
      </c>
      <c r="AC239" s="92">
        <v>126960000000</v>
      </c>
      <c r="AD239" s="92">
        <v>127665000000</v>
      </c>
      <c r="AE239" s="92">
        <v>128375000000</v>
      </c>
      <c r="AF239" s="92">
        <v>129089000000</v>
      </c>
      <c r="AG239" s="92"/>
      <c r="AH239" s="92"/>
      <c r="AI239" s="92"/>
      <c r="AJ239" s="92"/>
      <c r="AK239" s="92"/>
      <c r="AL239" s="92"/>
      <c r="AM239" s="92"/>
      <c r="AN239" s="92"/>
      <c r="AO239" s="92"/>
      <c r="AP239" s="92"/>
      <c r="AQ239" s="92"/>
      <c r="AR239" s="92"/>
      <c r="AS239" s="92"/>
      <c r="AT239" s="92"/>
    </row>
    <row r="240" spans="1:46" x14ac:dyDescent="0.3">
      <c r="A240" s="86" t="s">
        <v>739</v>
      </c>
      <c r="B240" s="92">
        <v>261178000000</v>
      </c>
      <c r="C240" s="92">
        <v>261370000000</v>
      </c>
      <c r="D240" s="92">
        <v>261675000000</v>
      </c>
      <c r="E240" s="92">
        <v>262091000000</v>
      </c>
      <c r="F240" s="92">
        <v>262620000000</v>
      </c>
      <c r="G240" s="92">
        <v>263262000000</v>
      </c>
      <c r="H240" s="92">
        <v>264019000000</v>
      </c>
      <c r="I240" s="92">
        <v>264891000000</v>
      </c>
      <c r="J240" s="92">
        <v>265767000000</v>
      </c>
      <c r="K240" s="92">
        <v>266647000000</v>
      </c>
      <c r="L240" s="92">
        <v>267530000000</v>
      </c>
      <c r="M240" s="92">
        <v>268417000000</v>
      </c>
      <c r="N240" s="92">
        <v>269308000000</v>
      </c>
      <c r="O240" s="92">
        <v>270202000000</v>
      </c>
      <c r="P240" s="92">
        <v>271100000000</v>
      </c>
      <c r="Q240" s="92">
        <v>272002000000</v>
      </c>
      <c r="R240" s="92">
        <v>272908000000</v>
      </c>
      <c r="S240" s="92">
        <v>273817000000</v>
      </c>
      <c r="T240" s="92">
        <v>274730000000</v>
      </c>
      <c r="U240" s="92">
        <v>275647000000</v>
      </c>
      <c r="V240" s="92">
        <v>276568000000</v>
      </c>
      <c r="W240" s="92">
        <v>277492000000</v>
      </c>
      <c r="X240" s="92">
        <v>278421000000</v>
      </c>
      <c r="Y240" s="92">
        <v>279353000000</v>
      </c>
      <c r="Z240" s="92">
        <v>280289000000</v>
      </c>
      <c r="AA240" s="92">
        <v>281229000000</v>
      </c>
      <c r="AB240" s="92">
        <v>282173000000</v>
      </c>
      <c r="AC240" s="92">
        <v>283121000000</v>
      </c>
      <c r="AD240" s="92">
        <v>284072000000</v>
      </c>
      <c r="AE240" s="92">
        <v>285028000000</v>
      </c>
      <c r="AF240" s="92">
        <v>285988000000</v>
      </c>
      <c r="AG240" s="92"/>
      <c r="AH240" s="92"/>
      <c r="AI240" s="92"/>
      <c r="AJ240" s="92"/>
      <c r="AK240" s="92"/>
      <c r="AL240" s="92"/>
      <c r="AM240" s="92"/>
      <c r="AN240" s="92"/>
      <c r="AO240" s="92"/>
      <c r="AP240" s="92"/>
      <c r="AQ240" s="92"/>
      <c r="AR240" s="92"/>
      <c r="AS240" s="92"/>
      <c r="AT240" s="92"/>
    </row>
    <row r="241" spans="1:46" x14ac:dyDescent="0.3">
      <c r="A241" s="86" t="s">
        <v>740</v>
      </c>
      <c r="B241" s="92">
        <v>488126000000</v>
      </c>
      <c r="C241" s="92">
        <v>490815000000</v>
      </c>
      <c r="D241" s="92">
        <v>493482000000</v>
      </c>
      <c r="E241" s="92">
        <v>496128000000</v>
      </c>
      <c r="F241" s="92">
        <v>498752000000</v>
      </c>
      <c r="G241" s="92">
        <v>501353000000</v>
      </c>
      <c r="H241" s="92">
        <v>503930000000</v>
      </c>
      <c r="I241" s="92">
        <v>506483000000</v>
      </c>
      <c r="J241" s="92">
        <v>509052000000</v>
      </c>
      <c r="K241" s="92">
        <v>511636000000</v>
      </c>
      <c r="L241" s="92">
        <v>514238000000</v>
      </c>
      <c r="M241" s="92">
        <v>516855000000</v>
      </c>
      <c r="N241" s="92">
        <v>519489000000</v>
      </c>
      <c r="O241" s="92">
        <v>522140000000</v>
      </c>
      <c r="P241" s="92">
        <v>524807000000</v>
      </c>
      <c r="Q241" s="92">
        <v>527491000000</v>
      </c>
      <c r="R241" s="92">
        <v>530192000000</v>
      </c>
      <c r="S241" s="92">
        <v>532911000000</v>
      </c>
      <c r="T241" s="92">
        <v>535646000000</v>
      </c>
      <c r="U241" s="92">
        <v>538398000000</v>
      </c>
      <c r="V241" s="92">
        <v>541168000000</v>
      </c>
      <c r="W241" s="92">
        <v>543955000000</v>
      </c>
      <c r="X241" s="92">
        <v>546759000000</v>
      </c>
      <c r="Y241" s="92">
        <v>549582000000</v>
      </c>
      <c r="Z241" s="92">
        <v>552422000000</v>
      </c>
      <c r="AA241" s="92">
        <v>555280000000</v>
      </c>
      <c r="AB241" s="92">
        <v>558156000000</v>
      </c>
      <c r="AC241" s="92">
        <v>561050000000</v>
      </c>
      <c r="AD241" s="92">
        <v>563962000000</v>
      </c>
      <c r="AE241" s="92">
        <v>566893000000</v>
      </c>
      <c r="AF241" s="92">
        <v>569842000000</v>
      </c>
      <c r="AG241" s="92"/>
      <c r="AH241" s="92"/>
      <c r="AI241" s="92"/>
      <c r="AJ241" s="92"/>
      <c r="AK241" s="92"/>
      <c r="AL241" s="92"/>
      <c r="AM241" s="92"/>
      <c r="AN241" s="92"/>
      <c r="AO241" s="92"/>
      <c r="AP241" s="92"/>
      <c r="AQ241" s="92"/>
      <c r="AR241" s="92"/>
      <c r="AS241" s="92"/>
      <c r="AT241" s="92"/>
    </row>
    <row r="242" spans="1:46" x14ac:dyDescent="0.3">
      <c r="A242" s="86" t="s">
        <v>741</v>
      </c>
      <c r="B242" s="92">
        <v>545729000000</v>
      </c>
      <c r="C242" s="92">
        <v>555363000000</v>
      </c>
      <c r="D242" s="92">
        <v>564993000000</v>
      </c>
      <c r="E242" s="92">
        <v>574609000000</v>
      </c>
      <c r="F242" s="92">
        <v>584204000000</v>
      </c>
      <c r="G242" s="92">
        <v>593767000000</v>
      </c>
      <c r="H242" s="92">
        <v>603288000000</v>
      </c>
      <c r="I242" s="92">
        <v>612758000000</v>
      </c>
      <c r="J242" s="92">
        <v>622408000000</v>
      </c>
      <c r="K242" s="92">
        <v>632240000000</v>
      </c>
      <c r="L242" s="92">
        <v>642259000000</v>
      </c>
      <c r="M242" s="92">
        <v>652468000000</v>
      </c>
      <c r="N242" s="92">
        <v>662870000000</v>
      </c>
      <c r="O242" s="92">
        <v>673469000000</v>
      </c>
      <c r="P242" s="92">
        <v>684269000000</v>
      </c>
      <c r="Q242" s="92">
        <v>695274000000</v>
      </c>
      <c r="R242" s="92">
        <v>706487000000</v>
      </c>
      <c r="S242" s="92">
        <v>717913000000</v>
      </c>
      <c r="T242" s="92">
        <v>729555000000</v>
      </c>
      <c r="U242" s="92">
        <v>741418000000</v>
      </c>
      <c r="V242" s="92">
        <v>753506000000</v>
      </c>
      <c r="W242" s="92">
        <v>765823000000</v>
      </c>
      <c r="X242" s="92">
        <v>778373000000</v>
      </c>
      <c r="Y242" s="92">
        <v>791162000000</v>
      </c>
      <c r="Z242" s="92">
        <v>804192000000</v>
      </c>
      <c r="AA242" s="92">
        <v>817469000000</v>
      </c>
      <c r="AB242" s="92">
        <v>830998000000</v>
      </c>
      <c r="AC242" s="92">
        <v>844784000000</v>
      </c>
      <c r="AD242" s="92">
        <v>858831000000</v>
      </c>
      <c r="AE242" s="92">
        <v>873143000000</v>
      </c>
      <c r="AF242" s="92">
        <v>887728000000</v>
      </c>
      <c r="AG242" s="92"/>
      <c r="AH242" s="92"/>
      <c r="AI242" s="92"/>
      <c r="AJ242" s="92"/>
      <c r="AK242" s="92"/>
      <c r="AL242" s="92"/>
      <c r="AM242" s="92"/>
      <c r="AN242" s="92"/>
      <c r="AO242" s="92"/>
      <c r="AP242" s="92"/>
      <c r="AQ242" s="92"/>
      <c r="AR242" s="92"/>
      <c r="AS242" s="92"/>
      <c r="AT242" s="92"/>
    </row>
    <row r="243" spans="1:46" x14ac:dyDescent="0.3">
      <c r="A243" s="86" t="s">
        <v>742</v>
      </c>
      <c r="B243" s="92">
        <v>256985000000</v>
      </c>
      <c r="C243" s="92">
        <v>256811000000</v>
      </c>
      <c r="D243" s="92">
        <v>257274000000</v>
      </c>
      <c r="E243" s="92">
        <v>258377000000</v>
      </c>
      <c r="F243" s="92">
        <v>260128000000</v>
      </c>
      <c r="G243" s="92">
        <v>262541000000</v>
      </c>
      <c r="H243" s="92">
        <v>265637000000</v>
      </c>
      <c r="I243" s="92">
        <v>269445000000</v>
      </c>
      <c r="J243" s="92">
        <v>273320000000</v>
      </c>
      <c r="K243" s="92">
        <v>277266000000</v>
      </c>
      <c r="L243" s="92">
        <v>281282000000</v>
      </c>
      <c r="M243" s="92">
        <v>285371000000</v>
      </c>
      <c r="N243" s="92">
        <v>289534000000</v>
      </c>
      <c r="O243" s="92">
        <v>293771000000</v>
      </c>
      <c r="P243" s="92">
        <v>298085000000</v>
      </c>
      <c r="Q243" s="92">
        <v>302476000000</v>
      </c>
      <c r="R243" s="92">
        <v>306946000000</v>
      </c>
      <c r="S243" s="92">
        <v>311497000000</v>
      </c>
      <c r="T243" s="92">
        <v>316130000000</v>
      </c>
      <c r="U243" s="92">
        <v>320846000000</v>
      </c>
      <c r="V243" s="92">
        <v>325647000000</v>
      </c>
      <c r="W243" s="92">
        <v>330535000000</v>
      </c>
      <c r="X243" s="92">
        <v>335510000000</v>
      </c>
      <c r="Y243" s="92">
        <v>340575000000</v>
      </c>
      <c r="Z243" s="92">
        <v>345731000000</v>
      </c>
      <c r="AA243" s="92">
        <v>350980000000</v>
      </c>
      <c r="AB243" s="92">
        <v>356323000000</v>
      </c>
      <c r="AC243" s="92">
        <v>361763000000</v>
      </c>
      <c r="AD243" s="92">
        <v>367301000000</v>
      </c>
      <c r="AE243" s="92">
        <v>372938000000</v>
      </c>
      <c r="AF243" s="92">
        <v>378676000000</v>
      </c>
      <c r="AG243" s="92"/>
      <c r="AH243" s="92"/>
      <c r="AI243" s="92"/>
      <c r="AJ243" s="92"/>
      <c r="AK243" s="92"/>
      <c r="AL243" s="92"/>
      <c r="AM243" s="92"/>
      <c r="AN243" s="92"/>
      <c r="AO243" s="92"/>
      <c r="AP243" s="92"/>
      <c r="AQ243" s="92"/>
      <c r="AR243" s="92"/>
      <c r="AS243" s="92"/>
      <c r="AT243" s="92"/>
    </row>
    <row r="244" spans="1:46" x14ac:dyDescent="0.3">
      <c r="A244" s="86" t="s">
        <v>743</v>
      </c>
      <c r="B244" s="92">
        <v>240297000000</v>
      </c>
      <c r="C244" s="92">
        <v>243779000000</v>
      </c>
      <c r="D244" s="92">
        <v>247315000000</v>
      </c>
      <c r="E244" s="92">
        <v>250905000000</v>
      </c>
      <c r="F244" s="92">
        <v>254551000000</v>
      </c>
      <c r="G244" s="92">
        <v>258253000000</v>
      </c>
      <c r="H244" s="92">
        <v>262011000000</v>
      </c>
      <c r="I244" s="92">
        <v>265826000000</v>
      </c>
      <c r="J244" s="92">
        <v>269709000000</v>
      </c>
      <c r="K244" s="92">
        <v>273660000000</v>
      </c>
      <c r="L244" s="92">
        <v>277682000000</v>
      </c>
      <c r="M244" s="92">
        <v>281774000000</v>
      </c>
      <c r="N244" s="92">
        <v>285939000000</v>
      </c>
      <c r="O244" s="92">
        <v>290178000000</v>
      </c>
      <c r="P244" s="92">
        <v>294492000000</v>
      </c>
      <c r="Q244" s="92">
        <v>298882000000</v>
      </c>
      <c r="R244" s="92">
        <v>303350000000</v>
      </c>
      <c r="S244" s="92">
        <v>307897000000</v>
      </c>
      <c r="T244" s="92">
        <v>312524000000</v>
      </c>
      <c r="U244" s="92">
        <v>317233000000</v>
      </c>
      <c r="V244" s="92">
        <v>322025000000</v>
      </c>
      <c r="W244" s="92">
        <v>326903000000</v>
      </c>
      <c r="X244" s="92">
        <v>331866000000</v>
      </c>
      <c r="Y244" s="92">
        <v>336917000000</v>
      </c>
      <c r="Z244" s="92">
        <v>342058000000</v>
      </c>
      <c r="AA244" s="92">
        <v>347290000000</v>
      </c>
      <c r="AB244" s="92">
        <v>352614000000</v>
      </c>
      <c r="AC244" s="92">
        <v>358033000000</v>
      </c>
      <c r="AD244" s="92">
        <v>363547000000</v>
      </c>
      <c r="AE244" s="92">
        <v>369159000000</v>
      </c>
      <c r="AF244" s="92">
        <v>374870000000</v>
      </c>
      <c r="AG244" s="92"/>
      <c r="AH244" s="92"/>
      <c r="AI244" s="92"/>
      <c r="AJ244" s="92"/>
      <c r="AK244" s="92"/>
      <c r="AL244" s="92"/>
      <c r="AM244" s="92"/>
      <c r="AN244" s="92"/>
      <c r="AO244" s="92"/>
      <c r="AP244" s="92"/>
      <c r="AQ244" s="92"/>
      <c r="AR244" s="92"/>
      <c r="AS244" s="92"/>
      <c r="AT244" s="92"/>
    </row>
    <row r="245" spans="1:46" x14ac:dyDescent="0.3">
      <c r="A245" s="86" t="s">
        <v>744</v>
      </c>
      <c r="B245" s="92">
        <v>29825800000</v>
      </c>
      <c r="C245" s="92">
        <v>30788700000</v>
      </c>
      <c r="D245" s="92">
        <v>31690100000</v>
      </c>
      <c r="E245" s="92">
        <v>32520600000</v>
      </c>
      <c r="F245" s="92">
        <v>33271400000</v>
      </c>
      <c r="G245" s="92">
        <v>33934000000</v>
      </c>
      <c r="H245" s="92">
        <v>34500900000</v>
      </c>
      <c r="I245" s="92">
        <v>34965500000</v>
      </c>
      <c r="J245" s="92">
        <v>35437400000</v>
      </c>
      <c r="K245" s="92">
        <v>35916800000</v>
      </c>
      <c r="L245" s="92">
        <v>36403900000</v>
      </c>
      <c r="M245" s="92">
        <v>36898600000</v>
      </c>
      <c r="N245" s="92">
        <v>37401200000</v>
      </c>
      <c r="O245" s="92">
        <v>37911800000</v>
      </c>
      <c r="P245" s="92">
        <v>38430500000</v>
      </c>
      <c r="Q245" s="92">
        <v>38957400000</v>
      </c>
      <c r="R245" s="92">
        <v>39492700000</v>
      </c>
      <c r="S245" s="92">
        <v>40036400000</v>
      </c>
      <c r="T245" s="92">
        <v>40588800000</v>
      </c>
      <c r="U245" s="92">
        <v>41149900000</v>
      </c>
      <c r="V245" s="92">
        <v>41720000000</v>
      </c>
      <c r="W245" s="92">
        <v>42299100000</v>
      </c>
      <c r="X245" s="92">
        <v>42887400000</v>
      </c>
      <c r="Y245" s="92">
        <v>43485000000</v>
      </c>
      <c r="Z245" s="92">
        <v>44092100000</v>
      </c>
      <c r="AA245" s="92">
        <v>44708800000</v>
      </c>
      <c r="AB245" s="92">
        <v>45335300000</v>
      </c>
      <c r="AC245" s="92">
        <v>45971700000</v>
      </c>
      <c r="AD245" s="92">
        <v>46618200000</v>
      </c>
      <c r="AE245" s="92">
        <v>47275000000</v>
      </c>
      <c r="AF245" s="92">
        <v>47942200000</v>
      </c>
      <c r="AG245" s="92"/>
      <c r="AH245" s="92"/>
      <c r="AI245" s="92"/>
      <c r="AJ245" s="92"/>
      <c r="AK245" s="92"/>
      <c r="AL245" s="92"/>
      <c r="AM245" s="92"/>
      <c r="AN245" s="92"/>
      <c r="AO245" s="92"/>
      <c r="AP245" s="92"/>
      <c r="AQ245" s="92"/>
      <c r="AR245" s="92"/>
      <c r="AS245" s="92"/>
      <c r="AT245" s="92"/>
    </row>
    <row r="246" spans="1:46" x14ac:dyDescent="0.3">
      <c r="A246" s="86" t="s">
        <v>745</v>
      </c>
      <c r="B246" s="92">
        <v>98504900000</v>
      </c>
      <c r="C246" s="92">
        <v>100111000000</v>
      </c>
      <c r="D246" s="92">
        <v>101670000000</v>
      </c>
      <c r="E246" s="92">
        <v>103178000000</v>
      </c>
      <c r="F246" s="92">
        <v>104631000000</v>
      </c>
      <c r="G246" s="92">
        <v>106026000000</v>
      </c>
      <c r="H246" s="92">
        <v>107359000000</v>
      </c>
      <c r="I246" s="92">
        <v>108626000000</v>
      </c>
      <c r="J246" s="92">
        <v>109910000000</v>
      </c>
      <c r="K246" s="92">
        <v>111214000000</v>
      </c>
      <c r="L246" s="92">
        <v>112535000000</v>
      </c>
      <c r="M246" s="92">
        <v>113876000000</v>
      </c>
      <c r="N246" s="92">
        <v>115236000000</v>
      </c>
      <c r="O246" s="92">
        <v>116615000000</v>
      </c>
      <c r="P246" s="92">
        <v>118014000000</v>
      </c>
      <c r="Q246" s="92">
        <v>119433000000</v>
      </c>
      <c r="R246" s="92">
        <v>120873000000</v>
      </c>
      <c r="S246" s="92">
        <v>122333000000</v>
      </c>
      <c r="T246" s="92">
        <v>123813000000</v>
      </c>
      <c r="U246" s="92">
        <v>125315000000</v>
      </c>
      <c r="V246" s="92">
        <v>126839000000</v>
      </c>
      <c r="W246" s="92">
        <v>128384000000</v>
      </c>
      <c r="X246" s="92">
        <v>129951000000</v>
      </c>
      <c r="Y246" s="92">
        <v>131541000000</v>
      </c>
      <c r="Z246" s="92">
        <v>133154000000</v>
      </c>
      <c r="AA246" s="92">
        <v>134789000000</v>
      </c>
      <c r="AB246" s="92">
        <v>136448000000</v>
      </c>
      <c r="AC246" s="92">
        <v>138131000000</v>
      </c>
      <c r="AD246" s="92">
        <v>139838000000</v>
      </c>
      <c r="AE246" s="92">
        <v>141569000000</v>
      </c>
      <c r="AF246" s="92">
        <v>143325000000</v>
      </c>
      <c r="AG246" s="92"/>
      <c r="AH246" s="92"/>
      <c r="AI246" s="92"/>
      <c r="AJ246" s="92"/>
      <c r="AK246" s="92"/>
      <c r="AL246" s="92"/>
      <c r="AM246" s="92"/>
      <c r="AN246" s="92"/>
      <c r="AO246" s="92"/>
      <c r="AP246" s="92"/>
      <c r="AQ246" s="92"/>
      <c r="AR246" s="92"/>
      <c r="AS246" s="92"/>
      <c r="AT246" s="92"/>
    </row>
    <row r="247" spans="1:46" x14ac:dyDescent="0.3">
      <c r="A247" s="86" t="s">
        <v>746</v>
      </c>
      <c r="B247" s="92">
        <v>131054000000</v>
      </c>
      <c r="C247" s="92">
        <v>132741000000</v>
      </c>
      <c r="D247" s="92">
        <v>134234000000</v>
      </c>
      <c r="E247" s="92">
        <v>135525000000</v>
      </c>
      <c r="F247" s="92">
        <v>136604000000</v>
      </c>
      <c r="G247" s="92">
        <v>137466000000</v>
      </c>
      <c r="H247" s="92">
        <v>138105000000</v>
      </c>
      <c r="I247" s="92">
        <v>138516000000</v>
      </c>
      <c r="J247" s="92">
        <v>138928000000</v>
      </c>
      <c r="K247" s="92">
        <v>139342000000</v>
      </c>
      <c r="L247" s="92">
        <v>139757000000</v>
      </c>
      <c r="M247" s="92">
        <v>140174000000</v>
      </c>
      <c r="N247" s="92">
        <v>140593000000</v>
      </c>
      <c r="O247" s="92">
        <v>141012000000</v>
      </c>
      <c r="P247" s="92">
        <v>141434000000</v>
      </c>
      <c r="Q247" s="92">
        <v>141857000000</v>
      </c>
      <c r="R247" s="92">
        <v>142281000000</v>
      </c>
      <c r="S247" s="92">
        <v>142707000000</v>
      </c>
      <c r="T247" s="92">
        <v>143135000000</v>
      </c>
      <c r="U247" s="92">
        <v>143564000000</v>
      </c>
      <c r="V247" s="92">
        <v>143995000000</v>
      </c>
      <c r="W247" s="92">
        <v>144427000000</v>
      </c>
      <c r="X247" s="92">
        <v>144861000000</v>
      </c>
      <c r="Y247" s="92">
        <v>145297000000</v>
      </c>
      <c r="Z247" s="92">
        <v>145734000000</v>
      </c>
      <c r="AA247" s="92">
        <v>146172000000</v>
      </c>
      <c r="AB247" s="92">
        <v>146612000000</v>
      </c>
      <c r="AC247" s="92">
        <v>147054000000</v>
      </c>
      <c r="AD247" s="92">
        <v>147498000000</v>
      </c>
      <c r="AE247" s="92">
        <v>147943000000</v>
      </c>
      <c r="AF247" s="92">
        <v>148390000000</v>
      </c>
      <c r="AG247" s="92"/>
      <c r="AH247" s="92"/>
      <c r="AI247" s="92"/>
      <c r="AJ247" s="92"/>
      <c r="AK247" s="92"/>
      <c r="AL247" s="92"/>
      <c r="AM247" s="92"/>
      <c r="AN247" s="92"/>
      <c r="AO247" s="92"/>
      <c r="AP247" s="92"/>
      <c r="AQ247" s="92"/>
      <c r="AR247" s="92"/>
      <c r="AS247" s="92"/>
      <c r="AT247" s="92"/>
    </row>
    <row r="248" spans="1:46" x14ac:dyDescent="0.3">
      <c r="A248" s="86" t="s">
        <v>747</v>
      </c>
      <c r="B248" s="92">
        <v>104036000000</v>
      </c>
      <c r="C248" s="92">
        <v>105604000000</v>
      </c>
      <c r="D248" s="92">
        <v>107097000000</v>
      </c>
      <c r="E248" s="92">
        <v>108509000000</v>
      </c>
      <c r="F248" s="92">
        <v>109837000000</v>
      </c>
      <c r="G248" s="92">
        <v>111074000000</v>
      </c>
      <c r="H248" s="92">
        <v>112218000000</v>
      </c>
      <c r="I248" s="92">
        <v>113263000000</v>
      </c>
      <c r="J248" s="92">
        <v>114321000000</v>
      </c>
      <c r="K248" s="92">
        <v>115390000000</v>
      </c>
      <c r="L248" s="92">
        <v>116472000000</v>
      </c>
      <c r="M248" s="92">
        <v>117566000000</v>
      </c>
      <c r="N248" s="92">
        <v>118672000000</v>
      </c>
      <c r="O248" s="92">
        <v>119790000000</v>
      </c>
      <c r="P248" s="92">
        <v>120922000000</v>
      </c>
      <c r="Q248" s="92">
        <v>122066000000</v>
      </c>
      <c r="R248" s="92">
        <v>123223000000</v>
      </c>
      <c r="S248" s="92">
        <v>124393000000</v>
      </c>
      <c r="T248" s="92">
        <v>125577000000</v>
      </c>
      <c r="U248" s="92">
        <v>126774000000</v>
      </c>
      <c r="V248" s="92">
        <v>127984000000</v>
      </c>
      <c r="W248" s="92">
        <v>129209000000</v>
      </c>
      <c r="X248" s="92">
        <v>130447000000</v>
      </c>
      <c r="Y248" s="92">
        <v>131699000000</v>
      </c>
      <c r="Z248" s="92">
        <v>132965000000</v>
      </c>
      <c r="AA248" s="92">
        <v>134246000000</v>
      </c>
      <c r="AB248" s="92">
        <v>135541000000</v>
      </c>
      <c r="AC248" s="92">
        <v>136851000000</v>
      </c>
      <c r="AD248" s="92">
        <v>138175000000</v>
      </c>
      <c r="AE248" s="92">
        <v>139515000000</v>
      </c>
      <c r="AF248" s="92">
        <v>140870000000</v>
      </c>
      <c r="AG248" s="92"/>
      <c r="AH248" s="92"/>
      <c r="AI248" s="92"/>
      <c r="AJ248" s="92"/>
      <c r="AK248" s="92"/>
      <c r="AL248" s="92"/>
      <c r="AM248" s="92"/>
      <c r="AN248" s="92"/>
      <c r="AO248" s="92"/>
      <c r="AP248" s="92"/>
      <c r="AQ248" s="92"/>
      <c r="AR248" s="92"/>
      <c r="AS248" s="92"/>
      <c r="AT248" s="92"/>
    </row>
    <row r="249" spans="1:46" x14ac:dyDescent="0.3">
      <c r="A249" s="86" t="s">
        <v>748</v>
      </c>
      <c r="B249" s="92">
        <v>396288000000</v>
      </c>
      <c r="C249" s="92">
        <v>404312000000</v>
      </c>
      <c r="D249" s="92">
        <v>411835000000</v>
      </c>
      <c r="E249" s="92">
        <v>418814000000</v>
      </c>
      <c r="F249" s="92">
        <v>425206000000</v>
      </c>
      <c r="G249" s="92">
        <v>430972000000</v>
      </c>
      <c r="H249" s="92">
        <v>436077000000</v>
      </c>
      <c r="I249" s="92">
        <v>440487000000</v>
      </c>
      <c r="J249" s="92">
        <v>444951000000</v>
      </c>
      <c r="K249" s="92">
        <v>449469000000</v>
      </c>
      <c r="L249" s="92">
        <v>454043000000</v>
      </c>
      <c r="M249" s="92">
        <v>458672000000</v>
      </c>
      <c r="N249" s="92">
        <v>463357000000</v>
      </c>
      <c r="O249" s="92">
        <v>468099000000</v>
      </c>
      <c r="P249" s="92">
        <v>472899000000</v>
      </c>
      <c r="Q249" s="92">
        <v>477758000000</v>
      </c>
      <c r="R249" s="92">
        <v>482675000000</v>
      </c>
      <c r="S249" s="92">
        <v>487653000000</v>
      </c>
      <c r="T249" s="92">
        <v>492691000000</v>
      </c>
      <c r="U249" s="92">
        <v>497790000000</v>
      </c>
      <c r="V249" s="92">
        <v>502952000000</v>
      </c>
      <c r="W249" s="92">
        <v>508176000000</v>
      </c>
      <c r="X249" s="92">
        <v>513464000000</v>
      </c>
      <c r="Y249" s="92">
        <v>518817000000</v>
      </c>
      <c r="Z249" s="92">
        <v>524234000000</v>
      </c>
      <c r="AA249" s="92">
        <v>529717000000</v>
      </c>
      <c r="AB249" s="92">
        <v>535268000000</v>
      </c>
      <c r="AC249" s="92">
        <v>540885000000</v>
      </c>
      <c r="AD249" s="92">
        <v>546572000000</v>
      </c>
      <c r="AE249" s="92">
        <v>552327000000</v>
      </c>
      <c r="AF249" s="92">
        <v>558152000000</v>
      </c>
      <c r="AG249" s="92"/>
      <c r="AH249" s="92"/>
      <c r="AI249" s="92"/>
      <c r="AJ249" s="92"/>
      <c r="AK249" s="92"/>
      <c r="AL249" s="92"/>
      <c r="AM249" s="92"/>
      <c r="AN249" s="92"/>
      <c r="AO249" s="92"/>
      <c r="AP249" s="92"/>
      <c r="AQ249" s="92"/>
      <c r="AR249" s="92"/>
      <c r="AS249" s="92"/>
      <c r="AT249" s="92"/>
    </row>
    <row r="250" spans="1:46" x14ac:dyDescent="0.3">
      <c r="A250" s="86" t="s">
        <v>749</v>
      </c>
      <c r="B250" s="92">
        <v>397806000000</v>
      </c>
      <c r="C250" s="92">
        <v>404134000000</v>
      </c>
      <c r="D250" s="92">
        <v>410812000000</v>
      </c>
      <c r="E250" s="92">
        <v>417858000000</v>
      </c>
      <c r="F250" s="92">
        <v>425288000000</v>
      </c>
      <c r="G250" s="92">
        <v>433121000000</v>
      </c>
      <c r="H250" s="92">
        <v>441376000000</v>
      </c>
      <c r="I250" s="92">
        <v>450075000000</v>
      </c>
      <c r="J250" s="92">
        <v>458981000000</v>
      </c>
      <c r="K250" s="92">
        <v>468099000000</v>
      </c>
      <c r="L250" s="92">
        <v>477435000000</v>
      </c>
      <c r="M250" s="92">
        <v>486993000000</v>
      </c>
      <c r="N250" s="92">
        <v>496780000000</v>
      </c>
      <c r="O250" s="92">
        <v>506799000000</v>
      </c>
      <c r="P250" s="92">
        <v>517057000000</v>
      </c>
      <c r="Q250" s="92">
        <v>527560000000</v>
      </c>
      <c r="R250" s="92">
        <v>538314000000</v>
      </c>
      <c r="S250" s="92">
        <v>549323000000</v>
      </c>
      <c r="T250" s="92">
        <v>560595000000</v>
      </c>
      <c r="U250" s="92">
        <v>572136000000</v>
      </c>
      <c r="V250" s="92">
        <v>583952000000</v>
      </c>
      <c r="W250" s="92">
        <v>596050000000</v>
      </c>
      <c r="X250" s="92">
        <v>608436000000</v>
      </c>
      <c r="Y250" s="92">
        <v>621117000000</v>
      </c>
      <c r="Z250" s="92">
        <v>634100000000</v>
      </c>
      <c r="AA250" s="92">
        <v>647394000000</v>
      </c>
      <c r="AB250" s="92">
        <v>661004000000</v>
      </c>
      <c r="AC250" s="92">
        <v>674938000000</v>
      </c>
      <c r="AD250" s="92">
        <v>689205000000</v>
      </c>
      <c r="AE250" s="92">
        <v>703811000000</v>
      </c>
      <c r="AF250" s="92">
        <v>718766000000</v>
      </c>
      <c r="AG250" s="92"/>
      <c r="AH250" s="92"/>
      <c r="AI250" s="92"/>
      <c r="AJ250" s="92"/>
      <c r="AK250" s="92"/>
      <c r="AL250" s="92"/>
      <c r="AM250" s="92"/>
      <c r="AN250" s="92"/>
      <c r="AO250" s="92"/>
      <c r="AP250" s="92"/>
      <c r="AQ250" s="92"/>
      <c r="AR250" s="92"/>
      <c r="AS250" s="92"/>
      <c r="AT250" s="92"/>
    </row>
    <row r="251" spans="1:46" x14ac:dyDescent="0.3">
      <c r="A251" s="86" t="s">
        <v>750</v>
      </c>
      <c r="B251" s="92">
        <v>132912000000</v>
      </c>
      <c r="C251" s="92">
        <v>135280000000</v>
      </c>
      <c r="D251" s="92">
        <v>137585000000</v>
      </c>
      <c r="E251" s="92">
        <v>139823000000</v>
      </c>
      <c r="F251" s="92">
        <v>141987000000</v>
      </c>
      <c r="G251" s="92">
        <v>144071000000</v>
      </c>
      <c r="H251" s="92">
        <v>146070000000</v>
      </c>
      <c r="I251" s="92">
        <v>147977000000</v>
      </c>
      <c r="J251" s="92">
        <v>149914000000</v>
      </c>
      <c r="K251" s="92">
        <v>151882000000</v>
      </c>
      <c r="L251" s="92">
        <v>153881000000</v>
      </c>
      <c r="M251" s="92">
        <v>155912000000</v>
      </c>
      <c r="N251" s="92">
        <v>157975000000</v>
      </c>
      <c r="O251" s="92">
        <v>160070000000</v>
      </c>
      <c r="P251" s="92">
        <v>162198000000</v>
      </c>
      <c r="Q251" s="92">
        <v>164360000000</v>
      </c>
      <c r="R251" s="92">
        <v>166556000000</v>
      </c>
      <c r="S251" s="92">
        <v>168786000000</v>
      </c>
      <c r="T251" s="92">
        <v>171052000000</v>
      </c>
      <c r="U251" s="92">
        <v>173353000000</v>
      </c>
      <c r="V251" s="92">
        <v>175691000000</v>
      </c>
      <c r="W251" s="92">
        <v>178066000000</v>
      </c>
      <c r="X251" s="92">
        <v>180478000000</v>
      </c>
      <c r="Y251" s="92">
        <v>182928000000</v>
      </c>
      <c r="Z251" s="92">
        <v>185417000000</v>
      </c>
      <c r="AA251" s="92">
        <v>187945000000</v>
      </c>
      <c r="AB251" s="92">
        <v>190513000000</v>
      </c>
      <c r="AC251" s="92">
        <v>193121000000</v>
      </c>
      <c r="AD251" s="92">
        <v>195771000000</v>
      </c>
      <c r="AE251" s="92">
        <v>198462000000</v>
      </c>
      <c r="AF251" s="92">
        <v>201196000000</v>
      </c>
      <c r="AG251" s="92"/>
      <c r="AH251" s="92"/>
      <c r="AI251" s="92"/>
      <c r="AJ251" s="92"/>
      <c r="AK251" s="92"/>
      <c r="AL251" s="92"/>
      <c r="AM251" s="92"/>
      <c r="AN251" s="92"/>
      <c r="AO251" s="92"/>
      <c r="AP251" s="92"/>
      <c r="AQ251" s="92"/>
      <c r="AR251" s="92"/>
      <c r="AS251" s="92"/>
      <c r="AT251" s="92"/>
    </row>
    <row r="252" spans="1:46" x14ac:dyDescent="0.3">
      <c r="A252" s="86" t="s">
        <v>751</v>
      </c>
      <c r="B252" s="92">
        <v>407383000000</v>
      </c>
      <c r="C252" s="92">
        <v>415214000000</v>
      </c>
      <c r="D252" s="92">
        <v>422780000000</v>
      </c>
      <c r="E252" s="92">
        <v>430054000000</v>
      </c>
      <c r="F252" s="92">
        <v>437010000000</v>
      </c>
      <c r="G252" s="92">
        <v>443622000000</v>
      </c>
      <c r="H252" s="92">
        <v>449866000000</v>
      </c>
      <c r="I252" s="92">
        <v>455719000000</v>
      </c>
      <c r="J252" s="92">
        <v>461664000000</v>
      </c>
      <c r="K252" s="92">
        <v>467702000000</v>
      </c>
      <c r="L252" s="92">
        <v>473835000000</v>
      </c>
      <c r="M252" s="92">
        <v>480064000000</v>
      </c>
      <c r="N252" s="92">
        <v>486390000000</v>
      </c>
      <c r="O252" s="92">
        <v>492816000000</v>
      </c>
      <c r="P252" s="92">
        <v>499343000000</v>
      </c>
      <c r="Q252" s="92">
        <v>505971000000</v>
      </c>
      <c r="R252" s="92">
        <v>512704000000</v>
      </c>
      <c r="S252" s="92">
        <v>519542000000</v>
      </c>
      <c r="T252" s="92">
        <v>526488000000</v>
      </c>
      <c r="U252" s="92">
        <v>533542000000</v>
      </c>
      <c r="V252" s="92">
        <v>540707000000</v>
      </c>
      <c r="W252" s="92">
        <v>547984000000</v>
      </c>
      <c r="X252" s="92">
        <v>555375000000</v>
      </c>
      <c r="Y252" s="92">
        <v>562882000000</v>
      </c>
      <c r="Z252" s="92">
        <v>570507000000</v>
      </c>
      <c r="AA252" s="92">
        <v>578251000000</v>
      </c>
      <c r="AB252" s="92">
        <v>586117000000</v>
      </c>
      <c r="AC252" s="92">
        <v>594106000000</v>
      </c>
      <c r="AD252" s="92">
        <v>602221000000</v>
      </c>
      <c r="AE252" s="92">
        <v>610462000000</v>
      </c>
      <c r="AF252" s="92">
        <v>618833000000</v>
      </c>
      <c r="AG252" s="92"/>
      <c r="AH252" s="92"/>
      <c r="AI252" s="92"/>
      <c r="AJ252" s="92"/>
      <c r="AK252" s="92"/>
      <c r="AL252" s="92"/>
      <c r="AM252" s="92"/>
      <c r="AN252" s="92"/>
      <c r="AO252" s="92"/>
      <c r="AP252" s="92"/>
      <c r="AQ252" s="92"/>
      <c r="AR252" s="92"/>
      <c r="AS252" s="92"/>
      <c r="AT252" s="92"/>
    </row>
    <row r="253" spans="1:46" x14ac:dyDescent="0.3">
      <c r="A253" s="86" t="s">
        <v>752</v>
      </c>
      <c r="B253" s="92">
        <v>864016000000</v>
      </c>
      <c r="C253" s="92">
        <v>912380000000</v>
      </c>
      <c r="D253" s="92">
        <v>958136000000</v>
      </c>
      <c r="E253" s="92">
        <v>1000430000000</v>
      </c>
      <c r="F253" s="92">
        <v>1038420000000</v>
      </c>
      <c r="G253" s="92">
        <v>1071320000000</v>
      </c>
      <c r="H253" s="92">
        <v>1098420000000</v>
      </c>
      <c r="I253" s="92">
        <v>1119100000000</v>
      </c>
      <c r="J253" s="92">
        <v>1140220000000</v>
      </c>
      <c r="K253" s="92">
        <v>1161800000000</v>
      </c>
      <c r="L253" s="92">
        <v>1183840000000</v>
      </c>
      <c r="M253" s="92">
        <v>1206350000000</v>
      </c>
      <c r="N253" s="92">
        <v>1229350000000</v>
      </c>
      <c r="O253" s="92">
        <v>1252840000000</v>
      </c>
      <c r="P253" s="92">
        <v>1276830000000</v>
      </c>
      <c r="Q253" s="92">
        <v>1301330000000</v>
      </c>
      <c r="R253" s="92">
        <v>1326360000000</v>
      </c>
      <c r="S253" s="92">
        <v>1351930000000</v>
      </c>
      <c r="T253" s="92">
        <v>1378050000000</v>
      </c>
      <c r="U253" s="92">
        <v>1404730000000</v>
      </c>
      <c r="V253" s="92">
        <v>1431970000000</v>
      </c>
      <c r="W253" s="92">
        <v>1459810000000</v>
      </c>
      <c r="X253" s="92">
        <v>1488240000000</v>
      </c>
      <c r="Y253" s="92">
        <v>1517270000000</v>
      </c>
      <c r="Z253" s="92">
        <v>1546940000000</v>
      </c>
      <c r="AA253" s="92">
        <v>1577230000000</v>
      </c>
      <c r="AB253" s="92">
        <v>1608180000000</v>
      </c>
      <c r="AC253" s="92">
        <v>1639790000000</v>
      </c>
      <c r="AD253" s="92">
        <v>1672080000000</v>
      </c>
      <c r="AE253" s="92">
        <v>1705060000000</v>
      </c>
      <c r="AF253" s="92">
        <v>1738750000000</v>
      </c>
      <c r="AG253" s="92"/>
      <c r="AH253" s="92"/>
      <c r="AI253" s="92"/>
      <c r="AJ253" s="92"/>
      <c r="AK253" s="92"/>
      <c r="AL253" s="92"/>
      <c r="AM253" s="92"/>
      <c r="AN253" s="92"/>
      <c r="AO253" s="92"/>
      <c r="AP253" s="92"/>
      <c r="AQ253" s="92"/>
      <c r="AR253" s="92"/>
      <c r="AS253" s="92"/>
      <c r="AT253" s="92"/>
    </row>
    <row r="254" spans="1:46" x14ac:dyDescent="0.3">
      <c r="A254" s="86" t="s">
        <v>753</v>
      </c>
      <c r="B254" s="92">
        <v>348349000000</v>
      </c>
      <c r="C254" s="92">
        <v>353521000000</v>
      </c>
      <c r="D254" s="92">
        <v>358934000000</v>
      </c>
      <c r="E254" s="92">
        <v>364597000000</v>
      </c>
      <c r="F254" s="92">
        <v>370521000000</v>
      </c>
      <c r="G254" s="92">
        <v>376715000000</v>
      </c>
      <c r="H254" s="92">
        <v>383193000000</v>
      </c>
      <c r="I254" s="92">
        <v>389967000000</v>
      </c>
      <c r="J254" s="92">
        <v>396885000000</v>
      </c>
      <c r="K254" s="92">
        <v>403953000000</v>
      </c>
      <c r="L254" s="92">
        <v>411171000000</v>
      </c>
      <c r="M254" s="92">
        <v>418544000000</v>
      </c>
      <c r="N254" s="92">
        <v>426076000000</v>
      </c>
      <c r="O254" s="92">
        <v>433769000000</v>
      </c>
      <c r="P254" s="92">
        <v>441627000000</v>
      </c>
      <c r="Q254" s="92">
        <v>449653000000</v>
      </c>
      <c r="R254" s="92">
        <v>457851000000</v>
      </c>
      <c r="S254" s="92">
        <v>466225000000</v>
      </c>
      <c r="T254" s="92">
        <v>474779000000</v>
      </c>
      <c r="U254" s="92">
        <v>483516000000</v>
      </c>
      <c r="V254" s="92">
        <v>492440000000</v>
      </c>
      <c r="W254" s="92">
        <v>501556000000</v>
      </c>
      <c r="X254" s="92">
        <v>510867000000</v>
      </c>
      <c r="Y254" s="92">
        <v>520378000000</v>
      </c>
      <c r="Z254" s="92">
        <v>530093000000</v>
      </c>
      <c r="AA254" s="92">
        <v>540016000000</v>
      </c>
      <c r="AB254" s="92">
        <v>550152000000</v>
      </c>
      <c r="AC254" s="92">
        <v>560505000000</v>
      </c>
      <c r="AD254" s="92">
        <v>571080000000</v>
      </c>
      <c r="AE254" s="92">
        <v>581882000000</v>
      </c>
      <c r="AF254" s="92">
        <v>592915000000</v>
      </c>
      <c r="AG254" s="92"/>
      <c r="AH254" s="92"/>
      <c r="AI254" s="92"/>
      <c r="AJ254" s="92"/>
      <c r="AK254" s="92"/>
      <c r="AL254" s="92"/>
      <c r="AM254" s="92"/>
      <c r="AN254" s="92"/>
      <c r="AO254" s="92"/>
      <c r="AP254" s="92"/>
      <c r="AQ254" s="92"/>
      <c r="AR254" s="92"/>
      <c r="AS254" s="92"/>
      <c r="AT254" s="92"/>
    </row>
    <row r="255" spans="1:46" x14ac:dyDescent="0.3">
      <c r="A255" s="86" t="s">
        <v>754</v>
      </c>
      <c r="B255" s="92">
        <v>244918000000</v>
      </c>
      <c r="C255" s="92">
        <v>246321000000</v>
      </c>
      <c r="D255" s="92">
        <v>247932000000</v>
      </c>
      <c r="E255" s="92">
        <v>249755000000</v>
      </c>
      <c r="F255" s="92">
        <v>251796000000</v>
      </c>
      <c r="G255" s="92">
        <v>254062000000</v>
      </c>
      <c r="H255" s="92">
        <v>256557000000</v>
      </c>
      <c r="I255" s="92">
        <v>259292000000</v>
      </c>
      <c r="J255" s="92">
        <v>262062000000</v>
      </c>
      <c r="K255" s="92">
        <v>264869000000</v>
      </c>
      <c r="L255" s="92">
        <v>267713000000</v>
      </c>
      <c r="M255" s="92">
        <v>270595000000</v>
      </c>
      <c r="N255" s="92">
        <v>273514000000</v>
      </c>
      <c r="O255" s="92">
        <v>276473000000</v>
      </c>
      <c r="P255" s="92">
        <v>279470000000</v>
      </c>
      <c r="Q255" s="92">
        <v>282507000000</v>
      </c>
      <c r="R255" s="92">
        <v>285584000000</v>
      </c>
      <c r="S255" s="92">
        <v>288701000000</v>
      </c>
      <c r="T255" s="92">
        <v>291860000000</v>
      </c>
      <c r="U255" s="92">
        <v>295061000000</v>
      </c>
      <c r="V255" s="92">
        <v>298303000000</v>
      </c>
      <c r="W255" s="92">
        <v>301589000000</v>
      </c>
      <c r="X255" s="92">
        <v>304918000000</v>
      </c>
      <c r="Y255" s="92">
        <v>308291000000</v>
      </c>
      <c r="Z255" s="92">
        <v>311709000000</v>
      </c>
      <c r="AA255" s="92">
        <v>315171000000</v>
      </c>
      <c r="AB255" s="92">
        <v>318680000000</v>
      </c>
      <c r="AC255" s="92">
        <v>322235000000</v>
      </c>
      <c r="AD255" s="92">
        <v>325836000000</v>
      </c>
      <c r="AE255" s="92">
        <v>329486000000</v>
      </c>
      <c r="AF255" s="92">
        <v>333183000000</v>
      </c>
      <c r="AG255" s="92"/>
      <c r="AH255" s="92"/>
      <c r="AI255" s="92"/>
      <c r="AJ255" s="92"/>
      <c r="AK255" s="92"/>
      <c r="AL255" s="92"/>
      <c r="AM255" s="92"/>
      <c r="AN255" s="92"/>
      <c r="AO255" s="92"/>
      <c r="AP255" s="92"/>
      <c r="AQ255" s="92"/>
      <c r="AR255" s="92"/>
      <c r="AS255" s="92"/>
      <c r="AT255" s="92"/>
    </row>
    <row r="256" spans="1:46" x14ac:dyDescent="0.3">
      <c r="A256" s="86" t="s">
        <v>755</v>
      </c>
      <c r="B256" s="92">
        <v>321726000000</v>
      </c>
      <c r="C256" s="92">
        <v>323447000000</v>
      </c>
      <c r="D256" s="92">
        <v>325622000000</v>
      </c>
      <c r="E256" s="92">
        <v>328261000000</v>
      </c>
      <c r="F256" s="92">
        <v>331378000000</v>
      </c>
      <c r="G256" s="92">
        <v>334988000000</v>
      </c>
      <c r="H256" s="92">
        <v>339109000000</v>
      </c>
      <c r="I256" s="92">
        <v>343763000000</v>
      </c>
      <c r="J256" s="92">
        <v>348495000000</v>
      </c>
      <c r="K256" s="92">
        <v>353308000000</v>
      </c>
      <c r="L256" s="92">
        <v>358203000000</v>
      </c>
      <c r="M256" s="92">
        <v>363181000000</v>
      </c>
      <c r="N256" s="92">
        <v>368243000000</v>
      </c>
      <c r="O256" s="92">
        <v>373392000000</v>
      </c>
      <c r="P256" s="92">
        <v>378628000000</v>
      </c>
      <c r="Q256" s="92">
        <v>383953000000</v>
      </c>
      <c r="R256" s="92">
        <v>389369000000</v>
      </c>
      <c r="S256" s="92">
        <v>394877000000</v>
      </c>
      <c r="T256" s="92">
        <v>400478000000</v>
      </c>
      <c r="U256" s="92">
        <v>406174000000</v>
      </c>
      <c r="V256" s="92">
        <v>411968000000</v>
      </c>
      <c r="W256" s="92">
        <v>417860000000</v>
      </c>
      <c r="X256" s="92">
        <v>423852000000</v>
      </c>
      <c r="Y256" s="92">
        <v>429946000000</v>
      </c>
      <c r="Z256" s="92">
        <v>436143000000</v>
      </c>
      <c r="AA256" s="92">
        <v>442446000000</v>
      </c>
      <c r="AB256" s="92">
        <v>448856000000</v>
      </c>
      <c r="AC256" s="92">
        <v>455376000000</v>
      </c>
      <c r="AD256" s="92">
        <v>462005000000</v>
      </c>
      <c r="AE256" s="92">
        <v>468748000000</v>
      </c>
      <c r="AF256" s="92">
        <v>475605000000</v>
      </c>
      <c r="AG256" s="92"/>
      <c r="AH256" s="92"/>
      <c r="AI256" s="92"/>
      <c r="AJ256" s="92"/>
      <c r="AK256" s="92"/>
      <c r="AL256" s="92"/>
      <c r="AM256" s="92"/>
      <c r="AN256" s="92"/>
      <c r="AO256" s="92"/>
      <c r="AP256" s="92"/>
      <c r="AQ256" s="92"/>
      <c r="AR256" s="92"/>
      <c r="AS256" s="92"/>
      <c r="AT256" s="92"/>
    </row>
    <row r="257" spans="1:46" x14ac:dyDescent="0.3">
      <c r="A257" s="86" t="s">
        <v>756</v>
      </c>
      <c r="B257" s="92">
        <v>66205800000</v>
      </c>
      <c r="C257" s="92">
        <v>66356000000</v>
      </c>
      <c r="D257" s="92">
        <v>66551900000</v>
      </c>
      <c r="E257" s="92">
        <v>66793900000</v>
      </c>
      <c r="F257" s="92">
        <v>67082600000</v>
      </c>
      <c r="G257" s="92">
        <v>67418700000</v>
      </c>
      <c r="H257" s="92">
        <v>67803000000</v>
      </c>
      <c r="I257" s="92">
        <v>68236500000</v>
      </c>
      <c r="J257" s="92">
        <v>68673400000</v>
      </c>
      <c r="K257" s="92">
        <v>69113900000</v>
      </c>
      <c r="L257" s="92">
        <v>69557900000</v>
      </c>
      <c r="M257" s="92">
        <v>70005400000</v>
      </c>
      <c r="N257" s="92">
        <v>70456500000</v>
      </c>
      <c r="O257" s="92">
        <v>70911200000</v>
      </c>
      <c r="P257" s="92">
        <v>71369600000</v>
      </c>
      <c r="Q257" s="92">
        <v>71831600000</v>
      </c>
      <c r="R257" s="92">
        <v>72297400000</v>
      </c>
      <c r="S257" s="92">
        <v>72766800000</v>
      </c>
      <c r="T257" s="92">
        <v>73240000000</v>
      </c>
      <c r="U257" s="92">
        <v>73717000000</v>
      </c>
      <c r="V257" s="92">
        <v>74197800000</v>
      </c>
      <c r="W257" s="92">
        <v>74682500000</v>
      </c>
      <c r="X257" s="92">
        <v>75171000000</v>
      </c>
      <c r="Y257" s="92">
        <v>75663500000</v>
      </c>
      <c r="Z257" s="92">
        <v>76159800000</v>
      </c>
      <c r="AA257" s="92">
        <v>76660200000</v>
      </c>
      <c r="AB257" s="92">
        <v>77164500000</v>
      </c>
      <c r="AC257" s="92">
        <v>77672900000</v>
      </c>
      <c r="AD257" s="92">
        <v>78185400000</v>
      </c>
      <c r="AE257" s="92">
        <v>78701900000</v>
      </c>
      <c r="AF257" s="92">
        <v>79222600000</v>
      </c>
      <c r="AG257" s="92"/>
      <c r="AH257" s="92"/>
      <c r="AI257" s="92"/>
      <c r="AJ257" s="92"/>
      <c r="AK257" s="92"/>
      <c r="AL257" s="92"/>
      <c r="AM257" s="92"/>
      <c r="AN257" s="92"/>
      <c r="AO257" s="92"/>
      <c r="AP257" s="92"/>
      <c r="AQ257" s="92"/>
      <c r="AR257" s="92"/>
      <c r="AS257" s="92"/>
      <c r="AT257" s="92"/>
    </row>
    <row r="258" spans="1:46" x14ac:dyDescent="0.3">
      <c r="A258" s="86" t="s">
        <v>757</v>
      </c>
      <c r="B258" s="92">
        <v>84392100000</v>
      </c>
      <c r="C258" s="92">
        <v>85403700000</v>
      </c>
      <c r="D258" s="92">
        <v>86447200000</v>
      </c>
      <c r="E258" s="92">
        <v>87523900000</v>
      </c>
      <c r="F258" s="92">
        <v>88634600000</v>
      </c>
      <c r="G258" s="92">
        <v>89780500000</v>
      </c>
      <c r="H258" s="92">
        <v>90962700000</v>
      </c>
      <c r="I258" s="92">
        <v>92182300000</v>
      </c>
      <c r="J258" s="92">
        <v>93421900000</v>
      </c>
      <c r="K258" s="92">
        <v>94681800000</v>
      </c>
      <c r="L258" s="92">
        <v>95962400000</v>
      </c>
      <c r="M258" s="92">
        <v>97263900000</v>
      </c>
      <c r="N258" s="92">
        <v>98586800000</v>
      </c>
      <c r="O258" s="92">
        <v>99931300000</v>
      </c>
      <c r="P258" s="92">
        <v>101298000000</v>
      </c>
      <c r="Q258" s="92">
        <v>102687000000</v>
      </c>
      <c r="R258" s="92">
        <v>104098000000</v>
      </c>
      <c r="S258" s="92">
        <v>105533000000</v>
      </c>
      <c r="T258" s="92">
        <v>106992000000</v>
      </c>
      <c r="U258" s="92">
        <v>108474000000</v>
      </c>
      <c r="V258" s="92">
        <v>109980000000</v>
      </c>
      <c r="W258" s="92">
        <v>111511000000</v>
      </c>
      <c r="X258" s="92">
        <v>113068000000</v>
      </c>
      <c r="Y258" s="92">
        <v>114649000000</v>
      </c>
      <c r="Z258" s="92">
        <v>116257000000</v>
      </c>
      <c r="AA258" s="92">
        <v>117891000000</v>
      </c>
      <c r="AB258" s="92">
        <v>119552000000</v>
      </c>
      <c r="AC258" s="92">
        <v>121240000000</v>
      </c>
      <c r="AD258" s="92">
        <v>122955000000</v>
      </c>
      <c r="AE258" s="92">
        <v>124699000000</v>
      </c>
      <c r="AF258" s="92">
        <v>126471000000</v>
      </c>
      <c r="AG258" s="92"/>
      <c r="AH258" s="92"/>
      <c r="AI258" s="92"/>
      <c r="AJ258" s="92"/>
      <c r="AK258" s="92"/>
      <c r="AL258" s="92"/>
      <c r="AM258" s="92"/>
      <c r="AN258" s="92"/>
      <c r="AO258" s="92"/>
      <c r="AP258" s="92"/>
      <c r="AQ258" s="92"/>
      <c r="AR258" s="92"/>
      <c r="AS258" s="92"/>
      <c r="AT258" s="92"/>
    </row>
    <row r="259" spans="1:46" x14ac:dyDescent="0.3">
      <c r="A259" s="86" t="s">
        <v>758</v>
      </c>
      <c r="B259" s="92">
        <v>1417400000000</v>
      </c>
      <c r="C259" s="92">
        <v>1439740000000</v>
      </c>
      <c r="D259" s="92">
        <v>1461910000000</v>
      </c>
      <c r="E259" s="92">
        <v>1483900000000</v>
      </c>
      <c r="F259" s="92">
        <v>1505680000000</v>
      </c>
      <c r="G259" s="92">
        <v>1527220000000</v>
      </c>
      <c r="H259" s="92">
        <v>1548500000000</v>
      </c>
      <c r="I259" s="92">
        <v>1569490000000</v>
      </c>
      <c r="J259" s="92">
        <v>1590830000000</v>
      </c>
      <c r="K259" s="92">
        <v>1612510000000</v>
      </c>
      <c r="L259" s="92">
        <v>1634550000000</v>
      </c>
      <c r="M259" s="92">
        <v>1656950000000</v>
      </c>
      <c r="N259" s="92">
        <v>1679720000000</v>
      </c>
      <c r="O259" s="92">
        <v>1702870000000</v>
      </c>
      <c r="P259" s="92">
        <v>1726400000000</v>
      </c>
      <c r="Q259" s="92">
        <v>1750310000000</v>
      </c>
      <c r="R259" s="92">
        <v>1774610000000</v>
      </c>
      <c r="S259" s="92">
        <v>1799320000000</v>
      </c>
      <c r="T259" s="92">
        <v>1824430000000</v>
      </c>
      <c r="U259" s="92">
        <v>1849950000000</v>
      </c>
      <c r="V259" s="92">
        <v>1875900000000</v>
      </c>
      <c r="W259" s="92">
        <v>1902270000000</v>
      </c>
      <c r="X259" s="92">
        <v>1929070000000</v>
      </c>
      <c r="Y259" s="92">
        <v>1956310000000</v>
      </c>
      <c r="Z259" s="92">
        <v>1984000000000</v>
      </c>
      <c r="AA259" s="92">
        <v>2012150000000</v>
      </c>
      <c r="AB259" s="92">
        <v>2040760000000</v>
      </c>
      <c r="AC259" s="92">
        <v>2069840000000</v>
      </c>
      <c r="AD259" s="92">
        <v>2099390000000</v>
      </c>
      <c r="AE259" s="92">
        <v>2129440000000</v>
      </c>
      <c r="AF259" s="92">
        <v>2159970000000</v>
      </c>
      <c r="AG259" s="92"/>
      <c r="AH259" s="92"/>
      <c r="AI259" s="92"/>
      <c r="AJ259" s="92"/>
      <c r="AK259" s="92"/>
      <c r="AL259" s="92"/>
      <c r="AM259" s="92"/>
      <c r="AN259" s="92"/>
      <c r="AO259" s="92"/>
      <c r="AP259" s="92"/>
      <c r="AQ259" s="92"/>
      <c r="AR259" s="92"/>
      <c r="AS259" s="92"/>
      <c r="AT259" s="92"/>
    </row>
    <row r="260" spans="1:46" x14ac:dyDescent="0.3">
      <c r="A260" s="86" t="s">
        <v>759</v>
      </c>
      <c r="B260" s="92">
        <v>3385600000000</v>
      </c>
      <c r="C260" s="92">
        <v>3493670000000</v>
      </c>
      <c r="D260" s="92">
        <v>3599300000000</v>
      </c>
      <c r="E260" s="92">
        <v>3701910000000</v>
      </c>
      <c r="F260" s="92">
        <v>3800920000000</v>
      </c>
      <c r="G260" s="92">
        <v>3895760000000</v>
      </c>
      <c r="H260" s="92">
        <v>3985860000000</v>
      </c>
      <c r="I260" s="92">
        <v>4070670000000</v>
      </c>
      <c r="J260" s="92">
        <v>4157590000000</v>
      </c>
      <c r="K260" s="92">
        <v>4246700000000</v>
      </c>
      <c r="L260" s="92">
        <v>4338030000000</v>
      </c>
      <c r="M260" s="92">
        <v>4431650000000</v>
      </c>
      <c r="N260" s="92">
        <v>4527600000000</v>
      </c>
      <c r="O260" s="92">
        <v>4625970000000</v>
      </c>
      <c r="P260" s="92">
        <v>4726790000000</v>
      </c>
      <c r="Q260" s="92">
        <v>4830130000000</v>
      </c>
      <c r="R260" s="92">
        <v>4936060000000</v>
      </c>
      <c r="S260" s="92">
        <v>5044640000000</v>
      </c>
      <c r="T260" s="92">
        <v>5155940000000</v>
      </c>
      <c r="U260" s="92">
        <v>5270020000000</v>
      </c>
      <c r="V260" s="92">
        <v>5386960000000</v>
      </c>
      <c r="W260" s="92">
        <v>5506820000000</v>
      </c>
      <c r="X260" s="92">
        <v>5629690000000</v>
      </c>
      <c r="Y260" s="92">
        <v>5755620000000</v>
      </c>
      <c r="Z260" s="92">
        <v>5884710000000</v>
      </c>
      <c r="AA260" s="92">
        <v>6017030000000</v>
      </c>
      <c r="AB260" s="92">
        <v>6152650000000</v>
      </c>
      <c r="AC260" s="92">
        <v>6291680000000</v>
      </c>
      <c r="AD260" s="92">
        <v>6434180000000</v>
      </c>
      <c r="AE260" s="92">
        <v>6580240000000</v>
      </c>
      <c r="AF260" s="92">
        <v>6729960000000</v>
      </c>
      <c r="AG260" s="92"/>
      <c r="AH260" s="92"/>
      <c r="AI260" s="92"/>
      <c r="AJ260" s="92"/>
      <c r="AK260" s="92"/>
      <c r="AL260" s="92"/>
      <c r="AM260" s="92"/>
      <c r="AN260" s="92"/>
      <c r="AO260" s="92"/>
      <c r="AP260" s="92"/>
      <c r="AQ260" s="92"/>
      <c r="AR260" s="92"/>
      <c r="AS260" s="92"/>
      <c r="AT260" s="92"/>
    </row>
    <row r="261" spans="1:46" x14ac:dyDescent="0.3">
      <c r="A261" s="86" t="s">
        <v>760</v>
      </c>
      <c r="B261" s="92">
        <v>1167170000000</v>
      </c>
      <c r="C261" s="92">
        <v>1183850000000</v>
      </c>
      <c r="D261" s="92">
        <v>1200560000000</v>
      </c>
      <c r="E261" s="92">
        <v>1217280000000</v>
      </c>
      <c r="F261" s="92">
        <v>1234000000000</v>
      </c>
      <c r="G261" s="92">
        <v>1250720000000</v>
      </c>
      <c r="H261" s="92">
        <v>1267410000000</v>
      </c>
      <c r="I261" s="92">
        <v>1284090000000</v>
      </c>
      <c r="J261" s="92">
        <v>1301030000000</v>
      </c>
      <c r="K261" s="92">
        <v>1318240000000</v>
      </c>
      <c r="L261" s="92">
        <v>1335730000000</v>
      </c>
      <c r="M261" s="92">
        <v>1353500000000</v>
      </c>
      <c r="N261" s="92">
        <v>1371550000000</v>
      </c>
      <c r="O261" s="92">
        <v>1389890000000</v>
      </c>
      <c r="P261" s="92">
        <v>1408520000000</v>
      </c>
      <c r="Q261" s="92">
        <v>1427450000000</v>
      </c>
      <c r="R261" s="92">
        <v>1446690000000</v>
      </c>
      <c r="S261" s="92">
        <v>1466230000000</v>
      </c>
      <c r="T261" s="92">
        <v>1486090000000</v>
      </c>
      <c r="U261" s="92">
        <v>1506260000000</v>
      </c>
      <c r="V261" s="92">
        <v>1526750000000</v>
      </c>
      <c r="W261" s="92">
        <v>1547580000000</v>
      </c>
      <c r="X261" s="92">
        <v>1568730000000</v>
      </c>
      <c r="Y261" s="92">
        <v>1590230000000</v>
      </c>
      <c r="Z261" s="92">
        <v>1612070000000</v>
      </c>
      <c r="AA261" s="92">
        <v>1634260000000</v>
      </c>
      <c r="AB261" s="92">
        <v>1656800000000</v>
      </c>
      <c r="AC261" s="92">
        <v>1679700000000</v>
      </c>
      <c r="AD261" s="92">
        <v>1702970000000</v>
      </c>
      <c r="AE261" s="92">
        <v>1726620000000</v>
      </c>
      <c r="AF261" s="92">
        <v>1750640000000</v>
      </c>
      <c r="AG261" s="92"/>
      <c r="AH261" s="92"/>
      <c r="AI261" s="92"/>
      <c r="AJ261" s="92"/>
      <c r="AK261" s="92"/>
      <c r="AL261" s="92"/>
      <c r="AM261" s="92"/>
      <c r="AN261" s="92"/>
      <c r="AO261" s="92"/>
      <c r="AP261" s="92"/>
      <c r="AQ261" s="92"/>
      <c r="AR261" s="92"/>
      <c r="AS261" s="92"/>
      <c r="AT261" s="92"/>
    </row>
    <row r="262" spans="1:46" x14ac:dyDescent="0.3">
      <c r="A262" s="86" t="s">
        <v>761</v>
      </c>
      <c r="B262" s="92">
        <v>1005230000000</v>
      </c>
      <c r="C262" s="92">
        <v>1029500000000</v>
      </c>
      <c r="D262" s="92">
        <v>1053290000000</v>
      </c>
      <c r="E262" s="92">
        <v>1076510000000</v>
      </c>
      <c r="F262" s="92">
        <v>1099070000000</v>
      </c>
      <c r="G262" s="92">
        <v>1120890000000</v>
      </c>
      <c r="H262" s="92">
        <v>1141900000000</v>
      </c>
      <c r="I262" s="92">
        <v>1162010000000</v>
      </c>
      <c r="J262" s="92">
        <v>1182540000000</v>
      </c>
      <c r="K262" s="92">
        <v>1203500000000</v>
      </c>
      <c r="L262" s="92">
        <v>1224910000000</v>
      </c>
      <c r="M262" s="92">
        <v>1246760000000</v>
      </c>
      <c r="N262" s="92">
        <v>1269070000000</v>
      </c>
      <c r="O262" s="92">
        <v>1291850000000</v>
      </c>
      <c r="P262" s="92">
        <v>1315110000000</v>
      </c>
      <c r="Q262" s="92">
        <v>1338860000000</v>
      </c>
      <c r="R262" s="92">
        <v>1363100000000</v>
      </c>
      <c r="S262" s="92">
        <v>1387860000000</v>
      </c>
      <c r="T262" s="92">
        <v>1413130000000</v>
      </c>
      <c r="U262" s="92">
        <v>1438940000000</v>
      </c>
      <c r="V262" s="92">
        <v>1465290000000</v>
      </c>
      <c r="W262" s="92">
        <v>1492190000000</v>
      </c>
      <c r="X262" s="92">
        <v>1519650000000</v>
      </c>
      <c r="Y262" s="92">
        <v>1547700000000</v>
      </c>
      <c r="Z262" s="92">
        <v>1576330000000</v>
      </c>
      <c r="AA262" s="92">
        <v>1605560000000</v>
      </c>
      <c r="AB262" s="92">
        <v>1635410000000</v>
      </c>
      <c r="AC262" s="92">
        <v>1665880000000</v>
      </c>
      <c r="AD262" s="92">
        <v>1696990000000</v>
      </c>
      <c r="AE262" s="92">
        <v>1728760000000</v>
      </c>
      <c r="AF262" s="92">
        <v>1761200000000</v>
      </c>
      <c r="AG262" s="92"/>
      <c r="AH262" s="92"/>
      <c r="AI262" s="92"/>
      <c r="AJ262" s="92"/>
      <c r="AK262" s="92"/>
      <c r="AL262" s="92"/>
      <c r="AM262" s="92"/>
      <c r="AN262" s="92"/>
      <c r="AO262" s="92"/>
      <c r="AP262" s="92"/>
      <c r="AQ262" s="92"/>
      <c r="AR262" s="92"/>
      <c r="AS262" s="92"/>
      <c r="AT262" s="92"/>
    </row>
    <row r="263" spans="1:46" x14ac:dyDescent="0.3">
      <c r="A263" s="86" t="s">
        <v>762</v>
      </c>
      <c r="B263" s="92">
        <v>696238000000</v>
      </c>
      <c r="C263" s="92">
        <v>709215000000</v>
      </c>
      <c r="D263" s="92">
        <v>722818000000</v>
      </c>
      <c r="E263" s="92">
        <v>737075000000</v>
      </c>
      <c r="F263" s="92">
        <v>752020000000</v>
      </c>
      <c r="G263" s="92">
        <v>767685000000</v>
      </c>
      <c r="H263" s="92">
        <v>784105000000</v>
      </c>
      <c r="I263" s="92">
        <v>801320000000</v>
      </c>
      <c r="J263" s="92">
        <v>818988000000</v>
      </c>
      <c r="K263" s="92">
        <v>837124000000</v>
      </c>
      <c r="L263" s="92">
        <v>855737000000</v>
      </c>
      <c r="M263" s="92">
        <v>874843000000</v>
      </c>
      <c r="N263" s="92">
        <v>894452000000</v>
      </c>
      <c r="O263" s="92">
        <v>914580000000</v>
      </c>
      <c r="P263" s="92">
        <v>935239000000</v>
      </c>
      <c r="Q263" s="92">
        <v>956443000000</v>
      </c>
      <c r="R263" s="92">
        <v>978207000000</v>
      </c>
      <c r="S263" s="92">
        <v>1000550000000</v>
      </c>
      <c r="T263" s="92">
        <v>1023470000000</v>
      </c>
      <c r="U263" s="92">
        <v>1047010000000</v>
      </c>
      <c r="V263" s="92">
        <v>1071160000000</v>
      </c>
      <c r="W263" s="92">
        <v>1095950000000</v>
      </c>
      <c r="X263" s="92">
        <v>1121400000000</v>
      </c>
      <c r="Y263" s="92">
        <v>1147520000000</v>
      </c>
      <c r="Z263" s="92">
        <v>1174330000000</v>
      </c>
      <c r="AA263" s="92">
        <v>1201840000000</v>
      </c>
      <c r="AB263" s="92">
        <v>1230090000000</v>
      </c>
      <c r="AC263" s="92">
        <v>1259080000000</v>
      </c>
      <c r="AD263" s="92">
        <v>1288830000000</v>
      </c>
      <c r="AE263" s="92">
        <v>1319370000000</v>
      </c>
      <c r="AF263" s="92">
        <v>1350710000000</v>
      </c>
      <c r="AG263" s="92"/>
      <c r="AH263" s="92"/>
      <c r="AI263" s="92"/>
      <c r="AJ263" s="92"/>
      <c r="AK263" s="92"/>
      <c r="AL263" s="92"/>
      <c r="AM263" s="92"/>
      <c r="AN263" s="92"/>
      <c r="AO263" s="92"/>
      <c r="AP263" s="92"/>
      <c r="AQ263" s="92"/>
      <c r="AR263" s="92"/>
      <c r="AS263" s="92"/>
      <c r="AT263" s="92"/>
    </row>
    <row r="264" spans="1:46" x14ac:dyDescent="0.3">
      <c r="A264" s="86" t="s">
        <v>763</v>
      </c>
      <c r="B264" s="92">
        <v>713343000000</v>
      </c>
      <c r="C264" s="92">
        <v>733589000000</v>
      </c>
      <c r="D264" s="92">
        <v>753064000000</v>
      </c>
      <c r="E264" s="92">
        <v>771646000000</v>
      </c>
      <c r="F264" s="92">
        <v>789216000000</v>
      </c>
      <c r="G264" s="92">
        <v>805660000000</v>
      </c>
      <c r="H264" s="92">
        <v>820865000000</v>
      </c>
      <c r="I264" s="92">
        <v>834728000000</v>
      </c>
      <c r="J264" s="92">
        <v>848869000000</v>
      </c>
      <c r="K264" s="92">
        <v>863292000000</v>
      </c>
      <c r="L264" s="92">
        <v>878004000000</v>
      </c>
      <c r="M264" s="92">
        <v>893009000000</v>
      </c>
      <c r="N264" s="92">
        <v>908316000000</v>
      </c>
      <c r="O264" s="92">
        <v>923928000000</v>
      </c>
      <c r="P264" s="92">
        <v>939852000000</v>
      </c>
      <c r="Q264" s="92">
        <v>956095000000</v>
      </c>
      <c r="R264" s="92">
        <v>972663000000</v>
      </c>
      <c r="S264" s="92">
        <v>989562000000</v>
      </c>
      <c r="T264" s="92">
        <v>1006800000000</v>
      </c>
      <c r="U264" s="92">
        <v>1024380000000</v>
      </c>
      <c r="V264" s="92">
        <v>1042310000000</v>
      </c>
      <c r="W264" s="92">
        <v>1060610000000</v>
      </c>
      <c r="X264" s="92">
        <v>1079260000000</v>
      </c>
      <c r="Y264" s="92">
        <v>1098300000000</v>
      </c>
      <c r="Z264" s="92">
        <v>1117710000000</v>
      </c>
      <c r="AA264" s="92">
        <v>1137510000000</v>
      </c>
      <c r="AB264" s="92">
        <v>1157700000000</v>
      </c>
      <c r="AC264" s="92">
        <v>1178300000000</v>
      </c>
      <c r="AD264" s="92">
        <v>1199320000000</v>
      </c>
      <c r="AE264" s="92">
        <v>1220750000000</v>
      </c>
      <c r="AF264" s="92">
        <v>1242610000000</v>
      </c>
      <c r="AG264" s="92"/>
      <c r="AH264" s="92"/>
      <c r="AI264" s="92"/>
      <c r="AJ264" s="92"/>
      <c r="AK264" s="92"/>
      <c r="AL264" s="92"/>
      <c r="AM264" s="92"/>
      <c r="AN264" s="92"/>
      <c r="AO264" s="92"/>
      <c r="AP264" s="92"/>
      <c r="AQ264" s="92"/>
      <c r="AR264" s="92"/>
      <c r="AS264" s="92"/>
      <c r="AT264" s="92"/>
    </row>
    <row r="265" spans="1:46" x14ac:dyDescent="0.3">
      <c r="A265" s="86" t="s">
        <v>764</v>
      </c>
      <c r="B265" s="92">
        <v>942730000000</v>
      </c>
      <c r="C265" s="92">
        <v>1040960000000</v>
      </c>
      <c r="D265" s="92">
        <v>1138290000000</v>
      </c>
      <c r="E265" s="92">
        <v>1231980000000</v>
      </c>
      <c r="F265" s="92">
        <v>1319100000000</v>
      </c>
      <c r="G265" s="92">
        <v>1396670000000</v>
      </c>
      <c r="H265" s="92">
        <v>1461850000000</v>
      </c>
      <c r="I265" s="92">
        <v>1512060000000</v>
      </c>
      <c r="J265" s="92">
        <v>1564150000000</v>
      </c>
      <c r="K265" s="92">
        <v>1618170000000</v>
      </c>
      <c r="L265" s="92">
        <v>1674220000000</v>
      </c>
      <c r="M265" s="92">
        <v>1732350000000</v>
      </c>
      <c r="N265" s="92">
        <v>1792650000000</v>
      </c>
      <c r="O265" s="92">
        <v>1855200000000</v>
      </c>
      <c r="P265" s="92">
        <v>1920090000000</v>
      </c>
      <c r="Q265" s="92">
        <v>1987400000000</v>
      </c>
      <c r="R265" s="92">
        <v>2057220000000</v>
      </c>
      <c r="S265" s="92">
        <v>2129640000000</v>
      </c>
      <c r="T265" s="92">
        <v>2204760000000</v>
      </c>
      <c r="U265" s="92">
        <v>2282690000000</v>
      </c>
      <c r="V265" s="92">
        <v>2363530000000</v>
      </c>
      <c r="W265" s="92">
        <v>2447380000000</v>
      </c>
      <c r="X265" s="92">
        <v>2534360000000</v>
      </c>
      <c r="Y265" s="92">
        <v>2624590000000</v>
      </c>
      <c r="Z265" s="92">
        <v>2718180000000</v>
      </c>
      <c r="AA265" s="92">
        <v>2815260000000</v>
      </c>
      <c r="AB265" s="92">
        <v>2915970000000</v>
      </c>
      <c r="AC265" s="92">
        <v>3020430000000</v>
      </c>
      <c r="AD265" s="92">
        <v>3128790000000</v>
      </c>
      <c r="AE265" s="92">
        <v>3241200000000</v>
      </c>
      <c r="AF265" s="92">
        <v>3357790000000</v>
      </c>
      <c r="AG265" s="92"/>
      <c r="AH265" s="92"/>
      <c r="AI265" s="92"/>
      <c r="AJ265" s="92"/>
      <c r="AK265" s="92"/>
      <c r="AL265" s="92"/>
      <c r="AM265" s="92"/>
      <c r="AN265" s="92"/>
      <c r="AO265" s="92"/>
      <c r="AP265" s="92"/>
      <c r="AQ265" s="92"/>
      <c r="AR265" s="92"/>
      <c r="AS265" s="92"/>
      <c r="AT265" s="92"/>
    </row>
    <row r="266" spans="1:46" x14ac:dyDescent="0.3">
      <c r="A266" s="86" t="s">
        <v>765</v>
      </c>
      <c r="B266" s="92">
        <v>2321890000000</v>
      </c>
      <c r="C266" s="92">
        <v>2343160000000</v>
      </c>
      <c r="D266" s="92">
        <v>2365480000000</v>
      </c>
      <c r="E266" s="92">
        <v>2388880000000</v>
      </c>
      <c r="F266" s="92">
        <v>2413390000000</v>
      </c>
      <c r="G266" s="92">
        <v>2439050000000</v>
      </c>
      <c r="H266" s="92">
        <v>2465900000000</v>
      </c>
      <c r="I266" s="92">
        <v>2493970000000</v>
      </c>
      <c r="J266" s="92">
        <v>2522440000000</v>
      </c>
      <c r="K266" s="92">
        <v>2551300000000</v>
      </c>
      <c r="L266" s="92">
        <v>2580570000000</v>
      </c>
      <c r="M266" s="92">
        <v>2610250000000</v>
      </c>
      <c r="N266" s="92">
        <v>2640340000000</v>
      </c>
      <c r="O266" s="92">
        <v>2670850000000</v>
      </c>
      <c r="P266" s="92">
        <v>2701790000000</v>
      </c>
      <c r="Q266" s="92">
        <v>2733170000000</v>
      </c>
      <c r="R266" s="92">
        <v>2764980000000</v>
      </c>
      <c r="S266" s="92">
        <v>2797240000000</v>
      </c>
      <c r="T266" s="92">
        <v>2829950000000</v>
      </c>
      <c r="U266" s="92">
        <v>2863120000000</v>
      </c>
      <c r="V266" s="92">
        <v>2896750000000</v>
      </c>
      <c r="W266" s="92">
        <v>2930860000000</v>
      </c>
      <c r="X266" s="92">
        <v>2965440000000</v>
      </c>
      <c r="Y266" s="92">
        <v>3000500000000</v>
      </c>
      <c r="Z266" s="92">
        <v>3036060000000</v>
      </c>
      <c r="AA266" s="92">
        <v>3072110000000</v>
      </c>
      <c r="AB266" s="92">
        <v>3108670000000</v>
      </c>
      <c r="AC266" s="92">
        <v>3145740000000</v>
      </c>
      <c r="AD266" s="92">
        <v>3183330000000</v>
      </c>
      <c r="AE266" s="92">
        <v>3221450000000</v>
      </c>
      <c r="AF266" s="92">
        <v>3260100000000</v>
      </c>
      <c r="AG266" s="92"/>
      <c r="AH266" s="92"/>
      <c r="AI266" s="92"/>
      <c r="AJ266" s="92"/>
      <c r="AK266" s="92"/>
      <c r="AL266" s="92"/>
      <c r="AM266" s="92"/>
      <c r="AN266" s="92"/>
      <c r="AO266" s="92"/>
      <c r="AP266" s="92"/>
      <c r="AQ266" s="92"/>
      <c r="AR266" s="92"/>
      <c r="AS266" s="92"/>
      <c r="AT266" s="92"/>
    </row>
    <row r="267" spans="1:46" x14ac:dyDescent="0.3">
      <c r="A267" s="86" t="s">
        <v>766</v>
      </c>
      <c r="B267" s="92">
        <v>3185970000000</v>
      </c>
      <c r="C267" s="92">
        <v>3243900000000</v>
      </c>
      <c r="D267" s="92">
        <v>3301630000000</v>
      </c>
      <c r="E267" s="92">
        <v>3359070000000</v>
      </c>
      <c r="F267" s="92">
        <v>3416160000000</v>
      </c>
      <c r="G267" s="92">
        <v>3472830000000</v>
      </c>
      <c r="H267" s="92">
        <v>3529000000000</v>
      </c>
      <c r="I267" s="92">
        <v>3584600000000</v>
      </c>
      <c r="J267" s="92">
        <v>3641250000000</v>
      </c>
      <c r="K267" s="92">
        <v>3698980000000</v>
      </c>
      <c r="L267" s="92">
        <v>3757800000000</v>
      </c>
      <c r="M267" s="92">
        <v>3817750000000</v>
      </c>
      <c r="N267" s="92">
        <v>3878830000000</v>
      </c>
      <c r="O267" s="92">
        <v>3941070000000</v>
      </c>
      <c r="P267" s="92">
        <v>4004500000000</v>
      </c>
      <c r="Q267" s="92">
        <v>4069130000000</v>
      </c>
      <c r="R267" s="92">
        <v>4134990000000</v>
      </c>
      <c r="S267" s="92">
        <v>4202100000000</v>
      </c>
      <c r="T267" s="92">
        <v>4270480000000</v>
      </c>
      <c r="U267" s="92">
        <v>4340170000000</v>
      </c>
      <c r="V267" s="92">
        <v>4411170000000</v>
      </c>
      <c r="W267" s="92">
        <v>4483530000000</v>
      </c>
      <c r="X267" s="92">
        <v>4557260000000</v>
      </c>
      <c r="Y267" s="92">
        <v>4632400000000</v>
      </c>
      <c r="Z267" s="92">
        <v>4708960000000</v>
      </c>
      <c r="AA267" s="92">
        <v>4786970000000</v>
      </c>
      <c r="AB267" s="92">
        <v>4866470000000</v>
      </c>
      <c r="AC267" s="92">
        <v>4947480000000</v>
      </c>
      <c r="AD267" s="92">
        <v>5030020000000</v>
      </c>
      <c r="AE267" s="92">
        <v>5114140000000</v>
      </c>
      <c r="AF267" s="92">
        <v>5199850000000</v>
      </c>
      <c r="AG267" s="92"/>
      <c r="AH267" s="92"/>
      <c r="AI267" s="92"/>
      <c r="AJ267" s="92"/>
      <c r="AK267" s="92"/>
      <c r="AL267" s="92"/>
      <c r="AM267" s="92"/>
      <c r="AN267" s="92"/>
      <c r="AO267" s="92"/>
      <c r="AP267" s="92"/>
      <c r="AQ267" s="92"/>
      <c r="AR267" s="92"/>
      <c r="AS267" s="92"/>
      <c r="AT267" s="92"/>
    </row>
    <row r="268" spans="1:46" x14ac:dyDescent="0.3">
      <c r="A268" s="86" t="s">
        <v>767</v>
      </c>
      <c r="B268" s="92">
        <v>3680910000000</v>
      </c>
      <c r="C268" s="92">
        <v>3773500000000</v>
      </c>
      <c r="D268" s="92">
        <v>3864700000000</v>
      </c>
      <c r="E268" s="92">
        <v>3954200000000</v>
      </c>
      <c r="F268" s="92">
        <v>4041710000000</v>
      </c>
      <c r="G268" s="92">
        <v>4126950000000</v>
      </c>
      <c r="H268" s="92">
        <v>4209610000000</v>
      </c>
      <c r="I268" s="92">
        <v>4289400000000</v>
      </c>
      <c r="J268" s="92">
        <v>4370990000000</v>
      </c>
      <c r="K268" s="92">
        <v>4454420000000</v>
      </c>
      <c r="L268" s="92">
        <v>4539730000000</v>
      </c>
      <c r="M268" s="92">
        <v>4626960000000</v>
      </c>
      <c r="N268" s="92">
        <v>4716160000000</v>
      </c>
      <c r="O268" s="92">
        <v>4807380000000</v>
      </c>
      <c r="P268" s="92">
        <v>4900650000000</v>
      </c>
      <c r="Q268" s="92">
        <v>4996030000000</v>
      </c>
      <c r="R268" s="92">
        <v>5093550000000</v>
      </c>
      <c r="S268" s="92">
        <v>5193280000000</v>
      </c>
      <c r="T268" s="92">
        <v>5295250000000</v>
      </c>
      <c r="U268" s="92">
        <v>5399530000000</v>
      </c>
      <c r="V268" s="92">
        <v>5506150000000</v>
      </c>
      <c r="W268" s="92">
        <v>5615190000000</v>
      </c>
      <c r="X268" s="92">
        <v>5726680000000</v>
      </c>
      <c r="Y268" s="92">
        <v>5840680000000</v>
      </c>
      <c r="Z268" s="92">
        <v>5957260000000</v>
      </c>
      <c r="AA268" s="92">
        <v>6076460000000</v>
      </c>
      <c r="AB268" s="92">
        <v>6198360000000</v>
      </c>
      <c r="AC268" s="92">
        <v>6323000000000</v>
      </c>
      <c r="AD268" s="92">
        <v>6450450000000</v>
      </c>
      <c r="AE268" s="92">
        <v>6580780000000</v>
      </c>
      <c r="AF268" s="92">
        <v>6714050000000</v>
      </c>
      <c r="AG268" s="92"/>
      <c r="AH268" s="92"/>
      <c r="AI268" s="92"/>
      <c r="AJ268" s="92"/>
      <c r="AK268" s="92"/>
      <c r="AL268" s="92"/>
      <c r="AM268" s="92"/>
      <c r="AN268" s="92"/>
      <c r="AO268" s="92"/>
      <c r="AP268" s="92"/>
      <c r="AQ268" s="92"/>
      <c r="AR268" s="92"/>
      <c r="AS268" s="92"/>
      <c r="AT268" s="92"/>
    </row>
    <row r="269" spans="1:46" x14ac:dyDescent="0.3">
      <c r="A269" s="86" t="s">
        <v>768</v>
      </c>
      <c r="B269" s="92">
        <v>2467320000000</v>
      </c>
      <c r="C269" s="92">
        <v>2475860000000</v>
      </c>
      <c r="D269" s="92">
        <v>2485500000000</v>
      </c>
      <c r="E269" s="92">
        <v>2496240000000</v>
      </c>
      <c r="F269" s="92">
        <v>2508090000000</v>
      </c>
      <c r="G269" s="92">
        <v>2521090000000</v>
      </c>
      <c r="H269" s="92">
        <v>2535240000000</v>
      </c>
      <c r="I269" s="92">
        <v>2550570000000</v>
      </c>
      <c r="J269" s="92">
        <v>2566020000000</v>
      </c>
      <c r="K269" s="92">
        <v>2581590000000</v>
      </c>
      <c r="L269" s="92">
        <v>2597270000000</v>
      </c>
      <c r="M269" s="92">
        <v>2613070000000</v>
      </c>
      <c r="N269" s="92">
        <v>2628990000000</v>
      </c>
      <c r="O269" s="92">
        <v>2645030000000</v>
      </c>
      <c r="P269" s="92">
        <v>2661190000000</v>
      </c>
      <c r="Q269" s="92">
        <v>2677480000000</v>
      </c>
      <c r="R269" s="92">
        <v>2693880000000</v>
      </c>
      <c r="S269" s="92">
        <v>2710410000000</v>
      </c>
      <c r="T269" s="92">
        <v>2727070000000</v>
      </c>
      <c r="U269" s="92">
        <v>2743850000000</v>
      </c>
      <c r="V269" s="92">
        <v>2760760000000</v>
      </c>
      <c r="W269" s="92">
        <v>2777790000000</v>
      </c>
      <c r="X269" s="92">
        <v>2794960000000</v>
      </c>
      <c r="Y269" s="92">
        <v>2812250000000</v>
      </c>
      <c r="Z269" s="92">
        <v>2829680000000</v>
      </c>
      <c r="AA269" s="92">
        <v>2847230000000</v>
      </c>
      <c r="AB269" s="92">
        <v>2864920000000</v>
      </c>
      <c r="AC269" s="92">
        <v>2882740000000</v>
      </c>
      <c r="AD269" s="92">
        <v>2900700000000</v>
      </c>
      <c r="AE269" s="92">
        <v>2918790000000</v>
      </c>
      <c r="AF269" s="92">
        <v>2937020000000</v>
      </c>
      <c r="AG269" s="92"/>
      <c r="AH269" s="92"/>
      <c r="AI269" s="92"/>
      <c r="AJ269" s="92"/>
      <c r="AK269" s="92"/>
      <c r="AL269" s="92"/>
      <c r="AM269" s="92"/>
      <c r="AN269" s="92"/>
      <c r="AO269" s="92"/>
      <c r="AP269" s="92"/>
      <c r="AQ269" s="92"/>
      <c r="AR269" s="92"/>
      <c r="AS269" s="92"/>
      <c r="AT269" s="92"/>
    </row>
    <row r="270" spans="1:46" x14ac:dyDescent="0.3">
      <c r="A270" s="86" t="s">
        <v>769</v>
      </c>
      <c r="B270" s="92">
        <v>1263220000000</v>
      </c>
      <c r="C270" s="92">
        <v>1265650000000</v>
      </c>
      <c r="D270" s="92">
        <v>1270530000000</v>
      </c>
      <c r="E270" s="92">
        <v>1277880000000</v>
      </c>
      <c r="F270" s="92">
        <v>1287750000000</v>
      </c>
      <c r="G270" s="92">
        <v>1300200000000</v>
      </c>
      <c r="H270" s="92">
        <v>1315330000000</v>
      </c>
      <c r="I270" s="92">
        <v>1333240000000</v>
      </c>
      <c r="J270" s="92">
        <v>1351460000000</v>
      </c>
      <c r="K270" s="92">
        <v>1369980000000</v>
      </c>
      <c r="L270" s="92">
        <v>1388820000000</v>
      </c>
      <c r="M270" s="92">
        <v>1407980000000</v>
      </c>
      <c r="N270" s="92">
        <v>1427460000000</v>
      </c>
      <c r="O270" s="92">
        <v>1447270000000</v>
      </c>
      <c r="P270" s="92">
        <v>1467430000000</v>
      </c>
      <c r="Q270" s="92">
        <v>1487920000000</v>
      </c>
      <c r="R270" s="92">
        <v>1508760000000</v>
      </c>
      <c r="S270" s="92">
        <v>1529960000000</v>
      </c>
      <c r="T270" s="92">
        <v>1551520000000</v>
      </c>
      <c r="U270" s="92">
        <v>1573440000000</v>
      </c>
      <c r="V270" s="92">
        <v>1595740000000</v>
      </c>
      <c r="W270" s="92">
        <v>1618420000000</v>
      </c>
      <c r="X270" s="92">
        <v>1641480000000</v>
      </c>
      <c r="Y270" s="92">
        <v>1664930000000</v>
      </c>
      <c r="Z270" s="92">
        <v>1688780000000</v>
      </c>
      <c r="AA270" s="92">
        <v>1713040000000</v>
      </c>
      <c r="AB270" s="92">
        <v>1737710000000</v>
      </c>
      <c r="AC270" s="92">
        <v>1762800000000</v>
      </c>
      <c r="AD270" s="92">
        <v>1788320000000</v>
      </c>
      <c r="AE270" s="92">
        <v>1814270000000</v>
      </c>
      <c r="AF270" s="92">
        <v>1840660000000</v>
      </c>
      <c r="AG270" s="92"/>
      <c r="AH270" s="92"/>
      <c r="AI270" s="92"/>
      <c r="AJ270" s="92"/>
      <c r="AK270" s="92"/>
      <c r="AL270" s="92"/>
      <c r="AM270" s="92"/>
      <c r="AN270" s="92"/>
      <c r="AO270" s="92"/>
      <c r="AP270" s="92"/>
      <c r="AQ270" s="92"/>
      <c r="AR270" s="92"/>
      <c r="AS270" s="92"/>
      <c r="AT270" s="92"/>
    </row>
    <row r="271" spans="1:46" x14ac:dyDescent="0.3">
      <c r="A271" s="86" t="s">
        <v>770</v>
      </c>
      <c r="B271" s="92">
        <v>2367630000000</v>
      </c>
      <c r="C271" s="92">
        <v>2421900000000</v>
      </c>
      <c r="D271" s="92">
        <v>2477980000000</v>
      </c>
      <c r="E271" s="92">
        <v>2535940000000</v>
      </c>
      <c r="F271" s="92">
        <v>2595840000000</v>
      </c>
      <c r="G271" s="92">
        <v>2657770000000</v>
      </c>
      <c r="H271" s="92">
        <v>2721790000000</v>
      </c>
      <c r="I271" s="92">
        <v>2787980000000</v>
      </c>
      <c r="J271" s="92">
        <v>2856100000000</v>
      </c>
      <c r="K271" s="92">
        <v>2926180000000</v>
      </c>
      <c r="L271" s="92">
        <v>2998310000000</v>
      </c>
      <c r="M271" s="92">
        <v>3072520000000</v>
      </c>
      <c r="N271" s="92">
        <v>3148880000000</v>
      </c>
      <c r="O271" s="92">
        <v>3227460000000</v>
      </c>
      <c r="P271" s="92">
        <v>3308320000000</v>
      </c>
      <c r="Q271" s="92">
        <v>3391520000000</v>
      </c>
      <c r="R271" s="92">
        <v>3477140000000</v>
      </c>
      <c r="S271" s="92">
        <v>3565240000000</v>
      </c>
      <c r="T271" s="92">
        <v>3655890000000</v>
      </c>
      <c r="U271" s="92">
        <v>3749180000000</v>
      </c>
      <c r="V271" s="92">
        <v>3845160000000</v>
      </c>
      <c r="W271" s="92">
        <v>3943930000000</v>
      </c>
      <c r="X271" s="92">
        <v>4045570000000</v>
      </c>
      <c r="Y271" s="92">
        <v>4150150000000</v>
      </c>
      <c r="Z271" s="92">
        <v>4257770000000</v>
      </c>
      <c r="AA271" s="92">
        <v>4368510000000</v>
      </c>
      <c r="AB271" s="92">
        <v>4482460000000</v>
      </c>
      <c r="AC271" s="92">
        <v>4599710000000</v>
      </c>
      <c r="AD271" s="92">
        <v>4720360000000</v>
      </c>
      <c r="AE271" s="92">
        <v>4844510000000</v>
      </c>
      <c r="AF271" s="92">
        <v>4972270000000</v>
      </c>
      <c r="AG271" s="92"/>
      <c r="AH271" s="92"/>
      <c r="AI271" s="92"/>
      <c r="AJ271" s="92"/>
      <c r="AK271" s="92"/>
      <c r="AL271" s="92"/>
      <c r="AM271" s="92"/>
      <c r="AN271" s="92"/>
      <c r="AO271" s="92"/>
      <c r="AP271" s="92"/>
      <c r="AQ271" s="92"/>
      <c r="AR271" s="92"/>
      <c r="AS271" s="92"/>
      <c r="AT271" s="92"/>
    </row>
    <row r="272" spans="1:46" x14ac:dyDescent="0.3">
      <c r="A272" s="86" t="s">
        <v>771</v>
      </c>
      <c r="B272" s="92">
        <v>853156000000</v>
      </c>
      <c r="C272" s="92">
        <v>869574000000</v>
      </c>
      <c r="D272" s="92">
        <v>886179000000</v>
      </c>
      <c r="E272" s="92">
        <v>902967000000</v>
      </c>
      <c r="F272" s="92">
        <v>919930000000</v>
      </c>
      <c r="G272" s="92">
        <v>937065000000</v>
      </c>
      <c r="H272" s="92">
        <v>954364000000</v>
      </c>
      <c r="I272" s="92">
        <v>971822000000</v>
      </c>
      <c r="J272" s="92">
        <v>989665000000</v>
      </c>
      <c r="K272" s="92">
        <v>1007900000000</v>
      </c>
      <c r="L272" s="92">
        <v>1026540000000</v>
      </c>
      <c r="M272" s="92">
        <v>1045580000000</v>
      </c>
      <c r="N272" s="92">
        <v>1065050000000</v>
      </c>
      <c r="O272" s="92">
        <v>1084940000000</v>
      </c>
      <c r="P272" s="92">
        <v>1105270000000</v>
      </c>
      <c r="Q272" s="92">
        <v>1126050000000</v>
      </c>
      <c r="R272" s="92">
        <v>1147280000000</v>
      </c>
      <c r="S272" s="92">
        <v>1168990000000</v>
      </c>
      <c r="T272" s="92">
        <v>1191170000000</v>
      </c>
      <c r="U272" s="92">
        <v>1213830000000</v>
      </c>
      <c r="V272" s="92">
        <v>1237000000000</v>
      </c>
      <c r="W272" s="92">
        <v>1260680000000</v>
      </c>
      <c r="X272" s="92">
        <v>1284870000000</v>
      </c>
      <c r="Y272" s="92">
        <v>1309600000000</v>
      </c>
      <c r="Z272" s="92">
        <v>1334880000000</v>
      </c>
      <c r="AA272" s="92">
        <v>1360710000000</v>
      </c>
      <c r="AB272" s="92">
        <v>1387110000000</v>
      </c>
      <c r="AC272" s="92">
        <v>1414080000000</v>
      </c>
      <c r="AD272" s="92">
        <v>1441660000000</v>
      </c>
      <c r="AE272" s="92">
        <v>1469830000000</v>
      </c>
      <c r="AF272" s="92">
        <v>1498630000000</v>
      </c>
      <c r="AG272" s="92"/>
      <c r="AH272" s="92"/>
      <c r="AI272" s="92"/>
      <c r="AJ272" s="92"/>
      <c r="AK272" s="92"/>
      <c r="AL272" s="92"/>
      <c r="AM272" s="92"/>
      <c r="AN272" s="92"/>
      <c r="AO272" s="92"/>
      <c r="AP272" s="92"/>
      <c r="AQ272" s="92"/>
      <c r="AR272" s="92"/>
      <c r="AS272" s="92"/>
      <c r="AT272" s="92"/>
    </row>
    <row r="273" spans="1:46" x14ac:dyDescent="0.3">
      <c r="A273" s="86" t="s">
        <v>772</v>
      </c>
      <c r="B273" s="92">
        <v>21349400000</v>
      </c>
      <c r="C273" s="92">
        <v>21507800000</v>
      </c>
      <c r="D273" s="92">
        <v>21689900000</v>
      </c>
      <c r="E273" s="92">
        <v>21896200000</v>
      </c>
      <c r="F273" s="92">
        <v>22127600000</v>
      </c>
      <c r="G273" s="92">
        <v>22385000000</v>
      </c>
      <c r="H273" s="92">
        <v>22669400000</v>
      </c>
      <c r="I273" s="92">
        <v>22981900000</v>
      </c>
      <c r="J273" s="92">
        <v>23299700000</v>
      </c>
      <c r="K273" s="92">
        <v>23622900000</v>
      </c>
      <c r="L273" s="92">
        <v>23951600000</v>
      </c>
      <c r="M273" s="92">
        <v>24285900000</v>
      </c>
      <c r="N273" s="92">
        <v>24625900000</v>
      </c>
      <c r="O273" s="92">
        <v>24971700000</v>
      </c>
      <c r="P273" s="92">
        <v>25323300000</v>
      </c>
      <c r="Q273" s="92">
        <v>25680900000</v>
      </c>
      <c r="R273" s="92">
        <v>26044600000</v>
      </c>
      <c r="S273" s="92">
        <v>26414500000</v>
      </c>
      <c r="T273" s="92">
        <v>26790600000</v>
      </c>
      <c r="U273" s="92">
        <v>27173200000</v>
      </c>
      <c r="V273" s="92">
        <v>27562200000</v>
      </c>
      <c r="W273" s="92">
        <v>27957900000</v>
      </c>
      <c r="X273" s="92">
        <v>28360300000</v>
      </c>
      <c r="Y273" s="92">
        <v>28769500000</v>
      </c>
      <c r="Z273" s="92">
        <v>29185700000</v>
      </c>
      <c r="AA273" s="92">
        <v>29609000000</v>
      </c>
      <c r="AB273" s="92">
        <v>30039500000</v>
      </c>
      <c r="AC273" s="92">
        <v>30477200000</v>
      </c>
      <c r="AD273" s="92">
        <v>30922500000</v>
      </c>
      <c r="AE273" s="92">
        <v>31375300000</v>
      </c>
      <c r="AF273" s="92">
        <v>31835800000</v>
      </c>
      <c r="AG273" s="92"/>
      <c r="AH273" s="92"/>
      <c r="AI273" s="92"/>
      <c r="AJ273" s="92"/>
      <c r="AK273" s="92"/>
      <c r="AL273" s="92"/>
      <c r="AM273" s="92"/>
      <c r="AN273" s="92"/>
      <c r="AO273" s="92"/>
      <c r="AP273" s="92"/>
      <c r="AQ273" s="92"/>
      <c r="AR273" s="92"/>
      <c r="AS273" s="92"/>
      <c r="AT273" s="92"/>
    </row>
    <row r="274" spans="1:46" x14ac:dyDescent="0.3">
      <c r="A274" s="88"/>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c r="AQ274" s="86"/>
      <c r="AR274" s="86"/>
      <c r="AS274" s="86"/>
      <c r="AT274" s="86"/>
    </row>
    <row r="275" spans="1:46" x14ac:dyDescent="0.3">
      <c r="A275" s="88" t="s">
        <v>773</v>
      </c>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c r="AL275" s="86"/>
      <c r="AM275" s="86"/>
      <c r="AN275" s="86"/>
      <c r="AO275" s="86"/>
      <c r="AP275" s="86"/>
      <c r="AQ275" s="86"/>
      <c r="AR275" s="86"/>
      <c r="AS275" s="86"/>
      <c r="AT275" s="86"/>
    </row>
    <row r="276" spans="1:46" x14ac:dyDescent="0.3">
      <c r="A276" s="86" t="s">
        <v>730</v>
      </c>
      <c r="B276" s="86">
        <v>2020</v>
      </c>
      <c r="C276" s="86">
        <v>2021</v>
      </c>
      <c r="D276" s="86">
        <v>2022</v>
      </c>
      <c r="E276" s="86">
        <v>2023</v>
      </c>
      <c r="F276" s="86">
        <v>2024</v>
      </c>
      <c r="G276" s="86">
        <v>2025</v>
      </c>
      <c r="H276" s="86">
        <v>2026</v>
      </c>
      <c r="I276" s="86">
        <v>2027</v>
      </c>
      <c r="J276" s="86">
        <v>2028</v>
      </c>
      <c r="K276" s="86">
        <v>2029</v>
      </c>
      <c r="L276" s="86">
        <v>2030</v>
      </c>
      <c r="M276" s="86">
        <v>2031</v>
      </c>
      <c r="N276" s="86">
        <v>2032</v>
      </c>
      <c r="O276" s="86">
        <v>2033</v>
      </c>
      <c r="P276" s="86">
        <v>2034</v>
      </c>
      <c r="Q276" s="86">
        <v>2035</v>
      </c>
      <c r="R276" s="86">
        <v>2036</v>
      </c>
      <c r="S276" s="86">
        <v>2037</v>
      </c>
      <c r="T276" s="86">
        <v>2038</v>
      </c>
      <c r="U276" s="86">
        <v>2039</v>
      </c>
      <c r="V276" s="86">
        <v>2040</v>
      </c>
      <c r="W276" s="86">
        <v>2041</v>
      </c>
      <c r="X276" s="86">
        <v>2042</v>
      </c>
      <c r="Y276" s="86">
        <v>2043</v>
      </c>
      <c r="Z276" s="86">
        <v>2044</v>
      </c>
      <c r="AA276" s="86">
        <v>2045</v>
      </c>
      <c r="AB276" s="86">
        <v>2046</v>
      </c>
      <c r="AC276" s="86">
        <v>2047</v>
      </c>
      <c r="AD276" s="86">
        <v>2048</v>
      </c>
      <c r="AE276" s="86">
        <v>2049</v>
      </c>
      <c r="AF276" s="86">
        <v>2050</v>
      </c>
      <c r="AG276" s="86"/>
      <c r="AH276" s="86"/>
      <c r="AI276" s="86"/>
      <c r="AJ276" s="86"/>
      <c r="AK276" s="86"/>
      <c r="AL276" s="86"/>
      <c r="AM276" s="86"/>
      <c r="AN276" s="86"/>
      <c r="AO276" s="86"/>
      <c r="AP276" s="86"/>
      <c r="AQ276" s="86"/>
      <c r="AR276" s="86"/>
      <c r="AS276" s="86"/>
      <c r="AT276" s="86"/>
    </row>
    <row r="277" spans="1:46" x14ac:dyDescent="0.3">
      <c r="A277" s="86" t="s">
        <v>774</v>
      </c>
      <c r="B277" s="86">
        <v>0.92</v>
      </c>
      <c r="C277" s="86">
        <v>0.92</v>
      </c>
      <c r="D277" s="86">
        <v>0.92</v>
      </c>
      <c r="E277" s="86">
        <v>0.92</v>
      </c>
      <c r="F277" s="86">
        <v>0.92</v>
      </c>
      <c r="G277" s="86">
        <v>0.92</v>
      </c>
      <c r="H277" s="86">
        <v>0.92</v>
      </c>
      <c r="I277" s="86">
        <v>0.92</v>
      </c>
      <c r="J277" s="86">
        <v>0.92</v>
      </c>
      <c r="K277" s="86">
        <v>0.92</v>
      </c>
      <c r="L277" s="86">
        <v>0.92</v>
      </c>
      <c r="M277" s="86">
        <v>0.92</v>
      </c>
      <c r="N277" s="86">
        <v>0.92</v>
      </c>
      <c r="O277" s="86">
        <v>0.92</v>
      </c>
      <c r="P277" s="86">
        <v>0.92</v>
      </c>
      <c r="Q277" s="86">
        <v>0.92</v>
      </c>
      <c r="R277" s="86">
        <v>0.92</v>
      </c>
      <c r="S277" s="86">
        <v>0.92</v>
      </c>
      <c r="T277" s="86">
        <v>0.92</v>
      </c>
      <c r="U277" s="86">
        <v>0.92</v>
      </c>
      <c r="V277" s="86">
        <v>0.92</v>
      </c>
      <c r="W277" s="86">
        <v>0.92</v>
      </c>
      <c r="X277" s="86">
        <v>0.92</v>
      </c>
      <c r="Y277" s="86">
        <v>0.92</v>
      </c>
      <c r="Z277" s="86">
        <v>0.92</v>
      </c>
      <c r="AA277" s="86">
        <v>0.92</v>
      </c>
      <c r="AB277" s="86">
        <v>0.92</v>
      </c>
      <c r="AC277" s="86">
        <v>0.92</v>
      </c>
      <c r="AD277" s="86">
        <v>0.92</v>
      </c>
      <c r="AE277" s="86">
        <v>0.92</v>
      </c>
      <c r="AF277" s="86">
        <v>0.92</v>
      </c>
      <c r="AG277" s="86"/>
      <c r="AH277" s="86"/>
      <c r="AI277" s="86"/>
      <c r="AJ277" s="86"/>
      <c r="AK277" s="86"/>
      <c r="AL277" s="86"/>
      <c r="AM277" s="86"/>
      <c r="AN277" s="86"/>
      <c r="AO277" s="86"/>
      <c r="AP277" s="86"/>
      <c r="AQ277" s="86"/>
      <c r="AR277" s="86"/>
      <c r="AS277" s="86"/>
      <c r="AT277" s="86"/>
    </row>
    <row r="278" spans="1:46" x14ac:dyDescent="0.3">
      <c r="A278" s="86" t="s">
        <v>775</v>
      </c>
      <c r="B278" s="86">
        <v>0.98599999999999999</v>
      </c>
      <c r="C278" s="86">
        <v>0.98599999999999999</v>
      </c>
      <c r="D278" s="86">
        <v>0.98599999999999999</v>
      </c>
      <c r="E278" s="86">
        <v>0.98599999999999999</v>
      </c>
      <c r="F278" s="86">
        <v>0.98599999999999999</v>
      </c>
      <c r="G278" s="86">
        <v>0.98599999999999999</v>
      </c>
      <c r="H278" s="86">
        <v>0.98599999999999999</v>
      </c>
      <c r="I278" s="86">
        <v>0.98599999999999999</v>
      </c>
      <c r="J278" s="86">
        <v>0.98599999999999999</v>
      </c>
      <c r="K278" s="86">
        <v>0.98599999999999999</v>
      </c>
      <c r="L278" s="86">
        <v>0.98599999999999999</v>
      </c>
      <c r="M278" s="86">
        <v>0.98599999999999999</v>
      </c>
      <c r="N278" s="86">
        <v>0.98599999999999999</v>
      </c>
      <c r="O278" s="86">
        <v>0.98599999999999999</v>
      </c>
      <c r="P278" s="86">
        <v>0.98599999999999999</v>
      </c>
      <c r="Q278" s="86">
        <v>0.98599999999999999</v>
      </c>
      <c r="R278" s="86">
        <v>0.98599999999999999</v>
      </c>
      <c r="S278" s="86">
        <v>0.98599999999999999</v>
      </c>
      <c r="T278" s="86">
        <v>0.98599999999999999</v>
      </c>
      <c r="U278" s="86">
        <v>0.98599999999999999</v>
      </c>
      <c r="V278" s="86">
        <v>0.98599999999999999</v>
      </c>
      <c r="W278" s="86">
        <v>0.98599999999999999</v>
      </c>
      <c r="X278" s="86">
        <v>0.98599999999999999</v>
      </c>
      <c r="Y278" s="86">
        <v>0.98599999999999999</v>
      </c>
      <c r="Z278" s="86">
        <v>0.98599999999999999</v>
      </c>
      <c r="AA278" s="86">
        <v>0.98599999999999999</v>
      </c>
      <c r="AB278" s="86">
        <v>0.98599999999999999</v>
      </c>
      <c r="AC278" s="86">
        <v>0.98599999999999999</v>
      </c>
      <c r="AD278" s="86">
        <v>0.98599999999999999</v>
      </c>
      <c r="AE278" s="86">
        <v>0.98599999999999999</v>
      </c>
      <c r="AF278" s="86">
        <v>0.98599999999999999</v>
      </c>
      <c r="AG278" s="86"/>
      <c r="AH278" s="86"/>
      <c r="AI278" s="86"/>
      <c r="AJ278" s="86"/>
      <c r="AK278" s="86"/>
      <c r="AL278" s="86"/>
      <c r="AM278" s="86"/>
      <c r="AN278" s="86"/>
      <c r="AO278" s="86"/>
      <c r="AP278" s="86"/>
      <c r="AQ278" s="86"/>
      <c r="AR278" s="86"/>
      <c r="AS278" s="86"/>
      <c r="AT278" s="86"/>
    </row>
    <row r="279" spans="1:46" x14ac:dyDescent="0.3">
      <c r="A279" s="86" t="s">
        <v>776</v>
      </c>
      <c r="B279" s="86">
        <v>0.61799999999999999</v>
      </c>
      <c r="C279" s="86">
        <v>0.61799999999999999</v>
      </c>
      <c r="D279" s="86">
        <v>0.61799999999999999</v>
      </c>
      <c r="E279" s="86">
        <v>0.61799999999999999</v>
      </c>
      <c r="F279" s="86">
        <v>0.61799999999999999</v>
      </c>
      <c r="G279" s="86">
        <v>0.61799999999999999</v>
      </c>
      <c r="H279" s="86">
        <v>0.61799999999999999</v>
      </c>
      <c r="I279" s="86">
        <v>0.61799999999999999</v>
      </c>
      <c r="J279" s="86">
        <v>0.61799999999999999</v>
      </c>
      <c r="K279" s="86">
        <v>0.61799999999999999</v>
      </c>
      <c r="L279" s="86">
        <v>0.61799999999999999</v>
      </c>
      <c r="M279" s="86">
        <v>0.61799999999999999</v>
      </c>
      <c r="N279" s="86">
        <v>0.61799999999999999</v>
      </c>
      <c r="O279" s="86">
        <v>0.61799999999999999</v>
      </c>
      <c r="P279" s="86">
        <v>0.61799999999999999</v>
      </c>
      <c r="Q279" s="86">
        <v>0.61799999999999999</v>
      </c>
      <c r="R279" s="86">
        <v>0.61799999999999999</v>
      </c>
      <c r="S279" s="86">
        <v>0.61799999999999999</v>
      </c>
      <c r="T279" s="86">
        <v>0.61799999999999999</v>
      </c>
      <c r="U279" s="86">
        <v>0.61799999999999999</v>
      </c>
      <c r="V279" s="86">
        <v>0.61799999999999999</v>
      </c>
      <c r="W279" s="86">
        <v>0.61799999999999999</v>
      </c>
      <c r="X279" s="86">
        <v>0.61799999999999999</v>
      </c>
      <c r="Y279" s="86">
        <v>0.61799999999999999</v>
      </c>
      <c r="Z279" s="86">
        <v>0.61799999999999999</v>
      </c>
      <c r="AA279" s="86">
        <v>0.61799999999999999</v>
      </c>
      <c r="AB279" s="86">
        <v>0.61799999999999999</v>
      </c>
      <c r="AC279" s="86">
        <v>0.61799999999999999</v>
      </c>
      <c r="AD279" s="86">
        <v>0.61799999999999999</v>
      </c>
      <c r="AE279" s="86">
        <v>0.61799999999999999</v>
      </c>
      <c r="AF279" s="86">
        <v>0.61799999999999999</v>
      </c>
      <c r="AG279" s="86"/>
      <c r="AH279" s="86"/>
      <c r="AI279" s="86"/>
      <c r="AJ279" s="86"/>
      <c r="AK279" s="86"/>
      <c r="AL279" s="86"/>
      <c r="AM279" s="86"/>
      <c r="AN279" s="86"/>
      <c r="AO279" s="86"/>
      <c r="AP279" s="86"/>
      <c r="AQ279" s="86"/>
      <c r="AR279" s="86"/>
      <c r="AS279" s="86"/>
      <c r="AT279" s="86"/>
    </row>
    <row r="280" spans="1:46" x14ac:dyDescent="0.3">
      <c r="A280" s="86" t="s">
        <v>777</v>
      </c>
      <c r="B280" s="86">
        <v>0.88600000000000001</v>
      </c>
      <c r="C280" s="86">
        <v>0.88600000000000001</v>
      </c>
      <c r="D280" s="86">
        <v>0.88600000000000001</v>
      </c>
      <c r="E280" s="86">
        <v>0.88600000000000001</v>
      </c>
      <c r="F280" s="86">
        <v>0.88600000000000001</v>
      </c>
      <c r="G280" s="86">
        <v>0.88600000000000001</v>
      </c>
      <c r="H280" s="86">
        <v>0.88600000000000001</v>
      </c>
      <c r="I280" s="86">
        <v>0.88600000000000001</v>
      </c>
      <c r="J280" s="86">
        <v>0.88600000000000001</v>
      </c>
      <c r="K280" s="86">
        <v>0.88600000000000001</v>
      </c>
      <c r="L280" s="86">
        <v>0.88600000000000001</v>
      </c>
      <c r="M280" s="86">
        <v>0.88600000000000001</v>
      </c>
      <c r="N280" s="86">
        <v>0.88600000000000001</v>
      </c>
      <c r="O280" s="86">
        <v>0.88600000000000001</v>
      </c>
      <c r="P280" s="86">
        <v>0.88600000000000001</v>
      </c>
      <c r="Q280" s="86">
        <v>0.88600000000000001</v>
      </c>
      <c r="R280" s="86">
        <v>0.88600000000000001</v>
      </c>
      <c r="S280" s="86">
        <v>0.88600000000000001</v>
      </c>
      <c r="T280" s="86">
        <v>0.88600000000000001</v>
      </c>
      <c r="U280" s="86">
        <v>0.88600000000000001</v>
      </c>
      <c r="V280" s="86">
        <v>0.88600000000000001</v>
      </c>
      <c r="W280" s="86">
        <v>0.88600000000000001</v>
      </c>
      <c r="X280" s="86">
        <v>0.88600000000000001</v>
      </c>
      <c r="Y280" s="86">
        <v>0.88600000000000001</v>
      </c>
      <c r="Z280" s="86">
        <v>0.88600000000000001</v>
      </c>
      <c r="AA280" s="86">
        <v>0.88600000000000001</v>
      </c>
      <c r="AB280" s="86">
        <v>0.88600000000000001</v>
      </c>
      <c r="AC280" s="86">
        <v>0.88600000000000001</v>
      </c>
      <c r="AD280" s="86">
        <v>0.88600000000000001</v>
      </c>
      <c r="AE280" s="86">
        <v>0.88600000000000001</v>
      </c>
      <c r="AF280" s="86">
        <v>0.88600000000000001</v>
      </c>
      <c r="AG280" s="86"/>
      <c r="AH280" s="86"/>
      <c r="AI280" s="86"/>
      <c r="AJ280" s="86"/>
      <c r="AK280" s="86"/>
      <c r="AL280" s="86"/>
      <c r="AM280" s="86"/>
      <c r="AN280" s="86"/>
      <c r="AO280" s="86"/>
      <c r="AP280" s="86"/>
      <c r="AQ280" s="86"/>
      <c r="AR280" s="86"/>
      <c r="AS280" s="86"/>
      <c r="AT280" s="86"/>
    </row>
    <row r="281" spans="1:46" x14ac:dyDescent="0.3">
      <c r="A281" s="86" t="s">
        <v>778</v>
      </c>
      <c r="B281" s="86">
        <v>0.98299999999999998</v>
      </c>
      <c r="C281" s="86">
        <v>0.98299999999999998</v>
      </c>
      <c r="D281" s="86">
        <v>0.98299999999999998</v>
      </c>
      <c r="E281" s="86">
        <v>0.98299999999999998</v>
      </c>
      <c r="F281" s="86">
        <v>0.98299999999999998</v>
      </c>
      <c r="G281" s="86">
        <v>0.98299999999999998</v>
      </c>
      <c r="H281" s="86">
        <v>0.98299999999999998</v>
      </c>
      <c r="I281" s="86">
        <v>0.98299999999999998</v>
      </c>
      <c r="J281" s="86">
        <v>0.98299999999999998</v>
      </c>
      <c r="K281" s="86">
        <v>0.98299999999999998</v>
      </c>
      <c r="L281" s="86">
        <v>0.98299999999999998</v>
      </c>
      <c r="M281" s="86">
        <v>0.98299999999999998</v>
      </c>
      <c r="N281" s="86">
        <v>0.98299999999999998</v>
      </c>
      <c r="O281" s="86">
        <v>0.98299999999999998</v>
      </c>
      <c r="P281" s="86">
        <v>0.98299999999999998</v>
      </c>
      <c r="Q281" s="86">
        <v>0.98299999999999998</v>
      </c>
      <c r="R281" s="86">
        <v>0.98299999999999998</v>
      </c>
      <c r="S281" s="86">
        <v>0.98299999999999998</v>
      </c>
      <c r="T281" s="86">
        <v>0.98299999999999998</v>
      </c>
      <c r="U281" s="86">
        <v>0.98299999999999998</v>
      </c>
      <c r="V281" s="86">
        <v>0.98299999999999998</v>
      </c>
      <c r="W281" s="86">
        <v>0.98299999999999998</v>
      </c>
      <c r="X281" s="86">
        <v>0.98299999999999998</v>
      </c>
      <c r="Y281" s="86">
        <v>0.98299999999999998</v>
      </c>
      <c r="Z281" s="86">
        <v>0.98299999999999998</v>
      </c>
      <c r="AA281" s="86">
        <v>0.98299999999999998</v>
      </c>
      <c r="AB281" s="86">
        <v>0.98299999999999998</v>
      </c>
      <c r="AC281" s="86">
        <v>0.98299999999999998</v>
      </c>
      <c r="AD281" s="86">
        <v>0.98299999999999998</v>
      </c>
      <c r="AE281" s="86">
        <v>0.98299999999999998</v>
      </c>
      <c r="AF281" s="86">
        <v>0.98299999999999998</v>
      </c>
      <c r="AG281" s="86"/>
      <c r="AH281" s="86"/>
      <c r="AI281" s="86"/>
      <c r="AJ281" s="86"/>
      <c r="AK281" s="86"/>
      <c r="AL281" s="86"/>
      <c r="AM281" s="86"/>
      <c r="AN281" s="86"/>
      <c r="AO281" s="86"/>
      <c r="AP281" s="86"/>
      <c r="AQ281" s="86"/>
      <c r="AR281" s="86"/>
      <c r="AS281" s="86"/>
      <c r="AT281" s="86"/>
    </row>
    <row r="282" spans="1:46" x14ac:dyDescent="0.3">
      <c r="A282" s="86" t="s">
        <v>779</v>
      </c>
      <c r="B282" s="86">
        <v>0.91700000000000004</v>
      </c>
      <c r="C282" s="86">
        <v>0.91700000000000004</v>
      </c>
      <c r="D282" s="86">
        <v>0.91700000000000004</v>
      </c>
      <c r="E282" s="86">
        <v>0.91700000000000004</v>
      </c>
      <c r="F282" s="86">
        <v>0.91700000000000004</v>
      </c>
      <c r="G282" s="86">
        <v>0.91700000000000004</v>
      </c>
      <c r="H282" s="86">
        <v>0.91700000000000004</v>
      </c>
      <c r="I282" s="86">
        <v>0.91700000000000004</v>
      </c>
      <c r="J282" s="86">
        <v>0.91700000000000004</v>
      </c>
      <c r="K282" s="86">
        <v>0.91700000000000004</v>
      </c>
      <c r="L282" s="86">
        <v>0.91700000000000004</v>
      </c>
      <c r="M282" s="86">
        <v>0.91700000000000004</v>
      </c>
      <c r="N282" s="86">
        <v>0.91700000000000004</v>
      </c>
      <c r="O282" s="86">
        <v>0.91700000000000004</v>
      </c>
      <c r="P282" s="86">
        <v>0.91700000000000004</v>
      </c>
      <c r="Q282" s="86">
        <v>0.91700000000000004</v>
      </c>
      <c r="R282" s="86">
        <v>0.91700000000000004</v>
      </c>
      <c r="S282" s="86">
        <v>0.91700000000000004</v>
      </c>
      <c r="T282" s="86">
        <v>0.91700000000000004</v>
      </c>
      <c r="U282" s="86">
        <v>0.91700000000000004</v>
      </c>
      <c r="V282" s="86">
        <v>0.91700000000000004</v>
      </c>
      <c r="W282" s="86">
        <v>0.91700000000000004</v>
      </c>
      <c r="X282" s="86">
        <v>0.91700000000000004</v>
      </c>
      <c r="Y282" s="86">
        <v>0.91700000000000004</v>
      </c>
      <c r="Z282" s="86">
        <v>0.91700000000000004</v>
      </c>
      <c r="AA282" s="86">
        <v>0.91700000000000004</v>
      </c>
      <c r="AB282" s="86">
        <v>0.91700000000000004</v>
      </c>
      <c r="AC282" s="86">
        <v>0.91700000000000004</v>
      </c>
      <c r="AD282" s="86">
        <v>0.91700000000000004</v>
      </c>
      <c r="AE282" s="86">
        <v>0.91700000000000004</v>
      </c>
      <c r="AF282" s="86">
        <v>0.91700000000000004</v>
      </c>
      <c r="AG282" s="86"/>
      <c r="AH282" s="86"/>
      <c r="AI282" s="86"/>
      <c r="AJ282" s="86"/>
      <c r="AK282" s="86"/>
      <c r="AL282" s="86"/>
      <c r="AM282" s="86"/>
      <c r="AN282" s="86"/>
      <c r="AO282" s="86"/>
      <c r="AP282" s="86"/>
      <c r="AQ282" s="86"/>
      <c r="AR282" s="86"/>
      <c r="AS282" s="86"/>
      <c r="AT282" s="86"/>
    </row>
    <row r="283" spans="1:46" x14ac:dyDescent="0.3">
      <c r="A283" s="86" t="s">
        <v>780</v>
      </c>
      <c r="B283" s="86">
        <v>0.45200000000000001</v>
      </c>
      <c r="C283" s="86">
        <v>0.45200000000000001</v>
      </c>
      <c r="D283" s="86">
        <v>0.45200000000000001</v>
      </c>
      <c r="E283" s="86">
        <v>0.45200000000000001</v>
      </c>
      <c r="F283" s="86">
        <v>0.45200000000000001</v>
      </c>
      <c r="G283" s="86">
        <v>0.45200000000000001</v>
      </c>
      <c r="H283" s="86">
        <v>0.45200000000000001</v>
      </c>
      <c r="I283" s="86">
        <v>0.45200000000000001</v>
      </c>
      <c r="J283" s="86">
        <v>0.45200000000000001</v>
      </c>
      <c r="K283" s="86">
        <v>0.45200000000000001</v>
      </c>
      <c r="L283" s="86">
        <v>0.45200000000000001</v>
      </c>
      <c r="M283" s="86">
        <v>0.45200000000000001</v>
      </c>
      <c r="N283" s="86">
        <v>0.45200000000000001</v>
      </c>
      <c r="O283" s="86">
        <v>0.45200000000000001</v>
      </c>
      <c r="P283" s="86">
        <v>0.45200000000000001</v>
      </c>
      <c r="Q283" s="86">
        <v>0.45200000000000001</v>
      </c>
      <c r="R283" s="86">
        <v>0.45200000000000001</v>
      </c>
      <c r="S283" s="86">
        <v>0.45200000000000001</v>
      </c>
      <c r="T283" s="86">
        <v>0.45200000000000001</v>
      </c>
      <c r="U283" s="86">
        <v>0.45200000000000001</v>
      </c>
      <c r="V283" s="86">
        <v>0.45200000000000001</v>
      </c>
      <c r="W283" s="86">
        <v>0.45200000000000001</v>
      </c>
      <c r="X283" s="86">
        <v>0.45200000000000001</v>
      </c>
      <c r="Y283" s="86">
        <v>0.45200000000000001</v>
      </c>
      <c r="Z283" s="86">
        <v>0.45200000000000001</v>
      </c>
      <c r="AA283" s="86">
        <v>0.45200000000000001</v>
      </c>
      <c r="AB283" s="86">
        <v>0.45200000000000001</v>
      </c>
      <c r="AC283" s="86">
        <v>0.45200000000000001</v>
      </c>
      <c r="AD283" s="86">
        <v>0.45200000000000001</v>
      </c>
      <c r="AE283" s="86">
        <v>0.45200000000000001</v>
      </c>
      <c r="AF283" s="86">
        <v>0.45200000000000001</v>
      </c>
      <c r="AG283" s="86"/>
      <c r="AH283" s="86"/>
      <c r="AI283" s="86"/>
      <c r="AJ283" s="86"/>
      <c r="AK283" s="86"/>
      <c r="AL283" s="86"/>
      <c r="AM283" s="86"/>
      <c r="AN283" s="86"/>
      <c r="AO283" s="86"/>
      <c r="AP283" s="86"/>
      <c r="AQ283" s="86"/>
      <c r="AR283" s="86"/>
      <c r="AS283" s="86"/>
      <c r="AT283" s="86"/>
    </row>
    <row r="284" spans="1:46" x14ac:dyDescent="0.3">
      <c r="A284" s="86" t="s">
        <v>781</v>
      </c>
      <c r="B284" s="86">
        <v>0.86499999999999999</v>
      </c>
      <c r="C284" s="86">
        <v>0.86499999999999999</v>
      </c>
      <c r="D284" s="86">
        <v>0.86499999999999999</v>
      </c>
      <c r="E284" s="86">
        <v>0.86499999999999999</v>
      </c>
      <c r="F284" s="86">
        <v>0.86499999999999999</v>
      </c>
      <c r="G284" s="86">
        <v>0.86499999999999999</v>
      </c>
      <c r="H284" s="86">
        <v>0.86499999999999999</v>
      </c>
      <c r="I284" s="86">
        <v>0.86499999999999999</v>
      </c>
      <c r="J284" s="86">
        <v>0.86499999999999999</v>
      </c>
      <c r="K284" s="86">
        <v>0.86499999999999999</v>
      </c>
      <c r="L284" s="86">
        <v>0.86499999999999999</v>
      </c>
      <c r="M284" s="86">
        <v>0.86499999999999999</v>
      </c>
      <c r="N284" s="86">
        <v>0.86499999999999999</v>
      </c>
      <c r="O284" s="86">
        <v>0.86499999999999999</v>
      </c>
      <c r="P284" s="86">
        <v>0.86499999999999999</v>
      </c>
      <c r="Q284" s="86">
        <v>0.86499999999999999</v>
      </c>
      <c r="R284" s="86">
        <v>0.86499999999999999</v>
      </c>
      <c r="S284" s="86">
        <v>0.86499999999999999</v>
      </c>
      <c r="T284" s="86">
        <v>0.86499999999999999</v>
      </c>
      <c r="U284" s="86">
        <v>0.86499999999999999</v>
      </c>
      <c r="V284" s="86">
        <v>0.86499999999999999</v>
      </c>
      <c r="W284" s="86">
        <v>0.86499999999999999</v>
      </c>
      <c r="X284" s="86">
        <v>0.86499999999999999</v>
      </c>
      <c r="Y284" s="86">
        <v>0.86499999999999999</v>
      </c>
      <c r="Z284" s="86">
        <v>0.86499999999999999</v>
      </c>
      <c r="AA284" s="86">
        <v>0.86499999999999999</v>
      </c>
      <c r="AB284" s="86">
        <v>0.86499999999999999</v>
      </c>
      <c r="AC284" s="86">
        <v>0.86499999999999999</v>
      </c>
      <c r="AD284" s="86">
        <v>0.86499999999999999</v>
      </c>
      <c r="AE284" s="86">
        <v>0.86499999999999999</v>
      </c>
      <c r="AF284" s="86">
        <v>0.86499999999999999</v>
      </c>
      <c r="AG284" s="86"/>
      <c r="AH284" s="86"/>
      <c r="AI284" s="86"/>
      <c r="AJ284" s="86"/>
      <c r="AK284" s="86"/>
      <c r="AL284" s="86"/>
      <c r="AM284" s="86"/>
      <c r="AN284" s="86"/>
      <c r="AO284" s="86"/>
      <c r="AP284" s="86"/>
      <c r="AQ284" s="86"/>
      <c r="AR284" s="86"/>
      <c r="AS284" s="86"/>
      <c r="AT284" s="86"/>
    </row>
    <row r="285" spans="1:46" x14ac:dyDescent="0.3">
      <c r="A285" s="86" t="s">
        <v>782</v>
      </c>
      <c r="B285" s="86">
        <v>0.92</v>
      </c>
      <c r="C285" s="86">
        <v>0.92</v>
      </c>
      <c r="D285" s="86">
        <v>0.92</v>
      </c>
      <c r="E285" s="86">
        <v>0.92</v>
      </c>
      <c r="F285" s="86">
        <v>0.92</v>
      </c>
      <c r="G285" s="86">
        <v>0.92</v>
      </c>
      <c r="H285" s="86">
        <v>0.92</v>
      </c>
      <c r="I285" s="86">
        <v>0.92</v>
      </c>
      <c r="J285" s="86">
        <v>0.92</v>
      </c>
      <c r="K285" s="86">
        <v>0.92</v>
      </c>
      <c r="L285" s="86">
        <v>0.92</v>
      </c>
      <c r="M285" s="86">
        <v>0.92</v>
      </c>
      <c r="N285" s="86">
        <v>0.92</v>
      </c>
      <c r="O285" s="86">
        <v>0.92</v>
      </c>
      <c r="P285" s="86">
        <v>0.92</v>
      </c>
      <c r="Q285" s="86">
        <v>0.92</v>
      </c>
      <c r="R285" s="86">
        <v>0.92</v>
      </c>
      <c r="S285" s="86">
        <v>0.92</v>
      </c>
      <c r="T285" s="86">
        <v>0.92</v>
      </c>
      <c r="U285" s="86">
        <v>0.92</v>
      </c>
      <c r="V285" s="86">
        <v>0.92</v>
      </c>
      <c r="W285" s="86">
        <v>0.92</v>
      </c>
      <c r="X285" s="86">
        <v>0.92</v>
      </c>
      <c r="Y285" s="86">
        <v>0.92</v>
      </c>
      <c r="Z285" s="86">
        <v>0.92</v>
      </c>
      <c r="AA285" s="86">
        <v>0.92</v>
      </c>
      <c r="AB285" s="86">
        <v>0.92</v>
      </c>
      <c r="AC285" s="86">
        <v>0.92</v>
      </c>
      <c r="AD285" s="86">
        <v>0.92</v>
      </c>
      <c r="AE285" s="86">
        <v>0.92</v>
      </c>
      <c r="AF285" s="86">
        <v>0.92</v>
      </c>
      <c r="AG285" s="86"/>
      <c r="AH285" s="86"/>
      <c r="AI285" s="86"/>
      <c r="AJ285" s="86"/>
      <c r="AK285" s="86"/>
      <c r="AL285" s="86"/>
      <c r="AM285" s="86"/>
      <c r="AN285" s="86"/>
      <c r="AO285" s="86"/>
      <c r="AP285" s="86"/>
      <c r="AQ285" s="86"/>
      <c r="AR285" s="86"/>
      <c r="AS285" s="86"/>
      <c r="AT285" s="86"/>
    </row>
    <row r="286" spans="1:46" x14ac:dyDescent="0.3">
      <c r="A286" s="86" t="s">
        <v>783</v>
      </c>
      <c r="B286" s="86">
        <v>0.91</v>
      </c>
      <c r="C286" s="86">
        <v>0.91</v>
      </c>
      <c r="D286" s="86">
        <v>0.91</v>
      </c>
      <c r="E286" s="86">
        <v>0.91</v>
      </c>
      <c r="F286" s="86">
        <v>0.91</v>
      </c>
      <c r="G286" s="86">
        <v>0.91</v>
      </c>
      <c r="H286" s="86">
        <v>0.91</v>
      </c>
      <c r="I286" s="86">
        <v>0.91</v>
      </c>
      <c r="J286" s="86">
        <v>0.91</v>
      </c>
      <c r="K286" s="86">
        <v>0.91</v>
      </c>
      <c r="L286" s="86">
        <v>0.91</v>
      </c>
      <c r="M286" s="86">
        <v>0.91</v>
      </c>
      <c r="N286" s="86">
        <v>0.91</v>
      </c>
      <c r="O286" s="86">
        <v>0.91</v>
      </c>
      <c r="P286" s="86">
        <v>0.91</v>
      </c>
      <c r="Q286" s="86">
        <v>0.91</v>
      </c>
      <c r="R286" s="86">
        <v>0.91</v>
      </c>
      <c r="S286" s="86">
        <v>0.91</v>
      </c>
      <c r="T286" s="86">
        <v>0.91</v>
      </c>
      <c r="U286" s="86">
        <v>0.91</v>
      </c>
      <c r="V286" s="86">
        <v>0.91</v>
      </c>
      <c r="W286" s="86">
        <v>0.91</v>
      </c>
      <c r="X286" s="86">
        <v>0.91</v>
      </c>
      <c r="Y286" s="86">
        <v>0.91</v>
      </c>
      <c r="Z286" s="86">
        <v>0.91</v>
      </c>
      <c r="AA286" s="86">
        <v>0.91</v>
      </c>
      <c r="AB286" s="86">
        <v>0.91</v>
      </c>
      <c r="AC286" s="86">
        <v>0.91</v>
      </c>
      <c r="AD286" s="86">
        <v>0.91</v>
      </c>
      <c r="AE286" s="86">
        <v>0.91</v>
      </c>
      <c r="AF286" s="86">
        <v>0.91</v>
      </c>
      <c r="AG286" s="86"/>
      <c r="AH286" s="86"/>
      <c r="AI286" s="86"/>
      <c r="AJ286" s="86"/>
      <c r="AK286" s="86"/>
      <c r="AL286" s="86"/>
      <c r="AM286" s="86"/>
      <c r="AN286" s="86"/>
      <c r="AO286" s="86"/>
      <c r="AP286" s="86"/>
      <c r="AQ286" s="86"/>
      <c r="AR286" s="86"/>
      <c r="AS286" s="86"/>
      <c r="AT286" s="86"/>
    </row>
    <row r="287" spans="1:46" x14ac:dyDescent="0.3">
      <c r="A287" s="86" t="s">
        <v>784</v>
      </c>
      <c r="B287" s="86">
        <v>0.872</v>
      </c>
      <c r="C287" s="86">
        <v>0.872</v>
      </c>
      <c r="D287" s="86">
        <v>0.872</v>
      </c>
      <c r="E287" s="86">
        <v>0.872</v>
      </c>
      <c r="F287" s="86">
        <v>0.872</v>
      </c>
      <c r="G287" s="86">
        <v>0.872</v>
      </c>
      <c r="H287" s="86">
        <v>0.872</v>
      </c>
      <c r="I287" s="86">
        <v>0.872</v>
      </c>
      <c r="J287" s="86">
        <v>0.872</v>
      </c>
      <c r="K287" s="86">
        <v>0.872</v>
      </c>
      <c r="L287" s="86">
        <v>0.872</v>
      </c>
      <c r="M287" s="86">
        <v>0.872</v>
      </c>
      <c r="N287" s="86">
        <v>0.872</v>
      </c>
      <c r="O287" s="86">
        <v>0.872</v>
      </c>
      <c r="P287" s="86">
        <v>0.872</v>
      </c>
      <c r="Q287" s="86">
        <v>0.872</v>
      </c>
      <c r="R287" s="86">
        <v>0.872</v>
      </c>
      <c r="S287" s="86">
        <v>0.872</v>
      </c>
      <c r="T287" s="86">
        <v>0.872</v>
      </c>
      <c r="U287" s="86">
        <v>0.872</v>
      </c>
      <c r="V287" s="86">
        <v>0.872</v>
      </c>
      <c r="W287" s="86">
        <v>0.872</v>
      </c>
      <c r="X287" s="86">
        <v>0.872</v>
      </c>
      <c r="Y287" s="86">
        <v>0.872</v>
      </c>
      <c r="Z287" s="86">
        <v>0.872</v>
      </c>
      <c r="AA287" s="86">
        <v>0.872</v>
      </c>
      <c r="AB287" s="86">
        <v>0.872</v>
      </c>
      <c r="AC287" s="86">
        <v>0.872</v>
      </c>
      <c r="AD287" s="86">
        <v>0.872</v>
      </c>
      <c r="AE287" s="86">
        <v>0.872</v>
      </c>
      <c r="AF287" s="86">
        <v>0.872</v>
      </c>
      <c r="AG287" s="86"/>
      <c r="AH287" s="86"/>
      <c r="AI287" s="86"/>
      <c r="AJ287" s="86"/>
      <c r="AK287" s="86"/>
      <c r="AL287" s="86"/>
      <c r="AM287" s="86"/>
      <c r="AN287" s="86"/>
      <c r="AO287" s="86"/>
      <c r="AP287" s="86"/>
      <c r="AQ287" s="86"/>
      <c r="AR287" s="86"/>
      <c r="AS287" s="86"/>
      <c r="AT287" s="86"/>
    </row>
    <row r="288" spans="1:46" x14ac:dyDescent="0.3">
      <c r="A288" s="86" t="s">
        <v>785</v>
      </c>
      <c r="B288" s="86">
        <v>0.69799999999999995</v>
      </c>
      <c r="C288" s="86">
        <v>0.69799999999999995</v>
      </c>
      <c r="D288" s="86">
        <v>0.69799999999999995</v>
      </c>
      <c r="E288" s="86">
        <v>0.69799999999999995</v>
      </c>
      <c r="F288" s="86">
        <v>0.69799999999999995</v>
      </c>
      <c r="G288" s="86">
        <v>0.69799999999999995</v>
      </c>
      <c r="H288" s="86">
        <v>0.69799999999999995</v>
      </c>
      <c r="I288" s="86">
        <v>0.69799999999999995</v>
      </c>
      <c r="J288" s="86">
        <v>0.69799999999999995</v>
      </c>
      <c r="K288" s="86">
        <v>0.69799999999999995</v>
      </c>
      <c r="L288" s="86">
        <v>0.69799999999999995</v>
      </c>
      <c r="M288" s="86">
        <v>0.69799999999999995</v>
      </c>
      <c r="N288" s="86">
        <v>0.69799999999999995</v>
      </c>
      <c r="O288" s="86">
        <v>0.69799999999999995</v>
      </c>
      <c r="P288" s="86">
        <v>0.69799999999999995</v>
      </c>
      <c r="Q288" s="86">
        <v>0.69799999999999995</v>
      </c>
      <c r="R288" s="86">
        <v>0.69799999999999995</v>
      </c>
      <c r="S288" s="86">
        <v>0.69799999999999995</v>
      </c>
      <c r="T288" s="86">
        <v>0.69799999999999995</v>
      </c>
      <c r="U288" s="86">
        <v>0.69799999999999995</v>
      </c>
      <c r="V288" s="86">
        <v>0.69799999999999995</v>
      </c>
      <c r="W288" s="86">
        <v>0.69799999999999995</v>
      </c>
      <c r="X288" s="86">
        <v>0.69799999999999995</v>
      </c>
      <c r="Y288" s="86">
        <v>0.69799999999999995</v>
      </c>
      <c r="Z288" s="86">
        <v>0.69799999999999995</v>
      </c>
      <c r="AA288" s="86">
        <v>0.69799999999999995</v>
      </c>
      <c r="AB288" s="86">
        <v>0.69799999999999995</v>
      </c>
      <c r="AC288" s="86">
        <v>0.69799999999999995</v>
      </c>
      <c r="AD288" s="86">
        <v>0.69799999999999995</v>
      </c>
      <c r="AE288" s="86">
        <v>0.69799999999999995</v>
      </c>
      <c r="AF288" s="86">
        <v>0.69799999999999995</v>
      </c>
      <c r="AG288" s="86"/>
      <c r="AH288" s="86"/>
      <c r="AI288" s="86"/>
      <c r="AJ288" s="86"/>
      <c r="AK288" s="86"/>
      <c r="AL288" s="86"/>
      <c r="AM288" s="86"/>
      <c r="AN288" s="86"/>
      <c r="AO288" s="86"/>
      <c r="AP288" s="86"/>
      <c r="AQ288" s="86"/>
      <c r="AR288" s="86"/>
      <c r="AS288" s="86"/>
      <c r="AT288" s="86"/>
    </row>
    <row r="289" spans="1:46" x14ac:dyDescent="0.3">
      <c r="A289" s="86" t="s">
        <v>786</v>
      </c>
      <c r="B289" s="86">
        <v>0.83299999999999996</v>
      </c>
      <c r="C289" s="86">
        <v>0.83299999999999996</v>
      </c>
      <c r="D289" s="86">
        <v>0.83299999999999996</v>
      </c>
      <c r="E289" s="86">
        <v>0.83299999999999996</v>
      </c>
      <c r="F289" s="86">
        <v>0.83299999999999996</v>
      </c>
      <c r="G289" s="86">
        <v>0.83299999999999996</v>
      </c>
      <c r="H289" s="86">
        <v>0.83299999999999996</v>
      </c>
      <c r="I289" s="86">
        <v>0.83299999999999996</v>
      </c>
      <c r="J289" s="86">
        <v>0.83299999999999996</v>
      </c>
      <c r="K289" s="86">
        <v>0.83299999999999996</v>
      </c>
      <c r="L289" s="86">
        <v>0.83299999999999996</v>
      </c>
      <c r="M289" s="86">
        <v>0.83299999999999996</v>
      </c>
      <c r="N289" s="86">
        <v>0.83299999999999996</v>
      </c>
      <c r="O289" s="86">
        <v>0.83299999999999996</v>
      </c>
      <c r="P289" s="86">
        <v>0.83299999999999996</v>
      </c>
      <c r="Q289" s="86">
        <v>0.83299999999999996</v>
      </c>
      <c r="R289" s="86">
        <v>0.83299999999999996</v>
      </c>
      <c r="S289" s="86">
        <v>0.83299999999999996</v>
      </c>
      <c r="T289" s="86">
        <v>0.83299999999999996</v>
      </c>
      <c r="U289" s="86">
        <v>0.83299999999999996</v>
      </c>
      <c r="V289" s="86">
        <v>0.83299999999999996</v>
      </c>
      <c r="W289" s="86">
        <v>0.83299999999999996</v>
      </c>
      <c r="X289" s="86">
        <v>0.83299999999999996</v>
      </c>
      <c r="Y289" s="86">
        <v>0.83299999999999996</v>
      </c>
      <c r="Z289" s="86">
        <v>0.83299999999999996</v>
      </c>
      <c r="AA289" s="86">
        <v>0.83299999999999996</v>
      </c>
      <c r="AB289" s="86">
        <v>0.83299999999999996</v>
      </c>
      <c r="AC289" s="86">
        <v>0.83299999999999996</v>
      </c>
      <c r="AD289" s="86">
        <v>0.83299999999999996</v>
      </c>
      <c r="AE289" s="86">
        <v>0.83299999999999996</v>
      </c>
      <c r="AF289" s="86">
        <v>0.83299999999999996</v>
      </c>
      <c r="AG289" s="86"/>
      <c r="AH289" s="86"/>
      <c r="AI289" s="86"/>
      <c r="AJ289" s="86"/>
      <c r="AK289" s="86"/>
      <c r="AL289" s="86"/>
      <c r="AM289" s="86"/>
      <c r="AN289" s="86"/>
      <c r="AO289" s="86"/>
      <c r="AP289" s="86"/>
      <c r="AQ289" s="86"/>
      <c r="AR289" s="86"/>
      <c r="AS289" s="86"/>
      <c r="AT289" s="86"/>
    </row>
    <row r="290" spans="1:46" x14ac:dyDescent="0.3">
      <c r="A290" s="86" t="s">
        <v>787</v>
      </c>
      <c r="B290" s="86">
        <v>0.77200000000000002</v>
      </c>
      <c r="C290" s="86">
        <v>0.77200000000000002</v>
      </c>
      <c r="D290" s="86">
        <v>0.77200000000000002</v>
      </c>
      <c r="E290" s="86">
        <v>0.77200000000000002</v>
      </c>
      <c r="F290" s="86">
        <v>0.77200000000000002</v>
      </c>
      <c r="G290" s="86">
        <v>0.77200000000000002</v>
      </c>
      <c r="H290" s="86">
        <v>0.77200000000000002</v>
      </c>
      <c r="I290" s="86">
        <v>0.77200000000000002</v>
      </c>
      <c r="J290" s="86">
        <v>0.77200000000000002</v>
      </c>
      <c r="K290" s="86">
        <v>0.77200000000000002</v>
      </c>
      <c r="L290" s="86">
        <v>0.77200000000000002</v>
      </c>
      <c r="M290" s="86">
        <v>0.77200000000000002</v>
      </c>
      <c r="N290" s="86">
        <v>0.77200000000000002</v>
      </c>
      <c r="O290" s="86">
        <v>0.77200000000000002</v>
      </c>
      <c r="P290" s="86">
        <v>0.77200000000000002</v>
      </c>
      <c r="Q290" s="86">
        <v>0.77200000000000002</v>
      </c>
      <c r="R290" s="86">
        <v>0.77200000000000002</v>
      </c>
      <c r="S290" s="86">
        <v>0.77200000000000002</v>
      </c>
      <c r="T290" s="86">
        <v>0.77200000000000002</v>
      </c>
      <c r="U290" s="86">
        <v>0.77200000000000002</v>
      </c>
      <c r="V290" s="86">
        <v>0.77200000000000002</v>
      </c>
      <c r="W290" s="86">
        <v>0.77200000000000002</v>
      </c>
      <c r="X290" s="86">
        <v>0.77200000000000002</v>
      </c>
      <c r="Y290" s="86">
        <v>0.77200000000000002</v>
      </c>
      <c r="Z290" s="86">
        <v>0.77200000000000002</v>
      </c>
      <c r="AA290" s="86">
        <v>0.77200000000000002</v>
      </c>
      <c r="AB290" s="86">
        <v>0.77200000000000002</v>
      </c>
      <c r="AC290" s="86">
        <v>0.77200000000000002</v>
      </c>
      <c r="AD290" s="86">
        <v>0.77200000000000002</v>
      </c>
      <c r="AE290" s="86">
        <v>0.77200000000000002</v>
      </c>
      <c r="AF290" s="86">
        <v>0.77200000000000002</v>
      </c>
      <c r="AG290" s="86"/>
      <c r="AH290" s="86"/>
      <c r="AI290" s="86"/>
      <c r="AJ290" s="86"/>
      <c r="AK290" s="86"/>
      <c r="AL290" s="86"/>
      <c r="AM290" s="86"/>
      <c r="AN290" s="86"/>
      <c r="AO290" s="86"/>
      <c r="AP290" s="86"/>
      <c r="AQ290" s="86"/>
      <c r="AR290" s="86"/>
      <c r="AS290" s="86"/>
      <c r="AT290" s="86"/>
    </row>
    <row r="291" spans="1:46" x14ac:dyDescent="0.3">
      <c r="A291" s="86" t="s">
        <v>788</v>
      </c>
      <c r="B291" s="86">
        <v>0.84399999999999997</v>
      </c>
      <c r="C291" s="86">
        <v>0.84399999999999997</v>
      </c>
      <c r="D291" s="86">
        <v>0.84399999999999997</v>
      </c>
      <c r="E291" s="86">
        <v>0.84399999999999997</v>
      </c>
      <c r="F291" s="86">
        <v>0.84399999999999997</v>
      </c>
      <c r="G291" s="86">
        <v>0.84399999999999997</v>
      </c>
      <c r="H291" s="86">
        <v>0.84399999999999997</v>
      </c>
      <c r="I291" s="86">
        <v>0.84399999999999997</v>
      </c>
      <c r="J291" s="86">
        <v>0.84399999999999997</v>
      </c>
      <c r="K291" s="86">
        <v>0.84399999999999997</v>
      </c>
      <c r="L291" s="86">
        <v>0.84399999999999997</v>
      </c>
      <c r="M291" s="86">
        <v>0.84399999999999997</v>
      </c>
      <c r="N291" s="86">
        <v>0.84399999999999997</v>
      </c>
      <c r="O291" s="86">
        <v>0.84399999999999997</v>
      </c>
      <c r="P291" s="86">
        <v>0.84399999999999997</v>
      </c>
      <c r="Q291" s="86">
        <v>0.84399999999999997</v>
      </c>
      <c r="R291" s="86">
        <v>0.84399999999999997</v>
      </c>
      <c r="S291" s="86">
        <v>0.84399999999999997</v>
      </c>
      <c r="T291" s="86">
        <v>0.84399999999999997</v>
      </c>
      <c r="U291" s="86">
        <v>0.84399999999999997</v>
      </c>
      <c r="V291" s="86">
        <v>0.84399999999999997</v>
      </c>
      <c r="W291" s="86">
        <v>0.84399999999999997</v>
      </c>
      <c r="X291" s="86">
        <v>0.84399999999999997</v>
      </c>
      <c r="Y291" s="86">
        <v>0.84399999999999997</v>
      </c>
      <c r="Z291" s="86">
        <v>0.84399999999999997</v>
      </c>
      <c r="AA291" s="86">
        <v>0.84399999999999997</v>
      </c>
      <c r="AB291" s="86">
        <v>0.84399999999999997</v>
      </c>
      <c r="AC291" s="86">
        <v>0.84399999999999997</v>
      </c>
      <c r="AD291" s="86">
        <v>0.84399999999999997</v>
      </c>
      <c r="AE291" s="86">
        <v>0.84399999999999997</v>
      </c>
      <c r="AF291" s="86">
        <v>0.84399999999999997</v>
      </c>
      <c r="AG291" s="86"/>
      <c r="AH291" s="86"/>
      <c r="AI291" s="86"/>
      <c r="AJ291" s="86"/>
      <c r="AK291" s="86"/>
      <c r="AL291" s="86"/>
      <c r="AM291" s="86"/>
      <c r="AN291" s="86"/>
      <c r="AO291" s="86"/>
      <c r="AP291" s="86"/>
      <c r="AQ291" s="86"/>
      <c r="AR291" s="86"/>
      <c r="AS291" s="86"/>
      <c r="AT291" s="86"/>
    </row>
    <row r="292" spans="1:46" x14ac:dyDescent="0.3">
      <c r="A292" s="86" t="s">
        <v>789</v>
      </c>
      <c r="B292" s="86">
        <v>0.77300000000000002</v>
      </c>
      <c r="C292" s="86">
        <v>0.77300000000000002</v>
      </c>
      <c r="D292" s="86">
        <v>0.77300000000000002</v>
      </c>
      <c r="E292" s="86">
        <v>0.77300000000000002</v>
      </c>
      <c r="F292" s="86">
        <v>0.77300000000000002</v>
      </c>
      <c r="G292" s="86">
        <v>0.77300000000000002</v>
      </c>
      <c r="H292" s="86">
        <v>0.77300000000000002</v>
      </c>
      <c r="I292" s="86">
        <v>0.77300000000000002</v>
      </c>
      <c r="J292" s="86">
        <v>0.77300000000000002</v>
      </c>
      <c r="K292" s="86">
        <v>0.77300000000000002</v>
      </c>
      <c r="L292" s="86">
        <v>0.77300000000000002</v>
      </c>
      <c r="M292" s="86">
        <v>0.77300000000000002</v>
      </c>
      <c r="N292" s="86">
        <v>0.77300000000000002</v>
      </c>
      <c r="O292" s="86">
        <v>0.77300000000000002</v>
      </c>
      <c r="P292" s="86">
        <v>0.77300000000000002</v>
      </c>
      <c r="Q292" s="86">
        <v>0.77300000000000002</v>
      </c>
      <c r="R292" s="86">
        <v>0.77300000000000002</v>
      </c>
      <c r="S292" s="86">
        <v>0.77300000000000002</v>
      </c>
      <c r="T292" s="86">
        <v>0.77300000000000002</v>
      </c>
      <c r="U292" s="86">
        <v>0.77300000000000002</v>
      </c>
      <c r="V292" s="86">
        <v>0.77300000000000002</v>
      </c>
      <c r="W292" s="86">
        <v>0.77300000000000002</v>
      </c>
      <c r="X292" s="86">
        <v>0.77300000000000002</v>
      </c>
      <c r="Y292" s="86">
        <v>0.77300000000000002</v>
      </c>
      <c r="Z292" s="86">
        <v>0.77300000000000002</v>
      </c>
      <c r="AA292" s="86">
        <v>0.77300000000000002</v>
      </c>
      <c r="AB292" s="86">
        <v>0.77300000000000002</v>
      </c>
      <c r="AC292" s="86">
        <v>0.77300000000000002</v>
      </c>
      <c r="AD292" s="86">
        <v>0.77300000000000002</v>
      </c>
      <c r="AE292" s="86">
        <v>0.77300000000000002</v>
      </c>
      <c r="AF292" s="86">
        <v>0.77300000000000002</v>
      </c>
      <c r="AG292" s="86"/>
      <c r="AH292" s="86"/>
      <c r="AI292" s="86"/>
      <c r="AJ292" s="86"/>
      <c r="AK292" s="86"/>
      <c r="AL292" s="86"/>
      <c r="AM292" s="86"/>
      <c r="AN292" s="86"/>
      <c r="AO292" s="86"/>
      <c r="AP292" s="86"/>
      <c r="AQ292" s="86"/>
      <c r="AR292" s="86"/>
      <c r="AS292" s="86"/>
      <c r="AT292" s="86"/>
    </row>
    <row r="293" spans="1:46" x14ac:dyDescent="0.3">
      <c r="A293" s="86" t="s">
        <v>790</v>
      </c>
      <c r="B293" s="86">
        <v>0.73099999999999998</v>
      </c>
      <c r="C293" s="86">
        <v>0.73099999999999998</v>
      </c>
      <c r="D293" s="86">
        <v>0.73099999999999998</v>
      </c>
      <c r="E293" s="86">
        <v>0.73099999999999998</v>
      </c>
      <c r="F293" s="86">
        <v>0.73099999999999998</v>
      </c>
      <c r="G293" s="86">
        <v>0.73099999999999998</v>
      </c>
      <c r="H293" s="86">
        <v>0.73099999999999998</v>
      </c>
      <c r="I293" s="86">
        <v>0.73099999999999998</v>
      </c>
      <c r="J293" s="86">
        <v>0.73099999999999998</v>
      </c>
      <c r="K293" s="86">
        <v>0.73099999999999998</v>
      </c>
      <c r="L293" s="86">
        <v>0.73099999999999998</v>
      </c>
      <c r="M293" s="86">
        <v>0.73099999999999998</v>
      </c>
      <c r="N293" s="86">
        <v>0.73099999999999998</v>
      </c>
      <c r="O293" s="86">
        <v>0.73099999999999998</v>
      </c>
      <c r="P293" s="86">
        <v>0.73099999999999998</v>
      </c>
      <c r="Q293" s="86">
        <v>0.73099999999999998</v>
      </c>
      <c r="R293" s="86">
        <v>0.73099999999999998</v>
      </c>
      <c r="S293" s="86">
        <v>0.73099999999999998</v>
      </c>
      <c r="T293" s="86">
        <v>0.73099999999999998</v>
      </c>
      <c r="U293" s="86">
        <v>0.73099999999999998</v>
      </c>
      <c r="V293" s="86">
        <v>0.73099999999999998</v>
      </c>
      <c r="W293" s="86">
        <v>0.73099999999999998</v>
      </c>
      <c r="X293" s="86">
        <v>0.73099999999999998</v>
      </c>
      <c r="Y293" s="86">
        <v>0.73099999999999998</v>
      </c>
      <c r="Z293" s="86">
        <v>0.73099999999999998</v>
      </c>
      <c r="AA293" s="86">
        <v>0.73099999999999998</v>
      </c>
      <c r="AB293" s="86">
        <v>0.73099999999999998</v>
      </c>
      <c r="AC293" s="86">
        <v>0.73099999999999998</v>
      </c>
      <c r="AD293" s="86">
        <v>0.73099999999999998</v>
      </c>
      <c r="AE293" s="86">
        <v>0.73099999999999998</v>
      </c>
      <c r="AF293" s="86">
        <v>0.73099999999999998</v>
      </c>
      <c r="AG293" s="86"/>
      <c r="AH293" s="86"/>
      <c r="AI293" s="86"/>
      <c r="AJ293" s="86"/>
      <c r="AK293" s="86"/>
      <c r="AL293" s="86"/>
      <c r="AM293" s="86"/>
      <c r="AN293" s="86"/>
      <c r="AO293" s="86"/>
      <c r="AP293" s="86"/>
      <c r="AQ293" s="86"/>
      <c r="AR293" s="86"/>
      <c r="AS293" s="86"/>
      <c r="AT293" s="86"/>
    </row>
    <row r="294" spans="1:46" x14ac:dyDescent="0.3">
      <c r="A294" s="86" t="s">
        <v>791</v>
      </c>
      <c r="B294" s="86">
        <v>0.85899999999999999</v>
      </c>
      <c r="C294" s="86">
        <v>0.85899999999999999</v>
      </c>
      <c r="D294" s="86">
        <v>0.85899999999999999</v>
      </c>
      <c r="E294" s="86">
        <v>0.85899999999999999</v>
      </c>
      <c r="F294" s="86">
        <v>0.85899999999999999</v>
      </c>
      <c r="G294" s="86">
        <v>0.85899999999999999</v>
      </c>
      <c r="H294" s="86">
        <v>0.85899999999999999</v>
      </c>
      <c r="I294" s="86">
        <v>0.85899999999999999</v>
      </c>
      <c r="J294" s="86">
        <v>0.85899999999999999</v>
      </c>
      <c r="K294" s="86">
        <v>0.85899999999999999</v>
      </c>
      <c r="L294" s="86">
        <v>0.85899999999999999</v>
      </c>
      <c r="M294" s="86">
        <v>0.85899999999999999</v>
      </c>
      <c r="N294" s="86">
        <v>0.85899999999999999</v>
      </c>
      <c r="O294" s="86">
        <v>0.85899999999999999</v>
      </c>
      <c r="P294" s="86">
        <v>0.85899999999999999</v>
      </c>
      <c r="Q294" s="86">
        <v>0.85899999999999999</v>
      </c>
      <c r="R294" s="86">
        <v>0.85899999999999999</v>
      </c>
      <c r="S294" s="86">
        <v>0.85899999999999999</v>
      </c>
      <c r="T294" s="86">
        <v>0.85899999999999999</v>
      </c>
      <c r="U294" s="86">
        <v>0.85899999999999999</v>
      </c>
      <c r="V294" s="86">
        <v>0.85899999999999999</v>
      </c>
      <c r="W294" s="86">
        <v>0.85899999999999999</v>
      </c>
      <c r="X294" s="86">
        <v>0.85899999999999999</v>
      </c>
      <c r="Y294" s="86">
        <v>0.85899999999999999</v>
      </c>
      <c r="Z294" s="86">
        <v>0.85899999999999999</v>
      </c>
      <c r="AA294" s="86">
        <v>0.85899999999999999</v>
      </c>
      <c r="AB294" s="86">
        <v>0.85899999999999999</v>
      </c>
      <c r="AC294" s="86">
        <v>0.85899999999999999</v>
      </c>
      <c r="AD294" s="86">
        <v>0.85899999999999999</v>
      </c>
      <c r="AE294" s="86">
        <v>0.85899999999999999</v>
      </c>
      <c r="AF294" s="86">
        <v>0.85899999999999999</v>
      </c>
      <c r="AG294" s="86"/>
      <c r="AH294" s="86"/>
      <c r="AI294" s="86"/>
      <c r="AJ294" s="86"/>
      <c r="AK294" s="86"/>
      <c r="AL294" s="86"/>
      <c r="AM294" s="86"/>
      <c r="AN294" s="86"/>
      <c r="AO294" s="86"/>
      <c r="AP294" s="86"/>
      <c r="AQ294" s="86"/>
      <c r="AR294" s="86"/>
      <c r="AS294" s="86"/>
      <c r="AT294" s="86"/>
    </row>
    <row r="295" spans="1:46" x14ac:dyDescent="0.3">
      <c r="A295" s="86" t="s">
        <v>792</v>
      </c>
      <c r="B295" s="86">
        <v>0.59399999999999997</v>
      </c>
      <c r="C295" s="86">
        <v>0.59399999999999997</v>
      </c>
      <c r="D295" s="86">
        <v>0.59399999999999997</v>
      </c>
      <c r="E295" s="86">
        <v>0.59399999999999997</v>
      </c>
      <c r="F295" s="86">
        <v>0.59399999999999997</v>
      </c>
      <c r="G295" s="86">
        <v>0.59399999999999997</v>
      </c>
      <c r="H295" s="86">
        <v>0.59399999999999997</v>
      </c>
      <c r="I295" s="86">
        <v>0.59399999999999997</v>
      </c>
      <c r="J295" s="86">
        <v>0.59399999999999997</v>
      </c>
      <c r="K295" s="86">
        <v>0.59399999999999997</v>
      </c>
      <c r="L295" s="86">
        <v>0.59399999999999997</v>
      </c>
      <c r="M295" s="86">
        <v>0.59399999999999997</v>
      </c>
      <c r="N295" s="86">
        <v>0.59399999999999997</v>
      </c>
      <c r="O295" s="86">
        <v>0.59399999999999997</v>
      </c>
      <c r="P295" s="86">
        <v>0.59399999999999997</v>
      </c>
      <c r="Q295" s="86">
        <v>0.59399999999999997</v>
      </c>
      <c r="R295" s="86">
        <v>0.59399999999999997</v>
      </c>
      <c r="S295" s="86">
        <v>0.59399999999999997</v>
      </c>
      <c r="T295" s="86">
        <v>0.59399999999999997</v>
      </c>
      <c r="U295" s="86">
        <v>0.59399999999999997</v>
      </c>
      <c r="V295" s="86">
        <v>0.59399999999999997</v>
      </c>
      <c r="W295" s="86">
        <v>0.59399999999999997</v>
      </c>
      <c r="X295" s="86">
        <v>0.59399999999999997</v>
      </c>
      <c r="Y295" s="86">
        <v>0.59399999999999997</v>
      </c>
      <c r="Z295" s="86">
        <v>0.59399999999999997</v>
      </c>
      <c r="AA295" s="86">
        <v>0.59399999999999997</v>
      </c>
      <c r="AB295" s="86">
        <v>0.59399999999999997</v>
      </c>
      <c r="AC295" s="86">
        <v>0.59399999999999997</v>
      </c>
      <c r="AD295" s="86">
        <v>0.59399999999999997</v>
      </c>
      <c r="AE295" s="86">
        <v>0.59399999999999997</v>
      </c>
      <c r="AF295" s="86">
        <v>0.59399999999999997</v>
      </c>
      <c r="AG295" s="86"/>
      <c r="AH295" s="86"/>
      <c r="AI295" s="86"/>
      <c r="AJ295" s="86"/>
      <c r="AK295" s="86"/>
      <c r="AL295" s="86"/>
      <c r="AM295" s="86"/>
      <c r="AN295" s="86"/>
      <c r="AO295" s="86"/>
      <c r="AP295" s="86"/>
      <c r="AQ295" s="86"/>
      <c r="AR295" s="86"/>
      <c r="AS295" s="86"/>
      <c r="AT295" s="86"/>
    </row>
    <row r="296" spans="1:46" x14ac:dyDescent="0.3">
      <c r="A296" s="86" t="s">
        <v>793</v>
      </c>
      <c r="B296" s="86">
        <v>0.61</v>
      </c>
      <c r="C296" s="86">
        <v>0.61</v>
      </c>
      <c r="D296" s="86">
        <v>0.61</v>
      </c>
      <c r="E296" s="86">
        <v>0.61</v>
      </c>
      <c r="F296" s="86">
        <v>0.61</v>
      </c>
      <c r="G296" s="86">
        <v>0.61</v>
      </c>
      <c r="H296" s="86">
        <v>0.61</v>
      </c>
      <c r="I296" s="86">
        <v>0.61</v>
      </c>
      <c r="J296" s="86">
        <v>0.61</v>
      </c>
      <c r="K296" s="86">
        <v>0.61</v>
      </c>
      <c r="L296" s="86">
        <v>0.61</v>
      </c>
      <c r="M296" s="86">
        <v>0.61</v>
      </c>
      <c r="N296" s="86">
        <v>0.61</v>
      </c>
      <c r="O296" s="86">
        <v>0.61</v>
      </c>
      <c r="P296" s="86">
        <v>0.61</v>
      </c>
      <c r="Q296" s="86">
        <v>0.61</v>
      </c>
      <c r="R296" s="86">
        <v>0.61</v>
      </c>
      <c r="S296" s="86">
        <v>0.61</v>
      </c>
      <c r="T296" s="86">
        <v>0.61</v>
      </c>
      <c r="U296" s="86">
        <v>0.61</v>
      </c>
      <c r="V296" s="86">
        <v>0.61</v>
      </c>
      <c r="W296" s="86">
        <v>0.61</v>
      </c>
      <c r="X296" s="86">
        <v>0.61</v>
      </c>
      <c r="Y296" s="86">
        <v>0.61</v>
      </c>
      <c r="Z296" s="86">
        <v>0.61</v>
      </c>
      <c r="AA296" s="86">
        <v>0.61</v>
      </c>
      <c r="AB296" s="86">
        <v>0.61</v>
      </c>
      <c r="AC296" s="86">
        <v>0.61</v>
      </c>
      <c r="AD296" s="86">
        <v>0.61</v>
      </c>
      <c r="AE296" s="86">
        <v>0.61</v>
      </c>
      <c r="AF296" s="86">
        <v>0.61</v>
      </c>
      <c r="AG296" s="86"/>
      <c r="AH296" s="86"/>
      <c r="AI296" s="86"/>
      <c r="AJ296" s="86"/>
      <c r="AK296" s="86"/>
      <c r="AL296" s="86"/>
      <c r="AM296" s="86"/>
      <c r="AN296" s="86"/>
      <c r="AO296" s="86"/>
      <c r="AP296" s="86"/>
      <c r="AQ296" s="86"/>
      <c r="AR296" s="86"/>
      <c r="AS296" s="86"/>
      <c r="AT296" s="86"/>
    </row>
    <row r="297" spans="1:46" x14ac:dyDescent="0.3">
      <c r="A297" s="86" t="s">
        <v>794</v>
      </c>
      <c r="B297" s="86">
        <v>0.749</v>
      </c>
      <c r="C297" s="86">
        <v>0.749</v>
      </c>
      <c r="D297" s="86">
        <v>0.749</v>
      </c>
      <c r="E297" s="86">
        <v>0.749</v>
      </c>
      <c r="F297" s="86">
        <v>0.749</v>
      </c>
      <c r="G297" s="86">
        <v>0.749</v>
      </c>
      <c r="H297" s="86">
        <v>0.749</v>
      </c>
      <c r="I297" s="86">
        <v>0.749</v>
      </c>
      <c r="J297" s="86">
        <v>0.749</v>
      </c>
      <c r="K297" s="86">
        <v>0.749</v>
      </c>
      <c r="L297" s="86">
        <v>0.749</v>
      </c>
      <c r="M297" s="86">
        <v>0.749</v>
      </c>
      <c r="N297" s="86">
        <v>0.749</v>
      </c>
      <c r="O297" s="86">
        <v>0.749</v>
      </c>
      <c r="P297" s="86">
        <v>0.749</v>
      </c>
      <c r="Q297" s="86">
        <v>0.749</v>
      </c>
      <c r="R297" s="86">
        <v>0.749</v>
      </c>
      <c r="S297" s="86">
        <v>0.749</v>
      </c>
      <c r="T297" s="86">
        <v>0.749</v>
      </c>
      <c r="U297" s="86">
        <v>0.749</v>
      </c>
      <c r="V297" s="86">
        <v>0.749</v>
      </c>
      <c r="W297" s="86">
        <v>0.749</v>
      </c>
      <c r="X297" s="86">
        <v>0.749</v>
      </c>
      <c r="Y297" s="86">
        <v>0.749</v>
      </c>
      <c r="Z297" s="86">
        <v>0.749</v>
      </c>
      <c r="AA297" s="86">
        <v>0.749</v>
      </c>
      <c r="AB297" s="86">
        <v>0.749</v>
      </c>
      <c r="AC297" s="86">
        <v>0.749</v>
      </c>
      <c r="AD297" s="86">
        <v>0.749</v>
      </c>
      <c r="AE297" s="86">
        <v>0.749</v>
      </c>
      <c r="AF297" s="86">
        <v>0.749</v>
      </c>
      <c r="AG297" s="86"/>
      <c r="AH297" s="86"/>
      <c r="AI297" s="86"/>
      <c r="AJ297" s="86"/>
      <c r="AK297" s="86"/>
      <c r="AL297" s="86"/>
      <c r="AM297" s="86"/>
      <c r="AN297" s="86"/>
      <c r="AO297" s="86"/>
      <c r="AP297" s="86"/>
      <c r="AQ297" s="86"/>
      <c r="AR297" s="86"/>
      <c r="AS297" s="86"/>
      <c r="AT297" s="86"/>
    </row>
    <row r="298" spans="1:46" x14ac:dyDescent="0.3">
      <c r="A298" s="86" t="s">
        <v>795</v>
      </c>
      <c r="B298" s="86">
        <v>0.73499999999999999</v>
      </c>
      <c r="C298" s="86">
        <v>0.73499999999999999</v>
      </c>
      <c r="D298" s="86">
        <v>0.73499999999999999</v>
      </c>
      <c r="E298" s="86">
        <v>0.73499999999999999</v>
      </c>
      <c r="F298" s="86">
        <v>0.73499999999999999</v>
      </c>
      <c r="G298" s="86">
        <v>0.73499999999999999</v>
      </c>
      <c r="H298" s="86">
        <v>0.73499999999999999</v>
      </c>
      <c r="I298" s="86">
        <v>0.73499999999999999</v>
      </c>
      <c r="J298" s="86">
        <v>0.73499999999999999</v>
      </c>
      <c r="K298" s="86">
        <v>0.73499999999999999</v>
      </c>
      <c r="L298" s="86">
        <v>0.73499999999999999</v>
      </c>
      <c r="M298" s="86">
        <v>0.73499999999999999</v>
      </c>
      <c r="N298" s="86">
        <v>0.73499999999999999</v>
      </c>
      <c r="O298" s="86">
        <v>0.73499999999999999</v>
      </c>
      <c r="P298" s="86">
        <v>0.73499999999999999</v>
      </c>
      <c r="Q298" s="86">
        <v>0.73499999999999999</v>
      </c>
      <c r="R298" s="86">
        <v>0.73499999999999999</v>
      </c>
      <c r="S298" s="86">
        <v>0.73499999999999999</v>
      </c>
      <c r="T298" s="86">
        <v>0.73499999999999999</v>
      </c>
      <c r="U298" s="86">
        <v>0.73499999999999999</v>
      </c>
      <c r="V298" s="86">
        <v>0.73499999999999999</v>
      </c>
      <c r="W298" s="86">
        <v>0.73499999999999999</v>
      </c>
      <c r="X298" s="86">
        <v>0.73499999999999999</v>
      </c>
      <c r="Y298" s="86">
        <v>0.73499999999999999</v>
      </c>
      <c r="Z298" s="86">
        <v>0.73499999999999999</v>
      </c>
      <c r="AA298" s="86">
        <v>0.73499999999999999</v>
      </c>
      <c r="AB298" s="86">
        <v>0.73499999999999999</v>
      </c>
      <c r="AC298" s="86">
        <v>0.73499999999999999</v>
      </c>
      <c r="AD298" s="86">
        <v>0.73499999999999999</v>
      </c>
      <c r="AE298" s="86">
        <v>0.73499999999999999</v>
      </c>
      <c r="AF298" s="86">
        <v>0.73499999999999999</v>
      </c>
      <c r="AG298" s="86"/>
      <c r="AH298" s="86"/>
      <c r="AI298" s="86"/>
      <c r="AJ298" s="86"/>
      <c r="AK298" s="86"/>
      <c r="AL298" s="86"/>
      <c r="AM298" s="86"/>
      <c r="AN298" s="86"/>
      <c r="AO298" s="86"/>
      <c r="AP298" s="86"/>
      <c r="AQ298" s="86"/>
      <c r="AR298" s="86"/>
      <c r="AS298" s="86"/>
      <c r="AT298" s="86"/>
    </row>
    <row r="299" spans="1:46" x14ac:dyDescent="0.3">
      <c r="A299" s="86" t="s">
        <v>796</v>
      </c>
      <c r="B299" s="86">
        <v>0.80600000000000005</v>
      </c>
      <c r="C299" s="86">
        <v>0.80600000000000005</v>
      </c>
      <c r="D299" s="86">
        <v>0.80600000000000005</v>
      </c>
      <c r="E299" s="86">
        <v>0.80600000000000005</v>
      </c>
      <c r="F299" s="86">
        <v>0.80600000000000005</v>
      </c>
      <c r="G299" s="86">
        <v>0.80600000000000005</v>
      </c>
      <c r="H299" s="86">
        <v>0.80600000000000005</v>
      </c>
      <c r="I299" s="86">
        <v>0.80600000000000005</v>
      </c>
      <c r="J299" s="86">
        <v>0.80600000000000005</v>
      </c>
      <c r="K299" s="86">
        <v>0.80600000000000005</v>
      </c>
      <c r="L299" s="86">
        <v>0.80600000000000005</v>
      </c>
      <c r="M299" s="86">
        <v>0.80600000000000005</v>
      </c>
      <c r="N299" s="86">
        <v>0.80600000000000005</v>
      </c>
      <c r="O299" s="86">
        <v>0.80600000000000005</v>
      </c>
      <c r="P299" s="86">
        <v>0.80600000000000005</v>
      </c>
      <c r="Q299" s="86">
        <v>0.80600000000000005</v>
      </c>
      <c r="R299" s="86">
        <v>0.80600000000000005</v>
      </c>
      <c r="S299" s="86">
        <v>0.80600000000000005</v>
      </c>
      <c r="T299" s="86">
        <v>0.80600000000000005</v>
      </c>
      <c r="U299" s="86">
        <v>0.80600000000000005</v>
      </c>
      <c r="V299" s="86">
        <v>0.80600000000000005</v>
      </c>
      <c r="W299" s="86">
        <v>0.80600000000000005</v>
      </c>
      <c r="X299" s="86">
        <v>0.80600000000000005</v>
      </c>
      <c r="Y299" s="86">
        <v>0.80600000000000005</v>
      </c>
      <c r="Z299" s="86">
        <v>0.80600000000000005</v>
      </c>
      <c r="AA299" s="86">
        <v>0.80600000000000005</v>
      </c>
      <c r="AB299" s="86">
        <v>0.80600000000000005</v>
      </c>
      <c r="AC299" s="86">
        <v>0.80600000000000005</v>
      </c>
      <c r="AD299" s="86">
        <v>0.80600000000000005</v>
      </c>
      <c r="AE299" s="86">
        <v>0.80600000000000005</v>
      </c>
      <c r="AF299" s="86">
        <v>0.80600000000000005</v>
      </c>
      <c r="AG299" s="86"/>
      <c r="AH299" s="86"/>
      <c r="AI299" s="86"/>
      <c r="AJ299" s="86"/>
      <c r="AK299" s="86"/>
      <c r="AL299" s="86"/>
      <c r="AM299" s="86"/>
      <c r="AN299" s="86"/>
      <c r="AO299" s="86"/>
      <c r="AP299" s="86"/>
      <c r="AQ299" s="86"/>
      <c r="AR299" s="86"/>
      <c r="AS299" s="86"/>
      <c r="AT299" s="86"/>
    </row>
    <row r="300" spans="1:46" x14ac:dyDescent="0.3">
      <c r="A300" s="86" t="s">
        <v>797</v>
      </c>
      <c r="B300" s="86">
        <v>0.72699999999999998</v>
      </c>
      <c r="C300" s="86">
        <v>0.72699999999999998</v>
      </c>
      <c r="D300" s="86">
        <v>0.72699999999999998</v>
      </c>
      <c r="E300" s="86">
        <v>0.72699999999999998</v>
      </c>
      <c r="F300" s="86">
        <v>0.72699999999999998</v>
      </c>
      <c r="G300" s="86">
        <v>0.72699999999999998</v>
      </c>
      <c r="H300" s="86">
        <v>0.72699999999999998</v>
      </c>
      <c r="I300" s="86">
        <v>0.72699999999999998</v>
      </c>
      <c r="J300" s="86">
        <v>0.72699999999999998</v>
      </c>
      <c r="K300" s="86">
        <v>0.72699999999999998</v>
      </c>
      <c r="L300" s="86">
        <v>0.72699999999999998</v>
      </c>
      <c r="M300" s="86">
        <v>0.72699999999999998</v>
      </c>
      <c r="N300" s="86">
        <v>0.72699999999999998</v>
      </c>
      <c r="O300" s="86">
        <v>0.72699999999999998</v>
      </c>
      <c r="P300" s="86">
        <v>0.72699999999999998</v>
      </c>
      <c r="Q300" s="86">
        <v>0.72699999999999998</v>
      </c>
      <c r="R300" s="86">
        <v>0.72699999999999998</v>
      </c>
      <c r="S300" s="86">
        <v>0.72699999999999998</v>
      </c>
      <c r="T300" s="86">
        <v>0.72699999999999998</v>
      </c>
      <c r="U300" s="86">
        <v>0.72699999999999998</v>
      </c>
      <c r="V300" s="86">
        <v>0.72699999999999998</v>
      </c>
      <c r="W300" s="86">
        <v>0.72699999999999998</v>
      </c>
      <c r="X300" s="86">
        <v>0.72699999999999998</v>
      </c>
      <c r="Y300" s="86">
        <v>0.72699999999999998</v>
      </c>
      <c r="Z300" s="86">
        <v>0.72699999999999998</v>
      </c>
      <c r="AA300" s="86">
        <v>0.72699999999999998</v>
      </c>
      <c r="AB300" s="86">
        <v>0.72699999999999998</v>
      </c>
      <c r="AC300" s="86">
        <v>0.72699999999999998</v>
      </c>
      <c r="AD300" s="86">
        <v>0.72699999999999998</v>
      </c>
      <c r="AE300" s="86">
        <v>0.72699999999999998</v>
      </c>
      <c r="AF300" s="86">
        <v>0.72699999999999998</v>
      </c>
      <c r="AG300" s="86"/>
      <c r="AH300" s="86"/>
      <c r="AI300" s="86"/>
      <c r="AJ300" s="86"/>
      <c r="AK300" s="86"/>
      <c r="AL300" s="86"/>
      <c r="AM300" s="86"/>
      <c r="AN300" s="86"/>
      <c r="AO300" s="86"/>
      <c r="AP300" s="86"/>
      <c r="AQ300" s="86"/>
      <c r="AR300" s="86"/>
      <c r="AS300" s="86"/>
      <c r="AT300" s="86"/>
    </row>
    <row r="301" spans="1:46" x14ac:dyDescent="0.3">
      <c r="A301" s="86" t="s">
        <v>798</v>
      </c>
      <c r="B301" s="86">
        <v>0.98599999999999999</v>
      </c>
      <c r="C301" s="86">
        <v>0.98599999999999999</v>
      </c>
      <c r="D301" s="86">
        <v>0.98599999999999999</v>
      </c>
      <c r="E301" s="86">
        <v>0.98599999999999999</v>
      </c>
      <c r="F301" s="86">
        <v>0.98599999999999999</v>
      </c>
      <c r="G301" s="86">
        <v>0.98599999999999999</v>
      </c>
      <c r="H301" s="86">
        <v>0.98599999999999999</v>
      </c>
      <c r="I301" s="86">
        <v>0.98599999999999999</v>
      </c>
      <c r="J301" s="86">
        <v>0.98599999999999999</v>
      </c>
      <c r="K301" s="86">
        <v>0.98599999999999999</v>
      </c>
      <c r="L301" s="86">
        <v>0.98599999999999999</v>
      </c>
      <c r="M301" s="86">
        <v>0.98599999999999999</v>
      </c>
      <c r="N301" s="86">
        <v>0.98599999999999999</v>
      </c>
      <c r="O301" s="86">
        <v>0.98599999999999999</v>
      </c>
      <c r="P301" s="86">
        <v>0.98599999999999999</v>
      </c>
      <c r="Q301" s="86">
        <v>0.98599999999999999</v>
      </c>
      <c r="R301" s="86">
        <v>0.98599999999999999</v>
      </c>
      <c r="S301" s="86">
        <v>0.98599999999999999</v>
      </c>
      <c r="T301" s="86">
        <v>0.98599999999999999</v>
      </c>
      <c r="U301" s="86">
        <v>0.98599999999999999</v>
      </c>
      <c r="V301" s="86">
        <v>0.98599999999999999</v>
      </c>
      <c r="W301" s="86">
        <v>0.98599999999999999</v>
      </c>
      <c r="X301" s="86">
        <v>0.98599999999999999</v>
      </c>
      <c r="Y301" s="86">
        <v>0.98599999999999999</v>
      </c>
      <c r="Z301" s="86">
        <v>0.98599999999999999</v>
      </c>
      <c r="AA301" s="86">
        <v>0.98599999999999999</v>
      </c>
      <c r="AB301" s="86">
        <v>0.98599999999999999</v>
      </c>
      <c r="AC301" s="86">
        <v>0.98599999999999999</v>
      </c>
      <c r="AD301" s="86">
        <v>0.98599999999999999</v>
      </c>
      <c r="AE301" s="86">
        <v>0.98599999999999999</v>
      </c>
      <c r="AF301" s="86">
        <v>0.98599999999999999</v>
      </c>
      <c r="AG301" s="86"/>
      <c r="AH301" s="86"/>
      <c r="AI301" s="86"/>
      <c r="AJ301" s="86"/>
      <c r="AK301" s="86"/>
      <c r="AL301" s="86"/>
      <c r="AM301" s="86"/>
      <c r="AN301" s="86"/>
      <c r="AO301" s="86"/>
      <c r="AP301" s="86"/>
      <c r="AQ301" s="86"/>
      <c r="AR301" s="86"/>
      <c r="AS301" s="86"/>
      <c r="AT301" s="86"/>
    </row>
    <row r="302" spans="1:46" x14ac:dyDescent="0.3">
      <c r="A302" s="86" t="s">
        <v>799</v>
      </c>
      <c r="B302" s="86">
        <v>1</v>
      </c>
      <c r="C302" s="86">
        <v>1</v>
      </c>
      <c r="D302" s="86">
        <v>1</v>
      </c>
      <c r="E302" s="86">
        <v>1</v>
      </c>
      <c r="F302" s="86">
        <v>1</v>
      </c>
      <c r="G302" s="86">
        <v>1</v>
      </c>
      <c r="H302" s="86">
        <v>1</v>
      </c>
      <c r="I302" s="86">
        <v>1</v>
      </c>
      <c r="J302" s="86">
        <v>1</v>
      </c>
      <c r="K302" s="86">
        <v>1</v>
      </c>
      <c r="L302" s="86">
        <v>1</v>
      </c>
      <c r="M302" s="86">
        <v>1</v>
      </c>
      <c r="N302" s="86">
        <v>1</v>
      </c>
      <c r="O302" s="86">
        <v>1</v>
      </c>
      <c r="P302" s="86">
        <v>1</v>
      </c>
      <c r="Q302" s="86">
        <v>1</v>
      </c>
      <c r="R302" s="86">
        <v>1</v>
      </c>
      <c r="S302" s="86">
        <v>1</v>
      </c>
      <c r="T302" s="86">
        <v>1</v>
      </c>
      <c r="U302" s="86">
        <v>1</v>
      </c>
      <c r="V302" s="86">
        <v>1</v>
      </c>
      <c r="W302" s="86">
        <v>1</v>
      </c>
      <c r="X302" s="86">
        <v>1</v>
      </c>
      <c r="Y302" s="86">
        <v>1</v>
      </c>
      <c r="Z302" s="86">
        <v>1</v>
      </c>
      <c r="AA302" s="86">
        <v>1</v>
      </c>
      <c r="AB302" s="86">
        <v>1</v>
      </c>
      <c r="AC302" s="86">
        <v>1</v>
      </c>
      <c r="AD302" s="86">
        <v>1</v>
      </c>
      <c r="AE302" s="86">
        <v>1</v>
      </c>
      <c r="AF302" s="86">
        <v>1</v>
      </c>
      <c r="AG302" s="86"/>
      <c r="AH302" s="86"/>
      <c r="AI302" s="86"/>
      <c r="AJ302" s="86"/>
      <c r="AK302" s="86"/>
      <c r="AL302" s="86"/>
      <c r="AM302" s="86"/>
      <c r="AN302" s="86"/>
      <c r="AO302" s="86"/>
      <c r="AP302" s="86"/>
      <c r="AQ302" s="86"/>
      <c r="AR302" s="86"/>
      <c r="AS302" s="86"/>
      <c r="AT302" s="86"/>
    </row>
    <row r="303" spans="1:46" x14ac:dyDescent="0.3">
      <c r="A303" s="86" t="s">
        <v>800</v>
      </c>
      <c r="B303" s="86">
        <v>0.996</v>
      </c>
      <c r="C303" s="86">
        <v>0.996</v>
      </c>
      <c r="D303" s="86">
        <v>0.996</v>
      </c>
      <c r="E303" s="86">
        <v>0.996</v>
      </c>
      <c r="F303" s="86">
        <v>0.996</v>
      </c>
      <c r="G303" s="86">
        <v>0.996</v>
      </c>
      <c r="H303" s="86">
        <v>0.996</v>
      </c>
      <c r="I303" s="86">
        <v>0.996</v>
      </c>
      <c r="J303" s="86">
        <v>0.996</v>
      </c>
      <c r="K303" s="86">
        <v>0.996</v>
      </c>
      <c r="L303" s="86">
        <v>0.996</v>
      </c>
      <c r="M303" s="86">
        <v>0.996</v>
      </c>
      <c r="N303" s="86">
        <v>0.996</v>
      </c>
      <c r="O303" s="86">
        <v>0.996</v>
      </c>
      <c r="P303" s="86">
        <v>0.996</v>
      </c>
      <c r="Q303" s="86">
        <v>0.996</v>
      </c>
      <c r="R303" s="86">
        <v>0.996</v>
      </c>
      <c r="S303" s="86">
        <v>0.996</v>
      </c>
      <c r="T303" s="86">
        <v>0.996</v>
      </c>
      <c r="U303" s="86">
        <v>0.996</v>
      </c>
      <c r="V303" s="86">
        <v>0.996</v>
      </c>
      <c r="W303" s="86">
        <v>0.996</v>
      </c>
      <c r="X303" s="86">
        <v>0.996</v>
      </c>
      <c r="Y303" s="86">
        <v>0.996</v>
      </c>
      <c r="Z303" s="86">
        <v>0.996</v>
      </c>
      <c r="AA303" s="86">
        <v>0.996</v>
      </c>
      <c r="AB303" s="86">
        <v>0.996</v>
      </c>
      <c r="AC303" s="86">
        <v>0.996</v>
      </c>
      <c r="AD303" s="86">
        <v>0.996</v>
      </c>
      <c r="AE303" s="86">
        <v>0.996</v>
      </c>
      <c r="AF303" s="86">
        <v>0.996</v>
      </c>
      <c r="AG303" s="86"/>
      <c r="AH303" s="86"/>
      <c r="AI303" s="86"/>
      <c r="AJ303" s="86"/>
      <c r="AK303" s="86"/>
      <c r="AL303" s="86"/>
      <c r="AM303" s="86"/>
      <c r="AN303" s="86"/>
      <c r="AO303" s="86"/>
      <c r="AP303" s="86"/>
      <c r="AQ303" s="86"/>
      <c r="AR303" s="86"/>
      <c r="AS303" s="86"/>
      <c r="AT303" s="86"/>
    </row>
    <row r="304" spans="1:46" x14ac:dyDescent="0.3">
      <c r="A304" s="86" t="s">
        <v>801</v>
      </c>
      <c r="B304" s="86">
        <v>0.999</v>
      </c>
      <c r="C304" s="86">
        <v>0.999</v>
      </c>
      <c r="D304" s="86">
        <v>0.999</v>
      </c>
      <c r="E304" s="86">
        <v>0.999</v>
      </c>
      <c r="F304" s="86">
        <v>0.999</v>
      </c>
      <c r="G304" s="86">
        <v>0.999</v>
      </c>
      <c r="H304" s="86">
        <v>0.999</v>
      </c>
      <c r="I304" s="86">
        <v>0.999</v>
      </c>
      <c r="J304" s="86">
        <v>0.999</v>
      </c>
      <c r="K304" s="86">
        <v>0.999</v>
      </c>
      <c r="L304" s="86">
        <v>0.999</v>
      </c>
      <c r="M304" s="86">
        <v>0.999</v>
      </c>
      <c r="N304" s="86">
        <v>0.999</v>
      </c>
      <c r="O304" s="86">
        <v>0.999</v>
      </c>
      <c r="P304" s="86">
        <v>0.999</v>
      </c>
      <c r="Q304" s="86">
        <v>0.999</v>
      </c>
      <c r="R304" s="86">
        <v>0.999</v>
      </c>
      <c r="S304" s="86">
        <v>0.999</v>
      </c>
      <c r="T304" s="86">
        <v>0.999</v>
      </c>
      <c r="U304" s="86">
        <v>0.999</v>
      </c>
      <c r="V304" s="86">
        <v>0.999</v>
      </c>
      <c r="W304" s="86">
        <v>0.999</v>
      </c>
      <c r="X304" s="86">
        <v>0.999</v>
      </c>
      <c r="Y304" s="86">
        <v>0.999</v>
      </c>
      <c r="Z304" s="86">
        <v>0.999</v>
      </c>
      <c r="AA304" s="86">
        <v>0.999</v>
      </c>
      <c r="AB304" s="86">
        <v>0.999</v>
      </c>
      <c r="AC304" s="86">
        <v>0.999</v>
      </c>
      <c r="AD304" s="86">
        <v>0.999</v>
      </c>
      <c r="AE304" s="86">
        <v>0.999</v>
      </c>
      <c r="AF304" s="86">
        <v>0.999</v>
      </c>
      <c r="AG304" s="86"/>
      <c r="AH304" s="86"/>
      <c r="AI304" s="86"/>
      <c r="AJ304" s="86"/>
      <c r="AK304" s="86"/>
      <c r="AL304" s="86"/>
      <c r="AM304" s="86"/>
      <c r="AN304" s="86"/>
      <c r="AO304" s="86"/>
      <c r="AP304" s="86"/>
      <c r="AQ304" s="86"/>
      <c r="AR304" s="86"/>
      <c r="AS304" s="86"/>
      <c r="AT304" s="86"/>
    </row>
    <row r="305" spans="1:46" x14ac:dyDescent="0.3">
      <c r="A305" s="86" t="s">
        <v>802</v>
      </c>
      <c r="B305" s="86">
        <v>0.93300000000000005</v>
      </c>
      <c r="C305" s="86">
        <v>0.93300000000000005</v>
      </c>
      <c r="D305" s="86">
        <v>0.93300000000000005</v>
      </c>
      <c r="E305" s="86">
        <v>0.93300000000000005</v>
      </c>
      <c r="F305" s="86">
        <v>0.93300000000000005</v>
      </c>
      <c r="G305" s="86">
        <v>0.93300000000000005</v>
      </c>
      <c r="H305" s="86">
        <v>0.93300000000000005</v>
      </c>
      <c r="I305" s="86">
        <v>0.93300000000000005</v>
      </c>
      <c r="J305" s="86">
        <v>0.93300000000000005</v>
      </c>
      <c r="K305" s="86">
        <v>0.93300000000000005</v>
      </c>
      <c r="L305" s="86">
        <v>0.93300000000000005</v>
      </c>
      <c r="M305" s="86">
        <v>0.93300000000000005</v>
      </c>
      <c r="N305" s="86">
        <v>0.93300000000000005</v>
      </c>
      <c r="O305" s="86">
        <v>0.93300000000000005</v>
      </c>
      <c r="P305" s="86">
        <v>0.93300000000000005</v>
      </c>
      <c r="Q305" s="86">
        <v>0.93300000000000005</v>
      </c>
      <c r="R305" s="86">
        <v>0.93300000000000005</v>
      </c>
      <c r="S305" s="86">
        <v>0.93300000000000005</v>
      </c>
      <c r="T305" s="86">
        <v>0.93300000000000005</v>
      </c>
      <c r="U305" s="86">
        <v>0.93300000000000005</v>
      </c>
      <c r="V305" s="86">
        <v>0.93300000000000005</v>
      </c>
      <c r="W305" s="86">
        <v>0.93300000000000005</v>
      </c>
      <c r="X305" s="86">
        <v>0.93300000000000005</v>
      </c>
      <c r="Y305" s="86">
        <v>0.93300000000000005</v>
      </c>
      <c r="Z305" s="86">
        <v>0.93300000000000005</v>
      </c>
      <c r="AA305" s="86">
        <v>0.93300000000000005</v>
      </c>
      <c r="AB305" s="86">
        <v>0.93300000000000005</v>
      </c>
      <c r="AC305" s="86">
        <v>0.93300000000000005</v>
      </c>
      <c r="AD305" s="86">
        <v>0.93300000000000005</v>
      </c>
      <c r="AE305" s="86">
        <v>0.93300000000000005</v>
      </c>
      <c r="AF305" s="86">
        <v>0.93300000000000005</v>
      </c>
      <c r="AG305" s="86"/>
      <c r="AH305" s="86"/>
      <c r="AI305" s="86"/>
      <c r="AJ305" s="86"/>
      <c r="AK305" s="86"/>
      <c r="AL305" s="86"/>
      <c r="AM305" s="86"/>
      <c r="AN305" s="86"/>
      <c r="AO305" s="86"/>
      <c r="AP305" s="86"/>
      <c r="AQ305" s="86"/>
      <c r="AR305" s="86"/>
      <c r="AS305" s="86"/>
      <c r="AT305" s="86"/>
    </row>
    <row r="306" spans="1:46" x14ac:dyDescent="0.3">
      <c r="A306" s="86" t="s">
        <v>803</v>
      </c>
      <c r="B306" s="86">
        <v>0.88300000000000001</v>
      </c>
      <c r="C306" s="86">
        <v>0.88300000000000001</v>
      </c>
      <c r="D306" s="86">
        <v>0.88300000000000001</v>
      </c>
      <c r="E306" s="86">
        <v>0.88300000000000001</v>
      </c>
      <c r="F306" s="86">
        <v>0.88300000000000001</v>
      </c>
      <c r="G306" s="86">
        <v>0.88300000000000001</v>
      </c>
      <c r="H306" s="86">
        <v>0.88300000000000001</v>
      </c>
      <c r="I306" s="86">
        <v>0.88300000000000001</v>
      </c>
      <c r="J306" s="86">
        <v>0.88300000000000001</v>
      </c>
      <c r="K306" s="86">
        <v>0.88300000000000001</v>
      </c>
      <c r="L306" s="86">
        <v>0.88300000000000001</v>
      </c>
      <c r="M306" s="86">
        <v>0.88300000000000001</v>
      </c>
      <c r="N306" s="86">
        <v>0.88300000000000001</v>
      </c>
      <c r="O306" s="86">
        <v>0.88300000000000001</v>
      </c>
      <c r="P306" s="86">
        <v>0.88300000000000001</v>
      </c>
      <c r="Q306" s="86">
        <v>0.88300000000000001</v>
      </c>
      <c r="R306" s="86">
        <v>0.88300000000000001</v>
      </c>
      <c r="S306" s="86">
        <v>0.88300000000000001</v>
      </c>
      <c r="T306" s="86">
        <v>0.88300000000000001</v>
      </c>
      <c r="U306" s="86">
        <v>0.88300000000000001</v>
      </c>
      <c r="V306" s="86">
        <v>0.88300000000000001</v>
      </c>
      <c r="W306" s="86">
        <v>0.88300000000000001</v>
      </c>
      <c r="X306" s="86">
        <v>0.88300000000000001</v>
      </c>
      <c r="Y306" s="86">
        <v>0.88300000000000001</v>
      </c>
      <c r="Z306" s="86">
        <v>0.88300000000000001</v>
      </c>
      <c r="AA306" s="86">
        <v>0.88300000000000001</v>
      </c>
      <c r="AB306" s="86">
        <v>0.88300000000000001</v>
      </c>
      <c r="AC306" s="86">
        <v>0.88300000000000001</v>
      </c>
      <c r="AD306" s="86">
        <v>0.88300000000000001</v>
      </c>
      <c r="AE306" s="86">
        <v>0.88300000000000001</v>
      </c>
      <c r="AF306" s="86">
        <v>0.88300000000000001</v>
      </c>
      <c r="AG306" s="86"/>
      <c r="AH306" s="86"/>
      <c r="AI306" s="86"/>
      <c r="AJ306" s="86"/>
      <c r="AK306" s="86"/>
      <c r="AL306" s="86"/>
      <c r="AM306" s="86"/>
      <c r="AN306" s="86"/>
      <c r="AO306" s="86"/>
      <c r="AP306" s="86"/>
      <c r="AQ306" s="86"/>
      <c r="AR306" s="86"/>
      <c r="AS306" s="86"/>
      <c r="AT306" s="86"/>
    </row>
    <row r="307" spans="1:46" x14ac:dyDescent="0.3">
      <c r="A307" s="86" t="s">
        <v>804</v>
      </c>
      <c r="B307" s="86">
        <v>0.89900000000000002</v>
      </c>
      <c r="C307" s="86">
        <v>0.89900000000000002</v>
      </c>
      <c r="D307" s="86">
        <v>0.89900000000000002</v>
      </c>
      <c r="E307" s="86">
        <v>0.89900000000000002</v>
      </c>
      <c r="F307" s="86">
        <v>0.89900000000000002</v>
      </c>
      <c r="G307" s="86">
        <v>0.89900000000000002</v>
      </c>
      <c r="H307" s="86">
        <v>0.89900000000000002</v>
      </c>
      <c r="I307" s="86">
        <v>0.89900000000000002</v>
      </c>
      <c r="J307" s="86">
        <v>0.89900000000000002</v>
      </c>
      <c r="K307" s="86">
        <v>0.89900000000000002</v>
      </c>
      <c r="L307" s="86">
        <v>0.89900000000000002</v>
      </c>
      <c r="M307" s="86">
        <v>0.89900000000000002</v>
      </c>
      <c r="N307" s="86">
        <v>0.89900000000000002</v>
      </c>
      <c r="O307" s="86">
        <v>0.89900000000000002</v>
      </c>
      <c r="P307" s="86">
        <v>0.89900000000000002</v>
      </c>
      <c r="Q307" s="86">
        <v>0.89900000000000002</v>
      </c>
      <c r="R307" s="86">
        <v>0.89900000000000002</v>
      </c>
      <c r="S307" s="86">
        <v>0.89900000000000002</v>
      </c>
      <c r="T307" s="86">
        <v>0.89900000000000002</v>
      </c>
      <c r="U307" s="86">
        <v>0.89900000000000002</v>
      </c>
      <c r="V307" s="86">
        <v>0.89900000000000002</v>
      </c>
      <c r="W307" s="86">
        <v>0.89900000000000002</v>
      </c>
      <c r="X307" s="86">
        <v>0.89900000000000002</v>
      </c>
      <c r="Y307" s="86">
        <v>0.89900000000000002</v>
      </c>
      <c r="Z307" s="86">
        <v>0.89900000000000002</v>
      </c>
      <c r="AA307" s="86">
        <v>0.89900000000000002</v>
      </c>
      <c r="AB307" s="86">
        <v>0.89900000000000002</v>
      </c>
      <c r="AC307" s="86">
        <v>0.89900000000000002</v>
      </c>
      <c r="AD307" s="86">
        <v>0.89900000000000002</v>
      </c>
      <c r="AE307" s="86">
        <v>0.89900000000000002</v>
      </c>
      <c r="AF307" s="86">
        <v>0.89900000000000002</v>
      </c>
      <c r="AG307" s="86"/>
      <c r="AH307" s="86"/>
      <c r="AI307" s="86"/>
      <c r="AJ307" s="86"/>
      <c r="AK307" s="86"/>
      <c r="AL307" s="86"/>
      <c r="AM307" s="86"/>
      <c r="AN307" s="86"/>
      <c r="AO307" s="86"/>
      <c r="AP307" s="86"/>
      <c r="AQ307" s="86"/>
      <c r="AR307" s="86"/>
      <c r="AS307" s="86"/>
      <c r="AT307" s="86"/>
    </row>
    <row r="308" spans="1:46" x14ac:dyDescent="0.3">
      <c r="A308" s="86" t="s">
        <v>805</v>
      </c>
      <c r="B308" s="86">
        <v>0.98</v>
      </c>
      <c r="C308" s="86">
        <v>0.98</v>
      </c>
      <c r="D308" s="86">
        <v>0.98</v>
      </c>
      <c r="E308" s="86">
        <v>0.98</v>
      </c>
      <c r="F308" s="86">
        <v>0.98</v>
      </c>
      <c r="G308" s="86">
        <v>0.98</v>
      </c>
      <c r="H308" s="86">
        <v>0.98</v>
      </c>
      <c r="I308" s="86">
        <v>0.98</v>
      </c>
      <c r="J308" s="86">
        <v>0.98</v>
      </c>
      <c r="K308" s="86">
        <v>0.98</v>
      </c>
      <c r="L308" s="86">
        <v>0.98</v>
      </c>
      <c r="M308" s="86">
        <v>0.98</v>
      </c>
      <c r="N308" s="86">
        <v>0.98</v>
      </c>
      <c r="O308" s="86">
        <v>0.98</v>
      </c>
      <c r="P308" s="86">
        <v>0.98</v>
      </c>
      <c r="Q308" s="86">
        <v>0.98</v>
      </c>
      <c r="R308" s="86">
        <v>0.98</v>
      </c>
      <c r="S308" s="86">
        <v>0.98</v>
      </c>
      <c r="T308" s="86">
        <v>0.98</v>
      </c>
      <c r="U308" s="86">
        <v>0.98</v>
      </c>
      <c r="V308" s="86">
        <v>0.98</v>
      </c>
      <c r="W308" s="86">
        <v>0.98</v>
      </c>
      <c r="X308" s="86">
        <v>0.98</v>
      </c>
      <c r="Y308" s="86">
        <v>0.98</v>
      </c>
      <c r="Z308" s="86">
        <v>0.98</v>
      </c>
      <c r="AA308" s="86">
        <v>0.98</v>
      </c>
      <c r="AB308" s="86">
        <v>0.98</v>
      </c>
      <c r="AC308" s="86">
        <v>0.98</v>
      </c>
      <c r="AD308" s="86">
        <v>0.98</v>
      </c>
      <c r="AE308" s="86">
        <v>0.98</v>
      </c>
      <c r="AF308" s="86">
        <v>0.98</v>
      </c>
      <c r="AG308" s="86"/>
      <c r="AH308" s="86"/>
      <c r="AI308" s="86"/>
      <c r="AJ308" s="86"/>
      <c r="AK308" s="86"/>
      <c r="AL308" s="86"/>
      <c r="AM308" s="86"/>
      <c r="AN308" s="86"/>
      <c r="AO308" s="86"/>
      <c r="AP308" s="86"/>
      <c r="AQ308" s="86"/>
      <c r="AR308" s="86"/>
      <c r="AS308" s="86"/>
      <c r="AT308" s="86"/>
    </row>
    <row r="309" spans="1:46" x14ac:dyDescent="0.3">
      <c r="A309" s="86" t="s">
        <v>806</v>
      </c>
      <c r="B309" s="86">
        <v>0.99</v>
      </c>
      <c r="C309" s="86">
        <v>0.99</v>
      </c>
      <c r="D309" s="86">
        <v>0.99</v>
      </c>
      <c r="E309" s="86">
        <v>0.99</v>
      </c>
      <c r="F309" s="86">
        <v>0.99</v>
      </c>
      <c r="G309" s="86">
        <v>0.99</v>
      </c>
      <c r="H309" s="86">
        <v>0.99</v>
      </c>
      <c r="I309" s="86">
        <v>0.99</v>
      </c>
      <c r="J309" s="86">
        <v>0.99</v>
      </c>
      <c r="K309" s="86">
        <v>0.99</v>
      </c>
      <c r="L309" s="86">
        <v>0.99</v>
      </c>
      <c r="M309" s="86">
        <v>0.99</v>
      </c>
      <c r="N309" s="86">
        <v>0.99</v>
      </c>
      <c r="O309" s="86">
        <v>0.99</v>
      </c>
      <c r="P309" s="86">
        <v>0.99</v>
      </c>
      <c r="Q309" s="86">
        <v>0.99</v>
      </c>
      <c r="R309" s="86">
        <v>0.99</v>
      </c>
      <c r="S309" s="86">
        <v>0.99</v>
      </c>
      <c r="T309" s="86">
        <v>0.99</v>
      </c>
      <c r="U309" s="86">
        <v>0.99</v>
      </c>
      <c r="V309" s="86">
        <v>0.99</v>
      </c>
      <c r="W309" s="86">
        <v>0.99</v>
      </c>
      <c r="X309" s="86">
        <v>0.99</v>
      </c>
      <c r="Y309" s="86">
        <v>0.99</v>
      </c>
      <c r="Z309" s="86">
        <v>0.99</v>
      </c>
      <c r="AA309" s="86">
        <v>0.99</v>
      </c>
      <c r="AB309" s="86">
        <v>0.99</v>
      </c>
      <c r="AC309" s="86">
        <v>0.99</v>
      </c>
      <c r="AD309" s="86">
        <v>0.99</v>
      </c>
      <c r="AE309" s="86">
        <v>0.99</v>
      </c>
      <c r="AF309" s="86">
        <v>0.99</v>
      </c>
      <c r="AG309" s="86"/>
      <c r="AH309" s="86"/>
      <c r="AI309" s="86"/>
      <c r="AJ309" s="86"/>
      <c r="AK309" s="86"/>
      <c r="AL309" s="86"/>
      <c r="AM309" s="86"/>
      <c r="AN309" s="86"/>
      <c r="AO309" s="86"/>
      <c r="AP309" s="86"/>
      <c r="AQ309" s="86"/>
      <c r="AR309" s="86"/>
      <c r="AS309" s="86"/>
      <c r="AT309" s="86"/>
    </row>
    <row r="310" spans="1:46" x14ac:dyDescent="0.3">
      <c r="A310" s="86" t="s">
        <v>807</v>
      </c>
      <c r="B310" s="86">
        <v>0.90200000000000002</v>
      </c>
      <c r="C310" s="86">
        <v>0.90200000000000002</v>
      </c>
      <c r="D310" s="86">
        <v>0.90200000000000002</v>
      </c>
      <c r="E310" s="86">
        <v>0.90200000000000002</v>
      </c>
      <c r="F310" s="86">
        <v>0.90200000000000002</v>
      </c>
      <c r="G310" s="86">
        <v>0.90200000000000002</v>
      </c>
      <c r="H310" s="86">
        <v>0.90200000000000002</v>
      </c>
      <c r="I310" s="86">
        <v>0.90200000000000002</v>
      </c>
      <c r="J310" s="86">
        <v>0.90200000000000002</v>
      </c>
      <c r="K310" s="86">
        <v>0.90200000000000002</v>
      </c>
      <c r="L310" s="86">
        <v>0.90200000000000002</v>
      </c>
      <c r="M310" s="86">
        <v>0.90200000000000002</v>
      </c>
      <c r="N310" s="86">
        <v>0.90200000000000002</v>
      </c>
      <c r="O310" s="86">
        <v>0.90200000000000002</v>
      </c>
      <c r="P310" s="86">
        <v>0.90200000000000002</v>
      </c>
      <c r="Q310" s="86">
        <v>0.90200000000000002</v>
      </c>
      <c r="R310" s="86">
        <v>0.90200000000000002</v>
      </c>
      <c r="S310" s="86">
        <v>0.90200000000000002</v>
      </c>
      <c r="T310" s="86">
        <v>0.90200000000000002</v>
      </c>
      <c r="U310" s="86">
        <v>0.90200000000000002</v>
      </c>
      <c r="V310" s="86">
        <v>0.90200000000000002</v>
      </c>
      <c r="W310" s="86">
        <v>0.90200000000000002</v>
      </c>
      <c r="X310" s="86">
        <v>0.90200000000000002</v>
      </c>
      <c r="Y310" s="86">
        <v>0.90200000000000002</v>
      </c>
      <c r="Z310" s="86">
        <v>0.90200000000000002</v>
      </c>
      <c r="AA310" s="86">
        <v>0.90200000000000002</v>
      </c>
      <c r="AB310" s="86">
        <v>0.90200000000000002</v>
      </c>
      <c r="AC310" s="86">
        <v>0.90200000000000002</v>
      </c>
      <c r="AD310" s="86">
        <v>0.90200000000000002</v>
      </c>
      <c r="AE310" s="86">
        <v>0.90200000000000002</v>
      </c>
      <c r="AF310" s="86">
        <v>0.90200000000000002</v>
      </c>
      <c r="AG310" s="86"/>
      <c r="AH310" s="86"/>
      <c r="AI310" s="86"/>
      <c r="AJ310" s="86"/>
      <c r="AK310" s="86"/>
      <c r="AL310" s="86"/>
      <c r="AM310" s="86"/>
      <c r="AN310" s="86"/>
      <c r="AO310" s="86"/>
      <c r="AP310" s="86"/>
      <c r="AQ310" s="86"/>
      <c r="AR310" s="86"/>
      <c r="AS310" s="86"/>
      <c r="AT310" s="86"/>
    </row>
    <row r="311" spans="1:46" x14ac:dyDescent="0.3">
      <c r="A311" s="86" t="s">
        <v>808</v>
      </c>
      <c r="B311" s="86">
        <v>0.97399999999999998</v>
      </c>
      <c r="C311" s="86">
        <v>0.97399999999999998</v>
      </c>
      <c r="D311" s="86">
        <v>0.97399999999999998</v>
      </c>
      <c r="E311" s="86">
        <v>0.97399999999999998</v>
      </c>
      <c r="F311" s="86">
        <v>0.97399999999999998</v>
      </c>
      <c r="G311" s="86">
        <v>0.97399999999999998</v>
      </c>
      <c r="H311" s="86">
        <v>0.97399999999999998</v>
      </c>
      <c r="I311" s="86">
        <v>0.97399999999999998</v>
      </c>
      <c r="J311" s="86">
        <v>0.97399999999999998</v>
      </c>
      <c r="K311" s="86">
        <v>0.97399999999999998</v>
      </c>
      <c r="L311" s="86">
        <v>0.97399999999999998</v>
      </c>
      <c r="M311" s="86">
        <v>0.97399999999999998</v>
      </c>
      <c r="N311" s="86">
        <v>0.97399999999999998</v>
      </c>
      <c r="O311" s="86">
        <v>0.97399999999999998</v>
      </c>
      <c r="P311" s="86">
        <v>0.97399999999999998</v>
      </c>
      <c r="Q311" s="86">
        <v>0.97399999999999998</v>
      </c>
      <c r="R311" s="86">
        <v>0.97399999999999998</v>
      </c>
      <c r="S311" s="86">
        <v>0.97399999999999998</v>
      </c>
      <c r="T311" s="86">
        <v>0.97399999999999998</v>
      </c>
      <c r="U311" s="86">
        <v>0.97399999999999998</v>
      </c>
      <c r="V311" s="86">
        <v>0.97399999999999998</v>
      </c>
      <c r="W311" s="86">
        <v>0.97399999999999998</v>
      </c>
      <c r="X311" s="86">
        <v>0.97399999999999998</v>
      </c>
      <c r="Y311" s="86">
        <v>0.97399999999999998</v>
      </c>
      <c r="Z311" s="86">
        <v>0.97399999999999998</v>
      </c>
      <c r="AA311" s="86">
        <v>0.97399999999999998</v>
      </c>
      <c r="AB311" s="86">
        <v>0.97399999999999998</v>
      </c>
      <c r="AC311" s="86">
        <v>0.97399999999999998</v>
      </c>
      <c r="AD311" s="86">
        <v>0.97399999999999998</v>
      </c>
      <c r="AE311" s="86">
        <v>0.97399999999999998</v>
      </c>
      <c r="AF311" s="86">
        <v>0.97399999999999998</v>
      </c>
      <c r="AG311" s="86"/>
      <c r="AH311" s="86"/>
      <c r="AI311" s="86"/>
      <c r="AJ311" s="86"/>
      <c r="AK311" s="86"/>
      <c r="AL311" s="86"/>
      <c r="AM311" s="86"/>
      <c r="AN311" s="86"/>
      <c r="AO311" s="86"/>
      <c r="AP311" s="86"/>
      <c r="AQ311" s="86"/>
      <c r="AR311" s="86"/>
      <c r="AS311" s="86"/>
      <c r="AT311" s="86"/>
    </row>
    <row r="312" spans="1:46" x14ac:dyDescent="0.3">
      <c r="A312" s="86" t="s">
        <v>809</v>
      </c>
      <c r="B312" s="86">
        <v>0.99399999999999999</v>
      </c>
      <c r="C312" s="86">
        <v>0.99399999999999999</v>
      </c>
      <c r="D312" s="86">
        <v>0.99399999999999999</v>
      </c>
      <c r="E312" s="86">
        <v>0.99399999999999999</v>
      </c>
      <c r="F312" s="86">
        <v>0.99399999999999999</v>
      </c>
      <c r="G312" s="86">
        <v>0.99399999999999999</v>
      </c>
      <c r="H312" s="86">
        <v>0.99399999999999999</v>
      </c>
      <c r="I312" s="86">
        <v>0.99399999999999999</v>
      </c>
      <c r="J312" s="86">
        <v>0.99399999999999999</v>
      </c>
      <c r="K312" s="86">
        <v>0.99399999999999999</v>
      </c>
      <c r="L312" s="86">
        <v>0.99399999999999999</v>
      </c>
      <c r="M312" s="86">
        <v>0.99399999999999999</v>
      </c>
      <c r="N312" s="86">
        <v>0.99399999999999999</v>
      </c>
      <c r="O312" s="86">
        <v>0.99399999999999999</v>
      </c>
      <c r="P312" s="86">
        <v>0.99399999999999999</v>
      </c>
      <c r="Q312" s="86">
        <v>0.99399999999999999</v>
      </c>
      <c r="R312" s="86">
        <v>0.99399999999999999</v>
      </c>
      <c r="S312" s="86">
        <v>0.99399999999999999</v>
      </c>
      <c r="T312" s="86">
        <v>0.99399999999999999</v>
      </c>
      <c r="U312" s="86">
        <v>0.99399999999999999</v>
      </c>
      <c r="V312" s="86">
        <v>0.99399999999999999</v>
      </c>
      <c r="W312" s="86">
        <v>0.99399999999999999</v>
      </c>
      <c r="X312" s="86">
        <v>0.99399999999999999</v>
      </c>
      <c r="Y312" s="86">
        <v>0.99399999999999999</v>
      </c>
      <c r="Z312" s="86">
        <v>0.99399999999999999</v>
      </c>
      <c r="AA312" s="86">
        <v>0.99399999999999999</v>
      </c>
      <c r="AB312" s="86">
        <v>0.99399999999999999</v>
      </c>
      <c r="AC312" s="86">
        <v>0.99399999999999999</v>
      </c>
      <c r="AD312" s="86">
        <v>0.99399999999999999</v>
      </c>
      <c r="AE312" s="86">
        <v>0.99399999999999999</v>
      </c>
      <c r="AF312" s="86">
        <v>0.99399999999999999</v>
      </c>
      <c r="AG312" s="86"/>
      <c r="AH312" s="86"/>
      <c r="AI312" s="86"/>
      <c r="AJ312" s="86"/>
      <c r="AK312" s="86"/>
      <c r="AL312" s="86"/>
      <c r="AM312" s="86"/>
      <c r="AN312" s="86"/>
      <c r="AO312" s="86"/>
      <c r="AP312" s="86"/>
      <c r="AQ312" s="86"/>
      <c r="AR312" s="86"/>
      <c r="AS312" s="86"/>
      <c r="AT312" s="86"/>
    </row>
    <row r="313" spans="1:46" x14ac:dyDescent="0.3">
      <c r="A313" s="86" t="s">
        <v>810</v>
      </c>
      <c r="B313" s="86">
        <v>0.95899999999999996</v>
      </c>
      <c r="C313" s="86">
        <v>0.95899999999999996</v>
      </c>
      <c r="D313" s="86">
        <v>0.95899999999999996</v>
      </c>
      <c r="E313" s="86">
        <v>0.95899999999999996</v>
      </c>
      <c r="F313" s="86">
        <v>0.95899999999999996</v>
      </c>
      <c r="G313" s="86">
        <v>0.95899999999999996</v>
      </c>
      <c r="H313" s="86">
        <v>0.95899999999999996</v>
      </c>
      <c r="I313" s="86">
        <v>0.95899999999999996</v>
      </c>
      <c r="J313" s="86">
        <v>0.95899999999999996</v>
      </c>
      <c r="K313" s="86">
        <v>0.95899999999999996</v>
      </c>
      <c r="L313" s="86">
        <v>0.95899999999999996</v>
      </c>
      <c r="M313" s="86">
        <v>0.95899999999999996</v>
      </c>
      <c r="N313" s="86">
        <v>0.95899999999999996</v>
      </c>
      <c r="O313" s="86">
        <v>0.95899999999999996</v>
      </c>
      <c r="P313" s="86">
        <v>0.95899999999999996</v>
      </c>
      <c r="Q313" s="86">
        <v>0.95899999999999996</v>
      </c>
      <c r="R313" s="86">
        <v>0.95899999999999996</v>
      </c>
      <c r="S313" s="86">
        <v>0.95899999999999996</v>
      </c>
      <c r="T313" s="86">
        <v>0.95899999999999996</v>
      </c>
      <c r="U313" s="86">
        <v>0.95899999999999996</v>
      </c>
      <c r="V313" s="86">
        <v>0.95899999999999996</v>
      </c>
      <c r="W313" s="86">
        <v>0.95899999999999996</v>
      </c>
      <c r="X313" s="86">
        <v>0.95899999999999996</v>
      </c>
      <c r="Y313" s="86">
        <v>0.95899999999999996</v>
      </c>
      <c r="Z313" s="86">
        <v>0.95899999999999996</v>
      </c>
      <c r="AA313" s="86">
        <v>0.95899999999999996</v>
      </c>
      <c r="AB313" s="86">
        <v>0.95899999999999996</v>
      </c>
      <c r="AC313" s="86">
        <v>0.95899999999999996</v>
      </c>
      <c r="AD313" s="86">
        <v>0.95899999999999996</v>
      </c>
      <c r="AE313" s="86">
        <v>0.95899999999999996</v>
      </c>
      <c r="AF313" s="86">
        <v>0.95899999999999996</v>
      </c>
      <c r="AG313" s="86"/>
      <c r="AH313" s="86"/>
      <c r="AI313" s="86"/>
      <c r="AJ313" s="86"/>
      <c r="AK313" s="86"/>
      <c r="AL313" s="86"/>
      <c r="AM313" s="86"/>
      <c r="AN313" s="86"/>
      <c r="AO313" s="86"/>
      <c r="AP313" s="86"/>
      <c r="AQ313" s="86"/>
      <c r="AR313" s="86"/>
      <c r="AS313" s="86"/>
      <c r="AT313" s="86"/>
    </row>
    <row r="314" spans="1:46" x14ac:dyDescent="0.3">
      <c r="A314" s="86" t="s">
        <v>811</v>
      </c>
      <c r="B314" s="86">
        <v>0.999</v>
      </c>
      <c r="C314" s="86">
        <v>0.999</v>
      </c>
      <c r="D314" s="86">
        <v>0.999</v>
      </c>
      <c r="E314" s="86">
        <v>0.999</v>
      </c>
      <c r="F314" s="86">
        <v>0.999</v>
      </c>
      <c r="G314" s="86">
        <v>0.999</v>
      </c>
      <c r="H314" s="86">
        <v>0.999</v>
      </c>
      <c r="I314" s="86">
        <v>0.999</v>
      </c>
      <c r="J314" s="86">
        <v>0.999</v>
      </c>
      <c r="K314" s="86">
        <v>0.999</v>
      </c>
      <c r="L314" s="86">
        <v>0.999</v>
      </c>
      <c r="M314" s="86">
        <v>0.999</v>
      </c>
      <c r="N314" s="86">
        <v>0.999</v>
      </c>
      <c r="O314" s="86">
        <v>0.999</v>
      </c>
      <c r="P314" s="86">
        <v>0.999</v>
      </c>
      <c r="Q314" s="86">
        <v>0.999</v>
      </c>
      <c r="R314" s="86">
        <v>0.999</v>
      </c>
      <c r="S314" s="86">
        <v>0.999</v>
      </c>
      <c r="T314" s="86">
        <v>0.999</v>
      </c>
      <c r="U314" s="86">
        <v>0.999</v>
      </c>
      <c r="V314" s="86">
        <v>0.999</v>
      </c>
      <c r="W314" s="86">
        <v>0.999</v>
      </c>
      <c r="X314" s="86">
        <v>0.999</v>
      </c>
      <c r="Y314" s="86">
        <v>0.999</v>
      </c>
      <c r="Z314" s="86">
        <v>0.999</v>
      </c>
      <c r="AA314" s="86">
        <v>0.999</v>
      </c>
      <c r="AB314" s="86">
        <v>0.999</v>
      </c>
      <c r="AC314" s="86">
        <v>0.999</v>
      </c>
      <c r="AD314" s="86">
        <v>0.999</v>
      </c>
      <c r="AE314" s="86">
        <v>0.999</v>
      </c>
      <c r="AF314" s="86">
        <v>0.999</v>
      </c>
      <c r="AG314" s="86"/>
      <c r="AH314" s="86"/>
      <c r="AI314" s="86"/>
      <c r="AJ314" s="86"/>
      <c r="AK314" s="86"/>
      <c r="AL314" s="86"/>
      <c r="AM314" s="86"/>
      <c r="AN314" s="86"/>
      <c r="AO314" s="86"/>
      <c r="AP314" s="86"/>
      <c r="AQ314" s="86"/>
      <c r="AR314" s="86"/>
      <c r="AS314" s="86"/>
      <c r="AT314" s="86"/>
    </row>
    <row r="315" spans="1:46" x14ac:dyDescent="0.3">
      <c r="A315" s="86" t="s">
        <v>812</v>
      </c>
      <c r="B315" s="86">
        <v>0.98599999999999999</v>
      </c>
      <c r="C315" s="86">
        <v>0.98599999999999999</v>
      </c>
      <c r="D315" s="86">
        <v>0.98599999999999999</v>
      </c>
      <c r="E315" s="86">
        <v>0.98599999999999999</v>
      </c>
      <c r="F315" s="86">
        <v>0.98599999999999999</v>
      </c>
      <c r="G315" s="86">
        <v>0.98599999999999999</v>
      </c>
      <c r="H315" s="86">
        <v>0.98599999999999999</v>
      </c>
      <c r="I315" s="86">
        <v>0.98599999999999999</v>
      </c>
      <c r="J315" s="86">
        <v>0.98599999999999999</v>
      </c>
      <c r="K315" s="86">
        <v>0.98599999999999999</v>
      </c>
      <c r="L315" s="86">
        <v>0.98599999999999999</v>
      </c>
      <c r="M315" s="86">
        <v>0.98599999999999999</v>
      </c>
      <c r="N315" s="86">
        <v>0.98599999999999999</v>
      </c>
      <c r="O315" s="86">
        <v>0.98599999999999999</v>
      </c>
      <c r="P315" s="86">
        <v>0.98599999999999999</v>
      </c>
      <c r="Q315" s="86">
        <v>0.98599999999999999</v>
      </c>
      <c r="R315" s="86">
        <v>0.98599999999999999</v>
      </c>
      <c r="S315" s="86">
        <v>0.98599999999999999</v>
      </c>
      <c r="T315" s="86">
        <v>0.98599999999999999</v>
      </c>
      <c r="U315" s="86">
        <v>0.98599999999999999</v>
      </c>
      <c r="V315" s="86">
        <v>0.98599999999999999</v>
      </c>
      <c r="W315" s="86">
        <v>0.98599999999999999</v>
      </c>
      <c r="X315" s="86">
        <v>0.98599999999999999</v>
      </c>
      <c r="Y315" s="86">
        <v>0.98599999999999999</v>
      </c>
      <c r="Z315" s="86">
        <v>0.98599999999999999</v>
      </c>
      <c r="AA315" s="86">
        <v>0.98599999999999999</v>
      </c>
      <c r="AB315" s="86">
        <v>0.98599999999999999</v>
      </c>
      <c r="AC315" s="86">
        <v>0.98599999999999999</v>
      </c>
      <c r="AD315" s="86">
        <v>0.98599999999999999</v>
      </c>
      <c r="AE315" s="86">
        <v>0.98599999999999999</v>
      </c>
      <c r="AF315" s="86">
        <v>0.98599999999999999</v>
      </c>
      <c r="AG315" s="86"/>
      <c r="AH315" s="86"/>
      <c r="AI315" s="86"/>
      <c r="AJ315" s="86"/>
      <c r="AK315" s="86"/>
      <c r="AL315" s="86"/>
      <c r="AM315" s="86"/>
      <c r="AN315" s="86"/>
      <c r="AO315" s="86"/>
      <c r="AP315" s="86"/>
      <c r="AQ315" s="86"/>
      <c r="AR315" s="86"/>
      <c r="AS315" s="86"/>
      <c r="AT315" s="86"/>
    </row>
    <row r="316" spans="1:46" x14ac:dyDescent="0.3">
      <c r="A316" s="86" t="s">
        <v>813</v>
      </c>
      <c r="B316" s="86">
        <v>0.998</v>
      </c>
      <c r="C316" s="86">
        <v>0.998</v>
      </c>
      <c r="D316" s="86">
        <v>0.998</v>
      </c>
      <c r="E316" s="86">
        <v>0.998</v>
      </c>
      <c r="F316" s="86">
        <v>0.998</v>
      </c>
      <c r="G316" s="86">
        <v>0.998</v>
      </c>
      <c r="H316" s="86">
        <v>0.998</v>
      </c>
      <c r="I316" s="86">
        <v>0.998</v>
      </c>
      <c r="J316" s="86">
        <v>0.998</v>
      </c>
      <c r="K316" s="86">
        <v>0.998</v>
      </c>
      <c r="L316" s="86">
        <v>0.998</v>
      </c>
      <c r="M316" s="86">
        <v>0.998</v>
      </c>
      <c r="N316" s="86">
        <v>0.998</v>
      </c>
      <c r="O316" s="86">
        <v>0.998</v>
      </c>
      <c r="P316" s="86">
        <v>0.998</v>
      </c>
      <c r="Q316" s="86">
        <v>0.998</v>
      </c>
      <c r="R316" s="86">
        <v>0.998</v>
      </c>
      <c r="S316" s="86">
        <v>0.998</v>
      </c>
      <c r="T316" s="86">
        <v>0.998</v>
      </c>
      <c r="U316" s="86">
        <v>0.998</v>
      </c>
      <c r="V316" s="86">
        <v>0.998</v>
      </c>
      <c r="W316" s="86">
        <v>0.998</v>
      </c>
      <c r="X316" s="86">
        <v>0.998</v>
      </c>
      <c r="Y316" s="86">
        <v>0.998</v>
      </c>
      <c r="Z316" s="86">
        <v>0.998</v>
      </c>
      <c r="AA316" s="86">
        <v>0.998</v>
      </c>
      <c r="AB316" s="86">
        <v>0.998</v>
      </c>
      <c r="AC316" s="86">
        <v>0.998</v>
      </c>
      <c r="AD316" s="86">
        <v>0.998</v>
      </c>
      <c r="AE316" s="86">
        <v>0.998</v>
      </c>
      <c r="AF316" s="86">
        <v>0.998</v>
      </c>
      <c r="AG316" s="86"/>
      <c r="AH316" s="86"/>
      <c r="AI316" s="86"/>
      <c r="AJ316" s="86"/>
      <c r="AK316" s="86"/>
      <c r="AL316" s="86"/>
      <c r="AM316" s="86"/>
      <c r="AN316" s="86"/>
      <c r="AO316" s="86"/>
      <c r="AP316" s="86"/>
      <c r="AQ316" s="86"/>
      <c r="AR316" s="86"/>
      <c r="AS316" s="86"/>
      <c r="AT316" s="86"/>
    </row>
    <row r="317" spans="1:46" x14ac:dyDescent="0.3">
      <c r="A317" s="86" t="s">
        <v>814</v>
      </c>
      <c r="B317" s="86">
        <v>0.98099999999999998</v>
      </c>
      <c r="C317" s="86">
        <v>0.98099999999999998</v>
      </c>
      <c r="D317" s="86">
        <v>0.98099999999999998</v>
      </c>
      <c r="E317" s="86">
        <v>0.98099999999999998</v>
      </c>
      <c r="F317" s="86">
        <v>0.98099999999999998</v>
      </c>
      <c r="G317" s="86">
        <v>0.98099999999999998</v>
      </c>
      <c r="H317" s="86">
        <v>0.98099999999999998</v>
      </c>
      <c r="I317" s="86">
        <v>0.98099999999999998</v>
      </c>
      <c r="J317" s="86">
        <v>0.98099999999999998</v>
      </c>
      <c r="K317" s="86">
        <v>0.98099999999999998</v>
      </c>
      <c r="L317" s="86">
        <v>0.98099999999999998</v>
      </c>
      <c r="M317" s="86">
        <v>0.98099999999999998</v>
      </c>
      <c r="N317" s="86">
        <v>0.98099999999999998</v>
      </c>
      <c r="O317" s="86">
        <v>0.98099999999999998</v>
      </c>
      <c r="P317" s="86">
        <v>0.98099999999999998</v>
      </c>
      <c r="Q317" s="86">
        <v>0.98099999999999998</v>
      </c>
      <c r="R317" s="86">
        <v>0.98099999999999998</v>
      </c>
      <c r="S317" s="86">
        <v>0.98099999999999998</v>
      </c>
      <c r="T317" s="86">
        <v>0.98099999999999998</v>
      </c>
      <c r="U317" s="86">
        <v>0.98099999999999998</v>
      </c>
      <c r="V317" s="86">
        <v>0.98099999999999998</v>
      </c>
      <c r="W317" s="86">
        <v>0.98099999999999998</v>
      </c>
      <c r="X317" s="86">
        <v>0.98099999999999998</v>
      </c>
      <c r="Y317" s="86">
        <v>0.98099999999999998</v>
      </c>
      <c r="Z317" s="86">
        <v>0.98099999999999998</v>
      </c>
      <c r="AA317" s="86">
        <v>0.98099999999999998</v>
      </c>
      <c r="AB317" s="86">
        <v>0.98099999999999998</v>
      </c>
      <c r="AC317" s="86">
        <v>0.98099999999999998</v>
      </c>
      <c r="AD317" s="86">
        <v>0.98099999999999998</v>
      </c>
      <c r="AE317" s="86">
        <v>0.98099999999999998</v>
      </c>
      <c r="AF317" s="86">
        <v>0.98099999999999998</v>
      </c>
      <c r="AG317" s="86"/>
      <c r="AH317" s="86"/>
      <c r="AI317" s="86"/>
      <c r="AJ317" s="86"/>
      <c r="AK317" s="86"/>
      <c r="AL317" s="86"/>
      <c r="AM317" s="86"/>
      <c r="AN317" s="86"/>
      <c r="AO317" s="86"/>
      <c r="AP317" s="86"/>
      <c r="AQ317" s="86"/>
      <c r="AR317" s="86"/>
      <c r="AS317" s="86"/>
      <c r="AT317" s="86"/>
    </row>
    <row r="318" spans="1:46" x14ac:dyDescent="0.3">
      <c r="A318" s="86" t="s">
        <v>815</v>
      </c>
      <c r="B318" s="86">
        <v>1</v>
      </c>
      <c r="C318" s="86">
        <v>1</v>
      </c>
      <c r="D318" s="86">
        <v>1</v>
      </c>
      <c r="E318" s="86">
        <v>1</v>
      </c>
      <c r="F318" s="86">
        <v>1</v>
      </c>
      <c r="G318" s="86">
        <v>1</v>
      </c>
      <c r="H318" s="86">
        <v>1</v>
      </c>
      <c r="I318" s="86">
        <v>1</v>
      </c>
      <c r="J318" s="86">
        <v>1</v>
      </c>
      <c r="K318" s="86">
        <v>1</v>
      </c>
      <c r="L318" s="86">
        <v>1</v>
      </c>
      <c r="M318" s="86">
        <v>1</v>
      </c>
      <c r="N318" s="86">
        <v>1</v>
      </c>
      <c r="O318" s="86">
        <v>1</v>
      </c>
      <c r="P318" s="86">
        <v>1</v>
      </c>
      <c r="Q318" s="86">
        <v>1</v>
      </c>
      <c r="R318" s="86">
        <v>1</v>
      </c>
      <c r="S318" s="86">
        <v>1</v>
      </c>
      <c r="T318" s="86">
        <v>1</v>
      </c>
      <c r="U318" s="86">
        <v>1</v>
      </c>
      <c r="V318" s="86">
        <v>1</v>
      </c>
      <c r="W318" s="86">
        <v>1</v>
      </c>
      <c r="X318" s="86">
        <v>1</v>
      </c>
      <c r="Y318" s="86">
        <v>1</v>
      </c>
      <c r="Z318" s="86">
        <v>1</v>
      </c>
      <c r="AA318" s="86">
        <v>1</v>
      </c>
      <c r="AB318" s="86">
        <v>1</v>
      </c>
      <c r="AC318" s="86">
        <v>1</v>
      </c>
      <c r="AD318" s="86">
        <v>1</v>
      </c>
      <c r="AE318" s="86">
        <v>1</v>
      </c>
      <c r="AF318" s="86">
        <v>1</v>
      </c>
      <c r="AG318" s="86"/>
      <c r="AH318" s="86"/>
      <c r="AI318" s="86"/>
      <c r="AJ318" s="86"/>
      <c r="AK318" s="86"/>
      <c r="AL318" s="86"/>
      <c r="AM318" s="86"/>
      <c r="AN318" s="86"/>
      <c r="AO318" s="86"/>
      <c r="AP318" s="86"/>
      <c r="AQ318" s="86"/>
      <c r="AR318" s="86"/>
      <c r="AS318" s="86"/>
      <c r="AT318" s="86"/>
    </row>
    <row r="319" spans="1:46" x14ac:dyDescent="0.3">
      <c r="A319" s="88"/>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row>
    <row r="320" spans="1:46" x14ac:dyDescent="0.3">
      <c r="A320" s="88" t="s">
        <v>816</v>
      </c>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row>
    <row r="321" spans="1:46" x14ac:dyDescent="0.3">
      <c r="A321" s="86" t="s">
        <v>730</v>
      </c>
      <c r="B321" s="86">
        <v>2020</v>
      </c>
      <c r="C321" s="86">
        <v>2021</v>
      </c>
      <c r="D321" s="86">
        <v>2022</v>
      </c>
      <c r="E321" s="86">
        <v>2023</v>
      </c>
      <c r="F321" s="86">
        <v>2024</v>
      </c>
      <c r="G321" s="86">
        <v>2025</v>
      </c>
      <c r="H321" s="86">
        <v>2026</v>
      </c>
      <c r="I321" s="86">
        <v>2027</v>
      </c>
      <c r="J321" s="86">
        <v>2028</v>
      </c>
      <c r="K321" s="86">
        <v>2029</v>
      </c>
      <c r="L321" s="86">
        <v>2030</v>
      </c>
      <c r="M321" s="86">
        <v>2031</v>
      </c>
      <c r="N321" s="86">
        <v>2032</v>
      </c>
      <c r="O321" s="86">
        <v>2033</v>
      </c>
      <c r="P321" s="86">
        <v>2034</v>
      </c>
      <c r="Q321" s="86">
        <v>2035</v>
      </c>
      <c r="R321" s="86">
        <v>2036</v>
      </c>
      <c r="S321" s="86">
        <v>2037</v>
      </c>
      <c r="T321" s="86">
        <v>2038</v>
      </c>
      <c r="U321" s="86">
        <v>2039</v>
      </c>
      <c r="V321" s="86">
        <v>2040</v>
      </c>
      <c r="W321" s="86">
        <v>2041</v>
      </c>
      <c r="X321" s="86">
        <v>2042</v>
      </c>
      <c r="Y321" s="86">
        <v>2043</v>
      </c>
      <c r="Z321" s="86">
        <v>2044</v>
      </c>
      <c r="AA321" s="86">
        <v>2045</v>
      </c>
      <c r="AB321" s="86">
        <v>2046</v>
      </c>
      <c r="AC321" s="86">
        <v>2047</v>
      </c>
      <c r="AD321" s="86">
        <v>2048</v>
      </c>
      <c r="AE321" s="86">
        <v>2049</v>
      </c>
      <c r="AF321" s="86">
        <v>2050</v>
      </c>
      <c r="AG321" s="86"/>
      <c r="AH321" s="86"/>
      <c r="AI321" s="86"/>
      <c r="AJ321" s="86"/>
      <c r="AK321" s="86"/>
      <c r="AL321" s="86"/>
      <c r="AM321" s="86"/>
      <c r="AN321" s="86"/>
      <c r="AO321" s="86"/>
      <c r="AP321" s="86"/>
      <c r="AQ321" s="86"/>
      <c r="AR321" s="86"/>
      <c r="AS321" s="86"/>
      <c r="AT321" s="86"/>
    </row>
    <row r="322" spans="1:46" x14ac:dyDescent="0.3">
      <c r="A322" s="86" t="s">
        <v>741</v>
      </c>
      <c r="B322" s="92">
        <f t="shared" ref="B322:C322" si="98">B233/B278</f>
        <v>35545131845.841789</v>
      </c>
      <c r="C322" s="92">
        <f t="shared" si="98"/>
        <v>35227586206.896553</v>
      </c>
      <c r="D322" s="92">
        <f t="shared" ref="D322:AF323" si="99">D232/D277</f>
        <v>541522826086.95648</v>
      </c>
      <c r="E322" s="92">
        <f t="shared" si="99"/>
        <v>550284782608.69568</v>
      </c>
      <c r="F322" s="92">
        <f t="shared" si="99"/>
        <v>558892391304.34778</v>
      </c>
      <c r="G322" s="92">
        <f t="shared" si="99"/>
        <v>567331521739.13037</v>
      </c>
      <c r="H322" s="92">
        <f t="shared" si="99"/>
        <v>575585869565.21741</v>
      </c>
      <c r="I322" s="92">
        <f t="shared" si="99"/>
        <v>583639130434.78259</v>
      </c>
      <c r="J322" s="92">
        <f t="shared" si="99"/>
        <v>591829347826.08691</v>
      </c>
      <c r="K322" s="92">
        <f t="shared" si="99"/>
        <v>600157608695.6521</v>
      </c>
      <c r="L322" s="92">
        <f t="shared" si="99"/>
        <v>608627173913.04346</v>
      </c>
      <c r="M322" s="92">
        <f t="shared" si="99"/>
        <v>617240217391.30432</v>
      </c>
      <c r="N322" s="92">
        <f t="shared" si="99"/>
        <v>625998913043.47827</v>
      </c>
      <c r="O322" s="92">
        <f t="shared" si="99"/>
        <v>634905434782.60864</v>
      </c>
      <c r="P322" s="92">
        <f t="shared" si="99"/>
        <v>643963043478.26086</v>
      </c>
      <c r="Q322" s="92">
        <f t="shared" si="99"/>
        <v>653172826086.95654</v>
      </c>
      <c r="R322" s="92">
        <f t="shared" si="99"/>
        <v>662540217391.30432</v>
      </c>
      <c r="S322" s="92">
        <f t="shared" si="99"/>
        <v>672064130434.78259</v>
      </c>
      <c r="T322" s="92">
        <f t="shared" si="99"/>
        <v>681750000000</v>
      </c>
      <c r="U322" s="92">
        <f t="shared" si="99"/>
        <v>691600000000</v>
      </c>
      <c r="V322" s="92">
        <f t="shared" si="99"/>
        <v>701616304347.82605</v>
      </c>
      <c r="W322" s="92">
        <f t="shared" si="99"/>
        <v>711802173913.04346</v>
      </c>
      <c r="X322" s="92">
        <f t="shared" si="99"/>
        <v>722160869565.21741</v>
      </c>
      <c r="Y322" s="92">
        <f t="shared" si="99"/>
        <v>732693478260.86951</v>
      </c>
      <c r="Z322" s="92">
        <f t="shared" si="99"/>
        <v>743405434782.60864</v>
      </c>
      <c r="AA322" s="92">
        <f t="shared" si="99"/>
        <v>754297826086.95654</v>
      </c>
      <c r="AB322" s="92">
        <f t="shared" si="99"/>
        <v>765375000000</v>
      </c>
      <c r="AC322" s="92">
        <f t="shared" si="99"/>
        <v>776639130434.78259</v>
      </c>
      <c r="AD322" s="92">
        <f t="shared" si="99"/>
        <v>788094565217.39124</v>
      </c>
      <c r="AE322" s="92">
        <f t="shared" si="99"/>
        <v>799742391304.34778</v>
      </c>
      <c r="AF322" s="92">
        <f t="shared" si="99"/>
        <v>811588043478.26086</v>
      </c>
      <c r="AG322" s="92"/>
      <c r="AH322" s="92"/>
      <c r="AI322" s="92"/>
      <c r="AJ322" s="92"/>
      <c r="AK322" s="92"/>
      <c r="AL322" s="92"/>
      <c r="AM322" s="92"/>
      <c r="AN322" s="92"/>
      <c r="AO322" s="92"/>
      <c r="AP322" s="92"/>
      <c r="AQ322" s="92"/>
      <c r="AR322" s="92"/>
      <c r="AS322" s="92"/>
      <c r="AT322" s="92"/>
    </row>
    <row r="323" spans="1:46" x14ac:dyDescent="0.3">
      <c r="A323" s="86" t="s">
        <v>750</v>
      </c>
      <c r="D323" s="92">
        <f t="shared" si="99"/>
        <v>34956795131.84584</v>
      </c>
      <c r="E323" s="92">
        <f t="shared" si="99"/>
        <v>34731440162.271805</v>
      </c>
      <c r="F323" s="92">
        <f t="shared" si="99"/>
        <v>34550304259.634888</v>
      </c>
      <c r="G323" s="92">
        <f t="shared" si="99"/>
        <v>34412474645.030426</v>
      </c>
      <c r="H323" s="92">
        <f t="shared" si="99"/>
        <v>34317342799.188641</v>
      </c>
      <c r="I323" s="92">
        <f t="shared" si="99"/>
        <v>34264198782.96146</v>
      </c>
      <c r="J323" s="92">
        <f t="shared" si="99"/>
        <v>34211156186.612576</v>
      </c>
      <c r="K323" s="92">
        <f t="shared" si="99"/>
        <v>34158316430.020283</v>
      </c>
      <c r="L323" s="92">
        <f t="shared" si="99"/>
        <v>34105476673.427994</v>
      </c>
      <c r="M323" s="92">
        <f t="shared" si="99"/>
        <v>34052839756.592293</v>
      </c>
      <c r="N323" s="92">
        <f t="shared" si="99"/>
        <v>34000202839.756592</v>
      </c>
      <c r="O323" s="92">
        <f t="shared" si="99"/>
        <v>33947768762.677486</v>
      </c>
      <c r="P323" s="92">
        <f t="shared" si="99"/>
        <v>33895334685.598377</v>
      </c>
      <c r="Q323" s="92">
        <f t="shared" si="99"/>
        <v>33843103448.275864</v>
      </c>
      <c r="R323" s="92">
        <f t="shared" si="99"/>
        <v>33790872210.953346</v>
      </c>
      <c r="S323" s="92">
        <f t="shared" si="99"/>
        <v>33738843813.387424</v>
      </c>
      <c r="T323" s="92">
        <f t="shared" si="99"/>
        <v>33686916835.699799</v>
      </c>
      <c r="U323" s="92">
        <f t="shared" si="99"/>
        <v>33634989858.012173</v>
      </c>
      <c r="V323" s="92">
        <f t="shared" si="99"/>
        <v>33583265720.081135</v>
      </c>
      <c r="W323" s="92">
        <f t="shared" si="99"/>
        <v>33531643002.028397</v>
      </c>
      <c r="X323" s="92">
        <f t="shared" si="99"/>
        <v>33480020283.975658</v>
      </c>
      <c r="Y323" s="92">
        <f t="shared" si="99"/>
        <v>33428600405.679512</v>
      </c>
      <c r="Z323" s="92">
        <f t="shared" si="99"/>
        <v>33377281947.261665</v>
      </c>
      <c r="AA323" s="92">
        <f t="shared" si="99"/>
        <v>33326064908.722111</v>
      </c>
      <c r="AB323" s="92">
        <f t="shared" si="99"/>
        <v>33274847870.182556</v>
      </c>
      <c r="AC323" s="92">
        <f t="shared" si="99"/>
        <v>33223833671.399593</v>
      </c>
      <c r="AD323" s="92">
        <f t="shared" si="99"/>
        <v>33172920892.49493</v>
      </c>
      <c r="AE323" s="92">
        <f t="shared" si="99"/>
        <v>33122109533.468559</v>
      </c>
      <c r="AF323" s="92">
        <f t="shared" si="99"/>
        <v>33071399594.320488</v>
      </c>
      <c r="AG323" s="92"/>
      <c r="AH323" s="92"/>
      <c r="AI323" s="92"/>
      <c r="AJ323" s="92"/>
      <c r="AK323" s="92"/>
      <c r="AL323" s="92"/>
      <c r="AM323" s="92"/>
      <c r="AN323" s="92"/>
      <c r="AO323" s="92"/>
      <c r="AP323" s="92"/>
      <c r="AQ323" s="92"/>
      <c r="AR323" s="92"/>
      <c r="AS323" s="92"/>
      <c r="AT323" s="92"/>
    </row>
    <row r="324" spans="1:46" x14ac:dyDescent="0.3">
      <c r="A324" s="86" t="s">
        <v>751</v>
      </c>
      <c r="B324" s="92">
        <f t="shared" ref="B324:AF328" si="100">B234/B279</f>
        <v>498940129449.8382</v>
      </c>
      <c r="C324" s="92">
        <f t="shared" si="100"/>
        <v>520559870550.1618</v>
      </c>
      <c r="D324" s="92">
        <f t="shared" si="100"/>
        <v>541991909385.11328</v>
      </c>
      <c r="E324" s="92">
        <f t="shared" si="100"/>
        <v>563097087378.64075</v>
      </c>
      <c r="F324" s="92">
        <f t="shared" si="100"/>
        <v>583733009708.73792</v>
      </c>
      <c r="G324" s="92">
        <f t="shared" si="100"/>
        <v>603754045307.44336</v>
      </c>
      <c r="H324" s="92">
        <f t="shared" si="100"/>
        <v>623014563106.79614</v>
      </c>
      <c r="I324" s="92">
        <f t="shared" si="100"/>
        <v>641368932038.83496</v>
      </c>
      <c r="J324" s="92">
        <f t="shared" si="100"/>
        <v>660347896440.12952</v>
      </c>
      <c r="K324" s="92">
        <f t="shared" si="100"/>
        <v>679970873786.40771</v>
      </c>
      <c r="L324" s="92">
        <f t="shared" si="100"/>
        <v>700262135922.33008</v>
      </c>
      <c r="M324" s="92">
        <f t="shared" si="100"/>
        <v>721242718446.60193</v>
      </c>
      <c r="N324" s="92">
        <f t="shared" si="100"/>
        <v>742936893203.88354</v>
      </c>
      <c r="O324" s="92">
        <f t="shared" si="100"/>
        <v>765367313915.85767</v>
      </c>
      <c r="P324" s="92">
        <f t="shared" si="100"/>
        <v>788561488673.13916</v>
      </c>
      <c r="Q324" s="92">
        <f t="shared" si="100"/>
        <v>812545307443.36572</v>
      </c>
      <c r="R324" s="92">
        <f t="shared" si="100"/>
        <v>837343042071.19739</v>
      </c>
      <c r="S324" s="92">
        <f t="shared" si="100"/>
        <v>862983818770.22656</v>
      </c>
      <c r="T324" s="92">
        <f t="shared" si="100"/>
        <v>889496763754.04529</v>
      </c>
      <c r="U324" s="92">
        <f t="shared" si="100"/>
        <v>916911003236.24597</v>
      </c>
      <c r="V324" s="92">
        <f t="shared" si="100"/>
        <v>945258899676.37537</v>
      </c>
      <c r="W324" s="92">
        <f t="shared" si="100"/>
        <v>974569579288.02588</v>
      </c>
      <c r="X324" s="92">
        <f t="shared" si="100"/>
        <v>1004875404530.7444</v>
      </c>
      <c r="Y324" s="92">
        <f t="shared" si="100"/>
        <v>1036213592233.0098</v>
      </c>
      <c r="Z324" s="92">
        <f t="shared" si="100"/>
        <v>1068616504854.3689</v>
      </c>
      <c r="AA324" s="92">
        <f t="shared" si="100"/>
        <v>1102121359223.301</v>
      </c>
      <c r="AB324" s="92">
        <f t="shared" si="100"/>
        <v>1136763754045.3074</v>
      </c>
      <c r="AC324" s="92">
        <f t="shared" si="100"/>
        <v>1172585760517.7993</v>
      </c>
      <c r="AD324" s="92">
        <f t="shared" si="100"/>
        <v>1209626213592.2329</v>
      </c>
      <c r="AE324" s="92">
        <f t="shared" si="100"/>
        <v>1247923948220.0647</v>
      </c>
      <c r="AF324" s="92">
        <f t="shared" si="100"/>
        <v>1287525889967.6375</v>
      </c>
      <c r="AG324" s="92"/>
      <c r="AH324" s="92"/>
      <c r="AI324" s="92"/>
      <c r="AJ324" s="92"/>
      <c r="AK324" s="92"/>
      <c r="AL324" s="92"/>
      <c r="AM324" s="92"/>
      <c r="AN324" s="92"/>
      <c r="AO324" s="92"/>
      <c r="AP324" s="92"/>
      <c r="AQ324" s="92"/>
      <c r="AR324" s="92"/>
      <c r="AS324" s="92"/>
      <c r="AT324" s="92"/>
    </row>
    <row r="325" spans="1:46" x14ac:dyDescent="0.3">
      <c r="A325" s="86" t="s">
        <v>752</v>
      </c>
      <c r="B325" s="92">
        <f t="shared" si="100"/>
        <v>66735327313.769753</v>
      </c>
      <c r="C325" s="92">
        <f t="shared" si="100"/>
        <v>66121444695.25959</v>
      </c>
      <c r="D325" s="92">
        <f t="shared" si="100"/>
        <v>65702031602.708801</v>
      </c>
      <c r="E325" s="92">
        <f t="shared" si="100"/>
        <v>65471670428.893906</v>
      </c>
      <c r="F325" s="92">
        <f t="shared" si="100"/>
        <v>65427200902.93454</v>
      </c>
      <c r="G325" s="92">
        <f t="shared" si="100"/>
        <v>65567381489.841988</v>
      </c>
      <c r="H325" s="92">
        <f t="shared" si="100"/>
        <v>65893115124.153496</v>
      </c>
      <c r="I325" s="92">
        <f t="shared" si="100"/>
        <v>66407336343.11512</v>
      </c>
      <c r="J325" s="92">
        <f t="shared" si="100"/>
        <v>66926749435.665916</v>
      </c>
      <c r="K325" s="92">
        <f t="shared" si="100"/>
        <v>67451354401.80587</v>
      </c>
      <c r="L325" s="92">
        <f t="shared" si="100"/>
        <v>67981151241.534988</v>
      </c>
      <c r="M325" s="92">
        <f t="shared" si="100"/>
        <v>68516365688.487587</v>
      </c>
      <c r="N325" s="92">
        <f t="shared" si="100"/>
        <v>69056884875.846497</v>
      </c>
      <c r="O325" s="92">
        <f t="shared" si="100"/>
        <v>69602821670.428894</v>
      </c>
      <c r="P325" s="92">
        <f t="shared" si="100"/>
        <v>70154288939.05191</v>
      </c>
      <c r="Q325" s="92">
        <f t="shared" si="100"/>
        <v>70711286681.715576</v>
      </c>
      <c r="R325" s="92">
        <f t="shared" si="100"/>
        <v>71273927765.237015</v>
      </c>
      <c r="S325" s="92">
        <f t="shared" si="100"/>
        <v>71842212189.616257</v>
      </c>
      <c r="T325" s="92">
        <f t="shared" si="100"/>
        <v>72416139954.853271</v>
      </c>
      <c r="U325" s="92">
        <f t="shared" si="100"/>
        <v>72995823927.765244</v>
      </c>
      <c r="V325" s="92">
        <f t="shared" si="100"/>
        <v>73581376975.169296</v>
      </c>
      <c r="W325" s="92">
        <f t="shared" si="100"/>
        <v>74172799097.06546</v>
      </c>
      <c r="X325" s="92">
        <f t="shared" si="100"/>
        <v>74770203160.270874</v>
      </c>
      <c r="Y325" s="92">
        <f t="shared" si="100"/>
        <v>75373589164.785553</v>
      </c>
      <c r="Z325" s="92">
        <f t="shared" si="100"/>
        <v>75983069977.426636</v>
      </c>
      <c r="AA325" s="92">
        <f t="shared" si="100"/>
        <v>76598532731.376968</v>
      </c>
      <c r="AB325" s="92">
        <f t="shared" si="100"/>
        <v>77220316027.088028</v>
      </c>
      <c r="AC325" s="92">
        <f t="shared" si="100"/>
        <v>77848306997.742661</v>
      </c>
      <c r="AD325" s="92">
        <f t="shared" si="100"/>
        <v>78482618510.15802</v>
      </c>
      <c r="AE325" s="92">
        <f t="shared" si="100"/>
        <v>79123250564.334091</v>
      </c>
      <c r="AF325" s="92">
        <f t="shared" si="100"/>
        <v>79770428893.905197</v>
      </c>
      <c r="AG325" s="92"/>
      <c r="AH325" s="92"/>
      <c r="AI325" s="92"/>
      <c r="AJ325" s="92"/>
      <c r="AK325" s="92"/>
      <c r="AL325" s="92"/>
      <c r="AM325" s="92"/>
      <c r="AN325" s="92"/>
      <c r="AO325" s="92"/>
      <c r="AP325" s="92"/>
      <c r="AQ325" s="92"/>
      <c r="AR325" s="92"/>
      <c r="AS325" s="92"/>
      <c r="AT325" s="92"/>
    </row>
    <row r="326" spans="1:46" x14ac:dyDescent="0.3">
      <c r="A326" s="86" t="s">
        <v>753</v>
      </c>
      <c r="B326" s="92">
        <f t="shared" si="100"/>
        <v>86165208545.269577</v>
      </c>
      <c r="C326" s="92">
        <f t="shared" si="100"/>
        <v>86389420142.421158</v>
      </c>
      <c r="D326" s="92">
        <f t="shared" si="100"/>
        <v>86907731434.384537</v>
      </c>
      <c r="E326" s="92">
        <f t="shared" si="100"/>
        <v>87725534079.348938</v>
      </c>
      <c r="F326" s="92">
        <f t="shared" si="100"/>
        <v>88852187182.095627</v>
      </c>
      <c r="G326" s="92">
        <f t="shared" si="100"/>
        <v>90301017293.997971</v>
      </c>
      <c r="H326" s="92">
        <f t="shared" si="100"/>
        <v>92089521871.820953</v>
      </c>
      <c r="I326" s="92">
        <f t="shared" si="100"/>
        <v>94240081383.519836</v>
      </c>
      <c r="J326" s="92">
        <f t="shared" si="100"/>
        <v>96453001017.294006</v>
      </c>
      <c r="K326" s="92">
        <f t="shared" si="100"/>
        <v>98730111902.339783</v>
      </c>
      <c r="L326" s="92">
        <f t="shared" si="100"/>
        <v>101073245167.85352</v>
      </c>
      <c r="M326" s="92">
        <f t="shared" si="100"/>
        <v>103484231943.03154</v>
      </c>
      <c r="N326" s="92">
        <f t="shared" si="100"/>
        <v>105965412004.06918</v>
      </c>
      <c r="O326" s="92">
        <f t="shared" si="100"/>
        <v>108517802644.9644</v>
      </c>
      <c r="P326" s="92">
        <f t="shared" si="100"/>
        <v>111145473041.70906</v>
      </c>
      <c r="Q326" s="92">
        <f t="shared" si="100"/>
        <v>113848423194.30316</v>
      </c>
      <c r="R326" s="92">
        <f t="shared" si="100"/>
        <v>116629704984.74059</v>
      </c>
      <c r="S326" s="92">
        <f t="shared" si="100"/>
        <v>119492370295.01526</v>
      </c>
      <c r="T326" s="92">
        <f t="shared" si="100"/>
        <v>122437436419.12512</v>
      </c>
      <c r="U326" s="92">
        <f t="shared" si="100"/>
        <v>125467955239.06409</v>
      </c>
      <c r="V326" s="92">
        <f t="shared" si="100"/>
        <v>128586978636.82605</v>
      </c>
      <c r="W326" s="92">
        <f t="shared" si="100"/>
        <v>131795523906.40895</v>
      </c>
      <c r="X326" s="92">
        <f t="shared" si="100"/>
        <v>135097660223.80469</v>
      </c>
      <c r="Y326" s="92">
        <f t="shared" si="100"/>
        <v>138495422177.00916</v>
      </c>
      <c r="Z326" s="92">
        <f t="shared" si="100"/>
        <v>141991861648.01627</v>
      </c>
      <c r="AA326" s="92">
        <f t="shared" si="100"/>
        <v>145589013224.82199</v>
      </c>
      <c r="AB326" s="92">
        <f t="shared" si="100"/>
        <v>149290946083.41812</v>
      </c>
      <c r="AC326" s="92">
        <f t="shared" si="100"/>
        <v>153100712105.79858</v>
      </c>
      <c r="AD326" s="92">
        <f t="shared" si="100"/>
        <v>157020345879.95932</v>
      </c>
      <c r="AE326" s="92">
        <f t="shared" si="100"/>
        <v>161053916581.89218</v>
      </c>
      <c r="AF326" s="92">
        <f t="shared" si="100"/>
        <v>165204476093.59106</v>
      </c>
      <c r="AG326" s="92"/>
      <c r="AH326" s="92"/>
      <c r="AI326" s="92"/>
      <c r="AJ326" s="92"/>
      <c r="AK326" s="92"/>
      <c r="AL326" s="92"/>
      <c r="AM326" s="92"/>
      <c r="AN326" s="92"/>
      <c r="AO326" s="92"/>
      <c r="AP326" s="92"/>
      <c r="AQ326" s="92"/>
      <c r="AR326" s="92"/>
      <c r="AS326" s="92"/>
      <c r="AT326" s="92"/>
    </row>
    <row r="327" spans="1:46" x14ac:dyDescent="0.3">
      <c r="A327" s="86" t="s">
        <v>755</v>
      </c>
      <c r="B327" s="92">
        <f t="shared" si="100"/>
        <v>1025699018538.7131</v>
      </c>
      <c r="C327" s="92">
        <f t="shared" si="100"/>
        <v>1034541984732.8243</v>
      </c>
      <c r="D327" s="92">
        <f t="shared" si="100"/>
        <v>1044697928026.1722</v>
      </c>
      <c r="E327" s="92">
        <f t="shared" si="100"/>
        <v>1056211559432.9335</v>
      </c>
      <c r="F327" s="92">
        <f t="shared" si="100"/>
        <v>1069131952017.4481</v>
      </c>
      <c r="G327" s="92">
        <f t="shared" si="100"/>
        <v>1083516902944.3838</v>
      </c>
      <c r="H327" s="92">
        <f t="shared" si="100"/>
        <v>1099432933478.735</v>
      </c>
      <c r="I327" s="92">
        <f t="shared" si="100"/>
        <v>1116946564885.4961</v>
      </c>
      <c r="J327" s="92">
        <f t="shared" si="100"/>
        <v>1134809160305.3435</v>
      </c>
      <c r="K327" s="92">
        <f t="shared" si="100"/>
        <v>1153009814612.8679</v>
      </c>
      <c r="L327" s="92">
        <f t="shared" si="100"/>
        <v>1171581243184.2966</v>
      </c>
      <c r="M327" s="92">
        <f t="shared" si="100"/>
        <v>1190501635768.8113</v>
      </c>
      <c r="N327" s="92">
        <f t="shared" si="100"/>
        <v>1209803707742.6389</v>
      </c>
      <c r="O327" s="92">
        <f t="shared" si="100"/>
        <v>1229476553980.3706</v>
      </c>
      <c r="P327" s="92">
        <f t="shared" si="100"/>
        <v>1249541984732.8245</v>
      </c>
      <c r="Q327" s="92">
        <f t="shared" si="100"/>
        <v>1270000000000</v>
      </c>
      <c r="R327" s="92">
        <f t="shared" si="100"/>
        <v>1290850599781.8975</v>
      </c>
      <c r="S327" s="92">
        <f t="shared" si="100"/>
        <v>1312115594329.3347</v>
      </c>
      <c r="T327" s="92">
        <f t="shared" si="100"/>
        <v>1333794983642.3118</v>
      </c>
      <c r="U327" s="92">
        <f t="shared" si="100"/>
        <v>1355899672846.2378</v>
      </c>
      <c r="V327" s="92">
        <f t="shared" si="100"/>
        <v>1378440567066.5212</v>
      </c>
      <c r="W327" s="92">
        <f t="shared" si="100"/>
        <v>1401417666303.1624</v>
      </c>
      <c r="X327" s="92">
        <f t="shared" si="100"/>
        <v>1424841875681.5703</v>
      </c>
      <c r="Y327" s="92">
        <f t="shared" si="100"/>
        <v>1448735005452.5627</v>
      </c>
      <c r="Z327" s="92">
        <f t="shared" si="100"/>
        <v>1473086150490.7305</v>
      </c>
      <c r="AA327" s="92">
        <f t="shared" si="100"/>
        <v>1497917121046.8921</v>
      </c>
      <c r="AB327" s="92">
        <f t="shared" si="100"/>
        <v>1523238822246.4558</v>
      </c>
      <c r="AC327" s="92">
        <f t="shared" si="100"/>
        <v>1549051254089.4219</v>
      </c>
      <c r="AD327" s="92">
        <f t="shared" si="100"/>
        <v>1575376226826.6084</v>
      </c>
      <c r="AE327" s="92">
        <f t="shared" si="100"/>
        <v>1602202835332.6062</v>
      </c>
      <c r="AF327" s="92">
        <f t="shared" si="100"/>
        <v>1629563794983.6423</v>
      </c>
      <c r="AG327" s="92"/>
      <c r="AH327" s="92"/>
      <c r="AI327" s="92"/>
      <c r="AJ327" s="92"/>
      <c r="AK327" s="92"/>
      <c r="AL327" s="92"/>
      <c r="AM327" s="92"/>
      <c r="AN327" s="92"/>
      <c r="AO327" s="92"/>
      <c r="AP327" s="92"/>
      <c r="AQ327" s="92"/>
      <c r="AR327" s="92"/>
      <c r="AS327" s="92"/>
      <c r="AT327" s="92"/>
    </row>
    <row r="328" spans="1:46" x14ac:dyDescent="0.3">
      <c r="A328" s="86" t="s">
        <v>756</v>
      </c>
      <c r="B328" s="92">
        <f t="shared" si="100"/>
        <v>182660840707.9646</v>
      </c>
      <c r="C328" s="92">
        <f t="shared" si="100"/>
        <v>181622345132.74335</v>
      </c>
      <c r="D328" s="92">
        <f t="shared" si="100"/>
        <v>180308849557.52213</v>
      </c>
      <c r="E328" s="92">
        <f t="shared" si="100"/>
        <v>178727433628.31857</v>
      </c>
      <c r="F328" s="92">
        <f t="shared" si="100"/>
        <v>176886725663.7168</v>
      </c>
      <c r="G328" s="92">
        <f t="shared" si="100"/>
        <v>174797123893.8053</v>
      </c>
      <c r="H328" s="92">
        <f t="shared" si="100"/>
        <v>172470132743.36282</v>
      </c>
      <c r="I328" s="92">
        <f t="shared" si="100"/>
        <v>169918362831.8584</v>
      </c>
      <c r="J328" s="92">
        <f t="shared" si="100"/>
        <v>167415265486.72565</v>
      </c>
      <c r="K328" s="92">
        <f t="shared" si="100"/>
        <v>164959734513.27432</v>
      </c>
      <c r="L328" s="92">
        <f t="shared" si="100"/>
        <v>162551327433.62833</v>
      </c>
      <c r="M328" s="92">
        <f t="shared" si="100"/>
        <v>160188716814.1593</v>
      </c>
      <c r="N328" s="92">
        <f t="shared" si="100"/>
        <v>157871017699.11505</v>
      </c>
      <c r="O328" s="92">
        <f t="shared" si="100"/>
        <v>155597566371.6814</v>
      </c>
      <c r="P328" s="92">
        <f t="shared" si="100"/>
        <v>153367699115.04425</v>
      </c>
      <c r="Q328" s="92">
        <f t="shared" si="100"/>
        <v>151180088495.57523</v>
      </c>
      <c r="R328" s="92">
        <f t="shared" si="100"/>
        <v>149034292035.39822</v>
      </c>
      <c r="S328" s="92">
        <f t="shared" si="100"/>
        <v>146929424778.76105</v>
      </c>
      <c r="T328" s="92">
        <f t="shared" si="100"/>
        <v>144864823008.84955</v>
      </c>
      <c r="U328" s="92">
        <f t="shared" si="100"/>
        <v>142839380530.97345</v>
      </c>
      <c r="V328" s="92">
        <f t="shared" si="100"/>
        <v>140852654867.25662</v>
      </c>
      <c r="W328" s="92">
        <f t="shared" si="100"/>
        <v>138903761061.9469</v>
      </c>
      <c r="X328" s="92">
        <f t="shared" si="100"/>
        <v>136992256637.16814</v>
      </c>
      <c r="Y328" s="92">
        <f t="shared" si="100"/>
        <v>135117035398.23009</v>
      </c>
      <c r="Z328" s="92">
        <f t="shared" si="100"/>
        <v>133277433628.31857</v>
      </c>
      <c r="AA328" s="92">
        <f t="shared" si="100"/>
        <v>131473008849.55753</v>
      </c>
      <c r="AB328" s="92">
        <f t="shared" si="100"/>
        <v>129703097345.13274</v>
      </c>
      <c r="AC328" s="92">
        <f t="shared" si="100"/>
        <v>127966814159.29204</v>
      </c>
      <c r="AD328" s="92">
        <f t="shared" si="100"/>
        <v>126263716814.15929</v>
      </c>
      <c r="AE328" s="92">
        <f t="shared" si="100"/>
        <v>124593141592.92035</v>
      </c>
      <c r="AF328" s="92">
        <f t="shared" si="100"/>
        <v>122954424778.76106</v>
      </c>
      <c r="AG328" s="92"/>
      <c r="AH328" s="92"/>
      <c r="AI328" s="92"/>
      <c r="AJ328" s="92"/>
      <c r="AK328" s="92"/>
      <c r="AL328" s="92"/>
      <c r="AM328" s="92"/>
      <c r="AN328" s="92"/>
      <c r="AO328" s="92"/>
      <c r="AP328" s="92"/>
      <c r="AQ328" s="92"/>
      <c r="AR328" s="92"/>
      <c r="AS328" s="92"/>
      <c r="AT328" s="92"/>
    </row>
    <row r="329" spans="1:46" x14ac:dyDescent="0.3">
      <c r="A329" s="88"/>
    </row>
    <row r="330" spans="1:46" x14ac:dyDescent="0.3">
      <c r="A330" s="164" t="s">
        <v>817</v>
      </c>
      <c r="B330" s="165"/>
      <c r="C330" s="165"/>
      <c r="D330" s="96"/>
      <c r="E330" s="96"/>
      <c r="F330" s="97"/>
      <c r="G330" s="97"/>
      <c r="H330" s="98"/>
    </row>
    <row r="331" spans="1:46" x14ac:dyDescent="0.3">
      <c r="A331" s="99" t="s">
        <v>818</v>
      </c>
      <c r="B331" s="100" t="s">
        <v>819</v>
      </c>
      <c r="C331" s="100" t="s">
        <v>820</v>
      </c>
      <c r="D331" s="100" t="s">
        <v>821</v>
      </c>
      <c r="E331" s="100" t="s">
        <v>822</v>
      </c>
      <c r="F331" s="100" t="s">
        <v>823</v>
      </c>
      <c r="G331" s="100" t="s">
        <v>824</v>
      </c>
      <c r="H331" s="101" t="s">
        <v>825</v>
      </c>
      <c r="I331" s="88" t="s">
        <v>713</v>
      </c>
      <c r="J331" s="88" t="s">
        <v>714</v>
      </c>
    </row>
    <row r="332" spans="1:46" x14ac:dyDescent="0.3">
      <c r="A332" s="102" t="s">
        <v>826</v>
      </c>
      <c r="B332" s="103">
        <v>25500000</v>
      </c>
      <c r="C332" s="104" t="s">
        <v>827</v>
      </c>
      <c r="D332" s="105" t="s">
        <v>828</v>
      </c>
      <c r="E332" s="105" t="s">
        <v>829</v>
      </c>
      <c r="F332" s="106" t="s">
        <v>828</v>
      </c>
      <c r="G332" s="106" t="s">
        <v>829</v>
      </c>
      <c r="H332" s="107" t="s">
        <v>830</v>
      </c>
      <c r="I332" s="86" t="s">
        <v>688</v>
      </c>
      <c r="J332" s="86" t="s">
        <v>13</v>
      </c>
    </row>
    <row r="333" spans="1:46" x14ac:dyDescent="0.3">
      <c r="A333" s="108" t="s">
        <v>831</v>
      </c>
      <c r="B333" s="109">
        <v>2880000</v>
      </c>
      <c r="C333" s="110" t="s">
        <v>827</v>
      </c>
      <c r="D333" s="111" t="s">
        <v>832</v>
      </c>
      <c r="E333" s="111" t="s">
        <v>833</v>
      </c>
      <c r="F333" s="112" t="s">
        <v>834</v>
      </c>
      <c r="G333" s="112" t="s">
        <v>835</v>
      </c>
      <c r="H333" s="113" t="s">
        <v>836</v>
      </c>
      <c r="I333" s="86" t="s">
        <v>688</v>
      </c>
      <c r="J333" s="86" t="s">
        <v>13</v>
      </c>
    </row>
    <row r="334" spans="1:46" x14ac:dyDescent="0.3">
      <c r="A334" s="108" t="s">
        <v>837</v>
      </c>
      <c r="B334" s="109">
        <v>369600</v>
      </c>
      <c r="C334" s="110" t="s">
        <v>827</v>
      </c>
      <c r="D334" s="111" t="s">
        <v>838</v>
      </c>
      <c r="E334" s="111" t="s">
        <v>839</v>
      </c>
      <c r="F334" s="112" t="s">
        <v>838</v>
      </c>
      <c r="G334" s="112" t="s">
        <v>839</v>
      </c>
      <c r="H334" s="113" t="s">
        <v>840</v>
      </c>
      <c r="I334" s="86" t="s">
        <v>688</v>
      </c>
      <c r="J334" s="86" t="s">
        <v>13</v>
      </c>
    </row>
    <row r="335" spans="1:46" x14ac:dyDescent="0.3">
      <c r="A335" s="108" t="s">
        <v>837</v>
      </c>
      <c r="B335" s="109">
        <v>310800</v>
      </c>
      <c r="C335" s="110" t="s">
        <v>827</v>
      </c>
      <c r="D335" s="111" t="s">
        <v>838</v>
      </c>
      <c r="E335" s="111" t="s">
        <v>839</v>
      </c>
      <c r="F335" s="112" t="s">
        <v>838</v>
      </c>
      <c r="G335" s="112" t="s">
        <v>839</v>
      </c>
      <c r="H335" s="113" t="s">
        <v>841</v>
      </c>
      <c r="I335" s="86" t="s">
        <v>688</v>
      </c>
      <c r="J335" s="86" t="s">
        <v>13</v>
      </c>
    </row>
    <row r="336" spans="1:46" x14ac:dyDescent="0.3">
      <c r="A336" s="108" t="s">
        <v>842</v>
      </c>
      <c r="B336" s="109">
        <v>300000</v>
      </c>
      <c r="C336" s="110" t="s">
        <v>827</v>
      </c>
      <c r="D336" s="111" t="s">
        <v>843</v>
      </c>
      <c r="E336" s="111" t="s">
        <v>844</v>
      </c>
      <c r="F336" s="112" t="s">
        <v>843</v>
      </c>
      <c r="G336" s="112" t="s">
        <v>844</v>
      </c>
      <c r="H336" s="113" t="s">
        <v>845</v>
      </c>
      <c r="I336" s="86" t="s">
        <v>688</v>
      </c>
      <c r="J336" s="86" t="s">
        <v>13</v>
      </c>
    </row>
    <row r="337" spans="1:10" x14ac:dyDescent="0.3">
      <c r="A337" s="108" t="s">
        <v>846</v>
      </c>
      <c r="B337" s="109">
        <v>28401000</v>
      </c>
      <c r="C337" s="110" t="s">
        <v>847</v>
      </c>
      <c r="D337" s="111" t="s">
        <v>848</v>
      </c>
      <c r="E337" s="111" t="s">
        <v>849</v>
      </c>
      <c r="F337" s="112" t="s">
        <v>848</v>
      </c>
      <c r="G337" s="112" t="s">
        <v>849</v>
      </c>
      <c r="H337" s="113" t="s">
        <v>850</v>
      </c>
      <c r="I337" s="86" t="s">
        <v>689</v>
      </c>
      <c r="J337" s="86" t="s">
        <v>35</v>
      </c>
    </row>
    <row r="338" spans="1:10" x14ac:dyDescent="0.3">
      <c r="A338" s="108" t="s">
        <v>851</v>
      </c>
      <c r="B338" s="109">
        <v>903480</v>
      </c>
      <c r="C338" s="110" t="s">
        <v>847</v>
      </c>
      <c r="D338" s="111" t="s">
        <v>852</v>
      </c>
      <c r="E338" s="111" t="s">
        <v>853</v>
      </c>
      <c r="F338" s="112" t="s">
        <v>854</v>
      </c>
      <c r="G338" s="112" t="s">
        <v>853</v>
      </c>
      <c r="H338" s="113" t="s">
        <v>855</v>
      </c>
      <c r="I338" s="86" t="s">
        <v>690</v>
      </c>
      <c r="J338" s="86" t="s">
        <v>14</v>
      </c>
    </row>
    <row r="339" spans="1:10" x14ac:dyDescent="0.3">
      <c r="A339" s="108" t="s">
        <v>856</v>
      </c>
      <c r="B339" s="109">
        <v>51450000</v>
      </c>
      <c r="C339" s="110" t="s">
        <v>857</v>
      </c>
      <c r="D339" s="111" t="s">
        <v>858</v>
      </c>
      <c r="E339" s="111" t="s">
        <v>859</v>
      </c>
      <c r="F339" s="112" t="s">
        <v>860</v>
      </c>
      <c r="G339" s="112" t="s">
        <v>859</v>
      </c>
      <c r="H339" s="114" t="s">
        <v>861</v>
      </c>
      <c r="I339" s="86" t="s">
        <v>688</v>
      </c>
      <c r="J339" s="86" t="s">
        <v>13</v>
      </c>
    </row>
    <row r="340" spans="1:10" x14ac:dyDescent="0.3">
      <c r="A340" s="108" t="s">
        <v>862</v>
      </c>
      <c r="B340" s="109">
        <v>39087000</v>
      </c>
      <c r="C340" s="110" t="s">
        <v>857</v>
      </c>
      <c r="D340" s="111" t="s">
        <v>863</v>
      </c>
      <c r="E340" s="111" t="s">
        <v>864</v>
      </c>
      <c r="F340" s="112" t="s">
        <v>863</v>
      </c>
      <c r="G340" s="112" t="s">
        <v>864</v>
      </c>
      <c r="H340" s="113" t="s">
        <v>865</v>
      </c>
      <c r="I340" s="86" t="s">
        <v>688</v>
      </c>
      <c r="J340" s="86" t="s">
        <v>13</v>
      </c>
    </row>
    <row r="341" spans="1:10" x14ac:dyDescent="0.3">
      <c r="A341" s="108" t="s">
        <v>866</v>
      </c>
      <c r="B341" s="109">
        <v>19831680</v>
      </c>
      <c r="C341" s="110" t="s">
        <v>857</v>
      </c>
      <c r="D341" s="111" t="s">
        <v>867</v>
      </c>
      <c r="E341" s="111" t="s">
        <v>835</v>
      </c>
      <c r="F341" s="112" t="s">
        <v>868</v>
      </c>
      <c r="G341" s="112" t="s">
        <v>835</v>
      </c>
      <c r="H341" s="113" t="s">
        <v>869</v>
      </c>
      <c r="I341" s="86" t="s">
        <v>688</v>
      </c>
      <c r="J341" s="86" t="s">
        <v>13</v>
      </c>
    </row>
    <row r="342" spans="1:10" x14ac:dyDescent="0.3">
      <c r="A342" s="108" t="s">
        <v>870</v>
      </c>
      <c r="B342" s="109">
        <v>11304900</v>
      </c>
      <c r="C342" s="110" t="s">
        <v>857</v>
      </c>
      <c r="D342" s="111" t="s">
        <v>871</v>
      </c>
      <c r="E342" s="111" t="s">
        <v>872</v>
      </c>
      <c r="F342" s="112" t="s">
        <v>871</v>
      </c>
      <c r="G342" s="112" t="s">
        <v>872</v>
      </c>
      <c r="H342" s="113" t="s">
        <v>873</v>
      </c>
      <c r="I342" s="86" t="s">
        <v>688</v>
      </c>
      <c r="J342" s="86" t="s">
        <v>13</v>
      </c>
    </row>
    <row r="343" spans="1:10" x14ac:dyDescent="0.3">
      <c r="A343" s="108" t="s">
        <v>874</v>
      </c>
      <c r="B343" s="109">
        <v>7257882</v>
      </c>
      <c r="C343" s="110" t="s">
        <v>857</v>
      </c>
      <c r="D343" s="111" t="s">
        <v>875</v>
      </c>
      <c r="E343" s="111" t="s">
        <v>876</v>
      </c>
      <c r="F343" s="112" t="s">
        <v>875</v>
      </c>
      <c r="G343" s="112" t="s">
        <v>876</v>
      </c>
      <c r="H343" s="113" t="s">
        <v>877</v>
      </c>
      <c r="I343" s="86" t="s">
        <v>688</v>
      </c>
      <c r="J343" s="86" t="s">
        <v>13</v>
      </c>
    </row>
    <row r="344" spans="1:10" x14ac:dyDescent="0.3">
      <c r="A344" s="108" t="s">
        <v>878</v>
      </c>
      <c r="B344" s="109">
        <v>6491160</v>
      </c>
      <c r="C344" s="110" t="s">
        <v>857</v>
      </c>
      <c r="D344" s="111" t="s">
        <v>879</v>
      </c>
      <c r="E344" s="111" t="s">
        <v>880</v>
      </c>
      <c r="F344" s="112" t="s">
        <v>879</v>
      </c>
      <c r="G344" s="112" t="s">
        <v>880</v>
      </c>
      <c r="H344" s="113" t="s">
        <v>881</v>
      </c>
      <c r="I344" s="86" t="s">
        <v>688</v>
      </c>
      <c r="J344" s="86" t="s">
        <v>13</v>
      </c>
    </row>
    <row r="345" spans="1:10" x14ac:dyDescent="0.3">
      <c r="A345" s="108" t="s">
        <v>882</v>
      </c>
      <c r="B345" s="109">
        <v>1572236</v>
      </c>
      <c r="C345" s="110" t="s">
        <v>857</v>
      </c>
      <c r="D345" s="111" t="s">
        <v>883</v>
      </c>
      <c r="E345" s="111" t="s">
        <v>884</v>
      </c>
      <c r="F345" s="112" t="s">
        <v>885</v>
      </c>
      <c r="G345" s="112" t="s">
        <v>884</v>
      </c>
      <c r="H345" s="113" t="s">
        <v>886</v>
      </c>
      <c r="I345" s="86" t="s">
        <v>691</v>
      </c>
      <c r="J345" s="86" t="s">
        <v>17</v>
      </c>
    </row>
    <row r="346" spans="1:10" x14ac:dyDescent="0.3">
      <c r="A346" s="108" t="s">
        <v>887</v>
      </c>
      <c r="B346" s="109">
        <v>1374300</v>
      </c>
      <c r="C346" s="110" t="s">
        <v>857</v>
      </c>
      <c r="D346" s="111" t="s">
        <v>888</v>
      </c>
      <c r="E346" s="111" t="s">
        <v>889</v>
      </c>
      <c r="F346" s="112" t="s">
        <v>871</v>
      </c>
      <c r="G346" s="112" t="s">
        <v>872</v>
      </c>
      <c r="H346" s="113" t="s">
        <v>890</v>
      </c>
      <c r="I346" s="86" t="s">
        <v>690</v>
      </c>
      <c r="J346" s="86" t="s">
        <v>14</v>
      </c>
    </row>
    <row r="347" spans="1:10" x14ac:dyDescent="0.3">
      <c r="A347" s="108" t="s">
        <v>891</v>
      </c>
      <c r="B347" s="109">
        <v>1305480</v>
      </c>
      <c r="C347" s="110" t="s">
        <v>857</v>
      </c>
      <c r="D347" s="111" t="s">
        <v>892</v>
      </c>
      <c r="E347" s="111" t="s">
        <v>844</v>
      </c>
      <c r="F347" s="112" t="s">
        <v>892</v>
      </c>
      <c r="G347" s="112" t="s">
        <v>844</v>
      </c>
      <c r="H347" s="113" t="s">
        <v>893</v>
      </c>
      <c r="I347" s="86" t="s">
        <v>688</v>
      </c>
      <c r="J347" s="86" t="s">
        <v>13</v>
      </c>
    </row>
    <row r="348" spans="1:10" x14ac:dyDescent="0.3">
      <c r="A348" s="108" t="s">
        <v>894</v>
      </c>
      <c r="B348" s="109">
        <v>1012500</v>
      </c>
      <c r="C348" s="110" t="s">
        <v>857</v>
      </c>
      <c r="D348" s="111" t="s">
        <v>895</v>
      </c>
      <c r="E348" s="111" t="s">
        <v>896</v>
      </c>
      <c r="F348" s="112" t="s">
        <v>895</v>
      </c>
      <c r="G348" s="112" t="s">
        <v>896</v>
      </c>
      <c r="H348" s="113" t="s">
        <v>897</v>
      </c>
      <c r="I348" s="86" t="s">
        <v>691</v>
      </c>
      <c r="J348" s="86" t="s">
        <v>17</v>
      </c>
    </row>
    <row r="349" spans="1:10" x14ac:dyDescent="0.3">
      <c r="A349" s="108" t="s">
        <v>898</v>
      </c>
      <c r="B349" s="109">
        <v>920870</v>
      </c>
      <c r="C349" s="110" t="s">
        <v>857</v>
      </c>
      <c r="D349" s="111" t="s">
        <v>899</v>
      </c>
      <c r="E349" s="111" t="s">
        <v>896</v>
      </c>
      <c r="F349" s="112" t="s">
        <v>899</v>
      </c>
      <c r="G349" s="112" t="s">
        <v>896</v>
      </c>
      <c r="H349" s="113" t="s">
        <v>900</v>
      </c>
      <c r="I349" s="86" t="s">
        <v>690</v>
      </c>
      <c r="J349" s="86" t="s">
        <v>14</v>
      </c>
    </row>
    <row r="350" spans="1:10" x14ac:dyDescent="0.3">
      <c r="A350" s="108" t="s">
        <v>901</v>
      </c>
      <c r="B350" s="109">
        <v>900000</v>
      </c>
      <c r="C350" s="110" t="s">
        <v>857</v>
      </c>
      <c r="D350" s="111" t="s">
        <v>902</v>
      </c>
      <c r="E350" s="111" t="s">
        <v>835</v>
      </c>
      <c r="F350" s="112" t="s">
        <v>902</v>
      </c>
      <c r="G350" s="112" t="s">
        <v>835</v>
      </c>
      <c r="H350" s="113" t="s">
        <v>903</v>
      </c>
      <c r="I350" s="86" t="s">
        <v>688</v>
      </c>
      <c r="J350" s="86" t="s">
        <v>13</v>
      </c>
    </row>
    <row r="351" spans="1:10" x14ac:dyDescent="0.3">
      <c r="A351" s="108" t="s">
        <v>887</v>
      </c>
      <c r="B351" s="109">
        <v>774937</v>
      </c>
      <c r="C351" s="110" t="s">
        <v>857</v>
      </c>
      <c r="D351" s="111" t="s">
        <v>904</v>
      </c>
      <c r="E351" s="111" t="s">
        <v>905</v>
      </c>
      <c r="F351" s="112" t="s">
        <v>904</v>
      </c>
      <c r="G351" s="112" t="s">
        <v>905</v>
      </c>
      <c r="H351" s="113" t="s">
        <v>906</v>
      </c>
      <c r="I351" s="86" t="s">
        <v>690</v>
      </c>
      <c r="J351" s="86" t="s">
        <v>14</v>
      </c>
    </row>
    <row r="352" spans="1:10" x14ac:dyDescent="0.3">
      <c r="A352" s="108" t="s">
        <v>907</v>
      </c>
      <c r="B352" s="109">
        <v>750000</v>
      </c>
      <c r="C352" s="110" t="s">
        <v>857</v>
      </c>
      <c r="D352" s="111" t="s">
        <v>908</v>
      </c>
      <c r="E352" s="111" t="s">
        <v>909</v>
      </c>
      <c r="F352" s="112" t="s">
        <v>908</v>
      </c>
      <c r="G352" s="112" t="s">
        <v>909</v>
      </c>
      <c r="H352" s="113" t="s">
        <v>910</v>
      </c>
      <c r="I352" s="86" t="s">
        <v>690</v>
      </c>
      <c r="J352" s="86" t="s">
        <v>14</v>
      </c>
    </row>
    <row r="353" spans="1:10" x14ac:dyDescent="0.3">
      <c r="A353" s="108" t="s">
        <v>911</v>
      </c>
      <c r="B353" s="109">
        <v>692100</v>
      </c>
      <c r="C353" s="110" t="s">
        <v>857</v>
      </c>
      <c r="D353" s="111" t="s">
        <v>912</v>
      </c>
      <c r="E353" s="111" t="s">
        <v>913</v>
      </c>
      <c r="F353" s="112" t="s">
        <v>912</v>
      </c>
      <c r="G353" s="112" t="s">
        <v>913</v>
      </c>
      <c r="H353" s="114" t="s">
        <v>914</v>
      </c>
      <c r="I353" s="86" t="s">
        <v>690</v>
      </c>
      <c r="J353" s="86" t="s">
        <v>14</v>
      </c>
    </row>
    <row r="354" spans="1:10" x14ac:dyDescent="0.3">
      <c r="A354" s="108" t="s">
        <v>887</v>
      </c>
      <c r="B354" s="109">
        <v>570000</v>
      </c>
      <c r="C354" s="110" t="s">
        <v>857</v>
      </c>
      <c r="D354" s="111" t="s">
        <v>915</v>
      </c>
      <c r="E354" s="111" t="s">
        <v>916</v>
      </c>
      <c r="F354" s="112" t="s">
        <v>871</v>
      </c>
      <c r="G354" s="115" t="s">
        <v>872</v>
      </c>
      <c r="H354" s="113" t="s">
        <v>917</v>
      </c>
      <c r="I354" s="86" t="s">
        <v>690</v>
      </c>
      <c r="J354" s="86" t="s">
        <v>14</v>
      </c>
    </row>
    <row r="355" spans="1:10" x14ac:dyDescent="0.3">
      <c r="A355" s="108" t="s">
        <v>918</v>
      </c>
      <c r="B355" s="109">
        <v>548100</v>
      </c>
      <c r="C355" s="110" t="s">
        <v>857</v>
      </c>
      <c r="D355" s="111" t="s">
        <v>919</v>
      </c>
      <c r="E355" s="111" t="s">
        <v>920</v>
      </c>
      <c r="F355" s="112" t="s">
        <v>921</v>
      </c>
      <c r="G355" s="112" t="s">
        <v>839</v>
      </c>
      <c r="H355" s="113" t="s">
        <v>922</v>
      </c>
      <c r="I355" s="86" t="s">
        <v>692</v>
      </c>
      <c r="J355" s="86" t="s">
        <v>10</v>
      </c>
    </row>
    <row r="356" spans="1:10" x14ac:dyDescent="0.3">
      <c r="A356" s="108" t="s">
        <v>923</v>
      </c>
      <c r="B356" s="109">
        <v>547097</v>
      </c>
      <c r="C356" s="110" t="s">
        <v>857</v>
      </c>
      <c r="D356" s="111" t="s">
        <v>924</v>
      </c>
      <c r="E356" s="111" t="s">
        <v>925</v>
      </c>
      <c r="F356" s="112" t="s">
        <v>924</v>
      </c>
      <c r="G356" s="112" t="s">
        <v>925</v>
      </c>
      <c r="H356" s="113" t="s">
        <v>926</v>
      </c>
      <c r="I356" s="86" t="s">
        <v>688</v>
      </c>
      <c r="J356" s="86" t="s">
        <v>13</v>
      </c>
    </row>
    <row r="357" spans="1:10" x14ac:dyDescent="0.3">
      <c r="A357" s="108" t="s">
        <v>927</v>
      </c>
      <c r="B357" s="109">
        <v>450000</v>
      </c>
      <c r="C357" s="110" t="s">
        <v>857</v>
      </c>
      <c r="D357" s="111" t="s">
        <v>928</v>
      </c>
      <c r="E357" s="111" t="s">
        <v>859</v>
      </c>
      <c r="F357" s="112" t="s">
        <v>928</v>
      </c>
      <c r="G357" s="115" t="s">
        <v>859</v>
      </c>
      <c r="H357" s="113" t="s">
        <v>929</v>
      </c>
      <c r="I357" s="86" t="s">
        <v>688</v>
      </c>
      <c r="J357" s="86" t="s">
        <v>13</v>
      </c>
    </row>
    <row r="358" spans="1:10" x14ac:dyDescent="0.3">
      <c r="A358" s="108" t="s">
        <v>923</v>
      </c>
      <c r="B358" s="109">
        <v>225000</v>
      </c>
      <c r="C358" s="116" t="s">
        <v>857</v>
      </c>
      <c r="D358" s="111" t="s">
        <v>930</v>
      </c>
      <c r="E358" s="111" t="s">
        <v>931</v>
      </c>
      <c r="F358" s="112" t="s">
        <v>930</v>
      </c>
      <c r="G358" s="112" t="s">
        <v>931</v>
      </c>
      <c r="H358" s="113" t="s">
        <v>932</v>
      </c>
      <c r="I358" s="86" t="s">
        <v>688</v>
      </c>
      <c r="J358" s="86" t="s">
        <v>13</v>
      </c>
    </row>
    <row r="359" spans="1:10" x14ac:dyDescent="0.3">
      <c r="A359" s="108" t="s">
        <v>933</v>
      </c>
      <c r="B359" s="109">
        <v>192000</v>
      </c>
      <c r="C359" s="110" t="s">
        <v>857</v>
      </c>
      <c r="D359" s="111" t="s">
        <v>934</v>
      </c>
      <c r="E359" s="111" t="s">
        <v>913</v>
      </c>
      <c r="F359" s="112" t="s">
        <v>934</v>
      </c>
      <c r="G359" s="112" t="s">
        <v>913</v>
      </c>
      <c r="H359" s="113" t="s">
        <v>935</v>
      </c>
      <c r="I359" s="86" t="s">
        <v>693</v>
      </c>
      <c r="J359" s="86" t="s">
        <v>11</v>
      </c>
    </row>
    <row r="360" spans="1:10" x14ac:dyDescent="0.3">
      <c r="A360" s="108" t="s">
        <v>933</v>
      </c>
      <c r="B360" s="109">
        <v>82500</v>
      </c>
      <c r="C360" s="110" t="s">
        <v>857</v>
      </c>
      <c r="D360" s="111" t="s">
        <v>936</v>
      </c>
      <c r="E360" s="111" t="s">
        <v>884</v>
      </c>
      <c r="F360" s="112" t="s">
        <v>936</v>
      </c>
      <c r="G360" s="112" t="s">
        <v>884</v>
      </c>
      <c r="H360" s="113" t="s">
        <v>935</v>
      </c>
      <c r="I360" s="86" t="s">
        <v>693</v>
      </c>
      <c r="J360" s="86" t="s">
        <v>11</v>
      </c>
    </row>
    <row r="361" spans="1:10" x14ac:dyDescent="0.3">
      <c r="A361" s="108" t="s">
        <v>937</v>
      </c>
      <c r="B361" s="109">
        <v>4767438</v>
      </c>
      <c r="C361" s="110" t="s">
        <v>938</v>
      </c>
      <c r="D361" s="111" t="s">
        <v>939</v>
      </c>
      <c r="E361" s="111" t="s">
        <v>829</v>
      </c>
      <c r="F361" s="112" t="s">
        <v>940</v>
      </c>
      <c r="G361" s="112" t="s">
        <v>941</v>
      </c>
      <c r="H361" s="113" t="s">
        <v>942</v>
      </c>
      <c r="I361" s="86" t="s">
        <v>690</v>
      </c>
      <c r="J361" s="86" t="s">
        <v>14</v>
      </c>
    </row>
    <row r="362" spans="1:10" x14ac:dyDescent="0.3">
      <c r="A362" s="108" t="s">
        <v>943</v>
      </c>
      <c r="B362" s="109">
        <v>75000</v>
      </c>
      <c r="C362" s="110" t="s">
        <v>938</v>
      </c>
      <c r="D362" s="111" t="s">
        <v>944</v>
      </c>
      <c r="E362" s="111" t="s">
        <v>945</v>
      </c>
      <c r="F362" s="112" t="s">
        <v>944</v>
      </c>
      <c r="G362" s="112" t="s">
        <v>945</v>
      </c>
      <c r="H362" s="113" t="s">
        <v>946</v>
      </c>
      <c r="I362" s="86" t="s">
        <v>690</v>
      </c>
      <c r="J362" s="86" t="s">
        <v>14</v>
      </c>
    </row>
    <row r="363" spans="1:10" x14ac:dyDescent="0.3">
      <c r="A363" s="108" t="s">
        <v>947</v>
      </c>
      <c r="B363" s="109">
        <v>5300100</v>
      </c>
      <c r="C363" s="110" t="s">
        <v>948</v>
      </c>
      <c r="D363" s="111" t="s">
        <v>949</v>
      </c>
      <c r="E363" s="111" t="s">
        <v>931</v>
      </c>
      <c r="F363" s="112" t="s">
        <v>949</v>
      </c>
      <c r="G363" s="112" t="s">
        <v>931</v>
      </c>
      <c r="H363" s="114" t="s">
        <v>950</v>
      </c>
      <c r="I363" s="86" t="s">
        <v>690</v>
      </c>
      <c r="J363" s="86" t="s">
        <v>14</v>
      </c>
    </row>
    <row r="364" spans="1:10" x14ac:dyDescent="0.3">
      <c r="A364" s="108" t="s">
        <v>951</v>
      </c>
      <c r="B364" s="109">
        <v>210000</v>
      </c>
      <c r="C364" s="110" t="s">
        <v>948</v>
      </c>
      <c r="D364" s="111" t="s">
        <v>952</v>
      </c>
      <c r="E364" s="111" t="s">
        <v>953</v>
      </c>
      <c r="F364" s="112" t="s">
        <v>952</v>
      </c>
      <c r="G364" s="112" t="s">
        <v>953</v>
      </c>
      <c r="H364" s="114" t="s">
        <v>954</v>
      </c>
      <c r="I364" s="86" t="s">
        <v>690</v>
      </c>
      <c r="J364" s="86" t="s">
        <v>14</v>
      </c>
    </row>
    <row r="365" spans="1:10" x14ac:dyDescent="0.3">
      <c r="A365" s="108" t="s">
        <v>955</v>
      </c>
      <c r="B365" s="109">
        <v>8941626</v>
      </c>
      <c r="C365" s="114" t="s">
        <v>956</v>
      </c>
      <c r="D365" s="111" t="s">
        <v>912</v>
      </c>
      <c r="E365" s="111" t="s">
        <v>913</v>
      </c>
      <c r="F365" s="115" t="s">
        <v>912</v>
      </c>
      <c r="G365" s="115" t="s">
        <v>913</v>
      </c>
      <c r="H365" s="117" t="s">
        <v>957</v>
      </c>
      <c r="I365" s="86" t="s">
        <v>690</v>
      </c>
      <c r="J365" s="86" t="s">
        <v>14</v>
      </c>
    </row>
    <row r="366" spans="1:10" x14ac:dyDescent="0.3">
      <c r="A366" s="108" t="s">
        <v>958</v>
      </c>
      <c r="B366" s="118">
        <v>112500</v>
      </c>
      <c r="C366" s="110" t="s">
        <v>956</v>
      </c>
      <c r="D366" s="111" t="s">
        <v>959</v>
      </c>
      <c r="E366" s="111" t="s">
        <v>859</v>
      </c>
      <c r="F366" s="112" t="s">
        <v>959</v>
      </c>
      <c r="G366" s="112" t="s">
        <v>859</v>
      </c>
      <c r="H366" s="119" t="s">
        <v>960</v>
      </c>
      <c r="I366" s="86" t="s">
        <v>690</v>
      </c>
      <c r="J366" s="86" t="s">
        <v>14</v>
      </c>
    </row>
    <row r="367" spans="1:10" x14ac:dyDescent="0.3">
      <c r="A367" s="108" t="s">
        <v>961</v>
      </c>
      <c r="B367" s="109">
        <v>110400000</v>
      </c>
      <c r="C367" s="110" t="s">
        <v>962</v>
      </c>
      <c r="D367" s="111" t="s">
        <v>963</v>
      </c>
      <c r="E367" s="111" t="s">
        <v>931</v>
      </c>
      <c r="F367" s="112" t="s">
        <v>964</v>
      </c>
      <c r="G367" s="112" t="s">
        <v>931</v>
      </c>
      <c r="H367" s="114" t="s">
        <v>965</v>
      </c>
      <c r="I367" s="86" t="s">
        <v>694</v>
      </c>
      <c r="J367" s="86" t="s">
        <v>16</v>
      </c>
    </row>
    <row r="368" spans="1:10" x14ac:dyDescent="0.3">
      <c r="A368" s="108" t="s">
        <v>966</v>
      </c>
      <c r="B368" s="109">
        <v>26862000</v>
      </c>
      <c r="C368" s="110" t="s">
        <v>962</v>
      </c>
      <c r="D368" s="111" t="s">
        <v>967</v>
      </c>
      <c r="E368" s="111" t="s">
        <v>968</v>
      </c>
      <c r="F368" s="112" t="s">
        <v>967</v>
      </c>
      <c r="G368" s="112" t="s">
        <v>968</v>
      </c>
      <c r="H368" s="113" t="s">
        <v>969</v>
      </c>
      <c r="I368" s="86" t="s">
        <v>690</v>
      </c>
      <c r="J368" s="86" t="s">
        <v>14</v>
      </c>
    </row>
    <row r="369" spans="1:10" x14ac:dyDescent="0.3">
      <c r="A369" s="108" t="s">
        <v>870</v>
      </c>
      <c r="B369" s="109">
        <v>11860058</v>
      </c>
      <c r="C369" s="110" t="s">
        <v>962</v>
      </c>
      <c r="D369" s="111" t="s">
        <v>970</v>
      </c>
      <c r="E369" s="111" t="s">
        <v>971</v>
      </c>
      <c r="F369" s="120" t="s">
        <v>972</v>
      </c>
      <c r="G369" s="120" t="s">
        <v>972</v>
      </c>
      <c r="H369" s="113" t="s">
        <v>973</v>
      </c>
      <c r="I369" s="86" t="s">
        <v>694</v>
      </c>
      <c r="J369" s="86" t="s">
        <v>16</v>
      </c>
    </row>
    <row r="370" spans="1:10" x14ac:dyDescent="0.3">
      <c r="A370" s="108" t="s">
        <v>974</v>
      </c>
      <c r="B370" s="109">
        <v>8700000</v>
      </c>
      <c r="C370" s="110" t="s">
        <v>962</v>
      </c>
      <c r="D370" s="111" t="s">
        <v>871</v>
      </c>
      <c r="E370" s="111" t="s">
        <v>872</v>
      </c>
      <c r="F370" s="112" t="s">
        <v>871</v>
      </c>
      <c r="G370" s="112" t="s">
        <v>872</v>
      </c>
      <c r="H370" s="113" t="s">
        <v>975</v>
      </c>
      <c r="I370" s="86" t="s">
        <v>688</v>
      </c>
      <c r="J370" s="86" t="s">
        <v>13</v>
      </c>
    </row>
    <row r="371" spans="1:10" x14ac:dyDescent="0.3">
      <c r="A371" s="108" t="s">
        <v>976</v>
      </c>
      <c r="B371" s="109">
        <v>4800000</v>
      </c>
      <c r="C371" s="110" t="s">
        <v>962</v>
      </c>
      <c r="D371" s="111" t="s">
        <v>871</v>
      </c>
      <c r="E371" s="111" t="s">
        <v>872</v>
      </c>
      <c r="F371" s="112" t="s">
        <v>871</v>
      </c>
      <c r="G371" s="112" t="s">
        <v>872</v>
      </c>
      <c r="H371" s="113" t="s">
        <v>977</v>
      </c>
      <c r="I371" s="86" t="s">
        <v>688</v>
      </c>
      <c r="J371" s="86" t="s">
        <v>13</v>
      </c>
    </row>
    <row r="372" spans="1:10" x14ac:dyDescent="0.3">
      <c r="A372" s="108" t="s">
        <v>978</v>
      </c>
      <c r="B372" s="109">
        <v>2443547</v>
      </c>
      <c r="C372" s="110" t="s">
        <v>962</v>
      </c>
      <c r="D372" s="111" t="s">
        <v>979</v>
      </c>
      <c r="E372" s="111" t="s">
        <v>945</v>
      </c>
      <c r="F372" s="112" t="s">
        <v>979</v>
      </c>
      <c r="G372" s="112" t="s">
        <v>945</v>
      </c>
      <c r="H372" s="113" t="s">
        <v>980</v>
      </c>
      <c r="I372" s="86" t="s">
        <v>695</v>
      </c>
      <c r="J372" s="86" t="s">
        <v>42</v>
      </c>
    </row>
    <row r="373" spans="1:10" x14ac:dyDescent="0.3">
      <c r="A373" s="108" t="s">
        <v>981</v>
      </c>
      <c r="B373" s="109">
        <v>834000</v>
      </c>
      <c r="C373" s="110" t="s">
        <v>962</v>
      </c>
      <c r="D373" s="111" t="s">
        <v>828</v>
      </c>
      <c r="E373" s="111" t="s">
        <v>829</v>
      </c>
      <c r="F373" s="112" t="s">
        <v>828</v>
      </c>
      <c r="G373" s="112" t="s">
        <v>829</v>
      </c>
      <c r="H373" s="113" t="s">
        <v>982</v>
      </c>
      <c r="I373" s="86" t="s">
        <v>688</v>
      </c>
      <c r="J373" s="86" t="s">
        <v>13</v>
      </c>
    </row>
    <row r="374" spans="1:10" x14ac:dyDescent="0.3">
      <c r="A374" s="108" t="s">
        <v>951</v>
      </c>
      <c r="B374" s="109">
        <v>604350</v>
      </c>
      <c r="C374" s="110" t="s">
        <v>962</v>
      </c>
      <c r="D374" s="111" t="s">
        <v>952</v>
      </c>
      <c r="E374" s="111" t="s">
        <v>953</v>
      </c>
      <c r="F374" s="112" t="s">
        <v>983</v>
      </c>
      <c r="G374" s="112" t="s">
        <v>984</v>
      </c>
      <c r="H374" s="114" t="s">
        <v>985</v>
      </c>
      <c r="I374" s="86" t="s">
        <v>688</v>
      </c>
      <c r="J374" s="86" t="s">
        <v>13</v>
      </c>
    </row>
    <row r="375" spans="1:10" x14ac:dyDescent="0.3">
      <c r="A375" s="108" t="s">
        <v>986</v>
      </c>
      <c r="B375" s="109">
        <v>63000000</v>
      </c>
      <c r="C375" s="110" t="s">
        <v>987</v>
      </c>
      <c r="D375" s="111" t="s">
        <v>988</v>
      </c>
      <c r="E375" s="111" t="s">
        <v>876</v>
      </c>
      <c r="F375" s="112" t="s">
        <v>989</v>
      </c>
      <c r="G375" s="112" t="s">
        <v>931</v>
      </c>
      <c r="H375" s="113" t="s">
        <v>990</v>
      </c>
      <c r="I375" s="86" t="s">
        <v>690</v>
      </c>
      <c r="J375" s="86" t="s">
        <v>14</v>
      </c>
    </row>
    <row r="376" spans="1:10" x14ac:dyDescent="0.3">
      <c r="A376" s="108" t="s">
        <v>991</v>
      </c>
      <c r="B376" s="109">
        <v>10800000</v>
      </c>
      <c r="C376" s="110" t="s">
        <v>987</v>
      </c>
      <c r="D376" s="111" t="s">
        <v>992</v>
      </c>
      <c r="E376" s="111" t="s">
        <v>993</v>
      </c>
      <c r="F376" s="112" t="s">
        <v>992</v>
      </c>
      <c r="G376" s="112" t="s">
        <v>993</v>
      </c>
      <c r="H376" s="113" t="s">
        <v>994</v>
      </c>
      <c r="I376" s="86" t="s">
        <v>688</v>
      </c>
      <c r="J376" s="86" t="s">
        <v>13</v>
      </c>
    </row>
    <row r="377" spans="1:10" x14ac:dyDescent="0.3">
      <c r="A377" s="108" t="s">
        <v>995</v>
      </c>
      <c r="B377" s="109">
        <v>12450000</v>
      </c>
      <c r="C377" s="110" t="s">
        <v>996</v>
      </c>
      <c r="D377" s="111" t="s">
        <v>997</v>
      </c>
      <c r="E377" s="111" t="s">
        <v>945</v>
      </c>
      <c r="F377" s="112" t="s">
        <v>997</v>
      </c>
      <c r="G377" s="112" t="s">
        <v>945</v>
      </c>
      <c r="H377" s="114" t="s">
        <v>998</v>
      </c>
      <c r="I377" s="86" t="s">
        <v>688</v>
      </c>
      <c r="J377" s="86" t="s">
        <v>13</v>
      </c>
    </row>
    <row r="378" spans="1:10" x14ac:dyDescent="0.3">
      <c r="A378" s="108" t="s">
        <v>999</v>
      </c>
      <c r="B378" s="109">
        <v>5151000</v>
      </c>
      <c r="C378" s="110" t="s">
        <v>996</v>
      </c>
      <c r="D378" s="111" t="s">
        <v>1000</v>
      </c>
      <c r="E378" s="111" t="s">
        <v>968</v>
      </c>
      <c r="F378" s="115" t="s">
        <v>1000</v>
      </c>
      <c r="G378" s="112" t="s">
        <v>968</v>
      </c>
      <c r="H378" s="113" t="s">
        <v>1001</v>
      </c>
      <c r="I378" s="86" t="s">
        <v>688</v>
      </c>
      <c r="J378" s="86" t="s">
        <v>13</v>
      </c>
    </row>
    <row r="379" spans="1:10" x14ac:dyDescent="0.3">
      <c r="A379" s="108" t="s">
        <v>1002</v>
      </c>
      <c r="B379" s="109">
        <v>5100000</v>
      </c>
      <c r="C379" s="110" t="s">
        <v>996</v>
      </c>
      <c r="D379" s="111" t="s">
        <v>919</v>
      </c>
      <c r="E379" s="111" t="s">
        <v>920</v>
      </c>
      <c r="F379" s="112" t="s">
        <v>919</v>
      </c>
      <c r="G379" s="112" t="s">
        <v>920</v>
      </c>
      <c r="H379" s="113" t="s">
        <v>1003</v>
      </c>
      <c r="I379" s="86" t="s">
        <v>688</v>
      </c>
      <c r="J379" s="86" t="s">
        <v>13</v>
      </c>
    </row>
    <row r="380" spans="1:10" x14ac:dyDescent="0.3">
      <c r="A380" s="108" t="s">
        <v>1004</v>
      </c>
      <c r="B380" s="109">
        <v>4890000</v>
      </c>
      <c r="C380" s="110" t="s">
        <v>996</v>
      </c>
      <c r="D380" s="111" t="s">
        <v>1005</v>
      </c>
      <c r="E380" s="111" t="s">
        <v>968</v>
      </c>
      <c r="F380" s="112" t="s">
        <v>1005</v>
      </c>
      <c r="G380" s="112" t="s">
        <v>968</v>
      </c>
      <c r="H380" s="113" t="s">
        <v>1006</v>
      </c>
      <c r="I380" s="86" t="s">
        <v>696</v>
      </c>
      <c r="J380" s="86" t="s">
        <v>44</v>
      </c>
    </row>
    <row r="381" spans="1:10" x14ac:dyDescent="0.3">
      <c r="A381" s="108" t="s">
        <v>1007</v>
      </c>
      <c r="B381" s="109">
        <v>3000000</v>
      </c>
      <c r="C381" s="110" t="s">
        <v>996</v>
      </c>
      <c r="D381" s="111" t="s">
        <v>1008</v>
      </c>
      <c r="E381" s="111" t="s">
        <v>896</v>
      </c>
      <c r="F381" s="112" t="s">
        <v>1008</v>
      </c>
      <c r="G381" s="112" t="s">
        <v>896</v>
      </c>
      <c r="H381" s="113" t="s">
        <v>1009</v>
      </c>
      <c r="I381" s="86" t="s">
        <v>688</v>
      </c>
      <c r="J381" s="86" t="s">
        <v>13</v>
      </c>
    </row>
    <row r="382" spans="1:10" x14ac:dyDescent="0.3">
      <c r="A382" s="108" t="s">
        <v>1010</v>
      </c>
      <c r="B382" s="109">
        <v>2211000</v>
      </c>
      <c r="C382" s="110" t="s">
        <v>996</v>
      </c>
      <c r="D382" s="111" t="s">
        <v>1011</v>
      </c>
      <c r="E382" s="111" t="s">
        <v>1012</v>
      </c>
      <c r="F382" s="112" t="s">
        <v>1011</v>
      </c>
      <c r="G382" s="112" t="s">
        <v>1012</v>
      </c>
      <c r="H382" s="113" t="s">
        <v>1013</v>
      </c>
      <c r="I382" s="86" t="s">
        <v>688</v>
      </c>
      <c r="J382" s="86" t="s">
        <v>13</v>
      </c>
    </row>
    <row r="383" spans="1:10" x14ac:dyDescent="0.3">
      <c r="A383" s="108" t="s">
        <v>1014</v>
      </c>
      <c r="B383" s="109">
        <v>1508973</v>
      </c>
      <c r="C383" s="110" t="s">
        <v>996</v>
      </c>
      <c r="D383" s="111" t="s">
        <v>1015</v>
      </c>
      <c r="E383" s="111" t="s">
        <v>829</v>
      </c>
      <c r="F383" s="112" t="s">
        <v>989</v>
      </c>
      <c r="G383" s="112" t="s">
        <v>909</v>
      </c>
      <c r="H383" s="113" t="s">
        <v>1016</v>
      </c>
      <c r="I383" s="86" t="s">
        <v>688</v>
      </c>
      <c r="J383" s="86" t="s">
        <v>13</v>
      </c>
    </row>
    <row r="384" spans="1:10" x14ac:dyDescent="0.3">
      <c r="A384" s="108" t="s">
        <v>1017</v>
      </c>
      <c r="B384" s="109">
        <v>846180</v>
      </c>
      <c r="C384" s="110" t="s">
        <v>996</v>
      </c>
      <c r="D384" s="111" t="s">
        <v>997</v>
      </c>
      <c r="E384" s="111" t="s">
        <v>945</v>
      </c>
      <c r="F384" s="112" t="s">
        <v>997</v>
      </c>
      <c r="G384" s="112" t="s">
        <v>945</v>
      </c>
      <c r="H384" s="113" t="s">
        <v>1018</v>
      </c>
      <c r="I384" s="86" t="s">
        <v>688</v>
      </c>
      <c r="J384" s="86" t="s">
        <v>13</v>
      </c>
    </row>
    <row r="385" spans="1:10" x14ac:dyDescent="0.3">
      <c r="A385" s="108" t="s">
        <v>1017</v>
      </c>
      <c r="B385" s="109">
        <v>495510</v>
      </c>
      <c r="C385" s="110" t="s">
        <v>996</v>
      </c>
      <c r="D385" s="111" t="s">
        <v>1019</v>
      </c>
      <c r="E385" s="111" t="s">
        <v>859</v>
      </c>
      <c r="F385" s="112" t="s">
        <v>1019</v>
      </c>
      <c r="G385" s="112" t="s">
        <v>859</v>
      </c>
      <c r="H385" s="113" t="s">
        <v>1020</v>
      </c>
      <c r="I385" s="86" t="s">
        <v>688</v>
      </c>
      <c r="J385" s="86" t="s">
        <v>13</v>
      </c>
    </row>
    <row r="386" spans="1:10" x14ac:dyDescent="0.3">
      <c r="A386" s="108" t="s">
        <v>1021</v>
      </c>
      <c r="B386" s="109">
        <v>141870000</v>
      </c>
      <c r="C386" s="110" t="s">
        <v>1022</v>
      </c>
      <c r="D386" s="111" t="s">
        <v>1023</v>
      </c>
      <c r="E386" s="111" t="s">
        <v>844</v>
      </c>
      <c r="F386" s="112" t="s">
        <v>1023</v>
      </c>
      <c r="G386" s="112" t="s">
        <v>844</v>
      </c>
      <c r="H386" s="113" t="s">
        <v>1024</v>
      </c>
      <c r="I386" s="86" t="s">
        <v>688</v>
      </c>
      <c r="J386" s="86" t="s">
        <v>13</v>
      </c>
    </row>
    <row r="387" spans="1:10" x14ac:dyDescent="0.3">
      <c r="A387" s="108" t="s">
        <v>1025</v>
      </c>
      <c r="B387" s="109">
        <v>128482287</v>
      </c>
      <c r="C387" s="110" t="s">
        <v>1022</v>
      </c>
      <c r="D387" s="111" t="s">
        <v>1026</v>
      </c>
      <c r="E387" s="111" t="s">
        <v>876</v>
      </c>
      <c r="F387" s="112" t="s">
        <v>1026</v>
      </c>
      <c r="G387" s="112" t="s">
        <v>876</v>
      </c>
      <c r="H387" s="114" t="s">
        <v>1027</v>
      </c>
      <c r="I387" s="86" t="s">
        <v>688</v>
      </c>
      <c r="J387" s="86" t="s">
        <v>13</v>
      </c>
    </row>
    <row r="388" spans="1:10" x14ac:dyDescent="0.3">
      <c r="A388" s="108" t="s">
        <v>1028</v>
      </c>
      <c r="B388" s="109">
        <v>82200000</v>
      </c>
      <c r="C388" s="110" t="s">
        <v>1022</v>
      </c>
      <c r="D388" s="111" t="s">
        <v>1029</v>
      </c>
      <c r="E388" s="111" t="s">
        <v>1030</v>
      </c>
      <c r="F388" s="112" t="s">
        <v>1029</v>
      </c>
      <c r="G388" s="112" t="s">
        <v>1030</v>
      </c>
      <c r="H388" s="113" t="s">
        <v>1031</v>
      </c>
      <c r="I388" s="86" t="s">
        <v>688</v>
      </c>
      <c r="J388" s="86" t="s">
        <v>13</v>
      </c>
    </row>
    <row r="389" spans="1:10" x14ac:dyDescent="0.3">
      <c r="A389" s="108" t="s">
        <v>1032</v>
      </c>
      <c r="B389" s="109">
        <v>2674236</v>
      </c>
      <c r="C389" s="110" t="s">
        <v>1022</v>
      </c>
      <c r="D389" s="111" t="s">
        <v>1033</v>
      </c>
      <c r="E389" s="111" t="s">
        <v>1034</v>
      </c>
      <c r="F389" s="112" t="s">
        <v>1033</v>
      </c>
      <c r="G389" s="112" t="s">
        <v>1034</v>
      </c>
      <c r="H389" s="113" t="s">
        <v>1035</v>
      </c>
      <c r="I389" s="86" t="s">
        <v>688</v>
      </c>
      <c r="J389" s="86" t="s">
        <v>13</v>
      </c>
    </row>
    <row r="390" spans="1:10" x14ac:dyDescent="0.3">
      <c r="A390" s="108" t="s">
        <v>1036</v>
      </c>
      <c r="B390" s="109">
        <v>1230000</v>
      </c>
      <c r="C390" s="110" t="s">
        <v>1022</v>
      </c>
      <c r="D390" s="111" t="s">
        <v>1037</v>
      </c>
      <c r="E390" s="111" t="s">
        <v>909</v>
      </c>
      <c r="F390" s="112" t="s">
        <v>1037</v>
      </c>
      <c r="G390" s="112" t="s">
        <v>909</v>
      </c>
      <c r="H390" s="113" t="s">
        <v>1038</v>
      </c>
      <c r="I390" s="86" t="s">
        <v>688</v>
      </c>
      <c r="J390" s="86" t="s">
        <v>13</v>
      </c>
    </row>
    <row r="391" spans="1:10" x14ac:dyDescent="0.3">
      <c r="A391" s="108" t="s">
        <v>1032</v>
      </c>
      <c r="B391" s="109">
        <v>731207</v>
      </c>
      <c r="C391" s="110" t="s">
        <v>1022</v>
      </c>
      <c r="D391" s="111" t="s">
        <v>1039</v>
      </c>
      <c r="E391" s="111" t="s">
        <v>1040</v>
      </c>
      <c r="F391" s="112" t="s">
        <v>1039</v>
      </c>
      <c r="G391" s="112" t="s">
        <v>1040</v>
      </c>
      <c r="H391" s="113" t="s">
        <v>1041</v>
      </c>
      <c r="I391" s="86" t="s">
        <v>688</v>
      </c>
      <c r="J391" s="86" t="s">
        <v>13</v>
      </c>
    </row>
    <row r="392" spans="1:10" x14ac:dyDescent="0.3">
      <c r="A392" s="108" t="s">
        <v>1042</v>
      </c>
      <c r="B392" s="109">
        <v>180000</v>
      </c>
      <c r="C392" s="110" t="s">
        <v>1022</v>
      </c>
      <c r="D392" s="111" t="s">
        <v>1043</v>
      </c>
      <c r="E392" s="111" t="s">
        <v>896</v>
      </c>
      <c r="F392" s="112" t="s">
        <v>1043</v>
      </c>
      <c r="G392" s="112" t="s">
        <v>896</v>
      </c>
      <c r="H392" s="113" t="s">
        <v>1044</v>
      </c>
      <c r="I392" s="86" t="s">
        <v>688</v>
      </c>
      <c r="J392" s="86" t="s">
        <v>13</v>
      </c>
    </row>
    <row r="393" spans="1:10" x14ac:dyDescent="0.3">
      <c r="A393" s="108" t="s">
        <v>1045</v>
      </c>
      <c r="B393" s="109">
        <v>51563980</v>
      </c>
      <c r="C393" s="110" t="s">
        <v>1046</v>
      </c>
      <c r="D393" s="111" t="s">
        <v>921</v>
      </c>
      <c r="E393" s="111" t="s">
        <v>839</v>
      </c>
      <c r="F393" s="112" t="s">
        <v>921</v>
      </c>
      <c r="G393" s="112" t="s">
        <v>839</v>
      </c>
      <c r="H393" s="113" t="s">
        <v>1047</v>
      </c>
      <c r="I393" s="86" t="s">
        <v>688</v>
      </c>
      <c r="J393" s="86" t="s">
        <v>13</v>
      </c>
    </row>
    <row r="394" spans="1:10" x14ac:dyDescent="0.3">
      <c r="A394" s="108" t="s">
        <v>1048</v>
      </c>
      <c r="B394" s="109">
        <v>20400000</v>
      </c>
      <c r="C394" s="110" t="s">
        <v>1046</v>
      </c>
      <c r="D394" s="111" t="s">
        <v>1049</v>
      </c>
      <c r="E394" s="111" t="s">
        <v>1050</v>
      </c>
      <c r="F394" s="115" t="s">
        <v>1049</v>
      </c>
      <c r="G394" s="112" t="s">
        <v>1050</v>
      </c>
      <c r="H394" s="114" t="s">
        <v>1051</v>
      </c>
      <c r="I394" s="86" t="s">
        <v>688</v>
      </c>
      <c r="J394" s="86" t="s">
        <v>13</v>
      </c>
    </row>
    <row r="395" spans="1:10" x14ac:dyDescent="0.3">
      <c r="A395" s="108" t="s">
        <v>1052</v>
      </c>
      <c r="B395" s="109">
        <v>5700000</v>
      </c>
      <c r="C395" s="110" t="s">
        <v>1046</v>
      </c>
      <c r="D395" s="111" t="s">
        <v>1053</v>
      </c>
      <c r="E395" s="111" t="s">
        <v>1012</v>
      </c>
      <c r="F395" s="112" t="s">
        <v>1053</v>
      </c>
      <c r="G395" s="112" t="s">
        <v>1012</v>
      </c>
      <c r="H395" s="113" t="s">
        <v>1054</v>
      </c>
      <c r="I395" s="86" t="s">
        <v>688</v>
      </c>
      <c r="J395" s="86" t="s">
        <v>13</v>
      </c>
    </row>
    <row r="396" spans="1:10" x14ac:dyDescent="0.3">
      <c r="A396" s="108" t="s">
        <v>1055</v>
      </c>
      <c r="B396" s="109">
        <v>4740000</v>
      </c>
      <c r="C396" s="116" t="s">
        <v>1046</v>
      </c>
      <c r="D396" s="111" t="s">
        <v>1056</v>
      </c>
      <c r="E396" s="111" t="s">
        <v>1030</v>
      </c>
      <c r="F396" s="112" t="s">
        <v>1056</v>
      </c>
      <c r="G396" s="112" t="s">
        <v>1030</v>
      </c>
      <c r="H396" s="113" t="s">
        <v>1057</v>
      </c>
      <c r="I396" s="86" t="s">
        <v>688</v>
      </c>
      <c r="J396" s="86" t="s">
        <v>13</v>
      </c>
    </row>
    <row r="397" spans="1:10" x14ac:dyDescent="0.3">
      <c r="A397" s="108" t="s">
        <v>1058</v>
      </c>
      <c r="B397" s="109">
        <v>4534320</v>
      </c>
      <c r="C397" s="110" t="s">
        <v>1046</v>
      </c>
      <c r="D397" s="111" t="s">
        <v>1039</v>
      </c>
      <c r="E397" s="111" t="s">
        <v>1040</v>
      </c>
      <c r="F397" s="112" t="s">
        <v>1039</v>
      </c>
      <c r="G397" s="112" t="s">
        <v>1040</v>
      </c>
      <c r="H397" s="114" t="s">
        <v>1059</v>
      </c>
      <c r="I397" s="86" t="s">
        <v>688</v>
      </c>
      <c r="J397" s="86" t="s">
        <v>13</v>
      </c>
    </row>
    <row r="398" spans="1:10" x14ac:dyDescent="0.3">
      <c r="A398" s="108" t="s">
        <v>1060</v>
      </c>
      <c r="B398" s="109">
        <v>3756000</v>
      </c>
      <c r="C398" s="110" t="s">
        <v>1046</v>
      </c>
      <c r="D398" s="111" t="s">
        <v>1061</v>
      </c>
      <c r="E398" s="111" t="s">
        <v>884</v>
      </c>
      <c r="F398" s="112" t="s">
        <v>1061</v>
      </c>
      <c r="G398" s="112" t="s">
        <v>884</v>
      </c>
      <c r="H398" s="113" t="s">
        <v>1062</v>
      </c>
      <c r="I398" s="86" t="s">
        <v>688</v>
      </c>
      <c r="J398" s="86" t="s">
        <v>13</v>
      </c>
    </row>
    <row r="399" spans="1:10" x14ac:dyDescent="0.3">
      <c r="A399" s="108" t="s">
        <v>1063</v>
      </c>
      <c r="B399" s="109">
        <v>2105848</v>
      </c>
      <c r="C399" s="110" t="s">
        <v>1046</v>
      </c>
      <c r="D399" s="111" t="s">
        <v>1064</v>
      </c>
      <c r="E399" s="111" t="s">
        <v>1040</v>
      </c>
      <c r="F399" s="112" t="s">
        <v>1064</v>
      </c>
      <c r="G399" s="112" t="s">
        <v>1040</v>
      </c>
      <c r="H399" s="114" t="s">
        <v>1065</v>
      </c>
      <c r="I399" s="86" t="s">
        <v>688</v>
      </c>
      <c r="J399" s="86" t="s">
        <v>13</v>
      </c>
    </row>
    <row r="400" spans="1:10" x14ac:dyDescent="0.3">
      <c r="A400" s="108" t="s">
        <v>1066</v>
      </c>
      <c r="B400" s="109">
        <v>1650000</v>
      </c>
      <c r="C400" s="116" t="s">
        <v>1046</v>
      </c>
      <c r="D400" s="111" t="s">
        <v>1067</v>
      </c>
      <c r="E400" s="111" t="s">
        <v>876</v>
      </c>
      <c r="F400" s="112" t="s">
        <v>1067</v>
      </c>
      <c r="G400" s="112" t="s">
        <v>876</v>
      </c>
      <c r="H400" s="113" t="s">
        <v>1068</v>
      </c>
      <c r="I400" s="86" t="s">
        <v>688</v>
      </c>
      <c r="J400" s="86" t="s">
        <v>13</v>
      </c>
    </row>
    <row r="401" spans="1:10" x14ac:dyDescent="0.3">
      <c r="A401" s="108" t="s">
        <v>1069</v>
      </c>
      <c r="B401" s="109">
        <v>1611083</v>
      </c>
      <c r="C401" s="110" t="s">
        <v>1046</v>
      </c>
      <c r="D401" s="111" t="s">
        <v>1061</v>
      </c>
      <c r="E401" s="111" t="s">
        <v>884</v>
      </c>
      <c r="F401" s="112" t="s">
        <v>1061</v>
      </c>
      <c r="G401" s="112" t="s">
        <v>884</v>
      </c>
      <c r="H401" s="113" t="s">
        <v>1070</v>
      </c>
      <c r="I401" s="86" t="s">
        <v>688</v>
      </c>
      <c r="J401" s="86" t="s">
        <v>13</v>
      </c>
    </row>
    <row r="402" spans="1:10" x14ac:dyDescent="0.3">
      <c r="A402" s="108" t="s">
        <v>1071</v>
      </c>
      <c r="B402" s="109">
        <v>10692000</v>
      </c>
      <c r="C402" s="110" t="s">
        <v>1072</v>
      </c>
      <c r="D402" s="111" t="s">
        <v>1073</v>
      </c>
      <c r="E402" s="111" t="s">
        <v>1040</v>
      </c>
      <c r="F402" s="112" t="s">
        <v>1074</v>
      </c>
      <c r="G402" s="112" t="s">
        <v>839</v>
      </c>
      <c r="H402" s="113" t="s">
        <v>1075</v>
      </c>
      <c r="I402" s="86" t="s">
        <v>697</v>
      </c>
      <c r="J402" s="86" t="s">
        <v>41</v>
      </c>
    </row>
    <row r="403" spans="1:10" x14ac:dyDescent="0.3">
      <c r="A403" s="108" t="s">
        <v>1076</v>
      </c>
      <c r="B403" s="109">
        <v>10187618</v>
      </c>
      <c r="C403" s="110" t="s">
        <v>1072</v>
      </c>
      <c r="D403" s="111" t="s">
        <v>1077</v>
      </c>
      <c r="E403" s="111" t="s">
        <v>884</v>
      </c>
      <c r="F403" s="112" t="s">
        <v>1077</v>
      </c>
      <c r="G403" s="112" t="s">
        <v>884</v>
      </c>
      <c r="H403" s="113" t="s">
        <v>1078</v>
      </c>
      <c r="I403" s="86" t="s">
        <v>697</v>
      </c>
      <c r="J403" s="86" t="s">
        <v>41</v>
      </c>
    </row>
    <row r="404" spans="1:10" x14ac:dyDescent="0.3">
      <c r="A404" s="108" t="s">
        <v>1079</v>
      </c>
      <c r="B404" s="109">
        <v>9831000</v>
      </c>
      <c r="C404" s="110" t="s">
        <v>1072</v>
      </c>
      <c r="D404" s="111" t="s">
        <v>1080</v>
      </c>
      <c r="E404" s="111" t="s">
        <v>844</v>
      </c>
      <c r="F404" s="112" t="s">
        <v>1080</v>
      </c>
      <c r="G404" s="112" t="s">
        <v>844</v>
      </c>
      <c r="H404" s="113" t="s">
        <v>1081</v>
      </c>
      <c r="I404" s="86" t="s">
        <v>688</v>
      </c>
      <c r="J404" s="86" t="s">
        <v>13</v>
      </c>
    </row>
    <row r="405" spans="1:10" x14ac:dyDescent="0.3">
      <c r="A405" s="108" t="s">
        <v>1082</v>
      </c>
      <c r="B405" s="109">
        <v>8100000</v>
      </c>
      <c r="C405" s="110" t="s">
        <v>1072</v>
      </c>
      <c r="D405" s="111" t="s">
        <v>1083</v>
      </c>
      <c r="E405" s="111" t="s">
        <v>1040</v>
      </c>
      <c r="F405" s="112" t="s">
        <v>1083</v>
      </c>
      <c r="G405" s="112" t="s">
        <v>1040</v>
      </c>
      <c r="H405" s="113" t="s">
        <v>1084</v>
      </c>
      <c r="I405" s="86" t="s">
        <v>697</v>
      </c>
      <c r="J405" s="86" t="s">
        <v>41</v>
      </c>
    </row>
    <row r="406" spans="1:10" x14ac:dyDescent="0.3">
      <c r="A406" s="108" t="s">
        <v>1085</v>
      </c>
      <c r="B406" s="109">
        <v>3375000</v>
      </c>
      <c r="C406" s="110" t="s">
        <v>1072</v>
      </c>
      <c r="D406" s="111" t="s">
        <v>1086</v>
      </c>
      <c r="E406" s="111" t="s">
        <v>925</v>
      </c>
      <c r="F406" s="112" t="s">
        <v>1086</v>
      </c>
      <c r="G406" s="112" t="s">
        <v>925</v>
      </c>
      <c r="H406" s="113" t="s">
        <v>1087</v>
      </c>
      <c r="I406" s="86" t="s">
        <v>697</v>
      </c>
      <c r="J406" s="86" t="s">
        <v>41</v>
      </c>
    </row>
    <row r="407" spans="1:10" x14ac:dyDescent="0.3">
      <c r="A407" s="108" t="s">
        <v>1088</v>
      </c>
      <c r="B407" s="109">
        <v>2707560</v>
      </c>
      <c r="C407" s="110" t="s">
        <v>1072</v>
      </c>
      <c r="D407" s="111" t="s">
        <v>1089</v>
      </c>
      <c r="E407" s="111" t="s">
        <v>844</v>
      </c>
      <c r="F407" s="112" t="s">
        <v>1089</v>
      </c>
      <c r="G407" s="112" t="s">
        <v>844</v>
      </c>
      <c r="H407" s="113" t="s">
        <v>1090</v>
      </c>
      <c r="I407" s="86" t="s">
        <v>697</v>
      </c>
      <c r="J407" s="86" t="s">
        <v>41</v>
      </c>
    </row>
    <row r="408" spans="1:10" x14ac:dyDescent="0.3">
      <c r="A408" s="108" t="s">
        <v>1091</v>
      </c>
      <c r="B408" s="109">
        <v>1249800</v>
      </c>
      <c r="C408" s="110" t="s">
        <v>1072</v>
      </c>
      <c r="D408" s="111" t="s">
        <v>1086</v>
      </c>
      <c r="E408" s="111" t="s">
        <v>925</v>
      </c>
      <c r="F408" s="112" t="s">
        <v>1086</v>
      </c>
      <c r="G408" s="112" t="s">
        <v>925</v>
      </c>
      <c r="H408" s="113" t="s">
        <v>1092</v>
      </c>
      <c r="I408" s="86" t="s">
        <v>697</v>
      </c>
      <c r="J408" s="86" t="s">
        <v>41</v>
      </c>
    </row>
    <row r="409" spans="1:10" x14ac:dyDescent="0.3">
      <c r="A409" s="108" t="s">
        <v>1088</v>
      </c>
      <c r="B409" s="109">
        <v>900000</v>
      </c>
      <c r="C409" s="110" t="s">
        <v>1072</v>
      </c>
      <c r="D409" s="111" t="s">
        <v>1093</v>
      </c>
      <c r="E409" s="111" t="s">
        <v>1094</v>
      </c>
      <c r="F409" s="112" t="s">
        <v>1093</v>
      </c>
      <c r="G409" s="112" t="s">
        <v>1094</v>
      </c>
      <c r="H409" s="113" t="s">
        <v>1095</v>
      </c>
      <c r="I409" s="86" t="s">
        <v>697</v>
      </c>
      <c r="J409" s="86" t="s">
        <v>41</v>
      </c>
    </row>
    <row r="410" spans="1:10" x14ac:dyDescent="0.3">
      <c r="A410" s="108" t="s">
        <v>1096</v>
      </c>
      <c r="B410" s="109">
        <v>750000</v>
      </c>
      <c r="C410" s="110" t="s">
        <v>1072</v>
      </c>
      <c r="D410" s="111" t="s">
        <v>1097</v>
      </c>
      <c r="E410" s="111" t="s">
        <v>909</v>
      </c>
      <c r="F410" s="112" t="s">
        <v>1097</v>
      </c>
      <c r="G410" s="112" t="s">
        <v>909</v>
      </c>
      <c r="H410" s="113" t="s">
        <v>1098</v>
      </c>
      <c r="I410" s="86" t="s">
        <v>697</v>
      </c>
      <c r="J410" s="86" t="s">
        <v>41</v>
      </c>
    </row>
    <row r="411" spans="1:10" x14ac:dyDescent="0.3">
      <c r="A411" s="108" t="s">
        <v>1079</v>
      </c>
      <c r="B411" s="109">
        <v>642000</v>
      </c>
      <c r="C411" s="110" t="s">
        <v>1072</v>
      </c>
      <c r="D411" s="111" t="s">
        <v>1099</v>
      </c>
      <c r="E411" s="111" t="s">
        <v>829</v>
      </c>
      <c r="F411" s="112" t="s">
        <v>1100</v>
      </c>
      <c r="G411" s="112" t="s">
        <v>829</v>
      </c>
      <c r="H411" s="113" t="s">
        <v>1101</v>
      </c>
      <c r="I411" s="86" t="s">
        <v>697</v>
      </c>
      <c r="J411" s="86" t="s">
        <v>41</v>
      </c>
    </row>
    <row r="412" spans="1:10" x14ac:dyDescent="0.3">
      <c r="A412" s="108" t="s">
        <v>1085</v>
      </c>
      <c r="B412" s="109">
        <v>525000</v>
      </c>
      <c r="C412" s="110" t="s">
        <v>1072</v>
      </c>
      <c r="D412" s="111" t="s">
        <v>1086</v>
      </c>
      <c r="E412" s="111" t="s">
        <v>925</v>
      </c>
      <c r="F412" s="112" t="s">
        <v>1086</v>
      </c>
      <c r="G412" s="112" t="s">
        <v>925</v>
      </c>
      <c r="H412" s="113" t="s">
        <v>1102</v>
      </c>
      <c r="I412" s="86" t="s">
        <v>697</v>
      </c>
      <c r="J412" s="86" t="s">
        <v>41</v>
      </c>
    </row>
    <row r="413" spans="1:10" x14ac:dyDescent="0.3">
      <c r="A413" s="108" t="s">
        <v>1103</v>
      </c>
      <c r="B413" s="109">
        <v>214500</v>
      </c>
      <c r="C413" s="110" t="s">
        <v>1104</v>
      </c>
      <c r="D413" s="111" t="s">
        <v>1105</v>
      </c>
      <c r="E413" s="111" t="s">
        <v>839</v>
      </c>
      <c r="F413" s="112" t="s">
        <v>1105</v>
      </c>
      <c r="G413" s="115" t="s">
        <v>839</v>
      </c>
      <c r="H413" s="113" t="s">
        <v>1106</v>
      </c>
      <c r="I413" s="86" t="s">
        <v>688</v>
      </c>
      <c r="J413" s="86" t="s">
        <v>13</v>
      </c>
    </row>
    <row r="414" spans="1:10" x14ac:dyDescent="0.3">
      <c r="A414" s="108" t="s">
        <v>1107</v>
      </c>
      <c r="B414" s="109">
        <v>303801</v>
      </c>
      <c r="C414" s="110" t="s">
        <v>1108</v>
      </c>
      <c r="D414" s="111" t="s">
        <v>1109</v>
      </c>
      <c r="E414" s="111" t="s">
        <v>1030</v>
      </c>
      <c r="F414" s="112" t="s">
        <v>1109</v>
      </c>
      <c r="G414" s="115" t="s">
        <v>1030</v>
      </c>
      <c r="H414" s="113" t="s">
        <v>1110</v>
      </c>
      <c r="I414" s="86" t="s">
        <v>688</v>
      </c>
      <c r="J414" s="86" t="s">
        <v>13</v>
      </c>
    </row>
    <row r="415" spans="1:10" x14ac:dyDescent="0.3">
      <c r="A415" s="108" t="s">
        <v>1111</v>
      </c>
      <c r="B415" s="109">
        <v>288600</v>
      </c>
      <c r="C415" s="110" t="s">
        <v>1108</v>
      </c>
      <c r="D415" s="111" t="s">
        <v>1112</v>
      </c>
      <c r="E415" s="111" t="s">
        <v>839</v>
      </c>
      <c r="F415" s="112" t="s">
        <v>1112</v>
      </c>
      <c r="G415" s="112" t="s">
        <v>839</v>
      </c>
      <c r="H415" s="113" t="s">
        <v>1113</v>
      </c>
      <c r="I415" s="86" t="s">
        <v>688</v>
      </c>
      <c r="J415" s="86" t="s">
        <v>13</v>
      </c>
    </row>
    <row r="416" spans="1:10" x14ac:dyDescent="0.3">
      <c r="A416" s="108" t="s">
        <v>1114</v>
      </c>
      <c r="B416" s="109">
        <v>91350000</v>
      </c>
      <c r="C416" s="110" t="s">
        <v>1115</v>
      </c>
      <c r="D416" s="111" t="s">
        <v>1116</v>
      </c>
      <c r="E416" s="111" t="s">
        <v>839</v>
      </c>
      <c r="F416" s="112" t="s">
        <v>1116</v>
      </c>
      <c r="G416" s="112" t="s">
        <v>839</v>
      </c>
      <c r="H416" s="113" t="s">
        <v>1117</v>
      </c>
      <c r="I416" s="86" t="s">
        <v>688</v>
      </c>
      <c r="J416" s="86" t="s">
        <v>13</v>
      </c>
    </row>
    <row r="417" spans="1:10" x14ac:dyDescent="0.3">
      <c r="A417" s="108" t="s">
        <v>1118</v>
      </c>
      <c r="B417" s="109">
        <v>50730000</v>
      </c>
      <c r="C417" s="110" t="s">
        <v>1115</v>
      </c>
      <c r="D417" s="111" t="s">
        <v>1119</v>
      </c>
      <c r="E417" s="111" t="s">
        <v>835</v>
      </c>
      <c r="F417" s="112" t="s">
        <v>1120</v>
      </c>
      <c r="G417" s="112" t="s">
        <v>984</v>
      </c>
      <c r="H417" s="113" t="s">
        <v>1121</v>
      </c>
      <c r="I417" s="86" t="s">
        <v>688</v>
      </c>
      <c r="J417" s="86" t="s">
        <v>13</v>
      </c>
    </row>
    <row r="418" spans="1:10" x14ac:dyDescent="0.3">
      <c r="A418" s="108" t="s">
        <v>1122</v>
      </c>
      <c r="B418" s="109">
        <v>43453309</v>
      </c>
      <c r="C418" s="110" t="s">
        <v>1115</v>
      </c>
      <c r="D418" s="111" t="s">
        <v>1123</v>
      </c>
      <c r="E418" s="111" t="s">
        <v>839</v>
      </c>
      <c r="F418" s="112" t="s">
        <v>1123</v>
      </c>
      <c r="G418" s="112" t="s">
        <v>839</v>
      </c>
      <c r="H418" s="113" t="s">
        <v>1124</v>
      </c>
      <c r="I418" s="86" t="s">
        <v>688</v>
      </c>
      <c r="J418" s="86" t="s">
        <v>13</v>
      </c>
    </row>
    <row r="419" spans="1:10" x14ac:dyDescent="0.3">
      <c r="A419" s="108" t="s">
        <v>1125</v>
      </c>
      <c r="B419" s="109">
        <v>37500000</v>
      </c>
      <c r="C419" s="110" t="s">
        <v>1115</v>
      </c>
      <c r="D419" s="111" t="s">
        <v>1123</v>
      </c>
      <c r="E419" s="111" t="s">
        <v>839</v>
      </c>
      <c r="F419" s="112" t="s">
        <v>1123</v>
      </c>
      <c r="G419" s="112" t="s">
        <v>839</v>
      </c>
      <c r="H419" s="113" t="s">
        <v>1126</v>
      </c>
      <c r="I419" s="86" t="s">
        <v>688</v>
      </c>
      <c r="J419" s="86" t="s">
        <v>13</v>
      </c>
    </row>
    <row r="420" spans="1:10" x14ac:dyDescent="0.3">
      <c r="A420" s="108" t="s">
        <v>1127</v>
      </c>
      <c r="B420" s="109">
        <v>34500000</v>
      </c>
      <c r="C420" s="110" t="s">
        <v>1115</v>
      </c>
      <c r="D420" s="111" t="s">
        <v>1128</v>
      </c>
      <c r="E420" s="111" t="s">
        <v>835</v>
      </c>
      <c r="F420" s="112" t="s">
        <v>1128</v>
      </c>
      <c r="G420" s="112" t="s">
        <v>835</v>
      </c>
      <c r="H420" s="114" t="s">
        <v>1129</v>
      </c>
      <c r="I420" s="86" t="s">
        <v>688</v>
      </c>
      <c r="J420" s="86" t="s">
        <v>13</v>
      </c>
    </row>
    <row r="421" spans="1:10" x14ac:dyDescent="0.3">
      <c r="A421" s="108" t="s">
        <v>1130</v>
      </c>
      <c r="B421" s="109">
        <v>27300000</v>
      </c>
      <c r="C421" s="110" t="s">
        <v>1115</v>
      </c>
      <c r="D421" s="111" t="s">
        <v>1023</v>
      </c>
      <c r="E421" s="111" t="s">
        <v>844</v>
      </c>
      <c r="F421" s="112" t="s">
        <v>1023</v>
      </c>
      <c r="G421" s="112" t="s">
        <v>844</v>
      </c>
      <c r="H421" s="113" t="s">
        <v>1131</v>
      </c>
      <c r="I421" s="86" t="s">
        <v>688</v>
      </c>
      <c r="J421" s="86" t="s">
        <v>13</v>
      </c>
    </row>
    <row r="422" spans="1:10" x14ac:dyDescent="0.3">
      <c r="A422" s="108" t="s">
        <v>1132</v>
      </c>
      <c r="B422" s="109">
        <v>17814621</v>
      </c>
      <c r="C422" s="110" t="s">
        <v>1115</v>
      </c>
      <c r="D422" s="111" t="s">
        <v>1133</v>
      </c>
      <c r="E422" s="111" t="s">
        <v>844</v>
      </c>
      <c r="F422" s="112" t="s">
        <v>1133</v>
      </c>
      <c r="G422" s="112" t="s">
        <v>844</v>
      </c>
      <c r="H422" s="114" t="s">
        <v>1134</v>
      </c>
      <c r="I422" s="86" t="s">
        <v>688</v>
      </c>
      <c r="J422" s="86" t="s">
        <v>13</v>
      </c>
    </row>
    <row r="423" spans="1:10" x14ac:dyDescent="0.3">
      <c r="A423" s="108" t="s">
        <v>1135</v>
      </c>
      <c r="B423" s="109">
        <v>16320000</v>
      </c>
      <c r="C423" s="110" t="s">
        <v>1115</v>
      </c>
      <c r="D423" s="111" t="s">
        <v>1136</v>
      </c>
      <c r="E423" s="111" t="s">
        <v>835</v>
      </c>
      <c r="F423" s="112" t="s">
        <v>1064</v>
      </c>
      <c r="G423" s="112" t="s">
        <v>1040</v>
      </c>
      <c r="H423" s="113" t="s">
        <v>1137</v>
      </c>
      <c r="I423" s="86" t="s">
        <v>688</v>
      </c>
      <c r="J423" s="86" t="s">
        <v>13</v>
      </c>
    </row>
    <row r="424" spans="1:10" x14ac:dyDescent="0.3">
      <c r="A424" s="108" t="s">
        <v>1138</v>
      </c>
      <c r="B424" s="109">
        <v>12600000</v>
      </c>
      <c r="C424" s="110" t="s">
        <v>1115</v>
      </c>
      <c r="D424" s="111" t="s">
        <v>1139</v>
      </c>
      <c r="E424" s="111" t="s">
        <v>909</v>
      </c>
      <c r="F424" s="112" t="s">
        <v>1139</v>
      </c>
      <c r="G424" s="112" t="s">
        <v>909</v>
      </c>
      <c r="H424" s="113" t="s">
        <v>1140</v>
      </c>
      <c r="I424" s="86" t="s">
        <v>688</v>
      </c>
      <c r="J424" s="86" t="s">
        <v>13</v>
      </c>
    </row>
    <row r="425" spans="1:10" x14ac:dyDescent="0.3">
      <c r="A425" s="108" t="s">
        <v>1114</v>
      </c>
      <c r="B425" s="109">
        <v>10450200</v>
      </c>
      <c r="C425" s="110" t="s">
        <v>1115</v>
      </c>
      <c r="D425" s="111" t="s">
        <v>1116</v>
      </c>
      <c r="E425" s="111" t="s">
        <v>839</v>
      </c>
      <c r="F425" s="112" t="s">
        <v>1116</v>
      </c>
      <c r="G425" s="112" t="s">
        <v>839</v>
      </c>
      <c r="H425" s="113" t="s">
        <v>1117</v>
      </c>
      <c r="I425" s="86" t="s">
        <v>688</v>
      </c>
      <c r="J425" s="86" t="s">
        <v>13</v>
      </c>
    </row>
    <row r="426" spans="1:10" x14ac:dyDescent="0.3">
      <c r="A426" s="108" t="s">
        <v>1141</v>
      </c>
      <c r="B426" s="109">
        <v>5889149</v>
      </c>
      <c r="C426" s="110" t="s">
        <v>1115</v>
      </c>
      <c r="D426" s="111" t="s">
        <v>1142</v>
      </c>
      <c r="E426" s="111" t="s">
        <v>1143</v>
      </c>
      <c r="F426" s="112" t="s">
        <v>1142</v>
      </c>
      <c r="G426" s="112" t="s">
        <v>1143</v>
      </c>
      <c r="H426" s="113" t="s">
        <v>1144</v>
      </c>
      <c r="I426" s="86" t="s">
        <v>688</v>
      </c>
      <c r="J426" s="86" t="s">
        <v>13</v>
      </c>
    </row>
    <row r="427" spans="1:10" x14ac:dyDescent="0.3">
      <c r="A427" s="108" t="s">
        <v>1141</v>
      </c>
      <c r="B427" s="109">
        <v>3629998</v>
      </c>
      <c r="C427" s="110" t="s">
        <v>1115</v>
      </c>
      <c r="D427" s="111" t="s">
        <v>1039</v>
      </c>
      <c r="E427" s="111" t="s">
        <v>1040</v>
      </c>
      <c r="F427" s="112" t="s">
        <v>1039</v>
      </c>
      <c r="G427" s="112" t="s">
        <v>1040</v>
      </c>
      <c r="H427" s="113" t="s">
        <v>1144</v>
      </c>
      <c r="I427" s="86" t="s">
        <v>688</v>
      </c>
      <c r="J427" s="86" t="s">
        <v>13</v>
      </c>
    </row>
    <row r="428" spans="1:10" x14ac:dyDescent="0.3">
      <c r="A428" s="108" t="s">
        <v>1132</v>
      </c>
      <c r="B428" s="109">
        <v>2220000</v>
      </c>
      <c r="C428" s="110" t="s">
        <v>1115</v>
      </c>
      <c r="D428" s="111" t="s">
        <v>1145</v>
      </c>
      <c r="E428" s="111" t="s">
        <v>835</v>
      </c>
      <c r="F428" s="112" t="s">
        <v>1145</v>
      </c>
      <c r="G428" s="112" t="s">
        <v>835</v>
      </c>
      <c r="H428" s="114" t="s">
        <v>1146</v>
      </c>
      <c r="I428" s="86" t="s">
        <v>688</v>
      </c>
      <c r="J428" s="86" t="s">
        <v>13</v>
      </c>
    </row>
    <row r="429" spans="1:10" x14ac:dyDescent="0.3">
      <c r="A429" s="108" t="s">
        <v>1147</v>
      </c>
      <c r="B429" s="109">
        <v>2044500</v>
      </c>
      <c r="C429" s="110" t="s">
        <v>1115</v>
      </c>
      <c r="D429" s="111" t="s">
        <v>1148</v>
      </c>
      <c r="E429" s="111" t="s">
        <v>1149</v>
      </c>
      <c r="F429" s="112" t="s">
        <v>1148</v>
      </c>
      <c r="G429" s="112" t="s">
        <v>1149</v>
      </c>
      <c r="H429" s="113" t="s">
        <v>1150</v>
      </c>
      <c r="I429" s="86" t="s">
        <v>688</v>
      </c>
      <c r="J429" s="86" t="s">
        <v>13</v>
      </c>
    </row>
    <row r="430" spans="1:10" x14ac:dyDescent="0.3">
      <c r="A430" s="108" t="s">
        <v>1151</v>
      </c>
      <c r="B430" s="109">
        <v>1068986</v>
      </c>
      <c r="C430" s="110" t="s">
        <v>1115</v>
      </c>
      <c r="D430" s="111" t="s">
        <v>1152</v>
      </c>
      <c r="E430" s="111" t="s">
        <v>1153</v>
      </c>
      <c r="F430" s="112" t="s">
        <v>1154</v>
      </c>
      <c r="G430" s="112" t="s">
        <v>1153</v>
      </c>
      <c r="H430" s="113" t="s">
        <v>1155</v>
      </c>
      <c r="I430" s="86" t="s">
        <v>688</v>
      </c>
      <c r="J430" s="86" t="s">
        <v>13</v>
      </c>
    </row>
    <row r="431" spans="1:10" x14ac:dyDescent="0.3">
      <c r="A431" s="108" t="s">
        <v>1156</v>
      </c>
      <c r="B431" s="109">
        <v>829020</v>
      </c>
      <c r="C431" s="110" t="s">
        <v>1115</v>
      </c>
      <c r="D431" s="111" t="s">
        <v>1157</v>
      </c>
      <c r="E431" s="111" t="s">
        <v>931</v>
      </c>
      <c r="F431" s="112" t="s">
        <v>1157</v>
      </c>
      <c r="G431" s="112" t="s">
        <v>931</v>
      </c>
      <c r="H431" s="113" t="s">
        <v>1158</v>
      </c>
      <c r="I431" s="86" t="s">
        <v>688</v>
      </c>
      <c r="J431" s="86" t="s">
        <v>13</v>
      </c>
    </row>
    <row r="432" spans="1:10" x14ac:dyDescent="0.3">
      <c r="A432" s="108" t="s">
        <v>1159</v>
      </c>
      <c r="B432" s="109">
        <v>267476</v>
      </c>
      <c r="C432" s="110" t="s">
        <v>1115</v>
      </c>
      <c r="D432" s="111" t="s">
        <v>1160</v>
      </c>
      <c r="E432" s="111" t="s">
        <v>884</v>
      </c>
      <c r="F432" s="112" t="s">
        <v>1160</v>
      </c>
      <c r="G432" s="112" t="s">
        <v>884</v>
      </c>
      <c r="H432" s="113" t="s">
        <v>1161</v>
      </c>
      <c r="I432" s="86" t="s">
        <v>688</v>
      </c>
      <c r="J432" s="86" t="s">
        <v>13</v>
      </c>
    </row>
    <row r="433" spans="1:10" x14ac:dyDescent="0.3">
      <c r="A433" s="108" t="s">
        <v>1159</v>
      </c>
      <c r="B433" s="109">
        <v>149100</v>
      </c>
      <c r="C433" s="110" t="s">
        <v>1115</v>
      </c>
      <c r="D433" s="111" t="s">
        <v>1162</v>
      </c>
      <c r="E433" s="111" t="s">
        <v>884</v>
      </c>
      <c r="F433" s="112" t="s">
        <v>1162</v>
      </c>
      <c r="G433" s="112" t="s">
        <v>884</v>
      </c>
      <c r="H433" s="113" t="s">
        <v>1163</v>
      </c>
      <c r="I433" s="86" t="s">
        <v>688</v>
      </c>
      <c r="J433" s="86" t="s">
        <v>13</v>
      </c>
    </row>
    <row r="434" spans="1:10" x14ac:dyDescent="0.3">
      <c r="A434" s="108" t="s">
        <v>1164</v>
      </c>
      <c r="B434" s="109">
        <v>28560000</v>
      </c>
      <c r="C434" s="110" t="s">
        <v>1165</v>
      </c>
      <c r="D434" s="111" t="s">
        <v>1166</v>
      </c>
      <c r="E434" s="111" t="s">
        <v>872</v>
      </c>
      <c r="F434" s="112" t="s">
        <v>1166</v>
      </c>
      <c r="G434" s="112" t="s">
        <v>872</v>
      </c>
      <c r="H434" s="114" t="s">
        <v>1167</v>
      </c>
      <c r="I434" s="86" t="s">
        <v>693</v>
      </c>
      <c r="J434" s="86" t="s">
        <v>11</v>
      </c>
    </row>
    <row r="435" spans="1:10" x14ac:dyDescent="0.3">
      <c r="A435" s="108" t="s">
        <v>1168</v>
      </c>
      <c r="B435" s="109">
        <v>16970145</v>
      </c>
      <c r="C435" s="110" t="s">
        <v>1165</v>
      </c>
      <c r="D435" s="111" t="s">
        <v>1169</v>
      </c>
      <c r="E435" s="111" t="s">
        <v>925</v>
      </c>
      <c r="F435" s="112" t="s">
        <v>1170</v>
      </c>
      <c r="G435" s="112" t="s">
        <v>844</v>
      </c>
      <c r="H435" s="114" t="s">
        <v>1171</v>
      </c>
      <c r="I435" s="86" t="s">
        <v>698</v>
      </c>
      <c r="J435" s="86" t="s">
        <v>15</v>
      </c>
    </row>
    <row r="436" spans="1:10" x14ac:dyDescent="0.3">
      <c r="A436" s="108" t="s">
        <v>1159</v>
      </c>
      <c r="B436" s="109">
        <v>1260000</v>
      </c>
      <c r="C436" s="110" t="s">
        <v>1165</v>
      </c>
      <c r="D436" s="111" t="s">
        <v>992</v>
      </c>
      <c r="E436" s="111" t="s">
        <v>993</v>
      </c>
      <c r="F436" s="112" t="s">
        <v>992</v>
      </c>
      <c r="G436" s="112" t="s">
        <v>993</v>
      </c>
      <c r="H436" s="113" t="s">
        <v>1172</v>
      </c>
      <c r="I436" s="86" t="s">
        <v>689</v>
      </c>
      <c r="J436" s="86" t="s">
        <v>35</v>
      </c>
    </row>
    <row r="437" spans="1:10" x14ac:dyDescent="0.3">
      <c r="A437" s="108" t="s">
        <v>1173</v>
      </c>
      <c r="B437" s="109">
        <v>21589200</v>
      </c>
      <c r="C437" s="110" t="s">
        <v>1174</v>
      </c>
      <c r="D437" s="111" t="s">
        <v>1175</v>
      </c>
      <c r="E437" s="111" t="s">
        <v>909</v>
      </c>
      <c r="F437" s="112" t="s">
        <v>1175</v>
      </c>
      <c r="G437" s="112" t="s">
        <v>909</v>
      </c>
      <c r="H437" s="114" t="s">
        <v>1176</v>
      </c>
      <c r="I437" s="86" t="s">
        <v>693</v>
      </c>
      <c r="J437" s="86" t="s">
        <v>11</v>
      </c>
    </row>
    <row r="438" spans="1:10" x14ac:dyDescent="0.3">
      <c r="A438" s="108" t="s">
        <v>1173</v>
      </c>
      <c r="B438" s="109">
        <v>8580600</v>
      </c>
      <c r="C438" s="110" t="s">
        <v>1174</v>
      </c>
      <c r="D438" s="111" t="s">
        <v>1175</v>
      </c>
      <c r="E438" s="111" t="s">
        <v>909</v>
      </c>
      <c r="F438" s="115" t="s">
        <v>1175</v>
      </c>
      <c r="G438" s="115" t="s">
        <v>909</v>
      </c>
      <c r="H438" s="114" t="s">
        <v>1177</v>
      </c>
      <c r="I438" s="86" t="s">
        <v>693</v>
      </c>
      <c r="J438" s="86" t="s">
        <v>11</v>
      </c>
    </row>
    <row r="439" spans="1:10" x14ac:dyDescent="0.3">
      <c r="A439" s="108" t="s">
        <v>1178</v>
      </c>
      <c r="B439" s="109">
        <v>8139510</v>
      </c>
      <c r="C439" s="110" t="s">
        <v>1174</v>
      </c>
      <c r="D439" s="111" t="s">
        <v>989</v>
      </c>
      <c r="E439" s="111" t="s">
        <v>909</v>
      </c>
      <c r="F439" s="112" t="s">
        <v>989</v>
      </c>
      <c r="G439" s="112" t="s">
        <v>909</v>
      </c>
      <c r="H439" s="113" t="s">
        <v>1179</v>
      </c>
      <c r="I439" s="86" t="s">
        <v>693</v>
      </c>
      <c r="J439" s="86" t="s">
        <v>11</v>
      </c>
    </row>
    <row r="440" spans="1:10" x14ac:dyDescent="0.3">
      <c r="A440" s="108" t="s">
        <v>1180</v>
      </c>
      <c r="B440" s="109">
        <v>5135241</v>
      </c>
      <c r="C440" s="110" t="s">
        <v>1174</v>
      </c>
      <c r="D440" s="111" t="s">
        <v>1181</v>
      </c>
      <c r="E440" s="111" t="s">
        <v>849</v>
      </c>
      <c r="F440" s="112" t="s">
        <v>1181</v>
      </c>
      <c r="G440" s="112" t="s">
        <v>849</v>
      </c>
      <c r="H440" s="114" t="s">
        <v>1182</v>
      </c>
      <c r="I440" s="86" t="s">
        <v>693</v>
      </c>
      <c r="J440" s="86" t="s">
        <v>11</v>
      </c>
    </row>
    <row r="441" spans="1:10" x14ac:dyDescent="0.3">
      <c r="A441" s="108" t="s">
        <v>1180</v>
      </c>
      <c r="B441" s="109">
        <v>3902921</v>
      </c>
      <c r="C441" s="110" t="s">
        <v>1174</v>
      </c>
      <c r="D441" s="111" t="s">
        <v>1183</v>
      </c>
      <c r="E441" s="111" t="s">
        <v>1094</v>
      </c>
      <c r="F441" s="112" t="s">
        <v>1183</v>
      </c>
      <c r="G441" s="112" t="s">
        <v>1094</v>
      </c>
      <c r="H441" s="114" t="s">
        <v>1184</v>
      </c>
      <c r="I441" s="86" t="s">
        <v>693</v>
      </c>
      <c r="J441" s="86" t="s">
        <v>11</v>
      </c>
    </row>
    <row r="442" spans="1:10" x14ac:dyDescent="0.3">
      <c r="A442" s="108" t="s">
        <v>1185</v>
      </c>
      <c r="B442" s="109">
        <v>3450900</v>
      </c>
      <c r="C442" s="110" t="s">
        <v>1174</v>
      </c>
      <c r="D442" s="111" t="s">
        <v>1186</v>
      </c>
      <c r="E442" s="111" t="s">
        <v>1094</v>
      </c>
      <c r="F442" s="112" t="s">
        <v>1187</v>
      </c>
      <c r="G442" s="112" t="s">
        <v>1050</v>
      </c>
      <c r="H442" s="113" t="s">
        <v>1188</v>
      </c>
      <c r="I442" s="86" t="s">
        <v>688</v>
      </c>
      <c r="J442" s="86" t="s">
        <v>13</v>
      </c>
    </row>
    <row r="443" spans="1:10" x14ac:dyDescent="0.3">
      <c r="A443" s="108" t="s">
        <v>1189</v>
      </c>
      <c r="B443" s="109">
        <v>22021500</v>
      </c>
      <c r="C443" s="110" t="s">
        <v>1190</v>
      </c>
      <c r="D443" s="111" t="s">
        <v>1191</v>
      </c>
      <c r="E443" s="111" t="s">
        <v>844</v>
      </c>
      <c r="F443" s="112" t="s">
        <v>1191</v>
      </c>
      <c r="G443" s="112" t="s">
        <v>844</v>
      </c>
      <c r="H443" s="113" t="s">
        <v>1192</v>
      </c>
      <c r="I443" s="86" t="s">
        <v>688</v>
      </c>
      <c r="J443" s="86" t="s">
        <v>13</v>
      </c>
    </row>
    <row r="444" spans="1:10" x14ac:dyDescent="0.3">
      <c r="A444" s="108" t="s">
        <v>1193</v>
      </c>
      <c r="B444" s="109">
        <v>21600000</v>
      </c>
      <c r="C444" s="110" t="s">
        <v>1190</v>
      </c>
      <c r="D444" s="111" t="s">
        <v>1194</v>
      </c>
      <c r="E444" s="111" t="s">
        <v>909</v>
      </c>
      <c r="F444" s="112" t="s">
        <v>1194</v>
      </c>
      <c r="G444" s="112" t="s">
        <v>909</v>
      </c>
      <c r="H444" s="114" t="s">
        <v>1195</v>
      </c>
      <c r="I444" s="86" t="s">
        <v>693</v>
      </c>
      <c r="J444" s="86" t="s">
        <v>11</v>
      </c>
    </row>
    <row r="445" spans="1:10" x14ac:dyDescent="0.3">
      <c r="A445" s="108" t="s">
        <v>1196</v>
      </c>
      <c r="B445" s="109">
        <v>16750500</v>
      </c>
      <c r="C445" s="110" t="s">
        <v>1190</v>
      </c>
      <c r="D445" s="111" t="s">
        <v>1183</v>
      </c>
      <c r="E445" s="111" t="s">
        <v>968</v>
      </c>
      <c r="F445" s="112" t="s">
        <v>1197</v>
      </c>
      <c r="G445" s="112" t="s">
        <v>968</v>
      </c>
      <c r="H445" s="114" t="s">
        <v>1198</v>
      </c>
      <c r="I445" s="86" t="s">
        <v>695</v>
      </c>
      <c r="J445" s="86" t="s">
        <v>42</v>
      </c>
    </row>
    <row r="446" spans="1:10" x14ac:dyDescent="0.3">
      <c r="A446" s="108" t="s">
        <v>1199</v>
      </c>
      <c r="B446" s="109">
        <v>7073316</v>
      </c>
      <c r="C446" s="110" t="s">
        <v>1190</v>
      </c>
      <c r="D446" s="111" t="s">
        <v>1200</v>
      </c>
      <c r="E446" s="111" t="s">
        <v>1201</v>
      </c>
      <c r="F446" s="115" t="s">
        <v>1039</v>
      </c>
      <c r="G446" s="115" t="s">
        <v>1040</v>
      </c>
      <c r="H446" s="113" t="s">
        <v>1202</v>
      </c>
      <c r="I446" s="86" t="s">
        <v>693</v>
      </c>
      <c r="J446" s="86" t="s">
        <v>11</v>
      </c>
    </row>
    <row r="447" spans="1:10" x14ac:dyDescent="0.3">
      <c r="A447" s="108" t="s">
        <v>1203</v>
      </c>
      <c r="B447" s="109">
        <v>5347464</v>
      </c>
      <c r="C447" s="110" t="s">
        <v>1190</v>
      </c>
      <c r="D447" s="111" t="s">
        <v>1204</v>
      </c>
      <c r="E447" s="111" t="s">
        <v>1094</v>
      </c>
      <c r="F447" s="112" t="s">
        <v>1204</v>
      </c>
      <c r="G447" s="112" t="s">
        <v>1094</v>
      </c>
      <c r="H447" s="113" t="s">
        <v>1205</v>
      </c>
      <c r="I447" s="86" t="s">
        <v>693</v>
      </c>
      <c r="J447" s="86" t="s">
        <v>11</v>
      </c>
    </row>
    <row r="448" spans="1:10" x14ac:dyDescent="0.3">
      <c r="A448" s="108" t="s">
        <v>1206</v>
      </c>
      <c r="B448" s="109">
        <v>4372800</v>
      </c>
      <c r="C448" s="110" t="s">
        <v>1190</v>
      </c>
      <c r="D448" s="111" t="s">
        <v>1207</v>
      </c>
      <c r="E448" s="111" t="s">
        <v>913</v>
      </c>
      <c r="F448" s="112" t="s">
        <v>1207</v>
      </c>
      <c r="G448" s="112" t="s">
        <v>913</v>
      </c>
      <c r="H448" s="113" t="s">
        <v>1208</v>
      </c>
      <c r="I448" s="86" t="s">
        <v>693</v>
      </c>
      <c r="J448" s="86" t="s">
        <v>11</v>
      </c>
    </row>
    <row r="449" spans="1:10" x14ac:dyDescent="0.3">
      <c r="A449" s="108" t="s">
        <v>1185</v>
      </c>
      <c r="B449" s="109">
        <v>4331700</v>
      </c>
      <c r="C449" s="110" t="s">
        <v>1190</v>
      </c>
      <c r="D449" s="111" t="s">
        <v>1209</v>
      </c>
      <c r="E449" s="111" t="s">
        <v>859</v>
      </c>
      <c r="F449" s="112" t="s">
        <v>1187</v>
      </c>
      <c r="G449" s="112" t="s">
        <v>1050</v>
      </c>
      <c r="H449" s="113" t="s">
        <v>1210</v>
      </c>
      <c r="I449" s="86" t="s">
        <v>693</v>
      </c>
      <c r="J449" s="86" t="s">
        <v>11</v>
      </c>
    </row>
    <row r="450" spans="1:10" x14ac:dyDescent="0.3">
      <c r="A450" s="108" t="s">
        <v>1203</v>
      </c>
      <c r="B450" s="109">
        <v>3654096</v>
      </c>
      <c r="C450" s="110" t="s">
        <v>1190</v>
      </c>
      <c r="D450" s="111" t="s">
        <v>1211</v>
      </c>
      <c r="E450" s="111" t="s">
        <v>833</v>
      </c>
      <c r="F450" s="112" t="s">
        <v>1204</v>
      </c>
      <c r="G450" s="112" t="s">
        <v>1094</v>
      </c>
      <c r="H450" s="113" t="s">
        <v>1212</v>
      </c>
      <c r="I450" s="86" t="s">
        <v>693</v>
      </c>
      <c r="J450" s="86" t="s">
        <v>11</v>
      </c>
    </row>
    <row r="451" spans="1:10" x14ac:dyDescent="0.3">
      <c r="A451" s="108" t="s">
        <v>1213</v>
      </c>
      <c r="B451" s="109">
        <v>3474269</v>
      </c>
      <c r="C451" s="110" t="s">
        <v>1190</v>
      </c>
      <c r="D451" s="111" t="s">
        <v>1214</v>
      </c>
      <c r="E451" s="111" t="s">
        <v>859</v>
      </c>
      <c r="F451" s="112" t="s">
        <v>1214</v>
      </c>
      <c r="G451" s="112" t="s">
        <v>859</v>
      </c>
      <c r="H451" s="113" t="s">
        <v>1215</v>
      </c>
      <c r="I451" s="86" t="s">
        <v>693</v>
      </c>
      <c r="J451" s="86" t="s">
        <v>11</v>
      </c>
    </row>
    <row r="452" spans="1:10" x14ac:dyDescent="0.3">
      <c r="A452" s="108" t="s">
        <v>986</v>
      </c>
      <c r="B452" s="109">
        <v>2725800</v>
      </c>
      <c r="C452" s="110" t="s">
        <v>1190</v>
      </c>
      <c r="D452" s="111" t="s">
        <v>1216</v>
      </c>
      <c r="E452" s="111" t="s">
        <v>859</v>
      </c>
      <c r="F452" s="112" t="s">
        <v>989</v>
      </c>
      <c r="G452" s="112" t="s">
        <v>931</v>
      </c>
      <c r="H452" s="113" t="s">
        <v>1217</v>
      </c>
      <c r="I452" s="86" t="s">
        <v>688</v>
      </c>
      <c r="J452" s="86" t="s">
        <v>13</v>
      </c>
    </row>
    <row r="453" spans="1:10" x14ac:dyDescent="0.3">
      <c r="A453" s="108" t="s">
        <v>1218</v>
      </c>
      <c r="B453" s="109">
        <v>2385494</v>
      </c>
      <c r="C453" s="110" t="s">
        <v>1190</v>
      </c>
      <c r="D453" s="111" t="s">
        <v>1219</v>
      </c>
      <c r="E453" s="111" t="s">
        <v>1034</v>
      </c>
      <c r="F453" s="112" t="s">
        <v>1219</v>
      </c>
      <c r="G453" s="112" t="s">
        <v>1034</v>
      </c>
      <c r="H453" s="113" t="s">
        <v>1220</v>
      </c>
      <c r="I453" s="86" t="s">
        <v>693</v>
      </c>
      <c r="J453" s="86" t="s">
        <v>11</v>
      </c>
    </row>
    <row r="454" spans="1:10" x14ac:dyDescent="0.3">
      <c r="A454" s="108" t="s">
        <v>1218</v>
      </c>
      <c r="B454" s="109">
        <v>1421852</v>
      </c>
      <c r="C454" s="110" t="s">
        <v>1190</v>
      </c>
      <c r="D454" s="111" t="s">
        <v>1221</v>
      </c>
      <c r="E454" s="111" t="s">
        <v>859</v>
      </c>
      <c r="F454" s="112" t="s">
        <v>1221</v>
      </c>
      <c r="G454" s="112" t="s">
        <v>859</v>
      </c>
      <c r="H454" s="113" t="s">
        <v>1222</v>
      </c>
      <c r="I454" s="86" t="s">
        <v>693</v>
      </c>
      <c r="J454" s="86" t="s">
        <v>11</v>
      </c>
    </row>
    <row r="455" spans="1:10" x14ac:dyDescent="0.3">
      <c r="A455" s="108" t="s">
        <v>1223</v>
      </c>
      <c r="B455" s="109">
        <v>28328379</v>
      </c>
      <c r="C455" s="110" t="s">
        <v>1224</v>
      </c>
      <c r="D455" s="111" t="s">
        <v>1225</v>
      </c>
      <c r="E455" s="111" t="s">
        <v>920</v>
      </c>
      <c r="F455" s="112" t="s">
        <v>1225</v>
      </c>
      <c r="G455" s="112" t="s">
        <v>920</v>
      </c>
      <c r="H455" s="113" t="s">
        <v>1226</v>
      </c>
      <c r="I455" s="86" t="s">
        <v>690</v>
      </c>
      <c r="J455" s="86" t="s">
        <v>14</v>
      </c>
    </row>
    <row r="456" spans="1:10" x14ac:dyDescent="0.3">
      <c r="A456" s="108" t="s">
        <v>1227</v>
      </c>
      <c r="B456" s="109">
        <v>22153500</v>
      </c>
      <c r="C456" s="110" t="s">
        <v>1224</v>
      </c>
      <c r="D456" s="111" t="s">
        <v>1228</v>
      </c>
      <c r="E456" s="111" t="s">
        <v>833</v>
      </c>
      <c r="F456" s="112" t="s">
        <v>1228</v>
      </c>
      <c r="G456" s="112" t="s">
        <v>833</v>
      </c>
      <c r="H456" s="113" t="s">
        <v>1229</v>
      </c>
      <c r="I456" s="86" t="s">
        <v>688</v>
      </c>
      <c r="J456" s="86" t="s">
        <v>13</v>
      </c>
    </row>
    <row r="457" spans="1:10" x14ac:dyDescent="0.3">
      <c r="A457" s="108" t="s">
        <v>1230</v>
      </c>
      <c r="B457" s="109">
        <v>12786000</v>
      </c>
      <c r="C457" s="110" t="s">
        <v>1224</v>
      </c>
      <c r="D457" s="111" t="s">
        <v>1225</v>
      </c>
      <c r="E457" s="111" t="s">
        <v>920</v>
      </c>
      <c r="F457" s="112" t="s">
        <v>1225</v>
      </c>
      <c r="G457" s="112" t="s">
        <v>920</v>
      </c>
      <c r="H457" s="114" t="s">
        <v>1231</v>
      </c>
      <c r="I457" s="86" t="s">
        <v>690</v>
      </c>
      <c r="J457" s="86" t="s">
        <v>14</v>
      </c>
    </row>
    <row r="458" spans="1:10" x14ac:dyDescent="0.3">
      <c r="A458" s="108" t="s">
        <v>1232</v>
      </c>
      <c r="B458" s="109">
        <v>12750000</v>
      </c>
      <c r="C458" s="110" t="s">
        <v>1224</v>
      </c>
      <c r="D458" s="111" t="s">
        <v>1233</v>
      </c>
      <c r="E458" s="111" t="s">
        <v>925</v>
      </c>
      <c r="F458" s="112" t="s">
        <v>1234</v>
      </c>
      <c r="G458" s="112" t="s">
        <v>925</v>
      </c>
      <c r="H458" s="113" t="s">
        <v>1235</v>
      </c>
      <c r="I458" s="86" t="s">
        <v>690</v>
      </c>
      <c r="J458" s="86" t="s">
        <v>14</v>
      </c>
    </row>
    <row r="459" spans="1:10" x14ac:dyDescent="0.3">
      <c r="A459" s="108" t="s">
        <v>1236</v>
      </c>
      <c r="B459" s="109">
        <v>11604440</v>
      </c>
      <c r="C459" s="110" t="s">
        <v>1224</v>
      </c>
      <c r="D459" s="111" t="s">
        <v>1237</v>
      </c>
      <c r="E459" s="111" t="s">
        <v>844</v>
      </c>
      <c r="F459" s="112" t="s">
        <v>1237</v>
      </c>
      <c r="G459" s="112" t="s">
        <v>925</v>
      </c>
      <c r="H459" s="114" t="s">
        <v>1238</v>
      </c>
      <c r="I459" s="86" t="s">
        <v>690</v>
      </c>
      <c r="J459" s="86" t="s">
        <v>14</v>
      </c>
    </row>
    <row r="460" spans="1:10" x14ac:dyDescent="0.3">
      <c r="A460" s="108" t="s">
        <v>1239</v>
      </c>
      <c r="B460" s="109">
        <v>5100000</v>
      </c>
      <c r="C460" s="110" t="s">
        <v>1224</v>
      </c>
      <c r="D460" s="111" t="s">
        <v>1240</v>
      </c>
      <c r="E460" s="111" t="s">
        <v>833</v>
      </c>
      <c r="F460" s="112" t="s">
        <v>1240</v>
      </c>
      <c r="G460" s="112" t="s">
        <v>833</v>
      </c>
      <c r="H460" s="113" t="s">
        <v>1241</v>
      </c>
      <c r="I460" s="86" t="s">
        <v>688</v>
      </c>
      <c r="J460" s="86" t="s">
        <v>13</v>
      </c>
    </row>
    <row r="461" spans="1:10" x14ac:dyDescent="0.3">
      <c r="A461" s="108" t="s">
        <v>1242</v>
      </c>
      <c r="B461" s="109">
        <v>4157400</v>
      </c>
      <c r="C461" s="110" t="s">
        <v>1224</v>
      </c>
      <c r="D461" s="111" t="s">
        <v>1243</v>
      </c>
      <c r="E461" s="111" t="s">
        <v>931</v>
      </c>
      <c r="F461" s="112" t="s">
        <v>1243</v>
      </c>
      <c r="G461" s="112" t="s">
        <v>931</v>
      </c>
      <c r="H461" s="113" t="s">
        <v>1244</v>
      </c>
      <c r="I461" s="86" t="s">
        <v>690</v>
      </c>
      <c r="J461" s="86" t="s">
        <v>14</v>
      </c>
    </row>
    <row r="462" spans="1:10" x14ac:dyDescent="0.3">
      <c r="A462" s="108" t="s">
        <v>1245</v>
      </c>
      <c r="B462" s="109">
        <v>4155000</v>
      </c>
      <c r="C462" s="110" t="s">
        <v>1224</v>
      </c>
      <c r="D462" s="111" t="s">
        <v>959</v>
      </c>
      <c r="E462" s="111" t="s">
        <v>859</v>
      </c>
      <c r="F462" s="112" t="s">
        <v>1243</v>
      </c>
      <c r="G462" s="112" t="s">
        <v>931</v>
      </c>
      <c r="H462" s="113" t="s">
        <v>1244</v>
      </c>
      <c r="I462" s="86" t="s">
        <v>690</v>
      </c>
      <c r="J462" s="86" t="s">
        <v>14</v>
      </c>
    </row>
    <row r="463" spans="1:10" x14ac:dyDescent="0.3">
      <c r="A463" s="108" t="s">
        <v>1246</v>
      </c>
      <c r="B463" s="109">
        <v>3000000</v>
      </c>
      <c r="C463" s="110" t="s">
        <v>1224</v>
      </c>
      <c r="D463" s="111" t="s">
        <v>1247</v>
      </c>
      <c r="E463" s="111" t="s">
        <v>1248</v>
      </c>
      <c r="F463" s="112" t="s">
        <v>1247</v>
      </c>
      <c r="G463" s="112" t="s">
        <v>1248</v>
      </c>
      <c r="H463" s="113" t="s">
        <v>1249</v>
      </c>
      <c r="I463" s="86" t="s">
        <v>690</v>
      </c>
      <c r="J463" s="86" t="s">
        <v>14</v>
      </c>
    </row>
    <row r="464" spans="1:10" x14ac:dyDescent="0.3">
      <c r="A464" s="108" t="s">
        <v>1250</v>
      </c>
      <c r="B464" s="109">
        <v>1774800</v>
      </c>
      <c r="C464" s="110" t="s">
        <v>1224</v>
      </c>
      <c r="D464" s="111" t="s">
        <v>1251</v>
      </c>
      <c r="E464" s="111" t="s">
        <v>968</v>
      </c>
      <c r="F464" s="112" t="s">
        <v>1252</v>
      </c>
      <c r="G464" s="112" t="s">
        <v>844</v>
      </c>
      <c r="H464" s="113" t="s">
        <v>1253</v>
      </c>
      <c r="I464" s="86" t="s">
        <v>690</v>
      </c>
      <c r="J464" s="86" t="s">
        <v>14</v>
      </c>
    </row>
    <row r="465" spans="1:10" x14ac:dyDescent="0.3">
      <c r="A465" s="108" t="s">
        <v>1254</v>
      </c>
      <c r="B465" s="109">
        <v>1665299</v>
      </c>
      <c r="C465" s="110" t="s">
        <v>1224</v>
      </c>
      <c r="D465" s="111" t="s">
        <v>1255</v>
      </c>
      <c r="E465" s="111" t="s">
        <v>945</v>
      </c>
      <c r="F465" s="112" t="s">
        <v>1255</v>
      </c>
      <c r="G465" s="112" t="s">
        <v>945</v>
      </c>
      <c r="H465" s="113" t="s">
        <v>1256</v>
      </c>
      <c r="I465" s="86" t="s">
        <v>688</v>
      </c>
      <c r="J465" s="86" t="s">
        <v>13</v>
      </c>
    </row>
    <row r="466" spans="1:10" x14ac:dyDescent="0.3">
      <c r="A466" s="108" t="s">
        <v>1257</v>
      </c>
      <c r="B466" s="109">
        <v>1350000</v>
      </c>
      <c r="C466" s="110" t="s">
        <v>1224</v>
      </c>
      <c r="D466" s="111" t="s">
        <v>1258</v>
      </c>
      <c r="E466" s="111" t="s">
        <v>844</v>
      </c>
      <c r="F466" s="112" t="s">
        <v>1258</v>
      </c>
      <c r="G466" s="112" t="s">
        <v>889</v>
      </c>
      <c r="H466" s="113" t="s">
        <v>1259</v>
      </c>
      <c r="I466" s="86" t="s">
        <v>690</v>
      </c>
      <c r="J466" s="86" t="s">
        <v>14</v>
      </c>
    </row>
    <row r="467" spans="1:10" x14ac:dyDescent="0.3">
      <c r="A467" s="108" t="s">
        <v>1260</v>
      </c>
      <c r="B467" s="109">
        <v>1301190</v>
      </c>
      <c r="C467" s="110" t="s">
        <v>1224</v>
      </c>
      <c r="D467" s="111" t="s">
        <v>1261</v>
      </c>
      <c r="E467" s="111" t="s">
        <v>844</v>
      </c>
      <c r="F467" s="112" t="s">
        <v>1261</v>
      </c>
      <c r="G467" s="112" t="s">
        <v>844</v>
      </c>
      <c r="H467" s="113" t="s">
        <v>1262</v>
      </c>
      <c r="I467" s="86" t="s">
        <v>690</v>
      </c>
      <c r="J467" s="86" t="s">
        <v>14</v>
      </c>
    </row>
    <row r="468" spans="1:10" x14ac:dyDescent="0.3">
      <c r="A468" s="108" t="s">
        <v>1263</v>
      </c>
      <c r="B468" s="109">
        <v>930810</v>
      </c>
      <c r="C468" s="110" t="s">
        <v>1224</v>
      </c>
      <c r="D468" s="111" t="s">
        <v>1264</v>
      </c>
      <c r="E468" s="111" t="s">
        <v>945</v>
      </c>
      <c r="F468" s="112" t="s">
        <v>1264</v>
      </c>
      <c r="G468" s="112" t="s">
        <v>945</v>
      </c>
      <c r="H468" s="114" t="s">
        <v>1265</v>
      </c>
      <c r="I468" s="86" t="s">
        <v>692</v>
      </c>
      <c r="J468" s="86" t="s">
        <v>10</v>
      </c>
    </row>
    <row r="469" spans="1:10" x14ac:dyDescent="0.3">
      <c r="A469" s="108" t="s">
        <v>943</v>
      </c>
      <c r="B469" s="109">
        <v>868500</v>
      </c>
      <c r="C469" s="110" t="s">
        <v>1224</v>
      </c>
      <c r="D469" s="111" t="s">
        <v>944</v>
      </c>
      <c r="E469" s="111" t="s">
        <v>945</v>
      </c>
      <c r="F469" s="112" t="s">
        <v>944</v>
      </c>
      <c r="G469" s="112" t="s">
        <v>945</v>
      </c>
      <c r="H469" s="113" t="s">
        <v>1266</v>
      </c>
      <c r="I469" s="86" t="s">
        <v>693</v>
      </c>
      <c r="J469" s="86" t="s">
        <v>11</v>
      </c>
    </row>
    <row r="470" spans="1:10" x14ac:dyDescent="0.3">
      <c r="A470" s="108" t="s">
        <v>1267</v>
      </c>
      <c r="B470" s="109">
        <v>480000</v>
      </c>
      <c r="C470" s="110" t="s">
        <v>1224</v>
      </c>
      <c r="D470" s="111" t="s">
        <v>1268</v>
      </c>
      <c r="E470" s="111" t="s">
        <v>835</v>
      </c>
      <c r="F470" s="112" t="s">
        <v>1269</v>
      </c>
      <c r="G470" s="112" t="s">
        <v>835</v>
      </c>
      <c r="H470" s="113" t="s">
        <v>1270</v>
      </c>
      <c r="I470" s="86" t="s">
        <v>693</v>
      </c>
      <c r="J470" s="86" t="s">
        <v>11</v>
      </c>
    </row>
    <row r="471" spans="1:10" x14ac:dyDescent="0.3">
      <c r="A471" s="108" t="s">
        <v>1271</v>
      </c>
      <c r="B471" s="109">
        <v>157500</v>
      </c>
      <c r="C471" s="110" t="s">
        <v>1224</v>
      </c>
      <c r="D471" s="111" t="s">
        <v>1183</v>
      </c>
      <c r="E471" s="111" t="s">
        <v>1272</v>
      </c>
      <c r="F471" s="112" t="s">
        <v>1183</v>
      </c>
      <c r="G471" s="112" t="s">
        <v>1272</v>
      </c>
      <c r="H471" s="113" t="s">
        <v>1273</v>
      </c>
      <c r="I471" s="86" t="s">
        <v>690</v>
      </c>
      <c r="J471" s="86" t="s">
        <v>14</v>
      </c>
    </row>
    <row r="473" spans="1:10" x14ac:dyDescent="0.3">
      <c r="A473" s="121" t="s">
        <v>713</v>
      </c>
      <c r="B473" s="121" t="s">
        <v>714</v>
      </c>
      <c r="C473" s="86" t="s">
        <v>1274</v>
      </c>
    </row>
    <row r="474" spans="1:10" x14ac:dyDescent="0.3">
      <c r="A474" s="61" t="s">
        <v>688</v>
      </c>
      <c r="B474" s="61" t="s">
        <v>13</v>
      </c>
      <c r="C474" s="89">
        <f t="shared" ref="C474:C484" si="101">SUMIFS($B$332:$B$471,$I$332:$I$471,A474)/SUM($B$332:$B$471)</f>
        <v>0.6618814743668382</v>
      </c>
    </row>
    <row r="475" spans="1:10" x14ac:dyDescent="0.3">
      <c r="A475" s="61" t="s">
        <v>689</v>
      </c>
      <c r="B475" s="61" t="s">
        <v>35</v>
      </c>
      <c r="C475" s="89">
        <f t="shared" si="101"/>
        <v>1.7782478268941946E-2</v>
      </c>
    </row>
    <row r="476" spans="1:10" x14ac:dyDescent="0.3">
      <c r="A476" s="61" t="s">
        <v>690</v>
      </c>
      <c r="B476" s="61" t="s">
        <v>14</v>
      </c>
      <c r="C476" s="89">
        <f t="shared" si="101"/>
        <v>0.11787782481068719</v>
      </c>
    </row>
    <row r="477" spans="1:10" x14ac:dyDescent="0.3">
      <c r="A477" s="61" t="s">
        <v>691</v>
      </c>
      <c r="B477" s="61" t="s">
        <v>17</v>
      </c>
      <c r="C477" s="89">
        <f t="shared" si="101"/>
        <v>1.5496109959526627E-3</v>
      </c>
    </row>
    <row r="478" spans="1:10" x14ac:dyDescent="0.3">
      <c r="A478" s="61" t="s">
        <v>692</v>
      </c>
      <c r="B478" s="61" t="s">
        <v>10</v>
      </c>
      <c r="C478" s="89">
        <f t="shared" si="101"/>
        <v>8.8664188451909693E-4</v>
      </c>
    </row>
    <row r="479" spans="1:10" x14ac:dyDescent="0.3">
      <c r="A479" s="61" t="s">
        <v>693</v>
      </c>
      <c r="B479" s="61" t="s">
        <v>11</v>
      </c>
      <c r="C479" s="89">
        <f t="shared" si="101"/>
        <v>7.8652416974080486E-2</v>
      </c>
    </row>
    <row r="480" spans="1:10" x14ac:dyDescent="0.3">
      <c r="A480" s="61" t="s">
        <v>694</v>
      </c>
      <c r="B480" s="61" t="s">
        <v>16</v>
      </c>
      <c r="C480" s="89">
        <f t="shared" si="101"/>
        <v>7.3297826254832332E-2</v>
      </c>
    </row>
    <row r="481" spans="1:46" x14ac:dyDescent="0.3">
      <c r="A481" s="61" t="s">
        <v>695</v>
      </c>
      <c r="B481" s="61" t="s">
        <v>42</v>
      </c>
      <c r="C481" s="89">
        <f t="shared" si="101"/>
        <v>1.1507289830772744E-2</v>
      </c>
    </row>
    <row r="482" spans="1:46" x14ac:dyDescent="0.3">
      <c r="A482" s="61" t="s">
        <v>696</v>
      </c>
      <c r="B482" s="61" t="s">
        <v>44</v>
      </c>
      <c r="C482" s="89">
        <f t="shared" si="101"/>
        <v>2.9316718497395945E-3</v>
      </c>
    </row>
    <row r="483" spans="1:46" x14ac:dyDescent="0.3">
      <c r="A483" s="61" t="s">
        <v>697</v>
      </c>
      <c r="B483" s="61" t="s">
        <v>41</v>
      </c>
      <c r="C483" s="89">
        <f t="shared" si="101"/>
        <v>2.3458757323451922E-2</v>
      </c>
    </row>
    <row r="484" spans="1:46" x14ac:dyDescent="0.3">
      <c r="A484" s="61" t="s">
        <v>698</v>
      </c>
      <c r="B484" s="61" t="s">
        <v>15</v>
      </c>
      <c r="C484" s="89">
        <f t="shared" si="101"/>
        <v>1.0174007440183873E-2</v>
      </c>
    </row>
    <row r="486" spans="1:46" x14ac:dyDescent="0.3">
      <c r="A486" s="122" t="s">
        <v>1275</v>
      </c>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c r="AQ486" s="123"/>
      <c r="AR486" s="123"/>
      <c r="AS486" s="123"/>
      <c r="AT486" s="123"/>
    </row>
    <row r="487" spans="1:46" x14ac:dyDescent="0.3">
      <c r="A487" s="88" t="s">
        <v>1276</v>
      </c>
      <c r="B487" s="86"/>
      <c r="C487" s="86"/>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2"/>
      <c r="AF487" s="92"/>
    </row>
    <row r="488" spans="1:46" x14ac:dyDescent="0.3">
      <c r="A488" s="86" t="s">
        <v>730</v>
      </c>
      <c r="B488" s="86">
        <v>2020</v>
      </c>
      <c r="C488" s="86">
        <v>2021</v>
      </c>
      <c r="D488" s="86">
        <v>2022</v>
      </c>
      <c r="E488" s="86">
        <v>2023</v>
      </c>
      <c r="F488" s="86">
        <v>2024</v>
      </c>
      <c r="G488" s="86">
        <v>2025</v>
      </c>
      <c r="H488" s="86">
        <v>2026</v>
      </c>
      <c r="I488" s="86">
        <v>2027</v>
      </c>
      <c r="J488" s="86">
        <v>2028</v>
      </c>
      <c r="K488" s="86">
        <v>2029</v>
      </c>
      <c r="L488" s="86">
        <v>2030</v>
      </c>
      <c r="M488" s="86">
        <v>2031</v>
      </c>
      <c r="N488" s="86">
        <v>2032</v>
      </c>
      <c r="O488" s="86">
        <v>2033</v>
      </c>
      <c r="P488" s="86">
        <v>2034</v>
      </c>
      <c r="Q488" s="86">
        <v>2035</v>
      </c>
      <c r="R488" s="86">
        <v>2036</v>
      </c>
      <c r="S488" s="86">
        <v>2037</v>
      </c>
      <c r="T488" s="86">
        <v>2038</v>
      </c>
      <c r="U488" s="86">
        <v>2039</v>
      </c>
      <c r="V488" s="86">
        <v>2040</v>
      </c>
      <c r="W488" s="86">
        <v>2041</v>
      </c>
      <c r="X488" s="86">
        <v>2042</v>
      </c>
      <c r="Y488" s="86">
        <v>2043</v>
      </c>
      <c r="Z488" s="86">
        <v>2044</v>
      </c>
      <c r="AA488" s="86">
        <v>2045</v>
      </c>
      <c r="AB488" s="86">
        <v>2046</v>
      </c>
      <c r="AC488" s="86">
        <v>2047</v>
      </c>
      <c r="AD488" s="86">
        <v>2048</v>
      </c>
      <c r="AE488" s="86">
        <v>2049</v>
      </c>
      <c r="AF488" s="86">
        <v>2050</v>
      </c>
    </row>
    <row r="489" spans="1:46" x14ac:dyDescent="0.3">
      <c r="A489" s="86" t="s">
        <v>1277</v>
      </c>
      <c r="B489" s="92">
        <v>483894000000</v>
      </c>
      <c r="C489" s="92">
        <v>491886000000</v>
      </c>
      <c r="D489" s="92">
        <v>498955000000</v>
      </c>
      <c r="E489" s="92">
        <v>505047000000</v>
      </c>
      <c r="F489" s="92">
        <v>510113000000</v>
      </c>
      <c r="G489" s="92">
        <v>514114000000</v>
      </c>
      <c r="H489" s="92">
        <v>517016000000</v>
      </c>
      <c r="I489" s="92">
        <v>518794000000</v>
      </c>
      <c r="J489" s="92">
        <v>520579000000</v>
      </c>
      <c r="K489" s="92">
        <v>522371000000</v>
      </c>
      <c r="L489" s="92">
        <v>524170000000</v>
      </c>
      <c r="M489" s="92">
        <v>525977000000</v>
      </c>
      <c r="N489" s="92">
        <v>527791000000</v>
      </c>
      <c r="O489" s="92">
        <v>529612000000</v>
      </c>
      <c r="P489" s="92">
        <v>531440000000</v>
      </c>
      <c r="Q489" s="92">
        <v>533276000000</v>
      </c>
      <c r="R489" s="92">
        <v>535119000000</v>
      </c>
      <c r="S489" s="92">
        <v>536969000000</v>
      </c>
      <c r="T489" s="92">
        <v>538827000000</v>
      </c>
      <c r="U489" s="92">
        <v>540692000000</v>
      </c>
      <c r="V489" s="92">
        <v>542564000000</v>
      </c>
      <c r="W489" s="92">
        <v>544445000000</v>
      </c>
      <c r="X489" s="92">
        <v>546332000000</v>
      </c>
      <c r="Y489" s="92">
        <v>548227000000</v>
      </c>
      <c r="Z489" s="92">
        <v>550130000000</v>
      </c>
      <c r="AA489" s="92">
        <v>552041000000</v>
      </c>
      <c r="AB489" s="92">
        <v>553959000000</v>
      </c>
      <c r="AC489" s="92">
        <v>555884000000</v>
      </c>
      <c r="AD489" s="92">
        <v>557818000000</v>
      </c>
      <c r="AE489" s="92">
        <v>559759000000</v>
      </c>
      <c r="AF489" s="92">
        <v>561708000000</v>
      </c>
    </row>
    <row r="490" spans="1:46" x14ac:dyDescent="0.3">
      <c r="A490" s="86" t="s">
        <v>1278</v>
      </c>
      <c r="B490" s="92">
        <v>34947000000</v>
      </c>
      <c r="C490" s="92">
        <v>34616900000</v>
      </c>
      <c r="D490" s="92">
        <v>34335400000</v>
      </c>
      <c r="E490" s="92">
        <v>34101200000</v>
      </c>
      <c r="F490" s="92">
        <v>33912900000</v>
      </c>
      <c r="G490" s="92">
        <v>33769700000</v>
      </c>
      <c r="H490" s="92">
        <v>33670700000</v>
      </c>
      <c r="I490" s="92">
        <v>33615500000</v>
      </c>
      <c r="J490" s="92">
        <v>33560400000</v>
      </c>
      <c r="K490" s="92">
        <v>33505400000</v>
      </c>
      <c r="L490" s="92">
        <v>33450500000</v>
      </c>
      <c r="M490" s="92">
        <v>33395800000</v>
      </c>
      <c r="N490" s="92">
        <v>33341100000</v>
      </c>
      <c r="O490" s="92">
        <v>33286500000</v>
      </c>
      <c r="P490" s="92">
        <v>33232100000</v>
      </c>
      <c r="Q490" s="92">
        <v>33177700000</v>
      </c>
      <c r="R490" s="92">
        <v>33123500000</v>
      </c>
      <c r="S490" s="92">
        <v>33069400000</v>
      </c>
      <c r="T490" s="92">
        <v>33015400000</v>
      </c>
      <c r="U490" s="92">
        <v>32961500000</v>
      </c>
      <c r="V490" s="92">
        <v>32907700000</v>
      </c>
      <c r="W490" s="92">
        <v>32854000000</v>
      </c>
      <c r="X490" s="92">
        <v>32800400000</v>
      </c>
      <c r="Y490" s="92">
        <v>32746900000</v>
      </c>
      <c r="Z490" s="92">
        <v>32693600000</v>
      </c>
      <c r="AA490" s="92">
        <v>32640300000</v>
      </c>
      <c r="AB490" s="92">
        <v>32587100000</v>
      </c>
      <c r="AC490" s="92">
        <v>32534100000</v>
      </c>
      <c r="AD490" s="92">
        <v>32481100000</v>
      </c>
      <c r="AE490" s="92">
        <v>32428300000</v>
      </c>
      <c r="AF490" s="92">
        <v>32375600000</v>
      </c>
    </row>
    <row r="491" spans="1:46" x14ac:dyDescent="0.3">
      <c r="A491" s="86" t="s">
        <v>1279</v>
      </c>
      <c r="B491" s="92">
        <v>311619000000</v>
      </c>
      <c r="C491" s="92">
        <v>325704000000</v>
      </c>
      <c r="D491" s="92">
        <v>339667000000</v>
      </c>
      <c r="E491" s="92">
        <v>353417000000</v>
      </c>
      <c r="F491" s="92">
        <v>366862000000</v>
      </c>
      <c r="G491" s="92">
        <v>379907000000</v>
      </c>
      <c r="H491" s="92">
        <v>392456000000</v>
      </c>
      <c r="I491" s="92">
        <v>404414000000</v>
      </c>
      <c r="J491" s="92">
        <v>416779000000</v>
      </c>
      <c r="K491" s="92">
        <v>429564000000</v>
      </c>
      <c r="L491" s="92">
        <v>442784000000</v>
      </c>
      <c r="M491" s="92">
        <v>456453000000</v>
      </c>
      <c r="N491" s="92">
        <v>470587000000</v>
      </c>
      <c r="O491" s="92">
        <v>485202000000</v>
      </c>
      <c r="P491" s="92">
        <v>500313000000</v>
      </c>
      <c r="Q491" s="92">
        <v>515939000000</v>
      </c>
      <c r="R491" s="92">
        <v>532095000000</v>
      </c>
      <c r="S491" s="92">
        <v>548801000000</v>
      </c>
      <c r="T491" s="92">
        <v>566075000000</v>
      </c>
      <c r="U491" s="92">
        <v>583936000000</v>
      </c>
      <c r="V491" s="92">
        <v>602404000000</v>
      </c>
      <c r="W491" s="92">
        <v>621501000000</v>
      </c>
      <c r="X491" s="92">
        <v>641247000000</v>
      </c>
      <c r="Y491" s="92">
        <v>661664000000</v>
      </c>
      <c r="Z491" s="92">
        <v>682775000000</v>
      </c>
      <c r="AA491" s="92">
        <v>704604000000</v>
      </c>
      <c r="AB491" s="92">
        <v>727175000000</v>
      </c>
      <c r="AC491" s="92">
        <v>750514000000</v>
      </c>
      <c r="AD491" s="92">
        <v>774646000000</v>
      </c>
      <c r="AE491" s="92">
        <v>799598000000</v>
      </c>
      <c r="AF491" s="92">
        <v>825399000000</v>
      </c>
    </row>
    <row r="492" spans="1:46" x14ac:dyDescent="0.3">
      <c r="A492" s="86" t="s">
        <v>1280</v>
      </c>
      <c r="B492" s="92">
        <v>58925200000</v>
      </c>
      <c r="C492" s="92">
        <v>58351800000</v>
      </c>
      <c r="D492" s="92">
        <v>57960100000</v>
      </c>
      <c r="E492" s="92">
        <v>57744900000</v>
      </c>
      <c r="F492" s="92">
        <v>57703300000</v>
      </c>
      <c r="G492" s="92">
        <v>57834300000</v>
      </c>
      <c r="H492" s="92">
        <v>58138600000</v>
      </c>
      <c r="I492" s="92">
        <v>58618900000</v>
      </c>
      <c r="J492" s="92">
        <v>59104000000</v>
      </c>
      <c r="K492" s="92">
        <v>59594000000</v>
      </c>
      <c r="L492" s="92">
        <v>60088900000</v>
      </c>
      <c r="M492" s="92">
        <v>60588800000</v>
      </c>
      <c r="N492" s="92">
        <v>61093700000</v>
      </c>
      <c r="O492" s="92">
        <v>61603600000</v>
      </c>
      <c r="P492" s="92">
        <v>62118700000</v>
      </c>
      <c r="Q492" s="92">
        <v>62639000000</v>
      </c>
      <c r="R492" s="92">
        <v>63164500000</v>
      </c>
      <c r="S492" s="92">
        <v>63695300000</v>
      </c>
      <c r="T492" s="92">
        <v>64231400000</v>
      </c>
      <c r="U492" s="92">
        <v>64772900000</v>
      </c>
      <c r="V492" s="92">
        <v>65319800000</v>
      </c>
      <c r="W492" s="92">
        <v>65872300000</v>
      </c>
      <c r="X492" s="92">
        <v>66430300000</v>
      </c>
      <c r="Y492" s="92">
        <v>66993900000</v>
      </c>
      <c r="Z492" s="92">
        <v>67563100000</v>
      </c>
      <c r="AA492" s="92">
        <v>68138100000</v>
      </c>
      <c r="AB492" s="92">
        <v>68718800000</v>
      </c>
      <c r="AC492" s="92">
        <v>69305400000</v>
      </c>
      <c r="AD492" s="92">
        <v>69897900000</v>
      </c>
      <c r="AE492" s="92">
        <v>70496300000</v>
      </c>
      <c r="AF492" s="92">
        <v>71100700000</v>
      </c>
    </row>
    <row r="493" spans="1:46" x14ac:dyDescent="0.3">
      <c r="A493" s="86" t="s">
        <v>1281</v>
      </c>
      <c r="B493" s="92">
        <v>84682200000</v>
      </c>
      <c r="C493" s="92">
        <v>84914500000</v>
      </c>
      <c r="D493" s="92">
        <v>85451600000</v>
      </c>
      <c r="E493" s="92">
        <v>86299200000</v>
      </c>
      <c r="F493" s="92">
        <v>87466800000</v>
      </c>
      <c r="G493" s="92">
        <v>88968200000</v>
      </c>
      <c r="H493" s="92">
        <v>90821700000</v>
      </c>
      <c r="I493" s="92">
        <v>93050300000</v>
      </c>
      <c r="J493" s="92">
        <v>95343600000</v>
      </c>
      <c r="K493" s="92">
        <v>97703400000</v>
      </c>
      <c r="L493" s="92">
        <v>100132000000</v>
      </c>
      <c r="M493" s="92">
        <v>102630000000</v>
      </c>
      <c r="N493" s="92">
        <v>105201000000</v>
      </c>
      <c r="O493" s="92">
        <v>107847000000</v>
      </c>
      <c r="P493" s="92">
        <v>110569000000</v>
      </c>
      <c r="Q493" s="92">
        <v>113371000000</v>
      </c>
      <c r="R493" s="92">
        <v>116253000000</v>
      </c>
      <c r="S493" s="92">
        <v>119220000000</v>
      </c>
      <c r="T493" s="92">
        <v>122272000000</v>
      </c>
      <c r="U493" s="92">
        <v>125412000000</v>
      </c>
      <c r="V493" s="92">
        <v>128644000000</v>
      </c>
      <c r="W493" s="92">
        <v>131970000000</v>
      </c>
      <c r="X493" s="92">
        <v>135392000000</v>
      </c>
      <c r="Y493" s="92">
        <v>138913000000</v>
      </c>
      <c r="Z493" s="92">
        <v>142536000000</v>
      </c>
      <c r="AA493" s="92">
        <v>146265000000</v>
      </c>
      <c r="AB493" s="92">
        <v>150101000000</v>
      </c>
      <c r="AC493" s="92">
        <v>154049000000</v>
      </c>
      <c r="AD493" s="92">
        <v>158111000000</v>
      </c>
      <c r="AE493" s="92">
        <v>162291000000</v>
      </c>
      <c r="AF493" s="92">
        <v>166592000000</v>
      </c>
    </row>
    <row r="494" spans="1:46" x14ac:dyDescent="0.3">
      <c r="A494" s="86" t="s">
        <v>1282</v>
      </c>
      <c r="B494" s="92">
        <v>942414000000</v>
      </c>
      <c r="C494" s="92">
        <v>949310000000</v>
      </c>
      <c r="D494" s="92">
        <v>955774000000</v>
      </c>
      <c r="E494" s="92">
        <v>961793000000</v>
      </c>
      <c r="F494" s="92">
        <v>967358000000</v>
      </c>
      <c r="G494" s="92">
        <v>972457000000</v>
      </c>
      <c r="H494" s="92">
        <v>977081000000</v>
      </c>
      <c r="I494" s="92">
        <v>981222000000</v>
      </c>
      <c r="J494" s="92">
        <v>985384000000</v>
      </c>
      <c r="K494" s="92">
        <v>989566000000</v>
      </c>
      <c r="L494" s="92">
        <v>993769000000</v>
      </c>
      <c r="M494" s="92">
        <v>997993000000</v>
      </c>
      <c r="N494" s="92">
        <v>1002240000000</v>
      </c>
      <c r="O494" s="92">
        <v>1006500000000</v>
      </c>
      <c r="P494" s="92">
        <v>1010790000000</v>
      </c>
      <c r="Q494" s="92">
        <v>1015100000000</v>
      </c>
      <c r="R494" s="92">
        <v>1019430000000</v>
      </c>
      <c r="S494" s="92">
        <v>1023790000000</v>
      </c>
      <c r="T494" s="92">
        <v>1028160000000</v>
      </c>
      <c r="U494" s="92">
        <v>1032560000000</v>
      </c>
      <c r="V494" s="92">
        <v>1036970000000</v>
      </c>
      <c r="W494" s="92">
        <v>1041410000000</v>
      </c>
      <c r="X494" s="92">
        <v>1045880000000</v>
      </c>
      <c r="Y494" s="92">
        <v>1050360000000</v>
      </c>
      <c r="Z494" s="92">
        <v>1054870000000</v>
      </c>
      <c r="AA494" s="92">
        <v>1059400000000</v>
      </c>
      <c r="AB494" s="92">
        <v>1063950000000</v>
      </c>
      <c r="AC494" s="92">
        <v>1068530000000</v>
      </c>
      <c r="AD494" s="92">
        <v>1073120000000</v>
      </c>
      <c r="AE494" s="92">
        <v>1077740000000</v>
      </c>
      <c r="AF494" s="92">
        <v>1082390000000</v>
      </c>
    </row>
    <row r="495" spans="1:46" x14ac:dyDescent="0.3">
      <c r="A495" s="86" t="s">
        <v>1283</v>
      </c>
      <c r="B495" s="92">
        <v>82468800000</v>
      </c>
      <c r="C495" s="92">
        <v>82131500000</v>
      </c>
      <c r="D495" s="92">
        <v>81817600000</v>
      </c>
      <c r="E495" s="92">
        <v>81526900000</v>
      </c>
      <c r="F495" s="92">
        <v>81259100000</v>
      </c>
      <c r="G495" s="92">
        <v>81013800000</v>
      </c>
      <c r="H495" s="92">
        <v>80790900000</v>
      </c>
      <c r="I495" s="92">
        <v>80590000000</v>
      </c>
      <c r="J495" s="92">
        <v>80389800000</v>
      </c>
      <c r="K495" s="92">
        <v>80190200000</v>
      </c>
      <c r="L495" s="92">
        <v>79991200000</v>
      </c>
      <c r="M495" s="92">
        <v>79792700000</v>
      </c>
      <c r="N495" s="92">
        <v>79594900000</v>
      </c>
      <c r="O495" s="92">
        <v>79397700000</v>
      </c>
      <c r="P495" s="92">
        <v>79201000000</v>
      </c>
      <c r="Q495" s="92">
        <v>79005000000</v>
      </c>
      <c r="R495" s="92">
        <v>78809500000</v>
      </c>
      <c r="S495" s="92">
        <v>78614600000</v>
      </c>
      <c r="T495" s="92">
        <v>78420300000</v>
      </c>
      <c r="U495" s="92">
        <v>78226600000</v>
      </c>
      <c r="V495" s="92">
        <v>78033500000</v>
      </c>
      <c r="W495" s="92">
        <v>77840900000</v>
      </c>
      <c r="X495" s="92">
        <v>77649000000</v>
      </c>
      <c r="Y495" s="92">
        <v>77457500000</v>
      </c>
      <c r="Z495" s="92">
        <v>77266700000</v>
      </c>
      <c r="AA495" s="92">
        <v>77076500000</v>
      </c>
      <c r="AB495" s="92">
        <v>76886800000</v>
      </c>
      <c r="AC495" s="92">
        <v>76697700000</v>
      </c>
      <c r="AD495" s="92">
        <v>76509100000</v>
      </c>
      <c r="AE495" s="92">
        <v>76321200000</v>
      </c>
      <c r="AF495" s="92">
        <v>76133700000</v>
      </c>
    </row>
    <row r="496" spans="1:46" x14ac:dyDescent="0.3">
      <c r="A496" s="86" t="s">
        <v>1284</v>
      </c>
      <c r="B496" s="92">
        <v>105575000000</v>
      </c>
      <c r="C496" s="92">
        <v>107334000000</v>
      </c>
      <c r="D496" s="92">
        <v>108722000000</v>
      </c>
      <c r="E496" s="92">
        <v>109719000000</v>
      </c>
      <c r="F496" s="92">
        <v>110310000000</v>
      </c>
      <c r="G496" s="92">
        <v>110485000000</v>
      </c>
      <c r="H496" s="92">
        <v>110242000000</v>
      </c>
      <c r="I496" s="92">
        <v>109580000000</v>
      </c>
      <c r="J496" s="92">
        <v>108923000000</v>
      </c>
      <c r="K496" s="92">
        <v>108270000000</v>
      </c>
      <c r="L496" s="92">
        <v>107622000000</v>
      </c>
      <c r="M496" s="92">
        <v>106979000000</v>
      </c>
      <c r="N496" s="92">
        <v>106340000000</v>
      </c>
      <c r="O496" s="92">
        <v>105705000000</v>
      </c>
      <c r="P496" s="92">
        <v>105075000000</v>
      </c>
      <c r="Q496" s="92">
        <v>104449000000</v>
      </c>
      <c r="R496" s="92">
        <v>103828000000</v>
      </c>
      <c r="S496" s="92">
        <v>103211000000</v>
      </c>
      <c r="T496" s="92">
        <v>102598000000</v>
      </c>
      <c r="U496" s="92">
        <v>101990000000</v>
      </c>
      <c r="V496" s="92">
        <v>101386000000</v>
      </c>
      <c r="W496" s="92">
        <v>100786000000</v>
      </c>
      <c r="X496" s="92">
        <v>100191000000</v>
      </c>
      <c r="Y496" s="92">
        <v>99599100000</v>
      </c>
      <c r="Z496" s="92">
        <v>99011800000</v>
      </c>
      <c r="AA496" s="92">
        <v>98428600000</v>
      </c>
      <c r="AB496" s="92">
        <v>97849400000</v>
      </c>
      <c r="AC496" s="92">
        <v>97274300000</v>
      </c>
      <c r="AD496" s="92">
        <v>96703300000</v>
      </c>
      <c r="AE496" s="92">
        <v>96136200000</v>
      </c>
      <c r="AF496" s="92">
        <v>95573100000</v>
      </c>
    </row>
    <row r="497" spans="1:32" x14ac:dyDescent="0.3">
      <c r="A497" s="86" t="s">
        <v>1285</v>
      </c>
      <c r="B497" s="92">
        <v>261200000000</v>
      </c>
      <c r="C497" s="92">
        <v>261024000000</v>
      </c>
      <c r="D497" s="92">
        <v>260586000000</v>
      </c>
      <c r="E497" s="92">
        <v>259888000000</v>
      </c>
      <c r="F497" s="92">
        <v>258933000000</v>
      </c>
      <c r="G497" s="92">
        <v>257722000000</v>
      </c>
      <c r="H497" s="92">
        <v>256261000000</v>
      </c>
      <c r="I497" s="92">
        <v>254553000000</v>
      </c>
      <c r="J497" s="92">
        <v>252860000000</v>
      </c>
      <c r="K497" s="92">
        <v>251179000000</v>
      </c>
      <c r="L497" s="92">
        <v>249513000000</v>
      </c>
      <c r="M497" s="92">
        <v>247859000000</v>
      </c>
      <c r="N497" s="92">
        <v>246219000000</v>
      </c>
      <c r="O497" s="92">
        <v>244592000000</v>
      </c>
      <c r="P497" s="92">
        <v>242978000000</v>
      </c>
      <c r="Q497" s="92">
        <v>241377000000</v>
      </c>
      <c r="R497" s="92">
        <v>239789000000</v>
      </c>
      <c r="S497" s="92">
        <v>238213000000</v>
      </c>
      <c r="T497" s="92">
        <v>236650000000</v>
      </c>
      <c r="U497" s="92">
        <v>235100000000</v>
      </c>
      <c r="V497" s="92">
        <v>233562000000</v>
      </c>
      <c r="W497" s="92">
        <v>232036000000</v>
      </c>
      <c r="X497" s="92">
        <v>230523000000</v>
      </c>
      <c r="Y497" s="92">
        <v>229021000000</v>
      </c>
      <c r="Z497" s="92">
        <v>227532000000</v>
      </c>
      <c r="AA497" s="92">
        <v>226054000000</v>
      </c>
      <c r="AB497" s="92">
        <v>224589000000</v>
      </c>
      <c r="AC497" s="92">
        <v>223135000000</v>
      </c>
      <c r="AD497" s="92">
        <v>221692000000</v>
      </c>
      <c r="AE497" s="92">
        <v>220262000000</v>
      </c>
      <c r="AF497" s="92">
        <v>218842000000</v>
      </c>
    </row>
    <row r="498" spans="1:32" x14ac:dyDescent="0.3">
      <c r="A498" s="86" t="s">
        <v>1286</v>
      </c>
      <c r="B498" s="92">
        <v>488851000000</v>
      </c>
      <c r="C498" s="92">
        <v>491609000000</v>
      </c>
      <c r="D498" s="92">
        <v>494268000000</v>
      </c>
      <c r="E498" s="92">
        <v>496825000000</v>
      </c>
      <c r="F498" s="92">
        <v>499278000000</v>
      </c>
      <c r="G498" s="92">
        <v>501625000000</v>
      </c>
      <c r="H498" s="92">
        <v>503864000000</v>
      </c>
      <c r="I498" s="92">
        <v>505994000000</v>
      </c>
      <c r="J498" s="92">
        <v>508134000000</v>
      </c>
      <c r="K498" s="92">
        <v>510284000000</v>
      </c>
      <c r="L498" s="92">
        <v>512446000000</v>
      </c>
      <c r="M498" s="92">
        <v>514618000000</v>
      </c>
      <c r="N498" s="92">
        <v>516801000000</v>
      </c>
      <c r="O498" s="92">
        <v>518995000000</v>
      </c>
      <c r="P498" s="92">
        <v>521200000000</v>
      </c>
      <c r="Q498" s="92">
        <v>523416000000</v>
      </c>
      <c r="R498" s="92">
        <v>525643000000</v>
      </c>
      <c r="S498" s="92">
        <v>527881000000</v>
      </c>
      <c r="T498" s="92">
        <v>530131000000</v>
      </c>
      <c r="U498" s="92">
        <v>532391000000</v>
      </c>
      <c r="V498" s="92">
        <v>534663000000</v>
      </c>
      <c r="W498" s="92">
        <v>536946000000</v>
      </c>
      <c r="X498" s="92">
        <v>539241000000</v>
      </c>
      <c r="Y498" s="92">
        <v>541547000000</v>
      </c>
      <c r="Z498" s="92">
        <v>543865000000</v>
      </c>
      <c r="AA498" s="92">
        <v>546194000000</v>
      </c>
      <c r="AB498" s="92">
        <v>548535000000</v>
      </c>
      <c r="AC498" s="92">
        <v>550888000000</v>
      </c>
      <c r="AD498" s="92">
        <v>553252000000</v>
      </c>
      <c r="AE498" s="92">
        <v>555629000000</v>
      </c>
      <c r="AF498" s="92">
        <v>558017000000</v>
      </c>
    </row>
    <row r="499" spans="1:32" x14ac:dyDescent="0.3">
      <c r="A499" s="86" t="s">
        <v>1287</v>
      </c>
      <c r="B499" s="92">
        <v>548229000000</v>
      </c>
      <c r="C499" s="92">
        <v>557723000000</v>
      </c>
      <c r="D499" s="92">
        <v>566508000000</v>
      </c>
      <c r="E499" s="92">
        <v>574539000000</v>
      </c>
      <c r="F499" s="92">
        <v>581769000000</v>
      </c>
      <c r="G499" s="92">
        <v>588160000000</v>
      </c>
      <c r="H499" s="92">
        <v>593673000000</v>
      </c>
      <c r="I499" s="92">
        <v>598277000000</v>
      </c>
      <c r="J499" s="92">
        <v>602923000000</v>
      </c>
      <c r="K499" s="92">
        <v>607610000000</v>
      </c>
      <c r="L499" s="92">
        <v>612340000000</v>
      </c>
      <c r="M499" s="92">
        <v>617112000000</v>
      </c>
      <c r="N499" s="92">
        <v>621927000000</v>
      </c>
      <c r="O499" s="92">
        <v>626786000000</v>
      </c>
      <c r="P499" s="92">
        <v>631688000000</v>
      </c>
      <c r="Q499" s="92">
        <v>636635000000</v>
      </c>
      <c r="R499" s="92">
        <v>641625000000</v>
      </c>
      <c r="S499" s="92">
        <v>646661000000</v>
      </c>
      <c r="T499" s="92">
        <v>651742000000</v>
      </c>
      <c r="U499" s="92">
        <v>656869000000</v>
      </c>
      <c r="V499" s="92">
        <v>662042000000</v>
      </c>
      <c r="W499" s="92">
        <v>667262000000</v>
      </c>
      <c r="X499" s="92">
        <v>672528000000</v>
      </c>
      <c r="Y499" s="92">
        <v>677842000000</v>
      </c>
      <c r="Z499" s="92">
        <v>683204000000</v>
      </c>
      <c r="AA499" s="92">
        <v>688614000000</v>
      </c>
      <c r="AB499" s="92">
        <v>694073000000</v>
      </c>
      <c r="AC499" s="92">
        <v>699581000000</v>
      </c>
      <c r="AD499" s="92">
        <v>705138000000</v>
      </c>
      <c r="AE499" s="92">
        <v>710746000000</v>
      </c>
      <c r="AF499" s="92">
        <v>716404000000</v>
      </c>
    </row>
    <row r="500" spans="1:32" x14ac:dyDescent="0.3">
      <c r="A500" s="86" t="s">
        <v>1288</v>
      </c>
      <c r="B500" s="92">
        <v>256762000000</v>
      </c>
      <c r="C500" s="92">
        <v>256579000000</v>
      </c>
      <c r="D500" s="92">
        <v>257067000000</v>
      </c>
      <c r="E500" s="92">
        <v>258230000000</v>
      </c>
      <c r="F500" s="92">
        <v>260075000000</v>
      </c>
      <c r="G500" s="92">
        <v>262619000000</v>
      </c>
      <c r="H500" s="92">
        <v>265884000000</v>
      </c>
      <c r="I500" s="92">
        <v>269898000000</v>
      </c>
      <c r="J500" s="92">
        <v>273984000000</v>
      </c>
      <c r="K500" s="92">
        <v>278143000000</v>
      </c>
      <c r="L500" s="92">
        <v>282378000000</v>
      </c>
      <c r="M500" s="92">
        <v>286688000000</v>
      </c>
      <c r="N500" s="92">
        <v>291077000000</v>
      </c>
      <c r="O500" s="92">
        <v>295544000000</v>
      </c>
      <c r="P500" s="92">
        <v>300091000000</v>
      </c>
      <c r="Q500" s="92">
        <v>304721000000</v>
      </c>
      <c r="R500" s="92">
        <v>309434000000</v>
      </c>
      <c r="S500" s="92">
        <v>314231000000</v>
      </c>
      <c r="T500" s="92">
        <v>319116000000</v>
      </c>
      <c r="U500" s="92">
        <v>324087000000</v>
      </c>
      <c r="V500" s="92">
        <v>329149000000</v>
      </c>
      <c r="W500" s="92">
        <v>334301000000</v>
      </c>
      <c r="X500" s="92">
        <v>339547000000</v>
      </c>
      <c r="Y500" s="92">
        <v>344886000000</v>
      </c>
      <c r="Z500" s="92">
        <v>350322000000</v>
      </c>
      <c r="AA500" s="92">
        <v>355856000000</v>
      </c>
      <c r="AB500" s="92">
        <v>361489000000</v>
      </c>
      <c r="AC500" s="92">
        <v>367224000000</v>
      </c>
      <c r="AD500" s="92">
        <v>373062000000</v>
      </c>
      <c r="AE500" s="92">
        <v>379005000000</v>
      </c>
      <c r="AF500" s="92">
        <v>385055000000</v>
      </c>
    </row>
    <row r="501" spans="1:32" x14ac:dyDescent="0.3">
      <c r="A501" s="86" t="s">
        <v>1289</v>
      </c>
      <c r="B501" s="92">
        <v>241195000000</v>
      </c>
      <c r="C501" s="92">
        <v>244728000000</v>
      </c>
      <c r="D501" s="92">
        <v>248175000000</v>
      </c>
      <c r="E501" s="92">
        <v>251527000000</v>
      </c>
      <c r="F501" s="92">
        <v>254779000000</v>
      </c>
      <c r="G501" s="92">
        <v>257925000000</v>
      </c>
      <c r="H501" s="92">
        <v>260958000000</v>
      </c>
      <c r="I501" s="92">
        <v>263873000000</v>
      </c>
      <c r="J501" s="92">
        <v>266825000000</v>
      </c>
      <c r="K501" s="92">
        <v>269816000000</v>
      </c>
      <c r="L501" s="92">
        <v>272846000000</v>
      </c>
      <c r="M501" s="92">
        <v>275915000000</v>
      </c>
      <c r="N501" s="92">
        <v>279024000000</v>
      </c>
      <c r="O501" s="92">
        <v>282173000000</v>
      </c>
      <c r="P501" s="92">
        <v>285364000000</v>
      </c>
      <c r="Q501" s="92">
        <v>288595000000</v>
      </c>
      <c r="R501" s="92">
        <v>291869000000</v>
      </c>
      <c r="S501" s="92">
        <v>295186000000</v>
      </c>
      <c r="T501" s="92">
        <v>298545000000</v>
      </c>
      <c r="U501" s="92">
        <v>301948000000</v>
      </c>
      <c r="V501" s="92">
        <v>305396000000</v>
      </c>
      <c r="W501" s="92">
        <v>308888000000</v>
      </c>
      <c r="X501" s="92">
        <v>312426000000</v>
      </c>
      <c r="Y501" s="92">
        <v>316009000000</v>
      </c>
      <c r="Z501" s="92">
        <v>319640000000</v>
      </c>
      <c r="AA501" s="92">
        <v>323317000000</v>
      </c>
      <c r="AB501" s="92">
        <v>327042000000</v>
      </c>
      <c r="AC501" s="92">
        <v>330816000000</v>
      </c>
      <c r="AD501" s="92">
        <v>334639000000</v>
      </c>
      <c r="AE501" s="92">
        <v>338511000000</v>
      </c>
      <c r="AF501" s="92">
        <v>342434000000</v>
      </c>
    </row>
    <row r="502" spans="1:32" x14ac:dyDescent="0.3">
      <c r="A502" s="86" t="s">
        <v>1290</v>
      </c>
      <c r="B502" s="92">
        <v>30079200000</v>
      </c>
      <c r="C502" s="92">
        <v>31002200000</v>
      </c>
      <c r="D502" s="92">
        <v>31758300000</v>
      </c>
      <c r="E502" s="92">
        <v>32330600000</v>
      </c>
      <c r="F502" s="92">
        <v>32705200000</v>
      </c>
      <c r="G502" s="92">
        <v>32872600000</v>
      </c>
      <c r="H502" s="92">
        <v>32827400000</v>
      </c>
      <c r="I502" s="92">
        <v>32569200000</v>
      </c>
      <c r="J502" s="92">
        <v>32313200000</v>
      </c>
      <c r="K502" s="92">
        <v>32059600000</v>
      </c>
      <c r="L502" s="92">
        <v>31808300000</v>
      </c>
      <c r="M502" s="92">
        <v>31559200000</v>
      </c>
      <c r="N502" s="92">
        <v>31312300000</v>
      </c>
      <c r="O502" s="92">
        <v>31067700000</v>
      </c>
      <c r="P502" s="92">
        <v>30825300000</v>
      </c>
      <c r="Q502" s="92">
        <v>30585100000</v>
      </c>
      <c r="R502" s="92">
        <v>30347000000</v>
      </c>
      <c r="S502" s="92">
        <v>30111100000</v>
      </c>
      <c r="T502" s="92">
        <v>29877300000</v>
      </c>
      <c r="U502" s="92">
        <v>29645600000</v>
      </c>
      <c r="V502" s="92">
        <v>29416000000</v>
      </c>
      <c r="W502" s="92">
        <v>29188400000</v>
      </c>
      <c r="X502" s="92">
        <v>28962900000</v>
      </c>
      <c r="Y502" s="92">
        <v>28739400000</v>
      </c>
      <c r="Z502" s="92">
        <v>28518000000</v>
      </c>
      <c r="AA502" s="92">
        <v>28298500000</v>
      </c>
      <c r="AB502" s="92">
        <v>28081000000</v>
      </c>
      <c r="AC502" s="92">
        <v>27865500000</v>
      </c>
      <c r="AD502" s="92">
        <v>27651900000</v>
      </c>
      <c r="AE502" s="92">
        <v>27440200000</v>
      </c>
      <c r="AF502" s="92">
        <v>27230400000</v>
      </c>
    </row>
    <row r="503" spans="1:32" x14ac:dyDescent="0.3">
      <c r="A503" s="86" t="s">
        <v>1291</v>
      </c>
      <c r="B503" s="92">
        <v>98933900000</v>
      </c>
      <c r="C503" s="92">
        <v>100575000000</v>
      </c>
      <c r="D503" s="92">
        <v>102113000000</v>
      </c>
      <c r="E503" s="92">
        <v>103539000000</v>
      </c>
      <c r="F503" s="92">
        <v>104848000000</v>
      </c>
      <c r="G503" s="92">
        <v>106033000000</v>
      </c>
      <c r="H503" s="92">
        <v>107090000000</v>
      </c>
      <c r="I503" s="92">
        <v>108012000000</v>
      </c>
      <c r="J503" s="92">
        <v>108943000000</v>
      </c>
      <c r="K503" s="92">
        <v>109883000000</v>
      </c>
      <c r="L503" s="92">
        <v>110833000000</v>
      </c>
      <c r="M503" s="92">
        <v>111793000000</v>
      </c>
      <c r="N503" s="92">
        <v>112762000000</v>
      </c>
      <c r="O503" s="92">
        <v>113741000000</v>
      </c>
      <c r="P503" s="92">
        <v>114729000000</v>
      </c>
      <c r="Q503" s="92">
        <v>115728000000</v>
      </c>
      <c r="R503" s="92">
        <v>116736000000</v>
      </c>
      <c r="S503" s="92">
        <v>117755000000</v>
      </c>
      <c r="T503" s="92">
        <v>118783000000</v>
      </c>
      <c r="U503" s="92">
        <v>119822000000</v>
      </c>
      <c r="V503" s="92">
        <v>120872000000</v>
      </c>
      <c r="W503" s="92">
        <v>121932000000</v>
      </c>
      <c r="X503" s="92">
        <v>123002000000</v>
      </c>
      <c r="Y503" s="92">
        <v>124083000000</v>
      </c>
      <c r="Z503" s="92">
        <v>125175000000</v>
      </c>
      <c r="AA503" s="92">
        <v>126278000000</v>
      </c>
      <c r="AB503" s="92">
        <v>127392000000</v>
      </c>
      <c r="AC503" s="92">
        <v>128517000000</v>
      </c>
      <c r="AD503" s="92">
        <v>129654000000</v>
      </c>
      <c r="AE503" s="92">
        <v>130801000000</v>
      </c>
      <c r="AF503" s="92">
        <v>131960000000</v>
      </c>
    </row>
    <row r="504" spans="1:32" x14ac:dyDescent="0.3">
      <c r="A504" s="86" t="s">
        <v>1292</v>
      </c>
      <c r="B504" s="92">
        <v>131544000000</v>
      </c>
      <c r="C504" s="92">
        <v>133184000000</v>
      </c>
      <c r="D504" s="92">
        <v>134477000000</v>
      </c>
      <c r="E504" s="92">
        <v>135409000000</v>
      </c>
      <c r="F504" s="92">
        <v>135969000000</v>
      </c>
      <c r="G504" s="92">
        <v>136151000000</v>
      </c>
      <c r="H504" s="92">
        <v>135952000000</v>
      </c>
      <c r="I504" s="92">
        <v>135373000000</v>
      </c>
      <c r="J504" s="92">
        <v>134796000000</v>
      </c>
      <c r="K504" s="92">
        <v>134222000000</v>
      </c>
      <c r="L504" s="92">
        <v>133652000000</v>
      </c>
      <c r="M504" s="92">
        <v>133084000000</v>
      </c>
      <c r="N504" s="92">
        <v>132518000000</v>
      </c>
      <c r="O504" s="92">
        <v>131956000000</v>
      </c>
      <c r="P504" s="92">
        <v>131397000000</v>
      </c>
      <c r="Q504" s="92">
        <v>130840000000</v>
      </c>
      <c r="R504" s="92">
        <v>130286000000</v>
      </c>
      <c r="S504" s="92">
        <v>129735000000</v>
      </c>
      <c r="T504" s="92">
        <v>129186000000</v>
      </c>
      <c r="U504" s="92">
        <v>128641000000</v>
      </c>
      <c r="V504" s="92">
        <v>128098000000</v>
      </c>
      <c r="W504" s="92">
        <v>127557000000</v>
      </c>
      <c r="X504" s="92">
        <v>127020000000</v>
      </c>
      <c r="Y504" s="92">
        <v>126485000000</v>
      </c>
      <c r="Z504" s="92">
        <v>125953000000</v>
      </c>
      <c r="AA504" s="92">
        <v>125423000000</v>
      </c>
      <c r="AB504" s="92">
        <v>124896000000</v>
      </c>
      <c r="AC504" s="92">
        <v>124372000000</v>
      </c>
      <c r="AD504" s="92">
        <v>123851000000</v>
      </c>
      <c r="AE504" s="92">
        <v>123332000000</v>
      </c>
      <c r="AF504" s="92">
        <v>122815000000</v>
      </c>
    </row>
    <row r="505" spans="1:32" x14ac:dyDescent="0.3">
      <c r="A505" s="86" t="s">
        <v>1293</v>
      </c>
      <c r="B505" s="92">
        <v>104464000000</v>
      </c>
      <c r="C505" s="92">
        <v>106074000000</v>
      </c>
      <c r="D505" s="92">
        <v>107561000000</v>
      </c>
      <c r="E505" s="92">
        <v>108917000000</v>
      </c>
      <c r="F505" s="92">
        <v>110135000000</v>
      </c>
      <c r="G505" s="92">
        <v>111210000000</v>
      </c>
      <c r="H505" s="92">
        <v>112135000000</v>
      </c>
      <c r="I505" s="92">
        <v>112905000000</v>
      </c>
      <c r="J505" s="92">
        <v>113682000000</v>
      </c>
      <c r="K505" s="92">
        <v>114465000000</v>
      </c>
      <c r="L505" s="92">
        <v>115255000000</v>
      </c>
      <c r="M505" s="92">
        <v>116050000000</v>
      </c>
      <c r="N505" s="92">
        <v>116852000000</v>
      </c>
      <c r="O505" s="92">
        <v>117661000000</v>
      </c>
      <c r="P505" s="92">
        <v>118476000000</v>
      </c>
      <c r="Q505" s="92">
        <v>119297000000</v>
      </c>
      <c r="R505" s="92">
        <v>120125000000</v>
      </c>
      <c r="S505" s="92">
        <v>120960000000</v>
      </c>
      <c r="T505" s="92">
        <v>121801000000</v>
      </c>
      <c r="U505" s="92">
        <v>122649000000</v>
      </c>
      <c r="V505" s="92">
        <v>123504000000</v>
      </c>
      <c r="W505" s="92">
        <v>124365000000</v>
      </c>
      <c r="X505" s="92">
        <v>125234000000</v>
      </c>
      <c r="Y505" s="92">
        <v>126109000000</v>
      </c>
      <c r="Z505" s="92">
        <v>126992000000</v>
      </c>
      <c r="AA505" s="92">
        <v>127881000000</v>
      </c>
      <c r="AB505" s="92">
        <v>128778000000</v>
      </c>
      <c r="AC505" s="92">
        <v>129682000000</v>
      </c>
      <c r="AD505" s="92">
        <v>130593000000</v>
      </c>
      <c r="AE505" s="92">
        <v>131511000000</v>
      </c>
      <c r="AF505" s="92">
        <v>132437000000</v>
      </c>
    </row>
    <row r="506" spans="1:32" x14ac:dyDescent="0.3">
      <c r="A506" s="86" t="s">
        <v>1294</v>
      </c>
      <c r="B506" s="92">
        <v>398469000000</v>
      </c>
      <c r="C506" s="92">
        <v>406628000000</v>
      </c>
      <c r="D506" s="92">
        <v>413939000000</v>
      </c>
      <c r="E506" s="92">
        <v>420337000000</v>
      </c>
      <c r="F506" s="92">
        <v>425765000000</v>
      </c>
      <c r="G506" s="92">
        <v>430172000000</v>
      </c>
      <c r="H506" s="92">
        <v>433517000000</v>
      </c>
      <c r="I506" s="92">
        <v>435767000000</v>
      </c>
      <c r="J506" s="92">
        <v>438030000000</v>
      </c>
      <c r="K506" s="92">
        <v>440308000000</v>
      </c>
      <c r="L506" s="92">
        <v>442598000000</v>
      </c>
      <c r="M506" s="92">
        <v>444903000000</v>
      </c>
      <c r="N506" s="92">
        <v>447221000000</v>
      </c>
      <c r="O506" s="92">
        <v>449554000000</v>
      </c>
      <c r="P506" s="92">
        <v>451900000000</v>
      </c>
      <c r="Q506" s="92">
        <v>454261000000</v>
      </c>
      <c r="R506" s="92">
        <v>456635000000</v>
      </c>
      <c r="S506" s="92">
        <v>459024000000</v>
      </c>
      <c r="T506" s="92">
        <v>461427000000</v>
      </c>
      <c r="U506" s="92">
        <v>463845000000</v>
      </c>
      <c r="V506" s="92">
        <v>466277000000</v>
      </c>
      <c r="W506" s="92">
        <v>468723000000</v>
      </c>
      <c r="X506" s="92">
        <v>471185000000</v>
      </c>
      <c r="Y506" s="92">
        <v>473661000000</v>
      </c>
      <c r="Z506" s="92">
        <v>476152000000</v>
      </c>
      <c r="AA506" s="92">
        <v>478658000000</v>
      </c>
      <c r="AB506" s="92">
        <v>481179000000</v>
      </c>
      <c r="AC506" s="92">
        <v>483715000000</v>
      </c>
      <c r="AD506" s="92">
        <v>486266000000</v>
      </c>
      <c r="AE506" s="92">
        <v>488832000000</v>
      </c>
      <c r="AF506" s="92">
        <v>491414000000</v>
      </c>
    </row>
    <row r="507" spans="1:32" x14ac:dyDescent="0.3">
      <c r="A507" s="86" t="s">
        <v>1295</v>
      </c>
      <c r="B507" s="92">
        <v>399372000000</v>
      </c>
      <c r="C507" s="92">
        <v>405953000000</v>
      </c>
      <c r="D507" s="92">
        <v>412811000000</v>
      </c>
      <c r="E507" s="92">
        <v>419955000000</v>
      </c>
      <c r="F507" s="92">
        <v>427399000000</v>
      </c>
      <c r="G507" s="92">
        <v>435153000000</v>
      </c>
      <c r="H507" s="92">
        <v>443233000000</v>
      </c>
      <c r="I507" s="92">
        <v>451650000000</v>
      </c>
      <c r="J507" s="92">
        <v>460253000000</v>
      </c>
      <c r="K507" s="92">
        <v>469045000000</v>
      </c>
      <c r="L507" s="92">
        <v>478030000000</v>
      </c>
      <c r="M507" s="92">
        <v>487213000000</v>
      </c>
      <c r="N507" s="92">
        <v>496599000000</v>
      </c>
      <c r="O507" s="92">
        <v>506190000000</v>
      </c>
      <c r="P507" s="92">
        <v>515993000000</v>
      </c>
      <c r="Q507" s="92">
        <v>526011000000</v>
      </c>
      <c r="R507" s="92">
        <v>536250000000</v>
      </c>
      <c r="S507" s="92">
        <v>546714000000</v>
      </c>
      <c r="T507" s="92">
        <v>557408000000</v>
      </c>
      <c r="U507" s="92">
        <v>568337000000</v>
      </c>
      <c r="V507" s="92">
        <v>579507000000</v>
      </c>
      <c r="W507" s="92">
        <v>590923000000</v>
      </c>
      <c r="X507" s="92">
        <v>602589000000</v>
      </c>
      <c r="Y507" s="92">
        <v>614513000000</v>
      </c>
      <c r="Z507" s="92">
        <v>626698000000</v>
      </c>
      <c r="AA507" s="92">
        <v>639152000000</v>
      </c>
      <c r="AB507" s="92">
        <v>651880000000</v>
      </c>
      <c r="AC507" s="92">
        <v>664888000000</v>
      </c>
      <c r="AD507" s="92">
        <v>678182000000</v>
      </c>
      <c r="AE507" s="92">
        <v>691768000000</v>
      </c>
      <c r="AF507" s="92">
        <v>705653000000</v>
      </c>
    </row>
    <row r="508" spans="1:32" x14ac:dyDescent="0.3">
      <c r="A508" s="86" t="s">
        <v>1296</v>
      </c>
      <c r="B508" s="92">
        <v>133540000000</v>
      </c>
      <c r="C508" s="92">
        <v>136121000000</v>
      </c>
      <c r="D508" s="92">
        <v>138727000000</v>
      </c>
      <c r="E508" s="92">
        <v>141357000000</v>
      </c>
      <c r="F508" s="92">
        <v>144011000000</v>
      </c>
      <c r="G508" s="92">
        <v>146688000000</v>
      </c>
      <c r="H508" s="92">
        <v>149386000000</v>
      </c>
      <c r="I508" s="92">
        <v>152104000000</v>
      </c>
      <c r="J508" s="92">
        <v>154880000000</v>
      </c>
      <c r="K508" s="92">
        <v>157714000000</v>
      </c>
      <c r="L508" s="92">
        <v>160607000000</v>
      </c>
      <c r="M508" s="92">
        <v>163561000000</v>
      </c>
      <c r="N508" s="92">
        <v>166577000000</v>
      </c>
      <c r="O508" s="92">
        <v>169657000000</v>
      </c>
      <c r="P508" s="92">
        <v>172801000000</v>
      </c>
      <c r="Q508" s="92">
        <v>176011000000</v>
      </c>
      <c r="R508" s="92">
        <v>179289000000</v>
      </c>
      <c r="S508" s="92">
        <v>182635000000</v>
      </c>
      <c r="T508" s="92">
        <v>186052000000</v>
      </c>
      <c r="U508" s="92">
        <v>189540000000</v>
      </c>
      <c r="V508" s="92">
        <v>193102000000</v>
      </c>
      <c r="W508" s="92">
        <v>196739000000</v>
      </c>
      <c r="X508" s="92">
        <v>200452000000</v>
      </c>
      <c r="Y508" s="92">
        <v>204242000000</v>
      </c>
      <c r="Z508" s="92">
        <v>208113000000</v>
      </c>
      <c r="AA508" s="92">
        <v>212065000000</v>
      </c>
      <c r="AB508" s="92">
        <v>216099000000</v>
      </c>
      <c r="AC508" s="92">
        <v>220219000000</v>
      </c>
      <c r="AD508" s="92">
        <v>224425000000</v>
      </c>
      <c r="AE508" s="92">
        <v>228719000000</v>
      </c>
      <c r="AF508" s="92">
        <v>233104000000</v>
      </c>
    </row>
    <row r="509" spans="1:32" x14ac:dyDescent="0.3">
      <c r="A509" s="86" t="s">
        <v>1297</v>
      </c>
      <c r="B509" s="92">
        <v>409467000000</v>
      </c>
      <c r="C509" s="92">
        <v>417591000000</v>
      </c>
      <c r="D509" s="92">
        <v>425291000000</v>
      </c>
      <c r="E509" s="92">
        <v>432532000000</v>
      </c>
      <c r="F509" s="92">
        <v>439280000000</v>
      </c>
      <c r="G509" s="92">
        <v>445501000000</v>
      </c>
      <c r="H509" s="92">
        <v>451164000000</v>
      </c>
      <c r="I509" s="92">
        <v>456241000000</v>
      </c>
      <c r="J509" s="92">
        <v>461384000000</v>
      </c>
      <c r="K509" s="92">
        <v>466594000000</v>
      </c>
      <c r="L509" s="92">
        <v>471872000000</v>
      </c>
      <c r="M509" s="92">
        <v>477218000000</v>
      </c>
      <c r="N509" s="92">
        <v>482634000000</v>
      </c>
      <c r="O509" s="92">
        <v>488120000000</v>
      </c>
      <c r="P509" s="92">
        <v>493678000000</v>
      </c>
      <c r="Q509" s="92">
        <v>499308000000</v>
      </c>
      <c r="R509" s="92">
        <v>505011000000</v>
      </c>
      <c r="S509" s="92">
        <v>510788000000</v>
      </c>
      <c r="T509" s="92">
        <v>516640000000</v>
      </c>
      <c r="U509" s="92">
        <v>522568000000</v>
      </c>
      <c r="V509" s="92">
        <v>528574000000</v>
      </c>
      <c r="W509" s="92">
        <v>534657000000</v>
      </c>
      <c r="X509" s="92">
        <v>540820000000</v>
      </c>
      <c r="Y509" s="92">
        <v>547062000000</v>
      </c>
      <c r="Z509" s="92">
        <v>553386000000</v>
      </c>
      <c r="AA509" s="92">
        <v>559792000000</v>
      </c>
      <c r="AB509" s="92">
        <v>566281000000</v>
      </c>
      <c r="AC509" s="92">
        <v>572855000000</v>
      </c>
      <c r="AD509" s="92">
        <v>579514000000</v>
      </c>
      <c r="AE509" s="92">
        <v>586260000000</v>
      </c>
      <c r="AF509" s="92">
        <v>593093000000</v>
      </c>
    </row>
    <row r="510" spans="1:32" x14ac:dyDescent="0.3">
      <c r="A510" s="86" t="s">
        <v>1298</v>
      </c>
      <c r="B510" s="92">
        <v>875867000000</v>
      </c>
      <c r="C510" s="92">
        <v>925597000000</v>
      </c>
      <c r="D510" s="92">
        <v>971082000000</v>
      </c>
      <c r="E510" s="92">
        <v>1011220000000</v>
      </c>
      <c r="F510" s="92">
        <v>1044980000000</v>
      </c>
      <c r="G510" s="92">
        <v>1071460000000</v>
      </c>
      <c r="H510" s="92">
        <v>1089900000000</v>
      </c>
      <c r="I510" s="92">
        <v>1099740000000</v>
      </c>
      <c r="J510" s="92">
        <v>1109670000000</v>
      </c>
      <c r="K510" s="92">
        <v>1119710000000</v>
      </c>
      <c r="L510" s="92">
        <v>1129850000000</v>
      </c>
      <c r="M510" s="92">
        <v>1140080000000</v>
      </c>
      <c r="N510" s="92">
        <v>1150420000000</v>
      </c>
      <c r="O510" s="92">
        <v>1160870000000</v>
      </c>
      <c r="P510" s="92">
        <v>1171420000000</v>
      </c>
      <c r="Q510" s="92">
        <v>1182070000000</v>
      </c>
      <c r="R510" s="92">
        <v>1192830000000</v>
      </c>
      <c r="S510" s="92">
        <v>1203700000000</v>
      </c>
      <c r="T510" s="92">
        <v>1214670000000</v>
      </c>
      <c r="U510" s="92">
        <v>1225760000000</v>
      </c>
      <c r="V510" s="92">
        <v>1236960000000</v>
      </c>
      <c r="W510" s="92">
        <v>1248270000000</v>
      </c>
      <c r="X510" s="92">
        <v>1259690000000</v>
      </c>
      <c r="Y510" s="92">
        <v>1271220000000</v>
      </c>
      <c r="Z510" s="92">
        <v>1282880000000</v>
      </c>
      <c r="AA510" s="92">
        <v>1294640000000</v>
      </c>
      <c r="AB510" s="92">
        <v>1306530000000</v>
      </c>
      <c r="AC510" s="92">
        <v>1318530000000</v>
      </c>
      <c r="AD510" s="92">
        <v>1330660000000</v>
      </c>
      <c r="AE510" s="92">
        <v>1342910000000</v>
      </c>
      <c r="AF510" s="92">
        <v>1355270000000</v>
      </c>
    </row>
    <row r="511" spans="1:32" x14ac:dyDescent="0.3">
      <c r="A511" s="86" t="s">
        <v>1299</v>
      </c>
      <c r="B511" s="92">
        <v>349643000000</v>
      </c>
      <c r="C511" s="92">
        <v>354612000000</v>
      </c>
      <c r="D511" s="92">
        <v>359324000000</v>
      </c>
      <c r="E511" s="92">
        <v>363765000000</v>
      </c>
      <c r="F511" s="92">
        <v>367921000000</v>
      </c>
      <c r="G511" s="92">
        <v>371776000000</v>
      </c>
      <c r="H511" s="92">
        <v>375320000000</v>
      </c>
      <c r="I511" s="92">
        <v>378540000000</v>
      </c>
      <c r="J511" s="92">
        <v>381793000000</v>
      </c>
      <c r="K511" s="92">
        <v>385078000000</v>
      </c>
      <c r="L511" s="92">
        <v>388395000000</v>
      </c>
      <c r="M511" s="92">
        <v>391746000000</v>
      </c>
      <c r="N511" s="92">
        <v>395130000000</v>
      </c>
      <c r="O511" s="92">
        <v>398549000000</v>
      </c>
      <c r="P511" s="92">
        <v>402001000000</v>
      </c>
      <c r="Q511" s="92">
        <v>405488000000</v>
      </c>
      <c r="R511" s="92">
        <v>409009000000</v>
      </c>
      <c r="S511" s="92">
        <v>412566000000</v>
      </c>
      <c r="T511" s="92">
        <v>416159000000</v>
      </c>
      <c r="U511" s="92">
        <v>419787000000</v>
      </c>
      <c r="V511" s="92">
        <v>423452000000</v>
      </c>
      <c r="W511" s="92">
        <v>427154000000</v>
      </c>
      <c r="X511" s="92">
        <v>430892000000</v>
      </c>
      <c r="Y511" s="92">
        <v>434668000000</v>
      </c>
      <c r="Z511" s="92">
        <v>438481000000</v>
      </c>
      <c r="AA511" s="92">
        <v>442333000000</v>
      </c>
      <c r="AB511" s="92">
        <v>446223000000</v>
      </c>
      <c r="AC511" s="92">
        <v>450152000000</v>
      </c>
      <c r="AD511" s="92">
        <v>454121000000</v>
      </c>
      <c r="AE511" s="92">
        <v>458129000000</v>
      </c>
      <c r="AF511" s="92">
        <v>462177000000</v>
      </c>
    </row>
    <row r="512" spans="1:32" x14ac:dyDescent="0.3">
      <c r="A512" s="86" t="s">
        <v>1300</v>
      </c>
      <c r="B512" s="92">
        <v>245239000000</v>
      </c>
      <c r="C512" s="92">
        <v>246595000000</v>
      </c>
      <c r="D512" s="92">
        <v>248043000000</v>
      </c>
      <c r="E512" s="92">
        <v>249585000000</v>
      </c>
      <c r="F512" s="92">
        <v>251223000000</v>
      </c>
      <c r="G512" s="92">
        <v>252960000000</v>
      </c>
      <c r="H512" s="92">
        <v>254797000000</v>
      </c>
      <c r="I512" s="92">
        <v>256737000000</v>
      </c>
      <c r="J512" s="92">
        <v>258694000000</v>
      </c>
      <c r="K512" s="92">
        <v>260669000000</v>
      </c>
      <c r="L512" s="92">
        <v>262662000000</v>
      </c>
      <c r="M512" s="92">
        <v>264672000000</v>
      </c>
      <c r="N512" s="92">
        <v>266701000000</v>
      </c>
      <c r="O512" s="92">
        <v>268748000000</v>
      </c>
      <c r="P512" s="92">
        <v>270813000000</v>
      </c>
      <c r="Q512" s="92">
        <v>272897000000</v>
      </c>
      <c r="R512" s="92">
        <v>275000000000</v>
      </c>
      <c r="S512" s="92">
        <v>277121000000</v>
      </c>
      <c r="T512" s="92">
        <v>279262000000</v>
      </c>
      <c r="U512" s="92">
        <v>281422000000</v>
      </c>
      <c r="V512" s="92">
        <v>283602000000</v>
      </c>
      <c r="W512" s="92">
        <v>285800000000</v>
      </c>
      <c r="X512" s="92">
        <v>288019000000</v>
      </c>
      <c r="Y512" s="92">
        <v>290258000000</v>
      </c>
      <c r="Z512" s="92">
        <v>292517000000</v>
      </c>
      <c r="AA512" s="92">
        <v>294796000000</v>
      </c>
      <c r="AB512" s="92">
        <v>297096000000</v>
      </c>
      <c r="AC512" s="92">
        <v>299417000000</v>
      </c>
      <c r="AD512" s="92">
        <v>301758000000</v>
      </c>
      <c r="AE512" s="92">
        <v>304120000000</v>
      </c>
      <c r="AF512" s="92">
        <v>306504000000</v>
      </c>
    </row>
    <row r="513" spans="1:32" x14ac:dyDescent="0.3">
      <c r="A513" s="86" t="s">
        <v>1301</v>
      </c>
      <c r="B513" s="92">
        <v>322068000000</v>
      </c>
      <c r="C513" s="92">
        <v>323883000000</v>
      </c>
      <c r="D513" s="92">
        <v>326176000000</v>
      </c>
      <c r="E513" s="92">
        <v>328958000000</v>
      </c>
      <c r="F513" s="92">
        <v>332244000000</v>
      </c>
      <c r="G513" s="92">
        <v>336050000000</v>
      </c>
      <c r="H513" s="92">
        <v>340395000000</v>
      </c>
      <c r="I513" s="92">
        <v>345301000000</v>
      </c>
      <c r="J513" s="92">
        <v>350290000000</v>
      </c>
      <c r="K513" s="92">
        <v>355364000000</v>
      </c>
      <c r="L513" s="92">
        <v>360524000000</v>
      </c>
      <c r="M513" s="92">
        <v>365772000000</v>
      </c>
      <c r="N513" s="92">
        <v>371109000000</v>
      </c>
      <c r="O513" s="92">
        <v>376537000000</v>
      </c>
      <c r="P513" s="92">
        <v>382057000000</v>
      </c>
      <c r="Q513" s="92">
        <v>387671000000</v>
      </c>
      <c r="R513" s="92">
        <v>393380000000</v>
      </c>
      <c r="S513" s="92">
        <v>399187000000</v>
      </c>
      <c r="T513" s="92">
        <v>405092000000</v>
      </c>
      <c r="U513" s="92">
        <v>411098000000</v>
      </c>
      <c r="V513" s="92">
        <v>417205000000</v>
      </c>
      <c r="W513" s="92">
        <v>423417000000</v>
      </c>
      <c r="X513" s="92">
        <v>429734000000</v>
      </c>
      <c r="Y513" s="92">
        <v>436159000000</v>
      </c>
      <c r="Z513" s="92">
        <v>442692000000</v>
      </c>
      <c r="AA513" s="92">
        <v>449337000000</v>
      </c>
      <c r="AB513" s="92">
        <v>456095000000</v>
      </c>
      <c r="AC513" s="92">
        <v>462968000000</v>
      </c>
      <c r="AD513" s="92">
        <v>469957000000</v>
      </c>
      <c r="AE513" s="92">
        <v>477065000000</v>
      </c>
      <c r="AF513" s="92">
        <v>484294000000</v>
      </c>
    </row>
    <row r="514" spans="1:32" x14ac:dyDescent="0.3">
      <c r="A514" s="86" t="s">
        <v>1302</v>
      </c>
      <c r="B514" s="92">
        <v>66234100000</v>
      </c>
      <c r="C514" s="92">
        <v>66392500000</v>
      </c>
      <c r="D514" s="92">
        <v>66599000000</v>
      </c>
      <c r="E514" s="92">
        <v>66854200000</v>
      </c>
      <c r="F514" s="92">
        <v>67158500000</v>
      </c>
      <c r="G514" s="92">
        <v>67512800000</v>
      </c>
      <c r="H514" s="92">
        <v>67918000000</v>
      </c>
      <c r="I514" s="92">
        <v>68375000000</v>
      </c>
      <c r="J514" s="92">
        <v>68835600000</v>
      </c>
      <c r="K514" s="92">
        <v>69300000000</v>
      </c>
      <c r="L514" s="92">
        <v>69768100000</v>
      </c>
      <c r="M514" s="92">
        <v>70239900000</v>
      </c>
      <c r="N514" s="92">
        <v>70715400000</v>
      </c>
      <c r="O514" s="92">
        <v>71194800000</v>
      </c>
      <c r="P514" s="92">
        <v>71678100000</v>
      </c>
      <c r="Q514" s="92">
        <v>72165200000</v>
      </c>
      <c r="R514" s="92">
        <v>72656100000</v>
      </c>
      <c r="S514" s="92">
        <v>73151100000</v>
      </c>
      <c r="T514" s="92">
        <v>73649900000</v>
      </c>
      <c r="U514" s="92">
        <v>74152800000</v>
      </c>
      <c r="V514" s="92">
        <v>74659700000</v>
      </c>
      <c r="W514" s="92">
        <v>75170600000</v>
      </c>
      <c r="X514" s="92">
        <v>75685700000</v>
      </c>
      <c r="Y514" s="92">
        <v>76204800000</v>
      </c>
      <c r="Z514" s="92">
        <v>76728100000</v>
      </c>
      <c r="AA514" s="92">
        <v>77255600000</v>
      </c>
      <c r="AB514" s="92">
        <v>77787300000</v>
      </c>
      <c r="AC514" s="92">
        <v>78323300000</v>
      </c>
      <c r="AD514" s="92">
        <v>78863600000</v>
      </c>
      <c r="AE514" s="92">
        <v>79408100000</v>
      </c>
      <c r="AF514" s="92">
        <v>79957100000</v>
      </c>
    </row>
    <row r="515" spans="1:32" x14ac:dyDescent="0.3">
      <c r="A515" s="86" t="s">
        <v>1303</v>
      </c>
      <c r="B515" s="92">
        <v>84650500000</v>
      </c>
      <c r="C515" s="92">
        <v>85716800000</v>
      </c>
      <c r="D515" s="92">
        <v>86817000000</v>
      </c>
      <c r="E515" s="92">
        <v>87952100000</v>
      </c>
      <c r="F515" s="92">
        <v>89123000000</v>
      </c>
      <c r="G515" s="92">
        <v>90331100000</v>
      </c>
      <c r="H515" s="92">
        <v>91577400000</v>
      </c>
      <c r="I515" s="92">
        <v>92863200000</v>
      </c>
      <c r="J515" s="92">
        <v>94170100000</v>
      </c>
      <c r="K515" s="92">
        <v>95498300000</v>
      </c>
      <c r="L515" s="92">
        <v>96848300000</v>
      </c>
      <c r="M515" s="92">
        <v>98220500000</v>
      </c>
      <c r="N515" s="92">
        <v>99615100000</v>
      </c>
      <c r="O515" s="92">
        <v>101033000000</v>
      </c>
      <c r="P515" s="92">
        <v>102473000000</v>
      </c>
      <c r="Q515" s="92">
        <v>103937000000</v>
      </c>
      <c r="R515" s="92">
        <v>105426000000</v>
      </c>
      <c r="S515" s="92">
        <v>106938000000</v>
      </c>
      <c r="T515" s="92">
        <v>108476000000</v>
      </c>
      <c r="U515" s="92">
        <v>110038000000</v>
      </c>
      <c r="V515" s="92">
        <v>111627000000</v>
      </c>
      <c r="W515" s="92">
        <v>113241000000</v>
      </c>
      <c r="X515" s="92">
        <v>114881000000</v>
      </c>
      <c r="Y515" s="92">
        <v>116549000000</v>
      </c>
      <c r="Z515" s="92">
        <v>118244000000</v>
      </c>
      <c r="AA515" s="92">
        <v>119966000000</v>
      </c>
      <c r="AB515" s="92">
        <v>121717000000</v>
      </c>
      <c r="AC515" s="92">
        <v>123497000000</v>
      </c>
      <c r="AD515" s="92">
        <v>125305000000</v>
      </c>
      <c r="AE515" s="92">
        <v>127144000000</v>
      </c>
      <c r="AF515" s="92">
        <v>129012000000</v>
      </c>
    </row>
    <row r="516" spans="1:32" x14ac:dyDescent="0.3">
      <c r="A516" s="86" t="s">
        <v>1304</v>
      </c>
      <c r="B516" s="92">
        <v>1423260000000</v>
      </c>
      <c r="C516" s="92">
        <v>1445180000000</v>
      </c>
      <c r="D516" s="92">
        <v>1465210000000</v>
      </c>
      <c r="E516" s="92">
        <v>1483250000000</v>
      </c>
      <c r="F516" s="92">
        <v>1499190000000</v>
      </c>
      <c r="G516" s="92">
        <v>1512950000000</v>
      </c>
      <c r="H516" s="92">
        <v>1524440000000</v>
      </c>
      <c r="I516" s="92">
        <v>1533610000000</v>
      </c>
      <c r="J516" s="92">
        <v>1542840000000</v>
      </c>
      <c r="K516" s="92">
        <v>1552130000000</v>
      </c>
      <c r="L516" s="92">
        <v>1561490000000</v>
      </c>
      <c r="M516" s="92">
        <v>1570920000000</v>
      </c>
      <c r="N516" s="92">
        <v>1580410000000</v>
      </c>
      <c r="O516" s="92">
        <v>1589960000000</v>
      </c>
      <c r="P516" s="92">
        <v>1599590000000</v>
      </c>
      <c r="Q516" s="92">
        <v>1609280000000</v>
      </c>
      <c r="R516" s="92">
        <v>1619040000000</v>
      </c>
      <c r="S516" s="92">
        <v>1628860000000</v>
      </c>
      <c r="T516" s="92">
        <v>1638760000000</v>
      </c>
      <c r="U516" s="92">
        <v>1648730000000</v>
      </c>
      <c r="V516" s="92">
        <v>1658760000000</v>
      </c>
      <c r="W516" s="92">
        <v>1668870000000</v>
      </c>
      <c r="X516" s="92">
        <v>1679040000000</v>
      </c>
      <c r="Y516" s="92">
        <v>1689290000000</v>
      </c>
      <c r="Z516" s="92">
        <v>1699610000000</v>
      </c>
      <c r="AA516" s="92">
        <v>1710000000000</v>
      </c>
      <c r="AB516" s="92">
        <v>1720460000000</v>
      </c>
      <c r="AC516" s="92">
        <v>1731000000000</v>
      </c>
      <c r="AD516" s="92">
        <v>1741610000000</v>
      </c>
      <c r="AE516" s="92">
        <v>1752300000000</v>
      </c>
      <c r="AF516" s="92">
        <v>1763060000000</v>
      </c>
    </row>
    <row r="517" spans="1:32" x14ac:dyDescent="0.3">
      <c r="A517" s="86" t="s">
        <v>1305</v>
      </c>
      <c r="B517" s="92">
        <v>3413150000000</v>
      </c>
      <c r="C517" s="92">
        <v>3527090000000</v>
      </c>
      <c r="D517" s="92">
        <v>3638440000000</v>
      </c>
      <c r="E517" s="92">
        <v>3746620000000</v>
      </c>
      <c r="F517" s="92">
        <v>3851010000000</v>
      </c>
      <c r="G517" s="92">
        <v>3950990000000</v>
      </c>
      <c r="H517" s="92">
        <v>4045980000000</v>
      </c>
      <c r="I517" s="92">
        <v>4135380000000</v>
      </c>
      <c r="J517" s="92">
        <v>4227030000000</v>
      </c>
      <c r="K517" s="92">
        <v>4320960000000</v>
      </c>
      <c r="L517" s="92">
        <v>4417250000000</v>
      </c>
      <c r="M517" s="92">
        <v>4515940000000</v>
      </c>
      <c r="N517" s="92">
        <v>4617110000000</v>
      </c>
      <c r="O517" s="92">
        <v>4720800000000</v>
      </c>
      <c r="P517" s="92">
        <v>4827100000000</v>
      </c>
      <c r="Q517" s="92">
        <v>4936050000000</v>
      </c>
      <c r="R517" s="92">
        <v>5047720000000</v>
      </c>
      <c r="S517" s="92">
        <v>5162190000000</v>
      </c>
      <c r="T517" s="92">
        <v>5279530000000</v>
      </c>
      <c r="U517" s="92">
        <v>5399800000000</v>
      </c>
      <c r="V517" s="92">
        <v>5523080000000</v>
      </c>
      <c r="W517" s="92">
        <v>5649440000000</v>
      </c>
      <c r="X517" s="92">
        <v>5778970000000</v>
      </c>
      <c r="Y517" s="92">
        <v>5911740000000</v>
      </c>
      <c r="Z517" s="92">
        <v>6047830000000</v>
      </c>
      <c r="AA517" s="92">
        <v>6187320000000</v>
      </c>
      <c r="AB517" s="92">
        <v>6330310000000</v>
      </c>
      <c r="AC517" s="92">
        <v>6476870000000</v>
      </c>
      <c r="AD517" s="92">
        <v>6627100000000</v>
      </c>
      <c r="AE517" s="92">
        <v>6781090000000</v>
      </c>
      <c r="AF517" s="92">
        <v>6938930000000</v>
      </c>
    </row>
    <row r="518" spans="1:32" x14ac:dyDescent="0.3">
      <c r="A518" s="86" t="s">
        <v>1306</v>
      </c>
      <c r="B518" s="92">
        <v>1171530000000</v>
      </c>
      <c r="C518" s="92">
        <v>1189120000000</v>
      </c>
      <c r="D518" s="92">
        <v>1206730000000</v>
      </c>
      <c r="E518" s="92">
        <v>1224360000000</v>
      </c>
      <c r="F518" s="92">
        <v>1241980000000</v>
      </c>
      <c r="G518" s="92">
        <v>1259610000000</v>
      </c>
      <c r="H518" s="92">
        <v>1277210000000</v>
      </c>
      <c r="I518" s="92">
        <v>1294790000000</v>
      </c>
      <c r="J518" s="92">
        <v>1312650000000</v>
      </c>
      <c r="K518" s="92">
        <v>1330800000000</v>
      </c>
      <c r="L518" s="92">
        <v>1349230000000</v>
      </c>
      <c r="M518" s="92">
        <v>1367960000000</v>
      </c>
      <c r="N518" s="92">
        <v>1386990000000</v>
      </c>
      <c r="O518" s="92">
        <v>1406330000000</v>
      </c>
      <c r="P518" s="92">
        <v>1425970000000</v>
      </c>
      <c r="Q518" s="92">
        <v>1445930000000</v>
      </c>
      <c r="R518" s="92">
        <v>1466210000000</v>
      </c>
      <c r="S518" s="92">
        <v>1486810000000</v>
      </c>
      <c r="T518" s="92">
        <v>1507740000000</v>
      </c>
      <c r="U518" s="92">
        <v>1529010000000</v>
      </c>
      <c r="V518" s="92">
        <v>1550620000000</v>
      </c>
      <c r="W518" s="92">
        <v>1572570000000</v>
      </c>
      <c r="X518" s="92">
        <v>1594880000000</v>
      </c>
      <c r="Y518" s="92">
        <v>1617540000000</v>
      </c>
      <c r="Z518" s="92">
        <v>1640560000000</v>
      </c>
      <c r="AA518" s="92">
        <v>1663950000000</v>
      </c>
      <c r="AB518" s="92">
        <v>1687720000000</v>
      </c>
      <c r="AC518" s="92">
        <v>1711870000000</v>
      </c>
      <c r="AD518" s="92">
        <v>1736400000000</v>
      </c>
      <c r="AE518" s="92">
        <v>1761320000000</v>
      </c>
      <c r="AF518" s="92">
        <v>1786650000000</v>
      </c>
    </row>
    <row r="519" spans="1:32" x14ac:dyDescent="0.3">
      <c r="A519" s="86" t="s">
        <v>1307</v>
      </c>
      <c r="B519" s="92">
        <v>1011530000000</v>
      </c>
      <c r="C519" s="92">
        <v>1037130000000</v>
      </c>
      <c r="D519" s="92">
        <v>1062200000000</v>
      </c>
      <c r="E519" s="92">
        <v>1086680000000</v>
      </c>
      <c r="F519" s="92">
        <v>1110460000000</v>
      </c>
      <c r="G519" s="92">
        <v>1133470000000</v>
      </c>
      <c r="H519" s="92">
        <v>1155610000000</v>
      </c>
      <c r="I519" s="92">
        <v>1176820000000</v>
      </c>
      <c r="J519" s="92">
        <v>1198460000000</v>
      </c>
      <c r="K519" s="92">
        <v>1220560000000</v>
      </c>
      <c r="L519" s="92">
        <v>1243130000000</v>
      </c>
      <c r="M519" s="92">
        <v>1266160000000</v>
      </c>
      <c r="N519" s="92">
        <v>1289690000000</v>
      </c>
      <c r="O519" s="92">
        <v>1313700000000</v>
      </c>
      <c r="P519" s="92">
        <v>1338220000000</v>
      </c>
      <c r="Q519" s="92">
        <v>1363260000000</v>
      </c>
      <c r="R519" s="92">
        <v>1388820000000</v>
      </c>
      <c r="S519" s="92">
        <v>1414920000000</v>
      </c>
      <c r="T519" s="92">
        <v>1441560000000</v>
      </c>
      <c r="U519" s="92">
        <v>1468770000000</v>
      </c>
      <c r="V519" s="92">
        <v>1496550000000</v>
      </c>
      <c r="W519" s="92">
        <v>1524910000000</v>
      </c>
      <c r="X519" s="92">
        <v>1553860000000</v>
      </c>
      <c r="Y519" s="92">
        <v>1583430000000</v>
      </c>
      <c r="Z519" s="92">
        <v>1613610000000</v>
      </c>
      <c r="AA519" s="92">
        <v>1644430000000</v>
      </c>
      <c r="AB519" s="92">
        <v>1675890000000</v>
      </c>
      <c r="AC519" s="92">
        <v>1708020000000</v>
      </c>
      <c r="AD519" s="92">
        <v>1740820000000</v>
      </c>
      <c r="AE519" s="92">
        <v>1774310000000</v>
      </c>
      <c r="AF519" s="92">
        <v>1808510000000</v>
      </c>
    </row>
    <row r="520" spans="1:32" x14ac:dyDescent="0.3">
      <c r="A520" s="86" t="s">
        <v>1308</v>
      </c>
      <c r="B520" s="92">
        <v>699452000000</v>
      </c>
      <c r="C520" s="92">
        <v>713133000000</v>
      </c>
      <c r="D520" s="92">
        <v>727473000000</v>
      </c>
      <c r="E520" s="92">
        <v>742504000000</v>
      </c>
      <c r="F520" s="92">
        <v>758259000000</v>
      </c>
      <c r="G520" s="92">
        <v>774774000000</v>
      </c>
      <c r="H520" s="92">
        <v>792085000000</v>
      </c>
      <c r="I520" s="92">
        <v>810233000000</v>
      </c>
      <c r="J520" s="92">
        <v>828860000000</v>
      </c>
      <c r="K520" s="92">
        <v>847979000000</v>
      </c>
      <c r="L520" s="92">
        <v>867603000000</v>
      </c>
      <c r="M520" s="92">
        <v>887744000000</v>
      </c>
      <c r="N520" s="92">
        <v>908418000000</v>
      </c>
      <c r="O520" s="92">
        <v>929637000000</v>
      </c>
      <c r="P520" s="92">
        <v>951416000000</v>
      </c>
      <c r="Q520" s="92">
        <v>973771000000</v>
      </c>
      <c r="R520" s="92">
        <v>996715000000</v>
      </c>
      <c r="S520" s="92">
        <v>1020270000000</v>
      </c>
      <c r="T520" s="92">
        <v>1044440000000</v>
      </c>
      <c r="U520" s="92">
        <v>1069250000000</v>
      </c>
      <c r="V520" s="92">
        <v>1094710000000</v>
      </c>
      <c r="W520" s="92">
        <v>1120850000000</v>
      </c>
      <c r="X520" s="92">
        <v>1147680000000</v>
      </c>
      <c r="Y520" s="92">
        <v>1175210000000</v>
      </c>
      <c r="Z520" s="92">
        <v>1203470000000</v>
      </c>
      <c r="AA520" s="92">
        <v>1232480000000</v>
      </c>
      <c r="AB520" s="92">
        <v>1262260000000</v>
      </c>
      <c r="AC520" s="92">
        <v>1292820000000</v>
      </c>
      <c r="AD520" s="92">
        <v>1324190000000</v>
      </c>
      <c r="AE520" s="92">
        <v>1356380000000</v>
      </c>
      <c r="AF520" s="92">
        <v>1389430000000</v>
      </c>
    </row>
    <row r="521" spans="1:32" x14ac:dyDescent="0.3">
      <c r="A521" s="86" t="s">
        <v>1309</v>
      </c>
      <c r="B521" s="92">
        <v>718620000000</v>
      </c>
      <c r="C521" s="92">
        <v>739964000000</v>
      </c>
      <c r="D521" s="92">
        <v>760495000000</v>
      </c>
      <c r="E521" s="92">
        <v>780085000000</v>
      </c>
      <c r="F521" s="92">
        <v>798609000000</v>
      </c>
      <c r="G521" s="92">
        <v>815944000000</v>
      </c>
      <c r="H521" s="92">
        <v>831974000000</v>
      </c>
      <c r="I521" s="92">
        <v>846589000000</v>
      </c>
      <c r="J521" s="92">
        <v>861497000000</v>
      </c>
      <c r="K521" s="92">
        <v>876702000000</v>
      </c>
      <c r="L521" s="92">
        <v>892212000000</v>
      </c>
      <c r="M521" s="92">
        <v>908032000000</v>
      </c>
      <c r="N521" s="92">
        <v>924168000000</v>
      </c>
      <c r="O521" s="92">
        <v>940627000000</v>
      </c>
      <c r="P521" s="92">
        <v>957416000000</v>
      </c>
      <c r="Q521" s="92">
        <v>974540000000</v>
      </c>
      <c r="R521" s="92">
        <v>992006000000</v>
      </c>
      <c r="S521" s="92">
        <v>1009820000000</v>
      </c>
      <c r="T521" s="92">
        <v>1027990000000</v>
      </c>
      <c r="U521" s="92">
        <v>1046530000000</v>
      </c>
      <c r="V521" s="92">
        <v>1065440000000</v>
      </c>
      <c r="W521" s="92">
        <v>1084720000000</v>
      </c>
      <c r="X521" s="92">
        <v>1104390000000</v>
      </c>
      <c r="Y521" s="92">
        <v>1124450000000</v>
      </c>
      <c r="Z521" s="92">
        <v>1144920000000</v>
      </c>
      <c r="AA521" s="92">
        <v>1165790000000</v>
      </c>
      <c r="AB521" s="92">
        <v>1187080000000</v>
      </c>
      <c r="AC521" s="92">
        <v>1208800000000</v>
      </c>
      <c r="AD521" s="92">
        <v>1230950000000</v>
      </c>
      <c r="AE521" s="92">
        <v>1253550000000</v>
      </c>
      <c r="AF521" s="92">
        <v>1276590000000</v>
      </c>
    </row>
    <row r="522" spans="1:32" x14ac:dyDescent="0.3">
      <c r="A522" s="86" t="s">
        <v>1310</v>
      </c>
      <c r="B522" s="92">
        <v>963491000000</v>
      </c>
      <c r="C522" s="92">
        <v>1067050000000</v>
      </c>
      <c r="D522" s="92">
        <v>1169660000000</v>
      </c>
      <c r="E522" s="92">
        <v>1268430000000</v>
      </c>
      <c r="F522" s="92">
        <v>1360280000000</v>
      </c>
      <c r="G522" s="92">
        <v>1442060000000</v>
      </c>
      <c r="H522" s="92">
        <v>1510770000000</v>
      </c>
      <c r="I522" s="92">
        <v>1563700000000</v>
      </c>
      <c r="J522" s="92">
        <v>1618610000000</v>
      </c>
      <c r="K522" s="92">
        <v>1675570000000</v>
      </c>
      <c r="L522" s="92">
        <v>1734650000000</v>
      </c>
      <c r="M522" s="92">
        <v>1795940000000</v>
      </c>
      <c r="N522" s="92">
        <v>1859510000000</v>
      </c>
      <c r="O522" s="92">
        <v>1925460000000</v>
      </c>
      <c r="P522" s="92">
        <v>1993870000000</v>
      </c>
      <c r="Q522" s="92">
        <v>2064820000000</v>
      </c>
      <c r="R522" s="92">
        <v>2138430000000</v>
      </c>
      <c r="S522" s="92">
        <v>2214780000000</v>
      </c>
      <c r="T522" s="92">
        <v>2293980000000</v>
      </c>
      <c r="U522" s="92">
        <v>2376140000000</v>
      </c>
      <c r="V522" s="92">
        <v>2461360000000</v>
      </c>
      <c r="W522" s="92">
        <v>2549760000000</v>
      </c>
      <c r="X522" s="92">
        <v>2641460000000</v>
      </c>
      <c r="Y522" s="92">
        <v>2736580000000</v>
      </c>
      <c r="Z522" s="92">
        <v>2835250000000</v>
      </c>
      <c r="AA522" s="92">
        <v>2937600000000</v>
      </c>
      <c r="AB522" s="92">
        <v>3043760000000</v>
      </c>
      <c r="AC522" s="92">
        <v>3153890000000</v>
      </c>
      <c r="AD522" s="92">
        <v>3268130000000</v>
      </c>
      <c r="AE522" s="92">
        <v>3386630000000</v>
      </c>
      <c r="AF522" s="92">
        <v>3509550000000</v>
      </c>
    </row>
    <row r="523" spans="1:32" x14ac:dyDescent="0.3">
      <c r="A523" s="86" t="s">
        <v>1311</v>
      </c>
      <c r="B523" s="92">
        <v>2327260000000</v>
      </c>
      <c r="C523" s="92">
        <v>2349690000000</v>
      </c>
      <c r="D523" s="92">
        <v>2373220000000</v>
      </c>
      <c r="E523" s="92">
        <v>2397890000000</v>
      </c>
      <c r="F523" s="92">
        <v>2423730000000</v>
      </c>
      <c r="G523" s="92">
        <v>2450780000000</v>
      </c>
      <c r="H523" s="92">
        <v>2479090000000</v>
      </c>
      <c r="I523" s="92">
        <v>2508680000000</v>
      </c>
      <c r="J523" s="92">
        <v>2538690000000</v>
      </c>
      <c r="K523" s="92">
        <v>2569120000000</v>
      </c>
      <c r="L523" s="92">
        <v>2599980000000</v>
      </c>
      <c r="M523" s="92">
        <v>2631260000000</v>
      </c>
      <c r="N523" s="92">
        <v>2662990000000</v>
      </c>
      <c r="O523" s="92">
        <v>2695160000000</v>
      </c>
      <c r="P523" s="92">
        <v>2727780000000</v>
      </c>
      <c r="Q523" s="92">
        <v>2760850000000</v>
      </c>
      <c r="R523" s="92">
        <v>2794390000000</v>
      </c>
      <c r="S523" s="92">
        <v>2828400000000</v>
      </c>
      <c r="T523" s="92">
        <v>2862880000000</v>
      </c>
      <c r="U523" s="92">
        <v>2897850000000</v>
      </c>
      <c r="V523" s="92">
        <v>2933310000000</v>
      </c>
      <c r="W523" s="92">
        <v>2969260000000</v>
      </c>
      <c r="X523" s="92">
        <v>3005720000000</v>
      </c>
      <c r="Y523" s="92">
        <v>3042690000000</v>
      </c>
      <c r="Z523" s="92">
        <v>3080170000000</v>
      </c>
      <c r="AA523" s="92">
        <v>3118180000000</v>
      </c>
      <c r="AB523" s="92">
        <v>3156720000000</v>
      </c>
      <c r="AC523" s="92">
        <v>3195800000000</v>
      </c>
      <c r="AD523" s="92">
        <v>3235430000000</v>
      </c>
      <c r="AE523" s="92">
        <v>3275610000000</v>
      </c>
      <c r="AF523" s="92">
        <v>3316360000000</v>
      </c>
    </row>
    <row r="524" spans="1:32" x14ac:dyDescent="0.3">
      <c r="A524" s="86" t="s">
        <v>1312</v>
      </c>
      <c r="B524" s="92">
        <v>3201030000000</v>
      </c>
      <c r="C524" s="92">
        <v>3262100000000</v>
      </c>
      <c r="D524" s="92">
        <v>3322960000000</v>
      </c>
      <c r="E524" s="92">
        <v>3383520000000</v>
      </c>
      <c r="F524" s="92">
        <v>3443710000000</v>
      </c>
      <c r="G524" s="92">
        <v>3503450000000</v>
      </c>
      <c r="H524" s="92">
        <v>3562670000000</v>
      </c>
      <c r="I524" s="92">
        <v>3621280000000</v>
      </c>
      <c r="J524" s="92">
        <v>3681000000000</v>
      </c>
      <c r="K524" s="92">
        <v>3741860000000</v>
      </c>
      <c r="L524" s="92">
        <v>3803880000000</v>
      </c>
      <c r="M524" s="92">
        <v>3867080000000</v>
      </c>
      <c r="N524" s="92">
        <v>3931470000000</v>
      </c>
      <c r="O524" s="92">
        <v>3997090000000</v>
      </c>
      <c r="P524" s="92">
        <v>4063960000000</v>
      </c>
      <c r="Q524" s="92">
        <v>4132090000000</v>
      </c>
      <c r="R524" s="92">
        <v>4201520000000</v>
      </c>
      <c r="S524" s="92">
        <v>4272270000000</v>
      </c>
      <c r="T524" s="92">
        <v>4344370000000</v>
      </c>
      <c r="U524" s="92">
        <v>4417830000000</v>
      </c>
      <c r="V524" s="92">
        <v>4492690000000</v>
      </c>
      <c r="W524" s="92">
        <v>4568970000000</v>
      </c>
      <c r="X524" s="92">
        <v>4646700000000</v>
      </c>
      <c r="Y524" s="92">
        <v>4725910000000</v>
      </c>
      <c r="Z524" s="92">
        <v>4806630000000</v>
      </c>
      <c r="AA524" s="92">
        <v>4888870000000</v>
      </c>
      <c r="AB524" s="92">
        <v>4972680000000</v>
      </c>
      <c r="AC524" s="92">
        <v>5058090000000</v>
      </c>
      <c r="AD524" s="92">
        <v>5145110000000</v>
      </c>
      <c r="AE524" s="92">
        <v>5233790000000</v>
      </c>
      <c r="AF524" s="92">
        <v>5324150000000</v>
      </c>
    </row>
    <row r="525" spans="1:32" x14ac:dyDescent="0.3">
      <c r="A525" s="86" t="s">
        <v>1313</v>
      </c>
      <c r="B525" s="92">
        <v>3704790000000</v>
      </c>
      <c r="C525" s="92">
        <v>3802400000000</v>
      </c>
      <c r="D525" s="92">
        <v>3898550000000</v>
      </c>
      <c r="E525" s="92">
        <v>3992900000000</v>
      </c>
      <c r="F525" s="92">
        <v>4085170000000</v>
      </c>
      <c r="G525" s="92">
        <v>4175020000000</v>
      </c>
      <c r="H525" s="92">
        <v>4262160000000</v>
      </c>
      <c r="I525" s="92">
        <v>4346280000000</v>
      </c>
      <c r="J525" s="92">
        <v>4432300000000</v>
      </c>
      <c r="K525" s="92">
        <v>4520250000000</v>
      </c>
      <c r="L525" s="92">
        <v>4610190000000</v>
      </c>
      <c r="M525" s="92">
        <v>4702160000000</v>
      </c>
      <c r="N525" s="92">
        <v>4796200000000</v>
      </c>
      <c r="O525" s="92">
        <v>4892360000000</v>
      </c>
      <c r="P525" s="92">
        <v>4990690000000</v>
      </c>
      <c r="Q525" s="92">
        <v>5091240000000</v>
      </c>
      <c r="R525" s="92">
        <v>5194060000000</v>
      </c>
      <c r="S525" s="92">
        <v>5299190000000</v>
      </c>
      <c r="T525" s="92">
        <v>5406700000000</v>
      </c>
      <c r="U525" s="92">
        <v>5516630000000</v>
      </c>
      <c r="V525" s="92">
        <v>5629040000000</v>
      </c>
      <c r="W525" s="92">
        <v>5743990000000</v>
      </c>
      <c r="X525" s="92">
        <v>5861520000000</v>
      </c>
      <c r="Y525" s="92">
        <v>5981710000000</v>
      </c>
      <c r="Z525" s="92">
        <v>6104610000000</v>
      </c>
      <c r="AA525" s="92">
        <v>6230280000000</v>
      </c>
      <c r="AB525" s="92">
        <v>6358790000000</v>
      </c>
      <c r="AC525" s="92">
        <v>6490190000000</v>
      </c>
      <c r="AD525" s="92">
        <v>6624560000000</v>
      </c>
      <c r="AE525" s="92">
        <v>6761960000000</v>
      </c>
      <c r="AF525" s="92">
        <v>6902460000000</v>
      </c>
    </row>
    <row r="526" spans="1:32" x14ac:dyDescent="0.3">
      <c r="A526" s="86" t="s">
        <v>1314</v>
      </c>
      <c r="B526" s="92">
        <v>2469330000000</v>
      </c>
      <c r="C526" s="92">
        <v>2478340000000</v>
      </c>
      <c r="D526" s="92">
        <v>2488500000000</v>
      </c>
      <c r="E526" s="92">
        <v>2499820000000</v>
      </c>
      <c r="F526" s="92">
        <v>2512320000000</v>
      </c>
      <c r="G526" s="92">
        <v>2526010000000</v>
      </c>
      <c r="H526" s="92">
        <v>2540930000000</v>
      </c>
      <c r="I526" s="92">
        <v>2557100000000</v>
      </c>
      <c r="J526" s="92">
        <v>2573390000000</v>
      </c>
      <c r="K526" s="92">
        <v>2589800000000</v>
      </c>
      <c r="L526" s="92">
        <v>2606330000000</v>
      </c>
      <c r="M526" s="92">
        <v>2622990000000</v>
      </c>
      <c r="N526" s="92">
        <v>2639770000000</v>
      </c>
      <c r="O526" s="92">
        <v>2656680000000</v>
      </c>
      <c r="P526" s="92">
        <v>2673720000000</v>
      </c>
      <c r="Q526" s="92">
        <v>2690890000000</v>
      </c>
      <c r="R526" s="92">
        <v>2708190000000</v>
      </c>
      <c r="S526" s="92">
        <v>2725610000000</v>
      </c>
      <c r="T526" s="92">
        <v>2743170000000</v>
      </c>
      <c r="U526" s="92">
        <v>2760860000000</v>
      </c>
      <c r="V526" s="92">
        <v>2778690000000</v>
      </c>
      <c r="W526" s="92">
        <v>2796650000000</v>
      </c>
      <c r="X526" s="92">
        <v>2814740000000</v>
      </c>
      <c r="Y526" s="92">
        <v>2832970000000</v>
      </c>
      <c r="Z526" s="92">
        <v>2851340000000</v>
      </c>
      <c r="AA526" s="92">
        <v>2869850000000</v>
      </c>
      <c r="AB526" s="92">
        <v>2888500000000</v>
      </c>
      <c r="AC526" s="92">
        <v>2907290000000</v>
      </c>
      <c r="AD526" s="92">
        <v>2926220000000</v>
      </c>
      <c r="AE526" s="92">
        <v>2945290000000</v>
      </c>
      <c r="AF526" s="92">
        <v>2964510000000</v>
      </c>
    </row>
    <row r="527" spans="1:32" x14ac:dyDescent="0.3">
      <c r="A527" s="86" t="s">
        <v>1315</v>
      </c>
      <c r="B527" s="92">
        <v>1263220000000</v>
      </c>
      <c r="C527" s="92">
        <v>1265780000000</v>
      </c>
      <c r="D527" s="92">
        <v>1270920000000</v>
      </c>
      <c r="E527" s="92">
        <v>1278670000000</v>
      </c>
      <c r="F527" s="92">
        <v>1289080000000</v>
      </c>
      <c r="G527" s="92">
        <v>1302210000000</v>
      </c>
      <c r="H527" s="92">
        <v>1318160000000</v>
      </c>
      <c r="I527" s="92">
        <v>1337040000000</v>
      </c>
      <c r="J527" s="92">
        <v>1356240000000</v>
      </c>
      <c r="K527" s="92">
        <v>1375770000000</v>
      </c>
      <c r="L527" s="92">
        <v>1395630000000</v>
      </c>
      <c r="M527" s="92">
        <v>1415830000000</v>
      </c>
      <c r="N527" s="92">
        <v>1436370000000</v>
      </c>
      <c r="O527" s="92">
        <v>1457260000000</v>
      </c>
      <c r="P527" s="92">
        <v>1478500000000</v>
      </c>
      <c r="Q527" s="92">
        <v>1500110000000</v>
      </c>
      <c r="R527" s="92">
        <v>1522080000000</v>
      </c>
      <c r="S527" s="92">
        <v>1544430000000</v>
      </c>
      <c r="T527" s="92">
        <v>1567160000000</v>
      </c>
      <c r="U527" s="92">
        <v>1590270000000</v>
      </c>
      <c r="V527" s="92">
        <v>1613780000000</v>
      </c>
      <c r="W527" s="92">
        <v>1637680000000</v>
      </c>
      <c r="X527" s="92">
        <v>1662000000000</v>
      </c>
      <c r="Y527" s="92">
        <v>1686720000000</v>
      </c>
      <c r="Z527" s="92">
        <v>1711870000000</v>
      </c>
      <c r="AA527" s="92">
        <v>1737440000000</v>
      </c>
      <c r="AB527" s="92">
        <v>1763450000000</v>
      </c>
      <c r="AC527" s="92">
        <v>1789900000000</v>
      </c>
      <c r="AD527" s="92">
        <v>1816800000000</v>
      </c>
      <c r="AE527" s="92">
        <v>1844160000000</v>
      </c>
      <c r="AF527" s="92">
        <v>1871980000000</v>
      </c>
    </row>
    <row r="528" spans="1:32" x14ac:dyDescent="0.3">
      <c r="A528" s="86" t="s">
        <v>1316</v>
      </c>
      <c r="B528" s="92">
        <v>2381120000000</v>
      </c>
      <c r="C528" s="92">
        <v>2438330000000</v>
      </c>
      <c r="D528" s="92">
        <v>2497460000000</v>
      </c>
      <c r="E528" s="92">
        <v>2558560000000</v>
      </c>
      <c r="F528" s="92">
        <v>2621710000000</v>
      </c>
      <c r="G528" s="92">
        <v>2687000000000</v>
      </c>
      <c r="H528" s="92">
        <v>2754490000000</v>
      </c>
      <c r="I528" s="92">
        <v>2824270000000</v>
      </c>
      <c r="J528" s="92">
        <v>2896080000000</v>
      </c>
      <c r="K528" s="92">
        <v>2969970000000</v>
      </c>
      <c r="L528" s="92">
        <v>3046010000000</v>
      </c>
      <c r="M528" s="92">
        <v>3124240000000</v>
      </c>
      <c r="N528" s="92">
        <v>3204750000000</v>
      </c>
      <c r="O528" s="92">
        <v>3287590000000</v>
      </c>
      <c r="P528" s="92">
        <v>3372840000000</v>
      </c>
      <c r="Q528" s="92">
        <v>3460550000000</v>
      </c>
      <c r="R528" s="92">
        <v>3550810000000</v>
      </c>
      <c r="S528" s="92">
        <v>3643690000000</v>
      </c>
      <c r="T528" s="92">
        <v>3739260000000</v>
      </c>
      <c r="U528" s="92">
        <v>3837600000000</v>
      </c>
      <c r="V528" s="92">
        <v>3938800000000</v>
      </c>
      <c r="W528" s="92">
        <v>4042930000000</v>
      </c>
      <c r="X528" s="92">
        <v>4150080000000</v>
      </c>
      <c r="Y528" s="92">
        <v>4260330000000</v>
      </c>
      <c r="Z528" s="92">
        <v>4373790000000</v>
      </c>
      <c r="AA528" s="92">
        <v>4490530000000</v>
      </c>
      <c r="AB528" s="92">
        <v>4610660000000</v>
      </c>
      <c r="AC528" s="92">
        <v>4734270000000</v>
      </c>
      <c r="AD528" s="92">
        <v>4861470000000</v>
      </c>
      <c r="AE528" s="92">
        <v>4992360000000</v>
      </c>
      <c r="AF528" s="92">
        <v>5127040000000</v>
      </c>
    </row>
    <row r="529" spans="1:32" x14ac:dyDescent="0.3">
      <c r="A529" s="86" t="s">
        <v>1317</v>
      </c>
      <c r="B529" s="92">
        <v>857355000000</v>
      </c>
      <c r="C529" s="92">
        <v>874664000000</v>
      </c>
      <c r="D529" s="92">
        <v>892170000000</v>
      </c>
      <c r="E529" s="92">
        <v>909868000000</v>
      </c>
      <c r="F529" s="92">
        <v>927752000000</v>
      </c>
      <c r="G529" s="92">
        <v>945816000000</v>
      </c>
      <c r="H529" s="92">
        <v>964054000000</v>
      </c>
      <c r="I529" s="92">
        <v>982459000000</v>
      </c>
      <c r="J529" s="92">
        <v>1001270000000</v>
      </c>
      <c r="K529" s="92">
        <v>1020490000000</v>
      </c>
      <c r="L529" s="92">
        <v>1040140000000</v>
      </c>
      <c r="M529" s="92">
        <v>1060220000000</v>
      </c>
      <c r="N529" s="92">
        <v>1080740000000</v>
      </c>
      <c r="O529" s="92">
        <v>1101710000000</v>
      </c>
      <c r="P529" s="92">
        <v>1123150000000</v>
      </c>
      <c r="Q529" s="92">
        <v>1145050000000</v>
      </c>
      <c r="R529" s="92">
        <v>1167440000000</v>
      </c>
      <c r="S529" s="92">
        <v>1190320000000</v>
      </c>
      <c r="T529" s="92">
        <v>1213700000000</v>
      </c>
      <c r="U529" s="92">
        <v>1237600000000</v>
      </c>
      <c r="V529" s="92">
        <v>1262020000000</v>
      </c>
      <c r="W529" s="92">
        <v>1286980000000</v>
      </c>
      <c r="X529" s="92">
        <v>1312490000000</v>
      </c>
      <c r="Y529" s="92">
        <v>1338560000000</v>
      </c>
      <c r="Z529" s="92">
        <v>1365210000000</v>
      </c>
      <c r="AA529" s="92">
        <v>1392440000000</v>
      </c>
      <c r="AB529" s="92">
        <v>1420270000000</v>
      </c>
      <c r="AC529" s="92">
        <v>1448710000000</v>
      </c>
      <c r="AD529" s="92">
        <v>1477780000000</v>
      </c>
      <c r="AE529" s="92">
        <v>1507480000000</v>
      </c>
      <c r="AF529" s="92">
        <v>1537850000000</v>
      </c>
    </row>
    <row r="530" spans="1:32" x14ac:dyDescent="0.3">
      <c r="A530" s="86" t="s">
        <v>1318</v>
      </c>
      <c r="B530" s="92">
        <v>21385500000</v>
      </c>
      <c r="C530" s="92">
        <v>21552600000</v>
      </c>
      <c r="D530" s="92">
        <v>21744500000</v>
      </c>
      <c r="E530" s="92">
        <v>21962000000</v>
      </c>
      <c r="F530" s="92">
        <v>22206000000</v>
      </c>
      <c r="G530" s="92">
        <v>22477400000</v>
      </c>
      <c r="H530" s="92">
        <v>22777200000</v>
      </c>
      <c r="I530" s="92">
        <v>23106600000</v>
      </c>
      <c r="J530" s="92">
        <v>23441700000</v>
      </c>
      <c r="K530" s="92">
        <v>23782400000</v>
      </c>
      <c r="L530" s="92">
        <v>24128900000</v>
      </c>
      <c r="M530" s="92">
        <v>24481400000</v>
      </c>
      <c r="N530" s="92">
        <v>24839800000</v>
      </c>
      <c r="O530" s="92">
        <v>25204300000</v>
      </c>
      <c r="P530" s="92">
        <v>25575000000</v>
      </c>
      <c r="Q530" s="92">
        <v>25952000000</v>
      </c>
      <c r="R530" s="92">
        <v>26335400000</v>
      </c>
      <c r="S530" s="92">
        <v>26725400000</v>
      </c>
      <c r="T530" s="92">
        <v>27121900000</v>
      </c>
      <c r="U530" s="92">
        <v>27525200000</v>
      </c>
      <c r="V530" s="92">
        <v>27935400000</v>
      </c>
      <c r="W530" s="92">
        <v>28352500000</v>
      </c>
      <c r="X530" s="92">
        <v>28776700000</v>
      </c>
      <c r="Y530" s="92">
        <v>29208200000</v>
      </c>
      <c r="Z530" s="92">
        <v>29646900000</v>
      </c>
      <c r="AA530" s="92">
        <v>30093200000</v>
      </c>
      <c r="AB530" s="92">
        <v>30547000000</v>
      </c>
      <c r="AC530" s="92">
        <v>31008500000</v>
      </c>
      <c r="AD530" s="92">
        <v>31477900000</v>
      </c>
      <c r="AE530" s="92">
        <v>31955200000</v>
      </c>
      <c r="AF530" s="92">
        <v>32440700000</v>
      </c>
    </row>
  </sheetData>
  <mergeCells count="1">
    <mergeCell ref="A330:C330"/>
  </mergeCells>
  <phoneticPr fontId="34" type="noConversion"/>
  <hyperlinks>
    <hyperlink ref="A5" r:id="rId1" xr:uid="{79E4D78E-8D25-4252-86E0-F6259DFA7BC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E43"/>
  <sheetViews>
    <sheetView workbookViewId="0"/>
  </sheetViews>
  <sheetFormatPr defaultRowHeight="16.5" x14ac:dyDescent="0.3"/>
  <cols>
    <col min="1" max="1" width="20.125" customWidth="1"/>
    <col min="2" max="20" width="10.125" customWidth="1"/>
    <col min="21" max="21" width="12.875" customWidth="1"/>
    <col min="22" max="32" width="10.125" customWidth="1"/>
  </cols>
  <sheetData>
    <row r="1" spans="1:31" s="3" customFormat="1" x14ac:dyDescent="0.3">
      <c r="A1" s="4" t="s">
        <v>646</v>
      </c>
      <c r="B1" s="3">
        <v>2021</v>
      </c>
      <c r="C1" s="3">
        <v>2022</v>
      </c>
      <c r="D1" s="3">
        <v>2023</v>
      </c>
      <c r="E1" s="3">
        <v>2024</v>
      </c>
      <c r="F1" s="3">
        <v>2025</v>
      </c>
      <c r="G1" s="3">
        <v>2026</v>
      </c>
      <c r="H1" s="3">
        <v>2027</v>
      </c>
      <c r="I1" s="3">
        <v>2028</v>
      </c>
      <c r="J1" s="3">
        <v>2029</v>
      </c>
      <c r="K1" s="3">
        <v>2030</v>
      </c>
      <c r="L1" s="3">
        <v>2031</v>
      </c>
      <c r="M1" s="3">
        <v>2032</v>
      </c>
      <c r="N1" s="3">
        <v>2033</v>
      </c>
      <c r="O1" s="3">
        <v>2034</v>
      </c>
      <c r="P1" s="3">
        <v>2035</v>
      </c>
      <c r="Q1" s="3">
        <v>2036</v>
      </c>
      <c r="R1" s="3">
        <v>2037</v>
      </c>
      <c r="S1" s="3">
        <v>2038</v>
      </c>
      <c r="T1" s="3">
        <v>2039</v>
      </c>
      <c r="U1" s="3">
        <v>2040</v>
      </c>
      <c r="V1" s="3">
        <v>2041</v>
      </c>
      <c r="W1" s="3">
        <v>2042</v>
      </c>
      <c r="X1" s="3">
        <v>2043</v>
      </c>
      <c r="Y1" s="3">
        <v>2044</v>
      </c>
      <c r="Z1" s="3">
        <v>2045</v>
      </c>
      <c r="AA1" s="3">
        <v>2046</v>
      </c>
      <c r="AB1" s="3">
        <v>2047</v>
      </c>
      <c r="AC1" s="3">
        <v>2048</v>
      </c>
      <c r="AD1" s="3">
        <v>2049</v>
      </c>
      <c r="AE1" s="3">
        <v>2050</v>
      </c>
    </row>
    <row r="2" spans="1:31" x14ac:dyDescent="0.3">
      <c r="A2" s="2" t="s">
        <v>2</v>
      </c>
      <c r="B2">
        <f>'Rescale to Fit GDP Proj'!C58</f>
        <v>0</v>
      </c>
      <c r="C2">
        <f>'Rescale to Fit GDP Proj'!D103</f>
        <v>-1.1176675252313165E-7</v>
      </c>
      <c r="D2">
        <f>'Rescale to Fit GDP Proj'!E103*IFERROR((1+INDEX('IRA - Advanced Manufacturing'!C$174:C$184,MATCH(BPCiObIC!$A2,'IRA - Advanced Manufacturing'!$B$174:$B$184,0))),1)</f>
        <v>-1.3512563718958148E-3</v>
      </c>
      <c r="E2">
        <f>'Rescale to Fit GDP Proj'!F103*IFERROR((1+INDEX('IRA - Advanced Manufacturing'!D$174:D$184,MATCH(BPCiObIC!$A2,'IRA - Advanced Manufacturing'!$B$174:$B$184,0))),1)</f>
        <v>7.7691341565278016E-3</v>
      </c>
      <c r="F2">
        <f>'Rescale to Fit GDP Proj'!G103*IFERROR((1+INDEX('IRA - Advanced Manufacturing'!E$174:E$184,MATCH(BPCiObIC!$A2,'IRA - Advanced Manufacturing'!$B$174:$B$184,0))),1)</f>
        <v>2.12695043060247E-2</v>
      </c>
      <c r="G2">
        <f>'Rescale to Fit GDP Proj'!H103*IFERROR((1+INDEX('IRA - Advanced Manufacturing'!F$174:F$184,MATCH(BPCiObIC!$A2,'IRA - Advanced Manufacturing'!$B$174:$B$184,0))),1)</f>
        <v>3.6882702149226843E-2</v>
      </c>
      <c r="H2">
        <f>'Rescale to Fit GDP Proj'!I103*IFERROR((1+INDEX('IRA - Advanced Manufacturing'!G$174:G$184,MATCH(BPCiObIC!$A2,'IRA - Advanced Manufacturing'!$B$174:$B$184,0))),1)</f>
        <v>5.0786671202808664E-2</v>
      </c>
      <c r="I2">
        <f>'Rescale to Fit GDP Proj'!J103*IFERROR((1+INDEX('IRA - Advanced Manufacturing'!H$174:H$184,MATCH(BPCiObIC!$A2,'IRA - Advanced Manufacturing'!$B$174:$B$184,0))),1)</f>
        <v>6.3107110586128945E-2</v>
      </c>
      <c r="J2">
        <f>'Rescale to Fit GDP Proj'!K103*IFERROR((1+INDEX('IRA - Advanced Manufacturing'!I$174:I$184,MATCH(BPCiObIC!$A2,'IRA - Advanced Manufacturing'!$B$174:$B$184,0))),1)</f>
        <v>7.3893338752860416E-2</v>
      </c>
      <c r="K2">
        <f>'Rescale to Fit GDP Proj'!L103*IFERROR((1+INDEX('IRA - Advanced Manufacturing'!J$174:J$184,MATCH(BPCiObIC!$A2,'IRA - Advanced Manufacturing'!$B$174:$B$184,0))),1)</f>
        <v>8.3552866443421303E-2</v>
      </c>
      <c r="L2">
        <f>'Rescale to Fit GDP Proj'!M103*IFERROR((1+INDEX('IRA - Advanced Manufacturing'!K$174:K$184,MATCH(BPCiObIC!$A2,'IRA - Advanced Manufacturing'!$B$174:$B$184,0))),1)</f>
        <v>9.3791904745117893E-2</v>
      </c>
      <c r="M2">
        <f>'Rescale to Fit GDP Proj'!N103*IFERROR((1+INDEX('IRA - Advanced Manufacturing'!L$174:L$184,MATCH(BPCiObIC!$A2,'IRA - Advanced Manufacturing'!$B$174:$B$184,0))),1)</f>
        <v>0.10410094934313019</v>
      </c>
      <c r="N2">
        <f>'Rescale to Fit GDP Proj'!O103*IFERROR((1+INDEX('IRA - Advanced Manufacturing'!M$174:M$184,MATCH(BPCiObIC!$A2,'IRA - Advanced Manufacturing'!$B$174:$B$184,0))),1)</f>
        <v>0.11395562361560363</v>
      </c>
      <c r="O2">
        <f>'Rescale to Fit GDP Proj'!P103*IFERROR((1+INDEX('IRA - Advanced Manufacturing'!N$174:N$184,MATCH(BPCiObIC!$A2,'IRA - Advanced Manufacturing'!$B$174:$B$184,0))),1)</f>
        <v>0.12220977051024318</v>
      </c>
      <c r="P2">
        <f>'Rescale to Fit GDP Proj'!Q103*IFERROR((1+INDEX('IRA - Advanced Manufacturing'!O$174:O$184,MATCH(BPCiObIC!$A2,'IRA - Advanced Manufacturing'!$B$174:$B$184,0))),1)</f>
        <v>0.12974327653359152</v>
      </c>
      <c r="Q2">
        <f>'Rescale to Fit GDP Proj'!R103*IFERROR((1+INDEX('IRA - Advanced Manufacturing'!P$174:P$184,MATCH(BPCiObIC!$A2,'IRA - Advanced Manufacturing'!$B$174:$B$184,0))),1)</f>
        <v>0.13620175130072631</v>
      </c>
      <c r="R2">
        <f>'Rescale to Fit GDP Proj'!S103*IFERROR((1+INDEX('IRA - Advanced Manufacturing'!Q$174:Q$184,MATCH(BPCiObIC!$A2,'IRA - Advanced Manufacturing'!$B$174:$B$184,0))),1)</f>
        <v>0.1448096198120159</v>
      </c>
      <c r="S2">
        <f>'Rescale to Fit GDP Proj'!T103*IFERROR((1+INDEX('IRA - Advanced Manufacturing'!R$174:R$184,MATCH(BPCiObIC!$A2,'IRA - Advanced Manufacturing'!$B$174:$B$184,0))),1)</f>
        <v>0.15299923881344868</v>
      </c>
      <c r="T2">
        <f>'Rescale to Fit GDP Proj'!U103*IFERROR((1+INDEX('IRA - Advanced Manufacturing'!S$174:S$184,MATCH(BPCiObIC!$A2,'IRA - Advanced Manufacturing'!$B$174:$B$184,0))),1)</f>
        <v>0.1612385115688113</v>
      </c>
      <c r="U2">
        <f>'Rescale to Fit GDP Proj'!V103*IFERROR((1+INDEX('IRA - Advanced Manufacturing'!T$174:T$184,MATCH(BPCiObIC!$A2,'IRA - Advanced Manufacturing'!$B$174:$B$184,0))),1)</f>
        <v>0.16993808195207283</v>
      </c>
      <c r="V2">
        <f>'Rescale to Fit GDP Proj'!W103*IFERROR((1+INDEX('IRA - Advanced Manufacturing'!U$174:U$184,MATCH(BPCiObIC!$A2,'IRA - Advanced Manufacturing'!$B$174:$B$184,0))),1)</f>
        <v>0.17839509099902351</v>
      </c>
      <c r="W2">
        <f>'Rescale to Fit GDP Proj'!X103*IFERROR((1+INDEX('IRA - Advanced Manufacturing'!V$174:V$184,MATCH(BPCiObIC!$A2,'IRA - Advanced Manufacturing'!$B$174:$B$184,0))),1)</f>
        <v>0.18708068137702738</v>
      </c>
      <c r="X2">
        <f>'Rescale to Fit GDP Proj'!Y103*IFERROR((1+INDEX('IRA - Advanced Manufacturing'!W$174:W$184,MATCH(BPCiObIC!$A2,'IRA - Advanced Manufacturing'!$B$174:$B$184,0))),1)</f>
        <v>0.19550168137504853</v>
      </c>
      <c r="Y2">
        <f>'Rescale to Fit GDP Proj'!Z103*IFERROR((1+INDEX('IRA - Advanced Manufacturing'!X$174:X$184,MATCH(BPCiObIC!$A2,'IRA - Advanced Manufacturing'!$B$174:$B$184,0))),1)</f>
        <v>0.20324241028629308</v>
      </c>
      <c r="Z2">
        <f>'Rescale to Fit GDP Proj'!AA103*IFERROR((1+INDEX('IRA - Advanced Manufacturing'!Y$174:Y$184,MATCH(BPCiObIC!$A2,'IRA - Advanced Manufacturing'!$B$174:$B$184,0))),1)</f>
        <v>0.21116262927290652</v>
      </c>
      <c r="AA2">
        <f>'Rescale to Fit GDP Proj'!AB103*IFERROR((1+INDEX('IRA - Advanced Manufacturing'!Z$174:Z$184,MATCH(BPCiObIC!$A2,'IRA - Advanced Manufacturing'!$B$174:$B$184,0))),1)</f>
        <v>0.21891498925536701</v>
      </c>
      <c r="AB2">
        <f>'Rescale to Fit GDP Proj'!AC103*IFERROR((1+INDEX('IRA - Advanced Manufacturing'!AA$174:AA$184,MATCH(BPCiObIC!$A2,'IRA - Advanced Manufacturing'!$B$174:$B$184,0))),1)</f>
        <v>0.22663816162527728</v>
      </c>
      <c r="AC2">
        <f>'Rescale to Fit GDP Proj'!AD103*IFERROR((1+INDEX('IRA - Advanced Manufacturing'!AB$174:AB$184,MATCH(BPCiObIC!$A2,'IRA - Advanced Manufacturing'!$B$174:$B$184,0))),1)</f>
        <v>0.23414549957063224</v>
      </c>
      <c r="AD2">
        <f>'Rescale to Fit GDP Proj'!AE103*IFERROR((1+INDEX('IRA - Advanced Manufacturing'!AC$174:AC$184,MATCH(BPCiObIC!$A2,'IRA - Advanced Manufacturing'!$B$174:$B$184,0))),1)</f>
        <v>0.24176914273141947</v>
      </c>
      <c r="AE2">
        <f>'Rescale to Fit GDP Proj'!AF103*IFERROR((1+INDEX('IRA - Advanced Manufacturing'!AD$174:AD$184,MATCH(BPCiObIC!$A2,'IRA - Advanced Manufacturing'!$B$174:$B$184,0))),1)</f>
        <v>0.24947923106233283</v>
      </c>
    </row>
    <row r="3" spans="1:31" x14ac:dyDescent="0.3">
      <c r="A3" s="2" t="s">
        <v>39</v>
      </c>
      <c r="B3">
        <f>'Rescale to Fit GDP Proj'!C59</f>
        <v>0</v>
      </c>
      <c r="C3">
        <f>'Rescale to Fit GDP Proj'!D104</f>
        <v>-1.7527630427501863E-2</v>
      </c>
      <c r="D3">
        <f>'Rescale to Fit GDP Proj'!E104*IFERROR((1+INDEX('IRA - Advanced Manufacturing'!C$174:C$184,MATCH(BPCiObIC!$A3,'IRA - Advanced Manufacturing'!$B$174:$B$184,0))),1)</f>
        <v>-7.2509824595515804E-2</v>
      </c>
      <c r="E3">
        <f>'Rescale to Fit GDP Proj'!F104*IFERROR((1+INDEX('IRA - Advanced Manufacturing'!D$174:D$184,MATCH(BPCiObIC!$A3,'IRA - Advanced Manufacturing'!$B$174:$B$184,0))),1)</f>
        <v>1.390138056313317E-2</v>
      </c>
      <c r="F3">
        <f>'Rescale to Fit GDP Proj'!G104*IFERROR((1+INDEX('IRA - Advanced Manufacturing'!E$174:E$184,MATCH(BPCiObIC!$A3,'IRA - Advanced Manufacturing'!$B$174:$B$184,0))),1)</f>
        <v>-4.8139338531855591E-2</v>
      </c>
      <c r="G3">
        <f>'Rescale to Fit GDP Proj'!H104*IFERROR((1+INDEX('IRA - Advanced Manufacturing'!F$174:F$184,MATCH(BPCiObIC!$A3,'IRA - Advanced Manufacturing'!$B$174:$B$184,0))),1)</f>
        <v>-0.12927522506087086</v>
      </c>
      <c r="H3">
        <f>'Rescale to Fit GDP Proj'!I104*IFERROR((1+INDEX('IRA - Advanced Manufacturing'!G$174:G$184,MATCH(BPCiObIC!$A3,'IRA - Advanced Manufacturing'!$B$174:$B$184,0))),1)</f>
        <v>-0.21940144333898015</v>
      </c>
      <c r="I3">
        <f>'Rescale to Fit GDP Proj'!J104*IFERROR((1+INDEX('IRA - Advanced Manufacturing'!H$174:H$184,MATCH(BPCiObIC!$A3,'IRA - Advanced Manufacturing'!$B$174:$B$184,0))),1)</f>
        <v>-0.29942282593215719</v>
      </c>
      <c r="J3">
        <f>'Rescale to Fit GDP Proj'!K104*IFERROR((1+INDEX('IRA - Advanced Manufacturing'!I$174:I$184,MATCH(BPCiObIC!$A3,'IRA - Advanced Manufacturing'!$B$174:$B$184,0))),1)</f>
        <v>-0.37465184160123044</v>
      </c>
      <c r="K3">
        <f>'Rescale to Fit GDP Proj'!L104*IFERROR((1+INDEX('IRA - Advanced Manufacturing'!J$174:J$184,MATCH(BPCiObIC!$A3,'IRA - Advanced Manufacturing'!$B$174:$B$184,0))),1)</f>
        <v>-0.40578365154230855</v>
      </c>
      <c r="L3">
        <f>'Rescale to Fit GDP Proj'!M104*IFERROR((1+INDEX('IRA - Advanced Manufacturing'!K$174:K$184,MATCH(BPCiObIC!$A3,'IRA - Advanced Manufacturing'!$B$174:$B$184,0))),1)</f>
        <v>-0.40842131085712541</v>
      </c>
      <c r="M3">
        <f>'Rescale to Fit GDP Proj'!N104*IFERROR((1+INDEX('IRA - Advanced Manufacturing'!L$174:L$184,MATCH(BPCiObIC!$A3,'IRA - Advanced Manufacturing'!$B$174:$B$184,0))),1)</f>
        <v>-0.40414904576974586</v>
      </c>
      <c r="N3">
        <f>'Rescale to Fit GDP Proj'!O104*IFERROR((1+INDEX('IRA - Advanced Manufacturing'!M$174:M$184,MATCH(BPCiObIC!$A3,'IRA - Advanced Manufacturing'!$B$174:$B$184,0))),1)</f>
        <v>-0.40671240482217352</v>
      </c>
      <c r="O3">
        <f>'Rescale to Fit GDP Proj'!P104*IFERROR((1+INDEX('IRA - Advanced Manufacturing'!N$174:N$184,MATCH(BPCiObIC!$A3,'IRA - Advanced Manufacturing'!$B$174:$B$184,0))),1)</f>
        <v>-0.41217347410778027</v>
      </c>
      <c r="P3">
        <f>'Rescale to Fit GDP Proj'!Q104*IFERROR((1+INDEX('IRA - Advanced Manufacturing'!O$174:O$184,MATCH(BPCiObIC!$A3,'IRA - Advanced Manufacturing'!$B$174:$B$184,0))),1)</f>
        <v>-0.40775260849562245</v>
      </c>
      <c r="Q3">
        <f>'Rescale to Fit GDP Proj'!R104*IFERROR((1+INDEX('IRA - Advanced Manufacturing'!P$174:P$184,MATCH(BPCiObIC!$A3,'IRA - Advanced Manufacturing'!$B$174:$B$184,0))),1)</f>
        <v>-0.41469968302901339</v>
      </c>
      <c r="R3">
        <f>'Rescale to Fit GDP Proj'!S104*IFERROR((1+INDEX('IRA - Advanced Manufacturing'!Q$174:Q$184,MATCH(BPCiObIC!$A3,'IRA - Advanced Manufacturing'!$B$174:$B$184,0))),1)</f>
        <v>-0.42792512973429253</v>
      </c>
      <c r="S3">
        <f>'Rescale to Fit GDP Proj'!T104*IFERROR((1+INDEX('IRA - Advanced Manufacturing'!R$174:R$184,MATCH(BPCiObIC!$A3,'IRA - Advanced Manufacturing'!$B$174:$B$184,0))),1)</f>
        <v>-0.43713836227055425</v>
      </c>
      <c r="T3">
        <f>'Rescale to Fit GDP Proj'!U104*IFERROR((1+INDEX('IRA - Advanced Manufacturing'!S$174:S$184,MATCH(BPCiObIC!$A3,'IRA - Advanced Manufacturing'!$B$174:$B$184,0))),1)</f>
        <v>-0.45051240950061167</v>
      </c>
      <c r="U3">
        <f>'Rescale to Fit GDP Proj'!V104*IFERROR((1+INDEX('IRA - Advanced Manufacturing'!T$174:T$184,MATCH(BPCiObIC!$A3,'IRA - Advanced Manufacturing'!$B$174:$B$184,0))),1)</f>
        <v>-0.45853683783864618</v>
      </c>
      <c r="V3">
        <f>'Rescale to Fit GDP Proj'!W104*IFERROR((1+INDEX('IRA - Advanced Manufacturing'!U$174:U$184,MATCH(BPCiObIC!$A3,'IRA - Advanced Manufacturing'!$B$174:$B$184,0))),1)</f>
        <v>-0.45809103626431091</v>
      </c>
      <c r="W3">
        <f>'Rescale to Fit GDP Proj'!X104*IFERROR((1+INDEX('IRA - Advanced Manufacturing'!V$174:V$184,MATCH(BPCiObIC!$A3,'IRA - Advanced Manufacturing'!$B$174:$B$184,0))),1)</f>
        <v>-0.45708798272205653</v>
      </c>
      <c r="X3">
        <f>'Rescale to Fit GDP Proj'!Y104*IFERROR((1+INDEX('IRA - Advanced Manufacturing'!W$174:W$184,MATCH(BPCiObIC!$A3,'IRA - Advanced Manufacturing'!$B$174:$B$184,0))),1)</f>
        <v>-0.46462945935456124</v>
      </c>
      <c r="Y3">
        <f>'Rescale to Fit GDP Proj'!Z104*IFERROR((1+INDEX('IRA - Advanced Manufacturing'!X$174:X$184,MATCH(BPCiObIC!$A3,'IRA - Advanced Manufacturing'!$B$174:$B$184,0))),1)</f>
        <v>-0.47313683939812556</v>
      </c>
      <c r="Z3">
        <f>'Rescale to Fit GDP Proj'!AA104*IFERROR((1+INDEX('IRA - Advanced Manufacturing'!Y$174:Y$184,MATCH(BPCiObIC!$A3,'IRA - Advanced Manufacturing'!$B$174:$B$184,0))),1)</f>
        <v>-0.47934091130762446</v>
      </c>
      <c r="AA3">
        <f>'Rescale to Fit GDP Proj'!AB104*IFERROR((1+INDEX('IRA - Advanced Manufacturing'!Z$174:Z$184,MATCH(BPCiObIC!$A3,'IRA - Advanced Manufacturing'!$B$174:$B$184,0))),1)</f>
        <v>-0.48517348190517728</v>
      </c>
      <c r="AB3">
        <f>'Rescale to Fit GDP Proj'!AC104*IFERROR((1+INDEX('IRA - Advanced Manufacturing'!AA$174:AA$184,MATCH(BPCiObIC!$A3,'IRA - Advanced Manufacturing'!$B$174:$B$184,0))),1)</f>
        <v>-0.48792259161357798</v>
      </c>
      <c r="AC3">
        <f>'Rescale to Fit GDP Proj'!AD104*IFERROR((1+INDEX('IRA - Advanced Manufacturing'!AB$174:AB$184,MATCH(BPCiObIC!$A3,'IRA - Advanced Manufacturing'!$B$174:$B$184,0))),1)</f>
        <v>-0.48933429659897298</v>
      </c>
      <c r="AD3">
        <f>'Rescale to Fit GDP Proj'!AE104*IFERROR((1+INDEX('IRA - Advanced Manufacturing'!AC$174:AC$184,MATCH(BPCiObIC!$A3,'IRA - Advanced Manufacturing'!$B$174:$B$184,0))),1)</f>
        <v>-0.49245490761931965</v>
      </c>
      <c r="AE3">
        <f>'Rescale to Fit GDP Proj'!AF104*IFERROR((1+INDEX('IRA - Advanced Manufacturing'!AD$174:AD$184,MATCH(BPCiObIC!$A3,'IRA - Advanced Manufacturing'!$B$174:$B$184,0))),1)</f>
        <v>-0.49969918320226747</v>
      </c>
    </row>
    <row r="4" spans="1:31" x14ac:dyDescent="0.3">
      <c r="A4" s="2" t="s">
        <v>40</v>
      </c>
      <c r="B4">
        <f>'Rescale to Fit GDP Proj'!C60</f>
        <v>0</v>
      </c>
      <c r="C4">
        <f>'Rescale to Fit GDP Proj'!D105</f>
        <v>3.1355829933379484E-3</v>
      </c>
      <c r="D4">
        <f>'Rescale to Fit GDP Proj'!E105*IFERROR((1+INDEX('IRA - Advanced Manufacturing'!C$174:C$184,MATCH(BPCiObIC!$A4,'IRA - Advanced Manufacturing'!$B$174:$B$184,0))),1)</f>
        <v>-2.4884865203980699E-2</v>
      </c>
      <c r="E4">
        <f>'Rescale to Fit GDP Proj'!F105*IFERROR((1+INDEX('IRA - Advanced Manufacturing'!D$174:D$184,MATCH(BPCiObIC!$A4,'IRA - Advanced Manufacturing'!$B$174:$B$184,0))),1)</f>
        <v>-2.5153395839178305E-2</v>
      </c>
      <c r="F4">
        <f>'Rescale to Fit GDP Proj'!G105*IFERROR((1+INDEX('IRA - Advanced Manufacturing'!E$174:E$184,MATCH(BPCiObIC!$A4,'IRA - Advanced Manufacturing'!$B$174:$B$184,0))),1)</f>
        <v>-1.7702072704415595E-2</v>
      </c>
      <c r="G4">
        <f>'Rescale to Fit GDP Proj'!H105*IFERROR((1+INDEX('IRA - Advanced Manufacturing'!F$174:F$184,MATCH(BPCiObIC!$A4,'IRA - Advanced Manufacturing'!$B$174:$B$184,0))),1)</f>
        <v>-4.5601512584906301E-3</v>
      </c>
      <c r="H4">
        <f>'Rescale to Fit GDP Proj'!I105*IFERROR((1+INDEX('IRA - Advanced Manufacturing'!G$174:G$184,MATCH(BPCiObIC!$A4,'IRA - Advanced Manufacturing'!$B$174:$B$184,0))),1)</f>
        <v>-2.8910806037897308E-3</v>
      </c>
      <c r="I4">
        <f>'Rescale to Fit GDP Proj'!J105*IFERROR((1+INDEX('IRA - Advanced Manufacturing'!H$174:H$184,MATCH(BPCiObIC!$A4,'IRA - Advanced Manufacturing'!$B$174:$B$184,0))),1)</f>
        <v>5.2098615526485759E-3</v>
      </c>
      <c r="J4">
        <f>'Rescale to Fit GDP Proj'!K105*IFERROR((1+INDEX('IRA - Advanced Manufacturing'!I$174:I$184,MATCH(BPCiObIC!$A4,'IRA - Advanced Manufacturing'!$B$174:$B$184,0))),1)</f>
        <v>6.2325291214246903E-3</v>
      </c>
      <c r="K4">
        <f>'Rescale to Fit GDP Proj'!L105*IFERROR((1+INDEX('IRA - Advanced Manufacturing'!J$174:J$184,MATCH(BPCiObIC!$A4,'IRA - Advanced Manufacturing'!$B$174:$B$184,0))),1)</f>
        <v>1.1170598466883508E-2</v>
      </c>
      <c r="L4">
        <f>'Rescale to Fit GDP Proj'!M105*IFERROR((1+INDEX('IRA - Advanced Manufacturing'!K$174:K$184,MATCH(BPCiObIC!$A4,'IRA - Advanced Manufacturing'!$B$174:$B$184,0))),1)</f>
        <v>1.5941439153297043E-2</v>
      </c>
      <c r="M4">
        <f>'Rescale to Fit GDP Proj'!N105*IFERROR((1+INDEX('IRA - Advanced Manufacturing'!L$174:L$184,MATCH(BPCiObIC!$A4,'IRA - Advanced Manufacturing'!$B$174:$B$184,0))),1)</f>
        <v>2.5891544366484887E-2</v>
      </c>
      <c r="N4">
        <f>'Rescale to Fit GDP Proj'!O105*IFERROR((1+INDEX('IRA - Advanced Manufacturing'!M$174:M$184,MATCH(BPCiObIC!$A4,'IRA - Advanced Manufacturing'!$B$174:$B$184,0))),1)</f>
        <v>3.5748387442897211E-2</v>
      </c>
      <c r="O4">
        <f>'Rescale to Fit GDP Proj'!P105*IFERROR((1+INDEX('IRA - Advanced Manufacturing'!N$174:N$184,MATCH(BPCiObIC!$A4,'IRA - Advanced Manufacturing'!$B$174:$B$184,0))),1)</f>
        <v>4.2619234174628096E-2</v>
      </c>
      <c r="P4">
        <f>'Rescale to Fit GDP Proj'!Q105*IFERROR((1+INDEX('IRA - Advanced Manufacturing'!O$174:O$184,MATCH(BPCiObIC!$A4,'IRA - Advanced Manufacturing'!$B$174:$B$184,0))),1)</f>
        <v>4.6040989813552091E-2</v>
      </c>
      <c r="Q4">
        <f>'Rescale to Fit GDP Proj'!R105*IFERROR((1+INDEX('IRA - Advanced Manufacturing'!P$174:P$184,MATCH(BPCiObIC!$A4,'IRA - Advanced Manufacturing'!$B$174:$B$184,0))),1)</f>
        <v>5.047576521399999E-2</v>
      </c>
      <c r="R4">
        <f>'Rescale to Fit GDP Proj'!S105*IFERROR((1+INDEX('IRA - Advanced Manufacturing'!Q$174:Q$184,MATCH(BPCiObIC!$A4,'IRA - Advanced Manufacturing'!$B$174:$B$184,0))),1)</f>
        <v>5.5667893483777542E-2</v>
      </c>
      <c r="S4">
        <f>'Rescale to Fit GDP Proj'!T105*IFERROR((1+INDEX('IRA - Advanced Manufacturing'!R$174:R$184,MATCH(BPCiObIC!$A4,'IRA - Advanced Manufacturing'!$B$174:$B$184,0))),1)</f>
        <v>5.7737348139461409E-2</v>
      </c>
      <c r="T4">
        <f>'Rescale to Fit GDP Proj'!U105*IFERROR((1+INDEX('IRA - Advanced Manufacturing'!S$174:S$184,MATCH(BPCiObIC!$A4,'IRA - Advanced Manufacturing'!$B$174:$B$184,0))),1)</f>
        <v>6.1961479748227521E-2</v>
      </c>
      <c r="U4">
        <f>'Rescale to Fit GDP Proj'!V105*IFERROR((1+INDEX('IRA - Advanced Manufacturing'!T$174:T$184,MATCH(BPCiObIC!$A4,'IRA - Advanced Manufacturing'!$B$174:$B$184,0))),1)</f>
        <v>6.0393711069679057E-2</v>
      </c>
      <c r="V4">
        <f>'Rescale to Fit GDP Proj'!W105*IFERROR((1+INDEX('IRA - Advanced Manufacturing'!U$174:U$184,MATCH(BPCiObIC!$A4,'IRA - Advanced Manufacturing'!$B$174:$B$184,0))),1)</f>
        <v>5.9756955791007149E-2</v>
      </c>
      <c r="W4">
        <f>'Rescale to Fit GDP Proj'!X105*IFERROR((1+INDEX('IRA - Advanced Manufacturing'!V$174:V$184,MATCH(BPCiObIC!$A4,'IRA - Advanced Manufacturing'!$B$174:$B$184,0))),1)</f>
        <v>6.2508188825875388E-2</v>
      </c>
      <c r="X4">
        <f>'Rescale to Fit GDP Proj'!Y105*IFERROR((1+INDEX('IRA - Advanced Manufacturing'!W$174:W$184,MATCH(BPCiObIC!$A4,'IRA - Advanced Manufacturing'!$B$174:$B$184,0))),1)</f>
        <v>6.780644297543148E-2</v>
      </c>
      <c r="Y4">
        <f>'Rescale to Fit GDP Proj'!Z105*IFERROR((1+INDEX('IRA - Advanced Manufacturing'!X$174:X$184,MATCH(BPCiObIC!$A4,'IRA - Advanced Manufacturing'!$B$174:$B$184,0))),1)</f>
        <v>7.3194743326012057E-2</v>
      </c>
      <c r="Z4">
        <f>'Rescale to Fit GDP Proj'!AA105*IFERROR((1+INDEX('IRA - Advanced Manufacturing'!Y$174:Y$184,MATCH(BPCiObIC!$A4,'IRA - Advanced Manufacturing'!$B$174:$B$184,0))),1)</f>
        <v>7.3016258891838826E-2</v>
      </c>
      <c r="AA4">
        <f>'Rescale to Fit GDP Proj'!AB105*IFERROR((1+INDEX('IRA - Advanced Manufacturing'!Z$174:Z$184,MATCH(BPCiObIC!$A4,'IRA - Advanced Manufacturing'!$B$174:$B$184,0))),1)</f>
        <v>7.6476605759773442E-2</v>
      </c>
      <c r="AB4">
        <f>'Rescale to Fit GDP Proj'!AC105*IFERROR((1+INDEX('IRA - Advanced Manufacturing'!AA$174:AA$184,MATCH(BPCiObIC!$A4,'IRA - Advanced Manufacturing'!$B$174:$B$184,0))),1)</f>
        <v>7.4850950237709268E-2</v>
      </c>
      <c r="AC4">
        <f>'Rescale to Fit GDP Proj'!AD105*IFERROR((1+INDEX('IRA - Advanced Manufacturing'!AB$174:AB$184,MATCH(BPCiObIC!$A4,'IRA - Advanced Manufacturing'!$B$174:$B$184,0))),1)</f>
        <v>7.946742600808121E-2</v>
      </c>
      <c r="AD4">
        <f>'Rescale to Fit GDP Proj'!AE105*IFERROR((1+INDEX('IRA - Advanced Manufacturing'!AC$174:AC$184,MATCH(BPCiObIC!$A4,'IRA - Advanced Manufacturing'!$B$174:$B$184,0))),1)</f>
        <v>8.5670966071506927E-2</v>
      </c>
      <c r="AE4">
        <f>'Rescale to Fit GDP Proj'!AF105*IFERROR((1+INDEX('IRA - Advanced Manufacturing'!AD$174:AD$184,MATCH(BPCiObIC!$A4,'IRA - Advanced Manufacturing'!$B$174:$B$184,0))),1)</f>
        <v>9.1207199466627475E-2</v>
      </c>
    </row>
    <row r="5" spans="1:31" x14ac:dyDescent="0.3">
      <c r="A5" s="2" t="s">
        <v>3</v>
      </c>
      <c r="B5">
        <f>'Rescale to Fit GDP Proj'!C61</f>
        <v>0</v>
      </c>
      <c r="C5">
        <f>'Rescale to Fit GDP Proj'!D106</f>
        <v>-2.8519755147467907E-4</v>
      </c>
      <c r="D5">
        <f>'Rescale to Fit GDP Proj'!E106*IFERROR((1+INDEX('IRA - Advanced Manufacturing'!C$174:C$184,MATCH(BPCiObIC!$A5,'IRA - Advanced Manufacturing'!$B$174:$B$184,0))),1)</f>
        <v>-2.4457489241173302E-2</v>
      </c>
      <c r="E5">
        <f>'Rescale to Fit GDP Proj'!F106*IFERROR((1+INDEX('IRA - Advanced Manufacturing'!D$174:D$184,MATCH(BPCiObIC!$A5,'IRA - Advanced Manufacturing'!$B$174:$B$184,0))),1)</f>
        <v>-4.6807818783949795E-2</v>
      </c>
      <c r="F5">
        <f>'Rescale to Fit GDP Proj'!G106*IFERROR((1+INDEX('IRA - Advanced Manufacturing'!E$174:E$184,MATCH(BPCiObIC!$A5,'IRA - Advanced Manufacturing'!$B$174:$B$184,0))),1)</f>
        <v>-5.947810516445351E-2</v>
      </c>
      <c r="G5">
        <f>'Rescale to Fit GDP Proj'!H106*IFERROR((1+INDEX('IRA - Advanced Manufacturing'!F$174:F$184,MATCH(BPCiObIC!$A5,'IRA - Advanced Manufacturing'!$B$174:$B$184,0))),1)</f>
        <v>-7.3135867212372974E-2</v>
      </c>
      <c r="H5">
        <f>'Rescale to Fit GDP Proj'!I106*IFERROR((1+INDEX('IRA - Advanced Manufacturing'!G$174:G$184,MATCH(BPCiObIC!$A5,'IRA - Advanced Manufacturing'!$B$174:$B$184,0))),1)</f>
        <v>-9.1091234629749773E-2</v>
      </c>
      <c r="I5">
        <f>'Rescale to Fit GDP Proj'!J106*IFERROR((1+INDEX('IRA - Advanced Manufacturing'!H$174:H$184,MATCH(BPCiObIC!$A5,'IRA - Advanced Manufacturing'!$B$174:$B$184,0))),1)</f>
        <v>-0.10238461831906809</v>
      </c>
      <c r="J5">
        <f>'Rescale to Fit GDP Proj'!K106*IFERROR((1+INDEX('IRA - Advanced Manufacturing'!I$174:I$184,MATCH(BPCiObIC!$A5,'IRA - Advanced Manufacturing'!$B$174:$B$184,0))),1)</f>
        <v>-0.10691866152438567</v>
      </c>
      <c r="K5">
        <f>'Rescale to Fit GDP Proj'!L106*IFERROR((1+INDEX('IRA - Advanced Manufacturing'!J$174:J$184,MATCH(BPCiObIC!$A5,'IRA - Advanced Manufacturing'!$B$174:$B$184,0))),1)</f>
        <v>-0.11175868310552206</v>
      </c>
      <c r="L5">
        <f>'Rescale to Fit GDP Proj'!M106*IFERROR((1+INDEX('IRA - Advanced Manufacturing'!K$174:K$184,MATCH(BPCiObIC!$A5,'IRA - Advanced Manufacturing'!$B$174:$B$184,0))),1)</f>
        <v>-0.11739146684218948</v>
      </c>
      <c r="M5">
        <f>'Rescale to Fit GDP Proj'!N106*IFERROR((1+INDEX('IRA - Advanced Manufacturing'!L$174:L$184,MATCH(BPCiObIC!$A5,'IRA - Advanced Manufacturing'!$B$174:$B$184,0))),1)</f>
        <v>-0.12060423978828871</v>
      </c>
      <c r="N5">
        <f>'Rescale to Fit GDP Proj'!O106*IFERROR((1+INDEX('IRA - Advanced Manufacturing'!M$174:M$184,MATCH(BPCiObIC!$A5,'IRA - Advanced Manufacturing'!$B$174:$B$184,0))),1)</f>
        <v>-0.12415080732619044</v>
      </c>
      <c r="O5">
        <f>'Rescale to Fit GDP Proj'!P106*IFERROR((1+INDEX('IRA - Advanced Manufacturing'!N$174:N$184,MATCH(BPCiObIC!$A5,'IRA - Advanced Manufacturing'!$B$174:$B$184,0))),1)</f>
        <v>-0.12953324511900588</v>
      </c>
      <c r="P5">
        <f>'Rescale to Fit GDP Proj'!Q106*IFERROR((1+INDEX('IRA - Advanced Manufacturing'!O$174:O$184,MATCH(BPCiObIC!$A5,'IRA - Advanced Manufacturing'!$B$174:$B$184,0))),1)</f>
        <v>-0.13109095321408426</v>
      </c>
      <c r="Q5">
        <f>'Rescale to Fit GDP Proj'!R106*IFERROR((1+INDEX('IRA - Advanced Manufacturing'!P$174:P$184,MATCH(BPCiObIC!$A5,'IRA - Advanced Manufacturing'!$B$174:$B$184,0))),1)</f>
        <v>-0.12978359106285775</v>
      </c>
      <c r="R5">
        <f>'Rescale to Fit GDP Proj'!S106*IFERROR((1+INDEX('IRA - Advanced Manufacturing'!Q$174:Q$184,MATCH(BPCiObIC!$A5,'IRA - Advanced Manufacturing'!$B$174:$B$184,0))),1)</f>
        <v>-0.12565288298930177</v>
      </c>
      <c r="S5">
        <f>'Rescale to Fit GDP Proj'!T106*IFERROR((1+INDEX('IRA - Advanced Manufacturing'!R$174:R$184,MATCH(BPCiObIC!$A5,'IRA - Advanced Manufacturing'!$B$174:$B$184,0))),1)</f>
        <v>-0.12059033168029709</v>
      </c>
      <c r="T5">
        <f>'Rescale to Fit GDP Proj'!U106*IFERROR((1+INDEX('IRA - Advanced Manufacturing'!S$174:S$184,MATCH(BPCiObIC!$A5,'IRA - Advanced Manufacturing'!$B$174:$B$184,0))),1)</f>
        <v>-0.11248190472109432</v>
      </c>
      <c r="U5">
        <f>'Rescale to Fit GDP Proj'!V106*IFERROR((1+INDEX('IRA - Advanced Manufacturing'!T$174:T$184,MATCH(BPCiObIC!$A5,'IRA - Advanced Manufacturing'!$B$174:$B$184,0))),1)</f>
        <v>-0.10506888316148022</v>
      </c>
      <c r="V5">
        <f>'Rescale to Fit GDP Proj'!W106*IFERROR((1+INDEX('IRA - Advanced Manufacturing'!U$174:U$184,MATCH(BPCiObIC!$A5,'IRA - Advanced Manufacturing'!$B$174:$B$184,0))),1)</f>
        <v>-9.6821375122359998E-2</v>
      </c>
      <c r="W5">
        <f>'Rescale to Fit GDP Proj'!X106*IFERROR((1+INDEX('IRA - Advanced Manufacturing'!V$174:V$184,MATCH(BPCiObIC!$A5,'IRA - Advanced Manufacturing'!$B$174:$B$184,0))),1)</f>
        <v>-8.8504326543280665E-2</v>
      </c>
      <c r="X5">
        <f>'Rescale to Fit GDP Proj'!Y106*IFERROR((1+INDEX('IRA - Advanced Manufacturing'!W$174:W$184,MATCH(BPCiObIC!$A5,'IRA - Advanced Manufacturing'!$B$174:$B$184,0))),1)</f>
        <v>-7.3302764508274776E-2</v>
      </c>
      <c r="Y5">
        <f>'Rescale to Fit GDP Proj'!Z106*IFERROR((1+INDEX('IRA - Advanced Manufacturing'!X$174:X$184,MATCH(BPCiObIC!$A5,'IRA - Advanced Manufacturing'!$B$174:$B$184,0))),1)</f>
        <v>-5.9311207868552818E-2</v>
      </c>
      <c r="Z5">
        <f>'Rescale to Fit GDP Proj'!AA106*IFERROR((1+INDEX('IRA - Advanced Manufacturing'!Y$174:Y$184,MATCH(BPCiObIC!$A5,'IRA - Advanced Manufacturing'!$B$174:$B$184,0))),1)</f>
        <v>-4.6293218788254653E-2</v>
      </c>
      <c r="AA5">
        <f>'Rescale to Fit GDP Proj'!AB106*IFERROR((1+INDEX('IRA - Advanced Manufacturing'!Z$174:Z$184,MATCH(BPCiObIC!$A5,'IRA - Advanced Manufacturing'!$B$174:$B$184,0))),1)</f>
        <v>-3.4930294558977559E-2</v>
      </c>
      <c r="AB5">
        <f>'Rescale to Fit GDP Proj'!AC106*IFERROR((1+INDEX('IRA - Advanced Manufacturing'!AA$174:AA$184,MATCH(BPCiObIC!$A5,'IRA - Advanced Manufacturing'!$B$174:$B$184,0))),1)</f>
        <v>-2.9450500010219538E-2</v>
      </c>
      <c r="AC5">
        <f>'Rescale to Fit GDP Proj'!AD106*IFERROR((1+INDEX('IRA - Advanced Manufacturing'!AB$174:AB$184,MATCH(BPCiObIC!$A5,'IRA - Advanced Manufacturing'!$B$174:$B$184,0))),1)</f>
        <v>-2.6543705439939225E-2</v>
      </c>
      <c r="AD5">
        <f>'Rescale to Fit GDP Proj'!AE106*IFERROR((1+INDEX('IRA - Advanced Manufacturing'!AC$174:AC$184,MATCH(BPCiObIC!$A5,'IRA - Advanced Manufacturing'!$B$174:$B$184,0))),1)</f>
        <v>-2.0368505491592748E-2</v>
      </c>
      <c r="AE5">
        <f>'Rescale to Fit GDP Proj'!AF106*IFERROR((1+INDEX('IRA - Advanced Manufacturing'!AD$174:AD$184,MATCH(BPCiObIC!$A5,'IRA - Advanced Manufacturing'!$B$174:$B$184,0))),1)</f>
        <v>-8.2684515387517754E-3</v>
      </c>
    </row>
    <row r="6" spans="1:31" x14ac:dyDescent="0.3">
      <c r="A6" s="2" t="s">
        <v>4</v>
      </c>
      <c r="B6">
        <f>'Rescale to Fit GDP Proj'!C62</f>
        <v>0</v>
      </c>
      <c r="C6">
        <f>'Rescale to Fit GDP Proj'!D107</f>
        <v>2.7665999999999993E-2</v>
      </c>
      <c r="D6">
        <f>'Rescale to Fit GDP Proj'!E107*IFERROR((1+INDEX('IRA - Advanced Manufacturing'!C$174:C$184,MATCH(BPCiObIC!$A6,'IRA - Advanced Manufacturing'!$B$174:$B$184,0))),1)</f>
        <v>5.6097407555999901E-2</v>
      </c>
      <c r="E6">
        <f>'Rescale to Fit GDP Proj'!F107*IFERROR((1+INDEX('IRA - Advanced Manufacturing'!D$174:D$184,MATCH(BPCiObIC!$A6,'IRA - Advanced Manufacturing'!$B$174:$B$184,0))),1)</f>
        <v>8.5315398433444267E-2</v>
      </c>
      <c r="F6">
        <f>'Rescale to Fit GDP Proj'!G107*IFERROR((1+INDEX('IRA - Advanced Manufacturing'!E$174:E$184,MATCH(BPCiObIC!$A6,'IRA - Advanced Manufacturing'!$B$174:$B$184,0))),1)</f>
        <v>0.11534173424650396</v>
      </c>
      <c r="G6">
        <f>'Rescale to Fit GDP Proj'!H107*IFERROR((1+INDEX('IRA - Advanced Manufacturing'!F$174:F$184,MATCH(BPCiObIC!$A6,'IRA - Advanced Manufacturing'!$B$174:$B$184,0))),1)</f>
        <v>0.14619877866616759</v>
      </c>
      <c r="H6">
        <f>'Rescale to Fit GDP Proj'!I107*IFERROR((1+INDEX('IRA - Advanced Manufacturing'!G$174:G$184,MATCH(BPCiObIC!$A6,'IRA - Advanced Manufacturing'!$B$174:$B$184,0))),1)</f>
        <v>0.17790951407674571</v>
      </c>
      <c r="I6">
        <f>'Rescale to Fit GDP Proj'!J107*IFERROR((1+INDEX('IRA - Advanced Manufacturing'!H$174:H$184,MATCH(BPCiObIC!$A6,'IRA - Advanced Manufacturing'!$B$174:$B$184,0))),1)</f>
        <v>0.21049755869319298</v>
      </c>
      <c r="J6">
        <f>'Rescale to Fit GDP Proj'!K107*IFERROR((1+INDEX('IRA - Advanced Manufacturing'!I$174:I$184,MATCH(BPCiObIC!$A6,'IRA - Advanced Manufacturing'!$B$174:$B$184,0))),1)</f>
        <v>0.24398718415199872</v>
      </c>
      <c r="K6">
        <f>'Rescale to Fit GDP Proj'!L107*IFERROR((1+INDEX('IRA - Advanced Manufacturing'!J$174:J$184,MATCH(BPCiObIC!$A6,'IRA - Advanced Manufacturing'!$B$174:$B$184,0))),1)</f>
        <v>0.27840333358874791</v>
      </c>
      <c r="L6">
        <f>'Rescale to Fit GDP Proj'!M107*IFERROR((1+INDEX('IRA - Advanced Manufacturing'!K$174:K$184,MATCH(BPCiObIC!$A6,'IRA - Advanced Manufacturing'!$B$174:$B$184,0))),1)</f>
        <v>0.31377164021581416</v>
      </c>
      <c r="M6">
        <f>'Rescale to Fit GDP Proj'!N107*IFERROR((1+INDEX('IRA - Advanced Manufacturing'!L$174:L$184,MATCH(BPCiObIC!$A6,'IRA - Advanced Manufacturing'!$B$174:$B$184,0))),1)</f>
        <v>0.35011844641402479</v>
      </c>
      <c r="N6">
        <f>'Rescale to Fit GDP Proj'!O107*IFERROR((1+INDEX('IRA - Advanced Manufacturing'!M$174:M$184,MATCH(BPCiObIC!$A6,'IRA - Advanced Manufacturing'!$B$174:$B$184,0))),1)</f>
        <v>0.38747082335251526</v>
      </c>
      <c r="O6">
        <f>'Rescale to Fit GDP Proj'!P107*IFERROR((1+INDEX('IRA - Advanced Manufacturing'!N$174:N$184,MATCH(BPCiObIC!$A6,'IRA - Advanced Manufacturing'!$B$174:$B$184,0))),1)</f>
        <v>0.42585659115138585</v>
      </c>
      <c r="P6">
        <f>'Rescale to Fit GDP Proj'!Q107*IFERROR((1+INDEX('IRA - Advanced Manufacturing'!O$174:O$184,MATCH(BPCiObIC!$A6,'IRA - Advanced Manufacturing'!$B$174:$B$184,0))),1)</f>
        <v>0.46530433960218009</v>
      </c>
      <c r="Q6">
        <f>'Rescale to Fit GDP Proj'!R107*IFERROR((1+INDEX('IRA - Advanced Manufacturing'!P$174:P$184,MATCH(BPCiObIC!$A6,'IRA - Advanced Manufacturing'!$B$174:$B$184,0))),1)</f>
        <v>0.50584344946161397</v>
      </c>
      <c r="R6">
        <f>'Rescale to Fit GDP Proj'!S107*IFERROR((1+INDEX('IRA - Advanced Manufacturing'!Q$174:Q$184,MATCH(BPCiObIC!$A6,'IRA - Advanced Manufacturing'!$B$174:$B$184,0))),1)</f>
        <v>0.54750411433441903</v>
      </c>
      <c r="S6">
        <f>'Rescale to Fit GDP Proj'!T107*IFERROR((1+INDEX('IRA - Advanced Manufacturing'!R$174:R$184,MATCH(BPCiObIC!$A6,'IRA - Advanced Manufacturing'!$B$174:$B$184,0))),1)</f>
        <v>0.590317363161595</v>
      </c>
      <c r="T6">
        <f>'Rescale to Fit GDP Proj'!U107*IFERROR((1+INDEX('IRA - Advanced Manufacturing'!S$174:S$184,MATCH(BPCiObIC!$A6,'IRA - Advanced Manufacturing'!$B$174:$B$184,0))),1)</f>
        <v>0.63431508333082354</v>
      </c>
      <c r="U6">
        <f>'Rescale to Fit GDP Proj'!V107*IFERROR((1+INDEX('IRA - Advanced Manufacturing'!T$174:T$184,MATCH(BPCiObIC!$A6,'IRA - Advanced Manufacturing'!$B$174:$B$184,0))),1)</f>
        <v>0.67953004442625398</v>
      </c>
      <c r="V6">
        <f>'Rescale to Fit GDP Proj'!W107*IFERROR((1+INDEX('IRA - Advanced Manufacturing'!U$174:U$184,MATCH(BPCiObIC!$A6,'IRA - Advanced Manufacturing'!$B$174:$B$184,0))),1)</f>
        <v>0.72599592263535073</v>
      </c>
      <c r="W6">
        <f>'Rescale to Fit GDP Proj'!X107*IFERROR((1+INDEX('IRA - Advanced Manufacturing'!V$174:V$184,MATCH(BPCiObIC!$A6,'IRA - Advanced Manufacturing'!$B$174:$B$184,0))),1)</f>
        <v>0.77374732583098038</v>
      </c>
      <c r="X6">
        <f>'Rescale to Fit GDP Proj'!Y107*IFERROR((1+INDEX('IRA - Advanced Manufacturing'!W$174:W$184,MATCH(BPCiObIC!$A6,'IRA - Advanced Manufacturing'!$B$174:$B$184,0))),1)</f>
        <v>0.82281981934742032</v>
      </c>
      <c r="Y6">
        <f>'Rescale to Fit GDP Proj'!Z107*IFERROR((1+INDEX('IRA - Advanced Manufacturing'!X$174:X$184,MATCH(BPCiObIC!$A6,'IRA - Advanced Manufacturing'!$B$174:$B$184,0))),1)</f>
        <v>0.87324995246948589</v>
      </c>
      <c r="Z6">
        <f>'Rescale to Fit GDP Proj'!AA107*IFERROR((1+INDEX('IRA - Advanced Manufacturing'!Y$174:Y$184,MATCH(BPCiObIC!$A6,'IRA - Advanced Manufacturing'!$B$174:$B$184,0))),1)</f>
        <v>0.92507528565450658</v>
      </c>
      <c r="AA6">
        <f>'Rescale to Fit GDP Proj'!AB107*IFERROR((1+INDEX('IRA - Advanced Manufacturing'!Z$174:Z$184,MATCH(BPCiObIC!$A6,'IRA - Advanced Manufacturing'!$B$174:$B$184,0))),1)</f>
        <v>0.97833441850742409</v>
      </c>
      <c r="AB6">
        <f>'Rescale to Fit GDP Proj'!AC107*IFERROR((1+INDEX('IRA - Advanced Manufacturing'!AA$174:AA$184,MATCH(BPCiObIC!$A6,'IRA - Advanced Manufacturing'!$B$174:$B$184,0))),1)</f>
        <v>1.0330670185298505</v>
      </c>
      <c r="AC6">
        <f>'Rescale to Fit GDP Proj'!AD107*IFERROR((1+INDEX('IRA - Advanced Manufacturing'!AB$174:AB$184,MATCH(BPCiObIC!$A6,'IRA - Advanced Manufacturing'!$B$174:$B$184,0))),1)</f>
        <v>1.0893138506644973</v>
      </c>
      <c r="AD6">
        <f>'Rescale to Fit GDP Proj'!AE107*IFERROR((1+INDEX('IRA - Advanced Manufacturing'!AC$174:AC$184,MATCH(BPCiObIC!$A6,'IRA - Advanced Manufacturing'!$B$174:$B$184,0))),1)</f>
        <v>1.1471168076569813</v>
      </c>
      <c r="AE6">
        <f>'Rescale to Fit GDP Proj'!AF107*IFERROR((1+INDEX('IRA - Advanced Manufacturing'!AD$174:AD$184,MATCH(BPCiObIC!$A6,'IRA - Advanced Manufacturing'!$B$174:$B$184,0))),1)</f>
        <v>1.2065189412576194</v>
      </c>
    </row>
    <row r="7" spans="1:31" x14ac:dyDescent="0.3">
      <c r="A7" s="2" t="s">
        <v>5</v>
      </c>
      <c r="B7">
        <f>'Rescale to Fit GDP Proj'!C63</f>
        <v>0</v>
      </c>
      <c r="C7">
        <f>'Rescale to Fit GDP Proj'!D108</f>
        <v>-1.2463136070661631E-2</v>
      </c>
      <c r="D7">
        <f>'Rescale to Fit GDP Proj'!E108*IFERROR((1+INDEX('IRA - Advanced Manufacturing'!C$174:C$184,MATCH(BPCiObIC!$A7,'IRA - Advanced Manufacturing'!$B$174:$B$184,0))),1)</f>
        <v>2.9431604421192858E-3</v>
      </c>
      <c r="E7">
        <f>'Rescale to Fit GDP Proj'!F108*IFERROR((1+INDEX('IRA - Advanced Manufacturing'!D$174:D$184,MATCH(BPCiObIC!$A7,'IRA - Advanced Manufacturing'!$B$174:$B$184,0))),1)</f>
        <v>1.3008425916695598E-2</v>
      </c>
      <c r="F7">
        <f>'Rescale to Fit GDP Proj'!G108*IFERROR((1+INDEX('IRA - Advanced Manufacturing'!E$174:E$184,MATCH(BPCiObIC!$A7,'IRA - Advanced Manufacturing'!$B$174:$B$184,0))),1)</f>
        <v>2.2346317765342238E-2</v>
      </c>
      <c r="G7">
        <f>'Rescale to Fit GDP Proj'!H108*IFERROR((1+INDEX('IRA - Advanced Manufacturing'!F$174:F$184,MATCH(BPCiObIC!$A7,'IRA - Advanced Manufacturing'!$B$174:$B$184,0))),1)</f>
        <v>3.5533299883582226E-2</v>
      </c>
      <c r="H7">
        <f>'Rescale to Fit GDP Proj'!I108*IFERROR((1+INDEX('IRA - Advanced Manufacturing'!G$174:G$184,MATCH(BPCiObIC!$A7,'IRA - Advanced Manufacturing'!$B$174:$B$184,0))),1)</f>
        <v>5.0185159088445674E-2</v>
      </c>
      <c r="I7">
        <f>'Rescale to Fit GDP Proj'!J108*IFERROR((1+INDEX('IRA - Advanced Manufacturing'!H$174:H$184,MATCH(BPCiObIC!$A7,'IRA - Advanced Manufacturing'!$B$174:$B$184,0))),1)</f>
        <v>6.4933031052899493E-2</v>
      </c>
      <c r="J7">
        <f>'Rescale to Fit GDP Proj'!K108*IFERROR((1+INDEX('IRA - Advanced Manufacturing'!I$174:I$184,MATCH(BPCiObIC!$A7,'IRA - Advanced Manufacturing'!$B$174:$B$184,0))),1)</f>
        <v>7.7722494916767415E-2</v>
      </c>
      <c r="K7">
        <f>'Rescale to Fit GDP Proj'!L108*IFERROR((1+INDEX('IRA - Advanced Manufacturing'!J$174:J$184,MATCH(BPCiObIC!$A7,'IRA - Advanced Manufacturing'!$B$174:$B$184,0))),1)</f>
        <v>9.0396384091171456E-2</v>
      </c>
      <c r="L7">
        <f>'Rescale to Fit GDP Proj'!M108*IFERROR((1+INDEX('IRA - Advanced Manufacturing'!K$174:K$184,MATCH(BPCiObIC!$A7,'IRA - Advanced Manufacturing'!$B$174:$B$184,0))),1)</f>
        <v>0.10449872182711717</v>
      </c>
      <c r="M7">
        <f>'Rescale to Fit GDP Proj'!N108*IFERROR((1+INDEX('IRA - Advanced Manufacturing'!L$174:L$184,MATCH(BPCiObIC!$A7,'IRA - Advanced Manufacturing'!$B$174:$B$184,0))),1)</f>
        <v>0.11680215853076259</v>
      </c>
      <c r="N7">
        <f>'Rescale to Fit GDP Proj'!O108*IFERROR((1+INDEX('IRA - Advanced Manufacturing'!M$174:M$184,MATCH(BPCiObIC!$A7,'IRA - Advanced Manufacturing'!$B$174:$B$184,0))),1)</f>
        <v>0.12684503959245941</v>
      </c>
      <c r="O7">
        <f>'Rescale to Fit GDP Proj'!P108*IFERROR((1+INDEX('IRA - Advanced Manufacturing'!N$174:N$184,MATCH(BPCiObIC!$A7,'IRA - Advanced Manufacturing'!$B$174:$B$184,0))),1)</f>
        <v>0.13751427755025158</v>
      </c>
      <c r="P7">
        <f>'Rescale to Fit GDP Proj'!Q108*IFERROR((1+INDEX('IRA - Advanced Manufacturing'!O$174:O$184,MATCH(BPCiObIC!$A7,'IRA - Advanced Manufacturing'!$B$174:$B$184,0))),1)</f>
        <v>0.14931360155569395</v>
      </c>
      <c r="Q7">
        <f>'Rescale to Fit GDP Proj'!R108*IFERROR((1+INDEX('IRA - Advanced Manufacturing'!P$174:P$184,MATCH(BPCiObIC!$A7,'IRA - Advanced Manufacturing'!$B$174:$B$184,0))),1)</f>
        <v>0.16177147935942982</v>
      </c>
      <c r="R7">
        <f>'Rescale to Fit GDP Proj'!S108*IFERROR((1+INDEX('IRA - Advanced Manufacturing'!Q$174:Q$184,MATCH(BPCiObIC!$A7,'IRA - Advanced Manufacturing'!$B$174:$B$184,0))),1)</f>
        <v>0.17387994091254777</v>
      </c>
      <c r="S7">
        <f>'Rescale to Fit GDP Proj'!T108*IFERROR((1+INDEX('IRA - Advanced Manufacturing'!R$174:R$184,MATCH(BPCiObIC!$A7,'IRA - Advanced Manufacturing'!$B$174:$B$184,0))),1)</f>
        <v>0.18616157115031795</v>
      </c>
      <c r="T7">
        <f>'Rescale to Fit GDP Proj'!U108*IFERROR((1+INDEX('IRA - Advanced Manufacturing'!S$174:S$184,MATCH(BPCiObIC!$A7,'IRA - Advanced Manufacturing'!$B$174:$B$184,0))),1)</f>
        <v>0.19888009990051447</v>
      </c>
      <c r="U7">
        <f>'Rescale to Fit GDP Proj'!V108*IFERROR((1+INDEX('IRA - Advanced Manufacturing'!T$174:T$184,MATCH(BPCiObIC!$A7,'IRA - Advanced Manufacturing'!$B$174:$B$184,0))),1)</f>
        <v>0.21158862281184909</v>
      </c>
      <c r="V7">
        <f>'Rescale to Fit GDP Proj'!W108*IFERROR((1+INDEX('IRA - Advanced Manufacturing'!U$174:U$184,MATCH(BPCiObIC!$A7,'IRA - Advanced Manufacturing'!$B$174:$B$184,0))),1)</f>
        <v>0.22394259940479366</v>
      </c>
      <c r="W7">
        <f>'Rescale to Fit GDP Proj'!X108*IFERROR((1+INDEX('IRA - Advanced Manufacturing'!V$174:V$184,MATCH(BPCiObIC!$A7,'IRA - Advanced Manufacturing'!$B$174:$B$184,0))),1)</f>
        <v>0.23696397974088534</v>
      </c>
      <c r="X7">
        <f>'Rescale to Fit GDP Proj'!Y108*IFERROR((1+INDEX('IRA - Advanced Manufacturing'!W$174:W$184,MATCH(BPCiObIC!$A7,'IRA - Advanced Manufacturing'!$B$174:$B$184,0))),1)</f>
        <v>0.24970611079592131</v>
      </c>
      <c r="Y7">
        <f>'Rescale to Fit GDP Proj'!Z108*IFERROR((1+INDEX('IRA - Advanced Manufacturing'!X$174:X$184,MATCH(BPCiObIC!$A7,'IRA - Advanced Manufacturing'!$B$174:$B$184,0))),1)</f>
        <v>0.26224261986579922</v>
      </c>
      <c r="Z7">
        <f>'Rescale to Fit GDP Proj'!AA108*IFERROR((1+INDEX('IRA - Advanced Manufacturing'!Y$174:Y$184,MATCH(BPCiObIC!$A7,'IRA - Advanced Manufacturing'!$B$174:$B$184,0))),1)</f>
        <v>0.27469228766963694</v>
      </c>
      <c r="AA7">
        <f>'Rescale to Fit GDP Proj'!AB108*IFERROR((1+INDEX('IRA - Advanced Manufacturing'!Z$174:Z$184,MATCH(BPCiObIC!$A7,'IRA - Advanced Manufacturing'!$B$174:$B$184,0))),1)</f>
        <v>0.28660885295354088</v>
      </c>
      <c r="AB7">
        <f>'Rescale to Fit GDP Proj'!AC108*IFERROR((1+INDEX('IRA - Advanced Manufacturing'!AA$174:AA$184,MATCH(BPCiObIC!$A7,'IRA - Advanced Manufacturing'!$B$174:$B$184,0))),1)</f>
        <v>0.29869756027805483</v>
      </c>
      <c r="AC7">
        <f>'Rescale to Fit GDP Proj'!AD108*IFERROR((1+INDEX('IRA - Advanced Manufacturing'!AB$174:AB$184,MATCH(BPCiObIC!$A7,'IRA - Advanced Manufacturing'!$B$174:$B$184,0))),1)</f>
        <v>0.31091646540205198</v>
      </c>
      <c r="AD7">
        <f>'Rescale to Fit GDP Proj'!AE108*IFERROR((1+INDEX('IRA - Advanced Manufacturing'!AC$174:AC$184,MATCH(BPCiObIC!$A7,'IRA - Advanced Manufacturing'!$B$174:$B$184,0))),1)</f>
        <v>0.32320386775417531</v>
      </c>
      <c r="AE7">
        <f>'Rescale to Fit GDP Proj'!AF108*IFERROR((1+INDEX('IRA - Advanced Manufacturing'!AD$174:AD$184,MATCH(BPCiObIC!$A7,'IRA - Advanced Manufacturing'!$B$174:$B$184,0))),1)</f>
        <v>0.33546369257688302</v>
      </c>
    </row>
    <row r="8" spans="1:31" x14ac:dyDescent="0.3">
      <c r="A8" s="2" t="s">
        <v>6</v>
      </c>
      <c r="B8">
        <f>'Rescale to Fit GDP Proj'!C64</f>
        <v>0</v>
      </c>
      <c r="C8">
        <f>'Rescale to Fit GDP Proj'!D109</f>
        <v>-4.9111462171322448E-4</v>
      </c>
      <c r="D8">
        <f>'Rescale to Fit GDP Proj'!E109*IFERROR((1+INDEX('IRA - Advanced Manufacturing'!C$174:C$184,MATCH(BPCiObIC!$A8,'IRA - Advanced Manufacturing'!$B$174:$B$184,0))),1)</f>
        <v>-1.5775363620483596E-2</v>
      </c>
      <c r="E8">
        <f>'Rescale to Fit GDP Proj'!F109*IFERROR((1+INDEX('IRA - Advanced Manufacturing'!D$174:D$184,MATCH(BPCiObIC!$A8,'IRA - Advanced Manufacturing'!$B$174:$B$184,0))),1)</f>
        <v>-2.5776803182233188E-2</v>
      </c>
      <c r="F8">
        <f>'Rescale to Fit GDP Proj'!G109*IFERROR((1+INDEX('IRA - Advanced Manufacturing'!E$174:E$184,MATCH(BPCiObIC!$A8,'IRA - Advanced Manufacturing'!$B$174:$B$184,0))),1)</f>
        <v>-2.5356460143885595E-2</v>
      </c>
      <c r="G8">
        <f>'Rescale to Fit GDP Proj'!H109*IFERROR((1+INDEX('IRA - Advanced Manufacturing'!F$174:F$184,MATCH(BPCiObIC!$A8,'IRA - Advanced Manufacturing'!$B$174:$B$184,0))),1)</f>
        <v>-6.9735338708045713E-3</v>
      </c>
      <c r="H8">
        <f>'Rescale to Fit GDP Proj'!I109*IFERROR((1+INDEX('IRA - Advanced Manufacturing'!G$174:G$184,MATCH(BPCiObIC!$A8,'IRA - Advanced Manufacturing'!$B$174:$B$184,0))),1)</f>
        <v>1.5721737884506481E-2</v>
      </c>
      <c r="I8">
        <f>'Rescale to Fit GDP Proj'!J109*IFERROR((1+INDEX('IRA - Advanced Manufacturing'!H$174:H$184,MATCH(BPCiObIC!$A8,'IRA - Advanced Manufacturing'!$B$174:$B$184,0))),1)</f>
        <v>3.1601265525403432E-2</v>
      </c>
      <c r="J8">
        <f>'Rescale to Fit GDP Proj'!K109*IFERROR((1+INDEX('IRA - Advanced Manufacturing'!I$174:I$184,MATCH(BPCiObIC!$A8,'IRA - Advanced Manufacturing'!$B$174:$B$184,0))),1)</f>
        <v>3.8425117947018084E-2</v>
      </c>
      <c r="K8">
        <f>'Rescale to Fit GDP Proj'!L109*IFERROR((1+INDEX('IRA - Advanced Manufacturing'!J$174:J$184,MATCH(BPCiObIC!$A8,'IRA - Advanced Manufacturing'!$B$174:$B$184,0))),1)</f>
        <v>4.0028254677882069E-2</v>
      </c>
      <c r="L8">
        <f>'Rescale to Fit GDP Proj'!M109*IFERROR((1+INDEX('IRA - Advanced Manufacturing'!K$174:K$184,MATCH(BPCiObIC!$A8,'IRA - Advanced Manufacturing'!$B$174:$B$184,0))),1)</f>
        <v>4.4632768996650363E-2</v>
      </c>
      <c r="M8">
        <f>'Rescale to Fit GDP Proj'!N109*IFERROR((1+INDEX('IRA - Advanced Manufacturing'!L$174:L$184,MATCH(BPCiObIC!$A8,'IRA - Advanced Manufacturing'!$B$174:$B$184,0))),1)</f>
        <v>5.4233304474653465E-2</v>
      </c>
      <c r="N8">
        <f>'Rescale to Fit GDP Proj'!O109*IFERROR((1+INDEX('IRA - Advanced Manufacturing'!M$174:M$184,MATCH(BPCiObIC!$A8,'IRA - Advanced Manufacturing'!$B$174:$B$184,0))),1)</f>
        <v>6.2209091061010247E-2</v>
      </c>
      <c r="O8">
        <f>'Rescale to Fit GDP Proj'!P109*IFERROR((1+INDEX('IRA - Advanced Manufacturing'!N$174:N$184,MATCH(BPCiObIC!$A8,'IRA - Advanced Manufacturing'!$B$174:$B$184,0))),1)</f>
        <v>6.6940400719735393E-2</v>
      </c>
      <c r="P8">
        <f>'Rescale to Fit GDP Proj'!Q109*IFERROR((1+INDEX('IRA - Advanced Manufacturing'!O$174:O$184,MATCH(BPCiObIC!$A8,'IRA - Advanced Manufacturing'!$B$174:$B$184,0))),1)</f>
        <v>6.8563665836126608E-2</v>
      </c>
      <c r="Q8">
        <f>'Rescale to Fit GDP Proj'!R109*IFERROR((1+INDEX('IRA - Advanced Manufacturing'!P$174:P$184,MATCH(BPCiObIC!$A8,'IRA - Advanced Manufacturing'!$B$174:$B$184,0))),1)</f>
        <v>6.7373318378676661E-2</v>
      </c>
      <c r="R8">
        <f>'Rescale to Fit GDP Proj'!S109*IFERROR((1+INDEX('IRA - Advanced Manufacturing'!Q$174:Q$184,MATCH(BPCiObIC!$A8,'IRA - Advanced Manufacturing'!$B$174:$B$184,0))),1)</f>
        <v>6.3288634978472258E-2</v>
      </c>
      <c r="S8">
        <f>'Rescale to Fit GDP Proj'!T109*IFERROR((1+INDEX('IRA - Advanced Manufacturing'!R$174:R$184,MATCH(BPCiObIC!$A8,'IRA - Advanced Manufacturing'!$B$174:$B$184,0))),1)</f>
        <v>5.6998881698073767E-2</v>
      </c>
      <c r="T8">
        <f>'Rescale to Fit GDP Proj'!U109*IFERROR((1+INDEX('IRA - Advanced Manufacturing'!S$174:S$184,MATCH(BPCiObIC!$A8,'IRA - Advanced Manufacturing'!$B$174:$B$184,0))),1)</f>
        <v>4.8589278195045438E-2</v>
      </c>
      <c r="U8">
        <f>'Rescale to Fit GDP Proj'!V109*IFERROR((1+INDEX('IRA - Advanced Manufacturing'!T$174:T$184,MATCH(BPCiObIC!$A8,'IRA - Advanced Manufacturing'!$B$174:$B$184,0))),1)</f>
        <v>4.3181936550022781E-2</v>
      </c>
      <c r="V8">
        <f>'Rescale to Fit GDP Proj'!W109*IFERROR((1+INDEX('IRA - Advanced Manufacturing'!U$174:U$184,MATCH(BPCiObIC!$A8,'IRA - Advanced Manufacturing'!$B$174:$B$184,0))),1)</f>
        <v>3.7860369104831149E-2</v>
      </c>
      <c r="W8">
        <f>'Rescale to Fit GDP Proj'!X109*IFERROR((1+INDEX('IRA - Advanced Manufacturing'!V$174:V$184,MATCH(BPCiObIC!$A8,'IRA - Advanced Manufacturing'!$B$174:$B$184,0))),1)</f>
        <v>3.1175901631395497E-2</v>
      </c>
      <c r="X8">
        <f>'Rescale to Fit GDP Proj'!Y109*IFERROR((1+INDEX('IRA - Advanced Manufacturing'!W$174:W$184,MATCH(BPCiObIC!$A8,'IRA - Advanced Manufacturing'!$B$174:$B$184,0))),1)</f>
        <v>2.4448209836395174E-2</v>
      </c>
      <c r="Y8">
        <f>'Rescale to Fit GDP Proj'!Z109*IFERROR((1+INDEX('IRA - Advanced Manufacturing'!X$174:X$184,MATCH(BPCiObIC!$A8,'IRA - Advanced Manufacturing'!$B$174:$B$184,0))),1)</f>
        <v>1.5540717303419438E-2</v>
      </c>
      <c r="Z8">
        <f>'Rescale to Fit GDP Proj'!AA109*IFERROR((1+INDEX('IRA - Advanced Manufacturing'!Y$174:Y$184,MATCH(BPCiObIC!$A8,'IRA - Advanced Manufacturing'!$B$174:$B$184,0))),1)</f>
        <v>6.0093647201253653E-3</v>
      </c>
      <c r="AA8">
        <f>'Rescale to Fit GDP Proj'!AB109*IFERROR((1+INDEX('IRA - Advanced Manufacturing'!Z$174:Z$184,MATCH(BPCiObIC!$A8,'IRA - Advanced Manufacturing'!$B$174:$B$184,0))),1)</f>
        <v>-2.3487862531073045E-3</v>
      </c>
      <c r="AB8">
        <f>'Rescale to Fit GDP Proj'!AC109*IFERROR((1+INDEX('IRA - Advanced Manufacturing'!AA$174:AA$184,MATCH(BPCiObIC!$A8,'IRA - Advanced Manufacturing'!$B$174:$B$184,0))),1)</f>
        <v>-9.6724611087898316E-3</v>
      </c>
      <c r="AC8">
        <f>'Rescale to Fit GDP Proj'!AD109*IFERROR((1+INDEX('IRA - Advanced Manufacturing'!AB$174:AB$184,MATCH(BPCiObIC!$A8,'IRA - Advanced Manufacturing'!$B$174:$B$184,0))),1)</f>
        <v>-1.7704736068231308E-2</v>
      </c>
      <c r="AD8">
        <f>'Rescale to Fit GDP Proj'!AE109*IFERROR((1+INDEX('IRA - Advanced Manufacturing'!AC$174:AC$184,MATCH(BPCiObIC!$A8,'IRA - Advanced Manufacturing'!$B$174:$B$184,0))),1)</f>
        <v>-2.6403301055227035E-2</v>
      </c>
      <c r="AE8">
        <f>'Rescale to Fit GDP Proj'!AF109*IFERROR((1+INDEX('IRA - Advanced Manufacturing'!AD$174:AD$184,MATCH(BPCiObIC!$A8,'IRA - Advanced Manufacturing'!$B$174:$B$184,0))),1)</f>
        <v>-3.3305149097306752E-2</v>
      </c>
    </row>
    <row r="9" spans="1:31" x14ac:dyDescent="0.3">
      <c r="A9" s="2" t="s">
        <v>7</v>
      </c>
      <c r="B9">
        <f>'Rescale to Fit GDP Proj'!C65</f>
        <v>0</v>
      </c>
      <c r="C9">
        <f>'Rescale to Fit GDP Proj'!D110</f>
        <v>-6.4436017867348285E-3</v>
      </c>
      <c r="D9">
        <f>'Rescale to Fit GDP Proj'!E110*IFERROR((1+INDEX('IRA - Advanced Manufacturing'!C$174:C$184,MATCH(BPCiObIC!$A9,'IRA - Advanced Manufacturing'!$B$174:$B$184,0))),1)</f>
        <v>-9.7175753823413924E-2</v>
      </c>
      <c r="E9">
        <f>'Rescale to Fit GDP Proj'!F110*IFERROR((1+INDEX('IRA - Advanced Manufacturing'!D$174:D$184,MATCH(BPCiObIC!$A9,'IRA - Advanced Manufacturing'!$B$174:$B$184,0))),1)</f>
        <v>-0.12126886560407468</v>
      </c>
      <c r="F9">
        <f>'Rescale to Fit GDP Proj'!G110*IFERROR((1+INDEX('IRA - Advanced Manufacturing'!E$174:E$184,MATCH(BPCiObIC!$A9,'IRA - Advanced Manufacturing'!$B$174:$B$184,0))),1)</f>
        <v>-0.10480661225832943</v>
      </c>
      <c r="G9">
        <f>'Rescale to Fit GDP Proj'!H110*IFERROR((1+INDEX('IRA - Advanced Manufacturing'!F$174:F$184,MATCH(BPCiObIC!$A9,'IRA - Advanced Manufacturing'!$B$174:$B$184,0))),1)</f>
        <v>-0.1162596126406229</v>
      </c>
      <c r="H9">
        <f>'Rescale to Fit GDP Proj'!I110*IFERROR((1+INDEX('IRA - Advanced Manufacturing'!G$174:G$184,MATCH(BPCiObIC!$A9,'IRA - Advanced Manufacturing'!$B$174:$B$184,0))),1)</f>
        <v>-0.12022513849909167</v>
      </c>
      <c r="I9">
        <f>'Rescale to Fit GDP Proj'!J110*IFERROR((1+INDEX('IRA - Advanced Manufacturing'!H$174:H$184,MATCH(BPCiObIC!$A9,'IRA - Advanced Manufacturing'!$B$174:$B$184,0))),1)</f>
        <v>-0.10878519949637144</v>
      </c>
      <c r="J9">
        <f>'Rescale to Fit GDP Proj'!K110*IFERROR((1+INDEX('IRA - Advanced Manufacturing'!I$174:I$184,MATCH(BPCiObIC!$A9,'IRA - Advanced Manufacturing'!$B$174:$B$184,0))),1)</f>
        <v>-9.3711666614466838E-2</v>
      </c>
      <c r="K9">
        <f>'Rescale to Fit GDP Proj'!L110*IFERROR((1+INDEX('IRA - Advanced Manufacturing'!J$174:J$184,MATCH(BPCiObIC!$A9,'IRA - Advanced Manufacturing'!$B$174:$B$184,0))),1)</f>
        <v>-8.6823222455691851E-2</v>
      </c>
      <c r="L9">
        <f>'Rescale to Fit GDP Proj'!M110*IFERROR((1+INDEX('IRA - Advanced Manufacturing'!K$174:K$184,MATCH(BPCiObIC!$A9,'IRA - Advanced Manufacturing'!$B$174:$B$184,0))),1)</f>
        <v>-8.3354211061135497E-2</v>
      </c>
      <c r="M9">
        <f>'Rescale to Fit GDP Proj'!N110*IFERROR((1+INDEX('IRA - Advanced Manufacturing'!L$174:L$184,MATCH(BPCiObIC!$A9,'IRA - Advanced Manufacturing'!$B$174:$B$184,0))),1)</f>
        <v>-7.2500505002085491E-2</v>
      </c>
      <c r="N9">
        <f>'Rescale to Fit GDP Proj'!O110*IFERROR((1+INDEX('IRA - Advanced Manufacturing'!M$174:M$184,MATCH(BPCiObIC!$A9,'IRA - Advanced Manufacturing'!$B$174:$B$184,0))),1)</f>
        <v>-5.9337210260259177E-2</v>
      </c>
      <c r="O9">
        <f>'Rescale to Fit GDP Proj'!P110*IFERROR((1+INDEX('IRA - Advanced Manufacturing'!N$174:N$184,MATCH(BPCiObIC!$A9,'IRA - Advanced Manufacturing'!$B$174:$B$184,0))),1)</f>
        <v>-4.3306546764840914E-2</v>
      </c>
      <c r="P9">
        <f>'Rescale to Fit GDP Proj'!Q110*IFERROR((1+INDEX('IRA - Advanced Manufacturing'!O$174:O$184,MATCH(BPCiObIC!$A9,'IRA - Advanced Manufacturing'!$B$174:$B$184,0))),1)</f>
        <v>-3.4504187255292251E-2</v>
      </c>
      <c r="Q9">
        <f>'Rescale to Fit GDP Proj'!R110*IFERROR((1+INDEX('IRA - Advanced Manufacturing'!P$174:P$184,MATCH(BPCiObIC!$A9,'IRA - Advanced Manufacturing'!$B$174:$B$184,0))),1)</f>
        <v>-3.7548553630611936E-2</v>
      </c>
      <c r="R9">
        <f>'Rescale to Fit GDP Proj'!S110*IFERROR((1+INDEX('IRA - Advanced Manufacturing'!Q$174:Q$184,MATCH(BPCiObIC!$A9,'IRA - Advanced Manufacturing'!$B$174:$B$184,0))),1)</f>
        <v>-3.2744987813915216E-2</v>
      </c>
      <c r="S9">
        <f>'Rescale to Fit GDP Proj'!T110*IFERROR((1+INDEX('IRA - Advanced Manufacturing'!R$174:R$184,MATCH(BPCiObIC!$A9,'IRA - Advanced Manufacturing'!$B$174:$B$184,0))),1)</f>
        <v>-2.9447358102970278E-2</v>
      </c>
      <c r="T9">
        <f>'Rescale to Fit GDP Proj'!U110*IFERROR((1+INDEX('IRA - Advanced Manufacturing'!S$174:S$184,MATCH(BPCiObIC!$A9,'IRA - Advanced Manufacturing'!$B$174:$B$184,0))),1)</f>
        <v>-2.4489495069183742E-2</v>
      </c>
      <c r="U9">
        <f>'Rescale to Fit GDP Proj'!V110*IFERROR((1+INDEX('IRA - Advanced Manufacturing'!T$174:T$184,MATCH(BPCiObIC!$A9,'IRA - Advanced Manufacturing'!$B$174:$B$184,0))),1)</f>
        <v>-1.6850645072410964E-2</v>
      </c>
      <c r="V9">
        <f>'Rescale to Fit GDP Proj'!W110*IFERROR((1+INDEX('IRA - Advanced Manufacturing'!U$174:U$184,MATCH(BPCiObIC!$A9,'IRA - Advanced Manufacturing'!$B$174:$B$184,0))),1)</f>
        <v>-5.9018048396337619E-3</v>
      </c>
      <c r="W9">
        <f>'Rescale to Fit GDP Proj'!X110*IFERROR((1+INDEX('IRA - Advanced Manufacturing'!V$174:V$184,MATCH(BPCiObIC!$A9,'IRA - Advanced Manufacturing'!$B$174:$B$184,0))),1)</f>
        <v>3.0304129990923467E-3</v>
      </c>
      <c r="X9">
        <f>'Rescale to Fit GDP Proj'!Y110*IFERROR((1+INDEX('IRA - Advanced Manufacturing'!W$174:W$184,MATCH(BPCiObIC!$A9,'IRA - Advanced Manufacturing'!$B$174:$B$184,0))),1)</f>
        <v>8.9000695511634031E-3</v>
      </c>
      <c r="Y9">
        <f>'Rescale to Fit GDP Proj'!Z110*IFERROR((1+INDEX('IRA - Advanced Manufacturing'!X$174:X$184,MATCH(BPCiObIC!$A9,'IRA - Advanced Manufacturing'!$B$174:$B$184,0))),1)</f>
        <v>9.6193556283523662E-3</v>
      </c>
      <c r="Z9">
        <f>'Rescale to Fit GDP Proj'!AA110*IFERROR((1+INDEX('IRA - Advanced Manufacturing'!Y$174:Y$184,MATCH(BPCiObIC!$A9,'IRA - Advanced Manufacturing'!$B$174:$B$184,0))),1)</f>
        <v>3.6764370245851996E-3</v>
      </c>
      <c r="AA9">
        <f>'Rescale to Fit GDP Proj'!AB110*IFERROR((1+INDEX('IRA - Advanced Manufacturing'!Z$174:Z$184,MATCH(BPCiObIC!$A9,'IRA - Advanced Manufacturing'!$B$174:$B$184,0))),1)</f>
        <v>-1.6388163011493706E-4</v>
      </c>
      <c r="AB9">
        <f>'Rescale to Fit GDP Proj'!AC110*IFERROR((1+INDEX('IRA - Advanced Manufacturing'!AA$174:AA$184,MATCH(BPCiObIC!$A9,'IRA - Advanced Manufacturing'!$B$174:$B$184,0))),1)</f>
        <v>1.1012881951710796E-3</v>
      </c>
      <c r="AC9">
        <f>'Rescale to Fit GDP Proj'!AD110*IFERROR((1+INDEX('IRA - Advanced Manufacturing'!AB$174:AB$184,MATCH(BPCiObIC!$A9,'IRA - Advanced Manufacturing'!$B$174:$B$184,0))),1)</f>
        <v>-9.2754909183290213E-4</v>
      </c>
      <c r="AD9">
        <f>'Rescale to Fit GDP Proj'!AE110*IFERROR((1+INDEX('IRA - Advanced Manufacturing'!AC$174:AC$184,MATCH(BPCiObIC!$A9,'IRA - Advanced Manufacturing'!$B$174:$B$184,0))),1)</f>
        <v>-1.0111419211056294E-4</v>
      </c>
      <c r="AE9">
        <f>'Rescale to Fit GDP Proj'!AF110*IFERROR((1+INDEX('IRA - Advanced Manufacturing'!AD$174:AD$184,MATCH(BPCiObIC!$A9,'IRA - Advanced Manufacturing'!$B$174:$B$184,0))),1)</f>
        <v>1.0358920976404784E-2</v>
      </c>
    </row>
    <row r="10" spans="1:31" x14ac:dyDescent="0.3">
      <c r="A10" s="2" t="s">
        <v>8</v>
      </c>
      <c r="B10">
        <f>'Rescale to Fit GDP Proj'!C66</f>
        <v>0</v>
      </c>
      <c r="C10">
        <f>'Rescale to Fit GDP Proj'!D111</f>
        <v>3.4978912866429096E-2</v>
      </c>
      <c r="D10">
        <f>'Rescale to Fit GDP Proj'!E111*IFERROR((1+INDEX('IRA - Advanced Manufacturing'!C$174:C$184,MATCH(BPCiObIC!$A10,'IRA - Advanced Manufacturing'!$B$174:$B$184,0))),1)</f>
        <v>1.1234016731725971E-2</v>
      </c>
      <c r="E10">
        <f>'Rescale to Fit GDP Proj'!F111*IFERROR((1+INDEX('IRA - Advanced Manufacturing'!D$174:D$184,MATCH(BPCiObIC!$A10,'IRA - Advanced Manufacturing'!$B$174:$B$184,0))),1)</f>
        <v>-1.1250407906847393E-2</v>
      </c>
      <c r="F10">
        <f>'Rescale to Fit GDP Proj'!G111*IFERROR((1+INDEX('IRA - Advanced Manufacturing'!E$174:E$184,MATCH(BPCiObIC!$A10,'IRA - Advanced Manufacturing'!$B$174:$B$184,0))),1)</f>
        <v>-1.2679302646599444E-2</v>
      </c>
      <c r="G10">
        <f>'Rescale to Fit GDP Proj'!H111*IFERROR((1+INDEX('IRA - Advanced Manufacturing'!F$174:F$184,MATCH(BPCiObIC!$A10,'IRA - Advanced Manufacturing'!$B$174:$B$184,0))),1)</f>
        <v>-7.6001228194294557E-3</v>
      </c>
      <c r="H10">
        <f>'Rescale to Fit GDP Proj'!I111*IFERROR((1+INDEX('IRA - Advanced Manufacturing'!G$174:G$184,MATCH(BPCiObIC!$A10,'IRA - Advanced Manufacturing'!$B$174:$B$184,0))),1)</f>
        <v>-1.4515741340220822E-3</v>
      </c>
      <c r="I10">
        <f>'Rescale to Fit GDP Proj'!J111*IFERROR((1+INDEX('IRA - Advanced Manufacturing'!H$174:H$184,MATCH(BPCiObIC!$A10,'IRA - Advanced Manufacturing'!$B$174:$B$184,0))),1)</f>
        <v>4.510209217005734E-3</v>
      </c>
      <c r="J10">
        <f>'Rescale to Fit GDP Proj'!K111*IFERROR((1+INDEX('IRA - Advanced Manufacturing'!I$174:I$184,MATCH(BPCiObIC!$A10,'IRA - Advanced Manufacturing'!$B$174:$B$184,0))),1)</f>
        <v>9.8122114800447413E-3</v>
      </c>
      <c r="K10">
        <f>'Rescale to Fit GDP Proj'!L111*IFERROR((1+INDEX('IRA - Advanced Manufacturing'!J$174:J$184,MATCH(BPCiObIC!$A10,'IRA - Advanced Manufacturing'!$B$174:$B$184,0))),1)</f>
        <v>1.4499617254738695E-2</v>
      </c>
      <c r="L10">
        <f>'Rescale to Fit GDP Proj'!M111*IFERROR((1+INDEX('IRA - Advanced Manufacturing'!K$174:K$184,MATCH(BPCiObIC!$A10,'IRA - Advanced Manufacturing'!$B$174:$B$184,0))),1)</f>
        <v>2.161688264793038E-2</v>
      </c>
      <c r="M10">
        <f>'Rescale to Fit GDP Proj'!N111*IFERROR((1+INDEX('IRA - Advanced Manufacturing'!L$174:L$184,MATCH(BPCiObIC!$A10,'IRA - Advanced Manufacturing'!$B$174:$B$184,0))),1)</f>
        <v>2.9812905680858481E-2</v>
      </c>
      <c r="N10">
        <f>'Rescale to Fit GDP Proj'!O111*IFERROR((1+INDEX('IRA - Advanced Manufacturing'!M$174:M$184,MATCH(BPCiObIC!$A10,'IRA - Advanced Manufacturing'!$B$174:$B$184,0))),1)</f>
        <v>3.6635321529651099E-2</v>
      </c>
      <c r="O10">
        <f>'Rescale to Fit GDP Proj'!P111*IFERROR((1+INDEX('IRA - Advanced Manufacturing'!N$174:N$184,MATCH(BPCiObIC!$A10,'IRA - Advanced Manufacturing'!$B$174:$B$184,0))),1)</f>
        <v>4.3951493223279625E-2</v>
      </c>
      <c r="P10">
        <f>'Rescale to Fit GDP Proj'!Q111*IFERROR((1+INDEX('IRA - Advanced Manufacturing'!O$174:O$184,MATCH(BPCiObIC!$A10,'IRA - Advanced Manufacturing'!$B$174:$B$184,0))),1)</f>
        <v>5.1728185520371506E-2</v>
      </c>
      <c r="Q10">
        <f>'Rescale to Fit GDP Proj'!R111*IFERROR((1+INDEX('IRA - Advanced Manufacturing'!P$174:P$184,MATCH(BPCiObIC!$A10,'IRA - Advanced Manufacturing'!$B$174:$B$184,0))),1)</f>
        <v>5.7662772178424193E-2</v>
      </c>
      <c r="R10">
        <f>'Rescale to Fit GDP Proj'!S111*IFERROR((1+INDEX('IRA - Advanced Manufacturing'!Q$174:Q$184,MATCH(BPCiObIC!$A10,'IRA - Advanced Manufacturing'!$B$174:$B$184,0))),1)</f>
        <v>6.4404654694261376E-2</v>
      </c>
      <c r="S10">
        <f>'Rescale to Fit GDP Proj'!T111*IFERROR((1+INDEX('IRA - Advanced Manufacturing'!R$174:R$184,MATCH(BPCiObIC!$A10,'IRA - Advanced Manufacturing'!$B$174:$B$184,0))),1)</f>
        <v>7.0078230904127237E-2</v>
      </c>
      <c r="T10">
        <f>'Rescale to Fit GDP Proj'!U111*IFERROR((1+INDEX('IRA - Advanced Manufacturing'!S$174:S$184,MATCH(BPCiObIC!$A10,'IRA - Advanced Manufacturing'!$B$174:$B$184,0))),1)</f>
        <v>7.6182831731052891E-2</v>
      </c>
      <c r="U10">
        <f>'Rescale to Fit GDP Proj'!V111*IFERROR((1+INDEX('IRA - Advanced Manufacturing'!T$174:T$184,MATCH(BPCiObIC!$A10,'IRA - Advanced Manufacturing'!$B$174:$B$184,0))),1)</f>
        <v>8.2701096348395842E-2</v>
      </c>
      <c r="V10">
        <f>'Rescale to Fit GDP Proj'!W111*IFERROR((1+INDEX('IRA - Advanced Manufacturing'!U$174:U$184,MATCH(BPCiObIC!$A10,'IRA - Advanced Manufacturing'!$B$174:$B$184,0))),1)</f>
        <v>8.8722417464104586E-2</v>
      </c>
      <c r="W10">
        <f>'Rescale to Fit GDP Proj'!X111*IFERROR((1+INDEX('IRA - Advanced Manufacturing'!V$174:V$184,MATCH(BPCiObIC!$A10,'IRA - Advanced Manufacturing'!$B$174:$B$184,0))),1)</f>
        <v>9.5302966224390051E-2</v>
      </c>
      <c r="X10">
        <f>'Rescale to Fit GDP Proj'!Y111*IFERROR((1+INDEX('IRA - Advanced Manufacturing'!W$174:W$184,MATCH(BPCiObIC!$A10,'IRA - Advanced Manufacturing'!$B$174:$B$184,0))),1)</f>
        <v>0.10084656848629558</v>
      </c>
      <c r="Y10">
        <f>'Rescale to Fit GDP Proj'!Z111*IFERROR((1+INDEX('IRA - Advanced Manufacturing'!X$174:X$184,MATCH(BPCiObIC!$A10,'IRA - Advanced Manufacturing'!$B$174:$B$184,0))),1)</f>
        <v>0.10444015508803872</v>
      </c>
      <c r="Z10">
        <f>'Rescale to Fit GDP Proj'!AA111*IFERROR((1+INDEX('IRA - Advanced Manufacturing'!Y$174:Y$184,MATCH(BPCiObIC!$A10,'IRA - Advanced Manufacturing'!$B$174:$B$184,0))),1)</f>
        <v>0.10672755722102378</v>
      </c>
      <c r="AA10">
        <f>'Rescale to Fit GDP Proj'!AB111*IFERROR((1+INDEX('IRA - Advanced Manufacturing'!Z$174:Z$184,MATCH(BPCiObIC!$A10,'IRA - Advanced Manufacturing'!$B$174:$B$184,0))),1)</f>
        <v>0.11129659583453311</v>
      </c>
      <c r="AB10">
        <f>'Rescale to Fit GDP Proj'!AC111*IFERROR((1+INDEX('IRA - Advanced Manufacturing'!AA$174:AA$184,MATCH(BPCiObIC!$A10,'IRA - Advanced Manufacturing'!$B$174:$B$184,0))),1)</f>
        <v>0.11823498084404105</v>
      </c>
      <c r="AC10">
        <f>'Rescale to Fit GDP Proj'!AD111*IFERROR((1+INDEX('IRA - Advanced Manufacturing'!AB$174:AB$184,MATCH(BPCiObIC!$A10,'IRA - Advanced Manufacturing'!$B$174:$B$184,0))),1)</f>
        <v>0.12111642517563315</v>
      </c>
      <c r="AD10">
        <f>'Rescale to Fit GDP Proj'!AE111*IFERROR((1+INDEX('IRA - Advanced Manufacturing'!AC$174:AC$184,MATCH(BPCiObIC!$A10,'IRA - Advanced Manufacturing'!$B$174:$B$184,0))),1)</f>
        <v>0.12502860326831144</v>
      </c>
      <c r="AE10">
        <f>'Rescale to Fit GDP Proj'!AF111*IFERROR((1+INDEX('IRA - Advanced Manufacturing'!AD$174:AD$184,MATCH(BPCiObIC!$A10,'IRA - Advanced Manufacturing'!$B$174:$B$184,0))),1)</f>
        <v>0.13311361571776614</v>
      </c>
    </row>
    <row r="11" spans="1:31" x14ac:dyDescent="0.3">
      <c r="A11" s="2" t="s">
        <v>9</v>
      </c>
      <c r="B11">
        <f>'Rescale to Fit GDP Proj'!C67</f>
        <v>0</v>
      </c>
      <c r="C11">
        <f>'Rescale to Fit GDP Proj'!D112</f>
        <v>3.5549761599716782E-2</v>
      </c>
      <c r="D11">
        <f>'Rescale to Fit GDP Proj'!E112*IFERROR((1+INDEX('IRA - Advanced Manufacturing'!C$174:C$184,MATCH(BPCiObIC!$A11,'IRA - Advanced Manufacturing'!$B$174:$B$184,0))),1)</f>
        <v>0.12400894498170145</v>
      </c>
      <c r="E11">
        <f>'Rescale to Fit GDP Proj'!F112*IFERROR((1+INDEX('IRA - Advanced Manufacturing'!D$174:D$184,MATCH(BPCiObIC!$A11,'IRA - Advanced Manufacturing'!$B$174:$B$184,0))),1)</f>
        <v>0.12073110298857248</v>
      </c>
      <c r="F11">
        <f>'Rescale to Fit GDP Proj'!G112*IFERROR((1+INDEX('IRA - Advanced Manufacturing'!E$174:E$184,MATCH(BPCiObIC!$A11,'IRA - Advanced Manufacturing'!$B$174:$B$184,0))),1)</f>
        <v>0.11659319097270293</v>
      </c>
      <c r="G11">
        <f>'Rescale to Fit GDP Proj'!H112*IFERROR((1+INDEX('IRA - Advanced Manufacturing'!F$174:F$184,MATCH(BPCiObIC!$A11,'IRA - Advanced Manufacturing'!$B$174:$B$184,0))),1)</f>
        <v>0.11162885767670505</v>
      </c>
      <c r="H11">
        <f>'Rescale to Fit GDP Proj'!I112*IFERROR((1+INDEX('IRA - Advanced Manufacturing'!G$174:G$184,MATCH(BPCiObIC!$A11,'IRA - Advanced Manufacturing'!$B$174:$B$184,0))),1)</f>
        <v>0.10853410610748448</v>
      </c>
      <c r="I11">
        <f>'Rescale to Fit GDP Proj'!J112*IFERROR((1+INDEX('IRA - Advanced Manufacturing'!H$174:H$184,MATCH(BPCiObIC!$A11,'IRA - Advanced Manufacturing'!$B$174:$B$184,0))),1)</f>
        <v>0.10518927839104908</v>
      </c>
      <c r="J11">
        <f>'Rescale to Fit GDP Proj'!K112*IFERROR((1+INDEX('IRA - Advanced Manufacturing'!I$174:I$184,MATCH(BPCiObIC!$A11,'IRA - Advanced Manufacturing'!$B$174:$B$184,0))),1)</f>
        <v>0.10025542172351476</v>
      </c>
      <c r="K11">
        <f>'Rescale to Fit GDP Proj'!L112*IFERROR((1+INDEX('IRA - Advanced Manufacturing'!J$174:J$184,MATCH(BPCiObIC!$A11,'IRA - Advanced Manufacturing'!$B$174:$B$184,0))),1)</f>
        <v>9.2698269744167394E-2</v>
      </c>
      <c r="L11">
        <f>'Rescale to Fit GDP Proj'!M112*IFERROR((1+INDEX('IRA - Advanced Manufacturing'!K$174:K$184,MATCH(BPCiObIC!$A11,'IRA - Advanced Manufacturing'!$B$174:$B$184,0))),1)</f>
        <v>8.555231779397876E-2</v>
      </c>
      <c r="M11">
        <f>'Rescale to Fit GDP Proj'!N112*IFERROR((1+INDEX('IRA - Advanced Manufacturing'!L$174:L$184,MATCH(BPCiObIC!$A11,'IRA - Advanced Manufacturing'!$B$174:$B$184,0))),1)</f>
        <v>8.1206022084453933E-2</v>
      </c>
      <c r="N11">
        <f>'Rescale to Fit GDP Proj'!O112*IFERROR((1+INDEX('IRA - Advanced Manufacturing'!M$174:M$184,MATCH(BPCiObIC!$A11,'IRA - Advanced Manufacturing'!$B$174:$B$184,0))),1)</f>
        <v>7.7549622548832131E-2</v>
      </c>
      <c r="O11">
        <f>'Rescale to Fit GDP Proj'!P112*IFERROR((1+INDEX('IRA - Advanced Manufacturing'!N$174:N$184,MATCH(BPCiObIC!$A11,'IRA - Advanced Manufacturing'!$B$174:$B$184,0))),1)</f>
        <v>7.5597970130825587E-2</v>
      </c>
      <c r="P11">
        <f>'Rescale to Fit GDP Proj'!Q112*IFERROR((1+INDEX('IRA - Advanced Manufacturing'!O$174:O$184,MATCH(BPCiObIC!$A11,'IRA - Advanced Manufacturing'!$B$174:$B$184,0))),1)</f>
        <v>7.2214079659935093E-2</v>
      </c>
      <c r="Q11">
        <f>'Rescale to Fit GDP Proj'!R112*IFERROR((1+INDEX('IRA - Advanced Manufacturing'!P$174:P$184,MATCH(BPCiObIC!$A11,'IRA - Advanced Manufacturing'!$B$174:$B$184,0))),1)</f>
        <v>6.9076321421265074E-2</v>
      </c>
      <c r="R11">
        <f>'Rescale to Fit GDP Proj'!S112*IFERROR((1+INDEX('IRA - Advanced Manufacturing'!Q$174:Q$184,MATCH(BPCiObIC!$A11,'IRA - Advanced Manufacturing'!$B$174:$B$184,0))),1)</f>
        <v>6.70074820072184E-2</v>
      </c>
      <c r="S11">
        <f>'Rescale to Fit GDP Proj'!T112*IFERROR((1+INDEX('IRA - Advanced Manufacturing'!R$174:R$184,MATCH(BPCiObIC!$A11,'IRA - Advanced Manufacturing'!$B$174:$B$184,0))),1)</f>
        <v>6.5245726814994853E-2</v>
      </c>
      <c r="T11">
        <f>'Rescale to Fit GDP Proj'!U112*IFERROR((1+INDEX('IRA - Advanced Manufacturing'!S$174:S$184,MATCH(BPCiObIC!$A11,'IRA - Advanced Manufacturing'!$B$174:$B$184,0))),1)</f>
        <v>6.5356493543246019E-2</v>
      </c>
      <c r="U11">
        <f>'Rescale to Fit GDP Proj'!V112*IFERROR((1+INDEX('IRA - Advanced Manufacturing'!T$174:T$184,MATCH(BPCiObIC!$A11,'IRA - Advanced Manufacturing'!$B$174:$B$184,0))),1)</f>
        <v>6.6891995761153122E-2</v>
      </c>
      <c r="V11">
        <f>'Rescale to Fit GDP Proj'!W112*IFERROR((1+INDEX('IRA - Advanced Manufacturing'!U$174:U$184,MATCH(BPCiObIC!$A11,'IRA - Advanced Manufacturing'!$B$174:$B$184,0))),1)</f>
        <v>6.8465167943483785E-2</v>
      </c>
      <c r="W11">
        <f>'Rescale to Fit GDP Proj'!X112*IFERROR((1+INDEX('IRA - Advanced Manufacturing'!V$174:V$184,MATCH(BPCiObIC!$A11,'IRA - Advanced Manufacturing'!$B$174:$B$184,0))),1)</f>
        <v>7.1090164005271905E-2</v>
      </c>
      <c r="X11">
        <f>'Rescale to Fit GDP Proj'!Y112*IFERROR((1+INDEX('IRA - Advanced Manufacturing'!W$174:W$184,MATCH(BPCiObIC!$A11,'IRA - Advanced Manufacturing'!$B$174:$B$184,0))),1)</f>
        <v>7.4003680514193482E-2</v>
      </c>
      <c r="Y11">
        <f>'Rescale to Fit GDP Proj'!Z112*IFERROR((1+INDEX('IRA - Advanced Manufacturing'!X$174:X$184,MATCH(BPCiObIC!$A11,'IRA - Advanced Manufacturing'!$B$174:$B$184,0))),1)</f>
        <v>7.7300937924324575E-2</v>
      </c>
      <c r="Z11">
        <f>'Rescale to Fit GDP Proj'!AA112*IFERROR((1+INDEX('IRA - Advanced Manufacturing'!Y$174:Y$184,MATCH(BPCiObIC!$A11,'IRA - Advanced Manufacturing'!$B$174:$B$184,0))),1)</f>
        <v>7.9662165661006812E-2</v>
      </c>
      <c r="AA11">
        <f>'Rescale to Fit GDP Proj'!AB112*IFERROR((1+INDEX('IRA - Advanced Manufacturing'!Z$174:Z$184,MATCH(BPCiObIC!$A11,'IRA - Advanced Manufacturing'!$B$174:$B$184,0))),1)</f>
        <v>8.4901096573120949E-2</v>
      </c>
      <c r="AB11">
        <f>'Rescale to Fit GDP Proj'!AC112*IFERROR((1+INDEX('IRA - Advanced Manufacturing'!AA$174:AA$184,MATCH(BPCiObIC!$A11,'IRA - Advanced Manufacturing'!$B$174:$B$184,0))),1)</f>
        <v>9.0592533433868194E-2</v>
      </c>
      <c r="AC11">
        <f>'Rescale to Fit GDP Proj'!AD112*IFERROR((1+INDEX('IRA - Advanced Manufacturing'!AB$174:AB$184,MATCH(BPCiObIC!$A11,'IRA - Advanced Manufacturing'!$B$174:$B$184,0))),1)</f>
        <v>9.3642497742197905E-2</v>
      </c>
      <c r="AD11">
        <f>'Rescale to Fit GDP Proj'!AE112*IFERROR((1+INDEX('IRA - Advanced Manufacturing'!AC$174:AC$184,MATCH(BPCiObIC!$A11,'IRA - Advanced Manufacturing'!$B$174:$B$184,0))),1)</f>
        <v>9.9105670384060707E-2</v>
      </c>
      <c r="AE11">
        <f>'Rescale to Fit GDP Proj'!AF112*IFERROR((1+INDEX('IRA - Advanced Manufacturing'!AD$174:AD$184,MATCH(BPCiObIC!$A11,'IRA - Advanced Manufacturing'!$B$174:$B$184,0))),1)</f>
        <v>0.10943494090198058</v>
      </c>
    </row>
    <row r="12" spans="1:31" x14ac:dyDescent="0.3">
      <c r="A12" s="2" t="s">
        <v>35</v>
      </c>
      <c r="B12">
        <f>'Rescale to Fit GDP Proj'!C68</f>
        <v>0</v>
      </c>
      <c r="C12">
        <f>'Rescale to Fit GDP Proj'!D113</f>
        <v>-1.3315353457095599E-2</v>
      </c>
      <c r="D12">
        <f>'Rescale to Fit GDP Proj'!E113*IFERROR((1+INDEX('IRA - Advanced Manufacturing'!C$174:C$184,MATCH(BPCiObIC!$A12,'IRA - Advanced Manufacturing'!$B$174:$B$184,0))),1)</f>
        <v>-3.5131576093836228E-2</v>
      </c>
      <c r="E12">
        <f>'Rescale to Fit GDP Proj'!F113*IFERROR((1+INDEX('IRA - Advanced Manufacturing'!D$174:D$184,MATCH(BPCiObIC!$A12,'IRA - Advanced Manufacturing'!$B$174:$B$184,0))),1)</f>
        <v>-4.6600997720884392E-2</v>
      </c>
      <c r="F12">
        <f>'Rescale to Fit GDP Proj'!G113*IFERROR((1+INDEX('IRA - Advanced Manufacturing'!E$174:E$184,MATCH(BPCiObIC!$A12,'IRA - Advanced Manufacturing'!$B$174:$B$184,0))),1)</f>
        <v>-3.1054025807634805E-2</v>
      </c>
      <c r="G12">
        <f>'Rescale to Fit GDP Proj'!H113*IFERROR((1+INDEX('IRA - Advanced Manufacturing'!F$174:F$184,MATCH(BPCiObIC!$A12,'IRA - Advanced Manufacturing'!$B$174:$B$184,0))),1)</f>
        <v>-8.6805152723470041E-3</v>
      </c>
      <c r="H12">
        <f>'Rescale to Fit GDP Proj'!I113*IFERROR((1+INDEX('IRA - Advanced Manufacturing'!G$174:G$184,MATCH(BPCiObIC!$A12,'IRA - Advanced Manufacturing'!$B$174:$B$184,0))),1)</f>
        <v>1.4385855309528411E-2</v>
      </c>
      <c r="I12">
        <f>'Rescale to Fit GDP Proj'!J113*IFERROR((1+INDEX('IRA - Advanced Manufacturing'!H$174:H$184,MATCH(BPCiObIC!$A12,'IRA - Advanced Manufacturing'!$B$174:$B$184,0))),1)</f>
        <v>3.4696087362866931E-2</v>
      </c>
      <c r="J12">
        <f>'Rescale to Fit GDP Proj'!K113*IFERROR((1+INDEX('IRA - Advanced Manufacturing'!I$174:I$184,MATCH(BPCiObIC!$A12,'IRA - Advanced Manufacturing'!$B$174:$B$184,0))),1)</f>
        <v>5.0805198875402573E-2</v>
      </c>
      <c r="K12">
        <f>'Rescale to Fit GDP Proj'!L113*IFERROR((1+INDEX('IRA - Advanced Manufacturing'!J$174:J$184,MATCH(BPCiObIC!$A12,'IRA - Advanced Manufacturing'!$B$174:$B$184,0))),1)</f>
        <v>6.4077384835439344E-2</v>
      </c>
      <c r="L12">
        <f>'Rescale to Fit GDP Proj'!M113*IFERROR((1+INDEX('IRA - Advanced Manufacturing'!K$174:K$184,MATCH(BPCiObIC!$A12,'IRA - Advanced Manufacturing'!$B$174:$B$184,0))),1)</f>
        <v>7.8947388078988698E-2</v>
      </c>
      <c r="M12">
        <f>'Rescale to Fit GDP Proj'!N113*IFERROR((1+INDEX('IRA - Advanced Manufacturing'!L$174:L$184,MATCH(BPCiObIC!$A12,'IRA - Advanced Manufacturing'!$B$174:$B$184,0))),1)</f>
        <v>9.7946652216146027E-2</v>
      </c>
      <c r="N12">
        <f>'Rescale to Fit GDP Proj'!O113*IFERROR((1+INDEX('IRA - Advanced Manufacturing'!M$174:M$184,MATCH(BPCiObIC!$A12,'IRA - Advanced Manufacturing'!$B$174:$B$184,0))),1)</f>
        <v>0.11719070404218401</v>
      </c>
      <c r="O12">
        <f>'Rescale to Fit GDP Proj'!P113*IFERROR((1+INDEX('IRA - Advanced Manufacturing'!N$174:N$184,MATCH(BPCiObIC!$A12,'IRA - Advanced Manufacturing'!$B$174:$B$184,0))),1)</f>
        <v>0.13943422001794437</v>
      </c>
      <c r="P12">
        <f>'Rescale to Fit GDP Proj'!Q113*IFERROR((1+INDEX('IRA - Advanced Manufacturing'!O$174:O$184,MATCH(BPCiObIC!$A12,'IRA - Advanced Manufacturing'!$B$174:$B$184,0))),1)</f>
        <v>0.16235335890969127</v>
      </c>
      <c r="Q12">
        <f>'Rescale to Fit GDP Proj'!R113*IFERROR((1+INDEX('IRA - Advanced Manufacturing'!P$174:P$184,MATCH(BPCiObIC!$A12,'IRA - Advanced Manufacturing'!$B$174:$B$184,0))),1)</f>
        <v>0.18373367682435116</v>
      </c>
      <c r="R12">
        <f>'Rescale to Fit GDP Proj'!S113*IFERROR((1+INDEX('IRA - Advanced Manufacturing'!Q$174:Q$184,MATCH(BPCiObIC!$A12,'IRA - Advanced Manufacturing'!$B$174:$B$184,0))),1)</f>
        <v>0.20643760683733903</v>
      </c>
      <c r="S12">
        <f>'Rescale to Fit GDP Proj'!T113*IFERROR((1+INDEX('IRA - Advanced Manufacturing'!R$174:R$184,MATCH(BPCiObIC!$A12,'IRA - Advanced Manufacturing'!$B$174:$B$184,0))),1)</f>
        <v>0.22871000052870327</v>
      </c>
      <c r="T12">
        <f>'Rescale to Fit GDP Proj'!U113*IFERROR((1+INDEX('IRA - Advanced Manufacturing'!S$174:S$184,MATCH(BPCiObIC!$A12,'IRA - Advanced Manufacturing'!$B$174:$B$184,0))),1)</f>
        <v>0.25332317467756438</v>
      </c>
      <c r="U12">
        <f>'Rescale to Fit GDP Proj'!V113*IFERROR((1+INDEX('IRA - Advanced Manufacturing'!T$174:T$184,MATCH(BPCiObIC!$A12,'IRA - Advanced Manufacturing'!$B$174:$B$184,0))),1)</f>
        <v>0.28111680283046803</v>
      </c>
      <c r="V12">
        <f>'Rescale to Fit GDP Proj'!W113*IFERROR((1+INDEX('IRA - Advanced Manufacturing'!U$174:U$184,MATCH(BPCiObIC!$A12,'IRA - Advanced Manufacturing'!$B$174:$B$184,0))),1)</f>
        <v>0.31024474948379854</v>
      </c>
      <c r="W12">
        <f>'Rescale to Fit GDP Proj'!X113*IFERROR((1+INDEX('IRA - Advanced Manufacturing'!V$174:V$184,MATCH(BPCiObIC!$A12,'IRA - Advanced Manufacturing'!$B$174:$B$184,0))),1)</f>
        <v>0.34085513108281984</v>
      </c>
      <c r="X12">
        <f>'Rescale to Fit GDP Proj'!Y113*IFERROR((1+INDEX('IRA - Advanced Manufacturing'!W$174:W$184,MATCH(BPCiObIC!$A12,'IRA - Advanced Manufacturing'!$B$174:$B$184,0))),1)</f>
        <v>0.37216851951542451</v>
      </c>
      <c r="Y12">
        <f>'Rescale to Fit GDP Proj'!Z113*IFERROR((1+INDEX('IRA - Advanced Manufacturing'!X$174:X$184,MATCH(BPCiObIC!$A12,'IRA - Advanced Manufacturing'!$B$174:$B$184,0))),1)</f>
        <v>0.40166178492288362</v>
      </c>
      <c r="Z12">
        <f>'Rescale to Fit GDP Proj'!AA113*IFERROR((1+INDEX('IRA - Advanced Manufacturing'!Y$174:Y$184,MATCH(BPCiObIC!$A12,'IRA - Advanced Manufacturing'!$B$174:$B$184,0))),1)</f>
        <v>0.42866291295654624</v>
      </c>
      <c r="AA12">
        <f>'Rescale to Fit GDP Proj'!AB113*IFERROR((1+INDEX('IRA - Advanced Manufacturing'!Z$174:Z$184,MATCH(BPCiObIC!$A12,'IRA - Advanced Manufacturing'!$B$174:$B$184,0))),1)</f>
        <v>0.45812742606625489</v>
      </c>
      <c r="AB12">
        <f>'Rescale to Fit GDP Proj'!AC113*IFERROR((1+INDEX('IRA - Advanced Manufacturing'!AA$174:AA$184,MATCH(BPCiObIC!$A12,'IRA - Advanced Manufacturing'!$B$174:$B$184,0))),1)</f>
        <v>0.49066012074931153</v>
      </c>
      <c r="AC12">
        <f>'Rescale to Fit GDP Proj'!AD113*IFERROR((1+INDEX('IRA - Advanced Manufacturing'!AB$174:AB$184,MATCH(BPCiObIC!$A12,'IRA - Advanced Manufacturing'!$B$174:$B$184,0))),1)</f>
        <v>0.51907846440570871</v>
      </c>
      <c r="AD12">
        <f>'Rescale to Fit GDP Proj'!AE113*IFERROR((1+INDEX('IRA - Advanced Manufacturing'!AC$174:AC$184,MATCH(BPCiObIC!$A12,'IRA - Advanced Manufacturing'!$B$174:$B$184,0))),1)</f>
        <v>0.54726579143556187</v>
      </c>
      <c r="AE12">
        <f>'Rescale to Fit GDP Proj'!AF113*IFERROR((1+INDEX('IRA - Advanced Manufacturing'!AD$174:AD$184,MATCH(BPCiObIC!$A12,'IRA - Advanced Manufacturing'!$B$174:$B$184,0))),1)</f>
        <v>0.58264710385669649</v>
      </c>
    </row>
    <row r="13" spans="1:31" x14ac:dyDescent="0.3">
      <c r="A13" s="2" t="s">
        <v>36</v>
      </c>
      <c r="B13">
        <f>'Rescale to Fit GDP Proj'!C69</f>
        <v>0</v>
      </c>
      <c r="C13">
        <f>'Rescale to Fit GDP Proj'!D114</f>
        <v>1.7172E-2</v>
      </c>
      <c r="D13">
        <f>'Rescale to Fit GDP Proj'!E114*IFERROR((1+INDEX('IRA - Advanced Manufacturing'!C$174:C$184,MATCH(BPCiObIC!$A13,'IRA - Advanced Manufacturing'!$B$174:$B$184,0))),1)</f>
        <v>3.4638877583999861E-2</v>
      </c>
      <c r="E13">
        <f>'Rescale to Fit GDP Proj'!F114*IFERROR((1+INDEX('IRA - Advanced Manufacturing'!D$174:D$184,MATCH(BPCiObIC!$A13,'IRA - Advanced Manufacturing'!$B$174:$B$184,0))),1)</f>
        <v>5.2405696389872247E-2</v>
      </c>
      <c r="F13">
        <f>'Rescale to Fit GDP Proj'!G114*IFERROR((1+INDEX('IRA - Advanced Manufacturing'!E$174:E$184,MATCH(BPCiObIC!$A13,'IRA - Advanced Manufacturing'!$B$174:$B$184,0))),1)</f>
        <v>7.0477607008279097E-2</v>
      </c>
      <c r="G13">
        <f>'Rescale to Fit GDP Proj'!H114*IFERROR((1+INDEX('IRA - Advanced Manufacturing'!F$174:F$184,MATCH(BPCiObIC!$A13,'IRA - Advanced Manufacturing'!$B$174:$B$184,0))),1)</f>
        <v>8.8859848475825176E-2</v>
      </c>
      <c r="H13">
        <f>'Rescale to Fit GDP Proj'!I114*IFERROR((1+INDEX('IRA - Advanced Manufacturing'!G$174:G$184,MATCH(BPCiObIC!$A13,'IRA - Advanced Manufacturing'!$B$174:$B$184,0))),1)</f>
        <v>0.10755774979385202</v>
      </c>
      <c r="I13">
        <f>'Rescale to Fit GDP Proj'!J114*IFERROR((1+INDEX('IRA - Advanced Manufacturing'!H$174:H$184,MATCH(BPCiObIC!$A13,'IRA - Advanced Manufacturing'!$B$174:$B$184,0))),1)</f>
        <v>0.12657673147331194</v>
      </c>
      <c r="J13">
        <f>'Rescale to Fit GDP Proj'!K114*IFERROR((1+INDEX('IRA - Advanced Manufacturing'!I$174:I$184,MATCH(BPCiObIC!$A13,'IRA - Advanced Manufacturing'!$B$174:$B$184,0))),1)</f>
        <v>0.14592230710617171</v>
      </c>
      <c r="K13">
        <f>'Rescale to Fit GDP Proj'!L114*IFERROR((1+INDEX('IRA - Advanced Manufacturing'!J$174:J$184,MATCH(BPCiObIC!$A13,'IRA - Advanced Manufacturing'!$B$174:$B$184,0))),1)</f>
        <v>0.16560008496379885</v>
      </c>
      <c r="L13">
        <f>'Rescale to Fit GDP Proj'!M114*IFERROR((1+INDEX('IRA - Advanced Manufacturing'!K$174:K$184,MATCH(BPCiObIC!$A13,'IRA - Advanced Manufacturing'!$B$174:$B$184,0))),1)</f>
        <v>0.18561576962279713</v>
      </c>
      <c r="M13">
        <f>'Rescale to Fit GDP Proj'!N114*IFERROR((1+INDEX('IRA - Advanced Manufacturing'!L$174:L$184,MATCH(BPCiObIC!$A13,'IRA - Advanced Manufacturing'!$B$174:$B$184,0))),1)</f>
        <v>0.20597516361875967</v>
      </c>
      <c r="N13">
        <f>'Rescale to Fit GDP Proj'!O114*IFERROR((1+INDEX('IRA - Advanced Manufacturing'!M$174:M$184,MATCH(BPCiObIC!$A13,'IRA - Advanced Manufacturing'!$B$174:$B$184,0))),1)</f>
        <v>0.22668416912842093</v>
      </c>
      <c r="O13">
        <f>'Rescale to Fit GDP Proj'!P114*IFERROR((1+INDEX('IRA - Advanced Manufacturing'!N$174:N$184,MATCH(BPCiObIC!$A13,'IRA - Advanced Manufacturing'!$B$174:$B$184,0))),1)</f>
        <v>0.24774878968069403</v>
      </c>
      <c r="P13">
        <f>'Rescale to Fit GDP Proj'!Q114*IFERROR((1+INDEX('IRA - Advanced Manufacturing'!O$174:O$184,MATCH(BPCiObIC!$A13,'IRA - Advanced Manufacturing'!$B$174:$B$184,0))),1)</f>
        <v>0.26917513189709097</v>
      </c>
      <c r="Q13">
        <f>'Rescale to Fit GDP Proj'!R114*IFERROR((1+INDEX('IRA - Advanced Manufacturing'!P$174:P$184,MATCH(BPCiObIC!$A13,'IRA - Advanced Manufacturing'!$B$174:$B$184,0))),1)</f>
        <v>0.29096940726202769</v>
      </c>
      <c r="R13">
        <f>'Rescale to Fit GDP Proj'!S114*IFERROR((1+INDEX('IRA - Advanced Manufacturing'!Q$174:Q$184,MATCH(BPCiObIC!$A13,'IRA - Advanced Manufacturing'!$B$174:$B$184,0))),1)</f>
        <v>0.31313793392353118</v>
      </c>
      <c r="S13">
        <f>'Rescale to Fit GDP Proj'!T114*IFERROR((1+INDEX('IRA - Advanced Manufacturing'!R$174:R$184,MATCH(BPCiObIC!$A13,'IRA - Advanced Manufacturing'!$B$174:$B$184,0))),1)</f>
        <v>0.33568713852486609</v>
      </c>
      <c r="T13">
        <f>'Rescale to Fit GDP Proj'!U114*IFERROR((1+INDEX('IRA - Advanced Manufacturing'!S$174:S$184,MATCH(BPCiObIC!$A13,'IRA - Advanced Manufacturing'!$B$174:$B$184,0))),1)</f>
        <v>0.35862355806761514</v>
      </c>
      <c r="U13">
        <f>'Rescale to Fit GDP Proj'!V114*IFERROR((1+INDEX('IRA - Advanced Manufacturing'!T$174:T$184,MATCH(BPCiObIC!$A13,'IRA - Advanced Manufacturing'!$B$174:$B$184,0))),1)</f>
        <v>0.38195384180675229</v>
      </c>
      <c r="V13">
        <f>'Rescale to Fit GDP Proj'!W114*IFERROR((1+INDEX('IRA - Advanced Manufacturing'!U$174:U$184,MATCH(BPCiObIC!$A13,'IRA - Advanced Manufacturing'!$B$174:$B$184,0))),1)</f>
        <v>0.4056847531782577</v>
      </c>
      <c r="W13">
        <f>'Rescale to Fit GDP Proj'!X114*IFERROR((1+INDEX('IRA - Advanced Manufacturing'!V$174:V$184,MATCH(BPCiObIC!$A13,'IRA - Advanced Manufacturing'!$B$174:$B$184,0))),1)</f>
        <v>0.42982317175983464</v>
      </c>
      <c r="X13">
        <f>'Rescale to Fit GDP Proj'!Y114*IFERROR((1+INDEX('IRA - Advanced Manufacturing'!W$174:W$184,MATCH(BPCiObIC!$A13,'IRA - Advanced Manufacturing'!$B$174:$B$184,0))),1)</f>
        <v>0.45437609526529443</v>
      </c>
      <c r="Y13">
        <f>'Rescale to Fit GDP Proj'!Z114*IFERROR((1+INDEX('IRA - Advanced Manufacturing'!X$174:X$184,MATCH(BPCiObIC!$A13,'IRA - Advanced Manufacturing'!$B$174:$B$184,0))),1)</f>
        <v>0.47935064157319007</v>
      </c>
      <c r="Z13">
        <f>'Rescale to Fit GDP Proj'!AA114*IFERROR((1+INDEX('IRA - Advanced Manufacturing'!Y$174:Y$184,MATCH(BPCiObIC!$A13,'IRA - Advanced Manufacturing'!$B$174:$B$184,0))),1)</f>
        <v>0.50475405079028479</v>
      </c>
      <c r="AA13">
        <f>'Rescale to Fit GDP Proj'!AB114*IFERROR((1+INDEX('IRA - Advanced Manufacturing'!Z$174:Z$184,MATCH(BPCiObIC!$A13,'IRA - Advanced Manufacturing'!$B$174:$B$184,0))),1)</f>
        <v>0.53059368735045553</v>
      </c>
      <c r="AB13">
        <f>'Rescale to Fit GDP Proj'!AC114*IFERROR((1+INDEX('IRA - Advanced Manufacturing'!AA$174:AA$184,MATCH(BPCiObIC!$A13,'IRA - Advanced Manufacturing'!$B$174:$B$184,0))),1)</f>
        <v>0.5568770421496374</v>
      </c>
      <c r="AC13">
        <f>'Rescale to Fit GDP Proj'!AD114*IFERROR((1+INDEX('IRA - Advanced Manufacturing'!AB$174:AB$184,MATCH(BPCiObIC!$A13,'IRA - Advanced Manufacturing'!$B$174:$B$184,0))),1)</f>
        <v>0.583611734717431</v>
      </c>
      <c r="AD13">
        <f>'Rescale to Fit GDP Proj'!AE114*IFERROR((1+INDEX('IRA - Advanced Manufacturing'!AC$174:AC$184,MATCH(BPCiObIC!$A13,'IRA - Advanced Manufacturing'!$B$174:$B$184,0))),1)</f>
        <v>0.61080551542599859</v>
      </c>
      <c r="AE13">
        <f>'Rescale to Fit GDP Proj'!AF114*IFERROR((1+INDEX('IRA - Advanced Manufacturing'!AD$174:AD$184,MATCH(BPCiObIC!$A13,'IRA - Advanced Manufacturing'!$B$174:$B$184,0))),1)</f>
        <v>0.63846626773689374</v>
      </c>
    </row>
    <row r="14" spans="1:31" x14ac:dyDescent="0.3">
      <c r="A14" s="2" t="s">
        <v>10</v>
      </c>
      <c r="B14">
        <f>'Rescale to Fit GDP Proj'!C70</f>
        <v>0</v>
      </c>
      <c r="C14">
        <f>'Rescale to Fit GDP Proj'!D115</f>
        <v>3.712792644662908E-2</v>
      </c>
      <c r="D14">
        <f>'Rescale to Fit GDP Proj'!E115*IFERROR((1+INDEX('IRA - Advanced Manufacturing'!C$174:C$184,MATCH(BPCiObIC!$A14,'IRA - Advanced Manufacturing'!$B$174:$B$184,0))),1)</f>
        <v>1.6081431724668312E-2</v>
      </c>
      <c r="E14">
        <f>'Rescale to Fit GDP Proj'!F115*IFERROR((1+INDEX('IRA - Advanced Manufacturing'!D$174:D$184,MATCH(BPCiObIC!$A14,'IRA - Advanced Manufacturing'!$B$174:$B$184,0))),1)</f>
        <v>8.7220206634327155E-3</v>
      </c>
      <c r="F14">
        <f>'Rescale to Fit GDP Proj'!G115*IFERROR((1+INDEX('IRA - Advanced Manufacturing'!E$174:E$184,MATCH(BPCiObIC!$A14,'IRA - Advanced Manufacturing'!$B$174:$B$184,0))),1)</f>
        <v>2.3403968796321228E-2</v>
      </c>
      <c r="G14">
        <f>'Rescale to Fit GDP Proj'!H115*IFERROR((1+INDEX('IRA - Advanced Manufacturing'!F$174:F$184,MATCH(BPCiObIC!$A14,'IRA - Advanced Manufacturing'!$B$174:$B$184,0))),1)</f>
        <v>5.0275796878876969E-2</v>
      </c>
      <c r="H14">
        <f>'Rescale to Fit GDP Proj'!I115*IFERROR((1+INDEX('IRA - Advanced Manufacturing'!G$174:G$184,MATCH(BPCiObIC!$A14,'IRA - Advanced Manufacturing'!$B$174:$B$184,0))),1)</f>
        <v>7.3980098293894028E-2</v>
      </c>
      <c r="I14">
        <f>'Rescale to Fit GDP Proj'!J115*IFERROR((1+INDEX('IRA - Advanced Manufacturing'!H$174:H$184,MATCH(BPCiObIC!$A14,'IRA - Advanced Manufacturing'!$B$174:$B$184,0))),1)</f>
        <v>9.4050752057734555E-2</v>
      </c>
      <c r="J14">
        <f>'Rescale to Fit GDP Proj'!K115*IFERROR((1+INDEX('IRA - Advanced Manufacturing'!I$174:I$184,MATCH(BPCiObIC!$A14,'IRA - Advanced Manufacturing'!$B$174:$B$184,0))),1)</f>
        <v>0.11284785447519109</v>
      </c>
      <c r="K14">
        <f>'Rescale to Fit GDP Proj'!L115*IFERROR((1+INDEX('IRA - Advanced Manufacturing'!J$174:J$184,MATCH(BPCiObIC!$A14,'IRA - Advanced Manufacturing'!$B$174:$B$184,0))),1)</f>
        <v>0.12872205726659475</v>
      </c>
      <c r="L14">
        <f>'Rescale to Fit GDP Proj'!M115*IFERROR((1+INDEX('IRA - Advanced Manufacturing'!K$174:K$184,MATCH(BPCiObIC!$A14,'IRA - Advanced Manufacturing'!$B$174:$B$184,0))),1)</f>
        <v>0.14741062294394652</v>
      </c>
      <c r="M14">
        <f>'Rescale to Fit GDP Proj'!N115*IFERROR((1+INDEX('IRA - Advanced Manufacturing'!L$174:L$184,MATCH(BPCiObIC!$A14,'IRA - Advanced Manufacturing'!$B$174:$B$184,0))),1)</f>
        <v>0.17132462647347593</v>
      </c>
      <c r="N14">
        <f>'Rescale to Fit GDP Proj'!O115*IFERROR((1+INDEX('IRA - Advanced Manufacturing'!M$174:M$184,MATCH(BPCiObIC!$A14,'IRA - Advanced Manufacturing'!$B$174:$B$184,0))),1)</f>
        <v>0.19321777069568546</v>
      </c>
      <c r="O14">
        <f>'Rescale to Fit GDP Proj'!P115*IFERROR((1+INDEX('IRA - Advanced Manufacturing'!N$174:N$184,MATCH(BPCiObIC!$A14,'IRA - Advanced Manufacturing'!$B$174:$B$184,0))),1)</f>
        <v>0.21372856418611486</v>
      </c>
      <c r="P14">
        <f>'Rescale to Fit GDP Proj'!Q115*IFERROR((1+INDEX('IRA - Advanced Manufacturing'!O$174:O$184,MATCH(BPCiObIC!$A14,'IRA - Advanced Manufacturing'!$B$174:$B$184,0))),1)</f>
        <v>0.23796243324841226</v>
      </c>
      <c r="Q14">
        <f>'Rescale to Fit GDP Proj'!R115*IFERROR((1+INDEX('IRA - Advanced Manufacturing'!P$174:P$184,MATCH(BPCiObIC!$A14,'IRA - Advanced Manufacturing'!$B$174:$B$184,0))),1)</f>
        <v>0.25904228735257906</v>
      </c>
      <c r="R14">
        <f>'Rescale to Fit GDP Proj'!S115*IFERROR((1+INDEX('IRA - Advanced Manufacturing'!Q$174:Q$184,MATCH(BPCiObIC!$A14,'IRA - Advanced Manufacturing'!$B$174:$B$184,0))),1)</f>
        <v>0.28019425231709794</v>
      </c>
      <c r="S14">
        <f>'Rescale to Fit GDP Proj'!T115*IFERROR((1+INDEX('IRA - Advanced Manufacturing'!R$174:R$184,MATCH(BPCiObIC!$A14,'IRA - Advanced Manufacturing'!$B$174:$B$184,0))),1)</f>
        <v>0.30172927669030392</v>
      </c>
      <c r="T14">
        <f>'Rescale to Fit GDP Proj'!U115*IFERROR((1+INDEX('IRA - Advanced Manufacturing'!S$174:S$184,MATCH(BPCiObIC!$A14,'IRA - Advanced Manufacturing'!$B$174:$B$184,0))),1)</f>
        <v>0.32107049313671832</v>
      </c>
      <c r="U14">
        <f>'Rescale to Fit GDP Proj'!V115*IFERROR((1+INDEX('IRA - Advanced Manufacturing'!T$174:T$184,MATCH(BPCiObIC!$A14,'IRA - Advanced Manufacturing'!$B$174:$B$184,0))),1)</f>
        <v>0.34204106058388217</v>
      </c>
      <c r="V14">
        <f>'Rescale to Fit GDP Proj'!W115*IFERROR((1+INDEX('IRA - Advanced Manufacturing'!U$174:U$184,MATCH(BPCiObIC!$A14,'IRA - Advanced Manufacturing'!$B$174:$B$184,0))),1)</f>
        <v>0.36633112722853567</v>
      </c>
      <c r="W14">
        <f>'Rescale to Fit GDP Proj'!X115*IFERROR((1+INDEX('IRA - Advanced Manufacturing'!V$174:V$184,MATCH(BPCiObIC!$A14,'IRA - Advanced Manufacturing'!$B$174:$B$184,0))),1)</f>
        <v>0.38948344338516661</v>
      </c>
      <c r="X14">
        <f>'Rescale to Fit GDP Proj'!Y115*IFERROR((1+INDEX('IRA - Advanced Manufacturing'!W$174:W$184,MATCH(BPCiObIC!$A14,'IRA - Advanced Manufacturing'!$B$174:$B$184,0))),1)</f>
        <v>0.41483727966399297</v>
      </c>
      <c r="Y14">
        <f>'Rescale to Fit GDP Proj'!Z115*IFERROR((1+INDEX('IRA - Advanced Manufacturing'!X$174:X$184,MATCH(BPCiObIC!$A14,'IRA - Advanced Manufacturing'!$B$174:$B$184,0))),1)</f>
        <v>0.43689872553995013</v>
      </c>
      <c r="Z14">
        <f>'Rescale to Fit GDP Proj'!AA115*IFERROR((1+INDEX('IRA - Advanced Manufacturing'!Y$174:Y$184,MATCH(BPCiObIC!$A14,'IRA - Advanced Manufacturing'!$B$174:$B$184,0))),1)</f>
        <v>0.45714804993961411</v>
      </c>
      <c r="AA14">
        <f>'Rescale to Fit GDP Proj'!AB115*IFERROR((1+INDEX('IRA - Advanced Manufacturing'!Z$174:Z$184,MATCH(BPCiObIC!$A14,'IRA - Advanced Manufacturing'!$B$174:$B$184,0))),1)</f>
        <v>0.47990710931561109</v>
      </c>
      <c r="AB14">
        <f>'Rescale to Fit GDP Proj'!AC115*IFERROR((1+INDEX('IRA - Advanced Manufacturing'!AA$174:AA$184,MATCH(BPCiObIC!$A14,'IRA - Advanced Manufacturing'!$B$174:$B$184,0))),1)</f>
        <v>0.50405506460259142</v>
      </c>
      <c r="AC14">
        <f>'Rescale to Fit GDP Proj'!AD115*IFERROR((1+INDEX('IRA - Advanced Manufacturing'!AB$174:AB$184,MATCH(BPCiObIC!$A14,'IRA - Advanced Manufacturing'!$B$174:$B$184,0))),1)</f>
        <v>0.52525601606343097</v>
      </c>
      <c r="AD14">
        <f>'Rescale to Fit GDP Proj'!AE115*IFERROR((1+INDEX('IRA - Advanced Manufacturing'!AC$174:AC$184,MATCH(BPCiObIC!$A14,'IRA - Advanced Manufacturing'!$B$174:$B$184,0))),1)</f>
        <v>0.54731522120643938</v>
      </c>
      <c r="AE14">
        <f>'Rescale to Fit GDP Proj'!AF115*IFERROR((1+INDEX('IRA - Advanced Manufacturing'!AD$174:AD$184,MATCH(BPCiObIC!$A14,'IRA - Advanced Manufacturing'!$B$174:$B$184,0))),1)</f>
        <v>0.57945899165167614</v>
      </c>
    </row>
    <row r="15" spans="1:31" x14ac:dyDescent="0.3">
      <c r="A15" s="2" t="s">
        <v>41</v>
      </c>
      <c r="B15">
        <f>'Rescale to Fit GDP Proj'!C71</f>
        <v>0</v>
      </c>
      <c r="C15">
        <f>'Rescale to Fit GDP Proj'!D116</f>
        <v>1.5773177581946376E-2</v>
      </c>
      <c r="D15">
        <f>'Rescale to Fit GDP Proj'!E116*IFERROR((1+INDEX('IRA - Advanced Manufacturing'!C$174:C$184,MATCH(BPCiObIC!$A15,'IRA - Advanced Manufacturing'!$B$174:$B$184,0))),1)</f>
        <v>-4.4167971011980722E-2</v>
      </c>
      <c r="E15">
        <f>'Rescale to Fit GDP Proj'!F116*IFERROR((1+INDEX('IRA - Advanced Manufacturing'!D$174:D$184,MATCH(BPCiObIC!$A15,'IRA - Advanced Manufacturing'!$B$174:$B$184,0))),1)</f>
        <v>-6.064258716242029E-2</v>
      </c>
      <c r="F15">
        <f>'Rescale to Fit GDP Proj'!G116*IFERROR((1+INDEX('IRA - Advanced Manufacturing'!E$174:E$184,MATCH(BPCiObIC!$A15,'IRA - Advanced Manufacturing'!$B$174:$B$184,0))),1)</f>
        <v>-6.0375279207044628E-2</v>
      </c>
      <c r="G15">
        <f>'Rescale to Fit GDP Proj'!H116*IFERROR((1+INDEX('IRA - Advanced Manufacturing'!F$174:F$184,MATCH(BPCiObIC!$A15,'IRA - Advanced Manufacturing'!$B$174:$B$184,0))),1)</f>
        <v>-3.3661244971816662E-2</v>
      </c>
      <c r="H15">
        <f>'Rescale to Fit GDP Proj'!I116*IFERROR((1+INDEX('IRA - Advanced Manufacturing'!G$174:G$184,MATCH(BPCiObIC!$A15,'IRA - Advanced Manufacturing'!$B$174:$B$184,0))),1)</f>
        <v>-1.8671435334036816E-2</v>
      </c>
      <c r="I15">
        <f>'Rescale to Fit GDP Proj'!J116*IFERROR((1+INDEX('IRA - Advanced Manufacturing'!H$174:H$184,MATCH(BPCiObIC!$A15,'IRA - Advanced Manufacturing'!$B$174:$B$184,0))),1)</f>
        <v>-7.0205936451641091E-3</v>
      </c>
      <c r="J15">
        <f>'Rescale to Fit GDP Proj'!K116*IFERROR((1+INDEX('IRA - Advanced Manufacturing'!I$174:I$184,MATCH(BPCiObIC!$A15,'IRA - Advanced Manufacturing'!$B$174:$B$184,0))),1)</f>
        <v>2.0539572208819958E-3</v>
      </c>
      <c r="K15">
        <f>'Rescale to Fit GDP Proj'!L116*IFERROR((1+INDEX('IRA - Advanced Manufacturing'!J$174:J$184,MATCH(BPCiObIC!$A15,'IRA - Advanced Manufacturing'!$B$174:$B$184,0))),1)</f>
        <v>7.2850863908337097E-3</v>
      </c>
      <c r="L15">
        <f>'Rescale to Fit GDP Proj'!M116*IFERROR((1+INDEX('IRA - Advanced Manufacturing'!K$174:K$184,MATCH(BPCiObIC!$A15,'IRA - Advanced Manufacturing'!$B$174:$B$184,0))),1)</f>
        <v>1.4507618300715352E-2</v>
      </c>
      <c r="M15">
        <f>'Rescale to Fit GDP Proj'!N116*IFERROR((1+INDEX('IRA - Advanced Manufacturing'!L$174:L$184,MATCH(BPCiObIC!$A15,'IRA - Advanced Manufacturing'!$B$174:$B$184,0))),1)</f>
        <v>2.3235364810921984E-2</v>
      </c>
      <c r="N15">
        <f>'Rescale to Fit GDP Proj'!O116*IFERROR((1+INDEX('IRA - Advanced Manufacturing'!M$174:M$184,MATCH(BPCiObIC!$A15,'IRA - Advanced Manufacturing'!$B$174:$B$184,0))),1)</f>
        <v>3.4515830496778532E-2</v>
      </c>
      <c r="O15">
        <f>'Rescale to Fit GDP Proj'!P116*IFERROR((1+INDEX('IRA - Advanced Manufacturing'!N$174:N$184,MATCH(BPCiObIC!$A15,'IRA - Advanced Manufacturing'!$B$174:$B$184,0))),1)</f>
        <v>4.6898098144783962E-2</v>
      </c>
      <c r="P15">
        <f>'Rescale to Fit GDP Proj'!Q116*IFERROR((1+INDEX('IRA - Advanced Manufacturing'!O$174:O$184,MATCH(BPCiObIC!$A15,'IRA - Advanced Manufacturing'!$B$174:$B$184,0))),1)</f>
        <v>6.1502305041429839E-2</v>
      </c>
      <c r="Q15">
        <f>'Rescale to Fit GDP Proj'!R116*IFERROR((1+INDEX('IRA - Advanced Manufacturing'!P$174:P$184,MATCH(BPCiObIC!$A15,'IRA - Advanced Manufacturing'!$B$174:$B$184,0))),1)</f>
        <v>6.8805580443593195E-2</v>
      </c>
      <c r="R15">
        <f>'Rescale to Fit GDP Proj'!S116*IFERROR((1+INDEX('IRA - Advanced Manufacturing'!Q$174:Q$184,MATCH(BPCiObIC!$A15,'IRA - Advanced Manufacturing'!$B$174:$B$184,0))),1)</f>
        <v>7.8892395374779545E-2</v>
      </c>
      <c r="S15">
        <f>'Rescale to Fit GDP Proj'!T116*IFERROR((1+INDEX('IRA - Advanced Manufacturing'!R$174:R$184,MATCH(BPCiObIC!$A15,'IRA - Advanced Manufacturing'!$B$174:$B$184,0))),1)</f>
        <v>8.8853832553280609E-2</v>
      </c>
      <c r="T15">
        <f>'Rescale to Fit GDP Proj'!U116*IFERROR((1+INDEX('IRA - Advanced Manufacturing'!S$174:S$184,MATCH(BPCiObIC!$A15,'IRA - Advanced Manufacturing'!$B$174:$B$184,0))),1)</f>
        <v>0.10666804232739269</v>
      </c>
      <c r="U15">
        <f>'Rescale to Fit GDP Proj'!V116*IFERROR((1+INDEX('IRA - Advanced Manufacturing'!T$174:T$184,MATCH(BPCiObIC!$A15,'IRA - Advanced Manufacturing'!$B$174:$B$184,0))),1)</f>
        <v>0.12432469888883402</v>
      </c>
      <c r="V15">
        <f>'Rescale to Fit GDP Proj'!W116*IFERROR((1+INDEX('IRA - Advanced Manufacturing'!U$174:U$184,MATCH(BPCiObIC!$A15,'IRA - Advanced Manufacturing'!$B$174:$B$184,0))),1)</f>
        <v>0.13683259998854425</v>
      </c>
      <c r="W15">
        <f>'Rescale to Fit GDP Proj'!X116*IFERROR((1+INDEX('IRA - Advanced Manufacturing'!V$174:V$184,MATCH(BPCiObIC!$A15,'IRA - Advanced Manufacturing'!$B$174:$B$184,0))),1)</f>
        <v>0.15258932760021993</v>
      </c>
      <c r="X15">
        <f>'Rescale to Fit GDP Proj'!Y116*IFERROR((1+INDEX('IRA - Advanced Manufacturing'!W$174:W$184,MATCH(BPCiObIC!$A15,'IRA - Advanced Manufacturing'!$B$174:$B$184,0))),1)</f>
        <v>0.15841883908553811</v>
      </c>
      <c r="Y15">
        <f>'Rescale to Fit GDP Proj'!Z116*IFERROR((1+INDEX('IRA - Advanced Manufacturing'!X$174:X$184,MATCH(BPCiObIC!$A15,'IRA - Advanced Manufacturing'!$B$174:$B$184,0))),1)</f>
        <v>0.16805664653803931</v>
      </c>
      <c r="Z15">
        <f>'Rescale to Fit GDP Proj'!AA116*IFERROR((1+INDEX('IRA - Advanced Manufacturing'!Y$174:Y$184,MATCH(BPCiObIC!$A15,'IRA - Advanced Manufacturing'!$B$174:$B$184,0))),1)</f>
        <v>0.17988745663344585</v>
      </c>
      <c r="AA15">
        <f>'Rescale to Fit GDP Proj'!AB116*IFERROR((1+INDEX('IRA - Advanced Manufacturing'!Z$174:Z$184,MATCH(BPCiObIC!$A15,'IRA - Advanced Manufacturing'!$B$174:$B$184,0))),1)</f>
        <v>0.1973642715509949</v>
      </c>
      <c r="AB15">
        <f>'Rescale to Fit GDP Proj'!AC116*IFERROR((1+INDEX('IRA - Advanced Manufacturing'!AA$174:AA$184,MATCH(BPCiObIC!$A15,'IRA - Advanced Manufacturing'!$B$174:$B$184,0))),1)</f>
        <v>0.20777160520344062</v>
      </c>
      <c r="AC15">
        <f>'Rescale to Fit GDP Proj'!AD116*IFERROR((1+INDEX('IRA - Advanced Manufacturing'!AB$174:AB$184,MATCH(BPCiObIC!$A15,'IRA - Advanced Manufacturing'!$B$174:$B$184,0))),1)</f>
        <v>0.21117419205928356</v>
      </c>
      <c r="AD15">
        <f>'Rescale to Fit GDP Proj'!AE116*IFERROR((1+INDEX('IRA - Advanced Manufacturing'!AC$174:AC$184,MATCH(BPCiObIC!$A15,'IRA - Advanced Manufacturing'!$B$174:$B$184,0))),1)</f>
        <v>0.21948108611397465</v>
      </c>
      <c r="AE15">
        <f>'Rescale to Fit GDP Proj'!AF116*IFERROR((1+INDEX('IRA - Advanced Manufacturing'!AD$174:AD$184,MATCH(BPCiObIC!$A15,'IRA - Advanced Manufacturing'!$B$174:$B$184,0))),1)</f>
        <v>0.23154735239006952</v>
      </c>
    </row>
    <row r="16" spans="1:31" x14ac:dyDescent="0.3">
      <c r="A16" s="2" t="s">
        <v>42</v>
      </c>
      <c r="B16">
        <f>'Rescale to Fit GDP Proj'!C72</f>
        <v>0</v>
      </c>
      <c r="C16">
        <f>'Rescale to Fit GDP Proj'!D117</f>
        <v>0.15097806738042441</v>
      </c>
      <c r="D16">
        <f>'Rescale to Fit GDP Proj'!E117*IFERROR((1+INDEX('IRA - Advanced Manufacturing'!C$174:C$184,MATCH(BPCiObIC!$A16,'IRA - Advanced Manufacturing'!$B$174:$B$184,0))),1)</f>
        <v>9.9669560914506294E-2</v>
      </c>
      <c r="E16">
        <f>'Rescale to Fit GDP Proj'!F117*IFERROR((1+INDEX('IRA - Advanced Manufacturing'!D$174:D$184,MATCH(BPCiObIC!$A16,'IRA - Advanced Manufacturing'!$B$174:$B$184,0))),1)</f>
        <v>8.6122025802774685E-2</v>
      </c>
      <c r="F16">
        <f>'Rescale to Fit GDP Proj'!G117*IFERROR((1+INDEX('IRA - Advanced Manufacturing'!E$174:E$184,MATCH(BPCiObIC!$A16,'IRA - Advanced Manufacturing'!$B$174:$B$184,0))),1)</f>
        <v>0.10377533104362066</v>
      </c>
      <c r="G16">
        <f>'Rescale to Fit GDP Proj'!H117*IFERROR((1+INDEX('IRA - Advanced Manufacturing'!F$174:F$184,MATCH(BPCiObIC!$A16,'IRA - Advanced Manufacturing'!$B$174:$B$184,0))),1)</f>
        <v>0.12059158886962697</v>
      </c>
      <c r="H16">
        <f>'Rescale to Fit GDP Proj'!I117*IFERROR((1+INDEX('IRA - Advanced Manufacturing'!G$174:G$184,MATCH(BPCiObIC!$A16,'IRA - Advanced Manufacturing'!$B$174:$B$184,0))),1)</f>
        <v>0.13153275611207108</v>
      </c>
      <c r="I16">
        <f>'Rescale to Fit GDP Proj'!J117*IFERROR((1+INDEX('IRA - Advanced Manufacturing'!H$174:H$184,MATCH(BPCiObIC!$A16,'IRA - Advanced Manufacturing'!$B$174:$B$184,0))),1)</f>
        <v>0.14187793175227609</v>
      </c>
      <c r="J16">
        <f>'Rescale to Fit GDP Proj'!K117*IFERROR((1+INDEX('IRA - Advanced Manufacturing'!I$174:I$184,MATCH(BPCiObIC!$A16,'IRA - Advanced Manufacturing'!$B$174:$B$184,0))),1)</f>
        <v>0.15558250035701537</v>
      </c>
      <c r="K16">
        <f>'Rescale to Fit GDP Proj'!L117*IFERROR((1+INDEX('IRA - Advanced Manufacturing'!J$174:J$184,MATCH(BPCiObIC!$A16,'IRA - Advanced Manufacturing'!$B$174:$B$184,0))),1)</f>
        <v>0.17001554832069279</v>
      </c>
      <c r="L16">
        <f>'Rescale to Fit GDP Proj'!M117*IFERROR((1+INDEX('IRA - Advanced Manufacturing'!K$174:K$184,MATCH(BPCiObIC!$A16,'IRA - Advanced Manufacturing'!$B$174:$B$184,0))),1)</f>
        <v>0.18400566520276077</v>
      </c>
      <c r="M16">
        <f>'Rescale to Fit GDP Proj'!N117*IFERROR((1+INDEX('IRA - Advanced Manufacturing'!L$174:L$184,MATCH(BPCiObIC!$A16,'IRA - Advanced Manufacturing'!$B$174:$B$184,0))),1)</f>
        <v>0.19390935675937884</v>
      </c>
      <c r="N16">
        <f>'Rescale to Fit GDP Proj'!O117*IFERROR((1+INDEX('IRA - Advanced Manufacturing'!M$174:M$184,MATCH(BPCiObIC!$A16,'IRA - Advanced Manufacturing'!$B$174:$B$184,0))),1)</f>
        <v>0.19804866045893244</v>
      </c>
      <c r="O16">
        <f>'Rescale to Fit GDP Proj'!P117*IFERROR((1+INDEX('IRA - Advanced Manufacturing'!N$174:N$184,MATCH(BPCiObIC!$A16,'IRA - Advanced Manufacturing'!$B$174:$B$184,0))),1)</f>
        <v>0.20613139703789973</v>
      </c>
      <c r="P16">
        <f>'Rescale to Fit GDP Proj'!Q117*IFERROR((1+INDEX('IRA - Advanced Manufacturing'!O$174:O$184,MATCH(BPCiObIC!$A16,'IRA - Advanced Manufacturing'!$B$174:$B$184,0))),1)</f>
        <v>0.22428724425733071</v>
      </c>
      <c r="Q16">
        <f>'Rescale to Fit GDP Proj'!R117*IFERROR((1+INDEX('IRA - Advanced Manufacturing'!P$174:P$184,MATCH(BPCiObIC!$A16,'IRA - Advanced Manufacturing'!$B$174:$B$184,0))),1)</f>
        <v>0.23902946755597232</v>
      </c>
      <c r="R16">
        <f>'Rescale to Fit GDP Proj'!S117*IFERROR((1+INDEX('IRA - Advanced Manufacturing'!Q$174:Q$184,MATCH(BPCiObIC!$A16,'IRA - Advanced Manufacturing'!$B$174:$B$184,0))),1)</f>
        <v>0.25139533738593789</v>
      </c>
      <c r="S16">
        <f>'Rescale to Fit GDP Proj'!T117*IFERROR((1+INDEX('IRA - Advanced Manufacturing'!R$174:R$184,MATCH(BPCiObIC!$A16,'IRA - Advanced Manufacturing'!$B$174:$B$184,0))),1)</f>
        <v>0.26470901461239427</v>
      </c>
      <c r="T16">
        <f>'Rescale to Fit GDP Proj'!U117*IFERROR((1+INDEX('IRA - Advanced Manufacturing'!S$174:S$184,MATCH(BPCiObIC!$A16,'IRA - Advanced Manufacturing'!$B$174:$B$184,0))),1)</f>
        <v>0.27496076508232581</v>
      </c>
      <c r="U16">
        <f>'Rescale to Fit GDP Proj'!V117*IFERROR((1+INDEX('IRA - Advanced Manufacturing'!T$174:T$184,MATCH(BPCiObIC!$A16,'IRA - Advanced Manufacturing'!$B$174:$B$184,0))),1)</f>
        <v>0.28873922077535386</v>
      </c>
      <c r="V16">
        <f>'Rescale to Fit GDP Proj'!W117*IFERROR((1+INDEX('IRA - Advanced Manufacturing'!U$174:U$184,MATCH(BPCiObIC!$A16,'IRA - Advanced Manufacturing'!$B$174:$B$184,0))),1)</f>
        <v>0.30405973326554148</v>
      </c>
      <c r="W16">
        <f>'Rescale to Fit GDP Proj'!X117*IFERROR((1+INDEX('IRA - Advanced Manufacturing'!V$174:V$184,MATCH(BPCiObIC!$A16,'IRA - Advanced Manufacturing'!$B$174:$B$184,0))),1)</f>
        <v>0.31613359568195443</v>
      </c>
      <c r="X16">
        <f>'Rescale to Fit GDP Proj'!Y117*IFERROR((1+INDEX('IRA - Advanced Manufacturing'!W$174:W$184,MATCH(BPCiObIC!$A16,'IRA - Advanced Manufacturing'!$B$174:$B$184,0))),1)</f>
        <v>0.32234633968707116</v>
      </c>
      <c r="Y16">
        <f>'Rescale to Fit GDP Proj'!Z117*IFERROR((1+INDEX('IRA - Advanced Manufacturing'!X$174:X$184,MATCH(BPCiObIC!$A16,'IRA - Advanced Manufacturing'!$B$174:$B$184,0))),1)</f>
        <v>0.3372140975453628</v>
      </c>
      <c r="Z16">
        <f>'Rescale to Fit GDP Proj'!AA117*IFERROR((1+INDEX('IRA - Advanced Manufacturing'!Y$174:Y$184,MATCH(BPCiObIC!$A16,'IRA - Advanced Manufacturing'!$B$174:$B$184,0))),1)</f>
        <v>0.35452469781526919</v>
      </c>
      <c r="AA16">
        <f>'Rescale to Fit GDP Proj'!AB117*IFERROR((1+INDEX('IRA - Advanced Manufacturing'!Z$174:Z$184,MATCH(BPCiObIC!$A16,'IRA - Advanced Manufacturing'!$B$174:$B$184,0))),1)</f>
        <v>0.36847978936531911</v>
      </c>
      <c r="AB16">
        <f>'Rescale to Fit GDP Proj'!AC117*IFERROR((1+INDEX('IRA - Advanced Manufacturing'!AA$174:AA$184,MATCH(BPCiObIC!$A16,'IRA - Advanced Manufacturing'!$B$174:$B$184,0))),1)</f>
        <v>0.38258861423015111</v>
      </c>
      <c r="AC16">
        <f>'Rescale to Fit GDP Proj'!AD117*IFERROR((1+INDEX('IRA - Advanced Manufacturing'!AB$174:AB$184,MATCH(BPCiObIC!$A16,'IRA - Advanced Manufacturing'!$B$174:$B$184,0))),1)</f>
        <v>0.39320852306658161</v>
      </c>
      <c r="AD16">
        <f>'Rescale to Fit GDP Proj'!AE117*IFERROR((1+INDEX('IRA - Advanced Manufacturing'!AC$174:AC$184,MATCH(BPCiObIC!$A16,'IRA - Advanced Manufacturing'!$B$174:$B$184,0))),1)</f>
        <v>0.40288176963363376</v>
      </c>
      <c r="AE16">
        <f>'Rescale to Fit GDP Proj'!AF117*IFERROR((1+INDEX('IRA - Advanced Manufacturing'!AD$174:AD$184,MATCH(BPCiObIC!$A16,'IRA - Advanced Manufacturing'!$B$174:$B$184,0))),1)</f>
        <v>0.41533731723055589</v>
      </c>
    </row>
    <row r="17" spans="1:31" x14ac:dyDescent="0.3">
      <c r="A17" s="2" t="s">
        <v>43</v>
      </c>
      <c r="B17">
        <f>'Rescale to Fit GDP Proj'!C73</f>
        <v>0</v>
      </c>
      <c r="C17">
        <f>'Rescale to Fit GDP Proj'!D118</f>
        <v>1.1938163022655464E-2</v>
      </c>
      <c r="D17">
        <f>'Rescale to Fit GDP Proj'!E118*IFERROR((1+INDEX('IRA - Advanced Manufacturing'!C$174:C$184,MATCH(BPCiObIC!$A17,'IRA - Advanced Manufacturing'!$B$174:$B$184,0))),1)</f>
        <v>-4.5499293427299081E-3</v>
      </c>
      <c r="E17">
        <f>'Rescale to Fit GDP Proj'!F118*IFERROR((1+INDEX('IRA - Advanced Manufacturing'!D$174:D$184,MATCH(BPCiObIC!$A17,'IRA - Advanced Manufacturing'!$B$174:$B$184,0))),1)</f>
        <v>-1.9920013497273681E-2</v>
      </c>
      <c r="F17">
        <f>'Rescale to Fit GDP Proj'!G118*IFERROR((1+INDEX('IRA - Advanced Manufacturing'!E$174:E$184,MATCH(BPCiObIC!$A17,'IRA - Advanced Manufacturing'!$B$174:$B$184,0))),1)</f>
        <v>2.3027848497092496E-3</v>
      </c>
      <c r="G17">
        <f>'Rescale to Fit GDP Proj'!H118*IFERROR((1+INDEX('IRA - Advanced Manufacturing'!F$174:F$184,MATCH(BPCiObIC!$A17,'IRA - Advanced Manufacturing'!$B$174:$B$184,0))),1)</f>
        <v>5.0170442965044915E-2</v>
      </c>
      <c r="H17">
        <f>'Rescale to Fit GDP Proj'!I118*IFERROR((1+INDEX('IRA - Advanced Manufacturing'!G$174:G$184,MATCH(BPCiObIC!$A17,'IRA - Advanced Manufacturing'!$B$174:$B$184,0))),1)</f>
        <v>7.4996675538544944E-2</v>
      </c>
      <c r="I17">
        <f>'Rescale to Fit GDP Proj'!J118*IFERROR((1+INDEX('IRA - Advanced Manufacturing'!H$174:H$184,MATCH(BPCiObIC!$A17,'IRA - Advanced Manufacturing'!$B$174:$B$184,0))),1)</f>
        <v>8.0899539042579294E-2</v>
      </c>
      <c r="J17">
        <f>'Rescale to Fit GDP Proj'!K118*IFERROR((1+INDEX('IRA - Advanced Manufacturing'!I$174:I$184,MATCH(BPCiObIC!$A17,'IRA - Advanced Manufacturing'!$B$174:$B$184,0))),1)</f>
        <v>8.620742964286876E-2</v>
      </c>
      <c r="K17">
        <f>'Rescale to Fit GDP Proj'!L118*IFERROR((1+INDEX('IRA - Advanced Manufacturing'!J$174:J$184,MATCH(BPCiObIC!$A17,'IRA - Advanced Manufacturing'!$B$174:$B$184,0))),1)</f>
        <v>8.0325745371380597E-2</v>
      </c>
      <c r="L17">
        <f>'Rescale to Fit GDP Proj'!M118*IFERROR((1+INDEX('IRA - Advanced Manufacturing'!K$174:K$184,MATCH(BPCiObIC!$A17,'IRA - Advanced Manufacturing'!$B$174:$B$184,0))),1)</f>
        <v>7.8025943961585575E-2</v>
      </c>
      <c r="M17">
        <f>'Rescale to Fit GDP Proj'!N118*IFERROR((1+INDEX('IRA - Advanced Manufacturing'!L$174:L$184,MATCH(BPCiObIC!$A17,'IRA - Advanced Manufacturing'!$B$174:$B$184,0))),1)</f>
        <v>8.8883950170171921E-2</v>
      </c>
      <c r="N17">
        <f>'Rescale to Fit GDP Proj'!O118*IFERROR((1+INDEX('IRA - Advanced Manufacturing'!M$174:M$184,MATCH(BPCiObIC!$A17,'IRA - Advanced Manufacturing'!$B$174:$B$184,0))),1)</f>
        <v>8.5251189287695928E-2</v>
      </c>
      <c r="O17">
        <f>'Rescale to Fit GDP Proj'!P118*IFERROR((1+INDEX('IRA - Advanced Manufacturing'!N$174:N$184,MATCH(BPCiObIC!$A17,'IRA - Advanced Manufacturing'!$B$174:$B$184,0))),1)</f>
        <v>8.46048517593323E-2</v>
      </c>
      <c r="P17">
        <f>'Rescale to Fit GDP Proj'!Q118*IFERROR((1+INDEX('IRA - Advanced Manufacturing'!O$174:O$184,MATCH(BPCiObIC!$A17,'IRA - Advanced Manufacturing'!$B$174:$B$184,0))),1)</f>
        <v>8.7794547883213614E-2</v>
      </c>
      <c r="Q17">
        <f>'Rescale to Fit GDP Proj'!R118*IFERROR((1+INDEX('IRA - Advanced Manufacturing'!P$174:P$184,MATCH(BPCiObIC!$A17,'IRA - Advanced Manufacturing'!$B$174:$B$184,0))),1)</f>
        <v>9.0627970227822541E-2</v>
      </c>
      <c r="R17">
        <f>'Rescale to Fit GDP Proj'!S118*IFERROR((1+INDEX('IRA - Advanced Manufacturing'!Q$174:Q$184,MATCH(BPCiObIC!$A17,'IRA - Advanced Manufacturing'!$B$174:$B$184,0))),1)</f>
        <v>0.10325568279492492</v>
      </c>
      <c r="S17">
        <f>'Rescale to Fit GDP Proj'!T118*IFERROR((1+INDEX('IRA - Advanced Manufacturing'!R$174:R$184,MATCH(BPCiObIC!$A17,'IRA - Advanced Manufacturing'!$B$174:$B$184,0))),1)</f>
        <v>0.11103244171822224</v>
      </c>
      <c r="T17">
        <f>'Rescale to Fit GDP Proj'!U118*IFERROR((1+INDEX('IRA - Advanced Manufacturing'!S$174:S$184,MATCH(BPCiObIC!$A17,'IRA - Advanced Manufacturing'!$B$174:$B$184,0))),1)</f>
        <v>0.11333942252888041</v>
      </c>
      <c r="U17">
        <f>'Rescale to Fit GDP Proj'!V118*IFERROR((1+INDEX('IRA - Advanced Manufacturing'!T$174:T$184,MATCH(BPCiObIC!$A17,'IRA - Advanced Manufacturing'!$B$174:$B$184,0))),1)</f>
        <v>0.11805732592046936</v>
      </c>
      <c r="V17">
        <f>'Rescale to Fit GDP Proj'!W118*IFERROR((1+INDEX('IRA - Advanced Manufacturing'!U$174:U$184,MATCH(BPCiObIC!$A17,'IRA - Advanced Manufacturing'!$B$174:$B$184,0))),1)</f>
        <v>0.12642224529380353</v>
      </c>
      <c r="W17">
        <f>'Rescale to Fit GDP Proj'!X118*IFERROR((1+INDEX('IRA - Advanced Manufacturing'!V$174:V$184,MATCH(BPCiObIC!$A17,'IRA - Advanced Manufacturing'!$B$174:$B$184,0))),1)</f>
        <v>0.1352493346091399</v>
      </c>
      <c r="X17">
        <f>'Rescale to Fit GDP Proj'!Y118*IFERROR((1+INDEX('IRA - Advanced Manufacturing'!W$174:W$184,MATCH(BPCiObIC!$A17,'IRA - Advanced Manufacturing'!$B$174:$B$184,0))),1)</f>
        <v>0.13872020797926621</v>
      </c>
      <c r="Y17">
        <f>'Rescale to Fit GDP Proj'!Z118*IFERROR((1+INDEX('IRA - Advanced Manufacturing'!X$174:X$184,MATCH(BPCiObIC!$A17,'IRA - Advanced Manufacturing'!$B$174:$B$184,0))),1)</f>
        <v>0.1389040086184723</v>
      </c>
      <c r="Z17">
        <f>'Rescale to Fit GDP Proj'!AA118*IFERROR((1+INDEX('IRA - Advanced Manufacturing'!Y$174:Y$184,MATCH(BPCiObIC!$A17,'IRA - Advanced Manufacturing'!$B$174:$B$184,0))),1)</f>
        <v>0.13634920286713403</v>
      </c>
      <c r="AA17">
        <f>'Rescale to Fit GDP Proj'!AB118*IFERROR((1+INDEX('IRA - Advanced Manufacturing'!Z$174:Z$184,MATCH(BPCiObIC!$A17,'IRA - Advanced Manufacturing'!$B$174:$B$184,0))),1)</f>
        <v>0.13807643110387713</v>
      </c>
      <c r="AB17">
        <f>'Rescale to Fit GDP Proj'!AC118*IFERROR((1+INDEX('IRA - Advanced Manufacturing'!AA$174:AA$184,MATCH(BPCiObIC!$A17,'IRA - Advanced Manufacturing'!$B$174:$B$184,0))),1)</f>
        <v>0.14327294526544487</v>
      </c>
      <c r="AC17">
        <f>'Rescale to Fit GDP Proj'!AD118*IFERROR((1+INDEX('IRA - Advanced Manufacturing'!AB$174:AB$184,MATCH(BPCiObIC!$A17,'IRA - Advanced Manufacturing'!$B$174:$B$184,0))),1)</f>
        <v>0.14402019326149462</v>
      </c>
      <c r="AD17">
        <f>'Rescale to Fit GDP Proj'!AE118*IFERROR((1+INDEX('IRA - Advanced Manufacturing'!AC$174:AC$184,MATCH(BPCiObIC!$A17,'IRA - Advanced Manufacturing'!$B$174:$B$184,0))),1)</f>
        <v>0.14558832597511273</v>
      </c>
      <c r="AE17">
        <f>'Rescale to Fit GDP Proj'!AF118*IFERROR((1+INDEX('IRA - Advanced Manufacturing'!AD$174:AD$184,MATCH(BPCiObIC!$A17,'IRA - Advanced Manufacturing'!$B$174:$B$184,0))),1)</f>
        <v>0.15720671848332834</v>
      </c>
    </row>
    <row r="18" spans="1:31" x14ac:dyDescent="0.3">
      <c r="A18" s="2" t="s">
        <v>44</v>
      </c>
      <c r="B18">
        <f>'Rescale to Fit GDP Proj'!C74</f>
        <v>0</v>
      </c>
      <c r="C18">
        <f>'Rescale to Fit GDP Proj'!D119</f>
        <v>3.9616360601994943E-2</v>
      </c>
      <c r="D18">
        <f>'Rescale to Fit GDP Proj'!E119*IFERROR((1+INDEX('IRA - Advanced Manufacturing'!C$174:C$184,MATCH(BPCiObIC!$A18,'IRA - Advanced Manufacturing'!$B$174:$B$184,0))),1)</f>
        <v>2.6914498269659252E-2</v>
      </c>
      <c r="E18">
        <f>'Rescale to Fit GDP Proj'!F119*IFERROR((1+INDEX('IRA - Advanced Manufacturing'!D$174:D$184,MATCH(BPCiObIC!$A18,'IRA - Advanced Manufacturing'!$B$174:$B$184,0))),1)</f>
        <v>3.3157341601268597E-2</v>
      </c>
      <c r="F18">
        <f>'Rescale to Fit GDP Proj'!G119*IFERROR((1+INDEX('IRA - Advanced Manufacturing'!E$174:E$184,MATCH(BPCiObIC!$A18,'IRA - Advanced Manufacturing'!$B$174:$B$184,0))),1)</f>
        <v>6.3321480952612474E-2</v>
      </c>
      <c r="G18">
        <f>'Rescale to Fit GDP Proj'!H119*IFERROR((1+INDEX('IRA - Advanced Manufacturing'!F$174:F$184,MATCH(BPCiObIC!$A18,'IRA - Advanced Manufacturing'!$B$174:$B$184,0))),1)</f>
        <v>9.8538200204868337E-2</v>
      </c>
      <c r="H18">
        <f>'Rescale to Fit GDP Proj'!I119*IFERROR((1+INDEX('IRA - Advanced Manufacturing'!G$174:G$184,MATCH(BPCiObIC!$A18,'IRA - Advanced Manufacturing'!$B$174:$B$184,0))),1)</f>
        <v>0.12215801495980703</v>
      </c>
      <c r="I18">
        <f>'Rescale to Fit GDP Proj'!J119*IFERROR((1+INDEX('IRA - Advanced Manufacturing'!H$174:H$184,MATCH(BPCiObIC!$A18,'IRA - Advanced Manufacturing'!$B$174:$B$184,0))),1)</f>
        <v>0.1385993622039785</v>
      </c>
      <c r="J18">
        <f>'Rescale to Fit GDP Proj'!K119*IFERROR((1+INDEX('IRA - Advanced Manufacturing'!I$174:I$184,MATCH(BPCiObIC!$A18,'IRA - Advanced Manufacturing'!$B$174:$B$184,0))),1)</f>
        <v>0.1476229383902074</v>
      </c>
      <c r="K18">
        <f>'Rescale to Fit GDP Proj'!L119*IFERROR((1+INDEX('IRA - Advanced Manufacturing'!J$174:J$184,MATCH(BPCiObIC!$A18,'IRA - Advanced Manufacturing'!$B$174:$B$184,0))),1)</f>
        <v>0.15060787315999655</v>
      </c>
      <c r="L18">
        <f>'Rescale to Fit GDP Proj'!M119*IFERROR((1+INDEX('IRA - Advanced Manufacturing'!K$174:K$184,MATCH(BPCiObIC!$A18,'IRA - Advanced Manufacturing'!$B$174:$B$184,0))),1)</f>
        <v>0.15550041124156549</v>
      </c>
      <c r="M18">
        <f>'Rescale to Fit GDP Proj'!N119*IFERROR((1+INDEX('IRA - Advanced Manufacturing'!L$174:L$184,MATCH(BPCiObIC!$A18,'IRA - Advanced Manufacturing'!$B$174:$B$184,0))),1)</f>
        <v>0.16220382131658251</v>
      </c>
      <c r="N18">
        <f>'Rescale to Fit GDP Proj'!O119*IFERROR((1+INDEX('IRA - Advanced Manufacturing'!M$174:M$184,MATCH(BPCiObIC!$A18,'IRA - Advanced Manufacturing'!$B$174:$B$184,0))),1)</f>
        <v>0.17114229027756522</v>
      </c>
      <c r="O18">
        <f>'Rescale to Fit GDP Proj'!P119*IFERROR((1+INDEX('IRA - Advanced Manufacturing'!N$174:N$184,MATCH(BPCiObIC!$A18,'IRA - Advanced Manufacturing'!$B$174:$B$184,0))),1)</f>
        <v>0.18617649984913731</v>
      </c>
      <c r="P18">
        <f>'Rescale to Fit GDP Proj'!Q119*IFERROR((1+INDEX('IRA - Advanced Manufacturing'!O$174:O$184,MATCH(BPCiObIC!$A18,'IRA - Advanced Manufacturing'!$B$174:$B$184,0))),1)</f>
        <v>0.20175429474661155</v>
      </c>
      <c r="Q18">
        <f>'Rescale to Fit GDP Proj'!R119*IFERROR((1+INDEX('IRA - Advanced Manufacturing'!P$174:P$184,MATCH(BPCiObIC!$A18,'IRA - Advanced Manufacturing'!$B$174:$B$184,0))),1)</f>
        <v>0.21291553785001094</v>
      </c>
      <c r="R18">
        <f>'Rescale to Fit GDP Proj'!S119*IFERROR((1+INDEX('IRA - Advanced Manufacturing'!Q$174:Q$184,MATCH(BPCiObIC!$A18,'IRA - Advanced Manufacturing'!$B$174:$B$184,0))),1)</f>
        <v>0.22658465008024109</v>
      </c>
      <c r="S18">
        <f>'Rescale to Fit GDP Proj'!T119*IFERROR((1+INDEX('IRA - Advanced Manufacturing'!R$174:R$184,MATCH(BPCiObIC!$A18,'IRA - Advanced Manufacturing'!$B$174:$B$184,0))),1)</f>
        <v>0.24014437655741405</v>
      </c>
      <c r="T18">
        <f>'Rescale to Fit GDP Proj'!U119*IFERROR((1+INDEX('IRA - Advanced Manufacturing'!S$174:S$184,MATCH(BPCiObIC!$A18,'IRA - Advanced Manufacturing'!$B$174:$B$184,0))),1)</f>
        <v>0.25504971891810402</v>
      </c>
      <c r="U18">
        <f>'Rescale to Fit GDP Proj'!V119*IFERROR((1+INDEX('IRA - Advanced Manufacturing'!T$174:T$184,MATCH(BPCiObIC!$A18,'IRA - Advanced Manufacturing'!$B$174:$B$184,0))),1)</f>
        <v>0.26437846765013084</v>
      </c>
      <c r="V18">
        <f>'Rescale to Fit GDP Proj'!W119*IFERROR((1+INDEX('IRA - Advanced Manufacturing'!U$174:U$184,MATCH(BPCiObIC!$A18,'IRA - Advanced Manufacturing'!$B$174:$B$184,0))),1)</f>
        <v>0.28027433683603808</v>
      </c>
      <c r="W18">
        <f>'Rescale to Fit GDP Proj'!X119*IFERROR((1+INDEX('IRA - Advanced Manufacturing'!V$174:V$184,MATCH(BPCiObIC!$A18,'IRA - Advanced Manufacturing'!$B$174:$B$184,0))),1)</f>
        <v>0.30057904421177306</v>
      </c>
      <c r="X18">
        <f>'Rescale to Fit GDP Proj'!Y119*IFERROR((1+INDEX('IRA - Advanced Manufacturing'!W$174:W$184,MATCH(BPCiObIC!$A18,'IRA - Advanced Manufacturing'!$B$174:$B$184,0))),1)</f>
        <v>0.31539069129084285</v>
      </c>
      <c r="Y18">
        <f>'Rescale to Fit GDP Proj'!Z119*IFERROR((1+INDEX('IRA - Advanced Manufacturing'!X$174:X$184,MATCH(BPCiObIC!$A18,'IRA - Advanced Manufacturing'!$B$174:$B$184,0))),1)</f>
        <v>0.32498125502025932</v>
      </c>
      <c r="Z18">
        <f>'Rescale to Fit GDP Proj'!AA119*IFERROR((1+INDEX('IRA - Advanced Manufacturing'!Y$174:Y$184,MATCH(BPCiObIC!$A18,'IRA - Advanced Manufacturing'!$B$174:$B$184,0))),1)</f>
        <v>0.34192356808059965</v>
      </c>
      <c r="AA18">
        <f>'Rescale to Fit GDP Proj'!AB119*IFERROR((1+INDEX('IRA - Advanced Manufacturing'!Z$174:Z$184,MATCH(BPCiObIC!$A18,'IRA - Advanced Manufacturing'!$B$174:$B$184,0))),1)</f>
        <v>0.3622015542675614</v>
      </c>
      <c r="AB18">
        <f>'Rescale to Fit GDP Proj'!AC119*IFERROR((1+INDEX('IRA - Advanced Manufacturing'!AA$174:AA$184,MATCH(BPCiObIC!$A18,'IRA - Advanced Manufacturing'!$B$174:$B$184,0))),1)</f>
        <v>0.37942053035530909</v>
      </c>
      <c r="AC18">
        <f>'Rescale to Fit GDP Proj'!AD119*IFERROR((1+INDEX('IRA - Advanced Manufacturing'!AB$174:AB$184,MATCH(BPCiObIC!$A18,'IRA - Advanced Manufacturing'!$B$174:$B$184,0))),1)</f>
        <v>0.38516716551923014</v>
      </c>
      <c r="AD18">
        <f>'Rescale to Fit GDP Proj'!AE119*IFERROR((1+INDEX('IRA - Advanced Manufacturing'!AC$174:AC$184,MATCH(BPCiObIC!$A18,'IRA - Advanced Manufacturing'!$B$174:$B$184,0))),1)</f>
        <v>0.39573567210516081</v>
      </c>
      <c r="AE18">
        <f>'Rescale to Fit GDP Proj'!AF119*IFERROR((1+INDEX('IRA - Advanced Manufacturing'!AD$174:AD$184,MATCH(BPCiObIC!$A18,'IRA - Advanced Manufacturing'!$B$174:$B$184,0))),1)</f>
        <v>0.41676577419563454</v>
      </c>
    </row>
    <row r="19" spans="1:31" x14ac:dyDescent="0.3">
      <c r="A19" s="2" t="s">
        <v>11</v>
      </c>
      <c r="B19">
        <f>'Rescale to Fit GDP Proj'!C75</f>
        <v>0</v>
      </c>
      <c r="C19">
        <f>'Rescale to Fit GDP Proj'!D120</f>
        <v>1.320816146959519E-2</v>
      </c>
      <c r="D19">
        <f>'Rescale to Fit GDP Proj'!E120*IFERROR((1+INDEX('IRA - Advanced Manufacturing'!C$174:C$184,MATCH(BPCiObIC!$A19,'IRA - Advanced Manufacturing'!$B$174:$B$184,0))),1)</f>
        <v>-6.4109483618671834E-3</v>
      </c>
      <c r="E19">
        <f>'Rescale to Fit GDP Proj'!F120*IFERROR((1+INDEX('IRA - Advanced Manufacturing'!D$174:D$184,MATCH(BPCiObIC!$A19,'IRA - Advanced Manufacturing'!$B$174:$B$184,0))),1)</f>
        <v>-1.3749181499561289E-2</v>
      </c>
      <c r="F19">
        <f>'Rescale to Fit GDP Proj'!G120*IFERROR((1+INDEX('IRA - Advanced Manufacturing'!E$174:E$184,MATCH(BPCiObIC!$A19,'IRA - Advanced Manufacturing'!$B$174:$B$184,0))),1)</f>
        <v>4.4200577475700213E-3</v>
      </c>
      <c r="G19">
        <f>'Rescale to Fit GDP Proj'!H120*IFERROR((1+INDEX('IRA - Advanced Manufacturing'!F$174:F$184,MATCH(BPCiObIC!$A19,'IRA - Advanced Manufacturing'!$B$174:$B$184,0))),1)</f>
        <v>3.7616929413968055E-2</v>
      </c>
      <c r="H19">
        <f>'Rescale to Fit GDP Proj'!I120*IFERROR((1+INDEX('IRA - Advanced Manufacturing'!G$174:G$184,MATCH(BPCiObIC!$A19,'IRA - Advanced Manufacturing'!$B$174:$B$184,0))),1)</f>
        <v>6.5660059952057995E-2</v>
      </c>
      <c r="I19">
        <f>'Rescale to Fit GDP Proj'!J120*IFERROR((1+INDEX('IRA - Advanced Manufacturing'!H$174:H$184,MATCH(BPCiObIC!$A19,'IRA - Advanced Manufacturing'!$B$174:$B$184,0))),1)</f>
        <v>8.2085293312358004E-2</v>
      </c>
      <c r="J19">
        <f>'Rescale to Fit GDP Proj'!K120*IFERROR((1+INDEX('IRA - Advanced Manufacturing'!I$174:I$184,MATCH(BPCiObIC!$A19,'IRA - Advanced Manufacturing'!$B$174:$B$184,0))),1)</f>
        <v>9.466841456383697E-2</v>
      </c>
      <c r="K19">
        <f>'Rescale to Fit GDP Proj'!L120*IFERROR((1+INDEX('IRA - Advanced Manufacturing'!J$174:J$184,MATCH(BPCiObIC!$A19,'IRA - Advanced Manufacturing'!$B$174:$B$184,0))),1)</f>
        <v>0.10247951019274866</v>
      </c>
      <c r="L19">
        <f>'Rescale to Fit GDP Proj'!M120*IFERROR((1+INDEX('IRA - Advanced Manufacturing'!K$174:K$184,MATCH(BPCiObIC!$A19,'IRA - Advanced Manufacturing'!$B$174:$B$184,0))),1)</f>
        <v>0.11410543666915422</v>
      </c>
      <c r="M19">
        <f>'Rescale to Fit GDP Proj'!N120*IFERROR((1+INDEX('IRA - Advanced Manufacturing'!L$174:L$184,MATCH(BPCiObIC!$A19,'IRA - Advanced Manufacturing'!$B$174:$B$184,0))),1)</f>
        <v>0.13793604823356734</v>
      </c>
      <c r="N19">
        <f>'Rescale to Fit GDP Proj'!O120*IFERROR((1+INDEX('IRA - Advanced Manufacturing'!M$174:M$184,MATCH(BPCiObIC!$A19,'IRA - Advanced Manufacturing'!$B$174:$B$184,0))),1)</f>
        <v>0.15775833713962006</v>
      </c>
      <c r="O19">
        <f>'Rescale to Fit GDP Proj'!P120*IFERROR((1+INDEX('IRA - Advanced Manufacturing'!N$174:N$184,MATCH(BPCiObIC!$A19,'IRA - Advanced Manufacturing'!$B$174:$B$184,0))),1)</f>
        <v>0.17459210314472906</v>
      </c>
      <c r="P19">
        <f>'Rescale to Fit GDP Proj'!Q120*IFERROR((1+INDEX('IRA - Advanced Manufacturing'!O$174:O$184,MATCH(BPCiObIC!$A19,'IRA - Advanced Manufacturing'!$B$174:$B$184,0))),1)</f>
        <v>0.19716728607580336</v>
      </c>
      <c r="Q19">
        <f>'Rescale to Fit GDP Proj'!R120*IFERROR((1+INDEX('IRA - Advanced Manufacturing'!P$174:P$184,MATCH(BPCiObIC!$A19,'IRA - Advanced Manufacturing'!$B$174:$B$184,0))),1)</f>
        <v>0.22185562971501915</v>
      </c>
      <c r="R19">
        <f>'Rescale to Fit GDP Proj'!S120*IFERROR((1+INDEX('IRA - Advanced Manufacturing'!Q$174:Q$184,MATCH(BPCiObIC!$A19,'IRA - Advanced Manufacturing'!$B$174:$B$184,0))),1)</f>
        <v>0.24887069690782115</v>
      </c>
      <c r="S19">
        <f>'Rescale to Fit GDP Proj'!T120*IFERROR((1+INDEX('IRA - Advanced Manufacturing'!R$174:R$184,MATCH(BPCiObIC!$A19,'IRA - Advanced Manufacturing'!$B$174:$B$184,0))),1)</f>
        <v>0.27647671605605972</v>
      </c>
      <c r="T19">
        <f>'Rescale to Fit GDP Proj'!U120*IFERROR((1+INDEX('IRA - Advanced Manufacturing'!S$174:S$184,MATCH(BPCiObIC!$A19,'IRA - Advanced Manufacturing'!$B$174:$B$184,0))),1)</f>
        <v>0.29681114886667137</v>
      </c>
      <c r="U19">
        <f>'Rescale to Fit GDP Proj'!V120*IFERROR((1+INDEX('IRA - Advanced Manufacturing'!T$174:T$184,MATCH(BPCiObIC!$A19,'IRA - Advanced Manufacturing'!$B$174:$B$184,0))),1)</f>
        <v>0.31619882446405545</v>
      </c>
      <c r="V19">
        <f>'Rescale to Fit GDP Proj'!W120*IFERROR((1+INDEX('IRA - Advanced Manufacturing'!U$174:U$184,MATCH(BPCiObIC!$A19,'IRA - Advanced Manufacturing'!$B$174:$B$184,0))),1)</f>
        <v>0.34153771977539371</v>
      </c>
      <c r="W19">
        <f>'Rescale to Fit GDP Proj'!X120*IFERROR((1+INDEX('IRA - Advanced Manufacturing'!V$174:V$184,MATCH(BPCiObIC!$A19,'IRA - Advanced Manufacturing'!$B$174:$B$184,0))),1)</f>
        <v>0.36292115249588464</v>
      </c>
      <c r="X19">
        <f>'Rescale to Fit GDP Proj'!Y120*IFERROR((1+INDEX('IRA - Advanced Manufacturing'!W$174:W$184,MATCH(BPCiObIC!$A19,'IRA - Advanced Manufacturing'!$B$174:$B$184,0))),1)</f>
        <v>0.38082858045936407</v>
      </c>
      <c r="Y19">
        <f>'Rescale to Fit GDP Proj'!Z120*IFERROR((1+INDEX('IRA - Advanced Manufacturing'!X$174:X$184,MATCH(BPCiObIC!$A19,'IRA - Advanced Manufacturing'!$B$174:$B$184,0))),1)</f>
        <v>0.39245664793352786</v>
      </c>
      <c r="Z19">
        <f>'Rescale to Fit GDP Proj'!AA120*IFERROR((1+INDEX('IRA - Advanced Manufacturing'!Y$174:Y$184,MATCH(BPCiObIC!$A19,'IRA - Advanced Manufacturing'!$B$174:$B$184,0))),1)</f>
        <v>0.39854590384630173</v>
      </c>
      <c r="AA19">
        <f>'Rescale to Fit GDP Proj'!AB120*IFERROR((1+INDEX('IRA - Advanced Manufacturing'!Z$174:Z$184,MATCH(BPCiObIC!$A19,'IRA - Advanced Manufacturing'!$B$174:$B$184,0))),1)</f>
        <v>0.405722096965075</v>
      </c>
      <c r="AB19">
        <f>'Rescale to Fit GDP Proj'!AC120*IFERROR((1+INDEX('IRA - Advanced Manufacturing'!AA$174:AA$184,MATCH(BPCiObIC!$A19,'IRA - Advanced Manufacturing'!$B$174:$B$184,0))),1)</f>
        <v>0.41767702567265985</v>
      </c>
      <c r="AC19">
        <f>'Rescale to Fit GDP Proj'!AD120*IFERROR((1+INDEX('IRA - Advanced Manufacturing'!AB$174:AB$184,MATCH(BPCiObIC!$A19,'IRA - Advanced Manufacturing'!$B$174:$B$184,0))),1)</f>
        <v>0.42339934767997889</v>
      </c>
      <c r="AD19">
        <f>'Rescale to Fit GDP Proj'!AE120*IFERROR((1+INDEX('IRA - Advanced Manufacturing'!AC$174:AC$184,MATCH(BPCiObIC!$A19,'IRA - Advanced Manufacturing'!$B$174:$B$184,0))),1)</f>
        <v>0.42457388580665723</v>
      </c>
      <c r="AE19">
        <f>'Rescale to Fit GDP Proj'!AF120*IFERROR((1+INDEX('IRA - Advanced Manufacturing'!AD$174:AD$184,MATCH(BPCiObIC!$A19,'IRA - Advanced Manufacturing'!$B$174:$B$184,0))),1)</f>
        <v>0.44486806916641441</v>
      </c>
    </row>
    <row r="20" spans="1:31" x14ac:dyDescent="0.3">
      <c r="A20" s="2" t="s">
        <v>12</v>
      </c>
      <c r="B20">
        <f>'Rescale to Fit GDP Proj'!C76</f>
        <v>0</v>
      </c>
      <c r="C20">
        <f>'Rescale to Fit GDP Proj'!D121</f>
        <v>5.284200495128958E-2</v>
      </c>
      <c r="D20">
        <f>'Rescale to Fit GDP Proj'!E121*IFERROR((1+INDEX('IRA - Advanced Manufacturing'!C$174:C$184,MATCH(BPCiObIC!$A20,'IRA - Advanced Manufacturing'!$B$174:$B$184,0))),1)</f>
        <v>7.3499770836989775E-2</v>
      </c>
      <c r="E20">
        <f>'Rescale to Fit GDP Proj'!F121*IFERROR((1+INDEX('IRA - Advanced Manufacturing'!D$174:D$184,MATCH(BPCiObIC!$A20,'IRA - Advanced Manufacturing'!$B$174:$B$184,0))),1)</f>
        <v>0.10766355874686329</v>
      </c>
      <c r="F20">
        <f>'Rescale to Fit GDP Proj'!G121*IFERROR((1+INDEX('IRA - Advanced Manufacturing'!E$174:E$184,MATCH(BPCiObIC!$A20,'IRA - Advanced Manufacturing'!$B$174:$B$184,0))),1)</f>
        <v>0.15112338038483553</v>
      </c>
      <c r="G20">
        <f>'Rescale to Fit GDP Proj'!H121*IFERROR((1+INDEX('IRA - Advanced Manufacturing'!F$174:F$184,MATCH(BPCiObIC!$A20,'IRA - Advanced Manufacturing'!$B$174:$B$184,0))),1)</f>
        <v>0.1999406984702965</v>
      </c>
      <c r="H20">
        <f>'Rescale to Fit GDP Proj'!I121*IFERROR((1+INDEX('IRA - Advanced Manufacturing'!G$174:G$184,MATCH(BPCiObIC!$A20,'IRA - Advanced Manufacturing'!$B$174:$B$184,0))),1)</f>
        <v>0.24173999953324898</v>
      </c>
      <c r="I20">
        <f>'Rescale to Fit GDP Proj'!J121*IFERROR((1+INDEX('IRA - Advanced Manufacturing'!H$174:H$184,MATCH(BPCiObIC!$A20,'IRA - Advanced Manufacturing'!$B$174:$B$184,0))),1)</f>
        <v>0.27773089492479719</v>
      </c>
      <c r="J20">
        <f>'Rescale to Fit GDP Proj'!K121*IFERROR((1+INDEX('IRA - Advanced Manufacturing'!I$174:I$184,MATCH(BPCiObIC!$A20,'IRA - Advanced Manufacturing'!$B$174:$B$184,0))),1)</f>
        <v>0.30484304078343705</v>
      </c>
      <c r="K20">
        <f>'Rescale to Fit GDP Proj'!L121*IFERROR((1+INDEX('IRA - Advanced Manufacturing'!J$174:J$184,MATCH(BPCiObIC!$A20,'IRA - Advanced Manufacturing'!$B$174:$B$184,0))),1)</f>
        <v>0.32485685909874684</v>
      </c>
      <c r="L20">
        <f>'Rescale to Fit GDP Proj'!M121*IFERROR((1+INDEX('IRA - Advanced Manufacturing'!K$174:K$184,MATCH(BPCiObIC!$A20,'IRA - Advanced Manufacturing'!$B$174:$B$184,0))),1)</f>
        <v>0.34852958815756763</v>
      </c>
      <c r="M20">
        <f>'Rescale to Fit GDP Proj'!N121*IFERROR((1+INDEX('IRA - Advanced Manufacturing'!L$174:L$184,MATCH(BPCiObIC!$A20,'IRA - Advanced Manufacturing'!$B$174:$B$184,0))),1)</f>
        <v>0.37670493638807034</v>
      </c>
      <c r="N20">
        <f>'Rescale to Fit GDP Proj'!O121*IFERROR((1+INDEX('IRA - Advanced Manufacturing'!M$174:M$184,MATCH(BPCiObIC!$A20,'IRA - Advanced Manufacturing'!$B$174:$B$184,0))),1)</f>
        <v>0.40496034361686251</v>
      </c>
      <c r="O20">
        <f>'Rescale to Fit GDP Proj'!P121*IFERROR((1+INDEX('IRA - Advanced Manufacturing'!N$174:N$184,MATCH(BPCiObIC!$A20,'IRA - Advanced Manufacturing'!$B$174:$B$184,0))),1)</f>
        <v>0.43523519823107049</v>
      </c>
      <c r="P20">
        <f>'Rescale to Fit GDP Proj'!Q121*IFERROR((1+INDEX('IRA - Advanced Manufacturing'!O$174:O$184,MATCH(BPCiObIC!$A20,'IRA - Advanced Manufacturing'!$B$174:$B$184,0))),1)</f>
        <v>0.46502222177664132</v>
      </c>
      <c r="Q20">
        <f>'Rescale to Fit GDP Proj'!R121*IFERROR((1+INDEX('IRA - Advanced Manufacturing'!P$174:P$184,MATCH(BPCiObIC!$A20,'IRA - Advanced Manufacturing'!$B$174:$B$184,0))),1)</f>
        <v>0.49669446490224534</v>
      </c>
      <c r="R20">
        <f>'Rescale to Fit GDP Proj'!S121*IFERROR((1+INDEX('IRA - Advanced Manufacturing'!Q$174:Q$184,MATCH(BPCiObIC!$A20,'IRA - Advanced Manufacturing'!$B$174:$B$184,0))),1)</f>
        <v>0.53158802984814102</v>
      </c>
      <c r="S20">
        <f>'Rescale to Fit GDP Proj'!T121*IFERROR((1+INDEX('IRA - Advanced Manufacturing'!R$174:R$184,MATCH(BPCiObIC!$A20,'IRA - Advanced Manufacturing'!$B$174:$B$184,0))),1)</f>
        <v>0.56914518099011557</v>
      </c>
      <c r="T20">
        <f>'Rescale to Fit GDP Proj'!U121*IFERROR((1+INDEX('IRA - Advanced Manufacturing'!S$174:S$184,MATCH(BPCiObIC!$A20,'IRA - Advanced Manufacturing'!$B$174:$B$184,0))),1)</f>
        <v>0.60786271782139667</v>
      </c>
      <c r="U20">
        <f>'Rescale to Fit GDP Proj'!V121*IFERROR((1+INDEX('IRA - Advanced Manufacturing'!T$174:T$184,MATCH(BPCiObIC!$A20,'IRA - Advanced Manufacturing'!$B$174:$B$184,0))),1)</f>
        <v>0.65239893741001276</v>
      </c>
      <c r="V20">
        <f>'Rescale to Fit GDP Proj'!W121*IFERROR((1+INDEX('IRA - Advanced Manufacturing'!U$174:U$184,MATCH(BPCiObIC!$A20,'IRA - Advanced Manufacturing'!$B$174:$B$184,0))),1)</f>
        <v>0.69640114556165789</v>
      </c>
      <c r="W20">
        <f>'Rescale to Fit GDP Proj'!X121*IFERROR((1+INDEX('IRA - Advanced Manufacturing'!V$174:V$184,MATCH(BPCiObIC!$A20,'IRA - Advanced Manufacturing'!$B$174:$B$184,0))),1)</f>
        <v>0.73579606167308342</v>
      </c>
      <c r="X20">
        <f>'Rescale to Fit GDP Proj'!Y121*IFERROR((1+INDEX('IRA - Advanced Manufacturing'!W$174:W$184,MATCH(BPCiObIC!$A20,'IRA - Advanced Manufacturing'!$B$174:$B$184,0))),1)</f>
        <v>0.77770358394310124</v>
      </c>
      <c r="Y20">
        <f>'Rescale to Fit GDP Proj'!Z121*IFERROR((1+INDEX('IRA - Advanced Manufacturing'!X$174:X$184,MATCH(BPCiObIC!$A20,'IRA - Advanced Manufacturing'!$B$174:$B$184,0))),1)</f>
        <v>0.81804091964362047</v>
      </c>
      <c r="Z20">
        <f>'Rescale to Fit GDP Proj'!AA121*IFERROR((1+INDEX('IRA - Advanced Manufacturing'!Y$174:Y$184,MATCH(BPCiObIC!$A20,'IRA - Advanced Manufacturing'!$B$174:$B$184,0))),1)</f>
        <v>0.85634180420408867</v>
      </c>
      <c r="AA20">
        <f>'Rescale to Fit GDP Proj'!AB121*IFERROR((1+INDEX('IRA - Advanced Manufacturing'!Z$174:Z$184,MATCH(BPCiObIC!$A20,'IRA - Advanced Manufacturing'!$B$174:$B$184,0))),1)</f>
        <v>0.89562151883851415</v>
      </c>
      <c r="AB20">
        <f>'Rescale to Fit GDP Proj'!AC121*IFERROR((1+INDEX('IRA - Advanced Manufacturing'!AA$174:AA$184,MATCH(BPCiObIC!$A20,'IRA - Advanced Manufacturing'!$B$174:$B$184,0))),1)</f>
        <v>0.93602470147492189</v>
      </c>
      <c r="AC20">
        <f>'Rescale to Fit GDP Proj'!AD121*IFERROR((1+INDEX('IRA - Advanced Manufacturing'!AB$174:AB$184,MATCH(BPCiObIC!$A20,'IRA - Advanced Manufacturing'!$B$174:$B$184,0))),1)</f>
        <v>0.97508670153166621</v>
      </c>
      <c r="AD20">
        <f>'Rescale to Fit GDP Proj'!AE121*IFERROR((1+INDEX('IRA - Advanced Manufacturing'!AC$174:AC$184,MATCH(BPCiObIC!$A20,'IRA - Advanced Manufacturing'!$B$174:$B$184,0))),1)</f>
        <v>1.0180122581314373</v>
      </c>
      <c r="AE20">
        <f>'Rescale to Fit GDP Proj'!AF121*IFERROR((1+INDEX('IRA - Advanced Manufacturing'!AD$174:AD$184,MATCH(BPCiObIC!$A20,'IRA - Advanced Manufacturing'!$B$174:$B$184,0))),1)</f>
        <v>1.066469508200965</v>
      </c>
    </row>
    <row r="21" spans="1:31" x14ac:dyDescent="0.3">
      <c r="A21" s="2" t="s">
        <v>13</v>
      </c>
      <c r="B21">
        <f>'Rescale to Fit GDP Proj'!C77</f>
        <v>0</v>
      </c>
      <c r="C21">
        <f>'Rescale to Fit GDP Proj'!D122</f>
        <v>2.7897917209054473E-2</v>
      </c>
      <c r="D21">
        <f>'Rescale to Fit GDP Proj'!E122*IFERROR((1+INDEX('IRA - Advanced Manufacturing'!C$174:C$184,MATCH(BPCiObIC!$A21,'IRA - Advanced Manufacturing'!$B$174:$B$184,0))),1)</f>
        <v>2.7995106222877646E-2</v>
      </c>
      <c r="E21">
        <f>'Rescale to Fit GDP Proj'!F122*IFERROR((1+INDEX('IRA - Advanced Manufacturing'!D$174:D$184,MATCH(BPCiObIC!$A21,'IRA - Advanced Manufacturing'!$B$174:$B$184,0))),1)</f>
        <v>4.0385737001101707E-2</v>
      </c>
      <c r="F21">
        <f>'Rescale to Fit GDP Proj'!G122*IFERROR((1+INDEX('IRA - Advanced Manufacturing'!E$174:E$184,MATCH(BPCiObIC!$A21,'IRA - Advanced Manufacturing'!$B$174:$B$184,0))),1)</f>
        <v>6.6749115722474259E-2</v>
      </c>
      <c r="G21">
        <f>'Rescale to Fit GDP Proj'!H122*IFERROR((1+INDEX('IRA - Advanced Manufacturing'!F$174:F$184,MATCH(BPCiObIC!$A21,'IRA - Advanced Manufacturing'!$B$174:$B$184,0))),1)</f>
        <v>9.3831169312947452E-2</v>
      </c>
      <c r="H21">
        <f>'Rescale to Fit GDP Proj'!I122*IFERROR((1+INDEX('IRA - Advanced Manufacturing'!G$174:G$184,MATCH(BPCiObIC!$A21,'IRA - Advanced Manufacturing'!$B$174:$B$184,0))),1)</f>
        <v>0.1191044400137638</v>
      </c>
      <c r="I21">
        <f>'Rescale to Fit GDP Proj'!J122*IFERROR((1+INDEX('IRA - Advanced Manufacturing'!H$174:H$184,MATCH(BPCiObIC!$A21,'IRA - Advanced Manufacturing'!$B$174:$B$184,0))),1)</f>
        <v>0.14187737408710879</v>
      </c>
      <c r="J21">
        <f>'Rescale to Fit GDP Proj'!K122*IFERROR((1+INDEX('IRA - Advanced Manufacturing'!I$174:I$184,MATCH(BPCiObIC!$A21,'IRA - Advanced Manufacturing'!$B$174:$B$184,0))),1)</f>
        <v>0.16136686350851054</v>
      </c>
      <c r="K21">
        <f>'Rescale to Fit GDP Proj'!L122*IFERROR((1+INDEX('IRA - Advanced Manufacturing'!J$174:J$184,MATCH(BPCiObIC!$A21,'IRA - Advanced Manufacturing'!$B$174:$B$184,0))),1)</f>
        <v>0.17794459435496965</v>
      </c>
      <c r="L21">
        <f>'Rescale to Fit GDP Proj'!M122*IFERROR((1+INDEX('IRA - Advanced Manufacturing'!K$174:K$184,MATCH(BPCiObIC!$A21,'IRA - Advanced Manufacturing'!$B$174:$B$184,0))),1)</f>
        <v>0.18801297066004596</v>
      </c>
      <c r="M21">
        <f>'Rescale to Fit GDP Proj'!N122*IFERROR((1+INDEX('IRA - Advanced Manufacturing'!L$174:L$184,MATCH(BPCiObIC!$A21,'IRA - Advanced Manufacturing'!$B$174:$B$184,0))),1)</f>
        <v>0.21549659095856197</v>
      </c>
      <c r="N21">
        <f>'Rescale to Fit GDP Proj'!O122*IFERROR((1+INDEX('IRA - Advanced Manufacturing'!M$174:M$184,MATCH(BPCiObIC!$A21,'IRA - Advanced Manufacturing'!$B$174:$B$184,0))),1)</f>
        <v>0.23161123886164248</v>
      </c>
      <c r="O21">
        <f>'Rescale to Fit GDP Proj'!P122*IFERROR((1+INDEX('IRA - Advanced Manufacturing'!N$174:N$184,MATCH(BPCiObIC!$A21,'IRA - Advanced Manufacturing'!$B$174:$B$184,0))),1)</f>
        <v>0.26417429929435854</v>
      </c>
      <c r="P21">
        <f>'Rescale to Fit GDP Proj'!Q122*IFERROR((1+INDEX('IRA - Advanced Manufacturing'!O$174:O$184,MATCH(BPCiObIC!$A21,'IRA - Advanced Manufacturing'!$B$174:$B$184,0))),1)</f>
        <v>0.29861684032054381</v>
      </c>
      <c r="Q21">
        <f>'Rescale to Fit GDP Proj'!R122*IFERROR((1+INDEX('IRA - Advanced Manufacturing'!P$174:P$184,MATCH(BPCiObIC!$A21,'IRA - Advanced Manufacturing'!$B$174:$B$184,0))),1)</f>
        <v>0.33365397943147435</v>
      </c>
      <c r="R21">
        <f>'Rescale to Fit GDP Proj'!S122*IFERROR((1+INDEX('IRA - Advanced Manufacturing'!Q$174:Q$184,MATCH(BPCiObIC!$A21,'IRA - Advanced Manufacturing'!$B$174:$B$184,0))),1)</f>
        <v>0.3707499048249101</v>
      </c>
      <c r="S21">
        <f>'Rescale to Fit GDP Proj'!T122*IFERROR((1+INDEX('IRA - Advanced Manufacturing'!R$174:R$184,MATCH(BPCiObIC!$A21,'IRA - Advanced Manufacturing'!$B$174:$B$184,0))),1)</f>
        <v>0.4110447252099152</v>
      </c>
      <c r="T21">
        <f>'Rescale to Fit GDP Proj'!U122*IFERROR((1+INDEX('IRA - Advanced Manufacturing'!S$174:S$184,MATCH(BPCiObIC!$A21,'IRA - Advanced Manufacturing'!$B$174:$B$184,0))),1)</f>
        <v>0.4507682243944573</v>
      </c>
      <c r="U21">
        <f>'Rescale to Fit GDP Proj'!V122*IFERROR((1+INDEX('IRA - Advanced Manufacturing'!T$174:T$184,MATCH(BPCiObIC!$A21,'IRA - Advanced Manufacturing'!$B$174:$B$184,0))),1)</f>
        <v>0.49303636219228908</v>
      </c>
      <c r="V21">
        <f>'Rescale to Fit GDP Proj'!W122*IFERROR((1+INDEX('IRA - Advanced Manufacturing'!U$174:U$184,MATCH(BPCiObIC!$A21,'IRA - Advanced Manufacturing'!$B$174:$B$184,0))),1)</f>
        <v>0.53665201054990197</v>
      </c>
      <c r="W21">
        <f>'Rescale to Fit GDP Proj'!X122*IFERROR((1+INDEX('IRA - Advanced Manufacturing'!V$174:V$184,MATCH(BPCiObIC!$A21,'IRA - Advanced Manufacturing'!$B$174:$B$184,0))),1)</f>
        <v>0.57713038450495691</v>
      </c>
      <c r="X21">
        <f>'Rescale to Fit GDP Proj'!Y122*IFERROR((1+INDEX('IRA - Advanced Manufacturing'!W$174:W$184,MATCH(BPCiObIC!$A21,'IRA - Advanced Manufacturing'!$B$174:$B$184,0))),1)</f>
        <v>0.6201773656479439</v>
      </c>
      <c r="Y21">
        <f>'Rescale to Fit GDP Proj'!Z122*IFERROR((1+INDEX('IRA - Advanced Manufacturing'!X$174:X$184,MATCH(BPCiObIC!$A21,'IRA - Advanced Manufacturing'!$B$174:$B$184,0))),1)</f>
        <v>0.66256182772020056</v>
      </c>
      <c r="Z21">
        <f>'Rescale to Fit GDP Proj'!AA122*IFERROR((1+INDEX('IRA - Advanced Manufacturing'!Y$174:Y$184,MATCH(BPCiObIC!$A21,'IRA - Advanced Manufacturing'!$B$174:$B$184,0))),1)</f>
        <v>0.70367288032165831</v>
      </c>
      <c r="AA21">
        <f>'Rescale to Fit GDP Proj'!AB122*IFERROR((1+INDEX('IRA - Advanced Manufacturing'!Z$174:Z$184,MATCH(BPCiObIC!$A21,'IRA - Advanced Manufacturing'!$B$174:$B$184,0))),1)</f>
        <v>0.74609463352635763</v>
      </c>
      <c r="AB21">
        <f>'Rescale to Fit GDP Proj'!AC122*IFERROR((1+INDEX('IRA - Advanced Manufacturing'!AA$174:AA$184,MATCH(BPCiObIC!$A21,'IRA - Advanced Manufacturing'!$B$174:$B$184,0))),1)</f>
        <v>0.79074277259509529</v>
      </c>
      <c r="AC21">
        <f>'Rescale to Fit GDP Proj'!AD122*IFERROR((1+INDEX('IRA - Advanced Manufacturing'!AB$174:AB$184,MATCH(BPCiObIC!$A21,'IRA - Advanced Manufacturing'!$B$174:$B$184,0))),1)</f>
        <v>0.83569378182095133</v>
      </c>
      <c r="AD21">
        <f>'Rescale to Fit GDP Proj'!AE122*IFERROR((1+INDEX('IRA - Advanced Manufacturing'!AC$174:AC$184,MATCH(BPCiObIC!$A21,'IRA - Advanced Manufacturing'!$B$174:$B$184,0))),1)</f>
        <v>0.87969088237525694</v>
      </c>
      <c r="AE21">
        <f>'Rescale to Fit GDP Proj'!AF122*IFERROR((1+INDEX('IRA - Advanced Manufacturing'!AD$174:AD$184,MATCH(BPCiObIC!$A21,'IRA - Advanced Manufacturing'!$B$174:$B$184,0))),1)</f>
        <v>0.93256132519211743</v>
      </c>
    </row>
    <row r="22" spans="1:31" x14ac:dyDescent="0.3">
      <c r="A22" s="2" t="s">
        <v>14</v>
      </c>
      <c r="B22">
        <f>'Rescale to Fit GDP Proj'!C78</f>
        <v>0</v>
      </c>
      <c r="C22">
        <f>'Rescale to Fit GDP Proj'!D123</f>
        <v>2.7819565201757851E-2</v>
      </c>
      <c r="D22">
        <f>'Rescale to Fit GDP Proj'!E123*IFERROR((1+INDEX('IRA - Advanced Manufacturing'!C$174:C$184,MATCH(BPCiObIC!$A22,'IRA - Advanced Manufacturing'!$B$174:$B$184,0))),1)</f>
        <v>1.2273922935380063E-2</v>
      </c>
      <c r="E22">
        <f>'Rescale to Fit GDP Proj'!F123*IFERROR((1+INDEX('IRA - Advanced Manufacturing'!D$174:D$184,MATCH(BPCiObIC!$A22,'IRA - Advanced Manufacturing'!$B$174:$B$184,0))),1)</f>
        <v>1.2911371794473594E-2</v>
      </c>
      <c r="F22">
        <f>'Rescale to Fit GDP Proj'!G123*IFERROR((1+INDEX('IRA - Advanced Manufacturing'!E$174:E$184,MATCH(BPCiObIC!$A22,'IRA - Advanced Manufacturing'!$B$174:$B$184,0))),1)</f>
        <v>2.525703291483801E-2</v>
      </c>
      <c r="G22">
        <f>'Rescale to Fit GDP Proj'!H123*IFERROR((1+INDEX('IRA - Advanced Manufacturing'!F$174:F$184,MATCH(BPCiObIC!$A22,'IRA - Advanced Manufacturing'!$B$174:$B$184,0))),1)</f>
        <v>6.2954263465014149E-2</v>
      </c>
      <c r="H22">
        <f>'Rescale to Fit GDP Proj'!I123*IFERROR((1+INDEX('IRA - Advanced Manufacturing'!G$174:G$184,MATCH(BPCiObIC!$A22,'IRA - Advanced Manufacturing'!$B$174:$B$184,0))),1)</f>
        <v>9.6157539149293078E-2</v>
      </c>
      <c r="I22">
        <f>'Rescale to Fit GDP Proj'!J123*IFERROR((1+INDEX('IRA - Advanced Manufacturing'!H$174:H$184,MATCH(BPCiObIC!$A22,'IRA - Advanced Manufacturing'!$B$174:$B$184,0))),1)</f>
        <v>0.11054031739143956</v>
      </c>
      <c r="J22">
        <f>'Rescale to Fit GDP Proj'!K123*IFERROR((1+INDEX('IRA - Advanced Manufacturing'!I$174:I$184,MATCH(BPCiObIC!$A22,'IRA - Advanced Manufacturing'!$B$174:$B$184,0))),1)</f>
        <v>0.1231173132270024</v>
      </c>
      <c r="K22">
        <f>'Rescale to Fit GDP Proj'!L123*IFERROR((1+INDEX('IRA - Advanced Manufacturing'!J$174:J$184,MATCH(BPCiObIC!$A22,'IRA - Advanced Manufacturing'!$B$174:$B$184,0))),1)</f>
        <v>0.13582518184664683</v>
      </c>
      <c r="L22">
        <f>'Rescale to Fit GDP Proj'!M123*IFERROR((1+INDEX('IRA - Advanced Manufacturing'!K$174:K$184,MATCH(BPCiObIC!$A22,'IRA - Advanced Manufacturing'!$B$174:$B$184,0))),1)</f>
        <v>0.155033568516114</v>
      </c>
      <c r="M22">
        <f>'Rescale to Fit GDP Proj'!N123*IFERROR((1+INDEX('IRA - Advanced Manufacturing'!L$174:L$184,MATCH(BPCiObIC!$A22,'IRA - Advanced Manufacturing'!$B$174:$B$184,0))),1)</f>
        <v>0.18623100937146658</v>
      </c>
      <c r="N22">
        <f>'Rescale to Fit GDP Proj'!O123*IFERROR((1+INDEX('IRA - Advanced Manufacturing'!M$174:M$184,MATCH(BPCiObIC!$A22,'IRA - Advanced Manufacturing'!$B$174:$B$184,0))),1)</f>
        <v>0.20908020555403617</v>
      </c>
      <c r="O22">
        <f>'Rescale to Fit GDP Proj'!P123*IFERROR((1+INDEX('IRA - Advanced Manufacturing'!N$174:N$184,MATCH(BPCiObIC!$A22,'IRA - Advanced Manufacturing'!$B$174:$B$184,0))),1)</f>
        <v>0.22920914889969923</v>
      </c>
      <c r="P22">
        <f>'Rescale to Fit GDP Proj'!Q123*IFERROR((1+INDEX('IRA - Advanced Manufacturing'!O$174:O$184,MATCH(BPCiObIC!$A22,'IRA - Advanced Manufacturing'!$B$174:$B$184,0))),1)</f>
        <v>0.25270958126540566</v>
      </c>
      <c r="Q22">
        <f>'Rescale to Fit GDP Proj'!R123*IFERROR((1+INDEX('IRA - Advanced Manufacturing'!P$174:P$184,MATCH(BPCiObIC!$A22,'IRA - Advanced Manufacturing'!$B$174:$B$184,0))),1)</f>
        <v>0.27461002234725362</v>
      </c>
      <c r="R22">
        <f>'Rescale to Fit GDP Proj'!S123*IFERROR((1+INDEX('IRA - Advanced Manufacturing'!Q$174:Q$184,MATCH(BPCiObIC!$A22,'IRA - Advanced Manufacturing'!$B$174:$B$184,0))),1)</f>
        <v>0.29589492705205345</v>
      </c>
      <c r="S22">
        <f>'Rescale to Fit GDP Proj'!T123*IFERROR((1+INDEX('IRA - Advanced Manufacturing'!R$174:R$184,MATCH(BPCiObIC!$A22,'IRA - Advanced Manufacturing'!$B$174:$B$184,0))),1)</f>
        <v>0.3171350884829871</v>
      </c>
      <c r="T22">
        <f>'Rescale to Fit GDP Proj'!U123*IFERROR((1+INDEX('IRA - Advanced Manufacturing'!S$174:S$184,MATCH(BPCiObIC!$A22,'IRA - Advanced Manufacturing'!$B$174:$B$184,0))),1)</f>
        <v>0.334670951286961</v>
      </c>
      <c r="U22">
        <f>'Rescale to Fit GDP Proj'!V123*IFERROR((1+INDEX('IRA - Advanced Manufacturing'!T$174:T$184,MATCH(BPCiObIC!$A22,'IRA - Advanced Manufacturing'!$B$174:$B$184,0))),1)</f>
        <v>0.35235437995961361</v>
      </c>
      <c r="V22">
        <f>'Rescale to Fit GDP Proj'!W123*IFERROR((1+INDEX('IRA - Advanced Manufacturing'!U$174:U$184,MATCH(BPCiObIC!$A22,'IRA - Advanced Manufacturing'!$B$174:$B$184,0))),1)</f>
        <v>0.37314265901611843</v>
      </c>
      <c r="W22">
        <f>'Rescale to Fit GDP Proj'!X123*IFERROR((1+INDEX('IRA - Advanced Manufacturing'!V$174:V$184,MATCH(BPCiObIC!$A22,'IRA - Advanced Manufacturing'!$B$174:$B$184,0))),1)</f>
        <v>0.39156234808544754</v>
      </c>
      <c r="X22">
        <f>'Rescale to Fit GDP Proj'!Y123*IFERROR((1+INDEX('IRA - Advanced Manufacturing'!W$174:W$184,MATCH(BPCiObIC!$A22,'IRA - Advanced Manufacturing'!$B$174:$B$184,0))),1)</f>
        <v>0.40610167955797238</v>
      </c>
      <c r="Y22">
        <f>'Rescale to Fit GDP Proj'!Z123*IFERROR((1+INDEX('IRA - Advanced Manufacturing'!X$174:X$184,MATCH(BPCiObIC!$A22,'IRA - Advanced Manufacturing'!$B$174:$B$184,0))),1)</f>
        <v>0.41727211205855652</v>
      </c>
      <c r="Z22">
        <f>'Rescale to Fit GDP Proj'!AA123*IFERROR((1+INDEX('IRA - Advanced Manufacturing'!Y$174:Y$184,MATCH(BPCiObIC!$A22,'IRA - Advanced Manufacturing'!$B$174:$B$184,0))),1)</f>
        <v>0.42654946116865577</v>
      </c>
      <c r="AA22">
        <f>'Rescale to Fit GDP Proj'!AB123*IFERROR((1+INDEX('IRA - Advanced Manufacturing'!Z$174:Z$184,MATCH(BPCiObIC!$A22,'IRA - Advanced Manufacturing'!$B$174:$B$184,0))),1)</f>
        <v>0.44202426554594942</v>
      </c>
      <c r="AB22">
        <f>'Rescale to Fit GDP Proj'!AC123*IFERROR((1+INDEX('IRA - Advanced Manufacturing'!AA$174:AA$184,MATCH(BPCiObIC!$A22,'IRA - Advanced Manufacturing'!$B$174:$B$184,0))),1)</f>
        <v>0.45930455721818464</v>
      </c>
      <c r="AC22">
        <f>'Rescale to Fit GDP Proj'!AD123*IFERROR((1+INDEX('IRA - Advanced Manufacturing'!AB$174:AB$184,MATCH(BPCiObIC!$A22,'IRA - Advanced Manufacturing'!$B$174:$B$184,0))),1)</f>
        <v>0.47510950142093522</v>
      </c>
      <c r="AD22">
        <f>'Rescale to Fit GDP Proj'!AE123*IFERROR((1+INDEX('IRA - Advanced Manufacturing'!AC$174:AC$184,MATCH(BPCiObIC!$A22,'IRA - Advanced Manufacturing'!$B$174:$B$184,0))),1)</f>
        <v>0.48585748601628564</v>
      </c>
      <c r="AE22">
        <f>'Rescale to Fit GDP Proj'!AF123*IFERROR((1+INDEX('IRA - Advanced Manufacturing'!AD$174:AD$184,MATCH(BPCiObIC!$A22,'IRA - Advanced Manufacturing'!$B$174:$B$184,0))),1)</f>
        <v>0.50643054159207179</v>
      </c>
    </row>
    <row r="23" spans="1:31" x14ac:dyDescent="0.3">
      <c r="A23" s="2" t="s">
        <v>15</v>
      </c>
      <c r="B23">
        <f>'Rescale to Fit GDP Proj'!C79</f>
        <v>0</v>
      </c>
      <c r="C23">
        <f>'Rescale to Fit GDP Proj'!D124</f>
        <v>2.8290025712801276E-2</v>
      </c>
      <c r="D23">
        <f>'Rescale to Fit GDP Proj'!E124*IFERROR((1+INDEX('IRA - Advanced Manufacturing'!C$174:C$184,MATCH(BPCiObIC!$A23,'IRA - Advanced Manufacturing'!$B$174:$B$184,0))),1)</f>
        <v>6.0322284452278919E-2</v>
      </c>
      <c r="E23">
        <f>'Rescale to Fit GDP Proj'!F124*IFERROR((1+INDEX('IRA - Advanced Manufacturing'!D$174:D$184,MATCH(BPCiObIC!$A23,'IRA - Advanced Manufacturing'!$B$174:$B$184,0))),1)</f>
        <v>7.3683888786803764E-2</v>
      </c>
      <c r="F23">
        <f>'Rescale to Fit GDP Proj'!G124*IFERROR((1+INDEX('IRA - Advanced Manufacturing'!E$174:E$184,MATCH(BPCiObIC!$A23,'IRA - Advanced Manufacturing'!$B$174:$B$184,0))),1)</f>
        <v>7.0555057645749514E-2</v>
      </c>
      <c r="G23">
        <f>'Rescale to Fit GDP Proj'!H124*IFERROR((1+INDEX('IRA - Advanced Manufacturing'!F$174:F$184,MATCH(BPCiObIC!$A23,'IRA - Advanced Manufacturing'!$B$174:$B$184,0))),1)</f>
        <v>7.6153067784472867E-2</v>
      </c>
      <c r="H23">
        <f>'Rescale to Fit GDP Proj'!I124*IFERROR((1+INDEX('IRA - Advanced Manufacturing'!G$174:G$184,MATCH(BPCiObIC!$A23,'IRA - Advanced Manufacturing'!$B$174:$B$184,0))),1)</f>
        <v>9.6197683298939921E-2</v>
      </c>
      <c r="I23">
        <f>'Rescale to Fit GDP Proj'!J124*IFERROR((1+INDEX('IRA - Advanced Manufacturing'!H$174:H$184,MATCH(BPCiObIC!$A23,'IRA - Advanced Manufacturing'!$B$174:$B$184,0))),1)</f>
        <v>0.11122576105971009</v>
      </c>
      <c r="J23">
        <f>'Rescale to Fit GDP Proj'!K124*IFERROR((1+INDEX('IRA - Advanced Manufacturing'!I$174:I$184,MATCH(BPCiObIC!$A23,'IRA - Advanced Manufacturing'!$B$174:$B$184,0))),1)</f>
        <v>0.11849237863550825</v>
      </c>
      <c r="K23">
        <f>'Rescale to Fit GDP Proj'!L124*IFERROR((1+INDEX('IRA - Advanced Manufacturing'!J$174:J$184,MATCH(BPCiObIC!$A23,'IRA - Advanced Manufacturing'!$B$174:$B$184,0))),1)</f>
        <v>0.1282902722907843</v>
      </c>
      <c r="L23">
        <f>'Rescale to Fit GDP Proj'!M124*IFERROR((1+INDEX('IRA - Advanced Manufacturing'!K$174:K$184,MATCH(BPCiObIC!$A23,'IRA - Advanced Manufacturing'!$B$174:$B$184,0))),1)</f>
        <v>0.14564745429994569</v>
      </c>
      <c r="M23">
        <f>'Rescale to Fit GDP Proj'!N124*IFERROR((1+INDEX('IRA - Advanced Manufacturing'!L$174:L$184,MATCH(BPCiObIC!$A23,'IRA - Advanced Manufacturing'!$B$174:$B$184,0))),1)</f>
        <v>0.17482349755443327</v>
      </c>
      <c r="N23">
        <f>'Rescale to Fit GDP Proj'!O124*IFERROR((1+INDEX('IRA - Advanced Manufacturing'!M$174:M$184,MATCH(BPCiObIC!$A23,'IRA - Advanced Manufacturing'!$B$174:$B$184,0))),1)</f>
        <v>0.19962608096182888</v>
      </c>
      <c r="O23">
        <f>'Rescale to Fit GDP Proj'!P124*IFERROR((1+INDEX('IRA - Advanced Manufacturing'!N$174:N$184,MATCH(BPCiObIC!$A23,'IRA - Advanced Manufacturing'!$B$174:$B$184,0))),1)</f>
        <v>0.21896032125607467</v>
      </c>
      <c r="P23">
        <f>'Rescale to Fit GDP Proj'!Q124*IFERROR((1+INDEX('IRA - Advanced Manufacturing'!O$174:O$184,MATCH(BPCiObIC!$A23,'IRA - Advanced Manufacturing'!$B$174:$B$184,0))),1)</f>
        <v>0.24010396479374929</v>
      </c>
      <c r="Q23">
        <f>'Rescale to Fit GDP Proj'!R124*IFERROR((1+INDEX('IRA - Advanced Manufacturing'!P$174:P$184,MATCH(BPCiObIC!$A23,'IRA - Advanced Manufacturing'!$B$174:$B$184,0))),1)</f>
        <v>0.26038401643991849</v>
      </c>
      <c r="R23">
        <f>'Rescale to Fit GDP Proj'!S124*IFERROR((1+INDEX('IRA - Advanced Manufacturing'!Q$174:Q$184,MATCH(BPCiObIC!$A23,'IRA - Advanced Manufacturing'!$B$174:$B$184,0))),1)</f>
        <v>0.27422028592127523</v>
      </c>
      <c r="S23">
        <f>'Rescale to Fit GDP Proj'!T124*IFERROR((1+INDEX('IRA - Advanced Manufacturing'!R$174:R$184,MATCH(BPCiObIC!$A23,'IRA - Advanced Manufacturing'!$B$174:$B$184,0))),1)</f>
        <v>0.29029363856033941</v>
      </c>
      <c r="T23">
        <f>'Rescale to Fit GDP Proj'!U124*IFERROR((1+INDEX('IRA - Advanced Manufacturing'!S$174:S$184,MATCH(BPCiObIC!$A23,'IRA - Advanced Manufacturing'!$B$174:$B$184,0))),1)</f>
        <v>0.30324373084019762</v>
      </c>
      <c r="U23">
        <f>'Rescale to Fit GDP Proj'!V124*IFERROR((1+INDEX('IRA - Advanced Manufacturing'!T$174:T$184,MATCH(BPCiObIC!$A23,'IRA - Advanced Manufacturing'!$B$174:$B$184,0))),1)</f>
        <v>0.32170547909959279</v>
      </c>
      <c r="V23">
        <f>'Rescale to Fit GDP Proj'!W124*IFERROR((1+INDEX('IRA - Advanced Manufacturing'!U$174:U$184,MATCH(BPCiObIC!$A23,'IRA - Advanced Manufacturing'!$B$174:$B$184,0))),1)</f>
        <v>0.34489394993866762</v>
      </c>
      <c r="W23">
        <f>'Rescale to Fit GDP Proj'!X124*IFERROR((1+INDEX('IRA - Advanced Manufacturing'!V$174:V$184,MATCH(BPCiObIC!$A23,'IRA - Advanced Manufacturing'!$B$174:$B$184,0))),1)</f>
        <v>0.36789762044345786</v>
      </c>
      <c r="X23">
        <f>'Rescale to Fit GDP Proj'!Y124*IFERROR((1+INDEX('IRA - Advanced Manufacturing'!W$174:W$184,MATCH(BPCiObIC!$A23,'IRA - Advanced Manufacturing'!$B$174:$B$184,0))),1)</f>
        <v>0.38778047778667402</v>
      </c>
      <c r="Y23">
        <f>'Rescale to Fit GDP Proj'!Z124*IFERROR((1+INDEX('IRA - Advanced Manufacturing'!X$174:X$184,MATCH(BPCiObIC!$A23,'IRA - Advanced Manufacturing'!$B$174:$B$184,0))),1)</f>
        <v>0.40419606258387697</v>
      </c>
      <c r="Z23">
        <f>'Rescale to Fit GDP Proj'!AA124*IFERROR((1+INDEX('IRA - Advanced Manufacturing'!Y$174:Y$184,MATCH(BPCiObIC!$A23,'IRA - Advanced Manufacturing'!$B$174:$B$184,0))),1)</f>
        <v>0.42077052564912076</v>
      </c>
      <c r="AA23">
        <f>'Rescale to Fit GDP Proj'!AB124*IFERROR((1+INDEX('IRA - Advanced Manufacturing'!Z$174:Z$184,MATCH(BPCiObIC!$A23,'IRA - Advanced Manufacturing'!$B$174:$B$184,0))),1)</f>
        <v>0.44231770524063352</v>
      </c>
      <c r="AB23">
        <f>'Rescale to Fit GDP Proj'!AC124*IFERROR((1+INDEX('IRA - Advanced Manufacturing'!AA$174:AA$184,MATCH(BPCiObIC!$A23,'IRA - Advanced Manufacturing'!$B$174:$B$184,0))),1)</f>
        <v>0.46563557040130177</v>
      </c>
      <c r="AC23">
        <f>'Rescale to Fit GDP Proj'!AD124*IFERROR((1+INDEX('IRA - Advanced Manufacturing'!AB$174:AB$184,MATCH(BPCiObIC!$A23,'IRA - Advanced Manufacturing'!$B$174:$B$184,0))),1)</f>
        <v>0.48666728814245652</v>
      </c>
      <c r="AD23">
        <f>'Rescale to Fit GDP Proj'!AE124*IFERROR((1+INDEX('IRA - Advanced Manufacturing'!AC$174:AC$184,MATCH(BPCiObIC!$A23,'IRA - Advanced Manufacturing'!$B$174:$B$184,0))),1)</f>
        <v>0.5067867935981758</v>
      </c>
      <c r="AE23">
        <f>'Rescale to Fit GDP Proj'!AF124*IFERROR((1+INDEX('IRA - Advanced Manufacturing'!AD$174:AD$184,MATCH(BPCiObIC!$A23,'IRA - Advanced Manufacturing'!$B$174:$B$184,0))),1)</f>
        <v>0.53216884580881407</v>
      </c>
    </row>
    <row r="24" spans="1:31" x14ac:dyDescent="0.3">
      <c r="A24" s="2" t="s">
        <v>16</v>
      </c>
      <c r="B24">
        <f>'Rescale to Fit GDP Proj'!C80</f>
        <v>0</v>
      </c>
      <c r="C24">
        <f>'Rescale to Fit GDP Proj'!D125</f>
        <v>2.8290025712801276E-2</v>
      </c>
      <c r="D24">
        <f>'Rescale to Fit GDP Proj'!E125*IFERROR((1+INDEX('IRA - Advanced Manufacturing'!C$174:C$184,MATCH(BPCiObIC!$A24,'IRA - Advanced Manufacturing'!$B$174:$B$184,0))),1)</f>
        <v>6.0325287658706345E-2</v>
      </c>
      <c r="E24">
        <f>'Rescale to Fit GDP Proj'!F125*IFERROR((1+INDEX('IRA - Advanced Manufacturing'!D$174:D$184,MATCH(BPCiObIC!$A24,'IRA - Advanced Manufacturing'!$B$174:$B$184,0))),1)</f>
        <v>7.3693365410997191E-2</v>
      </c>
      <c r="F24">
        <f>'Rescale to Fit GDP Proj'!G125*IFERROR((1+INDEX('IRA - Advanced Manufacturing'!E$174:E$184,MATCH(BPCiObIC!$A24,'IRA - Advanced Manufacturing'!$B$174:$B$184,0))),1)</f>
        <v>7.0567370053852593E-2</v>
      </c>
      <c r="G24">
        <f>'Rescale to Fit GDP Proj'!H125*IFERROR((1+INDEX('IRA - Advanced Manufacturing'!F$174:F$184,MATCH(BPCiObIC!$A24,'IRA - Advanced Manufacturing'!$B$174:$B$184,0))),1)</f>
        <v>7.6169323499789415E-2</v>
      </c>
      <c r="H24">
        <f>'Rescale to Fit GDP Proj'!I125*IFERROR((1+INDEX('IRA - Advanced Manufacturing'!G$174:G$184,MATCH(BPCiObIC!$A24,'IRA - Advanced Manufacturing'!$B$174:$B$184,0))),1)</f>
        <v>9.6220833676263093E-2</v>
      </c>
      <c r="I24">
        <f>'Rescale to Fit GDP Proj'!J125*IFERROR((1+INDEX('IRA - Advanced Manufacturing'!H$174:H$184,MATCH(BPCiObIC!$A24,'IRA - Advanced Manufacturing'!$B$174:$B$184,0))),1)</f>
        <v>0.11125549438543626</v>
      </c>
      <c r="J24">
        <f>'Rescale to Fit GDP Proj'!K125*IFERROR((1+INDEX('IRA - Advanced Manufacturing'!I$174:I$184,MATCH(BPCiObIC!$A24,'IRA - Advanced Manufacturing'!$B$174:$B$184,0))),1)</f>
        <v>0.11852715109501008</v>
      </c>
      <c r="K24">
        <f>'Rescale to Fit GDP Proj'!L125*IFERROR((1+INDEX('IRA - Advanced Manufacturing'!J$174:J$184,MATCH(BPCiObIC!$A24,'IRA - Advanced Manufacturing'!$B$174:$B$184,0))),1)</f>
        <v>0.12833120216120944</v>
      </c>
      <c r="L24">
        <f>'Rescale to Fit GDP Proj'!M125*IFERROR((1+INDEX('IRA - Advanced Manufacturing'!K$174:K$184,MATCH(BPCiObIC!$A24,'IRA - Advanced Manufacturing'!$B$174:$B$184,0))),1)</f>
        <v>0.14569756428056493</v>
      </c>
      <c r="M24">
        <f>'Rescale to Fit GDP Proj'!N125*IFERROR((1+INDEX('IRA - Advanced Manufacturing'!L$174:L$184,MATCH(BPCiObIC!$A24,'IRA - Advanced Manufacturing'!$B$174:$B$184,0))),1)</f>
        <v>0.17488792871769512</v>
      </c>
      <c r="N24">
        <f>'Rescale to Fit GDP Proj'!O125*IFERROR((1+INDEX('IRA - Advanced Manufacturing'!M$174:M$184,MATCH(BPCiObIC!$A24,'IRA - Advanced Manufacturing'!$B$174:$B$184,0))),1)</f>
        <v>0.19962608096182888</v>
      </c>
      <c r="O24">
        <f>'Rescale to Fit GDP Proj'!P125*IFERROR((1+INDEX('IRA - Advanced Manufacturing'!N$174:N$184,MATCH(BPCiObIC!$A24,'IRA - Advanced Manufacturing'!$B$174:$B$184,0))),1)</f>
        <v>0.21896032125607467</v>
      </c>
      <c r="P24">
        <f>'Rescale to Fit GDP Proj'!Q125*IFERROR((1+INDEX('IRA - Advanced Manufacturing'!O$174:O$184,MATCH(BPCiObIC!$A24,'IRA - Advanced Manufacturing'!$B$174:$B$184,0))),1)</f>
        <v>0.24010396479374929</v>
      </c>
      <c r="Q24">
        <f>'Rescale to Fit GDP Proj'!R125*IFERROR((1+INDEX('IRA - Advanced Manufacturing'!P$174:P$184,MATCH(BPCiObIC!$A24,'IRA - Advanced Manufacturing'!$B$174:$B$184,0))),1)</f>
        <v>0.26038401643991849</v>
      </c>
      <c r="R24">
        <f>'Rescale to Fit GDP Proj'!S125*IFERROR((1+INDEX('IRA - Advanced Manufacturing'!Q$174:Q$184,MATCH(BPCiObIC!$A24,'IRA - Advanced Manufacturing'!$B$174:$B$184,0))),1)</f>
        <v>0.27422028592127523</v>
      </c>
      <c r="S24">
        <f>'Rescale to Fit GDP Proj'!T125*IFERROR((1+INDEX('IRA - Advanced Manufacturing'!R$174:R$184,MATCH(BPCiObIC!$A24,'IRA - Advanced Manufacturing'!$B$174:$B$184,0))),1)</f>
        <v>0.29029363856033941</v>
      </c>
      <c r="T24">
        <f>'Rescale to Fit GDP Proj'!U125*IFERROR((1+INDEX('IRA - Advanced Manufacturing'!S$174:S$184,MATCH(BPCiObIC!$A24,'IRA - Advanced Manufacturing'!$B$174:$B$184,0))),1)</f>
        <v>0.30324373084019762</v>
      </c>
      <c r="U24">
        <f>'Rescale to Fit GDP Proj'!V125*IFERROR((1+INDEX('IRA - Advanced Manufacturing'!T$174:T$184,MATCH(BPCiObIC!$A24,'IRA - Advanced Manufacturing'!$B$174:$B$184,0))),1)</f>
        <v>0.32170547909959279</v>
      </c>
      <c r="V24">
        <f>'Rescale to Fit GDP Proj'!W125*IFERROR((1+INDEX('IRA - Advanced Manufacturing'!U$174:U$184,MATCH(BPCiObIC!$A24,'IRA - Advanced Manufacturing'!$B$174:$B$184,0))),1)</f>
        <v>0.34489394993866762</v>
      </c>
      <c r="W24">
        <f>'Rescale to Fit GDP Proj'!X125*IFERROR((1+INDEX('IRA - Advanced Manufacturing'!V$174:V$184,MATCH(BPCiObIC!$A24,'IRA - Advanced Manufacturing'!$B$174:$B$184,0))),1)</f>
        <v>0.36789762044345786</v>
      </c>
      <c r="X24">
        <f>'Rescale to Fit GDP Proj'!Y125*IFERROR((1+INDEX('IRA - Advanced Manufacturing'!W$174:W$184,MATCH(BPCiObIC!$A24,'IRA - Advanced Manufacturing'!$B$174:$B$184,0))),1)</f>
        <v>0.38778047778667402</v>
      </c>
      <c r="Y24">
        <f>'Rescale to Fit GDP Proj'!Z125*IFERROR((1+INDEX('IRA - Advanced Manufacturing'!X$174:X$184,MATCH(BPCiObIC!$A24,'IRA - Advanced Manufacturing'!$B$174:$B$184,0))),1)</f>
        <v>0.40419606258387697</v>
      </c>
      <c r="Z24">
        <f>'Rescale to Fit GDP Proj'!AA125*IFERROR((1+INDEX('IRA - Advanced Manufacturing'!Y$174:Y$184,MATCH(BPCiObIC!$A24,'IRA - Advanced Manufacturing'!$B$174:$B$184,0))),1)</f>
        <v>0.42077052564912076</v>
      </c>
      <c r="AA24">
        <f>'Rescale to Fit GDP Proj'!AB125*IFERROR((1+INDEX('IRA - Advanced Manufacturing'!Z$174:Z$184,MATCH(BPCiObIC!$A24,'IRA - Advanced Manufacturing'!$B$174:$B$184,0))),1)</f>
        <v>0.44231770524063352</v>
      </c>
      <c r="AB24">
        <f>'Rescale to Fit GDP Proj'!AC125*IFERROR((1+INDEX('IRA - Advanced Manufacturing'!AA$174:AA$184,MATCH(BPCiObIC!$A24,'IRA - Advanced Manufacturing'!$B$174:$B$184,0))),1)</f>
        <v>0.46563557040130177</v>
      </c>
      <c r="AC24">
        <f>'Rescale to Fit GDP Proj'!AD125*IFERROR((1+INDEX('IRA - Advanced Manufacturing'!AB$174:AB$184,MATCH(BPCiObIC!$A24,'IRA - Advanced Manufacturing'!$B$174:$B$184,0))),1)</f>
        <v>0.48666728814245652</v>
      </c>
      <c r="AD24">
        <f>'Rescale to Fit GDP Proj'!AE125*IFERROR((1+INDEX('IRA - Advanced Manufacturing'!AC$174:AC$184,MATCH(BPCiObIC!$A24,'IRA - Advanced Manufacturing'!$B$174:$B$184,0))),1)</f>
        <v>0.5067867935981758</v>
      </c>
      <c r="AE24">
        <f>'Rescale to Fit GDP Proj'!AF125*IFERROR((1+INDEX('IRA - Advanced Manufacturing'!AD$174:AD$184,MATCH(BPCiObIC!$A24,'IRA - Advanced Manufacturing'!$B$174:$B$184,0))),1)</f>
        <v>0.53216884580881407</v>
      </c>
    </row>
    <row r="25" spans="1:31" x14ac:dyDescent="0.3">
      <c r="A25" s="2" t="s">
        <v>17</v>
      </c>
      <c r="B25">
        <f>'Rescale to Fit GDP Proj'!C81</f>
        <v>0</v>
      </c>
      <c r="C25">
        <f>'Rescale to Fit GDP Proj'!D126</f>
        <v>-1.9964132926646411E-3</v>
      </c>
      <c r="D25">
        <f>'Rescale to Fit GDP Proj'!E126*IFERROR((1+INDEX('IRA - Advanced Manufacturing'!C$174:C$184,MATCH(BPCiObIC!$A25,'IRA - Advanced Manufacturing'!$B$174:$B$184,0))),1)</f>
        <v>-1.6062841897877152E-2</v>
      </c>
      <c r="E25">
        <f>'Rescale to Fit GDP Proj'!F126*IFERROR((1+INDEX('IRA - Advanced Manufacturing'!D$174:D$184,MATCH(BPCiObIC!$A25,'IRA - Advanced Manufacturing'!$B$174:$B$184,0))),1)</f>
        <v>-1.4015066456674238E-2</v>
      </c>
      <c r="F25">
        <f>'Rescale to Fit GDP Proj'!G126*IFERROR((1+INDEX('IRA - Advanced Manufacturing'!E$174:E$184,MATCH(BPCiObIC!$A25,'IRA - Advanced Manufacturing'!$B$174:$B$184,0))),1)</f>
        <v>-8.5258609266326852E-3</v>
      </c>
      <c r="G25">
        <f>'Rescale to Fit GDP Proj'!H126*IFERROR((1+INDEX('IRA - Advanced Manufacturing'!F$174:F$184,MATCH(BPCiObIC!$A25,'IRA - Advanced Manufacturing'!$B$174:$B$184,0))),1)</f>
        <v>1.6088441642726416E-2</v>
      </c>
      <c r="H25">
        <f>'Rescale to Fit GDP Proj'!I126*IFERROR((1+INDEX('IRA - Advanced Manufacturing'!G$174:G$184,MATCH(BPCiObIC!$A25,'IRA - Advanced Manufacturing'!$B$174:$B$184,0))),1)</f>
        <v>4.3354801726740923E-2</v>
      </c>
      <c r="I25">
        <f>'Rescale to Fit GDP Proj'!J126*IFERROR((1+INDEX('IRA - Advanced Manufacturing'!H$174:H$184,MATCH(BPCiObIC!$A25,'IRA - Advanced Manufacturing'!$B$174:$B$184,0))),1)</f>
        <v>5.5038155657554107E-2</v>
      </c>
      <c r="J25">
        <f>'Rescale to Fit GDP Proj'!K126*IFERROR((1+INDEX('IRA - Advanced Manufacturing'!I$174:I$184,MATCH(BPCiObIC!$A25,'IRA - Advanced Manufacturing'!$B$174:$B$184,0))),1)</f>
        <v>6.728797691406492E-2</v>
      </c>
      <c r="K25">
        <f>'Rescale to Fit GDP Proj'!L126*IFERROR((1+INDEX('IRA - Advanced Manufacturing'!J$174:J$184,MATCH(BPCiObIC!$A25,'IRA - Advanced Manufacturing'!$B$174:$B$184,0))),1)</f>
        <v>7.7903969563465791E-2</v>
      </c>
      <c r="L25">
        <f>'Rescale to Fit GDP Proj'!M126*IFERROR((1+INDEX('IRA - Advanced Manufacturing'!K$174:K$184,MATCH(BPCiObIC!$A25,'IRA - Advanced Manufacturing'!$B$174:$B$184,0))),1)</f>
        <v>8.7761534303197622E-2</v>
      </c>
      <c r="M25">
        <f>'Rescale to Fit GDP Proj'!N126*IFERROR((1+INDEX('IRA - Advanced Manufacturing'!L$174:L$184,MATCH(BPCiObIC!$A25,'IRA - Advanced Manufacturing'!$B$174:$B$184,0))),1)</f>
        <v>0.11316662909233793</v>
      </c>
      <c r="N25">
        <f>'Rescale to Fit GDP Proj'!O126*IFERROR((1+INDEX('IRA - Advanced Manufacturing'!M$174:M$184,MATCH(BPCiObIC!$A25,'IRA - Advanced Manufacturing'!$B$174:$B$184,0))),1)</f>
        <v>0.12579525303089611</v>
      </c>
      <c r="O25">
        <f>'Rescale to Fit GDP Proj'!P126*IFERROR((1+INDEX('IRA - Advanced Manufacturing'!N$174:N$184,MATCH(BPCiObIC!$A25,'IRA - Advanced Manufacturing'!$B$174:$B$184,0))),1)</f>
        <v>0.13685771433569238</v>
      </c>
      <c r="P25">
        <f>'Rescale to Fit GDP Proj'!Q126*IFERROR((1+INDEX('IRA - Advanced Manufacturing'!O$174:O$184,MATCH(BPCiObIC!$A25,'IRA - Advanced Manufacturing'!$B$174:$B$184,0))),1)</f>
        <v>0.15649531042379428</v>
      </c>
      <c r="Q25">
        <f>'Rescale to Fit GDP Proj'!R126*IFERROR((1+INDEX('IRA - Advanced Manufacturing'!P$174:P$184,MATCH(BPCiObIC!$A25,'IRA - Advanced Manufacturing'!$B$174:$B$184,0))),1)</f>
        <v>0.17594872343000056</v>
      </c>
      <c r="R25">
        <f>'Rescale to Fit GDP Proj'!S126*IFERROR((1+INDEX('IRA - Advanced Manufacturing'!Q$174:Q$184,MATCH(BPCiObIC!$A25,'IRA - Advanced Manufacturing'!$B$174:$B$184,0))),1)</f>
        <v>0.19528586787355451</v>
      </c>
      <c r="S25">
        <f>'Rescale to Fit GDP Proj'!T126*IFERROR((1+INDEX('IRA - Advanced Manufacturing'!R$174:R$184,MATCH(BPCiObIC!$A25,'IRA - Advanced Manufacturing'!$B$174:$B$184,0))),1)</f>
        <v>0.21733480555779083</v>
      </c>
      <c r="T25">
        <f>'Rescale to Fit GDP Proj'!U126*IFERROR((1+INDEX('IRA - Advanced Manufacturing'!S$174:S$184,MATCH(BPCiObIC!$A25,'IRA - Advanced Manufacturing'!$B$174:$B$184,0))),1)</f>
        <v>0.23604987215519269</v>
      </c>
      <c r="U25">
        <f>'Rescale to Fit GDP Proj'!V126*IFERROR((1+INDEX('IRA - Advanced Manufacturing'!T$174:T$184,MATCH(BPCiObIC!$A25,'IRA - Advanced Manufacturing'!$B$174:$B$184,0))),1)</f>
        <v>0.25427193268964032</v>
      </c>
      <c r="V25">
        <f>'Rescale to Fit GDP Proj'!W126*IFERROR((1+INDEX('IRA - Advanced Manufacturing'!U$174:U$184,MATCH(BPCiObIC!$A25,'IRA - Advanced Manufacturing'!$B$174:$B$184,0))),1)</f>
        <v>0.28029187950539036</v>
      </c>
      <c r="W25">
        <f>'Rescale to Fit GDP Proj'!X126*IFERROR((1+INDEX('IRA - Advanced Manufacturing'!V$174:V$184,MATCH(BPCiObIC!$A25,'IRA - Advanced Manufacturing'!$B$174:$B$184,0))),1)</f>
        <v>0.30442581344837771</v>
      </c>
      <c r="X25">
        <f>'Rescale to Fit GDP Proj'!Y126*IFERROR((1+INDEX('IRA - Advanced Manufacturing'!W$174:W$184,MATCH(BPCiObIC!$A25,'IRA - Advanced Manufacturing'!$B$174:$B$184,0))),1)</f>
        <v>0.32320600411951905</v>
      </c>
      <c r="Y25">
        <f>'Rescale to Fit GDP Proj'!Z126*IFERROR((1+INDEX('IRA - Advanced Manufacturing'!X$174:X$184,MATCH(BPCiObIC!$A25,'IRA - Advanced Manufacturing'!$B$174:$B$184,0))),1)</f>
        <v>0.3361919167742522</v>
      </c>
      <c r="Z25">
        <f>'Rescale to Fit GDP Proj'!AA126*IFERROR((1+INDEX('IRA - Advanced Manufacturing'!Y$174:Y$184,MATCH(BPCiObIC!$A25,'IRA - Advanced Manufacturing'!$B$174:$B$184,0))),1)</f>
        <v>0.34313915489388247</v>
      </c>
      <c r="AA25">
        <f>'Rescale to Fit GDP Proj'!AB126*IFERROR((1+INDEX('IRA - Advanced Manufacturing'!Z$174:Z$184,MATCH(BPCiObIC!$A25,'IRA - Advanced Manufacturing'!$B$174:$B$184,0))),1)</f>
        <v>0.35990122424777904</v>
      </c>
      <c r="AB25">
        <f>'Rescale to Fit GDP Proj'!AC126*IFERROR((1+INDEX('IRA - Advanced Manufacturing'!AA$174:AA$184,MATCH(BPCiObIC!$A25,'IRA - Advanced Manufacturing'!$B$174:$B$184,0))),1)</f>
        <v>0.38016018689200304</v>
      </c>
      <c r="AC25">
        <f>'Rescale to Fit GDP Proj'!AD126*IFERROR((1+INDEX('IRA - Advanced Manufacturing'!AB$174:AB$184,MATCH(BPCiObIC!$A25,'IRA - Advanced Manufacturing'!$B$174:$B$184,0))),1)</f>
        <v>0.39494682600913</v>
      </c>
      <c r="AD25">
        <f>'Rescale to Fit GDP Proj'!AE126*IFERROR((1+INDEX('IRA - Advanced Manufacturing'!AC$174:AC$184,MATCH(BPCiObIC!$A25,'IRA - Advanced Manufacturing'!$B$174:$B$184,0))),1)</f>
        <v>0.40171946978362016</v>
      </c>
      <c r="AE25">
        <f>'Rescale to Fit GDP Proj'!AF126*IFERROR((1+INDEX('IRA - Advanced Manufacturing'!AD$174:AD$184,MATCH(BPCiObIC!$A25,'IRA - Advanced Manufacturing'!$B$174:$B$184,0))),1)</f>
        <v>0.44283474191101169</v>
      </c>
    </row>
    <row r="26" spans="1:31" x14ac:dyDescent="0.3">
      <c r="A26" s="2" t="s">
        <v>45</v>
      </c>
      <c r="B26">
        <f>'Rescale to Fit GDP Proj'!C82</f>
        <v>0</v>
      </c>
      <c r="C26">
        <f>'Rescale to Fit GDP Proj'!D127</f>
        <v>1.6218E-2</v>
      </c>
      <c r="D26">
        <f>'Rescale to Fit GDP Proj'!E127*IFERROR((1+INDEX('IRA - Advanced Manufacturing'!C$174:C$184,MATCH(BPCiObIC!$A26,'IRA - Advanced Manufacturing'!$B$174:$B$184,0))),1)</f>
        <v>3.2699023524000115E-2</v>
      </c>
      <c r="E26">
        <f>'Rescale to Fit GDP Proj'!F127*IFERROR((1+INDEX('IRA - Advanced Manufacturing'!D$174:D$184,MATCH(BPCiObIC!$A26,'IRA - Advanced Manufacturing'!$B$174:$B$184,0))),1)</f>
        <v>4.9447336287512522E-2</v>
      </c>
      <c r="F26">
        <f>'Rescale to Fit GDP Proj'!G127*IFERROR((1+INDEX('IRA - Advanced Manufacturing'!E$174:E$184,MATCH(BPCiObIC!$A26,'IRA - Advanced Manufacturing'!$B$174:$B$184,0))),1)</f>
        <v>6.6467273187423404E-2</v>
      </c>
      <c r="G26">
        <f>'Rescale to Fit GDP Proj'!H127*IFERROR((1+INDEX('IRA - Advanced Manufacturing'!F$174:F$184,MATCH(BPCiObIC!$A26,'IRA - Advanced Manufacturing'!$B$174:$B$184,0))),1)</f>
        <v>8.3763239423977121E-2</v>
      </c>
      <c r="H26">
        <f>'Rescale to Fit GDP Proj'!I127*IFERROR((1+INDEX('IRA - Advanced Manufacturing'!G$174:G$184,MATCH(BPCiObIC!$A26,'IRA - Advanced Manufacturing'!$B$174:$B$184,0))),1)</f>
        <v>0.10133971164095534</v>
      </c>
      <c r="I26">
        <f>'Rescale to Fit GDP Proj'!J127*IFERROR((1+INDEX('IRA - Advanced Manufacturing'!H$174:H$184,MATCH(BPCiObIC!$A26,'IRA - Advanced Manufacturing'!$B$174:$B$184,0))),1)</f>
        <v>0.11920123908434843</v>
      </c>
      <c r="J26">
        <f>'Rescale to Fit GDP Proj'!K127*IFERROR((1+INDEX('IRA - Advanced Manufacturing'!I$174:I$184,MATCH(BPCiObIC!$A26,'IRA - Advanced Manufacturing'!$B$174:$B$184,0))),1)</f>
        <v>0.13735244477981845</v>
      </c>
      <c r="K26">
        <f>'Rescale to Fit GDP Proj'!L127*IFERROR((1+INDEX('IRA - Advanced Manufacturing'!J$174:J$184,MATCH(BPCiObIC!$A26,'IRA - Advanced Manufacturing'!$B$174:$B$184,0))),1)</f>
        <v>0.15579802672925758</v>
      </c>
      <c r="L26">
        <f>'Rescale to Fit GDP Proj'!M127*IFERROR((1+INDEX('IRA - Advanced Manufacturing'!K$174:K$184,MATCH(BPCiObIC!$A26,'IRA - Advanced Manufacturing'!$B$174:$B$184,0))),1)</f>
        <v>0.17454275912675277</v>
      </c>
      <c r="M26">
        <f>'Rescale to Fit GDP Proj'!N127*IFERROR((1+INDEX('IRA - Advanced Manufacturing'!L$174:L$184,MATCH(BPCiObIC!$A26,'IRA - Advanced Manufacturing'!$B$174:$B$184,0))),1)</f>
        <v>0.19359149359427041</v>
      </c>
      <c r="N26">
        <f>'Rescale to Fit GDP Proj'!O127*IFERROR((1+INDEX('IRA - Advanced Manufacturing'!M$174:M$184,MATCH(BPCiObIC!$A26,'IRA - Advanced Manufacturing'!$B$174:$B$184,0))),1)</f>
        <v>0.21294916043738232</v>
      </c>
      <c r="O26">
        <f>'Rescale to Fit GDP Proj'!P127*IFERROR((1+INDEX('IRA - Advanced Manufacturing'!N$174:N$184,MATCH(BPCiObIC!$A26,'IRA - Advanced Manufacturing'!$B$174:$B$184,0))),1)</f>
        <v>0.23262076992135583</v>
      </c>
      <c r="P26">
        <f>'Rescale to Fit GDP Proj'!Q127*IFERROR((1+INDEX('IRA - Advanced Manufacturing'!O$174:O$184,MATCH(BPCiObIC!$A26,'IRA - Advanced Manufacturing'!$B$174:$B$184,0))),1)</f>
        <v>0.25261141356794048</v>
      </c>
      <c r="Q26">
        <f>'Rescale to Fit GDP Proj'!R127*IFERROR((1+INDEX('IRA - Advanced Manufacturing'!P$174:P$184,MATCH(BPCiObIC!$A26,'IRA - Advanced Manufacturing'!$B$174:$B$184,0))),1)</f>
        <v>0.27292626547318544</v>
      </c>
      <c r="R26">
        <f>'Rescale to Fit GDP Proj'!S127*IFERROR((1+INDEX('IRA - Advanced Manufacturing'!Q$174:Q$184,MATCH(BPCiObIC!$A26,'IRA - Advanced Manufacturing'!$B$174:$B$184,0))),1)</f>
        <v>0.29357058364662958</v>
      </c>
      <c r="S26">
        <f>'Rescale to Fit GDP Proj'!T127*IFERROR((1+INDEX('IRA - Advanced Manufacturing'!R$174:R$184,MATCH(BPCiObIC!$A26,'IRA - Advanced Manufacturing'!$B$174:$B$184,0))),1)</f>
        <v>0.31454971137221066</v>
      </c>
      <c r="T26">
        <f>'Rescale to Fit GDP Proj'!U127*IFERROR((1+INDEX('IRA - Advanced Manufacturing'!S$174:S$184,MATCH(BPCiObIC!$A26,'IRA - Advanced Manufacturing'!$B$174:$B$184,0))),1)</f>
        <v>0.33586907859124526</v>
      </c>
      <c r="U26">
        <f>'Rescale to Fit GDP Proj'!V127*IFERROR((1+INDEX('IRA - Advanced Manufacturing'!T$174:T$184,MATCH(BPCiObIC!$A26,'IRA - Advanced Manufacturing'!$B$174:$B$184,0))),1)</f>
        <v>0.35753420330783814</v>
      </c>
      <c r="V26">
        <f>'Rescale to Fit GDP Proj'!W127*IFERROR((1+INDEX('IRA - Advanced Manufacturing'!U$174:U$184,MATCH(BPCiObIC!$A26,'IRA - Advanced Manufacturing'!$B$174:$B$184,0))),1)</f>
        <v>0.37955069301708466</v>
      </c>
      <c r="W26">
        <f>'Rescale to Fit GDP Proj'!X127*IFERROR((1+INDEX('IRA - Advanced Manufacturing'!V$174:V$184,MATCH(BPCiObIC!$A26,'IRA - Advanced Manufacturing'!$B$174:$B$184,0))),1)</f>
        <v>0.40192424615643585</v>
      </c>
      <c r="X26">
        <f>'Rescale to Fit GDP Proj'!Y127*IFERROR((1+INDEX('IRA - Advanced Manufacturing'!W$174:W$184,MATCH(BPCiObIC!$A26,'IRA - Advanced Manufacturing'!$B$174:$B$184,0))),1)</f>
        <v>0.42466065358060101</v>
      </c>
      <c r="Y26">
        <f>'Rescale to Fit GDP Proj'!Z127*IFERROR((1+INDEX('IRA - Advanced Manufacturing'!X$174:X$184,MATCH(BPCiObIC!$A26,'IRA - Advanced Manufacturing'!$B$174:$B$184,0))),1)</f>
        <v>0.44776580006037126</v>
      </c>
      <c r="Z26">
        <f>'Rescale to Fit GDP Proj'!AA127*IFERROR((1+INDEX('IRA - Advanced Manufacturing'!Y$174:Y$184,MATCH(BPCiObIC!$A26,'IRA - Advanced Manufacturing'!$B$174:$B$184,0))),1)</f>
        <v>0.47124566580575045</v>
      </c>
      <c r="AA26">
        <f>'Rescale to Fit GDP Proj'!AB127*IFERROR((1+INDEX('IRA - Advanced Manufacturing'!Z$174:Z$184,MATCH(BPCiObIC!$A26,'IRA - Advanced Manufacturing'!$B$174:$B$184,0))),1)</f>
        <v>0.49510632801378818</v>
      </c>
      <c r="AB26">
        <f>'Rescale to Fit GDP Proj'!AC127*IFERROR((1+INDEX('IRA - Advanced Manufacturing'!AA$174:AA$184,MATCH(BPCiObIC!$A26,'IRA - Advanced Manufacturing'!$B$174:$B$184,0))),1)</f>
        <v>0.51935396244151599</v>
      </c>
      <c r="AC26">
        <f>'Rescale to Fit GDP Proj'!AD127*IFERROR((1+INDEX('IRA - Advanced Manufacturing'!AB$174:AB$184,MATCH(BPCiObIC!$A26,'IRA - Advanced Manufacturing'!$B$174:$B$184,0))),1)</f>
        <v>0.54399484500439255</v>
      </c>
      <c r="AD26">
        <f>'Rescale to Fit GDP Proj'!AE127*IFERROR((1+INDEX('IRA - Advanced Manufacturing'!AC$174:AC$184,MATCH(BPCiObIC!$A26,'IRA - Advanced Manufacturing'!$B$174:$B$184,0))),1)</f>
        <v>0.56903535340067379</v>
      </c>
      <c r="AE26">
        <f>'Rescale to Fit GDP Proj'!AF127*IFERROR((1+INDEX('IRA - Advanced Manufacturing'!AD$174:AD$184,MATCH(BPCiObIC!$A26,'IRA - Advanced Manufacturing'!$B$174:$B$184,0))),1)</f>
        <v>0.59448196876212611</v>
      </c>
    </row>
    <row r="27" spans="1:31" x14ac:dyDescent="0.3">
      <c r="A27" s="2" t="s">
        <v>46</v>
      </c>
      <c r="B27">
        <f>'Rescale to Fit GDP Proj'!C83</f>
        <v>0</v>
      </c>
      <c r="C27">
        <f>'Rescale to Fit GDP Proj'!D128</f>
        <v>7.6319999999999999E-3</v>
      </c>
      <c r="D27">
        <f>'Rescale to Fit GDP Proj'!E128*IFERROR((1+INDEX('IRA - Advanced Manufacturing'!C$174:C$184,MATCH(BPCiObIC!$A27,'IRA - Advanced Manufacturing'!$B$174:$B$184,0))),1)</f>
        <v>1.5322247424000235E-2</v>
      </c>
      <c r="E27">
        <f>'Rescale to Fit GDP Proj'!F128*IFERROR((1+INDEX('IRA - Advanced Manufacturing'!D$174:D$184,MATCH(BPCiObIC!$A27,'IRA - Advanced Manufacturing'!$B$174:$B$184,0))),1)</f>
        <v>2.3071186816340239E-2</v>
      </c>
      <c r="F27">
        <f>'Rescale to Fit GDP Proj'!G128*IFERROR((1+INDEX('IRA - Advanced Manufacturing'!E$174:E$184,MATCH(BPCiObIC!$A27,'IRA - Advanced Manufacturing'!$B$174:$B$184,0))),1)</f>
        <v>3.0879266114122617E-2</v>
      </c>
      <c r="G27">
        <f>'Rescale to Fit GDP Proj'!H128*IFERROR((1+INDEX('IRA - Advanced Manufacturing'!F$174:F$184,MATCH(BPCiObIC!$A27,'IRA - Advanced Manufacturing'!$B$174:$B$184,0))),1)</f>
        <v>3.8746936673105692E-2</v>
      </c>
      <c r="H27">
        <f>'Rescale to Fit GDP Proj'!I128*IFERROR((1+INDEX('IRA - Advanced Manufacturing'!G$174:G$184,MATCH(BPCiObIC!$A27,'IRA - Advanced Manufacturing'!$B$174:$B$184,0))),1)</f>
        <v>4.6674653293794943E-2</v>
      </c>
      <c r="I27">
        <f>'Rescale to Fit GDP Proj'!J128*IFERROR((1+INDEX('IRA - Advanced Manufacturing'!H$174:H$184,MATCH(BPCiObIC!$A27,'IRA - Advanced Manufacturing'!$B$174:$B$184,0))),1)</f>
        <v>5.4662874247733306E-2</v>
      </c>
      <c r="J27">
        <f>'Rescale to Fit GDP Proj'!K128*IFERROR((1+INDEX('IRA - Advanced Manufacturing'!I$174:I$184,MATCH(BPCiObIC!$A27,'IRA - Advanced Manufacturing'!$B$174:$B$184,0))),1)</f>
        <v>6.2712061303991984E-2</v>
      </c>
      <c r="K27">
        <f>'Rescale to Fit GDP Proj'!L128*IFERROR((1+INDEX('IRA - Advanced Manufacturing'!J$174:J$184,MATCH(BPCiObIC!$A27,'IRA - Advanced Manufacturing'!$B$174:$B$184,0))),1)</f>
        <v>7.0822679755864204E-2</v>
      </c>
      <c r="L27">
        <f>'Rescale to Fit GDP Proj'!M128*IFERROR((1+INDEX('IRA - Advanced Manufacturing'!K$174:K$184,MATCH(BPCiObIC!$A27,'IRA - Advanced Manufacturing'!$B$174:$B$184,0))),1)</f>
        <v>7.8995198447761039E-2</v>
      </c>
      <c r="M27">
        <f>'Rescale to Fit GDP Proj'!N128*IFERROR((1+INDEX('IRA - Advanced Manufacturing'!L$174:L$184,MATCH(BPCiObIC!$A27,'IRA - Advanced Manufacturing'!$B$174:$B$184,0))),1)</f>
        <v>8.7230089802314392E-2</v>
      </c>
      <c r="N27">
        <f>'Rescale to Fit GDP Proj'!O128*IFERROR((1+INDEX('IRA - Advanced Manufacturing'!M$174:M$184,MATCH(BPCiObIC!$A27,'IRA - Advanced Manufacturing'!$B$174:$B$184,0))),1)</f>
        <v>9.5527829847685819E-2</v>
      </c>
      <c r="O27">
        <f>'Rescale to Fit GDP Proj'!P128*IFERROR((1+INDEX('IRA - Advanced Manufacturing'!N$174:N$184,MATCH(BPCiObIC!$A27,'IRA - Advanced Manufacturing'!$B$174:$B$184,0))),1)</f>
        <v>0.10388889824508341</v>
      </c>
      <c r="P27">
        <f>'Rescale to Fit GDP Proj'!Q128*IFERROR((1+INDEX('IRA - Advanced Manufacturing'!O$174:O$184,MATCH(BPCiObIC!$A27,'IRA - Advanced Manufacturing'!$B$174:$B$184,0))),1)</f>
        <v>0.11231377831649003</v>
      </c>
      <c r="Q27">
        <f>'Rescale to Fit GDP Proj'!R128*IFERROR((1+INDEX('IRA - Advanced Manufacturing'!P$174:P$184,MATCH(BPCiObIC!$A27,'IRA - Advanced Manufacturing'!$B$174:$B$184,0))),1)</f>
        <v>0.12080295707260147</v>
      </c>
      <c r="R27">
        <f>'Rescale to Fit GDP Proj'!S128*IFERROR((1+INDEX('IRA - Advanced Manufacturing'!Q$174:Q$184,MATCH(BPCiObIC!$A27,'IRA - Advanced Manufacturing'!$B$174:$B$184,0))),1)</f>
        <v>0.12935692524097964</v>
      </c>
      <c r="S27">
        <f>'Rescale to Fit GDP Proj'!T128*IFERROR((1+INDEX('IRA - Advanced Manufacturing'!R$174:R$184,MATCH(BPCiObIC!$A27,'IRA - Advanced Manufacturing'!$B$174:$B$184,0))),1)</f>
        <v>0.1379761772944188</v>
      </c>
      <c r="T27">
        <f>'Rescale to Fit GDP Proj'!U128*IFERROR((1+INDEX('IRA - Advanced Manufacturing'!S$174:S$184,MATCH(BPCiObIC!$A27,'IRA - Advanced Manufacturing'!$B$174:$B$184,0))),1)</f>
        <v>0.14666121147952982</v>
      </c>
      <c r="U27">
        <f>'Rescale to Fit GDP Proj'!V128*IFERROR((1+INDEX('IRA - Advanced Manufacturing'!T$174:T$184,MATCH(BPCiObIC!$A27,'IRA - Advanced Manufacturing'!$B$174:$B$184,0))),1)</f>
        <v>0.15541252984554177</v>
      </c>
      <c r="V27">
        <f>'Rescale to Fit GDP Proj'!W128*IFERROR((1+INDEX('IRA - Advanced Manufacturing'!U$174:U$184,MATCH(BPCiObIC!$A27,'IRA - Advanced Manufacturing'!$B$174:$B$184,0))),1)</f>
        <v>0.16423063827332296</v>
      </c>
      <c r="W27">
        <f>'Rescale to Fit GDP Proj'!X128*IFERROR((1+INDEX('IRA - Advanced Manufacturing'!V$174:V$184,MATCH(BPCiObIC!$A27,'IRA - Advanced Manufacturing'!$B$174:$B$184,0))),1)</f>
        <v>0.17311604650462509</v>
      </c>
      <c r="X27">
        <f>'Rescale to Fit GDP Proj'!Y128*IFERROR((1+INDEX('IRA - Advanced Manufacturing'!W$174:W$184,MATCH(BPCiObIC!$A27,'IRA - Advanced Manufacturing'!$B$174:$B$184,0))),1)</f>
        <v>0.18206926817154856</v>
      </c>
      <c r="Y27">
        <f>'Rescale to Fit GDP Proj'!Z128*IFERROR((1+INDEX('IRA - Advanced Manufacturing'!X$174:X$184,MATCH(BPCiObIC!$A27,'IRA - Advanced Manufacturing'!$B$174:$B$184,0))),1)</f>
        <v>0.19109082082623385</v>
      </c>
      <c r="Z27">
        <f>'Rescale to Fit GDP Proj'!AA128*IFERROR((1+INDEX('IRA - Advanced Manufacturing'!Y$174:Y$184,MATCH(BPCiObIC!$A27,'IRA - Advanced Manufacturing'!$B$174:$B$184,0))),1)</f>
        <v>0.20018122597077981</v>
      </c>
      <c r="AA27">
        <f>'Rescale to Fit GDP Proj'!AB128*IFERROR((1+INDEX('IRA - Advanced Manufacturing'!Z$174:Z$184,MATCH(BPCiObIC!$A27,'IRA - Advanced Manufacturing'!$B$174:$B$184,0))),1)</f>
        <v>0.20934100908738884</v>
      </c>
      <c r="AB27">
        <f>'Rescale to Fit GDP Proj'!AC128*IFERROR((1+INDEX('IRA - Advanced Manufacturing'!AA$174:AA$184,MATCH(BPCiObIC!$A27,'IRA - Advanced Manufacturing'!$B$174:$B$184,0))),1)</f>
        <v>0.21857069966874398</v>
      </c>
      <c r="AC27">
        <f>'Rescale to Fit GDP Proj'!AD128*IFERROR((1+INDEX('IRA - Advanced Manufacturing'!AB$174:AB$184,MATCH(BPCiObIC!$A27,'IRA - Advanced Manufacturing'!$B$174:$B$184,0))),1)</f>
        <v>0.22787083124861596</v>
      </c>
      <c r="AD27">
        <f>'Rescale to Fit GDP Proj'!AE128*IFERROR((1+INDEX('IRA - Advanced Manufacturing'!AC$174:AC$184,MATCH(BPCiObIC!$A27,'IRA - Advanced Manufacturing'!$B$174:$B$184,0))),1)</f>
        <v>0.23724194143270561</v>
      </c>
      <c r="AE27">
        <f>'Rescale to Fit GDP Proj'!AF128*IFERROR((1+INDEX('IRA - Advanced Manufacturing'!AD$174:AD$184,MATCH(BPCiObIC!$A27,'IRA - Advanced Manufacturing'!$B$174:$B$184,0))),1)</f>
        <v>0.24668457192972015</v>
      </c>
    </row>
    <row r="28" spans="1:31" x14ac:dyDescent="0.3">
      <c r="A28" s="2" t="s">
        <v>47</v>
      </c>
      <c r="B28">
        <f>'Rescale to Fit GDP Proj'!C84</f>
        <v>0</v>
      </c>
      <c r="C28">
        <f>'Rescale to Fit GDP Proj'!D129</f>
        <v>1.5627135483870968E-2</v>
      </c>
      <c r="D28">
        <f>'Rescale to Fit GDP Proj'!E129*IFERROR((1+INDEX('IRA - Advanced Manufacturing'!C$174:C$184,MATCH(BPCiObIC!$A28,'IRA - Advanced Manufacturing'!$B$174:$B$184,0))),1)</f>
        <v>3.1498478331173363E-2</v>
      </c>
      <c r="E28">
        <f>'Rescale to Fit GDP Proj'!F129*IFERROR((1+INDEX('IRA - Advanced Manufacturing'!D$174:D$184,MATCH(BPCiObIC!$A28,'IRA - Advanced Manufacturing'!$B$174:$B$184,0))),1)</f>
        <v>4.7617844803461429E-2</v>
      </c>
      <c r="F28">
        <f>'Rescale to Fit GDP Proj'!G129*IFERROR((1+INDEX('IRA - Advanced Manufacturing'!E$174:E$184,MATCH(BPCiObIC!$A28,'IRA - Advanced Manufacturing'!$B$174:$B$184,0))),1)</f>
        <v>6.3989110799526072E-2</v>
      </c>
      <c r="G28">
        <f>'Rescale to Fit GDP Proj'!H129*IFERROR((1+INDEX('IRA - Advanced Manufacturing'!F$174:F$184,MATCH(BPCiObIC!$A28,'IRA - Advanced Manufacturing'!$B$174:$B$184,0))),1)</f>
        <v>8.0616212787353758E-2</v>
      </c>
      <c r="H28">
        <f>'Rescale to Fit GDP Proj'!I129*IFERROR((1+INDEX('IRA - Advanced Manufacturing'!G$174:G$184,MATCH(BPCiObIC!$A28,'IRA - Advanced Manufacturing'!$B$174:$B$184,0))),1)</f>
        <v>9.7503148750649471E-2</v>
      </c>
      <c r="I28">
        <f>'Rescale to Fit GDP Proj'!J129*IFERROR((1+INDEX('IRA - Advanced Manufacturing'!H$174:H$184,MATCH(BPCiObIC!$A28,'IRA - Advanced Manufacturing'!$B$174:$B$184,0))),1)</f>
        <v>0.11465397915015108</v>
      </c>
      <c r="J28">
        <f>'Rescale to Fit GDP Proj'!K129*IFERROR((1+INDEX('IRA - Advanced Manufacturing'!I$174:I$184,MATCH(BPCiObIC!$A28,'IRA - Advanced Manufacturing'!$B$174:$B$184,0))),1)</f>
        <v>0.13207282789996655</v>
      </c>
      <c r="K28">
        <f>'Rescale to Fit GDP Proj'!L129*IFERROR((1+INDEX('IRA - Advanced Manufacturing'!J$174:J$184,MATCH(BPCiObIC!$A28,'IRA - Advanced Manufacturing'!$B$174:$B$184,0))),1)</f>
        <v>0.14976388335916835</v>
      </c>
      <c r="L28">
        <f>'Rescale to Fit GDP Proj'!M129*IFERROR((1+INDEX('IRA - Advanced Manufacturing'!K$174:K$184,MATCH(BPCiObIC!$A28,'IRA - Advanced Manufacturing'!$B$174:$B$184,0))),1)</f>
        <v>0.16773139933888381</v>
      </c>
      <c r="M28">
        <f>'Rescale to Fit GDP Proj'!N129*IFERROR((1+INDEX('IRA - Advanced Manufacturing'!L$174:L$184,MATCH(BPCiObIC!$A28,'IRA - Advanced Manufacturing'!$B$174:$B$184,0))),1)</f>
        <v>0.185979696125123</v>
      </c>
      <c r="N28">
        <f>'Rescale to Fit GDP Proj'!O129*IFERROR((1+INDEX('IRA - Advanced Manufacturing'!M$174:M$184,MATCH(BPCiObIC!$A28,'IRA - Advanced Manufacturing'!$B$174:$B$184,0))),1)</f>
        <v>0.20451316151759058</v>
      </c>
      <c r="O28">
        <f>'Rescale to Fit GDP Proj'!P129*IFERROR((1+INDEX('IRA - Advanced Manufacturing'!N$174:N$184,MATCH(BPCiObIC!$A28,'IRA - Advanced Manufacturing'!$B$174:$B$184,0))),1)</f>
        <v>0.22333625188473194</v>
      </c>
      <c r="P28">
        <f>'Rescale to Fit GDP Proj'!Q129*IFERROR((1+INDEX('IRA - Advanced Manufacturing'!O$174:O$184,MATCH(BPCiObIC!$A28,'IRA - Advanced Manufacturing'!$B$174:$B$184,0))),1)</f>
        <v>0.24245349323526577</v>
      </c>
      <c r="Q28">
        <f>'Rescale to Fit GDP Proj'!R129*IFERROR((1+INDEX('IRA - Advanced Manufacturing'!P$174:P$184,MATCH(BPCiObIC!$A28,'IRA - Advanced Manufacturing'!$B$174:$B$184,0))),1)</f>
        <v>0.26186948230646223</v>
      </c>
      <c r="R28">
        <f>'Rescale to Fit GDP Proj'!S129*IFERROR((1+INDEX('IRA - Advanced Manufacturing'!Q$174:Q$184,MATCH(BPCiObIC!$A28,'IRA - Advanced Manufacturing'!$B$174:$B$184,0))),1)</f>
        <v>0.28158888766942747</v>
      </c>
      <c r="S28">
        <f>'Rescale to Fit GDP Proj'!T129*IFERROR((1+INDEX('IRA - Advanced Manufacturing'!R$174:R$184,MATCH(BPCiObIC!$A28,'IRA - Advanced Manufacturing'!$B$174:$B$184,0))),1)</f>
        <v>0.30161645085166122</v>
      </c>
      <c r="T28">
        <f>'Rescale to Fit GDP Proj'!U129*IFERROR((1+INDEX('IRA - Advanced Manufacturing'!S$174:S$184,MATCH(BPCiObIC!$A28,'IRA - Advanced Manufacturing'!$B$174:$B$184,0))),1)</f>
        <v>0.32195698747715551</v>
      </c>
      <c r="U28">
        <f>'Rescale to Fit GDP Proj'!V129*IFERROR((1+INDEX('IRA - Advanced Manufacturing'!T$174:T$184,MATCH(BPCiObIC!$A28,'IRA - Advanced Manufacturing'!$B$174:$B$184,0))),1)</f>
        <v>0.34261538842431105</v>
      </c>
      <c r="V28">
        <f>'Rescale to Fit GDP Proj'!W129*IFERROR((1+INDEX('IRA - Advanced Manufacturing'!U$174:U$184,MATCH(BPCiObIC!$A28,'IRA - Advanced Manufacturing'!$B$174:$B$184,0))),1)</f>
        <v>0.3635966210019479</v>
      </c>
      <c r="W28">
        <f>'Rescale to Fit GDP Proj'!X129*IFERROR((1+INDEX('IRA - Advanced Manufacturing'!V$174:V$184,MATCH(BPCiObIC!$A28,'IRA - Advanced Manufacturing'!$B$174:$B$184,0))),1)</f>
        <v>0.38490573014369422</v>
      </c>
      <c r="X28">
        <f>'Rescale to Fit GDP Proj'!Y129*IFERROR((1+INDEX('IRA - Advanced Manufacturing'!W$174:W$184,MATCH(BPCiObIC!$A28,'IRA - Advanced Manufacturing'!$B$174:$B$184,0))),1)</f>
        <v>0.40654783962103913</v>
      </c>
      <c r="Y28">
        <f>'Rescale to Fit GDP Proj'!Z129*IFERROR((1+INDEX('IRA - Advanced Manufacturing'!X$174:X$184,MATCH(BPCiObIC!$A28,'IRA - Advanced Manufacturing'!$B$174:$B$184,0))),1)</f>
        <v>0.42852815327534333</v>
      </c>
      <c r="Z28">
        <f>'Rescale to Fit GDP Proj'!AA129*IFERROR((1+INDEX('IRA - Advanced Manufacturing'!Y$174:Y$184,MATCH(BPCiObIC!$A28,'IRA - Advanced Manufacturing'!$B$174:$B$184,0))),1)</f>
        <v>0.45085195626910135</v>
      </c>
      <c r="AA28">
        <f>'Rescale to Fit GDP Proj'!AB129*IFERROR((1+INDEX('IRA - Advanced Manufacturing'!Z$174:Z$184,MATCH(BPCiObIC!$A28,'IRA - Advanced Manufacturing'!$B$174:$B$184,0))),1)</f>
        <v>0.47352461635675791</v>
      </c>
      <c r="AB28">
        <f>'Rescale to Fit GDP Proj'!AC129*IFERROR((1+INDEX('IRA - Advanced Manufacturing'!AA$174:AA$184,MATCH(BPCiObIC!$A28,'IRA - Advanced Manufacturing'!$B$174:$B$184,0))),1)</f>
        <v>0.49655158517538411</v>
      </c>
      <c r="AC28">
        <f>'Rescale to Fit GDP Proj'!AD129*IFERROR((1+INDEX('IRA - Advanced Manufacturing'!AB$174:AB$184,MATCH(BPCiObIC!$A28,'IRA - Advanced Manufacturing'!$B$174:$B$184,0))),1)</f>
        <v>0.51993839955552179</v>
      </c>
      <c r="AD28">
        <f>'Rescale to Fit GDP Proj'!AE129*IFERROR((1+INDEX('IRA - Advanced Manufacturing'!AC$174:AC$184,MATCH(BPCiObIC!$A28,'IRA - Advanced Manufacturing'!$B$174:$B$184,0))),1)</f>
        <v>0.5436906828525141</v>
      </c>
      <c r="AE28">
        <f>'Rescale to Fit GDP Proj'!AF129*IFERROR((1+INDEX('IRA - Advanced Manufacturing'!AD$174:AD$184,MATCH(BPCiObIC!$A28,'IRA - Advanced Manufacturing'!$B$174:$B$184,0))),1)</f>
        <v>0.56781414629863969</v>
      </c>
    </row>
    <row r="29" spans="1:31" x14ac:dyDescent="0.3">
      <c r="A29" s="2" t="s">
        <v>18</v>
      </c>
      <c r="B29">
        <f>'Rescale to Fit GDP Proj'!C85</f>
        <v>0</v>
      </c>
      <c r="C29">
        <f>'Rescale to Fit GDP Proj'!D130</f>
        <v>-2.462547269728288E-2</v>
      </c>
      <c r="D29">
        <f>'Rescale to Fit GDP Proj'!E130*IFERROR((1+INDEX('IRA - Advanced Manufacturing'!C$174:C$184,MATCH(BPCiObIC!$A29,'IRA - Advanced Manufacturing'!$B$174:$B$184,0))),1)</f>
        <v>-4.5916506354838793E-2</v>
      </c>
      <c r="E29">
        <f>'Rescale to Fit GDP Proj'!F130*IFERROR((1+INDEX('IRA - Advanced Manufacturing'!D$174:D$184,MATCH(BPCiObIC!$A29,'IRA - Advanced Manufacturing'!$B$174:$B$184,0))),1)</f>
        <v>-5.297565863842546E-2</v>
      </c>
      <c r="F29">
        <f>'Rescale to Fit GDP Proj'!G130*IFERROR((1+INDEX('IRA - Advanced Manufacturing'!E$174:E$184,MATCH(BPCiObIC!$A29,'IRA - Advanced Manufacturing'!$B$174:$B$184,0))),1)</f>
        <v>-3.7905933136152981E-2</v>
      </c>
      <c r="G29">
        <f>'Rescale to Fit GDP Proj'!H130*IFERROR((1+INDEX('IRA - Advanced Manufacturing'!F$174:F$184,MATCH(BPCiObIC!$A29,'IRA - Advanced Manufacturing'!$B$174:$B$184,0))),1)</f>
        <v>-2.840495267047749E-2</v>
      </c>
      <c r="H29">
        <f>'Rescale to Fit GDP Proj'!I130*IFERROR((1+INDEX('IRA - Advanced Manufacturing'!G$174:G$184,MATCH(BPCiObIC!$A29,'IRA - Advanced Manufacturing'!$B$174:$B$184,0))),1)</f>
        <v>-2.7524727931332094E-2</v>
      </c>
      <c r="I29">
        <f>'Rescale to Fit GDP Proj'!J130*IFERROR((1+INDEX('IRA - Advanced Manufacturing'!H$174:H$184,MATCH(BPCiObIC!$A29,'IRA - Advanced Manufacturing'!$B$174:$B$184,0))),1)</f>
        <v>-2.0100156507804501E-2</v>
      </c>
      <c r="J29">
        <f>'Rescale to Fit GDP Proj'!K130*IFERROR((1+INDEX('IRA - Advanced Manufacturing'!I$174:I$184,MATCH(BPCiObIC!$A29,'IRA - Advanced Manufacturing'!$B$174:$B$184,0))),1)</f>
        <v>3.0317904981671528E-3</v>
      </c>
      <c r="K29">
        <f>'Rescale to Fit GDP Proj'!L130*IFERROR((1+INDEX('IRA - Advanced Manufacturing'!J$174:J$184,MATCH(BPCiObIC!$A29,'IRA - Advanced Manufacturing'!$B$174:$B$184,0))),1)</f>
        <v>1.8302046188983567E-2</v>
      </c>
      <c r="L29">
        <f>'Rescale to Fit GDP Proj'!M130*IFERROR((1+INDEX('IRA - Advanced Manufacturing'!K$174:K$184,MATCH(BPCiObIC!$A29,'IRA - Advanced Manufacturing'!$B$174:$B$184,0))),1)</f>
        <v>1.9828599919079259E-2</v>
      </c>
      <c r="M29">
        <f>'Rescale to Fit GDP Proj'!N130*IFERROR((1+INDEX('IRA - Advanced Manufacturing'!L$174:L$184,MATCH(BPCiObIC!$A29,'IRA - Advanced Manufacturing'!$B$174:$B$184,0))),1)</f>
        <v>1.8630729392199452E-2</v>
      </c>
      <c r="N29">
        <f>'Rescale to Fit GDP Proj'!O130*IFERROR((1+INDEX('IRA - Advanced Manufacturing'!M$174:M$184,MATCH(BPCiObIC!$A29,'IRA - Advanced Manufacturing'!$B$174:$B$184,0))),1)</f>
        <v>2.0157198914635188E-2</v>
      </c>
      <c r="O29">
        <f>'Rescale to Fit GDP Proj'!P130*IFERROR((1+INDEX('IRA - Advanced Manufacturing'!N$174:N$184,MATCH(BPCiObIC!$A29,'IRA - Advanced Manufacturing'!$B$174:$B$184,0))),1)</f>
        <v>2.1329876166230388E-2</v>
      </c>
      <c r="P29">
        <f>'Rescale to Fit GDP Proj'!Q130*IFERROR((1+INDEX('IRA - Advanced Manufacturing'!O$174:O$184,MATCH(BPCiObIC!$A29,'IRA - Advanced Manufacturing'!$B$174:$B$184,0))),1)</f>
        <v>2.6298632653412701E-2</v>
      </c>
      <c r="Q29">
        <f>'Rescale to Fit GDP Proj'!R130*IFERROR((1+INDEX('IRA - Advanced Manufacturing'!P$174:P$184,MATCH(BPCiObIC!$A29,'IRA - Advanced Manufacturing'!$B$174:$B$184,0))),1)</f>
        <v>3.514300527182157E-2</v>
      </c>
      <c r="R29">
        <f>'Rescale to Fit GDP Proj'!S130*IFERROR((1+INDEX('IRA - Advanced Manufacturing'!Q$174:Q$184,MATCH(BPCiObIC!$A29,'IRA - Advanced Manufacturing'!$B$174:$B$184,0))),1)</f>
        <v>4.8444024113550421E-2</v>
      </c>
      <c r="S29">
        <f>'Rescale to Fit GDP Proj'!T130*IFERROR((1+INDEX('IRA - Advanced Manufacturing'!R$174:R$184,MATCH(BPCiObIC!$A29,'IRA - Advanced Manufacturing'!$B$174:$B$184,0))),1)</f>
        <v>6.3682851711119426E-2</v>
      </c>
      <c r="T29">
        <f>'Rescale to Fit GDP Proj'!U130*IFERROR((1+INDEX('IRA - Advanced Manufacturing'!S$174:S$184,MATCH(BPCiObIC!$A29,'IRA - Advanced Manufacturing'!$B$174:$B$184,0))),1)</f>
        <v>7.6521725801256046E-2</v>
      </c>
      <c r="U29">
        <f>'Rescale to Fit GDP Proj'!V130*IFERROR((1+INDEX('IRA - Advanced Manufacturing'!T$174:T$184,MATCH(BPCiObIC!$A29,'IRA - Advanced Manufacturing'!$B$174:$B$184,0))),1)</f>
        <v>9.1537443133358876E-2</v>
      </c>
      <c r="V29">
        <f>'Rescale to Fit GDP Proj'!W130*IFERROR((1+INDEX('IRA - Advanced Manufacturing'!U$174:U$184,MATCH(BPCiObIC!$A29,'IRA - Advanced Manufacturing'!$B$174:$B$184,0))),1)</f>
        <v>0.10914985205583805</v>
      </c>
      <c r="W29">
        <f>'Rescale to Fit GDP Proj'!X130*IFERROR((1+INDEX('IRA - Advanced Manufacturing'!V$174:V$184,MATCH(BPCiObIC!$A29,'IRA - Advanced Manufacturing'!$B$174:$B$184,0))),1)</f>
        <v>0.12298488688684572</v>
      </c>
      <c r="X29">
        <f>'Rescale to Fit GDP Proj'!Y130*IFERROR((1+INDEX('IRA - Advanced Manufacturing'!W$174:W$184,MATCH(BPCiObIC!$A29,'IRA - Advanced Manufacturing'!$B$174:$B$184,0))),1)</f>
        <v>0.13498793990319591</v>
      </c>
      <c r="Y29">
        <f>'Rescale to Fit GDP Proj'!Z130*IFERROR((1+INDEX('IRA - Advanced Manufacturing'!X$174:X$184,MATCH(BPCiObIC!$A29,'IRA - Advanced Manufacturing'!$B$174:$B$184,0))),1)</f>
        <v>0.14695594182624494</v>
      </c>
      <c r="Z29">
        <f>'Rescale to Fit GDP Proj'!AA130*IFERROR((1+INDEX('IRA - Advanced Manufacturing'!Y$174:Y$184,MATCH(BPCiObIC!$A29,'IRA - Advanced Manufacturing'!$B$174:$B$184,0))),1)</f>
        <v>0.1607104285794676</v>
      </c>
      <c r="AA29">
        <f>'Rescale to Fit GDP Proj'!AB130*IFERROR((1+INDEX('IRA - Advanced Manufacturing'!Z$174:Z$184,MATCH(BPCiObIC!$A29,'IRA - Advanced Manufacturing'!$B$174:$B$184,0))),1)</f>
        <v>0.17499143131842798</v>
      </c>
      <c r="AB29">
        <f>'Rescale to Fit GDP Proj'!AC130*IFERROR((1+INDEX('IRA - Advanced Manufacturing'!AA$174:AA$184,MATCH(BPCiObIC!$A29,'IRA - Advanced Manufacturing'!$B$174:$B$184,0))),1)</f>
        <v>0.18890499324338395</v>
      </c>
      <c r="AC29">
        <f>'Rescale to Fit GDP Proj'!AD130*IFERROR((1+INDEX('IRA - Advanced Manufacturing'!AB$174:AB$184,MATCH(BPCiObIC!$A29,'IRA - Advanced Manufacturing'!$B$174:$B$184,0))),1)</f>
        <v>0.20066901108338131</v>
      </c>
      <c r="AD29">
        <f>'Rescale to Fit GDP Proj'!AE130*IFERROR((1+INDEX('IRA - Advanced Manufacturing'!AC$174:AC$184,MATCH(BPCiObIC!$A29,'IRA - Advanced Manufacturing'!$B$174:$B$184,0))),1)</f>
        <v>0.21111543097939944</v>
      </c>
      <c r="AE29">
        <f>'Rescale to Fit GDP Proj'!AF130*IFERROR((1+INDEX('IRA - Advanced Manufacturing'!AD$174:AD$184,MATCH(BPCiObIC!$A29,'IRA - Advanced Manufacturing'!$B$174:$B$184,0))),1)</f>
        <v>0.22714163263726928</v>
      </c>
    </row>
    <row r="30" spans="1:31" x14ac:dyDescent="0.3">
      <c r="A30" s="2" t="s">
        <v>19</v>
      </c>
      <c r="B30">
        <f>'Rescale to Fit GDP Proj'!C86</f>
        <v>0</v>
      </c>
      <c r="C30">
        <f>'Rescale to Fit GDP Proj'!D131</f>
        <v>2.3870237573221754E-2</v>
      </c>
      <c r="D30">
        <f>'Rescale to Fit GDP Proj'!E131*IFERROR((1+INDEX('IRA - Advanced Manufacturing'!C$174:C$184,MATCH(BPCiObIC!$A30,'IRA - Advanced Manufacturing'!$B$174:$B$184,0))),1)</f>
        <v>4.8310263388245733E-2</v>
      </c>
      <c r="E30">
        <f>'Rescale to Fit GDP Proj'!F131*IFERROR((1+INDEX('IRA - Advanced Manufacturing'!D$174:D$184,MATCH(BPCiObIC!$A30,'IRA - Advanced Manufacturing'!$B$174:$B$184,0))),1)</f>
        <v>7.3333678425769877E-2</v>
      </c>
      <c r="F30">
        <f>'Rescale to Fit GDP Proj'!G131*IFERROR((1+INDEX('IRA - Advanced Manufacturing'!E$174:E$184,MATCH(BPCiObIC!$A30,'IRA - Advanced Manufacturing'!$B$174:$B$184,0))),1)</f>
        <v>9.8954408325133025E-2</v>
      </c>
      <c r="G30">
        <f>'Rescale to Fit GDP Proj'!H131*IFERROR((1+INDEX('IRA - Advanced Manufacturing'!F$174:F$184,MATCH(BPCiObIC!$A30,'IRA - Advanced Manufacturing'!$B$174:$B$184,0))),1)</f>
        <v>0.12518671113399327</v>
      </c>
      <c r="H30">
        <f>'Rescale to Fit GDP Proj'!I131*IFERROR((1+INDEX('IRA - Advanced Manufacturing'!G$174:G$184,MATCH(BPCiObIC!$A30,'IRA - Advanced Manufacturing'!$B$174:$B$184,0))),1)</f>
        <v>0.15204518524299382</v>
      </c>
      <c r="I30">
        <f>'Rescale to Fit GDP Proj'!J131*IFERROR((1+INDEX('IRA - Advanced Manufacturing'!H$174:H$184,MATCH(BPCiObIC!$A30,'IRA - Advanced Manufacturing'!$B$174:$B$184,0))),1)</f>
        <v>0.17954477750983044</v>
      </c>
      <c r="J30">
        <f>'Rescale to Fit GDP Proj'!K131*IFERROR((1+INDEX('IRA - Advanced Manufacturing'!I$174:I$184,MATCH(BPCiObIC!$A30,'IRA - Advanced Manufacturing'!$B$174:$B$184,0))),1)</f>
        <v>0.20770079157724308</v>
      </c>
      <c r="K30">
        <f>'Rescale to Fit GDP Proj'!L131*IFERROR((1+INDEX('IRA - Advanced Manufacturing'!J$174:J$184,MATCH(BPCiObIC!$A30,'IRA - Advanced Manufacturing'!$B$174:$B$184,0))),1)</f>
        <v>0.23652889638955998</v>
      </c>
      <c r="L30">
        <f>'Rescale to Fit GDP Proj'!M131*IFERROR((1+INDEX('IRA - Advanced Manufacturing'!K$174:K$184,MATCH(BPCiObIC!$A30,'IRA - Advanced Manufacturing'!$B$174:$B$184,0))),1)</f>
        <v>0.26604513491253257</v>
      </c>
      <c r="M30">
        <f>'Rescale to Fit GDP Proj'!N131*IFERROR((1+INDEX('IRA - Advanced Manufacturing'!L$174:L$184,MATCH(BPCiObIC!$A30,'IRA - Advanced Manufacturing'!$B$174:$B$184,0))),1)</f>
        <v>0.29626593306131643</v>
      </c>
      <c r="N30">
        <f>'Rescale to Fit GDP Proj'!O131*IFERROR((1+INDEX('IRA - Advanced Manufacturing'!M$174:M$184,MATCH(BPCiObIC!$A30,'IRA - Advanced Manufacturing'!$B$174:$B$184,0))),1)</f>
        <v>0.32720810884156415</v>
      </c>
      <c r="O30">
        <f>'Rescale to Fit GDP Proj'!P131*IFERROR((1+INDEX('IRA - Advanced Manufacturing'!N$174:N$184,MATCH(BPCiObIC!$A30,'IRA - Advanced Manufacturing'!$B$174:$B$184,0))),1)</f>
        <v>0.3588888817087188</v>
      </c>
      <c r="P30">
        <f>'Rescale to Fit GDP Proj'!Q131*IFERROR((1+INDEX('IRA - Advanced Manufacturing'!O$174:O$184,MATCH(BPCiObIC!$A30,'IRA - Advanced Manufacturing'!$B$174:$B$184,0))),1)</f>
        <v>0.39132588215071573</v>
      </c>
      <c r="Q30">
        <f>'Rescale to Fit GDP Proj'!R131*IFERROR((1+INDEX('IRA - Advanced Manufacturing'!P$174:P$184,MATCH(BPCiObIC!$A30,'IRA - Advanced Manufacturing'!$B$174:$B$184,0))),1)</f>
        <v>0.42453716149942577</v>
      </c>
      <c r="R30">
        <f>'Rescale to Fit GDP Proj'!S131*IFERROR((1+INDEX('IRA - Advanced Manufacturing'!Q$174:Q$184,MATCH(BPCiObIC!$A30,'IRA - Advanced Manufacturing'!$B$174:$B$184,0))),1)</f>
        <v>0.45854120197630022</v>
      </c>
      <c r="S30">
        <f>'Rescale to Fit GDP Proj'!T131*IFERROR((1+INDEX('IRA - Advanced Manufacturing'!R$174:R$184,MATCH(BPCiObIC!$A30,'IRA - Advanced Manufacturing'!$B$174:$B$184,0))),1)</f>
        <v>0.49335692697780709</v>
      </c>
      <c r="T30">
        <f>'Rescale to Fit GDP Proj'!U131*IFERROR((1+INDEX('IRA - Advanced Manufacturing'!S$174:S$184,MATCH(BPCiObIC!$A30,'IRA - Advanced Manufacturing'!$B$174:$B$184,0))),1)</f>
        <v>0.52900371160638371</v>
      </c>
      <c r="U30">
        <f>'Rescale to Fit GDP Proj'!V131*IFERROR((1+INDEX('IRA - Advanced Manufacturing'!T$174:T$184,MATCH(BPCiObIC!$A30,'IRA - Advanced Manufacturing'!$B$174:$B$184,0))),1)</f>
        <v>0.56550139345276595</v>
      </c>
      <c r="V30">
        <f>'Rescale to Fit GDP Proj'!W131*IFERROR((1+INDEX('IRA - Advanced Manufacturing'!U$174:U$184,MATCH(BPCiObIC!$A30,'IRA - Advanced Manufacturing'!$B$174:$B$184,0))),1)</f>
        <v>0.60287028363569339</v>
      </c>
      <c r="W30">
        <f>'Rescale to Fit GDP Proj'!X131*IFERROR((1+INDEX('IRA - Advanced Manufacturing'!V$174:V$184,MATCH(BPCiObIC!$A30,'IRA - Advanced Manufacturing'!$B$174:$B$184,0))),1)</f>
        <v>0.64113117810513476</v>
      </c>
      <c r="X30">
        <f>'Rescale to Fit GDP Proj'!Y131*IFERROR((1+INDEX('IRA - Advanced Manufacturing'!W$174:W$184,MATCH(BPCiObIC!$A30,'IRA - Advanced Manufacturing'!$B$174:$B$184,0))),1)</f>
        <v>0.68030536921532581</v>
      </c>
      <c r="Y30">
        <f>'Rescale to Fit GDP Proj'!Z131*IFERROR((1+INDEX('IRA - Advanced Manufacturing'!X$174:X$184,MATCH(BPCiObIC!$A30,'IRA - Advanced Manufacturing'!$B$174:$B$184,0))),1)</f>
        <v>0.72041465757405576</v>
      </c>
      <c r="Z30">
        <f>'Rescale to Fit GDP Proj'!AA131*IFERROR((1+INDEX('IRA - Advanced Manufacturing'!Y$174:Y$184,MATCH(BPCiObIC!$A30,'IRA - Advanced Manufacturing'!$B$174:$B$184,0))),1)</f>
        <v>0.7614813641748015</v>
      </c>
      <c r="AA30">
        <f>'Rescale to Fit GDP Proj'!AB131*IFERROR((1+INDEX('IRA - Advanced Manufacturing'!Z$174:Z$184,MATCH(BPCiObIC!$A30,'IRA - Advanced Manufacturing'!$B$174:$B$184,0))),1)</f>
        <v>0.80352834281845698</v>
      </c>
      <c r="AB30">
        <f>'Rescale to Fit GDP Proj'!AC131*IFERROR((1+INDEX('IRA - Advanced Manufacturing'!AA$174:AA$184,MATCH(BPCiObIC!$A30,'IRA - Advanced Manufacturing'!$B$174:$B$184,0))),1)</f>
        <v>0.84657899283157256</v>
      </c>
      <c r="AC30">
        <f>'Rescale to Fit GDP Proj'!AD131*IFERROR((1+INDEX('IRA - Advanced Manufacturing'!AB$174:AB$184,MATCH(BPCiObIC!$A30,'IRA - Advanced Manufacturing'!$B$174:$B$184,0))),1)</f>
        <v>0.89065727208818291</v>
      </c>
      <c r="AD30">
        <f>'Rescale to Fit GDP Proj'!AE131*IFERROR((1+INDEX('IRA - Advanced Manufacturing'!AC$174:AC$184,MATCH(BPCiObIC!$A30,'IRA - Advanced Manufacturing'!$B$174:$B$184,0))),1)</f>
        <v>0.93578771034246722</v>
      </c>
      <c r="AE30">
        <f>'Rescale to Fit GDP Proj'!AF131*IFERROR((1+INDEX('IRA - Advanced Manufacturing'!AD$174:AD$184,MATCH(BPCiObIC!$A30,'IRA - Advanced Manufacturing'!$B$174:$B$184,0))),1)</f>
        <v>0.98199542287966501</v>
      </c>
    </row>
    <row r="31" spans="1:31" x14ac:dyDescent="0.3">
      <c r="A31" s="2" t="s">
        <v>20</v>
      </c>
      <c r="B31">
        <f>'Rescale to Fit GDP Proj'!C87</f>
        <v>0</v>
      </c>
      <c r="C31">
        <f>'Rescale to Fit GDP Proj'!D132</f>
        <v>1.5264E-2</v>
      </c>
      <c r="D31">
        <f>'Rescale to Fit GDP Proj'!E132*IFERROR((1+INDEX('IRA - Advanced Manufacturing'!C$174:C$184,MATCH(BPCiObIC!$A31,'IRA - Advanced Manufacturing'!$B$174:$B$184,0))),1)</f>
        <v>3.0760989695999941E-2</v>
      </c>
      <c r="E31">
        <f>'Rescale to Fit GDP Proj'!F132*IFERROR((1+INDEX('IRA - Advanced Manufacturing'!D$174:D$184,MATCH(BPCiObIC!$A31,'IRA - Advanced Manufacturing'!$B$174:$B$184,0))),1)</f>
        <v>4.6494525442719592E-2</v>
      </c>
      <c r="F31">
        <f>'Rescale to Fit GDP Proj'!G132*IFERROR((1+INDEX('IRA - Advanced Manufacturing'!E$174:E$184,MATCH(BPCiObIC!$A31,'IRA - Advanced Manufacturing'!$B$174:$B$184,0))),1)</f>
        <v>6.2468217879077192E-2</v>
      </c>
      <c r="G31">
        <f>'Rescale to Fit GDP Proj'!H132*IFERROR((1+INDEX('IRA - Advanced Manufacturing'!F$174:F$184,MATCH(BPCiObIC!$A31,'IRA - Advanced Manufacturing'!$B$174:$B$184,0))),1)</f>
        <v>7.8685732756783366E-2</v>
      </c>
      <c r="H31">
        <f>'Rescale to Fit GDP Proj'!I132*IFERROR((1+INDEX('IRA - Advanced Manufacturing'!G$174:G$184,MATCH(BPCiObIC!$A31,'IRA - Advanced Manufacturing'!$B$174:$B$184,0))),1)</f>
        <v>9.5150791781582811E-2</v>
      </c>
      <c r="I31">
        <f>'Rescale to Fit GDP Proj'!J132*IFERROR((1+INDEX('IRA - Advanced Manufacturing'!H$174:H$184,MATCH(BPCiObIC!$A31,'IRA - Advanced Manufacturing'!$B$174:$B$184,0))),1)</f>
        <v>0.11186717346733688</v>
      </c>
      <c r="J31">
        <f>'Rescale to Fit GDP Proj'!K132*IFERROR((1+INDEX('IRA - Advanced Manufacturing'!I$174:I$184,MATCH(BPCiObIC!$A31,'IRA - Advanced Manufacturing'!$B$174:$B$184,0))),1)</f>
        <v>0.12883871400314217</v>
      </c>
      <c r="K31">
        <f>'Rescale to Fit GDP Proj'!L132*IFERROR((1+INDEX('IRA - Advanced Manufacturing'!J$174:J$184,MATCH(BPCiObIC!$A31,'IRA - Advanced Manufacturing'!$B$174:$B$184,0))),1)</f>
        <v>0.14606930813368613</v>
      </c>
      <c r="L31">
        <f>'Rescale to Fit GDP Proj'!M132*IFERROR((1+INDEX('IRA - Advanced Manufacturing'!K$174:K$184,MATCH(BPCiObIC!$A31,'IRA - Advanced Manufacturing'!$B$174:$B$184,0))),1)</f>
        <v>0.16356291005303869</v>
      </c>
      <c r="M31">
        <f>'Rescale to Fit GDP Proj'!N132*IFERROR((1+INDEX('IRA - Advanced Manufacturing'!L$174:L$184,MATCH(BPCiObIC!$A31,'IRA - Advanced Manufacturing'!$B$174:$B$184,0))),1)</f>
        <v>0.18132353431208825</v>
      </c>
      <c r="N31">
        <f>'Rescale to Fit GDP Proj'!O132*IFERROR((1+INDEX('IRA - Advanced Manufacturing'!M$174:M$184,MATCH(BPCiObIC!$A31,'IRA - Advanced Manufacturing'!$B$174:$B$184,0))),1)</f>
        <v>0.19935525673982779</v>
      </c>
      <c r="O31">
        <f>'Rescale to Fit GDP Proj'!P132*IFERROR((1+INDEX('IRA - Advanced Manufacturing'!N$174:N$184,MATCH(BPCiObIC!$A31,'IRA - Advanced Manufacturing'!$B$174:$B$184,0))),1)</f>
        <v>0.21766221537870445</v>
      </c>
      <c r="P31">
        <f>'Rescale to Fit GDP Proj'!Q132*IFERROR((1+INDEX('IRA - Advanced Manufacturing'!O$174:O$184,MATCH(BPCiObIC!$A31,'IRA - Advanced Manufacturing'!$B$174:$B$184,0))),1)</f>
        <v>0.23624861143424503</v>
      </c>
      <c r="Q31">
        <f>'Rescale to Fit GDP Proj'!R132*IFERROR((1+INDEX('IRA - Advanced Manufacturing'!P$174:P$184,MATCH(BPCiObIC!$A31,'IRA - Advanced Manufacturing'!$B$174:$B$184,0))),1)</f>
        <v>0.2551187102391772</v>
      </c>
      <c r="R31">
        <f>'Rescale to Fit GDP Proj'!S132*IFERROR((1+INDEX('IRA - Advanced Manufacturing'!Q$174:Q$184,MATCH(BPCiObIC!$A31,'IRA - Advanced Manufacturing'!$B$174:$B$184,0))),1)</f>
        <v>0.27427684223226789</v>
      </c>
      <c r="S31">
        <f>'Rescale to Fit GDP Proj'!T132*IFERROR((1+INDEX('IRA - Advanced Manufacturing'!R$174:R$184,MATCH(BPCiObIC!$A31,'IRA - Advanced Manufacturing'!$B$174:$B$184,0))),1)</f>
        <v>0.29372740395210117</v>
      </c>
      <c r="T31">
        <f>'Rescale to Fit GDP Proj'!U132*IFERROR((1+INDEX('IRA - Advanced Manufacturing'!S$174:S$184,MATCH(BPCiObIC!$A31,'IRA - Advanced Manufacturing'!$B$174:$B$184,0))),1)</f>
        <v>0.3134748590460259</v>
      </c>
      <c r="U31">
        <f>'Rescale to Fit GDP Proj'!V132*IFERROR((1+INDEX('IRA - Advanced Manufacturing'!T$174:T$184,MATCH(BPCiObIC!$A31,'IRA - Advanced Manufacturing'!$B$174:$B$184,0))),1)</f>
        <v>0.3335237392945043</v>
      </c>
      <c r="V31">
        <f>'Rescale to Fit GDP Proj'!W132*IFERROR((1+INDEX('IRA - Advanced Manufacturing'!U$174:U$184,MATCH(BPCiObIC!$A31,'IRA - Advanced Manufacturing'!$B$174:$B$184,0))),1)</f>
        <v>0.35387864565109561</v>
      </c>
      <c r="W31">
        <f>'Rescale to Fit GDP Proj'!X132*IFERROR((1+INDEX('IRA - Advanced Manufacturing'!V$174:V$184,MATCH(BPCiObIC!$A31,'IRA - Advanced Manufacturing'!$B$174:$B$184,0))),1)</f>
        <v>0.37454424929831376</v>
      </c>
      <c r="X31">
        <f>'Rescale to Fit GDP Proj'!Y132*IFERROR((1+INDEX('IRA - Advanced Manufacturing'!W$174:W$184,MATCH(BPCiObIC!$A31,'IRA - Advanced Manufacturing'!$B$174:$B$184,0))),1)</f>
        <v>0.39552529271960313</v>
      </c>
      <c r="Y31">
        <f>'Rescale to Fit GDP Proj'!Z132*IFERROR((1+INDEX('IRA - Advanced Manufacturing'!X$174:X$184,MATCH(BPCiObIC!$A31,'IRA - Advanced Manufacturing'!$B$174:$B$184,0))),1)</f>
        <v>0.41682659078767514</v>
      </c>
      <c r="Z31">
        <f>'Rescale to Fit GDP Proj'!AA132*IFERROR((1+INDEX('IRA - Advanced Manufacturing'!Y$174:Y$184,MATCH(BPCiObIC!$A31,'IRA - Advanced Manufacturing'!$B$174:$B$184,0))),1)</f>
        <v>0.43845303186945817</v>
      </c>
      <c r="AA31">
        <f>'Rescale to Fit GDP Proj'!AB132*IFERROR((1+INDEX('IRA - Advanced Manufacturing'!Z$174:Z$184,MATCH(BPCiObIC!$A31,'IRA - Advanced Manufacturing'!$B$174:$B$184,0))),1)</f>
        <v>0.46040957894791346</v>
      </c>
      <c r="AB31">
        <f>'Rescale to Fit GDP Proj'!AC132*IFERROR((1+INDEX('IRA - Advanced Manufacturing'!AA$174:AA$184,MATCH(BPCiObIC!$A31,'IRA - Advanced Manufacturing'!$B$174:$B$184,0))),1)</f>
        <v>0.48270127076097435</v>
      </c>
      <c r="AC31">
        <f>'Rescale to Fit GDP Proj'!AD132*IFERROR((1+INDEX('IRA - Advanced Manufacturing'!AB$174:AB$184,MATCH(BPCiObIC!$A31,'IRA - Advanced Manufacturing'!$B$174:$B$184,0))),1)</f>
        <v>0.50533322295786975</v>
      </c>
      <c r="AD31">
        <f>'Rescale to Fit GDP Proj'!AE132*IFERROR((1+INDEX('IRA - Advanced Manufacturing'!AC$174:AC$184,MATCH(BPCiObIC!$A31,'IRA - Advanced Manufacturing'!$B$174:$B$184,0))),1)</f>
        <v>0.52831062927309858</v>
      </c>
      <c r="AE31">
        <f>'Rescale to Fit GDP Proj'!AF132*IFERROR((1+INDEX('IRA - Advanced Manufacturing'!AD$174:AD$184,MATCH(BPCiObIC!$A31,'IRA - Advanced Manufacturing'!$B$174:$B$184,0))),1)</f>
        <v>0.55163876271832302</v>
      </c>
    </row>
    <row r="32" spans="1:31" x14ac:dyDescent="0.3">
      <c r="A32" s="2" t="s">
        <v>21</v>
      </c>
      <c r="B32">
        <f>'Rescale to Fit GDP Proj'!C88</f>
        <v>0</v>
      </c>
      <c r="C32">
        <f>'Rescale to Fit GDP Proj'!D133</f>
        <v>2.0034E-2</v>
      </c>
      <c r="D32">
        <f>'Rescale to Fit GDP Proj'!E133*IFERROR((1+INDEX('IRA - Advanced Manufacturing'!C$174:C$184,MATCH(BPCiObIC!$A32,'IRA - Advanced Manufacturing'!$B$174:$B$184,0))),1)</f>
        <v>4.0469361156000305E-2</v>
      </c>
      <c r="E32">
        <f>'Rescale to Fit GDP Proj'!F133*IFERROR((1+INDEX('IRA - Advanced Manufacturing'!D$174:D$184,MATCH(BPCiObIC!$A32,'IRA - Advanced Manufacturing'!$B$174:$B$184,0))),1)</f>
        <v>6.13141243373998E-2</v>
      </c>
      <c r="F32">
        <f>'Rescale to Fit GDP Proj'!G133*IFERROR((1+INDEX('IRA - Advanced Manufacturing'!E$174:E$184,MATCH(BPCiObIC!$A32,'IRA - Advanced Manufacturing'!$B$174:$B$184,0))),1)</f>
        <v>8.2576491504375404E-2</v>
      </c>
      <c r="G32">
        <f>'Rescale to Fit GDP Proj'!H133*IFERROR((1+INDEX('IRA - Advanced Manufacturing'!F$174:F$184,MATCH(BPCiObIC!$A32,'IRA - Advanced Manufacturing'!$B$174:$B$184,0))),1)</f>
        <v>0.10426482893517419</v>
      </c>
      <c r="H32">
        <f>'Rescale to Fit GDP Proj'!I133*IFERROR((1+INDEX('IRA - Advanced Manufacturing'!G$174:G$184,MATCH(BPCiObIC!$A32,'IRA - Advanced Manufacturing'!$B$174:$B$184,0))),1)</f>
        <v>0.12638767051806155</v>
      </c>
      <c r="I32">
        <f>'Rescale to Fit GDP Proj'!J133*IFERROR((1+INDEX('IRA - Advanced Manufacturing'!H$174:H$184,MATCH(BPCiObIC!$A32,'IRA - Advanced Manufacturing'!$B$174:$B$184,0))),1)</f>
        <v>0.14895372110922045</v>
      </c>
      <c r="J32">
        <f>'Rescale to Fit GDP Proj'!K133*IFERROR((1+INDEX('IRA - Advanced Manufacturing'!I$174:I$184,MATCH(BPCiObIC!$A32,'IRA - Advanced Manufacturing'!$B$174:$B$184,0))),1)</f>
        <v>0.17197185995792275</v>
      </c>
      <c r="K32">
        <f>'Rescale to Fit GDP Proj'!L133*IFERROR((1+INDEX('IRA - Advanced Manufacturing'!J$174:J$184,MATCH(BPCiObIC!$A32,'IRA - Advanced Manufacturing'!$B$174:$B$184,0))),1)</f>
        <v>0.19545114420031995</v>
      </c>
      <c r="L32">
        <f>'Rescale to Fit GDP Proj'!M133*IFERROR((1+INDEX('IRA - Advanced Manufacturing'!K$174:K$184,MATCH(BPCiObIC!$A32,'IRA - Advanced Manufacturing'!$B$174:$B$184,0))),1)</f>
        <v>0.2194008124232294</v>
      </c>
      <c r="M32">
        <f>'Rescale to Fit GDP Proj'!N133*IFERROR((1+INDEX('IRA - Advanced Manufacturing'!L$174:L$184,MATCH(BPCiObIC!$A32,'IRA - Advanced Manufacturing'!$B$174:$B$184,0))),1)</f>
        <v>0.24383028829931641</v>
      </c>
      <c r="N32">
        <f>'Rescale to Fit GDP Proj'!O133*IFERROR((1+INDEX('IRA - Advanced Manufacturing'!M$174:M$184,MATCH(BPCiObIC!$A32,'IRA - Advanced Manufacturing'!$B$174:$B$184,0))),1)</f>
        <v>0.26874918429510508</v>
      </c>
      <c r="O32">
        <f>'Rescale to Fit GDP Proj'!P133*IFERROR((1+INDEX('IRA - Advanced Manufacturing'!N$174:N$184,MATCH(BPCiObIC!$A32,'IRA - Advanced Manufacturing'!$B$174:$B$184,0))),1)</f>
        <v>0.29416730545327341</v>
      </c>
      <c r="P32">
        <f>'Rescale to Fit GDP Proj'!Q133*IFERROR((1+INDEX('IRA - Advanced Manufacturing'!O$174:O$184,MATCH(BPCiObIC!$A32,'IRA - Advanced Manufacturing'!$B$174:$B$184,0))),1)</f>
        <v>0.3200946532507245</v>
      </c>
      <c r="Q32">
        <f>'Rescale to Fit GDP Proj'!R133*IFERROR((1+INDEX('IRA - Advanced Manufacturing'!P$174:P$184,MATCH(BPCiObIC!$A32,'IRA - Advanced Manufacturing'!$B$174:$B$184,0))),1)</f>
        <v>0.34654142953394973</v>
      </c>
      <c r="R32">
        <f>'Rescale to Fit GDP Proj'!S133*IFERROR((1+INDEX('IRA - Advanced Manufacturing'!Q$174:Q$184,MATCH(BPCiObIC!$A32,'IRA - Advanced Manufacturing'!$B$174:$B$184,0))),1)</f>
        <v>0.37351804053323301</v>
      </c>
      <c r="S32">
        <f>'Rescale to Fit GDP Proj'!T133*IFERROR((1+INDEX('IRA - Advanced Manufacturing'!R$174:R$184,MATCH(BPCiObIC!$A32,'IRA - Advanced Manufacturing'!$B$174:$B$184,0))),1)</f>
        <v>0.4010351009572759</v>
      </c>
      <c r="T32">
        <f>'Rescale to Fit GDP Proj'!U133*IFERROR((1+INDEX('IRA - Advanced Manufacturing'!S$174:S$184,MATCH(BPCiObIC!$A32,'IRA - Advanced Manufacturing'!$B$174:$B$184,0))),1)</f>
        <v>0.42910343816985419</v>
      </c>
      <c r="U32">
        <f>'Rescale to Fit GDP Proj'!V133*IFERROR((1+INDEX('IRA - Advanced Manufacturing'!T$174:T$184,MATCH(BPCiObIC!$A32,'IRA - Advanced Manufacturing'!$B$174:$B$184,0))),1)</f>
        <v>0.45773409645014929</v>
      </c>
      <c r="V32">
        <f>'Rescale to Fit GDP Proj'!W133*IFERROR((1+INDEX('IRA - Advanced Manufacturing'!U$174:U$184,MATCH(BPCiObIC!$A32,'IRA - Advanced Manufacturing'!$B$174:$B$184,0))),1)</f>
        <v>0.48693834133843183</v>
      </c>
      <c r="W32">
        <f>'Rescale to Fit GDP Proj'!X133*IFERROR((1+INDEX('IRA - Advanced Manufacturing'!V$174:V$184,MATCH(BPCiObIC!$A32,'IRA - Advanced Manufacturing'!$B$174:$B$184,0))),1)</f>
        <v>0.5167276640688061</v>
      </c>
      <c r="X32">
        <f>'Rescale to Fit GDP Proj'!Y133*IFERROR((1+INDEX('IRA - Advanced Manufacturing'!W$174:W$184,MATCH(BPCiObIC!$A32,'IRA - Advanced Manufacturing'!$B$174:$B$184,0))),1)</f>
        <v>0.54711378609076067</v>
      </c>
      <c r="Y32">
        <f>'Rescale to Fit GDP Proj'!Z133*IFERROR((1+INDEX('IRA - Advanced Manufacturing'!X$174:X$184,MATCH(BPCiObIC!$A32,'IRA - Advanced Manufacturing'!$B$174:$B$184,0))),1)</f>
        <v>0.57810866368130309</v>
      </c>
      <c r="Z32">
        <f>'Rescale to Fit GDP Proj'!AA133*IFERROR((1+INDEX('IRA - Advanced Manufacturing'!Y$174:Y$184,MATCH(BPCiObIC!$A32,'IRA - Advanced Manufacturing'!$B$174:$B$184,0))),1)</f>
        <v>0.60972449264949447</v>
      </c>
      <c r="AA32">
        <f>'Rescale to Fit GDP Proj'!AB133*IFERROR((1+INDEX('IRA - Advanced Manufacturing'!Z$174:Z$184,MATCH(BPCiObIC!$A32,'IRA - Advanced Manufacturing'!$B$174:$B$184,0))),1)</f>
        <v>0.64197371313523455</v>
      </c>
      <c r="AB32">
        <f>'Rescale to Fit GDP Proj'!AC133*IFERROR((1+INDEX('IRA - Advanced Manufacturing'!AA$174:AA$184,MATCH(BPCiObIC!$A32,'IRA - Advanced Manufacturing'!$B$174:$B$184,0))),1)</f>
        <v>0.67486901450418602</v>
      </c>
      <c r="AC32">
        <f>'Rescale to Fit GDP Proj'!AD133*IFERROR((1+INDEX('IRA - Advanced Manufacturing'!AB$174:AB$184,MATCH(BPCiObIC!$A32,'IRA - Advanced Manufacturing'!$B$174:$B$184,0))),1)</f>
        <v>0.70842334034076315</v>
      </c>
      <c r="AD32">
        <f>'Rescale to Fit GDP Proj'!AE133*IFERROR((1+INDEX('IRA - Advanced Manufacturing'!AC$174:AC$184,MATCH(BPCiObIC!$A32,'IRA - Advanced Manufacturing'!$B$174:$B$184,0))),1)</f>
        <v>0.74264989354115007</v>
      </c>
      <c r="AE32">
        <f>'Rescale to Fit GDP Proj'!AF133*IFERROR((1+INDEX('IRA - Advanced Manufacturing'!AD$174:AD$184,MATCH(BPCiObIC!$A32,'IRA - Advanced Manufacturing'!$B$174:$B$184,0))),1)</f>
        <v>0.77756214150835357</v>
      </c>
    </row>
    <row r="33" spans="1:31" x14ac:dyDescent="0.3">
      <c r="A33" s="2" t="s">
        <v>22</v>
      </c>
      <c r="B33">
        <f>'Rescale to Fit GDP Proj'!C89</f>
        <v>0</v>
      </c>
      <c r="C33">
        <f>'Rescale to Fit GDP Proj'!D134</f>
        <v>2.5185470174642774E-2</v>
      </c>
      <c r="D33">
        <f>'Rescale to Fit GDP Proj'!E134*IFERROR((1+INDEX('IRA - Advanced Manufacturing'!C$174:C$184,MATCH(BPCiObIC!$A33,'IRA - Advanced Manufacturing'!$B$174:$B$184,0))),1)</f>
        <v>5.1005248257203428E-2</v>
      </c>
      <c r="E33">
        <f>'Rescale to Fit GDP Proj'!F134*IFERROR((1+INDEX('IRA - Advanced Manufacturing'!D$174:D$184,MATCH(BPCiObIC!$A33,'IRA - Advanced Manufacturing'!$B$174:$B$184,0))),1)</f>
        <v>7.7475309590578245E-2</v>
      </c>
      <c r="F33">
        <f>'Rescale to Fit GDP Proj'!G134*IFERROR((1+INDEX('IRA - Advanced Manufacturing'!E$174:E$184,MATCH(BPCiObIC!$A33,'IRA - Advanced Manufacturing'!$B$174:$B$184,0))),1)</f>
        <v>0.10461203186418566</v>
      </c>
      <c r="G33">
        <f>'Rescale to Fit GDP Proj'!H134*IFERROR((1+INDEX('IRA - Advanced Manufacturing'!F$174:F$184,MATCH(BPCiObIC!$A33,'IRA - Advanced Manufacturing'!$B$174:$B$184,0))),1)</f>
        <v>0.13243220524725263</v>
      </c>
      <c r="H33">
        <f>'Rescale to Fit GDP Proj'!I134*IFERROR((1+INDEX('IRA - Advanced Manufacturing'!G$174:G$184,MATCH(BPCiObIC!$A33,'IRA - Advanced Manufacturing'!$B$174:$B$184,0))),1)</f>
        <v>0.16095304277731226</v>
      </c>
      <c r="I33">
        <f>'Rescale to Fit GDP Proj'!J134*IFERROR((1+INDEX('IRA - Advanced Manufacturing'!H$174:H$184,MATCH(BPCiObIC!$A33,'IRA - Advanced Manufacturing'!$B$174:$B$184,0))),1)</f>
        <v>0.19019219101034102</v>
      </c>
      <c r="J33">
        <f>'Rescale to Fit GDP Proj'!K134*IFERROR((1+INDEX('IRA - Advanced Manufacturing'!I$174:I$184,MATCH(BPCiObIC!$A33,'IRA - Advanced Manufacturing'!$B$174:$B$184,0))),1)</f>
        <v>0.22016774093912472</v>
      </c>
      <c r="K33">
        <f>'Rescale to Fit GDP Proj'!L134*IFERROR((1+INDEX('IRA - Advanced Manufacturing'!J$174:J$184,MATCH(BPCiObIC!$A33,'IRA - Advanced Manufacturing'!$B$174:$B$184,0))),1)</f>
        <v>0.25089823918660836</v>
      </c>
      <c r="L33">
        <f>'Rescale to Fit GDP Proj'!M134*IFERROR((1+INDEX('IRA - Advanced Manufacturing'!K$174:K$184,MATCH(BPCiObIC!$A33,'IRA - Advanced Manufacturing'!$B$174:$B$184,0))),1)</f>
        <v>0.28240269948115593</v>
      </c>
      <c r="M33">
        <f>'Rescale to Fit GDP Proj'!N134*IFERROR((1+INDEX('IRA - Advanced Manufacturing'!L$174:L$184,MATCH(BPCiObIC!$A33,'IRA - Advanced Manufacturing'!$B$174:$B$184,0))),1)</f>
        <v>0.31470061442081998</v>
      </c>
      <c r="N33">
        <f>'Rescale to Fit GDP Proj'!O134*IFERROR((1+INDEX('IRA - Advanced Manufacturing'!M$174:M$184,MATCH(BPCiObIC!$A33,'IRA - Advanced Manufacturing'!$B$174:$B$184,0))),1)</f>
        <v>0.34781196753389998</v>
      </c>
      <c r="O33">
        <f>'Rescale to Fit GDP Proj'!P134*IFERROR((1+INDEX('IRA - Advanced Manufacturing'!N$174:N$184,MATCH(BPCiObIC!$A33,'IRA - Advanced Manufacturing'!$B$174:$B$184,0))),1)</f>
        <v>0.38175724564325164</v>
      </c>
      <c r="P33">
        <f>'Rescale to Fit GDP Proj'!Q134*IFERROR((1+INDEX('IRA - Advanced Manufacturing'!O$174:O$184,MATCH(BPCiObIC!$A33,'IRA - Advanced Manufacturing'!$B$174:$B$184,0))),1)</f>
        <v>0.4165574515419963</v>
      </c>
      <c r="Q33">
        <f>'Rescale to Fit GDP Proj'!R134*IFERROR((1+INDEX('IRA - Advanced Manufacturing'!P$174:P$184,MATCH(BPCiObIC!$A33,'IRA - Advanced Manufacturing'!$B$174:$B$184,0))),1)</f>
        <v>0.45223411698847515</v>
      </c>
      <c r="R33">
        <f>'Rescale to Fit GDP Proj'!S134*IFERROR((1+INDEX('IRA - Advanced Manufacturing'!Q$174:Q$184,MATCH(BPCiObIC!$A33,'IRA - Advanced Manufacturing'!$B$174:$B$184,0))),1)</f>
        <v>0.48880931602848721</v>
      </c>
      <c r="S33">
        <f>'Rescale to Fit GDP Proj'!T134*IFERROR((1+INDEX('IRA - Advanced Manufacturing'!R$174:R$184,MATCH(BPCiObIC!$A33,'IRA - Advanced Manufacturing'!$B$174:$B$184,0))),1)</f>
        <v>0.52630567865305289</v>
      </c>
      <c r="T33">
        <f>'Rescale to Fit GDP Proj'!U134*IFERROR((1+INDEX('IRA - Advanced Manufacturing'!S$174:S$184,MATCH(BPCiObIC!$A33,'IRA - Advanced Manufacturing'!$B$174:$B$184,0))),1)</f>
        <v>0.56474640480015736</v>
      </c>
      <c r="U33">
        <f>'Rescale to Fit GDP Proj'!V134*IFERROR((1+INDEX('IRA - Advanced Manufacturing'!T$174:T$184,MATCH(BPCiObIC!$A33,'IRA - Advanced Manufacturing'!$B$174:$B$184,0))),1)</f>
        <v>0.60415527870913133</v>
      </c>
      <c r="V33">
        <f>'Rescale to Fit GDP Proj'!W134*IFERROR((1+INDEX('IRA - Advanced Manufacturing'!U$174:U$184,MATCH(BPCiObIC!$A33,'IRA - Advanced Manufacturing'!$B$174:$B$184,0))),1)</f>
        <v>0.64455668363655594</v>
      </c>
      <c r="W33">
        <f>'Rescale to Fit GDP Proj'!X134*IFERROR((1+INDEX('IRA - Advanced Manufacturing'!V$174:V$184,MATCH(BPCiObIC!$A33,'IRA - Advanced Manufacturing'!$B$174:$B$184,0))),1)</f>
        <v>0.68597561694279396</v>
      </c>
      <c r="X33">
        <f>'Rescale to Fit GDP Proj'!Y134*IFERROR((1+INDEX('IRA - Advanced Manufacturing'!W$174:W$184,MATCH(BPCiObIC!$A33,'IRA - Advanced Manufacturing'!$B$174:$B$184,0))),1)</f>
        <v>0.72843770555848164</v>
      </c>
      <c r="Y33">
        <f>'Rescale to Fit GDP Proj'!Z134*IFERROR((1+INDEX('IRA - Advanced Manufacturing'!X$174:X$184,MATCH(BPCiObIC!$A33,'IRA - Advanced Manufacturing'!$B$174:$B$184,0))),1)</f>
        <v>0.77196922184055272</v>
      </c>
      <c r="Z33">
        <f>'Rescale to Fit GDP Proj'!AA134*IFERROR((1+INDEX('IRA - Advanced Manufacturing'!Y$174:Y$184,MATCH(BPCiObIC!$A33,'IRA - Advanced Manufacturing'!$B$174:$B$184,0))),1)</f>
        <v>0.81659709982760287</v>
      </c>
      <c r="AA33">
        <f>'Rescale to Fit GDP Proj'!AB134*IFERROR((1+INDEX('IRA - Advanced Manufacturing'!Z$174:Z$184,MATCH(BPCiObIC!$A33,'IRA - Advanced Manufacturing'!$B$174:$B$184,0))),1)</f>
        <v>0.86234895190465344</v>
      </c>
      <c r="AB33">
        <f>'Rescale to Fit GDP Proj'!AC134*IFERROR((1+INDEX('IRA - Advanced Manufacturing'!AA$174:AA$184,MATCH(BPCiObIC!$A33,'IRA - Advanced Manufacturing'!$B$174:$B$184,0))),1)</f>
        <v>0.90925308588762532</v>
      </c>
      <c r="AC33">
        <f>'Rescale to Fit GDP Proj'!AD134*IFERROR((1+INDEX('IRA - Advanced Manufacturing'!AB$174:AB$184,MATCH(BPCiObIC!$A33,'IRA - Advanced Manufacturing'!$B$174:$B$184,0))),1)</f>
        <v>0.95733852253809282</v>
      </c>
      <c r="AD33">
        <f>'Rescale to Fit GDP Proj'!AE134*IFERROR((1+INDEX('IRA - Advanced Manufacturing'!AC$174:AC$184,MATCH(BPCiObIC!$A33,'IRA - Advanced Manufacturing'!$B$174:$B$184,0))),1)</f>
        <v>1.0066350135191553</v>
      </c>
      <c r="AE33">
        <f>'Rescale to Fit GDP Proj'!AF134*IFERROR((1+INDEX('IRA - Advanced Manufacturing'!AD$174:AD$184,MATCH(BPCiObIC!$A33,'IRA - Advanced Manufacturing'!$B$174:$B$184,0))),1)</f>
        <v>1.057173059803536</v>
      </c>
    </row>
    <row r="34" spans="1:31" x14ac:dyDescent="0.3">
      <c r="A34" s="2" t="s">
        <v>23</v>
      </c>
      <c r="B34">
        <f>'Rescale to Fit GDP Proj'!C90</f>
        <v>0</v>
      </c>
      <c r="C34">
        <f>'Rescale to Fit GDP Proj'!D135</f>
        <v>1.908E-2</v>
      </c>
      <c r="D34">
        <f>'Rescale to Fit GDP Proj'!E135*IFERROR((1+INDEX('IRA - Advanced Manufacturing'!C$174:C$184,MATCH(BPCiObIC!$A34,'IRA - Advanced Manufacturing'!$B$174:$B$184,0))),1)</f>
        <v>3.8524046400000067E-2</v>
      </c>
      <c r="E34">
        <f>'Rescale to Fit GDP Proj'!F135*IFERROR((1+INDEX('IRA - Advanced Manufacturing'!D$174:D$184,MATCH(BPCiObIC!$A34,'IRA - Advanced Manufacturing'!$B$174:$B$184,0))),1)</f>
        <v>5.8339085205312058E-2</v>
      </c>
      <c r="F34">
        <f>'Rescale to Fit GDP Proj'!G135*IFERROR((1+INDEX('IRA - Advanced Manufacturing'!E$174:E$184,MATCH(BPCiObIC!$A34,'IRA - Advanced Manufacturing'!$B$174:$B$184,0))),1)</f>
        <v>7.8532194951029366E-2</v>
      </c>
      <c r="G34">
        <f>'Rescale to Fit GDP Proj'!H135*IFERROR((1+INDEX('IRA - Advanced Manufacturing'!F$174:F$184,MATCH(BPCiObIC!$A34,'IRA - Advanced Manufacturing'!$B$174:$B$184,0))),1)</f>
        <v>9.9110589230694934E-2</v>
      </c>
      <c r="H34">
        <f>'Rescale to Fit GDP Proj'!I135*IFERROR((1+INDEX('IRA - Advanced Manufacturing'!G$174:G$184,MATCH(BPCiObIC!$A34,'IRA - Advanced Manufacturing'!$B$174:$B$184,0))),1)</f>
        <v>0.12008161927321659</v>
      </c>
      <c r="I34">
        <f>'Rescale to Fit GDP Proj'!J135*IFERROR((1+INDEX('IRA - Advanced Manufacturing'!H$174:H$184,MATCH(BPCiObIC!$A34,'IRA - Advanced Manufacturing'!$B$174:$B$184,0))),1)</f>
        <v>0.1414527765689495</v>
      </c>
      <c r="J34">
        <f>'Rescale to Fit GDP Proj'!K135*IFERROR((1+INDEX('IRA - Advanced Manufacturing'!I$174:I$184,MATCH(BPCiObIC!$A34,'IRA - Advanced Manufacturing'!$B$174:$B$184,0))),1)</f>
        <v>0.16323169554588501</v>
      </c>
      <c r="K34">
        <f>'Rescale to Fit GDP Proj'!L135*IFERROR((1+INDEX('IRA - Advanced Manufacturing'!J$174:J$184,MATCH(BPCiObIC!$A34,'IRA - Advanced Manufacturing'!$B$174:$B$184,0))),1)</f>
        <v>0.1854261562969004</v>
      </c>
      <c r="L34">
        <f>'Rescale to Fit GDP Proj'!M135*IFERROR((1+INDEX('IRA - Advanced Manufacturing'!K$174:K$184,MATCH(BPCiObIC!$A34,'IRA - Advanced Manufacturing'!$B$174:$B$184,0))),1)</f>
        <v>0.20804408735904523</v>
      </c>
      <c r="M34">
        <f>'Rescale to Fit GDP Proj'!N135*IFERROR((1+INDEX('IRA - Advanced Manufacturing'!L$174:L$184,MATCH(BPCiObIC!$A34,'IRA - Advanced Manufacturing'!$B$174:$B$184,0))),1)</f>
        <v>0.23109356854585572</v>
      </c>
      <c r="N34">
        <f>'Rescale to Fit GDP Proj'!O135*IFERROR((1+INDEX('IRA - Advanced Manufacturing'!M$174:M$184,MATCH(BPCiObIC!$A34,'IRA - Advanced Manufacturing'!$B$174:$B$184,0))),1)</f>
        <v>0.25458283383371061</v>
      </c>
      <c r="O34">
        <f>'Rescale to Fit GDP Proj'!P135*IFERROR((1+INDEX('IRA - Advanced Manufacturing'!N$174:N$184,MATCH(BPCiObIC!$A34,'IRA - Advanced Manufacturing'!$B$174:$B$184,0))),1)</f>
        <v>0.27852027430325776</v>
      </c>
      <c r="P34">
        <f>'Rescale to Fit GDP Proj'!Q135*IFERROR((1+INDEX('IRA - Advanced Manufacturing'!O$174:O$184,MATCH(BPCiObIC!$A34,'IRA - Advanced Manufacturing'!$B$174:$B$184,0))),1)</f>
        <v>0.30291444113696397</v>
      </c>
      <c r="Q34">
        <f>'Rescale to Fit GDP Proj'!R135*IFERROR((1+INDEX('IRA - Advanced Manufacturing'!P$174:P$184,MATCH(BPCiObIC!$A34,'IRA - Advanced Manufacturing'!$B$174:$B$184,0))),1)</f>
        <v>0.32777404867385718</v>
      </c>
      <c r="R34">
        <f>'Rescale to Fit GDP Proj'!S135*IFERROR((1+INDEX('IRA - Advanced Manufacturing'!Q$174:Q$184,MATCH(BPCiObIC!$A34,'IRA - Advanced Manufacturing'!$B$174:$B$184,0))),1)</f>
        <v>0.35310797752255429</v>
      </c>
      <c r="S34">
        <f>'Rescale to Fit GDP Proj'!T135*IFERROR((1+INDEX('IRA - Advanced Manufacturing'!R$174:R$184,MATCH(BPCiObIC!$A34,'IRA - Advanced Manufacturing'!$B$174:$B$184,0))),1)</f>
        <v>0.37892527773368467</v>
      </c>
      <c r="T34">
        <f>'Rescale to Fit GDP Proj'!U135*IFERROR((1+INDEX('IRA - Advanced Manufacturing'!S$174:S$184,MATCH(BPCiObIC!$A34,'IRA - Advanced Manufacturing'!$B$174:$B$184,0))),1)</f>
        <v>0.40523517203284332</v>
      </c>
      <c r="U34">
        <f>'Rescale to Fit GDP Proj'!V135*IFERROR((1+INDEX('IRA - Advanced Manufacturing'!T$174:T$184,MATCH(BPCiObIC!$A34,'IRA - Advanced Manufacturing'!$B$174:$B$184,0))),1)</f>
        <v>0.43204705911522989</v>
      </c>
      <c r="V34">
        <f>'Rescale to Fit GDP Proj'!W135*IFERROR((1+INDEX('IRA - Advanced Manufacturing'!U$174:U$184,MATCH(BPCiObIC!$A34,'IRA - Advanced Manufacturing'!$B$174:$B$184,0))),1)</f>
        <v>0.45937051700314835</v>
      </c>
      <c r="W34">
        <f>'Rescale to Fit GDP Proj'!X135*IFERROR((1+INDEX('IRA - Advanced Manufacturing'!V$174:V$184,MATCH(BPCiObIC!$A34,'IRA - Advanced Manufacturing'!$B$174:$B$184,0))),1)</f>
        <v>0.48721530646756839</v>
      </c>
      <c r="X34">
        <f>'Rescale to Fit GDP Proj'!Y135*IFERROR((1+INDEX('IRA - Advanced Manufacturing'!W$174:W$184,MATCH(BPCiObIC!$A34,'IRA - Advanced Manufacturing'!$B$174:$B$184,0))),1)</f>
        <v>0.51559137451496961</v>
      </c>
      <c r="Y34">
        <f>'Rescale to Fit GDP Proj'!Z135*IFERROR((1+INDEX('IRA - Advanced Manufacturing'!X$174:X$184,MATCH(BPCiObIC!$A34,'IRA - Advanced Manufacturing'!$B$174:$B$184,0))),1)</f>
        <v>0.54450885794071513</v>
      </c>
      <c r="Z34">
        <f>'Rescale to Fit GDP Proj'!AA135*IFERROR((1+INDEX('IRA - Advanced Manufacturing'!Y$174:Y$184,MATCH(BPCiObIC!$A34,'IRA - Advanced Manufacturing'!$B$174:$B$184,0))),1)</f>
        <v>0.57397808695022401</v>
      </c>
      <c r="AA34">
        <f>'Rescale to Fit GDP Proj'!AB135*IFERROR((1+INDEX('IRA - Advanced Manufacturing'!Z$174:Z$184,MATCH(BPCiObIC!$A34,'IRA - Advanced Manufacturing'!$B$174:$B$184,0))),1)</f>
        <v>0.60400958884923428</v>
      </c>
      <c r="AB34">
        <f>'Rescale to Fit GDP Proj'!AC135*IFERROR((1+INDEX('IRA - Advanced Manufacturing'!AA$174:AA$184,MATCH(BPCiObIC!$A34,'IRA - Advanced Manufacturing'!$B$174:$B$184,0))),1)</f>
        <v>0.63461409180447759</v>
      </c>
      <c r="AC34">
        <f>'Rescale to Fit GDP Proj'!AD135*IFERROR((1+INDEX('IRA - Advanced Manufacturing'!AB$174:AB$184,MATCH(BPCiObIC!$A34,'IRA - Advanced Manufacturing'!$B$174:$B$184,0))),1)</f>
        <v>0.6658025286761069</v>
      </c>
      <c r="AD34">
        <f>'Rescale to Fit GDP Proj'!AE135*IFERROR((1+INDEX('IRA - Advanced Manufacturing'!AC$174:AC$184,MATCH(BPCiObIC!$A34,'IRA - Advanced Manufacturing'!$B$174:$B$184,0))),1)</f>
        <v>0.69758604092324705</v>
      </c>
      <c r="AE34">
        <f>'Rescale to Fit GDP Proj'!AF135*IFERROR((1+INDEX('IRA - Advanced Manufacturing'!AD$174:AD$184,MATCH(BPCiObIC!$A34,'IRA - Advanced Manufacturing'!$B$174:$B$184,0))),1)</f>
        <v>0.7299759825840626</v>
      </c>
    </row>
    <row r="35" spans="1:31" x14ac:dyDescent="0.3">
      <c r="A35" s="2" t="s">
        <v>24</v>
      </c>
      <c r="B35">
        <f>'Rescale to Fit GDP Proj'!C91</f>
        <v>0</v>
      </c>
      <c r="C35">
        <f>'Rescale to Fit GDP Proj'!D136</f>
        <v>3.5593609543206291E-2</v>
      </c>
      <c r="D35">
        <f>'Rescale to Fit GDP Proj'!E136*IFERROR((1+INDEX('IRA - Advanced Manufacturing'!C$174:C$184,MATCH(BPCiObIC!$A35,'IRA - Advanced Manufacturing'!$B$174:$B$184,0))),1)</f>
        <v>7.2454124126726915E-2</v>
      </c>
      <c r="E35">
        <f>'Rescale to Fit GDP Proj'!F136*IFERROR((1+INDEX('IRA - Advanced Manufacturing'!D$174:D$184,MATCH(BPCiObIC!$A35,'IRA - Advanced Manufacturing'!$B$174:$B$184,0))),1)</f>
        <v>0.1106266374738949</v>
      </c>
      <c r="F35">
        <f>'Rescale to Fit GDP Proj'!G136*IFERROR((1+INDEX('IRA - Advanced Manufacturing'!E$174:E$184,MATCH(BPCiObIC!$A35,'IRA - Advanced Manufacturing'!$B$174:$B$184,0))),1)</f>
        <v>0.15015784835642498</v>
      </c>
      <c r="G35">
        <f>'Rescale to Fit GDP Proj'!H136*IFERROR((1+INDEX('IRA - Advanced Manufacturing'!F$174:F$184,MATCH(BPCiObIC!$A35,'IRA - Advanced Manufacturing'!$B$174:$B$184,0))),1)</f>
        <v>0.19109611772387791</v>
      </c>
      <c r="H35">
        <f>'Rescale to Fit GDP Proj'!I136*IFERROR((1+INDEX('IRA - Advanced Manufacturing'!G$174:G$184,MATCH(BPCiObIC!$A35,'IRA - Advanced Manufacturing'!$B$174:$B$184,0))),1)</f>
        <v>0.23349152786657057</v>
      </c>
      <c r="I35">
        <f>'Rescale to Fit GDP Proj'!J136*IFERROR((1+INDEX('IRA - Advanced Manufacturing'!H$174:H$184,MATCH(BPCiObIC!$A35,'IRA - Advanced Manufacturing'!$B$174:$B$184,0))),1)</f>
        <v>0.27739594368430631</v>
      </c>
      <c r="J35">
        <f>'Rescale to Fit GDP Proj'!K136*IFERROR((1+INDEX('IRA - Advanced Manufacturing'!I$174:I$184,MATCH(BPCiObIC!$A35,'IRA - Advanced Manufacturing'!$B$174:$B$184,0))),1)</f>
        <v>0.32286307613588106</v>
      </c>
      <c r="K35">
        <f>'Rescale to Fit GDP Proj'!L136*IFERROR((1+INDEX('IRA - Advanced Manufacturing'!J$174:J$184,MATCH(BPCiObIC!$A35,'IRA - Advanced Manufacturing'!$B$174:$B$184,0))),1)</f>
        <v>0.36994854794698639</v>
      </c>
      <c r="L35">
        <f>'Rescale to Fit GDP Proj'!M136*IFERROR((1+INDEX('IRA - Advanced Manufacturing'!K$174:K$184,MATCH(BPCiObIC!$A35,'IRA - Advanced Manufacturing'!$B$174:$B$184,0))),1)</f>
        <v>0.41870996165689389</v>
      </c>
      <c r="M35">
        <f>'Rescale to Fit GDP Proj'!N136*IFERROR((1+INDEX('IRA - Advanced Manufacturing'!L$174:L$184,MATCH(BPCiObIC!$A35,'IRA - Advanced Manufacturing'!$B$174:$B$184,0))),1)</f>
        <v>0.46920697008716661</v>
      </c>
      <c r="N35">
        <f>'Rescale to Fit GDP Proj'!O136*IFERROR((1+INDEX('IRA - Advanced Manufacturing'!M$174:M$184,MATCH(BPCiObIC!$A35,'IRA - Advanced Manufacturing'!$B$174:$B$184,0))),1)</f>
        <v>0.52150134931860648</v>
      </c>
      <c r="O35">
        <f>'Rescale to Fit GDP Proj'!P136*IFERROR((1+INDEX('IRA - Advanced Manufacturing'!N$174:N$184,MATCH(BPCiObIC!$A35,'IRA - Advanced Manufacturing'!$B$174:$B$184,0))),1)</f>
        <v>0.57565707426571455</v>
      </c>
      <c r="P35">
        <f>'Rescale to Fit GDP Proj'!Q136*IFERROR((1+INDEX('IRA - Advanced Manufacturing'!O$174:O$184,MATCH(BPCiObIC!$A35,'IRA - Advanced Manufacturing'!$B$174:$B$184,0))),1)</f>
        <v>0.63174039694111928</v>
      </c>
      <c r="Q35">
        <f>'Rescale to Fit GDP Proj'!R136*IFERROR((1+INDEX('IRA - Advanced Manufacturing'!P$174:P$184,MATCH(BPCiObIC!$A35,'IRA - Advanced Manufacturing'!$B$174:$B$184,0))),1)</f>
        <v>0.68981992750571797</v>
      </c>
      <c r="R35">
        <f>'Rescale to Fit GDP Proj'!S136*IFERROR((1+INDEX('IRA - Advanced Manufacturing'!Q$174:Q$184,MATCH(BPCiObIC!$A35,'IRA - Advanced Manufacturing'!$B$174:$B$184,0))),1)</f>
        <v>0.74996671820368577</v>
      </c>
      <c r="S35">
        <f>'Rescale to Fit GDP Proj'!T136*IFERROR((1+INDEX('IRA - Advanced Manufacturing'!R$174:R$184,MATCH(BPCiObIC!$A35,'IRA - Advanced Manufacturing'!$B$174:$B$184,0))),1)</f>
        <v>0.8122543502850339</v>
      </c>
      <c r="T35">
        <f>'Rescale to Fit GDP Proj'!U136*IFERROR((1+INDEX('IRA - Advanced Manufacturing'!S$174:S$184,MATCH(BPCiObIC!$A35,'IRA - Advanced Manufacturing'!$B$174:$B$184,0))),1)</f>
        <v>0.87675902402205641</v>
      </c>
      <c r="U35">
        <f>'Rescale to Fit GDP Proj'!V136*IFERROR((1+INDEX('IRA - Advanced Manufacturing'!T$174:T$184,MATCH(BPCiObIC!$A35,'IRA - Advanced Manufacturing'!$B$174:$B$184,0))),1)</f>
        <v>0.94355965192978641</v>
      </c>
      <c r="V35">
        <f>'Rescale to Fit GDP Proj'!W136*IFERROR((1+INDEX('IRA - Advanced Manufacturing'!U$174:U$184,MATCH(BPCiObIC!$A35,'IRA - Advanced Manufacturing'!$B$174:$B$184,0))),1)</f>
        <v>1.0127379553045053</v>
      </c>
      <c r="W35">
        <f>'Rescale to Fit GDP Proj'!X136*IFERROR((1+INDEX('IRA - Advanced Manufacturing'!V$174:V$184,MATCH(BPCiObIC!$A35,'IRA - Advanced Manufacturing'!$B$174:$B$184,0))),1)</f>
        <v>1.0843785641984054</v>
      </c>
      <c r="X35">
        <f>'Rescale to Fit GDP Proj'!Y136*IFERROR((1+INDEX('IRA - Advanced Manufacturing'!W$174:W$184,MATCH(BPCiObIC!$A35,'IRA - Advanced Manufacturing'!$B$174:$B$184,0))),1)</f>
        <v>1.1585691209527127</v>
      </c>
      <c r="Y35">
        <f>'Rescale to Fit GDP Proj'!Z136*IFERROR((1+INDEX('IRA - Advanced Manufacturing'!X$174:X$184,MATCH(BPCiObIC!$A35,'IRA - Advanced Manufacturing'!$B$174:$B$184,0))),1)</f>
        <v>1.2354003874159258</v>
      </c>
      <c r="Z35">
        <f>'Rescale to Fit GDP Proj'!AA136*IFERROR((1+INDEX('IRA - Advanced Manufacturing'!Y$174:Y$184,MATCH(BPCiObIC!$A35,'IRA - Advanced Manufacturing'!$B$174:$B$184,0))),1)</f>
        <v>1.3149663559783407</v>
      </c>
      <c r="AA35">
        <f>'Rescale to Fit GDP Proj'!AB136*IFERROR((1+INDEX('IRA - Advanced Manufacturing'!Z$174:Z$184,MATCH(BPCiObIC!$A35,'IRA - Advanced Manufacturing'!$B$174:$B$184,0))),1)</f>
        <v>1.3973643645586931</v>
      </c>
      <c r="AB35">
        <f>'Rescale to Fit GDP Proj'!AC136*IFERROR((1+INDEX('IRA - Advanced Manufacturing'!AA$174:AA$184,MATCH(BPCiObIC!$A35,'IRA - Advanced Manufacturing'!$B$174:$B$184,0))),1)</f>
        <v>1.482695215683592</v>
      </c>
      <c r="AC35">
        <f>'Rescale to Fit GDP Proj'!AD136*IFERROR((1+INDEX('IRA - Advanced Manufacturing'!AB$174:AB$184,MATCH(BPCiObIC!$A35,'IRA - Advanced Manufacturing'!$B$174:$B$184,0))),1)</f>
        <v>1.5710632998054201</v>
      </c>
      <c r="AD35">
        <f>'Rescale to Fit GDP Proj'!AE136*IFERROR((1+INDEX('IRA - Advanced Manufacturing'!AC$174:AC$184,MATCH(BPCiObIC!$A35,'IRA - Advanced Manufacturing'!$B$174:$B$184,0))),1)</f>
        <v>1.6625767230095621</v>
      </c>
      <c r="AE35">
        <f>'Rescale to Fit GDP Proj'!AF136*IFERROR((1+INDEX('IRA - Advanced Manufacturing'!AD$174:AD$184,MATCH(BPCiObIC!$A35,'IRA - Advanced Manufacturing'!$B$174:$B$184,0))),1)</f>
        <v>1.7573474392671944</v>
      </c>
    </row>
    <row r="36" spans="1:31" x14ac:dyDescent="0.3">
      <c r="A36" s="2" t="s">
        <v>25</v>
      </c>
      <c r="B36">
        <f>'Rescale to Fit GDP Proj'!C92</f>
        <v>0</v>
      </c>
      <c r="C36">
        <f>'Rescale to Fit GDP Proj'!D137</f>
        <v>1.3355999999999998E-2</v>
      </c>
      <c r="D36">
        <f>'Rescale to Fit GDP Proj'!E137*IFERROR((1+INDEX('IRA - Advanced Manufacturing'!C$174:C$184,MATCH(BPCiObIC!$A36,'IRA - Advanced Manufacturing'!$B$174:$B$184,0))),1)</f>
        <v>2.6890382735999863E-2</v>
      </c>
      <c r="E36">
        <f>'Rescale to Fit GDP Proj'!F137*IFERROR((1+INDEX('IRA - Advanced Manufacturing'!D$174:D$184,MATCH(BPCiObIC!$A36,'IRA - Advanced Manufacturing'!$B$174:$B$184,0))),1)</f>
        <v>4.0605530687821689E-2</v>
      </c>
      <c r="F36">
        <f>'Rescale to Fit GDP Proj'!G137*IFERROR((1+INDEX('IRA - Advanced Manufacturing'!E$174:E$184,MATCH(BPCiObIC!$A36,'IRA - Advanced Manufacturing'!$B$174:$B$184,0))),1)</f>
        <v>5.4503858155688256E-2</v>
      </c>
      <c r="G36">
        <f>'Rescale to Fit GDP Proj'!H137*IFERROR((1+INDEX('IRA - Advanced Manufacturing'!F$174:F$184,MATCH(BPCiObIC!$A36,'IRA - Advanced Manufacturing'!$B$174:$B$184,0))),1)</f>
        <v>6.8587811685215438E-2</v>
      </c>
      <c r="H36">
        <f>'Rescale to Fit GDP Proj'!I137*IFERROR((1+INDEX('IRA - Advanced Manufacturing'!G$174:G$184,MATCH(BPCiObIC!$A36,'IRA - Advanced Manufacturing'!$B$174:$B$184,0))),1)</f>
        <v>8.2859870498083188E-2</v>
      </c>
      <c r="I36">
        <f>'Rescale to Fit GDP Proj'!J137*IFERROR((1+INDEX('IRA - Advanced Manufacturing'!H$174:H$184,MATCH(BPCiObIC!$A36,'IRA - Advanced Manufacturing'!$B$174:$B$184,0))),1)</f>
        <v>9.7322546928455544E-2</v>
      </c>
      <c r="J36">
        <f>'Rescale to Fit GDP Proj'!K137*IFERROR((1+INDEX('IRA - Advanced Manufacturing'!I$174:I$184,MATCH(BPCiObIC!$A36,'IRA - Advanced Manufacturing'!$B$174:$B$184,0))),1)</f>
        <v>0.11197838686523198</v>
      </c>
      <c r="K36">
        <f>'Rescale to Fit GDP Proj'!L137*IFERROR((1+INDEX('IRA - Advanced Manufacturing'!J$174:J$184,MATCH(BPCiObIC!$A36,'IRA - Advanced Manufacturing'!$B$174:$B$184,0))),1)</f>
        <v>0.12682997020020403</v>
      </c>
      <c r="L36">
        <f>'Rescale to Fit GDP Proj'!M137*IFERROR((1+INDEX('IRA - Advanced Manufacturing'!K$174:K$184,MATCH(BPCiObIC!$A36,'IRA - Advanced Manufacturing'!$B$174:$B$184,0))),1)</f>
        <v>0.14187991128219779</v>
      </c>
      <c r="M36">
        <f>'Rescale to Fit GDP Proj'!N137*IFERROR((1+INDEX('IRA - Advanced Manufacturing'!L$174:L$184,MATCH(BPCiObIC!$A36,'IRA - Advanced Manufacturing'!$B$174:$B$184,0))),1)</f>
        <v>0.15713085937728266</v>
      </c>
      <c r="N36">
        <f>'Rescale to Fit GDP Proj'!O137*IFERROR((1+INDEX('IRA - Advanced Manufacturing'!M$174:M$184,MATCH(BPCiObIC!$A36,'IRA - Advanced Manufacturing'!$B$174:$B$184,0))),1)</f>
        <v>0.17258549913512566</v>
      </c>
      <c r="O36">
        <f>'Rescale to Fit GDP Proj'!P137*IFERROR((1+INDEX('IRA - Advanced Manufacturing'!N$174:N$184,MATCH(BPCiObIC!$A36,'IRA - Advanced Manufacturing'!$B$174:$B$184,0))),1)</f>
        <v>0.18824655106157429</v>
      </c>
      <c r="P36">
        <f>'Rescale to Fit GDP Proj'!Q137*IFERROR((1+INDEX('IRA - Advanced Manufacturing'!O$174:O$184,MATCH(BPCiObIC!$A36,'IRA - Advanced Manufacturing'!$B$174:$B$184,0))),1)</f>
        <v>0.20411677199755252</v>
      </c>
      <c r="Q36">
        <f>'Rescale to Fit GDP Proj'!R137*IFERROR((1+INDEX('IRA - Advanced Manufacturing'!P$174:P$184,MATCH(BPCiObIC!$A36,'IRA - Advanced Manufacturing'!$B$174:$B$184,0))),1)</f>
        <v>0.22019895560435176</v>
      </c>
      <c r="R36">
        <f>'Rescale to Fit GDP Proj'!S137*IFERROR((1+INDEX('IRA - Advanced Manufacturing'!Q$174:Q$184,MATCH(BPCiObIC!$A36,'IRA - Advanced Manufacturing'!$B$174:$B$184,0))),1)</f>
        <v>0.23649593285540349</v>
      </c>
      <c r="S36">
        <f>'Rescale to Fit GDP Proj'!T137*IFERROR((1+INDEX('IRA - Advanced Manufacturing'!R$174:R$184,MATCH(BPCiObIC!$A36,'IRA - Advanced Manufacturing'!$B$174:$B$184,0))),1)</f>
        <v>0.25301057253462012</v>
      </c>
      <c r="T36">
        <f>'Rescale to Fit GDP Proj'!U137*IFERROR((1+INDEX('IRA - Advanced Manufacturing'!S$174:S$184,MATCH(BPCiObIC!$A36,'IRA - Advanced Manufacturing'!$B$174:$B$184,0))),1)</f>
        <v>0.26974578174139241</v>
      </c>
      <c r="U36">
        <f>'Rescale to Fit GDP Proj'!V137*IFERROR((1+INDEX('IRA - Advanced Manufacturing'!T$174:T$184,MATCH(BPCiObIC!$A36,'IRA - Advanced Manufacturing'!$B$174:$B$184,0))),1)</f>
        <v>0.28670450640233036</v>
      </c>
      <c r="V36">
        <f>'Rescale to Fit GDP Proj'!W137*IFERROR((1+INDEX('IRA - Advanced Manufacturing'!U$174:U$184,MATCH(BPCiObIC!$A36,'IRA - Advanced Manufacturing'!$B$174:$B$184,0))),1)</f>
        <v>0.30388973178983969</v>
      </c>
      <c r="W36">
        <f>'Rescale to Fit GDP Proj'!X137*IFERROR((1+INDEX('IRA - Advanced Manufacturing'!V$174:V$184,MATCH(BPCiObIC!$A36,'IRA - Advanced Manufacturing'!$B$174:$B$184,0))),1)</f>
        <v>0.3213044830476246</v>
      </c>
      <c r="X36">
        <f>'Rescale to Fit GDP Proj'!Y137*IFERROR((1+INDEX('IRA - Advanced Manufacturing'!W$174:W$184,MATCH(BPCiObIC!$A36,'IRA - Advanced Manufacturing'!$B$174:$B$184,0))),1)</f>
        <v>0.33895182572320848</v>
      </c>
      <c r="Y36">
        <f>'Rescale to Fit GDP Proj'!Z137*IFERROR((1+INDEX('IRA - Advanced Manufacturing'!X$174:X$184,MATCH(BPCiObIC!$A36,'IRA - Advanced Manufacturing'!$B$174:$B$184,0))),1)</f>
        <v>0.35683486630756756</v>
      </c>
      <c r="Z36">
        <f>'Rescale to Fit GDP Proj'!AA137*IFERROR((1+INDEX('IRA - Advanced Manufacturing'!Y$174:Y$184,MATCH(BPCiObIC!$A36,'IRA - Advanced Manufacturing'!$B$174:$B$184,0))),1)</f>
        <v>0.37495675278197127</v>
      </c>
      <c r="AA36">
        <f>'Rescale to Fit GDP Proj'!AB137*IFERROR((1+INDEX('IRA - Advanced Manufacturing'!Z$174:Z$184,MATCH(BPCiObIC!$A36,'IRA - Advanced Manufacturing'!$B$174:$B$184,0))),1)</f>
        <v>0.39332067517212721</v>
      </c>
      <c r="AB36">
        <f>'Rescale to Fit GDP Proj'!AC137*IFERROR((1+INDEX('IRA - Advanced Manufacturing'!AA$174:AA$184,MATCH(BPCiObIC!$A36,'IRA - Advanced Manufacturing'!$B$174:$B$184,0))),1)</f>
        <v>0.41192986610972593</v>
      </c>
      <c r="AC36">
        <f>'Rescale to Fit GDP Proj'!AD137*IFERROR((1+INDEX('IRA - Advanced Manufacturing'!AB$174:AB$184,MATCH(BPCiObIC!$A36,'IRA - Advanced Manufacturing'!$B$174:$B$184,0))),1)</f>
        <v>0.43078760140148731</v>
      </c>
      <c r="AD36">
        <f>'Rescale to Fit GDP Proj'!AE137*IFERROR((1+INDEX('IRA - Advanced Manufacturing'!AC$174:AC$184,MATCH(BPCiObIC!$A36,'IRA - Advanced Manufacturing'!$B$174:$B$184,0))),1)</f>
        <v>0.44989720060580551</v>
      </c>
      <c r="AE36">
        <f>'Rescale to Fit GDP Proj'!AF137*IFERROR((1+INDEX('IRA - Advanced Manufacturing'!AD$174:AD$184,MATCH(BPCiObIC!$A36,'IRA - Advanced Manufacturing'!$B$174:$B$184,0))),1)</f>
        <v>0.46926202761709646</v>
      </c>
    </row>
    <row r="37" spans="1:31" x14ac:dyDescent="0.3">
      <c r="A37" s="2" t="s">
        <v>26</v>
      </c>
      <c r="B37">
        <f>'Rescale to Fit GDP Proj'!C93</f>
        <v>0</v>
      </c>
      <c r="C37">
        <f>'Rescale to Fit GDP Proj'!D138</f>
        <v>1.8126E-2</v>
      </c>
      <c r="D37">
        <f>'Rescale to Fit GDP Proj'!E138*IFERROR((1+INDEX('IRA - Advanced Manufacturing'!C$174:C$184,MATCH(BPCiObIC!$A37,'IRA - Advanced Manufacturing'!$B$174:$B$184,0))),1)</f>
        <v>3.6580551876000067E-2</v>
      </c>
      <c r="E37">
        <f>'Rescale to Fit GDP Proj'!F138*IFERROR((1+INDEX('IRA - Advanced Manufacturing'!D$174:D$184,MATCH(BPCiObIC!$A37,'IRA - Advanced Manufacturing'!$B$174:$B$184,0))),1)</f>
        <v>5.5369610959304483E-2</v>
      </c>
      <c r="F37">
        <f>'Rescale to Fit GDP Proj'!G138*IFERROR((1+INDEX('IRA - Advanced Manufacturing'!E$174:E$184,MATCH(BPCiObIC!$A37,'IRA - Advanced Manufacturing'!$B$174:$B$184,0))),1)</f>
        <v>7.4499240527552857E-2</v>
      </c>
      <c r="G37">
        <f>'Rescale to Fit GDP Proj'!H138*IFERROR((1+INDEX('IRA - Advanced Manufacturing'!F$174:F$184,MATCH(BPCiObIC!$A37,'IRA - Advanced Manufacturing'!$B$174:$B$184,0))),1)</f>
        <v>9.3975613761355437E-2</v>
      </c>
      <c r="H37">
        <f>'Rescale to Fit GDP Proj'!I138*IFERROR((1+INDEX('IRA - Advanced Manufacturing'!G$174:G$184,MATCH(BPCiObIC!$A37,'IRA - Advanced Manufacturing'!$B$174:$B$184,0))),1)</f>
        <v>0.1138050157363939</v>
      </c>
      <c r="I37">
        <f>'Rescale to Fit GDP Proj'!J138*IFERROR((1+INDEX('IRA - Advanced Manufacturing'!H$174:H$184,MATCH(BPCiObIC!$A37,'IRA - Advanced Manufacturing'!$B$174:$B$184,0))),1)</f>
        <v>0.13399384545163184</v>
      </c>
      <c r="J37">
        <f>'Rescale to Fit GDP Proj'!K138*IFERROR((1+INDEX('IRA - Advanced Manufacturing'!I$174:I$184,MATCH(BPCiObIC!$A37,'IRA - Advanced Manufacturing'!$B$174:$B$184,0))),1)</f>
        <v>0.15454861789428831</v>
      </c>
      <c r="K37">
        <f>'Rescale to Fit GDP Proj'!L138*IFERROR((1+INDEX('IRA - Advanced Manufacturing'!J$174:J$184,MATCH(BPCiObIC!$A37,'IRA - Advanced Manufacturing'!$B$174:$B$184,0))),1)</f>
        <v>0.17547596614224026</v>
      </c>
      <c r="L37">
        <f>'Rescale to Fit GDP Proj'!M138*IFERROR((1+INDEX('IRA - Advanced Manufacturing'!K$174:K$184,MATCH(BPCiObIC!$A37,'IRA - Advanced Manufacturing'!$B$174:$B$184,0))),1)</f>
        <v>0.19678264350453456</v>
      </c>
      <c r="M37">
        <f>'Rescale to Fit GDP Proj'!N138*IFERROR((1+INDEX('IRA - Advanced Manufacturing'!L$174:L$184,MATCH(BPCiObIC!$A37,'IRA - Advanced Manufacturing'!$B$174:$B$184,0))),1)</f>
        <v>0.21847552570069784</v>
      </c>
      <c r="N37">
        <f>'Rescale to Fit GDP Proj'!O138*IFERROR((1+INDEX('IRA - Advanced Manufacturing'!M$174:M$184,MATCH(BPCiObIC!$A37,'IRA - Advanced Manufacturing'!$B$174:$B$184,0))),1)</f>
        <v>0.24056161307954871</v>
      </c>
      <c r="O37">
        <f>'Rescale to Fit GDP Proj'!P138*IFERROR((1+INDEX('IRA - Advanced Manufacturing'!N$174:N$184,MATCH(BPCiObIC!$A37,'IRA - Advanced Manufacturing'!$B$174:$B$184,0))),1)</f>
        <v>0.26304803287822875</v>
      </c>
      <c r="P37">
        <f>'Rescale to Fit GDP Proj'!Q138*IFERROR((1+INDEX('IRA - Advanced Manufacturing'!O$174:O$184,MATCH(BPCiObIC!$A37,'IRA - Advanced Manufacturing'!$B$174:$B$184,0))),1)</f>
        <v>0.28594204152217961</v>
      </c>
      <c r="Q37">
        <f>'Rescale to Fit GDP Proj'!R138*IFERROR((1+INDEX('IRA - Advanced Manufacturing'!P$174:P$184,MATCH(BPCiObIC!$A37,'IRA - Advanced Manufacturing'!$B$174:$B$184,0))),1)</f>
        <v>0.30925102696681073</v>
      </c>
      <c r="R37">
        <f>'Rescale to Fit GDP Proj'!S138*IFERROR((1+INDEX('IRA - Advanced Manufacturing'!Q$174:Q$184,MATCH(BPCiObIC!$A37,'IRA - Advanced Manufacturing'!$B$174:$B$184,0))),1)</f>
        <v>0.33298251108161114</v>
      </c>
      <c r="S37">
        <f>'Rescale to Fit GDP Proj'!T138*IFERROR((1+INDEX('IRA - Advanced Manufacturing'!R$174:R$184,MATCH(BPCiObIC!$A37,'IRA - Advanced Manufacturing'!$B$174:$B$184,0))),1)</f>
        <v>0.35714415207747652</v>
      </c>
      <c r="T37">
        <f>'Rescale to Fit GDP Proj'!U138*IFERROR((1+INDEX('IRA - Advanced Manufacturing'!S$174:S$184,MATCH(BPCiObIC!$A37,'IRA - Advanced Manufacturing'!$B$174:$B$184,0))),1)</f>
        <v>0.38174374697803293</v>
      </c>
      <c r="U37">
        <f>'Rescale to Fit GDP Proj'!V138*IFERROR((1+INDEX('IRA - Advanced Manufacturing'!T$174:T$184,MATCH(BPCiObIC!$A37,'IRA - Advanced Manufacturing'!$B$174:$B$184,0))),1)</f>
        <v>0.40678923413575685</v>
      </c>
      <c r="V37">
        <f>'Rescale to Fit GDP Proj'!W138*IFERROR((1+INDEX('IRA - Advanced Manufacturing'!U$174:U$184,MATCH(BPCiObIC!$A37,'IRA - Advanced Manufacturing'!$B$174:$B$184,0))),1)</f>
        <v>0.43228869579370177</v>
      </c>
      <c r="W37">
        <f>'Rescale to Fit GDP Proj'!X138*IFERROR((1+INDEX('IRA - Advanced Manufacturing'!V$174:V$184,MATCH(BPCiObIC!$A37,'IRA - Advanced Manufacturing'!$B$174:$B$184,0))),1)</f>
        <v>0.45825036069365854</v>
      </c>
      <c r="X37">
        <f>'Rescale to Fit GDP Proj'!Y138*IFERROR((1+INDEX('IRA - Advanced Manufacturing'!W$174:W$184,MATCH(BPCiObIC!$A37,'IRA - Advanced Manufacturing'!$B$174:$B$184,0))),1)</f>
        <v>0.48468260673159191</v>
      </c>
      <c r="Y37">
        <f>'Rescale to Fit GDP Proj'!Z138*IFERROR((1+INDEX('IRA - Advanced Manufacturing'!X$174:X$184,MATCH(BPCiObIC!$A37,'IRA - Advanced Manufacturing'!$B$174:$B$184,0))),1)</f>
        <v>0.51159396366120879</v>
      </c>
      <c r="Z37">
        <f>'Rescale to Fit GDP Proj'!AA138*IFERROR((1+INDEX('IRA - Advanced Manufacturing'!Y$174:Y$184,MATCH(BPCiObIC!$A37,'IRA - Advanced Manufacturing'!$B$174:$B$184,0))),1)</f>
        <v>0.53899311584653198</v>
      </c>
      <c r="AA37">
        <f>'Rescale to Fit GDP Proj'!AB138*IFERROR((1+INDEX('IRA - Advanced Manufacturing'!Z$174:Z$184,MATCH(BPCiObIC!$A37,'IRA - Advanced Manufacturing'!$B$174:$B$184,0))),1)</f>
        <v>0.5668889050643664</v>
      </c>
      <c r="AB37">
        <f>'Rescale to Fit GDP Proj'!AC138*IFERROR((1+INDEX('IRA - Advanced Manufacturing'!AA$174:AA$184,MATCH(BPCiObIC!$A37,'IRA - Advanced Manufacturing'!$B$174:$B$184,0))),1)</f>
        <v>0.59529033335756321</v>
      </c>
      <c r="AC37">
        <f>'Rescale to Fit GDP Proj'!AD138*IFERROR((1+INDEX('IRA - Advanced Manufacturing'!AB$174:AB$184,MATCH(BPCiObIC!$A37,'IRA - Advanced Manufacturing'!$B$174:$B$184,0))),1)</f>
        <v>0.62420656594000246</v>
      </c>
      <c r="AD37">
        <f>'Rescale to Fit GDP Proj'!AE138*IFERROR((1+INDEX('IRA - Advanced Manufacturing'!AC$174:AC$184,MATCH(BPCiObIC!$A37,'IRA - Advanced Manufacturing'!$B$174:$B$184,0))),1)</f>
        <v>0.65364693415423103</v>
      </c>
      <c r="AE37">
        <f>'Rescale to Fit GDP Proj'!AF138*IFERROR((1+INDEX('IRA - Advanced Manufacturing'!AD$174:AD$184,MATCH(BPCiObIC!$A37,'IRA - Advanced Manufacturing'!$B$174:$B$184,0))),1)</f>
        <v>0.68362093848271077</v>
      </c>
    </row>
    <row r="38" spans="1:31" x14ac:dyDescent="0.3">
      <c r="A38" s="2" t="s">
        <v>27</v>
      </c>
      <c r="B38">
        <f>'Rescale to Fit GDP Proj'!C94</f>
        <v>0</v>
      </c>
      <c r="C38">
        <f>'Rescale to Fit GDP Proj'!D139</f>
        <v>2.1515916534897216E-2</v>
      </c>
      <c r="D38">
        <f>'Rescale to Fit GDP Proj'!E139*IFERROR((1+INDEX('IRA - Advanced Manufacturing'!C$174:C$184,MATCH(BPCiObIC!$A38,'IRA - Advanced Manufacturing'!$B$174:$B$184,0))),1)</f>
        <v>4.3494767734131079E-2</v>
      </c>
      <c r="E38">
        <f>'Rescale to Fit GDP Proj'!F139*IFERROR((1+INDEX('IRA - Advanced Manufacturing'!D$174:D$184,MATCH(BPCiObIC!$A38,'IRA - Advanced Manufacturing'!$B$174:$B$184,0))),1)</f>
        <v>6.5946514061300698E-2</v>
      </c>
      <c r="F38">
        <f>'Rescale to Fit GDP Proj'!G139*IFERROR((1+INDEX('IRA - Advanced Manufacturing'!E$174:E$184,MATCH(BPCiObIC!$A38,'IRA - Advanced Manufacturing'!$B$174:$B$184,0))),1)</f>
        <v>8.8881330288508309E-2</v>
      </c>
      <c r="G38">
        <f>'Rescale to Fit GDP Proj'!H139*IFERROR((1+INDEX('IRA - Advanced Manufacturing'!F$174:F$184,MATCH(BPCiObIC!$A38,'IRA - Advanced Manufacturing'!$B$174:$B$184,0))),1)</f>
        <v>0.1123096101074037</v>
      </c>
      <c r="H38">
        <f>'Rescale to Fit GDP Proj'!I139*IFERROR((1+INDEX('IRA - Advanced Manufacturing'!G$174:G$184,MATCH(BPCiObIC!$A38,'IRA - Advanced Manufacturing'!$B$174:$B$184,0))),1)</f>
        <v>0.13624197083943868</v>
      </c>
      <c r="I38">
        <f>'Rescale to Fit GDP Proj'!J139*IFERROR((1+INDEX('IRA - Advanced Manufacturing'!H$174:H$184,MATCH(BPCiObIC!$A38,'IRA - Advanced Manufacturing'!$B$174:$B$184,0))),1)</f>
        <v>0.16068925824746727</v>
      </c>
      <c r="J38">
        <f>'Rescale to Fit GDP Proj'!K139*IFERROR((1+INDEX('IRA - Advanced Manufacturing'!I$174:I$184,MATCH(BPCiObIC!$A38,'IRA - Advanced Manufacturing'!$B$174:$B$184,0))),1)</f>
        <v>0.18566255145087163</v>
      </c>
      <c r="K38">
        <f>'Rescale to Fit GDP Proj'!L139*IFERROR((1+INDEX('IRA - Advanced Manufacturing'!J$174:J$184,MATCH(BPCiObIC!$A38,'IRA - Advanced Manufacturing'!$B$174:$B$184,0))),1)</f>
        <v>0.21117316794644192</v>
      </c>
      <c r="L38">
        <f>'Rescale to Fit GDP Proj'!M139*IFERROR((1+INDEX('IRA - Advanced Manufacturing'!K$174:K$184,MATCH(BPCiObIC!$A38,'IRA - Advanced Manufacturing'!$B$174:$B$184,0))),1)</f>
        <v>0.23723266873728477</v>
      </c>
      <c r="M38">
        <f>'Rescale to Fit GDP Proj'!N139*IFERROR((1+INDEX('IRA - Advanced Manufacturing'!L$174:L$184,MATCH(BPCiObIC!$A38,'IRA - Advanced Manufacturing'!$B$174:$B$184,0))),1)</f>
        <v>0.26385286357208448</v>
      </c>
      <c r="N38">
        <f>'Rescale to Fit GDP Proj'!O139*IFERROR((1+INDEX('IRA - Advanced Manufacturing'!M$174:M$184,MATCH(BPCiObIC!$A38,'IRA - Advanced Manufacturing'!$B$174:$B$184,0))),1)</f>
        <v>0.29104581629709236</v>
      </c>
      <c r="O38">
        <f>'Rescale to Fit GDP Proj'!P139*IFERROR((1+INDEX('IRA - Advanced Manufacturing'!N$174:N$184,MATCH(BPCiObIC!$A38,'IRA - Advanced Manufacturing'!$B$174:$B$184,0))),1)</f>
        <v>0.31882385032326899</v>
      </c>
      <c r="P38">
        <f>'Rescale to Fit GDP Proj'!Q139*IFERROR((1+INDEX('IRA - Advanced Manufacturing'!O$174:O$184,MATCH(BPCiObIC!$A38,'IRA - Advanced Manufacturing'!$B$174:$B$184,0))),1)</f>
        <v>0.34719955421105619</v>
      </c>
      <c r="Q38">
        <f>'Rescale to Fit GDP Proj'!R139*IFERROR((1+INDEX('IRA - Advanced Manufacturing'!P$174:P$184,MATCH(BPCiObIC!$A38,'IRA - Advanced Manufacturing'!$B$174:$B$184,0))),1)</f>
        <v>0.37618578737531205</v>
      </c>
      <c r="R38">
        <f>'Rescale to Fit GDP Proj'!S139*IFERROR((1+INDEX('IRA - Advanced Manufacturing'!Q$174:Q$184,MATCH(BPCiObIC!$A38,'IRA - Advanced Manufacturing'!$B$174:$B$184,0))),1)</f>
        <v>0.4057956859129912</v>
      </c>
      <c r="S38">
        <f>'Rescale to Fit GDP Proj'!T139*IFERROR((1+INDEX('IRA - Advanced Manufacturing'!R$174:R$184,MATCH(BPCiObIC!$A38,'IRA - Advanced Manufacturing'!$B$174:$B$184,0))),1)</f>
        <v>0.43604266855621376</v>
      </c>
      <c r="T38">
        <f>'Rescale to Fit GDP Proj'!U139*IFERROR((1+INDEX('IRA - Advanced Manufacturing'!S$174:S$184,MATCH(BPCiObIC!$A38,'IRA - Advanced Manufacturing'!$B$174:$B$184,0))),1)</f>
        <v>0.46694044275342028</v>
      </c>
      <c r="U38">
        <f>'Rescale to Fit GDP Proj'!V139*IFERROR((1+INDEX('IRA - Advanced Manufacturing'!T$174:T$184,MATCH(BPCiObIC!$A38,'IRA - Advanced Manufacturing'!$B$174:$B$184,0))),1)</f>
        <v>0.49850301088136817</v>
      </c>
      <c r="V38">
        <f>'Rescale to Fit GDP Proj'!W139*IFERROR((1+INDEX('IRA - Advanced Manufacturing'!U$174:U$184,MATCH(BPCiObIC!$A38,'IRA - Advanced Manufacturing'!$B$174:$B$184,0))),1)</f>
        <v>0.53074467659078395</v>
      </c>
      <c r="W38">
        <f>'Rescale to Fit GDP Proj'!X139*IFERROR((1+INDEX('IRA - Advanced Manufacturing'!V$174:V$184,MATCH(BPCiObIC!$A38,'IRA - Advanced Manufacturing'!$B$174:$B$184,0))),1)</f>
        <v>0.56368005128854959</v>
      </c>
      <c r="X38">
        <f>'Rescale to Fit GDP Proj'!Y139*IFERROR((1+INDEX('IRA - Advanced Manufacturing'!W$174:W$184,MATCH(BPCiObIC!$A38,'IRA - Advanced Manufacturing'!$B$174:$B$184,0))),1)</f>
        <v>0.59732406075935796</v>
      </c>
      <c r="Y38">
        <f>'Rescale to Fit GDP Proj'!Z139*IFERROR((1+INDEX('IRA - Advanced Manufacturing'!X$174:X$184,MATCH(BPCiObIC!$A38,'IRA - Advanced Manufacturing'!$B$174:$B$184,0))),1)</f>
        <v>0.6316919519298394</v>
      </c>
      <c r="Z38">
        <f>'Rescale to Fit GDP Proj'!AA139*IFERROR((1+INDEX('IRA - Advanced Manufacturing'!Y$174:Y$184,MATCH(BPCiObIC!$A38,'IRA - Advanced Manufacturing'!$B$174:$B$184,0))),1)</f>
        <v>0.6667992997782255</v>
      </c>
      <c r="AA38">
        <f>'Rescale to Fit GDP Proj'!AB139*IFERROR((1+INDEX('IRA - Advanced Manufacturing'!Z$174:Z$184,MATCH(BPCiObIC!$A38,'IRA - Advanced Manufacturing'!$B$174:$B$184,0))),1)</f>
        <v>0.70266201439267895</v>
      </c>
      <c r="AB38">
        <f>'Rescale to Fit GDP Proj'!AC139*IFERROR((1+INDEX('IRA - Advanced Manufacturing'!AA$174:AA$184,MATCH(BPCiObIC!$A38,'IRA - Advanced Manufacturing'!$B$174:$B$184,0))),1)</f>
        <v>0.73929634818149181</v>
      </c>
      <c r="AC38">
        <f>'Rescale to Fit GDP Proj'!AD139*IFERROR((1+INDEX('IRA - Advanced Manufacturing'!AB$174:AB$184,MATCH(BPCiObIC!$A38,'IRA - Advanced Manufacturing'!$B$174:$B$184,0))),1)</f>
        <v>0.7767189032384163</v>
      </c>
      <c r="AD38">
        <f>'Rescale to Fit GDP Proj'!AE139*IFERROR((1+INDEX('IRA - Advanced Manufacturing'!AC$174:AC$184,MATCH(BPCiObIC!$A38,'IRA - Advanced Manufacturing'!$B$174:$B$184,0))),1)</f>
        <v>0.81494663886646834</v>
      </c>
      <c r="AE38">
        <f>'Rescale to Fit GDP Proj'!AF139*IFERROR((1+INDEX('IRA - Advanced Manufacturing'!AD$174:AD$184,MATCH(BPCiObIC!$A38,'IRA - Advanced Manufacturing'!$B$174:$B$184,0))),1)</f>
        <v>0.85399687926361167</v>
      </c>
    </row>
    <row r="39" spans="1:31" x14ac:dyDescent="0.3">
      <c r="A39" s="2" t="s">
        <v>28</v>
      </c>
      <c r="B39">
        <f>'Rescale to Fit GDP Proj'!C95</f>
        <v>0</v>
      </c>
      <c r="C39">
        <f>'Rescale to Fit GDP Proj'!D140</f>
        <v>7.200642391641668E-3</v>
      </c>
      <c r="D39">
        <f>'Rescale to Fit GDP Proj'!E140*IFERROR((1+INDEX('IRA - Advanced Manufacturing'!C$174:C$184,MATCH(BPCiObIC!$A39,'IRA - Advanced Manufacturing'!$B$174:$B$184,0))),1)</f>
        <v>1.4453134034135839E-2</v>
      </c>
      <c r="E39">
        <f>'Rescale to Fit GDP Proj'!F140*IFERROR((1+INDEX('IRA - Advanced Manufacturing'!D$174:D$184,MATCH(BPCiObIC!$A39,'IRA - Advanced Manufacturing'!$B$174:$B$184,0))),1)</f>
        <v>2.1757848275395952E-2</v>
      </c>
      <c r="F39">
        <f>'Rescale to Fit GDP Proj'!G140*IFERROR((1+INDEX('IRA - Advanced Manufacturing'!E$174:E$184,MATCH(BPCiObIC!$A39,'IRA - Advanced Manufacturing'!$B$174:$B$184,0))),1)</f>
        <v>2.9115161151680446E-2</v>
      </c>
      <c r="G39">
        <f>'Rescale to Fit GDP Proj'!H140*IFERROR((1+INDEX('IRA - Advanced Manufacturing'!F$174:F$184,MATCH(BPCiObIC!$A39,'IRA - Advanced Manufacturing'!$B$174:$B$184,0))),1)</f>
        <v>3.6525451406950404E-2</v>
      </c>
      <c r="H39">
        <f>'Rescale to Fit GDP Proj'!I140*IFERROR((1+INDEX('IRA - Advanced Manufacturing'!G$174:G$184,MATCH(BPCiObIC!$A39,'IRA - Advanced Manufacturing'!$B$174:$B$184,0))),1)</f>
        <v>4.398910051236693E-2</v>
      </c>
      <c r="I39">
        <f>'Rescale to Fit GDP Proj'!J140*IFERROR((1+INDEX('IRA - Advanced Manufacturing'!H$174:H$184,MATCH(BPCiObIC!$A39,'IRA - Advanced Manufacturing'!$B$174:$B$184,0))),1)</f>
        <v>5.1506492685928329E-2</v>
      </c>
      <c r="J39">
        <f>'Rescale to Fit GDP Proj'!K140*IFERROR((1+INDEX('IRA - Advanced Manufacturing'!I$174:I$184,MATCH(BPCiObIC!$A39,'IRA - Advanced Manufacturing'!$B$174:$B$184,0))),1)</f>
        <v>5.9078014912249177E-2</v>
      </c>
      <c r="K39">
        <f>'Rescale to Fit GDP Proj'!L140*IFERROR((1+INDEX('IRA - Advanced Manufacturing'!J$174:J$184,MATCH(BPCiObIC!$A39,'IRA - Advanced Manufacturing'!$B$174:$B$184,0))),1)</f>
        <v>6.6704056962482161E-2</v>
      </c>
      <c r="L39">
        <f>'Rescale to Fit GDP Proj'!M140*IFERROR((1+INDEX('IRA - Advanced Manufacturing'!K$174:K$184,MATCH(BPCiObIC!$A39,'IRA - Advanced Manufacturing'!$B$174:$B$184,0))),1)</f>
        <v>7.4385011414382474E-2</v>
      </c>
      <c r="M39">
        <f>'Rescale to Fit GDP Proj'!N140*IFERROR((1+INDEX('IRA - Advanced Manufacturing'!L$174:L$184,MATCH(BPCiObIC!$A39,'IRA - Advanced Manufacturing'!$B$174:$B$184,0))),1)</f>
        <v>8.2121273672517425E-2</v>
      </c>
      <c r="N39">
        <f>'Rescale to Fit GDP Proj'!O140*IFERROR((1+INDEX('IRA - Advanced Manufacturing'!M$174:M$184,MATCH(BPCiObIC!$A39,'IRA - Advanced Manufacturing'!$B$174:$B$184,0))),1)</f>
        <v>8.9913241988621051E-2</v>
      </c>
      <c r="O39">
        <f>'Rescale to Fit GDP Proj'!P140*IFERROR((1+INDEX('IRA - Advanced Manufacturing'!N$174:N$184,MATCH(BPCiObIC!$A39,'IRA - Advanced Manufacturing'!$B$174:$B$184,0))),1)</f>
        <v>9.7761317482095933E-2</v>
      </c>
      <c r="P39">
        <f>'Rescale to Fit GDP Proj'!Q140*IFERROR((1+INDEX('IRA - Advanced Manufacturing'!O$174:O$184,MATCH(BPCiObIC!$A39,'IRA - Advanced Manufacturing'!$B$174:$B$184,0))),1)</f>
        <v>0.10566590416066202</v>
      </c>
      <c r="Q39">
        <f>'Rescale to Fit GDP Proj'!R140*IFERROR((1+INDEX('IRA - Advanced Manufacturing'!P$174:P$184,MATCH(BPCiObIC!$A39,'IRA - Advanced Manufacturing'!$B$174:$B$184,0))),1)</f>
        <v>0.1136274089411542</v>
      </c>
      <c r="R39">
        <f>'Rescale to Fit GDP Proj'!S140*IFERROR((1+INDEX('IRA - Advanced Manufacturing'!Q$174:Q$184,MATCH(BPCiObIC!$A39,'IRA - Advanced Manufacturing'!$B$174:$B$184,0))),1)</f>
        <v>0.12164624167047</v>
      </c>
      <c r="S39">
        <f>'Rescale to Fit GDP Proj'!T140*IFERROR((1+INDEX('IRA - Advanced Manufacturing'!R$174:R$184,MATCH(BPCiObIC!$A39,'IRA - Advanced Manufacturing'!$B$174:$B$184,0))),1)</f>
        <v>0.12972281514666806</v>
      </c>
      <c r="T39">
        <f>'Rescale to Fit GDP Proj'!U140*IFERROR((1+INDEX('IRA - Advanced Manufacturing'!S$174:S$184,MATCH(BPCiObIC!$A39,'IRA - Advanced Manufacturing'!$B$174:$B$184,0))),1)</f>
        <v>0.13785754514021797</v>
      </c>
      <c r="U39">
        <f>'Rescale to Fit GDP Proj'!V140*IFERROR((1+INDEX('IRA - Advanced Manufacturing'!T$174:T$184,MATCH(BPCiObIC!$A39,'IRA - Advanced Manufacturing'!$B$174:$B$184,0))),1)</f>
        <v>0.14605085041540411</v>
      </c>
      <c r="V39">
        <f>'Rescale to Fit GDP Proj'!W140*IFERROR((1+INDEX('IRA - Advanced Manufacturing'!U$174:U$184,MATCH(BPCiObIC!$A39,'IRA - Advanced Manufacturing'!$B$174:$B$184,0))),1)</f>
        <v>0.15430315275188233</v>
      </c>
      <c r="W39">
        <f>'Rescale to Fit GDP Proj'!X140*IFERROR((1+INDEX('IRA - Advanced Manufacturing'!V$174:V$184,MATCH(BPCiObIC!$A39,'IRA - Advanced Manufacturing'!$B$174:$B$184,0))),1)</f>
        <v>0.16261487696639332</v>
      </c>
      <c r="X39">
        <f>'Rescale to Fit GDP Proj'!Y140*IFERROR((1+INDEX('IRA - Advanced Manufacturing'!W$174:W$184,MATCH(BPCiObIC!$A39,'IRA - Advanced Manufacturing'!$B$174:$B$184,0))),1)</f>
        <v>0.17098645093463083</v>
      </c>
      <c r="Y39">
        <f>'Rescale to Fit GDP Proj'!Z140*IFERROR((1+INDEX('IRA - Advanced Manufacturing'!X$174:X$184,MATCH(BPCiObIC!$A39,'IRA - Advanced Manufacturing'!$B$174:$B$184,0))),1)</f>
        <v>0.17941830561326877</v>
      </c>
      <c r="Z39">
        <f>'Rescale to Fit GDP Proj'!AA140*IFERROR((1+INDEX('IRA - Advanced Manufacturing'!Y$174:Y$184,MATCH(BPCiObIC!$A39,'IRA - Advanced Manufacturing'!$B$174:$B$184,0))),1)</f>
        <v>0.18791087506214588</v>
      </c>
      <c r="AA39">
        <f>'Rescale to Fit GDP Proj'!AB140*IFERROR((1+INDEX('IRA - Advanced Manufacturing'!Z$174:Z$184,MATCH(BPCiObIC!$A39,'IRA - Advanced Manufacturing'!$B$174:$B$184,0))),1)</f>
        <v>0.19646459646661052</v>
      </c>
      <c r="AB39">
        <f>'Rescale to Fit GDP Proj'!AC140*IFERROR((1+INDEX('IRA - Advanced Manufacturing'!AA$174:AA$184,MATCH(BPCiObIC!$A39,'IRA - Advanced Manufacturing'!$B$174:$B$184,0))),1)</f>
        <v>0.20507991016002647</v>
      </c>
      <c r="AC39">
        <f>'Rescale to Fit GDP Proj'!AD140*IFERROR((1+INDEX('IRA - Advanced Manufacturing'!AB$174:AB$184,MATCH(BPCiObIC!$A39,'IRA - Advanced Manufacturing'!$B$174:$B$184,0))),1)</f>
        <v>0.21375725964644054</v>
      </c>
      <c r="AD39">
        <f>'Rescale to Fit GDP Proj'!AE140*IFERROR((1+INDEX('IRA - Advanced Manufacturing'!AC$174:AC$184,MATCH(BPCiObIC!$A39,'IRA - Advanced Manufacturing'!$B$174:$B$184,0))),1)</f>
        <v>0.22249709162341369</v>
      </c>
      <c r="AE39">
        <f>'Rescale to Fit GDP Proj'!AF140*IFERROR((1+INDEX('IRA - Advanced Manufacturing'!AD$174:AD$184,MATCH(BPCiObIC!$A39,'IRA - Advanced Manufacturing'!$B$174:$B$184,0))),1)</f>
        <v>0.2312998560050159</v>
      </c>
    </row>
    <row r="40" spans="1:31" x14ac:dyDescent="0.3">
      <c r="A40" s="2" t="s">
        <v>29</v>
      </c>
      <c r="B40">
        <f>'Rescale to Fit GDP Proj'!C96</f>
        <v>0</v>
      </c>
      <c r="C40">
        <f>'Rescale to Fit GDP Proj'!D141</f>
        <v>1.6218E-2</v>
      </c>
      <c r="D40">
        <f>'Rescale to Fit GDP Proj'!E141*IFERROR((1+INDEX('IRA - Advanced Manufacturing'!C$174:C$184,MATCH(BPCiObIC!$A40,'IRA - Advanced Manufacturing'!$B$174:$B$184,0))),1)</f>
        <v>3.2699023524000115E-2</v>
      </c>
      <c r="E40">
        <f>'Rescale to Fit GDP Proj'!F141*IFERROR((1+INDEX('IRA - Advanced Manufacturing'!D$174:D$184,MATCH(BPCiObIC!$A40,'IRA - Advanced Manufacturing'!$B$174:$B$184,0))),1)</f>
        <v>4.9447336287512522E-2</v>
      </c>
      <c r="F40">
        <f>'Rescale to Fit GDP Proj'!G141*IFERROR((1+INDEX('IRA - Advanced Manufacturing'!E$174:E$184,MATCH(BPCiObIC!$A40,'IRA - Advanced Manufacturing'!$B$174:$B$184,0))),1)</f>
        <v>6.6467273187423404E-2</v>
      </c>
      <c r="G40">
        <f>'Rescale to Fit GDP Proj'!H141*IFERROR((1+INDEX('IRA - Advanced Manufacturing'!F$174:F$184,MATCH(BPCiObIC!$A40,'IRA - Advanced Manufacturing'!$B$174:$B$184,0))),1)</f>
        <v>8.3763239423977121E-2</v>
      </c>
      <c r="H40">
        <f>'Rescale to Fit GDP Proj'!I141*IFERROR((1+INDEX('IRA - Advanced Manufacturing'!G$174:G$184,MATCH(BPCiObIC!$A40,'IRA - Advanced Manufacturing'!$B$174:$B$184,0))),1)</f>
        <v>0.10133971164095534</v>
      </c>
      <c r="I40">
        <f>'Rescale to Fit GDP Proj'!J141*IFERROR((1+INDEX('IRA - Advanced Manufacturing'!H$174:H$184,MATCH(BPCiObIC!$A40,'IRA - Advanced Manufacturing'!$B$174:$B$184,0))),1)</f>
        <v>0.11920123908434843</v>
      </c>
      <c r="J40">
        <f>'Rescale to Fit GDP Proj'!K141*IFERROR((1+INDEX('IRA - Advanced Manufacturing'!I$174:I$184,MATCH(BPCiObIC!$A40,'IRA - Advanced Manufacturing'!$B$174:$B$184,0))),1)</f>
        <v>0.13735244477981845</v>
      </c>
      <c r="K40">
        <f>'Rescale to Fit GDP Proj'!L141*IFERROR((1+INDEX('IRA - Advanced Manufacturing'!J$174:J$184,MATCH(BPCiObIC!$A40,'IRA - Advanced Manufacturing'!$B$174:$B$184,0))),1)</f>
        <v>0.15579802672925758</v>
      </c>
      <c r="L40">
        <f>'Rescale to Fit GDP Proj'!M141*IFERROR((1+INDEX('IRA - Advanced Manufacturing'!K$174:K$184,MATCH(BPCiObIC!$A40,'IRA - Advanced Manufacturing'!$B$174:$B$184,0))),1)</f>
        <v>0.17454275912675277</v>
      </c>
      <c r="M40">
        <f>'Rescale to Fit GDP Proj'!N141*IFERROR((1+INDEX('IRA - Advanced Manufacturing'!L$174:L$184,MATCH(BPCiObIC!$A40,'IRA - Advanced Manufacturing'!$B$174:$B$184,0))),1)</f>
        <v>0.19359149359427041</v>
      </c>
      <c r="N40">
        <f>'Rescale to Fit GDP Proj'!O141*IFERROR((1+INDEX('IRA - Advanced Manufacturing'!M$174:M$184,MATCH(BPCiObIC!$A40,'IRA - Advanced Manufacturing'!$B$174:$B$184,0))),1)</f>
        <v>0.21294916043738232</v>
      </c>
      <c r="O40">
        <f>'Rescale to Fit GDP Proj'!P141*IFERROR((1+INDEX('IRA - Advanced Manufacturing'!N$174:N$184,MATCH(BPCiObIC!$A40,'IRA - Advanced Manufacturing'!$B$174:$B$184,0))),1)</f>
        <v>0.23262076992135583</v>
      </c>
      <c r="P40">
        <f>'Rescale to Fit GDP Proj'!Q141*IFERROR((1+INDEX('IRA - Advanced Manufacturing'!O$174:O$184,MATCH(BPCiObIC!$A40,'IRA - Advanced Manufacturing'!$B$174:$B$184,0))),1)</f>
        <v>0.25261141356794048</v>
      </c>
      <c r="Q40">
        <f>'Rescale to Fit GDP Proj'!R141*IFERROR((1+INDEX('IRA - Advanced Manufacturing'!P$174:P$184,MATCH(BPCiObIC!$A40,'IRA - Advanced Manufacturing'!$B$174:$B$184,0))),1)</f>
        <v>0.27292626547318544</v>
      </c>
      <c r="R40">
        <f>'Rescale to Fit GDP Proj'!S141*IFERROR((1+INDEX('IRA - Advanced Manufacturing'!Q$174:Q$184,MATCH(BPCiObIC!$A40,'IRA - Advanced Manufacturing'!$B$174:$B$184,0))),1)</f>
        <v>0.29357058364662958</v>
      </c>
      <c r="S40">
        <f>'Rescale to Fit GDP Proj'!T141*IFERROR((1+INDEX('IRA - Advanced Manufacturing'!R$174:R$184,MATCH(BPCiObIC!$A40,'IRA - Advanced Manufacturing'!$B$174:$B$184,0))),1)</f>
        <v>0.31454971137221066</v>
      </c>
      <c r="T40">
        <f>'Rescale to Fit GDP Proj'!U141*IFERROR((1+INDEX('IRA - Advanced Manufacturing'!S$174:S$184,MATCH(BPCiObIC!$A40,'IRA - Advanced Manufacturing'!$B$174:$B$184,0))),1)</f>
        <v>0.33586907859124526</v>
      </c>
      <c r="U40">
        <f>'Rescale to Fit GDP Proj'!V141*IFERROR((1+INDEX('IRA - Advanced Manufacturing'!T$174:T$184,MATCH(BPCiObIC!$A40,'IRA - Advanced Manufacturing'!$B$174:$B$184,0))),1)</f>
        <v>0.35753420330783814</v>
      </c>
      <c r="V40">
        <f>'Rescale to Fit GDP Proj'!W141*IFERROR((1+INDEX('IRA - Advanced Manufacturing'!U$174:U$184,MATCH(BPCiObIC!$A40,'IRA - Advanced Manufacturing'!$B$174:$B$184,0))),1)</f>
        <v>0.37955069301708466</v>
      </c>
      <c r="W40">
        <f>'Rescale to Fit GDP Proj'!X141*IFERROR((1+INDEX('IRA - Advanced Manufacturing'!V$174:V$184,MATCH(BPCiObIC!$A40,'IRA - Advanced Manufacturing'!$B$174:$B$184,0))),1)</f>
        <v>0.40192424615643585</v>
      </c>
      <c r="X40">
        <f>'Rescale to Fit GDP Proj'!Y141*IFERROR((1+INDEX('IRA - Advanced Manufacturing'!W$174:W$184,MATCH(BPCiObIC!$A40,'IRA - Advanced Manufacturing'!$B$174:$B$184,0))),1)</f>
        <v>0.42466065358060101</v>
      </c>
      <c r="Y40">
        <f>'Rescale to Fit GDP Proj'!Z141*IFERROR((1+INDEX('IRA - Advanced Manufacturing'!X$174:X$184,MATCH(BPCiObIC!$A40,'IRA - Advanced Manufacturing'!$B$174:$B$184,0))),1)</f>
        <v>0.44776580006037126</v>
      </c>
      <c r="Z40">
        <f>'Rescale to Fit GDP Proj'!AA141*IFERROR((1+INDEX('IRA - Advanced Manufacturing'!Y$174:Y$184,MATCH(BPCiObIC!$A40,'IRA - Advanced Manufacturing'!$B$174:$B$184,0))),1)</f>
        <v>0.47124566580575045</v>
      </c>
      <c r="AA40">
        <f>'Rescale to Fit GDP Proj'!AB141*IFERROR((1+INDEX('IRA - Advanced Manufacturing'!Z$174:Z$184,MATCH(BPCiObIC!$A40,'IRA - Advanced Manufacturing'!$B$174:$B$184,0))),1)</f>
        <v>0.49510632801378818</v>
      </c>
      <c r="AB40">
        <f>'Rescale to Fit GDP Proj'!AC141*IFERROR((1+INDEX('IRA - Advanced Manufacturing'!AA$174:AA$184,MATCH(BPCiObIC!$A40,'IRA - Advanced Manufacturing'!$B$174:$B$184,0))),1)</f>
        <v>0.51935396244151599</v>
      </c>
      <c r="AC40">
        <f>'Rescale to Fit GDP Proj'!AD141*IFERROR((1+INDEX('IRA - Advanced Manufacturing'!AB$174:AB$184,MATCH(BPCiObIC!$A40,'IRA - Advanced Manufacturing'!$B$174:$B$184,0))),1)</f>
        <v>0.54399484500439255</v>
      </c>
      <c r="AD40">
        <f>'Rescale to Fit GDP Proj'!AE141*IFERROR((1+INDEX('IRA - Advanced Manufacturing'!AC$174:AC$184,MATCH(BPCiObIC!$A40,'IRA - Advanced Manufacturing'!$B$174:$B$184,0))),1)</f>
        <v>0.56903535340067379</v>
      </c>
      <c r="AE40">
        <f>'Rescale to Fit GDP Proj'!AF141*IFERROR((1+INDEX('IRA - Advanced Manufacturing'!AD$174:AD$184,MATCH(BPCiObIC!$A40,'IRA - Advanced Manufacturing'!$B$174:$B$184,0))),1)</f>
        <v>0.59448196876212611</v>
      </c>
    </row>
    <row r="41" spans="1:31" x14ac:dyDescent="0.3">
      <c r="A41" s="2" t="s">
        <v>30</v>
      </c>
      <c r="B41">
        <f>'Rescale to Fit GDP Proj'!C97</f>
        <v>0</v>
      </c>
      <c r="C41">
        <f>'Rescale to Fit GDP Proj'!D142</f>
        <v>2.7665999999999996E-2</v>
      </c>
      <c r="D41">
        <f>'Rescale to Fit GDP Proj'!E142*IFERROR((1+INDEX('IRA - Advanced Manufacturing'!C$174:C$184,MATCH(BPCiObIC!$A41,'IRA - Advanced Manufacturing'!$B$174:$B$184,0))),1)</f>
        <v>5.6097407555999901E-2</v>
      </c>
      <c r="E41">
        <f>'Rescale to Fit GDP Proj'!F142*IFERROR((1+INDEX('IRA - Advanced Manufacturing'!D$174:D$184,MATCH(BPCiObIC!$A41,'IRA - Advanced Manufacturing'!$B$174:$B$184,0))),1)</f>
        <v>8.5315398433444267E-2</v>
      </c>
      <c r="F41">
        <f>'Rescale to Fit GDP Proj'!G142*IFERROR((1+INDEX('IRA - Advanced Manufacturing'!E$174:E$184,MATCH(BPCiObIC!$A41,'IRA - Advanced Manufacturing'!$B$174:$B$184,0))),1)</f>
        <v>0.11534173424650396</v>
      </c>
      <c r="G41">
        <f>'Rescale to Fit GDP Proj'!H142*IFERROR((1+INDEX('IRA - Advanced Manufacturing'!F$174:F$184,MATCH(BPCiObIC!$A41,'IRA - Advanced Manufacturing'!$B$174:$B$184,0))),1)</f>
        <v>0.14619877866616759</v>
      </c>
      <c r="H41">
        <f>'Rescale to Fit GDP Proj'!I142*IFERROR((1+INDEX('IRA - Advanced Manufacturing'!G$174:G$184,MATCH(BPCiObIC!$A41,'IRA - Advanced Manufacturing'!$B$174:$B$184,0))),1)</f>
        <v>0.17790951407674571</v>
      </c>
      <c r="I41">
        <f>'Rescale to Fit GDP Proj'!J142*IFERROR((1+INDEX('IRA - Advanced Manufacturing'!H$174:H$184,MATCH(BPCiObIC!$A41,'IRA - Advanced Manufacturing'!$B$174:$B$184,0))),1)</f>
        <v>0.21049755869319298</v>
      </c>
      <c r="J41">
        <f>'Rescale to Fit GDP Proj'!K142*IFERROR((1+INDEX('IRA - Advanced Manufacturing'!I$174:I$184,MATCH(BPCiObIC!$A41,'IRA - Advanced Manufacturing'!$B$174:$B$184,0))),1)</f>
        <v>0.24398718415199872</v>
      </c>
      <c r="K41">
        <f>'Rescale to Fit GDP Proj'!L142*IFERROR((1+INDEX('IRA - Advanced Manufacturing'!J$174:J$184,MATCH(BPCiObIC!$A41,'IRA - Advanced Manufacturing'!$B$174:$B$184,0))),1)</f>
        <v>0.27840333358874791</v>
      </c>
      <c r="L41">
        <f>'Rescale to Fit GDP Proj'!M142*IFERROR((1+INDEX('IRA - Advanced Manufacturing'!K$174:K$184,MATCH(BPCiObIC!$A41,'IRA - Advanced Manufacturing'!$B$174:$B$184,0))),1)</f>
        <v>0.31377164021581416</v>
      </c>
      <c r="M41">
        <f>'Rescale to Fit GDP Proj'!N142*IFERROR((1+INDEX('IRA - Advanced Manufacturing'!L$174:L$184,MATCH(BPCiObIC!$A41,'IRA - Advanced Manufacturing'!$B$174:$B$184,0))),1)</f>
        <v>0.35011844641402479</v>
      </c>
      <c r="N41">
        <f>'Rescale to Fit GDP Proj'!O142*IFERROR((1+INDEX('IRA - Advanced Manufacturing'!M$174:M$184,MATCH(BPCiObIC!$A41,'IRA - Advanced Manufacturing'!$B$174:$B$184,0))),1)</f>
        <v>0.38747082335251526</v>
      </c>
      <c r="O41">
        <f>'Rescale to Fit GDP Proj'!P142*IFERROR((1+INDEX('IRA - Advanced Manufacturing'!N$174:N$184,MATCH(BPCiObIC!$A41,'IRA - Advanced Manufacturing'!$B$174:$B$184,0))),1)</f>
        <v>0.42585659115138585</v>
      </c>
      <c r="P41">
        <f>'Rescale to Fit GDP Proj'!Q142*IFERROR((1+INDEX('IRA - Advanced Manufacturing'!O$174:O$184,MATCH(BPCiObIC!$A41,'IRA - Advanced Manufacturing'!$B$174:$B$184,0))),1)</f>
        <v>0.46530433960218009</v>
      </c>
      <c r="Q41">
        <f>'Rescale to Fit GDP Proj'!R142*IFERROR((1+INDEX('IRA - Advanced Manufacturing'!P$174:P$184,MATCH(BPCiObIC!$A41,'IRA - Advanced Manufacturing'!$B$174:$B$184,0))),1)</f>
        <v>0.50584344946161397</v>
      </c>
      <c r="R41">
        <f>'Rescale to Fit GDP Proj'!S142*IFERROR((1+INDEX('IRA - Advanced Manufacturing'!Q$174:Q$184,MATCH(BPCiObIC!$A41,'IRA - Advanced Manufacturing'!$B$174:$B$184,0))),1)</f>
        <v>0.54750411433441903</v>
      </c>
      <c r="S41">
        <f>'Rescale to Fit GDP Proj'!T142*IFERROR((1+INDEX('IRA - Advanced Manufacturing'!R$174:R$184,MATCH(BPCiObIC!$A41,'IRA - Advanced Manufacturing'!$B$174:$B$184,0))),1)</f>
        <v>0.590317363161595</v>
      </c>
      <c r="T41">
        <f>'Rescale to Fit GDP Proj'!U142*IFERROR((1+INDEX('IRA - Advanced Manufacturing'!S$174:S$184,MATCH(BPCiObIC!$A41,'IRA - Advanced Manufacturing'!$B$174:$B$184,0))),1)</f>
        <v>0.63431508333082354</v>
      </c>
      <c r="U41">
        <f>'Rescale to Fit GDP Proj'!V142*IFERROR((1+INDEX('IRA - Advanced Manufacturing'!T$174:T$184,MATCH(BPCiObIC!$A41,'IRA - Advanced Manufacturing'!$B$174:$B$184,0))),1)</f>
        <v>0.67953004442625398</v>
      </c>
      <c r="V41">
        <f>'Rescale to Fit GDP Proj'!W142*IFERROR((1+INDEX('IRA - Advanced Manufacturing'!U$174:U$184,MATCH(BPCiObIC!$A41,'IRA - Advanced Manufacturing'!$B$174:$B$184,0))),1)</f>
        <v>0.72599592263535073</v>
      </c>
      <c r="W41">
        <f>'Rescale to Fit GDP Proj'!X142*IFERROR((1+INDEX('IRA - Advanced Manufacturing'!V$174:V$184,MATCH(BPCiObIC!$A41,'IRA - Advanced Manufacturing'!$B$174:$B$184,0))),1)</f>
        <v>0.77374732583098038</v>
      </c>
      <c r="X41">
        <f>'Rescale to Fit GDP Proj'!Y142*IFERROR((1+INDEX('IRA - Advanced Manufacturing'!W$174:W$184,MATCH(BPCiObIC!$A41,'IRA - Advanced Manufacturing'!$B$174:$B$184,0))),1)</f>
        <v>0.82281981934742032</v>
      </c>
      <c r="Y41">
        <f>'Rescale to Fit GDP Proj'!Z142*IFERROR((1+INDEX('IRA - Advanced Manufacturing'!X$174:X$184,MATCH(BPCiObIC!$A41,'IRA - Advanced Manufacturing'!$B$174:$B$184,0))),1)</f>
        <v>0.87324995246948589</v>
      </c>
      <c r="Z41">
        <f>'Rescale to Fit GDP Proj'!AA142*IFERROR((1+INDEX('IRA - Advanced Manufacturing'!Y$174:Y$184,MATCH(BPCiObIC!$A41,'IRA - Advanced Manufacturing'!$B$174:$B$184,0))),1)</f>
        <v>0.92507528565450658</v>
      </c>
      <c r="AA41">
        <f>'Rescale to Fit GDP Proj'!AB142*IFERROR((1+INDEX('IRA - Advanced Manufacturing'!Z$174:Z$184,MATCH(BPCiObIC!$A41,'IRA - Advanced Manufacturing'!$B$174:$B$184,0))),1)</f>
        <v>0.97833441850742409</v>
      </c>
      <c r="AB41">
        <f>'Rescale to Fit GDP Proj'!AC142*IFERROR((1+INDEX('IRA - Advanced Manufacturing'!AA$174:AA$184,MATCH(BPCiObIC!$A41,'IRA - Advanced Manufacturing'!$B$174:$B$184,0))),1)</f>
        <v>1.0330670185298505</v>
      </c>
      <c r="AC41">
        <f>'Rescale to Fit GDP Proj'!AD142*IFERROR((1+INDEX('IRA - Advanced Manufacturing'!AB$174:AB$184,MATCH(BPCiObIC!$A41,'IRA - Advanced Manufacturing'!$B$174:$B$184,0))),1)</f>
        <v>1.0893138506644973</v>
      </c>
      <c r="AD41">
        <f>'Rescale to Fit GDP Proj'!AE142*IFERROR((1+INDEX('IRA - Advanced Manufacturing'!AC$174:AC$184,MATCH(BPCiObIC!$A41,'IRA - Advanced Manufacturing'!$B$174:$B$184,0))),1)</f>
        <v>1.1471168076569813</v>
      </c>
      <c r="AE41">
        <f>'Rescale to Fit GDP Proj'!AF142*IFERROR((1+INDEX('IRA - Advanced Manufacturing'!AD$174:AD$184,MATCH(BPCiObIC!$A41,'IRA - Advanced Manufacturing'!$B$174:$B$184,0))),1)</f>
        <v>1.2065189412576194</v>
      </c>
    </row>
    <row r="42" spans="1:31" x14ac:dyDescent="0.3">
      <c r="A42" s="2" t="s">
        <v>31</v>
      </c>
      <c r="B42">
        <f>'Rescale to Fit GDP Proj'!C98</f>
        <v>0</v>
      </c>
      <c r="C42">
        <f>'Rescale to Fit GDP Proj'!D143</f>
        <v>2.0988E-2</v>
      </c>
      <c r="D42">
        <f>'Rescale to Fit GDP Proj'!E143*IFERROR((1+INDEX('IRA - Advanced Manufacturing'!C$174:C$184,MATCH(BPCiObIC!$A42,'IRA - Advanced Manufacturing'!$B$174:$B$184,0))),1)</f>
        <v>4.2416496144000115E-2</v>
      </c>
      <c r="E42">
        <f>'Rescale to Fit GDP Proj'!F143*IFERROR((1+INDEX('IRA - Advanced Manufacturing'!D$174:D$184,MATCH(BPCiObIC!$A42,'IRA - Advanced Manufacturing'!$B$174:$B$184,0))),1)</f>
        <v>6.4294733565070317E-2</v>
      </c>
      <c r="F42">
        <f>'Rescale to Fit GDP Proj'!G143*IFERROR((1+INDEX('IRA - Advanced Manufacturing'!E$174:E$184,MATCH(BPCiObIC!$A42,'IRA - Advanced Manufacturing'!$B$174:$B$184,0))),1)</f>
        <v>8.6632151433134075E-2</v>
      </c>
      <c r="G42">
        <f>'Rescale to Fit GDP Proj'!H143*IFERROR((1+INDEX('IRA - Advanced Manufacturing'!F$174:F$184,MATCH(BPCiObIC!$A42,'IRA - Advanced Manufacturing'!$B$174:$B$184,0))),1)</f>
        <v>0.10943838702741271</v>
      </c>
      <c r="H42">
        <f>'Rescale to Fit GDP Proj'!I143*IFERROR((1+INDEX('IRA - Advanced Manufacturing'!G$174:G$184,MATCH(BPCiObIC!$A42,'IRA - Advanced Manufacturing'!$B$174:$B$184,0))),1)</f>
        <v>0.13272327989434407</v>
      </c>
      <c r="I42">
        <f>'Rescale to Fit GDP Proj'!J143*IFERROR((1+INDEX('IRA - Advanced Manufacturing'!H$174:H$184,MATCH(BPCiObIC!$A42,'IRA - Advanced Manufacturing'!$B$174:$B$184,0))),1)</f>
        <v>0.15649687609276652</v>
      </c>
      <c r="J42">
        <f>'Rescale to Fit GDP Proj'!K143*IFERROR((1+INDEX('IRA - Advanced Manufacturing'!I$174:I$184,MATCH(BPCiObIC!$A42,'IRA - Advanced Manufacturing'!$B$174:$B$184,0))),1)</f>
        <v>0.18076943252820143</v>
      </c>
      <c r="K42">
        <f>'Rescale to Fit GDP Proj'!L143*IFERROR((1+INDEX('IRA - Advanced Manufacturing'!J$174:J$184,MATCH(BPCiObIC!$A42,'IRA - Advanced Manufacturing'!$B$174:$B$184,0))),1)</f>
        <v>0.20555142137810334</v>
      </c>
      <c r="L42">
        <f>'Rescale to Fit GDP Proj'!M143*IFERROR((1+INDEX('IRA - Advanced Manufacturing'!K$174:K$184,MATCH(BPCiObIC!$A42,'IRA - Advanced Manufacturing'!$B$174:$B$184,0))),1)</f>
        <v>0.23085353460998692</v>
      </c>
      <c r="M42">
        <f>'Rescale to Fit GDP Proj'!N143*IFERROR((1+INDEX('IRA - Advanced Manufacturing'!L$174:L$184,MATCH(BPCiObIC!$A42,'IRA - Advanced Manufacturing'!$B$174:$B$184,0))),1)</f>
        <v>0.25668668859438126</v>
      </c>
      <c r="N42">
        <f>'Rescale to Fit GDP Proj'!O143*IFERROR((1+INDEX('IRA - Advanced Manufacturing'!M$174:M$184,MATCH(BPCiObIC!$A42,'IRA - Advanced Manufacturing'!$B$174:$B$184,0))),1)</f>
        <v>0.28306202881460019</v>
      </c>
      <c r="O42">
        <f>'Rescale to Fit GDP Proj'!P143*IFERROR((1+INDEX('IRA - Advanced Manufacturing'!N$174:N$184,MATCH(BPCiObIC!$A42,'IRA - Advanced Manufacturing'!$B$174:$B$184,0))),1)</f>
        <v>0.3099909346753611</v>
      </c>
      <c r="P42">
        <f>'Rescale to Fit GDP Proj'!Q143*IFERROR((1+INDEX('IRA - Advanced Manufacturing'!O$174:O$184,MATCH(BPCiObIC!$A42,'IRA - Advanced Manufacturing'!$B$174:$B$184,0))),1)</f>
        <v>0.33748502441232753</v>
      </c>
      <c r="Q42">
        <f>'Rescale to Fit GDP Proj'!R143*IFERROR((1+INDEX('IRA - Advanced Manufacturing'!P$174:P$184,MATCH(BPCiObIC!$A42,'IRA - Advanced Manufacturing'!$B$174:$B$184,0))),1)</f>
        <v>0.36555616010469349</v>
      </c>
      <c r="R42">
        <f>'Rescale to Fit GDP Proj'!S143*IFERROR((1+INDEX('IRA - Advanced Manufacturing'!Q$174:Q$184,MATCH(BPCiObIC!$A42,'IRA - Advanced Manufacturing'!$B$174:$B$184,0))),1)</f>
        <v>0.3942164527929708</v>
      </c>
      <c r="S42">
        <f>'Rescale to Fit GDP Proj'!T143*IFERROR((1+INDEX('IRA - Advanced Manufacturing'!R$174:R$184,MATCH(BPCiObIC!$A42,'IRA - Advanced Manufacturing'!$B$174:$B$184,0))),1)</f>
        <v>0.42347826770418973</v>
      </c>
      <c r="T42">
        <f>'Rescale to Fit GDP Proj'!U143*IFERROR((1+INDEX('IRA - Advanced Manufacturing'!S$174:S$184,MATCH(BPCiObIC!$A42,'IRA - Advanced Manufacturing'!$B$174:$B$184,0))),1)</f>
        <v>0.45335422958676519</v>
      </c>
      <c r="U42">
        <f>'Rescale to Fit GDP Proj'!V143*IFERROR((1+INDEX('IRA - Advanced Manufacturing'!T$174:T$184,MATCH(BPCiObIC!$A42,'IRA - Advanced Manufacturing'!$B$174:$B$184,0))),1)</f>
        <v>0.48385722815733212</v>
      </c>
      <c r="V42">
        <f>'Rescale to Fit GDP Proj'!W143*IFERROR((1+INDEX('IRA - Advanced Manufacturing'!U$174:U$184,MATCH(BPCiObIC!$A42,'IRA - Advanced Manufacturing'!$B$174:$B$184,0))),1)</f>
        <v>0.51500042366189813</v>
      </c>
      <c r="W42">
        <f>'Rescale to Fit GDP Proj'!X143*IFERROR((1+INDEX('IRA - Advanced Manufacturing'!V$174:V$184,MATCH(BPCiObIC!$A42,'IRA - Advanced Manufacturing'!$B$174:$B$184,0))),1)</f>
        <v>0.54679725255371414</v>
      </c>
      <c r="X42">
        <f>'Rescale to Fit GDP Proj'!Y143*IFERROR((1+INDEX('IRA - Advanced Manufacturing'!W$174:W$184,MATCH(BPCiObIC!$A42,'IRA - Advanced Manufacturing'!$B$174:$B$184,0))),1)</f>
        <v>0.57926143329031143</v>
      </c>
      <c r="Y42">
        <f>'Rescale to Fit GDP Proj'!Z143*IFERROR((1+INDEX('IRA - Advanced Manufacturing'!X$174:X$184,MATCH(BPCiObIC!$A42,'IRA - Advanced Manufacturing'!$B$174:$B$184,0))),1)</f>
        <v>0.61240697225220853</v>
      </c>
      <c r="Z42">
        <f>'Rescale to Fit GDP Proj'!AA143*IFERROR((1+INDEX('IRA - Advanced Manufacturing'!Y$174:Y$184,MATCH(BPCiObIC!$A42,'IRA - Advanced Manufacturing'!$B$174:$B$184,0))),1)</f>
        <v>0.64624816978583799</v>
      </c>
      <c r="AA42">
        <f>'Rescale to Fit GDP Proj'!AB143*IFERROR((1+INDEX('IRA - Advanced Manufacturing'!Z$174:Z$184,MATCH(BPCiObIC!$A42,'IRA - Advanced Manufacturing'!$B$174:$B$184,0))),1)</f>
        <v>0.68079962637330316</v>
      </c>
      <c r="AB42">
        <f>'Rescale to Fit GDP Proj'!AC143*IFERROR((1+INDEX('IRA - Advanced Manufacturing'!AA$174:AA$184,MATCH(BPCiObIC!$A42,'IRA - Advanced Manufacturing'!$B$174:$B$184,0))),1)</f>
        <v>0.71607624893162614</v>
      </c>
      <c r="AC42">
        <f>'Rescale to Fit GDP Proj'!AD143*IFERROR((1+INDEX('IRA - Advanced Manufacturing'!AB$174:AB$184,MATCH(BPCiObIC!$A42,'IRA - Advanced Manufacturing'!$B$174:$B$184,0))),1)</f>
        <v>0.75209325724420317</v>
      </c>
      <c r="AD42">
        <f>'Rescale to Fit GDP Proj'!AE143*IFERROR((1+INDEX('IRA - Advanced Manufacturing'!AC$174:AC$184,MATCH(BPCiObIC!$A42,'IRA - Advanced Manufacturing'!$B$174:$B$184,0))),1)</f>
        <v>0.78886619052724449</v>
      </c>
      <c r="AE42">
        <f>'Rescale to Fit GDP Proj'!AF143*IFERROR((1+INDEX('IRA - Advanced Manufacturing'!AD$174:AD$184,MATCH(BPCiObIC!$A42,'IRA - Advanced Manufacturing'!$B$174:$B$184,0))),1)</f>
        <v>0.82641091413403034</v>
      </c>
    </row>
    <row r="43" spans="1:31" x14ac:dyDescent="0.3">
      <c r="A43" s="2" t="s">
        <v>32</v>
      </c>
      <c r="B43">
        <f>'Rescale to Fit GDP Proj'!C99</f>
        <v>0</v>
      </c>
      <c r="C43">
        <f>'Rescale to Fit GDP Proj'!D144</f>
        <v>1.6218E-2</v>
      </c>
      <c r="D43">
        <f>'Rescale to Fit GDP Proj'!E144*IFERROR((1+INDEX('IRA - Advanced Manufacturing'!C$174:C$184,MATCH(BPCiObIC!$A43,'IRA - Advanced Manufacturing'!$B$174:$B$184,0))),1)</f>
        <v>3.2699023524000115E-2</v>
      </c>
      <c r="E43">
        <f>'Rescale to Fit GDP Proj'!F144*IFERROR((1+INDEX('IRA - Advanced Manufacturing'!D$174:D$184,MATCH(BPCiObIC!$A43,'IRA - Advanced Manufacturing'!$B$174:$B$184,0))),1)</f>
        <v>4.9447336287512522E-2</v>
      </c>
      <c r="F43">
        <f>'Rescale to Fit GDP Proj'!G144*IFERROR((1+INDEX('IRA - Advanced Manufacturing'!E$174:E$184,MATCH(BPCiObIC!$A43,'IRA - Advanced Manufacturing'!$B$174:$B$184,0))),1)</f>
        <v>6.6467273187423404E-2</v>
      </c>
      <c r="G43">
        <f>'Rescale to Fit GDP Proj'!H144*IFERROR((1+INDEX('IRA - Advanced Manufacturing'!F$174:F$184,MATCH(BPCiObIC!$A43,'IRA - Advanced Manufacturing'!$B$174:$B$184,0))),1)</f>
        <v>8.3763239423977121E-2</v>
      </c>
      <c r="H43">
        <f>'Rescale to Fit GDP Proj'!I144*IFERROR((1+INDEX('IRA - Advanced Manufacturing'!G$174:G$184,MATCH(BPCiObIC!$A43,'IRA - Advanced Manufacturing'!$B$174:$B$184,0))),1)</f>
        <v>0.10133971164095534</v>
      </c>
      <c r="I43">
        <f>'Rescale to Fit GDP Proj'!J144*IFERROR((1+INDEX('IRA - Advanced Manufacturing'!H$174:H$184,MATCH(BPCiObIC!$A43,'IRA - Advanced Manufacturing'!$B$174:$B$184,0))),1)</f>
        <v>0.11920123908434843</v>
      </c>
      <c r="J43">
        <f>'Rescale to Fit GDP Proj'!K144*IFERROR((1+INDEX('IRA - Advanced Manufacturing'!I$174:I$184,MATCH(BPCiObIC!$A43,'IRA - Advanced Manufacturing'!$B$174:$B$184,0))),1)</f>
        <v>0.13735244477981845</v>
      </c>
      <c r="K43">
        <f>'Rescale to Fit GDP Proj'!L144*IFERROR((1+INDEX('IRA - Advanced Manufacturing'!J$174:J$184,MATCH(BPCiObIC!$A43,'IRA - Advanced Manufacturing'!$B$174:$B$184,0))),1)</f>
        <v>0.15579802672925758</v>
      </c>
      <c r="L43">
        <f>'Rescale to Fit GDP Proj'!M144*IFERROR((1+INDEX('IRA - Advanced Manufacturing'!K$174:K$184,MATCH(BPCiObIC!$A43,'IRA - Advanced Manufacturing'!$B$174:$B$184,0))),1)</f>
        <v>0.17454275912675277</v>
      </c>
      <c r="M43">
        <f>'Rescale to Fit GDP Proj'!N144*IFERROR((1+INDEX('IRA - Advanced Manufacturing'!L$174:L$184,MATCH(BPCiObIC!$A43,'IRA - Advanced Manufacturing'!$B$174:$B$184,0))),1)</f>
        <v>0.19359149359427041</v>
      </c>
      <c r="N43">
        <f>'Rescale to Fit GDP Proj'!O144*IFERROR((1+INDEX('IRA - Advanced Manufacturing'!M$174:M$184,MATCH(BPCiObIC!$A43,'IRA - Advanced Manufacturing'!$B$174:$B$184,0))),1)</f>
        <v>0.21294916043738232</v>
      </c>
      <c r="O43">
        <f>'Rescale to Fit GDP Proj'!P144*IFERROR((1+INDEX('IRA - Advanced Manufacturing'!N$174:N$184,MATCH(BPCiObIC!$A43,'IRA - Advanced Manufacturing'!$B$174:$B$184,0))),1)</f>
        <v>0.23262076992135583</v>
      </c>
      <c r="P43">
        <f>'Rescale to Fit GDP Proj'!Q144*IFERROR((1+INDEX('IRA - Advanced Manufacturing'!O$174:O$184,MATCH(BPCiObIC!$A43,'IRA - Advanced Manufacturing'!$B$174:$B$184,0))),1)</f>
        <v>0.25261141356794048</v>
      </c>
      <c r="Q43">
        <f>'Rescale to Fit GDP Proj'!R144*IFERROR((1+INDEX('IRA - Advanced Manufacturing'!P$174:P$184,MATCH(BPCiObIC!$A43,'IRA - Advanced Manufacturing'!$B$174:$B$184,0))),1)</f>
        <v>0.27292626547318544</v>
      </c>
      <c r="R43">
        <f>'Rescale to Fit GDP Proj'!S144*IFERROR((1+INDEX('IRA - Advanced Manufacturing'!Q$174:Q$184,MATCH(BPCiObIC!$A43,'IRA - Advanced Manufacturing'!$B$174:$B$184,0))),1)</f>
        <v>0.29357058364662958</v>
      </c>
      <c r="S43">
        <f>'Rescale to Fit GDP Proj'!T144*IFERROR((1+INDEX('IRA - Advanced Manufacturing'!R$174:R$184,MATCH(BPCiObIC!$A43,'IRA - Advanced Manufacturing'!$B$174:$B$184,0))),1)</f>
        <v>0.31454971137221066</v>
      </c>
      <c r="T43">
        <f>'Rescale to Fit GDP Proj'!U144*IFERROR((1+INDEX('IRA - Advanced Manufacturing'!S$174:S$184,MATCH(BPCiObIC!$A43,'IRA - Advanced Manufacturing'!$B$174:$B$184,0))),1)</f>
        <v>0.33586907859124526</v>
      </c>
      <c r="U43">
        <f>'Rescale to Fit GDP Proj'!V144*IFERROR((1+INDEX('IRA - Advanced Manufacturing'!T$174:T$184,MATCH(BPCiObIC!$A43,'IRA - Advanced Manufacturing'!$B$174:$B$184,0))),1)</f>
        <v>0.35753420330783814</v>
      </c>
      <c r="V43">
        <f>'Rescale to Fit GDP Proj'!W144*IFERROR((1+INDEX('IRA - Advanced Manufacturing'!U$174:U$184,MATCH(BPCiObIC!$A43,'IRA - Advanced Manufacturing'!$B$174:$B$184,0))),1)</f>
        <v>0.37955069301708466</v>
      </c>
      <c r="W43">
        <f>'Rescale to Fit GDP Proj'!X144*IFERROR((1+INDEX('IRA - Advanced Manufacturing'!V$174:V$184,MATCH(BPCiObIC!$A43,'IRA - Advanced Manufacturing'!$B$174:$B$184,0))),1)</f>
        <v>0.40192424615643585</v>
      </c>
      <c r="X43">
        <f>'Rescale to Fit GDP Proj'!Y144*IFERROR((1+INDEX('IRA - Advanced Manufacturing'!W$174:W$184,MATCH(BPCiObIC!$A43,'IRA - Advanced Manufacturing'!$B$174:$B$184,0))),1)</f>
        <v>0.42466065358060101</v>
      </c>
      <c r="Y43">
        <f>'Rescale to Fit GDP Proj'!Z144*IFERROR((1+INDEX('IRA - Advanced Manufacturing'!X$174:X$184,MATCH(BPCiObIC!$A43,'IRA - Advanced Manufacturing'!$B$174:$B$184,0))),1)</f>
        <v>0.44776580006037126</v>
      </c>
      <c r="Z43">
        <f>'Rescale to Fit GDP Proj'!AA144*IFERROR((1+INDEX('IRA - Advanced Manufacturing'!Y$174:Y$184,MATCH(BPCiObIC!$A43,'IRA - Advanced Manufacturing'!$B$174:$B$184,0))),1)</f>
        <v>0.47124566580575045</v>
      </c>
      <c r="AA43">
        <f>'Rescale to Fit GDP Proj'!AB144*IFERROR((1+INDEX('IRA - Advanced Manufacturing'!Z$174:Z$184,MATCH(BPCiObIC!$A43,'IRA - Advanced Manufacturing'!$B$174:$B$184,0))),1)</f>
        <v>0.49510632801378818</v>
      </c>
      <c r="AB43">
        <f>'Rescale to Fit GDP Proj'!AC144*IFERROR((1+INDEX('IRA - Advanced Manufacturing'!AA$174:AA$184,MATCH(BPCiObIC!$A43,'IRA - Advanced Manufacturing'!$B$174:$B$184,0))),1)</f>
        <v>0.51935396244151599</v>
      </c>
      <c r="AC43">
        <f>'Rescale to Fit GDP Proj'!AD144*IFERROR((1+INDEX('IRA - Advanced Manufacturing'!AB$174:AB$184,MATCH(BPCiObIC!$A43,'IRA - Advanced Manufacturing'!$B$174:$B$184,0))),1)</f>
        <v>0.54399484500439255</v>
      </c>
      <c r="AD43">
        <f>'Rescale to Fit GDP Proj'!AE144*IFERROR((1+INDEX('IRA - Advanced Manufacturing'!AC$174:AC$184,MATCH(BPCiObIC!$A43,'IRA - Advanced Manufacturing'!$B$174:$B$184,0))),1)</f>
        <v>0.56903535340067379</v>
      </c>
      <c r="AE43">
        <f>'Rescale to Fit GDP Proj'!AF144*IFERROR((1+INDEX('IRA - Advanced Manufacturing'!AD$174:AD$184,MATCH(BPCiObIC!$A43,'IRA - Advanced Manufacturing'!$B$174:$B$184,0))),1)</f>
        <v>0.59448196876212611</v>
      </c>
    </row>
  </sheetData>
  <phoneticPr fontId="34"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239F-D5A5-4DFE-8D32-17DAC6DAE46A}">
  <sheetPr>
    <tabColor theme="8" tint="-0.249977111117893"/>
  </sheetPr>
  <dimension ref="A1:AF43"/>
  <sheetViews>
    <sheetView workbookViewId="0"/>
  </sheetViews>
  <sheetFormatPr defaultRowHeight="16.5" x14ac:dyDescent="0.3"/>
  <cols>
    <col min="1" max="1" width="20.125" customWidth="1"/>
    <col min="2" max="21" width="10.125" customWidth="1"/>
    <col min="22" max="22" width="12.875" customWidth="1"/>
    <col min="23" max="33" width="10.125" customWidth="1"/>
  </cols>
  <sheetData>
    <row r="1" spans="1:32" s="3" customFormat="1" x14ac:dyDescent="0.3">
      <c r="A1" s="4" t="s">
        <v>646</v>
      </c>
      <c r="B1" s="3">
        <v>2020</v>
      </c>
      <c r="C1" s="3">
        <v>2021</v>
      </c>
      <c r="D1" s="3">
        <v>2022</v>
      </c>
      <c r="E1" s="3">
        <v>2023</v>
      </c>
      <c r="F1" s="3">
        <v>2024</v>
      </c>
      <c r="G1" s="3">
        <v>2025</v>
      </c>
      <c r="H1" s="3">
        <v>2026</v>
      </c>
      <c r="I1" s="3">
        <v>2027</v>
      </c>
      <c r="J1" s="3">
        <v>2028</v>
      </c>
      <c r="K1" s="3">
        <v>2029</v>
      </c>
      <c r="L1" s="3">
        <v>2030</v>
      </c>
      <c r="M1" s="3">
        <v>2031</v>
      </c>
      <c r="N1" s="3">
        <v>2032</v>
      </c>
      <c r="O1" s="3">
        <v>2033</v>
      </c>
      <c r="P1" s="3">
        <v>2034</v>
      </c>
      <c r="Q1" s="3">
        <v>2035</v>
      </c>
      <c r="R1" s="3">
        <v>2036</v>
      </c>
      <c r="S1" s="3">
        <v>2037</v>
      </c>
      <c r="T1" s="3">
        <v>2038</v>
      </c>
      <c r="U1" s="3">
        <v>2039</v>
      </c>
      <c r="V1" s="3">
        <v>2040</v>
      </c>
      <c r="W1" s="3">
        <v>2041</v>
      </c>
      <c r="X1" s="3">
        <v>2042</v>
      </c>
      <c r="Y1" s="3">
        <v>2043</v>
      </c>
      <c r="Z1" s="3">
        <v>2044</v>
      </c>
      <c r="AA1" s="3">
        <v>2045</v>
      </c>
      <c r="AB1" s="3">
        <v>2046</v>
      </c>
      <c r="AC1" s="3">
        <v>2047</v>
      </c>
      <c r="AD1" s="3">
        <v>2048</v>
      </c>
      <c r="AE1" s="3">
        <v>2049</v>
      </c>
      <c r="AF1" s="3">
        <v>2050</v>
      </c>
    </row>
    <row r="2" spans="1:32" x14ac:dyDescent="0.3">
      <c r="A2" s="2" t="s">
        <v>2</v>
      </c>
      <c r="B2">
        <v>0</v>
      </c>
      <c r="C2">
        <v>0</v>
      </c>
      <c r="D2">
        <v>0</v>
      </c>
      <c r="E2">
        <f>IFERROR(INDEX('IRA - Advanced Manufacturing'!C$202:C$212,MATCH(BPCiDCSbIC!$A2,'IRA - Advanced Manufacturing'!$B$202:$B$212,0)),0)</f>
        <v>0</v>
      </c>
      <c r="F2">
        <f>IFERROR(INDEX('IRA - Advanced Manufacturing'!D$202:D$212,MATCH(BPCiDCSbIC!$A2,'IRA - Advanced Manufacturing'!$B$202:$B$212,0)),0)</f>
        <v>0</v>
      </c>
      <c r="G2">
        <f>IFERROR(INDEX('IRA - Advanced Manufacturing'!E$202:E$212,MATCH(BPCiDCSbIC!$A2,'IRA - Advanced Manufacturing'!$B$202:$B$212,0)),0)</f>
        <v>0</v>
      </c>
      <c r="H2">
        <f>IFERROR(INDEX('IRA - Advanced Manufacturing'!F$202:F$212,MATCH(BPCiDCSbIC!$A2,'IRA - Advanced Manufacturing'!$B$202:$B$212,0)),0)</f>
        <v>0</v>
      </c>
      <c r="I2">
        <f>IFERROR(INDEX('IRA - Advanced Manufacturing'!G$202:G$212,MATCH(BPCiDCSbIC!$A2,'IRA - Advanced Manufacturing'!$B$202:$B$212,0)),0)</f>
        <v>0</v>
      </c>
      <c r="J2">
        <f>IFERROR(INDEX('IRA - Advanced Manufacturing'!H$202:H$212,MATCH(BPCiDCSbIC!$A2,'IRA - Advanced Manufacturing'!$B$202:$B$212,0)),0)</f>
        <v>0</v>
      </c>
      <c r="K2">
        <f>IFERROR(INDEX('IRA - Advanced Manufacturing'!I$202:I$212,MATCH(BPCiDCSbIC!$A2,'IRA - Advanced Manufacturing'!$B$202:$B$212,0)),0)</f>
        <v>0</v>
      </c>
      <c r="L2">
        <f>IFERROR(INDEX('IRA - Advanced Manufacturing'!J$202:J$212,MATCH(BPCiDCSbIC!$A2,'IRA - Advanced Manufacturing'!$B$202:$B$212,0)),0)</f>
        <v>0</v>
      </c>
      <c r="M2">
        <f>IFERROR(INDEX('IRA - Advanced Manufacturing'!K$202:K$212,MATCH(BPCiDCSbIC!$A2,'IRA - Advanced Manufacturing'!$B$202:$B$212,0)),0)</f>
        <v>0</v>
      </c>
      <c r="N2">
        <f>IFERROR(INDEX('IRA - Advanced Manufacturing'!L$202:L$212,MATCH(BPCiDCSbIC!$A2,'IRA - Advanced Manufacturing'!$B$202:$B$212,0)),0)</f>
        <v>0</v>
      </c>
      <c r="O2">
        <f>$N2</f>
        <v>0</v>
      </c>
      <c r="P2">
        <f t="shared" ref="P2:AF17" si="0">$N2</f>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si="0"/>
        <v>0</v>
      </c>
    </row>
    <row r="3" spans="1:32" x14ac:dyDescent="0.3">
      <c r="A3" s="2" t="s">
        <v>39</v>
      </c>
      <c r="B3">
        <v>0</v>
      </c>
      <c r="C3">
        <v>0</v>
      </c>
      <c r="D3">
        <v>0</v>
      </c>
      <c r="E3">
        <f>IFERROR(INDEX('IRA - Advanced Manufacturing'!C$202:C$212,MATCH(BPCiDCSbIC!$A3,'IRA - Advanced Manufacturing'!$B$202:$B$212,0)),0)</f>
        <v>0</v>
      </c>
      <c r="F3">
        <f>IFERROR(INDEX('IRA - Advanced Manufacturing'!D$202:D$212,MATCH(BPCiDCSbIC!$A3,'IRA - Advanced Manufacturing'!$B$202:$B$212,0)),0)</f>
        <v>0</v>
      </c>
      <c r="G3">
        <f>IFERROR(INDEX('IRA - Advanced Manufacturing'!E$202:E$212,MATCH(BPCiDCSbIC!$A3,'IRA - Advanced Manufacturing'!$B$202:$B$212,0)),0)</f>
        <v>0</v>
      </c>
      <c r="H3">
        <f>IFERROR(INDEX('IRA - Advanced Manufacturing'!F$202:F$212,MATCH(BPCiDCSbIC!$A3,'IRA - Advanced Manufacturing'!$B$202:$B$212,0)),0)</f>
        <v>0</v>
      </c>
      <c r="I3">
        <f>IFERROR(INDEX('IRA - Advanced Manufacturing'!G$202:G$212,MATCH(BPCiDCSbIC!$A3,'IRA - Advanced Manufacturing'!$B$202:$B$212,0)),0)</f>
        <v>0</v>
      </c>
      <c r="J3">
        <f>IFERROR(INDEX('IRA - Advanced Manufacturing'!H$202:H$212,MATCH(BPCiDCSbIC!$A3,'IRA - Advanced Manufacturing'!$B$202:$B$212,0)),0)</f>
        <v>0</v>
      </c>
      <c r="K3">
        <f>IFERROR(INDEX('IRA - Advanced Manufacturing'!I$202:I$212,MATCH(BPCiDCSbIC!$A3,'IRA - Advanced Manufacturing'!$B$202:$B$212,0)),0)</f>
        <v>0</v>
      </c>
      <c r="L3">
        <f>IFERROR(INDEX('IRA - Advanced Manufacturing'!J$202:J$212,MATCH(BPCiDCSbIC!$A3,'IRA - Advanced Manufacturing'!$B$202:$B$212,0)),0)</f>
        <v>0</v>
      </c>
      <c r="M3">
        <f>IFERROR(INDEX('IRA - Advanced Manufacturing'!K$202:K$212,MATCH(BPCiDCSbIC!$A3,'IRA - Advanced Manufacturing'!$B$202:$B$212,0)),0)</f>
        <v>0</v>
      </c>
      <c r="N3">
        <f>IFERROR(INDEX('IRA - Advanced Manufacturing'!L$202:L$212,MATCH(BPCiDCSbIC!$A3,'IRA - Advanced Manufacturing'!$B$202:$B$212,0)),0)</f>
        <v>0</v>
      </c>
      <c r="O3">
        <f t="shared" ref="O3:AD43" si="1">$N3</f>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0"/>
        <v>0</v>
      </c>
      <c r="AF3">
        <f t="shared" si="0"/>
        <v>0</v>
      </c>
    </row>
    <row r="4" spans="1:32" x14ac:dyDescent="0.3">
      <c r="A4" s="2" t="s">
        <v>40</v>
      </c>
      <c r="B4">
        <v>0</v>
      </c>
      <c r="C4">
        <v>0</v>
      </c>
      <c r="D4">
        <v>0</v>
      </c>
      <c r="E4">
        <f>IFERROR(INDEX('IRA - Advanced Manufacturing'!C$202:C$212,MATCH(BPCiDCSbIC!$A4,'IRA - Advanced Manufacturing'!$B$202:$B$212,0)),0)</f>
        <v>0</v>
      </c>
      <c r="F4">
        <f>IFERROR(INDEX('IRA - Advanced Manufacturing'!D$202:D$212,MATCH(BPCiDCSbIC!$A4,'IRA - Advanced Manufacturing'!$B$202:$B$212,0)),0)</f>
        <v>0</v>
      </c>
      <c r="G4">
        <f>IFERROR(INDEX('IRA - Advanced Manufacturing'!E$202:E$212,MATCH(BPCiDCSbIC!$A4,'IRA - Advanced Manufacturing'!$B$202:$B$212,0)),0)</f>
        <v>0</v>
      </c>
      <c r="H4">
        <f>IFERROR(INDEX('IRA - Advanced Manufacturing'!F$202:F$212,MATCH(BPCiDCSbIC!$A4,'IRA - Advanced Manufacturing'!$B$202:$B$212,0)),0)</f>
        <v>0</v>
      </c>
      <c r="I4">
        <f>IFERROR(INDEX('IRA - Advanced Manufacturing'!G$202:G$212,MATCH(BPCiDCSbIC!$A4,'IRA - Advanced Manufacturing'!$B$202:$B$212,0)),0)</f>
        <v>0</v>
      </c>
      <c r="J4">
        <f>IFERROR(INDEX('IRA - Advanced Manufacturing'!H$202:H$212,MATCH(BPCiDCSbIC!$A4,'IRA - Advanced Manufacturing'!$B$202:$B$212,0)),0)</f>
        <v>0</v>
      </c>
      <c r="K4">
        <f>IFERROR(INDEX('IRA - Advanced Manufacturing'!I$202:I$212,MATCH(BPCiDCSbIC!$A4,'IRA - Advanced Manufacturing'!$B$202:$B$212,0)),0)</f>
        <v>0</v>
      </c>
      <c r="L4">
        <f>IFERROR(INDEX('IRA - Advanced Manufacturing'!J$202:J$212,MATCH(BPCiDCSbIC!$A4,'IRA - Advanced Manufacturing'!$B$202:$B$212,0)),0)</f>
        <v>0</v>
      </c>
      <c r="M4">
        <f>IFERROR(INDEX('IRA - Advanced Manufacturing'!K$202:K$212,MATCH(BPCiDCSbIC!$A4,'IRA - Advanced Manufacturing'!$B$202:$B$212,0)),0)</f>
        <v>0</v>
      </c>
      <c r="N4">
        <f>IFERROR(INDEX('IRA - Advanced Manufacturing'!L$202:L$212,MATCH(BPCiDCSbIC!$A4,'IRA - Advanced Manufacturing'!$B$202:$B$212,0)),0)</f>
        <v>0</v>
      </c>
      <c r="O4">
        <f t="shared" si="1"/>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row>
    <row r="5" spans="1:32" x14ac:dyDescent="0.3">
      <c r="A5" s="2" t="s">
        <v>3</v>
      </c>
      <c r="B5">
        <v>0</v>
      </c>
      <c r="C5">
        <v>0</v>
      </c>
      <c r="D5">
        <v>0</v>
      </c>
      <c r="E5">
        <f>IFERROR(INDEX('IRA - Advanced Manufacturing'!C$202:C$212,MATCH(BPCiDCSbIC!$A5,'IRA - Advanced Manufacturing'!$B$202:$B$212,0)),0)</f>
        <v>0</v>
      </c>
      <c r="F5">
        <f>IFERROR(INDEX('IRA - Advanced Manufacturing'!D$202:D$212,MATCH(BPCiDCSbIC!$A5,'IRA - Advanced Manufacturing'!$B$202:$B$212,0)),0)</f>
        <v>0</v>
      </c>
      <c r="G5">
        <f>IFERROR(INDEX('IRA - Advanced Manufacturing'!E$202:E$212,MATCH(BPCiDCSbIC!$A5,'IRA - Advanced Manufacturing'!$B$202:$B$212,0)),0)</f>
        <v>0</v>
      </c>
      <c r="H5">
        <f>IFERROR(INDEX('IRA - Advanced Manufacturing'!F$202:F$212,MATCH(BPCiDCSbIC!$A5,'IRA - Advanced Manufacturing'!$B$202:$B$212,0)),0)</f>
        <v>0</v>
      </c>
      <c r="I5">
        <f>IFERROR(INDEX('IRA - Advanced Manufacturing'!G$202:G$212,MATCH(BPCiDCSbIC!$A5,'IRA - Advanced Manufacturing'!$B$202:$B$212,0)),0)</f>
        <v>0</v>
      </c>
      <c r="J5">
        <f>IFERROR(INDEX('IRA - Advanced Manufacturing'!H$202:H$212,MATCH(BPCiDCSbIC!$A5,'IRA - Advanced Manufacturing'!$B$202:$B$212,0)),0)</f>
        <v>0</v>
      </c>
      <c r="K5">
        <f>IFERROR(INDEX('IRA - Advanced Manufacturing'!I$202:I$212,MATCH(BPCiDCSbIC!$A5,'IRA - Advanced Manufacturing'!$B$202:$B$212,0)),0)</f>
        <v>0</v>
      </c>
      <c r="L5">
        <f>IFERROR(INDEX('IRA - Advanced Manufacturing'!J$202:J$212,MATCH(BPCiDCSbIC!$A5,'IRA - Advanced Manufacturing'!$B$202:$B$212,0)),0)</f>
        <v>0</v>
      </c>
      <c r="M5">
        <f>IFERROR(INDEX('IRA - Advanced Manufacturing'!K$202:K$212,MATCH(BPCiDCSbIC!$A5,'IRA - Advanced Manufacturing'!$B$202:$B$212,0)),0)</f>
        <v>0</v>
      </c>
      <c r="N5">
        <f>IFERROR(INDEX('IRA - Advanced Manufacturing'!L$202:L$212,MATCH(BPCiDCSbIC!$A5,'IRA - Advanced Manufacturing'!$B$202:$B$212,0)),0)</f>
        <v>0</v>
      </c>
      <c r="O5">
        <f t="shared" si="1"/>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c r="AF5">
        <f t="shared" si="0"/>
        <v>0</v>
      </c>
    </row>
    <row r="6" spans="1:32" x14ac:dyDescent="0.3">
      <c r="A6" s="2" t="s">
        <v>4</v>
      </c>
      <c r="B6">
        <v>0</v>
      </c>
      <c r="C6">
        <v>0</v>
      </c>
      <c r="D6">
        <v>0</v>
      </c>
      <c r="E6">
        <f>IFERROR(INDEX('IRA - Advanced Manufacturing'!C$202:C$212,MATCH(BPCiDCSbIC!$A6,'IRA - Advanced Manufacturing'!$B$202:$B$212,0)),0)</f>
        <v>0</v>
      </c>
      <c r="F6">
        <f>IFERROR(INDEX('IRA - Advanced Manufacturing'!D$202:D$212,MATCH(BPCiDCSbIC!$A6,'IRA - Advanced Manufacturing'!$B$202:$B$212,0)),0)</f>
        <v>0</v>
      </c>
      <c r="G6">
        <f>IFERROR(INDEX('IRA - Advanced Manufacturing'!E$202:E$212,MATCH(BPCiDCSbIC!$A6,'IRA - Advanced Manufacturing'!$B$202:$B$212,0)),0)</f>
        <v>0</v>
      </c>
      <c r="H6">
        <f>IFERROR(INDEX('IRA - Advanced Manufacturing'!F$202:F$212,MATCH(BPCiDCSbIC!$A6,'IRA - Advanced Manufacturing'!$B$202:$B$212,0)),0)</f>
        <v>0</v>
      </c>
      <c r="I6">
        <f>IFERROR(INDEX('IRA - Advanced Manufacturing'!G$202:G$212,MATCH(BPCiDCSbIC!$A6,'IRA - Advanced Manufacturing'!$B$202:$B$212,0)),0)</f>
        <v>0</v>
      </c>
      <c r="J6">
        <f>IFERROR(INDEX('IRA - Advanced Manufacturing'!H$202:H$212,MATCH(BPCiDCSbIC!$A6,'IRA - Advanced Manufacturing'!$B$202:$B$212,0)),0)</f>
        <v>0</v>
      </c>
      <c r="K6">
        <f>IFERROR(INDEX('IRA - Advanced Manufacturing'!I$202:I$212,MATCH(BPCiDCSbIC!$A6,'IRA - Advanced Manufacturing'!$B$202:$B$212,0)),0)</f>
        <v>0</v>
      </c>
      <c r="L6">
        <f>IFERROR(INDEX('IRA - Advanced Manufacturing'!J$202:J$212,MATCH(BPCiDCSbIC!$A6,'IRA - Advanced Manufacturing'!$B$202:$B$212,0)),0)</f>
        <v>0</v>
      </c>
      <c r="M6">
        <f>IFERROR(INDEX('IRA - Advanced Manufacturing'!K$202:K$212,MATCH(BPCiDCSbIC!$A6,'IRA - Advanced Manufacturing'!$B$202:$B$212,0)),0)</f>
        <v>0</v>
      </c>
      <c r="N6">
        <f>IFERROR(INDEX('IRA - Advanced Manufacturing'!L$202:L$212,MATCH(BPCiDCSbIC!$A6,'IRA - Advanced Manufacturing'!$B$202:$B$212,0)),0)</f>
        <v>0</v>
      </c>
      <c r="O6">
        <f t="shared" si="1"/>
        <v>0</v>
      </c>
      <c r="P6">
        <f t="shared" si="0"/>
        <v>0</v>
      </c>
      <c r="Q6">
        <f t="shared" si="0"/>
        <v>0</v>
      </c>
      <c r="R6">
        <f t="shared" si="0"/>
        <v>0</v>
      </c>
      <c r="S6">
        <f t="shared" si="0"/>
        <v>0</v>
      </c>
      <c r="T6">
        <f t="shared" si="0"/>
        <v>0</v>
      </c>
      <c r="U6">
        <f t="shared" si="0"/>
        <v>0</v>
      </c>
      <c r="V6">
        <f t="shared" si="0"/>
        <v>0</v>
      </c>
      <c r="W6">
        <f t="shared" si="0"/>
        <v>0</v>
      </c>
      <c r="X6">
        <f t="shared" si="0"/>
        <v>0</v>
      </c>
      <c r="Y6">
        <f t="shared" si="0"/>
        <v>0</v>
      </c>
      <c r="Z6">
        <f t="shared" si="0"/>
        <v>0</v>
      </c>
      <c r="AA6">
        <f t="shared" si="0"/>
        <v>0</v>
      </c>
      <c r="AB6">
        <f t="shared" si="0"/>
        <v>0</v>
      </c>
      <c r="AC6">
        <f t="shared" si="0"/>
        <v>0</v>
      </c>
      <c r="AD6">
        <f t="shared" si="0"/>
        <v>0</v>
      </c>
      <c r="AE6">
        <f t="shared" si="0"/>
        <v>0</v>
      </c>
      <c r="AF6">
        <f t="shared" si="0"/>
        <v>0</v>
      </c>
    </row>
    <row r="7" spans="1:32" x14ac:dyDescent="0.3">
      <c r="A7" s="2" t="s">
        <v>5</v>
      </c>
      <c r="B7">
        <v>0</v>
      </c>
      <c r="C7">
        <v>0</v>
      </c>
      <c r="D7">
        <v>0</v>
      </c>
      <c r="E7">
        <f>IFERROR(INDEX('IRA - Advanced Manufacturing'!C$202:C$212,MATCH(BPCiDCSbIC!$A7,'IRA - Advanced Manufacturing'!$B$202:$B$212,0)),0)</f>
        <v>0</v>
      </c>
      <c r="F7">
        <f>IFERROR(INDEX('IRA - Advanced Manufacturing'!D$202:D$212,MATCH(BPCiDCSbIC!$A7,'IRA - Advanced Manufacturing'!$B$202:$B$212,0)),0)</f>
        <v>0</v>
      </c>
      <c r="G7">
        <f>IFERROR(INDEX('IRA - Advanced Manufacturing'!E$202:E$212,MATCH(BPCiDCSbIC!$A7,'IRA - Advanced Manufacturing'!$B$202:$B$212,0)),0)</f>
        <v>0</v>
      </c>
      <c r="H7">
        <f>IFERROR(INDEX('IRA - Advanced Manufacturing'!F$202:F$212,MATCH(BPCiDCSbIC!$A7,'IRA - Advanced Manufacturing'!$B$202:$B$212,0)),0)</f>
        <v>0</v>
      </c>
      <c r="I7">
        <f>IFERROR(INDEX('IRA - Advanced Manufacturing'!G$202:G$212,MATCH(BPCiDCSbIC!$A7,'IRA - Advanced Manufacturing'!$B$202:$B$212,0)),0)</f>
        <v>0</v>
      </c>
      <c r="J7">
        <f>IFERROR(INDEX('IRA - Advanced Manufacturing'!H$202:H$212,MATCH(BPCiDCSbIC!$A7,'IRA - Advanced Manufacturing'!$B$202:$B$212,0)),0)</f>
        <v>0</v>
      </c>
      <c r="K7">
        <f>IFERROR(INDEX('IRA - Advanced Manufacturing'!I$202:I$212,MATCH(BPCiDCSbIC!$A7,'IRA - Advanced Manufacturing'!$B$202:$B$212,0)),0)</f>
        <v>0</v>
      </c>
      <c r="L7">
        <f>IFERROR(INDEX('IRA - Advanced Manufacturing'!J$202:J$212,MATCH(BPCiDCSbIC!$A7,'IRA - Advanced Manufacturing'!$B$202:$B$212,0)),0)</f>
        <v>0</v>
      </c>
      <c r="M7">
        <f>IFERROR(INDEX('IRA - Advanced Manufacturing'!K$202:K$212,MATCH(BPCiDCSbIC!$A7,'IRA - Advanced Manufacturing'!$B$202:$B$212,0)),0)</f>
        <v>0</v>
      </c>
      <c r="N7">
        <f>IFERROR(INDEX('IRA - Advanced Manufacturing'!L$202:L$212,MATCH(BPCiDCSbIC!$A7,'IRA - Advanced Manufacturing'!$B$202:$B$212,0)),0)</f>
        <v>0</v>
      </c>
      <c r="O7">
        <f t="shared" si="1"/>
        <v>0</v>
      </c>
      <c r="P7">
        <f t="shared" si="0"/>
        <v>0</v>
      </c>
      <c r="Q7">
        <f t="shared" si="0"/>
        <v>0</v>
      </c>
      <c r="R7">
        <f t="shared" si="0"/>
        <v>0</v>
      </c>
      <c r="S7">
        <f t="shared" si="0"/>
        <v>0</v>
      </c>
      <c r="T7">
        <f t="shared" si="0"/>
        <v>0</v>
      </c>
      <c r="U7">
        <f t="shared" si="0"/>
        <v>0</v>
      </c>
      <c r="V7">
        <f t="shared" si="0"/>
        <v>0</v>
      </c>
      <c r="W7">
        <f t="shared" si="0"/>
        <v>0</v>
      </c>
      <c r="X7">
        <f t="shared" si="0"/>
        <v>0</v>
      </c>
      <c r="Y7">
        <f t="shared" si="0"/>
        <v>0</v>
      </c>
      <c r="Z7">
        <f t="shared" si="0"/>
        <v>0</v>
      </c>
      <c r="AA7">
        <f t="shared" si="0"/>
        <v>0</v>
      </c>
      <c r="AB7">
        <f t="shared" si="0"/>
        <v>0</v>
      </c>
      <c r="AC7">
        <f t="shared" si="0"/>
        <v>0</v>
      </c>
      <c r="AD7">
        <f t="shared" si="0"/>
        <v>0</v>
      </c>
      <c r="AE7">
        <f t="shared" si="0"/>
        <v>0</v>
      </c>
      <c r="AF7">
        <f t="shared" si="0"/>
        <v>0</v>
      </c>
    </row>
    <row r="8" spans="1:32" x14ac:dyDescent="0.3">
      <c r="A8" s="2" t="s">
        <v>6</v>
      </c>
      <c r="B8">
        <v>0</v>
      </c>
      <c r="C8">
        <v>0</v>
      </c>
      <c r="D8">
        <v>0</v>
      </c>
      <c r="E8">
        <f>IFERROR(INDEX('IRA - Advanced Manufacturing'!C$202:C$212,MATCH(BPCiDCSbIC!$A8,'IRA - Advanced Manufacturing'!$B$202:$B$212,0)),0)</f>
        <v>0</v>
      </c>
      <c r="F8">
        <f>IFERROR(INDEX('IRA - Advanced Manufacturing'!D$202:D$212,MATCH(BPCiDCSbIC!$A8,'IRA - Advanced Manufacturing'!$B$202:$B$212,0)),0)</f>
        <v>0</v>
      </c>
      <c r="G8">
        <f>IFERROR(INDEX('IRA - Advanced Manufacturing'!E$202:E$212,MATCH(BPCiDCSbIC!$A8,'IRA - Advanced Manufacturing'!$B$202:$B$212,0)),0)</f>
        <v>0</v>
      </c>
      <c r="H8">
        <f>IFERROR(INDEX('IRA - Advanced Manufacturing'!F$202:F$212,MATCH(BPCiDCSbIC!$A8,'IRA - Advanced Manufacturing'!$B$202:$B$212,0)),0)</f>
        <v>0</v>
      </c>
      <c r="I8">
        <f>IFERROR(INDEX('IRA - Advanced Manufacturing'!G$202:G$212,MATCH(BPCiDCSbIC!$A8,'IRA - Advanced Manufacturing'!$B$202:$B$212,0)),0)</f>
        <v>0</v>
      </c>
      <c r="J8">
        <f>IFERROR(INDEX('IRA - Advanced Manufacturing'!H$202:H$212,MATCH(BPCiDCSbIC!$A8,'IRA - Advanced Manufacturing'!$B$202:$B$212,0)),0)</f>
        <v>0</v>
      </c>
      <c r="K8">
        <f>IFERROR(INDEX('IRA - Advanced Manufacturing'!I$202:I$212,MATCH(BPCiDCSbIC!$A8,'IRA - Advanced Manufacturing'!$B$202:$B$212,0)),0)</f>
        <v>0</v>
      </c>
      <c r="L8">
        <f>IFERROR(INDEX('IRA - Advanced Manufacturing'!J$202:J$212,MATCH(BPCiDCSbIC!$A8,'IRA - Advanced Manufacturing'!$B$202:$B$212,0)),0)</f>
        <v>0</v>
      </c>
      <c r="M8">
        <f>IFERROR(INDEX('IRA - Advanced Manufacturing'!K$202:K$212,MATCH(BPCiDCSbIC!$A8,'IRA - Advanced Manufacturing'!$B$202:$B$212,0)),0)</f>
        <v>0</v>
      </c>
      <c r="N8">
        <f>IFERROR(INDEX('IRA - Advanced Manufacturing'!L$202:L$212,MATCH(BPCiDCSbIC!$A8,'IRA - Advanced Manufacturing'!$B$202:$B$212,0)),0)</f>
        <v>0</v>
      </c>
      <c r="O8">
        <f t="shared" si="1"/>
        <v>0</v>
      </c>
      <c r="P8">
        <f t="shared" si="0"/>
        <v>0</v>
      </c>
      <c r="Q8">
        <f t="shared" si="0"/>
        <v>0</v>
      </c>
      <c r="R8">
        <f t="shared" si="0"/>
        <v>0</v>
      </c>
      <c r="S8">
        <f t="shared" si="0"/>
        <v>0</v>
      </c>
      <c r="T8">
        <f t="shared" si="0"/>
        <v>0</v>
      </c>
      <c r="U8">
        <f t="shared" si="0"/>
        <v>0</v>
      </c>
      <c r="V8">
        <f t="shared" si="0"/>
        <v>0</v>
      </c>
      <c r="W8">
        <f t="shared" si="0"/>
        <v>0</v>
      </c>
      <c r="X8">
        <f t="shared" si="0"/>
        <v>0</v>
      </c>
      <c r="Y8">
        <f t="shared" si="0"/>
        <v>0</v>
      </c>
      <c r="Z8">
        <f t="shared" si="0"/>
        <v>0</v>
      </c>
      <c r="AA8">
        <f t="shared" si="0"/>
        <v>0</v>
      </c>
      <c r="AB8">
        <f t="shared" si="0"/>
        <v>0</v>
      </c>
      <c r="AC8">
        <f t="shared" si="0"/>
        <v>0</v>
      </c>
      <c r="AD8">
        <f t="shared" si="0"/>
        <v>0</v>
      </c>
      <c r="AE8">
        <f t="shared" si="0"/>
        <v>0</v>
      </c>
      <c r="AF8">
        <f t="shared" si="0"/>
        <v>0</v>
      </c>
    </row>
    <row r="9" spans="1:32" x14ac:dyDescent="0.3">
      <c r="A9" s="2" t="s">
        <v>7</v>
      </c>
      <c r="B9">
        <v>0</v>
      </c>
      <c r="C9">
        <v>0</v>
      </c>
      <c r="D9">
        <v>0</v>
      </c>
      <c r="E9">
        <f>IFERROR(INDEX('IRA - Advanced Manufacturing'!C$202:C$212,MATCH(BPCiDCSbIC!$A9,'IRA - Advanced Manufacturing'!$B$202:$B$212,0)),0)</f>
        <v>0</v>
      </c>
      <c r="F9">
        <f>IFERROR(INDEX('IRA - Advanced Manufacturing'!D$202:D$212,MATCH(BPCiDCSbIC!$A9,'IRA - Advanced Manufacturing'!$B$202:$B$212,0)),0)</f>
        <v>0</v>
      </c>
      <c r="G9">
        <f>IFERROR(INDEX('IRA - Advanced Manufacturing'!E$202:E$212,MATCH(BPCiDCSbIC!$A9,'IRA - Advanced Manufacturing'!$B$202:$B$212,0)),0)</f>
        <v>0</v>
      </c>
      <c r="H9">
        <f>IFERROR(INDEX('IRA - Advanced Manufacturing'!F$202:F$212,MATCH(BPCiDCSbIC!$A9,'IRA - Advanced Manufacturing'!$B$202:$B$212,0)),0)</f>
        <v>0</v>
      </c>
      <c r="I9">
        <f>IFERROR(INDEX('IRA - Advanced Manufacturing'!G$202:G$212,MATCH(BPCiDCSbIC!$A9,'IRA - Advanced Manufacturing'!$B$202:$B$212,0)),0)</f>
        <v>0</v>
      </c>
      <c r="J9">
        <f>IFERROR(INDEX('IRA - Advanced Manufacturing'!H$202:H$212,MATCH(BPCiDCSbIC!$A9,'IRA - Advanced Manufacturing'!$B$202:$B$212,0)),0)</f>
        <v>0</v>
      </c>
      <c r="K9">
        <f>IFERROR(INDEX('IRA - Advanced Manufacturing'!I$202:I$212,MATCH(BPCiDCSbIC!$A9,'IRA - Advanced Manufacturing'!$B$202:$B$212,0)),0)</f>
        <v>0</v>
      </c>
      <c r="L9">
        <f>IFERROR(INDEX('IRA - Advanced Manufacturing'!J$202:J$212,MATCH(BPCiDCSbIC!$A9,'IRA - Advanced Manufacturing'!$B$202:$B$212,0)),0)</f>
        <v>0</v>
      </c>
      <c r="M9">
        <f>IFERROR(INDEX('IRA - Advanced Manufacturing'!K$202:K$212,MATCH(BPCiDCSbIC!$A9,'IRA - Advanced Manufacturing'!$B$202:$B$212,0)),0)</f>
        <v>0</v>
      </c>
      <c r="N9">
        <f>IFERROR(INDEX('IRA - Advanced Manufacturing'!L$202:L$212,MATCH(BPCiDCSbIC!$A9,'IRA - Advanced Manufacturing'!$B$202:$B$212,0)),0)</f>
        <v>0</v>
      </c>
      <c r="O9">
        <f t="shared" si="1"/>
        <v>0</v>
      </c>
      <c r="P9">
        <f t="shared" si="0"/>
        <v>0</v>
      </c>
      <c r="Q9">
        <f t="shared" si="0"/>
        <v>0</v>
      </c>
      <c r="R9">
        <f t="shared" si="0"/>
        <v>0</v>
      </c>
      <c r="S9">
        <f t="shared" si="0"/>
        <v>0</v>
      </c>
      <c r="T9">
        <f t="shared" si="0"/>
        <v>0</v>
      </c>
      <c r="U9">
        <f t="shared" si="0"/>
        <v>0</v>
      </c>
      <c r="V9">
        <f t="shared" si="0"/>
        <v>0</v>
      </c>
      <c r="W9">
        <f t="shared" si="0"/>
        <v>0</v>
      </c>
      <c r="X9">
        <f t="shared" si="0"/>
        <v>0</v>
      </c>
      <c r="Y9">
        <f t="shared" si="0"/>
        <v>0</v>
      </c>
      <c r="Z9">
        <f t="shared" si="0"/>
        <v>0</v>
      </c>
      <c r="AA9">
        <f t="shared" si="0"/>
        <v>0</v>
      </c>
      <c r="AB9">
        <f t="shared" si="0"/>
        <v>0</v>
      </c>
      <c r="AC9">
        <f t="shared" si="0"/>
        <v>0</v>
      </c>
      <c r="AD9">
        <f t="shared" si="0"/>
        <v>0</v>
      </c>
      <c r="AE9">
        <f t="shared" si="0"/>
        <v>0</v>
      </c>
      <c r="AF9">
        <f t="shared" si="0"/>
        <v>0</v>
      </c>
    </row>
    <row r="10" spans="1:32" x14ac:dyDescent="0.3">
      <c r="A10" s="2" t="s">
        <v>8</v>
      </c>
      <c r="B10">
        <v>0</v>
      </c>
      <c r="C10">
        <v>0</v>
      </c>
      <c r="D10">
        <v>0</v>
      </c>
      <c r="E10">
        <f>IFERROR(INDEX('IRA - Advanced Manufacturing'!C$202:C$212,MATCH(BPCiDCSbIC!$A10,'IRA - Advanced Manufacturing'!$B$202:$B$212,0)),0)</f>
        <v>0</v>
      </c>
      <c r="F10">
        <f>IFERROR(INDEX('IRA - Advanced Manufacturing'!D$202:D$212,MATCH(BPCiDCSbIC!$A10,'IRA - Advanced Manufacturing'!$B$202:$B$212,0)),0)</f>
        <v>0</v>
      </c>
      <c r="G10">
        <f>IFERROR(INDEX('IRA - Advanced Manufacturing'!E$202:E$212,MATCH(BPCiDCSbIC!$A10,'IRA - Advanced Manufacturing'!$B$202:$B$212,0)),0)</f>
        <v>0</v>
      </c>
      <c r="H10">
        <f>IFERROR(INDEX('IRA - Advanced Manufacturing'!F$202:F$212,MATCH(BPCiDCSbIC!$A10,'IRA - Advanced Manufacturing'!$B$202:$B$212,0)),0)</f>
        <v>0</v>
      </c>
      <c r="I10">
        <f>IFERROR(INDEX('IRA - Advanced Manufacturing'!G$202:G$212,MATCH(BPCiDCSbIC!$A10,'IRA - Advanced Manufacturing'!$B$202:$B$212,0)),0)</f>
        <v>0</v>
      </c>
      <c r="J10">
        <f>IFERROR(INDEX('IRA - Advanced Manufacturing'!H$202:H$212,MATCH(BPCiDCSbIC!$A10,'IRA - Advanced Manufacturing'!$B$202:$B$212,0)),0)</f>
        <v>0</v>
      </c>
      <c r="K10">
        <f>IFERROR(INDEX('IRA - Advanced Manufacturing'!I$202:I$212,MATCH(BPCiDCSbIC!$A10,'IRA - Advanced Manufacturing'!$B$202:$B$212,0)),0)</f>
        <v>0</v>
      </c>
      <c r="L10">
        <f>IFERROR(INDEX('IRA - Advanced Manufacturing'!J$202:J$212,MATCH(BPCiDCSbIC!$A10,'IRA - Advanced Manufacturing'!$B$202:$B$212,0)),0)</f>
        <v>0</v>
      </c>
      <c r="M10">
        <f>IFERROR(INDEX('IRA - Advanced Manufacturing'!K$202:K$212,MATCH(BPCiDCSbIC!$A10,'IRA - Advanced Manufacturing'!$B$202:$B$212,0)),0)</f>
        <v>0</v>
      </c>
      <c r="N10">
        <f>IFERROR(INDEX('IRA - Advanced Manufacturing'!L$202:L$212,MATCH(BPCiDCSbIC!$A10,'IRA - Advanced Manufacturing'!$B$202:$B$212,0)),0)</f>
        <v>0</v>
      </c>
      <c r="O10">
        <f t="shared" si="1"/>
        <v>0</v>
      </c>
      <c r="P10">
        <f t="shared" si="0"/>
        <v>0</v>
      </c>
      <c r="Q10">
        <f t="shared" si="0"/>
        <v>0</v>
      </c>
      <c r="R10">
        <f t="shared" si="0"/>
        <v>0</v>
      </c>
      <c r="S10">
        <f t="shared" si="0"/>
        <v>0</v>
      </c>
      <c r="T10">
        <f t="shared" si="0"/>
        <v>0</v>
      </c>
      <c r="U10">
        <f t="shared" si="0"/>
        <v>0</v>
      </c>
      <c r="V10">
        <f t="shared" si="0"/>
        <v>0</v>
      </c>
      <c r="W10">
        <f t="shared" si="0"/>
        <v>0</v>
      </c>
      <c r="X10">
        <f t="shared" si="0"/>
        <v>0</v>
      </c>
      <c r="Y10">
        <f t="shared" si="0"/>
        <v>0</v>
      </c>
      <c r="Z10">
        <f t="shared" si="0"/>
        <v>0</v>
      </c>
      <c r="AA10">
        <f t="shared" si="0"/>
        <v>0</v>
      </c>
      <c r="AB10">
        <f t="shared" si="0"/>
        <v>0</v>
      </c>
      <c r="AC10">
        <f t="shared" si="0"/>
        <v>0</v>
      </c>
      <c r="AD10">
        <f t="shared" si="0"/>
        <v>0</v>
      </c>
      <c r="AE10">
        <f t="shared" si="0"/>
        <v>0</v>
      </c>
      <c r="AF10">
        <f t="shared" si="0"/>
        <v>0</v>
      </c>
    </row>
    <row r="11" spans="1:32" x14ac:dyDescent="0.3">
      <c r="A11" s="2" t="s">
        <v>9</v>
      </c>
      <c r="B11">
        <v>0</v>
      </c>
      <c r="C11">
        <v>0</v>
      </c>
      <c r="D11">
        <v>0</v>
      </c>
      <c r="E11">
        <f>IFERROR(INDEX('IRA - Advanced Manufacturing'!C$202:C$212,MATCH(BPCiDCSbIC!$A11,'IRA - Advanced Manufacturing'!$B$202:$B$212,0)),0)</f>
        <v>0</v>
      </c>
      <c r="F11">
        <f>IFERROR(INDEX('IRA - Advanced Manufacturing'!D$202:D$212,MATCH(BPCiDCSbIC!$A11,'IRA - Advanced Manufacturing'!$B$202:$B$212,0)),0)</f>
        <v>0</v>
      </c>
      <c r="G11">
        <f>IFERROR(INDEX('IRA - Advanced Manufacturing'!E$202:E$212,MATCH(BPCiDCSbIC!$A11,'IRA - Advanced Manufacturing'!$B$202:$B$212,0)),0)</f>
        <v>0</v>
      </c>
      <c r="H11">
        <f>IFERROR(INDEX('IRA - Advanced Manufacturing'!F$202:F$212,MATCH(BPCiDCSbIC!$A11,'IRA - Advanced Manufacturing'!$B$202:$B$212,0)),0)</f>
        <v>0</v>
      </c>
      <c r="I11">
        <f>IFERROR(INDEX('IRA - Advanced Manufacturing'!G$202:G$212,MATCH(BPCiDCSbIC!$A11,'IRA - Advanced Manufacturing'!$B$202:$B$212,0)),0)</f>
        <v>0</v>
      </c>
      <c r="J11">
        <f>IFERROR(INDEX('IRA - Advanced Manufacturing'!H$202:H$212,MATCH(BPCiDCSbIC!$A11,'IRA - Advanced Manufacturing'!$B$202:$B$212,0)),0)</f>
        <v>0</v>
      </c>
      <c r="K11">
        <f>IFERROR(INDEX('IRA - Advanced Manufacturing'!I$202:I$212,MATCH(BPCiDCSbIC!$A11,'IRA - Advanced Manufacturing'!$B$202:$B$212,0)),0)</f>
        <v>0</v>
      </c>
      <c r="L11">
        <f>IFERROR(INDEX('IRA - Advanced Manufacturing'!J$202:J$212,MATCH(BPCiDCSbIC!$A11,'IRA - Advanced Manufacturing'!$B$202:$B$212,0)),0)</f>
        <v>0</v>
      </c>
      <c r="M11">
        <f>IFERROR(INDEX('IRA - Advanced Manufacturing'!K$202:K$212,MATCH(BPCiDCSbIC!$A11,'IRA - Advanced Manufacturing'!$B$202:$B$212,0)),0)</f>
        <v>0</v>
      </c>
      <c r="N11">
        <f>IFERROR(INDEX('IRA - Advanced Manufacturing'!L$202:L$212,MATCH(BPCiDCSbIC!$A11,'IRA - Advanced Manufacturing'!$B$202:$B$212,0)),0)</f>
        <v>0</v>
      </c>
      <c r="O11">
        <f t="shared" si="1"/>
        <v>0</v>
      </c>
      <c r="P11">
        <f t="shared" si="0"/>
        <v>0</v>
      </c>
      <c r="Q11">
        <f t="shared" si="0"/>
        <v>0</v>
      </c>
      <c r="R11">
        <f t="shared" si="0"/>
        <v>0</v>
      </c>
      <c r="S11">
        <f t="shared" si="0"/>
        <v>0</v>
      </c>
      <c r="T11">
        <f t="shared" si="0"/>
        <v>0</v>
      </c>
      <c r="U11">
        <f t="shared" si="0"/>
        <v>0</v>
      </c>
      <c r="V11">
        <f t="shared" si="0"/>
        <v>0</v>
      </c>
      <c r="W11">
        <f t="shared" si="0"/>
        <v>0</v>
      </c>
      <c r="X11">
        <f t="shared" si="0"/>
        <v>0</v>
      </c>
      <c r="Y11">
        <f t="shared" si="0"/>
        <v>0</v>
      </c>
      <c r="Z11">
        <f t="shared" si="0"/>
        <v>0</v>
      </c>
      <c r="AA11">
        <f t="shared" si="0"/>
        <v>0</v>
      </c>
      <c r="AB11">
        <f t="shared" si="0"/>
        <v>0</v>
      </c>
      <c r="AC11">
        <f t="shared" si="0"/>
        <v>0</v>
      </c>
      <c r="AD11">
        <f t="shared" si="0"/>
        <v>0</v>
      </c>
      <c r="AE11">
        <f t="shared" si="0"/>
        <v>0</v>
      </c>
      <c r="AF11">
        <f t="shared" si="0"/>
        <v>0</v>
      </c>
    </row>
    <row r="12" spans="1:32" x14ac:dyDescent="0.3">
      <c r="A12" s="2" t="s">
        <v>35</v>
      </c>
      <c r="B12">
        <v>0</v>
      </c>
      <c r="C12">
        <v>0</v>
      </c>
      <c r="D12">
        <v>0</v>
      </c>
      <c r="E12">
        <f>IFERROR(INDEX('IRA - Advanced Manufacturing'!C$202:C$212,MATCH(BPCiDCSbIC!$A12,'IRA - Advanced Manufacturing'!$B$202:$B$212,0)),0)</f>
        <v>1.5685943047571982E-5</v>
      </c>
      <c r="F12">
        <f>IFERROR(INDEX('IRA - Advanced Manufacturing'!D$202:D$212,MATCH(BPCiDCSbIC!$A12,'IRA - Advanced Manufacturing'!$B$202:$B$212,0)),0)</f>
        <v>3.0853443725442631E-5</v>
      </c>
      <c r="G12">
        <f>IFERROR(INDEX('IRA - Advanced Manufacturing'!E$202:E$212,MATCH(BPCiDCSbIC!$A12,'IRA - Advanced Manufacturing'!$B$202:$B$212,0)),0)</f>
        <v>3.604710262972155E-5</v>
      </c>
      <c r="H12">
        <f>IFERROR(INDEX('IRA - Advanced Manufacturing'!F$202:F$212,MATCH(BPCiDCSbIC!$A12,'IRA - Advanced Manufacturing'!$B$202:$B$212,0)),0)</f>
        <v>4.1078627308177573E-5</v>
      </c>
      <c r="I12">
        <f>IFERROR(INDEX('IRA - Advanced Manufacturing'!G$202:G$212,MATCH(BPCiDCSbIC!$A12,'IRA - Advanced Manufacturing'!$B$202:$B$212,0)),0)</f>
        <v>4.5957300322418959E-5</v>
      </c>
      <c r="J12">
        <f>IFERROR(INDEX('IRA - Advanced Manufacturing'!H$202:H$212,MATCH(BPCiDCSbIC!$A12,'IRA - Advanced Manufacturing'!$B$202:$B$212,0)),0)</f>
        <v>5.0672508044247166E-5</v>
      </c>
      <c r="K12">
        <f>IFERROR(INDEX('IRA - Advanced Manufacturing'!I$202:I$212,MATCH(BPCiDCSbIC!$A12,'IRA - Advanced Manufacturing'!$B$202:$B$212,0)),0)</f>
        <v>5.5227550118219781E-5</v>
      </c>
      <c r="L12">
        <f>IFERROR(INDEX('IRA - Advanced Manufacturing'!J$202:J$212,MATCH(BPCiDCSbIC!$A12,'IRA - Advanced Manufacturing'!$B$202:$B$212,0)),0)</f>
        <v>5.962546169691052E-5</v>
      </c>
      <c r="M12">
        <f>IFERROR(INDEX('IRA - Advanced Manufacturing'!K$202:K$212,MATCH(BPCiDCSbIC!$A12,'IRA - Advanced Manufacturing'!$B$202:$B$212,0)),0)</f>
        <v>6.3869421475404309E-5</v>
      </c>
      <c r="N12">
        <f>IFERROR(INDEX('IRA - Advanced Manufacturing'!L$202:L$212,MATCH(BPCiDCSbIC!$A12,'IRA - Advanced Manufacturing'!$B$202:$B$212,0)),0)</f>
        <v>6.7982384684750485E-5</v>
      </c>
      <c r="O12">
        <f t="shared" si="1"/>
        <v>6.7982384684750485E-5</v>
      </c>
      <c r="P12">
        <f t="shared" si="0"/>
        <v>6.7982384684750485E-5</v>
      </c>
      <c r="Q12">
        <f t="shared" si="0"/>
        <v>6.7982384684750485E-5</v>
      </c>
      <c r="R12">
        <f t="shared" si="0"/>
        <v>6.7982384684750485E-5</v>
      </c>
      <c r="S12">
        <f t="shared" si="0"/>
        <v>6.7982384684750485E-5</v>
      </c>
      <c r="T12">
        <f t="shared" si="0"/>
        <v>6.7982384684750485E-5</v>
      </c>
      <c r="U12">
        <f t="shared" si="0"/>
        <v>6.7982384684750485E-5</v>
      </c>
      <c r="V12">
        <f t="shared" si="0"/>
        <v>6.7982384684750485E-5</v>
      </c>
      <c r="W12">
        <f t="shared" si="0"/>
        <v>6.7982384684750485E-5</v>
      </c>
      <c r="X12">
        <f t="shared" si="0"/>
        <v>6.7982384684750485E-5</v>
      </c>
      <c r="Y12">
        <f t="shared" si="0"/>
        <v>6.7982384684750485E-5</v>
      </c>
      <c r="Z12">
        <f t="shared" si="0"/>
        <v>6.7982384684750485E-5</v>
      </c>
      <c r="AA12">
        <f t="shared" si="0"/>
        <v>6.7982384684750485E-5</v>
      </c>
      <c r="AB12">
        <f t="shared" si="0"/>
        <v>6.7982384684750485E-5</v>
      </c>
      <c r="AC12">
        <f t="shared" si="0"/>
        <v>6.7982384684750485E-5</v>
      </c>
      <c r="AD12">
        <f t="shared" si="0"/>
        <v>6.7982384684750485E-5</v>
      </c>
      <c r="AE12">
        <f t="shared" si="0"/>
        <v>6.7982384684750485E-5</v>
      </c>
      <c r="AF12">
        <f t="shared" si="0"/>
        <v>6.7982384684750485E-5</v>
      </c>
    </row>
    <row r="13" spans="1:32" x14ac:dyDescent="0.3">
      <c r="A13" s="2" t="s">
        <v>36</v>
      </c>
      <c r="B13">
        <v>0</v>
      </c>
      <c r="C13">
        <v>0</v>
      </c>
      <c r="D13">
        <v>0</v>
      </c>
      <c r="E13">
        <f>IFERROR(INDEX('IRA - Advanced Manufacturing'!C$202:C$212,MATCH(BPCiDCSbIC!$A13,'IRA - Advanced Manufacturing'!$B$202:$B$212,0)),0)</f>
        <v>0</v>
      </c>
      <c r="F13">
        <f>IFERROR(INDEX('IRA - Advanced Manufacturing'!D$202:D$212,MATCH(BPCiDCSbIC!$A13,'IRA - Advanced Manufacturing'!$B$202:$B$212,0)),0)</f>
        <v>0</v>
      </c>
      <c r="G13">
        <f>IFERROR(INDEX('IRA - Advanced Manufacturing'!E$202:E$212,MATCH(BPCiDCSbIC!$A13,'IRA - Advanced Manufacturing'!$B$202:$B$212,0)),0)</f>
        <v>0</v>
      </c>
      <c r="H13">
        <f>IFERROR(INDEX('IRA - Advanced Manufacturing'!F$202:F$212,MATCH(BPCiDCSbIC!$A13,'IRA - Advanced Manufacturing'!$B$202:$B$212,0)),0)</f>
        <v>0</v>
      </c>
      <c r="I13">
        <f>IFERROR(INDEX('IRA - Advanced Manufacturing'!G$202:G$212,MATCH(BPCiDCSbIC!$A13,'IRA - Advanced Manufacturing'!$B$202:$B$212,0)),0)</f>
        <v>0</v>
      </c>
      <c r="J13">
        <f>IFERROR(INDEX('IRA - Advanced Manufacturing'!H$202:H$212,MATCH(BPCiDCSbIC!$A13,'IRA - Advanced Manufacturing'!$B$202:$B$212,0)),0)</f>
        <v>0</v>
      </c>
      <c r="K13">
        <f>IFERROR(INDEX('IRA - Advanced Manufacturing'!I$202:I$212,MATCH(BPCiDCSbIC!$A13,'IRA - Advanced Manufacturing'!$B$202:$B$212,0)),0)</f>
        <v>0</v>
      </c>
      <c r="L13">
        <f>IFERROR(INDEX('IRA - Advanced Manufacturing'!J$202:J$212,MATCH(BPCiDCSbIC!$A13,'IRA - Advanced Manufacturing'!$B$202:$B$212,0)),0)</f>
        <v>0</v>
      </c>
      <c r="M13">
        <f>IFERROR(INDEX('IRA - Advanced Manufacturing'!K$202:K$212,MATCH(BPCiDCSbIC!$A13,'IRA - Advanced Manufacturing'!$B$202:$B$212,0)),0)</f>
        <v>0</v>
      </c>
      <c r="N13">
        <f>IFERROR(INDEX('IRA - Advanced Manufacturing'!L$202:L$212,MATCH(BPCiDCSbIC!$A13,'IRA - Advanced Manufacturing'!$B$202:$B$212,0)),0)</f>
        <v>0</v>
      </c>
      <c r="O13">
        <f t="shared" si="1"/>
        <v>0</v>
      </c>
      <c r="P13">
        <f t="shared" si="0"/>
        <v>0</v>
      </c>
      <c r="Q13">
        <f t="shared" si="0"/>
        <v>0</v>
      </c>
      <c r="R13">
        <f t="shared" si="0"/>
        <v>0</v>
      </c>
      <c r="S13">
        <f t="shared" si="0"/>
        <v>0</v>
      </c>
      <c r="T13">
        <f t="shared" si="0"/>
        <v>0</v>
      </c>
      <c r="U13">
        <f t="shared" si="0"/>
        <v>0</v>
      </c>
      <c r="V13">
        <f t="shared" si="0"/>
        <v>0</v>
      </c>
      <c r="W13">
        <f t="shared" si="0"/>
        <v>0</v>
      </c>
      <c r="X13">
        <f t="shared" si="0"/>
        <v>0</v>
      </c>
      <c r="Y13">
        <f t="shared" si="0"/>
        <v>0</v>
      </c>
      <c r="Z13">
        <f t="shared" si="0"/>
        <v>0</v>
      </c>
      <c r="AA13">
        <f t="shared" si="0"/>
        <v>0</v>
      </c>
      <c r="AB13">
        <f t="shared" si="0"/>
        <v>0</v>
      </c>
      <c r="AC13">
        <f t="shared" si="0"/>
        <v>0</v>
      </c>
      <c r="AD13">
        <f t="shared" si="0"/>
        <v>0</v>
      </c>
      <c r="AE13">
        <f t="shared" si="0"/>
        <v>0</v>
      </c>
      <c r="AF13">
        <f t="shared" si="0"/>
        <v>0</v>
      </c>
    </row>
    <row r="14" spans="1:32" x14ac:dyDescent="0.3">
      <c r="A14" s="2" t="s">
        <v>10</v>
      </c>
      <c r="B14">
        <v>0</v>
      </c>
      <c r="C14">
        <v>0</v>
      </c>
      <c r="D14">
        <v>0</v>
      </c>
      <c r="E14">
        <f>IFERROR(INDEX('IRA - Advanced Manufacturing'!C$202:C$212,MATCH(BPCiDCSbIC!$A14,'IRA - Advanced Manufacturing'!$B$202:$B$212,0)),0)</f>
        <v>2.337101362437366E-6</v>
      </c>
      <c r="F14">
        <f>IFERROR(INDEX('IRA - Advanced Manufacturing'!D$202:D$212,MATCH(BPCiDCSbIC!$A14,'IRA - Advanced Manufacturing'!$B$202:$B$212,0)),0)</f>
        <v>4.607200737138939E-6</v>
      </c>
      <c r="G14">
        <f>IFERROR(INDEX('IRA - Advanced Manufacturing'!E$202:E$212,MATCH(BPCiDCSbIC!$A14,'IRA - Advanced Manufacturing'!$B$202:$B$212,0)),0)</f>
        <v>5.3926034364604192E-6</v>
      </c>
      <c r="H14">
        <f>IFERROR(INDEX('IRA - Advanced Manufacturing'!F$202:F$212,MATCH(BPCiDCSbIC!$A14,'IRA - Advanced Manufacturing'!$B$202:$B$212,0)),0)</f>
        <v>6.1544856591044805E-6</v>
      </c>
      <c r="I14">
        <f>IFERROR(INDEX('IRA - Advanced Manufacturing'!G$202:G$212,MATCH(BPCiDCSbIC!$A14,'IRA - Advanced Manufacturing'!$B$202:$B$212,0)),0)</f>
        <v>6.8933377770363791E-6</v>
      </c>
      <c r="J14">
        <f>IFERROR(INDEX('IRA - Advanced Manufacturing'!H$202:H$212,MATCH(BPCiDCSbIC!$A14,'IRA - Advanced Manufacturing'!$B$202:$B$212,0)),0)</f>
        <v>7.6093585557046595E-6</v>
      </c>
      <c r="K14">
        <f>IFERROR(INDEX('IRA - Advanced Manufacturing'!I$202:I$212,MATCH(BPCiDCSbIC!$A14,'IRA - Advanced Manufacturing'!$B$202:$B$212,0)),0)</f>
        <v>8.3029863646721935E-6</v>
      </c>
      <c r="L14">
        <f>IFERROR(INDEX('IRA - Advanced Manufacturing'!J$202:J$212,MATCH(BPCiDCSbIC!$A14,'IRA - Advanced Manufacturing'!$B$202:$B$212,0)),0)</f>
        <v>8.9745707780863881E-6</v>
      </c>
      <c r="M14">
        <f>IFERROR(INDEX('IRA - Advanced Manufacturing'!K$202:K$212,MATCH(BPCiDCSbIC!$A14,'IRA - Advanced Manufacturing'!$B$202:$B$212,0)),0)</f>
        <v>9.6245824512397604E-6</v>
      </c>
      <c r="N14">
        <f>IFERROR(INDEX('IRA - Advanced Manufacturing'!L$202:L$212,MATCH(BPCiDCSbIC!$A14,'IRA - Advanced Manufacturing'!$B$202:$B$212,0)),0)</f>
        <v>1.0255981035323103E-5</v>
      </c>
      <c r="O14">
        <f t="shared" si="1"/>
        <v>1.0255981035323103E-5</v>
      </c>
      <c r="P14">
        <f t="shared" si="0"/>
        <v>1.0255981035323103E-5</v>
      </c>
      <c r="Q14">
        <f t="shared" si="0"/>
        <v>1.0255981035323103E-5</v>
      </c>
      <c r="R14">
        <f t="shared" si="0"/>
        <v>1.0255981035323103E-5</v>
      </c>
      <c r="S14">
        <f t="shared" si="0"/>
        <v>1.0255981035323103E-5</v>
      </c>
      <c r="T14">
        <f t="shared" si="0"/>
        <v>1.0255981035323103E-5</v>
      </c>
      <c r="U14">
        <f t="shared" si="0"/>
        <v>1.0255981035323103E-5</v>
      </c>
      <c r="V14">
        <f t="shared" si="0"/>
        <v>1.0255981035323103E-5</v>
      </c>
      <c r="W14">
        <f t="shared" si="0"/>
        <v>1.0255981035323103E-5</v>
      </c>
      <c r="X14">
        <f t="shared" si="0"/>
        <v>1.0255981035323103E-5</v>
      </c>
      <c r="Y14">
        <f t="shared" si="0"/>
        <v>1.0255981035323103E-5</v>
      </c>
      <c r="Z14">
        <f t="shared" si="0"/>
        <v>1.0255981035323103E-5</v>
      </c>
      <c r="AA14">
        <f t="shared" si="0"/>
        <v>1.0255981035323103E-5</v>
      </c>
      <c r="AB14">
        <f t="shared" si="0"/>
        <v>1.0255981035323103E-5</v>
      </c>
      <c r="AC14">
        <f t="shared" si="0"/>
        <v>1.0255981035323103E-5</v>
      </c>
      <c r="AD14">
        <f t="shared" si="0"/>
        <v>1.0255981035323103E-5</v>
      </c>
      <c r="AE14">
        <f t="shared" si="0"/>
        <v>1.0255981035323103E-5</v>
      </c>
      <c r="AF14">
        <f t="shared" si="0"/>
        <v>1.0255981035323103E-5</v>
      </c>
    </row>
    <row r="15" spans="1:32" x14ac:dyDescent="0.3">
      <c r="A15" s="2" t="s">
        <v>41</v>
      </c>
      <c r="B15">
        <v>0</v>
      </c>
      <c r="C15">
        <v>0</v>
      </c>
      <c r="D15">
        <v>0</v>
      </c>
      <c r="E15">
        <f>IFERROR(INDEX('IRA - Advanced Manufacturing'!C$202:C$212,MATCH(BPCiDCSbIC!$A15,'IRA - Advanced Manufacturing'!$B$202:$B$212,0)),0)</f>
        <v>6.4990782579688045E-4</v>
      </c>
      <c r="F15">
        <f>IFERROR(INDEX('IRA - Advanced Manufacturing'!D$202:D$212,MATCH(BPCiDCSbIC!$A15,'IRA - Advanced Manufacturing'!$B$202:$B$212,0)),0)</f>
        <v>1.267820099483119E-3</v>
      </c>
      <c r="G15">
        <f>IFERROR(INDEX('IRA - Advanced Manufacturing'!E$202:E$212,MATCH(BPCiDCSbIC!$A15,'IRA - Advanced Manufacturing'!$B$202:$B$212,0)),0)</f>
        <v>1.4750985792468807E-3</v>
      </c>
      <c r="H15">
        <f>IFERROR(INDEX('IRA - Advanced Manufacturing'!F$202:F$212,MATCH(BPCiDCSbIC!$A15,'IRA - Advanced Manufacturing'!$B$202:$B$212,0)),0)</f>
        <v>1.6787794101387199E-3</v>
      </c>
      <c r="I15">
        <f>IFERROR(INDEX('IRA - Advanced Manufacturing'!G$202:G$212,MATCH(BPCiDCSbIC!$A15,'IRA - Advanced Manufacturing'!$B$202:$B$212,0)),0)</f>
        <v>1.8810588660058691E-3</v>
      </c>
      <c r="J15">
        <f>IFERROR(INDEX('IRA - Advanced Manufacturing'!H$202:H$212,MATCH(BPCiDCSbIC!$A15,'IRA - Advanced Manufacturing'!$B$202:$B$212,0)),0)</f>
        <v>2.0773406550831375E-3</v>
      </c>
      <c r="K15">
        <f>IFERROR(INDEX('IRA - Advanced Manufacturing'!I$202:I$212,MATCH(BPCiDCSbIC!$A15,'IRA - Advanced Manufacturing'!$B$202:$B$212,0)),0)</f>
        <v>2.2677414444602917E-3</v>
      </c>
      <c r="L15">
        <f>IFERROR(INDEX('IRA - Advanced Manufacturing'!J$202:J$212,MATCH(BPCiDCSbIC!$A15,'IRA - Advanced Manufacturing'!$B$202:$B$212,0)),0)</f>
        <v>2.452374507025068E-3</v>
      </c>
      <c r="M15">
        <f>IFERROR(INDEX('IRA - Advanced Manufacturing'!K$202:K$212,MATCH(BPCiDCSbIC!$A15,'IRA - Advanced Manufacturing'!$B$202:$B$212,0)),0)</f>
        <v>2.6313712372809661E-3</v>
      </c>
      <c r="N15">
        <f>IFERROR(INDEX('IRA - Advanced Manufacturing'!L$202:L$212,MATCH(BPCiDCSbIC!$A15,'IRA - Advanced Manufacturing'!$B$202:$B$212,0)),0)</f>
        <v>2.8054217855946195E-3</v>
      </c>
      <c r="O15">
        <f t="shared" si="1"/>
        <v>2.8054217855946195E-3</v>
      </c>
      <c r="P15">
        <f t="shared" si="0"/>
        <v>2.8054217855946195E-3</v>
      </c>
      <c r="Q15">
        <f t="shared" si="0"/>
        <v>2.8054217855946195E-3</v>
      </c>
      <c r="R15">
        <f t="shared" si="0"/>
        <v>2.8054217855946195E-3</v>
      </c>
      <c r="S15">
        <f t="shared" si="0"/>
        <v>2.8054217855946195E-3</v>
      </c>
      <c r="T15">
        <f t="shared" si="0"/>
        <v>2.8054217855946195E-3</v>
      </c>
      <c r="U15">
        <f t="shared" si="0"/>
        <v>2.8054217855946195E-3</v>
      </c>
      <c r="V15">
        <f t="shared" si="0"/>
        <v>2.8054217855946195E-3</v>
      </c>
      <c r="W15">
        <f t="shared" si="0"/>
        <v>2.8054217855946195E-3</v>
      </c>
      <c r="X15">
        <f t="shared" si="0"/>
        <v>2.8054217855946195E-3</v>
      </c>
      <c r="Y15">
        <f t="shared" si="0"/>
        <v>2.8054217855946195E-3</v>
      </c>
      <c r="Z15">
        <f t="shared" si="0"/>
        <v>2.8054217855946195E-3</v>
      </c>
      <c r="AA15">
        <f t="shared" si="0"/>
        <v>2.8054217855946195E-3</v>
      </c>
      <c r="AB15">
        <f t="shared" si="0"/>
        <v>2.8054217855946195E-3</v>
      </c>
      <c r="AC15">
        <f t="shared" si="0"/>
        <v>2.8054217855946195E-3</v>
      </c>
      <c r="AD15">
        <f t="shared" si="0"/>
        <v>2.8054217855946195E-3</v>
      </c>
      <c r="AE15">
        <f t="shared" si="0"/>
        <v>2.8054217855946195E-3</v>
      </c>
      <c r="AF15">
        <f t="shared" si="0"/>
        <v>2.8054217855946195E-3</v>
      </c>
    </row>
    <row r="16" spans="1:32" x14ac:dyDescent="0.3">
      <c r="A16" s="2" t="s">
        <v>42</v>
      </c>
      <c r="B16">
        <v>0</v>
      </c>
      <c r="C16">
        <v>0</v>
      </c>
      <c r="D16">
        <v>0</v>
      </c>
      <c r="E16">
        <f>IFERROR(INDEX('IRA - Advanced Manufacturing'!C$202:C$212,MATCH(BPCiDCSbIC!$A16,'IRA - Advanced Manufacturing'!$B$202:$B$212,0)),0)</f>
        <v>6.8877264489008994E-5</v>
      </c>
      <c r="F16">
        <f>IFERROR(INDEX('IRA - Advanced Manufacturing'!D$202:D$212,MATCH(BPCiDCSbIC!$A16,'IRA - Advanced Manufacturing'!$B$202:$B$212,0)),0)</f>
        <v>1.357923491731583E-4</v>
      </c>
      <c r="G16">
        <f>IFERROR(INDEX('IRA - Advanced Manufacturing'!E$202:E$212,MATCH(BPCiDCSbIC!$A16,'IRA - Advanced Manufacturing'!$B$202:$B$212,0)),0)</f>
        <v>1.5911168785831542E-4</v>
      </c>
      <c r="H16">
        <f>IFERROR(INDEX('IRA - Advanced Manufacturing'!F$202:F$212,MATCH(BPCiDCSbIC!$A16,'IRA - Advanced Manufacturing'!$B$202:$B$212,0)),0)</f>
        <v>1.8192460078370054E-4</v>
      </c>
      <c r="I16">
        <f>IFERROR(INDEX('IRA - Advanced Manufacturing'!G$202:G$212,MATCH(BPCiDCSbIC!$A16,'IRA - Advanced Manufacturing'!$B$202:$B$212,0)),0)</f>
        <v>2.0429644413111347E-4</v>
      </c>
      <c r="J16">
        <f>IFERROR(INDEX('IRA - Advanced Manufacturing'!H$202:H$212,MATCH(BPCiDCSbIC!$A16,'IRA - Advanced Manufacturing'!$B$202:$B$212,0)),0)</f>
        <v>2.2611224959856457E-4</v>
      </c>
      <c r="K16">
        <f>IFERROR(INDEX('IRA - Advanced Manufacturing'!I$202:I$212,MATCH(BPCiDCSbIC!$A16,'IRA - Advanced Manufacturing'!$B$202:$B$212,0)),0)</f>
        <v>2.4737481161385411E-4</v>
      </c>
      <c r="L16">
        <f>IFERROR(INDEX('IRA - Advanced Manufacturing'!J$202:J$212,MATCH(BPCiDCSbIC!$A16,'IRA - Advanced Manufacturing'!$B$202:$B$212,0)),0)</f>
        <v>2.6809936309324378E-4</v>
      </c>
      <c r="M16">
        <f>IFERROR(INDEX('IRA - Advanced Manufacturing'!K$202:K$212,MATCH(BPCiDCSbIC!$A16,'IRA - Advanced Manufacturing'!$B$202:$B$212,0)),0)</f>
        <v>2.882879522452253E-4</v>
      </c>
      <c r="N16">
        <f>IFERROR(INDEX('IRA - Advanced Manufacturing'!L$202:L$212,MATCH(BPCiDCSbIC!$A16,'IRA - Advanced Manufacturing'!$B$202:$B$212,0)),0)</f>
        <v>3.0800233200700688E-4</v>
      </c>
      <c r="O16">
        <f t="shared" si="1"/>
        <v>3.0800233200700688E-4</v>
      </c>
      <c r="P16">
        <f t="shared" si="0"/>
        <v>3.0800233200700688E-4</v>
      </c>
      <c r="Q16">
        <f t="shared" si="0"/>
        <v>3.0800233200700688E-4</v>
      </c>
      <c r="R16">
        <f t="shared" si="0"/>
        <v>3.0800233200700688E-4</v>
      </c>
      <c r="S16">
        <f t="shared" si="0"/>
        <v>3.0800233200700688E-4</v>
      </c>
      <c r="T16">
        <f t="shared" si="0"/>
        <v>3.0800233200700688E-4</v>
      </c>
      <c r="U16">
        <f t="shared" si="0"/>
        <v>3.0800233200700688E-4</v>
      </c>
      <c r="V16">
        <f t="shared" si="0"/>
        <v>3.0800233200700688E-4</v>
      </c>
      <c r="W16">
        <f t="shared" si="0"/>
        <v>3.0800233200700688E-4</v>
      </c>
      <c r="X16">
        <f t="shared" si="0"/>
        <v>3.0800233200700688E-4</v>
      </c>
      <c r="Y16">
        <f t="shared" si="0"/>
        <v>3.0800233200700688E-4</v>
      </c>
      <c r="Z16">
        <f t="shared" si="0"/>
        <v>3.0800233200700688E-4</v>
      </c>
      <c r="AA16">
        <f t="shared" si="0"/>
        <v>3.0800233200700688E-4</v>
      </c>
      <c r="AB16">
        <f t="shared" si="0"/>
        <v>3.0800233200700688E-4</v>
      </c>
      <c r="AC16">
        <f t="shared" si="0"/>
        <v>3.0800233200700688E-4</v>
      </c>
      <c r="AD16">
        <f t="shared" si="0"/>
        <v>3.0800233200700688E-4</v>
      </c>
      <c r="AE16">
        <f t="shared" si="0"/>
        <v>3.0800233200700688E-4</v>
      </c>
      <c r="AF16">
        <f t="shared" si="0"/>
        <v>3.0800233200700688E-4</v>
      </c>
    </row>
    <row r="17" spans="1:32" x14ac:dyDescent="0.3">
      <c r="A17" s="2" t="s">
        <v>43</v>
      </c>
      <c r="B17">
        <v>0</v>
      </c>
      <c r="C17">
        <v>0</v>
      </c>
      <c r="D17">
        <v>0</v>
      </c>
      <c r="E17">
        <f>IFERROR(INDEX('IRA - Advanced Manufacturing'!C$202:C$212,MATCH(BPCiDCSbIC!$A17,'IRA - Advanced Manufacturing'!$B$202:$B$212,0)),0)</f>
        <v>0</v>
      </c>
      <c r="F17">
        <f>IFERROR(INDEX('IRA - Advanced Manufacturing'!D$202:D$212,MATCH(BPCiDCSbIC!$A17,'IRA - Advanced Manufacturing'!$B$202:$B$212,0)),0)</f>
        <v>0</v>
      </c>
      <c r="G17">
        <f>IFERROR(INDEX('IRA - Advanced Manufacturing'!E$202:E$212,MATCH(BPCiDCSbIC!$A17,'IRA - Advanced Manufacturing'!$B$202:$B$212,0)),0)</f>
        <v>0</v>
      </c>
      <c r="H17">
        <f>IFERROR(INDEX('IRA - Advanced Manufacturing'!F$202:F$212,MATCH(BPCiDCSbIC!$A17,'IRA - Advanced Manufacturing'!$B$202:$B$212,0)),0)</f>
        <v>0</v>
      </c>
      <c r="I17">
        <f>IFERROR(INDEX('IRA - Advanced Manufacturing'!G$202:G$212,MATCH(BPCiDCSbIC!$A17,'IRA - Advanced Manufacturing'!$B$202:$B$212,0)),0)</f>
        <v>0</v>
      </c>
      <c r="J17">
        <f>IFERROR(INDEX('IRA - Advanced Manufacturing'!H$202:H$212,MATCH(BPCiDCSbIC!$A17,'IRA - Advanced Manufacturing'!$B$202:$B$212,0)),0)</f>
        <v>0</v>
      </c>
      <c r="K17">
        <f>IFERROR(INDEX('IRA - Advanced Manufacturing'!I$202:I$212,MATCH(BPCiDCSbIC!$A17,'IRA - Advanced Manufacturing'!$B$202:$B$212,0)),0)</f>
        <v>0</v>
      </c>
      <c r="L17">
        <f>IFERROR(INDEX('IRA - Advanced Manufacturing'!J$202:J$212,MATCH(BPCiDCSbIC!$A17,'IRA - Advanced Manufacturing'!$B$202:$B$212,0)),0)</f>
        <v>0</v>
      </c>
      <c r="M17">
        <f>IFERROR(INDEX('IRA - Advanced Manufacturing'!K$202:K$212,MATCH(BPCiDCSbIC!$A17,'IRA - Advanced Manufacturing'!$B$202:$B$212,0)),0)</f>
        <v>0</v>
      </c>
      <c r="N17">
        <f>IFERROR(INDEX('IRA - Advanced Manufacturing'!L$202:L$212,MATCH(BPCiDCSbIC!$A17,'IRA - Advanced Manufacturing'!$B$202:$B$212,0)),0)</f>
        <v>0</v>
      </c>
      <c r="O17">
        <f t="shared" si="1"/>
        <v>0</v>
      </c>
      <c r="P17">
        <f t="shared" si="0"/>
        <v>0</v>
      </c>
      <c r="Q17">
        <f t="shared" si="0"/>
        <v>0</v>
      </c>
      <c r="R17">
        <f t="shared" si="0"/>
        <v>0</v>
      </c>
      <c r="S17">
        <f t="shared" si="0"/>
        <v>0</v>
      </c>
      <c r="T17">
        <f t="shared" si="0"/>
        <v>0</v>
      </c>
      <c r="U17">
        <f t="shared" si="0"/>
        <v>0</v>
      </c>
      <c r="V17">
        <f t="shared" si="0"/>
        <v>0</v>
      </c>
      <c r="W17">
        <f t="shared" si="0"/>
        <v>0</v>
      </c>
      <c r="X17">
        <f t="shared" si="0"/>
        <v>0</v>
      </c>
      <c r="Y17">
        <f t="shared" si="0"/>
        <v>0</v>
      </c>
      <c r="Z17">
        <f t="shared" si="0"/>
        <v>0</v>
      </c>
      <c r="AA17">
        <f t="shared" si="0"/>
        <v>0</v>
      </c>
      <c r="AB17">
        <f t="shared" si="0"/>
        <v>0</v>
      </c>
      <c r="AC17">
        <f t="shared" si="0"/>
        <v>0</v>
      </c>
      <c r="AD17">
        <f t="shared" si="0"/>
        <v>0</v>
      </c>
      <c r="AE17">
        <f t="shared" ref="P17:AF32" si="2">$N17</f>
        <v>0</v>
      </c>
      <c r="AF17">
        <f t="shared" si="2"/>
        <v>0</v>
      </c>
    </row>
    <row r="18" spans="1:32" x14ac:dyDescent="0.3">
      <c r="A18" s="2" t="s">
        <v>44</v>
      </c>
      <c r="B18">
        <v>0</v>
      </c>
      <c r="C18">
        <v>0</v>
      </c>
      <c r="D18">
        <v>0</v>
      </c>
      <c r="E18">
        <f>IFERROR(INDEX('IRA - Advanced Manufacturing'!C$202:C$212,MATCH(BPCiDCSbIC!$A18,'IRA - Advanced Manufacturing'!$B$202:$B$212,0)),0)</f>
        <v>2.581436419408778E-4</v>
      </c>
      <c r="F18">
        <f>IFERROR(INDEX('IRA - Advanced Manufacturing'!D$202:D$212,MATCH(BPCiDCSbIC!$A18,'IRA - Advanced Manufacturing'!$B$202:$B$212,0)),0)</f>
        <v>5.0969613358309296E-4</v>
      </c>
      <c r="G18">
        <f>IFERROR(INDEX('IRA - Advanced Manufacturing'!E$202:E$212,MATCH(BPCiDCSbIC!$A18,'IRA - Advanced Manufacturing'!$B$202:$B$212,0)),0)</f>
        <v>7.3802151858104459E-4</v>
      </c>
      <c r="H18">
        <f>IFERROR(INDEX('IRA - Advanced Manufacturing'!F$202:F$212,MATCH(BPCiDCSbIC!$A18,'IRA - Advanced Manufacturing'!$B$202:$B$212,0)),0)</f>
        <v>9.6183744469757748E-4</v>
      </c>
      <c r="I18">
        <f>IFERROR(INDEX('IRA - Advanced Manufacturing'!G$202:G$212,MATCH(BPCiDCSbIC!$A18,'IRA - Advanced Manufacturing'!$B$202:$B$212,0)),0)</f>
        <v>1.1819004748927497E-3</v>
      </c>
      <c r="J18">
        <f>IFERROR(INDEX('IRA - Advanced Manufacturing'!H$202:H$212,MATCH(BPCiDCSbIC!$A18,'IRA - Advanced Manufacturing'!$B$202:$B$212,0)),0)</f>
        <v>1.3975250057891575E-3</v>
      </c>
      <c r="K18">
        <f>IFERROR(INDEX('IRA - Advanced Manufacturing'!I$202:I$212,MATCH(BPCiDCSbIC!$A18,'IRA - Advanced Manufacturing'!$B$202:$B$212,0)),0)</f>
        <v>1.6087959363038085E-3</v>
      </c>
      <c r="L18">
        <f>IFERROR(INDEX('IRA - Advanced Manufacturing'!J$202:J$212,MATCH(BPCiDCSbIC!$A18,'IRA - Advanced Manufacturing'!$B$202:$B$212,0)),0)</f>
        <v>1.8157498682009887E-3</v>
      </c>
      <c r="M18">
        <f>IFERROR(INDEX('IRA - Advanced Manufacturing'!K$202:K$212,MATCH(BPCiDCSbIC!$A18,'IRA - Advanced Manufacturing'!$B$202:$B$212,0)),0)</f>
        <v>2.0184619020502392E-3</v>
      </c>
      <c r="N18">
        <f>IFERROR(INDEX('IRA - Advanced Manufacturing'!L$202:L$212,MATCH(BPCiDCSbIC!$A18,'IRA - Advanced Manufacturing'!$B$202:$B$212,0)),0)</f>
        <v>2.2172179275061765E-3</v>
      </c>
      <c r="O18">
        <f t="shared" si="1"/>
        <v>2.2172179275061765E-3</v>
      </c>
      <c r="P18">
        <f t="shared" si="2"/>
        <v>2.2172179275061765E-3</v>
      </c>
      <c r="Q18">
        <f t="shared" si="2"/>
        <v>2.2172179275061765E-3</v>
      </c>
      <c r="R18">
        <f t="shared" si="2"/>
        <v>2.2172179275061765E-3</v>
      </c>
      <c r="S18">
        <f t="shared" si="2"/>
        <v>2.2172179275061765E-3</v>
      </c>
      <c r="T18">
        <f t="shared" si="2"/>
        <v>2.2172179275061765E-3</v>
      </c>
      <c r="U18">
        <f t="shared" si="2"/>
        <v>2.2172179275061765E-3</v>
      </c>
      <c r="V18">
        <f t="shared" si="2"/>
        <v>2.2172179275061765E-3</v>
      </c>
      <c r="W18">
        <f t="shared" si="2"/>
        <v>2.2172179275061765E-3</v>
      </c>
      <c r="X18">
        <f t="shared" si="2"/>
        <v>2.2172179275061765E-3</v>
      </c>
      <c r="Y18">
        <f t="shared" si="2"/>
        <v>2.2172179275061765E-3</v>
      </c>
      <c r="Z18">
        <f t="shared" si="2"/>
        <v>2.2172179275061765E-3</v>
      </c>
      <c r="AA18">
        <f t="shared" si="2"/>
        <v>2.2172179275061765E-3</v>
      </c>
      <c r="AB18">
        <f t="shared" si="2"/>
        <v>2.2172179275061765E-3</v>
      </c>
      <c r="AC18">
        <f t="shared" si="2"/>
        <v>2.2172179275061765E-3</v>
      </c>
      <c r="AD18">
        <f t="shared" si="2"/>
        <v>2.2172179275061765E-3</v>
      </c>
      <c r="AE18">
        <f t="shared" si="2"/>
        <v>2.2172179275061765E-3</v>
      </c>
      <c r="AF18">
        <f t="shared" si="2"/>
        <v>2.2172179275061765E-3</v>
      </c>
    </row>
    <row r="19" spans="1:32" x14ac:dyDescent="0.3">
      <c r="A19" s="2" t="s">
        <v>11</v>
      </c>
      <c r="B19">
        <v>0</v>
      </c>
      <c r="C19">
        <v>0</v>
      </c>
      <c r="D19">
        <v>0</v>
      </c>
      <c r="E19">
        <f>IFERROR(INDEX('IRA - Advanced Manufacturing'!C$202:C$212,MATCH(BPCiDCSbIC!$A19,'IRA - Advanced Manufacturing'!$B$202:$B$212,0)),0)</f>
        <v>1.0479965175047568E-4</v>
      </c>
      <c r="F19">
        <f>IFERROR(INDEX('IRA - Advanced Manufacturing'!D$202:D$212,MATCH(BPCiDCSbIC!$A19,'IRA - Advanced Manufacturing'!$B$202:$B$212,0)),0)</f>
        <v>2.0632069008796883E-4</v>
      </c>
      <c r="G19">
        <f>IFERROR(INDEX('IRA - Advanced Manufacturing'!E$202:E$212,MATCH(BPCiDCSbIC!$A19,'IRA - Advanced Manufacturing'!$B$202:$B$212,0)),0)</f>
        <v>2.4167574077016418E-4</v>
      </c>
      <c r="H19">
        <f>IFERROR(INDEX('IRA - Advanced Manufacturing'!F$202:F$212,MATCH(BPCiDCSbIC!$A19,'IRA - Advanced Manufacturing'!$B$202:$B$212,0)),0)</f>
        <v>2.7650037666471228E-4</v>
      </c>
      <c r="I19">
        <f>IFERROR(INDEX('IRA - Advanced Manufacturing'!G$202:G$212,MATCH(BPCiDCSbIC!$A19,'IRA - Advanced Manufacturing'!$B$202:$B$212,0)),0)</f>
        <v>3.1099378794374744E-4</v>
      </c>
      <c r="J19">
        <f>IFERROR(INDEX('IRA - Advanced Manufacturing'!H$202:H$212,MATCH(BPCiDCSbIC!$A19,'IRA - Advanced Manufacturing'!$B$202:$B$212,0)),0)</f>
        <v>3.4474752793745012E-4</v>
      </c>
      <c r="K19">
        <f>IFERROR(INDEX('IRA - Advanced Manufacturing'!I$202:I$212,MATCH(BPCiDCSbIC!$A19,'IRA - Advanced Manufacturing'!$B$202:$B$212,0)),0)</f>
        <v>3.7777194106825007E-4</v>
      </c>
      <c r="L19">
        <f>IFERROR(INDEX('IRA - Advanced Manufacturing'!J$202:J$212,MATCH(BPCiDCSbIC!$A19,'IRA - Advanced Manufacturing'!$B$202:$B$212,0)),0)</f>
        <v>4.100756717027032E-4</v>
      </c>
      <c r="M19">
        <f>IFERROR(INDEX('IRA - Advanced Manufacturing'!K$202:K$212,MATCH(BPCiDCSbIC!$A19,'IRA - Advanced Manufacturing'!$B$202:$B$212,0)),0)</f>
        <v>4.4166985414362259E-4</v>
      </c>
      <c r="N19">
        <f>IFERROR(INDEX('IRA - Advanced Manufacturing'!L$202:L$212,MATCH(BPCiDCSbIC!$A19,'IRA - Advanced Manufacturing'!$B$202:$B$212,0)),0)</f>
        <v>4.7262087228649996E-4</v>
      </c>
      <c r="O19">
        <f t="shared" si="1"/>
        <v>4.7262087228649996E-4</v>
      </c>
      <c r="P19">
        <f t="shared" si="2"/>
        <v>4.7262087228649996E-4</v>
      </c>
      <c r="Q19">
        <f t="shared" si="2"/>
        <v>4.7262087228649996E-4</v>
      </c>
      <c r="R19">
        <f t="shared" si="2"/>
        <v>4.7262087228649996E-4</v>
      </c>
      <c r="S19">
        <f t="shared" si="2"/>
        <v>4.7262087228649996E-4</v>
      </c>
      <c r="T19">
        <f t="shared" si="2"/>
        <v>4.7262087228649996E-4</v>
      </c>
      <c r="U19">
        <f t="shared" si="2"/>
        <v>4.7262087228649996E-4</v>
      </c>
      <c r="V19">
        <f t="shared" si="2"/>
        <v>4.7262087228649996E-4</v>
      </c>
      <c r="W19">
        <f t="shared" si="2"/>
        <v>4.7262087228649996E-4</v>
      </c>
      <c r="X19">
        <f t="shared" si="2"/>
        <v>4.7262087228649996E-4</v>
      </c>
      <c r="Y19">
        <f t="shared" si="2"/>
        <v>4.7262087228649996E-4</v>
      </c>
      <c r="Z19">
        <f t="shared" si="2"/>
        <v>4.7262087228649996E-4</v>
      </c>
      <c r="AA19">
        <f t="shared" si="2"/>
        <v>4.7262087228649996E-4</v>
      </c>
      <c r="AB19">
        <f t="shared" si="2"/>
        <v>4.7262087228649996E-4</v>
      </c>
      <c r="AC19">
        <f t="shared" si="2"/>
        <v>4.7262087228649996E-4</v>
      </c>
      <c r="AD19">
        <f t="shared" si="2"/>
        <v>4.7262087228649996E-4</v>
      </c>
      <c r="AE19">
        <f t="shared" si="2"/>
        <v>4.7262087228649996E-4</v>
      </c>
      <c r="AF19">
        <f t="shared" si="2"/>
        <v>4.7262087228649996E-4</v>
      </c>
    </row>
    <row r="20" spans="1:32" x14ac:dyDescent="0.3">
      <c r="A20" s="2" t="s">
        <v>12</v>
      </c>
      <c r="B20">
        <v>0</v>
      </c>
      <c r="C20">
        <v>0</v>
      </c>
      <c r="D20">
        <v>0</v>
      </c>
      <c r="E20">
        <f>IFERROR(INDEX('IRA - Advanced Manufacturing'!C$202:C$212,MATCH(BPCiDCSbIC!$A20,'IRA - Advanced Manufacturing'!$B$202:$B$212,0)),0)</f>
        <v>0</v>
      </c>
      <c r="F20">
        <f>IFERROR(INDEX('IRA - Advanced Manufacturing'!D$202:D$212,MATCH(BPCiDCSbIC!$A20,'IRA - Advanced Manufacturing'!$B$202:$B$212,0)),0)</f>
        <v>0</v>
      </c>
      <c r="G20">
        <f>IFERROR(INDEX('IRA - Advanced Manufacturing'!E$202:E$212,MATCH(BPCiDCSbIC!$A20,'IRA - Advanced Manufacturing'!$B$202:$B$212,0)),0)</f>
        <v>0</v>
      </c>
      <c r="H20">
        <f>IFERROR(INDEX('IRA - Advanced Manufacturing'!F$202:F$212,MATCH(BPCiDCSbIC!$A20,'IRA - Advanced Manufacturing'!$B$202:$B$212,0)),0)</f>
        <v>0</v>
      </c>
      <c r="I20">
        <f>IFERROR(INDEX('IRA - Advanced Manufacturing'!G$202:G$212,MATCH(BPCiDCSbIC!$A20,'IRA - Advanced Manufacturing'!$B$202:$B$212,0)),0)</f>
        <v>0</v>
      </c>
      <c r="J20">
        <f>IFERROR(INDEX('IRA - Advanced Manufacturing'!H$202:H$212,MATCH(BPCiDCSbIC!$A20,'IRA - Advanced Manufacturing'!$B$202:$B$212,0)),0)</f>
        <v>0</v>
      </c>
      <c r="K20">
        <f>IFERROR(INDEX('IRA - Advanced Manufacturing'!I$202:I$212,MATCH(BPCiDCSbIC!$A20,'IRA - Advanced Manufacturing'!$B$202:$B$212,0)),0)</f>
        <v>0</v>
      </c>
      <c r="L20">
        <f>IFERROR(INDEX('IRA - Advanced Manufacturing'!J$202:J$212,MATCH(BPCiDCSbIC!$A20,'IRA - Advanced Manufacturing'!$B$202:$B$212,0)),0)</f>
        <v>0</v>
      </c>
      <c r="M20">
        <f>IFERROR(INDEX('IRA - Advanced Manufacturing'!K$202:K$212,MATCH(BPCiDCSbIC!$A20,'IRA - Advanced Manufacturing'!$B$202:$B$212,0)),0)</f>
        <v>0</v>
      </c>
      <c r="N20">
        <f>IFERROR(INDEX('IRA - Advanced Manufacturing'!L$202:L$212,MATCH(BPCiDCSbIC!$A20,'IRA - Advanced Manufacturing'!$B$202:$B$212,0)),0)</f>
        <v>0</v>
      </c>
      <c r="O20">
        <f t="shared" si="1"/>
        <v>0</v>
      </c>
      <c r="P20">
        <f t="shared" si="2"/>
        <v>0</v>
      </c>
      <c r="Q20">
        <f t="shared" si="2"/>
        <v>0</v>
      </c>
      <c r="R20">
        <f t="shared" si="2"/>
        <v>0</v>
      </c>
      <c r="S20">
        <f t="shared" si="2"/>
        <v>0</v>
      </c>
      <c r="T20">
        <f t="shared" si="2"/>
        <v>0</v>
      </c>
      <c r="U20">
        <f t="shared" si="2"/>
        <v>0</v>
      </c>
      <c r="V20">
        <f t="shared" si="2"/>
        <v>0</v>
      </c>
      <c r="W20">
        <f t="shared" si="2"/>
        <v>0</v>
      </c>
      <c r="X20">
        <f t="shared" si="2"/>
        <v>0</v>
      </c>
      <c r="Y20">
        <f t="shared" si="2"/>
        <v>0</v>
      </c>
      <c r="Z20">
        <f t="shared" si="2"/>
        <v>0</v>
      </c>
      <c r="AA20">
        <f t="shared" si="2"/>
        <v>0</v>
      </c>
      <c r="AB20">
        <f t="shared" si="2"/>
        <v>0</v>
      </c>
      <c r="AC20">
        <f t="shared" si="2"/>
        <v>0</v>
      </c>
      <c r="AD20">
        <f t="shared" si="2"/>
        <v>0</v>
      </c>
      <c r="AE20">
        <f t="shared" si="2"/>
        <v>0</v>
      </c>
      <c r="AF20">
        <f t="shared" si="2"/>
        <v>0</v>
      </c>
    </row>
    <row r="21" spans="1:32" x14ac:dyDescent="0.3">
      <c r="A21" s="2" t="s">
        <v>13</v>
      </c>
      <c r="B21">
        <v>0</v>
      </c>
      <c r="C21">
        <v>0</v>
      </c>
      <c r="D21">
        <v>0</v>
      </c>
      <c r="E21">
        <f>IFERROR(INDEX('IRA - Advanced Manufacturing'!C$202:C$212,MATCH(BPCiDCSbIC!$A21,'IRA - Advanced Manufacturing'!$B$202:$B$212,0)),0)</f>
        <v>7.4809719670416719E-3</v>
      </c>
      <c r="F21">
        <f>IFERROR(INDEX('IRA - Advanced Manufacturing'!D$202:D$212,MATCH(BPCiDCSbIC!$A21,'IRA - Advanced Manufacturing'!$B$202:$B$212,0)),0)</f>
        <v>1.4568639839536157E-2</v>
      </c>
      <c r="G21">
        <f>IFERROR(INDEX('IRA - Advanced Manufacturing'!E$202:E$212,MATCH(BPCiDCSbIC!$A21,'IRA - Advanced Manufacturing'!$B$202:$B$212,0)),0)</f>
        <v>1.7132499862216211E-2</v>
      </c>
      <c r="H21">
        <f>IFERROR(INDEX('IRA - Advanced Manufacturing'!F$202:F$212,MATCH(BPCiDCSbIC!$A21,'IRA - Advanced Manufacturing'!$B$202:$B$212,0)),0)</f>
        <v>1.9614231159772677E-2</v>
      </c>
      <c r="I21">
        <f>IFERROR(INDEX('IRA - Advanced Manufacturing'!G$202:G$212,MATCH(BPCiDCSbIC!$A21,'IRA - Advanced Manufacturing'!$B$202:$B$212,0)),0)</f>
        <v>2.2023237048204081E-2</v>
      </c>
      <c r="J21">
        <f>IFERROR(INDEX('IRA - Advanced Manufacturing'!H$202:H$212,MATCH(BPCiDCSbIC!$A21,'IRA - Advanced Manufacturing'!$B$202:$B$212,0)),0)</f>
        <v>2.4348303036320518E-2</v>
      </c>
      <c r="K21">
        <f>IFERROR(INDEX('IRA - Advanced Manufacturing'!I$202:I$212,MATCH(BPCiDCSbIC!$A21,'IRA - Advanced Manufacturing'!$B$202:$B$212,0)),0)</f>
        <v>2.6592061403162726E-2</v>
      </c>
      <c r="L21">
        <f>IFERROR(INDEX('IRA - Advanced Manufacturing'!J$202:J$212,MATCH(BPCiDCSbIC!$A21,'IRA - Advanced Manufacturing'!$B$202:$B$212,0)),0)</f>
        <v>2.8757189555069562E-2</v>
      </c>
      <c r="M21">
        <f>IFERROR(INDEX('IRA - Advanced Manufacturing'!K$202:K$212,MATCH(BPCiDCSbIC!$A21,'IRA - Advanced Manufacturing'!$B$202:$B$212,0)),0)</f>
        <v>3.0846093311313494E-2</v>
      </c>
      <c r="N21">
        <f>IFERROR(INDEX('IRA - Advanced Manufacturing'!L$202:L$212,MATCH(BPCiDCSbIC!$A21,'IRA - Advanced Manufacturing'!$B$202:$B$212,0)),0)</f>
        <v>3.286757380507388E-2</v>
      </c>
      <c r="O21">
        <f t="shared" si="1"/>
        <v>3.286757380507388E-2</v>
      </c>
      <c r="P21">
        <f t="shared" si="2"/>
        <v>3.286757380507388E-2</v>
      </c>
      <c r="Q21">
        <f t="shared" si="2"/>
        <v>3.286757380507388E-2</v>
      </c>
      <c r="R21">
        <f t="shared" si="2"/>
        <v>3.286757380507388E-2</v>
      </c>
      <c r="S21">
        <f t="shared" si="2"/>
        <v>3.286757380507388E-2</v>
      </c>
      <c r="T21">
        <f t="shared" si="2"/>
        <v>3.286757380507388E-2</v>
      </c>
      <c r="U21">
        <f t="shared" si="2"/>
        <v>3.286757380507388E-2</v>
      </c>
      <c r="V21">
        <f t="shared" si="2"/>
        <v>3.286757380507388E-2</v>
      </c>
      <c r="W21">
        <f t="shared" si="2"/>
        <v>3.286757380507388E-2</v>
      </c>
      <c r="X21">
        <f t="shared" si="2"/>
        <v>3.286757380507388E-2</v>
      </c>
      <c r="Y21">
        <f t="shared" si="2"/>
        <v>3.286757380507388E-2</v>
      </c>
      <c r="Z21">
        <f t="shared" si="2"/>
        <v>3.286757380507388E-2</v>
      </c>
      <c r="AA21">
        <f t="shared" si="2"/>
        <v>3.286757380507388E-2</v>
      </c>
      <c r="AB21">
        <f t="shared" si="2"/>
        <v>3.286757380507388E-2</v>
      </c>
      <c r="AC21">
        <f t="shared" si="2"/>
        <v>3.286757380507388E-2</v>
      </c>
      <c r="AD21">
        <f t="shared" si="2"/>
        <v>3.286757380507388E-2</v>
      </c>
      <c r="AE21">
        <f t="shared" si="2"/>
        <v>3.286757380507388E-2</v>
      </c>
      <c r="AF21">
        <f t="shared" si="2"/>
        <v>3.286757380507388E-2</v>
      </c>
    </row>
    <row r="22" spans="1:32" x14ac:dyDescent="0.3">
      <c r="A22" s="2" t="s">
        <v>14</v>
      </c>
      <c r="B22">
        <v>0</v>
      </c>
      <c r="C22">
        <v>0</v>
      </c>
      <c r="D22">
        <v>0</v>
      </c>
      <c r="E22">
        <f>IFERROR(INDEX('IRA - Advanced Manufacturing'!C$202:C$212,MATCH(BPCiDCSbIC!$A22,'IRA - Advanced Manufacturing'!$B$202:$B$212,0)),0)</f>
        <v>2.7224323442864851E-4</v>
      </c>
      <c r="F22">
        <f>IFERROR(INDEX('IRA - Advanced Manufacturing'!D$202:D$212,MATCH(BPCiDCSbIC!$A22,'IRA - Advanced Manufacturing'!$B$202:$B$212,0)),0)</f>
        <v>5.3539863180107616E-4</v>
      </c>
      <c r="G22">
        <f>IFERROR(INDEX('IRA - Advanced Manufacturing'!E$202:E$212,MATCH(BPCiDCSbIC!$A22,'IRA - Advanced Manufacturing'!$B$202:$B$212,0)),0)</f>
        <v>6.2613989113557977E-4</v>
      </c>
      <c r="H22">
        <f>IFERROR(INDEX('IRA - Advanced Manufacturing'!F$202:F$212,MATCH(BPCiDCSbIC!$A22,'IRA - Advanced Manufacturing'!$B$202:$B$212,0)),0)</f>
        <v>7.1475185220748472E-4</v>
      </c>
      <c r="I22">
        <f>IFERROR(INDEX('IRA - Advanced Manufacturing'!G$202:G$212,MATCH(BPCiDCSbIC!$A22,'IRA - Advanced Manufacturing'!$B$202:$B$212,0)),0)</f>
        <v>8.015781568497804E-4</v>
      </c>
      <c r="J22">
        <f>IFERROR(INDEX('IRA - Advanced Manufacturing'!H$202:H$212,MATCH(BPCiDCSbIC!$A22,'IRA - Advanced Manufacturing'!$B$202:$B$212,0)),0)</f>
        <v>8.8598294281427847E-4</v>
      </c>
      <c r="K22">
        <f>IFERROR(INDEX('IRA - Advanced Manufacturing'!I$202:I$212,MATCH(BPCiDCSbIC!$A22,'IRA - Advanced Manufacturing'!$B$202:$B$212,0)),0)</f>
        <v>9.6800858584344951E-4</v>
      </c>
      <c r="L22">
        <f>IFERROR(INDEX('IRA - Advanced Manufacturing'!J$202:J$212,MATCH(BPCiDCSbIC!$A22,'IRA - Advanced Manufacturing'!$B$202:$B$212,0)),0)</f>
        <v>1.0476951666311685E-3</v>
      </c>
      <c r="M22">
        <f>IFERROR(INDEX('IRA - Advanced Manufacturing'!K$202:K$212,MATCH(BPCiDCSbIC!$A22,'IRA - Advanced Manufacturing'!$B$202:$B$212,0)),0)</f>
        <v>1.1250844571857321E-3</v>
      </c>
      <c r="N22">
        <f>IFERROR(INDEX('IRA - Advanced Manufacturing'!L$202:L$212,MATCH(BPCiDCSbIC!$A22,'IRA - Advanced Manufacturing'!$B$202:$B$212,0)),0)</f>
        <v>1.2004566837116037E-3</v>
      </c>
      <c r="O22">
        <f t="shared" si="1"/>
        <v>1.2004566837116037E-3</v>
      </c>
      <c r="P22">
        <f t="shared" si="2"/>
        <v>1.2004566837116037E-3</v>
      </c>
      <c r="Q22">
        <f t="shared" si="2"/>
        <v>1.2004566837116037E-3</v>
      </c>
      <c r="R22">
        <f t="shared" si="2"/>
        <v>1.2004566837116037E-3</v>
      </c>
      <c r="S22">
        <f t="shared" si="2"/>
        <v>1.2004566837116037E-3</v>
      </c>
      <c r="T22">
        <f t="shared" si="2"/>
        <v>1.2004566837116037E-3</v>
      </c>
      <c r="U22">
        <f t="shared" si="2"/>
        <v>1.2004566837116037E-3</v>
      </c>
      <c r="V22">
        <f t="shared" si="2"/>
        <v>1.2004566837116037E-3</v>
      </c>
      <c r="W22">
        <f t="shared" si="2"/>
        <v>1.2004566837116037E-3</v>
      </c>
      <c r="X22">
        <f t="shared" si="2"/>
        <v>1.2004566837116037E-3</v>
      </c>
      <c r="Y22">
        <f t="shared" si="2"/>
        <v>1.2004566837116037E-3</v>
      </c>
      <c r="Z22">
        <f t="shared" si="2"/>
        <v>1.2004566837116037E-3</v>
      </c>
      <c r="AA22">
        <f t="shared" si="2"/>
        <v>1.2004566837116037E-3</v>
      </c>
      <c r="AB22">
        <f t="shared" si="2"/>
        <v>1.2004566837116037E-3</v>
      </c>
      <c r="AC22">
        <f t="shared" si="2"/>
        <v>1.2004566837116037E-3</v>
      </c>
      <c r="AD22">
        <f t="shared" si="2"/>
        <v>1.2004566837116037E-3</v>
      </c>
      <c r="AE22">
        <f t="shared" si="2"/>
        <v>1.2004566837116037E-3</v>
      </c>
      <c r="AF22">
        <f t="shared" si="2"/>
        <v>1.2004566837116037E-3</v>
      </c>
    </row>
    <row r="23" spans="1:32" x14ac:dyDescent="0.3">
      <c r="A23" s="2" t="s">
        <v>15</v>
      </c>
      <c r="B23">
        <v>0</v>
      </c>
      <c r="C23">
        <v>0</v>
      </c>
      <c r="D23">
        <v>0</v>
      </c>
      <c r="E23">
        <f>IFERROR(INDEX('IRA - Advanced Manufacturing'!C$202:C$212,MATCH(BPCiDCSbIC!$A23,'IRA - Advanced Manufacturing'!$B$202:$B$212,0)),0)</f>
        <v>1.9767318415397916E-4</v>
      </c>
      <c r="F23">
        <f>IFERROR(INDEX('IRA - Advanced Manufacturing'!D$202:D$212,MATCH(BPCiDCSbIC!$A23,'IRA - Advanced Manufacturing'!$B$202:$B$212,0)),0)</f>
        <v>3.806894018278939E-4</v>
      </c>
      <c r="G23">
        <f>IFERROR(INDEX('IRA - Advanced Manufacturing'!E$202:E$212,MATCH(BPCiDCSbIC!$A23,'IRA - Advanced Manufacturing'!$B$202:$B$212,0)),0)</f>
        <v>4.3811586931008506E-4</v>
      </c>
      <c r="H23">
        <f>IFERROR(INDEX('IRA - Advanced Manufacturing'!F$202:F$212,MATCH(BPCiDCSbIC!$A23,'IRA - Advanced Manufacturing'!$B$202:$B$212,0)),0)</f>
        <v>4.9469850726158171E-4</v>
      </c>
      <c r="I23">
        <f>IFERROR(INDEX('IRA - Advanced Manufacturing'!G$202:G$212,MATCH(BPCiDCSbIC!$A23,'IRA - Advanced Manufacturing'!$B$202:$B$212,0)),0)</f>
        <v>5.5168188624654668E-4</v>
      </c>
      <c r="J23">
        <f>IFERROR(INDEX('IRA - Advanced Manufacturing'!H$202:H$212,MATCH(BPCiDCSbIC!$A23,'IRA - Advanced Manufacturing'!$B$202:$B$212,0)),0)</f>
        <v>6.0634672479387142E-4</v>
      </c>
      <c r="K23">
        <f>IFERROR(INDEX('IRA - Advanced Manufacturing'!I$202:I$212,MATCH(BPCiDCSbIC!$A23,'IRA - Advanced Manufacturing'!$B$202:$B$212,0)),0)</f>
        <v>6.5874715238334325E-4</v>
      </c>
      <c r="L23">
        <f>IFERROR(INDEX('IRA - Advanced Manufacturing'!J$202:J$212,MATCH(BPCiDCSbIC!$A23,'IRA - Advanced Manufacturing'!$B$202:$B$212,0)),0)</f>
        <v>7.0894697375645244E-4</v>
      </c>
      <c r="M23">
        <f>IFERROR(INDEX('IRA - Advanced Manufacturing'!K$202:K$212,MATCH(BPCiDCSbIC!$A23,'IRA - Advanced Manufacturing'!$B$202:$B$212,0)),0)</f>
        <v>7.5700410785151107E-4</v>
      </c>
      <c r="N23">
        <f>IFERROR(INDEX('IRA - Advanced Manufacturing'!L$202:L$212,MATCH(BPCiDCSbIC!$A23,'IRA - Advanced Manufacturing'!$B$202:$B$212,0)),0)</f>
        <v>8.032885029063408E-4</v>
      </c>
      <c r="O23">
        <f t="shared" si="1"/>
        <v>8.032885029063408E-4</v>
      </c>
      <c r="P23">
        <f t="shared" si="2"/>
        <v>8.032885029063408E-4</v>
      </c>
      <c r="Q23">
        <f t="shared" si="2"/>
        <v>8.032885029063408E-4</v>
      </c>
      <c r="R23">
        <f t="shared" si="2"/>
        <v>8.032885029063408E-4</v>
      </c>
      <c r="S23">
        <f t="shared" si="2"/>
        <v>8.032885029063408E-4</v>
      </c>
      <c r="T23">
        <f t="shared" si="2"/>
        <v>8.032885029063408E-4</v>
      </c>
      <c r="U23">
        <f t="shared" si="2"/>
        <v>8.032885029063408E-4</v>
      </c>
      <c r="V23">
        <f t="shared" si="2"/>
        <v>8.032885029063408E-4</v>
      </c>
      <c r="W23">
        <f t="shared" si="2"/>
        <v>8.032885029063408E-4</v>
      </c>
      <c r="X23">
        <f t="shared" si="2"/>
        <v>8.032885029063408E-4</v>
      </c>
      <c r="Y23">
        <f t="shared" si="2"/>
        <v>8.032885029063408E-4</v>
      </c>
      <c r="Z23">
        <f t="shared" si="2"/>
        <v>8.032885029063408E-4</v>
      </c>
      <c r="AA23">
        <f t="shared" si="2"/>
        <v>8.032885029063408E-4</v>
      </c>
      <c r="AB23">
        <f t="shared" si="2"/>
        <v>8.032885029063408E-4</v>
      </c>
      <c r="AC23">
        <f t="shared" si="2"/>
        <v>8.032885029063408E-4</v>
      </c>
      <c r="AD23">
        <f t="shared" si="2"/>
        <v>8.032885029063408E-4</v>
      </c>
      <c r="AE23">
        <f t="shared" si="2"/>
        <v>8.032885029063408E-4</v>
      </c>
      <c r="AF23">
        <f t="shared" si="2"/>
        <v>8.032885029063408E-4</v>
      </c>
    </row>
    <row r="24" spans="1:32" x14ac:dyDescent="0.3">
      <c r="A24" s="2" t="s">
        <v>16</v>
      </c>
      <c r="B24">
        <v>0</v>
      </c>
      <c r="C24">
        <v>0</v>
      </c>
      <c r="D24">
        <v>0</v>
      </c>
      <c r="E24">
        <f>IFERROR(INDEX('IRA - Advanced Manufacturing'!C$202:C$212,MATCH(BPCiDCSbIC!$A24,'IRA - Advanced Manufacturing'!$B$202:$B$212,0)),0)</f>
        <v>1.5435771629634942E-4</v>
      </c>
      <c r="F24">
        <f>IFERROR(INDEX('IRA - Advanced Manufacturing'!D$202:D$212,MATCH(BPCiDCSbIC!$A24,'IRA - Advanced Manufacturing'!$B$202:$B$212,0)),0)</f>
        <v>3.0359113084132971E-4</v>
      </c>
      <c r="G24">
        <f>IFERROR(INDEX('IRA - Advanced Manufacturing'!E$202:E$212,MATCH(BPCiDCSbIC!$A24,'IRA - Advanced Manufacturing'!$B$202:$B$212,0)),0)</f>
        <v>3.5451172929490404E-4</v>
      </c>
      <c r="H24">
        <f>IFERROR(INDEX('IRA - Advanced Manufacturing'!F$202:F$212,MATCH(BPCiDCSbIC!$A24,'IRA - Advanced Manufacturing'!$B$202:$B$212,0)),0)</f>
        <v>4.0346565022897352E-4</v>
      </c>
      <c r="I24">
        <f>IFERROR(INDEX('IRA - Advanced Manufacturing'!G$202:G$212,MATCH(BPCiDCSbIC!$A24,'IRA - Advanced Manufacturing'!$B$202:$B$212,0)),0)</f>
        <v>4.5043145481327151E-4</v>
      </c>
      <c r="J24">
        <f>IFERROR(INDEX('IRA - Advanced Manufacturing'!H$202:H$212,MATCH(BPCiDCSbIC!$A24,'IRA - Advanced Manufacturing'!$B$202:$B$212,0)),0)</f>
        <v>4.9559652455344327E-4</v>
      </c>
      <c r="K24">
        <f>IFERROR(INDEX('IRA - Advanced Manufacturing'!I$202:I$212,MATCH(BPCiDCSbIC!$A24,'IRA - Advanced Manufacturing'!$B$202:$B$212,0)),0)</f>
        <v>5.3899815966396147E-4</v>
      </c>
      <c r="L24">
        <f>IFERROR(INDEX('IRA - Advanced Manufacturing'!J$202:J$212,MATCH(BPCiDCSbIC!$A24,'IRA - Advanced Manufacturing'!$B$202:$B$212,0)),0)</f>
        <v>5.8068082115858566E-4</v>
      </c>
      <c r="M24">
        <f>IFERROR(INDEX('IRA - Advanced Manufacturing'!K$202:K$212,MATCH(BPCiDCSbIC!$A24,'IRA - Advanced Manufacturing'!$B$202:$B$212,0)),0)</f>
        <v>6.2068219661037816E-4</v>
      </c>
      <c r="N24">
        <f>IFERROR(INDEX('IRA - Advanced Manufacturing'!L$202:L$212,MATCH(BPCiDCSbIC!$A24,'IRA - Advanced Manufacturing'!$B$202:$B$212,0)),0)</f>
        <v>6.5928601196652004E-4</v>
      </c>
      <c r="O24">
        <f t="shared" si="1"/>
        <v>6.5928601196652004E-4</v>
      </c>
      <c r="P24">
        <f t="shared" si="2"/>
        <v>6.5928601196652004E-4</v>
      </c>
      <c r="Q24">
        <f t="shared" si="2"/>
        <v>6.5928601196652004E-4</v>
      </c>
      <c r="R24">
        <f t="shared" si="2"/>
        <v>6.5928601196652004E-4</v>
      </c>
      <c r="S24">
        <f t="shared" si="2"/>
        <v>6.5928601196652004E-4</v>
      </c>
      <c r="T24">
        <f t="shared" si="2"/>
        <v>6.5928601196652004E-4</v>
      </c>
      <c r="U24">
        <f t="shared" si="2"/>
        <v>6.5928601196652004E-4</v>
      </c>
      <c r="V24">
        <f t="shared" si="2"/>
        <v>6.5928601196652004E-4</v>
      </c>
      <c r="W24">
        <f t="shared" si="2"/>
        <v>6.5928601196652004E-4</v>
      </c>
      <c r="X24">
        <f t="shared" si="2"/>
        <v>6.5928601196652004E-4</v>
      </c>
      <c r="Y24">
        <f t="shared" si="2"/>
        <v>6.5928601196652004E-4</v>
      </c>
      <c r="Z24">
        <f t="shared" si="2"/>
        <v>6.5928601196652004E-4</v>
      </c>
      <c r="AA24">
        <f t="shared" si="2"/>
        <v>6.5928601196652004E-4</v>
      </c>
      <c r="AB24">
        <f t="shared" si="2"/>
        <v>6.5928601196652004E-4</v>
      </c>
      <c r="AC24">
        <f t="shared" si="2"/>
        <v>6.5928601196652004E-4</v>
      </c>
      <c r="AD24">
        <f t="shared" si="2"/>
        <v>6.5928601196652004E-4</v>
      </c>
      <c r="AE24">
        <f t="shared" si="2"/>
        <v>6.5928601196652004E-4</v>
      </c>
      <c r="AF24">
        <f t="shared" si="2"/>
        <v>6.5928601196652004E-4</v>
      </c>
    </row>
    <row r="25" spans="1:32" x14ac:dyDescent="0.3">
      <c r="A25" s="2" t="s">
        <v>17</v>
      </c>
      <c r="B25">
        <v>0</v>
      </c>
      <c r="C25">
        <v>0</v>
      </c>
      <c r="D25">
        <v>0</v>
      </c>
      <c r="E25">
        <f>IFERROR(INDEX('IRA - Advanced Manufacturing'!C$202:C$212,MATCH(BPCiDCSbIC!$A25,'IRA - Advanced Manufacturing'!$B$202:$B$212,0)),0)</f>
        <v>6.7079620977850141E-6</v>
      </c>
      <c r="F25">
        <f>IFERROR(INDEX('IRA - Advanced Manufacturing'!D$202:D$212,MATCH(BPCiDCSbIC!$A25,'IRA - Advanced Manufacturing'!$B$202:$B$212,0)),0)</f>
        <v>1.330694397139176E-5</v>
      </c>
      <c r="G25">
        <f>IFERROR(INDEX('IRA - Advanced Manufacturing'!E$202:E$212,MATCH(BPCiDCSbIC!$A25,'IRA - Advanced Manufacturing'!$B$202:$B$212,0)),0)</f>
        <v>1.5660958477603515E-5</v>
      </c>
      <c r="H25">
        <f>IFERROR(INDEX('IRA - Advanced Manufacturing'!F$202:F$212,MATCH(BPCiDCSbIC!$A25,'IRA - Advanced Manufacturing'!$B$202:$B$212,0)),0)</f>
        <v>1.7957282133274077E-5</v>
      </c>
      <c r="I25">
        <f>IFERROR(INDEX('IRA - Advanced Manufacturing'!G$202:G$212,MATCH(BPCiDCSbIC!$A25,'IRA - Advanced Manufacturing'!$B$202:$B$212,0)),0)</f>
        <v>2.0190640767081547E-5</v>
      </c>
      <c r="J25">
        <f>IFERROR(INDEX('IRA - Advanced Manufacturing'!H$202:H$212,MATCH(BPCiDCSbIC!$A25,'IRA - Advanced Manufacturing'!$B$202:$B$212,0)),0)</f>
        <v>2.2374362254939939E-5</v>
      </c>
      <c r="K25">
        <f>IFERROR(INDEX('IRA - Advanced Manufacturing'!I$202:I$212,MATCH(BPCiDCSbIC!$A25,'IRA - Advanced Manufacturing'!$B$202:$B$212,0)),0)</f>
        <v>2.4508954083124479E-5</v>
      </c>
      <c r="L25">
        <f>IFERROR(INDEX('IRA - Advanced Manufacturing'!J$202:J$212,MATCH(BPCiDCSbIC!$A25,'IRA - Advanced Manufacturing'!$B$202:$B$212,0)),0)</f>
        <v>2.6595077464275363E-5</v>
      </c>
      <c r="M25">
        <f>IFERROR(INDEX('IRA - Advanced Manufacturing'!K$202:K$212,MATCH(BPCiDCSbIC!$A25,'IRA - Advanced Manufacturing'!$B$202:$B$212,0)),0)</f>
        <v>2.8633299932634415E-5</v>
      </c>
      <c r="N25">
        <f>IFERROR(INDEX('IRA - Advanced Manufacturing'!L$202:L$212,MATCH(BPCiDCSbIC!$A25,'IRA - Advanced Manufacturing'!$B$202:$B$212,0)),0)</f>
        <v>3.0628541910049378E-5</v>
      </c>
      <c r="O25">
        <f t="shared" si="1"/>
        <v>3.0628541910049378E-5</v>
      </c>
      <c r="P25">
        <f t="shared" si="2"/>
        <v>3.0628541910049378E-5</v>
      </c>
      <c r="Q25">
        <f t="shared" si="2"/>
        <v>3.0628541910049378E-5</v>
      </c>
      <c r="R25">
        <f t="shared" si="2"/>
        <v>3.0628541910049378E-5</v>
      </c>
      <c r="S25">
        <f t="shared" si="2"/>
        <v>3.0628541910049378E-5</v>
      </c>
      <c r="T25">
        <f t="shared" si="2"/>
        <v>3.0628541910049378E-5</v>
      </c>
      <c r="U25">
        <f t="shared" si="2"/>
        <v>3.0628541910049378E-5</v>
      </c>
      <c r="V25">
        <f t="shared" si="2"/>
        <v>3.0628541910049378E-5</v>
      </c>
      <c r="W25">
        <f t="shared" si="2"/>
        <v>3.0628541910049378E-5</v>
      </c>
      <c r="X25">
        <f t="shared" si="2"/>
        <v>3.0628541910049378E-5</v>
      </c>
      <c r="Y25">
        <f t="shared" si="2"/>
        <v>3.0628541910049378E-5</v>
      </c>
      <c r="Z25">
        <f t="shared" si="2"/>
        <v>3.0628541910049378E-5</v>
      </c>
      <c r="AA25">
        <f t="shared" si="2"/>
        <v>3.0628541910049378E-5</v>
      </c>
      <c r="AB25">
        <f t="shared" si="2"/>
        <v>3.0628541910049378E-5</v>
      </c>
      <c r="AC25">
        <f t="shared" si="2"/>
        <v>3.0628541910049378E-5</v>
      </c>
      <c r="AD25">
        <f t="shared" si="2"/>
        <v>3.0628541910049378E-5</v>
      </c>
      <c r="AE25">
        <f t="shared" si="2"/>
        <v>3.0628541910049378E-5</v>
      </c>
      <c r="AF25">
        <f t="shared" si="2"/>
        <v>3.0628541910049378E-5</v>
      </c>
    </row>
    <row r="26" spans="1:32" x14ac:dyDescent="0.3">
      <c r="A26" s="2" t="s">
        <v>45</v>
      </c>
      <c r="B26">
        <v>0</v>
      </c>
      <c r="C26">
        <v>0</v>
      </c>
      <c r="D26">
        <v>0</v>
      </c>
      <c r="E26">
        <f>IFERROR(INDEX('IRA - Advanced Manufacturing'!C$202:C$212,MATCH(BPCiDCSbIC!$A26,'IRA - Advanced Manufacturing'!$B$202:$B$212,0)),0)</f>
        <v>0</v>
      </c>
      <c r="F26">
        <f>IFERROR(INDEX('IRA - Advanced Manufacturing'!D$202:D$212,MATCH(BPCiDCSbIC!$A26,'IRA - Advanced Manufacturing'!$B$202:$B$212,0)),0)</f>
        <v>0</v>
      </c>
      <c r="G26">
        <f>IFERROR(INDEX('IRA - Advanced Manufacturing'!E$202:E$212,MATCH(BPCiDCSbIC!$A26,'IRA - Advanced Manufacturing'!$B$202:$B$212,0)),0)</f>
        <v>0</v>
      </c>
      <c r="H26">
        <f>IFERROR(INDEX('IRA - Advanced Manufacturing'!F$202:F$212,MATCH(BPCiDCSbIC!$A26,'IRA - Advanced Manufacturing'!$B$202:$B$212,0)),0)</f>
        <v>0</v>
      </c>
      <c r="I26">
        <f>IFERROR(INDEX('IRA - Advanced Manufacturing'!G$202:G$212,MATCH(BPCiDCSbIC!$A26,'IRA - Advanced Manufacturing'!$B$202:$B$212,0)),0)</f>
        <v>0</v>
      </c>
      <c r="J26">
        <f>IFERROR(INDEX('IRA - Advanced Manufacturing'!H$202:H$212,MATCH(BPCiDCSbIC!$A26,'IRA - Advanced Manufacturing'!$B$202:$B$212,0)),0)</f>
        <v>0</v>
      </c>
      <c r="K26">
        <f>IFERROR(INDEX('IRA - Advanced Manufacturing'!I$202:I$212,MATCH(BPCiDCSbIC!$A26,'IRA - Advanced Manufacturing'!$B$202:$B$212,0)),0)</f>
        <v>0</v>
      </c>
      <c r="L26">
        <f>IFERROR(INDEX('IRA - Advanced Manufacturing'!J$202:J$212,MATCH(BPCiDCSbIC!$A26,'IRA - Advanced Manufacturing'!$B$202:$B$212,0)),0)</f>
        <v>0</v>
      </c>
      <c r="M26">
        <f>IFERROR(INDEX('IRA - Advanced Manufacturing'!K$202:K$212,MATCH(BPCiDCSbIC!$A26,'IRA - Advanced Manufacturing'!$B$202:$B$212,0)),0)</f>
        <v>0</v>
      </c>
      <c r="N26">
        <f>IFERROR(INDEX('IRA - Advanced Manufacturing'!L$202:L$212,MATCH(BPCiDCSbIC!$A26,'IRA - Advanced Manufacturing'!$B$202:$B$212,0)),0)</f>
        <v>0</v>
      </c>
      <c r="O26">
        <f t="shared" si="1"/>
        <v>0</v>
      </c>
      <c r="P26">
        <f t="shared" si="2"/>
        <v>0</v>
      </c>
      <c r="Q26">
        <f t="shared" si="2"/>
        <v>0</v>
      </c>
      <c r="R26">
        <f t="shared" si="2"/>
        <v>0</v>
      </c>
      <c r="S26">
        <f t="shared" si="2"/>
        <v>0</v>
      </c>
      <c r="T26">
        <f t="shared" si="2"/>
        <v>0</v>
      </c>
      <c r="U26">
        <f t="shared" si="2"/>
        <v>0</v>
      </c>
      <c r="V26">
        <f t="shared" si="2"/>
        <v>0</v>
      </c>
      <c r="W26">
        <f t="shared" si="2"/>
        <v>0</v>
      </c>
      <c r="X26">
        <f t="shared" si="2"/>
        <v>0</v>
      </c>
      <c r="Y26">
        <f t="shared" si="2"/>
        <v>0</v>
      </c>
      <c r="Z26">
        <f t="shared" si="2"/>
        <v>0</v>
      </c>
      <c r="AA26">
        <f t="shared" si="2"/>
        <v>0</v>
      </c>
      <c r="AB26">
        <f t="shared" si="2"/>
        <v>0</v>
      </c>
      <c r="AC26">
        <f t="shared" si="2"/>
        <v>0</v>
      </c>
      <c r="AD26">
        <f t="shared" si="2"/>
        <v>0</v>
      </c>
      <c r="AE26">
        <f t="shared" si="2"/>
        <v>0</v>
      </c>
      <c r="AF26">
        <f t="shared" si="2"/>
        <v>0</v>
      </c>
    </row>
    <row r="27" spans="1:32" x14ac:dyDescent="0.3">
      <c r="A27" s="2" t="s">
        <v>46</v>
      </c>
      <c r="B27">
        <v>0</v>
      </c>
      <c r="C27">
        <v>0</v>
      </c>
      <c r="D27">
        <v>0</v>
      </c>
      <c r="E27">
        <f>IFERROR(INDEX('IRA - Advanced Manufacturing'!C$202:C$212,MATCH(BPCiDCSbIC!$A27,'IRA - Advanced Manufacturing'!$B$202:$B$212,0)),0)</f>
        <v>0</v>
      </c>
      <c r="F27">
        <f>IFERROR(INDEX('IRA - Advanced Manufacturing'!D$202:D$212,MATCH(BPCiDCSbIC!$A27,'IRA - Advanced Manufacturing'!$B$202:$B$212,0)),0)</f>
        <v>0</v>
      </c>
      <c r="G27">
        <f>IFERROR(INDEX('IRA - Advanced Manufacturing'!E$202:E$212,MATCH(BPCiDCSbIC!$A27,'IRA - Advanced Manufacturing'!$B$202:$B$212,0)),0)</f>
        <v>0</v>
      </c>
      <c r="H27">
        <f>IFERROR(INDEX('IRA - Advanced Manufacturing'!F$202:F$212,MATCH(BPCiDCSbIC!$A27,'IRA - Advanced Manufacturing'!$B$202:$B$212,0)),0)</f>
        <v>0</v>
      </c>
      <c r="I27">
        <f>IFERROR(INDEX('IRA - Advanced Manufacturing'!G$202:G$212,MATCH(BPCiDCSbIC!$A27,'IRA - Advanced Manufacturing'!$B$202:$B$212,0)),0)</f>
        <v>0</v>
      </c>
      <c r="J27">
        <f>IFERROR(INDEX('IRA - Advanced Manufacturing'!H$202:H$212,MATCH(BPCiDCSbIC!$A27,'IRA - Advanced Manufacturing'!$B$202:$B$212,0)),0)</f>
        <v>0</v>
      </c>
      <c r="K27">
        <f>IFERROR(INDEX('IRA - Advanced Manufacturing'!I$202:I$212,MATCH(BPCiDCSbIC!$A27,'IRA - Advanced Manufacturing'!$B$202:$B$212,0)),0)</f>
        <v>0</v>
      </c>
      <c r="L27">
        <f>IFERROR(INDEX('IRA - Advanced Manufacturing'!J$202:J$212,MATCH(BPCiDCSbIC!$A27,'IRA - Advanced Manufacturing'!$B$202:$B$212,0)),0)</f>
        <v>0</v>
      </c>
      <c r="M27">
        <f>IFERROR(INDEX('IRA - Advanced Manufacturing'!K$202:K$212,MATCH(BPCiDCSbIC!$A27,'IRA - Advanced Manufacturing'!$B$202:$B$212,0)),0)</f>
        <v>0</v>
      </c>
      <c r="N27">
        <f>IFERROR(INDEX('IRA - Advanced Manufacturing'!L$202:L$212,MATCH(BPCiDCSbIC!$A27,'IRA - Advanced Manufacturing'!$B$202:$B$212,0)),0)</f>
        <v>0</v>
      </c>
      <c r="O27">
        <f t="shared" si="1"/>
        <v>0</v>
      </c>
      <c r="P27">
        <f t="shared" si="2"/>
        <v>0</v>
      </c>
      <c r="Q27">
        <f t="shared" si="2"/>
        <v>0</v>
      </c>
      <c r="R27">
        <f t="shared" si="2"/>
        <v>0</v>
      </c>
      <c r="S27">
        <f t="shared" si="2"/>
        <v>0</v>
      </c>
      <c r="T27">
        <f t="shared" si="2"/>
        <v>0</v>
      </c>
      <c r="U27">
        <f t="shared" si="2"/>
        <v>0</v>
      </c>
      <c r="V27">
        <f t="shared" si="2"/>
        <v>0</v>
      </c>
      <c r="W27">
        <f t="shared" si="2"/>
        <v>0</v>
      </c>
      <c r="X27">
        <f t="shared" si="2"/>
        <v>0</v>
      </c>
      <c r="Y27">
        <f t="shared" si="2"/>
        <v>0</v>
      </c>
      <c r="Z27">
        <f t="shared" si="2"/>
        <v>0</v>
      </c>
      <c r="AA27">
        <f t="shared" si="2"/>
        <v>0</v>
      </c>
      <c r="AB27">
        <f t="shared" si="2"/>
        <v>0</v>
      </c>
      <c r="AC27">
        <f t="shared" si="2"/>
        <v>0</v>
      </c>
      <c r="AD27">
        <f t="shared" si="2"/>
        <v>0</v>
      </c>
      <c r="AE27">
        <f t="shared" si="2"/>
        <v>0</v>
      </c>
      <c r="AF27">
        <f t="shared" si="2"/>
        <v>0</v>
      </c>
    </row>
    <row r="28" spans="1:32" x14ac:dyDescent="0.3">
      <c r="A28" s="2" t="s">
        <v>47</v>
      </c>
      <c r="B28">
        <v>0</v>
      </c>
      <c r="C28">
        <v>0</v>
      </c>
      <c r="D28">
        <v>0</v>
      </c>
      <c r="E28">
        <f>IFERROR(INDEX('IRA - Advanced Manufacturing'!C$202:C$212,MATCH(BPCiDCSbIC!$A28,'IRA - Advanced Manufacturing'!$B$202:$B$212,0)),0)</f>
        <v>0</v>
      </c>
      <c r="F28">
        <f>IFERROR(INDEX('IRA - Advanced Manufacturing'!D$202:D$212,MATCH(BPCiDCSbIC!$A28,'IRA - Advanced Manufacturing'!$B$202:$B$212,0)),0)</f>
        <v>0</v>
      </c>
      <c r="G28">
        <f>IFERROR(INDEX('IRA - Advanced Manufacturing'!E$202:E$212,MATCH(BPCiDCSbIC!$A28,'IRA - Advanced Manufacturing'!$B$202:$B$212,0)),0)</f>
        <v>0</v>
      </c>
      <c r="H28">
        <f>IFERROR(INDEX('IRA - Advanced Manufacturing'!F$202:F$212,MATCH(BPCiDCSbIC!$A28,'IRA - Advanced Manufacturing'!$B$202:$B$212,0)),0)</f>
        <v>0</v>
      </c>
      <c r="I28">
        <f>IFERROR(INDEX('IRA - Advanced Manufacturing'!G$202:G$212,MATCH(BPCiDCSbIC!$A28,'IRA - Advanced Manufacturing'!$B$202:$B$212,0)),0)</f>
        <v>0</v>
      </c>
      <c r="J28">
        <f>IFERROR(INDEX('IRA - Advanced Manufacturing'!H$202:H$212,MATCH(BPCiDCSbIC!$A28,'IRA - Advanced Manufacturing'!$B$202:$B$212,0)),0)</f>
        <v>0</v>
      </c>
      <c r="K28">
        <f>IFERROR(INDEX('IRA - Advanced Manufacturing'!I$202:I$212,MATCH(BPCiDCSbIC!$A28,'IRA - Advanced Manufacturing'!$B$202:$B$212,0)),0)</f>
        <v>0</v>
      </c>
      <c r="L28">
        <f>IFERROR(INDEX('IRA - Advanced Manufacturing'!J$202:J$212,MATCH(BPCiDCSbIC!$A28,'IRA - Advanced Manufacturing'!$B$202:$B$212,0)),0)</f>
        <v>0</v>
      </c>
      <c r="M28">
        <f>IFERROR(INDEX('IRA - Advanced Manufacturing'!K$202:K$212,MATCH(BPCiDCSbIC!$A28,'IRA - Advanced Manufacturing'!$B$202:$B$212,0)),0)</f>
        <v>0</v>
      </c>
      <c r="N28">
        <f>IFERROR(INDEX('IRA - Advanced Manufacturing'!L$202:L$212,MATCH(BPCiDCSbIC!$A28,'IRA - Advanced Manufacturing'!$B$202:$B$212,0)),0)</f>
        <v>0</v>
      </c>
      <c r="O28">
        <f t="shared" si="1"/>
        <v>0</v>
      </c>
      <c r="P28">
        <f t="shared" si="2"/>
        <v>0</v>
      </c>
      <c r="Q28">
        <f t="shared" si="2"/>
        <v>0</v>
      </c>
      <c r="R28">
        <f t="shared" si="2"/>
        <v>0</v>
      </c>
      <c r="S28">
        <f t="shared" si="2"/>
        <v>0</v>
      </c>
      <c r="T28">
        <f t="shared" si="2"/>
        <v>0</v>
      </c>
      <c r="U28">
        <f t="shared" si="2"/>
        <v>0</v>
      </c>
      <c r="V28">
        <f t="shared" si="2"/>
        <v>0</v>
      </c>
      <c r="W28">
        <f t="shared" si="2"/>
        <v>0</v>
      </c>
      <c r="X28">
        <f t="shared" si="2"/>
        <v>0</v>
      </c>
      <c r="Y28">
        <f t="shared" si="2"/>
        <v>0</v>
      </c>
      <c r="Z28">
        <f t="shared" si="2"/>
        <v>0</v>
      </c>
      <c r="AA28">
        <f t="shared" si="2"/>
        <v>0</v>
      </c>
      <c r="AB28">
        <f t="shared" si="2"/>
        <v>0</v>
      </c>
      <c r="AC28">
        <f t="shared" si="2"/>
        <v>0</v>
      </c>
      <c r="AD28">
        <f t="shared" si="2"/>
        <v>0</v>
      </c>
      <c r="AE28">
        <f t="shared" si="2"/>
        <v>0</v>
      </c>
      <c r="AF28">
        <f t="shared" si="2"/>
        <v>0</v>
      </c>
    </row>
    <row r="29" spans="1:32" x14ac:dyDescent="0.3">
      <c r="A29" s="2" t="s">
        <v>18</v>
      </c>
      <c r="B29">
        <v>0</v>
      </c>
      <c r="C29">
        <v>0</v>
      </c>
      <c r="D29">
        <v>0</v>
      </c>
      <c r="E29">
        <f>IFERROR(INDEX('IRA - Advanced Manufacturing'!C$202:C$212,MATCH(BPCiDCSbIC!$A29,'IRA - Advanced Manufacturing'!$B$202:$B$212,0)),0)</f>
        <v>0</v>
      </c>
      <c r="F29">
        <f>IFERROR(INDEX('IRA - Advanced Manufacturing'!D$202:D$212,MATCH(BPCiDCSbIC!$A29,'IRA - Advanced Manufacturing'!$B$202:$B$212,0)),0)</f>
        <v>0</v>
      </c>
      <c r="G29">
        <f>IFERROR(INDEX('IRA - Advanced Manufacturing'!E$202:E$212,MATCH(BPCiDCSbIC!$A29,'IRA - Advanced Manufacturing'!$B$202:$B$212,0)),0)</f>
        <v>0</v>
      </c>
      <c r="H29">
        <f>IFERROR(INDEX('IRA - Advanced Manufacturing'!F$202:F$212,MATCH(BPCiDCSbIC!$A29,'IRA - Advanced Manufacturing'!$B$202:$B$212,0)),0)</f>
        <v>0</v>
      </c>
      <c r="I29">
        <f>IFERROR(INDEX('IRA - Advanced Manufacturing'!G$202:G$212,MATCH(BPCiDCSbIC!$A29,'IRA - Advanced Manufacturing'!$B$202:$B$212,0)),0)</f>
        <v>0</v>
      </c>
      <c r="J29">
        <f>IFERROR(INDEX('IRA - Advanced Manufacturing'!H$202:H$212,MATCH(BPCiDCSbIC!$A29,'IRA - Advanced Manufacturing'!$B$202:$B$212,0)),0)</f>
        <v>0</v>
      </c>
      <c r="K29">
        <f>IFERROR(INDEX('IRA - Advanced Manufacturing'!I$202:I$212,MATCH(BPCiDCSbIC!$A29,'IRA - Advanced Manufacturing'!$B$202:$B$212,0)),0)</f>
        <v>0</v>
      </c>
      <c r="L29">
        <f>IFERROR(INDEX('IRA - Advanced Manufacturing'!J$202:J$212,MATCH(BPCiDCSbIC!$A29,'IRA - Advanced Manufacturing'!$B$202:$B$212,0)),0)</f>
        <v>0</v>
      </c>
      <c r="M29">
        <f>IFERROR(INDEX('IRA - Advanced Manufacturing'!K$202:K$212,MATCH(BPCiDCSbIC!$A29,'IRA - Advanced Manufacturing'!$B$202:$B$212,0)),0)</f>
        <v>0</v>
      </c>
      <c r="N29">
        <f>IFERROR(INDEX('IRA - Advanced Manufacturing'!L$202:L$212,MATCH(BPCiDCSbIC!$A29,'IRA - Advanced Manufacturing'!$B$202:$B$212,0)),0)</f>
        <v>0</v>
      </c>
      <c r="O29">
        <f t="shared" si="1"/>
        <v>0</v>
      </c>
      <c r="P29">
        <f t="shared" si="2"/>
        <v>0</v>
      </c>
      <c r="Q29">
        <f t="shared" si="2"/>
        <v>0</v>
      </c>
      <c r="R29">
        <f t="shared" si="2"/>
        <v>0</v>
      </c>
      <c r="S29">
        <f t="shared" si="2"/>
        <v>0</v>
      </c>
      <c r="T29">
        <f t="shared" si="2"/>
        <v>0</v>
      </c>
      <c r="U29">
        <f t="shared" si="2"/>
        <v>0</v>
      </c>
      <c r="V29">
        <f t="shared" si="2"/>
        <v>0</v>
      </c>
      <c r="W29">
        <f t="shared" si="2"/>
        <v>0</v>
      </c>
      <c r="X29">
        <f t="shared" si="2"/>
        <v>0</v>
      </c>
      <c r="Y29">
        <f t="shared" si="2"/>
        <v>0</v>
      </c>
      <c r="Z29">
        <f t="shared" si="2"/>
        <v>0</v>
      </c>
      <c r="AA29">
        <f t="shared" si="2"/>
        <v>0</v>
      </c>
      <c r="AB29">
        <f t="shared" si="2"/>
        <v>0</v>
      </c>
      <c r="AC29">
        <f t="shared" si="2"/>
        <v>0</v>
      </c>
      <c r="AD29">
        <f t="shared" si="2"/>
        <v>0</v>
      </c>
      <c r="AE29">
        <f t="shared" si="2"/>
        <v>0</v>
      </c>
      <c r="AF29">
        <f t="shared" si="2"/>
        <v>0</v>
      </c>
    </row>
    <row r="30" spans="1:32" x14ac:dyDescent="0.3">
      <c r="A30" s="2" t="s">
        <v>19</v>
      </c>
      <c r="B30">
        <v>0</v>
      </c>
      <c r="C30">
        <v>0</v>
      </c>
      <c r="D30">
        <v>0</v>
      </c>
      <c r="E30">
        <f>IFERROR(INDEX('IRA - Advanced Manufacturing'!C$202:C$212,MATCH(BPCiDCSbIC!$A30,'IRA - Advanced Manufacturing'!$B$202:$B$212,0)),0)</f>
        <v>0</v>
      </c>
      <c r="F30">
        <f>IFERROR(INDEX('IRA - Advanced Manufacturing'!D$202:D$212,MATCH(BPCiDCSbIC!$A30,'IRA - Advanced Manufacturing'!$B$202:$B$212,0)),0)</f>
        <v>0</v>
      </c>
      <c r="G30">
        <f>IFERROR(INDEX('IRA - Advanced Manufacturing'!E$202:E$212,MATCH(BPCiDCSbIC!$A30,'IRA - Advanced Manufacturing'!$B$202:$B$212,0)),0)</f>
        <v>0</v>
      </c>
      <c r="H30">
        <f>IFERROR(INDEX('IRA - Advanced Manufacturing'!F$202:F$212,MATCH(BPCiDCSbIC!$A30,'IRA - Advanced Manufacturing'!$B$202:$B$212,0)),0)</f>
        <v>0</v>
      </c>
      <c r="I30">
        <f>IFERROR(INDEX('IRA - Advanced Manufacturing'!G$202:G$212,MATCH(BPCiDCSbIC!$A30,'IRA - Advanced Manufacturing'!$B$202:$B$212,0)),0)</f>
        <v>0</v>
      </c>
      <c r="J30">
        <f>IFERROR(INDEX('IRA - Advanced Manufacturing'!H$202:H$212,MATCH(BPCiDCSbIC!$A30,'IRA - Advanced Manufacturing'!$B$202:$B$212,0)),0)</f>
        <v>0</v>
      </c>
      <c r="K30">
        <f>IFERROR(INDEX('IRA - Advanced Manufacturing'!I$202:I$212,MATCH(BPCiDCSbIC!$A30,'IRA - Advanced Manufacturing'!$B$202:$B$212,0)),0)</f>
        <v>0</v>
      </c>
      <c r="L30">
        <f>IFERROR(INDEX('IRA - Advanced Manufacturing'!J$202:J$212,MATCH(BPCiDCSbIC!$A30,'IRA - Advanced Manufacturing'!$B$202:$B$212,0)),0)</f>
        <v>0</v>
      </c>
      <c r="M30">
        <f>IFERROR(INDEX('IRA - Advanced Manufacturing'!K$202:K$212,MATCH(BPCiDCSbIC!$A30,'IRA - Advanced Manufacturing'!$B$202:$B$212,0)),0)</f>
        <v>0</v>
      </c>
      <c r="N30">
        <f>IFERROR(INDEX('IRA - Advanced Manufacturing'!L$202:L$212,MATCH(BPCiDCSbIC!$A30,'IRA - Advanced Manufacturing'!$B$202:$B$212,0)),0)</f>
        <v>0</v>
      </c>
      <c r="O30">
        <f t="shared" si="1"/>
        <v>0</v>
      </c>
      <c r="P30">
        <f t="shared" si="2"/>
        <v>0</v>
      </c>
      <c r="Q30">
        <f t="shared" si="2"/>
        <v>0</v>
      </c>
      <c r="R30">
        <f t="shared" si="2"/>
        <v>0</v>
      </c>
      <c r="S30">
        <f t="shared" si="2"/>
        <v>0</v>
      </c>
      <c r="T30">
        <f t="shared" si="2"/>
        <v>0</v>
      </c>
      <c r="U30">
        <f t="shared" si="2"/>
        <v>0</v>
      </c>
      <c r="V30">
        <f t="shared" si="2"/>
        <v>0</v>
      </c>
      <c r="W30">
        <f t="shared" si="2"/>
        <v>0</v>
      </c>
      <c r="X30">
        <f t="shared" si="2"/>
        <v>0</v>
      </c>
      <c r="Y30">
        <f t="shared" si="2"/>
        <v>0</v>
      </c>
      <c r="Z30">
        <f t="shared" si="2"/>
        <v>0</v>
      </c>
      <c r="AA30">
        <f t="shared" si="2"/>
        <v>0</v>
      </c>
      <c r="AB30">
        <f t="shared" si="2"/>
        <v>0</v>
      </c>
      <c r="AC30">
        <f t="shared" si="2"/>
        <v>0</v>
      </c>
      <c r="AD30">
        <f t="shared" si="2"/>
        <v>0</v>
      </c>
      <c r="AE30">
        <f t="shared" si="2"/>
        <v>0</v>
      </c>
      <c r="AF30">
        <f t="shared" si="2"/>
        <v>0</v>
      </c>
    </row>
    <row r="31" spans="1:32" x14ac:dyDescent="0.3">
      <c r="A31" s="2" t="s">
        <v>20</v>
      </c>
      <c r="B31">
        <v>0</v>
      </c>
      <c r="C31">
        <v>0</v>
      </c>
      <c r="D31">
        <v>0</v>
      </c>
      <c r="E31">
        <f>IFERROR(INDEX('IRA - Advanced Manufacturing'!C$202:C$212,MATCH(BPCiDCSbIC!$A31,'IRA - Advanced Manufacturing'!$B$202:$B$212,0)),0)</f>
        <v>0</v>
      </c>
      <c r="F31">
        <f>IFERROR(INDEX('IRA - Advanced Manufacturing'!D$202:D$212,MATCH(BPCiDCSbIC!$A31,'IRA - Advanced Manufacturing'!$B$202:$B$212,0)),0)</f>
        <v>0</v>
      </c>
      <c r="G31">
        <f>IFERROR(INDEX('IRA - Advanced Manufacturing'!E$202:E$212,MATCH(BPCiDCSbIC!$A31,'IRA - Advanced Manufacturing'!$B$202:$B$212,0)),0)</f>
        <v>0</v>
      </c>
      <c r="H31">
        <f>IFERROR(INDEX('IRA - Advanced Manufacturing'!F$202:F$212,MATCH(BPCiDCSbIC!$A31,'IRA - Advanced Manufacturing'!$B$202:$B$212,0)),0)</f>
        <v>0</v>
      </c>
      <c r="I31">
        <f>IFERROR(INDEX('IRA - Advanced Manufacturing'!G$202:G$212,MATCH(BPCiDCSbIC!$A31,'IRA - Advanced Manufacturing'!$B$202:$B$212,0)),0)</f>
        <v>0</v>
      </c>
      <c r="J31">
        <f>IFERROR(INDEX('IRA - Advanced Manufacturing'!H$202:H$212,MATCH(BPCiDCSbIC!$A31,'IRA - Advanced Manufacturing'!$B$202:$B$212,0)),0)</f>
        <v>0</v>
      </c>
      <c r="K31">
        <f>IFERROR(INDEX('IRA - Advanced Manufacturing'!I$202:I$212,MATCH(BPCiDCSbIC!$A31,'IRA - Advanced Manufacturing'!$B$202:$B$212,0)),0)</f>
        <v>0</v>
      </c>
      <c r="L31">
        <f>IFERROR(INDEX('IRA - Advanced Manufacturing'!J$202:J$212,MATCH(BPCiDCSbIC!$A31,'IRA - Advanced Manufacturing'!$B$202:$B$212,0)),0)</f>
        <v>0</v>
      </c>
      <c r="M31">
        <f>IFERROR(INDEX('IRA - Advanced Manufacturing'!K$202:K$212,MATCH(BPCiDCSbIC!$A31,'IRA - Advanced Manufacturing'!$B$202:$B$212,0)),0)</f>
        <v>0</v>
      </c>
      <c r="N31">
        <f>IFERROR(INDEX('IRA - Advanced Manufacturing'!L$202:L$212,MATCH(BPCiDCSbIC!$A31,'IRA - Advanced Manufacturing'!$B$202:$B$212,0)),0)</f>
        <v>0</v>
      </c>
      <c r="O31">
        <f t="shared" si="1"/>
        <v>0</v>
      </c>
      <c r="P31">
        <f t="shared" si="2"/>
        <v>0</v>
      </c>
      <c r="Q31">
        <f t="shared" si="2"/>
        <v>0</v>
      </c>
      <c r="R31">
        <f t="shared" si="2"/>
        <v>0</v>
      </c>
      <c r="S31">
        <f t="shared" si="2"/>
        <v>0</v>
      </c>
      <c r="T31">
        <f t="shared" si="2"/>
        <v>0</v>
      </c>
      <c r="U31">
        <f t="shared" si="2"/>
        <v>0</v>
      </c>
      <c r="V31">
        <f t="shared" si="2"/>
        <v>0</v>
      </c>
      <c r="W31">
        <f t="shared" si="2"/>
        <v>0</v>
      </c>
      <c r="X31">
        <f t="shared" si="2"/>
        <v>0</v>
      </c>
      <c r="Y31">
        <f t="shared" si="2"/>
        <v>0</v>
      </c>
      <c r="Z31">
        <f t="shared" si="2"/>
        <v>0</v>
      </c>
      <c r="AA31">
        <f t="shared" si="2"/>
        <v>0</v>
      </c>
      <c r="AB31">
        <f t="shared" si="2"/>
        <v>0</v>
      </c>
      <c r="AC31">
        <f t="shared" si="2"/>
        <v>0</v>
      </c>
      <c r="AD31">
        <f t="shared" si="2"/>
        <v>0</v>
      </c>
      <c r="AE31">
        <f t="shared" si="2"/>
        <v>0</v>
      </c>
      <c r="AF31">
        <f t="shared" si="2"/>
        <v>0</v>
      </c>
    </row>
    <row r="32" spans="1:32" x14ac:dyDescent="0.3">
      <c r="A32" s="2" t="s">
        <v>21</v>
      </c>
      <c r="B32">
        <v>0</v>
      </c>
      <c r="C32">
        <v>0</v>
      </c>
      <c r="D32">
        <v>0</v>
      </c>
      <c r="E32">
        <f>IFERROR(INDEX('IRA - Advanced Manufacturing'!C$202:C$212,MATCH(BPCiDCSbIC!$A32,'IRA - Advanced Manufacturing'!$B$202:$B$212,0)),0)</f>
        <v>0</v>
      </c>
      <c r="F32">
        <f>IFERROR(INDEX('IRA - Advanced Manufacturing'!D$202:D$212,MATCH(BPCiDCSbIC!$A32,'IRA - Advanced Manufacturing'!$B$202:$B$212,0)),0)</f>
        <v>0</v>
      </c>
      <c r="G32">
        <f>IFERROR(INDEX('IRA - Advanced Manufacturing'!E$202:E$212,MATCH(BPCiDCSbIC!$A32,'IRA - Advanced Manufacturing'!$B$202:$B$212,0)),0)</f>
        <v>0</v>
      </c>
      <c r="H32">
        <f>IFERROR(INDEX('IRA - Advanced Manufacturing'!F$202:F$212,MATCH(BPCiDCSbIC!$A32,'IRA - Advanced Manufacturing'!$B$202:$B$212,0)),0)</f>
        <v>0</v>
      </c>
      <c r="I32">
        <f>IFERROR(INDEX('IRA - Advanced Manufacturing'!G$202:G$212,MATCH(BPCiDCSbIC!$A32,'IRA - Advanced Manufacturing'!$B$202:$B$212,0)),0)</f>
        <v>0</v>
      </c>
      <c r="J32">
        <f>IFERROR(INDEX('IRA - Advanced Manufacturing'!H$202:H$212,MATCH(BPCiDCSbIC!$A32,'IRA - Advanced Manufacturing'!$B$202:$B$212,0)),0)</f>
        <v>0</v>
      </c>
      <c r="K32">
        <f>IFERROR(INDEX('IRA - Advanced Manufacturing'!I$202:I$212,MATCH(BPCiDCSbIC!$A32,'IRA - Advanced Manufacturing'!$B$202:$B$212,0)),0)</f>
        <v>0</v>
      </c>
      <c r="L32">
        <f>IFERROR(INDEX('IRA - Advanced Manufacturing'!J$202:J$212,MATCH(BPCiDCSbIC!$A32,'IRA - Advanced Manufacturing'!$B$202:$B$212,0)),0)</f>
        <v>0</v>
      </c>
      <c r="M32">
        <f>IFERROR(INDEX('IRA - Advanced Manufacturing'!K$202:K$212,MATCH(BPCiDCSbIC!$A32,'IRA - Advanced Manufacturing'!$B$202:$B$212,0)),0)</f>
        <v>0</v>
      </c>
      <c r="N32">
        <f>IFERROR(INDEX('IRA - Advanced Manufacturing'!L$202:L$212,MATCH(BPCiDCSbIC!$A32,'IRA - Advanced Manufacturing'!$B$202:$B$212,0)),0)</f>
        <v>0</v>
      </c>
      <c r="O32">
        <f t="shared" si="1"/>
        <v>0</v>
      </c>
      <c r="P32">
        <f t="shared" si="2"/>
        <v>0</v>
      </c>
      <c r="Q32">
        <f t="shared" si="2"/>
        <v>0</v>
      </c>
      <c r="R32">
        <f t="shared" si="2"/>
        <v>0</v>
      </c>
      <c r="S32">
        <f t="shared" si="2"/>
        <v>0</v>
      </c>
      <c r="T32">
        <f t="shared" si="2"/>
        <v>0</v>
      </c>
      <c r="U32">
        <f t="shared" si="2"/>
        <v>0</v>
      </c>
      <c r="V32">
        <f t="shared" si="2"/>
        <v>0</v>
      </c>
      <c r="W32">
        <f t="shared" si="2"/>
        <v>0</v>
      </c>
      <c r="X32">
        <f t="shared" si="2"/>
        <v>0</v>
      </c>
      <c r="Y32">
        <f t="shared" si="2"/>
        <v>0</v>
      </c>
      <c r="Z32">
        <f t="shared" si="2"/>
        <v>0</v>
      </c>
      <c r="AA32">
        <f t="shared" si="2"/>
        <v>0</v>
      </c>
      <c r="AB32">
        <f t="shared" si="2"/>
        <v>0</v>
      </c>
      <c r="AC32">
        <f t="shared" si="2"/>
        <v>0</v>
      </c>
      <c r="AD32">
        <f t="shared" si="2"/>
        <v>0</v>
      </c>
      <c r="AE32">
        <f t="shared" ref="P32:AF43" si="3">$N32</f>
        <v>0</v>
      </c>
      <c r="AF32">
        <f t="shared" si="3"/>
        <v>0</v>
      </c>
    </row>
    <row r="33" spans="1:32" x14ac:dyDescent="0.3">
      <c r="A33" s="2" t="s">
        <v>22</v>
      </c>
      <c r="B33">
        <v>0</v>
      </c>
      <c r="C33">
        <v>0</v>
      </c>
      <c r="D33">
        <v>0</v>
      </c>
      <c r="E33">
        <f>IFERROR(INDEX('IRA - Advanced Manufacturing'!C$202:C$212,MATCH(BPCiDCSbIC!$A33,'IRA - Advanced Manufacturing'!$B$202:$B$212,0)),0)</f>
        <v>0</v>
      </c>
      <c r="F33">
        <f>IFERROR(INDEX('IRA - Advanced Manufacturing'!D$202:D$212,MATCH(BPCiDCSbIC!$A33,'IRA - Advanced Manufacturing'!$B$202:$B$212,0)),0)</f>
        <v>0</v>
      </c>
      <c r="G33">
        <f>IFERROR(INDEX('IRA - Advanced Manufacturing'!E$202:E$212,MATCH(BPCiDCSbIC!$A33,'IRA - Advanced Manufacturing'!$B$202:$B$212,0)),0)</f>
        <v>0</v>
      </c>
      <c r="H33">
        <f>IFERROR(INDEX('IRA - Advanced Manufacturing'!F$202:F$212,MATCH(BPCiDCSbIC!$A33,'IRA - Advanced Manufacturing'!$B$202:$B$212,0)),0)</f>
        <v>0</v>
      </c>
      <c r="I33">
        <f>IFERROR(INDEX('IRA - Advanced Manufacturing'!G$202:G$212,MATCH(BPCiDCSbIC!$A33,'IRA - Advanced Manufacturing'!$B$202:$B$212,0)),0)</f>
        <v>0</v>
      </c>
      <c r="J33">
        <f>IFERROR(INDEX('IRA - Advanced Manufacturing'!H$202:H$212,MATCH(BPCiDCSbIC!$A33,'IRA - Advanced Manufacturing'!$B$202:$B$212,0)),0)</f>
        <v>0</v>
      </c>
      <c r="K33">
        <f>IFERROR(INDEX('IRA - Advanced Manufacturing'!I$202:I$212,MATCH(BPCiDCSbIC!$A33,'IRA - Advanced Manufacturing'!$B$202:$B$212,0)),0)</f>
        <v>0</v>
      </c>
      <c r="L33">
        <f>IFERROR(INDEX('IRA - Advanced Manufacturing'!J$202:J$212,MATCH(BPCiDCSbIC!$A33,'IRA - Advanced Manufacturing'!$B$202:$B$212,0)),0)</f>
        <v>0</v>
      </c>
      <c r="M33">
        <f>IFERROR(INDEX('IRA - Advanced Manufacturing'!K$202:K$212,MATCH(BPCiDCSbIC!$A33,'IRA - Advanced Manufacturing'!$B$202:$B$212,0)),0)</f>
        <v>0</v>
      </c>
      <c r="N33">
        <f>IFERROR(INDEX('IRA - Advanced Manufacturing'!L$202:L$212,MATCH(BPCiDCSbIC!$A33,'IRA - Advanced Manufacturing'!$B$202:$B$212,0)),0)</f>
        <v>0</v>
      </c>
      <c r="O33">
        <f t="shared" si="1"/>
        <v>0</v>
      </c>
      <c r="P33">
        <f t="shared" si="3"/>
        <v>0</v>
      </c>
      <c r="Q33">
        <f t="shared" si="3"/>
        <v>0</v>
      </c>
      <c r="R33">
        <f t="shared" si="3"/>
        <v>0</v>
      </c>
      <c r="S33">
        <f t="shared" si="3"/>
        <v>0</v>
      </c>
      <c r="T33">
        <f t="shared" si="3"/>
        <v>0</v>
      </c>
      <c r="U33">
        <f t="shared" si="3"/>
        <v>0</v>
      </c>
      <c r="V33">
        <f t="shared" si="3"/>
        <v>0</v>
      </c>
      <c r="W33">
        <f t="shared" si="3"/>
        <v>0</v>
      </c>
      <c r="X33">
        <f t="shared" si="3"/>
        <v>0</v>
      </c>
      <c r="Y33">
        <f t="shared" si="3"/>
        <v>0</v>
      </c>
      <c r="Z33">
        <f t="shared" si="3"/>
        <v>0</v>
      </c>
      <c r="AA33">
        <f t="shared" si="3"/>
        <v>0</v>
      </c>
      <c r="AB33">
        <f t="shared" si="3"/>
        <v>0</v>
      </c>
      <c r="AC33">
        <f t="shared" si="3"/>
        <v>0</v>
      </c>
      <c r="AD33">
        <f t="shared" si="3"/>
        <v>0</v>
      </c>
      <c r="AE33">
        <f t="shared" si="3"/>
        <v>0</v>
      </c>
      <c r="AF33">
        <f t="shared" si="3"/>
        <v>0</v>
      </c>
    </row>
    <row r="34" spans="1:32" x14ac:dyDescent="0.3">
      <c r="A34" s="2" t="s">
        <v>23</v>
      </c>
      <c r="B34">
        <v>0</v>
      </c>
      <c r="C34">
        <v>0</v>
      </c>
      <c r="D34">
        <v>0</v>
      </c>
      <c r="E34">
        <f>IFERROR(INDEX('IRA - Advanced Manufacturing'!C$202:C$212,MATCH(BPCiDCSbIC!$A34,'IRA - Advanced Manufacturing'!$B$202:$B$212,0)),0)</f>
        <v>0</v>
      </c>
      <c r="F34">
        <f>IFERROR(INDEX('IRA - Advanced Manufacturing'!D$202:D$212,MATCH(BPCiDCSbIC!$A34,'IRA - Advanced Manufacturing'!$B$202:$B$212,0)),0)</f>
        <v>0</v>
      </c>
      <c r="G34">
        <f>IFERROR(INDEX('IRA - Advanced Manufacturing'!E$202:E$212,MATCH(BPCiDCSbIC!$A34,'IRA - Advanced Manufacturing'!$B$202:$B$212,0)),0)</f>
        <v>0</v>
      </c>
      <c r="H34">
        <f>IFERROR(INDEX('IRA - Advanced Manufacturing'!F$202:F$212,MATCH(BPCiDCSbIC!$A34,'IRA - Advanced Manufacturing'!$B$202:$B$212,0)),0)</f>
        <v>0</v>
      </c>
      <c r="I34">
        <f>IFERROR(INDEX('IRA - Advanced Manufacturing'!G$202:G$212,MATCH(BPCiDCSbIC!$A34,'IRA - Advanced Manufacturing'!$B$202:$B$212,0)),0)</f>
        <v>0</v>
      </c>
      <c r="J34">
        <f>IFERROR(INDEX('IRA - Advanced Manufacturing'!H$202:H$212,MATCH(BPCiDCSbIC!$A34,'IRA - Advanced Manufacturing'!$B$202:$B$212,0)),0)</f>
        <v>0</v>
      </c>
      <c r="K34">
        <f>IFERROR(INDEX('IRA - Advanced Manufacturing'!I$202:I$212,MATCH(BPCiDCSbIC!$A34,'IRA - Advanced Manufacturing'!$B$202:$B$212,0)),0)</f>
        <v>0</v>
      </c>
      <c r="L34">
        <f>IFERROR(INDEX('IRA - Advanced Manufacturing'!J$202:J$212,MATCH(BPCiDCSbIC!$A34,'IRA - Advanced Manufacturing'!$B$202:$B$212,0)),0)</f>
        <v>0</v>
      </c>
      <c r="M34">
        <f>IFERROR(INDEX('IRA - Advanced Manufacturing'!K$202:K$212,MATCH(BPCiDCSbIC!$A34,'IRA - Advanced Manufacturing'!$B$202:$B$212,0)),0)</f>
        <v>0</v>
      </c>
      <c r="N34">
        <f>IFERROR(INDEX('IRA - Advanced Manufacturing'!L$202:L$212,MATCH(BPCiDCSbIC!$A34,'IRA - Advanced Manufacturing'!$B$202:$B$212,0)),0)</f>
        <v>0</v>
      </c>
      <c r="O34">
        <f t="shared" si="1"/>
        <v>0</v>
      </c>
      <c r="P34">
        <f t="shared" si="3"/>
        <v>0</v>
      </c>
      <c r="Q34">
        <f t="shared" si="3"/>
        <v>0</v>
      </c>
      <c r="R34">
        <f t="shared" si="3"/>
        <v>0</v>
      </c>
      <c r="S34">
        <f t="shared" si="3"/>
        <v>0</v>
      </c>
      <c r="T34">
        <f t="shared" si="3"/>
        <v>0</v>
      </c>
      <c r="U34">
        <f t="shared" si="3"/>
        <v>0</v>
      </c>
      <c r="V34">
        <f t="shared" si="3"/>
        <v>0</v>
      </c>
      <c r="W34">
        <f t="shared" si="3"/>
        <v>0</v>
      </c>
      <c r="X34">
        <f t="shared" si="3"/>
        <v>0</v>
      </c>
      <c r="Y34">
        <f t="shared" si="3"/>
        <v>0</v>
      </c>
      <c r="Z34">
        <f t="shared" si="3"/>
        <v>0</v>
      </c>
      <c r="AA34">
        <f t="shared" si="3"/>
        <v>0</v>
      </c>
      <c r="AB34">
        <f t="shared" si="3"/>
        <v>0</v>
      </c>
      <c r="AC34">
        <f t="shared" si="3"/>
        <v>0</v>
      </c>
      <c r="AD34">
        <f t="shared" si="3"/>
        <v>0</v>
      </c>
      <c r="AE34">
        <f t="shared" si="3"/>
        <v>0</v>
      </c>
      <c r="AF34">
        <f t="shared" si="3"/>
        <v>0</v>
      </c>
    </row>
    <row r="35" spans="1:32" x14ac:dyDescent="0.3">
      <c r="A35" s="2" t="s">
        <v>24</v>
      </c>
      <c r="B35">
        <v>0</v>
      </c>
      <c r="C35">
        <v>0</v>
      </c>
      <c r="D35">
        <v>0</v>
      </c>
      <c r="E35">
        <f>IFERROR(INDEX('IRA - Advanced Manufacturing'!C$202:C$212,MATCH(BPCiDCSbIC!$A35,'IRA - Advanced Manufacturing'!$B$202:$B$212,0)),0)</f>
        <v>0</v>
      </c>
      <c r="F35">
        <f>IFERROR(INDEX('IRA - Advanced Manufacturing'!D$202:D$212,MATCH(BPCiDCSbIC!$A35,'IRA - Advanced Manufacturing'!$B$202:$B$212,0)),0)</f>
        <v>0</v>
      </c>
      <c r="G35">
        <f>IFERROR(INDEX('IRA - Advanced Manufacturing'!E$202:E$212,MATCH(BPCiDCSbIC!$A35,'IRA - Advanced Manufacturing'!$B$202:$B$212,0)),0)</f>
        <v>0</v>
      </c>
      <c r="H35">
        <f>IFERROR(INDEX('IRA - Advanced Manufacturing'!F$202:F$212,MATCH(BPCiDCSbIC!$A35,'IRA - Advanced Manufacturing'!$B$202:$B$212,0)),0)</f>
        <v>0</v>
      </c>
      <c r="I35">
        <f>IFERROR(INDEX('IRA - Advanced Manufacturing'!G$202:G$212,MATCH(BPCiDCSbIC!$A35,'IRA - Advanced Manufacturing'!$B$202:$B$212,0)),0)</f>
        <v>0</v>
      </c>
      <c r="J35">
        <f>IFERROR(INDEX('IRA - Advanced Manufacturing'!H$202:H$212,MATCH(BPCiDCSbIC!$A35,'IRA - Advanced Manufacturing'!$B$202:$B$212,0)),0)</f>
        <v>0</v>
      </c>
      <c r="K35">
        <f>IFERROR(INDEX('IRA - Advanced Manufacturing'!I$202:I$212,MATCH(BPCiDCSbIC!$A35,'IRA - Advanced Manufacturing'!$B$202:$B$212,0)),0)</f>
        <v>0</v>
      </c>
      <c r="L35">
        <f>IFERROR(INDEX('IRA - Advanced Manufacturing'!J$202:J$212,MATCH(BPCiDCSbIC!$A35,'IRA - Advanced Manufacturing'!$B$202:$B$212,0)),0)</f>
        <v>0</v>
      </c>
      <c r="M35">
        <f>IFERROR(INDEX('IRA - Advanced Manufacturing'!K$202:K$212,MATCH(BPCiDCSbIC!$A35,'IRA - Advanced Manufacturing'!$B$202:$B$212,0)),0)</f>
        <v>0</v>
      </c>
      <c r="N35">
        <f>IFERROR(INDEX('IRA - Advanced Manufacturing'!L$202:L$212,MATCH(BPCiDCSbIC!$A35,'IRA - Advanced Manufacturing'!$B$202:$B$212,0)),0)</f>
        <v>0</v>
      </c>
      <c r="O35">
        <f t="shared" si="1"/>
        <v>0</v>
      </c>
      <c r="P35">
        <f t="shared" si="3"/>
        <v>0</v>
      </c>
      <c r="Q35">
        <f t="shared" si="3"/>
        <v>0</v>
      </c>
      <c r="R35">
        <f t="shared" si="3"/>
        <v>0</v>
      </c>
      <c r="S35">
        <f t="shared" si="3"/>
        <v>0</v>
      </c>
      <c r="T35">
        <f t="shared" si="3"/>
        <v>0</v>
      </c>
      <c r="U35">
        <f t="shared" si="3"/>
        <v>0</v>
      </c>
      <c r="V35">
        <f t="shared" si="3"/>
        <v>0</v>
      </c>
      <c r="W35">
        <f t="shared" si="3"/>
        <v>0</v>
      </c>
      <c r="X35">
        <f t="shared" si="3"/>
        <v>0</v>
      </c>
      <c r="Y35">
        <f t="shared" si="3"/>
        <v>0</v>
      </c>
      <c r="Z35">
        <f t="shared" si="3"/>
        <v>0</v>
      </c>
      <c r="AA35">
        <f t="shared" si="3"/>
        <v>0</v>
      </c>
      <c r="AB35">
        <f t="shared" si="3"/>
        <v>0</v>
      </c>
      <c r="AC35">
        <f t="shared" si="3"/>
        <v>0</v>
      </c>
      <c r="AD35">
        <f t="shared" si="3"/>
        <v>0</v>
      </c>
      <c r="AE35">
        <f t="shared" si="3"/>
        <v>0</v>
      </c>
      <c r="AF35">
        <f t="shared" si="3"/>
        <v>0</v>
      </c>
    </row>
    <row r="36" spans="1:32" x14ac:dyDescent="0.3">
      <c r="A36" s="2" t="s">
        <v>25</v>
      </c>
      <c r="B36">
        <v>0</v>
      </c>
      <c r="C36">
        <v>0</v>
      </c>
      <c r="D36">
        <v>0</v>
      </c>
      <c r="E36">
        <f>IFERROR(INDEX('IRA - Advanced Manufacturing'!C$202:C$212,MATCH(BPCiDCSbIC!$A36,'IRA - Advanced Manufacturing'!$B$202:$B$212,0)),0)</f>
        <v>0</v>
      </c>
      <c r="F36">
        <f>IFERROR(INDEX('IRA - Advanced Manufacturing'!D$202:D$212,MATCH(BPCiDCSbIC!$A36,'IRA - Advanced Manufacturing'!$B$202:$B$212,0)),0)</f>
        <v>0</v>
      </c>
      <c r="G36">
        <f>IFERROR(INDEX('IRA - Advanced Manufacturing'!E$202:E$212,MATCH(BPCiDCSbIC!$A36,'IRA - Advanced Manufacturing'!$B$202:$B$212,0)),0)</f>
        <v>0</v>
      </c>
      <c r="H36">
        <f>IFERROR(INDEX('IRA - Advanced Manufacturing'!F$202:F$212,MATCH(BPCiDCSbIC!$A36,'IRA - Advanced Manufacturing'!$B$202:$B$212,0)),0)</f>
        <v>0</v>
      </c>
      <c r="I36">
        <f>IFERROR(INDEX('IRA - Advanced Manufacturing'!G$202:G$212,MATCH(BPCiDCSbIC!$A36,'IRA - Advanced Manufacturing'!$B$202:$B$212,0)),0)</f>
        <v>0</v>
      </c>
      <c r="J36">
        <f>IFERROR(INDEX('IRA - Advanced Manufacturing'!H$202:H$212,MATCH(BPCiDCSbIC!$A36,'IRA - Advanced Manufacturing'!$B$202:$B$212,0)),0)</f>
        <v>0</v>
      </c>
      <c r="K36">
        <f>IFERROR(INDEX('IRA - Advanced Manufacturing'!I$202:I$212,MATCH(BPCiDCSbIC!$A36,'IRA - Advanced Manufacturing'!$B$202:$B$212,0)),0)</f>
        <v>0</v>
      </c>
      <c r="L36">
        <f>IFERROR(INDEX('IRA - Advanced Manufacturing'!J$202:J$212,MATCH(BPCiDCSbIC!$A36,'IRA - Advanced Manufacturing'!$B$202:$B$212,0)),0)</f>
        <v>0</v>
      </c>
      <c r="M36">
        <f>IFERROR(INDEX('IRA - Advanced Manufacturing'!K$202:K$212,MATCH(BPCiDCSbIC!$A36,'IRA - Advanced Manufacturing'!$B$202:$B$212,0)),0)</f>
        <v>0</v>
      </c>
      <c r="N36">
        <f>IFERROR(INDEX('IRA - Advanced Manufacturing'!L$202:L$212,MATCH(BPCiDCSbIC!$A36,'IRA - Advanced Manufacturing'!$B$202:$B$212,0)),0)</f>
        <v>0</v>
      </c>
      <c r="O36">
        <f t="shared" si="1"/>
        <v>0</v>
      </c>
      <c r="P36">
        <f t="shared" si="3"/>
        <v>0</v>
      </c>
      <c r="Q36">
        <f t="shared" si="3"/>
        <v>0</v>
      </c>
      <c r="R36">
        <f t="shared" si="3"/>
        <v>0</v>
      </c>
      <c r="S36">
        <f t="shared" si="3"/>
        <v>0</v>
      </c>
      <c r="T36">
        <f t="shared" si="3"/>
        <v>0</v>
      </c>
      <c r="U36">
        <f t="shared" si="3"/>
        <v>0</v>
      </c>
      <c r="V36">
        <f t="shared" si="3"/>
        <v>0</v>
      </c>
      <c r="W36">
        <f t="shared" si="3"/>
        <v>0</v>
      </c>
      <c r="X36">
        <f t="shared" si="3"/>
        <v>0</v>
      </c>
      <c r="Y36">
        <f t="shared" si="3"/>
        <v>0</v>
      </c>
      <c r="Z36">
        <f t="shared" si="3"/>
        <v>0</v>
      </c>
      <c r="AA36">
        <f t="shared" si="3"/>
        <v>0</v>
      </c>
      <c r="AB36">
        <f t="shared" si="3"/>
        <v>0</v>
      </c>
      <c r="AC36">
        <f t="shared" si="3"/>
        <v>0</v>
      </c>
      <c r="AD36">
        <f t="shared" si="3"/>
        <v>0</v>
      </c>
      <c r="AE36">
        <f t="shared" si="3"/>
        <v>0</v>
      </c>
      <c r="AF36">
        <f t="shared" si="3"/>
        <v>0</v>
      </c>
    </row>
    <row r="37" spans="1:32" x14ac:dyDescent="0.3">
      <c r="A37" s="2" t="s">
        <v>26</v>
      </c>
      <c r="B37">
        <v>0</v>
      </c>
      <c r="C37">
        <v>0</v>
      </c>
      <c r="D37">
        <v>0</v>
      </c>
      <c r="E37">
        <f>IFERROR(INDEX('IRA - Advanced Manufacturing'!C$202:C$212,MATCH(BPCiDCSbIC!$A37,'IRA - Advanced Manufacturing'!$B$202:$B$212,0)),0)</f>
        <v>0</v>
      </c>
      <c r="F37">
        <f>IFERROR(INDEX('IRA - Advanced Manufacturing'!D$202:D$212,MATCH(BPCiDCSbIC!$A37,'IRA - Advanced Manufacturing'!$B$202:$B$212,0)),0)</f>
        <v>0</v>
      </c>
      <c r="G37">
        <f>IFERROR(INDEX('IRA - Advanced Manufacturing'!E$202:E$212,MATCH(BPCiDCSbIC!$A37,'IRA - Advanced Manufacturing'!$B$202:$B$212,0)),0)</f>
        <v>0</v>
      </c>
      <c r="H37">
        <f>IFERROR(INDEX('IRA - Advanced Manufacturing'!F$202:F$212,MATCH(BPCiDCSbIC!$A37,'IRA - Advanced Manufacturing'!$B$202:$B$212,0)),0)</f>
        <v>0</v>
      </c>
      <c r="I37">
        <f>IFERROR(INDEX('IRA - Advanced Manufacturing'!G$202:G$212,MATCH(BPCiDCSbIC!$A37,'IRA - Advanced Manufacturing'!$B$202:$B$212,0)),0)</f>
        <v>0</v>
      </c>
      <c r="J37">
        <f>IFERROR(INDEX('IRA - Advanced Manufacturing'!H$202:H$212,MATCH(BPCiDCSbIC!$A37,'IRA - Advanced Manufacturing'!$B$202:$B$212,0)),0)</f>
        <v>0</v>
      </c>
      <c r="K37">
        <f>IFERROR(INDEX('IRA - Advanced Manufacturing'!I$202:I$212,MATCH(BPCiDCSbIC!$A37,'IRA - Advanced Manufacturing'!$B$202:$B$212,0)),0)</f>
        <v>0</v>
      </c>
      <c r="L37">
        <f>IFERROR(INDEX('IRA - Advanced Manufacturing'!J$202:J$212,MATCH(BPCiDCSbIC!$A37,'IRA - Advanced Manufacturing'!$B$202:$B$212,0)),0)</f>
        <v>0</v>
      </c>
      <c r="M37">
        <f>IFERROR(INDEX('IRA - Advanced Manufacturing'!K$202:K$212,MATCH(BPCiDCSbIC!$A37,'IRA - Advanced Manufacturing'!$B$202:$B$212,0)),0)</f>
        <v>0</v>
      </c>
      <c r="N37">
        <f>IFERROR(INDEX('IRA - Advanced Manufacturing'!L$202:L$212,MATCH(BPCiDCSbIC!$A37,'IRA - Advanced Manufacturing'!$B$202:$B$212,0)),0)</f>
        <v>0</v>
      </c>
      <c r="O37">
        <f t="shared" si="1"/>
        <v>0</v>
      </c>
      <c r="P37">
        <f t="shared" si="3"/>
        <v>0</v>
      </c>
      <c r="Q37">
        <f t="shared" si="3"/>
        <v>0</v>
      </c>
      <c r="R37">
        <f t="shared" si="3"/>
        <v>0</v>
      </c>
      <c r="S37">
        <f t="shared" si="3"/>
        <v>0</v>
      </c>
      <c r="T37">
        <f t="shared" si="3"/>
        <v>0</v>
      </c>
      <c r="U37">
        <f t="shared" si="3"/>
        <v>0</v>
      </c>
      <c r="V37">
        <f t="shared" si="3"/>
        <v>0</v>
      </c>
      <c r="W37">
        <f t="shared" si="3"/>
        <v>0</v>
      </c>
      <c r="X37">
        <f t="shared" si="3"/>
        <v>0</v>
      </c>
      <c r="Y37">
        <f t="shared" si="3"/>
        <v>0</v>
      </c>
      <c r="Z37">
        <f t="shared" si="3"/>
        <v>0</v>
      </c>
      <c r="AA37">
        <f t="shared" si="3"/>
        <v>0</v>
      </c>
      <c r="AB37">
        <f t="shared" si="3"/>
        <v>0</v>
      </c>
      <c r="AC37">
        <f t="shared" si="3"/>
        <v>0</v>
      </c>
      <c r="AD37">
        <f t="shared" si="3"/>
        <v>0</v>
      </c>
      <c r="AE37">
        <f t="shared" si="3"/>
        <v>0</v>
      </c>
      <c r="AF37">
        <f t="shared" si="3"/>
        <v>0</v>
      </c>
    </row>
    <row r="38" spans="1:32" x14ac:dyDescent="0.3">
      <c r="A38" s="2" t="s">
        <v>27</v>
      </c>
      <c r="B38">
        <v>0</v>
      </c>
      <c r="C38">
        <v>0</v>
      </c>
      <c r="D38">
        <v>0</v>
      </c>
      <c r="E38">
        <f>IFERROR(INDEX('IRA - Advanced Manufacturing'!C$202:C$212,MATCH(BPCiDCSbIC!$A38,'IRA - Advanced Manufacturing'!$B$202:$B$212,0)),0)</f>
        <v>0</v>
      </c>
      <c r="F38">
        <f>IFERROR(INDEX('IRA - Advanced Manufacturing'!D$202:D$212,MATCH(BPCiDCSbIC!$A38,'IRA - Advanced Manufacturing'!$B$202:$B$212,0)),0)</f>
        <v>0</v>
      </c>
      <c r="G38">
        <f>IFERROR(INDEX('IRA - Advanced Manufacturing'!E$202:E$212,MATCH(BPCiDCSbIC!$A38,'IRA - Advanced Manufacturing'!$B$202:$B$212,0)),0)</f>
        <v>0</v>
      </c>
      <c r="H38">
        <f>IFERROR(INDEX('IRA - Advanced Manufacturing'!F$202:F$212,MATCH(BPCiDCSbIC!$A38,'IRA - Advanced Manufacturing'!$B$202:$B$212,0)),0)</f>
        <v>0</v>
      </c>
      <c r="I38">
        <f>IFERROR(INDEX('IRA - Advanced Manufacturing'!G$202:G$212,MATCH(BPCiDCSbIC!$A38,'IRA - Advanced Manufacturing'!$B$202:$B$212,0)),0)</f>
        <v>0</v>
      </c>
      <c r="J38">
        <f>IFERROR(INDEX('IRA - Advanced Manufacturing'!H$202:H$212,MATCH(BPCiDCSbIC!$A38,'IRA - Advanced Manufacturing'!$B$202:$B$212,0)),0)</f>
        <v>0</v>
      </c>
      <c r="K38">
        <f>IFERROR(INDEX('IRA - Advanced Manufacturing'!I$202:I$212,MATCH(BPCiDCSbIC!$A38,'IRA - Advanced Manufacturing'!$B$202:$B$212,0)),0)</f>
        <v>0</v>
      </c>
      <c r="L38">
        <f>IFERROR(INDEX('IRA - Advanced Manufacturing'!J$202:J$212,MATCH(BPCiDCSbIC!$A38,'IRA - Advanced Manufacturing'!$B$202:$B$212,0)),0)</f>
        <v>0</v>
      </c>
      <c r="M38">
        <f>IFERROR(INDEX('IRA - Advanced Manufacturing'!K$202:K$212,MATCH(BPCiDCSbIC!$A38,'IRA - Advanced Manufacturing'!$B$202:$B$212,0)),0)</f>
        <v>0</v>
      </c>
      <c r="N38">
        <f>IFERROR(INDEX('IRA - Advanced Manufacturing'!L$202:L$212,MATCH(BPCiDCSbIC!$A38,'IRA - Advanced Manufacturing'!$B$202:$B$212,0)),0)</f>
        <v>0</v>
      </c>
      <c r="O38">
        <f t="shared" si="1"/>
        <v>0</v>
      </c>
      <c r="P38">
        <f t="shared" si="3"/>
        <v>0</v>
      </c>
      <c r="Q38">
        <f t="shared" si="3"/>
        <v>0</v>
      </c>
      <c r="R38">
        <f t="shared" si="3"/>
        <v>0</v>
      </c>
      <c r="S38">
        <f t="shared" si="3"/>
        <v>0</v>
      </c>
      <c r="T38">
        <f t="shared" si="3"/>
        <v>0</v>
      </c>
      <c r="U38">
        <f t="shared" si="3"/>
        <v>0</v>
      </c>
      <c r="V38">
        <f t="shared" si="3"/>
        <v>0</v>
      </c>
      <c r="W38">
        <f t="shared" si="3"/>
        <v>0</v>
      </c>
      <c r="X38">
        <f t="shared" si="3"/>
        <v>0</v>
      </c>
      <c r="Y38">
        <f t="shared" si="3"/>
        <v>0</v>
      </c>
      <c r="Z38">
        <f t="shared" si="3"/>
        <v>0</v>
      </c>
      <c r="AA38">
        <f t="shared" si="3"/>
        <v>0</v>
      </c>
      <c r="AB38">
        <f t="shared" si="3"/>
        <v>0</v>
      </c>
      <c r="AC38">
        <f t="shared" si="3"/>
        <v>0</v>
      </c>
      <c r="AD38">
        <f t="shared" si="3"/>
        <v>0</v>
      </c>
      <c r="AE38">
        <f t="shared" si="3"/>
        <v>0</v>
      </c>
      <c r="AF38">
        <f t="shared" si="3"/>
        <v>0</v>
      </c>
    </row>
    <row r="39" spans="1:32" x14ac:dyDescent="0.3">
      <c r="A39" s="2" t="s">
        <v>28</v>
      </c>
      <c r="B39">
        <v>0</v>
      </c>
      <c r="C39">
        <v>0</v>
      </c>
      <c r="D39">
        <v>0</v>
      </c>
      <c r="E39">
        <f>IFERROR(INDEX('IRA - Advanced Manufacturing'!C$202:C$212,MATCH(BPCiDCSbIC!$A39,'IRA - Advanced Manufacturing'!$B$202:$B$212,0)),0)</f>
        <v>0</v>
      </c>
      <c r="F39">
        <f>IFERROR(INDEX('IRA - Advanced Manufacturing'!D$202:D$212,MATCH(BPCiDCSbIC!$A39,'IRA - Advanced Manufacturing'!$B$202:$B$212,0)),0)</f>
        <v>0</v>
      </c>
      <c r="G39">
        <f>IFERROR(INDEX('IRA - Advanced Manufacturing'!E$202:E$212,MATCH(BPCiDCSbIC!$A39,'IRA - Advanced Manufacturing'!$B$202:$B$212,0)),0)</f>
        <v>0</v>
      </c>
      <c r="H39">
        <f>IFERROR(INDEX('IRA - Advanced Manufacturing'!F$202:F$212,MATCH(BPCiDCSbIC!$A39,'IRA - Advanced Manufacturing'!$B$202:$B$212,0)),0)</f>
        <v>0</v>
      </c>
      <c r="I39">
        <f>IFERROR(INDEX('IRA - Advanced Manufacturing'!G$202:G$212,MATCH(BPCiDCSbIC!$A39,'IRA - Advanced Manufacturing'!$B$202:$B$212,0)),0)</f>
        <v>0</v>
      </c>
      <c r="J39">
        <f>IFERROR(INDEX('IRA - Advanced Manufacturing'!H$202:H$212,MATCH(BPCiDCSbIC!$A39,'IRA - Advanced Manufacturing'!$B$202:$B$212,0)),0)</f>
        <v>0</v>
      </c>
      <c r="K39">
        <f>IFERROR(INDEX('IRA - Advanced Manufacturing'!I$202:I$212,MATCH(BPCiDCSbIC!$A39,'IRA - Advanced Manufacturing'!$B$202:$B$212,0)),0)</f>
        <v>0</v>
      </c>
      <c r="L39">
        <f>IFERROR(INDEX('IRA - Advanced Manufacturing'!J$202:J$212,MATCH(BPCiDCSbIC!$A39,'IRA - Advanced Manufacturing'!$B$202:$B$212,0)),0)</f>
        <v>0</v>
      </c>
      <c r="M39">
        <f>IFERROR(INDEX('IRA - Advanced Manufacturing'!K$202:K$212,MATCH(BPCiDCSbIC!$A39,'IRA - Advanced Manufacturing'!$B$202:$B$212,0)),0)</f>
        <v>0</v>
      </c>
      <c r="N39">
        <f>IFERROR(INDEX('IRA - Advanced Manufacturing'!L$202:L$212,MATCH(BPCiDCSbIC!$A39,'IRA - Advanced Manufacturing'!$B$202:$B$212,0)),0)</f>
        <v>0</v>
      </c>
      <c r="O39">
        <f t="shared" si="1"/>
        <v>0</v>
      </c>
      <c r="P39">
        <f t="shared" si="3"/>
        <v>0</v>
      </c>
      <c r="Q39">
        <f t="shared" si="3"/>
        <v>0</v>
      </c>
      <c r="R39">
        <f t="shared" si="3"/>
        <v>0</v>
      </c>
      <c r="S39">
        <f t="shared" si="3"/>
        <v>0</v>
      </c>
      <c r="T39">
        <f t="shared" si="3"/>
        <v>0</v>
      </c>
      <c r="U39">
        <f t="shared" si="3"/>
        <v>0</v>
      </c>
      <c r="V39">
        <f t="shared" si="3"/>
        <v>0</v>
      </c>
      <c r="W39">
        <f t="shared" si="3"/>
        <v>0</v>
      </c>
      <c r="X39">
        <f t="shared" si="3"/>
        <v>0</v>
      </c>
      <c r="Y39">
        <f t="shared" si="3"/>
        <v>0</v>
      </c>
      <c r="Z39">
        <f t="shared" si="3"/>
        <v>0</v>
      </c>
      <c r="AA39">
        <f t="shared" si="3"/>
        <v>0</v>
      </c>
      <c r="AB39">
        <f t="shared" si="3"/>
        <v>0</v>
      </c>
      <c r="AC39">
        <f t="shared" si="3"/>
        <v>0</v>
      </c>
      <c r="AD39">
        <f t="shared" si="3"/>
        <v>0</v>
      </c>
      <c r="AE39">
        <f t="shared" si="3"/>
        <v>0</v>
      </c>
      <c r="AF39">
        <f t="shared" si="3"/>
        <v>0</v>
      </c>
    </row>
    <row r="40" spans="1:32" x14ac:dyDescent="0.3">
      <c r="A40" s="2" t="s">
        <v>29</v>
      </c>
      <c r="B40">
        <v>0</v>
      </c>
      <c r="C40">
        <v>0</v>
      </c>
      <c r="D40">
        <v>0</v>
      </c>
      <c r="E40">
        <f>IFERROR(INDEX('IRA - Advanced Manufacturing'!C$202:C$212,MATCH(BPCiDCSbIC!$A40,'IRA - Advanced Manufacturing'!$B$202:$B$212,0)),0)</f>
        <v>0</v>
      </c>
      <c r="F40">
        <f>IFERROR(INDEX('IRA - Advanced Manufacturing'!D$202:D$212,MATCH(BPCiDCSbIC!$A40,'IRA - Advanced Manufacturing'!$B$202:$B$212,0)),0)</f>
        <v>0</v>
      </c>
      <c r="G40">
        <f>IFERROR(INDEX('IRA - Advanced Manufacturing'!E$202:E$212,MATCH(BPCiDCSbIC!$A40,'IRA - Advanced Manufacturing'!$B$202:$B$212,0)),0)</f>
        <v>0</v>
      </c>
      <c r="H40">
        <f>IFERROR(INDEX('IRA - Advanced Manufacturing'!F$202:F$212,MATCH(BPCiDCSbIC!$A40,'IRA - Advanced Manufacturing'!$B$202:$B$212,0)),0)</f>
        <v>0</v>
      </c>
      <c r="I40">
        <f>IFERROR(INDEX('IRA - Advanced Manufacturing'!G$202:G$212,MATCH(BPCiDCSbIC!$A40,'IRA - Advanced Manufacturing'!$B$202:$B$212,0)),0)</f>
        <v>0</v>
      </c>
      <c r="J40">
        <f>IFERROR(INDEX('IRA - Advanced Manufacturing'!H$202:H$212,MATCH(BPCiDCSbIC!$A40,'IRA - Advanced Manufacturing'!$B$202:$B$212,0)),0)</f>
        <v>0</v>
      </c>
      <c r="K40">
        <f>IFERROR(INDEX('IRA - Advanced Manufacturing'!I$202:I$212,MATCH(BPCiDCSbIC!$A40,'IRA - Advanced Manufacturing'!$B$202:$B$212,0)),0)</f>
        <v>0</v>
      </c>
      <c r="L40">
        <f>IFERROR(INDEX('IRA - Advanced Manufacturing'!J$202:J$212,MATCH(BPCiDCSbIC!$A40,'IRA - Advanced Manufacturing'!$B$202:$B$212,0)),0)</f>
        <v>0</v>
      </c>
      <c r="M40">
        <f>IFERROR(INDEX('IRA - Advanced Manufacturing'!K$202:K$212,MATCH(BPCiDCSbIC!$A40,'IRA - Advanced Manufacturing'!$B$202:$B$212,0)),0)</f>
        <v>0</v>
      </c>
      <c r="N40">
        <f>IFERROR(INDEX('IRA - Advanced Manufacturing'!L$202:L$212,MATCH(BPCiDCSbIC!$A40,'IRA - Advanced Manufacturing'!$B$202:$B$212,0)),0)</f>
        <v>0</v>
      </c>
      <c r="O40">
        <f t="shared" si="1"/>
        <v>0</v>
      </c>
      <c r="P40">
        <f t="shared" si="3"/>
        <v>0</v>
      </c>
      <c r="Q40">
        <f t="shared" si="3"/>
        <v>0</v>
      </c>
      <c r="R40">
        <f t="shared" si="3"/>
        <v>0</v>
      </c>
      <c r="S40">
        <f t="shared" si="3"/>
        <v>0</v>
      </c>
      <c r="T40">
        <f t="shared" si="3"/>
        <v>0</v>
      </c>
      <c r="U40">
        <f t="shared" si="3"/>
        <v>0</v>
      </c>
      <c r="V40">
        <f t="shared" si="3"/>
        <v>0</v>
      </c>
      <c r="W40">
        <f t="shared" si="3"/>
        <v>0</v>
      </c>
      <c r="X40">
        <f t="shared" si="3"/>
        <v>0</v>
      </c>
      <c r="Y40">
        <f t="shared" si="3"/>
        <v>0</v>
      </c>
      <c r="Z40">
        <f t="shared" si="3"/>
        <v>0</v>
      </c>
      <c r="AA40">
        <f t="shared" si="3"/>
        <v>0</v>
      </c>
      <c r="AB40">
        <f t="shared" si="3"/>
        <v>0</v>
      </c>
      <c r="AC40">
        <f t="shared" si="3"/>
        <v>0</v>
      </c>
      <c r="AD40">
        <f t="shared" si="3"/>
        <v>0</v>
      </c>
      <c r="AE40">
        <f t="shared" si="3"/>
        <v>0</v>
      </c>
      <c r="AF40">
        <f t="shared" si="3"/>
        <v>0</v>
      </c>
    </row>
    <row r="41" spans="1:32" x14ac:dyDescent="0.3">
      <c r="A41" s="2" t="s">
        <v>30</v>
      </c>
      <c r="B41">
        <v>0</v>
      </c>
      <c r="C41">
        <v>0</v>
      </c>
      <c r="D41">
        <v>0</v>
      </c>
      <c r="E41">
        <f>IFERROR(INDEX('IRA - Advanced Manufacturing'!C$202:C$212,MATCH(BPCiDCSbIC!$A41,'IRA - Advanced Manufacturing'!$B$202:$B$212,0)),0)</f>
        <v>0</v>
      </c>
      <c r="F41">
        <f>IFERROR(INDEX('IRA - Advanced Manufacturing'!D$202:D$212,MATCH(BPCiDCSbIC!$A41,'IRA - Advanced Manufacturing'!$B$202:$B$212,0)),0)</f>
        <v>0</v>
      </c>
      <c r="G41">
        <f>IFERROR(INDEX('IRA - Advanced Manufacturing'!E$202:E$212,MATCH(BPCiDCSbIC!$A41,'IRA - Advanced Manufacturing'!$B$202:$B$212,0)),0)</f>
        <v>0</v>
      </c>
      <c r="H41">
        <f>IFERROR(INDEX('IRA - Advanced Manufacturing'!F$202:F$212,MATCH(BPCiDCSbIC!$A41,'IRA - Advanced Manufacturing'!$B$202:$B$212,0)),0)</f>
        <v>0</v>
      </c>
      <c r="I41">
        <f>IFERROR(INDEX('IRA - Advanced Manufacturing'!G$202:G$212,MATCH(BPCiDCSbIC!$A41,'IRA - Advanced Manufacturing'!$B$202:$B$212,0)),0)</f>
        <v>0</v>
      </c>
      <c r="J41">
        <f>IFERROR(INDEX('IRA - Advanced Manufacturing'!H$202:H$212,MATCH(BPCiDCSbIC!$A41,'IRA - Advanced Manufacturing'!$B$202:$B$212,0)),0)</f>
        <v>0</v>
      </c>
      <c r="K41">
        <f>IFERROR(INDEX('IRA - Advanced Manufacturing'!I$202:I$212,MATCH(BPCiDCSbIC!$A41,'IRA - Advanced Manufacturing'!$B$202:$B$212,0)),0)</f>
        <v>0</v>
      </c>
      <c r="L41">
        <f>IFERROR(INDEX('IRA - Advanced Manufacturing'!J$202:J$212,MATCH(BPCiDCSbIC!$A41,'IRA - Advanced Manufacturing'!$B$202:$B$212,0)),0)</f>
        <v>0</v>
      </c>
      <c r="M41">
        <f>IFERROR(INDEX('IRA - Advanced Manufacturing'!K$202:K$212,MATCH(BPCiDCSbIC!$A41,'IRA - Advanced Manufacturing'!$B$202:$B$212,0)),0)</f>
        <v>0</v>
      </c>
      <c r="N41">
        <f>IFERROR(INDEX('IRA - Advanced Manufacturing'!L$202:L$212,MATCH(BPCiDCSbIC!$A41,'IRA - Advanced Manufacturing'!$B$202:$B$212,0)),0)</f>
        <v>0</v>
      </c>
      <c r="O41">
        <f t="shared" si="1"/>
        <v>0</v>
      </c>
      <c r="P41">
        <f t="shared" si="3"/>
        <v>0</v>
      </c>
      <c r="Q41">
        <f t="shared" si="3"/>
        <v>0</v>
      </c>
      <c r="R41">
        <f t="shared" si="3"/>
        <v>0</v>
      </c>
      <c r="S41">
        <f t="shared" si="3"/>
        <v>0</v>
      </c>
      <c r="T41">
        <f t="shared" si="3"/>
        <v>0</v>
      </c>
      <c r="U41">
        <f t="shared" si="3"/>
        <v>0</v>
      </c>
      <c r="V41">
        <f t="shared" si="3"/>
        <v>0</v>
      </c>
      <c r="W41">
        <f t="shared" si="3"/>
        <v>0</v>
      </c>
      <c r="X41">
        <f t="shared" si="3"/>
        <v>0</v>
      </c>
      <c r="Y41">
        <f t="shared" si="3"/>
        <v>0</v>
      </c>
      <c r="Z41">
        <f t="shared" si="3"/>
        <v>0</v>
      </c>
      <c r="AA41">
        <f t="shared" si="3"/>
        <v>0</v>
      </c>
      <c r="AB41">
        <f t="shared" si="3"/>
        <v>0</v>
      </c>
      <c r="AC41">
        <f t="shared" si="3"/>
        <v>0</v>
      </c>
      <c r="AD41">
        <f t="shared" si="3"/>
        <v>0</v>
      </c>
      <c r="AE41">
        <f t="shared" si="3"/>
        <v>0</v>
      </c>
      <c r="AF41">
        <f t="shared" si="3"/>
        <v>0</v>
      </c>
    </row>
    <row r="42" spans="1:32" x14ac:dyDescent="0.3">
      <c r="A42" s="2" t="s">
        <v>31</v>
      </c>
      <c r="B42">
        <v>0</v>
      </c>
      <c r="C42">
        <v>0</v>
      </c>
      <c r="D42">
        <v>0</v>
      </c>
      <c r="E42">
        <f>IFERROR(INDEX('IRA - Advanced Manufacturing'!C$202:C$212,MATCH(BPCiDCSbIC!$A42,'IRA - Advanced Manufacturing'!$B$202:$B$212,0)),0)</f>
        <v>0</v>
      </c>
      <c r="F42">
        <f>IFERROR(INDEX('IRA - Advanced Manufacturing'!D$202:D$212,MATCH(BPCiDCSbIC!$A42,'IRA - Advanced Manufacturing'!$B$202:$B$212,0)),0)</f>
        <v>0</v>
      </c>
      <c r="G42">
        <f>IFERROR(INDEX('IRA - Advanced Manufacturing'!E$202:E$212,MATCH(BPCiDCSbIC!$A42,'IRA - Advanced Manufacturing'!$B$202:$B$212,0)),0)</f>
        <v>0</v>
      </c>
      <c r="H42">
        <f>IFERROR(INDEX('IRA - Advanced Manufacturing'!F$202:F$212,MATCH(BPCiDCSbIC!$A42,'IRA - Advanced Manufacturing'!$B$202:$B$212,0)),0)</f>
        <v>0</v>
      </c>
      <c r="I42">
        <f>IFERROR(INDEX('IRA - Advanced Manufacturing'!G$202:G$212,MATCH(BPCiDCSbIC!$A42,'IRA - Advanced Manufacturing'!$B$202:$B$212,0)),0)</f>
        <v>0</v>
      </c>
      <c r="J42">
        <f>IFERROR(INDEX('IRA - Advanced Manufacturing'!H$202:H$212,MATCH(BPCiDCSbIC!$A42,'IRA - Advanced Manufacturing'!$B$202:$B$212,0)),0)</f>
        <v>0</v>
      </c>
      <c r="K42">
        <f>IFERROR(INDEX('IRA - Advanced Manufacturing'!I$202:I$212,MATCH(BPCiDCSbIC!$A42,'IRA - Advanced Manufacturing'!$B$202:$B$212,0)),0)</f>
        <v>0</v>
      </c>
      <c r="L42">
        <f>IFERROR(INDEX('IRA - Advanced Manufacturing'!J$202:J$212,MATCH(BPCiDCSbIC!$A42,'IRA - Advanced Manufacturing'!$B$202:$B$212,0)),0)</f>
        <v>0</v>
      </c>
      <c r="M42">
        <f>IFERROR(INDEX('IRA - Advanced Manufacturing'!K$202:K$212,MATCH(BPCiDCSbIC!$A42,'IRA - Advanced Manufacturing'!$B$202:$B$212,0)),0)</f>
        <v>0</v>
      </c>
      <c r="N42">
        <f>IFERROR(INDEX('IRA - Advanced Manufacturing'!L$202:L$212,MATCH(BPCiDCSbIC!$A42,'IRA - Advanced Manufacturing'!$B$202:$B$212,0)),0)</f>
        <v>0</v>
      </c>
      <c r="O42">
        <f t="shared" si="1"/>
        <v>0</v>
      </c>
      <c r="P42">
        <f t="shared" si="3"/>
        <v>0</v>
      </c>
      <c r="Q42">
        <f t="shared" si="3"/>
        <v>0</v>
      </c>
      <c r="R42">
        <f t="shared" si="3"/>
        <v>0</v>
      </c>
      <c r="S42">
        <f t="shared" si="3"/>
        <v>0</v>
      </c>
      <c r="T42">
        <f t="shared" si="3"/>
        <v>0</v>
      </c>
      <c r="U42">
        <f t="shared" si="3"/>
        <v>0</v>
      </c>
      <c r="V42">
        <f t="shared" si="3"/>
        <v>0</v>
      </c>
      <c r="W42">
        <f t="shared" si="3"/>
        <v>0</v>
      </c>
      <c r="X42">
        <f t="shared" si="3"/>
        <v>0</v>
      </c>
      <c r="Y42">
        <f t="shared" si="3"/>
        <v>0</v>
      </c>
      <c r="Z42">
        <f t="shared" si="3"/>
        <v>0</v>
      </c>
      <c r="AA42">
        <f t="shared" si="3"/>
        <v>0</v>
      </c>
      <c r="AB42">
        <f t="shared" si="3"/>
        <v>0</v>
      </c>
      <c r="AC42">
        <f t="shared" si="3"/>
        <v>0</v>
      </c>
      <c r="AD42">
        <f t="shared" si="3"/>
        <v>0</v>
      </c>
      <c r="AE42">
        <f t="shared" si="3"/>
        <v>0</v>
      </c>
      <c r="AF42">
        <f t="shared" si="3"/>
        <v>0</v>
      </c>
    </row>
    <row r="43" spans="1:32" x14ac:dyDescent="0.3">
      <c r="A43" s="2" t="s">
        <v>32</v>
      </c>
      <c r="B43">
        <v>0</v>
      </c>
      <c r="C43">
        <v>0</v>
      </c>
      <c r="D43">
        <v>0</v>
      </c>
      <c r="E43">
        <f>IFERROR(INDEX('IRA - Advanced Manufacturing'!C$202:C$212,MATCH(BPCiDCSbIC!$A43,'IRA - Advanced Manufacturing'!$B$202:$B$212,0)),0)</f>
        <v>0</v>
      </c>
      <c r="F43">
        <f>IFERROR(INDEX('IRA - Advanced Manufacturing'!D$202:D$212,MATCH(BPCiDCSbIC!$A43,'IRA - Advanced Manufacturing'!$B$202:$B$212,0)),0)</f>
        <v>0</v>
      </c>
      <c r="G43">
        <f>IFERROR(INDEX('IRA - Advanced Manufacturing'!E$202:E$212,MATCH(BPCiDCSbIC!$A43,'IRA - Advanced Manufacturing'!$B$202:$B$212,0)),0)</f>
        <v>0</v>
      </c>
      <c r="H43">
        <f>IFERROR(INDEX('IRA - Advanced Manufacturing'!F$202:F$212,MATCH(BPCiDCSbIC!$A43,'IRA - Advanced Manufacturing'!$B$202:$B$212,0)),0)</f>
        <v>0</v>
      </c>
      <c r="I43">
        <f>IFERROR(INDEX('IRA - Advanced Manufacturing'!G$202:G$212,MATCH(BPCiDCSbIC!$A43,'IRA - Advanced Manufacturing'!$B$202:$B$212,0)),0)</f>
        <v>0</v>
      </c>
      <c r="J43">
        <f>IFERROR(INDEX('IRA - Advanced Manufacturing'!H$202:H$212,MATCH(BPCiDCSbIC!$A43,'IRA - Advanced Manufacturing'!$B$202:$B$212,0)),0)</f>
        <v>0</v>
      </c>
      <c r="K43">
        <f>IFERROR(INDEX('IRA - Advanced Manufacturing'!I$202:I$212,MATCH(BPCiDCSbIC!$A43,'IRA - Advanced Manufacturing'!$B$202:$B$212,0)),0)</f>
        <v>0</v>
      </c>
      <c r="L43">
        <f>IFERROR(INDEX('IRA - Advanced Manufacturing'!J$202:J$212,MATCH(BPCiDCSbIC!$A43,'IRA - Advanced Manufacturing'!$B$202:$B$212,0)),0)</f>
        <v>0</v>
      </c>
      <c r="M43">
        <f>IFERROR(INDEX('IRA - Advanced Manufacturing'!K$202:K$212,MATCH(BPCiDCSbIC!$A43,'IRA - Advanced Manufacturing'!$B$202:$B$212,0)),0)</f>
        <v>0</v>
      </c>
      <c r="N43">
        <f>IFERROR(INDEX('IRA - Advanced Manufacturing'!L$202:L$212,MATCH(BPCiDCSbIC!$A43,'IRA - Advanced Manufacturing'!$B$202:$B$212,0)),0)</f>
        <v>0</v>
      </c>
      <c r="O43">
        <f t="shared" si="1"/>
        <v>0</v>
      </c>
      <c r="P43">
        <f t="shared" si="3"/>
        <v>0</v>
      </c>
      <c r="Q43">
        <f t="shared" si="3"/>
        <v>0</v>
      </c>
      <c r="R43">
        <f t="shared" si="3"/>
        <v>0</v>
      </c>
      <c r="S43">
        <f t="shared" si="3"/>
        <v>0</v>
      </c>
      <c r="T43">
        <f t="shared" si="3"/>
        <v>0</v>
      </c>
      <c r="U43">
        <f t="shared" si="3"/>
        <v>0</v>
      </c>
      <c r="V43">
        <f t="shared" si="3"/>
        <v>0</v>
      </c>
      <c r="W43">
        <f t="shared" si="3"/>
        <v>0</v>
      </c>
      <c r="X43">
        <f t="shared" si="3"/>
        <v>0</v>
      </c>
      <c r="Y43">
        <f t="shared" si="3"/>
        <v>0</v>
      </c>
      <c r="Z43">
        <f t="shared" si="3"/>
        <v>0</v>
      </c>
      <c r="AA43">
        <f t="shared" si="3"/>
        <v>0</v>
      </c>
      <c r="AB43">
        <f t="shared" si="3"/>
        <v>0</v>
      </c>
      <c r="AC43">
        <f t="shared" si="3"/>
        <v>0</v>
      </c>
      <c r="AD43">
        <f t="shared" si="3"/>
        <v>0</v>
      </c>
      <c r="AE43">
        <f t="shared" si="3"/>
        <v>0</v>
      </c>
      <c r="AF43">
        <f t="shared" si="3"/>
        <v>0</v>
      </c>
    </row>
  </sheetData>
  <phoneticPr fontId="3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E632C8-CD54-4597-B87B-FDB52661DB4B}"/>
</file>

<file path=customXml/itemProps2.xml><?xml version="1.0" encoding="utf-8"?>
<ds:datastoreItem xmlns:ds="http://schemas.openxmlformats.org/officeDocument/2006/customXml" ds:itemID="{1FCBE1CA-5729-4C8E-8646-00CAE26CF8B6}"/>
</file>

<file path=customXml/itemProps3.xml><?xml version="1.0" encoding="utf-8"?>
<ds:datastoreItem xmlns:ds="http://schemas.openxmlformats.org/officeDocument/2006/customXml" ds:itemID="{5F56AF77-655B-49B1-B204-9B01A0DFC2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vt:i4>
      </vt:variant>
    </vt:vector>
  </HeadingPairs>
  <TitlesOfParts>
    <vt:vector size="13" baseType="lpstr">
      <vt:lpstr>About</vt:lpstr>
      <vt:lpstr>BLS Table 2.7</vt:lpstr>
      <vt:lpstr>AEO23 Table 23</vt:lpstr>
      <vt:lpstr>AEO22 Table 23</vt:lpstr>
      <vt:lpstr>Data from BVAbIC</vt:lpstr>
      <vt:lpstr>GDP Forecast</vt:lpstr>
      <vt:lpstr>Rescale to Fit GDP Proj</vt:lpstr>
      <vt:lpstr>Growth Rates</vt:lpstr>
      <vt:lpstr>IRA - Advanced Manufacturing</vt:lpstr>
      <vt:lpstr>BPCiObIC</vt:lpstr>
      <vt:lpstr>BPCiDCSbIC</vt:lpstr>
      <vt:lpstr>'BLS Table 2.7'!Print_Area</vt:lpstr>
      <vt:lpstr>'BLS Table 2.7'!Print_Titles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공용계정2</cp:lastModifiedBy>
  <dcterms:created xsi:type="dcterms:W3CDTF">2019-12-02T22:49:06Z</dcterms:created>
  <dcterms:modified xsi:type="dcterms:W3CDTF">2025-02-28T23:39:35Z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