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y Francis Swint\Downloads\"/>
    </mc:Choice>
  </mc:AlternateContent>
  <xr:revisionPtr revIDLastSave="0" documentId="13_ncr:1_{AF88FF82-6D4D-4C54-9863-AD000E6C72BE}" xr6:coauthVersionLast="47" xr6:coauthVersionMax="47" xr10:uidLastSave="{00000000-0000-0000-0000-000000000000}"/>
  <bookViews>
    <workbookView xWindow="-38520" yWindow="-4770" windowWidth="38640" windowHeight="21120" tabRatio="852" activeTab="3" xr2:uid="{00000000-000D-0000-FFFF-FFFF00000000}"/>
  </bookViews>
  <sheets>
    <sheet name="About" sheetId="1" r:id="rId1"/>
    <sheet name="ISIC Crosswalk" sheetId="41" r:id="rId2"/>
    <sheet name="OECD_KOR2022dom" sheetId="37" r:id="rId3"/>
    <sheet name="Exiobase A Matrix" sheetId="39" r:id="rId4"/>
    <sheet name="Cement and Glass Split" sheetId="40" r:id="rId5"/>
    <sheet name="Reaggregated" sheetId="38" r:id="rId6"/>
    <sheet name="DLIM" sheetId="36" r:id="rId7"/>
    <sheet name="ISIC Code Meanings" sheetId="5" r:id="rId8"/>
  </sheets>
  <definedNames>
    <definedName name="CAP_CT">#REF!</definedName>
    <definedName name="CAP_GFCF">#REF!</definedName>
    <definedName name="CAP_IT">#REF!</definedName>
    <definedName name="CAP_OCon">#REF!</definedName>
    <definedName name="CAP_OMach">#REF!</definedName>
    <definedName name="CAP_Other">#REF!</definedName>
    <definedName name="CAP_QI">#REF!</definedName>
    <definedName name="CAP_RStruc">#REF!</definedName>
    <definedName name="CAP_Soft">#REF!</definedName>
    <definedName name="CAP_TraEq">#REF!</definedName>
    <definedName name="CAPIT">#REF!</definedName>
    <definedName name="CAPIT_QI">#REF!</definedName>
    <definedName name="capit_qph">#REF!</definedName>
    <definedName name="CAPNIT">#REF!</definedName>
    <definedName name="CAPNIT_QI">#REF!</definedName>
    <definedName name="capnit_qph">#REF!</definedName>
    <definedName name="FLAPPIE">#REF!</definedName>
    <definedName name="VACon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03" i="38" l="1"/>
  <c r="D203" i="38"/>
  <c r="E203" i="38"/>
  <c r="F203" i="38"/>
  <c r="G203" i="38"/>
  <c r="H203" i="38"/>
  <c r="I203" i="38"/>
  <c r="J203" i="38"/>
  <c r="K203" i="38"/>
  <c r="L203" i="38"/>
  <c r="M203" i="38"/>
  <c r="N203" i="38"/>
  <c r="O203" i="38"/>
  <c r="P203" i="38"/>
  <c r="Q203" i="38"/>
  <c r="R203" i="38"/>
  <c r="S203" i="38"/>
  <c r="T203" i="38"/>
  <c r="U203" i="38"/>
  <c r="V203" i="38"/>
  <c r="W203" i="38"/>
  <c r="X203" i="38"/>
  <c r="Y203" i="38"/>
  <c r="Z203" i="38"/>
  <c r="AA203" i="38"/>
  <c r="AB203" i="38"/>
  <c r="AC203" i="38"/>
  <c r="AD203" i="38"/>
  <c r="AE203" i="38"/>
  <c r="AF203" i="38"/>
  <c r="AG203" i="38"/>
  <c r="AH203" i="38"/>
  <c r="AI203" i="38"/>
  <c r="AJ203" i="38"/>
  <c r="AK203" i="38"/>
  <c r="AL203" i="38"/>
  <c r="AM203" i="38"/>
  <c r="AN203" i="38"/>
  <c r="AO203" i="38"/>
  <c r="AP203" i="38"/>
  <c r="AQ203" i="38"/>
  <c r="AR203" i="38"/>
  <c r="C204" i="38"/>
  <c r="D204" i="38"/>
  <c r="E204" i="38"/>
  <c r="F204" i="38"/>
  <c r="G204" i="38"/>
  <c r="H204" i="38"/>
  <c r="I204" i="38"/>
  <c r="J204" i="38"/>
  <c r="K204" i="38"/>
  <c r="L204" i="38"/>
  <c r="M204" i="38"/>
  <c r="N204" i="38"/>
  <c r="O204" i="38"/>
  <c r="P204" i="38"/>
  <c r="Q204" i="38"/>
  <c r="R204" i="38"/>
  <c r="S204" i="38"/>
  <c r="T204" i="38"/>
  <c r="U204" i="38"/>
  <c r="V204" i="38"/>
  <c r="W204" i="38"/>
  <c r="X204" i="38"/>
  <c r="Y204" i="38"/>
  <c r="Z204" i="38"/>
  <c r="AA204" i="38"/>
  <c r="AB204" i="38"/>
  <c r="AC204" i="38"/>
  <c r="AD204" i="38"/>
  <c r="AE204" i="38"/>
  <c r="AF204" i="38"/>
  <c r="AG204" i="38"/>
  <c r="AH204" i="38"/>
  <c r="AI204" i="38"/>
  <c r="AJ204" i="38"/>
  <c r="AK204" i="38"/>
  <c r="AL204" i="38"/>
  <c r="AM204" i="38"/>
  <c r="AN204" i="38"/>
  <c r="AO204" i="38"/>
  <c r="AP204" i="38"/>
  <c r="AQ204" i="38"/>
  <c r="AR204" i="38"/>
  <c r="C205" i="38"/>
  <c r="D205" i="38"/>
  <c r="E205" i="38"/>
  <c r="F205" i="38"/>
  <c r="G205" i="38"/>
  <c r="H205" i="38"/>
  <c r="I205" i="38"/>
  <c r="J205" i="38"/>
  <c r="K205" i="38"/>
  <c r="L205" i="38"/>
  <c r="M205" i="38"/>
  <c r="N205" i="38"/>
  <c r="O205" i="38"/>
  <c r="P205" i="38"/>
  <c r="Q205" i="38"/>
  <c r="R205" i="38"/>
  <c r="S205" i="38"/>
  <c r="T205" i="38"/>
  <c r="U205" i="38"/>
  <c r="V205" i="38"/>
  <c r="W205" i="38"/>
  <c r="X205" i="38"/>
  <c r="Y205" i="38"/>
  <c r="Z205" i="38"/>
  <c r="AA205" i="38"/>
  <c r="AB205" i="38"/>
  <c r="AC205" i="38"/>
  <c r="AD205" i="38"/>
  <c r="AE205" i="38"/>
  <c r="AF205" i="38"/>
  <c r="AG205" i="38"/>
  <c r="AH205" i="38"/>
  <c r="AI205" i="38"/>
  <c r="AJ205" i="38"/>
  <c r="AK205" i="38"/>
  <c r="AL205" i="38"/>
  <c r="AM205" i="38"/>
  <c r="AN205" i="38"/>
  <c r="AO205" i="38"/>
  <c r="AP205" i="38"/>
  <c r="AQ205" i="38"/>
  <c r="AR205" i="38"/>
  <c r="C206" i="38"/>
  <c r="D206" i="38"/>
  <c r="E206" i="38"/>
  <c r="F206" i="38"/>
  <c r="G206" i="38"/>
  <c r="H206" i="38"/>
  <c r="I206" i="38"/>
  <c r="J206" i="38"/>
  <c r="K206" i="38"/>
  <c r="L206" i="38"/>
  <c r="M206" i="38"/>
  <c r="N206" i="38"/>
  <c r="O206" i="38"/>
  <c r="P206" i="38"/>
  <c r="Q206" i="38"/>
  <c r="R206" i="38"/>
  <c r="S206" i="38"/>
  <c r="T206" i="38"/>
  <c r="U206" i="38"/>
  <c r="V206" i="38"/>
  <c r="W206" i="38"/>
  <c r="X206" i="38"/>
  <c r="Y206" i="38"/>
  <c r="Z206" i="38"/>
  <c r="AA206" i="38"/>
  <c r="AB206" i="38"/>
  <c r="AC206" i="38"/>
  <c r="AD206" i="38"/>
  <c r="AE206" i="38"/>
  <c r="AF206" i="38"/>
  <c r="AG206" i="38"/>
  <c r="AH206" i="38"/>
  <c r="AI206" i="38"/>
  <c r="AJ206" i="38"/>
  <c r="AK206" i="38"/>
  <c r="AL206" i="38"/>
  <c r="AM206" i="38"/>
  <c r="AN206" i="38"/>
  <c r="AO206" i="38"/>
  <c r="AP206" i="38"/>
  <c r="AQ206" i="38"/>
  <c r="AR206" i="38"/>
  <c r="C207" i="38"/>
  <c r="D207" i="38"/>
  <c r="E207" i="38"/>
  <c r="F207" i="38"/>
  <c r="G207" i="38"/>
  <c r="H207" i="38"/>
  <c r="I207" i="38"/>
  <c r="J207" i="38"/>
  <c r="K207" i="38"/>
  <c r="L207" i="38"/>
  <c r="M207" i="38"/>
  <c r="N207" i="38"/>
  <c r="O207" i="38"/>
  <c r="P207" i="38"/>
  <c r="Q207" i="38"/>
  <c r="R207" i="38"/>
  <c r="S207" i="38"/>
  <c r="T207" i="38"/>
  <c r="U207" i="38"/>
  <c r="V207" i="38"/>
  <c r="W207" i="38"/>
  <c r="X207" i="38"/>
  <c r="Y207" i="38"/>
  <c r="Z207" i="38"/>
  <c r="AA207" i="38"/>
  <c r="AB207" i="38"/>
  <c r="AC207" i="38"/>
  <c r="AD207" i="38"/>
  <c r="AE207" i="38"/>
  <c r="AF207" i="38"/>
  <c r="AG207" i="38"/>
  <c r="AH207" i="38"/>
  <c r="AI207" i="38"/>
  <c r="AJ207" i="38"/>
  <c r="AK207" i="38"/>
  <c r="AL207" i="38"/>
  <c r="AM207" i="38"/>
  <c r="AN207" i="38"/>
  <c r="AO207" i="38"/>
  <c r="AP207" i="38"/>
  <c r="AQ207" i="38"/>
  <c r="AR207" i="38"/>
  <c r="C208" i="38"/>
  <c r="D208" i="38"/>
  <c r="E208" i="38"/>
  <c r="F208" i="38"/>
  <c r="G208" i="38"/>
  <c r="H208" i="38"/>
  <c r="I208" i="38"/>
  <c r="J208" i="38"/>
  <c r="K208" i="38"/>
  <c r="L208" i="38"/>
  <c r="M208" i="38"/>
  <c r="N208" i="38"/>
  <c r="O208" i="38"/>
  <c r="P208" i="38"/>
  <c r="Q208" i="38"/>
  <c r="R208" i="38"/>
  <c r="S208" i="38"/>
  <c r="T208" i="38"/>
  <c r="U208" i="38"/>
  <c r="V208" i="38"/>
  <c r="W208" i="38"/>
  <c r="X208" i="38"/>
  <c r="Y208" i="38"/>
  <c r="Z208" i="38"/>
  <c r="AA208" i="38"/>
  <c r="AB208" i="38"/>
  <c r="AC208" i="38"/>
  <c r="AD208" i="38"/>
  <c r="AE208" i="38"/>
  <c r="AF208" i="38"/>
  <c r="AG208" i="38"/>
  <c r="AH208" i="38"/>
  <c r="AI208" i="38"/>
  <c r="AJ208" i="38"/>
  <c r="AK208" i="38"/>
  <c r="AL208" i="38"/>
  <c r="AM208" i="38"/>
  <c r="AN208" i="38"/>
  <c r="AO208" i="38"/>
  <c r="AP208" i="38"/>
  <c r="AQ208" i="38"/>
  <c r="AR208" i="38"/>
  <c r="C209" i="38"/>
  <c r="D209" i="38"/>
  <c r="E209" i="38"/>
  <c r="F209" i="38"/>
  <c r="G209" i="38"/>
  <c r="H209" i="38"/>
  <c r="I209" i="38"/>
  <c r="J209" i="38"/>
  <c r="K209" i="38"/>
  <c r="L209" i="38"/>
  <c r="M209" i="38"/>
  <c r="N209" i="38"/>
  <c r="O209" i="38"/>
  <c r="P209" i="38"/>
  <c r="Q209" i="38"/>
  <c r="R209" i="38"/>
  <c r="S209" i="38"/>
  <c r="T209" i="38"/>
  <c r="U209" i="38"/>
  <c r="V209" i="38"/>
  <c r="W209" i="38"/>
  <c r="X209" i="38"/>
  <c r="Y209" i="38"/>
  <c r="Z209" i="38"/>
  <c r="AA209" i="38"/>
  <c r="AB209" i="38"/>
  <c r="AC209" i="38"/>
  <c r="AD209" i="38"/>
  <c r="AE209" i="38"/>
  <c r="AF209" i="38"/>
  <c r="AG209" i="38"/>
  <c r="AH209" i="38"/>
  <c r="AI209" i="38"/>
  <c r="AJ209" i="38"/>
  <c r="AK209" i="38"/>
  <c r="AL209" i="38"/>
  <c r="AM209" i="38"/>
  <c r="AN209" i="38"/>
  <c r="AO209" i="38"/>
  <c r="AP209" i="38"/>
  <c r="AQ209" i="38"/>
  <c r="AR209" i="38"/>
  <c r="C210" i="38"/>
  <c r="D210" i="38"/>
  <c r="E210" i="38"/>
  <c r="F210" i="38"/>
  <c r="G210" i="38"/>
  <c r="H210" i="38"/>
  <c r="I210" i="38"/>
  <c r="J210" i="38"/>
  <c r="K210" i="38"/>
  <c r="L210" i="38"/>
  <c r="M210" i="38"/>
  <c r="N210" i="38"/>
  <c r="O210" i="38"/>
  <c r="P210" i="38"/>
  <c r="Q210" i="38"/>
  <c r="R210" i="38"/>
  <c r="S210" i="38"/>
  <c r="T210" i="38"/>
  <c r="U210" i="38"/>
  <c r="V210" i="38"/>
  <c r="W210" i="38"/>
  <c r="X210" i="38"/>
  <c r="Y210" i="38"/>
  <c r="Z210" i="38"/>
  <c r="AA210" i="38"/>
  <c r="AB210" i="38"/>
  <c r="AC210" i="38"/>
  <c r="AD210" i="38"/>
  <c r="AE210" i="38"/>
  <c r="AF210" i="38"/>
  <c r="AG210" i="38"/>
  <c r="AH210" i="38"/>
  <c r="AI210" i="38"/>
  <c r="AJ210" i="38"/>
  <c r="AK210" i="38"/>
  <c r="AL210" i="38"/>
  <c r="AM210" i="38"/>
  <c r="AN210" i="38"/>
  <c r="AO210" i="38"/>
  <c r="AP210" i="38"/>
  <c r="AQ210" i="38"/>
  <c r="AR210" i="38"/>
  <c r="C211" i="38"/>
  <c r="D211" i="38"/>
  <c r="E211" i="38"/>
  <c r="F211" i="38"/>
  <c r="G211" i="38"/>
  <c r="H211" i="38"/>
  <c r="I211" i="38"/>
  <c r="J211" i="38"/>
  <c r="K211" i="38"/>
  <c r="L211" i="38"/>
  <c r="M211" i="38"/>
  <c r="N211" i="38"/>
  <c r="O211" i="38"/>
  <c r="P211" i="38"/>
  <c r="Q211" i="38"/>
  <c r="R211" i="38"/>
  <c r="S211" i="38"/>
  <c r="T211" i="38"/>
  <c r="U211" i="38"/>
  <c r="V211" i="38"/>
  <c r="W211" i="38"/>
  <c r="X211" i="38"/>
  <c r="Y211" i="38"/>
  <c r="Z211" i="38"/>
  <c r="AA211" i="38"/>
  <c r="AB211" i="38"/>
  <c r="AC211" i="38"/>
  <c r="AD211" i="38"/>
  <c r="AE211" i="38"/>
  <c r="AF211" i="38"/>
  <c r="AG211" i="38"/>
  <c r="AH211" i="38"/>
  <c r="AI211" i="38"/>
  <c r="AJ211" i="38"/>
  <c r="AK211" i="38"/>
  <c r="AL211" i="38"/>
  <c r="AM211" i="38"/>
  <c r="AN211" i="38"/>
  <c r="AO211" i="38"/>
  <c r="AP211" i="38"/>
  <c r="AQ211" i="38"/>
  <c r="AR211" i="38"/>
  <c r="C212" i="38"/>
  <c r="D212" i="38"/>
  <c r="E212" i="38"/>
  <c r="F212" i="38"/>
  <c r="G212" i="38"/>
  <c r="H212" i="38"/>
  <c r="I212" i="38"/>
  <c r="J212" i="38"/>
  <c r="K212" i="38"/>
  <c r="L212" i="38"/>
  <c r="M212" i="38"/>
  <c r="N212" i="38"/>
  <c r="O212" i="38"/>
  <c r="P212" i="38"/>
  <c r="Q212" i="38"/>
  <c r="R212" i="38"/>
  <c r="S212" i="38"/>
  <c r="T212" i="38"/>
  <c r="U212" i="38"/>
  <c r="V212" i="38"/>
  <c r="W212" i="38"/>
  <c r="X212" i="38"/>
  <c r="Y212" i="38"/>
  <c r="Z212" i="38"/>
  <c r="AA212" i="38"/>
  <c r="AB212" i="38"/>
  <c r="AC212" i="38"/>
  <c r="AD212" i="38"/>
  <c r="AE212" i="38"/>
  <c r="AF212" i="38"/>
  <c r="AG212" i="38"/>
  <c r="AH212" i="38"/>
  <c r="AI212" i="38"/>
  <c r="AJ212" i="38"/>
  <c r="AK212" i="38"/>
  <c r="AL212" i="38"/>
  <c r="AM212" i="38"/>
  <c r="AN212" i="38"/>
  <c r="AO212" i="38"/>
  <c r="AP212" i="38"/>
  <c r="AQ212" i="38"/>
  <c r="AR212" i="38"/>
  <c r="C213" i="38"/>
  <c r="D213" i="38"/>
  <c r="E213" i="38"/>
  <c r="F213" i="38"/>
  <c r="G213" i="38"/>
  <c r="H213" i="38"/>
  <c r="I213" i="38"/>
  <c r="J213" i="38"/>
  <c r="K213" i="38"/>
  <c r="L213" i="38"/>
  <c r="M213" i="38"/>
  <c r="N213" i="38"/>
  <c r="O213" i="38"/>
  <c r="P213" i="38"/>
  <c r="Q213" i="38"/>
  <c r="R213" i="38"/>
  <c r="S213" i="38"/>
  <c r="T213" i="38"/>
  <c r="U213" i="38"/>
  <c r="V213" i="38"/>
  <c r="W213" i="38"/>
  <c r="X213" i="38"/>
  <c r="Y213" i="38"/>
  <c r="Z213" i="38"/>
  <c r="AA213" i="38"/>
  <c r="AB213" i="38"/>
  <c r="AC213" i="38"/>
  <c r="AD213" i="38"/>
  <c r="AE213" i="38"/>
  <c r="AF213" i="38"/>
  <c r="AG213" i="38"/>
  <c r="AH213" i="38"/>
  <c r="AI213" i="38"/>
  <c r="AJ213" i="38"/>
  <c r="AK213" i="38"/>
  <c r="AL213" i="38"/>
  <c r="AM213" i="38"/>
  <c r="AN213" i="38"/>
  <c r="AO213" i="38"/>
  <c r="AP213" i="38"/>
  <c r="AQ213" i="38"/>
  <c r="AR213" i="38"/>
  <c r="C214" i="38"/>
  <c r="D214" i="38"/>
  <c r="E214" i="38"/>
  <c r="F214" i="38"/>
  <c r="G214" i="38"/>
  <c r="H214" i="38"/>
  <c r="I214" i="38"/>
  <c r="J214" i="38"/>
  <c r="K214" i="38"/>
  <c r="L214" i="38"/>
  <c r="M214" i="38"/>
  <c r="N214" i="38"/>
  <c r="O214" i="38"/>
  <c r="P214" i="38"/>
  <c r="Q214" i="38"/>
  <c r="R214" i="38"/>
  <c r="S214" i="38"/>
  <c r="T214" i="38"/>
  <c r="U214" i="38"/>
  <c r="V214" i="38"/>
  <c r="W214" i="38"/>
  <c r="X214" i="38"/>
  <c r="Y214" i="38"/>
  <c r="Z214" i="38"/>
  <c r="AA214" i="38"/>
  <c r="AB214" i="38"/>
  <c r="AC214" i="38"/>
  <c r="AD214" i="38"/>
  <c r="AE214" i="38"/>
  <c r="AF214" i="38"/>
  <c r="AG214" i="38"/>
  <c r="AH214" i="38"/>
  <c r="AI214" i="38"/>
  <c r="AJ214" i="38"/>
  <c r="AK214" i="38"/>
  <c r="AL214" i="38"/>
  <c r="AM214" i="38"/>
  <c r="AN214" i="38"/>
  <c r="AO214" i="38"/>
  <c r="AP214" i="38"/>
  <c r="AQ214" i="38"/>
  <c r="AR214" i="38"/>
  <c r="C215" i="38"/>
  <c r="D215" i="38"/>
  <c r="E215" i="38"/>
  <c r="F215" i="38"/>
  <c r="G215" i="38"/>
  <c r="H215" i="38"/>
  <c r="I215" i="38"/>
  <c r="J215" i="38"/>
  <c r="K215" i="38"/>
  <c r="L215" i="38"/>
  <c r="M215" i="38"/>
  <c r="N215" i="38"/>
  <c r="O215" i="38"/>
  <c r="P215" i="38"/>
  <c r="Q215" i="38"/>
  <c r="R215" i="38"/>
  <c r="S215" i="38"/>
  <c r="T215" i="38"/>
  <c r="U215" i="38"/>
  <c r="V215" i="38"/>
  <c r="W215" i="38"/>
  <c r="X215" i="38"/>
  <c r="Y215" i="38"/>
  <c r="Z215" i="38"/>
  <c r="AA215" i="38"/>
  <c r="AB215" i="38"/>
  <c r="AC215" i="38"/>
  <c r="AD215" i="38"/>
  <c r="AE215" i="38"/>
  <c r="AF215" i="38"/>
  <c r="AG215" i="38"/>
  <c r="AH215" i="38"/>
  <c r="AI215" i="38"/>
  <c r="AJ215" i="38"/>
  <c r="AK215" i="38"/>
  <c r="AL215" i="38"/>
  <c r="AM215" i="38"/>
  <c r="AN215" i="38"/>
  <c r="AO215" i="38"/>
  <c r="AP215" i="38"/>
  <c r="AQ215" i="38"/>
  <c r="AR215" i="38"/>
  <c r="C216" i="38"/>
  <c r="D216" i="38"/>
  <c r="E216" i="38"/>
  <c r="F216" i="38"/>
  <c r="G216" i="38"/>
  <c r="H216" i="38"/>
  <c r="I216" i="38"/>
  <c r="J216" i="38"/>
  <c r="K216" i="38"/>
  <c r="L216" i="38"/>
  <c r="M216" i="38"/>
  <c r="N216" i="38"/>
  <c r="O216" i="38"/>
  <c r="P216" i="38"/>
  <c r="Q216" i="38"/>
  <c r="R216" i="38"/>
  <c r="S216" i="38"/>
  <c r="T216" i="38"/>
  <c r="U216" i="38"/>
  <c r="V216" i="38"/>
  <c r="W216" i="38"/>
  <c r="X216" i="38"/>
  <c r="Y216" i="38"/>
  <c r="Z216" i="38"/>
  <c r="AA216" i="38"/>
  <c r="AB216" i="38"/>
  <c r="AC216" i="38"/>
  <c r="AD216" i="38"/>
  <c r="AE216" i="38"/>
  <c r="AF216" i="38"/>
  <c r="AG216" i="38"/>
  <c r="AH216" i="38"/>
  <c r="AI216" i="38"/>
  <c r="AJ216" i="38"/>
  <c r="AK216" i="38"/>
  <c r="AL216" i="38"/>
  <c r="AM216" i="38"/>
  <c r="AN216" i="38"/>
  <c r="AO216" i="38"/>
  <c r="AP216" i="38"/>
  <c r="AQ216" i="38"/>
  <c r="AR216" i="38"/>
  <c r="C217" i="38"/>
  <c r="D217" i="38"/>
  <c r="E217" i="38"/>
  <c r="F217" i="38"/>
  <c r="G217" i="38"/>
  <c r="H217" i="38"/>
  <c r="I217" i="38"/>
  <c r="J217" i="38"/>
  <c r="K217" i="38"/>
  <c r="L217" i="38"/>
  <c r="M217" i="38"/>
  <c r="N217" i="38"/>
  <c r="O217" i="38"/>
  <c r="P217" i="38"/>
  <c r="Q217" i="38"/>
  <c r="R217" i="38"/>
  <c r="S217" i="38"/>
  <c r="T217" i="38"/>
  <c r="U217" i="38"/>
  <c r="V217" i="38"/>
  <c r="W217" i="38"/>
  <c r="X217" i="38"/>
  <c r="Y217" i="38"/>
  <c r="Z217" i="38"/>
  <c r="AA217" i="38"/>
  <c r="AB217" i="38"/>
  <c r="AC217" i="38"/>
  <c r="AD217" i="38"/>
  <c r="AE217" i="38"/>
  <c r="AF217" i="38"/>
  <c r="AG217" i="38"/>
  <c r="AH217" i="38"/>
  <c r="AI217" i="38"/>
  <c r="AJ217" i="38"/>
  <c r="AK217" i="38"/>
  <c r="AL217" i="38"/>
  <c r="AM217" i="38"/>
  <c r="AN217" i="38"/>
  <c r="AO217" i="38"/>
  <c r="AP217" i="38"/>
  <c r="AQ217" i="38"/>
  <c r="AR217" i="38"/>
  <c r="C218" i="38"/>
  <c r="D218" i="38"/>
  <c r="E218" i="38"/>
  <c r="F218" i="38"/>
  <c r="G218" i="38"/>
  <c r="H218" i="38"/>
  <c r="I218" i="38"/>
  <c r="J218" i="38"/>
  <c r="K218" i="38"/>
  <c r="L218" i="38"/>
  <c r="M218" i="38"/>
  <c r="N218" i="38"/>
  <c r="O218" i="38"/>
  <c r="P218" i="38"/>
  <c r="Q218" i="38"/>
  <c r="R218" i="38"/>
  <c r="S218" i="38"/>
  <c r="T218" i="38"/>
  <c r="U218" i="38"/>
  <c r="V218" i="38"/>
  <c r="W218" i="38"/>
  <c r="X218" i="38"/>
  <c r="Y218" i="38"/>
  <c r="Z218" i="38"/>
  <c r="AA218" i="38"/>
  <c r="AB218" i="38"/>
  <c r="AC218" i="38"/>
  <c r="AD218" i="38"/>
  <c r="AE218" i="38"/>
  <c r="AF218" i="38"/>
  <c r="AG218" i="38"/>
  <c r="AH218" i="38"/>
  <c r="AI218" i="38"/>
  <c r="AJ218" i="38"/>
  <c r="AK218" i="38"/>
  <c r="AL218" i="38"/>
  <c r="AM218" i="38"/>
  <c r="AN218" i="38"/>
  <c r="AO218" i="38"/>
  <c r="AP218" i="38"/>
  <c r="AQ218" i="38"/>
  <c r="AR218" i="38"/>
  <c r="C219" i="38"/>
  <c r="D219" i="38"/>
  <c r="E219" i="38"/>
  <c r="F219" i="38"/>
  <c r="G219" i="38"/>
  <c r="H219" i="38"/>
  <c r="I219" i="38"/>
  <c r="J219" i="38"/>
  <c r="K219" i="38"/>
  <c r="L219" i="38"/>
  <c r="M219" i="38"/>
  <c r="N219" i="38"/>
  <c r="O219" i="38"/>
  <c r="P219" i="38"/>
  <c r="Q219" i="38"/>
  <c r="R219" i="38"/>
  <c r="S219" i="38"/>
  <c r="T219" i="38"/>
  <c r="U219" i="38"/>
  <c r="V219" i="38"/>
  <c r="W219" i="38"/>
  <c r="X219" i="38"/>
  <c r="Y219" i="38"/>
  <c r="Z219" i="38"/>
  <c r="AA219" i="38"/>
  <c r="AB219" i="38"/>
  <c r="AC219" i="38"/>
  <c r="AD219" i="38"/>
  <c r="AE219" i="38"/>
  <c r="AF219" i="38"/>
  <c r="AG219" i="38"/>
  <c r="AH219" i="38"/>
  <c r="AI219" i="38"/>
  <c r="AJ219" i="38"/>
  <c r="AK219" i="38"/>
  <c r="AL219" i="38"/>
  <c r="AM219" i="38"/>
  <c r="AN219" i="38"/>
  <c r="AO219" i="38"/>
  <c r="AP219" i="38"/>
  <c r="AQ219" i="38"/>
  <c r="AR219" i="38"/>
  <c r="C220" i="38"/>
  <c r="D220" i="38"/>
  <c r="E220" i="38"/>
  <c r="F220" i="38"/>
  <c r="G220" i="38"/>
  <c r="H220" i="38"/>
  <c r="I220" i="38"/>
  <c r="J220" i="38"/>
  <c r="K220" i="38"/>
  <c r="L220" i="38"/>
  <c r="M220" i="38"/>
  <c r="N220" i="38"/>
  <c r="O220" i="38"/>
  <c r="P220" i="38"/>
  <c r="Q220" i="38"/>
  <c r="R220" i="38"/>
  <c r="S220" i="38"/>
  <c r="T220" i="38"/>
  <c r="U220" i="38"/>
  <c r="V220" i="38"/>
  <c r="W220" i="38"/>
  <c r="X220" i="38"/>
  <c r="Y220" i="38"/>
  <c r="Z220" i="38"/>
  <c r="AA220" i="38"/>
  <c r="AB220" i="38"/>
  <c r="AC220" i="38"/>
  <c r="AD220" i="38"/>
  <c r="AE220" i="38"/>
  <c r="AF220" i="38"/>
  <c r="AG220" i="38"/>
  <c r="AH220" i="38"/>
  <c r="AI220" i="38"/>
  <c r="AJ220" i="38"/>
  <c r="AK220" i="38"/>
  <c r="AL220" i="38"/>
  <c r="AM220" i="38"/>
  <c r="AN220" i="38"/>
  <c r="AO220" i="38"/>
  <c r="AP220" i="38"/>
  <c r="AQ220" i="38"/>
  <c r="AR220" i="38"/>
  <c r="C221" i="38"/>
  <c r="D221" i="38"/>
  <c r="E221" i="38"/>
  <c r="F221" i="38"/>
  <c r="G221" i="38"/>
  <c r="H221" i="38"/>
  <c r="I221" i="38"/>
  <c r="J221" i="38"/>
  <c r="K221" i="38"/>
  <c r="L221" i="38"/>
  <c r="M221" i="38"/>
  <c r="N221" i="38"/>
  <c r="O221" i="38"/>
  <c r="P221" i="38"/>
  <c r="Q221" i="38"/>
  <c r="R221" i="38"/>
  <c r="S221" i="38"/>
  <c r="T221" i="38"/>
  <c r="U221" i="38"/>
  <c r="V221" i="38"/>
  <c r="W221" i="38"/>
  <c r="X221" i="38"/>
  <c r="Y221" i="38"/>
  <c r="Z221" i="38"/>
  <c r="AA221" i="38"/>
  <c r="AB221" i="38"/>
  <c r="AC221" i="38"/>
  <c r="AD221" i="38"/>
  <c r="AE221" i="38"/>
  <c r="AF221" i="38"/>
  <c r="AG221" i="38"/>
  <c r="AH221" i="38"/>
  <c r="AI221" i="38"/>
  <c r="AJ221" i="38"/>
  <c r="AK221" i="38"/>
  <c r="AL221" i="38"/>
  <c r="AM221" i="38"/>
  <c r="AN221" i="38"/>
  <c r="AO221" i="38"/>
  <c r="AP221" i="38"/>
  <c r="AQ221" i="38"/>
  <c r="AR221" i="38"/>
  <c r="C222" i="38"/>
  <c r="D222" i="38"/>
  <c r="E222" i="38"/>
  <c r="F222" i="38"/>
  <c r="G222" i="38"/>
  <c r="H222" i="38"/>
  <c r="I222" i="38"/>
  <c r="J222" i="38"/>
  <c r="K222" i="38"/>
  <c r="L222" i="38"/>
  <c r="M222" i="38"/>
  <c r="N222" i="38"/>
  <c r="O222" i="38"/>
  <c r="P222" i="38"/>
  <c r="Q222" i="38"/>
  <c r="R222" i="38"/>
  <c r="S222" i="38"/>
  <c r="T222" i="38"/>
  <c r="U222" i="38"/>
  <c r="V222" i="38"/>
  <c r="W222" i="38"/>
  <c r="X222" i="38"/>
  <c r="Y222" i="38"/>
  <c r="Z222" i="38"/>
  <c r="AA222" i="38"/>
  <c r="AB222" i="38"/>
  <c r="AC222" i="38"/>
  <c r="AD222" i="38"/>
  <c r="AE222" i="38"/>
  <c r="AF222" i="38"/>
  <c r="AG222" i="38"/>
  <c r="AH222" i="38"/>
  <c r="AI222" i="38"/>
  <c r="AJ222" i="38"/>
  <c r="AK222" i="38"/>
  <c r="AL222" i="38"/>
  <c r="AM222" i="38"/>
  <c r="AN222" i="38"/>
  <c r="AO222" i="38"/>
  <c r="AP222" i="38"/>
  <c r="AQ222" i="38"/>
  <c r="AR222" i="38"/>
  <c r="C223" i="38"/>
  <c r="D223" i="38"/>
  <c r="E223" i="38"/>
  <c r="F223" i="38"/>
  <c r="G223" i="38"/>
  <c r="H223" i="38"/>
  <c r="I223" i="38"/>
  <c r="J223" i="38"/>
  <c r="K223" i="38"/>
  <c r="L223" i="38"/>
  <c r="M223" i="38"/>
  <c r="N223" i="38"/>
  <c r="O223" i="38"/>
  <c r="P223" i="38"/>
  <c r="Q223" i="38"/>
  <c r="R223" i="38"/>
  <c r="S223" i="38"/>
  <c r="T223" i="38"/>
  <c r="U223" i="38"/>
  <c r="V223" i="38"/>
  <c r="W223" i="38"/>
  <c r="X223" i="38"/>
  <c r="Y223" i="38"/>
  <c r="Z223" i="38"/>
  <c r="AA223" i="38"/>
  <c r="AB223" i="38"/>
  <c r="AC223" i="38"/>
  <c r="AD223" i="38"/>
  <c r="AE223" i="38"/>
  <c r="AF223" i="38"/>
  <c r="AG223" i="38"/>
  <c r="AH223" i="38"/>
  <c r="AI223" i="38"/>
  <c r="AJ223" i="38"/>
  <c r="AK223" i="38"/>
  <c r="AL223" i="38"/>
  <c r="AM223" i="38"/>
  <c r="AN223" i="38"/>
  <c r="AO223" i="38"/>
  <c r="AP223" i="38"/>
  <c r="AQ223" i="38"/>
  <c r="AR223" i="38"/>
  <c r="C224" i="38"/>
  <c r="D224" i="38"/>
  <c r="E224" i="38"/>
  <c r="F224" i="38"/>
  <c r="G224" i="38"/>
  <c r="H224" i="38"/>
  <c r="I224" i="38"/>
  <c r="J224" i="38"/>
  <c r="K224" i="38"/>
  <c r="L224" i="38"/>
  <c r="M224" i="38"/>
  <c r="N224" i="38"/>
  <c r="O224" i="38"/>
  <c r="P224" i="38"/>
  <c r="Q224" i="38"/>
  <c r="R224" i="38"/>
  <c r="S224" i="38"/>
  <c r="T224" i="38"/>
  <c r="U224" i="38"/>
  <c r="V224" i="38"/>
  <c r="W224" i="38"/>
  <c r="X224" i="38"/>
  <c r="Y224" i="38"/>
  <c r="Z224" i="38"/>
  <c r="AA224" i="38"/>
  <c r="AB224" i="38"/>
  <c r="AC224" i="38"/>
  <c r="AD224" i="38"/>
  <c r="AE224" i="38"/>
  <c r="AF224" i="38"/>
  <c r="AG224" i="38"/>
  <c r="AH224" i="38"/>
  <c r="AI224" i="38"/>
  <c r="AJ224" i="38"/>
  <c r="AK224" i="38"/>
  <c r="AL224" i="38"/>
  <c r="AM224" i="38"/>
  <c r="AN224" i="38"/>
  <c r="AO224" i="38"/>
  <c r="AP224" i="38"/>
  <c r="AQ224" i="38"/>
  <c r="AR224" i="38"/>
  <c r="C225" i="38"/>
  <c r="D225" i="38"/>
  <c r="E225" i="38"/>
  <c r="F225" i="38"/>
  <c r="G225" i="38"/>
  <c r="H225" i="38"/>
  <c r="I225" i="38"/>
  <c r="J225" i="38"/>
  <c r="K225" i="38"/>
  <c r="L225" i="38"/>
  <c r="M225" i="38"/>
  <c r="N225" i="38"/>
  <c r="O225" i="38"/>
  <c r="P225" i="38"/>
  <c r="Q225" i="38"/>
  <c r="R225" i="38"/>
  <c r="S225" i="38"/>
  <c r="T225" i="38"/>
  <c r="U225" i="38"/>
  <c r="V225" i="38"/>
  <c r="W225" i="38"/>
  <c r="X225" i="38"/>
  <c r="Y225" i="38"/>
  <c r="Z225" i="38"/>
  <c r="AA225" i="38"/>
  <c r="AB225" i="38"/>
  <c r="AC225" i="38"/>
  <c r="AD225" i="38"/>
  <c r="AE225" i="38"/>
  <c r="AF225" i="38"/>
  <c r="AG225" i="38"/>
  <c r="AH225" i="38"/>
  <c r="AI225" i="38"/>
  <c r="AJ225" i="38"/>
  <c r="AK225" i="38"/>
  <c r="AL225" i="38"/>
  <c r="AM225" i="38"/>
  <c r="AN225" i="38"/>
  <c r="AO225" i="38"/>
  <c r="AP225" i="38"/>
  <c r="AQ225" i="38"/>
  <c r="AR225" i="38"/>
  <c r="C226" i="38"/>
  <c r="D226" i="38"/>
  <c r="E226" i="38"/>
  <c r="F226" i="38"/>
  <c r="G226" i="38"/>
  <c r="H226" i="38"/>
  <c r="I226" i="38"/>
  <c r="J226" i="38"/>
  <c r="K226" i="38"/>
  <c r="L226" i="38"/>
  <c r="M226" i="38"/>
  <c r="N226" i="38"/>
  <c r="O226" i="38"/>
  <c r="P226" i="38"/>
  <c r="Q226" i="38"/>
  <c r="R226" i="38"/>
  <c r="S226" i="38"/>
  <c r="T226" i="38"/>
  <c r="U226" i="38"/>
  <c r="V226" i="38"/>
  <c r="W226" i="38"/>
  <c r="X226" i="38"/>
  <c r="Y226" i="38"/>
  <c r="Z226" i="38"/>
  <c r="AA226" i="38"/>
  <c r="AB226" i="38"/>
  <c r="AC226" i="38"/>
  <c r="AD226" i="38"/>
  <c r="AE226" i="38"/>
  <c r="AF226" i="38"/>
  <c r="AG226" i="38"/>
  <c r="AH226" i="38"/>
  <c r="AI226" i="38"/>
  <c r="AJ226" i="38"/>
  <c r="AK226" i="38"/>
  <c r="AL226" i="38"/>
  <c r="AM226" i="38"/>
  <c r="AN226" i="38"/>
  <c r="AO226" i="38"/>
  <c r="AP226" i="38"/>
  <c r="AQ226" i="38"/>
  <c r="AR226" i="38"/>
  <c r="C227" i="38"/>
  <c r="D227" i="38"/>
  <c r="E227" i="38"/>
  <c r="F227" i="38"/>
  <c r="G227" i="38"/>
  <c r="H227" i="38"/>
  <c r="I227" i="38"/>
  <c r="J227" i="38"/>
  <c r="K227" i="38"/>
  <c r="L227" i="38"/>
  <c r="M227" i="38"/>
  <c r="N227" i="38"/>
  <c r="O227" i="38"/>
  <c r="P227" i="38"/>
  <c r="Q227" i="38"/>
  <c r="R227" i="38"/>
  <c r="S227" i="38"/>
  <c r="T227" i="38"/>
  <c r="U227" i="38"/>
  <c r="V227" i="38"/>
  <c r="W227" i="38"/>
  <c r="X227" i="38"/>
  <c r="Y227" i="38"/>
  <c r="Z227" i="38"/>
  <c r="AA227" i="38"/>
  <c r="AB227" i="38"/>
  <c r="AC227" i="38"/>
  <c r="AD227" i="38"/>
  <c r="AE227" i="38"/>
  <c r="AF227" i="38"/>
  <c r="AG227" i="38"/>
  <c r="AH227" i="38"/>
  <c r="AI227" i="38"/>
  <c r="AJ227" i="38"/>
  <c r="AK227" i="38"/>
  <c r="AL227" i="38"/>
  <c r="AM227" i="38"/>
  <c r="AN227" i="38"/>
  <c r="AO227" i="38"/>
  <c r="AP227" i="38"/>
  <c r="AQ227" i="38"/>
  <c r="AR227" i="38"/>
  <c r="C228" i="38"/>
  <c r="D228" i="38"/>
  <c r="E228" i="38"/>
  <c r="F228" i="38"/>
  <c r="G228" i="38"/>
  <c r="H228" i="38"/>
  <c r="I228" i="38"/>
  <c r="J228" i="38"/>
  <c r="K228" i="38"/>
  <c r="L228" i="38"/>
  <c r="M228" i="38"/>
  <c r="N228" i="38"/>
  <c r="O228" i="38"/>
  <c r="P228" i="38"/>
  <c r="Q228" i="38"/>
  <c r="R228" i="38"/>
  <c r="S228" i="38"/>
  <c r="T228" i="38"/>
  <c r="U228" i="38"/>
  <c r="V228" i="38"/>
  <c r="W228" i="38"/>
  <c r="X228" i="38"/>
  <c r="Y228" i="38"/>
  <c r="Z228" i="38"/>
  <c r="AA228" i="38"/>
  <c r="AB228" i="38"/>
  <c r="AC228" i="38"/>
  <c r="AD228" i="38"/>
  <c r="AE228" i="38"/>
  <c r="AF228" i="38"/>
  <c r="AG228" i="38"/>
  <c r="AH228" i="38"/>
  <c r="AI228" i="38"/>
  <c r="AJ228" i="38"/>
  <c r="AK228" i="38"/>
  <c r="AL228" i="38"/>
  <c r="AM228" i="38"/>
  <c r="AN228" i="38"/>
  <c r="AO228" i="38"/>
  <c r="AP228" i="38"/>
  <c r="AQ228" i="38"/>
  <c r="AR228" i="38"/>
  <c r="C229" i="38"/>
  <c r="D229" i="38"/>
  <c r="E229" i="38"/>
  <c r="F229" i="38"/>
  <c r="G229" i="38"/>
  <c r="H229" i="38"/>
  <c r="I229" i="38"/>
  <c r="J229" i="38"/>
  <c r="K229" i="38"/>
  <c r="L229" i="38"/>
  <c r="M229" i="38"/>
  <c r="N229" i="38"/>
  <c r="O229" i="38"/>
  <c r="P229" i="38"/>
  <c r="Q229" i="38"/>
  <c r="R229" i="38"/>
  <c r="S229" i="38"/>
  <c r="T229" i="38"/>
  <c r="U229" i="38"/>
  <c r="V229" i="38"/>
  <c r="W229" i="38"/>
  <c r="X229" i="38"/>
  <c r="Y229" i="38"/>
  <c r="Z229" i="38"/>
  <c r="AA229" i="38"/>
  <c r="AB229" i="38"/>
  <c r="AC229" i="38"/>
  <c r="AD229" i="38"/>
  <c r="AE229" i="38"/>
  <c r="AF229" i="38"/>
  <c r="AG229" i="38"/>
  <c r="AH229" i="38"/>
  <c r="AI229" i="38"/>
  <c r="AJ229" i="38"/>
  <c r="AK229" i="38"/>
  <c r="AL229" i="38"/>
  <c r="AM229" i="38"/>
  <c r="AN229" i="38"/>
  <c r="AO229" i="38"/>
  <c r="AP229" i="38"/>
  <c r="AQ229" i="38"/>
  <c r="AR229" i="38"/>
  <c r="C230" i="38"/>
  <c r="D230" i="38"/>
  <c r="E230" i="38"/>
  <c r="F230" i="38"/>
  <c r="G230" i="38"/>
  <c r="H230" i="38"/>
  <c r="I230" i="38"/>
  <c r="J230" i="38"/>
  <c r="K230" i="38"/>
  <c r="L230" i="38"/>
  <c r="M230" i="38"/>
  <c r="N230" i="38"/>
  <c r="O230" i="38"/>
  <c r="P230" i="38"/>
  <c r="Q230" i="38"/>
  <c r="R230" i="38"/>
  <c r="S230" i="38"/>
  <c r="T230" i="38"/>
  <c r="U230" i="38"/>
  <c r="V230" i="38"/>
  <c r="W230" i="38"/>
  <c r="X230" i="38"/>
  <c r="Y230" i="38"/>
  <c r="Z230" i="38"/>
  <c r="AA230" i="38"/>
  <c r="AB230" i="38"/>
  <c r="AC230" i="38"/>
  <c r="AD230" i="38"/>
  <c r="AE230" i="38"/>
  <c r="AF230" i="38"/>
  <c r="AG230" i="38"/>
  <c r="AH230" i="38"/>
  <c r="AI230" i="38"/>
  <c r="AJ230" i="38"/>
  <c r="AK230" i="38"/>
  <c r="AL230" i="38"/>
  <c r="AM230" i="38"/>
  <c r="AN230" i="38"/>
  <c r="AO230" i="38"/>
  <c r="AP230" i="38"/>
  <c r="AQ230" i="38"/>
  <c r="AR230" i="38"/>
  <c r="C231" i="38"/>
  <c r="D231" i="38"/>
  <c r="E231" i="38"/>
  <c r="F231" i="38"/>
  <c r="G231" i="38"/>
  <c r="H231" i="38"/>
  <c r="I231" i="38"/>
  <c r="J231" i="38"/>
  <c r="K231" i="38"/>
  <c r="L231" i="38"/>
  <c r="M231" i="38"/>
  <c r="N231" i="38"/>
  <c r="O231" i="38"/>
  <c r="P231" i="38"/>
  <c r="Q231" i="38"/>
  <c r="R231" i="38"/>
  <c r="S231" i="38"/>
  <c r="T231" i="38"/>
  <c r="U231" i="38"/>
  <c r="V231" i="38"/>
  <c r="W231" i="38"/>
  <c r="X231" i="38"/>
  <c r="Y231" i="38"/>
  <c r="Z231" i="38"/>
  <c r="AA231" i="38"/>
  <c r="AB231" i="38"/>
  <c r="AC231" i="38"/>
  <c r="AD231" i="38"/>
  <c r="AE231" i="38"/>
  <c r="AF231" i="38"/>
  <c r="AG231" i="38"/>
  <c r="AH231" i="38"/>
  <c r="AI231" i="38"/>
  <c r="AJ231" i="38"/>
  <c r="AK231" i="38"/>
  <c r="AL231" i="38"/>
  <c r="AM231" i="38"/>
  <c r="AN231" i="38"/>
  <c r="AO231" i="38"/>
  <c r="AP231" i="38"/>
  <c r="AQ231" i="38"/>
  <c r="AR231" i="38"/>
  <c r="C232" i="38"/>
  <c r="D232" i="38"/>
  <c r="E232" i="38"/>
  <c r="F232" i="38"/>
  <c r="G232" i="38"/>
  <c r="H232" i="38"/>
  <c r="I232" i="38"/>
  <c r="J232" i="38"/>
  <c r="K232" i="38"/>
  <c r="L232" i="38"/>
  <c r="M232" i="38"/>
  <c r="N232" i="38"/>
  <c r="O232" i="38"/>
  <c r="P232" i="38"/>
  <c r="Q232" i="38"/>
  <c r="R232" i="38"/>
  <c r="S232" i="38"/>
  <c r="T232" i="38"/>
  <c r="U232" i="38"/>
  <c r="V232" i="38"/>
  <c r="W232" i="38"/>
  <c r="X232" i="38"/>
  <c r="Y232" i="38"/>
  <c r="Z232" i="38"/>
  <c r="AA232" i="38"/>
  <c r="AB232" i="38"/>
  <c r="AC232" i="38"/>
  <c r="AD232" i="38"/>
  <c r="AE232" i="38"/>
  <c r="AF232" i="38"/>
  <c r="AG232" i="38"/>
  <c r="AH232" i="38"/>
  <c r="AI232" i="38"/>
  <c r="AJ232" i="38"/>
  <c r="AK232" i="38"/>
  <c r="AL232" i="38"/>
  <c r="AM232" i="38"/>
  <c r="AN232" i="38"/>
  <c r="AO232" i="38"/>
  <c r="AP232" i="38"/>
  <c r="AQ232" i="38"/>
  <c r="AR232" i="38"/>
  <c r="C233" i="38"/>
  <c r="D233" i="38"/>
  <c r="E233" i="38"/>
  <c r="F233" i="38"/>
  <c r="G233" i="38"/>
  <c r="H233" i="38"/>
  <c r="I233" i="38"/>
  <c r="J233" i="38"/>
  <c r="K233" i="38"/>
  <c r="L233" i="38"/>
  <c r="M233" i="38"/>
  <c r="N233" i="38"/>
  <c r="O233" i="38"/>
  <c r="P233" i="38"/>
  <c r="Q233" i="38"/>
  <c r="R233" i="38"/>
  <c r="S233" i="38"/>
  <c r="T233" i="38"/>
  <c r="U233" i="38"/>
  <c r="V233" i="38"/>
  <c r="W233" i="38"/>
  <c r="X233" i="38"/>
  <c r="Y233" i="38"/>
  <c r="Z233" i="38"/>
  <c r="AA233" i="38"/>
  <c r="AB233" i="38"/>
  <c r="AC233" i="38"/>
  <c r="AD233" i="38"/>
  <c r="AE233" i="38"/>
  <c r="AF233" i="38"/>
  <c r="AG233" i="38"/>
  <c r="AH233" i="38"/>
  <c r="AI233" i="38"/>
  <c r="AJ233" i="38"/>
  <c r="AK233" i="38"/>
  <c r="AL233" i="38"/>
  <c r="AM233" i="38"/>
  <c r="AN233" i="38"/>
  <c r="AO233" i="38"/>
  <c r="AP233" i="38"/>
  <c r="AQ233" i="38"/>
  <c r="AR233" i="38"/>
  <c r="C234" i="38"/>
  <c r="D234" i="38"/>
  <c r="E234" i="38"/>
  <c r="F234" i="38"/>
  <c r="G234" i="38"/>
  <c r="H234" i="38"/>
  <c r="I234" i="38"/>
  <c r="J234" i="38"/>
  <c r="K234" i="38"/>
  <c r="L234" i="38"/>
  <c r="M234" i="38"/>
  <c r="N234" i="38"/>
  <c r="O234" i="38"/>
  <c r="P234" i="38"/>
  <c r="Q234" i="38"/>
  <c r="R234" i="38"/>
  <c r="S234" i="38"/>
  <c r="T234" i="38"/>
  <c r="U234" i="38"/>
  <c r="V234" i="38"/>
  <c r="W234" i="38"/>
  <c r="X234" i="38"/>
  <c r="Y234" i="38"/>
  <c r="Z234" i="38"/>
  <c r="AA234" i="38"/>
  <c r="AB234" i="38"/>
  <c r="AC234" i="38"/>
  <c r="AD234" i="38"/>
  <c r="AE234" i="38"/>
  <c r="AF234" i="38"/>
  <c r="AG234" i="38"/>
  <c r="AH234" i="38"/>
  <c r="AI234" i="38"/>
  <c r="AJ234" i="38"/>
  <c r="AK234" i="38"/>
  <c r="AL234" i="38"/>
  <c r="AM234" i="38"/>
  <c r="AN234" i="38"/>
  <c r="AO234" i="38"/>
  <c r="AP234" i="38"/>
  <c r="AQ234" i="38"/>
  <c r="AR234" i="38"/>
  <c r="C235" i="38"/>
  <c r="D235" i="38"/>
  <c r="E235" i="38"/>
  <c r="F235" i="38"/>
  <c r="G235" i="38"/>
  <c r="H235" i="38"/>
  <c r="I235" i="38"/>
  <c r="J235" i="38"/>
  <c r="K235" i="38"/>
  <c r="L235" i="38"/>
  <c r="M235" i="38"/>
  <c r="N235" i="38"/>
  <c r="O235" i="38"/>
  <c r="P235" i="38"/>
  <c r="Q235" i="38"/>
  <c r="R235" i="38"/>
  <c r="S235" i="38"/>
  <c r="T235" i="38"/>
  <c r="U235" i="38"/>
  <c r="V235" i="38"/>
  <c r="W235" i="38"/>
  <c r="X235" i="38"/>
  <c r="Y235" i="38"/>
  <c r="Z235" i="38"/>
  <c r="AA235" i="38"/>
  <c r="AB235" i="38"/>
  <c r="AC235" i="38"/>
  <c r="AD235" i="38"/>
  <c r="AE235" i="38"/>
  <c r="AF235" i="38"/>
  <c r="AG235" i="38"/>
  <c r="AH235" i="38"/>
  <c r="AI235" i="38"/>
  <c r="AJ235" i="38"/>
  <c r="AK235" i="38"/>
  <c r="AL235" i="38"/>
  <c r="AM235" i="38"/>
  <c r="AN235" i="38"/>
  <c r="AO235" i="38"/>
  <c r="AP235" i="38"/>
  <c r="AQ235" i="38"/>
  <c r="AR235" i="38"/>
  <c r="C236" i="38"/>
  <c r="D236" i="38"/>
  <c r="E236" i="38"/>
  <c r="F236" i="38"/>
  <c r="G236" i="38"/>
  <c r="H236" i="38"/>
  <c r="I236" i="38"/>
  <c r="J236" i="38"/>
  <c r="K236" i="38"/>
  <c r="L236" i="38"/>
  <c r="M236" i="38"/>
  <c r="N236" i="38"/>
  <c r="O236" i="38"/>
  <c r="P236" i="38"/>
  <c r="Q236" i="38"/>
  <c r="R236" i="38"/>
  <c r="S236" i="38"/>
  <c r="T236" i="38"/>
  <c r="U236" i="38"/>
  <c r="V236" i="38"/>
  <c r="W236" i="38"/>
  <c r="X236" i="38"/>
  <c r="Y236" i="38"/>
  <c r="Z236" i="38"/>
  <c r="AA236" i="38"/>
  <c r="AB236" i="38"/>
  <c r="AC236" i="38"/>
  <c r="AD236" i="38"/>
  <c r="AE236" i="38"/>
  <c r="AF236" i="38"/>
  <c r="AG236" i="38"/>
  <c r="AH236" i="38"/>
  <c r="AI236" i="38"/>
  <c r="AJ236" i="38"/>
  <c r="AK236" i="38"/>
  <c r="AL236" i="38"/>
  <c r="AM236" i="38"/>
  <c r="AN236" i="38"/>
  <c r="AO236" i="38"/>
  <c r="AP236" i="38"/>
  <c r="AQ236" i="38"/>
  <c r="AR236" i="38"/>
  <c r="C237" i="38"/>
  <c r="D237" i="38"/>
  <c r="E237" i="38"/>
  <c r="F237" i="38"/>
  <c r="G237" i="38"/>
  <c r="H237" i="38"/>
  <c r="I237" i="38"/>
  <c r="J237" i="38"/>
  <c r="K237" i="38"/>
  <c r="L237" i="38"/>
  <c r="M237" i="38"/>
  <c r="N237" i="38"/>
  <c r="O237" i="38"/>
  <c r="P237" i="38"/>
  <c r="Q237" i="38"/>
  <c r="R237" i="38"/>
  <c r="S237" i="38"/>
  <c r="T237" i="38"/>
  <c r="U237" i="38"/>
  <c r="V237" i="38"/>
  <c r="W237" i="38"/>
  <c r="X237" i="38"/>
  <c r="Y237" i="38"/>
  <c r="Z237" i="38"/>
  <c r="AA237" i="38"/>
  <c r="AB237" i="38"/>
  <c r="AC237" i="38"/>
  <c r="AD237" i="38"/>
  <c r="AE237" i="38"/>
  <c r="AF237" i="38"/>
  <c r="AG237" i="38"/>
  <c r="AH237" i="38"/>
  <c r="AI237" i="38"/>
  <c r="AJ237" i="38"/>
  <c r="AK237" i="38"/>
  <c r="AL237" i="38"/>
  <c r="AM237" i="38"/>
  <c r="AN237" i="38"/>
  <c r="AO237" i="38"/>
  <c r="AP237" i="38"/>
  <c r="AQ237" i="38"/>
  <c r="AR237" i="38"/>
  <c r="C238" i="38"/>
  <c r="D238" i="38"/>
  <c r="E238" i="38"/>
  <c r="F238" i="38"/>
  <c r="G238" i="38"/>
  <c r="H238" i="38"/>
  <c r="I238" i="38"/>
  <c r="J238" i="38"/>
  <c r="K238" i="38"/>
  <c r="L238" i="38"/>
  <c r="M238" i="38"/>
  <c r="N238" i="38"/>
  <c r="O238" i="38"/>
  <c r="P238" i="38"/>
  <c r="Q238" i="38"/>
  <c r="R238" i="38"/>
  <c r="S238" i="38"/>
  <c r="T238" i="38"/>
  <c r="U238" i="38"/>
  <c r="V238" i="38"/>
  <c r="W238" i="38"/>
  <c r="X238" i="38"/>
  <c r="Y238" i="38"/>
  <c r="Z238" i="38"/>
  <c r="AA238" i="38"/>
  <c r="AB238" i="38"/>
  <c r="AC238" i="38"/>
  <c r="AD238" i="38"/>
  <c r="AE238" i="38"/>
  <c r="AF238" i="38"/>
  <c r="AG238" i="38"/>
  <c r="AH238" i="38"/>
  <c r="AI238" i="38"/>
  <c r="AJ238" i="38"/>
  <c r="AK238" i="38"/>
  <c r="AL238" i="38"/>
  <c r="AM238" i="38"/>
  <c r="AN238" i="38"/>
  <c r="AO238" i="38"/>
  <c r="AP238" i="38"/>
  <c r="AQ238" i="38"/>
  <c r="AR238" i="38"/>
  <c r="C239" i="38"/>
  <c r="D239" i="38"/>
  <c r="E239" i="38"/>
  <c r="F239" i="38"/>
  <c r="G239" i="38"/>
  <c r="H239" i="38"/>
  <c r="I239" i="38"/>
  <c r="J239" i="38"/>
  <c r="K239" i="38"/>
  <c r="L239" i="38"/>
  <c r="M239" i="38"/>
  <c r="N239" i="38"/>
  <c r="O239" i="38"/>
  <c r="P239" i="38"/>
  <c r="Q239" i="38"/>
  <c r="R239" i="38"/>
  <c r="S239" i="38"/>
  <c r="T239" i="38"/>
  <c r="U239" i="38"/>
  <c r="V239" i="38"/>
  <c r="W239" i="38"/>
  <c r="X239" i="38"/>
  <c r="Y239" i="38"/>
  <c r="Z239" i="38"/>
  <c r="AA239" i="38"/>
  <c r="AB239" i="38"/>
  <c r="AC239" i="38"/>
  <c r="AD239" i="38"/>
  <c r="AE239" i="38"/>
  <c r="AF239" i="38"/>
  <c r="AG239" i="38"/>
  <c r="AH239" i="38"/>
  <c r="AI239" i="38"/>
  <c r="AJ239" i="38"/>
  <c r="AK239" i="38"/>
  <c r="AL239" i="38"/>
  <c r="AM239" i="38"/>
  <c r="AN239" i="38"/>
  <c r="AO239" i="38"/>
  <c r="AP239" i="38"/>
  <c r="AQ239" i="38"/>
  <c r="AR239" i="38"/>
  <c r="C240" i="38"/>
  <c r="D240" i="38"/>
  <c r="E240" i="38"/>
  <c r="F240" i="38"/>
  <c r="G240" i="38"/>
  <c r="H240" i="38"/>
  <c r="I240" i="38"/>
  <c r="J240" i="38"/>
  <c r="K240" i="38"/>
  <c r="L240" i="38"/>
  <c r="M240" i="38"/>
  <c r="N240" i="38"/>
  <c r="O240" i="38"/>
  <c r="P240" i="38"/>
  <c r="Q240" i="38"/>
  <c r="R240" i="38"/>
  <c r="S240" i="38"/>
  <c r="T240" i="38"/>
  <c r="U240" i="38"/>
  <c r="V240" i="38"/>
  <c r="W240" i="38"/>
  <c r="X240" i="38"/>
  <c r="Y240" i="38"/>
  <c r="Z240" i="38"/>
  <c r="AA240" i="38"/>
  <c r="AB240" i="38"/>
  <c r="AC240" i="38"/>
  <c r="AD240" i="38"/>
  <c r="AE240" i="38"/>
  <c r="AF240" i="38"/>
  <c r="AG240" i="38"/>
  <c r="AH240" i="38"/>
  <c r="AI240" i="38"/>
  <c r="AJ240" i="38"/>
  <c r="AK240" i="38"/>
  <c r="AL240" i="38"/>
  <c r="AM240" i="38"/>
  <c r="AN240" i="38"/>
  <c r="AO240" i="38"/>
  <c r="AP240" i="38"/>
  <c r="AQ240" i="38"/>
  <c r="AR240" i="38"/>
  <c r="C241" i="38"/>
  <c r="D241" i="38"/>
  <c r="E241" i="38"/>
  <c r="F241" i="38"/>
  <c r="G241" i="38"/>
  <c r="H241" i="38"/>
  <c r="I241" i="38"/>
  <c r="J241" i="38"/>
  <c r="K241" i="38"/>
  <c r="L241" i="38"/>
  <c r="M241" i="38"/>
  <c r="N241" i="38"/>
  <c r="O241" i="38"/>
  <c r="P241" i="38"/>
  <c r="Q241" i="38"/>
  <c r="R241" i="38"/>
  <c r="S241" i="38"/>
  <c r="T241" i="38"/>
  <c r="U241" i="38"/>
  <c r="V241" i="38"/>
  <c r="W241" i="38"/>
  <c r="X241" i="38"/>
  <c r="Y241" i="38"/>
  <c r="Z241" i="38"/>
  <c r="AA241" i="38"/>
  <c r="AB241" i="38"/>
  <c r="AC241" i="38"/>
  <c r="AD241" i="38"/>
  <c r="AE241" i="38"/>
  <c r="AF241" i="38"/>
  <c r="AG241" i="38"/>
  <c r="AH241" i="38"/>
  <c r="AI241" i="38"/>
  <c r="AJ241" i="38"/>
  <c r="AK241" i="38"/>
  <c r="AL241" i="38"/>
  <c r="AM241" i="38"/>
  <c r="AN241" i="38"/>
  <c r="AO241" i="38"/>
  <c r="AP241" i="38"/>
  <c r="AQ241" i="38"/>
  <c r="AR241" i="38"/>
  <c r="C242" i="38"/>
  <c r="D242" i="38"/>
  <c r="E242" i="38"/>
  <c r="F242" i="38"/>
  <c r="G242" i="38"/>
  <c r="H242" i="38"/>
  <c r="I242" i="38"/>
  <c r="J242" i="38"/>
  <c r="K242" i="38"/>
  <c r="L242" i="38"/>
  <c r="M242" i="38"/>
  <c r="N242" i="38"/>
  <c r="O242" i="38"/>
  <c r="P242" i="38"/>
  <c r="Q242" i="38"/>
  <c r="R242" i="38"/>
  <c r="S242" i="38"/>
  <c r="T242" i="38"/>
  <c r="U242" i="38"/>
  <c r="V242" i="38"/>
  <c r="W242" i="38"/>
  <c r="X242" i="38"/>
  <c r="Y242" i="38"/>
  <c r="Z242" i="38"/>
  <c r="AA242" i="38"/>
  <c r="AB242" i="38"/>
  <c r="AC242" i="38"/>
  <c r="AD242" i="38"/>
  <c r="AE242" i="38"/>
  <c r="AF242" i="38"/>
  <c r="AG242" i="38"/>
  <c r="AH242" i="38"/>
  <c r="AI242" i="38"/>
  <c r="AJ242" i="38"/>
  <c r="AK242" i="38"/>
  <c r="AL242" i="38"/>
  <c r="AM242" i="38"/>
  <c r="AN242" i="38"/>
  <c r="AO242" i="38"/>
  <c r="AP242" i="38"/>
  <c r="AQ242" i="38"/>
  <c r="AR242" i="38"/>
  <c r="C243" i="38"/>
  <c r="D243" i="38"/>
  <c r="E243" i="38"/>
  <c r="F243" i="38"/>
  <c r="G243" i="38"/>
  <c r="H243" i="38"/>
  <c r="I243" i="38"/>
  <c r="J243" i="38"/>
  <c r="K243" i="38"/>
  <c r="L243" i="38"/>
  <c r="M243" i="38"/>
  <c r="N243" i="38"/>
  <c r="O243" i="38"/>
  <c r="P243" i="38"/>
  <c r="Q243" i="38"/>
  <c r="R243" i="38"/>
  <c r="S243" i="38"/>
  <c r="T243" i="38"/>
  <c r="U243" i="38"/>
  <c r="V243" i="38"/>
  <c r="W243" i="38"/>
  <c r="X243" i="38"/>
  <c r="Y243" i="38"/>
  <c r="Z243" i="38"/>
  <c r="AA243" i="38"/>
  <c r="AB243" i="38"/>
  <c r="AC243" i="38"/>
  <c r="AD243" i="38"/>
  <c r="AE243" i="38"/>
  <c r="AF243" i="38"/>
  <c r="AG243" i="38"/>
  <c r="AH243" i="38"/>
  <c r="AI243" i="38"/>
  <c r="AJ243" i="38"/>
  <c r="AK243" i="38"/>
  <c r="AL243" i="38"/>
  <c r="AM243" i="38"/>
  <c r="AN243" i="38"/>
  <c r="AO243" i="38"/>
  <c r="AP243" i="38"/>
  <c r="AQ243" i="38"/>
  <c r="AR243" i="38"/>
  <c r="D202" i="38"/>
  <c r="E202" i="38"/>
  <c r="F202" i="38"/>
  <c r="G202" i="38"/>
  <c r="H202" i="38"/>
  <c r="I202" i="38"/>
  <c r="J202" i="38"/>
  <c r="K202" i="38"/>
  <c r="L202" i="38"/>
  <c r="M202" i="38"/>
  <c r="N202" i="38"/>
  <c r="O202" i="38"/>
  <c r="P202" i="38"/>
  <c r="Q202" i="38"/>
  <c r="R202" i="38"/>
  <c r="S202" i="38"/>
  <c r="T202" i="38"/>
  <c r="U202" i="38"/>
  <c r="V202" i="38"/>
  <c r="W202" i="38"/>
  <c r="X202" i="38"/>
  <c r="Y202" i="38"/>
  <c r="Z202" i="38"/>
  <c r="AA202" i="38"/>
  <c r="AB202" i="38"/>
  <c r="AC202" i="38"/>
  <c r="AD202" i="38"/>
  <c r="AE202" i="38"/>
  <c r="AF202" i="38"/>
  <c r="AG202" i="38"/>
  <c r="AH202" i="38"/>
  <c r="AI202" i="38"/>
  <c r="AJ202" i="38"/>
  <c r="AK202" i="38"/>
  <c r="AL202" i="38"/>
  <c r="AM202" i="38"/>
  <c r="AN202" i="38"/>
  <c r="AO202" i="38"/>
  <c r="AP202" i="38"/>
  <c r="AQ202" i="38"/>
  <c r="AR202" i="38"/>
  <c r="C202" i="38"/>
  <c r="Q198" i="38"/>
  <c r="P198" i="38"/>
  <c r="D198" i="38"/>
  <c r="E198" i="38"/>
  <c r="F198" i="38"/>
  <c r="G198" i="38"/>
  <c r="H198" i="38"/>
  <c r="I198" i="38"/>
  <c r="J198" i="38"/>
  <c r="K198" i="38"/>
  <c r="L198" i="38"/>
  <c r="M198" i="38"/>
  <c r="N198" i="38"/>
  <c r="O198" i="38"/>
  <c r="R198" i="38"/>
  <c r="S198" i="38"/>
  <c r="T198" i="38"/>
  <c r="U198" i="38"/>
  <c r="V198" i="38"/>
  <c r="W198" i="38"/>
  <c r="X198" i="38"/>
  <c r="Y198" i="38"/>
  <c r="Z198" i="38"/>
  <c r="AA198" i="38"/>
  <c r="AB198" i="38"/>
  <c r="AC198" i="38"/>
  <c r="AD198" i="38"/>
  <c r="AE198" i="38"/>
  <c r="AF198" i="38"/>
  <c r="AG198" i="38"/>
  <c r="AH198" i="38"/>
  <c r="AI198" i="38"/>
  <c r="AJ198" i="38"/>
  <c r="AK198" i="38"/>
  <c r="AL198" i="38"/>
  <c r="AM198" i="38"/>
  <c r="AN198" i="38"/>
  <c r="AO198" i="38"/>
  <c r="AP198" i="38"/>
  <c r="AQ198" i="38"/>
  <c r="AR198" i="38"/>
  <c r="AS198" i="38"/>
  <c r="C198" i="38"/>
  <c r="P90" i="40" l="1"/>
  <c r="O90" i="40"/>
  <c r="B3" i="40" l="1" a="1"/>
  <c r="B3" i="40" s="1"/>
  <c r="C3" i="40" a="1"/>
  <c r="C3" i="40" s="1"/>
  <c r="D3" i="40" a="1"/>
  <c r="D3" i="40" s="1"/>
  <c r="E3" i="40" a="1"/>
  <c r="E3" i="40" s="1"/>
  <c r="F3" i="40" a="1"/>
  <c r="F3" i="40" s="1"/>
  <c r="G3" i="40" a="1"/>
  <c r="G3" i="40" s="1"/>
  <c r="H3" i="40" a="1"/>
  <c r="H3" i="40" s="1"/>
  <c r="I3" i="40" a="1"/>
  <c r="I3" i="40" s="1"/>
  <c r="J3" i="40" a="1"/>
  <c r="J3" i="40" s="1"/>
  <c r="K3" i="40" a="1"/>
  <c r="K3" i="40" s="1"/>
  <c r="L3" i="40" a="1"/>
  <c r="L3" i="40" s="1"/>
  <c r="M3" i="40" a="1"/>
  <c r="M3" i="40" s="1"/>
  <c r="N3" i="40" a="1"/>
  <c r="N3" i="40"/>
  <c r="O3" i="40" a="1"/>
  <c r="O3" i="40" s="1"/>
  <c r="P3" i="40" a="1"/>
  <c r="P3" i="40" s="1"/>
  <c r="Q3" i="40" a="1"/>
  <c r="Q3" i="40" s="1"/>
  <c r="R3" i="40" a="1"/>
  <c r="R3" i="40"/>
  <c r="S3" i="40" a="1"/>
  <c r="S3" i="40"/>
  <c r="T3" i="40" a="1"/>
  <c r="T3" i="40" s="1"/>
  <c r="U3" i="40" a="1"/>
  <c r="U3" i="40" s="1"/>
  <c r="V3" i="40" a="1"/>
  <c r="V3" i="40" s="1"/>
  <c r="W3" i="40" a="1"/>
  <c r="W3" i="40" s="1"/>
  <c r="X3" i="40" a="1"/>
  <c r="X3" i="40" s="1"/>
  <c r="Y3" i="40" a="1"/>
  <c r="Y3" i="40" s="1"/>
  <c r="Z3" i="40" a="1"/>
  <c r="Z3" i="40" s="1"/>
  <c r="AA3" i="40" a="1"/>
  <c r="AA3" i="40" s="1"/>
  <c r="AB3" i="40" a="1"/>
  <c r="AB3" i="40" s="1"/>
  <c r="AC3" i="40" a="1"/>
  <c r="AC3" i="40" s="1"/>
  <c r="AD3" i="40" a="1"/>
  <c r="AD3" i="40" s="1"/>
  <c r="AE3" i="40" a="1"/>
  <c r="AE3" i="40" s="1"/>
  <c r="AF3" i="40" a="1"/>
  <c r="AF3" i="40" s="1"/>
  <c r="AG3" i="40" a="1"/>
  <c r="AG3" i="40" s="1"/>
  <c r="AH3" i="40" a="1"/>
  <c r="AH3" i="40" s="1"/>
  <c r="AI3" i="40" a="1"/>
  <c r="AI3" i="40" s="1"/>
  <c r="AJ3" i="40" a="1"/>
  <c r="AJ3" i="40"/>
  <c r="AK3" i="40" a="1"/>
  <c r="AK3" i="40" s="1"/>
  <c r="AL3" i="40" a="1"/>
  <c r="AL3" i="40" s="1"/>
  <c r="AM3" i="40" a="1"/>
  <c r="AM3" i="40"/>
  <c r="AN3" i="40" a="1"/>
  <c r="AN3" i="40" s="1"/>
  <c r="AO3" i="40" a="1"/>
  <c r="AO3" i="40" s="1"/>
  <c r="AP3" i="40" a="1"/>
  <c r="AP3" i="40" s="1"/>
  <c r="AQ3" i="40" a="1"/>
  <c r="AQ3" i="40" s="1"/>
  <c r="B4" i="40" a="1"/>
  <c r="B4" i="40" s="1"/>
  <c r="C4" i="40" a="1"/>
  <c r="C4" i="40" s="1"/>
  <c r="D4" i="40" a="1"/>
  <c r="D4" i="40"/>
  <c r="E4" i="40" a="1"/>
  <c r="E4" i="40" s="1"/>
  <c r="F4" i="40" a="1"/>
  <c r="F4" i="40" s="1"/>
  <c r="G4" i="40" a="1"/>
  <c r="G4" i="40" s="1"/>
  <c r="H4" i="40" a="1"/>
  <c r="H4" i="40" s="1"/>
  <c r="I4" i="40" a="1"/>
  <c r="I4" i="40"/>
  <c r="J4" i="40" a="1"/>
  <c r="J4" i="40" s="1"/>
  <c r="K4" i="40" a="1"/>
  <c r="K4" i="40" s="1"/>
  <c r="L4" i="40" a="1"/>
  <c r="L4" i="40" s="1"/>
  <c r="M4" i="40" a="1"/>
  <c r="M4" i="40" s="1"/>
  <c r="N4" i="40" a="1"/>
  <c r="N4" i="40" s="1"/>
  <c r="O4" i="40" a="1"/>
  <c r="O4" i="40" s="1"/>
  <c r="P4" i="40" a="1"/>
  <c r="P4" i="40" s="1"/>
  <c r="Q4" i="40" a="1"/>
  <c r="Q4" i="40" s="1"/>
  <c r="R4" i="40" a="1"/>
  <c r="R4" i="40" s="1"/>
  <c r="S4" i="40" a="1"/>
  <c r="S4" i="40" s="1"/>
  <c r="T4" i="40" a="1"/>
  <c r="T4" i="40" s="1"/>
  <c r="U4" i="40" a="1"/>
  <c r="U4" i="40" s="1"/>
  <c r="V4" i="40" a="1"/>
  <c r="V4" i="40"/>
  <c r="W4" i="40" a="1"/>
  <c r="W4" i="40" s="1"/>
  <c r="X4" i="40" a="1"/>
  <c r="X4" i="40" s="1"/>
  <c r="Y4" i="40" a="1"/>
  <c r="Y4" i="40" s="1"/>
  <c r="Z4" i="40" a="1"/>
  <c r="Z4" i="40" s="1"/>
  <c r="AA4" i="40" a="1"/>
  <c r="AA4" i="40" s="1"/>
  <c r="AB4" i="40" a="1"/>
  <c r="AB4" i="40" s="1"/>
  <c r="AC4" i="40" a="1"/>
  <c r="AC4" i="40" s="1"/>
  <c r="AD4" i="40" a="1"/>
  <c r="AD4" i="40" s="1"/>
  <c r="AE4" i="40" a="1"/>
  <c r="AE4" i="40" s="1"/>
  <c r="AF4" i="40" a="1"/>
  <c r="AF4" i="40" s="1"/>
  <c r="AG4" i="40" a="1"/>
  <c r="AG4" i="40" s="1"/>
  <c r="AH4" i="40" a="1"/>
  <c r="AH4" i="40"/>
  <c r="AI4" i="40" a="1"/>
  <c r="AI4" i="40" s="1"/>
  <c r="AJ4" i="40" a="1"/>
  <c r="AJ4" i="40" s="1"/>
  <c r="AK4" i="40" a="1"/>
  <c r="AK4" i="40" s="1"/>
  <c r="AL4" i="40" a="1"/>
  <c r="AL4" i="40" s="1"/>
  <c r="AM4" i="40" a="1"/>
  <c r="AM4" i="40" s="1"/>
  <c r="AN4" i="40" a="1"/>
  <c r="AN4" i="40" s="1"/>
  <c r="AO4" i="40" a="1"/>
  <c r="AO4" i="40" s="1"/>
  <c r="AP4" i="40" a="1"/>
  <c r="AP4" i="40" s="1"/>
  <c r="AQ4" i="40" a="1"/>
  <c r="AQ4" i="40" s="1"/>
  <c r="B5" i="40" a="1"/>
  <c r="B5" i="40"/>
  <c r="C5" i="40" a="1"/>
  <c r="C5" i="40" s="1"/>
  <c r="D5" i="40" a="1"/>
  <c r="D5" i="40" s="1"/>
  <c r="E5" i="40" a="1"/>
  <c r="E5" i="40"/>
  <c r="F5" i="40" a="1"/>
  <c r="F5" i="40" s="1"/>
  <c r="G5" i="40" a="1"/>
  <c r="G5" i="40" s="1"/>
  <c r="H5" i="40" a="1"/>
  <c r="H5" i="40" s="1"/>
  <c r="I5" i="40" a="1"/>
  <c r="I5" i="40" s="1"/>
  <c r="J5" i="40" a="1"/>
  <c r="J5" i="40" s="1"/>
  <c r="K5" i="40" a="1"/>
  <c r="K5" i="40" s="1"/>
  <c r="L5" i="40" a="1"/>
  <c r="L5" i="40"/>
  <c r="M5" i="40" a="1"/>
  <c r="M5" i="40" s="1"/>
  <c r="N5" i="40" a="1"/>
  <c r="N5" i="40" s="1"/>
  <c r="O5" i="40" a="1"/>
  <c r="O5" i="40" s="1"/>
  <c r="P5" i="40" a="1"/>
  <c r="P5" i="40" s="1"/>
  <c r="Q5" i="40" a="1"/>
  <c r="Q5" i="40" s="1"/>
  <c r="R5" i="40" a="1"/>
  <c r="R5" i="40" s="1"/>
  <c r="S5" i="40" a="1"/>
  <c r="S5" i="40" s="1"/>
  <c r="T5" i="40" a="1"/>
  <c r="T5" i="40" s="1"/>
  <c r="U5" i="40" a="1"/>
  <c r="U5" i="40" s="1"/>
  <c r="V5" i="40" a="1"/>
  <c r="V5" i="40"/>
  <c r="W5" i="40" a="1"/>
  <c r="W5" i="40" s="1"/>
  <c r="X5" i="40" a="1"/>
  <c r="X5" i="40" s="1"/>
  <c r="Y5" i="40" a="1"/>
  <c r="Y5" i="40" s="1"/>
  <c r="Z5" i="40" a="1"/>
  <c r="Z5" i="40" s="1"/>
  <c r="AA5" i="40" a="1"/>
  <c r="AA5" i="40" s="1"/>
  <c r="AB5" i="40" a="1"/>
  <c r="AB5" i="40" s="1"/>
  <c r="AC5" i="40" a="1"/>
  <c r="AC5" i="40" s="1"/>
  <c r="AD5" i="40" a="1"/>
  <c r="AD5" i="40" s="1"/>
  <c r="AE5" i="40" a="1"/>
  <c r="AE5" i="40" s="1"/>
  <c r="AF5" i="40" a="1"/>
  <c r="AF5" i="40"/>
  <c r="AG5" i="40" a="1"/>
  <c r="AG5" i="40" s="1"/>
  <c r="AH5" i="40" a="1"/>
  <c r="AH5" i="40" s="1"/>
  <c r="AI5" i="40" a="1"/>
  <c r="AI5" i="40" s="1"/>
  <c r="AJ5" i="40" a="1"/>
  <c r="AJ5" i="40" s="1"/>
  <c r="AK5" i="40" a="1"/>
  <c r="AK5" i="40" s="1"/>
  <c r="AL5" i="40" a="1"/>
  <c r="AL5" i="40" s="1"/>
  <c r="AM5" i="40" a="1"/>
  <c r="AM5" i="40" s="1"/>
  <c r="AN5" i="40" a="1"/>
  <c r="AN5" i="40" s="1"/>
  <c r="AO5" i="40" a="1"/>
  <c r="AO5" i="40" s="1"/>
  <c r="AP5" i="40" a="1"/>
  <c r="AP5" i="40"/>
  <c r="AQ5" i="40" a="1"/>
  <c r="AQ5" i="40" s="1"/>
  <c r="B6" i="40" a="1"/>
  <c r="B6" i="40" s="1"/>
  <c r="C6" i="40" a="1"/>
  <c r="C6" i="40" s="1"/>
  <c r="D6" i="40" a="1"/>
  <c r="D6" i="40" s="1"/>
  <c r="E6" i="40" a="1"/>
  <c r="E6" i="40" s="1"/>
  <c r="F6" i="40" a="1"/>
  <c r="F6" i="40" s="1"/>
  <c r="G6" i="40" a="1"/>
  <c r="G6" i="40" s="1"/>
  <c r="H6" i="40" a="1"/>
  <c r="H6" i="40" s="1"/>
  <c r="I6" i="40" a="1"/>
  <c r="I6" i="40" s="1"/>
  <c r="J6" i="40" a="1"/>
  <c r="J6" i="40"/>
  <c r="K6" i="40" a="1"/>
  <c r="K6" i="40" s="1"/>
  <c r="L6" i="40" a="1"/>
  <c r="L6" i="40" s="1"/>
  <c r="M6" i="40" a="1"/>
  <c r="M6" i="40" s="1"/>
  <c r="N6" i="40" a="1"/>
  <c r="N6" i="40" s="1"/>
  <c r="O6" i="40" a="1"/>
  <c r="O6" i="40" s="1"/>
  <c r="P6" i="40" a="1"/>
  <c r="P6" i="40" s="1"/>
  <c r="Q6" i="40" a="1"/>
  <c r="Q6" i="40" s="1"/>
  <c r="R6" i="40" a="1"/>
  <c r="R6" i="40" s="1"/>
  <c r="S6" i="40" a="1"/>
  <c r="S6" i="40" s="1"/>
  <c r="T6" i="40" a="1"/>
  <c r="T6" i="40"/>
  <c r="U6" i="40" a="1"/>
  <c r="U6" i="40" s="1"/>
  <c r="V6" i="40" a="1"/>
  <c r="V6" i="40" s="1"/>
  <c r="W6" i="40" a="1"/>
  <c r="W6" i="40" s="1"/>
  <c r="X6" i="40" a="1"/>
  <c r="X6" i="40" s="1"/>
  <c r="Y6" i="40" a="1"/>
  <c r="Y6" i="40" s="1"/>
  <c r="Z6" i="40" a="1"/>
  <c r="Z6" i="40" s="1"/>
  <c r="AA6" i="40" a="1"/>
  <c r="AA6" i="40" s="1"/>
  <c r="AB6" i="40" a="1"/>
  <c r="AB6" i="40" s="1"/>
  <c r="AC6" i="40" a="1"/>
  <c r="AC6" i="40" s="1"/>
  <c r="AD6" i="40" a="1"/>
  <c r="AD6" i="40"/>
  <c r="AE6" i="40" a="1"/>
  <c r="AE6" i="40" s="1"/>
  <c r="AF6" i="40" a="1"/>
  <c r="AF6" i="40" s="1"/>
  <c r="AG6" i="40" a="1"/>
  <c r="AG6" i="40" s="1"/>
  <c r="AH6" i="40" a="1"/>
  <c r="AH6" i="40" s="1"/>
  <c r="AI6" i="40" a="1"/>
  <c r="AI6" i="40" s="1"/>
  <c r="AJ6" i="40" a="1"/>
  <c r="AJ6" i="40" s="1"/>
  <c r="AK6" i="40" a="1"/>
  <c r="AK6" i="40" s="1"/>
  <c r="AL6" i="40" a="1"/>
  <c r="AL6" i="40" s="1"/>
  <c r="AM6" i="40" a="1"/>
  <c r="AM6" i="40" s="1"/>
  <c r="AN6" i="40" a="1"/>
  <c r="AN6" i="40"/>
  <c r="AO6" i="40" a="1"/>
  <c r="AO6" i="40" s="1"/>
  <c r="AP6" i="40" a="1"/>
  <c r="AP6" i="40" s="1"/>
  <c r="AQ6" i="40" a="1"/>
  <c r="AQ6" i="40" s="1"/>
  <c r="B7" i="40" a="1"/>
  <c r="B7" i="40" s="1"/>
  <c r="C7" i="40" a="1"/>
  <c r="C7" i="40" s="1"/>
  <c r="D7" i="40" a="1"/>
  <c r="D7" i="40" s="1"/>
  <c r="E7" i="40" a="1"/>
  <c r="E7" i="40" s="1"/>
  <c r="F7" i="40" a="1"/>
  <c r="F7" i="40" s="1"/>
  <c r="G7" i="40" a="1"/>
  <c r="G7" i="40" s="1"/>
  <c r="H7" i="40" a="1"/>
  <c r="H7" i="40"/>
  <c r="I7" i="40" a="1"/>
  <c r="I7" i="40" s="1"/>
  <c r="J7" i="40" a="1"/>
  <c r="J7" i="40" s="1"/>
  <c r="K7" i="40" a="1"/>
  <c r="K7" i="40" s="1"/>
  <c r="L7" i="40" a="1"/>
  <c r="L7" i="40" s="1"/>
  <c r="M7" i="40" a="1"/>
  <c r="M7" i="40" s="1"/>
  <c r="N7" i="40" a="1"/>
  <c r="N7" i="40" s="1"/>
  <c r="O7" i="40" a="1"/>
  <c r="O7" i="40" s="1"/>
  <c r="P7" i="40" a="1"/>
  <c r="P7" i="40" s="1"/>
  <c r="Q7" i="40" a="1"/>
  <c r="Q7" i="40" s="1"/>
  <c r="R7" i="40" a="1"/>
  <c r="R7" i="40"/>
  <c r="S7" i="40" a="1"/>
  <c r="S7" i="40" s="1"/>
  <c r="T7" i="40" a="1"/>
  <c r="T7" i="40" s="1"/>
  <c r="U7" i="40" a="1"/>
  <c r="U7" i="40" s="1"/>
  <c r="V7" i="40" a="1"/>
  <c r="V7" i="40" s="1"/>
  <c r="W7" i="40" a="1"/>
  <c r="W7" i="40" s="1"/>
  <c r="X7" i="40" a="1"/>
  <c r="X7" i="40" s="1"/>
  <c r="Y7" i="40" a="1"/>
  <c r="Y7" i="40" s="1"/>
  <c r="Z7" i="40" a="1"/>
  <c r="Z7" i="40" s="1"/>
  <c r="AA7" i="40" a="1"/>
  <c r="AA7" i="40" s="1"/>
  <c r="AB7" i="40" a="1"/>
  <c r="AB7" i="40"/>
  <c r="AC7" i="40" a="1"/>
  <c r="AC7" i="40" s="1"/>
  <c r="AD7" i="40" a="1"/>
  <c r="AD7" i="40" s="1"/>
  <c r="AE7" i="40" a="1"/>
  <c r="AE7" i="40" s="1"/>
  <c r="AF7" i="40" a="1"/>
  <c r="AF7" i="40" s="1"/>
  <c r="AG7" i="40" a="1"/>
  <c r="AG7" i="40" s="1"/>
  <c r="AH7" i="40" a="1"/>
  <c r="AH7" i="40" s="1"/>
  <c r="AI7" i="40" a="1"/>
  <c r="AI7" i="40" s="1"/>
  <c r="AJ7" i="40" a="1"/>
  <c r="AJ7" i="40" s="1"/>
  <c r="AK7" i="40" a="1"/>
  <c r="AK7" i="40" s="1"/>
  <c r="AL7" i="40" a="1"/>
  <c r="AL7" i="40"/>
  <c r="AM7" i="40" a="1"/>
  <c r="AM7" i="40" s="1"/>
  <c r="AN7" i="40" a="1"/>
  <c r="AN7" i="40" s="1"/>
  <c r="AO7" i="40" a="1"/>
  <c r="AO7" i="40" s="1"/>
  <c r="AP7" i="40" a="1"/>
  <c r="AP7" i="40" s="1"/>
  <c r="AQ7" i="40" a="1"/>
  <c r="AQ7" i="40" s="1"/>
  <c r="B8" i="40" a="1"/>
  <c r="B8" i="40" s="1"/>
  <c r="C8" i="40" a="1"/>
  <c r="C8" i="40" s="1"/>
  <c r="D8" i="40" a="1"/>
  <c r="D8" i="40" s="1"/>
  <c r="E8" i="40" a="1"/>
  <c r="E8" i="40" s="1"/>
  <c r="F8" i="40" a="1"/>
  <c r="F8" i="40"/>
  <c r="G8" i="40" a="1"/>
  <c r="G8" i="40" s="1"/>
  <c r="H8" i="40" a="1"/>
  <c r="H8" i="40" s="1"/>
  <c r="I8" i="40" a="1"/>
  <c r="I8" i="40" s="1"/>
  <c r="J8" i="40" a="1"/>
  <c r="J8" i="40" s="1"/>
  <c r="K8" i="40" a="1"/>
  <c r="K8" i="40" s="1"/>
  <c r="L8" i="40" a="1"/>
  <c r="L8" i="40" s="1"/>
  <c r="M8" i="40" a="1"/>
  <c r="M8" i="40" s="1"/>
  <c r="N8" i="40" a="1"/>
  <c r="N8" i="40" s="1"/>
  <c r="O8" i="40" a="1"/>
  <c r="O8" i="40" s="1"/>
  <c r="P8" i="40" a="1"/>
  <c r="P8" i="40"/>
  <c r="Q8" i="40" a="1"/>
  <c r="Q8" i="40" s="1"/>
  <c r="R8" i="40" a="1"/>
  <c r="R8" i="40" s="1"/>
  <c r="S8" i="40" a="1"/>
  <c r="S8" i="40" s="1"/>
  <c r="T8" i="40" a="1"/>
  <c r="T8" i="40" s="1"/>
  <c r="U8" i="40" a="1"/>
  <c r="U8" i="40" s="1"/>
  <c r="V8" i="40" a="1"/>
  <c r="V8" i="40" s="1"/>
  <c r="W8" i="40" a="1"/>
  <c r="W8" i="40" s="1"/>
  <c r="X8" i="40" a="1"/>
  <c r="X8" i="40" s="1"/>
  <c r="Y8" i="40" a="1"/>
  <c r="Y8" i="40" s="1"/>
  <c r="Z8" i="40" a="1"/>
  <c r="Z8" i="40"/>
  <c r="AA8" i="40" a="1"/>
  <c r="AA8" i="40" s="1"/>
  <c r="AB8" i="40" a="1"/>
  <c r="AB8" i="40" s="1"/>
  <c r="AC8" i="40" a="1"/>
  <c r="AC8" i="40" s="1"/>
  <c r="AD8" i="40" a="1"/>
  <c r="AD8" i="40" s="1"/>
  <c r="AE8" i="40" a="1"/>
  <c r="AE8" i="40" s="1"/>
  <c r="AF8" i="40" a="1"/>
  <c r="AF8" i="40" s="1"/>
  <c r="AG8" i="40" a="1"/>
  <c r="AG8" i="40" s="1"/>
  <c r="AH8" i="40" a="1"/>
  <c r="AH8" i="40" s="1"/>
  <c r="AI8" i="40" a="1"/>
  <c r="AI8" i="40" s="1"/>
  <c r="AJ8" i="40" a="1"/>
  <c r="AJ8" i="40"/>
  <c r="AK8" i="40" a="1"/>
  <c r="AK8" i="40" s="1"/>
  <c r="AL8" i="40" a="1"/>
  <c r="AL8" i="40" s="1"/>
  <c r="AM8" i="40" a="1"/>
  <c r="AM8" i="40" s="1"/>
  <c r="AN8" i="40" a="1"/>
  <c r="AN8" i="40" s="1"/>
  <c r="AO8" i="40" a="1"/>
  <c r="AO8" i="40" s="1"/>
  <c r="AP8" i="40" a="1"/>
  <c r="AP8" i="40" s="1"/>
  <c r="AQ8" i="40" a="1"/>
  <c r="AQ8" i="40" s="1"/>
  <c r="B9" i="40" a="1"/>
  <c r="B9" i="40" s="1"/>
  <c r="C9" i="40" a="1"/>
  <c r="C9" i="40" s="1"/>
  <c r="D9" i="40" a="1"/>
  <c r="D9" i="40"/>
  <c r="E9" i="40" a="1"/>
  <c r="E9" i="40" s="1"/>
  <c r="F9" i="40" a="1"/>
  <c r="F9" i="40" s="1"/>
  <c r="G9" i="40" a="1"/>
  <c r="G9" i="40" s="1"/>
  <c r="H9" i="40" a="1"/>
  <c r="H9" i="40" s="1"/>
  <c r="I9" i="40" a="1"/>
  <c r="I9" i="40" s="1"/>
  <c r="J9" i="40" a="1"/>
  <c r="J9" i="40" s="1"/>
  <c r="K9" i="40" a="1"/>
  <c r="K9" i="40" s="1"/>
  <c r="L9" i="40" a="1"/>
  <c r="L9" i="40" s="1"/>
  <c r="M9" i="40" a="1"/>
  <c r="M9" i="40" s="1"/>
  <c r="N9" i="40" a="1"/>
  <c r="N9" i="40"/>
  <c r="O9" i="40" a="1"/>
  <c r="O9" i="40" s="1"/>
  <c r="P9" i="40" a="1"/>
  <c r="P9" i="40" s="1"/>
  <c r="Q9" i="40" a="1"/>
  <c r="Q9" i="40" s="1"/>
  <c r="R9" i="40" a="1"/>
  <c r="R9" i="40" s="1"/>
  <c r="S9" i="40" a="1"/>
  <c r="S9" i="40" s="1"/>
  <c r="T9" i="40" a="1"/>
  <c r="T9" i="40" s="1"/>
  <c r="U9" i="40" a="1"/>
  <c r="U9" i="40" s="1"/>
  <c r="V9" i="40" a="1"/>
  <c r="V9" i="40" s="1"/>
  <c r="W9" i="40" a="1"/>
  <c r="W9" i="40" s="1"/>
  <c r="X9" i="40" a="1"/>
  <c r="X9" i="40"/>
  <c r="Y9" i="40" a="1"/>
  <c r="Y9" i="40" s="1"/>
  <c r="Z9" i="40" a="1"/>
  <c r="Z9" i="40" s="1"/>
  <c r="AA9" i="40" a="1"/>
  <c r="AA9" i="40" s="1"/>
  <c r="AB9" i="40" a="1"/>
  <c r="AB9" i="40" s="1"/>
  <c r="AC9" i="40" a="1"/>
  <c r="AC9" i="40" s="1"/>
  <c r="AD9" i="40" a="1"/>
  <c r="AD9" i="40" s="1"/>
  <c r="AE9" i="40" a="1"/>
  <c r="AE9" i="40" s="1"/>
  <c r="AF9" i="40" a="1"/>
  <c r="AF9" i="40" s="1"/>
  <c r="AG9" i="40" a="1"/>
  <c r="AG9" i="40" s="1"/>
  <c r="AH9" i="40" a="1"/>
  <c r="AH9" i="40"/>
  <c r="AI9" i="40" a="1"/>
  <c r="AI9" i="40" s="1"/>
  <c r="AJ9" i="40" a="1"/>
  <c r="AJ9" i="40" s="1"/>
  <c r="AK9" i="40" a="1"/>
  <c r="AK9" i="40" s="1"/>
  <c r="AL9" i="40" a="1"/>
  <c r="AL9" i="40" s="1"/>
  <c r="AM9" i="40" a="1"/>
  <c r="AM9" i="40" s="1"/>
  <c r="AN9" i="40" a="1"/>
  <c r="AN9" i="40" s="1"/>
  <c r="AO9" i="40" a="1"/>
  <c r="AO9" i="40" s="1"/>
  <c r="AP9" i="40" a="1"/>
  <c r="AP9" i="40" s="1"/>
  <c r="AQ9" i="40" a="1"/>
  <c r="AQ9" i="40" s="1"/>
  <c r="B10" i="40" a="1"/>
  <c r="B10" i="40"/>
  <c r="C10" i="40" a="1"/>
  <c r="C10" i="40" s="1"/>
  <c r="D10" i="40" a="1"/>
  <c r="D10" i="40" s="1"/>
  <c r="E10" i="40" a="1"/>
  <c r="E10" i="40" s="1"/>
  <c r="F10" i="40" a="1"/>
  <c r="F10" i="40" s="1"/>
  <c r="G10" i="40" a="1"/>
  <c r="G10" i="40" s="1"/>
  <c r="H10" i="40" a="1"/>
  <c r="H10" i="40" s="1"/>
  <c r="I10" i="40" a="1"/>
  <c r="I10" i="40" s="1"/>
  <c r="J10" i="40" a="1"/>
  <c r="J10" i="40" s="1"/>
  <c r="K10" i="40" a="1"/>
  <c r="K10" i="40" s="1"/>
  <c r="L10" i="40" a="1"/>
  <c r="L10" i="40"/>
  <c r="M10" i="40" a="1"/>
  <c r="M10" i="40" s="1"/>
  <c r="N10" i="40" a="1"/>
  <c r="N10" i="40" s="1"/>
  <c r="O10" i="40" a="1"/>
  <c r="O10" i="40" s="1"/>
  <c r="P10" i="40" a="1"/>
  <c r="P10" i="40" s="1"/>
  <c r="Q10" i="40" a="1"/>
  <c r="Q10" i="40" s="1"/>
  <c r="R10" i="40" a="1"/>
  <c r="R10" i="40" s="1"/>
  <c r="S10" i="40" a="1"/>
  <c r="S10" i="40" s="1"/>
  <c r="T10" i="40" a="1"/>
  <c r="T10" i="40" s="1"/>
  <c r="U10" i="40" a="1"/>
  <c r="U10" i="40" s="1"/>
  <c r="V10" i="40" a="1"/>
  <c r="V10" i="40"/>
  <c r="W10" i="40" a="1"/>
  <c r="W10" i="40" s="1"/>
  <c r="X10" i="40" a="1"/>
  <c r="X10" i="40" s="1"/>
  <c r="Y10" i="40" a="1"/>
  <c r="Y10" i="40" s="1"/>
  <c r="Z10" i="40" a="1"/>
  <c r="Z10" i="40" s="1"/>
  <c r="AA10" i="40" a="1"/>
  <c r="AA10" i="40" s="1"/>
  <c r="AB10" i="40" a="1"/>
  <c r="AB10" i="40" s="1"/>
  <c r="AC10" i="40" a="1"/>
  <c r="AC10" i="40" s="1"/>
  <c r="AD10" i="40" a="1"/>
  <c r="AD10" i="40" s="1"/>
  <c r="AE10" i="40" a="1"/>
  <c r="AE10" i="40" s="1"/>
  <c r="AF10" i="40" a="1"/>
  <c r="AF10" i="40"/>
  <c r="AG10" i="40" a="1"/>
  <c r="AG10" i="40" s="1"/>
  <c r="AH10" i="40" a="1"/>
  <c r="AH10" i="40" s="1"/>
  <c r="AI10" i="40" a="1"/>
  <c r="AI10" i="40" s="1"/>
  <c r="AJ10" i="40" a="1"/>
  <c r="AJ10" i="40" s="1"/>
  <c r="AK10" i="40" a="1"/>
  <c r="AK10" i="40" s="1"/>
  <c r="AL10" i="40" a="1"/>
  <c r="AL10" i="40" s="1"/>
  <c r="AM10" i="40" a="1"/>
  <c r="AM10" i="40" s="1"/>
  <c r="AN10" i="40" a="1"/>
  <c r="AN10" i="40" s="1"/>
  <c r="AO10" i="40" a="1"/>
  <c r="AO10" i="40" s="1"/>
  <c r="AP10" i="40" a="1"/>
  <c r="AP10" i="40"/>
  <c r="AQ10" i="40" a="1"/>
  <c r="AQ10" i="40" s="1"/>
  <c r="B11" i="40" a="1"/>
  <c r="B11" i="40" s="1"/>
  <c r="C11" i="40" a="1"/>
  <c r="C11" i="40" s="1"/>
  <c r="D11" i="40" a="1"/>
  <c r="D11" i="40" s="1"/>
  <c r="E11" i="40" a="1"/>
  <c r="E11" i="40" s="1"/>
  <c r="F11" i="40" a="1"/>
  <c r="F11" i="40" s="1"/>
  <c r="G11" i="40" a="1"/>
  <c r="G11" i="40" s="1"/>
  <c r="H11" i="40" a="1"/>
  <c r="H11" i="40" s="1"/>
  <c r="I11" i="40" a="1"/>
  <c r="I11" i="40" s="1"/>
  <c r="J11" i="40" a="1"/>
  <c r="J11" i="40"/>
  <c r="K11" i="40" a="1"/>
  <c r="K11" i="40" s="1"/>
  <c r="L11" i="40" a="1"/>
  <c r="L11" i="40" s="1"/>
  <c r="M11" i="40" a="1"/>
  <c r="M11" i="40" s="1"/>
  <c r="N11" i="40" a="1"/>
  <c r="N11" i="40" s="1"/>
  <c r="O11" i="40" a="1"/>
  <c r="O11" i="40" s="1"/>
  <c r="P11" i="40" a="1"/>
  <c r="P11" i="40" s="1"/>
  <c r="Q11" i="40" a="1"/>
  <c r="Q11" i="40" s="1"/>
  <c r="R11" i="40" a="1"/>
  <c r="R11" i="40" s="1"/>
  <c r="S11" i="40" a="1"/>
  <c r="S11" i="40" s="1"/>
  <c r="T11" i="40" a="1"/>
  <c r="T11" i="40"/>
  <c r="U11" i="40" a="1"/>
  <c r="U11" i="40" s="1"/>
  <c r="V11" i="40" a="1"/>
  <c r="V11" i="40" s="1"/>
  <c r="W11" i="40" a="1"/>
  <c r="W11" i="40" s="1"/>
  <c r="X11" i="40" a="1"/>
  <c r="X11" i="40" s="1"/>
  <c r="Y11" i="40" a="1"/>
  <c r="Y11" i="40" s="1"/>
  <c r="Z11" i="40" a="1"/>
  <c r="Z11" i="40" s="1"/>
  <c r="AA11" i="40" a="1"/>
  <c r="AA11" i="40" s="1"/>
  <c r="AB11" i="40" a="1"/>
  <c r="AB11" i="40" s="1"/>
  <c r="AC11" i="40" a="1"/>
  <c r="AC11" i="40" s="1"/>
  <c r="AD11" i="40" a="1"/>
  <c r="AD11" i="40"/>
  <c r="AE11" i="40" a="1"/>
  <c r="AE11" i="40" s="1"/>
  <c r="AF11" i="40" a="1"/>
  <c r="AF11" i="40" s="1"/>
  <c r="AG11" i="40" a="1"/>
  <c r="AG11" i="40" s="1"/>
  <c r="AH11" i="40" a="1"/>
  <c r="AH11" i="40" s="1"/>
  <c r="AI11" i="40" a="1"/>
  <c r="AI11" i="40" s="1"/>
  <c r="AJ11" i="40" a="1"/>
  <c r="AJ11" i="40" s="1"/>
  <c r="AK11" i="40" a="1"/>
  <c r="AK11" i="40"/>
  <c r="AL11" i="40" a="1"/>
  <c r="AL11" i="40"/>
  <c r="AM11" i="40" a="1"/>
  <c r="AM11" i="40" s="1"/>
  <c r="AN11" i="40" a="1"/>
  <c r="AN11" i="40" s="1"/>
  <c r="AO11" i="40" a="1"/>
  <c r="AO11" i="40" s="1"/>
  <c r="AP11" i="40" a="1"/>
  <c r="AP11" i="40"/>
  <c r="AQ11" i="40" a="1"/>
  <c r="AQ11" i="40"/>
  <c r="B12" i="40" a="1"/>
  <c r="B12" i="40"/>
  <c r="C12" i="40" a="1"/>
  <c r="C12" i="40"/>
  <c r="D12" i="40" a="1"/>
  <c r="D12" i="40" s="1"/>
  <c r="E12" i="40" a="1"/>
  <c r="E12" i="40" s="1"/>
  <c r="F12" i="40" a="1"/>
  <c r="F12" i="40" s="1"/>
  <c r="G12" i="40" a="1"/>
  <c r="G12" i="40" s="1"/>
  <c r="H12" i="40" a="1"/>
  <c r="H12" i="40"/>
  <c r="I12" i="40" a="1"/>
  <c r="I12" i="40"/>
  <c r="J12" i="40" a="1"/>
  <c r="J12" i="40"/>
  <c r="K12" i="40" a="1"/>
  <c r="K12" i="40"/>
  <c r="L12" i="40" a="1"/>
  <c r="L12" i="40"/>
  <c r="M12" i="40" a="1"/>
  <c r="M12" i="40"/>
  <c r="N12" i="40" a="1"/>
  <c r="N12" i="40" s="1"/>
  <c r="O12" i="40" a="1"/>
  <c r="O12" i="40" s="1"/>
  <c r="P12" i="40" a="1"/>
  <c r="P12" i="40" s="1"/>
  <c r="Q12" i="40" a="1"/>
  <c r="Q12" i="40" s="1"/>
  <c r="R12" i="40" a="1"/>
  <c r="R12" i="40"/>
  <c r="S12" i="40" a="1"/>
  <c r="S12" i="40"/>
  <c r="T12" i="40" a="1"/>
  <c r="T12" i="40"/>
  <c r="U12" i="40" a="1"/>
  <c r="U12" i="40"/>
  <c r="V12" i="40" a="1"/>
  <c r="V12" i="40"/>
  <c r="W12" i="40" a="1"/>
  <c r="W12" i="40"/>
  <c r="X12" i="40" a="1"/>
  <c r="X12" i="40" s="1"/>
  <c r="Y12" i="40" a="1"/>
  <c r="Y12" i="40" s="1"/>
  <c r="Z12" i="40" a="1"/>
  <c r="Z12" i="40" s="1"/>
  <c r="AA12" i="40" a="1"/>
  <c r="AA12" i="40" s="1"/>
  <c r="AB12" i="40" a="1"/>
  <c r="AB12" i="40"/>
  <c r="AC12" i="40" a="1"/>
  <c r="AC12" i="40"/>
  <c r="AD12" i="40" a="1"/>
  <c r="AD12" i="40"/>
  <c r="AE12" i="40" a="1"/>
  <c r="AE12" i="40"/>
  <c r="AF12" i="40" a="1"/>
  <c r="AF12" i="40"/>
  <c r="AG12" i="40" a="1"/>
  <c r="AG12" i="40"/>
  <c r="AH12" i="40" a="1"/>
  <c r="AH12" i="40" s="1"/>
  <c r="AI12" i="40" a="1"/>
  <c r="AI12" i="40" s="1"/>
  <c r="AJ12" i="40" a="1"/>
  <c r="AJ12" i="40" s="1"/>
  <c r="AK12" i="40" a="1"/>
  <c r="AK12" i="40" s="1"/>
  <c r="AL12" i="40" a="1"/>
  <c r="AL12" i="40"/>
  <c r="AM12" i="40" a="1"/>
  <c r="AM12" i="40"/>
  <c r="AN12" i="40" a="1"/>
  <c r="AN12" i="40"/>
  <c r="AO12" i="40" a="1"/>
  <c r="AO12" i="40"/>
  <c r="AP12" i="40" a="1"/>
  <c r="AP12" i="40"/>
  <c r="AQ12" i="40" a="1"/>
  <c r="AQ12" i="40"/>
  <c r="B13" i="40" a="1"/>
  <c r="B13" i="40" s="1"/>
  <c r="C13" i="40" a="1"/>
  <c r="C13" i="40" s="1"/>
  <c r="D13" i="40" a="1"/>
  <c r="D13" i="40" s="1"/>
  <c r="E13" i="40" a="1"/>
  <c r="E13" i="40" s="1"/>
  <c r="F13" i="40" a="1"/>
  <c r="F13" i="40"/>
  <c r="G13" i="40" a="1"/>
  <c r="G13" i="40"/>
  <c r="H13" i="40" a="1"/>
  <c r="H13" i="40"/>
  <c r="I13" i="40" a="1"/>
  <c r="I13" i="40"/>
  <c r="J13" i="40" a="1"/>
  <c r="J13" i="40"/>
  <c r="K13" i="40" a="1"/>
  <c r="K13" i="40"/>
  <c r="L13" i="40" a="1"/>
  <c r="L13" i="40" s="1"/>
  <c r="M13" i="40" a="1"/>
  <c r="M13" i="40" s="1"/>
  <c r="N13" i="40" a="1"/>
  <c r="N13" i="40" s="1"/>
  <c r="O13" i="40" a="1"/>
  <c r="O13" i="40" s="1"/>
  <c r="P13" i="40" a="1"/>
  <c r="P13" i="40"/>
  <c r="Q13" i="40" a="1"/>
  <c r="Q13" i="40"/>
  <c r="R13" i="40" a="1"/>
  <c r="R13" i="40"/>
  <c r="S13" i="40" a="1"/>
  <c r="S13" i="40"/>
  <c r="T13" i="40" a="1"/>
  <c r="T13" i="40"/>
  <c r="U13" i="40" a="1"/>
  <c r="U13" i="40"/>
  <c r="V13" i="40" a="1"/>
  <c r="V13" i="40" s="1"/>
  <c r="W13" i="40" a="1"/>
  <c r="W13" i="40" s="1"/>
  <c r="X13" i="40" a="1"/>
  <c r="X13" i="40" s="1"/>
  <c r="Y13" i="40" a="1"/>
  <c r="Y13" i="40" s="1"/>
  <c r="Z13" i="40" a="1"/>
  <c r="Z13" i="40"/>
  <c r="AA13" i="40" a="1"/>
  <c r="AA13" i="40"/>
  <c r="AB13" i="40" a="1"/>
  <c r="AB13" i="40"/>
  <c r="AC13" i="40" a="1"/>
  <c r="AC13" i="40"/>
  <c r="AD13" i="40" a="1"/>
  <c r="AD13" i="40"/>
  <c r="AE13" i="40" a="1"/>
  <c r="AE13" i="40"/>
  <c r="AF13" i="40" a="1"/>
  <c r="AF13" i="40" s="1"/>
  <c r="AG13" i="40" a="1"/>
  <c r="AG13" i="40" s="1"/>
  <c r="AH13" i="40" a="1"/>
  <c r="AH13" i="40" s="1"/>
  <c r="AI13" i="40" a="1"/>
  <c r="AI13" i="40" s="1"/>
  <c r="AJ13" i="40" a="1"/>
  <c r="AJ13" i="40"/>
  <c r="AK13" i="40" a="1"/>
  <c r="AK13" i="40"/>
  <c r="AL13" i="40" a="1"/>
  <c r="AL13" i="40"/>
  <c r="AM13" i="40" a="1"/>
  <c r="AM13" i="40"/>
  <c r="AN13" i="40" a="1"/>
  <c r="AN13" i="40"/>
  <c r="AO13" i="40" a="1"/>
  <c r="AO13" i="40"/>
  <c r="AP13" i="40" a="1"/>
  <c r="AP13" i="40" s="1"/>
  <c r="AQ13" i="40" a="1"/>
  <c r="AQ13" i="40" s="1"/>
  <c r="B14" i="40" a="1"/>
  <c r="B14" i="40" s="1"/>
  <c r="C14" i="40" a="1"/>
  <c r="C14" i="40" s="1"/>
  <c r="D14" i="40" a="1"/>
  <c r="D14" i="40"/>
  <c r="E14" i="40" a="1"/>
  <c r="E14" i="40"/>
  <c r="F14" i="40" a="1"/>
  <c r="F14" i="40"/>
  <c r="G14" i="40" a="1"/>
  <c r="G14" i="40"/>
  <c r="H14" i="40" a="1"/>
  <c r="H14" i="40"/>
  <c r="I14" i="40" a="1"/>
  <c r="I14" i="40"/>
  <c r="J14" i="40" a="1"/>
  <c r="J14" i="40" s="1"/>
  <c r="K14" i="40" a="1"/>
  <c r="K14" i="40" s="1"/>
  <c r="L14" i="40" a="1"/>
  <c r="L14" i="40" s="1"/>
  <c r="M14" i="40" a="1"/>
  <c r="M14" i="40" s="1"/>
  <c r="N14" i="40" a="1"/>
  <c r="N14" i="40"/>
  <c r="O14" i="40" a="1"/>
  <c r="O14" i="40"/>
  <c r="P14" i="40" a="1"/>
  <c r="P14" i="40"/>
  <c r="Q14" i="40" a="1"/>
  <c r="Q14" i="40"/>
  <c r="R14" i="40" a="1"/>
  <c r="R14" i="40"/>
  <c r="S14" i="40" a="1"/>
  <c r="S14" i="40"/>
  <c r="T14" i="40" a="1"/>
  <c r="T14" i="40" s="1"/>
  <c r="U14" i="40" a="1"/>
  <c r="U14" i="40" s="1"/>
  <c r="V14" i="40" a="1"/>
  <c r="V14" i="40" s="1"/>
  <c r="W14" i="40" a="1"/>
  <c r="W14" i="40" s="1"/>
  <c r="X14" i="40" a="1"/>
  <c r="X14" i="40"/>
  <c r="Y14" i="40" a="1"/>
  <c r="Y14" i="40"/>
  <c r="Z14" i="40" a="1"/>
  <c r="Z14" i="40"/>
  <c r="AA14" i="40" a="1"/>
  <c r="AA14" i="40"/>
  <c r="AB14" i="40" a="1"/>
  <c r="AB14" i="40"/>
  <c r="AC14" i="40" a="1"/>
  <c r="AC14" i="40"/>
  <c r="AD14" i="40" a="1"/>
  <c r="AD14" i="40" s="1"/>
  <c r="AE14" i="40" a="1"/>
  <c r="AE14" i="40" s="1"/>
  <c r="AF14" i="40" a="1"/>
  <c r="AF14" i="40" s="1"/>
  <c r="AG14" i="40" a="1"/>
  <c r="AG14" i="40" s="1"/>
  <c r="AH14" i="40" a="1"/>
  <c r="AH14" i="40"/>
  <c r="AI14" i="40" a="1"/>
  <c r="AI14" i="40"/>
  <c r="AJ14" i="40" a="1"/>
  <c r="AJ14" i="40"/>
  <c r="AK14" i="40" a="1"/>
  <c r="AK14" i="40"/>
  <c r="AL14" i="40" a="1"/>
  <c r="AL14" i="40"/>
  <c r="AM14" i="40" a="1"/>
  <c r="AM14" i="40"/>
  <c r="AN14" i="40" a="1"/>
  <c r="AN14" i="40" s="1"/>
  <c r="AO14" i="40" a="1"/>
  <c r="AO14" i="40"/>
  <c r="AP14" i="40" a="1"/>
  <c r="AP14" i="40"/>
  <c r="AQ14" i="40" a="1"/>
  <c r="AQ14" i="40" s="1"/>
  <c r="B15" i="40" a="1"/>
  <c r="B15" i="40" s="1"/>
  <c r="C15" i="40" a="1"/>
  <c r="C15" i="40" s="1"/>
  <c r="D15" i="40" a="1"/>
  <c r="D15" i="40" s="1"/>
  <c r="E15" i="40" a="1"/>
  <c r="E15" i="40" s="1"/>
  <c r="F15" i="40" a="1"/>
  <c r="F15" i="40" s="1"/>
  <c r="G15" i="40" a="1"/>
  <c r="G15" i="40" s="1"/>
  <c r="H15" i="40" a="1"/>
  <c r="H15" i="40" s="1"/>
  <c r="I15" i="40" a="1"/>
  <c r="I15" i="40" s="1"/>
  <c r="J15" i="40" a="1"/>
  <c r="J15" i="40" s="1"/>
  <c r="K15" i="40" a="1"/>
  <c r="K15" i="40" s="1"/>
  <c r="L15" i="40" a="1"/>
  <c r="L15" i="40"/>
  <c r="M15" i="40" a="1"/>
  <c r="M15" i="40"/>
  <c r="N15" i="40" a="1"/>
  <c r="N15" i="40"/>
  <c r="O15" i="40" a="1"/>
  <c r="O15" i="40"/>
  <c r="P15" i="40" a="1"/>
  <c r="P15" i="40"/>
  <c r="Q15" i="40" a="1"/>
  <c r="Q15" i="40"/>
  <c r="R15" i="40" a="1"/>
  <c r="R15" i="40"/>
  <c r="S15" i="40" a="1"/>
  <c r="S15" i="40" s="1"/>
  <c r="T15" i="40" a="1"/>
  <c r="T15" i="40"/>
  <c r="U15" i="40" a="1"/>
  <c r="U15" i="40" s="1"/>
  <c r="V15" i="40" a="1"/>
  <c r="V15" i="40" s="1"/>
  <c r="W15" i="40" a="1"/>
  <c r="W15" i="40" s="1"/>
  <c r="X15" i="40" a="1"/>
  <c r="X15" i="40" s="1"/>
  <c r="Y15" i="40" a="1"/>
  <c r="Y15" i="40" s="1"/>
  <c r="Z15" i="40" a="1"/>
  <c r="Z15" i="40" s="1"/>
  <c r="AA15" i="40" a="1"/>
  <c r="AA15" i="40" s="1"/>
  <c r="AB15" i="40" a="1"/>
  <c r="AB15" i="40" s="1"/>
  <c r="AC15" i="40" a="1"/>
  <c r="AC15" i="40" s="1"/>
  <c r="AD15" i="40" a="1"/>
  <c r="AD15" i="40" s="1"/>
  <c r="AE15" i="40" a="1"/>
  <c r="AE15" i="40" s="1"/>
  <c r="AF15" i="40" a="1"/>
  <c r="AF15" i="40"/>
  <c r="AG15" i="40" a="1"/>
  <c r="AG15" i="40"/>
  <c r="AH15" i="40" a="1"/>
  <c r="AH15" i="40"/>
  <c r="AI15" i="40" a="1"/>
  <c r="AI15" i="40"/>
  <c r="AJ15" i="40" a="1"/>
  <c r="AJ15" i="40"/>
  <c r="AK15" i="40" a="1"/>
  <c r="AK15" i="40"/>
  <c r="AL15" i="40" a="1"/>
  <c r="AL15" i="40"/>
  <c r="AM15" i="40" a="1"/>
  <c r="AM15" i="40"/>
  <c r="AN15" i="40" a="1"/>
  <c r="AN15" i="40" s="1"/>
  <c r="AO15" i="40" a="1"/>
  <c r="AO15" i="40" s="1"/>
  <c r="AP15" i="40" a="1"/>
  <c r="AP15" i="40" s="1"/>
  <c r="AQ15" i="40" a="1"/>
  <c r="AQ15" i="40" s="1"/>
  <c r="B16" i="40" a="1"/>
  <c r="B16" i="40" s="1"/>
  <c r="C16" i="40" a="1"/>
  <c r="C16" i="40" s="1"/>
  <c r="D16" i="40" a="1"/>
  <c r="D16" i="40" s="1"/>
  <c r="E16" i="40" a="1"/>
  <c r="E16" i="40" s="1"/>
  <c r="F16" i="40" a="1"/>
  <c r="F16" i="40" s="1"/>
  <c r="G16" i="40" a="1"/>
  <c r="G16" i="40" s="1"/>
  <c r="H16" i="40" a="1"/>
  <c r="H16" i="40" s="1"/>
  <c r="I16" i="40" a="1"/>
  <c r="I16" i="40" s="1"/>
  <c r="J16" i="40" a="1"/>
  <c r="J16" i="40"/>
  <c r="K16" i="40" a="1"/>
  <c r="K16" i="40"/>
  <c r="L16" i="40" a="1"/>
  <c r="L16" i="40"/>
  <c r="M16" i="40" a="1"/>
  <c r="M16" i="40"/>
  <c r="N16" i="40" a="1"/>
  <c r="N16" i="40"/>
  <c r="O16" i="40" a="1"/>
  <c r="O16" i="40"/>
  <c r="P16" i="40" a="1"/>
  <c r="P16" i="40"/>
  <c r="Q16" i="40" a="1"/>
  <c r="Q16" i="40"/>
  <c r="R16" i="40" a="1"/>
  <c r="R16" i="40"/>
  <c r="S16" i="40" a="1"/>
  <c r="S16" i="40" s="1"/>
  <c r="T16" i="40" a="1"/>
  <c r="T16" i="40" s="1"/>
  <c r="U16" i="40" a="1"/>
  <c r="U16" i="40" s="1"/>
  <c r="V16" i="40" a="1"/>
  <c r="V16" i="40" s="1"/>
  <c r="W16" i="40" a="1"/>
  <c r="W16" i="40" s="1"/>
  <c r="X16" i="40" a="1"/>
  <c r="X16" i="40" s="1"/>
  <c r="Y16" i="40" a="1"/>
  <c r="Y16" i="40" s="1"/>
  <c r="Z16" i="40" a="1"/>
  <c r="Z16" i="40" s="1"/>
  <c r="AA16" i="40" a="1"/>
  <c r="AA16" i="40" s="1"/>
  <c r="AB16" i="40" a="1"/>
  <c r="AB16" i="40" s="1"/>
  <c r="AC16" i="40" a="1"/>
  <c r="AC16" i="40" s="1"/>
  <c r="AD16" i="40" a="1"/>
  <c r="AD16" i="40" s="1"/>
  <c r="AE16" i="40" a="1"/>
  <c r="AE16" i="40"/>
  <c r="AF16" i="40" a="1"/>
  <c r="AF16" i="40"/>
  <c r="AG16" i="40" a="1"/>
  <c r="AG16" i="40"/>
  <c r="AH16" i="40" a="1"/>
  <c r="AH16" i="40"/>
  <c r="AI16" i="40" a="1"/>
  <c r="AI16" i="40"/>
  <c r="AJ16" i="40" a="1"/>
  <c r="AJ16" i="40"/>
  <c r="AK16" i="40" a="1"/>
  <c r="AK16" i="40"/>
  <c r="AL16" i="40" a="1"/>
  <c r="AL16" i="40"/>
  <c r="AM16" i="40" a="1"/>
  <c r="AM16" i="40" s="1"/>
  <c r="AN16" i="40" a="1"/>
  <c r="AN16" i="40" s="1"/>
  <c r="AO16" i="40" a="1"/>
  <c r="AO16" i="40" s="1"/>
  <c r="AP16" i="40" a="1"/>
  <c r="AP16" i="40" s="1"/>
  <c r="AQ16" i="40" a="1"/>
  <c r="AQ16" i="40" s="1"/>
  <c r="B17" i="40" a="1"/>
  <c r="B17" i="40" s="1"/>
  <c r="C17" i="40" a="1"/>
  <c r="C17" i="40" s="1"/>
  <c r="D17" i="40" a="1"/>
  <c r="D17" i="40" s="1"/>
  <c r="E17" i="40" a="1"/>
  <c r="E17" i="40" s="1"/>
  <c r="F17" i="40" a="1"/>
  <c r="F17" i="40" s="1"/>
  <c r="G17" i="40" a="1"/>
  <c r="G17" i="40" s="1"/>
  <c r="H17" i="40" a="1"/>
  <c r="H17" i="40"/>
  <c r="I17" i="40" a="1"/>
  <c r="I17" i="40" s="1"/>
  <c r="J17" i="40" a="1"/>
  <c r="J17" i="40"/>
  <c r="K17" i="40" a="1"/>
  <c r="K17" i="40"/>
  <c r="L17" i="40" a="1"/>
  <c r="L17" i="40"/>
  <c r="M17" i="40" a="1"/>
  <c r="M17" i="40"/>
  <c r="N17" i="40" a="1"/>
  <c r="N17" i="40"/>
  <c r="O17" i="40" a="1"/>
  <c r="O17" i="40"/>
  <c r="P17" i="40" a="1"/>
  <c r="P17" i="40"/>
  <c r="Q17" i="40" a="1"/>
  <c r="Q17" i="40" s="1"/>
  <c r="R17" i="40" a="1"/>
  <c r="R17" i="40" s="1"/>
  <c r="S17" i="40" a="1"/>
  <c r="S17" i="40" s="1"/>
  <c r="T17" i="40" a="1"/>
  <c r="T17" i="40" s="1"/>
  <c r="U17" i="40" a="1"/>
  <c r="U17" i="40" s="1"/>
  <c r="V17" i="40" a="1"/>
  <c r="V17" i="40" s="1"/>
  <c r="W17" i="40" a="1"/>
  <c r="W17" i="40" s="1"/>
  <c r="X17" i="40" a="1"/>
  <c r="X17" i="40" s="1"/>
  <c r="Y17" i="40" a="1"/>
  <c r="Y17" i="40" s="1"/>
  <c r="Z17" i="40" a="1"/>
  <c r="Z17" i="40" s="1"/>
  <c r="AA17" i="40" a="1"/>
  <c r="AA17" i="40" s="1"/>
  <c r="AB17" i="40" a="1"/>
  <c r="AB17" i="40"/>
  <c r="AC17" i="40" a="1"/>
  <c r="AC17" i="40"/>
  <c r="AD17" i="40" a="1"/>
  <c r="AD17" i="40" s="1"/>
  <c r="AE17" i="40" a="1"/>
  <c r="AE17" i="40"/>
  <c r="AF17" i="40" a="1"/>
  <c r="AF17" i="40"/>
  <c r="AG17" i="40" a="1"/>
  <c r="AG17" i="40"/>
  <c r="AH17" i="40" a="1"/>
  <c r="AH17" i="40"/>
  <c r="AI17" i="40" a="1"/>
  <c r="AI17" i="40"/>
  <c r="AJ17" i="40" a="1"/>
  <c r="AJ17" i="40"/>
  <c r="AK17" i="40" a="1"/>
  <c r="AK17" i="40" s="1"/>
  <c r="AL17" i="40" a="1"/>
  <c r="AL17" i="40" s="1"/>
  <c r="AM17" i="40" a="1"/>
  <c r="AM17" i="40" s="1"/>
  <c r="AN17" i="40" a="1"/>
  <c r="AN17" i="40"/>
  <c r="AO17" i="40" a="1"/>
  <c r="AO17" i="40" s="1"/>
  <c r="AP17" i="40" a="1"/>
  <c r="AP17" i="40" s="1"/>
  <c r="AQ17" i="40" a="1"/>
  <c r="AQ17" i="40" s="1"/>
  <c r="B18" i="40" a="1"/>
  <c r="B18" i="40" s="1"/>
  <c r="C18" i="40" a="1"/>
  <c r="C18" i="40" s="1"/>
  <c r="D18" i="40" a="1"/>
  <c r="D18" i="40" s="1"/>
  <c r="E18" i="40" a="1"/>
  <c r="E18" i="40" s="1"/>
  <c r="F18" i="40" a="1"/>
  <c r="F18" i="40"/>
  <c r="G18" i="40" a="1"/>
  <c r="G18" i="40"/>
  <c r="H18" i="40" a="1"/>
  <c r="H18" i="40"/>
  <c r="I18" i="40" a="1"/>
  <c r="I18" i="40"/>
  <c r="J18" i="40" a="1"/>
  <c r="J18" i="40"/>
  <c r="K18" i="40" a="1"/>
  <c r="K18" i="40"/>
  <c r="L18" i="40" a="1"/>
  <c r="L18" i="40"/>
  <c r="M18" i="40" a="1"/>
  <c r="M18" i="40"/>
  <c r="N18" i="40" a="1"/>
  <c r="N18" i="40"/>
  <c r="O18" i="40" a="1"/>
  <c r="O18" i="40" s="1"/>
  <c r="P18" i="40" a="1"/>
  <c r="P18" i="40" s="1"/>
  <c r="Q18" i="40" a="1"/>
  <c r="Q18" i="40"/>
  <c r="R18" i="40" a="1"/>
  <c r="R18" i="40" s="1"/>
  <c r="S18" i="40" a="1"/>
  <c r="S18" i="40" s="1"/>
  <c r="T18" i="40" a="1"/>
  <c r="T18" i="40" s="1"/>
  <c r="U18" i="40" a="1"/>
  <c r="U18" i="40" s="1"/>
  <c r="V18" i="40" a="1"/>
  <c r="V18" i="40" s="1"/>
  <c r="W18" i="40" a="1"/>
  <c r="W18" i="40" s="1"/>
  <c r="X18" i="40" a="1"/>
  <c r="X18" i="40" s="1"/>
  <c r="Y18" i="40" a="1"/>
  <c r="Y18" i="40" s="1"/>
  <c r="Z18" i="40" a="1"/>
  <c r="Z18" i="40"/>
  <c r="AA18" i="40" a="1"/>
  <c r="AA18" i="40"/>
  <c r="AB18" i="40" a="1"/>
  <c r="AB18" i="40"/>
  <c r="AC18" i="40" a="1"/>
  <c r="AC18" i="40"/>
  <c r="AD18" i="40" a="1"/>
  <c r="AD18" i="40" s="1"/>
  <c r="AE18" i="40" a="1"/>
  <c r="AE18" i="40"/>
  <c r="AF18" i="40" a="1"/>
  <c r="AF18" i="40"/>
  <c r="AG18" i="40" a="1"/>
  <c r="AG18" i="40"/>
  <c r="AH18" i="40" a="1"/>
  <c r="AH18" i="40"/>
  <c r="AI18" i="40" a="1"/>
  <c r="AI18" i="40" s="1"/>
  <c r="AJ18" i="40" a="1"/>
  <c r="AJ18" i="40" s="1"/>
  <c r="AK18" i="40" a="1"/>
  <c r="AK18" i="40" s="1"/>
  <c r="AL18" i="40" a="1"/>
  <c r="AL18" i="40"/>
  <c r="AM18" i="40" a="1"/>
  <c r="AM18" i="40" s="1"/>
  <c r="AN18" i="40" a="1"/>
  <c r="AN18" i="40" s="1"/>
  <c r="AO18" i="40" a="1"/>
  <c r="AO18" i="40" s="1"/>
  <c r="AP18" i="40" a="1"/>
  <c r="AP18" i="40" s="1"/>
  <c r="AQ18" i="40" a="1"/>
  <c r="AQ18" i="40" s="1"/>
  <c r="B19" i="40" a="1"/>
  <c r="B19" i="40" s="1"/>
  <c r="C19" i="40" a="1"/>
  <c r="C19" i="40" s="1"/>
  <c r="D19" i="40" a="1"/>
  <c r="D19" i="40"/>
  <c r="E19" i="40" a="1"/>
  <c r="E19" i="40" s="1"/>
  <c r="F19" i="40" a="1"/>
  <c r="F19" i="40"/>
  <c r="G19" i="40" a="1"/>
  <c r="G19" i="40"/>
  <c r="H19" i="40" a="1"/>
  <c r="H19" i="40"/>
  <c r="I19" i="40" a="1"/>
  <c r="I19" i="40" s="1"/>
  <c r="J19" i="40" a="1"/>
  <c r="J19" i="40"/>
  <c r="K19" i="40" a="1"/>
  <c r="K19" i="40"/>
  <c r="L19" i="40" a="1"/>
  <c r="L19" i="40"/>
  <c r="M19" i="40" a="1"/>
  <c r="M19" i="40" s="1"/>
  <c r="N19" i="40" a="1"/>
  <c r="N19" i="40" s="1"/>
  <c r="O19" i="40" a="1"/>
  <c r="O19" i="40" s="1"/>
  <c r="P19" i="40" a="1"/>
  <c r="P19" i="40" s="1"/>
  <c r="Q19" i="40" a="1"/>
  <c r="Q19" i="40"/>
  <c r="R19" i="40" a="1"/>
  <c r="R19" i="40" s="1"/>
  <c r="S19" i="40" a="1"/>
  <c r="S19" i="40"/>
  <c r="T19" i="40" a="1"/>
  <c r="T19" i="40" s="1"/>
  <c r="U19" i="40" a="1"/>
  <c r="U19" i="40" s="1"/>
  <c r="V19" i="40" a="1"/>
  <c r="V19" i="40" s="1"/>
  <c r="W19" i="40" a="1"/>
  <c r="W19" i="40" s="1"/>
  <c r="X19" i="40" a="1"/>
  <c r="X19" i="40"/>
  <c r="Y19" i="40" a="1"/>
  <c r="Y19" i="40"/>
  <c r="Z19" i="40" a="1"/>
  <c r="Z19" i="40" s="1"/>
  <c r="AA19" i="40" a="1"/>
  <c r="AA19" i="40"/>
  <c r="AB19" i="40" a="1"/>
  <c r="AB19" i="40" s="1"/>
  <c r="AC19" i="40" a="1"/>
  <c r="AC19" i="40"/>
  <c r="AD19" i="40" a="1"/>
  <c r="AD19" i="40"/>
  <c r="AE19" i="40" a="1"/>
  <c r="AE19" i="40"/>
  <c r="AF19" i="40" a="1"/>
  <c r="AF19" i="40"/>
  <c r="AG19" i="40" a="1"/>
  <c r="AG19" i="40" s="1"/>
  <c r="AH19" i="40" a="1"/>
  <c r="AH19" i="40" s="1"/>
  <c r="AI19" i="40" a="1"/>
  <c r="AI19" i="40" s="1"/>
  <c r="AJ19" i="40" a="1"/>
  <c r="AJ19" i="40"/>
  <c r="AK19" i="40" a="1"/>
  <c r="AK19" i="40" s="1"/>
  <c r="AL19" i="40" a="1"/>
  <c r="AL19" i="40" s="1"/>
  <c r="AM19" i="40" a="1"/>
  <c r="AM19" i="40" s="1"/>
  <c r="AN19" i="40" a="1"/>
  <c r="AN19" i="40" s="1"/>
  <c r="AO19" i="40" a="1"/>
  <c r="AO19" i="40" s="1"/>
  <c r="AP19" i="40" a="1"/>
  <c r="AP19" i="40" s="1"/>
  <c r="AQ19" i="40" a="1"/>
  <c r="AQ19" i="40" s="1"/>
  <c r="B20" i="40" a="1"/>
  <c r="B20" i="40"/>
  <c r="C20" i="40" a="1"/>
  <c r="C20" i="40" s="1"/>
  <c r="D20" i="40" a="1"/>
  <c r="D20" i="40"/>
  <c r="E20" i="40" a="1"/>
  <c r="E20" i="40" s="1"/>
  <c r="F20" i="40" a="1"/>
  <c r="F20" i="40"/>
  <c r="G20" i="40" a="1"/>
  <c r="G20" i="40" s="1"/>
  <c r="H20" i="40" a="1"/>
  <c r="H20" i="40"/>
  <c r="I20" i="40" a="1"/>
  <c r="I20" i="40"/>
  <c r="J20" i="40" a="1"/>
  <c r="J20" i="40"/>
  <c r="K20" i="40" a="1"/>
  <c r="K20" i="40" s="1"/>
  <c r="L20" i="40" a="1"/>
  <c r="L20" i="40" s="1"/>
  <c r="M20" i="40" a="1"/>
  <c r="M20" i="40" s="1"/>
  <c r="N20" i="40" a="1"/>
  <c r="N20" i="40" s="1"/>
  <c r="O20" i="40" a="1"/>
  <c r="O20" i="40"/>
  <c r="P20" i="40" a="1"/>
  <c r="P20" i="40" s="1"/>
  <c r="Q20" i="40" a="1"/>
  <c r="Q20" i="40" s="1"/>
  <c r="R20" i="40" a="1"/>
  <c r="R20" i="40" s="1"/>
  <c r="S20" i="40" a="1"/>
  <c r="S20" i="40" s="1"/>
  <c r="T20" i="40" a="1"/>
  <c r="T20" i="40" s="1"/>
  <c r="U20" i="40" a="1"/>
  <c r="U20" i="40" s="1"/>
  <c r="V20" i="40" a="1"/>
  <c r="V20" i="40"/>
  <c r="W20" i="40" a="1"/>
  <c r="W20" i="40"/>
  <c r="X20" i="40" a="1"/>
  <c r="X20" i="40" s="1"/>
  <c r="Y20" i="40" a="1"/>
  <c r="Y20" i="40"/>
  <c r="Z20" i="40" a="1"/>
  <c r="Z20" i="40" s="1"/>
  <c r="AA20" i="40" a="1"/>
  <c r="AA20" i="40"/>
  <c r="AB20" i="40" a="1"/>
  <c r="AB20" i="40" s="1"/>
  <c r="AC20" i="40" a="1"/>
  <c r="AC20" i="40"/>
  <c r="AD20" i="40" a="1"/>
  <c r="AD20" i="40" s="1"/>
  <c r="AE20" i="40" a="1"/>
  <c r="AE20" i="40" s="1"/>
  <c r="AF20" i="40" a="1"/>
  <c r="AF20" i="40" s="1"/>
  <c r="AG20" i="40" a="1"/>
  <c r="AG20" i="40" s="1"/>
  <c r="AH20" i="40" a="1"/>
  <c r="AH20" i="40"/>
  <c r="AI20" i="40" a="1"/>
  <c r="AI20" i="40" s="1"/>
  <c r="AJ20" i="40" a="1"/>
  <c r="AJ20" i="40" s="1"/>
  <c r="AK20" i="40" a="1"/>
  <c r="AK20" i="40"/>
  <c r="AL20" i="40" a="1"/>
  <c r="AL20" i="40" s="1"/>
  <c r="AM20" i="40" a="1"/>
  <c r="AM20" i="40" s="1"/>
  <c r="AN20" i="40" a="1"/>
  <c r="AN20" i="40" s="1"/>
  <c r="AO20" i="40" a="1"/>
  <c r="AO20" i="40" s="1"/>
  <c r="AP20" i="40" a="1"/>
  <c r="AP20" i="40" s="1"/>
  <c r="AQ20" i="40" a="1"/>
  <c r="AQ20" i="40" s="1"/>
  <c r="B21" i="40" a="1"/>
  <c r="B21" i="40"/>
  <c r="C21" i="40" a="1"/>
  <c r="C21" i="40" s="1"/>
  <c r="D21" i="40" a="1"/>
  <c r="D21" i="40"/>
  <c r="E21" i="40" a="1"/>
  <c r="E21" i="40" s="1"/>
  <c r="F21" i="40" a="1"/>
  <c r="F21" i="40"/>
  <c r="G21" i="40" a="1"/>
  <c r="G21" i="40" s="1"/>
  <c r="H21" i="40" a="1"/>
  <c r="H21" i="40"/>
  <c r="I21" i="40" a="1"/>
  <c r="I21" i="40" s="1"/>
  <c r="J21" i="40" a="1"/>
  <c r="J21" i="40"/>
  <c r="K21" i="40" a="1"/>
  <c r="K21" i="40" s="1"/>
  <c r="L21" i="40" a="1"/>
  <c r="L21" i="40" s="1"/>
  <c r="M21" i="40" a="1"/>
  <c r="M21" i="40" s="1"/>
  <c r="N21" i="40" a="1"/>
  <c r="N21" i="40" s="1"/>
  <c r="O21" i="40" a="1"/>
  <c r="O21" i="40" s="1"/>
  <c r="P21" i="40" a="1"/>
  <c r="P21" i="40" s="1"/>
  <c r="Q21" i="40" a="1"/>
  <c r="Q21" i="40"/>
  <c r="R21" i="40" a="1"/>
  <c r="R21" i="40" s="1"/>
  <c r="S21" i="40" a="1"/>
  <c r="S21" i="40" s="1"/>
  <c r="T21" i="40" a="1"/>
  <c r="T21" i="40"/>
  <c r="U21" i="40" a="1"/>
  <c r="U21" i="40"/>
  <c r="V21" i="40" a="1"/>
  <c r="V21" i="40" s="1"/>
  <c r="W21" i="40" a="1"/>
  <c r="W21" i="40"/>
  <c r="X21" i="40" a="1"/>
  <c r="X21" i="40" s="1"/>
  <c r="Y21" i="40" a="1"/>
  <c r="Y21" i="40"/>
  <c r="Z21" i="40" a="1"/>
  <c r="Z21" i="40"/>
  <c r="AA21" i="40" a="1"/>
  <c r="AA21" i="40" s="1"/>
  <c r="AB21" i="40" a="1"/>
  <c r="AB21" i="40"/>
  <c r="AC21" i="40" a="1"/>
  <c r="AC21" i="40" s="1"/>
  <c r="AD21" i="40" a="1"/>
  <c r="AD21" i="40" s="1"/>
  <c r="AE21" i="40" a="1"/>
  <c r="AE21" i="40" s="1"/>
  <c r="AF21" i="40" a="1"/>
  <c r="AF21" i="40"/>
  <c r="AG21" i="40" a="1"/>
  <c r="AG21" i="40" s="1"/>
  <c r="AH21" i="40" a="1"/>
  <c r="AH21" i="40" s="1"/>
  <c r="AI21" i="40" a="1"/>
  <c r="AI21" i="40" s="1"/>
  <c r="AJ21" i="40" a="1"/>
  <c r="AJ21" i="40" s="1"/>
  <c r="AK21" i="40" a="1"/>
  <c r="AK21" i="40"/>
  <c r="AL21" i="40" a="1"/>
  <c r="AL21" i="40" s="1"/>
  <c r="AM21" i="40" a="1"/>
  <c r="AM21" i="40" s="1"/>
  <c r="AN21" i="40" a="1"/>
  <c r="AN21" i="40" s="1"/>
  <c r="AO21" i="40" a="1"/>
  <c r="AO21" i="40" s="1"/>
  <c r="AP21" i="40" a="1"/>
  <c r="AP21" i="40" s="1"/>
  <c r="AQ21" i="40" a="1"/>
  <c r="AQ21" i="40"/>
  <c r="B22" i="40" a="1"/>
  <c r="B22" i="40"/>
  <c r="C22" i="40" a="1"/>
  <c r="C22" i="40"/>
  <c r="D22" i="40" a="1"/>
  <c r="D22" i="40"/>
  <c r="E22" i="40" a="1"/>
  <c r="E22" i="40"/>
  <c r="F22" i="40" a="1"/>
  <c r="F22" i="40"/>
  <c r="G22" i="40" a="1"/>
  <c r="G22" i="40" s="1"/>
  <c r="H22" i="40" a="1"/>
  <c r="H22" i="40"/>
  <c r="I22" i="40" a="1"/>
  <c r="I22" i="40" s="1"/>
  <c r="J22" i="40" a="1"/>
  <c r="J22" i="40"/>
  <c r="K22" i="40" a="1"/>
  <c r="K22" i="40"/>
  <c r="L22" i="40" a="1"/>
  <c r="L22" i="40" s="1"/>
  <c r="M22" i="40" a="1"/>
  <c r="M22" i="40" s="1"/>
  <c r="N22" i="40" a="1"/>
  <c r="N22" i="40"/>
  <c r="O22" i="40" a="1"/>
  <c r="O22" i="40"/>
  <c r="P22" i="40" a="1"/>
  <c r="P22" i="40" s="1"/>
  <c r="Q22" i="40" a="1"/>
  <c r="Q22" i="40" s="1"/>
  <c r="R22" i="40" a="1"/>
  <c r="R22" i="40" s="1"/>
  <c r="S22" i="40" a="1"/>
  <c r="S22" i="40"/>
  <c r="T22" i="40" a="1"/>
  <c r="T22" i="40" s="1"/>
  <c r="U22" i="40" a="1"/>
  <c r="U22" i="40"/>
  <c r="V22" i="40" a="1"/>
  <c r="V22" i="40"/>
  <c r="W22" i="40" a="1"/>
  <c r="W22" i="40"/>
  <c r="X22" i="40" a="1"/>
  <c r="X22" i="40"/>
  <c r="Y22" i="40" a="1"/>
  <c r="Y22" i="40" s="1"/>
  <c r="Z22" i="40" a="1"/>
  <c r="Z22" i="40" s="1"/>
  <c r="AA22" i="40" a="1"/>
  <c r="AA22" i="40" s="1"/>
  <c r="AB22" i="40" a="1"/>
  <c r="AB22" i="40" s="1"/>
  <c r="AC22" i="40" a="1"/>
  <c r="AC22" i="40"/>
  <c r="AD22" i="40" a="1"/>
  <c r="AD22" i="40" s="1"/>
  <c r="AE22" i="40" a="1"/>
  <c r="AE22" i="40" s="1"/>
  <c r="AF22" i="40" a="1"/>
  <c r="AF22" i="40" s="1"/>
  <c r="AG22" i="40" a="1"/>
  <c r="AG22" i="40" s="1"/>
  <c r="AH22" i="40" a="1"/>
  <c r="AH22" i="40" s="1"/>
  <c r="AI22" i="40" a="1"/>
  <c r="AI22" i="40" s="1"/>
  <c r="AJ22" i="40" a="1"/>
  <c r="AJ22" i="40" s="1"/>
  <c r="AK22" i="40" a="1"/>
  <c r="AK22" i="40" s="1"/>
  <c r="AL22" i="40" a="1"/>
  <c r="AL22" i="40" s="1"/>
  <c r="AM22" i="40" a="1"/>
  <c r="AM22" i="40" s="1"/>
  <c r="AN22" i="40" a="1"/>
  <c r="AN22" i="40"/>
  <c r="AO22" i="40" a="1"/>
  <c r="AO22" i="40" s="1"/>
  <c r="AP22" i="40" a="1"/>
  <c r="AP22" i="40" s="1"/>
  <c r="AQ22" i="40" a="1"/>
  <c r="AQ22" i="40" s="1"/>
  <c r="B23" i="40" a="1"/>
  <c r="B23" i="40"/>
  <c r="C23" i="40" a="1"/>
  <c r="C23" i="40" s="1"/>
  <c r="D23" i="40" a="1"/>
  <c r="D23" i="40"/>
  <c r="E23" i="40" a="1"/>
  <c r="E23" i="40" s="1"/>
  <c r="F23" i="40" a="1"/>
  <c r="F23" i="40" s="1"/>
  <c r="G23" i="40" a="1"/>
  <c r="G23" i="40"/>
  <c r="H23" i="40" a="1"/>
  <c r="H23" i="40" s="1"/>
  <c r="I23" i="40" a="1"/>
  <c r="I23" i="40"/>
  <c r="J23" i="40" a="1"/>
  <c r="J23" i="40" s="1"/>
  <c r="K23" i="40" a="1"/>
  <c r="K23" i="40"/>
  <c r="L23" i="40" a="1"/>
  <c r="L23" i="40" s="1"/>
  <c r="M23" i="40" a="1"/>
  <c r="M23" i="40"/>
  <c r="N23" i="40" a="1"/>
  <c r="N23" i="40" s="1"/>
  <c r="O23" i="40" a="1"/>
  <c r="O23" i="40"/>
  <c r="P23" i="40" a="1"/>
  <c r="P23" i="40"/>
  <c r="Q23" i="40" a="1"/>
  <c r="Q23" i="40" s="1"/>
  <c r="R23" i="40" a="1"/>
  <c r="R23" i="40" s="1"/>
  <c r="S23" i="40" a="1"/>
  <c r="S23" i="40"/>
  <c r="T23" i="40" a="1"/>
  <c r="T23" i="40" s="1"/>
  <c r="U23" i="40" a="1"/>
  <c r="U23" i="40" s="1"/>
  <c r="V23" i="40" a="1"/>
  <c r="V23" i="40" s="1"/>
  <c r="W23" i="40" a="1"/>
  <c r="W23" i="40"/>
  <c r="X23" i="40" a="1"/>
  <c r="X23" i="40" s="1"/>
  <c r="Y23" i="40" a="1"/>
  <c r="Y23" i="40"/>
  <c r="Z23" i="40" a="1"/>
  <c r="Z23" i="40" s="1"/>
  <c r="AA23" i="40" a="1"/>
  <c r="AA23" i="40" s="1"/>
  <c r="AB23" i="40" a="1"/>
  <c r="AB23" i="40"/>
  <c r="AC23" i="40" a="1"/>
  <c r="AC23" i="40" s="1"/>
  <c r="AD23" i="40" a="1"/>
  <c r="AD23" i="40"/>
  <c r="AE23" i="40" a="1"/>
  <c r="AE23" i="40" s="1"/>
  <c r="AF23" i="40" a="1"/>
  <c r="AF23" i="40" s="1"/>
  <c r="AG23" i="40" a="1"/>
  <c r="AG23" i="40" s="1"/>
  <c r="AH23" i="40" a="1"/>
  <c r="AH23" i="40"/>
  <c r="AI23" i="40" a="1"/>
  <c r="AI23" i="40" s="1"/>
  <c r="AJ23" i="40" a="1"/>
  <c r="AJ23" i="40"/>
  <c r="AK23" i="40" a="1"/>
  <c r="AK23" i="40"/>
  <c r="AL23" i="40" a="1"/>
  <c r="AL23" i="40" s="1"/>
  <c r="AM23" i="40" a="1"/>
  <c r="AM23" i="40" s="1"/>
  <c r="AN23" i="40" a="1"/>
  <c r="AN23" i="40"/>
  <c r="AO23" i="40" a="1"/>
  <c r="AO23" i="40" s="1"/>
  <c r="AP23" i="40" a="1"/>
  <c r="AP23" i="40" s="1"/>
  <c r="AQ23" i="40" a="1"/>
  <c r="AQ23" i="40"/>
  <c r="B24" i="40" a="1"/>
  <c r="B24" i="40"/>
  <c r="C24" i="40" a="1"/>
  <c r="C24" i="40" s="1"/>
  <c r="D24" i="40" a="1"/>
  <c r="D24" i="40"/>
  <c r="E24" i="40" a="1"/>
  <c r="E24" i="40" s="1"/>
  <c r="F24" i="40" a="1"/>
  <c r="F24" i="40" s="1"/>
  <c r="G24" i="40" a="1"/>
  <c r="G24" i="40"/>
  <c r="H24" i="40" a="1"/>
  <c r="H24" i="40" s="1"/>
  <c r="I24" i="40" a="1"/>
  <c r="I24" i="40"/>
  <c r="J24" i="40" a="1"/>
  <c r="J24" i="40" s="1"/>
  <c r="K24" i="40" a="1"/>
  <c r="K24" i="40" s="1"/>
  <c r="L24" i="40" a="1"/>
  <c r="L24" i="40" s="1"/>
  <c r="M24" i="40" a="1"/>
  <c r="M24" i="40"/>
  <c r="N24" i="40" a="1"/>
  <c r="N24" i="40" s="1"/>
  <c r="O24" i="40" a="1"/>
  <c r="O24" i="40"/>
  <c r="P24" i="40" a="1"/>
  <c r="P24" i="40"/>
  <c r="Q24" i="40" a="1"/>
  <c r="Q24" i="40" s="1"/>
  <c r="R24" i="40" a="1"/>
  <c r="R24" i="40" s="1"/>
  <c r="S24" i="40" a="1"/>
  <c r="S24" i="40"/>
  <c r="T24" i="40" a="1"/>
  <c r="T24" i="40" s="1"/>
  <c r="U24" i="40" a="1"/>
  <c r="U24" i="40" s="1"/>
  <c r="V24" i="40" a="1"/>
  <c r="V24" i="40"/>
  <c r="W24" i="40" a="1"/>
  <c r="W24" i="40"/>
  <c r="X24" i="40" a="1"/>
  <c r="X24" i="40" s="1"/>
  <c r="Y24" i="40" a="1"/>
  <c r="Y24" i="40"/>
  <c r="Z24" i="40" a="1"/>
  <c r="Z24" i="40" s="1"/>
  <c r="AA24" i="40" a="1"/>
  <c r="AA24" i="40" s="1"/>
  <c r="AB24" i="40" a="1"/>
  <c r="AB24" i="40"/>
  <c r="AC24" i="40" a="1"/>
  <c r="AC24" i="40" s="1"/>
  <c r="AD24" i="40" a="1"/>
  <c r="AD24" i="40" s="1"/>
  <c r="AE24" i="40" a="1"/>
  <c r="AE24" i="40" s="1"/>
  <c r="AF24" i="40" a="1"/>
  <c r="AF24" i="40" s="1"/>
  <c r="AG24" i="40" a="1"/>
  <c r="AG24" i="40" s="1"/>
  <c r="AH24" i="40" a="1"/>
  <c r="AH24" i="40"/>
  <c r="AI24" i="40" a="1"/>
  <c r="AI24" i="40" s="1"/>
  <c r="AJ24" i="40" a="1"/>
  <c r="AJ24" i="40"/>
  <c r="AK24" i="40" a="1"/>
  <c r="AK24" i="40"/>
  <c r="AL24" i="40" a="1"/>
  <c r="AL24" i="40" s="1"/>
  <c r="AM24" i="40" a="1"/>
  <c r="AM24" i="40" s="1"/>
  <c r="AN24" i="40" a="1"/>
  <c r="AN24" i="40" s="1"/>
  <c r="AO24" i="40" a="1"/>
  <c r="AO24" i="40"/>
  <c r="AP24" i="40" a="1"/>
  <c r="AP24" i="40" s="1"/>
  <c r="AQ24" i="40" a="1"/>
  <c r="AQ24" i="40"/>
  <c r="B25" i="40" a="1"/>
  <c r="B25" i="40"/>
  <c r="C25" i="40" a="1"/>
  <c r="C25" i="40" s="1"/>
  <c r="D25" i="40" a="1"/>
  <c r="D25" i="40"/>
  <c r="E25" i="40" a="1"/>
  <c r="E25" i="40" s="1"/>
  <c r="F25" i="40" a="1"/>
  <c r="F25" i="40" s="1"/>
  <c r="G25" i="40" a="1"/>
  <c r="G25" i="40"/>
  <c r="H25" i="40" a="1"/>
  <c r="H25" i="40" s="1"/>
  <c r="I25" i="40" a="1"/>
  <c r="I25" i="40"/>
  <c r="J25" i="40" a="1"/>
  <c r="J25" i="40" s="1"/>
  <c r="K25" i="40" a="1"/>
  <c r="K25" i="40" s="1"/>
  <c r="L25" i="40" a="1"/>
  <c r="L25" i="40" s="1"/>
  <c r="M25" i="40" a="1"/>
  <c r="M25" i="40"/>
  <c r="N25" i="40" a="1"/>
  <c r="N25" i="40" s="1"/>
  <c r="O25" i="40" a="1"/>
  <c r="O25" i="40"/>
  <c r="P25" i="40" a="1"/>
  <c r="P25" i="40"/>
  <c r="Q25" i="40" a="1"/>
  <c r="Q25" i="40" s="1"/>
  <c r="R25" i="40" a="1"/>
  <c r="R25" i="40" s="1"/>
  <c r="S25" i="40" a="1"/>
  <c r="S25" i="40" s="1"/>
  <c r="T25" i="40" a="1"/>
  <c r="T25" i="40"/>
  <c r="U25" i="40" a="1"/>
  <c r="U25" i="40" s="1"/>
  <c r="V25" i="40" a="1"/>
  <c r="V25" i="40"/>
  <c r="W25" i="40" a="1"/>
  <c r="W25" i="40"/>
  <c r="X25" i="40" a="1"/>
  <c r="X25" i="40" s="1"/>
  <c r="Y25" i="40" a="1"/>
  <c r="Y25" i="40"/>
  <c r="Z25" i="40" a="1"/>
  <c r="Z25" i="40" s="1"/>
  <c r="AA25" i="40" a="1"/>
  <c r="AA25" i="40" s="1"/>
  <c r="AB25" i="40" a="1"/>
  <c r="AB25" i="40" s="1"/>
  <c r="AC25" i="40" a="1"/>
  <c r="AC25" i="40" s="1"/>
  <c r="AD25" i="40" a="1"/>
  <c r="AD25" i="40"/>
  <c r="AE25" i="40" a="1"/>
  <c r="AE25" i="40" s="1"/>
  <c r="AF25" i="40" a="1"/>
  <c r="AF25" i="40" s="1"/>
  <c r="AG25" i="40" a="1"/>
  <c r="AG25" i="40" s="1"/>
  <c r="AH25" i="40" a="1"/>
  <c r="AH25" i="40"/>
  <c r="AI25" i="40" a="1"/>
  <c r="AI25" i="40" s="1"/>
  <c r="AJ25" i="40" a="1"/>
  <c r="AJ25" i="40"/>
  <c r="AK25" i="40" a="1"/>
  <c r="AK25" i="40"/>
  <c r="AL25" i="40" a="1"/>
  <c r="AL25" i="40" s="1"/>
  <c r="AM25" i="40" a="1"/>
  <c r="AM25" i="40"/>
  <c r="AN25" i="40" a="1"/>
  <c r="AN25" i="40" s="1"/>
  <c r="AO25" i="40" a="1"/>
  <c r="AO25" i="40"/>
  <c r="AP25" i="40" a="1"/>
  <c r="AP25" i="40" s="1"/>
  <c r="AQ25" i="40" a="1"/>
  <c r="AQ25" i="40"/>
  <c r="B26" i="40" a="1"/>
  <c r="B26" i="40"/>
  <c r="C26" i="40" a="1"/>
  <c r="C26" i="40" s="1"/>
  <c r="D26" i="40" a="1"/>
  <c r="D26" i="40"/>
  <c r="E26" i="40" a="1"/>
  <c r="E26" i="40" s="1"/>
  <c r="F26" i="40" a="1"/>
  <c r="F26" i="40" s="1"/>
  <c r="G26" i="40" a="1"/>
  <c r="G26" i="40" s="1"/>
  <c r="H26" i="40" a="1"/>
  <c r="H26" i="40" s="1"/>
  <c r="I26" i="40" a="1"/>
  <c r="I26" i="40"/>
  <c r="J26" i="40" a="1"/>
  <c r="J26" i="40" s="1"/>
  <c r="K26" i="40" a="1"/>
  <c r="K26" i="40" s="1"/>
  <c r="L26" i="40" a="1"/>
  <c r="L26" i="40" s="1"/>
  <c r="M26" i="40" a="1"/>
  <c r="M26" i="40"/>
  <c r="N26" i="40" a="1"/>
  <c r="N26" i="40" s="1"/>
  <c r="O26" i="40" a="1"/>
  <c r="O26" i="40"/>
  <c r="P26" i="40" a="1"/>
  <c r="P26" i="40" s="1"/>
  <c r="Q26" i="40" a="1"/>
  <c r="Q26" i="40" s="1"/>
  <c r="R26" i="40" a="1"/>
  <c r="R26" i="40"/>
  <c r="S26" i="40" a="1"/>
  <c r="S26" i="40" s="1"/>
  <c r="T26" i="40" a="1"/>
  <c r="T26" i="40"/>
  <c r="U26" i="40" a="1"/>
  <c r="U26" i="40" s="1"/>
  <c r="V26" i="40" a="1"/>
  <c r="V26" i="40"/>
  <c r="W26" i="40" a="1"/>
  <c r="W26" i="40"/>
  <c r="X26" i="40" a="1"/>
  <c r="X26" i="40" s="1"/>
  <c r="Y26" i="40" a="1"/>
  <c r="Y26" i="40"/>
  <c r="Z26" i="40" a="1"/>
  <c r="Z26" i="40" s="1"/>
  <c r="AA26" i="40" a="1"/>
  <c r="AA26" i="40"/>
  <c r="AB26" i="40" a="1"/>
  <c r="AB26" i="40" s="1"/>
  <c r="AC26" i="40" a="1"/>
  <c r="AC26" i="40" s="1"/>
  <c r="AD26" i="40" a="1"/>
  <c r="AD26" i="40"/>
  <c r="AE26" i="40" a="1"/>
  <c r="AE26" i="40" s="1"/>
  <c r="AF26" i="40" a="1"/>
  <c r="AF26" i="40" s="1"/>
  <c r="AG26" i="40" a="1"/>
  <c r="AG26" i="40" s="1"/>
  <c r="AH26" i="40" a="1"/>
  <c r="AH26" i="40"/>
  <c r="AI26" i="40" a="1"/>
  <c r="AI26" i="40" s="1"/>
  <c r="AJ26" i="40" a="1"/>
  <c r="AJ26" i="40" s="1"/>
  <c r="AK26" i="40" a="1"/>
  <c r="AK26" i="40" s="1"/>
  <c r="AL26" i="40" a="1"/>
  <c r="AL26" i="40" s="1"/>
  <c r="AM26" i="40" a="1"/>
  <c r="AM26" i="40"/>
  <c r="AN26" i="40" a="1"/>
  <c r="AN26" i="40" s="1"/>
  <c r="AO26" i="40" a="1"/>
  <c r="AO26" i="40"/>
  <c r="AP26" i="40" a="1"/>
  <c r="AP26" i="40" s="1"/>
  <c r="AQ26" i="40" a="1"/>
  <c r="AQ26" i="40"/>
  <c r="B27" i="40" a="1"/>
  <c r="B27" i="40"/>
  <c r="C27" i="40" a="1"/>
  <c r="C27" i="40" s="1"/>
  <c r="D27" i="40" a="1"/>
  <c r="D27" i="40" s="1"/>
  <c r="E27" i="40" a="1"/>
  <c r="E27" i="40"/>
  <c r="F27" i="40" a="1"/>
  <c r="F27" i="40"/>
  <c r="G27" i="40" a="1"/>
  <c r="G27" i="40" s="1"/>
  <c r="H27" i="40" a="1"/>
  <c r="H27" i="40" s="1"/>
  <c r="I27" i="40" a="1"/>
  <c r="I27" i="40"/>
  <c r="J27" i="40" a="1"/>
  <c r="J27" i="40" s="1"/>
  <c r="K27" i="40" a="1"/>
  <c r="K27" i="40" s="1"/>
  <c r="L27" i="40" a="1"/>
  <c r="L27" i="40" s="1"/>
  <c r="M27" i="40" a="1"/>
  <c r="M27" i="40"/>
  <c r="N27" i="40" a="1"/>
  <c r="N27" i="40" s="1"/>
  <c r="O27" i="40" a="1"/>
  <c r="O27" i="40"/>
  <c r="P27" i="40" a="1"/>
  <c r="P27" i="40" s="1"/>
  <c r="Q27" i="40" a="1"/>
  <c r="Q27" i="40" s="1"/>
  <c r="R27" i="40" a="1"/>
  <c r="R27" i="40"/>
  <c r="S27" i="40" a="1"/>
  <c r="S27" i="40" s="1"/>
  <c r="T27" i="40" a="1"/>
  <c r="T27" i="40"/>
  <c r="U27" i="40" a="1"/>
  <c r="U27" i="40" s="1"/>
  <c r="V27" i="40" a="1"/>
  <c r="V27" i="40"/>
  <c r="W27" i="40" a="1"/>
  <c r="W27" i="40"/>
  <c r="X27" i="40" a="1"/>
  <c r="X27" i="40" s="1"/>
  <c r="Y27" i="40" a="1"/>
  <c r="Y27" i="40" s="1"/>
  <c r="Z27" i="40" a="1"/>
  <c r="Z27" i="40"/>
  <c r="AA27" i="40" a="1"/>
  <c r="AA27" i="40"/>
  <c r="AB27" i="40" a="1"/>
  <c r="AB27" i="40" s="1"/>
  <c r="AC27" i="40" a="1"/>
  <c r="AC27" i="40" s="1"/>
  <c r="AD27" i="40" a="1"/>
  <c r="AD27" i="40"/>
  <c r="AE27" i="40" a="1"/>
  <c r="AE27" i="40" s="1"/>
  <c r="AF27" i="40" a="1"/>
  <c r="AF27" i="40" s="1"/>
  <c r="AG27" i="40" a="1"/>
  <c r="AG27" i="40" s="1"/>
  <c r="AH27" i="40" a="1"/>
  <c r="AH27" i="40" s="1"/>
  <c r="AI27" i="40" a="1"/>
  <c r="AI27" i="40" s="1"/>
  <c r="AJ27" i="40" a="1"/>
  <c r="AJ27" i="40"/>
  <c r="AK27" i="40" a="1"/>
  <c r="AK27" i="40" s="1"/>
  <c r="AL27" i="40" a="1"/>
  <c r="AL27" i="40" s="1"/>
  <c r="AM27" i="40" a="1"/>
  <c r="AM27" i="40"/>
  <c r="AN27" i="40" a="1"/>
  <c r="AN27" i="40" s="1"/>
  <c r="AO27" i="40" a="1"/>
  <c r="AO27" i="40"/>
  <c r="AP27" i="40" a="1"/>
  <c r="AP27" i="40" s="1"/>
  <c r="AQ27" i="40" a="1"/>
  <c r="AQ27" i="40"/>
  <c r="B28" i="40" a="1"/>
  <c r="B28" i="40" s="1"/>
  <c r="C28" i="40" a="1"/>
  <c r="C28" i="40"/>
  <c r="D28" i="40" a="1"/>
  <c r="D28" i="40" s="1"/>
  <c r="E28" i="40" a="1"/>
  <c r="E28" i="40"/>
  <c r="F28" i="40" a="1"/>
  <c r="F28" i="40"/>
  <c r="G28" i="40" a="1"/>
  <c r="G28" i="40" s="1"/>
  <c r="H28" i="40" a="1"/>
  <c r="H28" i="40" s="1"/>
  <c r="I28" i="40" a="1"/>
  <c r="I28" i="40"/>
  <c r="J28" i="40" a="1"/>
  <c r="J28" i="40" s="1"/>
  <c r="K28" i="40" a="1"/>
  <c r="K28" i="40" s="1"/>
  <c r="L28" i="40" a="1"/>
  <c r="L28" i="40" s="1"/>
  <c r="M28" i="40" a="1"/>
  <c r="M28" i="40"/>
  <c r="N28" i="40" a="1"/>
  <c r="N28" i="40" s="1"/>
  <c r="O28" i="40" a="1"/>
  <c r="O28" i="40"/>
  <c r="P28" i="40" a="1"/>
  <c r="P28" i="40" s="1"/>
  <c r="Q28" i="40" a="1"/>
  <c r="Q28" i="40" s="1"/>
  <c r="R28" i="40" a="1"/>
  <c r="R28" i="40"/>
  <c r="S28" i="40" a="1"/>
  <c r="S28" i="40" s="1"/>
  <c r="T28" i="40" a="1"/>
  <c r="T28" i="40"/>
  <c r="U28" i="40" a="1"/>
  <c r="U28" i="40"/>
  <c r="V28" i="40" a="1"/>
  <c r="V28" i="40" s="1"/>
  <c r="W28" i="40" a="1"/>
  <c r="W28" i="40" s="1"/>
  <c r="X28" i="40" a="1"/>
  <c r="X28" i="40"/>
  <c r="Y28" i="40" a="1"/>
  <c r="Y28" i="40" s="1"/>
  <c r="Z28" i="40" a="1"/>
  <c r="Z28" i="40"/>
  <c r="AA28" i="40" a="1"/>
  <c r="AA28" i="40"/>
  <c r="AB28" i="40" a="1"/>
  <c r="AB28" i="40" s="1"/>
  <c r="AC28" i="40" a="1"/>
  <c r="AC28" i="40" s="1"/>
  <c r="AD28" i="40" a="1"/>
  <c r="AD28" i="40"/>
  <c r="AE28" i="40" a="1"/>
  <c r="AE28" i="40" s="1"/>
  <c r="AF28" i="40" a="1"/>
  <c r="AF28" i="40" s="1"/>
  <c r="AG28" i="40" a="1"/>
  <c r="AG28" i="40"/>
  <c r="AH28" i="40" a="1"/>
  <c r="AH28" i="40"/>
  <c r="AI28" i="40" a="1"/>
  <c r="AI28" i="40" s="1"/>
  <c r="AJ28" i="40" a="1"/>
  <c r="AJ28" i="40"/>
  <c r="AK28" i="40" a="1"/>
  <c r="AK28" i="40" s="1"/>
  <c r="AL28" i="40" a="1"/>
  <c r="AL28" i="40" s="1"/>
  <c r="AM28" i="40" a="1"/>
  <c r="AM28" i="40"/>
  <c r="AN28" i="40" a="1"/>
  <c r="AN28" i="40" s="1"/>
  <c r="AO28" i="40" a="1"/>
  <c r="AO28" i="40"/>
  <c r="AP28" i="40" a="1"/>
  <c r="AP28" i="40" s="1"/>
  <c r="AQ28" i="40" a="1"/>
  <c r="AQ28" i="40" s="1"/>
  <c r="B29" i="40" a="1"/>
  <c r="B29" i="40" s="1"/>
  <c r="C29" i="40" a="1"/>
  <c r="C29" i="40"/>
  <c r="D29" i="40" a="1"/>
  <c r="D29" i="40" s="1"/>
  <c r="E29" i="40" a="1"/>
  <c r="E29" i="40"/>
  <c r="F29" i="40" a="1"/>
  <c r="F29" i="40"/>
  <c r="G29" i="40" a="1"/>
  <c r="G29" i="40" s="1"/>
  <c r="H29" i="40" a="1"/>
  <c r="H29" i="40" s="1"/>
  <c r="I29" i="40" a="1"/>
  <c r="I29" i="40"/>
  <c r="J29" i="40" a="1"/>
  <c r="J29" i="40" s="1"/>
  <c r="K29" i="40" a="1"/>
  <c r="K29" i="40"/>
  <c r="L29" i="40" a="1"/>
  <c r="L29" i="40"/>
  <c r="M29" i="40" a="1"/>
  <c r="M29" i="40"/>
  <c r="N29" i="40" a="1"/>
  <c r="N29" i="40" s="1"/>
  <c r="O29" i="40" a="1"/>
  <c r="O29" i="40"/>
  <c r="P29" i="40" a="1"/>
  <c r="P29" i="40" s="1"/>
  <c r="Q29" i="40" a="1"/>
  <c r="Q29" i="40" s="1"/>
  <c r="R29" i="40" a="1"/>
  <c r="R29" i="40"/>
  <c r="S29" i="40" a="1"/>
  <c r="S29" i="40" s="1"/>
  <c r="T29" i="40" a="1"/>
  <c r="T29" i="40" s="1"/>
  <c r="U29" i="40" a="1"/>
  <c r="U29" i="40" s="1"/>
  <c r="V29" i="40" a="1"/>
  <c r="V29" i="40" s="1"/>
  <c r="W29" i="40" a="1"/>
  <c r="W29" i="40" s="1"/>
  <c r="X29" i="40" a="1"/>
  <c r="X29" i="40"/>
  <c r="Y29" i="40" a="1"/>
  <c r="Y29" i="40" s="1"/>
  <c r="Z29" i="40" a="1"/>
  <c r="Z29" i="40"/>
  <c r="AA29" i="40" a="1"/>
  <c r="AA29" i="40"/>
  <c r="AB29" i="40" a="1"/>
  <c r="AB29" i="40" s="1"/>
  <c r="AC29" i="40" a="1"/>
  <c r="AC29" i="40" s="1"/>
  <c r="AD29" i="40" a="1"/>
  <c r="AD29" i="40" s="1"/>
  <c r="AE29" i="40" a="1"/>
  <c r="AE29" i="40"/>
  <c r="AF29" i="40" a="1"/>
  <c r="AF29" i="40"/>
  <c r="AG29" i="40" a="1"/>
  <c r="AG29" i="40"/>
  <c r="AH29" i="40" a="1"/>
  <c r="AH29" i="40"/>
  <c r="AI29" i="40" a="1"/>
  <c r="AI29" i="40" s="1"/>
  <c r="AJ29" i="40" a="1"/>
  <c r="AJ29" i="40" s="1"/>
  <c r="AK29" i="40" a="1"/>
  <c r="AK29" i="40" s="1"/>
  <c r="AL29" i="40" a="1"/>
  <c r="AL29" i="40" s="1"/>
  <c r="AM29" i="40" a="1"/>
  <c r="AM29" i="40"/>
  <c r="AN29" i="40" a="1"/>
  <c r="AN29" i="40" s="1"/>
  <c r="AO29" i="40" a="1"/>
  <c r="AO29" i="40"/>
  <c r="AP29" i="40" a="1"/>
  <c r="AP29" i="40" s="1"/>
  <c r="AQ29" i="40" a="1"/>
  <c r="AQ29" i="40" s="1"/>
  <c r="B30" i="40" a="1"/>
  <c r="B30" i="40" s="1"/>
  <c r="C30" i="40" a="1"/>
  <c r="C30" i="40"/>
  <c r="D30" i="40" a="1"/>
  <c r="D30" i="40" s="1"/>
  <c r="E30" i="40" a="1"/>
  <c r="E30" i="40"/>
  <c r="F30" i="40" a="1"/>
  <c r="F30" i="40"/>
  <c r="G30" i="40" a="1"/>
  <c r="G30" i="40" s="1"/>
  <c r="H30" i="40" a="1"/>
  <c r="H30" i="40" s="1"/>
  <c r="I30" i="40" a="1"/>
  <c r="I30" i="40" s="1"/>
  <c r="J30" i="40" a="1"/>
  <c r="J30" i="40"/>
  <c r="K30" i="40" a="1"/>
  <c r="K30" i="40"/>
  <c r="L30" i="40" a="1"/>
  <c r="L30" i="40"/>
  <c r="M30" i="40" a="1"/>
  <c r="M30" i="40"/>
  <c r="N30" i="40" a="1"/>
  <c r="N30" i="40" s="1"/>
  <c r="O30" i="40" a="1"/>
  <c r="O30" i="40" s="1"/>
  <c r="P30" i="40" a="1"/>
  <c r="P30" i="40" s="1"/>
  <c r="Q30" i="40" a="1"/>
  <c r="Q30" i="40" s="1"/>
  <c r="R30" i="40" a="1"/>
  <c r="R30" i="40" s="1"/>
  <c r="S30" i="40" a="1"/>
  <c r="S30" i="40" s="1"/>
  <c r="T30" i="40" a="1"/>
  <c r="T30" i="40"/>
  <c r="U30" i="40" a="1"/>
  <c r="U30" i="40" s="1"/>
  <c r="V30" i="40" a="1"/>
  <c r="V30" i="40" s="1"/>
  <c r="W30" i="40" a="1"/>
  <c r="W30" i="40" s="1"/>
  <c r="X30" i="40" a="1"/>
  <c r="X30" i="40"/>
  <c r="Y30" i="40" a="1"/>
  <c r="Y30" i="40" s="1"/>
  <c r="Z30" i="40" a="1"/>
  <c r="Z30" i="40"/>
  <c r="AA30" i="40" a="1"/>
  <c r="AA30" i="40"/>
  <c r="AB30" i="40" a="1"/>
  <c r="AB30" i="40" s="1"/>
  <c r="AC30" i="40" a="1"/>
  <c r="AC30" i="40"/>
  <c r="AD30" i="40" a="1"/>
  <c r="AD30" i="40" s="1"/>
  <c r="AE30" i="40" a="1"/>
  <c r="AE30" i="40"/>
  <c r="AF30" i="40" a="1"/>
  <c r="AF30" i="40"/>
  <c r="AG30" i="40" a="1"/>
  <c r="AG30" i="40"/>
  <c r="AH30" i="40" a="1"/>
  <c r="AH30" i="40"/>
  <c r="AI30" i="40" a="1"/>
  <c r="AI30" i="40" s="1"/>
  <c r="AJ30" i="40" a="1"/>
  <c r="AJ30" i="40"/>
  <c r="AK30" i="40" a="1"/>
  <c r="AK30" i="40" s="1"/>
  <c r="AL30" i="40" a="1"/>
  <c r="AL30" i="40" s="1"/>
  <c r="AM30" i="40" a="1"/>
  <c r="AM30" i="40" s="1"/>
  <c r="AN30" i="40" a="1"/>
  <c r="AN30" i="40" s="1"/>
  <c r="AO30" i="40" a="1"/>
  <c r="AO30" i="40"/>
  <c r="AP30" i="40" a="1"/>
  <c r="AP30" i="40" s="1"/>
  <c r="AQ30" i="40" a="1"/>
  <c r="AQ30" i="40" s="1"/>
  <c r="B31" i="40" a="1"/>
  <c r="B31" i="40" s="1"/>
  <c r="C31" i="40" a="1"/>
  <c r="C31" i="40"/>
  <c r="D31" i="40" a="1"/>
  <c r="D31" i="40" s="1"/>
  <c r="E31" i="40" a="1"/>
  <c r="E31" i="40"/>
  <c r="F31" i="40" a="1"/>
  <c r="F31" i="40" s="1"/>
  <c r="G31" i="40" a="1"/>
  <c r="G31" i="40" s="1"/>
  <c r="H31" i="40" a="1"/>
  <c r="H31" i="40"/>
  <c r="I31" i="40" a="1"/>
  <c r="I31" i="40" s="1"/>
  <c r="J31" i="40" a="1"/>
  <c r="J31" i="40" s="1"/>
  <c r="K31" i="40" a="1"/>
  <c r="K31" i="40"/>
  <c r="L31" i="40" a="1"/>
  <c r="L31" i="40"/>
  <c r="M31" i="40" a="1"/>
  <c r="M31" i="40"/>
  <c r="N31" i="40" a="1"/>
  <c r="N31" i="40" s="1"/>
  <c r="O31" i="40" a="1"/>
  <c r="O31" i="40"/>
  <c r="P31" i="40" a="1"/>
  <c r="P31" i="40" s="1"/>
  <c r="Q31" i="40" a="1"/>
  <c r="Q31" i="40"/>
  <c r="R31" i="40" a="1"/>
  <c r="R31" i="40" s="1"/>
  <c r="S31" i="40" a="1"/>
  <c r="S31" i="40" s="1"/>
  <c r="T31" i="40" a="1"/>
  <c r="T31" i="40"/>
  <c r="U31" i="40" a="1"/>
  <c r="U31" i="40" s="1"/>
  <c r="V31" i="40" a="1"/>
  <c r="V31" i="40" s="1"/>
  <c r="W31" i="40" a="1"/>
  <c r="W31" i="40" s="1"/>
  <c r="X31" i="40" a="1"/>
  <c r="X31" i="40"/>
  <c r="Y31" i="40" a="1"/>
  <c r="Y31" i="40" s="1"/>
  <c r="Z31" i="40" a="1"/>
  <c r="Z31" i="40" s="1"/>
  <c r="AA31" i="40" a="1"/>
  <c r="AA31" i="40" s="1"/>
  <c r="AB31" i="40" a="1"/>
  <c r="AB31" i="40" s="1"/>
  <c r="AC31" i="40" a="1"/>
  <c r="AC31" i="40"/>
  <c r="AD31" i="40" a="1"/>
  <c r="AD31" i="40" s="1"/>
  <c r="AE31" i="40" a="1"/>
  <c r="AE31" i="40" s="1"/>
  <c r="AF31" i="40" a="1"/>
  <c r="AF31" i="40"/>
  <c r="AG31" i="40" a="1"/>
  <c r="AG31" i="40"/>
  <c r="AH31" i="40" a="1"/>
  <c r="AH31" i="40"/>
  <c r="AI31" i="40" a="1"/>
  <c r="AI31" i="40" s="1"/>
  <c r="AJ31" i="40" a="1"/>
  <c r="AJ31" i="40" s="1"/>
  <c r="AK31" i="40" a="1"/>
  <c r="AK31" i="40"/>
  <c r="AL31" i="40" a="1"/>
  <c r="AL31" i="40"/>
  <c r="AM31" i="40" a="1"/>
  <c r="AM31" i="40" s="1"/>
  <c r="AN31" i="40" a="1"/>
  <c r="AN31" i="40" s="1"/>
  <c r="AO31" i="40" a="1"/>
  <c r="AO31" i="40"/>
  <c r="AP31" i="40" a="1"/>
  <c r="AP31" i="40" s="1"/>
  <c r="AQ31" i="40" a="1"/>
  <c r="AQ31" i="40" s="1"/>
  <c r="B32" i="40" a="1"/>
  <c r="B32" i="40" s="1"/>
  <c r="C32" i="40" a="1"/>
  <c r="C32" i="40"/>
  <c r="D32" i="40" a="1"/>
  <c r="D32" i="40" s="1"/>
  <c r="E32" i="40" a="1"/>
  <c r="E32" i="40" s="1"/>
  <c r="F32" i="40" a="1"/>
  <c r="F32" i="40" s="1"/>
  <c r="G32" i="40" a="1"/>
  <c r="G32" i="40" s="1"/>
  <c r="H32" i="40" a="1"/>
  <c r="H32" i="40"/>
  <c r="I32" i="40" a="1"/>
  <c r="I32" i="40" s="1"/>
  <c r="J32" i="40" a="1"/>
  <c r="J32" i="40" s="1"/>
  <c r="K32" i="40" a="1"/>
  <c r="K32" i="40"/>
  <c r="L32" i="40" a="1"/>
  <c r="L32" i="40"/>
  <c r="M32" i="40" a="1"/>
  <c r="M32" i="40"/>
  <c r="N32" i="40" a="1"/>
  <c r="N32" i="40" s="1"/>
  <c r="O32" i="40" a="1"/>
  <c r="O32" i="40" s="1"/>
  <c r="P32" i="40" a="1"/>
  <c r="P32" i="40"/>
  <c r="Q32" i="40" a="1"/>
  <c r="Q32" i="40"/>
  <c r="R32" i="40" a="1"/>
  <c r="R32" i="40" s="1"/>
  <c r="S32" i="40" a="1"/>
  <c r="S32" i="40" s="1"/>
  <c r="T32" i="40" a="1"/>
  <c r="T32" i="40" s="1"/>
  <c r="U32" i="40" a="1"/>
  <c r="U32" i="40" s="1"/>
  <c r="V32" i="40" a="1"/>
  <c r="V32" i="40" s="1"/>
  <c r="W32" i="40" a="1"/>
  <c r="W32" i="40" s="1"/>
  <c r="X32" i="40" a="1"/>
  <c r="X32" i="40" s="1"/>
  <c r="Y32" i="40" a="1"/>
  <c r="Y32" i="40" s="1"/>
  <c r="Z32" i="40" a="1"/>
  <c r="Z32" i="40"/>
  <c r="AA32" i="40" a="1"/>
  <c r="AA32" i="40" s="1"/>
  <c r="AB32" i="40" a="1"/>
  <c r="AB32" i="40" s="1"/>
  <c r="AC32" i="40" a="1"/>
  <c r="AC32" i="40"/>
  <c r="AD32" i="40" a="1"/>
  <c r="AD32" i="40"/>
  <c r="AE32" i="40" a="1"/>
  <c r="AE32" i="40" s="1"/>
  <c r="AF32" i="40" a="1"/>
  <c r="AF32" i="40"/>
  <c r="AG32" i="40" a="1"/>
  <c r="AG32" i="40"/>
  <c r="AH32" i="40" a="1"/>
  <c r="AH32" i="40" s="1"/>
  <c r="AI32" i="40" a="1"/>
  <c r="AI32" i="40" s="1"/>
  <c r="AJ32" i="40" a="1"/>
  <c r="AJ32" i="40"/>
  <c r="AK32" i="40" a="1"/>
  <c r="AK32" i="40" s="1"/>
  <c r="AL32" i="40" a="1"/>
  <c r="AL32" i="40"/>
  <c r="AM32" i="40" a="1"/>
  <c r="AM32" i="40" s="1"/>
  <c r="AN32" i="40" a="1"/>
  <c r="AN32" i="40" s="1"/>
  <c r="AO32" i="40" a="1"/>
  <c r="AO32" i="40"/>
  <c r="AP32" i="40" a="1"/>
  <c r="AP32" i="40" s="1"/>
  <c r="AQ32" i="40" a="1"/>
  <c r="AQ32" i="40"/>
  <c r="B33" i="40" a="1"/>
  <c r="B33" i="40" s="1"/>
  <c r="C33" i="40" a="1"/>
  <c r="C33" i="40"/>
  <c r="D33" i="40" a="1"/>
  <c r="D33" i="40"/>
  <c r="E33" i="40" a="1"/>
  <c r="E33" i="40"/>
  <c r="F33" i="40" a="1"/>
  <c r="F33" i="40" s="1"/>
  <c r="G33" i="40" a="1"/>
  <c r="G33" i="40" s="1"/>
  <c r="H33" i="40" a="1"/>
  <c r="H33" i="40"/>
  <c r="I33" i="40" a="1"/>
  <c r="I33" i="40" s="1"/>
  <c r="J33" i="40" a="1"/>
  <c r="J33" i="40"/>
  <c r="K33" i="40" a="1"/>
  <c r="K33" i="40"/>
  <c r="L33" i="40" a="1"/>
  <c r="L33" i="40" s="1"/>
  <c r="M33" i="40" a="1"/>
  <c r="M33" i="40" s="1"/>
  <c r="N33" i="40" a="1"/>
  <c r="N33" i="40" s="1"/>
  <c r="O33" i="40" a="1"/>
  <c r="O33" i="40" s="1"/>
  <c r="P33" i="40" a="1"/>
  <c r="P33" i="40" s="1"/>
  <c r="P78" i="40" s="1"/>
  <c r="Q33" i="40" a="1"/>
  <c r="Q33" i="40"/>
  <c r="R33" i="40" a="1"/>
  <c r="R33" i="40" s="1"/>
  <c r="S33" i="40" a="1"/>
  <c r="S33" i="40"/>
  <c r="T33" i="40" a="1"/>
  <c r="T33" i="40" s="1"/>
  <c r="U33" i="40" a="1"/>
  <c r="U33" i="40"/>
  <c r="V33" i="40" a="1"/>
  <c r="V33" i="40"/>
  <c r="W33" i="40" a="1"/>
  <c r="W33" i="40" s="1"/>
  <c r="X33" i="40" a="1"/>
  <c r="X33" i="40" s="1"/>
  <c r="Y33" i="40" a="1"/>
  <c r="Y33" i="40" s="1"/>
  <c r="Z33" i="40" a="1"/>
  <c r="Z33" i="40"/>
  <c r="AA33" i="40" a="1"/>
  <c r="AA33" i="40"/>
  <c r="AB33" i="40" a="1"/>
  <c r="AB33" i="40" s="1"/>
  <c r="AC33" i="40" a="1"/>
  <c r="AC33" i="40"/>
  <c r="AD33" i="40" a="1"/>
  <c r="AD33" i="40"/>
  <c r="AE33" i="40" a="1"/>
  <c r="AE33" i="40" s="1"/>
  <c r="AF33" i="40" a="1"/>
  <c r="AF33" i="40" s="1"/>
  <c r="AG33" i="40" a="1"/>
  <c r="AG33" i="40" s="1"/>
  <c r="AH33" i="40" a="1"/>
  <c r="AH33" i="40"/>
  <c r="AI33" i="40" a="1"/>
  <c r="AI33" i="40" s="1"/>
  <c r="AJ33" i="40" a="1"/>
  <c r="AJ33" i="40" s="1"/>
  <c r="AK33" i="40" a="1"/>
  <c r="AK33" i="40"/>
  <c r="AL33" i="40" a="1"/>
  <c r="AL33" i="40"/>
  <c r="AM33" i="40" a="1"/>
  <c r="AM33" i="40" s="1"/>
  <c r="AN33" i="40" a="1"/>
  <c r="AN33" i="40"/>
  <c r="AO33" i="40" a="1"/>
  <c r="AO33" i="40" s="1"/>
  <c r="AP33" i="40" a="1"/>
  <c r="AP33" i="40" s="1"/>
  <c r="AQ33" i="40" a="1"/>
  <c r="AQ33" i="40" s="1"/>
  <c r="B34" i="40" a="1"/>
  <c r="B34" i="40"/>
  <c r="C34" i="40" a="1"/>
  <c r="C34" i="40" s="1"/>
  <c r="D34" i="40" a="1"/>
  <c r="D34" i="40" s="1"/>
  <c r="E34" i="40" a="1"/>
  <c r="E34" i="40"/>
  <c r="F34" i="40" a="1"/>
  <c r="F34" i="40"/>
  <c r="G34" i="40" a="1"/>
  <c r="G34" i="40" s="1"/>
  <c r="H34" i="40" a="1"/>
  <c r="H34" i="40"/>
  <c r="I34" i="40" a="1"/>
  <c r="I34" i="40"/>
  <c r="J34" i="40" a="1"/>
  <c r="J34" i="40" s="1"/>
  <c r="K34" i="40" a="1"/>
  <c r="K34" i="40" s="1"/>
  <c r="L34" i="40" a="1"/>
  <c r="L34" i="40" s="1"/>
  <c r="M34" i="40" a="1"/>
  <c r="M34" i="40"/>
  <c r="N34" i="40" a="1"/>
  <c r="N34" i="40" s="1"/>
  <c r="O34" i="40" a="1"/>
  <c r="O34" i="40"/>
  <c r="P34" i="40" a="1"/>
  <c r="P34" i="40" s="1"/>
  <c r="Q34" i="40" a="1"/>
  <c r="Q34" i="40"/>
  <c r="R34" i="40" a="1"/>
  <c r="R34" i="40" s="1"/>
  <c r="S34" i="40" a="1"/>
  <c r="S34" i="40"/>
  <c r="T34" i="40" a="1"/>
  <c r="T34" i="40" s="1"/>
  <c r="U34" i="40" a="1"/>
  <c r="U34" i="40" s="1"/>
  <c r="V34" i="40" a="1"/>
  <c r="V34" i="40"/>
  <c r="W34" i="40" a="1"/>
  <c r="W34" i="40"/>
  <c r="X34" i="40" a="1"/>
  <c r="X34" i="40" s="1"/>
  <c r="Y34" i="40" a="1"/>
  <c r="Y34" i="40" s="1"/>
  <c r="Z34" i="40" a="1"/>
  <c r="Z34" i="40"/>
  <c r="AA34" i="40" a="1"/>
  <c r="AA34" i="40"/>
  <c r="AB34" i="40" a="1"/>
  <c r="AB34" i="40" s="1"/>
  <c r="AC34" i="40" a="1"/>
  <c r="AC34" i="40"/>
  <c r="AD34" i="40" a="1"/>
  <c r="AD34" i="40"/>
  <c r="AE34" i="40" a="1"/>
  <c r="AE34" i="40" s="1"/>
  <c r="AF34" i="40" a="1"/>
  <c r="AF34" i="40" s="1"/>
  <c r="AG34" i="40" a="1"/>
  <c r="AG34" i="40" s="1"/>
  <c r="AH34" i="40" a="1"/>
  <c r="AH34" i="40"/>
  <c r="AI34" i="40" a="1"/>
  <c r="AI34" i="40" s="1"/>
  <c r="AJ34" i="40" a="1"/>
  <c r="AJ34" i="40" s="1"/>
  <c r="AK34" i="40" a="1"/>
  <c r="AK34" i="40" s="1"/>
  <c r="AL34" i="40" a="1"/>
  <c r="AL34" i="40"/>
  <c r="AM34" i="40" a="1"/>
  <c r="AM34" i="40" s="1"/>
  <c r="AN34" i="40" a="1"/>
  <c r="AN34" i="40"/>
  <c r="AO34" i="40" a="1"/>
  <c r="AO34" i="40" s="1"/>
  <c r="AP34" i="40" a="1"/>
  <c r="AP34" i="40" s="1"/>
  <c r="AQ34" i="40" a="1"/>
  <c r="AQ34" i="40"/>
  <c r="B35" i="40" a="1"/>
  <c r="B35" i="40"/>
  <c r="C35" i="40" a="1"/>
  <c r="C35" i="40" s="1"/>
  <c r="D35" i="40" a="1"/>
  <c r="D35" i="40" s="1"/>
  <c r="E35" i="40" a="1"/>
  <c r="E35" i="40"/>
  <c r="F35" i="40" a="1"/>
  <c r="F35" i="40"/>
  <c r="G35" i="40" a="1"/>
  <c r="G35" i="40" s="1"/>
  <c r="H35" i="40" a="1"/>
  <c r="H35" i="40"/>
  <c r="I35" i="40" a="1"/>
  <c r="I35" i="40" s="1"/>
  <c r="J35" i="40" a="1"/>
  <c r="J35" i="40" s="1"/>
  <c r="K35" i="40" a="1"/>
  <c r="K35" i="40" s="1"/>
  <c r="L35" i="40" a="1"/>
  <c r="L35" i="40" s="1"/>
  <c r="M35" i="40" a="1"/>
  <c r="M35" i="40"/>
  <c r="N35" i="40" a="1"/>
  <c r="N35" i="40" s="1"/>
  <c r="O35" i="40" a="1"/>
  <c r="O35" i="40" s="1"/>
  <c r="P35" i="40" a="1"/>
  <c r="P35" i="40" s="1"/>
  <c r="Q35" i="40" a="1"/>
  <c r="Q35" i="40"/>
  <c r="R35" i="40" a="1"/>
  <c r="R35" i="40" s="1"/>
  <c r="S35" i="40" a="1"/>
  <c r="S35" i="40" s="1"/>
  <c r="T35" i="40" a="1"/>
  <c r="T35" i="40"/>
  <c r="U35" i="40" a="1"/>
  <c r="U35" i="40" s="1"/>
  <c r="V35" i="40" a="1"/>
  <c r="V35" i="40"/>
  <c r="W35" i="40" a="1"/>
  <c r="W35" i="40"/>
  <c r="X35" i="40" a="1"/>
  <c r="X35" i="40" s="1"/>
  <c r="Y35" i="40" a="1"/>
  <c r="Y35" i="40" s="1"/>
  <c r="Z35" i="40" a="1"/>
  <c r="Z35" i="40" s="1"/>
  <c r="AA35" i="40" a="1"/>
  <c r="AA35" i="40"/>
  <c r="AB35" i="40" a="1"/>
  <c r="AB35" i="40" s="1"/>
  <c r="AC35" i="40" a="1"/>
  <c r="AC35" i="40" s="1"/>
  <c r="AD35" i="40" a="1"/>
  <c r="AD35" i="40"/>
  <c r="AE35" i="40" a="1"/>
  <c r="AE35" i="40" s="1"/>
  <c r="AF35" i="40" a="1"/>
  <c r="AF35" i="40" s="1"/>
  <c r="AG35" i="40" a="1"/>
  <c r="AG35" i="40" s="1"/>
  <c r="AH35" i="40" a="1"/>
  <c r="AH35" i="40"/>
  <c r="AI35" i="40" a="1"/>
  <c r="AI35" i="40" s="1"/>
  <c r="AJ35" i="40" a="1"/>
  <c r="AJ35" i="40"/>
  <c r="AK35" i="40" a="1"/>
  <c r="AK35" i="40" s="1"/>
  <c r="AL35" i="40" a="1"/>
  <c r="AL35" i="40"/>
  <c r="AM35" i="40" a="1"/>
  <c r="AM35" i="40" s="1"/>
  <c r="AN35" i="40" a="1"/>
  <c r="AN35" i="40"/>
  <c r="AO35" i="40" a="1"/>
  <c r="AO35" i="40"/>
  <c r="AP35" i="40" a="1"/>
  <c r="AP35" i="40" s="1"/>
  <c r="AQ35" i="40" a="1"/>
  <c r="AQ35" i="40"/>
  <c r="B36" i="40" a="1"/>
  <c r="B36" i="40" s="1"/>
  <c r="C36" i="40" a="1"/>
  <c r="C36" i="40" s="1"/>
  <c r="D36" i="40" a="1"/>
  <c r="D36" i="40" s="1"/>
  <c r="E36" i="40" a="1"/>
  <c r="E36" i="40" s="1"/>
  <c r="F36" i="40" a="1"/>
  <c r="F36" i="40"/>
  <c r="G36" i="40" a="1"/>
  <c r="G36" i="40" s="1"/>
  <c r="H36" i="40" a="1"/>
  <c r="H36" i="40" s="1"/>
  <c r="I36" i="40" a="1"/>
  <c r="I36" i="40"/>
  <c r="J36" i="40" a="1"/>
  <c r="J36" i="40" s="1"/>
  <c r="K36" i="40" a="1"/>
  <c r="K36" i="40" s="1"/>
  <c r="L36" i="40" a="1"/>
  <c r="L36" i="40"/>
  <c r="M36" i="40" a="1"/>
  <c r="M36" i="40"/>
  <c r="N36" i="40" a="1"/>
  <c r="N36" i="40" s="1"/>
  <c r="O36" i="40" a="1"/>
  <c r="O36" i="40"/>
  <c r="P36" i="40" a="1"/>
  <c r="P36" i="40" s="1"/>
  <c r="Q36" i="40" a="1"/>
  <c r="Q36" i="40" s="1"/>
  <c r="R36" i="40" a="1"/>
  <c r="R36" i="40" s="1"/>
  <c r="S36" i="40" a="1"/>
  <c r="S36" i="40"/>
  <c r="T36" i="40" a="1"/>
  <c r="T36" i="40"/>
  <c r="U36" i="40" a="1"/>
  <c r="U36" i="40" s="1"/>
  <c r="V36" i="40" a="1"/>
  <c r="V36" i="40"/>
  <c r="W36" i="40" a="1"/>
  <c r="W36" i="40" s="1"/>
  <c r="X36" i="40" a="1"/>
  <c r="X36" i="40" s="1"/>
  <c r="Y36" i="40" a="1"/>
  <c r="Y36" i="40" s="1"/>
  <c r="Z36" i="40" a="1"/>
  <c r="Z36" i="40" s="1"/>
  <c r="AA36" i="40" a="1"/>
  <c r="AA36" i="40" s="1"/>
  <c r="AB36" i="40" a="1"/>
  <c r="AB36" i="40"/>
  <c r="AC36" i="40" a="1"/>
  <c r="AC36" i="40" s="1"/>
  <c r="AD36" i="40" a="1"/>
  <c r="AD36" i="40"/>
  <c r="AE36" i="40" a="1"/>
  <c r="AE36" i="40" s="1"/>
  <c r="AF36" i="40" a="1"/>
  <c r="AF36" i="40" s="1"/>
  <c r="AG36" i="40" a="1"/>
  <c r="AG36" i="40"/>
  <c r="AH36" i="40" a="1"/>
  <c r="AH36" i="40"/>
  <c r="AI36" i="40" a="1"/>
  <c r="AI36" i="40" s="1"/>
  <c r="AJ36" i="40" a="1"/>
  <c r="AJ36" i="40"/>
  <c r="AK36" i="40" a="1"/>
  <c r="AK36" i="40" s="1"/>
  <c r="AL36" i="40" a="1"/>
  <c r="AL36" i="40"/>
  <c r="AM36" i="40" a="1"/>
  <c r="AM36" i="40" s="1"/>
  <c r="AN36" i="40" a="1"/>
  <c r="AN36" i="40"/>
  <c r="AO36" i="40" a="1"/>
  <c r="AO36" i="40"/>
  <c r="AP36" i="40" a="1"/>
  <c r="AP36" i="40" s="1"/>
  <c r="AQ36" i="40" a="1"/>
  <c r="AQ36" i="40"/>
  <c r="B37" i="40" a="1"/>
  <c r="B37" i="40" s="1"/>
  <c r="C37" i="40" a="1"/>
  <c r="C37" i="40" s="1"/>
  <c r="D37" i="40" a="1"/>
  <c r="D37" i="40" s="1"/>
  <c r="E37" i="40" a="1"/>
  <c r="E37" i="40" s="1"/>
  <c r="F37" i="40" a="1"/>
  <c r="F37" i="40" s="1"/>
  <c r="G37" i="40" a="1"/>
  <c r="G37" i="40"/>
  <c r="H37" i="40" a="1"/>
  <c r="H37" i="40" s="1"/>
  <c r="I37" i="40" a="1"/>
  <c r="I37" i="40"/>
  <c r="J37" i="40" a="1"/>
  <c r="J37" i="40" s="1"/>
  <c r="K37" i="40" a="1"/>
  <c r="K37" i="40" s="1"/>
  <c r="L37" i="40" a="1"/>
  <c r="L37" i="40"/>
  <c r="M37" i="40" a="1"/>
  <c r="M37" i="40"/>
  <c r="N37" i="40" a="1"/>
  <c r="N37" i="40" s="1"/>
  <c r="O37" i="40" a="1"/>
  <c r="O37" i="40" s="1"/>
  <c r="P37" i="40" a="1"/>
  <c r="P37" i="40" s="1"/>
  <c r="Q37" i="40" a="1"/>
  <c r="Q37" i="40"/>
  <c r="R37" i="40" a="1"/>
  <c r="R37" i="40" s="1"/>
  <c r="S37" i="40" a="1"/>
  <c r="S37" i="40"/>
  <c r="T37" i="40" a="1"/>
  <c r="T37" i="40"/>
  <c r="U37" i="40" a="1"/>
  <c r="U37" i="40" s="1"/>
  <c r="V37" i="40" a="1"/>
  <c r="V37" i="40"/>
  <c r="W37" i="40" a="1"/>
  <c r="W37" i="40" s="1"/>
  <c r="X37" i="40" a="1"/>
  <c r="X37" i="40" s="1"/>
  <c r="Y37" i="40" a="1"/>
  <c r="Y37" i="40" s="1"/>
  <c r="Z37" i="40" a="1"/>
  <c r="Z37" i="40"/>
  <c r="AA37" i="40" a="1"/>
  <c r="AA37" i="40" s="1"/>
  <c r="AB37" i="40" a="1"/>
  <c r="AB37" i="40"/>
  <c r="AC37" i="40" a="1"/>
  <c r="AC37" i="40" s="1"/>
  <c r="AD37" i="40" a="1"/>
  <c r="AD37" i="40"/>
  <c r="AE37" i="40" a="1"/>
  <c r="AE37" i="40" s="1"/>
  <c r="AF37" i="40" a="1"/>
  <c r="AF37" i="40" s="1"/>
  <c r="AG37" i="40" a="1"/>
  <c r="AG37" i="40"/>
  <c r="AH37" i="40" a="1"/>
  <c r="AH37" i="40"/>
  <c r="AI37" i="40" a="1"/>
  <c r="AI37" i="40" s="1"/>
  <c r="AJ37" i="40" a="1"/>
  <c r="AJ37" i="40" s="1"/>
  <c r="AK37" i="40" a="1"/>
  <c r="AK37" i="40" s="1"/>
  <c r="AL37" i="40" a="1"/>
  <c r="AL37" i="40"/>
  <c r="AM37" i="40" a="1"/>
  <c r="AM37" i="40" s="1"/>
  <c r="AN37" i="40" a="1"/>
  <c r="AN37" i="40"/>
  <c r="AO37" i="40" a="1"/>
  <c r="AO37" i="40"/>
  <c r="AP37" i="40" a="1"/>
  <c r="AP37" i="40" s="1"/>
  <c r="AQ37" i="40" a="1"/>
  <c r="AQ37" i="40"/>
  <c r="B38" i="40" a="1"/>
  <c r="B38" i="40" s="1"/>
  <c r="C38" i="40" a="1"/>
  <c r="C38" i="40" s="1"/>
  <c r="D38" i="40" a="1"/>
  <c r="D38" i="40" s="1"/>
  <c r="E38" i="40" a="1"/>
  <c r="E38" i="40"/>
  <c r="F38" i="40" a="1"/>
  <c r="F38" i="40" s="1"/>
  <c r="G38" i="40" a="1"/>
  <c r="G38" i="40"/>
  <c r="H38" i="40" a="1"/>
  <c r="H38" i="40" s="1"/>
  <c r="I38" i="40" a="1"/>
  <c r="I38" i="40"/>
  <c r="J38" i="40" a="1"/>
  <c r="J38" i="40" s="1"/>
  <c r="K38" i="40" a="1"/>
  <c r="K38" i="40" s="1"/>
  <c r="L38" i="40" a="1"/>
  <c r="L38" i="40"/>
  <c r="M38" i="40" a="1"/>
  <c r="M38" i="40" s="1"/>
  <c r="N38" i="40" a="1"/>
  <c r="N38" i="40" s="1"/>
  <c r="O38" i="40" a="1"/>
  <c r="O38" i="40" s="1"/>
  <c r="O83" i="40" s="1"/>
  <c r="P38" i="40" a="1"/>
  <c r="P38" i="40" s="1"/>
  <c r="Q38" i="40" a="1"/>
  <c r="Q38" i="40"/>
  <c r="R38" i="40" a="1"/>
  <c r="R38" i="40" s="1"/>
  <c r="S38" i="40" a="1"/>
  <c r="S38" i="40"/>
  <c r="T38" i="40" a="1"/>
  <c r="T38" i="40"/>
  <c r="U38" i="40" a="1"/>
  <c r="U38" i="40" s="1"/>
  <c r="V38" i="40" a="1"/>
  <c r="V38" i="40"/>
  <c r="W38" i="40" a="1"/>
  <c r="W38" i="40" s="1"/>
  <c r="X38" i="40" a="1"/>
  <c r="X38" i="40"/>
  <c r="Y38" i="40" a="1"/>
  <c r="Y38" i="40" s="1"/>
  <c r="Z38" i="40" a="1"/>
  <c r="Z38" i="40"/>
  <c r="AA38" i="40" a="1"/>
  <c r="AA38" i="40" s="1"/>
  <c r="AB38" i="40" a="1"/>
  <c r="AB38" i="40"/>
  <c r="AC38" i="40" a="1"/>
  <c r="AC38" i="40" s="1"/>
  <c r="AD38" i="40" a="1"/>
  <c r="AD38" i="40"/>
  <c r="AE38" i="40" a="1"/>
  <c r="AE38" i="40" s="1"/>
  <c r="AF38" i="40" a="1"/>
  <c r="AF38" i="40" s="1"/>
  <c r="AG38" i="40" a="1"/>
  <c r="AG38" i="40" s="1"/>
  <c r="AH38" i="40" a="1"/>
  <c r="AH38" i="40" s="1"/>
  <c r="AI38" i="40" a="1"/>
  <c r="AI38" i="40" s="1"/>
  <c r="AJ38" i="40" a="1"/>
  <c r="AJ38" i="40" s="1"/>
  <c r="AK38" i="40" a="1"/>
  <c r="AK38" i="40" s="1"/>
  <c r="AL38" i="40" a="1"/>
  <c r="AL38" i="40"/>
  <c r="AM38" i="40" a="1"/>
  <c r="AM38" i="40" s="1"/>
  <c r="AN38" i="40" a="1"/>
  <c r="AN38" i="40"/>
  <c r="AO38" i="40" a="1"/>
  <c r="AO38" i="40"/>
  <c r="AP38" i="40" a="1"/>
  <c r="AP38" i="40" s="1"/>
  <c r="AQ38" i="40" a="1"/>
  <c r="AQ38" i="40" s="1"/>
  <c r="B39" i="40" a="1"/>
  <c r="B39" i="40"/>
  <c r="C39" i="40" a="1"/>
  <c r="C39" i="40"/>
  <c r="D39" i="40" a="1"/>
  <c r="D39" i="40" s="1"/>
  <c r="E39" i="40" a="1"/>
  <c r="E39" i="40"/>
  <c r="F39" i="40" a="1"/>
  <c r="F39" i="40" s="1"/>
  <c r="G39" i="40" a="1"/>
  <c r="G39" i="40"/>
  <c r="H39" i="40" a="1"/>
  <c r="H39" i="40" s="1"/>
  <c r="I39" i="40" a="1"/>
  <c r="I39" i="40"/>
  <c r="J39" i="40" a="1"/>
  <c r="J39" i="40" s="1"/>
  <c r="K39" i="40" a="1"/>
  <c r="K39" i="40" s="1"/>
  <c r="L39" i="40" a="1"/>
  <c r="L39" i="40"/>
  <c r="M39" i="40" a="1"/>
  <c r="M39" i="40"/>
  <c r="N39" i="40" a="1"/>
  <c r="N39" i="40" s="1"/>
  <c r="O39" i="40" a="1"/>
  <c r="O39" i="40" s="1"/>
  <c r="P39" i="40" a="1"/>
  <c r="P39" i="40" s="1"/>
  <c r="Q39" i="40" a="1"/>
  <c r="Q39" i="40"/>
  <c r="R39" i="40" a="1"/>
  <c r="R39" i="40" s="1"/>
  <c r="S39" i="40" a="1"/>
  <c r="S39" i="40"/>
  <c r="T39" i="40" a="1"/>
  <c r="T39" i="40"/>
  <c r="U39" i="40" a="1"/>
  <c r="U39" i="40" s="1"/>
  <c r="V39" i="40" a="1"/>
  <c r="V39" i="40" s="1"/>
  <c r="W39" i="40" a="1"/>
  <c r="W39" i="40"/>
  <c r="X39" i="40" a="1"/>
  <c r="X39" i="40"/>
  <c r="Y39" i="40" a="1"/>
  <c r="Y39" i="40" s="1"/>
  <c r="Z39" i="40" a="1"/>
  <c r="Z39" i="40"/>
  <c r="AA39" i="40" a="1"/>
  <c r="AA39" i="40" s="1"/>
  <c r="AB39" i="40" a="1"/>
  <c r="AB39" i="40"/>
  <c r="AC39" i="40" a="1"/>
  <c r="AC39" i="40" s="1"/>
  <c r="AD39" i="40" a="1"/>
  <c r="AD39" i="40"/>
  <c r="AE39" i="40" a="1"/>
  <c r="AE39" i="40" s="1"/>
  <c r="AF39" i="40" a="1"/>
  <c r="AF39" i="40"/>
  <c r="AG39" i="40" a="1"/>
  <c r="AG39" i="40"/>
  <c r="AH39" i="40" a="1"/>
  <c r="AH39" i="40"/>
  <c r="AI39" i="40" a="1"/>
  <c r="AI39" i="40" s="1"/>
  <c r="AJ39" i="40" a="1"/>
  <c r="AJ39" i="40" s="1"/>
  <c r="AK39" i="40" a="1"/>
  <c r="AK39" i="40" s="1"/>
  <c r="AL39" i="40" a="1"/>
  <c r="AL39" i="40"/>
  <c r="AM39" i="40" a="1"/>
  <c r="AM39" i="40" s="1"/>
  <c r="AN39" i="40" a="1"/>
  <c r="AN39" i="40"/>
  <c r="AO39" i="40" a="1"/>
  <c r="AO39" i="40" s="1"/>
  <c r="AP39" i="40" a="1"/>
  <c r="AP39" i="40" s="1"/>
  <c r="AQ39" i="40" a="1"/>
  <c r="AQ39" i="40" s="1"/>
  <c r="B40" i="40" a="1"/>
  <c r="B40" i="40"/>
  <c r="C40" i="40" a="1"/>
  <c r="C40" i="40"/>
  <c r="D40" i="40" a="1"/>
  <c r="D40" i="40" s="1"/>
  <c r="E40" i="40" a="1"/>
  <c r="E40" i="40"/>
  <c r="F40" i="40" a="1"/>
  <c r="F40" i="40" s="1"/>
  <c r="G40" i="40" a="1"/>
  <c r="G40" i="40"/>
  <c r="H40" i="40" a="1"/>
  <c r="H40" i="40" s="1"/>
  <c r="I40" i="40" a="1"/>
  <c r="I40" i="40" s="1"/>
  <c r="J40" i="40" a="1"/>
  <c r="J40" i="40"/>
  <c r="K40" i="40" a="1"/>
  <c r="K40" i="40"/>
  <c r="L40" i="40" a="1"/>
  <c r="L40" i="40"/>
  <c r="M40" i="40" a="1"/>
  <c r="M40" i="40"/>
  <c r="N40" i="40" a="1"/>
  <c r="N40" i="40" s="1"/>
  <c r="O40" i="40" a="1"/>
  <c r="O40" i="40" s="1"/>
  <c r="P40" i="40" a="1"/>
  <c r="P40" i="40" s="1"/>
  <c r="Q40" i="40" a="1"/>
  <c r="Q40" i="40"/>
  <c r="R40" i="40" a="1"/>
  <c r="R40" i="40" s="1"/>
  <c r="S40" i="40" a="1"/>
  <c r="S40" i="40" s="1"/>
  <c r="T40" i="40" a="1"/>
  <c r="T40" i="40"/>
  <c r="U40" i="40" a="1"/>
  <c r="U40" i="40" s="1"/>
  <c r="V40" i="40" a="1"/>
  <c r="V40" i="40" s="1"/>
  <c r="W40" i="40" a="1"/>
  <c r="W40" i="40"/>
  <c r="X40" i="40" a="1"/>
  <c r="X40" i="40"/>
  <c r="Y40" i="40" a="1"/>
  <c r="Y40" i="40" s="1"/>
  <c r="Z40" i="40" a="1"/>
  <c r="Z40" i="40"/>
  <c r="AA40" i="40" a="1"/>
  <c r="AA40" i="40" s="1"/>
  <c r="AB40" i="40" a="1"/>
  <c r="AB40" i="40"/>
  <c r="AC40" i="40" a="1"/>
  <c r="AC40" i="40" s="1"/>
  <c r="AD40" i="40" a="1"/>
  <c r="AD40" i="40"/>
  <c r="AE40" i="40" a="1"/>
  <c r="AE40" i="40"/>
  <c r="AF40" i="40" a="1"/>
  <c r="AF40" i="40"/>
  <c r="AG40" i="40" a="1"/>
  <c r="AG40" i="40"/>
  <c r="AH40" i="40" a="1"/>
  <c r="AH40" i="40"/>
  <c r="AI40" i="40" a="1"/>
  <c r="AI40" i="40" s="1"/>
  <c r="AJ40" i="40" a="1"/>
  <c r="AJ40" i="40" s="1"/>
  <c r="AK40" i="40" a="1"/>
  <c r="AK40" i="40" s="1"/>
  <c r="AL40" i="40" a="1"/>
  <c r="AL40" i="40"/>
  <c r="AM40" i="40" a="1"/>
  <c r="AM40" i="40" s="1"/>
  <c r="AN40" i="40" a="1"/>
  <c r="AN40" i="40" s="1"/>
  <c r="AO40" i="40" a="1"/>
  <c r="AO40" i="40"/>
  <c r="AP40" i="40" a="1"/>
  <c r="AP40" i="40" s="1"/>
  <c r="AQ40" i="40" a="1"/>
  <c r="AQ40" i="40" s="1"/>
  <c r="B41" i="40" a="1"/>
  <c r="B41" i="40"/>
  <c r="C41" i="40" a="1"/>
  <c r="C41" i="40"/>
  <c r="D41" i="40" a="1"/>
  <c r="D41" i="40" s="1"/>
  <c r="E41" i="40" a="1"/>
  <c r="E41" i="40"/>
  <c r="F41" i="40" a="1"/>
  <c r="F41" i="40" s="1"/>
  <c r="G41" i="40" a="1"/>
  <c r="G41" i="40" s="1"/>
  <c r="H41" i="40" a="1"/>
  <c r="H41" i="40" s="1"/>
  <c r="I41" i="40" a="1"/>
  <c r="I41" i="40"/>
  <c r="J41" i="40" a="1"/>
  <c r="J41" i="40"/>
  <c r="K41" i="40" a="1"/>
  <c r="K41" i="40"/>
  <c r="L41" i="40" a="1"/>
  <c r="L41" i="40"/>
  <c r="M41" i="40" a="1"/>
  <c r="M41" i="40" s="1"/>
  <c r="N41" i="40" a="1"/>
  <c r="N41" i="40" s="1"/>
  <c r="O41" i="40" a="1"/>
  <c r="O41" i="40" s="1"/>
  <c r="O86" i="40" s="1"/>
  <c r="P41" i="40" a="1"/>
  <c r="P41" i="40" s="1"/>
  <c r="Q41" i="40" a="1"/>
  <c r="Q41" i="40" s="1"/>
  <c r="R41" i="40" a="1"/>
  <c r="R41" i="40"/>
  <c r="S41" i="40" a="1"/>
  <c r="S41" i="40" s="1"/>
  <c r="T41" i="40" a="1"/>
  <c r="T41" i="40"/>
  <c r="U41" i="40" a="1"/>
  <c r="U41" i="40" s="1"/>
  <c r="V41" i="40" a="1"/>
  <c r="V41" i="40" s="1"/>
  <c r="W41" i="40" a="1"/>
  <c r="W41" i="40"/>
  <c r="X41" i="40" a="1"/>
  <c r="X41" i="40"/>
  <c r="Y41" i="40" a="1"/>
  <c r="Y41" i="40" s="1"/>
  <c r="Z41" i="40" a="1"/>
  <c r="Z41" i="40"/>
  <c r="AA41" i="40" a="1"/>
  <c r="AA41" i="40" s="1"/>
  <c r="AB41" i="40" a="1"/>
  <c r="AB41" i="40"/>
  <c r="AC41" i="40" a="1"/>
  <c r="AC41" i="40" s="1"/>
  <c r="AD41" i="40" a="1"/>
  <c r="AD41" i="40"/>
  <c r="AE41" i="40" a="1"/>
  <c r="AE41" i="40" s="1"/>
  <c r="AF41" i="40" a="1"/>
  <c r="AF41" i="40"/>
  <c r="AG41" i="40" a="1"/>
  <c r="AG41" i="40"/>
  <c r="AH41" i="40" a="1"/>
  <c r="AH41" i="40" s="1"/>
  <c r="AI41" i="40" a="1"/>
  <c r="AI41" i="40" s="1"/>
  <c r="AJ41" i="40" a="1"/>
  <c r="AJ41" i="40" s="1"/>
  <c r="AK41" i="40" a="1"/>
  <c r="AK41" i="40" s="1"/>
  <c r="AL41" i="40" a="1"/>
  <c r="AL41" i="40" s="1"/>
  <c r="AM41" i="40" a="1"/>
  <c r="AM41" i="40"/>
  <c r="AN41" i="40" a="1"/>
  <c r="AN41" i="40" s="1"/>
  <c r="AO41" i="40" a="1"/>
  <c r="AO41" i="40"/>
  <c r="AP41" i="40" a="1"/>
  <c r="AP41" i="40" s="1"/>
  <c r="AQ41" i="40" a="1"/>
  <c r="AQ41" i="40" s="1"/>
  <c r="B42" i="40" a="1"/>
  <c r="B42" i="40"/>
  <c r="C42" i="40" a="1"/>
  <c r="C42" i="40"/>
  <c r="D42" i="40" a="1"/>
  <c r="D42" i="40" s="1"/>
  <c r="E42" i="40" a="1"/>
  <c r="E42" i="40" s="1"/>
  <c r="F42" i="40" a="1"/>
  <c r="F42" i="40" s="1"/>
  <c r="G42" i="40" a="1"/>
  <c r="G42" i="40"/>
  <c r="H42" i="40" a="1"/>
  <c r="H42" i="40" s="1"/>
  <c r="I42" i="40" a="1"/>
  <c r="I42" i="40"/>
  <c r="J42" i="40" a="1"/>
  <c r="J42" i="40" s="1"/>
  <c r="K42" i="40" a="1"/>
  <c r="K42" i="40"/>
  <c r="L42" i="40" a="1"/>
  <c r="L42" i="40"/>
  <c r="M42" i="40" a="1"/>
  <c r="M42" i="40" s="1"/>
  <c r="N42" i="40" a="1"/>
  <c r="N42" i="40" s="1"/>
  <c r="O42" i="40" a="1"/>
  <c r="O42" i="40" s="1"/>
  <c r="P42" i="40" a="1"/>
  <c r="P42" i="40"/>
  <c r="Q42" i="40" a="1"/>
  <c r="Q42" i="40" s="1"/>
  <c r="R42" i="40" a="1"/>
  <c r="R42" i="40"/>
  <c r="S42" i="40" a="1"/>
  <c r="S42" i="40" s="1"/>
  <c r="T42" i="40" a="1"/>
  <c r="T42" i="40"/>
  <c r="U42" i="40" a="1"/>
  <c r="U42" i="40" s="1"/>
  <c r="V42" i="40" a="1"/>
  <c r="V42" i="40" s="1"/>
  <c r="W42" i="40" a="1"/>
  <c r="W42" i="40"/>
  <c r="X42" i="40" a="1"/>
  <c r="X42" i="40" s="1"/>
  <c r="Y42" i="40" a="1"/>
  <c r="Y42" i="40" s="1"/>
  <c r="Z42" i="40" a="1"/>
  <c r="Z42" i="40" s="1"/>
  <c r="AA42" i="40" a="1"/>
  <c r="AA42" i="40" s="1"/>
  <c r="AB42" i="40" a="1"/>
  <c r="AB42" i="40"/>
  <c r="AC42" i="40" a="1"/>
  <c r="AC42" i="40" s="1"/>
  <c r="AD42" i="40" a="1"/>
  <c r="AD42" i="40"/>
  <c r="AE42" i="40" a="1"/>
  <c r="AE42" i="40" s="1"/>
  <c r="AF42" i="40" a="1"/>
  <c r="AF42" i="40"/>
  <c r="AG42" i="40" a="1"/>
  <c r="AG42" i="40" s="1"/>
  <c r="AH42" i="40" a="1"/>
  <c r="AH42" i="40" s="1"/>
  <c r="AI42" i="40" a="1"/>
  <c r="AI42" i="40" s="1"/>
  <c r="AJ42" i="40" a="1"/>
  <c r="AJ42" i="40" s="1"/>
  <c r="AK42" i="40" a="1"/>
  <c r="AK42" i="40"/>
  <c r="AL42" i="40" a="1"/>
  <c r="AL42" i="40" s="1"/>
  <c r="AM42" i="40" a="1"/>
  <c r="AM42" i="40"/>
  <c r="AN42" i="40" a="1"/>
  <c r="AN42" i="40" s="1"/>
  <c r="AO42" i="40" a="1"/>
  <c r="AO42" i="40"/>
  <c r="AP42" i="40" a="1"/>
  <c r="AP42" i="40" s="1"/>
  <c r="AQ42" i="40" a="1"/>
  <c r="AQ42" i="40" s="1"/>
  <c r="B43" i="40" a="1"/>
  <c r="B43" i="40"/>
  <c r="C43" i="40" a="1"/>
  <c r="C43" i="40" s="1"/>
  <c r="D43" i="40" a="1"/>
  <c r="D43" i="40" s="1"/>
  <c r="E43" i="40" a="1"/>
  <c r="E43" i="40" s="1"/>
  <c r="F43" i="40" a="1"/>
  <c r="F43" i="40" s="1"/>
  <c r="G43" i="40" a="1"/>
  <c r="G43" i="40"/>
  <c r="H43" i="40" a="1"/>
  <c r="H43" i="40" s="1"/>
  <c r="I43" i="40" a="1"/>
  <c r="I43" i="40"/>
  <c r="J43" i="40" a="1"/>
  <c r="J43" i="40" s="1"/>
  <c r="K43" i="40" a="1"/>
  <c r="K43" i="40"/>
  <c r="L43" i="40" a="1"/>
  <c r="L43" i="40" s="1"/>
  <c r="M43" i="40" a="1"/>
  <c r="M43" i="40" s="1"/>
  <c r="N43" i="40" a="1"/>
  <c r="N43" i="40"/>
  <c r="O43" i="40" a="1"/>
  <c r="O43" i="40" s="1"/>
  <c r="P88" i="40" s="1"/>
  <c r="P43" i="40" a="1"/>
  <c r="P43" i="40"/>
  <c r="Q43" i="40" a="1"/>
  <c r="Q43" i="40" s="1"/>
  <c r="R43" i="40" a="1"/>
  <c r="R43" i="40" s="1"/>
  <c r="S43" i="40" a="1"/>
  <c r="S43" i="40" s="1"/>
  <c r="T43" i="40" a="1"/>
  <c r="T43" i="40"/>
  <c r="U43" i="40" a="1"/>
  <c r="U43" i="40" s="1"/>
  <c r="V43" i="40" a="1"/>
  <c r="V43" i="40" s="1"/>
  <c r="W43" i="40" a="1"/>
  <c r="W43" i="40" s="1"/>
  <c r="X43" i="40" a="1"/>
  <c r="X43" i="40" s="1"/>
  <c r="Y43" i="40" a="1"/>
  <c r="Y43" i="40" s="1"/>
  <c r="Z43" i="40" a="1"/>
  <c r="Z43" i="40" s="1"/>
  <c r="AA43" i="40" a="1"/>
  <c r="AA43" i="40" s="1"/>
  <c r="AB43" i="40" a="1"/>
  <c r="AB43" i="40"/>
  <c r="AC43" i="40" a="1"/>
  <c r="AC43" i="40" s="1"/>
  <c r="AD43" i="40" a="1"/>
  <c r="AD43" i="40"/>
  <c r="AE43" i="40" a="1"/>
  <c r="AE43" i="40" s="1"/>
  <c r="AF43" i="40" a="1"/>
  <c r="AF43" i="40"/>
  <c r="AG43" i="40" a="1"/>
  <c r="AG43" i="40" s="1"/>
  <c r="AH43" i="40" a="1"/>
  <c r="AH43" i="40"/>
  <c r="AI43" i="40" a="1"/>
  <c r="AI43" i="40" s="1"/>
  <c r="AJ43" i="40" a="1"/>
  <c r="AJ43" i="40" s="1"/>
  <c r="AK43" i="40" a="1"/>
  <c r="AK43" i="40"/>
  <c r="AL43" i="40" a="1"/>
  <c r="AL43" i="40" s="1"/>
  <c r="AM43" i="40" a="1"/>
  <c r="AM43" i="40"/>
  <c r="AN43" i="40" a="1"/>
  <c r="AN43" i="40" s="1"/>
  <c r="AO43" i="40" a="1"/>
  <c r="AO43" i="40"/>
  <c r="AP43" i="40" a="1"/>
  <c r="AP43" i="40" s="1"/>
  <c r="AQ43" i="40" a="1"/>
  <c r="AQ43" i="40" s="1"/>
  <c r="B44" i="40" a="1"/>
  <c r="B44" i="40" s="1"/>
  <c r="C44" i="40" a="1"/>
  <c r="C44" i="40" s="1"/>
  <c r="D44" i="40" a="1"/>
  <c r="D44" i="40" s="1"/>
  <c r="E44" i="40" a="1"/>
  <c r="E44" i="40" s="1"/>
  <c r="F44" i="40" a="1"/>
  <c r="F44" i="40" s="1"/>
  <c r="G44" i="40" a="1"/>
  <c r="G44" i="40"/>
  <c r="H44" i="40" a="1"/>
  <c r="H44" i="40" s="1"/>
  <c r="I44" i="40" a="1"/>
  <c r="I44" i="40" s="1"/>
  <c r="J44" i="40" a="1"/>
  <c r="J44" i="40" s="1"/>
  <c r="K44" i="40" a="1"/>
  <c r="K44" i="40" s="1"/>
  <c r="L44" i="40" a="1"/>
  <c r="L44" i="40" s="1"/>
  <c r="M44" i="40" a="1"/>
  <c r="M44" i="40"/>
  <c r="N44" i="40" a="1"/>
  <c r="N44" i="40"/>
  <c r="O44" i="40" a="1"/>
  <c r="O44" i="40" s="1"/>
  <c r="O89" i="40" s="1"/>
  <c r="P44" i="40" a="1"/>
  <c r="P44" i="40"/>
  <c r="Q44" i="40" a="1"/>
  <c r="Q44" i="40" s="1"/>
  <c r="R44" i="40" a="1"/>
  <c r="R44" i="40" s="1"/>
  <c r="S44" i="40" a="1"/>
  <c r="S44" i="40" s="1"/>
  <c r="T44" i="40" a="1"/>
  <c r="T44" i="40"/>
  <c r="U44" i="40" a="1"/>
  <c r="U44" i="40" s="1"/>
  <c r="V44" i="40" a="1"/>
  <c r="V44" i="40"/>
  <c r="W44" i="40" a="1"/>
  <c r="W44" i="40" s="1"/>
  <c r="X44" i="40" a="1"/>
  <c r="X44" i="40"/>
  <c r="Y44" i="40" a="1"/>
  <c r="Y44" i="40" s="1"/>
  <c r="Z44" i="40" a="1"/>
  <c r="Z44" i="40" s="1"/>
  <c r="AA44" i="40" a="1"/>
  <c r="AA44" i="40" s="1"/>
  <c r="AB44" i="40" a="1"/>
  <c r="AB44" i="40"/>
  <c r="AC44" i="40" a="1"/>
  <c r="AC44" i="40" s="1"/>
  <c r="AD44" i="40" a="1"/>
  <c r="AD44" i="40" s="1"/>
  <c r="AE44" i="40" a="1"/>
  <c r="AE44" i="40" s="1"/>
  <c r="AF44" i="40" a="1"/>
  <c r="AF44" i="40" s="1"/>
  <c r="AG44" i="40" a="1"/>
  <c r="AG44" i="40" s="1"/>
  <c r="AH44" i="40" a="1"/>
  <c r="AH44" i="40"/>
  <c r="AI44" i="40" a="1"/>
  <c r="AI44" i="40"/>
  <c r="AJ44" i="40" a="1"/>
  <c r="AJ44" i="40" s="1"/>
  <c r="AK44" i="40" a="1"/>
  <c r="AK44" i="40"/>
  <c r="AL44" i="40" a="1"/>
  <c r="AL44" i="40" s="1"/>
  <c r="AM44" i="40" a="1"/>
  <c r="AM44" i="40"/>
  <c r="AN44" i="40" a="1"/>
  <c r="AN44" i="40" s="1"/>
  <c r="AO44" i="40" a="1"/>
  <c r="AO44" i="40" s="1"/>
  <c r="AP44" i="40" a="1"/>
  <c r="AP44" i="40" s="1"/>
  <c r="AQ44" i="40" a="1"/>
  <c r="AQ44" i="40" s="1"/>
  <c r="O48" i="40"/>
  <c r="P48" i="40"/>
  <c r="O49" i="40"/>
  <c r="P49" i="40"/>
  <c r="O50" i="40"/>
  <c r="P50" i="40"/>
  <c r="O51" i="40"/>
  <c r="P51" i="40"/>
  <c r="O52" i="40"/>
  <c r="P52" i="40"/>
  <c r="O53" i="40"/>
  <c r="P53" i="40"/>
  <c r="O54" i="40"/>
  <c r="P54" i="40"/>
  <c r="O55" i="40"/>
  <c r="P55" i="40"/>
  <c r="O56" i="40"/>
  <c r="P56" i="40"/>
  <c r="O57" i="40"/>
  <c r="P57" i="40"/>
  <c r="O58" i="40"/>
  <c r="P58" i="40"/>
  <c r="O59" i="40"/>
  <c r="P59" i="40"/>
  <c r="O60" i="40"/>
  <c r="P60" i="40"/>
  <c r="B61" i="40"/>
  <c r="C61" i="40"/>
  <c r="D61" i="40"/>
  <c r="E61" i="40"/>
  <c r="F61" i="40"/>
  <c r="G61" i="40"/>
  <c r="H61" i="40"/>
  <c r="I61" i="40"/>
  <c r="J61" i="40"/>
  <c r="K61" i="40"/>
  <c r="L61" i="40"/>
  <c r="M61" i="40"/>
  <c r="N61" i="40"/>
  <c r="O61" i="40"/>
  <c r="P61" i="40"/>
  <c r="Q61" i="40"/>
  <c r="R61" i="40"/>
  <c r="S61" i="40"/>
  <c r="T61" i="40"/>
  <c r="U61" i="40"/>
  <c r="V61" i="40"/>
  <c r="W61" i="40"/>
  <c r="X61" i="40"/>
  <c r="Y61" i="40"/>
  <c r="Z61" i="40"/>
  <c r="AA61" i="40"/>
  <c r="AB61" i="40"/>
  <c r="AC61" i="40"/>
  <c r="AD61" i="40"/>
  <c r="AE61" i="40"/>
  <c r="AF61" i="40"/>
  <c r="AG61" i="40"/>
  <c r="AH61" i="40"/>
  <c r="AI61" i="40"/>
  <c r="AJ61" i="40"/>
  <c r="AK61" i="40"/>
  <c r="AL61" i="40"/>
  <c r="AM61" i="40"/>
  <c r="AN61" i="40"/>
  <c r="AO61" i="40"/>
  <c r="AP61" i="40"/>
  <c r="AQ61" i="40"/>
  <c r="B62" i="40"/>
  <c r="C62" i="40"/>
  <c r="D62" i="40"/>
  <c r="E62" i="40"/>
  <c r="F62" i="40"/>
  <c r="G62" i="40"/>
  <c r="H62" i="40"/>
  <c r="I62" i="40"/>
  <c r="J62" i="40"/>
  <c r="K62" i="40"/>
  <c r="L62" i="40"/>
  <c r="M62" i="40"/>
  <c r="N62" i="40"/>
  <c r="O62" i="40"/>
  <c r="P62" i="40"/>
  <c r="Q62" i="40"/>
  <c r="R62" i="40"/>
  <c r="S62" i="40"/>
  <c r="T62" i="40"/>
  <c r="U62" i="40"/>
  <c r="V62" i="40"/>
  <c r="W62" i="40"/>
  <c r="X62" i="40"/>
  <c r="Y62" i="40"/>
  <c r="Z62" i="40"/>
  <c r="AA62" i="40"/>
  <c r="AB62" i="40"/>
  <c r="AC62" i="40"/>
  <c r="AD62" i="40"/>
  <c r="AE62" i="40"/>
  <c r="AF62" i="40"/>
  <c r="AG62" i="40"/>
  <c r="AH62" i="40"/>
  <c r="AI62" i="40"/>
  <c r="AJ62" i="40"/>
  <c r="AK62" i="40"/>
  <c r="AL62" i="40"/>
  <c r="AM62" i="40"/>
  <c r="AN62" i="40"/>
  <c r="AO62" i="40"/>
  <c r="AP62" i="40"/>
  <c r="AQ62" i="40"/>
  <c r="O63" i="40"/>
  <c r="P63" i="40"/>
  <c r="O64" i="40"/>
  <c r="P64" i="40"/>
  <c r="O65" i="40"/>
  <c r="P65" i="40"/>
  <c r="O66" i="40"/>
  <c r="P66" i="40"/>
  <c r="O67" i="40"/>
  <c r="P67" i="40"/>
  <c r="O68" i="40"/>
  <c r="P68" i="40"/>
  <c r="O69" i="40"/>
  <c r="P69" i="40"/>
  <c r="O70" i="40"/>
  <c r="P70" i="40"/>
  <c r="O71" i="40"/>
  <c r="P71" i="40"/>
  <c r="O72" i="40"/>
  <c r="P72" i="40"/>
  <c r="O73" i="40"/>
  <c r="P73" i="40"/>
  <c r="O74" i="40"/>
  <c r="P74" i="40"/>
  <c r="O75" i="40"/>
  <c r="O76" i="40"/>
  <c r="P76" i="40"/>
  <c r="O77" i="40"/>
  <c r="P77" i="40"/>
  <c r="O78" i="40"/>
  <c r="O79" i="40"/>
  <c r="P79" i="40"/>
  <c r="O80" i="40"/>
  <c r="P80" i="40"/>
  <c r="O84" i="40"/>
  <c r="P84" i="40"/>
  <c r="O85" i="40"/>
  <c r="P86" i="40"/>
  <c r="O87" i="40"/>
  <c r="P87" i="40"/>
  <c r="O88" i="40"/>
  <c r="P89" i="40"/>
  <c r="C3" i="38"/>
  <c r="AG160" i="38" s="1" a="1"/>
  <c r="AG160" i="38" s="1"/>
  <c r="D3" i="38"/>
  <c r="E3" i="38"/>
  <c r="F3" i="38"/>
  <c r="G3" i="38"/>
  <c r="H3" i="38"/>
  <c r="I3" i="38"/>
  <c r="J3" i="38"/>
  <c r="K3" i="38"/>
  <c r="L3" i="38"/>
  <c r="M3" i="38"/>
  <c r="N3" i="38"/>
  <c r="O3" i="38"/>
  <c r="P3" i="38"/>
  <c r="Q3" i="38"/>
  <c r="R3" i="38"/>
  <c r="S3" i="38"/>
  <c r="T3" i="38"/>
  <c r="U3" i="38"/>
  <c r="V3" i="38"/>
  <c r="W3" i="38"/>
  <c r="X3" i="38"/>
  <c r="Y3" i="38"/>
  <c r="Z3" i="38"/>
  <c r="AA3" i="38"/>
  <c r="AB3" i="38"/>
  <c r="AC3" i="38"/>
  <c r="AD3" i="38"/>
  <c r="AE3" i="38"/>
  <c r="AF3" i="38"/>
  <c r="AG3" i="38"/>
  <c r="AH3" i="38"/>
  <c r="AI3" i="38"/>
  <c r="AJ3" i="38"/>
  <c r="AK3" i="38"/>
  <c r="AL3" i="38"/>
  <c r="AM3" i="38"/>
  <c r="AN3" i="38"/>
  <c r="AO3" i="38"/>
  <c r="AP3" i="38"/>
  <c r="AQ3" i="38"/>
  <c r="AR3" i="38"/>
  <c r="AS3" i="38"/>
  <c r="AT3" i="38"/>
  <c r="AU3" i="38"/>
  <c r="AV3" i="38"/>
  <c r="AW3" i="38"/>
  <c r="AX3" i="38"/>
  <c r="AY3" i="38"/>
  <c r="AZ3" i="38"/>
  <c r="B4" i="38"/>
  <c r="X124" i="38" s="1" a="1"/>
  <c r="X124" i="38" s="1"/>
  <c r="BA4" i="38"/>
  <c r="B5" i="38"/>
  <c r="BA5" i="38"/>
  <c r="B6" i="38"/>
  <c r="BA6" i="38"/>
  <c r="B7" i="38"/>
  <c r="BA7" i="38"/>
  <c r="B8" i="38"/>
  <c r="BA8" i="38"/>
  <c r="B9" i="38"/>
  <c r="BA9" i="38"/>
  <c r="B10" i="38"/>
  <c r="BA10" i="38"/>
  <c r="B11" i="38"/>
  <c r="BA11" i="38"/>
  <c r="B12" i="38"/>
  <c r="AS139" i="38" s="1"/>
  <c r="BA12" i="38"/>
  <c r="B13" i="38"/>
  <c r="BA13" i="38"/>
  <c r="B14" i="38"/>
  <c r="BA14" i="38"/>
  <c r="B15" i="38"/>
  <c r="BA15" i="38"/>
  <c r="B16" i="38"/>
  <c r="BA16" i="38"/>
  <c r="B17" i="38"/>
  <c r="BA17" i="38"/>
  <c r="B18" i="38"/>
  <c r="BA18" i="38"/>
  <c r="B19" i="38"/>
  <c r="BA19" i="38"/>
  <c r="B20" i="38"/>
  <c r="BA20" i="38"/>
  <c r="B21" i="38"/>
  <c r="BA21" i="38"/>
  <c r="B22" i="38"/>
  <c r="BA22" i="38"/>
  <c r="B23" i="38"/>
  <c r="BA23" i="38"/>
  <c r="B24" i="38"/>
  <c r="BA24" i="38"/>
  <c r="B25" i="38"/>
  <c r="BA25" i="38"/>
  <c r="B26" i="38"/>
  <c r="BA26" i="38"/>
  <c r="B27" i="38"/>
  <c r="BA27" i="38"/>
  <c r="B28" i="38"/>
  <c r="BA28" i="38"/>
  <c r="B29" i="38"/>
  <c r="BA29" i="38"/>
  <c r="B30" i="38"/>
  <c r="BA30" i="38"/>
  <c r="B31" i="38"/>
  <c r="BA31" i="38"/>
  <c r="B32" i="38"/>
  <c r="BA32" i="38"/>
  <c r="B33" i="38"/>
  <c r="BA33" i="38"/>
  <c r="B34" i="38"/>
  <c r="BA34" i="38"/>
  <c r="B35" i="38"/>
  <c r="BA35" i="38"/>
  <c r="B36" i="38"/>
  <c r="BA36" i="38"/>
  <c r="B37" i="38"/>
  <c r="BA37" i="38"/>
  <c r="B38" i="38"/>
  <c r="BA38" i="38"/>
  <c r="B39" i="38"/>
  <c r="BA39" i="38"/>
  <c r="B40" i="38"/>
  <c r="BA40" i="38"/>
  <c r="B41" i="38"/>
  <c r="BA41" i="38"/>
  <c r="B42" i="38"/>
  <c r="BA42" i="38"/>
  <c r="B43" i="38"/>
  <c r="BA43" i="38"/>
  <c r="B44" i="38"/>
  <c r="BA44" i="38"/>
  <c r="B45" i="38"/>
  <c r="BA45" i="38"/>
  <c r="B46" i="38"/>
  <c r="BA46" i="38"/>
  <c r="B47" i="38"/>
  <c r="BA47" i="38"/>
  <c r="B48" i="38"/>
  <c r="BA48" i="38"/>
  <c r="B49" i="38"/>
  <c r="BA49" i="38"/>
  <c r="B50" i="38"/>
  <c r="BA50" i="38"/>
  <c r="B51" i="38"/>
  <c r="BA51" i="38"/>
  <c r="B52" i="38"/>
  <c r="BA52" i="38"/>
  <c r="B53" i="38"/>
  <c r="BA53" i="38"/>
  <c r="B54" i="38"/>
  <c r="BA54" i="38"/>
  <c r="B55" i="38"/>
  <c r="BA55" i="38"/>
  <c r="B56" i="38"/>
  <c r="BA56" i="38"/>
  <c r="B57" i="38"/>
  <c r="BA57" i="38"/>
  <c r="B58" i="38"/>
  <c r="BA58" i="38"/>
  <c r="B59" i="38"/>
  <c r="BA59" i="38"/>
  <c r="B60" i="38"/>
  <c r="BA60" i="38"/>
  <c r="B61" i="38"/>
  <c r="BA61" i="38"/>
  <c r="B62" i="38"/>
  <c r="BA62" i="38"/>
  <c r="B63" i="38"/>
  <c r="BA63" i="38"/>
  <c r="B64" i="38"/>
  <c r="BA64" i="38"/>
  <c r="B65" i="38"/>
  <c r="BA65" i="38"/>
  <c r="B66" i="38"/>
  <c r="BA66" i="38"/>
  <c r="B67" i="38"/>
  <c r="BA67" i="38"/>
  <c r="B68" i="38"/>
  <c r="BA68" i="38"/>
  <c r="B69" i="38"/>
  <c r="BA69" i="38"/>
  <c r="B70" i="38"/>
  <c r="BA70" i="38"/>
  <c r="B71" i="38"/>
  <c r="BA71" i="38"/>
  <c r="B72" i="38"/>
  <c r="BA72" i="38"/>
  <c r="B73" i="38"/>
  <c r="BA73" i="38"/>
  <c r="B74" i="38"/>
  <c r="BA74" i="38"/>
  <c r="B75" i="38"/>
  <c r="BA75" i="38"/>
  <c r="B76" i="38"/>
  <c r="BA76" i="38"/>
  <c r="B77" i="38"/>
  <c r="BA77" i="38"/>
  <c r="B78" i="38"/>
  <c r="BA78" i="38"/>
  <c r="B79" i="38"/>
  <c r="BA79" i="38"/>
  <c r="B80" i="38"/>
  <c r="BA80" i="38"/>
  <c r="B81" i="38"/>
  <c r="BA81" i="38"/>
  <c r="B82" i="38"/>
  <c r="BA82" i="38"/>
  <c r="B83" i="38"/>
  <c r="BA83" i="38"/>
  <c r="B84" i="38"/>
  <c r="BA84" i="38"/>
  <c r="B85" i="38"/>
  <c r="BA85" i="38"/>
  <c r="B86" i="38"/>
  <c r="BA86" i="38"/>
  <c r="B87" i="38"/>
  <c r="BA87" i="38"/>
  <c r="B88" i="38"/>
  <c r="BA88" i="38"/>
  <c r="B89" i="38"/>
  <c r="BA89" i="38"/>
  <c r="B90" i="38"/>
  <c r="BA90" i="38"/>
  <c r="B91" i="38"/>
  <c r="BA91" i="38"/>
  <c r="B92" i="38"/>
  <c r="BA92" i="38"/>
  <c r="B93" i="38"/>
  <c r="BA93" i="38"/>
  <c r="B94" i="38"/>
  <c r="BA94" i="38"/>
  <c r="B95" i="38"/>
  <c r="BA95" i="38"/>
  <c r="B96" i="38"/>
  <c r="BA96" i="38"/>
  <c r="B97" i="38"/>
  <c r="BA97" i="38"/>
  <c r="B98" i="38"/>
  <c r="BA98" i="38"/>
  <c r="B99" i="38"/>
  <c r="BA99" i="38"/>
  <c r="B100" i="38"/>
  <c r="BA100" i="38"/>
  <c r="B101" i="38"/>
  <c r="BA101" i="38"/>
  <c r="B102" i="38"/>
  <c r="BA102" i="38"/>
  <c r="B103" i="38"/>
  <c r="BA103" i="38"/>
  <c r="B104" i="38"/>
  <c r="BA104" i="38"/>
  <c r="B105" i="38"/>
  <c r="BA105" i="38"/>
  <c r="B106" i="38"/>
  <c r="BA106" i="38"/>
  <c r="B107" i="38"/>
  <c r="BA107" i="38"/>
  <c r="B108" i="38"/>
  <c r="BA108" i="38"/>
  <c r="D118" i="38" a="1"/>
  <c r="D118" i="38" s="1"/>
  <c r="T118" i="38" a="1"/>
  <c r="T118" i="38" s="1"/>
  <c r="H128" i="38" a="1"/>
  <c r="H128" i="38" s="1"/>
  <c r="I128" i="38" a="1"/>
  <c r="I128" i="38" s="1"/>
  <c r="AC132" i="38" a="1"/>
  <c r="AC132" i="38" s="1"/>
  <c r="AD132" i="38" a="1"/>
  <c r="AD132" i="38" s="1"/>
  <c r="AI136" i="38" a="1"/>
  <c r="AI136" i="38" s="1"/>
  <c r="AJ136" i="38" a="1"/>
  <c r="AJ136" i="38" s="1"/>
  <c r="AM139" i="38" a="1"/>
  <c r="AM139" i="38" s="1"/>
  <c r="AP139" i="38" a="1"/>
  <c r="AP139" i="38" s="1"/>
  <c r="AQ139" i="38" a="1"/>
  <c r="AQ139" i="38" s="1"/>
  <c r="Y142" i="38" a="1"/>
  <c r="Y142" i="38" s="1"/>
  <c r="AB142" i="38" a="1"/>
  <c r="AB142" i="38" s="1"/>
  <c r="AB144" i="38" a="1"/>
  <c r="AB144" i="38" s="1"/>
  <c r="AQ144" i="38" a="1"/>
  <c r="AQ144" i="38" s="1"/>
  <c r="E145" i="38" a="1"/>
  <c r="E145" i="38" s="1"/>
  <c r="K147" i="38" a="1"/>
  <c r="K147" i="38" s="1"/>
  <c r="T147" i="38" a="1"/>
  <c r="T147" i="38" s="1"/>
  <c r="U147" i="38" a="1"/>
  <c r="U147" i="38" s="1"/>
  <c r="R149" i="38" a="1"/>
  <c r="R149" i="38" s="1"/>
  <c r="S149" i="38" a="1"/>
  <c r="S149" i="38" s="1"/>
  <c r="AE149" i="38" a="1"/>
  <c r="AE149" i="38" s="1"/>
  <c r="AL149" i="38" a="1"/>
  <c r="AL149" i="38" s="1"/>
  <c r="AN149" i="38" a="1"/>
  <c r="AN149" i="38" s="1"/>
  <c r="AA151" i="38" a="1"/>
  <c r="AA151" i="38" s="1"/>
  <c r="AD151" i="38" a="1"/>
  <c r="AD151" i="38" s="1"/>
  <c r="AJ151" i="38" a="1"/>
  <c r="AJ151" i="38" s="1"/>
  <c r="AK151" i="38" a="1"/>
  <c r="AK151" i="38" s="1"/>
  <c r="G153" i="38" a="1"/>
  <c r="G153" i="38" s="1"/>
  <c r="N153" i="38" a="1"/>
  <c r="N153" i="38" s="1"/>
  <c r="Y154" i="38" a="1"/>
  <c r="Y154" i="38" s="1"/>
  <c r="AA154" i="38" a="1"/>
  <c r="AA154" i="38" s="1"/>
  <c r="AD154" i="38" a="1"/>
  <c r="AD154" i="38" s="1"/>
  <c r="AE154" i="38" a="1"/>
  <c r="AE154" i="38" s="1"/>
  <c r="AE155" i="38" a="1"/>
  <c r="AE155" i="38" s="1"/>
  <c r="AL155" i="38" a="1"/>
  <c r="AL155" i="38" s="1"/>
  <c r="AP155" i="38" a="1"/>
  <c r="AP155" i="38" s="1"/>
  <c r="AQ155" i="38" a="1"/>
  <c r="AQ155" i="38" s="1"/>
  <c r="C157" i="38" a="1"/>
  <c r="C157" i="38" s="1"/>
  <c r="D157" i="38" a="1"/>
  <c r="D157" i="38" s="1"/>
  <c r="M157" i="38" a="1"/>
  <c r="M157" i="38" s="1"/>
  <c r="O157" i="38" a="1"/>
  <c r="O157" i="38" s="1"/>
  <c r="P157" i="38" a="1"/>
  <c r="P157" i="38" s="1"/>
  <c r="M158" i="38" a="1"/>
  <c r="M158" i="38" s="1"/>
  <c r="Q158" i="38" a="1"/>
  <c r="Q158" i="38" s="1"/>
  <c r="R158" i="38" a="1"/>
  <c r="R158" i="38" s="1"/>
  <c r="Y158" i="38" a="1"/>
  <c r="Y158" i="38" s="1"/>
  <c r="AA158" i="38" a="1"/>
  <c r="AA158" i="38" s="1"/>
  <c r="AB158" i="38" a="1"/>
  <c r="AB158" i="38" s="1"/>
  <c r="I159" i="38" a="1"/>
  <c r="I159" i="38" s="1"/>
  <c r="L159" i="38" a="1"/>
  <c r="L159" i="38" s="1"/>
  <c r="N159" i="38" a="1"/>
  <c r="N159" i="38" s="1"/>
  <c r="Y159" i="38" a="1"/>
  <c r="Y159" i="38" s="1"/>
  <c r="Z159" i="38" a="1"/>
  <c r="Z159" i="38" s="1"/>
  <c r="AA159" i="38" a="1"/>
  <c r="AA159" i="38" s="1"/>
  <c r="K160" i="38" a="1"/>
  <c r="K160" i="38" s="1"/>
  <c r="L160" i="38" a="1"/>
  <c r="L160" i="38" s="1"/>
  <c r="M160" i="38" a="1"/>
  <c r="M160" i="38" s="1"/>
  <c r="Q160" i="38" a="1"/>
  <c r="Q160" i="38" s="1"/>
  <c r="R160" i="38" a="1"/>
  <c r="R160" i="38" s="1"/>
  <c r="F161" i="38" a="1"/>
  <c r="F161" i="38" s="1"/>
  <c r="H161" i="38" a="1"/>
  <c r="H161" i="38" s="1"/>
  <c r="I161" i="38" a="1"/>
  <c r="I161" i="38" s="1"/>
  <c r="L161" i="38" a="1"/>
  <c r="L161" i="38" s="1"/>
  <c r="M161" i="38" a="1"/>
  <c r="M161" i="38" s="1"/>
  <c r="D162" i="38" a="1"/>
  <c r="D162" i="38" s="1"/>
  <c r="I162" i="38" a="1"/>
  <c r="I162" i="38"/>
  <c r="J162" i="38" a="1"/>
  <c r="J162" i="38" s="1"/>
  <c r="AH162" i="38" a="1"/>
  <c r="AH162" i="38" s="1"/>
  <c r="AI162" i="38" a="1"/>
  <c r="AI162" i="38" s="1"/>
  <c r="AK162" i="38" a="1"/>
  <c r="AK162" i="38" s="1"/>
  <c r="C163" i="38" a="1"/>
  <c r="C163" i="38" s="1"/>
  <c r="J163" i="38" a="1"/>
  <c r="J163" i="38" s="1"/>
  <c r="AF163" i="38" a="1"/>
  <c r="AF163" i="38" s="1"/>
  <c r="AH163" i="38" a="1"/>
  <c r="AH163" i="38" s="1"/>
  <c r="AI163" i="38" a="1"/>
  <c r="AI163" i="38" s="1"/>
  <c r="F164" i="38" a="1"/>
  <c r="F164" i="38" s="1"/>
  <c r="Q164" i="38" a="1"/>
  <c r="Q164" i="38" s="1"/>
  <c r="T164" i="38" a="1"/>
  <c r="T164" i="38" s="1"/>
  <c r="V164" i="38" a="1"/>
  <c r="V164" i="38" s="1"/>
  <c r="AC164" i="38" a="1"/>
  <c r="AC164" i="38" s="1"/>
  <c r="AD164" i="38" a="1"/>
  <c r="AD164" i="38" s="1"/>
  <c r="AJ164" i="38" a="1"/>
  <c r="AJ164" i="38" s="1"/>
  <c r="L165" i="38" a="1"/>
  <c r="L165" i="38" s="1"/>
  <c r="N165" i="38" a="1"/>
  <c r="N165" i="38" s="1"/>
  <c r="O165" i="38" a="1"/>
  <c r="O165" i="38" s="1"/>
  <c r="P165" i="38" a="1"/>
  <c r="P165" i="38" s="1"/>
  <c r="AI165" i="38" a="1"/>
  <c r="AI165" i="38" s="1"/>
  <c r="AL165" i="38" a="1"/>
  <c r="AL165" i="38" s="1"/>
  <c r="AM165" i="38" a="1"/>
  <c r="AM165" i="38" s="1"/>
  <c r="AN165" i="38" a="1"/>
  <c r="AN165" i="38" s="1"/>
  <c r="F166" i="38" a="1"/>
  <c r="F166" i="38" s="1"/>
  <c r="H166" i="38" a="1"/>
  <c r="H166" i="38" s="1"/>
  <c r="I166" i="38" a="1"/>
  <c r="I166" i="38" s="1"/>
  <c r="L166" i="38" a="1"/>
  <c r="L166" i="38" s="1"/>
  <c r="AB166" i="38" a="1"/>
  <c r="AB166" i="38" s="1"/>
  <c r="AC166" i="38" a="1"/>
  <c r="AC166" i="38" s="1"/>
  <c r="AD166" i="38" a="1"/>
  <c r="AD166" i="38"/>
  <c r="AF166" i="38" a="1"/>
  <c r="AF166" i="38" s="1"/>
  <c r="AJ166" i="38" a="1"/>
  <c r="AJ166" i="38" s="1"/>
  <c r="AP166" i="38" a="1"/>
  <c r="AP166" i="38" s="1"/>
  <c r="L167" i="38" a="1"/>
  <c r="L167" i="38" s="1"/>
  <c r="M167" i="38" a="1"/>
  <c r="M167" i="38" s="1"/>
  <c r="N167" i="38" a="1"/>
  <c r="N167" i="38" s="1"/>
  <c r="P167" i="38" a="1"/>
  <c r="P167" i="38" s="1"/>
  <c r="R167" i="38" a="1"/>
  <c r="R167" i="38" s="1"/>
  <c r="S167" i="38" a="1"/>
  <c r="S167" i="38" s="1"/>
  <c r="W167" i="38" a="1"/>
  <c r="W167" i="38" s="1"/>
  <c r="AD167" i="38" a="1"/>
  <c r="AD167" i="38" s="1"/>
  <c r="AL167" i="38" a="1"/>
  <c r="AL167" i="38" s="1"/>
  <c r="AQ167" i="38" a="1"/>
  <c r="AQ167" i="38" s="1"/>
  <c r="E168" i="38" a="1"/>
  <c r="E168" i="38" s="1"/>
  <c r="G168" i="38" a="1"/>
  <c r="G168" i="38"/>
  <c r="H168" i="38" a="1"/>
  <c r="H168" i="38" s="1"/>
  <c r="AA168" i="38" a="1"/>
  <c r="AA168" i="38" s="1"/>
  <c r="AB168" i="38" a="1"/>
  <c r="AB168" i="38"/>
  <c r="AD168" i="38" a="1"/>
  <c r="AD168" i="38" s="1"/>
  <c r="AE168" i="38" a="1"/>
  <c r="AE168" i="38" s="1"/>
  <c r="AG168" i="38" a="1"/>
  <c r="AG168" i="38" s="1"/>
  <c r="AP168" i="38" a="1"/>
  <c r="AP168" i="38" s="1"/>
  <c r="F169" i="38" a="1"/>
  <c r="F169" i="38" s="1"/>
  <c r="I169" i="38" a="1"/>
  <c r="I169" i="38" s="1"/>
  <c r="L169" i="38" a="1"/>
  <c r="L169" i="38" s="1"/>
  <c r="M169" i="38" a="1"/>
  <c r="M169" i="38" s="1"/>
  <c r="R169" i="38" a="1"/>
  <c r="R169" i="38" s="1"/>
  <c r="T169" i="38" a="1"/>
  <c r="T169" i="38" s="1"/>
  <c r="W169" i="38" a="1"/>
  <c r="W169" i="38" s="1"/>
  <c r="AJ169" i="38" a="1"/>
  <c r="AJ169" i="38" s="1"/>
  <c r="AM169" i="38" a="1"/>
  <c r="AM169" i="38" s="1"/>
  <c r="AN169" i="38" a="1"/>
  <c r="AN169" i="38"/>
  <c r="AP169" i="38" a="1"/>
  <c r="AP169" i="38" s="1"/>
  <c r="F170" i="38" a="1"/>
  <c r="F170" i="38" s="1"/>
  <c r="U170" i="38" a="1"/>
  <c r="U170" i="38" s="1"/>
  <c r="V170" i="38" a="1"/>
  <c r="V170" i="38" s="1"/>
  <c r="X170" i="38" a="1"/>
  <c r="X170" i="38" s="1"/>
  <c r="Y170" i="38" a="1"/>
  <c r="Y170" i="38" s="1"/>
  <c r="Z170" i="38" a="1"/>
  <c r="Z170" i="38" s="1"/>
  <c r="AJ170" i="38" a="1"/>
  <c r="AJ170" i="38" s="1"/>
  <c r="AQ170" i="38" a="1"/>
  <c r="AQ170" i="38" s="1"/>
  <c r="AR170" i="38" a="1"/>
  <c r="AR170" i="38" s="1"/>
  <c r="C171" i="38" a="1"/>
  <c r="C171" i="38" s="1"/>
  <c r="G171" i="38" a="1"/>
  <c r="G171" i="38" s="1"/>
  <c r="L171" i="38" a="1"/>
  <c r="L171" i="38" s="1"/>
  <c r="M171" i="38" a="1"/>
  <c r="M171" i="38" s="1"/>
  <c r="N171" i="38" a="1"/>
  <c r="N171" i="38" s="1"/>
  <c r="R171" i="38" a="1"/>
  <c r="R171" i="38" s="1"/>
  <c r="AG171" i="38" a="1"/>
  <c r="AG171" i="38" s="1"/>
  <c r="AH171" i="38" a="1"/>
  <c r="AH171" i="38" s="1"/>
  <c r="AI171" i="38" a="1"/>
  <c r="AI171" i="38" s="1"/>
  <c r="AK171" i="38" a="1"/>
  <c r="AK171" i="38" s="1"/>
  <c r="AL171" i="38" a="1"/>
  <c r="AL171" i="38" s="1"/>
  <c r="AR171" i="38" a="1"/>
  <c r="AR171" i="38" s="1"/>
  <c r="M172" i="38" a="1"/>
  <c r="M172" i="38"/>
  <c r="N172" i="38" a="1"/>
  <c r="N172" i="38" s="1"/>
  <c r="Q172" i="38" a="1"/>
  <c r="Q172" i="38" s="1"/>
  <c r="S172" i="38" a="1"/>
  <c r="S172" i="38" s="1"/>
  <c r="Z172" i="38" a="1"/>
  <c r="Z172" i="38" s="1"/>
  <c r="AI172" i="38" a="1"/>
  <c r="AI172" i="38" s="1"/>
  <c r="AJ172" i="38" a="1"/>
  <c r="AJ172" i="38" s="1"/>
  <c r="AM172" i="38" a="1"/>
  <c r="AM172" i="38" s="1"/>
  <c r="AN172" i="38" a="1"/>
  <c r="AN172" i="38" s="1"/>
  <c r="AP172" i="38" a="1"/>
  <c r="AP172" i="38" s="1"/>
  <c r="AQ172" i="38" a="1"/>
  <c r="AQ172" i="38" s="1"/>
  <c r="G173" i="38" a="1"/>
  <c r="G173" i="38" s="1"/>
  <c r="Q173" i="38" a="1"/>
  <c r="Q173" i="38" s="1"/>
  <c r="R173" i="38" a="1"/>
  <c r="R173" i="38" s="1"/>
  <c r="S173" i="38" a="1"/>
  <c r="S173" i="38" s="1"/>
  <c r="T173" i="38" a="1"/>
  <c r="T173" i="38" s="1"/>
  <c r="V173" i="38" a="1"/>
  <c r="V173" i="38" s="1"/>
  <c r="W173" i="38" a="1"/>
  <c r="W173" i="38" s="1"/>
  <c r="AO173" i="38" a="1"/>
  <c r="AO173" i="38"/>
  <c r="AP173" i="38" a="1"/>
  <c r="AP173" i="38" s="1"/>
  <c r="AQ173" i="38" a="1"/>
  <c r="AQ173" i="38" s="1"/>
  <c r="D174" i="38" a="1"/>
  <c r="D174" i="38" s="1"/>
  <c r="E174" i="38" a="1"/>
  <c r="E174" i="38" s="1"/>
  <c r="F174" i="38" a="1"/>
  <c r="F174" i="38" s="1"/>
  <c r="K174" i="38" a="1"/>
  <c r="K174" i="38" s="1"/>
  <c r="S174" i="38" a="1"/>
  <c r="S174" i="38" s="1"/>
  <c r="T174" i="38" a="1"/>
  <c r="T174" i="38" s="1"/>
  <c r="V174" i="38" a="1"/>
  <c r="V174" i="38" s="1"/>
  <c r="W174" i="38" a="1"/>
  <c r="W174" i="38"/>
  <c r="Z174" i="38" a="1"/>
  <c r="Z174" i="38" s="1"/>
  <c r="AB174" i="38" a="1"/>
  <c r="AB174" i="38" s="1"/>
  <c r="AC174" i="38" a="1"/>
  <c r="AC174" i="38" s="1"/>
  <c r="AF174" i="38" a="1"/>
  <c r="AF174" i="38" s="1"/>
  <c r="AN174" i="38" a="1"/>
  <c r="AN174" i="38" s="1"/>
  <c r="AQ174" i="38" a="1"/>
  <c r="AQ174" i="38" s="1"/>
  <c r="C175" i="38" a="1"/>
  <c r="C175" i="38" s="1"/>
  <c r="D175" i="38" a="1"/>
  <c r="D175" i="38" s="1"/>
  <c r="E175" i="38" a="1"/>
  <c r="E175" i="38"/>
  <c r="F175" i="38" a="1"/>
  <c r="F175" i="38" s="1"/>
  <c r="K175" i="38" a="1"/>
  <c r="K175" i="38" s="1"/>
  <c r="U175" i="38" a="1"/>
  <c r="U175" i="38" s="1"/>
  <c r="V175" i="38" a="1"/>
  <c r="V175" i="38" s="1"/>
  <c r="W175" i="38" a="1"/>
  <c r="W175" i="38" s="1"/>
  <c r="X175" i="38" a="1"/>
  <c r="X175" i="38" s="1"/>
  <c r="Y175" i="38" a="1"/>
  <c r="Y175" i="38" s="1"/>
  <c r="AA175" i="38" a="1"/>
  <c r="AA175" i="38" s="1"/>
  <c r="AG175" i="38" a="1"/>
  <c r="AG175" i="38" s="1"/>
  <c r="AO175" i="38" a="1"/>
  <c r="AO175" i="38"/>
  <c r="AP175" i="38" a="1"/>
  <c r="AP175" i="38" s="1"/>
  <c r="AQ175" i="38" a="1"/>
  <c r="AQ175" i="38" s="1"/>
  <c r="AR175" i="38" a="1"/>
  <c r="AR175" i="38"/>
  <c r="F176" i="38" a="1"/>
  <c r="F176" i="38" s="1"/>
  <c r="G176" i="38" a="1"/>
  <c r="G176" i="38" s="1"/>
  <c r="I176" i="38" a="1"/>
  <c r="I176" i="38" s="1"/>
  <c r="L176" i="38" a="1"/>
  <c r="L176" i="38" s="1"/>
  <c r="S176" i="38" a="1"/>
  <c r="S176" i="38"/>
  <c r="T176" i="38" a="1"/>
  <c r="T176" i="38" s="1"/>
  <c r="W176" i="38" a="1"/>
  <c r="W176" i="38" s="1"/>
  <c r="Z176" i="38" a="1"/>
  <c r="Z176" i="38" s="1"/>
  <c r="AA176" i="38" a="1"/>
  <c r="AA176" i="38" s="1"/>
  <c r="AB176" i="38" a="1"/>
  <c r="AB176" i="38" s="1"/>
  <c r="AF176" i="38" a="1"/>
  <c r="AF176" i="38" s="1"/>
  <c r="AO176" i="38" a="1"/>
  <c r="AO176" i="38"/>
  <c r="AP176" i="38" a="1"/>
  <c r="AP176" i="38" s="1"/>
  <c r="AQ176" i="38" a="1"/>
  <c r="AQ176" i="38" s="1"/>
  <c r="AR176" i="38" a="1"/>
  <c r="AR176" i="38" s="1"/>
  <c r="C177" i="38" a="1"/>
  <c r="C177" i="38"/>
  <c r="D177" i="38" a="1"/>
  <c r="D177" i="38" s="1"/>
  <c r="E177" i="38" a="1"/>
  <c r="E177" i="38" s="1"/>
  <c r="K177" i="38" a="1"/>
  <c r="K177" i="38" s="1"/>
  <c r="S177" i="38" a="1"/>
  <c r="S177" i="38"/>
  <c r="T177" i="38" a="1"/>
  <c r="T177" i="38"/>
  <c r="U177" i="38" a="1"/>
  <c r="U177" i="38" s="1"/>
  <c r="V177" i="38" a="1"/>
  <c r="V177" i="38" s="1"/>
  <c r="Y177" i="38" a="1"/>
  <c r="Y177" i="38" s="1"/>
  <c r="Z177" i="38" a="1"/>
  <c r="Z177" i="38" s="1"/>
  <c r="AC177" i="38" a="1"/>
  <c r="AC177" i="38" s="1"/>
  <c r="AG177" i="38" a="1"/>
  <c r="AG177" i="38" s="1"/>
  <c r="AL177" i="38" a="1"/>
  <c r="AL177" i="38" s="1"/>
  <c r="AO177" i="38" a="1"/>
  <c r="AO177" i="38" s="1"/>
  <c r="AR177" i="38" a="1"/>
  <c r="AR177" i="38" s="1"/>
  <c r="E178" i="38" a="1"/>
  <c r="E178" i="38" s="1"/>
  <c r="F178" i="38" a="1"/>
  <c r="F178" i="38"/>
  <c r="G178" i="38" a="1"/>
  <c r="G178" i="38" s="1"/>
  <c r="K178" i="38" a="1"/>
  <c r="K178" i="38" s="1"/>
  <c r="S178" i="38" a="1"/>
  <c r="S178" i="38" s="1"/>
  <c r="T178" i="38" a="1"/>
  <c r="T178" i="38" s="1"/>
  <c r="U178" i="38" a="1"/>
  <c r="U178" i="38" s="1"/>
  <c r="V178" i="38" a="1"/>
  <c r="V178" i="38" s="1"/>
  <c r="X178" i="38" a="1"/>
  <c r="X178" i="38" s="1"/>
  <c r="Y178" i="38" a="1"/>
  <c r="Y178" i="38" s="1"/>
  <c r="Z178" i="38" a="1"/>
  <c r="Z178" i="38" s="1"/>
  <c r="AA178" i="38" a="1"/>
  <c r="AA178" i="38" s="1"/>
  <c r="AF178" i="38" a="1"/>
  <c r="AF178" i="38" s="1"/>
  <c r="AL178" i="38" a="1"/>
  <c r="AL178" i="38" s="1"/>
  <c r="AM178" i="38" a="1"/>
  <c r="AM178" i="38" s="1"/>
  <c r="AN178" i="38" a="1"/>
  <c r="AN178" i="38" s="1"/>
  <c r="AO178" i="38" a="1"/>
  <c r="AO178" i="38" s="1"/>
  <c r="AP178" i="38" a="1"/>
  <c r="AP178" i="38" s="1"/>
  <c r="C179" i="38" a="1"/>
  <c r="C179" i="38" s="1"/>
  <c r="D179" i="38" a="1"/>
  <c r="D179" i="38" s="1"/>
  <c r="I179" i="38" a="1"/>
  <c r="I179" i="38" s="1"/>
  <c r="O179" i="38" a="1"/>
  <c r="O179" i="38"/>
  <c r="P179" i="38" a="1"/>
  <c r="P179" i="38" s="1"/>
  <c r="Q179" i="38" a="1"/>
  <c r="Q179" i="38" s="1"/>
  <c r="R179" i="38" a="1"/>
  <c r="R179" i="38" s="1"/>
  <c r="S179" i="38" a="1"/>
  <c r="S179" i="38" s="1"/>
  <c r="T179" i="38" a="1"/>
  <c r="T179" i="38" s="1"/>
  <c r="U179" i="38" a="1"/>
  <c r="U179" i="38" s="1"/>
  <c r="W179" i="38" a="1"/>
  <c r="W179" i="38" s="1"/>
  <c r="X179" i="38" a="1"/>
  <c r="X179" i="38" s="1"/>
  <c r="AB179" i="38" a="1"/>
  <c r="AB179" i="38" s="1"/>
  <c r="AJ179" i="38" a="1"/>
  <c r="AJ179" i="38" s="1"/>
  <c r="AK179" i="38" a="1"/>
  <c r="AK179" i="38" s="1"/>
  <c r="AM179" i="38" a="1"/>
  <c r="AM179" i="38" s="1"/>
  <c r="AN179" i="38" a="1"/>
  <c r="AN179" i="38" s="1"/>
  <c r="AP179" i="38" a="1"/>
  <c r="AP179" i="38" s="1"/>
  <c r="AQ179" i="38" a="1"/>
  <c r="AQ179" i="38" s="1"/>
  <c r="AR179" i="38" a="1"/>
  <c r="AR179" i="38" s="1"/>
  <c r="F180" i="38" a="1"/>
  <c r="F180" i="38" s="1"/>
  <c r="L180" i="38" a="1"/>
  <c r="L180" i="38" s="1"/>
  <c r="N180" i="38" a="1"/>
  <c r="N180" i="38"/>
  <c r="P180" i="38" a="1"/>
  <c r="P180" i="38" s="1"/>
  <c r="Q180" i="38" a="1"/>
  <c r="Q180" i="38" s="1"/>
  <c r="R180" i="38" a="1"/>
  <c r="R180" i="38" s="1"/>
  <c r="S180" i="38" a="1"/>
  <c r="S180" i="38" s="1"/>
  <c r="T180" i="38" a="1"/>
  <c r="T180" i="38" s="1"/>
  <c r="X180" i="38" a="1"/>
  <c r="X180" i="38" s="1"/>
  <c r="AA180" i="38" a="1"/>
  <c r="AA180" i="38" s="1"/>
  <c r="AF180" i="38" a="1"/>
  <c r="AF180" i="38" s="1"/>
  <c r="AG180" i="38" a="1"/>
  <c r="AG180" i="38" s="1"/>
  <c r="AH180" i="38" a="1"/>
  <c r="AH180" i="38" s="1"/>
  <c r="AI180" i="38" a="1"/>
  <c r="AI180" i="38" s="1"/>
  <c r="AJ180" i="38" a="1"/>
  <c r="AJ180" i="38" s="1"/>
  <c r="AK180" i="38" a="1"/>
  <c r="AK180" i="38" s="1"/>
  <c r="AM180" i="38" a="1"/>
  <c r="AM180" i="38" s="1"/>
  <c r="AP180" i="38" a="1"/>
  <c r="AP180" i="38" s="1"/>
  <c r="D181" i="38" a="1"/>
  <c r="D181" i="38" s="1"/>
  <c r="J181" i="38" a="1"/>
  <c r="J181" i="38"/>
  <c r="K181" i="38" a="1"/>
  <c r="K181" i="38" s="1"/>
  <c r="L181" i="38" a="1"/>
  <c r="L181" i="38" s="1"/>
  <c r="M181" i="38" a="1"/>
  <c r="M181" i="38" s="1"/>
  <c r="N181" i="38" a="1"/>
  <c r="N181" i="38"/>
  <c r="O181" i="38" a="1"/>
  <c r="O181" i="38" s="1"/>
  <c r="R181" i="38" a="1"/>
  <c r="R181" i="38" s="1"/>
  <c r="U181" i="38" a="1"/>
  <c r="U181" i="38" s="1"/>
  <c r="W181" i="38" a="1"/>
  <c r="W181" i="38" s="1"/>
  <c r="AB181" i="38" a="1"/>
  <c r="AB181" i="38" s="1"/>
  <c r="AC181" i="38" a="1"/>
  <c r="AC181" i="38" s="1"/>
  <c r="AD181" i="38" a="1"/>
  <c r="AD181" i="38"/>
  <c r="AE181" i="38" a="1"/>
  <c r="AE181" i="38" s="1"/>
  <c r="AH181" i="38" a="1"/>
  <c r="AH181" i="38" s="1"/>
  <c r="AJ181" i="38" a="1"/>
  <c r="AJ181" i="38" s="1"/>
  <c r="AK181" i="38" a="1"/>
  <c r="AK181" i="38" s="1"/>
  <c r="AN181" i="38" a="1"/>
  <c r="AN181" i="38" s="1"/>
  <c r="D182" i="38" a="1"/>
  <c r="D182" i="38" s="1"/>
  <c r="E182" i="38" a="1"/>
  <c r="E182" i="38" s="1"/>
  <c r="G182" i="38" a="1"/>
  <c r="G182" i="38" s="1"/>
  <c r="H182" i="38" a="1"/>
  <c r="H182" i="38" s="1"/>
  <c r="J182" i="38" a="1"/>
  <c r="J182" i="38"/>
  <c r="K182" i="38" a="1"/>
  <c r="K182" i="38" s="1"/>
  <c r="L182" i="38" a="1"/>
  <c r="L182" i="38" s="1"/>
  <c r="O182" i="38" a="1"/>
  <c r="O182" i="38" s="1"/>
  <c r="X182" i="38" a="1"/>
  <c r="X182" i="38" s="1"/>
  <c r="Y182" i="38" a="1"/>
  <c r="Y182" i="38"/>
  <c r="Z182" i="38" a="1"/>
  <c r="Z182" i="38" s="1"/>
  <c r="AA182" i="38" a="1"/>
  <c r="AA182" i="38" s="1"/>
  <c r="AB182" i="38" a="1"/>
  <c r="AB182" i="38" s="1"/>
  <c r="AC182" i="38" a="1"/>
  <c r="AC182" i="38" s="1"/>
  <c r="AD182" i="38" a="1"/>
  <c r="AD182" i="38" s="1"/>
  <c r="AE182" i="38" a="1"/>
  <c r="AE182" i="38" s="1"/>
  <c r="AG182" i="38" a="1"/>
  <c r="AG182" i="38" s="1"/>
  <c r="AH182" i="38" a="1"/>
  <c r="AH182" i="38" s="1"/>
  <c r="AI182" i="38" a="1"/>
  <c r="AI182" i="38" s="1"/>
  <c r="AN182" i="38" a="1"/>
  <c r="AN182" i="38" s="1"/>
  <c r="AP182" i="38" a="1"/>
  <c r="AP182" i="38" s="1"/>
  <c r="AQ182" i="38" a="1"/>
  <c r="AQ182" i="38" s="1"/>
  <c r="AR182" i="38" a="1"/>
  <c r="AR182" i="38" s="1"/>
  <c r="C183" i="38" a="1"/>
  <c r="C183" i="38"/>
  <c r="D183" i="38" a="1"/>
  <c r="D183" i="38"/>
  <c r="E183" i="38" a="1"/>
  <c r="E183" i="38" s="1"/>
  <c r="F183" i="38" a="1"/>
  <c r="F183" i="38" s="1"/>
  <c r="H183" i="38" a="1"/>
  <c r="H183" i="38" s="1"/>
  <c r="I183" i="38" a="1"/>
  <c r="I183" i="38" s="1"/>
  <c r="O183" i="38" a="1"/>
  <c r="O183" i="38" s="1"/>
  <c r="P183" i="38" a="1"/>
  <c r="P183" i="38" s="1"/>
  <c r="Q183" i="38" a="1"/>
  <c r="Q183" i="38" s="1"/>
  <c r="R183" i="38" a="1"/>
  <c r="R183" i="38" s="1"/>
  <c r="S183" i="38" a="1"/>
  <c r="S183" i="38" s="1"/>
  <c r="T183" i="38" a="1"/>
  <c r="T183" i="38" s="1"/>
  <c r="U183" i="38" a="1"/>
  <c r="U183" i="38" s="1"/>
  <c r="V183" i="38" a="1"/>
  <c r="V183" i="38" s="1"/>
  <c r="W183" i="38" a="1"/>
  <c r="W183" i="38" s="1"/>
  <c r="X183" i="38" a="1"/>
  <c r="X183" i="38" s="1"/>
  <c r="Y183" i="38" a="1"/>
  <c r="Y183" i="38" s="1"/>
  <c r="AA183" i="38" a="1"/>
  <c r="AA183" i="38"/>
  <c r="AE183" i="38" a="1"/>
  <c r="AE183" i="38"/>
  <c r="AF183" i="38" a="1"/>
  <c r="AF183" i="38" s="1"/>
  <c r="AG183" i="38" a="1"/>
  <c r="AG183" i="38" s="1"/>
  <c r="AH183" i="38" a="1"/>
  <c r="AH183" i="38" s="1"/>
  <c r="AI183" i="38" a="1"/>
  <c r="AI183" i="38" s="1"/>
  <c r="AJ183" i="38" a="1"/>
  <c r="AJ183" i="38" s="1"/>
  <c r="AL183" i="38" a="1"/>
  <c r="AL183" i="38" s="1"/>
  <c r="AM183" i="38" a="1"/>
  <c r="AM183" i="38" s="1"/>
  <c r="AN183" i="38" a="1"/>
  <c r="AN183" i="38" s="1"/>
  <c r="AP183" i="38" a="1"/>
  <c r="AP183" i="38" s="1"/>
  <c r="AR183" i="38" a="1"/>
  <c r="AR183" i="38" s="1"/>
  <c r="C184" i="38" a="1"/>
  <c r="C184" i="38" s="1"/>
  <c r="F184" i="38" a="1"/>
  <c r="F184" i="38"/>
  <c r="G184" i="38" a="1"/>
  <c r="G184" i="38" s="1"/>
  <c r="H184" i="38" a="1"/>
  <c r="H184" i="38" s="1"/>
  <c r="I184" i="38" a="1"/>
  <c r="I184" i="38" s="1"/>
  <c r="J184" i="38" a="1"/>
  <c r="J184" i="38" s="1"/>
  <c r="K184" i="38" a="1"/>
  <c r="K184" i="38" s="1"/>
  <c r="L184" i="38" a="1"/>
  <c r="L184" i="38" s="1"/>
  <c r="M184" i="38" a="1"/>
  <c r="M184" i="38" s="1"/>
  <c r="O184" i="38" a="1"/>
  <c r="O184" i="38" s="1"/>
  <c r="P184" i="38" a="1"/>
  <c r="P184" i="38" s="1"/>
  <c r="R184" i="38" a="1"/>
  <c r="R184" i="38" s="1"/>
  <c r="S184" i="38" a="1"/>
  <c r="S184" i="38" s="1"/>
  <c r="X184" i="38" a="1"/>
  <c r="X184" i="38" s="1"/>
  <c r="Y184" i="38" a="1"/>
  <c r="Y184" i="38" s="1"/>
  <c r="Z184" i="38" a="1"/>
  <c r="Z184" i="38"/>
  <c r="AA184" i="38" a="1"/>
  <c r="AA184" i="38"/>
  <c r="AC184" i="38" a="1"/>
  <c r="AC184" i="38"/>
  <c r="AD184" i="38" a="1"/>
  <c r="AD184" i="38" s="1"/>
  <c r="AE184" i="38" a="1"/>
  <c r="AE184" i="38" s="1"/>
  <c r="AF184" i="38" a="1"/>
  <c r="AF184" i="38" s="1"/>
  <c r="AH184" i="38" a="1"/>
  <c r="AH184" i="38" s="1"/>
  <c r="AI184" i="38" a="1"/>
  <c r="AI184" i="38"/>
  <c r="AN184" i="38" a="1"/>
  <c r="AN184" i="38" s="1"/>
  <c r="AO184" i="38" a="1"/>
  <c r="AO184" i="38" s="1"/>
  <c r="AP184" i="38" a="1"/>
  <c r="AP184" i="38" s="1"/>
  <c r="AQ184" i="38" a="1"/>
  <c r="AQ184" i="38" s="1"/>
  <c r="AR184" i="38" a="1"/>
  <c r="AR184" i="38" s="1"/>
  <c r="C185" i="38" a="1"/>
  <c r="C185" i="38"/>
  <c r="D185" i="38" a="1"/>
  <c r="D185" i="38" s="1"/>
  <c r="E185" i="38" a="1"/>
  <c r="E185" i="38" s="1"/>
  <c r="G185" i="38" a="1"/>
  <c r="G185" i="38" s="1"/>
  <c r="H185" i="38" a="1"/>
  <c r="H185" i="38" s="1"/>
  <c r="I185" i="38" a="1"/>
  <c r="I185" i="38" s="1"/>
  <c r="N185" i="38" a="1"/>
  <c r="N185" i="38" s="1"/>
  <c r="O185" i="38" a="1"/>
  <c r="O185" i="38" s="1"/>
  <c r="P185" i="38" a="1"/>
  <c r="P185" i="38" s="1"/>
  <c r="Q185" i="38" a="1"/>
  <c r="Q185" i="38" s="1"/>
  <c r="R185" i="38" a="1"/>
  <c r="R185" i="38" s="1"/>
  <c r="S185" i="38" a="1"/>
  <c r="S185" i="38"/>
  <c r="T185" i="38" a="1"/>
  <c r="T185" i="38"/>
  <c r="U185" i="38" a="1"/>
  <c r="U185" i="38"/>
  <c r="V185" i="38" a="1"/>
  <c r="V185" i="38" s="1"/>
  <c r="W185" i="38" a="1"/>
  <c r="W185" i="38"/>
  <c r="X185" i="38" a="1"/>
  <c r="X185" i="38"/>
  <c r="Y185" i="38" a="1"/>
  <c r="Y185" i="38" s="1"/>
  <c r="AB185" i="38" a="1"/>
  <c r="AB185" i="38" s="1"/>
  <c r="AC185" i="38" a="1"/>
  <c r="AC185" i="38" s="1"/>
  <c r="AD185" i="38" a="1"/>
  <c r="AD185" i="38" s="1"/>
  <c r="AE185" i="38" a="1"/>
  <c r="AE185" i="38" s="1"/>
  <c r="AF185" i="38" a="1"/>
  <c r="AF185" i="38" s="1"/>
  <c r="AG185" i="38" a="1"/>
  <c r="AG185" i="38" s="1"/>
  <c r="AH185" i="38" a="1"/>
  <c r="AH185" i="38" s="1"/>
  <c r="AI185" i="38" a="1"/>
  <c r="AI185" i="38" s="1"/>
  <c r="AJ185" i="38" a="1"/>
  <c r="AJ185" i="38" s="1"/>
  <c r="AK185" i="38" a="1"/>
  <c r="AK185" i="38" s="1"/>
  <c r="AL185" i="38" a="1"/>
  <c r="AL185" i="38" s="1"/>
  <c r="AM185" i="38" a="1"/>
  <c r="AM185" i="38" s="1"/>
  <c r="AN185" i="38" a="1"/>
  <c r="AN185" i="38" s="1"/>
  <c r="AO185" i="38" a="1"/>
  <c r="AO185" i="38"/>
  <c r="AP185" i="38" a="1"/>
  <c r="AP185" i="38" s="1"/>
  <c r="AQ185" i="38" a="1"/>
  <c r="AQ185" i="38" s="1"/>
  <c r="D186" i="38" a="1"/>
  <c r="D186" i="38" s="1"/>
  <c r="E186" i="38" a="1"/>
  <c r="E186" i="38" s="1"/>
  <c r="F186" i="38" a="1"/>
  <c r="F186" i="38" s="1"/>
  <c r="G186" i="38" a="1"/>
  <c r="G186" i="38"/>
  <c r="H186" i="38" a="1"/>
  <c r="H186" i="38" s="1"/>
  <c r="I186" i="38" a="1"/>
  <c r="I186" i="38" s="1"/>
  <c r="J186" i="38" a="1"/>
  <c r="J186" i="38" s="1"/>
  <c r="K186" i="38" a="1"/>
  <c r="K186" i="38" s="1"/>
  <c r="L186" i="38" a="1"/>
  <c r="L186" i="38" s="1"/>
  <c r="M186" i="38" a="1"/>
  <c r="M186" i="38" s="1"/>
  <c r="N186" i="38" a="1"/>
  <c r="N186" i="38" s="1"/>
  <c r="O186" i="38" a="1"/>
  <c r="O186" i="38" s="1"/>
  <c r="P186" i="38" a="1"/>
  <c r="P186" i="38" s="1"/>
  <c r="T186" i="38" a="1"/>
  <c r="T186" i="38"/>
  <c r="U186" i="38" a="1"/>
  <c r="U186" i="38"/>
  <c r="V186" i="38" a="1"/>
  <c r="V186" i="38" s="1"/>
  <c r="W186" i="38" a="1"/>
  <c r="W186" i="38" s="1"/>
  <c r="X186" i="38" a="1"/>
  <c r="X186" i="38" s="1"/>
  <c r="Y186" i="38" a="1"/>
  <c r="Y186" i="38" s="1"/>
  <c r="Z186" i="38" a="1"/>
  <c r="Z186" i="38" s="1"/>
  <c r="AA186" i="38" a="1"/>
  <c r="AA186" i="38" s="1"/>
  <c r="AB186" i="38" a="1"/>
  <c r="AB186" i="38"/>
  <c r="AC186" i="38" a="1"/>
  <c r="AC186" i="38" s="1"/>
  <c r="AD186" i="38" a="1"/>
  <c r="AD186" i="38" s="1"/>
  <c r="AE186" i="38" a="1"/>
  <c r="AE186" i="38" s="1"/>
  <c r="AH186" i="38" a="1"/>
  <c r="AH186" i="38" s="1"/>
  <c r="AJ186" i="38" a="1"/>
  <c r="AJ186" i="38" s="1"/>
  <c r="AK186" i="38" a="1"/>
  <c r="AK186" i="38"/>
  <c r="AL186" i="38" a="1"/>
  <c r="AL186" i="38" s="1"/>
  <c r="AM186" i="38" a="1"/>
  <c r="AM186" i="38" s="1"/>
  <c r="AN186" i="38" a="1"/>
  <c r="AN186" i="38"/>
  <c r="AO186" i="38" a="1"/>
  <c r="AO186" i="38"/>
  <c r="AP186" i="38" a="1"/>
  <c r="AP186" i="38"/>
  <c r="AQ186" i="38" a="1"/>
  <c r="AQ186" i="38" s="1"/>
  <c r="AR186" i="38" a="1"/>
  <c r="AR186" i="38" s="1"/>
  <c r="C187" i="38" a="1"/>
  <c r="C187" i="38"/>
  <c r="D187" i="38" a="1"/>
  <c r="D187" i="38" s="1"/>
  <c r="G187" i="38" a="1"/>
  <c r="G187" i="38" s="1"/>
  <c r="I187" i="38" a="1"/>
  <c r="I187" i="38" s="1"/>
  <c r="J187" i="38" a="1"/>
  <c r="J187" i="38" s="1"/>
  <c r="K187" i="38" a="1"/>
  <c r="K187" i="38" s="1"/>
  <c r="L187" i="38" a="1"/>
  <c r="L187" i="38" s="1"/>
  <c r="M187" i="38" a="1"/>
  <c r="M187" i="38" s="1"/>
  <c r="N187" i="38" a="1"/>
  <c r="N187" i="38" s="1"/>
  <c r="O187" i="38" a="1"/>
  <c r="O187" i="38"/>
  <c r="P187" i="38" a="1"/>
  <c r="P187" i="38" s="1"/>
  <c r="Q187" i="38" a="1"/>
  <c r="Q187" i="38"/>
  <c r="R187" i="38" a="1"/>
  <c r="R187" i="38" s="1"/>
  <c r="S187" i="38" a="1"/>
  <c r="S187" i="38"/>
  <c r="T187" i="38" a="1"/>
  <c r="T187" i="38"/>
  <c r="W187" i="38" a="1"/>
  <c r="W187" i="38" s="1"/>
  <c r="Y187" i="38" a="1"/>
  <c r="Y187" i="38"/>
  <c r="Z187" i="38" a="1"/>
  <c r="Z187" i="38" s="1"/>
  <c r="AA187" i="38" a="1"/>
  <c r="AA187" i="38" s="1"/>
  <c r="AB187" i="38" a="1"/>
  <c r="AB187" i="38"/>
  <c r="AC187" i="38" a="1"/>
  <c r="AC187" i="38" s="1"/>
  <c r="AD187" i="38" a="1"/>
  <c r="AD187" i="38" s="1"/>
  <c r="AE187" i="38" a="1"/>
  <c r="AE187" i="38" s="1"/>
  <c r="AF187" i="38" a="1"/>
  <c r="AF187" i="38" s="1"/>
  <c r="AG187" i="38" a="1"/>
  <c r="AG187" i="38" s="1"/>
  <c r="AH187" i="38" a="1"/>
  <c r="AH187" i="38" s="1"/>
  <c r="AI187" i="38" a="1"/>
  <c r="AI187" i="38"/>
  <c r="AJ187" i="38" a="1"/>
  <c r="AJ187" i="38" s="1"/>
  <c r="AL187" i="38" a="1"/>
  <c r="AL187" i="38" s="1"/>
  <c r="AM187" i="38" a="1"/>
  <c r="AM187" i="38" s="1"/>
  <c r="AO187" i="38" a="1"/>
  <c r="AO187" i="38"/>
  <c r="AP187" i="38" a="1"/>
  <c r="AP187" i="38" s="1"/>
  <c r="AQ187" i="38" a="1"/>
  <c r="AQ187" i="38" s="1"/>
  <c r="AR187" i="38" a="1"/>
  <c r="AR187" i="38" s="1"/>
  <c r="C188" i="38" a="1"/>
  <c r="C188" i="38" s="1"/>
  <c r="D188" i="38" a="1"/>
  <c r="D188" i="38" s="1"/>
  <c r="E188" i="38" a="1"/>
  <c r="E188" i="38" s="1"/>
  <c r="F188" i="38" a="1"/>
  <c r="F188" i="38" s="1"/>
  <c r="G188" i="38" a="1"/>
  <c r="G188" i="38" s="1"/>
  <c r="H188" i="38" a="1"/>
  <c r="H188" i="38" s="1"/>
  <c r="I188" i="38" a="1"/>
  <c r="I188" i="38" s="1"/>
  <c r="K188" i="38" a="1"/>
  <c r="K188" i="38" s="1"/>
  <c r="L188" i="38" a="1"/>
  <c r="L188" i="38" s="1"/>
  <c r="M188" i="38" a="1"/>
  <c r="M188" i="38" s="1"/>
  <c r="N188" i="38" a="1"/>
  <c r="N188" i="38" s="1"/>
  <c r="R188" i="38" a="1"/>
  <c r="R188" i="38" s="1"/>
  <c r="S188" i="38" a="1"/>
  <c r="S188" i="38"/>
  <c r="T188" i="38" a="1"/>
  <c r="T188" i="38" s="1"/>
  <c r="U188" i="38" a="1"/>
  <c r="U188" i="38" s="1"/>
  <c r="V188" i="38" a="1"/>
  <c r="V188" i="38" s="1"/>
  <c r="W188" i="38" a="1"/>
  <c r="W188" i="38" s="1"/>
  <c r="X188" i="38" a="1"/>
  <c r="X188" i="38" s="1"/>
  <c r="Y188" i="38" a="1"/>
  <c r="Y188" i="38"/>
  <c r="Z188" i="38" a="1"/>
  <c r="Z188" i="38" s="1"/>
  <c r="AA188" i="38" a="1"/>
  <c r="AA188" i="38" s="1"/>
  <c r="AB188" i="38" a="1"/>
  <c r="AB188" i="38" s="1"/>
  <c r="AD188" i="38" a="1"/>
  <c r="AD188" i="38" s="1"/>
  <c r="AG188" i="38" a="1"/>
  <c r="AG188" i="38" s="1"/>
  <c r="AH188" i="38" a="1"/>
  <c r="AH188" i="38" s="1"/>
  <c r="AI188" i="38" a="1"/>
  <c r="AI188" i="38" s="1"/>
  <c r="AJ188" i="38" a="1"/>
  <c r="AJ188" i="38" s="1"/>
  <c r="AK188" i="38" a="1"/>
  <c r="AK188" i="38" s="1"/>
  <c r="AL188" i="38" a="1"/>
  <c r="AL188" i="38" s="1"/>
  <c r="AM188" i="38" a="1"/>
  <c r="AM188" i="38" s="1"/>
  <c r="AN188" i="38" a="1"/>
  <c r="AN188" i="38" s="1"/>
  <c r="AO188" i="38" a="1"/>
  <c r="AO188" i="38"/>
  <c r="AP188" i="38" a="1"/>
  <c r="AP188" i="38" s="1"/>
  <c r="AQ188" i="38" a="1"/>
  <c r="AQ188" i="38" s="1"/>
  <c r="AR188" i="38" a="1"/>
  <c r="AR188" i="38" s="1"/>
  <c r="E189" i="38" a="1"/>
  <c r="E189" i="38" s="1"/>
  <c r="F189" i="38" a="1"/>
  <c r="F189" i="38" s="1"/>
  <c r="G189" i="38" a="1"/>
  <c r="G189" i="38" s="1"/>
  <c r="H189" i="38" a="1"/>
  <c r="H189" i="38" s="1"/>
  <c r="I189" i="38" a="1"/>
  <c r="I189" i="38" s="1"/>
  <c r="J189" i="38" a="1"/>
  <c r="J189" i="38" s="1"/>
  <c r="K189" i="38" a="1"/>
  <c r="K189" i="38"/>
  <c r="L189" i="38" a="1"/>
  <c r="L189" i="38" s="1"/>
  <c r="M189" i="38" a="1"/>
  <c r="M189" i="38" s="1"/>
  <c r="N189" i="38" a="1"/>
  <c r="N189" i="38"/>
  <c r="O189" i="38" a="1"/>
  <c r="O189" i="38"/>
  <c r="R189" i="38" a="1"/>
  <c r="R189" i="38" s="1"/>
  <c r="S189" i="38" a="1"/>
  <c r="S189" i="38" s="1"/>
  <c r="U189" i="38" a="1"/>
  <c r="U189" i="38" s="1"/>
  <c r="V189" i="38" a="1"/>
  <c r="V189" i="38" s="1"/>
  <c r="W189" i="38" a="1"/>
  <c r="W189" i="38" s="1"/>
  <c r="X189" i="38" a="1"/>
  <c r="X189" i="38" s="1"/>
  <c r="Y189" i="38" a="1"/>
  <c r="Y189" i="38" s="1"/>
  <c r="Z189" i="38" a="1"/>
  <c r="Z189" i="38" s="1"/>
  <c r="AA189" i="38" a="1"/>
  <c r="AA189" i="38" s="1"/>
  <c r="AB189" i="38" a="1"/>
  <c r="AB189" i="38"/>
  <c r="AC189" i="38" a="1"/>
  <c r="AC189" i="38" s="1"/>
  <c r="AD189" i="38" a="1"/>
  <c r="AD189" i="38" s="1"/>
  <c r="AE189" i="38" a="1"/>
  <c r="AE189" i="38"/>
  <c r="AF189" i="38" a="1"/>
  <c r="AF189" i="38" s="1"/>
  <c r="AG189" i="38" a="1"/>
  <c r="AG189" i="38" s="1"/>
  <c r="AH189" i="38" a="1"/>
  <c r="AH189" i="38" s="1"/>
  <c r="AI189" i="38" a="1"/>
  <c r="AI189" i="38" s="1"/>
  <c r="AK189" i="38" a="1"/>
  <c r="AK189" i="38"/>
  <c r="AL189" i="38" a="1"/>
  <c r="AL189" i="38" s="1"/>
  <c r="AM189" i="38" a="1"/>
  <c r="AM189" i="38" s="1"/>
  <c r="AN189" i="38" a="1"/>
  <c r="AN189" i="38" s="1"/>
  <c r="AO189" i="38" a="1"/>
  <c r="AO189" i="38" s="1"/>
  <c r="AP189" i="38" a="1"/>
  <c r="AP189" i="38" s="1"/>
  <c r="AQ189" i="38" a="1"/>
  <c r="AQ189" i="38" s="1"/>
  <c r="AR189" i="38" a="1"/>
  <c r="AR189" i="38" s="1"/>
  <c r="C190" i="38" a="1"/>
  <c r="C190" i="38" s="1"/>
  <c r="D190" i="38" a="1"/>
  <c r="D190" i="38"/>
  <c r="E190" i="38" a="1"/>
  <c r="E190" i="38" s="1"/>
  <c r="F190" i="38" a="1"/>
  <c r="F190" i="38" s="1"/>
  <c r="G190" i="38" a="1"/>
  <c r="G190" i="38" s="1"/>
  <c r="H190" i="38" a="1"/>
  <c r="H190" i="38" s="1"/>
  <c r="J190" i="38" a="1"/>
  <c r="J190" i="38"/>
  <c r="K190" i="38" a="1"/>
  <c r="K190" i="38" s="1"/>
  <c r="L190" i="38" a="1"/>
  <c r="L190" i="38" s="1"/>
  <c r="M190" i="38" a="1"/>
  <c r="M190" i="38" s="1"/>
  <c r="N190" i="38" a="1"/>
  <c r="N190" i="38"/>
  <c r="O190" i="38" a="1"/>
  <c r="O190" i="38" s="1"/>
  <c r="P190" i="38" a="1"/>
  <c r="P190" i="38" s="1"/>
  <c r="R190" i="38" a="1"/>
  <c r="R190" i="38" s="1"/>
  <c r="S190" i="38" a="1"/>
  <c r="S190" i="38" s="1"/>
  <c r="T190" i="38" a="1"/>
  <c r="T190" i="38" s="1"/>
  <c r="U190" i="38" a="1"/>
  <c r="U190" i="38" s="1"/>
  <c r="V190" i="38" a="1"/>
  <c r="V190" i="38" s="1"/>
  <c r="W190" i="38" a="1"/>
  <c r="W190" i="38" s="1"/>
  <c r="X190" i="38" a="1"/>
  <c r="X190" i="38" s="1"/>
  <c r="Z190" i="38" a="1"/>
  <c r="Z190" i="38" s="1"/>
  <c r="AA190" i="38" a="1"/>
  <c r="AA190" i="38" s="1"/>
  <c r="AB190" i="38" a="1"/>
  <c r="AB190" i="38" s="1"/>
  <c r="AC190" i="38" a="1"/>
  <c r="AC190" i="38" s="1"/>
  <c r="AD190" i="38" a="1"/>
  <c r="AD190" i="38" s="1"/>
  <c r="AE190" i="38" a="1"/>
  <c r="AE190" i="38" s="1"/>
  <c r="AF190" i="38" a="1"/>
  <c r="AF190" i="38" s="1"/>
  <c r="AG190" i="38" a="1"/>
  <c r="AG190" i="38" s="1"/>
  <c r="AH190" i="38" a="1"/>
  <c r="AH190" i="38"/>
  <c r="AI190" i="38" a="1"/>
  <c r="AI190" i="38" s="1"/>
  <c r="AJ190" i="38" a="1"/>
  <c r="AJ190" i="38" s="1"/>
  <c r="AK190" i="38" a="1"/>
  <c r="AK190" i="38"/>
  <c r="AN190" i="38" a="1"/>
  <c r="AN190" i="38" s="1"/>
  <c r="AO190" i="38" a="1"/>
  <c r="AO190" i="38" s="1"/>
  <c r="AP190" i="38" a="1"/>
  <c r="AP190" i="38" s="1"/>
  <c r="AQ190" i="38" a="1"/>
  <c r="AQ190" i="38" s="1"/>
  <c r="AR190" i="38" a="1"/>
  <c r="AR190" i="38" s="1"/>
  <c r="C191" i="38" a="1"/>
  <c r="C191" i="38" s="1"/>
  <c r="D191" i="38" a="1"/>
  <c r="D191" i="38" s="1"/>
  <c r="E191" i="38" a="1"/>
  <c r="E191" i="38" s="1"/>
  <c r="F191" i="38" a="1"/>
  <c r="F191" i="38" s="1"/>
  <c r="G191" i="38" a="1"/>
  <c r="G191" i="38" s="1"/>
  <c r="H191" i="38" a="1"/>
  <c r="H191" i="38" s="1"/>
  <c r="I191" i="38" a="1"/>
  <c r="I191" i="38" s="1"/>
  <c r="J191" i="38" a="1"/>
  <c r="J191" i="38" s="1"/>
  <c r="K191" i="38" a="1"/>
  <c r="K191" i="38"/>
  <c r="N191" i="38" a="1"/>
  <c r="N191" i="38" s="1"/>
  <c r="O191" i="38" a="1"/>
  <c r="O191" i="38"/>
  <c r="P191" i="38" a="1"/>
  <c r="P191" i="38" s="1"/>
  <c r="Q191" i="38" a="1"/>
  <c r="Q191" i="38" s="1"/>
  <c r="R191" i="38" a="1"/>
  <c r="R191" i="38" s="1"/>
  <c r="S191" i="38" a="1"/>
  <c r="S191" i="38" s="1"/>
  <c r="T191" i="38" a="1"/>
  <c r="T191" i="38" s="1"/>
  <c r="U191" i="38" a="1"/>
  <c r="U191" i="38" s="1"/>
  <c r="V191" i="38" a="1"/>
  <c r="V191" i="38"/>
  <c r="W191" i="38" a="1"/>
  <c r="W191" i="38" s="1"/>
  <c r="X191" i="38" a="1"/>
  <c r="X191" i="38" s="1"/>
  <c r="Y191" i="38" a="1"/>
  <c r="Y191" i="38" s="1"/>
  <c r="Z191" i="38" a="1"/>
  <c r="Z191" i="38" s="1"/>
  <c r="AA191" i="38" a="1"/>
  <c r="AA191" i="38" s="1"/>
  <c r="AC191" i="38" a="1"/>
  <c r="AC191" i="38" s="1"/>
  <c r="AD191" i="38" a="1"/>
  <c r="AD191" i="38" s="1"/>
  <c r="AE191" i="38" a="1"/>
  <c r="AE191" i="38"/>
  <c r="AF191" i="38" a="1"/>
  <c r="AF191" i="38" s="1"/>
  <c r="AG191" i="38" a="1"/>
  <c r="AG191" i="38" s="1"/>
  <c r="AH191" i="38" a="1"/>
  <c r="AH191" i="38"/>
  <c r="AI191" i="38" a="1"/>
  <c r="AI191" i="38" s="1"/>
  <c r="AJ191" i="38" a="1"/>
  <c r="AJ191" i="38" s="1"/>
  <c r="AK191" i="38" a="1"/>
  <c r="AK191" i="38" s="1"/>
  <c r="AL191" i="38" a="1"/>
  <c r="AL191" i="38" s="1"/>
  <c r="AM191" i="38" a="1"/>
  <c r="AM191" i="38" s="1"/>
  <c r="AN191" i="38" a="1"/>
  <c r="AN191" i="38" s="1"/>
  <c r="AO191" i="38" a="1"/>
  <c r="AO191" i="38" s="1"/>
  <c r="AP191" i="38" a="1"/>
  <c r="AP191" i="38" s="1"/>
  <c r="AR191" i="38" a="1"/>
  <c r="AR191" i="38" s="1"/>
  <c r="C192" i="38" a="1"/>
  <c r="C192" i="38" s="1"/>
  <c r="D192" i="38" a="1"/>
  <c r="D192" i="38" s="1"/>
  <c r="E192" i="38" a="1"/>
  <c r="E192" i="38" s="1"/>
  <c r="F192" i="38" a="1"/>
  <c r="F192" i="38" s="1"/>
  <c r="G192" i="38" a="1"/>
  <c r="G192" i="38" s="1"/>
  <c r="H192" i="38" a="1"/>
  <c r="H192" i="38" s="1"/>
  <c r="I192" i="38" a="1"/>
  <c r="I192" i="38"/>
  <c r="J192" i="38" a="1"/>
  <c r="J192" i="38"/>
  <c r="K192" i="38" a="1"/>
  <c r="K192" i="38" s="1"/>
  <c r="L192" i="38" a="1"/>
  <c r="L192" i="38" s="1"/>
  <c r="M192" i="38" a="1"/>
  <c r="M192" i="38" s="1"/>
  <c r="N192" i="38" a="1"/>
  <c r="N192" i="38" s="1"/>
  <c r="O192" i="38" a="1"/>
  <c r="O192" i="38" s="1"/>
  <c r="P192" i="38" a="1"/>
  <c r="P192" i="38" s="1"/>
  <c r="R192" i="38" a="1"/>
  <c r="R192" i="38" s="1"/>
  <c r="S192" i="38" a="1"/>
  <c r="S192" i="38" s="1"/>
  <c r="T192" i="38" a="1"/>
  <c r="T192" i="38" s="1"/>
  <c r="U192" i="38" a="1"/>
  <c r="U192" i="38"/>
  <c r="V192" i="38" a="1"/>
  <c r="V192" i="38" s="1"/>
  <c r="W192" i="38" a="1"/>
  <c r="W192" i="38" s="1"/>
  <c r="X192" i="38" a="1"/>
  <c r="X192" i="38" s="1"/>
  <c r="Y192" i="38" a="1"/>
  <c r="Y192" i="38" s="1"/>
  <c r="Z192" i="38" a="1"/>
  <c r="Z192" i="38"/>
  <c r="AA192" i="38" a="1"/>
  <c r="AA192" i="38" s="1"/>
  <c r="AB192" i="38" a="1"/>
  <c r="AB192" i="38" s="1"/>
  <c r="AC192" i="38" a="1"/>
  <c r="AC192" i="38" s="1"/>
  <c r="AD192" i="38" a="1"/>
  <c r="AD192" i="38" s="1"/>
  <c r="AF192" i="38" a="1"/>
  <c r="AF192" i="38" s="1"/>
  <c r="AG192" i="38" a="1"/>
  <c r="AG192" i="38" s="1"/>
  <c r="AH192" i="38" a="1"/>
  <c r="AH192" i="38" s="1"/>
  <c r="AI192" i="38" a="1"/>
  <c r="AI192" i="38" s="1"/>
  <c r="AJ192" i="38" a="1"/>
  <c r="AJ192" i="38" s="1"/>
  <c r="AK192" i="38" a="1"/>
  <c r="AK192" i="38" s="1"/>
  <c r="AL192" i="38" a="1"/>
  <c r="AL192" i="38" s="1"/>
  <c r="AM192" i="38" a="1"/>
  <c r="AM192" i="38"/>
  <c r="AN192" i="38" a="1"/>
  <c r="AN192" i="38" s="1"/>
  <c r="AO192" i="38" a="1"/>
  <c r="AO192" i="38" s="1"/>
  <c r="AP192" i="38" a="1"/>
  <c r="AP192" i="38" s="1"/>
  <c r="AQ192" i="38" a="1"/>
  <c r="AQ192" i="38" s="1"/>
  <c r="AR192" i="38" a="1"/>
  <c r="AR192" i="38" s="1"/>
  <c r="C193" i="38" a="1"/>
  <c r="C193" i="38"/>
  <c r="D193" i="38" a="1"/>
  <c r="D193" i="38" s="1"/>
  <c r="E193" i="38" a="1"/>
  <c r="E193" i="38" s="1"/>
  <c r="F193" i="38" a="1"/>
  <c r="F193" i="38"/>
  <c r="G193" i="38" a="1"/>
  <c r="G193" i="38" s="1"/>
  <c r="H193" i="38" a="1"/>
  <c r="H193" i="38" s="1"/>
  <c r="I193" i="38" a="1"/>
  <c r="I193" i="38"/>
  <c r="J193" i="38" a="1"/>
  <c r="J193" i="38" s="1"/>
  <c r="K193" i="38" a="1"/>
  <c r="K193" i="38" s="1"/>
  <c r="L193" i="38" a="1"/>
  <c r="L193" i="38" s="1"/>
  <c r="M193" i="38" a="1"/>
  <c r="M193" i="38" s="1"/>
  <c r="N193" i="38" a="1"/>
  <c r="N193" i="38" s="1"/>
  <c r="O193" i="38" a="1"/>
  <c r="O193" i="38"/>
  <c r="P193" i="38" a="1"/>
  <c r="P193" i="38" s="1"/>
  <c r="Q193" i="38" a="1"/>
  <c r="Q193" i="38" s="1"/>
  <c r="R193" i="38" a="1"/>
  <c r="R193" i="38" s="1"/>
  <c r="T193" i="38" a="1"/>
  <c r="T193" i="38" s="1"/>
  <c r="U193" i="38" a="1"/>
  <c r="U193" i="38" s="1"/>
  <c r="V193" i="38" a="1"/>
  <c r="V193" i="38" s="1"/>
  <c r="W193" i="38" a="1"/>
  <c r="W193" i="38" s="1"/>
  <c r="X193" i="38" a="1"/>
  <c r="X193" i="38"/>
  <c r="Y193" i="38" a="1"/>
  <c r="Y193" i="38" s="1"/>
  <c r="Z193" i="38" a="1"/>
  <c r="Z193" i="38" s="1"/>
  <c r="AA193" i="38" a="1"/>
  <c r="AA193" i="38" s="1"/>
  <c r="AB193" i="38" a="1"/>
  <c r="AB193" i="38" s="1"/>
  <c r="AC193" i="38" a="1"/>
  <c r="AC193" i="38" s="1"/>
  <c r="AD193" i="38" a="1"/>
  <c r="AD193" i="38"/>
  <c r="AE193" i="38" a="1"/>
  <c r="AE193" i="38" s="1"/>
  <c r="AF193" i="38" a="1"/>
  <c r="AF193" i="38" s="1"/>
  <c r="AG193" i="38" a="1"/>
  <c r="AG193" i="38" s="1"/>
  <c r="AI193" i="38" a="1"/>
  <c r="AI193" i="38" s="1"/>
  <c r="AJ193" i="38" a="1"/>
  <c r="AJ193" i="38" s="1"/>
  <c r="AK193" i="38" a="1"/>
  <c r="AK193" i="38" s="1"/>
  <c r="AL193" i="38" a="1"/>
  <c r="AL193" i="38" s="1"/>
  <c r="AM193" i="38" a="1"/>
  <c r="AM193" i="38"/>
  <c r="AN193" i="38" a="1"/>
  <c r="AN193" i="38" s="1"/>
  <c r="AO193" i="38" a="1"/>
  <c r="AO193" i="38" s="1"/>
  <c r="AP193" i="38" a="1"/>
  <c r="AP193" i="38" s="1"/>
  <c r="AQ193" i="38" a="1"/>
  <c r="AQ193" i="38"/>
  <c r="AR193" i="38" a="1"/>
  <c r="AR193" i="38" s="1"/>
  <c r="C194" i="38" a="1"/>
  <c r="C194" i="38" s="1"/>
  <c r="D194" i="38" a="1"/>
  <c r="D194" i="38" s="1"/>
  <c r="E194" i="38" a="1"/>
  <c r="E194" i="38" s="1"/>
  <c r="F194" i="38" a="1"/>
  <c r="F194" i="38" s="1"/>
  <c r="H194" i="38" a="1"/>
  <c r="H194" i="38" s="1"/>
  <c r="I194" i="38" a="1"/>
  <c r="I194" i="38" s="1"/>
  <c r="J194" i="38" a="1"/>
  <c r="J194" i="38" s="1"/>
  <c r="K194" i="38" a="1"/>
  <c r="K194" i="38" s="1"/>
  <c r="L194" i="38" a="1"/>
  <c r="L194" i="38"/>
  <c r="M194" i="38" a="1"/>
  <c r="M194" i="38" s="1"/>
  <c r="N194" i="38" a="1"/>
  <c r="N194" i="38" s="1"/>
  <c r="O194" i="38" a="1"/>
  <c r="O194" i="38" s="1"/>
  <c r="P194" i="38" a="1"/>
  <c r="P194" i="38" s="1"/>
  <c r="Q194" i="38" a="1"/>
  <c r="Q194" i="38" s="1"/>
  <c r="R194" i="38" a="1"/>
  <c r="R194" i="38"/>
  <c r="S194" i="38" a="1"/>
  <c r="S194" i="38" s="1"/>
  <c r="T194" i="38" a="1"/>
  <c r="T194" i="38" s="1"/>
  <c r="U194" i="38" a="1"/>
  <c r="U194" i="38" s="1"/>
  <c r="W194" i="38" a="1"/>
  <c r="W194" i="38" s="1"/>
  <c r="X194" i="38" a="1"/>
  <c r="X194" i="38" s="1"/>
  <c r="Y194" i="38" a="1"/>
  <c r="Y194" i="38" s="1"/>
  <c r="Z194" i="38" a="1"/>
  <c r="Z194" i="38" s="1"/>
  <c r="AA194" i="38" a="1"/>
  <c r="AA194" i="38" s="1"/>
  <c r="AB194" i="38" a="1"/>
  <c r="AB194" i="38" s="1"/>
  <c r="AC194" i="38" a="1"/>
  <c r="AC194" i="38" s="1"/>
  <c r="AD194" i="38" a="1"/>
  <c r="AD194" i="38" s="1"/>
  <c r="AE194" i="38" a="1"/>
  <c r="AE194" i="38" s="1"/>
  <c r="AF194" i="38" a="1"/>
  <c r="AF194" i="38"/>
  <c r="AG194" i="38" a="1"/>
  <c r="AG194" i="38"/>
  <c r="AH194" i="38" a="1"/>
  <c r="AH194" i="38" s="1"/>
  <c r="AI194" i="38" a="1"/>
  <c r="AI194" i="38" s="1"/>
  <c r="AJ194" i="38" a="1"/>
  <c r="AJ194" i="38" s="1"/>
  <c r="AK194" i="38" a="1"/>
  <c r="AK194" i="38" s="1"/>
  <c r="AM194" i="38" a="1"/>
  <c r="AM194" i="38"/>
  <c r="AN194" i="38" a="1"/>
  <c r="AN194" i="38" s="1"/>
  <c r="AO194" i="38" a="1"/>
  <c r="AO194" i="38" s="1"/>
  <c r="AP194" i="38" a="1"/>
  <c r="AP194" i="38" s="1"/>
  <c r="AQ194" i="38" a="1"/>
  <c r="AQ194" i="38" s="1"/>
  <c r="AR194" i="38" a="1"/>
  <c r="AR194" i="38"/>
  <c r="C195" i="38" a="1"/>
  <c r="C195" i="38" s="1"/>
  <c r="D195" i="38" a="1"/>
  <c r="D195" i="38"/>
  <c r="E195" i="38" a="1"/>
  <c r="E195" i="38"/>
  <c r="F195" i="38" a="1"/>
  <c r="F195" i="38" s="1"/>
  <c r="G195" i="38" a="1"/>
  <c r="G195" i="38" s="1"/>
  <c r="H195" i="38" a="1"/>
  <c r="H195" i="38" s="1"/>
  <c r="I195" i="38" a="1"/>
  <c r="I195" i="38" s="1"/>
  <c r="J195" i="38" a="1"/>
  <c r="J195" i="38" s="1"/>
  <c r="K195" i="38" a="1"/>
  <c r="K195" i="38"/>
  <c r="L195" i="38" a="1"/>
  <c r="L195" i="38"/>
  <c r="M195" i="38" a="1"/>
  <c r="M195" i="38"/>
  <c r="N195" i="38" a="1"/>
  <c r="N195" i="38" s="1"/>
  <c r="O195" i="38" a="1"/>
  <c r="O195" i="38" s="1"/>
  <c r="P195" i="38" a="1"/>
  <c r="P195" i="38" s="1"/>
  <c r="Q195" i="38" a="1"/>
  <c r="Q195" i="38" s="1"/>
  <c r="R195" i="38" a="1"/>
  <c r="R195" i="38" s="1"/>
  <c r="S195" i="38" a="1"/>
  <c r="S195" i="38" s="1"/>
  <c r="T195" i="38" a="1"/>
  <c r="T195" i="38" s="1"/>
  <c r="U195" i="38" a="1"/>
  <c r="U195" i="38"/>
  <c r="V195" i="38" a="1"/>
  <c r="V195" i="38" s="1"/>
  <c r="W195" i="38" a="1"/>
  <c r="W195" i="38"/>
  <c r="X195" i="38" a="1"/>
  <c r="X195" i="38" s="1"/>
  <c r="Y195" i="38" a="1"/>
  <c r="Y195" i="38"/>
  <c r="Z195" i="38" a="1"/>
  <c r="Z195" i="38"/>
  <c r="AA195" i="38" a="1"/>
  <c r="AA195" i="38" s="1"/>
  <c r="AB195" i="38" a="1"/>
  <c r="AB195" i="38" s="1"/>
  <c r="AC195" i="38" a="1"/>
  <c r="AC195" i="38" s="1"/>
  <c r="AD195" i="38" a="1"/>
  <c r="AD195" i="38" s="1"/>
  <c r="AE195" i="38" a="1"/>
  <c r="AE195" i="38" s="1"/>
  <c r="AF195" i="38" a="1"/>
  <c r="AF195" i="38"/>
  <c r="AG195" i="38" a="1"/>
  <c r="AG195" i="38"/>
  <c r="AH195" i="38" a="1"/>
  <c r="AH195" i="38" s="1"/>
  <c r="AI195" i="38" a="1"/>
  <c r="AI195" i="38" s="1"/>
  <c r="AJ195" i="38" a="1"/>
  <c r="AJ195" i="38" s="1"/>
  <c r="AK195" i="38" a="1"/>
  <c r="AK195" i="38" s="1"/>
  <c r="AL195" i="38" a="1"/>
  <c r="AL195" i="38" s="1"/>
  <c r="AM195" i="38" a="1"/>
  <c r="AM195" i="38" s="1"/>
  <c r="AN195" i="38" a="1"/>
  <c r="AN195" i="38" s="1"/>
  <c r="AO195" i="38" a="1"/>
  <c r="AO195" i="38" s="1"/>
  <c r="AP195" i="38" a="1"/>
  <c r="AP195" i="38"/>
  <c r="AQ195" i="38" a="1"/>
  <c r="AQ195" i="38" s="1"/>
  <c r="AR195" i="38" a="1"/>
  <c r="AR195" i="38"/>
  <c r="C196" i="38" a="1"/>
  <c r="C196" i="38" s="1"/>
  <c r="D196" i="38" a="1"/>
  <c r="D196" i="38"/>
  <c r="E196" i="38" a="1"/>
  <c r="E196" i="38" s="1"/>
  <c r="F196" i="38" a="1"/>
  <c r="F196" i="38" s="1"/>
  <c r="G196" i="38" a="1"/>
  <c r="G196" i="38" s="1"/>
  <c r="H196" i="38" a="1"/>
  <c r="H196" i="38" s="1"/>
  <c r="I196" i="38" a="1"/>
  <c r="I196" i="38" s="1"/>
  <c r="J196" i="38" a="1"/>
  <c r="J196" i="38" s="1"/>
  <c r="K196" i="38" a="1"/>
  <c r="K196" i="38"/>
  <c r="L196" i="38" a="1"/>
  <c r="L196" i="38" s="1"/>
  <c r="M196" i="38" a="1"/>
  <c r="M196" i="38" s="1"/>
  <c r="N196" i="38" a="1"/>
  <c r="N196" i="38" s="1"/>
  <c r="O196" i="38" a="1"/>
  <c r="O196" i="38" s="1"/>
  <c r="P196" i="38" a="1"/>
  <c r="P196" i="38" s="1"/>
  <c r="Q196" i="38" a="1"/>
  <c r="Q196" i="38" s="1"/>
  <c r="R196" i="38" a="1"/>
  <c r="R196" i="38" s="1"/>
  <c r="S196" i="38" a="1"/>
  <c r="S196" i="38" s="1"/>
  <c r="T196" i="38" a="1"/>
  <c r="T196" i="38"/>
  <c r="U196" i="38" a="1"/>
  <c r="U196" i="38"/>
  <c r="V196" i="38" a="1"/>
  <c r="V196" i="38" s="1"/>
  <c r="W196" i="38" a="1"/>
  <c r="W196" i="38" s="1"/>
  <c r="X196" i="38" a="1"/>
  <c r="X196" i="38"/>
  <c r="Y196" i="38" a="1"/>
  <c r="Y196" i="38" s="1"/>
  <c r="Z196" i="38" a="1"/>
  <c r="Z196" i="38" s="1"/>
  <c r="AA196" i="38" a="1"/>
  <c r="AA196" i="38" s="1"/>
  <c r="AB196" i="38" a="1"/>
  <c r="AB196" i="38" s="1"/>
  <c r="AC196" i="38" a="1"/>
  <c r="AC196" i="38"/>
  <c r="AD196" i="38" a="1"/>
  <c r="AD196" i="38" s="1"/>
  <c r="AE196" i="38" a="1"/>
  <c r="AE196" i="38" s="1"/>
  <c r="AF196" i="38" a="1"/>
  <c r="AF196" i="38" s="1"/>
  <c r="AG196" i="38" a="1"/>
  <c r="AG196" i="38" s="1"/>
  <c r="AH196" i="38" a="1"/>
  <c r="AH196" i="38" s="1"/>
  <c r="AI196" i="38" a="1"/>
  <c r="AI196" i="38" s="1"/>
  <c r="AJ196" i="38" a="1"/>
  <c r="AJ196" i="38" s="1"/>
  <c r="AK196" i="38" a="1"/>
  <c r="AK196" i="38"/>
  <c r="AL196" i="38" a="1"/>
  <c r="AL196" i="38" s="1"/>
  <c r="AM196" i="38" a="1"/>
  <c r="AM196" i="38" s="1"/>
  <c r="AN196" i="38" a="1"/>
  <c r="AN196" i="38" s="1"/>
  <c r="AO196" i="38" a="1"/>
  <c r="AO196" i="38" s="1"/>
  <c r="AP196" i="38" a="1"/>
  <c r="AP196" i="38"/>
  <c r="AQ196" i="38" a="1"/>
  <c r="AQ196" i="38" s="1"/>
  <c r="AR196" i="38" a="1"/>
  <c r="AR196" i="38"/>
  <c r="C197" i="38" a="1"/>
  <c r="C197" i="38" s="1"/>
  <c r="D197" i="38" a="1"/>
  <c r="D197" i="38" s="1"/>
  <c r="E197" i="38" a="1"/>
  <c r="E197" i="38"/>
  <c r="F197" i="38" a="1"/>
  <c r="F197" i="38" s="1"/>
  <c r="G197" i="38" a="1"/>
  <c r="G197" i="38" s="1"/>
  <c r="H197" i="38" a="1"/>
  <c r="H197" i="38" s="1"/>
  <c r="I197" i="38" a="1"/>
  <c r="I197" i="38" s="1"/>
  <c r="J197" i="38" a="1"/>
  <c r="J197" i="38" s="1"/>
  <c r="K197" i="38" a="1"/>
  <c r="K197" i="38" s="1"/>
  <c r="L197" i="38" a="1"/>
  <c r="L197" i="38" s="1"/>
  <c r="M197" i="38" a="1"/>
  <c r="M197" i="38" s="1"/>
  <c r="N197" i="38" a="1"/>
  <c r="N197" i="38" s="1"/>
  <c r="O197" i="38" a="1"/>
  <c r="O197" i="38" s="1"/>
  <c r="P197" i="38" a="1"/>
  <c r="P197" i="38" s="1"/>
  <c r="Q197" i="38" a="1"/>
  <c r="Q197" i="38" s="1"/>
  <c r="R197" i="38" a="1"/>
  <c r="R197" i="38"/>
  <c r="S197" i="38" a="1"/>
  <c r="S197" i="38" s="1"/>
  <c r="T197" i="38" a="1"/>
  <c r="T197" i="38"/>
  <c r="U197" i="38" a="1"/>
  <c r="U197" i="38" s="1"/>
  <c r="V197" i="38" a="1"/>
  <c r="V197" i="38"/>
  <c r="W197" i="38" a="1"/>
  <c r="W197" i="38" s="1"/>
  <c r="X197" i="38" a="1"/>
  <c r="X197" i="38" s="1"/>
  <c r="Y197" i="38" a="1"/>
  <c r="Y197" i="38" s="1"/>
  <c r="Z197" i="38" a="1"/>
  <c r="Z197" i="38"/>
  <c r="AA197" i="38" a="1"/>
  <c r="AA197" i="38" s="1"/>
  <c r="AB197" i="38" a="1"/>
  <c r="AB197" i="38" s="1"/>
  <c r="AC197" i="38" a="1"/>
  <c r="AC197" i="38" s="1"/>
  <c r="AD197" i="38" a="1"/>
  <c r="AD197" i="38" s="1"/>
  <c r="AE197" i="38" a="1"/>
  <c r="AE197" i="38"/>
  <c r="AF197" i="38" a="1"/>
  <c r="AF197" i="38" s="1"/>
  <c r="AG197" i="38" a="1"/>
  <c r="AG197" i="38" s="1"/>
  <c r="AH197" i="38" a="1"/>
  <c r="AH197" i="38" s="1"/>
  <c r="AI197" i="38" a="1"/>
  <c r="AI197" i="38" s="1"/>
  <c r="AJ197" i="38" a="1"/>
  <c r="AJ197" i="38" s="1"/>
  <c r="AK197" i="38" a="1"/>
  <c r="AK197" i="38" s="1"/>
  <c r="AL197" i="38" a="1"/>
  <c r="AL197" i="38"/>
  <c r="AM197" i="38" a="1"/>
  <c r="AM197" i="38" s="1"/>
  <c r="AN197" i="38" a="1"/>
  <c r="AN197" i="38" s="1"/>
  <c r="AO197" i="38" a="1"/>
  <c r="AO197" i="38" s="1"/>
  <c r="AP197" i="38" a="1"/>
  <c r="AP197" i="38" s="1"/>
  <c r="AQ197" i="38" a="1"/>
  <c r="AQ197" i="38" s="1"/>
  <c r="AR197" i="38" a="1"/>
  <c r="AR197" i="38" s="1"/>
  <c r="C247" i="38"/>
  <c r="D247" i="38"/>
  <c r="E247" i="38"/>
  <c r="F247" i="38"/>
  <c r="G247" i="38"/>
  <c r="H247" i="38"/>
  <c r="I247" i="38"/>
  <c r="J247" i="38"/>
  <c r="K247" i="38"/>
  <c r="L247" i="38"/>
  <c r="M247" i="38"/>
  <c r="N247" i="38"/>
  <c r="O247" i="38"/>
  <c r="P247" i="38"/>
  <c r="Q247" i="38"/>
  <c r="R247" i="38"/>
  <c r="S247" i="38"/>
  <c r="T247" i="38"/>
  <c r="U247" i="38"/>
  <c r="V247" i="38"/>
  <c r="W247" i="38"/>
  <c r="X247" i="38"/>
  <c r="Y247" i="38"/>
  <c r="Z247" i="38"/>
  <c r="AA247" i="38"/>
  <c r="AB247" i="38"/>
  <c r="AC247" i="38"/>
  <c r="AD247" i="38"/>
  <c r="AE247" i="38"/>
  <c r="AF247" i="38"/>
  <c r="AG247" i="38"/>
  <c r="AH247" i="38"/>
  <c r="AI247" i="38"/>
  <c r="AJ247" i="38"/>
  <c r="AK247" i="38"/>
  <c r="AL247" i="38"/>
  <c r="AM247" i="38"/>
  <c r="AN247" i="38"/>
  <c r="AO247" i="38"/>
  <c r="AP247" i="38"/>
  <c r="AQ247" i="38"/>
  <c r="AR247" i="38"/>
  <c r="C248" i="38"/>
  <c r="D248" i="38"/>
  <c r="E248" i="38"/>
  <c r="F248" i="38"/>
  <c r="G248" i="38"/>
  <c r="H248" i="38"/>
  <c r="I248" i="38"/>
  <c r="J248" i="38"/>
  <c r="K248" i="38"/>
  <c r="L248" i="38"/>
  <c r="M248" i="38"/>
  <c r="N248" i="38"/>
  <c r="O248" i="38"/>
  <c r="P248" i="38"/>
  <c r="Q248" i="38"/>
  <c r="R248" i="38"/>
  <c r="S248" i="38"/>
  <c r="T248" i="38"/>
  <c r="U248" i="38"/>
  <c r="V248" i="38"/>
  <c r="W248" i="38"/>
  <c r="X248" i="38"/>
  <c r="Y248" i="38"/>
  <c r="Z248" i="38"/>
  <c r="AA248" i="38"/>
  <c r="AB248" i="38"/>
  <c r="AC248" i="38"/>
  <c r="AD248" i="38"/>
  <c r="AE248" i="38"/>
  <c r="AF248" i="38"/>
  <c r="AG248" i="38"/>
  <c r="AH248" i="38"/>
  <c r="AI248" i="38"/>
  <c r="AJ248" i="38"/>
  <c r="AK248" i="38"/>
  <c r="AL248" i="38"/>
  <c r="AM248" i="38"/>
  <c r="AN248" i="38"/>
  <c r="AO248" i="38"/>
  <c r="AP248" i="38"/>
  <c r="AQ248" i="38"/>
  <c r="AR248" i="38"/>
  <c r="C249" i="38"/>
  <c r="D249" i="38"/>
  <c r="E249" i="38"/>
  <c r="F249" i="38"/>
  <c r="G249" i="38"/>
  <c r="H249" i="38"/>
  <c r="I249" i="38"/>
  <c r="J249" i="38"/>
  <c r="K249" i="38"/>
  <c r="L249" i="38"/>
  <c r="M249" i="38"/>
  <c r="N249" i="38"/>
  <c r="O249" i="38"/>
  <c r="P249" i="38"/>
  <c r="Q249" i="38"/>
  <c r="R249" i="38"/>
  <c r="S249" i="38"/>
  <c r="T249" i="38"/>
  <c r="U249" i="38"/>
  <c r="V249" i="38"/>
  <c r="W249" i="38"/>
  <c r="X249" i="38"/>
  <c r="Y249" i="38"/>
  <c r="Z249" i="38"/>
  <c r="AA249" i="38"/>
  <c r="AB249" i="38"/>
  <c r="AC249" i="38"/>
  <c r="AD249" i="38"/>
  <c r="AE249" i="38"/>
  <c r="AF249" i="38"/>
  <c r="AG249" i="38"/>
  <c r="AH249" i="38"/>
  <c r="AI249" i="38"/>
  <c r="AJ249" i="38"/>
  <c r="AK249" i="38"/>
  <c r="AL249" i="38"/>
  <c r="AM249" i="38"/>
  <c r="AN249" i="38"/>
  <c r="AO249" i="38"/>
  <c r="AP249" i="38"/>
  <c r="AQ249" i="38"/>
  <c r="AR249" i="38"/>
  <c r="C250" i="38"/>
  <c r="D250" i="38"/>
  <c r="E250" i="38"/>
  <c r="F250" i="38"/>
  <c r="G250" i="38"/>
  <c r="H250" i="38"/>
  <c r="I250" i="38"/>
  <c r="J250" i="38"/>
  <c r="K250" i="38"/>
  <c r="L250" i="38"/>
  <c r="M250" i="38"/>
  <c r="N250" i="38"/>
  <c r="O250" i="38"/>
  <c r="P250" i="38"/>
  <c r="Q250" i="38"/>
  <c r="R250" i="38"/>
  <c r="S250" i="38"/>
  <c r="T250" i="38"/>
  <c r="U250" i="38"/>
  <c r="V250" i="38"/>
  <c r="W250" i="38"/>
  <c r="X250" i="38"/>
  <c r="Y250" i="38"/>
  <c r="Z250" i="38"/>
  <c r="AA250" i="38"/>
  <c r="AB250" i="38"/>
  <c r="AC250" i="38"/>
  <c r="AD250" i="38"/>
  <c r="AE250" i="38"/>
  <c r="AF250" i="38"/>
  <c r="AG250" i="38"/>
  <c r="AH250" i="38"/>
  <c r="AI250" i="38"/>
  <c r="AJ250" i="38"/>
  <c r="AK250" i="38"/>
  <c r="AL250" i="38"/>
  <c r="AM250" i="38"/>
  <c r="AN250" i="38"/>
  <c r="AO250" i="38"/>
  <c r="AP250" i="38"/>
  <c r="AQ250" i="38"/>
  <c r="AR250" i="38"/>
  <c r="C251" i="38"/>
  <c r="D251" i="38"/>
  <c r="E251" i="38"/>
  <c r="F251" i="38"/>
  <c r="G251" i="38"/>
  <c r="H251" i="38"/>
  <c r="I251" i="38"/>
  <c r="J251" i="38"/>
  <c r="K251" i="38"/>
  <c r="L251" i="38"/>
  <c r="M251" i="38"/>
  <c r="N251" i="38"/>
  <c r="O251" i="38"/>
  <c r="P251" i="38"/>
  <c r="Q251" i="38"/>
  <c r="R251" i="38"/>
  <c r="S251" i="38"/>
  <c r="T251" i="38"/>
  <c r="U251" i="38"/>
  <c r="V251" i="38"/>
  <c r="W251" i="38"/>
  <c r="X251" i="38"/>
  <c r="Y251" i="38"/>
  <c r="Z251" i="38"/>
  <c r="AA251" i="38"/>
  <c r="AB251" i="38"/>
  <c r="AC251" i="38"/>
  <c r="AD251" i="38"/>
  <c r="AE251" i="38"/>
  <c r="AF251" i="38"/>
  <c r="AG251" i="38"/>
  <c r="AH251" i="38"/>
  <c r="AI251" i="38"/>
  <c r="AJ251" i="38"/>
  <c r="AK251" i="38"/>
  <c r="AL251" i="38"/>
  <c r="AM251" i="38"/>
  <c r="AN251" i="38"/>
  <c r="AO251" i="38"/>
  <c r="AP251" i="38"/>
  <c r="AQ251" i="38"/>
  <c r="AR251" i="38"/>
  <c r="C252" i="38"/>
  <c r="D252" i="38"/>
  <c r="E252" i="38"/>
  <c r="F252" i="38"/>
  <c r="G252" i="38"/>
  <c r="H252" i="38"/>
  <c r="I252" i="38"/>
  <c r="J252" i="38"/>
  <c r="K252" i="38"/>
  <c r="L252" i="38"/>
  <c r="M252" i="38"/>
  <c r="N252" i="38"/>
  <c r="O252" i="38"/>
  <c r="P252" i="38"/>
  <c r="Q252" i="38"/>
  <c r="R252" i="38"/>
  <c r="S252" i="38"/>
  <c r="T252" i="38"/>
  <c r="U252" i="38"/>
  <c r="V252" i="38"/>
  <c r="W252" i="38"/>
  <c r="X252" i="38"/>
  <c r="Y252" i="38"/>
  <c r="Z252" i="38"/>
  <c r="AA252" i="38"/>
  <c r="AB252" i="38"/>
  <c r="AC252" i="38"/>
  <c r="AD252" i="38"/>
  <c r="AE252" i="38"/>
  <c r="AF252" i="38"/>
  <c r="AG252" i="38"/>
  <c r="AH252" i="38"/>
  <c r="AI252" i="38"/>
  <c r="AJ252" i="38"/>
  <c r="AK252" i="38"/>
  <c r="AL252" i="38"/>
  <c r="AM252" i="38"/>
  <c r="AN252" i="38"/>
  <c r="AO252" i="38"/>
  <c r="AP252" i="38"/>
  <c r="AQ252" i="38"/>
  <c r="AR252" i="38"/>
  <c r="C253" i="38"/>
  <c r="D253" i="38"/>
  <c r="E253" i="38"/>
  <c r="F253" i="38"/>
  <c r="G253" i="38"/>
  <c r="H253" i="38"/>
  <c r="I253" i="38"/>
  <c r="J253" i="38"/>
  <c r="K253" i="38"/>
  <c r="L253" i="38"/>
  <c r="M253" i="38"/>
  <c r="N253" i="38"/>
  <c r="O253" i="38"/>
  <c r="P253" i="38"/>
  <c r="Q253" i="38"/>
  <c r="R253" i="38"/>
  <c r="S253" i="38"/>
  <c r="T253" i="38"/>
  <c r="U253" i="38"/>
  <c r="V253" i="38"/>
  <c r="W253" i="38"/>
  <c r="X253" i="38"/>
  <c r="Y253" i="38"/>
  <c r="Z253" i="38"/>
  <c r="AA253" i="38"/>
  <c r="AB253" i="38"/>
  <c r="AC253" i="38"/>
  <c r="AD253" i="38"/>
  <c r="AE253" i="38"/>
  <c r="AF253" i="38"/>
  <c r="AG253" i="38"/>
  <c r="AH253" i="38"/>
  <c r="AI253" i="38"/>
  <c r="AJ253" i="38"/>
  <c r="AK253" i="38"/>
  <c r="AL253" i="38"/>
  <c r="AM253" i="38"/>
  <c r="AN253" i="38"/>
  <c r="AO253" i="38"/>
  <c r="AP253" i="38"/>
  <c r="AQ253" i="38"/>
  <c r="AR253" i="38"/>
  <c r="C254" i="38"/>
  <c r="D254" i="38"/>
  <c r="E254" i="38"/>
  <c r="F254" i="38"/>
  <c r="G254" i="38"/>
  <c r="H254" i="38"/>
  <c r="I254" i="38"/>
  <c r="J254" i="38"/>
  <c r="K254" i="38"/>
  <c r="L254" i="38"/>
  <c r="M254" i="38"/>
  <c r="N254" i="38"/>
  <c r="O254" i="38"/>
  <c r="P254" i="38"/>
  <c r="Q254" i="38"/>
  <c r="R254" i="38"/>
  <c r="S254" i="38"/>
  <c r="T254" i="38"/>
  <c r="U254" i="38"/>
  <c r="V254" i="38"/>
  <c r="W254" i="38"/>
  <c r="X254" i="38"/>
  <c r="Y254" i="38"/>
  <c r="Z254" i="38"/>
  <c r="AA254" i="38"/>
  <c r="AB254" i="38"/>
  <c r="AC254" i="38"/>
  <c r="AD254" i="38"/>
  <c r="AE254" i="38"/>
  <c r="AF254" i="38"/>
  <c r="AG254" i="38"/>
  <c r="AH254" i="38"/>
  <c r="AI254" i="38"/>
  <c r="AJ254" i="38"/>
  <c r="AK254" i="38"/>
  <c r="AL254" i="38"/>
  <c r="AM254" i="38"/>
  <c r="AN254" i="38"/>
  <c r="AO254" i="38"/>
  <c r="AP254" i="38"/>
  <c r="AQ254" i="38"/>
  <c r="AR254" i="38"/>
  <c r="C255" i="38"/>
  <c r="D255" i="38"/>
  <c r="E255" i="38"/>
  <c r="F255" i="38"/>
  <c r="G255" i="38"/>
  <c r="H255" i="38"/>
  <c r="I255" i="38"/>
  <c r="J255" i="38"/>
  <c r="K255" i="38"/>
  <c r="L255" i="38"/>
  <c r="M255" i="38"/>
  <c r="N255" i="38"/>
  <c r="O255" i="38"/>
  <c r="P255" i="38"/>
  <c r="Q255" i="38"/>
  <c r="R255" i="38"/>
  <c r="S255" i="38"/>
  <c r="T255" i="38"/>
  <c r="U255" i="38"/>
  <c r="V255" i="38"/>
  <c r="W255" i="38"/>
  <c r="X255" i="38"/>
  <c r="Y255" i="38"/>
  <c r="Z255" i="38"/>
  <c r="AA255" i="38"/>
  <c r="AB255" i="38"/>
  <c r="AC255" i="38"/>
  <c r="AD255" i="38"/>
  <c r="AE255" i="38"/>
  <c r="AF255" i="38"/>
  <c r="AG255" i="38"/>
  <c r="AH255" i="38"/>
  <c r="AI255" i="38"/>
  <c r="AJ255" i="38"/>
  <c r="AK255" i="38"/>
  <c r="AL255" i="38"/>
  <c r="AM255" i="38"/>
  <c r="AN255" i="38"/>
  <c r="AO255" i="38"/>
  <c r="AP255" i="38"/>
  <c r="AQ255" i="38"/>
  <c r="AR255" i="38"/>
  <c r="C256" i="38"/>
  <c r="D256" i="38"/>
  <c r="E256" i="38"/>
  <c r="F256" i="38"/>
  <c r="G256" i="38"/>
  <c r="H256" i="38"/>
  <c r="I256" i="38"/>
  <c r="J256" i="38"/>
  <c r="K256" i="38"/>
  <c r="L256" i="38"/>
  <c r="M256" i="38"/>
  <c r="N256" i="38"/>
  <c r="O256" i="38"/>
  <c r="P256" i="38"/>
  <c r="Q256" i="38"/>
  <c r="R256" i="38"/>
  <c r="S256" i="38"/>
  <c r="T256" i="38"/>
  <c r="U256" i="38"/>
  <c r="V256" i="38"/>
  <c r="W256" i="38"/>
  <c r="X256" i="38"/>
  <c r="Y256" i="38"/>
  <c r="Z256" i="38"/>
  <c r="AA256" i="38"/>
  <c r="AB256" i="38"/>
  <c r="AC256" i="38"/>
  <c r="AD256" i="38"/>
  <c r="AE256" i="38"/>
  <c r="AF256" i="38"/>
  <c r="AG256" i="38"/>
  <c r="AH256" i="38"/>
  <c r="AI256" i="38"/>
  <c r="AJ256" i="38"/>
  <c r="AK256" i="38"/>
  <c r="AL256" i="38"/>
  <c r="AM256" i="38"/>
  <c r="AN256" i="38"/>
  <c r="AO256" i="38"/>
  <c r="AP256" i="38"/>
  <c r="AQ256" i="38"/>
  <c r="AR256" i="38"/>
  <c r="C257" i="38"/>
  <c r="D257" i="38"/>
  <c r="E257" i="38"/>
  <c r="F257" i="38"/>
  <c r="G257" i="38"/>
  <c r="H257" i="38"/>
  <c r="I257" i="38"/>
  <c r="J257" i="38"/>
  <c r="K257" i="38"/>
  <c r="L257" i="38"/>
  <c r="M257" i="38"/>
  <c r="N257" i="38"/>
  <c r="O257" i="38"/>
  <c r="P257" i="38"/>
  <c r="Q257" i="38"/>
  <c r="R257" i="38"/>
  <c r="S257" i="38"/>
  <c r="T257" i="38"/>
  <c r="U257" i="38"/>
  <c r="V257" i="38"/>
  <c r="W257" i="38"/>
  <c r="X257" i="38"/>
  <c r="Y257" i="38"/>
  <c r="Z257" i="38"/>
  <c r="AA257" i="38"/>
  <c r="AB257" i="38"/>
  <c r="AC257" i="38"/>
  <c r="AD257" i="38"/>
  <c r="AE257" i="38"/>
  <c r="AF257" i="38"/>
  <c r="AG257" i="38"/>
  <c r="AH257" i="38"/>
  <c r="AI257" i="38"/>
  <c r="AJ257" i="38"/>
  <c r="AK257" i="38"/>
  <c r="AL257" i="38"/>
  <c r="AM257" i="38"/>
  <c r="AN257" i="38"/>
  <c r="AO257" i="38"/>
  <c r="AP257" i="38"/>
  <c r="AQ257" i="38"/>
  <c r="AR257" i="38"/>
  <c r="C258" i="38"/>
  <c r="D258" i="38"/>
  <c r="E258" i="38"/>
  <c r="F258" i="38"/>
  <c r="G258" i="38"/>
  <c r="H258" i="38"/>
  <c r="I258" i="38"/>
  <c r="J258" i="38"/>
  <c r="K258" i="38"/>
  <c r="L258" i="38"/>
  <c r="M258" i="38"/>
  <c r="N258" i="38"/>
  <c r="O258" i="38"/>
  <c r="P258" i="38"/>
  <c r="Q258" i="38"/>
  <c r="R258" i="38"/>
  <c r="S258" i="38"/>
  <c r="T258" i="38"/>
  <c r="U258" i="38"/>
  <c r="V258" i="38"/>
  <c r="W258" i="38"/>
  <c r="X258" i="38"/>
  <c r="Y258" i="38"/>
  <c r="Z258" i="38"/>
  <c r="AA258" i="38"/>
  <c r="AB258" i="38"/>
  <c r="AC258" i="38"/>
  <c r="AD258" i="38"/>
  <c r="AE258" i="38"/>
  <c r="AF258" i="38"/>
  <c r="AG258" i="38"/>
  <c r="AH258" i="38"/>
  <c r="AI258" i="38"/>
  <c r="AJ258" i="38"/>
  <c r="AK258" i="38"/>
  <c r="AL258" i="38"/>
  <c r="AM258" i="38"/>
  <c r="AN258" i="38"/>
  <c r="AO258" i="38"/>
  <c r="AP258" i="38"/>
  <c r="AQ258" i="38"/>
  <c r="AR258" i="38"/>
  <c r="C259" i="38"/>
  <c r="D259" i="38"/>
  <c r="E259" i="38"/>
  <c r="F259" i="38"/>
  <c r="G259" i="38"/>
  <c r="H259" i="38"/>
  <c r="I259" i="38"/>
  <c r="J259" i="38"/>
  <c r="K259" i="38"/>
  <c r="L259" i="38"/>
  <c r="M259" i="38"/>
  <c r="N259" i="38"/>
  <c r="O259" i="38"/>
  <c r="P259" i="38"/>
  <c r="Q259" i="38"/>
  <c r="R259" i="38"/>
  <c r="S259" i="38"/>
  <c r="T259" i="38"/>
  <c r="U259" i="38"/>
  <c r="V259" i="38"/>
  <c r="W259" i="38"/>
  <c r="X259" i="38"/>
  <c r="Y259" i="38"/>
  <c r="Z259" i="38"/>
  <c r="AA259" i="38"/>
  <c r="AB259" i="38"/>
  <c r="AC259" i="38"/>
  <c r="AD259" i="38"/>
  <c r="AE259" i="38"/>
  <c r="AF259" i="38"/>
  <c r="AG259" i="38"/>
  <c r="AH259" i="38"/>
  <c r="AI259" i="38"/>
  <c r="AJ259" i="38"/>
  <c r="AK259" i="38"/>
  <c r="AL259" i="38"/>
  <c r="AM259" i="38"/>
  <c r="AN259" i="38"/>
  <c r="AO259" i="38"/>
  <c r="AP259" i="38"/>
  <c r="AQ259" i="38"/>
  <c r="AR259" i="38"/>
  <c r="C260" i="38"/>
  <c r="D260" i="38"/>
  <c r="E260" i="38"/>
  <c r="F260" i="38"/>
  <c r="G260" i="38"/>
  <c r="H260" i="38"/>
  <c r="I260" i="38"/>
  <c r="J260" i="38"/>
  <c r="K260" i="38"/>
  <c r="L260" i="38"/>
  <c r="M260" i="38"/>
  <c r="N260" i="38"/>
  <c r="O260" i="38"/>
  <c r="P260" i="38"/>
  <c r="Q260" i="38"/>
  <c r="R260" i="38"/>
  <c r="S260" i="38"/>
  <c r="T260" i="38"/>
  <c r="U260" i="38"/>
  <c r="V260" i="38"/>
  <c r="W260" i="38"/>
  <c r="X260" i="38"/>
  <c r="Y260" i="38"/>
  <c r="Z260" i="38"/>
  <c r="AA260" i="38"/>
  <c r="AB260" i="38"/>
  <c r="AC260" i="38"/>
  <c r="AD260" i="38"/>
  <c r="AE260" i="38"/>
  <c r="AF260" i="38"/>
  <c r="AG260" i="38"/>
  <c r="AH260" i="38"/>
  <c r="AI260" i="38"/>
  <c r="AJ260" i="38"/>
  <c r="AK260" i="38"/>
  <c r="AL260" i="38"/>
  <c r="AM260" i="38"/>
  <c r="AN260" i="38"/>
  <c r="AO260" i="38"/>
  <c r="AP260" i="38"/>
  <c r="AQ260" i="38"/>
  <c r="AR260" i="38"/>
  <c r="C261" i="38"/>
  <c r="D261" i="38"/>
  <c r="E261" i="38"/>
  <c r="F261" i="38"/>
  <c r="G261" i="38"/>
  <c r="H261" i="38"/>
  <c r="I261" i="38"/>
  <c r="J261" i="38"/>
  <c r="K261" i="38"/>
  <c r="L261" i="38"/>
  <c r="M261" i="38"/>
  <c r="N261" i="38"/>
  <c r="O261" i="38"/>
  <c r="P261" i="38"/>
  <c r="Q261" i="38"/>
  <c r="R261" i="38"/>
  <c r="S261" i="38"/>
  <c r="T261" i="38"/>
  <c r="U261" i="38"/>
  <c r="V261" i="38"/>
  <c r="W261" i="38"/>
  <c r="X261" i="38"/>
  <c r="Y261" i="38"/>
  <c r="Z261" i="38"/>
  <c r="AA261" i="38"/>
  <c r="AB261" i="38"/>
  <c r="AC261" i="38"/>
  <c r="AD261" i="38"/>
  <c r="AE261" i="38"/>
  <c r="AF261" i="38"/>
  <c r="AG261" i="38"/>
  <c r="AH261" i="38"/>
  <c r="AI261" i="38"/>
  <c r="AJ261" i="38"/>
  <c r="AK261" i="38"/>
  <c r="AL261" i="38"/>
  <c r="AM261" i="38"/>
  <c r="AN261" i="38"/>
  <c r="AO261" i="38"/>
  <c r="AP261" i="38"/>
  <c r="AQ261" i="38"/>
  <c r="AR261" i="38"/>
  <c r="C262" i="38"/>
  <c r="D262" i="38"/>
  <c r="E262" i="38"/>
  <c r="F262" i="38"/>
  <c r="G262" i="38"/>
  <c r="H262" i="38"/>
  <c r="I262" i="38"/>
  <c r="J262" i="38"/>
  <c r="K262" i="38"/>
  <c r="L262" i="38"/>
  <c r="M262" i="38"/>
  <c r="N262" i="38"/>
  <c r="O262" i="38"/>
  <c r="P262" i="38"/>
  <c r="Q262" i="38"/>
  <c r="R262" i="38"/>
  <c r="S262" i="38"/>
  <c r="T262" i="38"/>
  <c r="U262" i="38"/>
  <c r="V262" i="38"/>
  <c r="W262" i="38"/>
  <c r="X262" i="38"/>
  <c r="Y262" i="38"/>
  <c r="Z262" i="38"/>
  <c r="AA262" i="38"/>
  <c r="AB262" i="38"/>
  <c r="AC262" i="38"/>
  <c r="AD262" i="38"/>
  <c r="AE262" i="38"/>
  <c r="AF262" i="38"/>
  <c r="AG262" i="38"/>
  <c r="AH262" i="38"/>
  <c r="AI262" i="38"/>
  <c r="AJ262" i="38"/>
  <c r="AK262" i="38"/>
  <c r="AL262" i="38"/>
  <c r="AM262" i="38"/>
  <c r="AN262" i="38"/>
  <c r="AO262" i="38"/>
  <c r="AP262" i="38"/>
  <c r="AQ262" i="38"/>
  <c r="AR262" i="38"/>
  <c r="C263" i="38"/>
  <c r="D263" i="38"/>
  <c r="E263" i="38"/>
  <c r="F263" i="38"/>
  <c r="G263" i="38"/>
  <c r="H263" i="38"/>
  <c r="I263" i="38"/>
  <c r="J263" i="38"/>
  <c r="K263" i="38"/>
  <c r="L263" i="38"/>
  <c r="M263" i="38"/>
  <c r="N263" i="38"/>
  <c r="O263" i="38"/>
  <c r="P263" i="38"/>
  <c r="Q263" i="38"/>
  <c r="R263" i="38"/>
  <c r="S263" i="38"/>
  <c r="T263" i="38"/>
  <c r="U263" i="38"/>
  <c r="V263" i="38"/>
  <c r="W263" i="38"/>
  <c r="X263" i="38"/>
  <c r="Y263" i="38"/>
  <c r="Z263" i="38"/>
  <c r="AA263" i="38"/>
  <c r="AB263" i="38"/>
  <c r="AC263" i="38"/>
  <c r="AD263" i="38"/>
  <c r="AE263" i="38"/>
  <c r="AF263" i="38"/>
  <c r="AG263" i="38"/>
  <c r="AH263" i="38"/>
  <c r="AI263" i="38"/>
  <c r="AJ263" i="38"/>
  <c r="AK263" i="38"/>
  <c r="AL263" i="38"/>
  <c r="AM263" i="38"/>
  <c r="AN263" i="38"/>
  <c r="AO263" i="38"/>
  <c r="AP263" i="38"/>
  <c r="AQ263" i="38"/>
  <c r="AR263" i="38"/>
  <c r="C264" i="38"/>
  <c r="D264" i="38"/>
  <c r="E264" i="38"/>
  <c r="F264" i="38"/>
  <c r="G264" i="38"/>
  <c r="H264" i="38"/>
  <c r="I264" i="38"/>
  <c r="J264" i="38"/>
  <c r="K264" i="38"/>
  <c r="L264" i="38"/>
  <c r="M264" i="38"/>
  <c r="N264" i="38"/>
  <c r="O264" i="38"/>
  <c r="P264" i="38"/>
  <c r="Q264" i="38"/>
  <c r="R264" i="38"/>
  <c r="S264" i="38"/>
  <c r="T264" i="38"/>
  <c r="U264" i="38"/>
  <c r="V264" i="38"/>
  <c r="W264" i="38"/>
  <c r="X264" i="38"/>
  <c r="Y264" i="38"/>
  <c r="Z264" i="38"/>
  <c r="AA264" i="38"/>
  <c r="AB264" i="38"/>
  <c r="AC264" i="38"/>
  <c r="AD264" i="38"/>
  <c r="AE264" i="38"/>
  <c r="AF264" i="38"/>
  <c r="AG264" i="38"/>
  <c r="AH264" i="38"/>
  <c r="AI264" i="38"/>
  <c r="AJ264" i="38"/>
  <c r="AK264" i="38"/>
  <c r="AL264" i="38"/>
  <c r="AM264" i="38"/>
  <c r="AN264" i="38"/>
  <c r="AO264" i="38"/>
  <c r="AP264" i="38"/>
  <c r="AQ264" i="38"/>
  <c r="AR264" i="38"/>
  <c r="C265" i="38"/>
  <c r="D265" i="38"/>
  <c r="E265" i="38"/>
  <c r="F265" i="38"/>
  <c r="G265" i="38"/>
  <c r="H265" i="38"/>
  <c r="I265" i="38"/>
  <c r="J265" i="38"/>
  <c r="K265" i="38"/>
  <c r="L265" i="38"/>
  <c r="M265" i="38"/>
  <c r="N265" i="38"/>
  <c r="O265" i="38"/>
  <c r="P265" i="38"/>
  <c r="Q265" i="38"/>
  <c r="R265" i="38"/>
  <c r="S265" i="38"/>
  <c r="T265" i="38"/>
  <c r="U265" i="38"/>
  <c r="V265" i="38"/>
  <c r="W265" i="38"/>
  <c r="X265" i="38"/>
  <c r="Y265" i="38"/>
  <c r="Z265" i="38"/>
  <c r="AA265" i="38"/>
  <c r="AB265" i="38"/>
  <c r="AC265" i="38"/>
  <c r="AD265" i="38"/>
  <c r="AE265" i="38"/>
  <c r="AF265" i="38"/>
  <c r="AG265" i="38"/>
  <c r="AH265" i="38"/>
  <c r="AI265" i="38"/>
  <c r="AJ265" i="38"/>
  <c r="AK265" i="38"/>
  <c r="AL265" i="38"/>
  <c r="AM265" i="38"/>
  <c r="AN265" i="38"/>
  <c r="AO265" i="38"/>
  <c r="AP265" i="38"/>
  <c r="AQ265" i="38"/>
  <c r="AR265" i="38"/>
  <c r="C266" i="38"/>
  <c r="D266" i="38"/>
  <c r="E266" i="38"/>
  <c r="F266" i="38"/>
  <c r="G266" i="38"/>
  <c r="H266" i="38"/>
  <c r="I266" i="38"/>
  <c r="J266" i="38"/>
  <c r="K266" i="38"/>
  <c r="L266" i="38"/>
  <c r="M266" i="38"/>
  <c r="N266" i="38"/>
  <c r="O266" i="38"/>
  <c r="P266" i="38"/>
  <c r="Q266" i="38"/>
  <c r="R266" i="38"/>
  <c r="S266" i="38"/>
  <c r="T266" i="38"/>
  <c r="U266" i="38"/>
  <c r="V266" i="38"/>
  <c r="W266" i="38"/>
  <c r="X266" i="38"/>
  <c r="Y266" i="38"/>
  <c r="Z266" i="38"/>
  <c r="AA266" i="38"/>
  <c r="AB266" i="38"/>
  <c r="AC266" i="38"/>
  <c r="AD266" i="38"/>
  <c r="AE266" i="38"/>
  <c r="AF266" i="38"/>
  <c r="AG266" i="38"/>
  <c r="AH266" i="38"/>
  <c r="AI266" i="38"/>
  <c r="AJ266" i="38"/>
  <c r="AK266" i="38"/>
  <c r="AL266" i="38"/>
  <c r="AM266" i="38"/>
  <c r="AN266" i="38"/>
  <c r="AO266" i="38"/>
  <c r="AP266" i="38"/>
  <c r="AQ266" i="38"/>
  <c r="AR266" i="38"/>
  <c r="C267" i="38"/>
  <c r="D267" i="38"/>
  <c r="E267" i="38"/>
  <c r="F267" i="38"/>
  <c r="G267" i="38"/>
  <c r="H267" i="38"/>
  <c r="I267" i="38"/>
  <c r="J267" i="38"/>
  <c r="K267" i="38"/>
  <c r="L267" i="38"/>
  <c r="M267" i="38"/>
  <c r="N267" i="38"/>
  <c r="O267" i="38"/>
  <c r="P267" i="38"/>
  <c r="Q267" i="38"/>
  <c r="R267" i="38"/>
  <c r="S267" i="38"/>
  <c r="T267" i="38"/>
  <c r="U267" i="38"/>
  <c r="V267" i="38"/>
  <c r="W267" i="38"/>
  <c r="X267" i="38"/>
  <c r="Y267" i="38"/>
  <c r="Z267" i="38"/>
  <c r="AA267" i="38"/>
  <c r="AB267" i="38"/>
  <c r="AC267" i="38"/>
  <c r="AD267" i="38"/>
  <c r="AE267" i="38"/>
  <c r="AF267" i="38"/>
  <c r="AG267" i="38"/>
  <c r="AH267" i="38"/>
  <c r="AI267" i="38"/>
  <c r="AJ267" i="38"/>
  <c r="AK267" i="38"/>
  <c r="AL267" i="38"/>
  <c r="AM267" i="38"/>
  <c r="AN267" i="38"/>
  <c r="AO267" i="38"/>
  <c r="AP267" i="38"/>
  <c r="AQ267" i="38"/>
  <c r="AR267" i="38"/>
  <c r="C268" i="38"/>
  <c r="D268" i="38"/>
  <c r="E268" i="38"/>
  <c r="F268" i="38"/>
  <c r="G268" i="38"/>
  <c r="H268" i="38"/>
  <c r="I268" i="38"/>
  <c r="J268" i="38"/>
  <c r="K268" i="38"/>
  <c r="L268" i="38"/>
  <c r="M268" i="38"/>
  <c r="N268" i="38"/>
  <c r="O268" i="38"/>
  <c r="P268" i="38"/>
  <c r="Q268" i="38"/>
  <c r="R268" i="38"/>
  <c r="S268" i="38"/>
  <c r="T268" i="38"/>
  <c r="U268" i="38"/>
  <c r="V268" i="38"/>
  <c r="W268" i="38"/>
  <c r="X268" i="38"/>
  <c r="Y268" i="38"/>
  <c r="Z268" i="38"/>
  <c r="AA268" i="38"/>
  <c r="AB268" i="38"/>
  <c r="AC268" i="38"/>
  <c r="AD268" i="38"/>
  <c r="AE268" i="38"/>
  <c r="AF268" i="38"/>
  <c r="AG268" i="38"/>
  <c r="AH268" i="38"/>
  <c r="AI268" i="38"/>
  <c r="AJ268" i="38"/>
  <c r="AK268" i="38"/>
  <c r="AL268" i="38"/>
  <c r="AM268" i="38"/>
  <c r="AN268" i="38"/>
  <c r="AO268" i="38"/>
  <c r="AP268" i="38"/>
  <c r="AQ268" i="38"/>
  <c r="AR268" i="38"/>
  <c r="C269" i="38"/>
  <c r="D269" i="38"/>
  <c r="E269" i="38"/>
  <c r="F269" i="38"/>
  <c r="G269" i="38"/>
  <c r="H269" i="38"/>
  <c r="I269" i="38"/>
  <c r="J269" i="38"/>
  <c r="K269" i="38"/>
  <c r="L269" i="38"/>
  <c r="M269" i="38"/>
  <c r="N269" i="38"/>
  <c r="O269" i="38"/>
  <c r="P269" i="38"/>
  <c r="Q269" i="38"/>
  <c r="R269" i="38"/>
  <c r="S269" i="38"/>
  <c r="T269" i="38"/>
  <c r="U269" i="38"/>
  <c r="V269" i="38"/>
  <c r="W269" i="38"/>
  <c r="X269" i="38"/>
  <c r="Y269" i="38"/>
  <c r="Z269" i="38"/>
  <c r="AA269" i="38"/>
  <c r="AB269" i="38"/>
  <c r="AC269" i="38"/>
  <c r="AD269" i="38"/>
  <c r="AE269" i="38"/>
  <c r="AF269" i="38"/>
  <c r="AG269" i="38"/>
  <c r="AH269" i="38"/>
  <c r="AI269" i="38"/>
  <c r="AJ269" i="38"/>
  <c r="AK269" i="38"/>
  <c r="AL269" i="38"/>
  <c r="AM269" i="38"/>
  <c r="AN269" i="38"/>
  <c r="AO269" i="38"/>
  <c r="AP269" i="38"/>
  <c r="AQ269" i="38"/>
  <c r="AR269" i="38"/>
  <c r="C270" i="38"/>
  <c r="D270" i="38"/>
  <c r="E270" i="38"/>
  <c r="F270" i="38"/>
  <c r="G270" i="38"/>
  <c r="H270" i="38"/>
  <c r="I270" i="38"/>
  <c r="J270" i="38"/>
  <c r="K270" i="38"/>
  <c r="L270" i="38"/>
  <c r="M270" i="38"/>
  <c r="N270" i="38"/>
  <c r="O270" i="38"/>
  <c r="P270" i="38"/>
  <c r="Q270" i="38"/>
  <c r="R270" i="38"/>
  <c r="S270" i="38"/>
  <c r="T270" i="38"/>
  <c r="U270" i="38"/>
  <c r="V270" i="38"/>
  <c r="W270" i="38"/>
  <c r="X270" i="38"/>
  <c r="Y270" i="38"/>
  <c r="Z270" i="38"/>
  <c r="AA270" i="38"/>
  <c r="AB270" i="38"/>
  <c r="AC270" i="38"/>
  <c r="AD270" i="38"/>
  <c r="AE270" i="38"/>
  <c r="AF270" i="38"/>
  <c r="AG270" i="38"/>
  <c r="AH270" i="38"/>
  <c r="AI270" i="38"/>
  <c r="AJ270" i="38"/>
  <c r="AK270" i="38"/>
  <c r="AL270" i="38"/>
  <c r="AM270" i="38"/>
  <c r="AN270" i="38"/>
  <c r="AO270" i="38"/>
  <c r="AP270" i="38"/>
  <c r="AQ270" i="38"/>
  <c r="AR270" i="38"/>
  <c r="C271" i="38"/>
  <c r="D271" i="38"/>
  <c r="E271" i="38"/>
  <c r="F271" i="38"/>
  <c r="G271" i="38"/>
  <c r="H271" i="38"/>
  <c r="I271" i="38"/>
  <c r="J271" i="38"/>
  <c r="K271" i="38"/>
  <c r="L271" i="38"/>
  <c r="M271" i="38"/>
  <c r="N271" i="38"/>
  <c r="O271" i="38"/>
  <c r="P271" i="38"/>
  <c r="Q271" i="38"/>
  <c r="R271" i="38"/>
  <c r="S271" i="38"/>
  <c r="T271" i="38"/>
  <c r="U271" i="38"/>
  <c r="V271" i="38"/>
  <c r="W271" i="38"/>
  <c r="X271" i="38"/>
  <c r="Y271" i="38"/>
  <c r="Z271" i="38"/>
  <c r="AA271" i="38"/>
  <c r="AB271" i="38"/>
  <c r="AC271" i="38"/>
  <c r="AD271" i="38"/>
  <c r="AE271" i="38"/>
  <c r="AF271" i="38"/>
  <c r="AG271" i="38"/>
  <c r="AH271" i="38"/>
  <c r="AI271" i="38"/>
  <c r="AJ271" i="38"/>
  <c r="AK271" i="38"/>
  <c r="AL271" i="38"/>
  <c r="AM271" i="38"/>
  <c r="AN271" i="38"/>
  <c r="AO271" i="38"/>
  <c r="AP271" i="38"/>
  <c r="AQ271" i="38"/>
  <c r="AR271" i="38"/>
  <c r="C272" i="38"/>
  <c r="D272" i="38"/>
  <c r="E272" i="38"/>
  <c r="F272" i="38"/>
  <c r="G272" i="38"/>
  <c r="H272" i="38"/>
  <c r="I272" i="38"/>
  <c r="J272" i="38"/>
  <c r="K272" i="38"/>
  <c r="L272" i="38"/>
  <c r="M272" i="38"/>
  <c r="N272" i="38"/>
  <c r="O272" i="38"/>
  <c r="P272" i="38"/>
  <c r="Q272" i="38"/>
  <c r="R272" i="38"/>
  <c r="S272" i="38"/>
  <c r="T272" i="38"/>
  <c r="U272" i="38"/>
  <c r="V272" i="38"/>
  <c r="W272" i="38"/>
  <c r="X272" i="38"/>
  <c r="Y272" i="38"/>
  <c r="Z272" i="38"/>
  <c r="AA272" i="38"/>
  <c r="AB272" i="38"/>
  <c r="AC272" i="38"/>
  <c r="AD272" i="38"/>
  <c r="AE272" i="38"/>
  <c r="AF272" i="38"/>
  <c r="AG272" i="38"/>
  <c r="AH272" i="38"/>
  <c r="AI272" i="38"/>
  <c r="AJ272" i="38"/>
  <c r="AK272" i="38"/>
  <c r="AL272" i="38"/>
  <c r="AM272" i="38"/>
  <c r="AN272" i="38"/>
  <c r="AO272" i="38"/>
  <c r="AP272" i="38"/>
  <c r="AQ272" i="38"/>
  <c r="AR272" i="38"/>
  <c r="C273" i="38"/>
  <c r="D273" i="38"/>
  <c r="E273" i="38"/>
  <c r="F273" i="38"/>
  <c r="G273" i="38"/>
  <c r="H273" i="38"/>
  <c r="I273" i="38"/>
  <c r="J273" i="38"/>
  <c r="K273" i="38"/>
  <c r="L273" i="38"/>
  <c r="M273" i="38"/>
  <c r="N273" i="38"/>
  <c r="O273" i="38"/>
  <c r="P273" i="38"/>
  <c r="Q273" i="38"/>
  <c r="R273" i="38"/>
  <c r="S273" i="38"/>
  <c r="T273" i="38"/>
  <c r="U273" i="38"/>
  <c r="V273" i="38"/>
  <c r="W273" i="38"/>
  <c r="X273" i="38"/>
  <c r="Y273" i="38"/>
  <c r="Z273" i="38"/>
  <c r="AA273" i="38"/>
  <c r="AB273" i="38"/>
  <c r="AC273" i="38"/>
  <c r="AD273" i="38"/>
  <c r="AE273" i="38"/>
  <c r="AF273" i="38"/>
  <c r="AG273" i="38"/>
  <c r="AH273" i="38"/>
  <c r="AI273" i="38"/>
  <c r="AJ273" i="38"/>
  <c r="AK273" i="38"/>
  <c r="AL273" i="38"/>
  <c r="AM273" i="38"/>
  <c r="AN273" i="38"/>
  <c r="AO273" i="38"/>
  <c r="AP273" i="38"/>
  <c r="AQ273" i="38"/>
  <c r="AR273" i="38"/>
  <c r="C274" i="38"/>
  <c r="D274" i="38"/>
  <c r="E274" i="38"/>
  <c r="F274" i="38"/>
  <c r="G274" i="38"/>
  <c r="H274" i="38"/>
  <c r="I274" i="38"/>
  <c r="J274" i="38"/>
  <c r="K274" i="38"/>
  <c r="L274" i="38"/>
  <c r="M274" i="38"/>
  <c r="N274" i="38"/>
  <c r="O274" i="38"/>
  <c r="P274" i="38"/>
  <c r="Q274" i="38"/>
  <c r="R274" i="38"/>
  <c r="S274" i="38"/>
  <c r="T274" i="38"/>
  <c r="U274" i="38"/>
  <c r="V274" i="38"/>
  <c r="W274" i="38"/>
  <c r="X274" i="38"/>
  <c r="Y274" i="38"/>
  <c r="Z274" i="38"/>
  <c r="AA274" i="38"/>
  <c r="AB274" i="38"/>
  <c r="AC274" i="38"/>
  <c r="AD274" i="38"/>
  <c r="AE274" i="38"/>
  <c r="AF274" i="38"/>
  <c r="AG274" i="38"/>
  <c r="AH274" i="38"/>
  <c r="AI274" i="38"/>
  <c r="AJ274" i="38"/>
  <c r="AK274" i="38"/>
  <c r="AL274" i="38"/>
  <c r="AM274" i="38"/>
  <c r="AN274" i="38"/>
  <c r="AO274" i="38"/>
  <c r="AP274" i="38"/>
  <c r="AQ274" i="38"/>
  <c r="AR274" i="38"/>
  <c r="C275" i="38"/>
  <c r="D275" i="38"/>
  <c r="E275" i="38"/>
  <c r="F275" i="38"/>
  <c r="G275" i="38"/>
  <c r="H275" i="38"/>
  <c r="I275" i="38"/>
  <c r="J275" i="38"/>
  <c r="K275" i="38"/>
  <c r="L275" i="38"/>
  <c r="M275" i="38"/>
  <c r="N275" i="38"/>
  <c r="O275" i="38"/>
  <c r="P275" i="38"/>
  <c r="Q275" i="38"/>
  <c r="R275" i="38"/>
  <c r="S275" i="38"/>
  <c r="T275" i="38"/>
  <c r="U275" i="38"/>
  <c r="V275" i="38"/>
  <c r="W275" i="38"/>
  <c r="X275" i="38"/>
  <c r="Y275" i="38"/>
  <c r="Z275" i="38"/>
  <c r="AA275" i="38"/>
  <c r="AB275" i="38"/>
  <c r="AC275" i="38"/>
  <c r="AD275" i="38"/>
  <c r="AE275" i="38"/>
  <c r="AF275" i="38"/>
  <c r="AG275" i="38"/>
  <c r="AH275" i="38"/>
  <c r="AI275" i="38"/>
  <c r="AJ275" i="38"/>
  <c r="AK275" i="38"/>
  <c r="AL275" i="38"/>
  <c r="AM275" i="38"/>
  <c r="AN275" i="38"/>
  <c r="AO275" i="38"/>
  <c r="AP275" i="38"/>
  <c r="AQ275" i="38"/>
  <c r="AR275" i="38"/>
  <c r="C276" i="38"/>
  <c r="D276" i="38"/>
  <c r="E276" i="38"/>
  <c r="F276" i="38"/>
  <c r="G276" i="38"/>
  <c r="H276" i="38"/>
  <c r="I276" i="38"/>
  <c r="J276" i="38"/>
  <c r="K276" i="38"/>
  <c r="L276" i="38"/>
  <c r="M276" i="38"/>
  <c r="N276" i="38"/>
  <c r="O276" i="38"/>
  <c r="P276" i="38"/>
  <c r="Q276" i="38"/>
  <c r="R276" i="38"/>
  <c r="S276" i="38"/>
  <c r="T276" i="38"/>
  <c r="U276" i="38"/>
  <c r="V276" i="38"/>
  <c r="W276" i="38"/>
  <c r="X276" i="38"/>
  <c r="Y276" i="38"/>
  <c r="Z276" i="38"/>
  <c r="AA276" i="38"/>
  <c r="AB276" i="38"/>
  <c r="AC276" i="38"/>
  <c r="AD276" i="38"/>
  <c r="AE276" i="38"/>
  <c r="AF276" i="38"/>
  <c r="AG276" i="38"/>
  <c r="AH276" i="38"/>
  <c r="AI276" i="38"/>
  <c r="AJ276" i="38"/>
  <c r="AK276" i="38"/>
  <c r="AL276" i="38"/>
  <c r="AM276" i="38"/>
  <c r="AN276" i="38"/>
  <c r="AO276" i="38"/>
  <c r="AP276" i="38"/>
  <c r="AQ276" i="38"/>
  <c r="AR276" i="38"/>
  <c r="C277" i="38"/>
  <c r="D277" i="38"/>
  <c r="E277" i="38"/>
  <c r="F277" i="38"/>
  <c r="G277" i="38"/>
  <c r="H277" i="38"/>
  <c r="I277" i="38"/>
  <c r="J277" i="38"/>
  <c r="K277" i="38"/>
  <c r="L277" i="38"/>
  <c r="M277" i="38"/>
  <c r="N277" i="38"/>
  <c r="O277" i="38"/>
  <c r="P277" i="38"/>
  <c r="Q277" i="38"/>
  <c r="R277" i="38"/>
  <c r="S277" i="38"/>
  <c r="T277" i="38"/>
  <c r="U277" i="38"/>
  <c r="V277" i="38"/>
  <c r="W277" i="38"/>
  <c r="X277" i="38"/>
  <c r="Y277" i="38"/>
  <c r="Z277" i="38"/>
  <c r="AA277" i="38"/>
  <c r="AB277" i="38"/>
  <c r="AC277" i="38"/>
  <c r="AD277" i="38"/>
  <c r="AE277" i="38"/>
  <c r="AF277" i="38"/>
  <c r="AG277" i="38"/>
  <c r="AH277" i="38"/>
  <c r="AI277" i="38"/>
  <c r="AJ277" i="38"/>
  <c r="AK277" i="38"/>
  <c r="AL277" i="38"/>
  <c r="AM277" i="38"/>
  <c r="AN277" i="38"/>
  <c r="AO277" i="38"/>
  <c r="AP277" i="38"/>
  <c r="AQ277" i="38"/>
  <c r="AR277" i="38"/>
  <c r="C278" i="38"/>
  <c r="D278" i="38"/>
  <c r="E278" i="38"/>
  <c r="F278" i="38"/>
  <c r="G278" i="38"/>
  <c r="H278" i="38"/>
  <c r="I278" i="38"/>
  <c r="J278" i="38"/>
  <c r="K278" i="38"/>
  <c r="L278" i="38"/>
  <c r="M278" i="38"/>
  <c r="N278" i="38"/>
  <c r="O278" i="38"/>
  <c r="P278" i="38"/>
  <c r="Q278" i="38"/>
  <c r="R278" i="38"/>
  <c r="S278" i="38"/>
  <c r="T278" i="38"/>
  <c r="U278" i="38"/>
  <c r="V278" i="38"/>
  <c r="W278" i="38"/>
  <c r="X278" i="38"/>
  <c r="Y278" i="38"/>
  <c r="Z278" i="38"/>
  <c r="AA278" i="38"/>
  <c r="AB278" i="38"/>
  <c r="AC278" i="38"/>
  <c r="AD278" i="38"/>
  <c r="AE278" i="38"/>
  <c r="AF278" i="38"/>
  <c r="AG278" i="38"/>
  <c r="AH278" i="38"/>
  <c r="AI278" i="38"/>
  <c r="AJ278" i="38"/>
  <c r="AK278" i="38"/>
  <c r="AL278" i="38"/>
  <c r="AM278" i="38"/>
  <c r="AN278" i="38"/>
  <c r="AO278" i="38"/>
  <c r="AP278" i="38"/>
  <c r="AQ278" i="38"/>
  <c r="AQ323" i="38" s="1"/>
  <c r="AR278" i="38"/>
  <c r="C279" i="38"/>
  <c r="D279" i="38"/>
  <c r="E279" i="38"/>
  <c r="F279" i="38"/>
  <c r="G279" i="38"/>
  <c r="H279" i="38"/>
  <c r="I279" i="38"/>
  <c r="J279" i="38"/>
  <c r="K279" i="38"/>
  <c r="L279" i="38"/>
  <c r="M279" i="38"/>
  <c r="N279" i="38"/>
  <c r="O279" i="38"/>
  <c r="P279" i="38"/>
  <c r="Q279" i="38"/>
  <c r="R279" i="38"/>
  <c r="S279" i="38"/>
  <c r="T279" i="38"/>
  <c r="U279" i="38"/>
  <c r="V279" i="38"/>
  <c r="W279" i="38"/>
  <c r="X279" i="38"/>
  <c r="Y279" i="38"/>
  <c r="Z279" i="38"/>
  <c r="AA279" i="38"/>
  <c r="AB279" i="38"/>
  <c r="AC279" i="38"/>
  <c r="AD279" i="38"/>
  <c r="AE279" i="38"/>
  <c r="AF279" i="38"/>
  <c r="AG279" i="38"/>
  <c r="AH279" i="38"/>
  <c r="AI279" i="38"/>
  <c r="AJ279" i="38"/>
  <c r="AK279" i="38"/>
  <c r="AL279" i="38"/>
  <c r="AM279" i="38"/>
  <c r="AN279" i="38"/>
  <c r="AO279" i="38"/>
  <c r="AP279" i="38"/>
  <c r="AQ279" i="38"/>
  <c r="AR279" i="38"/>
  <c r="C280" i="38"/>
  <c r="D280" i="38"/>
  <c r="E280" i="38"/>
  <c r="F280" i="38"/>
  <c r="G280" i="38"/>
  <c r="H280" i="38"/>
  <c r="I280" i="38"/>
  <c r="J280" i="38"/>
  <c r="K280" i="38"/>
  <c r="L280" i="38"/>
  <c r="M280" i="38"/>
  <c r="N280" i="38"/>
  <c r="O280" i="38"/>
  <c r="P280" i="38"/>
  <c r="Q280" i="38"/>
  <c r="R280" i="38"/>
  <c r="S280" i="38"/>
  <c r="T280" i="38"/>
  <c r="U280" i="38"/>
  <c r="V280" i="38"/>
  <c r="W280" i="38"/>
  <c r="X280" i="38"/>
  <c r="Y280" i="38"/>
  <c r="Z280" i="38"/>
  <c r="AA280" i="38"/>
  <c r="AB280" i="38"/>
  <c r="AC280" i="38"/>
  <c r="AD280" i="38"/>
  <c r="AE280" i="38"/>
  <c r="AF280" i="38"/>
  <c r="AG280" i="38"/>
  <c r="AH280" i="38"/>
  <c r="AI280" i="38"/>
  <c r="AJ280" i="38"/>
  <c r="AK280" i="38"/>
  <c r="AL280" i="38"/>
  <c r="AM280" i="38"/>
  <c r="AN280" i="38"/>
  <c r="AO280" i="38"/>
  <c r="AP280" i="38"/>
  <c r="AQ280" i="38"/>
  <c r="AR280" i="38"/>
  <c r="C281" i="38"/>
  <c r="D281" i="38"/>
  <c r="E281" i="38"/>
  <c r="F281" i="38"/>
  <c r="G281" i="38"/>
  <c r="H281" i="38"/>
  <c r="I281" i="38"/>
  <c r="J281" i="38"/>
  <c r="K281" i="38"/>
  <c r="L281" i="38"/>
  <c r="M281" i="38"/>
  <c r="N281" i="38"/>
  <c r="O281" i="38"/>
  <c r="P281" i="38"/>
  <c r="Q281" i="38"/>
  <c r="R281" i="38"/>
  <c r="S281" i="38"/>
  <c r="T281" i="38"/>
  <c r="U281" i="38"/>
  <c r="V281" i="38"/>
  <c r="W281" i="38"/>
  <c r="X281" i="38"/>
  <c r="Y281" i="38"/>
  <c r="Z281" i="38"/>
  <c r="AA281" i="38"/>
  <c r="AB281" i="38"/>
  <c r="AC281" i="38"/>
  <c r="AD281" i="38"/>
  <c r="AE281" i="38"/>
  <c r="AF281" i="38"/>
  <c r="AG281" i="38"/>
  <c r="AH281" i="38"/>
  <c r="AI281" i="38"/>
  <c r="AJ281" i="38"/>
  <c r="AK281" i="38"/>
  <c r="AL281" i="38"/>
  <c r="AM281" i="38"/>
  <c r="AN281" i="38"/>
  <c r="AO281" i="38"/>
  <c r="AP281" i="38"/>
  <c r="AQ281" i="38"/>
  <c r="AR281" i="38"/>
  <c r="C282" i="38"/>
  <c r="D282" i="38"/>
  <c r="E282" i="38"/>
  <c r="F282" i="38"/>
  <c r="G282" i="38"/>
  <c r="H282" i="38"/>
  <c r="I282" i="38"/>
  <c r="J282" i="38"/>
  <c r="K282" i="38"/>
  <c r="L282" i="38"/>
  <c r="M282" i="38"/>
  <c r="N282" i="38"/>
  <c r="O282" i="38"/>
  <c r="P282" i="38"/>
  <c r="Q282" i="38"/>
  <c r="R282" i="38"/>
  <c r="S282" i="38"/>
  <c r="T282" i="38"/>
  <c r="U282" i="38"/>
  <c r="V282" i="38"/>
  <c r="W282" i="38"/>
  <c r="X282" i="38"/>
  <c r="Y282" i="38"/>
  <c r="Z282" i="38"/>
  <c r="AA282" i="38"/>
  <c r="AB282" i="38"/>
  <c r="AC282" i="38"/>
  <c r="AD282" i="38"/>
  <c r="AE282" i="38"/>
  <c r="AF282" i="38"/>
  <c r="AG282" i="38"/>
  <c r="AH282" i="38"/>
  <c r="AI282" i="38"/>
  <c r="AJ282" i="38"/>
  <c r="AK282" i="38"/>
  <c r="AL282" i="38"/>
  <c r="AM282" i="38"/>
  <c r="AN282" i="38"/>
  <c r="AO282" i="38"/>
  <c r="AP282" i="38"/>
  <c r="AQ282" i="38"/>
  <c r="AR282" i="38"/>
  <c r="C283" i="38"/>
  <c r="D283" i="38"/>
  <c r="E283" i="38"/>
  <c r="F283" i="38"/>
  <c r="G283" i="38"/>
  <c r="H283" i="38"/>
  <c r="I283" i="38"/>
  <c r="J283" i="38"/>
  <c r="K283" i="38"/>
  <c r="L283" i="38"/>
  <c r="M283" i="38"/>
  <c r="N283" i="38"/>
  <c r="O283" i="38"/>
  <c r="P283" i="38"/>
  <c r="Q283" i="38"/>
  <c r="R283" i="38"/>
  <c r="S283" i="38"/>
  <c r="T283" i="38"/>
  <c r="U283" i="38"/>
  <c r="V283" i="38"/>
  <c r="W283" i="38"/>
  <c r="X283" i="38"/>
  <c r="Y283" i="38"/>
  <c r="Z283" i="38"/>
  <c r="AA283" i="38"/>
  <c r="AB283" i="38"/>
  <c r="AC283" i="38"/>
  <c r="AD283" i="38"/>
  <c r="AE283" i="38"/>
  <c r="AF283" i="38"/>
  <c r="AG283" i="38"/>
  <c r="AH283" i="38"/>
  <c r="AI283" i="38"/>
  <c r="AJ283" i="38"/>
  <c r="AK283" i="38"/>
  <c r="AL283" i="38"/>
  <c r="AL328" i="38" s="1"/>
  <c r="AM283" i="38"/>
  <c r="AN283" i="38"/>
  <c r="AO283" i="38"/>
  <c r="AP283" i="38"/>
  <c r="AQ283" i="38"/>
  <c r="AR283" i="38"/>
  <c r="C284" i="38"/>
  <c r="D284" i="38"/>
  <c r="E284" i="38"/>
  <c r="F284" i="38"/>
  <c r="G284" i="38"/>
  <c r="H284" i="38"/>
  <c r="I284" i="38"/>
  <c r="J284" i="38"/>
  <c r="K284" i="38"/>
  <c r="L284" i="38"/>
  <c r="M284" i="38"/>
  <c r="N284" i="38"/>
  <c r="O284" i="38"/>
  <c r="P284" i="38"/>
  <c r="Q284" i="38"/>
  <c r="R284" i="38"/>
  <c r="S284" i="38"/>
  <c r="T284" i="38"/>
  <c r="U284" i="38"/>
  <c r="V284" i="38"/>
  <c r="W284" i="38"/>
  <c r="X284" i="38"/>
  <c r="Y284" i="38"/>
  <c r="Z284" i="38"/>
  <c r="AA284" i="38"/>
  <c r="AB284" i="38"/>
  <c r="AC284" i="38"/>
  <c r="AD284" i="38"/>
  <c r="AE284" i="38"/>
  <c r="AF284" i="38"/>
  <c r="AG284" i="38"/>
  <c r="AH284" i="38"/>
  <c r="AI284" i="38"/>
  <c r="AJ284" i="38"/>
  <c r="AK284" i="38"/>
  <c r="AL284" i="38"/>
  <c r="AM284" i="38"/>
  <c r="AN284" i="38"/>
  <c r="AO284" i="38"/>
  <c r="AP284" i="38"/>
  <c r="AQ284" i="38"/>
  <c r="AR284" i="38"/>
  <c r="C285" i="38"/>
  <c r="D285" i="38"/>
  <c r="E285" i="38"/>
  <c r="F285" i="38"/>
  <c r="G285" i="38"/>
  <c r="H285" i="38"/>
  <c r="I285" i="38"/>
  <c r="J285" i="38"/>
  <c r="K285" i="38"/>
  <c r="L285" i="38"/>
  <c r="M285" i="38"/>
  <c r="N285" i="38"/>
  <c r="O285" i="38"/>
  <c r="P285" i="38"/>
  <c r="Q285" i="38"/>
  <c r="R285" i="38"/>
  <c r="S285" i="38"/>
  <c r="T285" i="38"/>
  <c r="U285" i="38"/>
  <c r="V285" i="38"/>
  <c r="W285" i="38"/>
  <c r="X285" i="38"/>
  <c r="Y285" i="38"/>
  <c r="Z285" i="38"/>
  <c r="AA285" i="38"/>
  <c r="AB285" i="38"/>
  <c r="AC285" i="38"/>
  <c r="AD285" i="38"/>
  <c r="AE285" i="38"/>
  <c r="AF285" i="38"/>
  <c r="AG285" i="38"/>
  <c r="AH285" i="38"/>
  <c r="AI285" i="38"/>
  <c r="AJ285" i="38"/>
  <c r="AK285" i="38"/>
  <c r="AK330" i="38" s="1"/>
  <c r="AL285" i="38"/>
  <c r="AM285" i="38"/>
  <c r="AN285" i="38"/>
  <c r="AO285" i="38"/>
  <c r="AP285" i="38"/>
  <c r="AQ285" i="38"/>
  <c r="AR285" i="38"/>
  <c r="C286" i="38"/>
  <c r="D286" i="38"/>
  <c r="E286" i="38"/>
  <c r="F286" i="38"/>
  <c r="G286" i="38"/>
  <c r="H286" i="38"/>
  <c r="I286" i="38"/>
  <c r="J286" i="38"/>
  <c r="K286" i="38"/>
  <c r="L286" i="38"/>
  <c r="M286" i="38"/>
  <c r="N286" i="38"/>
  <c r="O286" i="38"/>
  <c r="P286" i="38"/>
  <c r="Q286" i="38"/>
  <c r="R286" i="38"/>
  <c r="S286" i="38"/>
  <c r="T286" i="38"/>
  <c r="U286" i="38"/>
  <c r="V286" i="38"/>
  <c r="W286" i="38"/>
  <c r="X286" i="38"/>
  <c r="Y286" i="38"/>
  <c r="Z286" i="38"/>
  <c r="AA286" i="38"/>
  <c r="AB286" i="38"/>
  <c r="AC286" i="38"/>
  <c r="AD286" i="38"/>
  <c r="AE286" i="38"/>
  <c r="AF286" i="38"/>
  <c r="AG286" i="38"/>
  <c r="AH286" i="38"/>
  <c r="AI286" i="38"/>
  <c r="AJ286" i="38"/>
  <c r="AK286" i="38"/>
  <c r="AL286" i="38"/>
  <c r="AM286" i="38"/>
  <c r="AN286" i="38"/>
  <c r="AO286" i="38"/>
  <c r="AP286" i="38"/>
  <c r="AQ286" i="38"/>
  <c r="AR286" i="38"/>
  <c r="C287" i="38"/>
  <c r="D287" i="38"/>
  <c r="E287" i="38"/>
  <c r="F287" i="38"/>
  <c r="G287" i="38"/>
  <c r="H287" i="38"/>
  <c r="I287" i="38"/>
  <c r="J287" i="38"/>
  <c r="K287" i="38"/>
  <c r="L287" i="38"/>
  <c r="M287" i="38"/>
  <c r="N287" i="38"/>
  <c r="O287" i="38"/>
  <c r="P287" i="38"/>
  <c r="Q287" i="38"/>
  <c r="R287" i="38"/>
  <c r="S287" i="38"/>
  <c r="T287" i="38"/>
  <c r="U287" i="38"/>
  <c r="V287" i="38"/>
  <c r="W287" i="38"/>
  <c r="X287" i="38"/>
  <c r="Y287" i="38"/>
  <c r="Z287" i="38"/>
  <c r="AA287" i="38"/>
  <c r="AB287" i="38"/>
  <c r="AC287" i="38"/>
  <c r="AD287" i="38"/>
  <c r="AE287" i="38"/>
  <c r="AF287" i="38"/>
  <c r="AG287" i="38"/>
  <c r="AH287" i="38"/>
  <c r="AI287" i="38"/>
  <c r="AJ287" i="38"/>
  <c r="AK287" i="38"/>
  <c r="AL287" i="38"/>
  <c r="AM287" i="38"/>
  <c r="AN287" i="38"/>
  <c r="AO287" i="38"/>
  <c r="AP287" i="38"/>
  <c r="AQ287" i="38"/>
  <c r="AR287" i="38"/>
  <c r="C288" i="38"/>
  <c r="D288" i="38"/>
  <c r="E288" i="38"/>
  <c r="F288" i="38"/>
  <c r="G288" i="38"/>
  <c r="H288" i="38"/>
  <c r="I288" i="38"/>
  <c r="J288" i="38"/>
  <c r="K288" i="38"/>
  <c r="L288" i="38"/>
  <c r="M288" i="38"/>
  <c r="N288" i="38"/>
  <c r="O288" i="38"/>
  <c r="P288" i="38"/>
  <c r="Q288" i="38"/>
  <c r="R288" i="38"/>
  <c r="S288" i="38"/>
  <c r="T288" i="38"/>
  <c r="U288" i="38"/>
  <c r="V288" i="38"/>
  <c r="W288" i="38"/>
  <c r="X288" i="38"/>
  <c r="Y288" i="38"/>
  <c r="Z288" i="38"/>
  <c r="AA288" i="38"/>
  <c r="AB288" i="38"/>
  <c r="AC288" i="38"/>
  <c r="AD288" i="38"/>
  <c r="AE288" i="38"/>
  <c r="AF288" i="38"/>
  <c r="AG288" i="38"/>
  <c r="AH288" i="38"/>
  <c r="AI288" i="38"/>
  <c r="AJ288" i="38"/>
  <c r="AK288" i="38"/>
  <c r="AL288" i="38"/>
  <c r="AM288" i="38"/>
  <c r="AN288" i="38"/>
  <c r="AO288" i="38"/>
  <c r="AP288" i="38"/>
  <c r="AQ288" i="38"/>
  <c r="AR288" i="38"/>
  <c r="C325" i="38" l="1"/>
  <c r="AQ312" i="38"/>
  <c r="AE332" i="38"/>
  <c r="F320" i="38"/>
  <c r="AB309" i="38"/>
  <c r="AJ330" i="38"/>
  <c r="Z314" i="38"/>
  <c r="C324" i="38"/>
  <c r="Y312" i="38"/>
  <c r="AB323" i="38"/>
  <c r="L304" i="38"/>
  <c r="AC316" i="38"/>
  <c r="AH327" i="38"/>
  <c r="AF326" i="38"/>
  <c r="AD333" i="38"/>
  <c r="AE328" i="38"/>
  <c r="AH331" i="38"/>
  <c r="AH308" i="38"/>
  <c r="AI322" i="38"/>
  <c r="U314" i="38"/>
  <c r="Z309" i="38"/>
  <c r="N332" i="38"/>
  <c r="Y321" i="38"/>
  <c r="G180" i="38" a="1"/>
  <c r="G180" i="38" s="1"/>
  <c r="AD179" i="38" a="1"/>
  <c r="AD179" i="38" s="1"/>
  <c r="L179" i="38" a="1"/>
  <c r="L179" i="38" s="1"/>
  <c r="L178" i="38" a="1"/>
  <c r="L178" i="38" s="1"/>
  <c r="AI177" i="38" a="1"/>
  <c r="AI177" i="38" s="1"/>
  <c r="O177" i="38" a="1"/>
  <c r="O177" i="38" s="1"/>
  <c r="AH176" i="38" a="1"/>
  <c r="AH176" i="38" s="1"/>
  <c r="N176" i="38" a="1"/>
  <c r="N176" i="38" s="1"/>
  <c r="AJ175" i="38" a="1"/>
  <c r="AJ175" i="38" s="1"/>
  <c r="L175" i="38" a="1"/>
  <c r="L175" i="38" s="1"/>
  <c r="AG174" i="38" a="1"/>
  <c r="AG174" i="38" s="1"/>
  <c r="N174" i="38" a="1"/>
  <c r="N174" i="38" s="1"/>
  <c r="AF173" i="38" a="1"/>
  <c r="AF173" i="38" s="1"/>
  <c r="AB172" i="38" a="1"/>
  <c r="AB172" i="38" s="1"/>
  <c r="F172" i="38" a="1"/>
  <c r="F172" i="38" s="1"/>
  <c r="S171" i="38" a="1"/>
  <c r="S171" i="38" s="1"/>
  <c r="H170" i="38" a="1"/>
  <c r="H170" i="38" s="1"/>
  <c r="H307" i="38" s="1"/>
  <c r="X169" i="38" a="1"/>
  <c r="X169" i="38" s="1"/>
  <c r="O168" i="38" a="1"/>
  <c r="O168" i="38" s="1"/>
  <c r="AE167" i="38" a="1"/>
  <c r="AE167" i="38" s="1"/>
  <c r="M166" i="38" a="1"/>
  <c r="M166" i="38" s="1"/>
  <c r="AE165" i="38" a="1"/>
  <c r="AE165" i="38" s="1"/>
  <c r="AL164" i="38" a="1"/>
  <c r="AL164" i="38" s="1"/>
  <c r="N163" i="38" a="1"/>
  <c r="N163" i="38" s="1"/>
  <c r="T162" i="38" a="1"/>
  <c r="T162" i="38" s="1"/>
  <c r="AD161" i="38" a="1"/>
  <c r="AD161" i="38" s="1"/>
  <c r="AL159" i="38" a="1"/>
  <c r="AL159" i="38" s="1"/>
  <c r="AJ157" i="38" a="1"/>
  <c r="AJ157" i="38" s="1"/>
  <c r="W156" i="38" a="1"/>
  <c r="W156" i="38" s="1"/>
  <c r="L155" i="38" a="1"/>
  <c r="L155" i="38" s="1"/>
  <c r="AO153" i="38" a="1"/>
  <c r="AO153" i="38" s="1"/>
  <c r="AO332" i="38" s="1"/>
  <c r="R152" i="38" a="1"/>
  <c r="R152" i="38" s="1"/>
  <c r="R331" i="38" s="1"/>
  <c r="Z148" i="38" a="1"/>
  <c r="Z148" i="38" s="1"/>
  <c r="Z327" i="38" s="1"/>
  <c r="C146" i="38" a="1"/>
  <c r="C146" i="38" s="1"/>
  <c r="AI143" i="38" a="1"/>
  <c r="AI143" i="38" s="1"/>
  <c r="J141" i="38" a="1"/>
  <c r="J141" i="38" s="1"/>
  <c r="T134" i="38" a="1"/>
  <c r="T134" i="38" s="1"/>
  <c r="T313" i="38" s="1"/>
  <c r="N130" i="38" a="1"/>
  <c r="N130" i="38" s="1"/>
  <c r="N309" i="38" s="1"/>
  <c r="J327" i="38"/>
  <c r="N182" i="38" a="1"/>
  <c r="N182" i="38" s="1"/>
  <c r="AM181" i="38" a="1"/>
  <c r="AM181" i="38" s="1"/>
  <c r="V181" i="38" a="1"/>
  <c r="V181" i="38" s="1"/>
  <c r="C181" i="38" a="1"/>
  <c r="C181" i="38" s="1"/>
  <c r="Z180" i="38" a="1"/>
  <c r="Z180" i="38" s="1"/>
  <c r="AC179" i="38" a="1"/>
  <c r="AC179" i="38" s="1"/>
  <c r="J179" i="38" a="1"/>
  <c r="J179" i="38" s="1"/>
  <c r="AG178" i="38" a="1"/>
  <c r="AG178" i="38" s="1"/>
  <c r="AH177" i="38" a="1"/>
  <c r="AH177" i="38" s="1"/>
  <c r="N177" i="38" a="1"/>
  <c r="N177" i="38" s="1"/>
  <c r="M176" i="38" a="1"/>
  <c r="M176" i="38" s="1"/>
  <c r="AI175" i="38" a="1"/>
  <c r="AI175" i="38" s="1"/>
  <c r="M174" i="38" a="1"/>
  <c r="M174" i="38" s="1"/>
  <c r="AC173" i="38" a="1"/>
  <c r="AC173" i="38" s="1"/>
  <c r="H173" i="38" a="1"/>
  <c r="H173" i="38" s="1"/>
  <c r="AA172" i="38" a="1"/>
  <c r="AA172" i="38" s="1"/>
  <c r="E172" i="38" a="1"/>
  <c r="E172" i="38" s="1"/>
  <c r="AK170" i="38" a="1"/>
  <c r="AK170" i="38" s="1"/>
  <c r="G170" i="38" a="1"/>
  <c r="G170" i="38" s="1"/>
  <c r="AR168" i="38" a="1"/>
  <c r="AR168" i="38" s="1"/>
  <c r="N168" i="38" a="1"/>
  <c r="N168" i="38" s="1"/>
  <c r="C167" i="38" a="1"/>
  <c r="C167" i="38" s="1"/>
  <c r="AK164" i="38" a="1"/>
  <c r="AK164" i="38" s="1"/>
  <c r="I164" i="38" a="1"/>
  <c r="I164" i="38" s="1"/>
  <c r="R162" i="38" a="1"/>
  <c r="R162" i="38" s="1"/>
  <c r="AC161" i="38" a="1"/>
  <c r="AC161" i="38" s="1"/>
  <c r="AF160" i="38" a="1"/>
  <c r="AF160" i="38" s="1"/>
  <c r="AJ159" i="38" a="1"/>
  <c r="AJ159" i="38" s="1"/>
  <c r="AR158" i="38" a="1"/>
  <c r="AR158" i="38" s="1"/>
  <c r="AI157" i="38" a="1"/>
  <c r="AI157" i="38" s="1"/>
  <c r="V156" i="38" a="1"/>
  <c r="V156" i="38" s="1"/>
  <c r="J155" i="38" a="1"/>
  <c r="J155" i="38" s="1"/>
  <c r="AN153" i="38" a="1"/>
  <c r="AN153" i="38" s="1"/>
  <c r="AN332" i="38" s="1"/>
  <c r="Q152" i="38" a="1"/>
  <c r="Q152" i="38" s="1"/>
  <c r="Q331" i="38" s="1"/>
  <c r="AE150" i="38" a="1"/>
  <c r="AE150" i="38" s="1"/>
  <c r="AS145" i="38"/>
  <c r="AG143" i="38" a="1"/>
  <c r="AG143" i="38" s="1"/>
  <c r="AG322" i="38" s="1"/>
  <c r="I141" i="38" a="1"/>
  <c r="I141" i="38" s="1"/>
  <c r="I320" i="38" s="1"/>
  <c r="Q138" i="38" a="1"/>
  <c r="Q138" i="38" s="1"/>
  <c r="R134" i="38" a="1"/>
  <c r="R134" i="38" s="1"/>
  <c r="Q124" i="38" a="1"/>
  <c r="Q124" i="38" s="1"/>
  <c r="Q127" i="38" a="1"/>
  <c r="Q127" i="38" s="1"/>
  <c r="P127" i="38" a="1"/>
  <c r="P127" i="38" s="1"/>
  <c r="AP120" i="38" a="1"/>
  <c r="AP120" i="38" s="1"/>
  <c r="AJ121" i="38" a="1"/>
  <c r="AJ121" i="38" s="1"/>
  <c r="N123" i="38" a="1"/>
  <c r="N123" i="38" s="1"/>
  <c r="AM123" i="38" a="1"/>
  <c r="AM123" i="38" s="1"/>
  <c r="R124" i="38" a="1"/>
  <c r="R124" i="38" s="1"/>
  <c r="AN124" i="38" a="1"/>
  <c r="AN124" i="38" s="1"/>
  <c r="W125" i="38" a="1"/>
  <c r="W125" i="38" s="1"/>
  <c r="W304" i="38" s="1"/>
  <c r="D126" i="38" a="1"/>
  <c r="D126" i="38" s="1"/>
  <c r="AC126" i="38" a="1"/>
  <c r="AC126" i="38" s="1"/>
  <c r="E127" i="38" a="1"/>
  <c r="E127" i="38" s="1"/>
  <c r="V127" i="38" a="1"/>
  <c r="V127" i="38" s="1"/>
  <c r="AK127" i="38" a="1"/>
  <c r="AK127" i="38" s="1"/>
  <c r="J128" i="38" a="1"/>
  <c r="J128" i="38" s="1"/>
  <c r="AQ128" i="38" a="1"/>
  <c r="AQ128" i="38" s="1"/>
  <c r="AH129" i="38" a="1"/>
  <c r="AH129" i="38" s="1"/>
  <c r="H130" i="38" a="1"/>
  <c r="H130" i="38" s="1"/>
  <c r="AL130" i="38" a="1"/>
  <c r="AL130" i="38" s="1"/>
  <c r="I131" i="38" a="1"/>
  <c r="I131" i="38" s="1"/>
  <c r="AS131" i="38"/>
  <c r="R132" i="38" a="1"/>
  <c r="R132" i="38" s="1"/>
  <c r="X133" i="38" a="1"/>
  <c r="X133" i="38" s="1"/>
  <c r="X312" i="38" s="1"/>
  <c r="AO133" i="38" a="1"/>
  <c r="AO133" i="38" s="1"/>
  <c r="AO312" i="38" s="1"/>
  <c r="C135" i="38" a="1"/>
  <c r="C135" i="38" s="1"/>
  <c r="C314" i="38" s="1"/>
  <c r="S135" i="38" a="1"/>
  <c r="S135" i="38" s="1"/>
  <c r="S314" i="38" s="1"/>
  <c r="J136" i="38" a="1"/>
  <c r="J136" i="38" s="1"/>
  <c r="W136" i="38" a="1"/>
  <c r="W136" i="38" s="1"/>
  <c r="AK136" i="38" a="1"/>
  <c r="AK136" i="38" s="1"/>
  <c r="I137" i="38" a="1"/>
  <c r="I137" i="38" s="1"/>
  <c r="I316" i="38" s="1"/>
  <c r="Z137" i="38" a="1"/>
  <c r="Z137" i="38" s="1"/>
  <c r="AQ137" i="38" a="1"/>
  <c r="AQ137" i="38" s="1"/>
  <c r="AQ316" i="38" s="1"/>
  <c r="N138" i="38" a="1"/>
  <c r="N138" i="38" s="1"/>
  <c r="N317" i="38" s="1"/>
  <c r="P139" i="38" a="1"/>
  <c r="P139" i="38" s="1"/>
  <c r="W118" i="38" a="1"/>
  <c r="W118" i="38" s="1"/>
  <c r="AR120" i="38" a="1"/>
  <c r="AR120" i="38" s="1"/>
  <c r="AM121" i="38" a="1"/>
  <c r="AM121" i="38" s="1"/>
  <c r="W122" i="38" a="1"/>
  <c r="W122" i="38" s="1"/>
  <c r="P123" i="38" a="1"/>
  <c r="P123" i="38" s="1"/>
  <c r="AP124" i="38" a="1"/>
  <c r="AP124" i="38" s="1"/>
  <c r="AP303" i="38" s="1"/>
  <c r="X125" i="38" a="1"/>
  <c r="X125" i="38" s="1"/>
  <c r="E126" i="38" a="1"/>
  <c r="E126" i="38" s="1"/>
  <c r="AD126" i="38" a="1"/>
  <c r="AD126" i="38" s="1"/>
  <c r="W127" i="38" a="1"/>
  <c r="W127" i="38" s="1"/>
  <c r="AL127" i="38" a="1"/>
  <c r="AL127" i="38" s="1"/>
  <c r="K128" i="38" a="1"/>
  <c r="K128" i="38" s="1"/>
  <c r="AA128" i="38" a="1"/>
  <c r="AA128" i="38" s="1"/>
  <c r="R129" i="38" a="1"/>
  <c r="R129" i="38" s="1"/>
  <c r="R308" i="38" s="1"/>
  <c r="AI129" i="38" a="1"/>
  <c r="AI129" i="38" s="1"/>
  <c r="W130" i="38" a="1"/>
  <c r="W130" i="38" s="1"/>
  <c r="AA131" i="38" a="1"/>
  <c r="AA131" i="38" s="1"/>
  <c r="C132" i="38" a="1"/>
  <c r="C132" i="38" s="1"/>
  <c r="S132" i="38" a="1"/>
  <c r="S132" i="38" s="1"/>
  <c r="S311" i="38" s="1"/>
  <c r="AI132" i="38" a="1"/>
  <c r="AI132" i="38" s="1"/>
  <c r="F133" i="38" a="1"/>
  <c r="F133" i="38" s="1"/>
  <c r="F312" i="38" s="1"/>
  <c r="AP133" i="38" a="1"/>
  <c r="AP133" i="38" s="1"/>
  <c r="AP312" i="38" s="1"/>
  <c r="N134" i="38" a="1"/>
  <c r="N134" i="38" s="1"/>
  <c r="N313" i="38" s="1"/>
  <c r="AD134" i="38" a="1"/>
  <c r="AD134" i="38" s="1"/>
  <c r="D135" i="38" a="1"/>
  <c r="D135" i="38" s="1"/>
  <c r="D314" i="38" s="1"/>
  <c r="T135" i="38" a="1"/>
  <c r="T135" i="38" s="1"/>
  <c r="T314" i="38" s="1"/>
  <c r="AL135" i="38" a="1"/>
  <c r="AL135" i="38" s="1"/>
  <c r="AL314" i="38" s="1"/>
  <c r="AL136" i="38" a="1"/>
  <c r="AL136" i="38" s="1"/>
  <c r="AL315" i="38" s="1"/>
  <c r="J137" i="38" a="1"/>
  <c r="J137" i="38" s="1"/>
  <c r="J316" i="38" s="1"/>
  <c r="AR137" i="38" a="1"/>
  <c r="AR137" i="38" s="1"/>
  <c r="AR316" i="38" s="1"/>
  <c r="O138" i="38" a="1"/>
  <c r="O138" i="38" s="1"/>
  <c r="AB138" i="38" a="1"/>
  <c r="AB138" i="38" s="1"/>
  <c r="AP138" i="38" a="1"/>
  <c r="AP138" i="38" s="1"/>
  <c r="AP317" i="38" s="1"/>
  <c r="Q139" i="38" a="1"/>
  <c r="Q139" i="38" s="1"/>
  <c r="AG139" i="38" a="1"/>
  <c r="AG139" i="38" s="1"/>
  <c r="G140" i="38" a="1"/>
  <c r="G140" i="38" s="1"/>
  <c r="G319" i="38" s="1"/>
  <c r="U140" i="38" a="1"/>
  <c r="U140" i="38" s="1"/>
  <c r="AH140" i="38" a="1"/>
  <c r="AH140" i="38" s="1"/>
  <c r="AH319" i="38" s="1"/>
  <c r="F141" i="38" a="1"/>
  <c r="F141" i="38" s="1"/>
  <c r="W141" i="38" a="1"/>
  <c r="W141" i="38" s="1"/>
  <c r="AN141" i="38" a="1"/>
  <c r="AN141" i="38" s="1"/>
  <c r="AN320" i="38" s="1"/>
  <c r="L142" i="38" a="1"/>
  <c r="L142" i="38" s="1"/>
  <c r="L321" i="38" s="1"/>
  <c r="L143" i="38" a="1"/>
  <c r="L143" i="38" s="1"/>
  <c r="AD143" i="38" a="1"/>
  <c r="AD143" i="38" s="1"/>
  <c r="AD322" i="38" s="1"/>
  <c r="Q144" i="38" a="1"/>
  <c r="Q144" i="38" s="1"/>
  <c r="AE144" i="38" a="1"/>
  <c r="AE144" i="38" s="1"/>
  <c r="AE323" i="38" s="1"/>
  <c r="AR144" i="38" a="1"/>
  <c r="AR144" i="38" s="1"/>
  <c r="AR323" i="38" s="1"/>
  <c r="R145" i="38" a="1"/>
  <c r="R145" i="38" s="1"/>
  <c r="R324" i="38" s="1"/>
  <c r="Y146" i="38" a="1"/>
  <c r="Y146" i="38" s="1"/>
  <c r="Y325" i="38" s="1"/>
  <c r="AL146" i="38" a="1"/>
  <c r="AL146" i="38" s="1"/>
  <c r="AL325" i="38" s="1"/>
  <c r="U148" i="38" a="1"/>
  <c r="U148" i="38" s="1"/>
  <c r="U327" i="38" s="1"/>
  <c r="AH148" i="38" a="1"/>
  <c r="AH148" i="38" s="1"/>
  <c r="G149" i="38" a="1"/>
  <c r="G149" i="38" s="1"/>
  <c r="G328" i="38" s="1"/>
  <c r="X149" i="38" a="1"/>
  <c r="X149" i="38" s="1"/>
  <c r="X328" i="38" s="1"/>
  <c r="AB150" i="38" a="1"/>
  <c r="AB150" i="38" s="1"/>
  <c r="AB329" i="38" s="1"/>
  <c r="AP150" i="38" a="1"/>
  <c r="AP150" i="38" s="1"/>
  <c r="AP329" i="38" s="1"/>
  <c r="P151" i="38" a="1"/>
  <c r="P151" i="38" s="1"/>
  <c r="P330" i="38" s="1"/>
  <c r="AE151" i="38" a="1"/>
  <c r="AE151" i="38" s="1"/>
  <c r="AE330" i="38" s="1"/>
  <c r="F152" i="38" a="1"/>
  <c r="F152" i="38" s="1"/>
  <c r="F331" i="38" s="1"/>
  <c r="AH152" i="38" a="1"/>
  <c r="AH152" i="38" s="1"/>
  <c r="AC118" i="38" a="1"/>
  <c r="AC118" i="38" s="1"/>
  <c r="AA122" i="38" a="1"/>
  <c r="AA122" i="38" s="1"/>
  <c r="Q123" i="38" a="1"/>
  <c r="Q123" i="38" s="1"/>
  <c r="AN123" i="38" a="1"/>
  <c r="AN123" i="38" s="1"/>
  <c r="S124" i="38" a="1"/>
  <c r="S124" i="38" s="1"/>
  <c r="AS124" i="38"/>
  <c r="G126" i="38" a="1"/>
  <c r="G126" i="38" s="1"/>
  <c r="AE126" i="38" a="1"/>
  <c r="AE126" i="38" s="1"/>
  <c r="F127" i="38" a="1"/>
  <c r="F127" i="38" s="1"/>
  <c r="AM127" i="38" a="1"/>
  <c r="AM127" i="38" s="1"/>
  <c r="L128" i="38" a="1"/>
  <c r="L128" i="38" s="1"/>
  <c r="AR128" i="38" a="1"/>
  <c r="AR128" i="38" s="1"/>
  <c r="S129" i="38" a="1"/>
  <c r="S129" i="38" s="1"/>
  <c r="S308" i="38" s="1"/>
  <c r="I130" i="38" a="1"/>
  <c r="I130" i="38" s="1"/>
  <c r="X130" i="38" a="1"/>
  <c r="X130" i="38" s="1"/>
  <c r="AM130" i="38" a="1"/>
  <c r="AM130" i="38" s="1"/>
  <c r="AM309" i="38" s="1"/>
  <c r="J131" i="38" a="1"/>
  <c r="J131" i="38" s="1"/>
  <c r="D132" i="38" a="1"/>
  <c r="D132" i="38" s="1"/>
  <c r="D311" i="38" s="1"/>
  <c r="T132" i="38" a="1"/>
  <c r="T132" i="38" s="1"/>
  <c r="T311" i="38" s="1"/>
  <c r="H133" i="38" a="1"/>
  <c r="H133" i="38" s="1"/>
  <c r="Y133" i="38" a="1"/>
  <c r="Y133" i="38" s="1"/>
  <c r="O134" i="38" a="1"/>
  <c r="O134" i="38" s="1"/>
  <c r="AE134" i="38" a="1"/>
  <c r="AE134" i="38" s="1"/>
  <c r="E135" i="38" a="1"/>
  <c r="E135" i="38" s="1"/>
  <c r="E314" i="38" s="1"/>
  <c r="AM135" i="38" a="1"/>
  <c r="AM135" i="38" s="1"/>
  <c r="K136" i="38" a="1"/>
  <c r="K136" i="38" s="1"/>
  <c r="K315" i="38" s="1"/>
  <c r="X136" i="38" a="1"/>
  <c r="X136" i="38" s="1"/>
  <c r="X315" i="38" s="1"/>
  <c r="K137" i="38" a="1"/>
  <c r="K137" i="38" s="1"/>
  <c r="AA137" i="38" a="1"/>
  <c r="AA137" i="38" s="1"/>
  <c r="AS137" i="38"/>
  <c r="AQ138" i="38" a="1"/>
  <c r="AQ138" i="38" s="1"/>
  <c r="AH139" i="38" a="1"/>
  <c r="AH139" i="38" s="1"/>
  <c r="AH318" i="38" s="1"/>
  <c r="AI140" i="38" a="1"/>
  <c r="AI140" i="38" s="1"/>
  <c r="AI319" i="38" s="1"/>
  <c r="X141" i="38" a="1"/>
  <c r="X141" i="38" s="1"/>
  <c r="AO141" i="38" a="1"/>
  <c r="AO141" i="38" s="1"/>
  <c r="Z142" i="38" a="1"/>
  <c r="Z142" i="38" s="1"/>
  <c r="Z321" i="38" s="1"/>
  <c r="AM142" i="38" a="1"/>
  <c r="AM142" i="38" s="1"/>
  <c r="M143" i="38" a="1"/>
  <c r="M143" i="38" s="1"/>
  <c r="D144" i="38" a="1"/>
  <c r="D144" i="38" s="1"/>
  <c r="D323" i="38" s="1"/>
  <c r="R144" i="38" a="1"/>
  <c r="R144" i="38" s="1"/>
  <c r="AS144" i="38"/>
  <c r="S145" i="38" a="1"/>
  <c r="S145" i="38" s="1"/>
  <c r="S324" i="38" s="1"/>
  <c r="AJ145" i="38" a="1"/>
  <c r="AJ145" i="38" s="1"/>
  <c r="AJ324" i="38" s="1"/>
  <c r="I146" i="38" a="1"/>
  <c r="I146" i="38" s="1"/>
  <c r="I325" i="38" s="1"/>
  <c r="L147" i="38" a="1"/>
  <c r="L147" i="38" s="1"/>
  <c r="L326" i="38" s="1"/>
  <c r="AF147" i="38" a="1"/>
  <c r="AF147" i="38" s="1"/>
  <c r="G148" i="38" a="1"/>
  <c r="G148" i="38" s="1"/>
  <c r="G327" i="38" s="1"/>
  <c r="AI148" i="38" a="1"/>
  <c r="AI148" i="38" s="1"/>
  <c r="H149" i="38" a="1"/>
  <c r="H149" i="38" s="1"/>
  <c r="H328" i="38" s="1"/>
  <c r="Y149" i="38" a="1"/>
  <c r="Y149" i="38" s="1"/>
  <c r="Y328" i="38" s="1"/>
  <c r="AQ149" i="38" a="1"/>
  <c r="AQ149" i="38" s="1"/>
  <c r="N150" i="38" a="1"/>
  <c r="N150" i="38" s="1"/>
  <c r="N329" i="38" s="1"/>
  <c r="AQ150" i="38" a="1"/>
  <c r="AQ150" i="38" s="1"/>
  <c r="AQ329" i="38" s="1"/>
  <c r="Q151" i="38" a="1"/>
  <c r="Q151" i="38" s="1"/>
  <c r="Q330" i="38" s="1"/>
  <c r="T152" i="38" a="1"/>
  <c r="T152" i="38" s="1"/>
  <c r="T331" i="38" s="1"/>
  <c r="AI152" i="38" a="1"/>
  <c r="AI152" i="38" s="1"/>
  <c r="AI331" i="38" s="1"/>
  <c r="H153" i="38" a="1"/>
  <c r="H153" i="38" s="1"/>
  <c r="H332" i="38" s="1"/>
  <c r="AO118" i="38" a="1"/>
  <c r="AO118" i="38" s="1"/>
  <c r="C121" i="38" a="1"/>
  <c r="C121" i="38" s="1"/>
  <c r="C300" i="38" s="1"/>
  <c r="AP121" i="38" a="1"/>
  <c r="AP121" i="38" s="1"/>
  <c r="AB122" i="38" a="1"/>
  <c r="AB122" i="38" s="1"/>
  <c r="R123" i="38" a="1"/>
  <c r="R123" i="38" s="1"/>
  <c r="AO123" i="38" a="1"/>
  <c r="AO123" i="38" s="1"/>
  <c r="V124" i="38" a="1"/>
  <c r="V124" i="38" s="1"/>
  <c r="C125" i="38" a="1"/>
  <c r="C125" i="38" s="1"/>
  <c r="C304" i="38" s="1"/>
  <c r="Y125" i="38" a="1"/>
  <c r="Y125" i="38" s="1"/>
  <c r="I126" i="38" a="1"/>
  <c r="I126" i="38" s="1"/>
  <c r="X127" i="38" a="1"/>
  <c r="X127" i="38" s="1"/>
  <c r="AN127" i="38" a="1"/>
  <c r="AN127" i="38" s="1"/>
  <c r="M128" i="38" a="1"/>
  <c r="M128" i="38" s="1"/>
  <c r="AB128" i="38" a="1"/>
  <c r="AB128" i="38" s="1"/>
  <c r="AJ129" i="38" a="1"/>
  <c r="AJ129" i="38" s="1"/>
  <c r="J130" i="38" a="1"/>
  <c r="J130" i="38" s="1"/>
  <c r="Y130" i="38" a="1"/>
  <c r="Y130" i="38" s="1"/>
  <c r="AN130" i="38" a="1"/>
  <c r="AN130" i="38" s="1"/>
  <c r="K131" i="38" a="1"/>
  <c r="K131" i="38" s="1"/>
  <c r="AB131" i="38" a="1"/>
  <c r="AB131" i="38" s="1"/>
  <c r="E132" i="38" a="1"/>
  <c r="E132" i="38" s="1"/>
  <c r="E311" i="38" s="1"/>
  <c r="U132" i="38" a="1"/>
  <c r="U132" i="38" s="1"/>
  <c r="AJ132" i="38" a="1"/>
  <c r="AJ132" i="38" s="1"/>
  <c r="I133" i="38" a="1"/>
  <c r="I133" i="38" s="1"/>
  <c r="AQ133" i="38" a="1"/>
  <c r="AQ133" i="38" s="1"/>
  <c r="P134" i="38" a="1"/>
  <c r="P134" i="38" s="1"/>
  <c r="F135" i="38" a="1"/>
  <c r="F135" i="38" s="1"/>
  <c r="U135" i="38" a="1"/>
  <c r="U135" i="38" s="1"/>
  <c r="AN135" i="38" a="1"/>
  <c r="AN135" i="38" s="1"/>
  <c r="Y136" i="38" a="1"/>
  <c r="Y136" i="38" s="1"/>
  <c r="Y315" i="38" s="1"/>
  <c r="AM136" i="38" a="1"/>
  <c r="AM136" i="38" s="1"/>
  <c r="AM315" i="38" s="1"/>
  <c r="L137" i="38" a="1"/>
  <c r="L137" i="38" s="1"/>
  <c r="L316" i="38" s="1"/>
  <c r="AB137" i="38" a="1"/>
  <c r="AB137" i="38" s="1"/>
  <c r="AB316" i="38" s="1"/>
  <c r="C138" i="38" a="1"/>
  <c r="C138" i="38" s="1"/>
  <c r="P138" i="38" a="1"/>
  <c r="P138" i="38" s="1"/>
  <c r="P317" i="38" s="1"/>
  <c r="AC138" i="38" a="1"/>
  <c r="AC138" i="38" s="1"/>
  <c r="R139" i="38" a="1"/>
  <c r="R139" i="38" s="1"/>
  <c r="R318" i="38" s="1"/>
  <c r="AI139" i="38" a="1"/>
  <c r="AI139" i="38" s="1"/>
  <c r="H140" i="38" a="1"/>
  <c r="H140" i="38" s="1"/>
  <c r="H319" i="38" s="1"/>
  <c r="V140" i="38" a="1"/>
  <c r="V140" i="38" s="1"/>
  <c r="AJ140" i="38" a="1"/>
  <c r="AJ140" i="38" s="1"/>
  <c r="G141" i="38" a="1"/>
  <c r="G141" i="38" s="1"/>
  <c r="Y141" i="38" a="1"/>
  <c r="Y141" i="38" s="1"/>
  <c r="Y320" i="38" s="1"/>
  <c r="AP141" i="38" a="1"/>
  <c r="AP141" i="38" s="1"/>
  <c r="AP320" i="38" s="1"/>
  <c r="M142" i="38" a="1"/>
  <c r="M142" i="38" s="1"/>
  <c r="M321" i="38" s="1"/>
  <c r="AN142" i="38" a="1"/>
  <c r="AN142" i="38" s="1"/>
  <c r="AN321" i="38" s="1"/>
  <c r="N143" i="38" a="1"/>
  <c r="N143" i="38" s="1"/>
  <c r="N322" i="38" s="1"/>
  <c r="AE143" i="38" a="1"/>
  <c r="AE143" i="38" s="1"/>
  <c r="AE322" i="38" s="1"/>
  <c r="E144" i="38" a="1"/>
  <c r="E144" i="38" s="1"/>
  <c r="AF144" i="38" a="1"/>
  <c r="AF144" i="38" s="1"/>
  <c r="C145" i="38" a="1"/>
  <c r="C145" i="38" s="1"/>
  <c r="T145" i="38" a="1"/>
  <c r="T145" i="38" s="1"/>
  <c r="T324" i="38" s="1"/>
  <c r="AK145" i="38" a="1"/>
  <c r="AK145" i="38" s="1"/>
  <c r="J146" i="38" a="1"/>
  <c r="J146" i="38" s="1"/>
  <c r="Z146" i="38" a="1"/>
  <c r="Z146" i="38" s="1"/>
  <c r="Z325" i="38" s="1"/>
  <c r="AM146" i="38" a="1"/>
  <c r="AM146" i="38" s="1"/>
  <c r="AM325" i="38" s="1"/>
  <c r="M147" i="38" a="1"/>
  <c r="M147" i="38" s="1"/>
  <c r="M326" i="38" s="1"/>
  <c r="AG147" i="38" a="1"/>
  <c r="AG147" i="38" s="1"/>
  <c r="AG326" i="38" s="1"/>
  <c r="V148" i="38" a="1"/>
  <c r="V148" i="38" s="1"/>
  <c r="V327" i="38" s="1"/>
  <c r="AJ148" i="38" a="1"/>
  <c r="AJ148" i="38" s="1"/>
  <c r="AJ327" i="38" s="1"/>
  <c r="I149" i="38" a="1"/>
  <c r="I149" i="38" s="1"/>
  <c r="I328" i="38" s="1"/>
  <c r="AR149" i="38" a="1"/>
  <c r="AR149" i="38" s="1"/>
  <c r="AR328" i="38" s="1"/>
  <c r="O150" i="38" a="1"/>
  <c r="O150" i="38" s="1"/>
  <c r="O329" i="38" s="1"/>
  <c r="AC150" i="38" a="1"/>
  <c r="AC150" i="38" s="1"/>
  <c r="AC329" i="38" s="1"/>
  <c r="F119" i="38" a="1"/>
  <c r="F119" i="38" s="1"/>
  <c r="AQ121" i="38" a="1"/>
  <c r="AQ121" i="38" s="1"/>
  <c r="AC122" i="38" a="1"/>
  <c r="AC122" i="38" s="1"/>
  <c r="AC301" i="38" s="1"/>
  <c r="S123" i="38" a="1"/>
  <c r="S123" i="38" s="1"/>
  <c r="AP123" i="38" a="1"/>
  <c r="AP123" i="38" s="1"/>
  <c r="W124" i="38" a="1"/>
  <c r="W124" i="38" s="1"/>
  <c r="D125" i="38" a="1"/>
  <c r="D125" i="38" s="1"/>
  <c r="J126" i="38" a="1"/>
  <c r="J126" i="38" s="1"/>
  <c r="AF126" i="38" a="1"/>
  <c r="AF126" i="38" s="1"/>
  <c r="G127" i="38" a="1"/>
  <c r="G127" i="38" s="1"/>
  <c r="AO127" i="38" a="1"/>
  <c r="AO127" i="38" s="1"/>
  <c r="AS128" i="38"/>
  <c r="T129" i="38" a="1"/>
  <c r="T129" i="38" s="1"/>
  <c r="K130" i="38" a="1"/>
  <c r="K130" i="38" s="1"/>
  <c r="Z130" i="38" a="1"/>
  <c r="Z130" i="38" s="1"/>
  <c r="AO130" i="38" a="1"/>
  <c r="AO130" i="38" s="1"/>
  <c r="AC131" i="38" a="1"/>
  <c r="AC131" i="38" s="1"/>
  <c r="AC310" i="38" s="1"/>
  <c r="F132" i="38" a="1"/>
  <c r="F132" i="38" s="1"/>
  <c r="F311" i="38" s="1"/>
  <c r="J133" i="38" a="1"/>
  <c r="J133" i="38" s="1"/>
  <c r="Z133" i="38" a="1"/>
  <c r="Z133" i="38" s="1"/>
  <c r="AR133" i="38" a="1"/>
  <c r="AR133" i="38" s="1"/>
  <c r="AR312" i="38" s="1"/>
  <c r="Q134" i="38" a="1"/>
  <c r="Q134" i="38" s="1"/>
  <c r="AF134" i="38" a="1"/>
  <c r="AF134" i="38" s="1"/>
  <c r="W135" i="38" a="1"/>
  <c r="W135" i="38" s="1"/>
  <c r="L136" i="38" a="1"/>
  <c r="L136" i="38" s="1"/>
  <c r="L315" i="38" s="1"/>
  <c r="Z136" i="38" a="1"/>
  <c r="Z136" i="38" s="1"/>
  <c r="Z315" i="38" s="1"/>
  <c r="AN136" i="38" a="1"/>
  <c r="AN136" i="38" s="1"/>
  <c r="AN315" i="38" s="1"/>
  <c r="AC137" i="38" a="1"/>
  <c r="AC137" i="38" s="1"/>
  <c r="AD138" i="38" a="1"/>
  <c r="AD138" i="38" s="1"/>
  <c r="AR138" i="38" a="1"/>
  <c r="AR138" i="38" s="1"/>
  <c r="S139" i="38" a="1"/>
  <c r="S139" i="38" s="1"/>
  <c r="AJ139" i="38" a="1"/>
  <c r="AJ139" i="38" s="1"/>
  <c r="AJ318" i="38" s="1"/>
  <c r="H141" i="38" a="1"/>
  <c r="H141" i="38" s="1"/>
  <c r="H320" i="38" s="1"/>
  <c r="AA142" i="38" a="1"/>
  <c r="AA142" i="38" s="1"/>
  <c r="AO142" i="38" a="1"/>
  <c r="AO142" i="38" s="1"/>
  <c r="AO321" i="38" s="1"/>
  <c r="O143" i="38" a="1"/>
  <c r="O143" i="38" s="1"/>
  <c r="O322" i="38" s="1"/>
  <c r="F144" i="38" a="1"/>
  <c r="F144" i="38" s="1"/>
  <c r="F323" i="38" s="1"/>
  <c r="S144" i="38" a="1"/>
  <c r="S144" i="38" s="1"/>
  <c r="D145" i="38" a="1"/>
  <c r="D145" i="38" s="1"/>
  <c r="D324" i="38" s="1"/>
  <c r="U145" i="38" a="1"/>
  <c r="U145" i="38" s="1"/>
  <c r="AL145" i="38" a="1"/>
  <c r="AL145" i="38" s="1"/>
  <c r="AL324" i="38" s="1"/>
  <c r="K146" i="38" a="1"/>
  <c r="K146" i="38" s="1"/>
  <c r="K325" i="38" s="1"/>
  <c r="AN146" i="38" a="1"/>
  <c r="AN146" i="38" s="1"/>
  <c r="AN325" i="38" s="1"/>
  <c r="N147" i="38" a="1"/>
  <c r="N147" i="38" s="1"/>
  <c r="N326" i="38" s="1"/>
  <c r="AH147" i="38" a="1"/>
  <c r="AH147" i="38" s="1"/>
  <c r="AH326" i="38" s="1"/>
  <c r="H148" i="38" a="1"/>
  <c r="H148" i="38" s="1"/>
  <c r="H327" i="38" s="1"/>
  <c r="J149" i="38" a="1"/>
  <c r="J149" i="38" s="1"/>
  <c r="J328" i="38" s="1"/>
  <c r="Z149" i="38" a="1"/>
  <c r="Z149" i="38" s="1"/>
  <c r="Z328" i="38" s="1"/>
  <c r="AS149" i="38"/>
  <c r="AD150" i="38" a="1"/>
  <c r="AD150" i="38" s="1"/>
  <c r="AD329" i="38" s="1"/>
  <c r="AS150" i="38"/>
  <c r="R151" i="38" a="1"/>
  <c r="R151" i="38" s="1"/>
  <c r="R330" i="38" s="1"/>
  <c r="AG151" i="38" a="1"/>
  <c r="AG151" i="38" s="1"/>
  <c r="U152" i="38" a="1"/>
  <c r="U152" i="38" s="1"/>
  <c r="AJ152" i="38" a="1"/>
  <c r="AJ152" i="38" s="1"/>
  <c r="AJ331" i="38" s="1"/>
  <c r="J153" i="38" a="1"/>
  <c r="J153" i="38" s="1"/>
  <c r="J332" i="38" s="1"/>
  <c r="Y153" i="38" a="1"/>
  <c r="Y153" i="38" s="1"/>
  <c r="S119" i="38" a="1"/>
  <c r="S119" i="38" s="1"/>
  <c r="D121" i="38" a="1"/>
  <c r="D121" i="38" s="1"/>
  <c r="AR121" i="38" a="1"/>
  <c r="AR121" i="38" s="1"/>
  <c r="AD122" i="38" a="1"/>
  <c r="AD122" i="38" s="1"/>
  <c r="AD301" i="38" s="1"/>
  <c r="T123" i="38" a="1"/>
  <c r="T123" i="38" s="1"/>
  <c r="AQ123" i="38" a="1"/>
  <c r="AQ123" i="38" s="1"/>
  <c r="E125" i="38" a="1"/>
  <c r="E125" i="38" s="1"/>
  <c r="Z125" i="38" a="1"/>
  <c r="Z125" i="38" s="1"/>
  <c r="Y127" i="38" a="1"/>
  <c r="Y127" i="38" s="1"/>
  <c r="AO119" i="38" a="1"/>
  <c r="AO119" i="38" s="1"/>
  <c r="K121" i="38" a="1"/>
  <c r="K121" i="38" s="1"/>
  <c r="C122" i="38" a="1"/>
  <c r="C122" i="38" s="1"/>
  <c r="AF122" i="38" a="1"/>
  <c r="AF122" i="38" s="1"/>
  <c r="U123" i="38" a="1"/>
  <c r="U123" i="38" s="1"/>
  <c r="Y124" i="38" a="1"/>
  <c r="Y124" i="38" s="1"/>
  <c r="G125" i="38" a="1"/>
  <c r="G125" i="38" s="1"/>
  <c r="AB125" i="38" a="1"/>
  <c r="AB125" i="38" s="1"/>
  <c r="L126" i="38" a="1"/>
  <c r="L126" i="38" s="1"/>
  <c r="AQ127" i="38" a="1"/>
  <c r="AQ127" i="38" s="1"/>
  <c r="P128" i="38" a="1"/>
  <c r="P128" i="38" s="1"/>
  <c r="E129" i="38" a="1"/>
  <c r="E129" i="38" s="1"/>
  <c r="AN129" i="38" a="1"/>
  <c r="AN129" i="38" s="1"/>
  <c r="M130" i="38" a="1"/>
  <c r="M130" i="38" s="1"/>
  <c r="M309" i="38" s="1"/>
  <c r="AC130" i="38" a="1"/>
  <c r="AC130" i="38" s="1"/>
  <c r="O131" i="38" a="1"/>
  <c r="O131" i="38" s="1"/>
  <c r="AE131" i="38" a="1"/>
  <c r="AE131" i="38" s="1"/>
  <c r="H132" i="38" a="1"/>
  <c r="H132" i="38" s="1"/>
  <c r="W132" i="38" a="1"/>
  <c r="W132" i="38" s="1"/>
  <c r="W311" i="38" s="1"/>
  <c r="AL132" i="38" a="1"/>
  <c r="AL132" i="38" s="1"/>
  <c r="C134" i="38" a="1"/>
  <c r="C134" i="38" s="1"/>
  <c r="S134" i="38" a="1"/>
  <c r="S134" i="38" s="1"/>
  <c r="S313" i="38" s="1"/>
  <c r="AH134" i="38" a="1"/>
  <c r="AH134" i="38" s="1"/>
  <c r="AH313" i="38" s="1"/>
  <c r="I135" i="38" a="1"/>
  <c r="I135" i="38" s="1"/>
  <c r="Z135" i="38" a="1"/>
  <c r="Z135" i="38" s="1"/>
  <c r="AP135" i="38" a="1"/>
  <c r="AP135" i="38" s="1"/>
  <c r="AB136" i="38" a="1"/>
  <c r="AB136" i="38" s="1"/>
  <c r="O137" i="38" a="1"/>
  <c r="O137" i="38" s="1"/>
  <c r="O316" i="38" s="1"/>
  <c r="AF137" i="38" a="1"/>
  <c r="AF137" i="38" s="1"/>
  <c r="R138" i="38" a="1"/>
  <c r="R138" i="38" s="1"/>
  <c r="R317" i="38" s="1"/>
  <c r="AF138" i="38" a="1"/>
  <c r="AF138" i="38" s="1"/>
  <c r="AF317" i="38" s="1"/>
  <c r="D139" i="38" a="1"/>
  <c r="D139" i="38" s="1"/>
  <c r="D318" i="38" s="1"/>
  <c r="U139" i="38" a="1"/>
  <c r="U139" i="38" s="1"/>
  <c r="AL139" i="38" a="1"/>
  <c r="AL139" i="38" s="1"/>
  <c r="X140" i="38" a="1"/>
  <c r="X140" i="38" s="1"/>
  <c r="X319" i="38" s="1"/>
  <c r="K141" i="38" a="1"/>
  <c r="K141" i="38" s="1"/>
  <c r="AA141" i="38" a="1"/>
  <c r="AA141" i="38" s="1"/>
  <c r="AA320" i="38" s="1"/>
  <c r="AS141" i="38"/>
  <c r="AQ142" i="38" a="1"/>
  <c r="AQ142" i="38" s="1"/>
  <c r="AQ321" i="38" s="1"/>
  <c r="AH143" i="38" a="1"/>
  <c r="AH143" i="38" s="1"/>
  <c r="AH322" i="38" s="1"/>
  <c r="U144" i="38" a="1"/>
  <c r="U144" i="38" s="1"/>
  <c r="U323" i="38" s="1"/>
  <c r="AH144" i="38" a="1"/>
  <c r="AH144" i="38" s="1"/>
  <c r="AH323" i="38" s="1"/>
  <c r="F145" i="38" a="1"/>
  <c r="F145" i="38" s="1"/>
  <c r="W145" i="38" a="1"/>
  <c r="W145" i="38" s="1"/>
  <c r="W324" i="38" s="1"/>
  <c r="AO145" i="38" a="1"/>
  <c r="AO145" i="38" s="1"/>
  <c r="AO324" i="38" s="1"/>
  <c r="AB146" i="38" a="1"/>
  <c r="AB146" i="38" s="1"/>
  <c r="AB325" i="38" s="1"/>
  <c r="AP146" i="38" a="1"/>
  <c r="AP146" i="38" s="1"/>
  <c r="AP325" i="38" s="1"/>
  <c r="S147" i="38" a="1"/>
  <c r="S147" i="38" s="1"/>
  <c r="S326" i="38" s="1"/>
  <c r="AK147" i="38" a="1"/>
  <c r="AK147" i="38" s="1"/>
  <c r="J148" i="38" a="1"/>
  <c r="J148" i="38" s="1"/>
  <c r="X148" i="38" a="1"/>
  <c r="X148" i="38" s="1"/>
  <c r="X327" i="38" s="1"/>
  <c r="AD114" i="38" a="1"/>
  <c r="AD114" i="38" s="1"/>
  <c r="Q120" i="38" a="1"/>
  <c r="Q120" i="38" s="1"/>
  <c r="H122" i="38" a="1"/>
  <c r="H122" i="38" s="1"/>
  <c r="AI122" i="38" a="1"/>
  <c r="AI122" i="38" s="1"/>
  <c r="Z123" i="38" a="1"/>
  <c r="Z123" i="38" s="1"/>
  <c r="E124" i="38" a="1"/>
  <c r="E124" i="38" s="1"/>
  <c r="AB124" i="38" a="1"/>
  <c r="AB124" i="38" s="1"/>
  <c r="AB303" i="38" s="1"/>
  <c r="L125" i="38" a="1"/>
  <c r="L125" i="38" s="1"/>
  <c r="AG125" i="38" a="1"/>
  <c r="AG125" i="38" s="1"/>
  <c r="R126" i="38" a="1"/>
  <c r="R126" i="38" s="1"/>
  <c r="AJ126" i="38" a="1"/>
  <c r="AJ126" i="38" s="1"/>
  <c r="K127" i="38" a="1"/>
  <c r="K127" i="38" s="1"/>
  <c r="AB127" i="38" a="1"/>
  <c r="AB127" i="38" s="1"/>
  <c r="S128" i="38" a="1"/>
  <c r="S128" i="38" s="1"/>
  <c r="AG128" i="38" a="1"/>
  <c r="AG128" i="38" s="1"/>
  <c r="I129" i="38" a="1"/>
  <c r="I129" i="38" s="1"/>
  <c r="X129" i="38" a="1"/>
  <c r="X129" i="38" s="1"/>
  <c r="AP129" i="38" a="1"/>
  <c r="AP129" i="38" s="1"/>
  <c r="AE130" i="38" a="1"/>
  <c r="AE130" i="38" s="1"/>
  <c r="AR130" i="38" a="1"/>
  <c r="AR130" i="38" s="1"/>
  <c r="R131" i="38" a="1"/>
  <c r="R131" i="38" s="1"/>
  <c r="AH131" i="38" a="1"/>
  <c r="AH131" i="38" s="1"/>
  <c r="K132" i="38" a="1"/>
  <c r="K132" i="38" s="1"/>
  <c r="K311" i="38" s="1"/>
  <c r="Z132" i="38" a="1"/>
  <c r="Z132" i="38" s="1"/>
  <c r="Z311" i="38" s="1"/>
  <c r="AO132" i="38" a="1"/>
  <c r="AO132" i="38" s="1"/>
  <c r="N133" i="38" a="1"/>
  <c r="N133" i="38" s="1"/>
  <c r="AE133" i="38" a="1"/>
  <c r="AE133" i="38" s="1"/>
  <c r="U134" i="38" a="1"/>
  <c r="U134" i="38" s="1"/>
  <c r="AK134" i="38" a="1"/>
  <c r="AK134" i="38" s="1"/>
  <c r="AB135" i="38" a="1"/>
  <c r="AB135" i="38" s="1"/>
  <c r="AS135" i="38"/>
  <c r="P136" i="38" a="1"/>
  <c r="P136" i="38" s="1"/>
  <c r="AD136" i="38" a="1"/>
  <c r="AD136" i="38" s="1"/>
  <c r="AQ136" i="38" a="1"/>
  <c r="AQ136" i="38" s="1"/>
  <c r="AH137" i="38" a="1"/>
  <c r="AH137" i="38" s="1"/>
  <c r="G138" i="38" a="1"/>
  <c r="G138" i="38" s="1"/>
  <c r="G317" i="38" s="1"/>
  <c r="J120" i="38" a="1"/>
  <c r="J120" i="38" s="1"/>
  <c r="Z121" i="38" a="1"/>
  <c r="Z121" i="38" s="1"/>
  <c r="AK122" i="38" a="1"/>
  <c r="AK122" i="38" s="1"/>
  <c r="AK301" i="38" s="1"/>
  <c r="AJ123" i="38" a="1"/>
  <c r="AJ123" i="38" s="1"/>
  <c r="AD124" i="38" a="1"/>
  <c r="AD124" i="38" s="1"/>
  <c r="AD303" i="38" s="1"/>
  <c r="V125" i="38" a="1"/>
  <c r="V125" i="38" s="1"/>
  <c r="V126" i="38" a="1"/>
  <c r="V126" i="38" s="1"/>
  <c r="I127" i="38" a="1"/>
  <c r="I127" i="38" s="1"/>
  <c r="AG127" i="38" a="1"/>
  <c r="AG127" i="38" s="1"/>
  <c r="Q128" i="38" a="1"/>
  <c r="Q128" i="38" s="1"/>
  <c r="AL128" i="38" a="1"/>
  <c r="AL128" i="38" s="1"/>
  <c r="V129" i="38" a="1"/>
  <c r="V129" i="38" s="1"/>
  <c r="AS129" i="38"/>
  <c r="AA130" i="38" a="1"/>
  <c r="AA130" i="38" s="1"/>
  <c r="AA309" i="38" s="1"/>
  <c r="D131" i="38" a="1"/>
  <c r="D131" i="38" s="1"/>
  <c r="Z131" i="38" a="1"/>
  <c r="Z131" i="38" s="1"/>
  <c r="M132" i="38" a="1"/>
  <c r="M132" i="38" s="1"/>
  <c r="M311" i="38" s="1"/>
  <c r="AG132" i="38" a="1"/>
  <c r="AG132" i="38" s="1"/>
  <c r="AG311" i="38" s="1"/>
  <c r="P133" i="38" a="1"/>
  <c r="P133" i="38" s="1"/>
  <c r="AM133" i="38" a="1"/>
  <c r="AM133" i="38" s="1"/>
  <c r="G136" i="38" a="1"/>
  <c r="G136" i="38" s="1"/>
  <c r="G315" i="38" s="1"/>
  <c r="E137" i="38" a="1"/>
  <c r="E137" i="38" s="1"/>
  <c r="AE137" i="38" a="1"/>
  <c r="AE137" i="38" s="1"/>
  <c r="J138" i="38" a="1"/>
  <c r="J138" i="38" s="1"/>
  <c r="AA138" i="38" a="1"/>
  <c r="AA138" i="38" s="1"/>
  <c r="AA317" i="38" s="1"/>
  <c r="AC139" i="38" a="1"/>
  <c r="AC139" i="38" s="1"/>
  <c r="AC318" i="38" s="1"/>
  <c r="AQ140" i="38" a="1"/>
  <c r="AQ140" i="38" s="1"/>
  <c r="AQ319" i="38" s="1"/>
  <c r="U141" i="38" a="1"/>
  <c r="U141" i="38" s="1"/>
  <c r="U320" i="38" s="1"/>
  <c r="C142" i="38" a="1"/>
  <c r="C142" i="38" s="1"/>
  <c r="C321" i="38" s="1"/>
  <c r="AJ142" i="38" a="1"/>
  <c r="AJ142" i="38" s="1"/>
  <c r="P143" i="38" a="1"/>
  <c r="P143" i="38" s="1"/>
  <c r="P322" i="38" s="1"/>
  <c r="AD144" i="38" a="1"/>
  <c r="AD144" i="38" s="1"/>
  <c r="AD323" i="38" s="1"/>
  <c r="G145" i="38" a="1"/>
  <c r="G145" i="38" s="1"/>
  <c r="G324" i="38" s="1"/>
  <c r="AB145" i="38" a="1"/>
  <c r="AB145" i="38" s="1"/>
  <c r="AB324" i="38" s="1"/>
  <c r="C147" i="38" a="1"/>
  <c r="C147" i="38" s="1"/>
  <c r="F148" i="38" a="1"/>
  <c r="F148" i="38" s="1"/>
  <c r="F327" i="38" s="1"/>
  <c r="AQ148" i="38" a="1"/>
  <c r="AQ148" i="38" s="1"/>
  <c r="AQ327" i="38" s="1"/>
  <c r="T149" i="38" a="1"/>
  <c r="T149" i="38" s="1"/>
  <c r="T328" i="38" s="1"/>
  <c r="AP149" i="38" a="1"/>
  <c r="AP149" i="38" s="1"/>
  <c r="AP328" i="38" s="1"/>
  <c r="I151" i="38" a="1"/>
  <c r="I151" i="38" s="1"/>
  <c r="I330" i="38" s="1"/>
  <c r="D152" i="38" a="1"/>
  <c r="D152" i="38" s="1"/>
  <c r="D331" i="38" s="1"/>
  <c r="V152" i="38" a="1"/>
  <c r="V152" i="38" s="1"/>
  <c r="AM152" i="38" a="1"/>
  <c r="AM152" i="38" s="1"/>
  <c r="AM331" i="38" s="1"/>
  <c r="M153" i="38" a="1"/>
  <c r="M153" i="38" s="1"/>
  <c r="M332" i="38" s="1"/>
  <c r="AE153" i="38" a="1"/>
  <c r="AE153" i="38" s="1"/>
  <c r="T154" i="38" a="1"/>
  <c r="T154" i="38" s="1"/>
  <c r="T333" i="38" s="1"/>
  <c r="AJ154" i="38" a="1"/>
  <c r="AJ154" i="38" s="1"/>
  <c r="AJ333" i="38" s="1"/>
  <c r="I155" i="38" a="1"/>
  <c r="I155" i="38" s="1"/>
  <c r="L120" i="38" a="1"/>
  <c r="L120" i="38" s="1"/>
  <c r="AA121" i="38" a="1"/>
  <c r="AA121" i="38" s="1"/>
  <c r="AM122" i="38" a="1"/>
  <c r="AM122" i="38" s="1"/>
  <c r="AK123" i="38" a="1"/>
  <c r="AK123" i="38" s="1"/>
  <c r="AA125" i="38" a="1"/>
  <c r="AA125" i="38" s="1"/>
  <c r="J127" i="38" a="1"/>
  <c r="J127" i="38" s="1"/>
  <c r="AH127" i="38" a="1"/>
  <c r="AH127" i="38" s="1"/>
  <c r="R128" i="38" a="1"/>
  <c r="R128" i="38" s="1"/>
  <c r="AM128" i="38" a="1"/>
  <c r="AM128" i="38" s="1"/>
  <c r="W129" i="38" a="1"/>
  <c r="W129" i="38" s="1"/>
  <c r="C130" i="38" a="1"/>
  <c r="C130" i="38" s="1"/>
  <c r="AB130" i="38" a="1"/>
  <c r="AB130" i="38" s="1"/>
  <c r="AD131" i="38" a="1"/>
  <c r="AD131" i="38" s="1"/>
  <c r="AH132" i="38" a="1"/>
  <c r="AH132" i="38" s="1"/>
  <c r="R133" i="38" a="1"/>
  <c r="R133" i="38" s="1"/>
  <c r="AN133" i="38" a="1"/>
  <c r="AN133" i="38" s="1"/>
  <c r="V134" i="38" a="1"/>
  <c r="V134" i="38" s="1"/>
  <c r="AQ134" i="38" a="1"/>
  <c r="AQ134" i="38" s="1"/>
  <c r="AQ313" i="38" s="1"/>
  <c r="AC135" i="38" a="1"/>
  <c r="AC135" i="38" s="1"/>
  <c r="AC314" i="38" s="1"/>
  <c r="AC136" i="38" a="1"/>
  <c r="AC136" i="38" s="1"/>
  <c r="K138" i="38" a="1"/>
  <c r="K138" i="38" s="1"/>
  <c r="AE138" i="38" a="1"/>
  <c r="AE138" i="38" s="1"/>
  <c r="H139" i="38" a="1"/>
  <c r="H139" i="38" s="1"/>
  <c r="AD139" i="38" a="1"/>
  <c r="AD139" i="38" s="1"/>
  <c r="AD318" i="38" s="1"/>
  <c r="I140" i="38" a="1"/>
  <c r="I140" i="38" s="1"/>
  <c r="AA140" i="38" a="1"/>
  <c r="AA140" i="38" s="1"/>
  <c r="AA319" i="38" s="1"/>
  <c r="V141" i="38" a="1"/>
  <c r="V141" i="38" s="1"/>
  <c r="V320" i="38" s="1"/>
  <c r="S142" i="38" a="1"/>
  <c r="S142" i="38" s="1"/>
  <c r="S321" i="38" s="1"/>
  <c r="Q143" i="38" a="1"/>
  <c r="Q143" i="38" s="1"/>
  <c r="Q322" i="38" s="1"/>
  <c r="AL143" i="38" a="1"/>
  <c r="AL143" i="38" s="1"/>
  <c r="AL322" i="38" s="1"/>
  <c r="M144" i="38" a="1"/>
  <c r="M144" i="38" s="1"/>
  <c r="M323" i="38" s="1"/>
  <c r="H145" i="38" a="1"/>
  <c r="H145" i="38" s="1"/>
  <c r="AC145" i="38" a="1"/>
  <c r="AC145" i="38" s="1"/>
  <c r="G146" i="38" a="1"/>
  <c r="G146" i="38" s="1"/>
  <c r="G325" i="38" s="1"/>
  <c r="D147" i="38" a="1"/>
  <c r="D147" i="38" s="1"/>
  <c r="AB147" i="38" a="1"/>
  <c r="AB147" i="38" s="1"/>
  <c r="AB326" i="38" s="1"/>
  <c r="AA148" i="38" a="1"/>
  <c r="AA148" i="38" s="1"/>
  <c r="AA327" i="38" s="1"/>
  <c r="U149" i="38" a="1"/>
  <c r="U149" i="38" s="1"/>
  <c r="U328" i="38" s="1"/>
  <c r="C150" i="38" a="1"/>
  <c r="C150" i="38" s="1"/>
  <c r="C329" i="38" s="1"/>
  <c r="S150" i="38" a="1"/>
  <c r="S150" i="38" s="1"/>
  <c r="S329" i="38" s="1"/>
  <c r="AJ150" i="38" a="1"/>
  <c r="AJ150" i="38" s="1"/>
  <c r="AJ329" i="38" s="1"/>
  <c r="J151" i="38" a="1"/>
  <c r="J151" i="38" s="1"/>
  <c r="J330" i="38" s="1"/>
  <c r="R120" i="38" a="1"/>
  <c r="R120" i="38" s="1"/>
  <c r="AO122" i="38" a="1"/>
  <c r="AO122" i="38" s="1"/>
  <c r="AF124" i="38" a="1"/>
  <c r="AF124" i="38" s="1"/>
  <c r="AC125" i="38" a="1"/>
  <c r="AC125" i="38" s="1"/>
  <c r="W126" i="38" a="1"/>
  <c r="W126" i="38" s="1"/>
  <c r="AI127" i="38" a="1"/>
  <c r="AI127" i="38" s="1"/>
  <c r="T128" i="38" a="1"/>
  <c r="T128" i="38" s="1"/>
  <c r="AN128" i="38" a="1"/>
  <c r="AN128" i="38" s="1"/>
  <c r="E131" i="38" a="1"/>
  <c r="E131" i="38" s="1"/>
  <c r="N132" i="38" a="1"/>
  <c r="N132" i="38" s="1"/>
  <c r="N311" i="38" s="1"/>
  <c r="AK132" i="38" a="1"/>
  <c r="AK132" i="38" s="1"/>
  <c r="S133" i="38" a="1"/>
  <c r="S133" i="38" s="1"/>
  <c r="W134" i="38" a="1"/>
  <c r="W134" i="38" s="1"/>
  <c r="W313" i="38" s="1"/>
  <c r="AR134" i="38" a="1"/>
  <c r="AR134" i="38" s="1"/>
  <c r="AR313" i="38" s="1"/>
  <c r="AD135" i="38" a="1"/>
  <c r="AD135" i="38" s="1"/>
  <c r="H136" i="38" a="1"/>
  <c r="H136" i="38" s="1"/>
  <c r="F137" i="38" a="1"/>
  <c r="F137" i="38" s="1"/>
  <c r="AG137" i="38" a="1"/>
  <c r="AG137" i="38" s="1"/>
  <c r="I139" i="38" a="1"/>
  <c r="I139" i="38" s="1"/>
  <c r="J140" i="38" a="1"/>
  <c r="J140" i="38" s="1"/>
  <c r="J319" i="38" s="1"/>
  <c r="AB140" i="38" a="1"/>
  <c r="AB140" i="38" s="1"/>
  <c r="AB319" i="38" s="1"/>
  <c r="AR140" i="38" a="1"/>
  <c r="AR140" i="38" s="1"/>
  <c r="AR319" i="38" s="1"/>
  <c r="D142" i="38" a="1"/>
  <c r="D142" i="38" s="1"/>
  <c r="T142" i="38" a="1"/>
  <c r="T142" i="38" s="1"/>
  <c r="AK142" i="38" a="1"/>
  <c r="AK142" i="38" s="1"/>
  <c r="R143" i="38" a="1"/>
  <c r="R143" i="38" s="1"/>
  <c r="R322" i="38" s="1"/>
  <c r="AM143" i="38" a="1"/>
  <c r="AM143" i="38" s="1"/>
  <c r="AM322" i="38" s="1"/>
  <c r="AG144" i="38" a="1"/>
  <c r="AG144" i="38" s="1"/>
  <c r="I145" i="38" a="1"/>
  <c r="I145" i="38" s="1"/>
  <c r="I324" i="38" s="1"/>
  <c r="AD145" i="38" a="1"/>
  <c r="AD145" i="38" s="1"/>
  <c r="AD324" i="38" s="1"/>
  <c r="AC146" i="38" a="1"/>
  <c r="AC146" i="38" s="1"/>
  <c r="E147" i="38" a="1"/>
  <c r="E147" i="38" s="1"/>
  <c r="E326" i="38" s="1"/>
  <c r="AC147" i="38" a="1"/>
  <c r="AC147" i="38" s="1"/>
  <c r="AC326" i="38" s="1"/>
  <c r="I148" i="38" a="1"/>
  <c r="I148" i="38" s="1"/>
  <c r="AB148" i="38" a="1"/>
  <c r="AB148" i="38" s="1"/>
  <c r="AB327" i="38" s="1"/>
  <c r="AR148" i="38" a="1"/>
  <c r="AR148" i="38" s="1"/>
  <c r="AR327" i="38" s="1"/>
  <c r="V149" i="38" a="1"/>
  <c r="V149" i="38" s="1"/>
  <c r="V328" i="38" s="1"/>
  <c r="D150" i="38" a="1"/>
  <c r="D150" i="38" s="1"/>
  <c r="D329" i="38" s="1"/>
  <c r="T150" i="38" a="1"/>
  <c r="T150" i="38" s="1"/>
  <c r="T329" i="38" s="1"/>
  <c r="AK150" i="38" a="1"/>
  <c r="AK150" i="38" s="1"/>
  <c r="AK329" i="38" s="1"/>
  <c r="AC151" i="38" a="1"/>
  <c r="AC151" i="38" s="1"/>
  <c r="AC330" i="38" s="1"/>
  <c r="G152" i="38" a="1"/>
  <c r="G152" i="38" s="1"/>
  <c r="W152" i="38" a="1"/>
  <c r="W152" i="38" s="1"/>
  <c r="W331" i="38" s="1"/>
  <c r="O153" i="38" a="1"/>
  <c r="O153" i="38" s="1"/>
  <c r="O332" i="38" s="1"/>
  <c r="AF153" i="38" a="1"/>
  <c r="AF153" i="38" s="1"/>
  <c r="AF332" i="38" s="1"/>
  <c r="G154" i="38" a="1"/>
  <c r="G154" i="38" s="1"/>
  <c r="G333" i="38" s="1"/>
  <c r="U154" i="38" a="1"/>
  <c r="U154" i="38" s="1"/>
  <c r="U333" i="38" s="1"/>
  <c r="AK154" i="38" a="1"/>
  <c r="AK154" i="38" s="1"/>
  <c r="AK333" i="38" s="1"/>
  <c r="K155" i="38" a="1"/>
  <c r="K155" i="38" s="1"/>
  <c r="Z155" i="38" a="1"/>
  <c r="Z155" i="38" s="1"/>
  <c r="S120" i="38" a="1"/>
  <c r="S120" i="38" s="1"/>
  <c r="AE121" i="38" a="1"/>
  <c r="AE121" i="38" s="1"/>
  <c r="AQ122" i="38" a="1"/>
  <c r="AQ122" i="38" s="1"/>
  <c r="AR123" i="38" a="1"/>
  <c r="AR123" i="38" s="1"/>
  <c r="AH124" i="38" a="1"/>
  <c r="AH124" i="38" s="1"/>
  <c r="AF125" i="38" a="1"/>
  <c r="AF125" i="38" s="1"/>
  <c r="Z126" i="38" a="1"/>
  <c r="Z126" i="38" s="1"/>
  <c r="L127" i="38" a="1"/>
  <c r="L127" i="38" s="1"/>
  <c r="U128" i="38" a="1"/>
  <c r="U128" i="38" s="1"/>
  <c r="AO128" i="38" a="1"/>
  <c r="AO128" i="38" s="1"/>
  <c r="Y129" i="38" a="1"/>
  <c r="Y129" i="38" s="1"/>
  <c r="D130" i="38" a="1"/>
  <c r="D130" i="38" s="1"/>
  <c r="AD130" i="38" a="1"/>
  <c r="AD130" i="38" s="1"/>
  <c r="AG131" i="38" a="1"/>
  <c r="AG131" i="38" s="1"/>
  <c r="X134" i="38" a="1"/>
  <c r="X134" i="38" s="1"/>
  <c r="AS134" i="38"/>
  <c r="AE136" i="38" a="1"/>
  <c r="AE136" i="38" s="1"/>
  <c r="AI137" i="38" a="1"/>
  <c r="AI137" i="38" s="1"/>
  <c r="L138" i="38" a="1"/>
  <c r="L138" i="38" s="1"/>
  <c r="L317" i="38" s="1"/>
  <c r="AG138" i="38" a="1"/>
  <c r="AG138" i="38" s="1"/>
  <c r="AG317" i="38" s="1"/>
  <c r="J139" i="38" a="1"/>
  <c r="J139" i="38" s="1"/>
  <c r="J318" i="38" s="1"/>
  <c r="AE139" i="38" a="1"/>
  <c r="AE139" i="38" s="1"/>
  <c r="AE318" i="38" s="1"/>
  <c r="K140" i="38" a="1"/>
  <c r="K140" i="38" s="1"/>
  <c r="K319" i="38" s="1"/>
  <c r="AS140" i="38"/>
  <c r="Z141" i="38" a="1"/>
  <c r="Z141" i="38" s="1"/>
  <c r="E142" i="38" a="1"/>
  <c r="E142" i="38" s="1"/>
  <c r="U142" i="38" a="1"/>
  <c r="U142" i="38" s="1"/>
  <c r="S143" i="38" a="1"/>
  <c r="S143" i="38" s="1"/>
  <c r="S322" i="38" s="1"/>
  <c r="AN143" i="38" a="1"/>
  <c r="AN143" i="38" s="1"/>
  <c r="AN322" i="38" s="1"/>
  <c r="N144" i="38" a="1"/>
  <c r="N144" i="38" s="1"/>
  <c r="N323" i="38" s="1"/>
  <c r="J145" i="38" a="1"/>
  <c r="J145" i="38" s="1"/>
  <c r="J324" i="38" s="1"/>
  <c r="AE145" i="38" a="1"/>
  <c r="AE145" i="38" s="1"/>
  <c r="AE324" i="38" s="1"/>
  <c r="H146" i="38" a="1"/>
  <c r="H146" i="38" s="1"/>
  <c r="H325" i="38" s="1"/>
  <c r="AD146" i="38" a="1"/>
  <c r="AD146" i="38" s="1"/>
  <c r="AD325" i="38" s="1"/>
  <c r="F147" i="38" a="1"/>
  <c r="F147" i="38" s="1"/>
  <c r="F326" i="38" s="1"/>
  <c r="AD147" i="38" a="1"/>
  <c r="AD147" i="38" s="1"/>
  <c r="AD326" i="38" s="1"/>
  <c r="AS148" i="38"/>
  <c r="E150" i="38" a="1"/>
  <c r="E150" i="38" s="1"/>
  <c r="E329" i="38" s="1"/>
  <c r="K151" i="38" a="1"/>
  <c r="K151" i="38" s="1"/>
  <c r="K330" i="38" s="1"/>
  <c r="T120" i="38" a="1"/>
  <c r="T120" i="38" s="1"/>
  <c r="AH121" i="38" a="1"/>
  <c r="AH121" i="38" s="1"/>
  <c r="AH300" i="38" s="1"/>
  <c r="C124" i="38" a="1"/>
  <c r="C124" i="38" s="1"/>
  <c r="AI124" i="38" a="1"/>
  <c r="AI124" i="38" s="1"/>
  <c r="AH125" i="38" a="1"/>
  <c r="AH125" i="38" s="1"/>
  <c r="AA126" i="38" a="1"/>
  <c r="AA126" i="38" s="1"/>
  <c r="M127" i="38" a="1"/>
  <c r="M127" i="38" s="1"/>
  <c r="AJ127" i="38" a="1"/>
  <c r="AJ127" i="38" s="1"/>
  <c r="AP128" i="38" a="1"/>
  <c r="AP128" i="38" s="1"/>
  <c r="Z129" i="38" a="1"/>
  <c r="Z129" i="38" s="1"/>
  <c r="E130" i="38" a="1"/>
  <c r="E130" i="38" s="1"/>
  <c r="E309" i="38" s="1"/>
  <c r="AF130" i="38" a="1"/>
  <c r="AF130" i="38" s="1"/>
  <c r="F131" i="38" a="1"/>
  <c r="F131" i="38" s="1"/>
  <c r="O132" i="38" a="1"/>
  <c r="O132" i="38" s="1"/>
  <c r="AM132" i="38" a="1"/>
  <c r="AM132" i="38" s="1"/>
  <c r="T133" i="38" a="1"/>
  <c r="T133" i="38" s="1"/>
  <c r="AS133" i="38"/>
  <c r="Y134" i="38" a="1"/>
  <c r="Y134" i="38" s="1"/>
  <c r="G135" i="38" a="1"/>
  <c r="G135" i="38" s="1"/>
  <c r="AE135" i="38" a="1"/>
  <c r="AE135" i="38" s="1"/>
  <c r="I136" i="38" a="1"/>
  <c r="I136" i="38" s="1"/>
  <c r="G137" i="38" a="1"/>
  <c r="G137" i="38" s="1"/>
  <c r="AC140" i="38" a="1"/>
  <c r="AC140" i="38" s="1"/>
  <c r="AC319" i="38" s="1"/>
  <c r="C141" i="38" a="1"/>
  <c r="C141" i="38" s="1"/>
  <c r="C320" i="38" s="1"/>
  <c r="AL142" i="38" a="1"/>
  <c r="AL142" i="38" s="1"/>
  <c r="T143" i="38" a="1"/>
  <c r="T143" i="38" s="1"/>
  <c r="T322" i="38" s="1"/>
  <c r="O144" i="38" a="1"/>
  <c r="O144" i="38" s="1"/>
  <c r="O323" i="38" s="1"/>
  <c r="AI144" i="38" a="1"/>
  <c r="AI144" i="38" s="1"/>
  <c r="K145" i="38" a="1"/>
  <c r="K145" i="38" s="1"/>
  <c r="K324" i="38" s="1"/>
  <c r="AF145" i="38" a="1"/>
  <c r="AF145" i="38" s="1"/>
  <c r="AF324" i="38" s="1"/>
  <c r="AE146" i="38" a="1"/>
  <c r="AE146" i="38" s="1"/>
  <c r="G147" i="38" a="1"/>
  <c r="G147" i="38" s="1"/>
  <c r="G326" i="38" s="1"/>
  <c r="K148" i="38" a="1"/>
  <c r="K148" i="38" s="1"/>
  <c r="K327" i="38" s="1"/>
  <c r="AC148" i="38" a="1"/>
  <c r="AC148" i="38" s="1"/>
  <c r="AC327" i="38" s="1"/>
  <c r="C149" i="38" a="1"/>
  <c r="C149" i="38" s="1"/>
  <c r="C328" i="38" s="1"/>
  <c r="W149" i="38" a="1"/>
  <c r="W149" i="38" s="1"/>
  <c r="W328" i="38" s="1"/>
  <c r="U150" i="38" a="1"/>
  <c r="U150" i="38" s="1"/>
  <c r="U329" i="38" s="1"/>
  <c r="AL150" i="38" a="1"/>
  <c r="AL150" i="38" s="1"/>
  <c r="AL329" i="38" s="1"/>
  <c r="V120" i="38" a="1"/>
  <c r="V120" i="38" s="1"/>
  <c r="AS121" i="38"/>
  <c r="AS122" i="38"/>
  <c r="AJ124" i="38" a="1"/>
  <c r="AJ124" i="38" s="1"/>
  <c r="AJ303" i="38" s="1"/>
  <c r="AI125" i="38" a="1"/>
  <c r="AI125" i="38" s="1"/>
  <c r="AB126" i="38" a="1"/>
  <c r="AB126" i="38" s="1"/>
  <c r="N127" i="38" a="1"/>
  <c r="N127" i="38" s="1"/>
  <c r="V128" i="38" a="1"/>
  <c r="V128" i="38" s="1"/>
  <c r="V307" i="38" s="1"/>
  <c r="AB129" i="38" a="1"/>
  <c r="AB129" i="38" s="1"/>
  <c r="F130" i="38" a="1"/>
  <c r="F130" i="38" s="1"/>
  <c r="F309" i="38" s="1"/>
  <c r="AI131" i="38" a="1"/>
  <c r="AI131" i="38" s="1"/>
  <c r="AN132" i="38" a="1"/>
  <c r="AN132" i="38" s="1"/>
  <c r="AN311" i="38" s="1"/>
  <c r="U133" i="38" a="1"/>
  <c r="U133" i="38" s="1"/>
  <c r="U312" i="38" s="1"/>
  <c r="D134" i="38" a="1"/>
  <c r="D134" i="38" s="1"/>
  <c r="H135" i="38" a="1"/>
  <c r="H135" i="38" s="1"/>
  <c r="AF136" i="38" a="1"/>
  <c r="AF136" i="38" s="1"/>
  <c r="AF315" i="38" s="1"/>
  <c r="H137" i="38" a="1"/>
  <c r="H137" i="38" s="1"/>
  <c r="AJ137" i="38" a="1"/>
  <c r="AJ137" i="38" s="1"/>
  <c r="AJ316" i="38" s="1"/>
  <c r="M138" i="38" a="1"/>
  <c r="M138" i="38" s="1"/>
  <c r="AH138" i="38" a="1"/>
  <c r="AH138" i="38" s="1"/>
  <c r="AH317" i="38" s="1"/>
  <c r="K139" i="38" a="1"/>
  <c r="K139" i="38" s="1"/>
  <c r="K318" i="38" s="1"/>
  <c r="AF139" i="38" a="1"/>
  <c r="AF139" i="38" s="1"/>
  <c r="L140" i="38" a="1"/>
  <c r="L140" i="38" s="1"/>
  <c r="L319" i="38" s="1"/>
  <c r="AD140" i="38" a="1"/>
  <c r="AD140" i="38" s="1"/>
  <c r="AD319" i="38" s="1"/>
  <c r="D141" i="38" a="1"/>
  <c r="D141" i="38" s="1"/>
  <c r="D320" i="38" s="1"/>
  <c r="AB141" i="38" a="1"/>
  <c r="AB141" i="38" s="1"/>
  <c r="F142" i="38" a="1"/>
  <c r="F142" i="38" s="1"/>
  <c r="F321" i="38" s="1"/>
  <c r="V142" i="38" a="1"/>
  <c r="V142" i="38" s="1"/>
  <c r="AO143" i="38" a="1"/>
  <c r="AO143" i="38" s="1"/>
  <c r="AO322" i="38" s="1"/>
  <c r="P144" i="38" a="1"/>
  <c r="P144" i="38" s="1"/>
  <c r="P323" i="38" s="1"/>
  <c r="AJ144" i="38" a="1"/>
  <c r="AJ144" i="38" s="1"/>
  <c r="AJ323" i="38" s="1"/>
  <c r="L145" i="38" a="1"/>
  <c r="L145" i="38" s="1"/>
  <c r="L324" i="38" s="1"/>
  <c r="L146" i="38" a="1"/>
  <c r="L146" i="38" s="1"/>
  <c r="L325" i="38" s="1"/>
  <c r="AE147" i="38" a="1"/>
  <c r="AE147" i="38" s="1"/>
  <c r="AE326" i="38" s="1"/>
  <c r="AD148" i="38" a="1"/>
  <c r="AD148" i="38" s="1"/>
  <c r="AD327" i="38" s="1"/>
  <c r="D149" i="38" a="1"/>
  <c r="D149" i="38" s="1"/>
  <c r="D328" i="38" s="1"/>
  <c r="AA149" i="38" a="1"/>
  <c r="AA149" i="38" s="1"/>
  <c r="AA328" i="38" s="1"/>
  <c r="F150" i="38" a="1"/>
  <c r="F150" i="38" s="1"/>
  <c r="F329" i="38" s="1"/>
  <c r="M151" i="38" a="1"/>
  <c r="M151" i="38" s="1"/>
  <c r="M330" i="38" s="1"/>
  <c r="AF151" i="38" a="1"/>
  <c r="AF151" i="38" s="1"/>
  <c r="AF330" i="38" s="1"/>
  <c r="I152" i="38" a="1"/>
  <c r="I152" i="38" s="1"/>
  <c r="I331" i="38" s="1"/>
  <c r="Y152" i="38" a="1"/>
  <c r="Y152" i="38" s="1"/>
  <c r="Y331" i="38" s="1"/>
  <c r="AH153" i="38" a="1"/>
  <c r="AH153" i="38" s="1"/>
  <c r="AH332" i="38" s="1"/>
  <c r="I154" i="38" a="1"/>
  <c r="I154" i="38" s="1"/>
  <c r="I333" i="38" s="1"/>
  <c r="W154" i="38" a="1"/>
  <c r="W154" i="38" s="1"/>
  <c r="W333" i="38" s="1"/>
  <c r="AM154" i="38" a="1"/>
  <c r="AM154" i="38" s="1"/>
  <c r="AM333" i="38" s="1"/>
  <c r="AB155" i="38" a="1"/>
  <c r="AB155" i="38" s="1"/>
  <c r="AR155" i="38" a="1"/>
  <c r="AR155" i="38" s="1"/>
  <c r="S156" i="38" a="1"/>
  <c r="S156" i="38" s="1"/>
  <c r="AJ156" i="38" a="1"/>
  <c r="AJ156" i="38" s="1"/>
  <c r="J157" i="38" a="1"/>
  <c r="J157" i="38" s="1"/>
  <c r="AR157" i="38" a="1"/>
  <c r="AR157" i="38" s="1"/>
  <c r="AK158" i="38" a="1"/>
  <c r="AK158" i="38" s="1"/>
  <c r="K159" i="38" a="1"/>
  <c r="K159" i="38" s="1"/>
  <c r="AC120" i="38" a="1"/>
  <c r="AC120" i="38" s="1"/>
  <c r="D123" i="38" a="1"/>
  <c r="D123" i="38" s="1"/>
  <c r="F124" i="38" a="1"/>
  <c r="F124" i="38" s="1"/>
  <c r="F303" i="38" s="1"/>
  <c r="AL124" i="38" a="1"/>
  <c r="AL124" i="38" s="1"/>
  <c r="AJ125" i="38" a="1"/>
  <c r="AJ125" i="38" s="1"/>
  <c r="AP127" i="38" a="1"/>
  <c r="AP127" i="38" s="1"/>
  <c r="C129" i="38" a="1"/>
  <c r="C129" i="38" s="1"/>
  <c r="C308" i="38" s="1"/>
  <c r="G130" i="38" a="1"/>
  <c r="G130" i="38" s="1"/>
  <c r="AG130" i="38" a="1"/>
  <c r="AG130" i="38" s="1"/>
  <c r="G131" i="38" a="1"/>
  <c r="G131" i="38" s="1"/>
  <c r="G310" i="38" s="1"/>
  <c r="AJ131" i="38" a="1"/>
  <c r="AJ131" i="38" s="1"/>
  <c r="P132" i="38" a="1"/>
  <c r="P132" i="38" s="1"/>
  <c r="AP132" i="38" a="1"/>
  <c r="AP132" i="38" s="1"/>
  <c r="E134" i="38" a="1"/>
  <c r="E134" i="38" s="1"/>
  <c r="E313" i="38" s="1"/>
  <c r="Z134" i="38" a="1"/>
  <c r="Z134" i="38" s="1"/>
  <c r="Z313" i="38" s="1"/>
  <c r="AF135" i="38" a="1"/>
  <c r="AF135" i="38" s="1"/>
  <c r="M136" i="38" a="1"/>
  <c r="M136" i="38" s="1"/>
  <c r="M137" i="38" a="1"/>
  <c r="M137" i="38" s="1"/>
  <c r="AI138" i="38" a="1"/>
  <c r="AI138" i="38" s="1"/>
  <c r="AI317" i="38" s="1"/>
  <c r="AK139" i="38" a="1"/>
  <c r="AK139" i="38" s="1"/>
  <c r="AK318" i="38" s="1"/>
  <c r="E141" i="38" a="1"/>
  <c r="E141" i="38" s="1"/>
  <c r="E320" i="38" s="1"/>
  <c r="AC141" i="38" a="1"/>
  <c r="AC141" i="38" s="1"/>
  <c r="W142" i="38" a="1"/>
  <c r="W142" i="38" s="1"/>
  <c r="AP142" i="38" a="1"/>
  <c r="AP142" i="38" s="1"/>
  <c r="AP321" i="38" s="1"/>
  <c r="U143" i="38" a="1"/>
  <c r="U143" i="38" s="1"/>
  <c r="U322" i="38" s="1"/>
  <c r="AG145" i="38" a="1"/>
  <c r="AG145" i="38" s="1"/>
  <c r="AG324" i="38" s="1"/>
  <c r="M146" i="38" a="1"/>
  <c r="M146" i="38" s="1"/>
  <c r="AF146" i="38" a="1"/>
  <c r="AF146" i="38" s="1"/>
  <c r="H147" i="38" a="1"/>
  <c r="H147" i="38" s="1"/>
  <c r="H326" i="38" s="1"/>
  <c r="AI147" i="38" a="1"/>
  <c r="AI147" i="38" s="1"/>
  <c r="AI326" i="38" s="1"/>
  <c r="L148" i="38" a="1"/>
  <c r="L148" i="38" s="1"/>
  <c r="L327" i="38" s="1"/>
  <c r="E149" i="38" a="1"/>
  <c r="E149" i="38" s="1"/>
  <c r="E328" i="38" s="1"/>
  <c r="AB149" i="38" a="1"/>
  <c r="AB149" i="38" s="1"/>
  <c r="V150" i="38" a="1"/>
  <c r="V150" i="38" s="1"/>
  <c r="V329" i="38" s="1"/>
  <c r="AM150" i="38" a="1"/>
  <c r="AM150" i="38" s="1"/>
  <c r="AM329" i="38" s="1"/>
  <c r="N151" i="38" a="1"/>
  <c r="N151" i="38" s="1"/>
  <c r="N330" i="38" s="1"/>
  <c r="AH151" i="38" a="1"/>
  <c r="AH151" i="38" s="1"/>
  <c r="J152" i="38" a="1"/>
  <c r="J152" i="38" s="1"/>
  <c r="J331" i="38" s="1"/>
  <c r="Z152" i="38" a="1"/>
  <c r="Z152" i="38" s="1"/>
  <c r="Z331" i="38" s="1"/>
  <c r="AQ152" i="38" a="1"/>
  <c r="AQ152" i="38" s="1"/>
  <c r="AQ331" i="38" s="1"/>
  <c r="Q153" i="38" a="1"/>
  <c r="Q153" i="38" s="1"/>
  <c r="Q332" i="38" s="1"/>
  <c r="AI153" i="38" a="1"/>
  <c r="AI153" i="38" s="1"/>
  <c r="AI332" i="38" s="1"/>
  <c r="X154" i="38" a="1"/>
  <c r="X154" i="38" s="1"/>
  <c r="X333" i="38" s="1"/>
  <c r="N155" i="38" a="1"/>
  <c r="N155" i="38" s="1"/>
  <c r="AC155" i="38" a="1"/>
  <c r="AC155" i="38" s="1"/>
  <c r="C156" i="38" a="1"/>
  <c r="C156" i="38" s="1"/>
  <c r="AK156" i="38" a="1"/>
  <c r="AK156" i="38" s="1"/>
  <c r="K157" i="38" a="1"/>
  <c r="K157" i="38" s="1"/>
  <c r="AB157" i="38" a="1"/>
  <c r="AB157" i="38" s="1"/>
  <c r="U158" i="38" a="1"/>
  <c r="U158" i="38" s="1"/>
  <c r="AL158" i="38" a="1"/>
  <c r="AL158" i="38" s="1"/>
  <c r="AC159" i="38" a="1"/>
  <c r="AC159" i="38" s="1"/>
  <c r="T160" i="38" a="1"/>
  <c r="T160" i="38" s="1"/>
  <c r="AK160" i="38" a="1"/>
  <c r="AK160" i="38" s="1"/>
  <c r="K161" i="38" a="1"/>
  <c r="K161" i="38" s="1"/>
  <c r="AB161" i="38" a="1"/>
  <c r="AB161" i="38" s="1"/>
  <c r="AR161" i="38" a="1"/>
  <c r="AR161" i="38" s="1"/>
  <c r="AJ162" i="38" a="1"/>
  <c r="AJ162" i="38" s="1"/>
  <c r="E122" i="38" a="1"/>
  <c r="E122" i="38" s="1"/>
  <c r="H123" i="38" a="1"/>
  <c r="H123" i="38" s="1"/>
  <c r="G124" i="38" a="1"/>
  <c r="G124" i="38" s="1"/>
  <c r="AG126" i="38" a="1"/>
  <c r="AG126" i="38" s="1"/>
  <c r="O127" i="38" a="1"/>
  <c r="O127" i="38" s="1"/>
  <c r="W128" i="38" a="1"/>
  <c r="W128" i="38" s="1"/>
  <c r="D129" i="38" a="1"/>
  <c r="D129" i="38" s="1"/>
  <c r="AC129" i="38" a="1"/>
  <c r="AC129" i="38" s="1"/>
  <c r="L130" i="38" a="1"/>
  <c r="L130" i="38" s="1"/>
  <c r="H131" i="38" a="1"/>
  <c r="H131" i="38" s="1"/>
  <c r="H310" i="38" s="1"/>
  <c r="AK131" i="38" a="1"/>
  <c r="AK131" i="38" s="1"/>
  <c r="V133" i="38" a="1"/>
  <c r="V133" i="38" s="1"/>
  <c r="V312" i="38" s="1"/>
  <c r="F134" i="38" a="1"/>
  <c r="F134" i="38" s="1"/>
  <c r="F313" i="38" s="1"/>
  <c r="J135" i="38" a="1"/>
  <c r="J135" i="38" s="1"/>
  <c r="AG135" i="38" a="1"/>
  <c r="AG135" i="38" s="1"/>
  <c r="AG314" i="38" s="1"/>
  <c r="N136" i="38" a="1"/>
  <c r="N136" i="38" s="1"/>
  <c r="AG136" i="38" a="1"/>
  <c r="AG136" i="38" s="1"/>
  <c r="AF120" i="38" a="1"/>
  <c r="AF120" i="38" s="1"/>
  <c r="I122" i="38" a="1"/>
  <c r="I122" i="38" s="1"/>
  <c r="J123" i="38" a="1"/>
  <c r="J123" i="38" s="1"/>
  <c r="H124" i="38" a="1"/>
  <c r="H124" i="38" s="1"/>
  <c r="H303" i="38" s="1"/>
  <c r="AM124" i="38" a="1"/>
  <c r="AM124" i="38" s="1"/>
  <c r="AM303" i="38" s="1"/>
  <c r="AN114" i="38" a="1"/>
  <c r="AN114" i="38" s="1"/>
  <c r="AI120" i="38" a="1"/>
  <c r="AI120" i="38" s="1"/>
  <c r="K122" i="38" a="1"/>
  <c r="K122" i="38" s="1"/>
  <c r="L123" i="38" a="1"/>
  <c r="L123" i="38" s="1"/>
  <c r="L124" i="38" a="1"/>
  <c r="L124" i="38" s="1"/>
  <c r="I125" i="38" a="1"/>
  <c r="I125" i="38" s="1"/>
  <c r="AO125" i="38" a="1"/>
  <c r="AO125" i="38" s="1"/>
  <c r="T127" i="38" a="1"/>
  <c r="T127" i="38" s="1"/>
  <c r="D128" i="38" a="1"/>
  <c r="D128" i="38" s="1"/>
  <c r="Y128" i="38" a="1"/>
  <c r="Y128" i="38" s="1"/>
  <c r="Y307" i="38" s="1"/>
  <c r="AL120" i="38" a="1"/>
  <c r="AL120" i="38" s="1"/>
  <c r="AA124" i="38" a="1"/>
  <c r="AA124" i="38" s="1"/>
  <c r="O126" i="38" a="1"/>
  <c r="O126" i="38" s="1"/>
  <c r="U127" i="38" a="1"/>
  <c r="U127" i="38" s="1"/>
  <c r="O128" i="38" a="1"/>
  <c r="O128" i="38" s="1"/>
  <c r="N129" i="38" a="1"/>
  <c r="N129" i="38" s="1"/>
  <c r="N308" i="38" s="1"/>
  <c r="O130" i="38" a="1"/>
  <c r="O130" i="38" s="1"/>
  <c r="AO131" i="38" a="1"/>
  <c r="AO131" i="38" s="1"/>
  <c r="AO310" i="38" s="1"/>
  <c r="AF132" i="38" a="1"/>
  <c r="AF132" i="38" s="1"/>
  <c r="AF311" i="38" s="1"/>
  <c r="AA134" i="38" a="1"/>
  <c r="AA134" i="38" s="1"/>
  <c r="AA313" i="38" s="1"/>
  <c r="Q135" i="38" a="1"/>
  <c r="Q135" i="38" s="1"/>
  <c r="Q136" i="38" a="1"/>
  <c r="Q136" i="38" s="1"/>
  <c r="Q315" i="38" s="1"/>
  <c r="AR136" i="38" a="1"/>
  <c r="AR136" i="38" s="1"/>
  <c r="AN137" i="38" a="1"/>
  <c r="AN137" i="38" s="1"/>
  <c r="AN316" i="38" s="1"/>
  <c r="X138" i="38" a="1"/>
  <c r="X138" i="38" s="1"/>
  <c r="X317" i="38" s="1"/>
  <c r="N139" i="38" a="1"/>
  <c r="N139" i="38" s="1"/>
  <c r="N318" i="38" s="1"/>
  <c r="AM120" i="38" a="1"/>
  <c r="AM120" i="38" s="1"/>
  <c r="AC124" i="38" a="1"/>
  <c r="AC124" i="38" s="1"/>
  <c r="AC303" i="38" s="1"/>
  <c r="Q126" i="38" a="1"/>
  <c r="Q126" i="38" s="1"/>
  <c r="Z127" i="38" a="1"/>
  <c r="Z127" i="38" s="1"/>
  <c r="P130" i="38" a="1"/>
  <c r="P130" i="38" s="1"/>
  <c r="AS130" i="38"/>
  <c r="AQ131" i="38" a="1"/>
  <c r="AQ131" i="38" s="1"/>
  <c r="AQ310" i="38" s="1"/>
  <c r="AF133" i="38" a="1"/>
  <c r="AF133" i="38" s="1"/>
  <c r="AB134" i="38" a="1"/>
  <c r="AB134" i="38" s="1"/>
  <c r="R135" i="38" a="1"/>
  <c r="R135" i="38" s="1"/>
  <c r="R136" i="38" a="1"/>
  <c r="R136" i="38" s="1"/>
  <c r="AS136" i="38"/>
  <c r="AO137" i="38" a="1"/>
  <c r="AO137" i="38" s="1"/>
  <c r="Y138" i="38" a="1"/>
  <c r="Y138" i="38" s="1"/>
  <c r="O139" i="38" a="1"/>
  <c r="O139" i="38" s="1"/>
  <c r="O318" i="38" s="1"/>
  <c r="C140" i="38" a="1"/>
  <c r="C140" i="38" s="1"/>
  <c r="AF140" i="38" a="1"/>
  <c r="AF140" i="38" s="1"/>
  <c r="P141" i="38" a="1"/>
  <c r="P141" i="38" s="1"/>
  <c r="P320" i="38" s="1"/>
  <c r="H144" i="38" a="1"/>
  <c r="H144" i="38" s="1"/>
  <c r="AC144" i="38" a="1"/>
  <c r="AC144" i="38" s="1"/>
  <c r="AC323" i="38" s="1"/>
  <c r="Q145" i="38" a="1"/>
  <c r="Q145" i="38" s="1"/>
  <c r="Q324" i="38" s="1"/>
  <c r="AJ146" i="38" a="1"/>
  <c r="AJ146" i="38" s="1"/>
  <c r="AJ325" i="38" s="1"/>
  <c r="Y147" i="38" a="1"/>
  <c r="Y147" i="38" s="1"/>
  <c r="Y326" i="38" s="1"/>
  <c r="O148" i="38" a="1"/>
  <c r="O148" i="38" s="1"/>
  <c r="AO148" i="38" a="1"/>
  <c r="AO148" i="38" s="1"/>
  <c r="AO327" i="38" s="1"/>
  <c r="AF149" i="38" a="1"/>
  <c r="AF149" i="38" s="1"/>
  <c r="AF328" i="38" s="1"/>
  <c r="AO150" i="38" a="1"/>
  <c r="AO150" i="38" s="1"/>
  <c r="AO329" i="38" s="1"/>
  <c r="W151" i="38" a="1"/>
  <c r="W151" i="38" s="1"/>
  <c r="AR151" i="38" a="1"/>
  <c r="AR151" i="38" s="1"/>
  <c r="C153" i="38" a="1"/>
  <c r="C153" i="38" s="1"/>
  <c r="C332" i="38" s="1"/>
  <c r="W153" i="38" a="1"/>
  <c r="W153" i="38" s="1"/>
  <c r="W332" i="38" s="1"/>
  <c r="S154" i="38" a="1"/>
  <c r="S154" i="38" s="1"/>
  <c r="S333" i="38" s="1"/>
  <c r="AN154" i="38" a="1"/>
  <c r="AN154" i="38" s="1"/>
  <c r="AN333" i="38" s="1"/>
  <c r="AH155" i="38" a="1"/>
  <c r="AH155" i="38" s="1"/>
  <c r="K156" i="38" a="1"/>
  <c r="K156" i="38" s="1"/>
  <c r="AC156" i="38" a="1"/>
  <c r="AC156" i="38" s="1"/>
  <c r="E157" i="38" a="1"/>
  <c r="E157" i="38" s="1"/>
  <c r="AP157" i="38" a="1"/>
  <c r="AP157" i="38" s="1"/>
  <c r="T158" i="38" a="1"/>
  <c r="T158" i="38" s="1"/>
  <c r="AN158" i="38" a="1"/>
  <c r="AN158" i="38" s="1"/>
  <c r="O159" i="38" a="1"/>
  <c r="O159" i="38" s="1"/>
  <c r="H160" i="38" a="1"/>
  <c r="H160" i="38" s="1"/>
  <c r="X160" i="38" a="1"/>
  <c r="X160" i="38" s="1"/>
  <c r="AP160" i="38" a="1"/>
  <c r="AP160" i="38" s="1"/>
  <c r="R161" i="38" a="1"/>
  <c r="R161" i="38" s="1"/>
  <c r="AI161" i="38" a="1"/>
  <c r="AI161" i="38" s="1"/>
  <c r="L162" i="38" a="1"/>
  <c r="L162" i="38" s="1"/>
  <c r="AC162" i="38" a="1"/>
  <c r="AC162" i="38" s="1"/>
  <c r="D163" i="38" a="1"/>
  <c r="D163" i="38" s="1"/>
  <c r="V163" i="38" a="1"/>
  <c r="V163" i="38" s="1"/>
  <c r="X165" i="38" a="1"/>
  <c r="X165" i="38" s="1"/>
  <c r="AO165" i="38" a="1"/>
  <c r="AO165" i="38" s="1"/>
  <c r="P166" i="38" a="1"/>
  <c r="P166" i="38" s="1"/>
  <c r="AG166" i="38" a="1"/>
  <c r="AG166" i="38" s="1"/>
  <c r="AA167" i="38" a="1"/>
  <c r="AA167" i="38" s="1"/>
  <c r="AJ168" i="38" a="1"/>
  <c r="AJ168" i="38" s="1"/>
  <c r="J169" i="38" a="1"/>
  <c r="J169" i="38" s="1"/>
  <c r="Y169" i="38" a="1"/>
  <c r="Y169" i="38" s="1"/>
  <c r="AQ169" i="38" a="1"/>
  <c r="AQ169" i="38" s="1"/>
  <c r="Q170" i="38" a="1"/>
  <c r="Q170" i="38" s="1"/>
  <c r="AG170" i="38" a="1"/>
  <c r="AG170" i="38" s="1"/>
  <c r="H171" i="38" a="1"/>
  <c r="H171" i="38" s="1"/>
  <c r="Z171" i="38" a="1"/>
  <c r="Z171" i="38" s="1"/>
  <c r="AO171" i="38" a="1"/>
  <c r="AO171" i="38" s="1"/>
  <c r="G121" i="38" a="1"/>
  <c r="G121" i="38" s="1"/>
  <c r="AA127" i="38" a="1"/>
  <c r="AA127" i="38" s="1"/>
  <c r="X128" i="38" a="1"/>
  <c r="X128" i="38" s="1"/>
  <c r="O129" i="38" a="1"/>
  <c r="O129" i="38" s="1"/>
  <c r="C131" i="38" a="1"/>
  <c r="C131" i="38" s="1"/>
  <c r="AQ132" i="38" a="1"/>
  <c r="AQ132" i="38" s="1"/>
  <c r="AQ311" i="38" s="1"/>
  <c r="AC134" i="38" a="1"/>
  <c r="AC134" i="38" s="1"/>
  <c r="C137" i="38" a="1"/>
  <c r="C137" i="38" s="1"/>
  <c r="C316" i="38" s="1"/>
  <c r="AP137" i="38" a="1"/>
  <c r="AP137" i="38" s="1"/>
  <c r="AP316" i="38" s="1"/>
  <c r="T139" i="38" a="1"/>
  <c r="T139" i="38" s="1"/>
  <c r="H142" i="38" a="1"/>
  <c r="H142" i="38" s="1"/>
  <c r="H321" i="38" s="1"/>
  <c r="AF142" i="38" a="1"/>
  <c r="AF142" i="38" s="1"/>
  <c r="AF321" i="38" s="1"/>
  <c r="V143" i="38" a="1"/>
  <c r="V143" i="38" s="1"/>
  <c r="V322" i="38" s="1"/>
  <c r="AK144" i="38" a="1"/>
  <c r="AK144" i="38" s="1"/>
  <c r="AK323" i="38" s="1"/>
  <c r="V145" i="38" a="1"/>
  <c r="V145" i="38" s="1"/>
  <c r="F146" i="38" a="1"/>
  <c r="F146" i="38" s="1"/>
  <c r="F325" i="38" s="1"/>
  <c r="Z147" i="38" a="1"/>
  <c r="Z147" i="38" s="1"/>
  <c r="Z326" i="38" s="1"/>
  <c r="P148" i="38" a="1"/>
  <c r="P148" i="38" s="1"/>
  <c r="M150" i="38" a="1"/>
  <c r="M150" i="38" s="1"/>
  <c r="M329" i="38" s="1"/>
  <c r="AS151" i="38"/>
  <c r="X152" i="38" a="1"/>
  <c r="X152" i="38" s="1"/>
  <c r="X331" i="38" s="1"/>
  <c r="D153" i="38" a="1"/>
  <c r="D153" i="38" s="1"/>
  <c r="D332" i="38" s="1"/>
  <c r="X153" i="38" a="1"/>
  <c r="X153" i="38" s="1"/>
  <c r="X332" i="38" s="1"/>
  <c r="AS153" i="38"/>
  <c r="AO154" i="38" a="1"/>
  <c r="AO154" i="38" s="1"/>
  <c r="AO333" i="38" s="1"/>
  <c r="S155" i="38" a="1"/>
  <c r="S155" i="38" s="1"/>
  <c r="AI155" i="38" a="1"/>
  <c r="AI155" i="38" s="1"/>
  <c r="AD156" i="38" a="1"/>
  <c r="AD156" i="38" s="1"/>
  <c r="F157" i="38" a="1"/>
  <c r="F157" i="38" s="1"/>
  <c r="X157" i="38" a="1"/>
  <c r="X157" i="38" s="1"/>
  <c r="AQ157" i="38" a="1"/>
  <c r="AQ157" i="38" s="1"/>
  <c r="V158" i="38" a="1"/>
  <c r="V158" i="38" s="1"/>
  <c r="P159" i="38" a="1"/>
  <c r="P159" i="38" s="1"/>
  <c r="AG159" i="38" a="1"/>
  <c r="AG159" i="38" s="1"/>
  <c r="I160" i="38" a="1"/>
  <c r="I160" i="38" s="1"/>
  <c r="Y160" i="38" a="1"/>
  <c r="Y160" i="38" s="1"/>
  <c r="AQ160" i="38" a="1"/>
  <c r="AQ160" i="38" s="1"/>
  <c r="S161" i="38" a="1"/>
  <c r="S161" i="38" s="1"/>
  <c r="AJ161" i="38" a="1"/>
  <c r="AJ161" i="38" s="1"/>
  <c r="AD162" i="38" a="1"/>
  <c r="AD162" i="38" s="1"/>
  <c r="E163" i="38" a="1"/>
  <c r="E163" i="38" s="1"/>
  <c r="AM163" i="38" a="1"/>
  <c r="AM163" i="38" s="1"/>
  <c r="N164" i="38" a="1"/>
  <c r="N164" i="38" s="1"/>
  <c r="AF164" i="38" a="1"/>
  <c r="AF164" i="38" s="1"/>
  <c r="H165" i="38" a="1"/>
  <c r="H165" i="38" s="1"/>
  <c r="Y165" i="38" a="1"/>
  <c r="Y165" i="38" s="1"/>
  <c r="AP165" i="38" a="1"/>
  <c r="AP165" i="38" s="1"/>
  <c r="Q166" i="38" a="1"/>
  <c r="Q166" i="38" s="1"/>
  <c r="AH166" i="38" a="1"/>
  <c r="AH166" i="38" s="1"/>
  <c r="J167" i="38" a="1"/>
  <c r="J167" i="38" s="1"/>
  <c r="AB167" i="38" a="1"/>
  <c r="AB167" i="38" s="1"/>
  <c r="C168" i="38" a="1"/>
  <c r="C168" i="38" s="1"/>
  <c r="U168" i="38" a="1"/>
  <c r="U168" i="38" s="1"/>
  <c r="AK168" i="38" a="1"/>
  <c r="AK168" i="38" s="1"/>
  <c r="K169" i="38" a="1"/>
  <c r="K169" i="38" s="1"/>
  <c r="Z169" i="38" a="1"/>
  <c r="Z169" i="38" s="1"/>
  <c r="R170" i="38" a="1"/>
  <c r="R170" i="38" s="1"/>
  <c r="AH170" i="38" a="1"/>
  <c r="AH170" i="38" s="1"/>
  <c r="I171" i="38" a="1"/>
  <c r="I171" i="38" s="1"/>
  <c r="AA171" i="38" a="1"/>
  <c r="AA171" i="38" s="1"/>
  <c r="AP171" i="38" a="1"/>
  <c r="AP171" i="38" s="1"/>
  <c r="P172" i="38" a="1"/>
  <c r="P172" i="38" s="1"/>
  <c r="E173" i="38" a="1"/>
  <c r="E173" i="38" s="1"/>
  <c r="U173" i="38" a="1"/>
  <c r="U173" i="38" s="1"/>
  <c r="AA174" i="38" a="1"/>
  <c r="AA174" i="38" s="1"/>
  <c r="M121" i="38" a="1"/>
  <c r="M121" i="38" s="1"/>
  <c r="V123" i="38" a="1"/>
  <c r="V123" i="38" s="1"/>
  <c r="F125" i="38" a="1"/>
  <c r="F125" i="38" s="1"/>
  <c r="S126" i="38" a="1"/>
  <c r="S126" i="38" s="1"/>
  <c r="Q130" i="38" a="1"/>
  <c r="Q130" i="38" s="1"/>
  <c r="Q309" i="38" s="1"/>
  <c r="AR131" i="38" a="1"/>
  <c r="AR131" i="38" s="1"/>
  <c r="AG133" i="38" a="1"/>
  <c r="AG133" i="38" s="1"/>
  <c r="AG312" i="38" s="1"/>
  <c r="AG134" i="38" a="1"/>
  <c r="AG134" i="38" s="1"/>
  <c r="X135" i="38" a="1"/>
  <c r="X135" i="38" s="1"/>
  <c r="S136" i="38" a="1"/>
  <c r="S136" i="38" s="1"/>
  <c r="S315" i="38" s="1"/>
  <c r="D137" i="38" a="1"/>
  <c r="D137" i="38" s="1"/>
  <c r="D316" i="38" s="1"/>
  <c r="Z138" i="38" a="1"/>
  <c r="Z138" i="38" s="1"/>
  <c r="Z317" i="38" s="1"/>
  <c r="D140" i="38" a="1"/>
  <c r="D140" i="38" s="1"/>
  <c r="D319" i="38" s="1"/>
  <c r="AG140" i="38" a="1"/>
  <c r="AG140" i="38" s="1"/>
  <c r="AG319" i="38" s="1"/>
  <c r="Q141" i="38" a="1"/>
  <c r="Q141" i="38" s="1"/>
  <c r="Q320" i="38" s="1"/>
  <c r="AG142" i="38" a="1"/>
  <c r="AG142" i="38" s="1"/>
  <c r="W143" i="38" a="1"/>
  <c r="W143" i="38" s="1"/>
  <c r="W322" i="38" s="1"/>
  <c r="I144" i="38" a="1"/>
  <c r="I144" i="38" s="1"/>
  <c r="I323" i="38" s="1"/>
  <c r="AL144" i="38" a="1"/>
  <c r="AL144" i="38" s="1"/>
  <c r="AL323" i="38" s="1"/>
  <c r="AK146" i="38" a="1"/>
  <c r="AK146" i="38" s="1"/>
  <c r="AK325" i="38" s="1"/>
  <c r="AA147" i="38" a="1"/>
  <c r="AA147" i="38" s="1"/>
  <c r="AA326" i="38" s="1"/>
  <c r="AP148" i="38" a="1"/>
  <c r="AP148" i="38" s="1"/>
  <c r="AP327" i="38" s="1"/>
  <c r="AG149" i="38" a="1"/>
  <c r="AG149" i="38" s="1"/>
  <c r="AG328" i="38" s="1"/>
  <c r="P150" i="38" a="1"/>
  <c r="P150" i="38" s="1"/>
  <c r="P329" i="38" s="1"/>
  <c r="AR150" i="38" a="1"/>
  <c r="AR150" i="38" s="1"/>
  <c r="AR329" i="38" s="1"/>
  <c r="X151" i="38" a="1"/>
  <c r="X151" i="38" s="1"/>
  <c r="X330" i="38" s="1"/>
  <c r="C152" i="38" a="1"/>
  <c r="C152" i="38" s="1"/>
  <c r="C331" i="38" s="1"/>
  <c r="C154" i="38" a="1"/>
  <c r="C154" i="38" s="1"/>
  <c r="AP154" i="38" a="1"/>
  <c r="AP154" i="38" s="1"/>
  <c r="AP333" i="38" s="1"/>
  <c r="AJ155" i="38" a="1"/>
  <c r="AJ155" i="38" s="1"/>
  <c r="L156" i="38" a="1"/>
  <c r="L156" i="38" s="1"/>
  <c r="Y157" i="38" a="1"/>
  <c r="Y157" i="38" s="1"/>
  <c r="AO158" i="38" a="1"/>
  <c r="AO158" i="38" s="1"/>
  <c r="Q159" i="38" a="1"/>
  <c r="Q159" i="38" s="1"/>
  <c r="AH159" i="38" a="1"/>
  <c r="AH159" i="38" s="1"/>
  <c r="Z160" i="38" a="1"/>
  <c r="Z160" i="38" s="1"/>
  <c r="AK161" i="38" a="1"/>
  <c r="AK161" i="38" s="1"/>
  <c r="M162" i="38" a="1"/>
  <c r="M162" i="38" s="1"/>
  <c r="F163" i="38" a="1"/>
  <c r="F163" i="38" s="1"/>
  <c r="W163" i="38" a="1"/>
  <c r="W163" i="38" s="1"/>
  <c r="AN163" i="38" a="1"/>
  <c r="AN163" i="38" s="1"/>
  <c r="O164" i="38" a="1"/>
  <c r="O164" i="38" s="1"/>
  <c r="AG164" i="38" a="1"/>
  <c r="AG164" i="38" s="1"/>
  <c r="I165" i="38" a="1"/>
  <c r="I165" i="38" s="1"/>
  <c r="Z165" i="38" a="1"/>
  <c r="Z165" i="38" s="1"/>
  <c r="AQ165" i="38" a="1"/>
  <c r="AQ165" i="38" s="1"/>
  <c r="R166" i="38" a="1"/>
  <c r="R166" i="38" s="1"/>
  <c r="AI166" i="38" a="1"/>
  <c r="AI166" i="38" s="1"/>
  <c r="AL168" i="38" a="1"/>
  <c r="AL168" i="38" s="1"/>
  <c r="AA169" i="38" a="1"/>
  <c r="AA169" i="38" s="1"/>
  <c r="AR169" i="38" a="1"/>
  <c r="AR169" i="38" s="1"/>
  <c r="AB171" i="38" a="1"/>
  <c r="AB171" i="38" s="1"/>
  <c r="AG172" i="38" a="1"/>
  <c r="AG172" i="38" s="1"/>
  <c r="F173" i="38" a="1"/>
  <c r="F173" i="38" s="1"/>
  <c r="AM173" i="38" a="1"/>
  <c r="AM173" i="38" s="1"/>
  <c r="L174" i="38" a="1"/>
  <c r="L174" i="38" s="1"/>
  <c r="AR174" i="38" a="1"/>
  <c r="AR174" i="38" s="1"/>
  <c r="R175" i="38" a="1"/>
  <c r="R175" i="38" s="1"/>
  <c r="AF175" i="38" a="1"/>
  <c r="AF175" i="38" s="1"/>
  <c r="E176" i="38" a="1"/>
  <c r="E176" i="38" s="1"/>
  <c r="U176" i="38" a="1"/>
  <c r="U176" i="38" s="1"/>
  <c r="J177" i="38" a="1"/>
  <c r="J177" i="38" s="1"/>
  <c r="X177" i="38" a="1"/>
  <c r="X177" i="38" s="1"/>
  <c r="AN177" i="38" a="1"/>
  <c r="AN177" i="38" s="1"/>
  <c r="N178" i="38" a="1"/>
  <c r="N178" i="38" s="1"/>
  <c r="AC178" i="38" a="1"/>
  <c r="AC178" i="38" s="1"/>
  <c r="AQ178" i="38" a="1"/>
  <c r="AQ178" i="38" s="1"/>
  <c r="AG179" i="38" a="1"/>
  <c r="AG179" i="38" s="1"/>
  <c r="Q121" i="38" a="1"/>
  <c r="Q121" i="38" s="1"/>
  <c r="X123" i="38" a="1"/>
  <c r="X123" i="38" s="1"/>
  <c r="K125" i="38" a="1"/>
  <c r="K125" i="38" s="1"/>
  <c r="T126" i="38" a="1"/>
  <c r="T126" i="38" s="1"/>
  <c r="Z128" i="38" a="1"/>
  <c r="Z128" i="38" s="1"/>
  <c r="Z307" i="38" s="1"/>
  <c r="P129" i="38" a="1"/>
  <c r="P129" i="38" s="1"/>
  <c r="M131" i="38" a="1"/>
  <c r="M131" i="38" s="1"/>
  <c r="G132" i="38" a="1"/>
  <c r="G132" i="38" s="1"/>
  <c r="AR132" i="38" a="1"/>
  <c r="AR132" i="38" s="1"/>
  <c r="AH133" i="38" a="1"/>
  <c r="AH133" i="38" s="1"/>
  <c r="Y135" i="38" a="1"/>
  <c r="Y135" i="38" s="1"/>
  <c r="Y314" i="38" s="1"/>
  <c r="T136" i="38" a="1"/>
  <c r="T136" i="38" s="1"/>
  <c r="T315" i="38" s="1"/>
  <c r="N137" i="38" a="1"/>
  <c r="N137" i="38" s="1"/>
  <c r="D138" i="38" a="1"/>
  <c r="D138" i="38" s="1"/>
  <c r="E140" i="38" a="1"/>
  <c r="E140" i="38" s="1"/>
  <c r="E319" i="38" s="1"/>
  <c r="R141" i="38" a="1"/>
  <c r="R141" i="38" s="1"/>
  <c r="R320" i="38" s="1"/>
  <c r="I142" i="38" a="1"/>
  <c r="I142" i="38" s="1"/>
  <c r="I321" i="38" s="1"/>
  <c r="X143" i="38" a="1"/>
  <c r="X143" i="38" s="1"/>
  <c r="X322" i="38" s="1"/>
  <c r="J144" i="38" a="1"/>
  <c r="J144" i="38" s="1"/>
  <c r="J323" i="38" s="1"/>
  <c r="X145" i="38" a="1"/>
  <c r="X145" i="38" s="1"/>
  <c r="N146" i="38" a="1"/>
  <c r="N146" i="38" s="1"/>
  <c r="N325" i="38" s="1"/>
  <c r="AJ147" i="38" a="1"/>
  <c r="AJ147" i="38" s="1"/>
  <c r="R148" i="38" a="1"/>
  <c r="R148" i="38" s="1"/>
  <c r="R327" i="38" s="1"/>
  <c r="AH149" i="38" a="1"/>
  <c r="AH149" i="38" s="1"/>
  <c r="AH328" i="38" s="1"/>
  <c r="C151" i="38" a="1"/>
  <c r="C151" i="38" s="1"/>
  <c r="C330" i="38" s="1"/>
  <c r="Y151" i="38" a="1"/>
  <c r="Y151" i="38" s="1"/>
  <c r="Y330" i="38" s="1"/>
  <c r="E152" i="38" a="1"/>
  <c r="E152" i="38" s="1"/>
  <c r="E331" i="38" s="1"/>
  <c r="AA152" i="38" a="1"/>
  <c r="AA152" i="38" s="1"/>
  <c r="AA331" i="38" s="1"/>
  <c r="E153" i="38" a="1"/>
  <c r="E153" i="38" s="1"/>
  <c r="D154" i="38" a="1"/>
  <c r="D154" i="38" s="1"/>
  <c r="D333" i="38" s="1"/>
  <c r="V154" i="38" a="1"/>
  <c r="V154" i="38" s="1"/>
  <c r="V333" i="38" s="1"/>
  <c r="AQ154" i="38" a="1"/>
  <c r="AQ154" i="38" s="1"/>
  <c r="AQ333" i="38" s="1"/>
  <c r="T155" i="38" a="1"/>
  <c r="T155" i="38" s="1"/>
  <c r="AK155" i="38" a="1"/>
  <c r="AK155" i="38" s="1"/>
  <c r="AE156" i="38" a="1"/>
  <c r="AE156" i="38" s="1"/>
  <c r="G157" i="38" a="1"/>
  <c r="G157" i="38" s="1"/>
  <c r="Z157" i="38" a="1"/>
  <c r="Z157" i="38" s="1"/>
  <c r="C158" i="38" a="1"/>
  <c r="C158" i="38" s="1"/>
  <c r="W158" i="38" a="1"/>
  <c r="W158" i="38" s="1"/>
  <c r="R159" i="38" a="1"/>
  <c r="R159" i="38" s="1"/>
  <c r="AI159" i="38" a="1"/>
  <c r="AI159" i="38" s="1"/>
  <c r="J160" i="38" a="1"/>
  <c r="J160" i="38" s="1"/>
  <c r="AA160" i="38" a="1"/>
  <c r="AA160" i="38" s="1"/>
  <c r="AR160" i="38" a="1"/>
  <c r="AR160" i="38" s="1"/>
  <c r="T161" i="38" a="1"/>
  <c r="T161" i="38" s="1"/>
  <c r="AL161" i="38" a="1"/>
  <c r="AL161" i="38" s="1"/>
  <c r="AE162" i="38" a="1"/>
  <c r="AE162" i="38" s="1"/>
  <c r="G163" i="38" a="1"/>
  <c r="G163" i="38" s="1"/>
  <c r="X163" i="38" a="1"/>
  <c r="X163" i="38" s="1"/>
  <c r="AO163" i="38" a="1"/>
  <c r="AO163" i="38" s="1"/>
  <c r="P164" i="38" a="1"/>
  <c r="P164" i="38" s="1"/>
  <c r="AA165" i="38" a="1"/>
  <c r="AA165" i="38" s="1"/>
  <c r="S121" i="38" a="1"/>
  <c r="S121" i="38" s="1"/>
  <c r="AA123" i="38" a="1"/>
  <c r="AA123" i="38" s="1"/>
  <c r="M125" i="38" a="1"/>
  <c r="M125" i="38" s="1"/>
  <c r="M304" i="38" s="1"/>
  <c r="U126" i="38" a="1"/>
  <c r="U126" i="38" s="1"/>
  <c r="AC127" i="38" a="1"/>
  <c r="AC127" i="38" s="1"/>
  <c r="AC128" i="38" a="1"/>
  <c r="AC128" i="38" s="1"/>
  <c r="U129" i="38" a="1"/>
  <c r="U129" i="38" s="1"/>
  <c r="R130" i="38" a="1"/>
  <c r="R130" i="38" s="1"/>
  <c r="N131" i="38" a="1"/>
  <c r="N131" i="38" s="1"/>
  <c r="AS132" i="38"/>
  <c r="AI133" i="38" a="1"/>
  <c r="AI133" i="38" s="1"/>
  <c r="AI312" i="38" s="1"/>
  <c r="AI134" i="38" a="1"/>
  <c r="AI134" i="38" s="1"/>
  <c r="AA135" i="38" a="1"/>
  <c r="AA135" i="38" s="1"/>
  <c r="E138" i="38" a="1"/>
  <c r="E138" i="38" s="1"/>
  <c r="V139" i="38" a="1"/>
  <c r="V139" i="38" s="1"/>
  <c r="V318" i="38" s="1"/>
  <c r="F140" i="38" a="1"/>
  <c r="F140" i="38" s="1"/>
  <c r="AK140" i="38" a="1"/>
  <c r="AK140" i="38" s="1"/>
  <c r="S141" i="38" a="1"/>
  <c r="S141" i="38" s="1"/>
  <c r="S320" i="38" s="1"/>
  <c r="J142" i="38" a="1"/>
  <c r="J142" i="38" s="1"/>
  <c r="J321" i="38" s="1"/>
  <c r="AH142" i="38" a="1"/>
  <c r="AH142" i="38" s="1"/>
  <c r="AH321" i="38" s="1"/>
  <c r="Y143" i="38" a="1"/>
  <c r="Y143" i="38" s="1"/>
  <c r="AM144" i="38" a="1"/>
  <c r="AM144" i="38" s="1"/>
  <c r="AM323" i="38" s="1"/>
  <c r="Y145" i="38" a="1"/>
  <c r="Y145" i="38" s="1"/>
  <c r="Y324" i="38" s="1"/>
  <c r="O146" i="38" a="1"/>
  <c r="O146" i="38" s="1"/>
  <c r="AO146" i="38" a="1"/>
  <c r="AO146" i="38" s="1"/>
  <c r="AO325" i="38" s="1"/>
  <c r="S148" i="38" a="1"/>
  <c r="S148" i="38" s="1"/>
  <c r="S327" i="38" s="1"/>
  <c r="AI149" i="38" a="1"/>
  <c r="AI149" i="38" s="1"/>
  <c r="AI328" i="38" s="1"/>
  <c r="R150" i="38" a="1"/>
  <c r="R150" i="38" s="1"/>
  <c r="R329" i="38" s="1"/>
  <c r="Z151" i="38" a="1"/>
  <c r="Z151" i="38" s="1"/>
  <c r="Z330" i="38" s="1"/>
  <c r="H152" i="38" a="1"/>
  <c r="H152" i="38" s="1"/>
  <c r="H331" i="38" s="1"/>
  <c r="U121" i="38" a="1"/>
  <c r="U121" i="38" s="1"/>
  <c r="AB123" i="38" a="1"/>
  <c r="AB123" i="38" s="1"/>
  <c r="N125" i="38" a="1"/>
  <c r="N125" i="38" s="1"/>
  <c r="N304" i="38" s="1"/>
  <c r="AH126" i="38" a="1"/>
  <c r="AH126" i="38" s="1"/>
  <c r="AD128" i="38" a="1"/>
  <c r="AD128" i="38" s="1"/>
  <c r="AD129" i="38" a="1"/>
  <c r="AD129" i="38" s="1"/>
  <c r="S130" i="38" a="1"/>
  <c r="S130" i="38" s="1"/>
  <c r="S309" i="38" s="1"/>
  <c r="P131" i="38" a="1"/>
  <c r="P131" i="38" s="1"/>
  <c r="I132" i="38" a="1"/>
  <c r="I132" i="38" s="1"/>
  <c r="C133" i="38" a="1"/>
  <c r="C133" i="38" s="1"/>
  <c r="C312" i="38" s="1"/>
  <c r="AJ133" i="38" a="1"/>
  <c r="AJ133" i="38" s="1"/>
  <c r="AJ312" i="38" s="1"/>
  <c r="AJ134" i="38" a="1"/>
  <c r="AJ134" i="38" s="1"/>
  <c r="AH135" i="38" a="1"/>
  <c r="AH135" i="38" s="1"/>
  <c r="AH314" i="38" s="1"/>
  <c r="U136" i="38" a="1"/>
  <c r="U136" i="38" s="1"/>
  <c r="U315" i="38" s="1"/>
  <c r="P137" i="38" a="1"/>
  <c r="P137" i="38" s="1"/>
  <c r="P316" i="38" s="1"/>
  <c r="F138" i="38" a="1"/>
  <c r="F138" i="38" s="1"/>
  <c r="F317" i="38" s="1"/>
  <c r="AJ138" i="38" a="1"/>
  <c r="AJ138" i="38" s="1"/>
  <c r="AJ317" i="38" s="1"/>
  <c r="W139" i="38" a="1"/>
  <c r="W139" i="38" s="1"/>
  <c r="W318" i="38" s="1"/>
  <c r="M140" i="38" a="1"/>
  <c r="M140" i="38" s="1"/>
  <c r="AL140" i="38" a="1"/>
  <c r="AL140" i="38" s="1"/>
  <c r="T141" i="38" a="1"/>
  <c r="T141" i="38" s="1"/>
  <c r="T320" i="38" s="1"/>
  <c r="K142" i="38" a="1"/>
  <c r="K142" i="38" s="1"/>
  <c r="K321" i="38" s="1"/>
  <c r="AI142" i="38" a="1"/>
  <c r="AI142" i="38" s="1"/>
  <c r="AI321" i="38" s="1"/>
  <c r="Z143" i="38" a="1"/>
  <c r="Z143" i="38" s="1"/>
  <c r="K144" i="38" a="1"/>
  <c r="K144" i="38" s="1"/>
  <c r="K323" i="38" s="1"/>
  <c r="AN144" i="38" a="1"/>
  <c r="AN144" i="38" s="1"/>
  <c r="AN323" i="38" s="1"/>
  <c r="AL147" i="38" a="1"/>
  <c r="AL147" i="38" s="1"/>
  <c r="AL326" i="38" s="1"/>
  <c r="T148" i="38" a="1"/>
  <c r="T148" i="38" s="1"/>
  <c r="T327" i="38" s="1"/>
  <c r="F149" i="38" a="1"/>
  <c r="F149" i="38" s="1"/>
  <c r="F328" i="38" s="1"/>
  <c r="W150" i="38" a="1"/>
  <c r="W150" i="38" s="1"/>
  <c r="W329" i="38" s="1"/>
  <c r="D151" i="38" a="1"/>
  <c r="D151" i="38" s="1"/>
  <c r="D330" i="38" s="1"/>
  <c r="AC152" i="38" a="1"/>
  <c r="AC152" i="38" s="1"/>
  <c r="AC331" i="38" s="1"/>
  <c r="F153" i="38" a="1"/>
  <c r="F153" i="38" s="1"/>
  <c r="F332" i="38" s="1"/>
  <c r="AA153" i="38" a="1"/>
  <c r="AA153" i="38" s="1"/>
  <c r="F154" i="38" a="1"/>
  <c r="F154" i="38" s="1"/>
  <c r="F333" i="38" s="1"/>
  <c r="Z154" i="38" a="1"/>
  <c r="Z154" i="38" s="1"/>
  <c r="Z333" i="38" s="1"/>
  <c r="AS154" i="38"/>
  <c r="U155" i="38" a="1"/>
  <c r="U155" i="38" s="1"/>
  <c r="AM155" i="38" a="1"/>
  <c r="AM155" i="38" s="1"/>
  <c r="N156" i="38" a="1"/>
  <c r="N156" i="38" s="1"/>
  <c r="I157" i="38" a="1"/>
  <c r="I157" i="38" s="1"/>
  <c r="AC157" i="38" a="1"/>
  <c r="AC157" i="38" s="1"/>
  <c r="E158" i="38" a="1"/>
  <c r="E158" i="38" s="1"/>
  <c r="X158" i="38" a="1"/>
  <c r="X158" i="38" s="1"/>
  <c r="V121" i="38" a="1"/>
  <c r="V121" i="38" s="1"/>
  <c r="V300" i="38" s="1"/>
  <c r="O125" i="38" a="1"/>
  <c r="O125" i="38" s="1"/>
  <c r="AI126" i="38" a="1"/>
  <c r="AI126" i="38" s="1"/>
  <c r="AD127" i="38" a="1"/>
  <c r="AD127" i="38" s="1"/>
  <c r="AE128" i="38" a="1"/>
  <c r="AE128" i="38" s="1"/>
  <c r="AE129" i="38" a="1"/>
  <c r="AE129" i="38" s="1"/>
  <c r="T130" i="38" a="1"/>
  <c r="T130" i="38" s="1"/>
  <c r="Q131" i="38" a="1"/>
  <c r="Q131" i="38" s="1"/>
  <c r="Q310" i="38" s="1"/>
  <c r="J132" i="38" a="1"/>
  <c r="J132" i="38" s="1"/>
  <c r="AL133" i="38" a="1"/>
  <c r="AL133" i="38" s="1"/>
  <c r="AL134" i="38" a="1"/>
  <c r="AL134" i="38" s="1"/>
  <c r="AI135" i="38" a="1"/>
  <c r="AI135" i="38" s="1"/>
  <c r="Q137" i="38" a="1"/>
  <c r="Q137" i="38" s="1"/>
  <c r="X139" i="38" a="1"/>
  <c r="X139" i="38" s="1"/>
  <c r="AM140" i="38" a="1"/>
  <c r="AM140" i="38" s="1"/>
  <c r="AD141" i="38" a="1"/>
  <c r="AD141" i="38" s="1"/>
  <c r="AA143" i="38" a="1"/>
  <c r="AA143" i="38" s="1"/>
  <c r="Z145" i="38" a="1"/>
  <c r="Z145" i="38" s="1"/>
  <c r="Z324" i="38" s="1"/>
  <c r="R146" i="38" a="1"/>
  <c r="R146" i="38" s="1"/>
  <c r="R325" i="38" s="1"/>
  <c r="AQ146" i="38" a="1"/>
  <c r="AQ146" i="38" s="1"/>
  <c r="AQ325" i="38" s="1"/>
  <c r="AM147" i="38" a="1"/>
  <c r="AM147" i="38" s="1"/>
  <c r="AM326" i="38" s="1"/>
  <c r="K149" i="38" a="1"/>
  <c r="K149" i="38" s="1"/>
  <c r="K328" i="38" s="1"/>
  <c r="AJ149" i="38" a="1"/>
  <c r="AJ149" i="38" s="1"/>
  <c r="AJ328" i="38" s="1"/>
  <c r="X150" i="38" a="1"/>
  <c r="X150" i="38" s="1"/>
  <c r="X329" i="38" s="1"/>
  <c r="E151" i="38" a="1"/>
  <c r="E151" i="38" s="1"/>
  <c r="E330" i="38" s="1"/>
  <c r="AE123" i="38" a="1"/>
  <c r="AE123" i="38" s="1"/>
  <c r="AK126" i="38" a="1"/>
  <c r="AK126" i="38" s="1"/>
  <c r="AE127" i="38" a="1"/>
  <c r="AE127" i="38" s="1"/>
  <c r="AF128" i="38" a="1"/>
  <c r="AF128" i="38" s="1"/>
  <c r="D133" i="38" a="1"/>
  <c r="D133" i="38" s="1"/>
  <c r="D312" i="38" s="1"/>
  <c r="G134" i="38" a="1"/>
  <c r="G134" i="38" s="1"/>
  <c r="G313" i="38" s="1"/>
  <c r="AJ135" i="38" a="1"/>
  <c r="AJ135" i="38" s="1"/>
  <c r="V136" i="38" a="1"/>
  <c r="V136" i="38" s="1"/>
  <c r="V315" i="38" s="1"/>
  <c r="R137" i="38" a="1"/>
  <c r="R137" i="38" s="1"/>
  <c r="R316" i="38" s="1"/>
  <c r="AK138" i="38" a="1"/>
  <c r="AK138" i="38" s="1"/>
  <c r="Y139" i="38" a="1"/>
  <c r="Y139" i="38" s="1"/>
  <c r="N140" i="38" a="1"/>
  <c r="N140" i="38" s="1"/>
  <c r="N319" i="38" s="1"/>
  <c r="AN140" i="38" a="1"/>
  <c r="AN140" i="38" s="1"/>
  <c r="AN319" i="38" s="1"/>
  <c r="AE141" i="38" a="1"/>
  <c r="AE141" i="38" s="1"/>
  <c r="AE320" i="38" s="1"/>
  <c r="N142" i="38" a="1"/>
  <c r="N142" i="38" s="1"/>
  <c r="L144" i="38" a="1"/>
  <c r="L144" i="38" s="1"/>
  <c r="L323" i="38" s="1"/>
  <c r="AO144" i="38" a="1"/>
  <c r="AO144" i="38" s="1"/>
  <c r="AO323" i="38" s="1"/>
  <c r="AN147" i="38" a="1"/>
  <c r="AN147" i="38" s="1"/>
  <c r="AN326" i="38" s="1"/>
  <c r="W148" i="38" a="1"/>
  <c r="W148" i="38" s="1"/>
  <c r="W327" i="38" s="1"/>
  <c r="AK149" i="38" a="1"/>
  <c r="AK149" i="38" s="1"/>
  <c r="AK328" i="38" s="1"/>
  <c r="Y150" i="38" a="1"/>
  <c r="Y150" i="38" s="1"/>
  <c r="Y329" i="38" s="1"/>
  <c r="AB151" i="38" a="1"/>
  <c r="AB151" i="38" s="1"/>
  <c r="AB330" i="38" s="1"/>
  <c r="K152" i="38" a="1"/>
  <c r="K152" i="38" s="1"/>
  <c r="K331" i="38" s="1"/>
  <c r="I153" i="38" a="1"/>
  <c r="I153" i="38" s="1"/>
  <c r="I332" i="38" s="1"/>
  <c r="AC153" i="38" a="1"/>
  <c r="AC153" i="38" s="1"/>
  <c r="AC332" i="38" s="1"/>
  <c r="H154" i="38" a="1"/>
  <c r="H154" i="38" s="1"/>
  <c r="H333" i="38" s="1"/>
  <c r="V155" i="38" a="1"/>
  <c r="V155" i="38" s="1"/>
  <c r="AN155" i="38" a="1"/>
  <c r="AN155" i="38" s="1"/>
  <c r="P156" i="38" a="1"/>
  <c r="P156" i="38" s="1"/>
  <c r="AH156" i="38" a="1"/>
  <c r="AH156" i="38" s="1"/>
  <c r="L157" i="38" a="1"/>
  <c r="L157" i="38" s="1"/>
  <c r="Z158" i="38" a="1"/>
  <c r="Z158" i="38" s="1"/>
  <c r="X121" i="38" a="1"/>
  <c r="X121" i="38" s="1"/>
  <c r="P125" i="38" a="1"/>
  <c r="P125" i="38" s="1"/>
  <c r="P304" i="38" s="1"/>
  <c r="AL126" i="38" a="1"/>
  <c r="AL126" i="38" s="1"/>
  <c r="AF127" i="38" a="1"/>
  <c r="AF127" i="38" s="1"/>
  <c r="AH128" i="38" a="1"/>
  <c r="AH128" i="38" s="1"/>
  <c r="AH307" i="38" s="1"/>
  <c r="AF129" i="38" a="1"/>
  <c r="AF129" i="38" s="1"/>
  <c r="U130" i="38" a="1"/>
  <c r="U130" i="38" s="1"/>
  <c r="S131" i="38" a="1"/>
  <c r="S131" i="38" s="1"/>
  <c r="S310" i="38" s="1"/>
  <c r="L132" i="38" a="1"/>
  <c r="L132" i="38" s="1"/>
  <c r="L311" i="38" s="1"/>
  <c r="H134" i="38" a="1"/>
  <c r="H134" i="38" s="1"/>
  <c r="AM134" i="38" a="1"/>
  <c r="AM134" i="38" s="1"/>
  <c r="AM313" i="38" s="1"/>
  <c r="AK135" i="38" a="1"/>
  <c r="AK135" i="38" s="1"/>
  <c r="S137" i="38" a="1"/>
  <c r="S137" i="38" s="1"/>
  <c r="S316" i="38" s="1"/>
  <c r="H138" i="38" a="1"/>
  <c r="H138" i="38" s="1"/>
  <c r="Z139" i="38" a="1"/>
  <c r="Z139" i="38" s="1"/>
  <c r="O140" i="38" a="1"/>
  <c r="O140" i="38" s="1"/>
  <c r="O319" i="38" s="1"/>
  <c r="AF141" i="38" a="1"/>
  <c r="AF141" i="38" s="1"/>
  <c r="AF320" i="38" s="1"/>
  <c r="O142" i="38" a="1"/>
  <c r="O142" i="38" s="1"/>
  <c r="O321" i="38" s="1"/>
  <c r="AR142" i="38" a="1"/>
  <c r="AR142" i="38" s="1"/>
  <c r="AR321" i="38" s="1"/>
  <c r="AB143" i="38" a="1"/>
  <c r="AB143" i="38" s="1"/>
  <c r="AB322" i="38" s="1"/>
  <c r="T144" i="38" a="1"/>
  <c r="T144" i="38" s="1"/>
  <c r="T323" i="38" s="1"/>
  <c r="AN115" i="38" a="1"/>
  <c r="AN115" i="38" s="1"/>
  <c r="Y121" i="38" a="1"/>
  <c r="Y121" i="38" s="1"/>
  <c r="AF123" i="38" a="1"/>
  <c r="AF123" i="38" s="1"/>
  <c r="Q125" i="38" a="1"/>
  <c r="Q125" i="38" s="1"/>
  <c r="AM126" i="38" a="1"/>
  <c r="AM126" i="38" s="1"/>
  <c r="AR127" i="38" a="1"/>
  <c r="AR127" i="38" s="1"/>
  <c r="AG129" i="38" a="1"/>
  <c r="AG129" i="38" s="1"/>
  <c r="AG308" i="38" s="1"/>
  <c r="T131" i="38" a="1"/>
  <c r="T131" i="38" s="1"/>
  <c r="T310" i="38" s="1"/>
  <c r="Q132" i="38" a="1"/>
  <c r="Q132" i="38" s="1"/>
  <c r="E133" i="38" a="1"/>
  <c r="E133" i="38" s="1"/>
  <c r="AN134" i="38" a="1"/>
  <c r="AN134" i="38" s="1"/>
  <c r="AO135" i="38" a="1"/>
  <c r="AO135" i="38" s="1"/>
  <c r="AO314" i="38" s="1"/>
  <c r="T137" i="38" a="1"/>
  <c r="T137" i="38" s="1"/>
  <c r="T316" i="38" s="1"/>
  <c r="AL138" i="38" a="1"/>
  <c r="AL138" i="38" s="1"/>
  <c r="AL317" i="38" s="1"/>
  <c r="AA139" i="38" a="1"/>
  <c r="AA139" i="38" s="1"/>
  <c r="P140" i="38" a="1"/>
  <c r="P140" i="38" s="1"/>
  <c r="AO140" i="38" a="1"/>
  <c r="AO140" i="38" s="1"/>
  <c r="P142" i="38" a="1"/>
  <c r="P142" i="38" s="1"/>
  <c r="P321" i="38" s="1"/>
  <c r="AS142" i="38"/>
  <c r="AC143" i="38" a="1"/>
  <c r="AC143" i="38" s="1"/>
  <c r="AC322" i="38" s="1"/>
  <c r="AP144" i="38" a="1"/>
  <c r="AP144" i="38" s="1"/>
  <c r="AP323" i="38" s="1"/>
  <c r="AH145" i="38" a="1"/>
  <c r="AH145" i="38" s="1"/>
  <c r="AH324" i="38" s="1"/>
  <c r="T146" i="38" a="1"/>
  <c r="T146" i="38" s="1"/>
  <c r="T325" i="38" s="1"/>
  <c r="AS146" i="38"/>
  <c r="AO147" i="38" a="1"/>
  <c r="AO147" i="38" s="1"/>
  <c r="AO326" i="38" s="1"/>
  <c r="Y148" i="38" a="1"/>
  <c r="Y148" i="38" s="1"/>
  <c r="AM149" i="38" a="1"/>
  <c r="AM149" i="38" s="1"/>
  <c r="AM328" i="38" s="1"/>
  <c r="Z150" i="38" a="1"/>
  <c r="Z150" i="38" s="1"/>
  <c r="Z329" i="38" s="1"/>
  <c r="L152" i="38" a="1"/>
  <c r="L152" i="38" s="1"/>
  <c r="L331" i="38" s="1"/>
  <c r="AF152" i="38" a="1"/>
  <c r="AF152" i="38" s="1"/>
  <c r="AF331" i="38" s="1"/>
  <c r="K153" i="38" a="1"/>
  <c r="K153" i="38" s="1"/>
  <c r="K332" i="38" s="1"/>
  <c r="AC154" i="38" a="1"/>
  <c r="AC154" i="38" s="1"/>
  <c r="AC333" i="38" s="1"/>
  <c r="E155" i="38" a="1"/>
  <c r="E155" i="38" s="1"/>
  <c r="W155" i="38" a="1"/>
  <c r="W155" i="38" s="1"/>
  <c r="AO155" i="38" a="1"/>
  <c r="AO155" i="38" s="1"/>
  <c r="R156" i="38" a="1"/>
  <c r="R156" i="38" s="1"/>
  <c r="AL156" i="38" a="1"/>
  <c r="AL156" i="38" s="1"/>
  <c r="N157" i="38" a="1"/>
  <c r="N157" i="38" s="1"/>
  <c r="AF157" i="38" a="1"/>
  <c r="AF157" i="38" s="1"/>
  <c r="H158" i="38" a="1"/>
  <c r="H158" i="38" s="1"/>
  <c r="C159" i="38" a="1"/>
  <c r="C159" i="38" s="1"/>
  <c r="V159" i="38" a="1"/>
  <c r="V159" i="38" s="1"/>
  <c r="AN159" i="38" a="1"/>
  <c r="AN159" i="38" s="1"/>
  <c r="D116" i="38" a="1"/>
  <c r="D116" i="38" s="1"/>
  <c r="AN126" i="38" a="1"/>
  <c r="AN126" i="38" s="1"/>
  <c r="C128" i="38" a="1"/>
  <c r="C128" i="38" s="1"/>
  <c r="AI128" i="38" a="1"/>
  <c r="AI128" i="38" s="1"/>
  <c r="V130" i="38" a="1"/>
  <c r="V130" i="38" s="1"/>
  <c r="U131" i="38" a="1"/>
  <c r="U131" i="38" s="1"/>
  <c r="V132" i="38" a="1"/>
  <c r="V132" i="38" s="1"/>
  <c r="V311" i="38" s="1"/>
  <c r="I134" i="38" a="1"/>
  <c r="I134" i="38" s="1"/>
  <c r="I313" i="38" s="1"/>
  <c r="AM116" i="38" a="1"/>
  <c r="AM116" i="38" s="1"/>
  <c r="N122" i="38" a="1"/>
  <c r="N122" i="38" s="1"/>
  <c r="N301" i="38" s="1"/>
  <c r="S125" i="38" a="1"/>
  <c r="S125" i="38" s="1"/>
  <c r="S304" i="38" s="1"/>
  <c r="E128" i="38" a="1"/>
  <c r="E128" i="38" s="1"/>
  <c r="AK128" i="38" a="1"/>
  <c r="AK128" i="38" s="1"/>
  <c r="AK307" i="38" s="1"/>
  <c r="AM129" i="38" a="1"/>
  <c r="AM129" i="38" s="1"/>
  <c r="AM308" i="38" s="1"/>
  <c r="AI130" i="38" a="1"/>
  <c r="AI130" i="38" s="1"/>
  <c r="AI309" i="38" s="1"/>
  <c r="W131" i="38" a="1"/>
  <c r="W131" i="38" s="1"/>
  <c r="W310" i="38" s="1"/>
  <c r="X132" i="38" a="1"/>
  <c r="X132" i="38" s="1"/>
  <c r="L133" i="38" a="1"/>
  <c r="L133" i="38" s="1"/>
  <c r="L312" i="38" s="1"/>
  <c r="AP134" i="38" a="1"/>
  <c r="AP134" i="38" s="1"/>
  <c r="AP313" i="38" s="1"/>
  <c r="AR135" i="38" a="1"/>
  <c r="AR135" i="38" s="1"/>
  <c r="AR314" i="38" s="1"/>
  <c r="AH136" i="38" a="1"/>
  <c r="AH136" i="38" s="1"/>
  <c r="AH315" i="38" s="1"/>
  <c r="AN138" i="38" a="1"/>
  <c r="AN138" i="38" s="1"/>
  <c r="AI141" i="38" a="1"/>
  <c r="AI141" i="38" s="1"/>
  <c r="AI320" i="38" s="1"/>
  <c r="R122" i="38" a="1"/>
  <c r="R122" i="38" s="1"/>
  <c r="AS125" i="38"/>
  <c r="H129" i="38" a="1"/>
  <c r="H129" i="38" s="1"/>
  <c r="M133" i="38" a="1"/>
  <c r="M133" i="38" s="1"/>
  <c r="N135" i="38" a="1"/>
  <c r="N135" i="38" s="1"/>
  <c r="N314" i="38" s="1"/>
  <c r="AP136" i="38" a="1"/>
  <c r="AP136" i="38" s="1"/>
  <c r="AP315" i="38" s="1"/>
  <c r="AG141" i="38" a="1"/>
  <c r="AG141" i="38" s="1"/>
  <c r="AG320" i="38" s="1"/>
  <c r="AE142" i="38" a="1"/>
  <c r="AE142" i="38" s="1"/>
  <c r="AE321" i="38" s="1"/>
  <c r="C144" i="38" a="1"/>
  <c r="C144" i="38" s="1"/>
  <c r="M145" i="38" a="1"/>
  <c r="M145" i="38" s="1"/>
  <c r="M324" i="38" s="1"/>
  <c r="V146" i="38" a="1"/>
  <c r="V146" i="38" s="1"/>
  <c r="V325" i="38" s="1"/>
  <c r="X147" i="38" a="1"/>
  <c r="X147" i="38" s="1"/>
  <c r="X326" i="38" s="1"/>
  <c r="AK148" i="38" a="1"/>
  <c r="AK148" i="38" s="1"/>
  <c r="F151" i="38" a="1"/>
  <c r="F151" i="38" s="1"/>
  <c r="F330" i="38" s="1"/>
  <c r="AN151" i="38" a="1"/>
  <c r="AN151" i="38" s="1"/>
  <c r="AN330" i="38" s="1"/>
  <c r="S153" i="38" a="1"/>
  <c r="S153" i="38" s="1"/>
  <c r="S332" i="38" s="1"/>
  <c r="J154" i="38" a="1"/>
  <c r="J154" i="38" s="1"/>
  <c r="J333" i="38" s="1"/>
  <c r="AH154" i="38" a="1"/>
  <c r="AH154" i="38" s="1"/>
  <c r="AH333" i="38" s="1"/>
  <c r="F156" i="38" a="1"/>
  <c r="F156" i="38" s="1"/>
  <c r="AF156" i="38" a="1"/>
  <c r="AF156" i="38" s="1"/>
  <c r="AO157" i="38" a="1"/>
  <c r="AO157" i="38" s="1"/>
  <c r="J159" i="38" a="1"/>
  <c r="J159" i="38" s="1"/>
  <c r="AK159" i="38" a="1"/>
  <c r="AK159" i="38" s="1"/>
  <c r="P160" i="38" a="1"/>
  <c r="P160" i="38" s="1"/>
  <c r="AJ160" i="38" a="1"/>
  <c r="AJ160" i="38" s="1"/>
  <c r="O161" i="38" a="1"/>
  <c r="O161" i="38" s="1"/>
  <c r="Q163" i="38" a="1"/>
  <c r="Q163" i="38" s="1"/>
  <c r="AK163" i="38" a="1"/>
  <c r="AK163" i="38" s="1"/>
  <c r="S164" i="38" a="1"/>
  <c r="S164" i="38" s="1"/>
  <c r="AM164" i="38" a="1"/>
  <c r="AM164" i="38" s="1"/>
  <c r="Q165" i="38" a="1"/>
  <c r="Q165" i="38" s="1"/>
  <c r="AK165" i="38" a="1"/>
  <c r="AK165" i="38" s="1"/>
  <c r="O166" i="38" a="1"/>
  <c r="O166" i="38" s="1"/>
  <c r="AL166" i="38" a="1"/>
  <c r="AL166" i="38" s="1"/>
  <c r="O167" i="38" a="1"/>
  <c r="O167" i="38" s="1"/>
  <c r="AI167" i="38" a="1"/>
  <c r="AI167" i="38" s="1"/>
  <c r="M168" i="38" a="1"/>
  <c r="M168" i="38" s="1"/>
  <c r="AF168" i="38" a="1"/>
  <c r="AF168" i="38" s="1"/>
  <c r="H169" i="38" a="1"/>
  <c r="H169" i="38" s="1"/>
  <c r="AC169" i="38" a="1"/>
  <c r="AC169" i="38" s="1"/>
  <c r="D170" i="38" a="1"/>
  <c r="D170" i="38" s="1"/>
  <c r="W170" i="38" a="1"/>
  <c r="W170" i="38" s="1"/>
  <c r="T171" i="38" a="1"/>
  <c r="T171" i="38" s="1"/>
  <c r="O172" i="38" a="1"/>
  <c r="O172" i="38" s="1"/>
  <c r="AH172" i="38" a="1"/>
  <c r="AH172" i="38" s="1"/>
  <c r="I173" i="38" a="1"/>
  <c r="I173" i="38" s="1"/>
  <c r="Z173" i="38" a="1"/>
  <c r="Z173" i="38" s="1"/>
  <c r="C174" i="38" a="1"/>
  <c r="C174" i="38" s="1"/>
  <c r="U174" i="38" a="1"/>
  <c r="U174" i="38" s="1"/>
  <c r="AJ174" i="38" a="1"/>
  <c r="AJ174" i="38" s="1"/>
  <c r="J175" i="38" a="1"/>
  <c r="J175" i="38" s="1"/>
  <c r="Z175" i="38" a="1"/>
  <c r="Z175" i="38" s="1"/>
  <c r="R176" i="38" a="1"/>
  <c r="R176" i="38" s="1"/>
  <c r="AG176" i="38" a="1"/>
  <c r="AG176" i="38" s="1"/>
  <c r="F177" i="38" a="1"/>
  <c r="F177" i="38" s="1"/>
  <c r="AM177" i="38" a="1"/>
  <c r="AM177" i="38" s="1"/>
  <c r="AD178" i="38" a="1"/>
  <c r="AD178" i="38" s="1"/>
  <c r="AR178" i="38" a="1"/>
  <c r="AR178" i="38" s="1"/>
  <c r="AI179" i="38" a="1"/>
  <c r="AI179" i="38" s="1"/>
  <c r="Y180" i="38" a="1"/>
  <c r="Y180" i="38" s="1"/>
  <c r="AL180" i="38" a="1"/>
  <c r="AL180" i="38" s="1"/>
  <c r="C182" i="38" a="1"/>
  <c r="C182" i="38" s="1"/>
  <c r="R182" i="38" a="1"/>
  <c r="R182" i="38" s="1"/>
  <c r="G183" i="38" a="1"/>
  <c r="G183" i="38" s="1"/>
  <c r="AK183" i="38" a="1"/>
  <c r="AK183" i="38" s="1"/>
  <c r="R186" i="38" a="1"/>
  <c r="R186" i="38" s="1"/>
  <c r="AG186" i="38" a="1"/>
  <c r="AG186" i="38" s="1"/>
  <c r="E187" i="38" a="1"/>
  <c r="E187" i="38" s="1"/>
  <c r="E324" i="38" s="1"/>
  <c r="U187" i="38" a="1"/>
  <c r="U187" i="38" s="1"/>
  <c r="AK187" i="38" a="1"/>
  <c r="AK187" i="38" s="1"/>
  <c r="J188" i="38" a="1"/>
  <c r="J188" i="38" s="1"/>
  <c r="T122" i="38" a="1"/>
  <c r="T122" i="38" s="1"/>
  <c r="T301" i="38" s="1"/>
  <c r="K126" i="38" a="1"/>
  <c r="K126" i="38" s="1"/>
  <c r="J129" i="38" a="1"/>
  <c r="J129" i="38" s="1"/>
  <c r="AP130" i="38" a="1"/>
  <c r="AP130" i="38" s="1"/>
  <c r="AP309" i="38" s="1"/>
  <c r="O133" i="38" a="1"/>
  <c r="O133" i="38" s="1"/>
  <c r="O312" i="38" s="1"/>
  <c r="R140" i="38" a="1"/>
  <c r="R140" i="38" s="1"/>
  <c r="R319" i="38" s="1"/>
  <c r="AH141" i="38" a="1"/>
  <c r="AH141" i="38" s="1"/>
  <c r="AH320" i="38" s="1"/>
  <c r="C143" i="38" a="1"/>
  <c r="C143" i="38" s="1"/>
  <c r="C322" i="38" s="1"/>
  <c r="N145" i="38" a="1"/>
  <c r="N145" i="38" s="1"/>
  <c r="N324" i="38" s="1"/>
  <c r="W146" i="38" a="1"/>
  <c r="W146" i="38" s="1"/>
  <c r="W325" i="38" s="1"/>
  <c r="AL148" i="38" a="1"/>
  <c r="AL148" i="38" s="1"/>
  <c r="H150" i="38" a="1"/>
  <c r="H150" i="38" s="1"/>
  <c r="H329" i="38" s="1"/>
  <c r="G151" i="38" a="1"/>
  <c r="G151" i="38" s="1"/>
  <c r="G330" i="38" s="1"/>
  <c r="AG152" i="38" a="1"/>
  <c r="AG152" i="38" s="1"/>
  <c r="AG331" i="38" s="1"/>
  <c r="T153" i="38" a="1"/>
  <c r="T153" i="38" s="1"/>
  <c r="T332" i="38" s="1"/>
  <c r="K154" i="38" a="1"/>
  <c r="K154" i="38" s="1"/>
  <c r="K333" i="38" s="1"/>
  <c r="AG156" i="38" a="1"/>
  <c r="AG156" i="38" s="1"/>
  <c r="S157" i="38" a="1"/>
  <c r="S157" i="38" s="1"/>
  <c r="D158" i="38" a="1"/>
  <c r="D158" i="38" s="1"/>
  <c r="U122" i="38" a="1"/>
  <c r="U122" i="38" s="1"/>
  <c r="AO126" i="38" a="1"/>
  <c r="AO126" i="38" s="1"/>
  <c r="AQ130" i="38" a="1"/>
  <c r="AQ130" i="38" s="1"/>
  <c r="AQ309" i="38" s="1"/>
  <c r="W133" i="38" a="1"/>
  <c r="W133" i="38" s="1"/>
  <c r="W312" i="38" s="1"/>
  <c r="O135" i="38" a="1"/>
  <c r="O135" i="38" s="1"/>
  <c r="O314" i="38" s="1"/>
  <c r="AM138" i="38" a="1"/>
  <c r="AM138" i="38" s="1"/>
  <c r="AM317" i="38" s="1"/>
  <c r="S140" i="38" a="1"/>
  <c r="S140" i="38" s="1"/>
  <c r="D143" i="38" a="1"/>
  <c r="D143" i="38" s="1"/>
  <c r="D322" i="38" s="1"/>
  <c r="G144" i="38" a="1"/>
  <c r="G144" i="38" s="1"/>
  <c r="G323" i="38" s="1"/>
  <c r="O145" i="38" a="1"/>
  <c r="O145" i="38" s="1"/>
  <c r="O324" i="38" s="1"/>
  <c r="AP147" i="38" a="1"/>
  <c r="AP147" i="38" s="1"/>
  <c r="AP326" i="38" s="1"/>
  <c r="AM148" i="38" a="1"/>
  <c r="AM148" i="38" s="1"/>
  <c r="AO151" i="38" a="1"/>
  <c r="AO151" i="38" s="1"/>
  <c r="AO330" i="38" s="1"/>
  <c r="U153" i="38" a="1"/>
  <c r="U153" i="38" s="1"/>
  <c r="U332" i="38" s="1"/>
  <c r="AI154" i="38" a="1"/>
  <c r="AI154" i="38" s="1"/>
  <c r="AI333" i="38" s="1"/>
  <c r="X155" i="38" a="1"/>
  <c r="X155" i="38" s="1"/>
  <c r="G156" i="38" a="1"/>
  <c r="G156" i="38" s="1"/>
  <c r="AI156" i="38" a="1"/>
  <c r="AI156" i="38" s="1"/>
  <c r="F158" i="38" a="1"/>
  <c r="F158" i="38" s="1"/>
  <c r="AF158" i="38" a="1"/>
  <c r="AF158" i="38" s="1"/>
  <c r="M159" i="38" a="1"/>
  <c r="M159" i="38" s="1"/>
  <c r="Q161" i="38" a="1"/>
  <c r="Q161" i="38" s="1"/>
  <c r="AN161" i="38" a="1"/>
  <c r="AN161" i="38" s="1"/>
  <c r="S162" i="38" a="1"/>
  <c r="S162" i="38" s="1"/>
  <c r="AN162" i="38" a="1"/>
  <c r="AN162" i="38" s="1"/>
  <c r="R163" i="38" a="1"/>
  <c r="R163" i="38" s="1"/>
  <c r="AP163" i="38" a="1"/>
  <c r="AP163" i="38" s="1"/>
  <c r="U164" i="38" a="1"/>
  <c r="U164" i="38" s="1"/>
  <c r="V122" i="38" a="1"/>
  <c r="V122" i="38" s="1"/>
  <c r="V301" i="38" s="1"/>
  <c r="AP126" i="38" a="1"/>
  <c r="AP126" i="38" s="1"/>
  <c r="K129" i="38" a="1"/>
  <c r="K129" i="38" s="1"/>
  <c r="U137" i="38" a="1"/>
  <c r="U137" i="38" s="1"/>
  <c r="U316" i="38" s="1"/>
  <c r="AO138" i="38" a="1"/>
  <c r="AO138" i="38" s="1"/>
  <c r="AO317" i="38" s="1"/>
  <c r="T140" i="38" a="1"/>
  <c r="T140" i="38" s="1"/>
  <c r="AJ141" i="38" a="1"/>
  <c r="AJ141" i="38" s="1"/>
  <c r="AJ320" i="38" s="1"/>
  <c r="E143" i="38" a="1"/>
  <c r="E143" i="38" s="1"/>
  <c r="X146" i="38" a="1"/>
  <c r="X146" i="38" s="1"/>
  <c r="X325" i="38" s="1"/>
  <c r="AQ147" i="38" a="1"/>
  <c r="AQ147" i="38" s="1"/>
  <c r="AQ326" i="38" s="1"/>
  <c r="AN148" i="38" a="1"/>
  <c r="AN148" i="38" s="1"/>
  <c r="AN327" i="38" s="1"/>
  <c r="I150" i="38" a="1"/>
  <c r="I150" i="38" s="1"/>
  <c r="I329" i="38" s="1"/>
  <c r="H151" i="38" a="1"/>
  <c r="H151" i="38" s="1"/>
  <c r="H330" i="38" s="1"/>
  <c r="AP151" i="38" a="1"/>
  <c r="AP151" i="38" s="1"/>
  <c r="AP330" i="38" s="1"/>
  <c r="V153" i="38" a="1"/>
  <c r="V153" i="38" s="1"/>
  <c r="V332" i="38" s="1"/>
  <c r="L154" i="38" a="1"/>
  <c r="L154" i="38" s="1"/>
  <c r="L333" i="38" s="1"/>
  <c r="H156" i="38" a="1"/>
  <c r="H156" i="38" s="1"/>
  <c r="AM156" i="38" a="1"/>
  <c r="AM156" i="38" s="1"/>
  <c r="T157" i="38" a="1"/>
  <c r="T157" i="38" s="1"/>
  <c r="G158" i="38" a="1"/>
  <c r="G158" i="38" s="1"/>
  <c r="AE122" i="38" a="1"/>
  <c r="AE122" i="38" s="1"/>
  <c r="AQ126" i="38" a="1"/>
  <c r="AQ126" i="38" s="1"/>
  <c r="L129" i="38" a="1"/>
  <c r="L129" i="38" s="1"/>
  <c r="L308" i="38" s="1"/>
  <c r="X131" i="38" a="1"/>
  <c r="X131" i="38" s="1"/>
  <c r="P135" i="38" a="1"/>
  <c r="P135" i="38" s="1"/>
  <c r="V137" i="38" a="1"/>
  <c r="V137" i="38" s="1"/>
  <c r="V316" i="38" s="1"/>
  <c r="AS138" i="38"/>
  <c r="F143" i="38" a="1"/>
  <c r="F143" i="38" s="1"/>
  <c r="V144" i="38" a="1"/>
  <c r="V144" i="38" s="1"/>
  <c r="V323" i="38" s="1"/>
  <c r="P145" i="38" a="1"/>
  <c r="P145" i="38" s="1"/>
  <c r="P324" i="38" s="1"/>
  <c r="AA146" i="38" a="1"/>
  <c r="AA146" i="38" s="1"/>
  <c r="AA325" i="38" s="1"/>
  <c r="AR147" i="38" a="1"/>
  <c r="AR147" i="38" s="1"/>
  <c r="AR326" i="38" s="1"/>
  <c r="J150" i="38" a="1"/>
  <c r="J150" i="38" s="1"/>
  <c r="J329" i="38" s="1"/>
  <c r="L151" i="38" a="1"/>
  <c r="L151" i="38" s="1"/>
  <c r="L330" i="38" s="1"/>
  <c r="AQ151" i="38" a="1"/>
  <c r="AQ151" i="38" s="1"/>
  <c r="M154" i="38" a="1"/>
  <c r="M154" i="38" s="1"/>
  <c r="M333" i="38" s="1"/>
  <c r="Y155" i="38" a="1"/>
  <c r="Y155" i="38" s="1"/>
  <c r="I156" i="38" a="1"/>
  <c r="I156" i="38" s="1"/>
  <c r="U157" i="38" a="1"/>
  <c r="U157" i="38" s="1"/>
  <c r="I158" i="38" a="1"/>
  <c r="I158" i="38" s="1"/>
  <c r="AG158" i="38" a="1"/>
  <c r="AG158" i="38" s="1"/>
  <c r="S159" i="38" a="1"/>
  <c r="S159" i="38" s="1"/>
  <c r="S160" i="38" a="1"/>
  <c r="S160" i="38" s="1"/>
  <c r="AN160" i="38" a="1"/>
  <c r="AN160" i="38" s="1"/>
  <c r="AO161" i="38" a="1"/>
  <c r="AO161" i="38" s="1"/>
  <c r="AO162" i="38" a="1"/>
  <c r="AO162" i="38" s="1"/>
  <c r="T163" i="38" a="1"/>
  <c r="T163" i="38" s="1"/>
  <c r="AQ164" i="38" a="1"/>
  <c r="AQ164" i="38" s="1"/>
  <c r="U165" i="38" a="1"/>
  <c r="U165" i="38" s="1"/>
  <c r="V166" i="38" a="1"/>
  <c r="V166" i="38" s="1"/>
  <c r="AH122" i="38" a="1"/>
  <c r="AH122" i="38" s="1"/>
  <c r="AR126" i="38" a="1"/>
  <c r="AR126" i="38" s="1"/>
  <c r="AB133" i="38" a="1"/>
  <c r="AB133" i="38" s="1"/>
  <c r="W137" i="38" a="1"/>
  <c r="W137" i="38" s="1"/>
  <c r="W316" i="38" s="1"/>
  <c r="C139" i="38" a="1"/>
  <c r="C139" i="38" s="1"/>
  <c r="C318" i="38" s="1"/>
  <c r="W140" i="38" a="1"/>
  <c r="W140" i="38" s="1"/>
  <c r="AK141" i="38" a="1"/>
  <c r="AK141" i="38" s="1"/>
  <c r="AK320" i="38" s="1"/>
  <c r="G143" i="38" a="1"/>
  <c r="G143" i="38" s="1"/>
  <c r="AG146" i="38" a="1"/>
  <c r="AG146" i="38" s="1"/>
  <c r="AG325" i="38" s="1"/>
  <c r="AS147" i="38"/>
  <c r="L149" i="38" a="1"/>
  <c r="L149" i="38" s="1"/>
  <c r="O151" i="38" a="1"/>
  <c r="O151" i="38" s="1"/>
  <c r="O330" i="38" s="1"/>
  <c r="AK152" i="38" a="1"/>
  <c r="AK152" i="38" s="1"/>
  <c r="AK331" i="38" s="1"/>
  <c r="Z153" i="38" a="1"/>
  <c r="Z153" i="38" s="1"/>
  <c r="N154" i="38" a="1"/>
  <c r="N154" i="38" s="1"/>
  <c r="N333" i="38" s="1"/>
  <c r="AL154" i="38" a="1"/>
  <c r="AL154" i="38" s="1"/>
  <c r="AL333" i="38" s="1"/>
  <c r="AA155" i="38" a="1"/>
  <c r="AA155" i="38" s="1"/>
  <c r="AN156" i="38" a="1"/>
  <c r="AN156" i="38" s="1"/>
  <c r="V157" i="38" a="1"/>
  <c r="V157" i="38" s="1"/>
  <c r="J158" i="38" a="1"/>
  <c r="J158" i="38" s="1"/>
  <c r="AH158" i="38" a="1"/>
  <c r="AH158" i="38" s="1"/>
  <c r="AO159" i="38" a="1"/>
  <c r="AO159" i="38" s="1"/>
  <c r="U161" i="38" a="1"/>
  <c r="U161" i="38" s="1"/>
  <c r="U162" i="38" a="1"/>
  <c r="U162" i="38" s="1"/>
  <c r="AP162" i="38" a="1"/>
  <c r="AP162" i="38" s="1"/>
  <c r="U163" i="38" a="1"/>
  <c r="U163" i="38" s="1"/>
  <c r="AR163" i="38" a="1"/>
  <c r="AR163" i="38" s="1"/>
  <c r="W164" i="38" a="1"/>
  <c r="W164" i="38" s="1"/>
  <c r="V165" i="38" a="1"/>
  <c r="V165" i="38" s="1"/>
  <c r="AR165" i="38" a="1"/>
  <c r="AR165" i="38" s="1"/>
  <c r="AQ166" i="38" a="1"/>
  <c r="AQ166" i="38" s="1"/>
  <c r="T167" i="38" a="1"/>
  <c r="T167" i="38" s="1"/>
  <c r="AN167" i="38" a="1"/>
  <c r="AN167" i="38" s="1"/>
  <c r="R168" i="38" a="1"/>
  <c r="R168" i="38" s="1"/>
  <c r="AM168" i="38" a="1"/>
  <c r="AM168" i="38" s="1"/>
  <c r="O169" i="38" a="1"/>
  <c r="O169" i="38" s="1"/>
  <c r="AG169" i="38" a="1"/>
  <c r="AG169" i="38" s="1"/>
  <c r="I170" i="38" a="1"/>
  <c r="I170" i="38" s="1"/>
  <c r="AB170" i="38" a="1"/>
  <c r="AB170" i="38" s="1"/>
  <c r="D171" i="38" a="1"/>
  <c r="D171" i="38" s="1"/>
  <c r="Y171" i="38" a="1"/>
  <c r="Y171" i="38" s="1"/>
  <c r="T172" i="38" a="1"/>
  <c r="T172" i="38" s="1"/>
  <c r="AK172" i="38" a="1"/>
  <c r="AK172" i="38" s="1"/>
  <c r="L173" i="38" a="1"/>
  <c r="L173" i="38" s="1"/>
  <c r="G174" i="38" a="1"/>
  <c r="G174" i="38" s="1"/>
  <c r="X174" i="38" a="1"/>
  <c r="X174" i="38" s="1"/>
  <c r="AO174" i="38" a="1"/>
  <c r="AO174" i="38" s="1"/>
  <c r="N175" i="38" a="1"/>
  <c r="N175" i="38" s="1"/>
  <c r="AC175" i="38" a="1"/>
  <c r="AC175" i="38" s="1"/>
  <c r="D176" i="38" a="1"/>
  <c r="D176" i="38" s="1"/>
  <c r="AL176" i="38" a="1"/>
  <c r="AL176" i="38" s="1"/>
  <c r="AA177" i="38" a="1"/>
  <c r="AA177" i="38" s="1"/>
  <c r="AP177" i="38" a="1"/>
  <c r="AP177" i="38" s="1"/>
  <c r="AH178" i="38" a="1"/>
  <c r="AH178" i="38" s="1"/>
  <c r="V179" i="38" a="1"/>
  <c r="V179" i="38" s="1"/>
  <c r="AC180" i="38" a="1"/>
  <c r="AC180" i="38" s="1"/>
  <c r="AQ180" i="38" a="1"/>
  <c r="AQ180" i="38" s="1"/>
  <c r="P181" i="38" a="1"/>
  <c r="P181" i="38" s="1"/>
  <c r="AF181" i="38" a="1"/>
  <c r="AF181" i="38" s="1"/>
  <c r="F182" i="38" a="1"/>
  <c r="F182" i="38" s="1"/>
  <c r="W182" i="38" a="1"/>
  <c r="W182" i="38" s="1"/>
  <c r="AK182" i="38" a="1"/>
  <c r="AK182" i="38" s="1"/>
  <c r="J183" i="38" a="1"/>
  <c r="J183" i="38" s="1"/>
  <c r="Z183" i="38" a="1"/>
  <c r="Z183" i="38" s="1"/>
  <c r="AO183" i="38" a="1"/>
  <c r="AO183" i="38" s="1"/>
  <c r="N184" i="38" a="1"/>
  <c r="N184" i="38" s="1"/>
  <c r="AB184" i="38" a="1"/>
  <c r="AB184" i="38" s="1"/>
  <c r="AH123" i="38" a="1"/>
  <c r="AH123" i="38" s="1"/>
  <c r="D127" i="38" a="1"/>
  <c r="D127" i="38" s="1"/>
  <c r="M129" i="38" a="1"/>
  <c r="M129" i="38" s="1"/>
  <c r="M308" i="38" s="1"/>
  <c r="Y131" i="38" a="1"/>
  <c r="Y131" i="38" s="1"/>
  <c r="AC133" i="38" a="1"/>
  <c r="AC133" i="38" s="1"/>
  <c r="AQ135" i="38" a="1"/>
  <c r="AQ135" i="38" s="1"/>
  <c r="AQ314" i="38" s="1"/>
  <c r="X137" i="38" a="1"/>
  <c r="X137" i="38" s="1"/>
  <c r="X316" i="38" s="1"/>
  <c r="E139" i="38" a="1"/>
  <c r="E139" i="38" s="1"/>
  <c r="AL141" i="38" a="1"/>
  <c r="AL141" i="38" s="1"/>
  <c r="AL320" i="38" s="1"/>
  <c r="W144" i="38" a="1"/>
  <c r="W144" i="38" s="1"/>
  <c r="W323" i="38" s="1"/>
  <c r="AA145" i="38" a="1"/>
  <c r="AA145" i="38" s="1"/>
  <c r="AA324" i="38" s="1"/>
  <c r="C148" i="38" a="1"/>
  <c r="C148" i="38" s="1"/>
  <c r="C327" i="38" s="1"/>
  <c r="M149" i="38" a="1"/>
  <c r="M149" i="38" s="1"/>
  <c r="K150" i="38" a="1"/>
  <c r="K150" i="38" s="1"/>
  <c r="K329" i="38" s="1"/>
  <c r="AL152" i="38" a="1"/>
  <c r="AL152" i="38" s="1"/>
  <c r="AB153" i="38" a="1"/>
  <c r="AB153" i="38" s="1"/>
  <c r="AB332" i="38" s="1"/>
  <c r="AR154" i="38" a="1"/>
  <c r="AR154" i="38" s="1"/>
  <c r="AR333" i="38" s="1"/>
  <c r="J156" i="38" a="1"/>
  <c r="J156" i="38" s="1"/>
  <c r="K158" i="38" a="1"/>
  <c r="K158" i="38" s="1"/>
  <c r="AI158" i="38" a="1"/>
  <c r="AI158" i="38" s="1"/>
  <c r="T159" i="38" a="1"/>
  <c r="T159" i="38" s="1"/>
  <c r="AO160" i="38" a="1"/>
  <c r="AO160" i="38" s="1"/>
  <c r="V161" i="38" a="1"/>
  <c r="V161" i="38" s="1"/>
  <c r="AP161" i="38" a="1"/>
  <c r="AP161" i="38" s="1"/>
  <c r="V162" i="38" a="1"/>
  <c r="V162" i="38" s="1"/>
  <c r="AQ162" i="38" a="1"/>
  <c r="AQ162" i="38" s="1"/>
  <c r="Y163" i="38" a="1"/>
  <c r="Y163" i="38" s="1"/>
  <c r="C164" i="38" a="1"/>
  <c r="C164" i="38" s="1"/>
  <c r="X164" i="38" a="1"/>
  <c r="X164" i="38" s="1"/>
  <c r="AR164" i="38" a="1"/>
  <c r="AR164" i="38" s="1"/>
  <c r="C166" i="38" a="1"/>
  <c r="C166" i="38" s="1"/>
  <c r="W166" i="38" a="1"/>
  <c r="W166" i="38" s="1"/>
  <c r="AR166" i="38" a="1"/>
  <c r="AR166" i="38" s="1"/>
  <c r="U167" i="38" a="1"/>
  <c r="U167" i="38" s="1"/>
  <c r="AO167" i="38" a="1"/>
  <c r="AO167" i="38" s="1"/>
  <c r="S168" i="38" a="1"/>
  <c r="S168" i="38" s="1"/>
  <c r="AN168" i="38" a="1"/>
  <c r="AN168" i="38" s="1"/>
  <c r="P169" i="38" a="1"/>
  <c r="P169" i="38" s="1"/>
  <c r="AH169" i="38" a="1"/>
  <c r="AH169" i="38" s="1"/>
  <c r="J170" i="38" a="1"/>
  <c r="J170" i="38" s="1"/>
  <c r="AC170" i="38" a="1"/>
  <c r="AC170" i="38" s="1"/>
  <c r="E171" i="38" a="1"/>
  <c r="E171" i="38" s="1"/>
  <c r="AC171" i="38" a="1"/>
  <c r="AC171" i="38" s="1"/>
  <c r="C172" i="38" a="1"/>
  <c r="C172" i="38" s="1"/>
  <c r="M173" i="38" a="1"/>
  <c r="M173" i="38" s="1"/>
  <c r="AD173" i="38" a="1"/>
  <c r="AD173" i="38" s="1"/>
  <c r="O175" i="38" a="1"/>
  <c r="O175" i="38" s="1"/>
  <c r="AD175" i="38" a="1"/>
  <c r="AD175" i="38" s="1"/>
  <c r="V176" i="38" a="1"/>
  <c r="V176" i="38" s="1"/>
  <c r="L177" i="38" a="1"/>
  <c r="L177" i="38" s="1"/>
  <c r="AQ177" i="38" a="1"/>
  <c r="AQ177" i="38" s="1"/>
  <c r="Q178" i="38" a="1"/>
  <c r="Q178" i="38" s="1"/>
  <c r="G179" i="38" a="1"/>
  <c r="G179" i="38" s="1"/>
  <c r="AL179" i="38" a="1"/>
  <c r="AL179" i="38" s="1"/>
  <c r="M180" i="38" a="1"/>
  <c r="M180" i="38" s="1"/>
  <c r="AR180" i="38" a="1"/>
  <c r="AR180" i="38" s="1"/>
  <c r="Q181" i="38" a="1"/>
  <c r="Q181" i="38" s="1"/>
  <c r="AG181" i="38" a="1"/>
  <c r="AG181" i="38" s="1"/>
  <c r="M124" i="38" a="1"/>
  <c r="M124" i="38" s="1"/>
  <c r="M303" i="38" s="1"/>
  <c r="H127" i="38" a="1"/>
  <c r="H127" i="38" s="1"/>
  <c r="AL129" i="38" a="1"/>
  <c r="AL129" i="38" s="1"/>
  <c r="AL308" i="38" s="1"/>
  <c r="AD133" i="38" a="1"/>
  <c r="AD133" i="38" s="1"/>
  <c r="AD312" i="38" s="1"/>
  <c r="C136" i="38" a="1"/>
  <c r="C136" i="38" s="1"/>
  <c r="C315" i="38" s="1"/>
  <c r="Y137" i="38" a="1"/>
  <c r="Y137" i="38" s="1"/>
  <c r="Y316" i="38" s="1"/>
  <c r="F139" i="38" a="1"/>
  <c r="F139" i="38" s="1"/>
  <c r="Y140" i="38" a="1"/>
  <c r="Y140" i="38" s="1"/>
  <c r="Y319" i="38" s="1"/>
  <c r="AM141" i="38" a="1"/>
  <c r="AM141" i="38" s="1"/>
  <c r="AM320" i="38" s="1"/>
  <c r="H143" i="38" a="1"/>
  <c r="H143" i="38" s="1"/>
  <c r="H322" i="38" s="1"/>
  <c r="AI145" i="38" a="1"/>
  <c r="AI145" i="38" s="1"/>
  <c r="AI324" i="38" s="1"/>
  <c r="AH146" i="38" a="1"/>
  <c r="AH146" i="38" s="1"/>
  <c r="N149" i="38" a="1"/>
  <c r="N149" i="38" s="1"/>
  <c r="N328" i="38" s="1"/>
  <c r="S151" i="38" a="1"/>
  <c r="S151" i="38" s="1"/>
  <c r="AN152" i="38" a="1"/>
  <c r="AN152" i="38" s="1"/>
  <c r="AN331" i="38" s="1"/>
  <c r="AD153" i="38" a="1"/>
  <c r="AD153" i="38" s="1"/>
  <c r="AD332" i="38" s="1"/>
  <c r="O154" i="38" a="1"/>
  <c r="O154" i="38" s="1"/>
  <c r="O333" i="38" s="1"/>
  <c r="C155" i="38" a="1"/>
  <c r="C155" i="38" s="1"/>
  <c r="AD155" i="38" a="1"/>
  <c r="AD155" i="38" s="1"/>
  <c r="M156" i="38" a="1"/>
  <c r="M156" i="38" s="1"/>
  <c r="AO156" i="38" a="1"/>
  <c r="AO156" i="38" s="1"/>
  <c r="W157" i="38" a="1"/>
  <c r="W157" i="38" s="1"/>
  <c r="AJ158" i="38" a="1"/>
  <c r="AJ158" i="38" s="1"/>
  <c r="AP159" i="38" a="1"/>
  <c r="AP159" i="38" s="1"/>
  <c r="U160" i="38" a="1"/>
  <c r="U160" i="38" s="1"/>
  <c r="AQ161" i="38" a="1"/>
  <c r="AQ161" i="38" s="1"/>
  <c r="Z163" i="38" a="1"/>
  <c r="Z163" i="38" s="1"/>
  <c r="D164" i="38" a="1"/>
  <c r="D164" i="38" s="1"/>
  <c r="Y164" i="38" a="1"/>
  <c r="Y164" i="38" s="1"/>
  <c r="C165" i="38" a="1"/>
  <c r="C165" i="38" s="1"/>
  <c r="W165" i="38" a="1"/>
  <c r="W165" i="38" s="1"/>
  <c r="D166" i="38" a="1"/>
  <c r="D166" i="38" s="1"/>
  <c r="X166" i="38" a="1"/>
  <c r="X166" i="38" s="1"/>
  <c r="X303" i="38" s="1"/>
  <c r="V167" i="38" a="1"/>
  <c r="V167" i="38" s="1"/>
  <c r="AP167" i="38" a="1"/>
  <c r="AP167" i="38" s="1"/>
  <c r="T168" i="38" a="1"/>
  <c r="T168" i="38" s="1"/>
  <c r="AO168" i="38" a="1"/>
  <c r="AO168" i="38" s="1"/>
  <c r="Q169" i="38" a="1"/>
  <c r="Q169" i="38" s="1"/>
  <c r="AI169" i="38" a="1"/>
  <c r="AI169" i="38" s="1"/>
  <c r="F171" i="38" a="1"/>
  <c r="F171" i="38" s="1"/>
  <c r="AD171" i="38" a="1"/>
  <c r="AD171" i="38" s="1"/>
  <c r="D172" i="38" a="1"/>
  <c r="D172" i="38" s="1"/>
  <c r="U172" i="38" a="1"/>
  <c r="U172" i="38" s="1"/>
  <c r="AL172" i="38" a="1"/>
  <c r="AL172" i="38" s="1"/>
  <c r="N173" i="38" a="1"/>
  <c r="N173" i="38" s="1"/>
  <c r="AE173" i="38" a="1"/>
  <c r="AE173" i="38" s="1"/>
  <c r="H174" i="38" a="1"/>
  <c r="H174" i="38" s="1"/>
  <c r="Y174" i="38" a="1"/>
  <c r="Y174" i="38" s="1"/>
  <c r="AP174" i="38" a="1"/>
  <c r="AP174" i="38" s="1"/>
  <c r="P175" i="38" a="1"/>
  <c r="P175" i="38" s="1"/>
  <c r="AE175" i="38" a="1"/>
  <c r="AE175" i="38" s="1"/>
  <c r="AM176" i="38" a="1"/>
  <c r="AM176" i="38" s="1"/>
  <c r="M177" i="38" a="1"/>
  <c r="M177" i="38" s="1"/>
  <c r="AB177" i="38" a="1"/>
  <c r="AB177" i="38" s="1"/>
  <c r="R178" i="38" a="1"/>
  <c r="R178" i="38" s="1"/>
  <c r="N124" i="38" a="1"/>
  <c r="N124" i="38" s="1"/>
  <c r="R127" i="38" a="1"/>
  <c r="R127" i="38" s="1"/>
  <c r="AL131" i="38" a="1"/>
  <c r="AL131" i="38" s="1"/>
  <c r="J134" i="38" a="1"/>
  <c r="J134" i="38" s="1"/>
  <c r="G139" i="38" a="1"/>
  <c r="G139" i="38" s="1"/>
  <c r="Z140" i="38" a="1"/>
  <c r="Z140" i="38" s="1"/>
  <c r="Z319" i="38" s="1"/>
  <c r="AQ141" i="38" a="1"/>
  <c r="AQ141" i="38" s="1"/>
  <c r="I143" i="38" a="1"/>
  <c r="I143" i="38" s="1"/>
  <c r="I322" i="38" s="1"/>
  <c r="X144" i="38" a="1"/>
  <c r="X144" i="38" s="1"/>
  <c r="X323" i="38" s="1"/>
  <c r="AM145" i="38" a="1"/>
  <c r="AM145" i="38" s="1"/>
  <c r="AM324" i="38" s="1"/>
  <c r="AI146" i="38" a="1"/>
  <c r="AI146" i="38" s="1"/>
  <c r="AI325" i="38" s="1"/>
  <c r="D148" i="38" a="1"/>
  <c r="D148" i="38" s="1"/>
  <c r="D327" i="38" s="1"/>
  <c r="O149" i="38" a="1"/>
  <c r="O149" i="38" s="1"/>
  <c r="L150" i="38" a="1"/>
  <c r="L150" i="38" s="1"/>
  <c r="L329" i="38" s="1"/>
  <c r="T151" i="38" a="1"/>
  <c r="T151" i="38" s="1"/>
  <c r="T330" i="38" s="1"/>
  <c r="M152" i="38" a="1"/>
  <c r="M152" i="38" s="1"/>
  <c r="M331" i="38" s="1"/>
  <c r="AO152" i="38" a="1"/>
  <c r="AO152" i="38" s="1"/>
  <c r="AO331" i="38" s="1"/>
  <c r="D155" i="38" a="1"/>
  <c r="D155" i="38" s="1"/>
  <c r="O156" i="38" a="1"/>
  <c r="O156" i="38" s="1"/>
  <c r="AP156" i="38" a="1"/>
  <c r="AP156" i="38" s="1"/>
  <c r="AA157" i="38" a="1"/>
  <c r="AA157" i="38" s="1"/>
  <c r="L158" i="38" a="1"/>
  <c r="L158" i="38" s="1"/>
  <c r="AM158" i="38" a="1"/>
  <c r="AM158" i="38" s="1"/>
  <c r="U159" i="38" a="1"/>
  <c r="U159" i="38" s="1"/>
  <c r="AQ159" i="38" a="1"/>
  <c r="AQ159" i="38" s="1"/>
  <c r="V160" i="38" a="1"/>
  <c r="V160" i="38" s="1"/>
  <c r="W161" i="38" a="1"/>
  <c r="W161" i="38" s="1"/>
  <c r="C162" i="38" a="1"/>
  <c r="C162" i="38" s="1"/>
  <c r="W162" i="38" a="1"/>
  <c r="W162" i="38" s="1"/>
  <c r="AR162" i="38" a="1"/>
  <c r="AR162" i="38" s="1"/>
  <c r="S127" i="38" a="1"/>
  <c r="S127" i="38" s="1"/>
  <c r="AO129" i="38" a="1"/>
  <c r="AO129" i="38" s="1"/>
  <c r="AO308" i="38" s="1"/>
  <c r="N116" i="38" a="1"/>
  <c r="N116" i="38" s="1"/>
  <c r="P124" i="38" a="1"/>
  <c r="P124" i="38" s="1"/>
  <c r="P303" i="38" s="1"/>
  <c r="AQ129" i="38" a="1"/>
  <c r="AQ129" i="38" s="1"/>
  <c r="L134" i="38" a="1"/>
  <c r="L134" i="38" s="1"/>
  <c r="L313" i="38" s="1"/>
  <c r="E136" i="38" a="1"/>
  <c r="E136" i="38" s="1"/>
  <c r="E315" i="38" s="1"/>
  <c r="AK137" i="38" a="1"/>
  <c r="AK137" i="38" s="1"/>
  <c r="AK316" i="38" s="1"/>
  <c r="M139" i="38" a="1"/>
  <c r="M139" i="38" s="1"/>
  <c r="M318" i="38" s="1"/>
  <c r="G142" i="38" a="1"/>
  <c r="G142" i="38" s="1"/>
  <c r="G321" i="38" s="1"/>
  <c r="Z144" i="38" a="1"/>
  <c r="Z144" i="38" s="1"/>
  <c r="Z323" i="38" s="1"/>
  <c r="AP145" i="38" a="1"/>
  <c r="AP145" i="38" s="1"/>
  <c r="AP324" i="38" s="1"/>
  <c r="AR146" i="38" a="1"/>
  <c r="AR146" i="38" s="1"/>
  <c r="AR325" i="38" s="1"/>
  <c r="P149" i="38" a="1"/>
  <c r="P149" i="38" s="1"/>
  <c r="P328" i="38" s="1"/>
  <c r="U151" i="38" a="1"/>
  <c r="U151" i="38" s="1"/>
  <c r="U330" i="38" s="1"/>
  <c r="N152" i="38" a="1"/>
  <c r="N152" i="38" s="1"/>
  <c r="N331" i="38" s="1"/>
  <c r="AR152" i="38" a="1"/>
  <c r="AR152" i="38" s="1"/>
  <c r="AR331" i="38" s="1"/>
  <c r="AJ153" i="38" a="1"/>
  <c r="AJ153" i="38" s="1"/>
  <c r="AJ332" i="38" s="1"/>
  <c r="Q154" i="38" a="1"/>
  <c r="Q154" i="38" s="1"/>
  <c r="Q333" i="38" s="1"/>
  <c r="F155" i="38" a="1"/>
  <c r="F155" i="38" s="1"/>
  <c r="AF155" i="38" a="1"/>
  <c r="AF155" i="38" s="1"/>
  <c r="AQ156" i="38" a="1"/>
  <c r="AQ156" i="38" s="1"/>
  <c r="AE157" i="38" a="1"/>
  <c r="AE157" i="38" s="1"/>
  <c r="N158" i="38" a="1"/>
  <c r="N158" i="38" s="1"/>
  <c r="AQ158" i="38" a="1"/>
  <c r="AQ158" i="38" s="1"/>
  <c r="W159" i="38" a="1"/>
  <c r="W159" i="38" s="1"/>
  <c r="AR159" i="38" a="1"/>
  <c r="AR159" i="38" s="1"/>
  <c r="W160" i="38" a="1"/>
  <c r="W160" i="38" s="1"/>
  <c r="D161" i="38" a="1"/>
  <c r="D161" i="38" s="1"/>
  <c r="Y161" i="38" a="1"/>
  <c r="Y161" i="38" s="1"/>
  <c r="E162" i="38" a="1"/>
  <c r="E162" i="38" s="1"/>
  <c r="Y162" i="38" a="1"/>
  <c r="Y162" i="38" s="1"/>
  <c r="H163" i="38" a="1"/>
  <c r="H163" i="38" s="1"/>
  <c r="AC163" i="38" a="1"/>
  <c r="AC163" i="38" s="1"/>
  <c r="G164" i="38" a="1"/>
  <c r="G164" i="38" s="1"/>
  <c r="AB164" i="38" a="1"/>
  <c r="AB164" i="38" s="1"/>
  <c r="F165" i="38" a="1"/>
  <c r="F165" i="38" s="1"/>
  <c r="AC165" i="38" a="1"/>
  <c r="AC165" i="38" s="1"/>
  <c r="G166" i="38" a="1"/>
  <c r="G166" i="38" s="1"/>
  <c r="Z166" i="38" a="1"/>
  <c r="Z166" i="38" s="1"/>
  <c r="D167" i="38" a="1"/>
  <c r="D167" i="38" s="1"/>
  <c r="X167" i="38" a="1"/>
  <c r="X167" i="38" s="1"/>
  <c r="AR167" i="38" a="1"/>
  <c r="AR167" i="38" s="1"/>
  <c r="S169" i="38" a="1"/>
  <c r="S169" i="38" s="1"/>
  <c r="AL169" i="38" a="1"/>
  <c r="AL169" i="38" s="1"/>
  <c r="M170" i="38" a="1"/>
  <c r="M170" i="38" s="1"/>
  <c r="AF171" i="38" a="1"/>
  <c r="AF171" i="38" s="1"/>
  <c r="G172" i="38" a="1"/>
  <c r="G172" i="38" s="1"/>
  <c r="W172" i="38" a="1"/>
  <c r="W172" i="38" s="1"/>
  <c r="AO172" i="38" a="1"/>
  <c r="AO172" i="38" s="1"/>
  <c r="AH173" i="38" a="1"/>
  <c r="AH173" i="38" s="1"/>
  <c r="AH175" i="38" a="1"/>
  <c r="AH175" i="38" s="1"/>
  <c r="H176" i="38" a="1"/>
  <c r="H176" i="38" s="1"/>
  <c r="X176" i="38" a="1"/>
  <c r="X176" i="38" s="1"/>
  <c r="AE177" i="38" a="1"/>
  <c r="AE177" i="38" s="1"/>
  <c r="D178" i="38" a="1"/>
  <c r="D178" i="38" s="1"/>
  <c r="K179" i="38" a="1"/>
  <c r="K179" i="38" s="1"/>
  <c r="Z179" i="38" a="1"/>
  <c r="Z179" i="38" s="1"/>
  <c r="AO179" i="38" a="1"/>
  <c r="AO179" i="38" s="1"/>
  <c r="O180" i="38" a="1"/>
  <c r="O180" i="38" s="1"/>
  <c r="F181" i="38" a="1"/>
  <c r="F181" i="38" s="1"/>
  <c r="T181" i="38" a="1"/>
  <c r="T181" i="38" s="1"/>
  <c r="AI181" i="38" a="1"/>
  <c r="AI181" i="38" s="1"/>
  <c r="I182" i="38" a="1"/>
  <c r="I182" i="38" s="1"/>
  <c r="AO182" i="38" a="1"/>
  <c r="AO182" i="38" s="1"/>
  <c r="AN131" i="38" a="1"/>
  <c r="AN131" i="38" s="1"/>
  <c r="F136" i="38" a="1"/>
  <c r="F136" i="38" s="1"/>
  <c r="F315" i="38" s="1"/>
  <c r="AL137" i="38" a="1"/>
  <c r="AL137" i="38" s="1"/>
  <c r="K143" i="38" a="1"/>
  <c r="K143" i="38" s="1"/>
  <c r="I147" i="38" a="1"/>
  <c r="I147" i="38" s="1"/>
  <c r="I326" i="38" s="1"/>
  <c r="M148" i="38" a="1"/>
  <c r="M148" i="38" s="1"/>
  <c r="M327" i="38" s="1"/>
  <c r="AA150" i="38" a="1"/>
  <c r="AA150" i="38" s="1"/>
  <c r="AA329" i="38" s="1"/>
  <c r="O152" i="38" a="1"/>
  <c r="O152" i="38" s="1"/>
  <c r="O331" i="38" s="1"/>
  <c r="AS152" i="38"/>
  <c r="AK153" i="38" a="1"/>
  <c r="AK153" i="38" s="1"/>
  <c r="AK332" i="38" s="1"/>
  <c r="G155" i="38" a="1"/>
  <c r="G155" i="38" s="1"/>
  <c r="T156" i="38" a="1"/>
  <c r="T156" i="38" s="1"/>
  <c r="AR156" i="38" a="1"/>
  <c r="AR156" i="38" s="1"/>
  <c r="O158" i="38" a="1"/>
  <c r="O158" i="38" s="1"/>
  <c r="C160" i="38" a="1"/>
  <c r="C160" i="38" s="1"/>
  <c r="E161" i="38" a="1"/>
  <c r="E161" i="38" s="1"/>
  <c r="Z161" i="38" a="1"/>
  <c r="Z161" i="38" s="1"/>
  <c r="F162" i="38" a="1"/>
  <c r="F162" i="38" s="1"/>
  <c r="Z162" i="38" a="1"/>
  <c r="Z162" i="38" s="1"/>
  <c r="I163" i="38" a="1"/>
  <c r="I163" i="38" s="1"/>
  <c r="AD163" i="38" a="1"/>
  <c r="AD163" i="38" s="1"/>
  <c r="H164" i="38" a="1"/>
  <c r="H164" i="38" s="1"/>
  <c r="G165" i="38" a="1"/>
  <c r="G165" i="38" s="1"/>
  <c r="AD165" i="38" a="1"/>
  <c r="AD165" i="38" s="1"/>
  <c r="AA166" i="38" a="1"/>
  <c r="AA166" i="38" s="1"/>
  <c r="E167" i="38" a="1"/>
  <c r="E167" i="38" s="1"/>
  <c r="D168" i="38" a="1"/>
  <c r="D168" i="38" s="1"/>
  <c r="X168" i="38" a="1"/>
  <c r="X168" i="38" s="1"/>
  <c r="AQ168" i="38" a="1"/>
  <c r="AQ168" i="38" s="1"/>
  <c r="N170" i="38" a="1"/>
  <c r="N170" i="38" s="1"/>
  <c r="AF170" i="38" a="1"/>
  <c r="AF170" i="38" s="1"/>
  <c r="K171" i="38" a="1"/>
  <c r="K171" i="38" s="1"/>
  <c r="H172" i="38" a="1"/>
  <c r="H172" i="38" s="1"/>
  <c r="M163" i="38" a="1"/>
  <c r="M163" i="38" s="1"/>
  <c r="Q162" i="38" a="1"/>
  <c r="Q162" i="38" s="1"/>
  <c r="AA161" i="38" a="1"/>
  <c r="AA161" i="38" s="1"/>
  <c r="AE160" i="38" a="1"/>
  <c r="AE160" i="38" s="1"/>
  <c r="AF159" i="38" a="1"/>
  <c r="AF159" i="38" s="1"/>
  <c r="AP158" i="38" a="1"/>
  <c r="AP158" i="38" s="1"/>
  <c r="AH157" i="38" a="1"/>
  <c r="AH157" i="38" s="1"/>
  <c r="H155" i="38" a="1"/>
  <c r="H155" i="38" s="1"/>
  <c r="AM153" i="38" a="1"/>
  <c r="AM153" i="38" s="1"/>
  <c r="AM332" i="38" s="1"/>
  <c r="N148" i="38" a="1"/>
  <c r="N148" i="38" s="1"/>
  <c r="N327" i="38" s="1"/>
  <c r="AR145" i="38" a="1"/>
  <c r="AR145" i="38" s="1"/>
  <c r="AR324" i="38" s="1"/>
  <c r="AF143" i="38" a="1"/>
  <c r="AF143" i="38" s="1"/>
  <c r="AF322" i="38" s="1"/>
  <c r="I138" i="38" a="1"/>
  <c r="I138" i="38" s="1"/>
  <c r="Q122" i="38" a="1"/>
  <c r="Q122" i="38" s="1"/>
  <c r="Q301" i="38" s="1"/>
  <c r="F185" i="38" a="1"/>
  <c r="F185" i="38" s="1"/>
  <c r="AG184" i="38" a="1"/>
  <c r="AG184" i="38" s="1"/>
  <c r="Q184" i="38" a="1"/>
  <c r="Q184" i="38" s="1"/>
  <c r="AQ183" i="38" a="1"/>
  <c r="AQ183" i="38" s="1"/>
  <c r="AF182" i="38" a="1"/>
  <c r="AF182" i="38" s="1"/>
  <c r="M182" i="38" a="1"/>
  <c r="M182" i="38" s="1"/>
  <c r="AL181" i="38" a="1"/>
  <c r="AL181" i="38" s="1"/>
  <c r="S181" i="38" a="1"/>
  <c r="S181" i="38" s="1"/>
  <c r="AO180" i="38" a="1"/>
  <c r="AO180" i="38" s="1"/>
  <c r="W180" i="38" a="1"/>
  <c r="W180" i="38" s="1"/>
  <c r="E180" i="38" a="1"/>
  <c r="E180" i="38" s="1"/>
  <c r="H179" i="38" a="1"/>
  <c r="H179" i="38" s="1"/>
  <c r="AE178" i="38" a="1"/>
  <c r="AE178" i="38" s="1"/>
  <c r="J178" i="38" a="1"/>
  <c r="J178" i="38" s="1"/>
  <c r="I177" i="38" a="1"/>
  <c r="I177" i="38" s="1"/>
  <c r="AE176" i="38" a="1"/>
  <c r="AE176" i="38" s="1"/>
  <c r="I175" i="38" a="1"/>
  <c r="I175" i="38" s="1"/>
  <c r="AE174" i="38" a="1"/>
  <c r="AE174" i="38" s="1"/>
  <c r="J174" i="38" a="1"/>
  <c r="J174" i="38" s="1"/>
  <c r="AB173" i="38" a="1"/>
  <c r="AB173" i="38" s="1"/>
  <c r="D173" i="38" a="1"/>
  <c r="D173" i="38" s="1"/>
  <c r="Y172" i="38" a="1"/>
  <c r="Y172" i="38" s="1"/>
  <c r="AQ171" i="38" a="1"/>
  <c r="AQ171" i="38" s="1"/>
  <c r="Q171" i="38" a="1"/>
  <c r="Q171" i="38" s="1"/>
  <c r="AI170" i="38" a="1"/>
  <c r="AI170" i="38" s="1"/>
  <c r="E170" i="38" a="1"/>
  <c r="E170" i="38" s="1"/>
  <c r="L168" i="38" a="1"/>
  <c r="L168" i="38" s="1"/>
  <c r="AC167" i="38" a="1"/>
  <c r="AC167" i="38" s="1"/>
  <c r="AO166" i="38" a="1"/>
  <c r="AO166" i="38" s="1"/>
  <c r="K166" i="38" a="1"/>
  <c r="K166" i="38" s="1"/>
  <c r="AB165" i="38" a="1"/>
  <c r="AB165" i="38" s="1"/>
  <c r="AI164" i="38" a="1"/>
  <c r="AI164" i="38" s="1"/>
  <c r="E164" i="38" a="1"/>
  <c r="E164" i="38" s="1"/>
  <c r="P162" i="38" a="1"/>
  <c r="P162" i="38" s="1"/>
  <c r="X161" i="38" a="1"/>
  <c r="X161" i="38" s="1"/>
  <c r="AE159" i="38" a="1"/>
  <c r="AE159" i="38" s="1"/>
  <c r="AG157" i="38" a="1"/>
  <c r="AG157" i="38" s="1"/>
  <c r="U156" i="38" a="1"/>
  <c r="U156" i="38" s="1"/>
  <c r="AL153" i="38" a="1"/>
  <c r="AL153" i="38" s="1"/>
  <c r="AL332" i="38" s="1"/>
  <c r="P152" i="38" a="1"/>
  <c r="P152" i="38" s="1"/>
  <c r="P331" i="38" s="1"/>
  <c r="AQ145" i="38" a="1"/>
  <c r="AQ145" i="38" s="1"/>
  <c r="AQ324" i="38" s="1"/>
  <c r="AP140" i="38" a="1"/>
  <c r="AP140" i="38" s="1"/>
  <c r="AP319" i="38" s="1"/>
  <c r="AM137" i="38" a="1"/>
  <c r="AM137" i="38" s="1"/>
  <c r="AM316" i="38" s="1"/>
  <c r="M134" i="38" a="1"/>
  <c r="M134" i="38" s="1"/>
  <c r="M313" i="38" s="1"/>
  <c r="AR129" i="38" a="1"/>
  <c r="AR129" i="38" s="1"/>
  <c r="AR308" i="38" s="1"/>
  <c r="O122" i="38" a="1"/>
  <c r="O122" i="38" s="1"/>
  <c r="AN180" i="38" a="1"/>
  <c r="AN180" i="38" s="1"/>
  <c r="V180" i="38" a="1"/>
  <c r="V180" i="38" s="1"/>
  <c r="D180" i="38" a="1"/>
  <c r="D180" i="38" s="1"/>
  <c r="AA179" i="38" a="1"/>
  <c r="AA179" i="38" s="1"/>
  <c r="F179" i="38" a="1"/>
  <c r="F179" i="38" s="1"/>
  <c r="AB178" i="38" a="1"/>
  <c r="AB178" i="38" s="1"/>
  <c r="I178" i="38" a="1"/>
  <c r="I178" i="38" s="1"/>
  <c r="AF177" i="38" a="1"/>
  <c r="AF177" i="38" s="1"/>
  <c r="H177" i="38" a="1"/>
  <c r="H177" i="38" s="1"/>
  <c r="AD176" i="38" a="1"/>
  <c r="AD176" i="38" s="1"/>
  <c r="K176" i="38" a="1"/>
  <c r="K176" i="38" s="1"/>
  <c r="AB175" i="38" a="1"/>
  <c r="AB175" i="38" s="1"/>
  <c r="H175" i="38" a="1"/>
  <c r="H175" i="38" s="1"/>
  <c r="AD174" i="38" a="1"/>
  <c r="AD174" i="38" s="1"/>
  <c r="AD311" i="38" s="1"/>
  <c r="I174" i="38" a="1"/>
  <c r="I174" i="38" s="1"/>
  <c r="AA173" i="38" a="1"/>
  <c r="AA173" i="38" s="1"/>
  <c r="C173" i="38" a="1"/>
  <c r="C173" i="38" s="1"/>
  <c r="AE170" i="38" a="1"/>
  <c r="AE170" i="38" s="1"/>
  <c r="C170" i="38" a="1"/>
  <c r="C170" i="38" s="1"/>
  <c r="V169" i="38" a="1"/>
  <c r="V169" i="38" s="1"/>
  <c r="AI168" i="38" a="1"/>
  <c r="AI168" i="38" s="1"/>
  <c r="K168" i="38" a="1"/>
  <c r="K168" i="38" s="1"/>
  <c r="Z167" i="38" a="1"/>
  <c r="Z167" i="38" s="1"/>
  <c r="AN166" i="38" a="1"/>
  <c r="AN166" i="38" s="1"/>
  <c r="T165" i="38" a="1"/>
  <c r="T165" i="38" s="1"/>
  <c r="AQ163" i="38" a="1"/>
  <c r="AQ163" i="38" s="1"/>
  <c r="L163" i="38" a="1"/>
  <c r="L163" i="38" s="1"/>
  <c r="O162" i="38" a="1"/>
  <c r="O162" i="38" s="1"/>
  <c r="AD160" i="38" a="1"/>
  <c r="AD160" i="38" s="1"/>
  <c r="AE158" i="38" a="1"/>
  <c r="AE158" i="38" s="1"/>
  <c r="AD157" i="38" a="1"/>
  <c r="AD157" i="38" s="1"/>
  <c r="Q156" i="38" a="1"/>
  <c r="Q156" i="38" s="1"/>
  <c r="AG153" i="38" a="1"/>
  <c r="AG153" i="38" s="1"/>
  <c r="AG332" i="38" s="1"/>
  <c r="E148" i="38" a="1"/>
  <c r="E148" i="38" s="1"/>
  <c r="E327" i="38" s="1"/>
  <c r="AN145" i="38" a="1"/>
  <c r="AN145" i="38" s="1"/>
  <c r="AN324" i="38" s="1"/>
  <c r="J143" i="38" a="1"/>
  <c r="J143" i="38" s="1"/>
  <c r="AE140" i="38" a="1"/>
  <c r="AE140" i="38" s="1"/>
  <c r="AE319" i="38" s="1"/>
  <c r="AD137" i="38" a="1"/>
  <c r="AD137" i="38" s="1"/>
  <c r="AD316" i="38" s="1"/>
  <c r="K134" i="38" a="1"/>
  <c r="K134" i="38" s="1"/>
  <c r="F129" i="38" a="1"/>
  <c r="F129" i="38" s="1"/>
  <c r="F308" i="38" s="1"/>
  <c r="L122" i="38" a="1"/>
  <c r="L122" i="38" s="1"/>
  <c r="U180" i="38" a="1"/>
  <c r="U180" i="38" s="1"/>
  <c r="C180" i="38" a="1"/>
  <c r="C180" i="38" s="1"/>
  <c r="Y179" i="38" a="1"/>
  <c r="Y179" i="38" s="1"/>
  <c r="E179" i="38" a="1"/>
  <c r="E179" i="38" s="1"/>
  <c r="H178" i="38" a="1"/>
  <c r="H178" i="38" s="1"/>
  <c r="AD177" i="38" a="1"/>
  <c r="AD177" i="38" s="1"/>
  <c r="G177" i="38" a="1"/>
  <c r="G177" i="38" s="1"/>
  <c r="AC176" i="38" a="1"/>
  <c r="AC176" i="38" s="1"/>
  <c r="J176" i="38" a="1"/>
  <c r="J176" i="38" s="1"/>
  <c r="G175" i="38" a="1"/>
  <c r="G175" i="38" s="1"/>
  <c r="Y173" i="38" a="1"/>
  <c r="Y173" i="38" s="1"/>
  <c r="AR172" i="38" a="1"/>
  <c r="AR172" i="38" s="1"/>
  <c r="X172" i="38" a="1"/>
  <c r="X172" i="38" s="1"/>
  <c r="AN171" i="38" a="1"/>
  <c r="AN171" i="38" s="1"/>
  <c r="P171" i="38" a="1"/>
  <c r="P171" i="38" s="1"/>
  <c r="AD170" i="38" a="1"/>
  <c r="AD170" i="38" s="1"/>
  <c r="U169" i="38" a="1"/>
  <c r="U169" i="38" s="1"/>
  <c r="AH168" i="38" a="1"/>
  <c r="AH168" i="38" s="1"/>
  <c r="J168" i="38" a="1"/>
  <c r="J168" i="38" s="1"/>
  <c r="Y167" i="38" a="1"/>
  <c r="Y167" i="38" s="1"/>
  <c r="AM166" i="38" a="1"/>
  <c r="AM166" i="38" s="1"/>
  <c r="J166" i="38" a="1"/>
  <c r="J166" i="38" s="1"/>
  <c r="S165" i="38" a="1"/>
  <c r="S165" i="38" s="1"/>
  <c r="AH164" i="38" a="1"/>
  <c r="AH164" i="38" s="1"/>
  <c r="AL163" i="38" a="1"/>
  <c r="AL163" i="38" s="1"/>
  <c r="K163" i="38" a="1"/>
  <c r="K163" i="38" s="1"/>
  <c r="N162" i="38" a="1"/>
  <c r="N162" i="38" s="1"/>
  <c r="P161" i="38" a="1"/>
  <c r="P161" i="38" s="1"/>
  <c r="AC160" i="38" a="1"/>
  <c r="AC160" i="38" s="1"/>
  <c r="AD159" i="38" a="1"/>
  <c r="AD159" i="38" s="1"/>
  <c r="AD158" i="38" a="1"/>
  <c r="AD158" i="38" s="1"/>
  <c r="R157" i="38" a="1"/>
  <c r="R157" i="38" s="1"/>
  <c r="E156" i="38" a="1"/>
  <c r="E156" i="38" s="1"/>
  <c r="AG154" i="38" a="1"/>
  <c r="AG154" i="38" s="1"/>
  <c r="AG333" i="38" s="1"/>
  <c r="R153" i="38" a="1"/>
  <c r="R153" i="38" s="1"/>
  <c r="R332" i="38" s="1"/>
  <c r="AM151" i="38" a="1"/>
  <c r="AM151" i="38" s="1"/>
  <c r="AM330" i="38" s="1"/>
  <c r="G150" i="38" a="1"/>
  <c r="G150" i="38" s="1"/>
  <c r="G329" i="38" s="1"/>
  <c r="W147" i="38" a="1"/>
  <c r="W147" i="38" s="1"/>
  <c r="W326" i="38" s="1"/>
  <c r="AD142" i="38" a="1"/>
  <c r="AD142" i="38" s="1"/>
  <c r="AD321" i="38" s="1"/>
  <c r="AO136" i="38" a="1"/>
  <c r="AO136" i="38" s="1"/>
  <c r="AO315" i="38" s="1"/>
  <c r="K133" i="38" a="1"/>
  <c r="K133" i="38" s="1"/>
  <c r="K312" i="38" s="1"/>
  <c r="AJ128" i="38" a="1"/>
  <c r="AJ128" i="38" s="1"/>
  <c r="AJ307" i="38" s="1"/>
  <c r="AH120" i="38" a="1"/>
  <c r="AH120" i="38" s="1"/>
  <c r="X173" i="38" a="1"/>
  <c r="X173" i="38" s="1"/>
  <c r="V172" i="38" a="1"/>
  <c r="V172" i="38" s="1"/>
  <c r="AM171" i="38" a="1"/>
  <c r="AM171" i="38" s="1"/>
  <c r="O171" i="38" a="1"/>
  <c r="O171" i="38" s="1"/>
  <c r="AA170" i="38" a="1"/>
  <c r="AA170" i="38" s="1"/>
  <c r="AS169" i="38" a="1"/>
  <c r="AS169" i="38" s="1"/>
  <c r="I168" i="38" a="1"/>
  <c r="I168" i="38" s="1"/>
  <c r="AK166" i="38" a="1"/>
  <c r="AK166" i="38" s="1"/>
  <c r="R165" i="38" a="1"/>
  <c r="R165" i="38" s="1"/>
  <c r="AE164" i="38" a="1"/>
  <c r="AE164" i="38" s="1"/>
  <c r="AJ163" i="38" a="1"/>
  <c r="AJ163" i="38" s="1"/>
  <c r="K162" i="38" a="1"/>
  <c r="K162" i="38" s="1"/>
  <c r="N161" i="38" a="1"/>
  <c r="N161" i="38" s="1"/>
  <c r="AB160" i="38" a="1"/>
  <c r="AB160" i="38" s="1"/>
  <c r="AB159" i="38" a="1"/>
  <c r="AB159" i="38" s="1"/>
  <c r="AC158" i="38" a="1"/>
  <c r="AC158" i="38" s="1"/>
  <c r="Q157" i="38" a="1"/>
  <c r="Q157" i="38" s="1"/>
  <c r="D156" i="38" a="1"/>
  <c r="D156" i="38" s="1"/>
  <c r="AF154" i="38" a="1"/>
  <c r="AF154" i="38" s="1"/>
  <c r="AF333" i="38" s="1"/>
  <c r="P153" i="38" a="1"/>
  <c r="P153" i="38" s="1"/>
  <c r="P332" i="38" s="1"/>
  <c r="AL151" i="38" a="1"/>
  <c r="AL151" i="38" s="1"/>
  <c r="AL330" i="38" s="1"/>
  <c r="AO149" i="38" a="1"/>
  <c r="AO149" i="38" s="1"/>
  <c r="AO328" i="38" s="1"/>
  <c r="V147" i="38" a="1"/>
  <c r="V147" i="38" s="1"/>
  <c r="V326" i="38" s="1"/>
  <c r="AC142" i="38" a="1"/>
  <c r="AC142" i="38" s="1"/>
  <c r="AC321" i="38" s="1"/>
  <c r="AR139" i="38" a="1"/>
  <c r="AR139" i="38" s="1"/>
  <c r="AE132" i="38" a="1"/>
  <c r="AE132" i="38" s="1"/>
  <c r="AE311" i="38" s="1"/>
  <c r="N128" i="38" a="1"/>
  <c r="N128" i="38" s="1"/>
  <c r="N307" i="38" s="1"/>
  <c r="AK119" i="38" a="1"/>
  <c r="AK119" i="38" s="1"/>
  <c r="AE333" i="38"/>
  <c r="AN328" i="38"/>
  <c r="U326" i="38"/>
  <c r="AB321" i="38"/>
  <c r="I307" i="38"/>
  <c r="AI117" i="38" a="1"/>
  <c r="AI117" i="38" s="1"/>
  <c r="W178" i="38" a="1"/>
  <c r="W178" i="38" s="1"/>
  <c r="C178" i="38" a="1"/>
  <c r="C178" i="38" s="1"/>
  <c r="W177" i="38" a="1"/>
  <c r="W177" i="38" s="1"/>
  <c r="Y176" i="38" a="1"/>
  <c r="Y176" i="38" s="1"/>
  <c r="C176" i="38" a="1"/>
  <c r="C176" i="38" s="1"/>
  <c r="AR173" i="38" a="1"/>
  <c r="AR173" i="38" s="1"/>
  <c r="R172" i="38" a="1"/>
  <c r="R172" i="38" s="1"/>
  <c r="AJ171" i="38" a="1"/>
  <c r="AJ171" i="38" s="1"/>
  <c r="J171" i="38" a="1"/>
  <c r="J171" i="38" s="1"/>
  <c r="AO169" i="38" a="1"/>
  <c r="AO169" i="38" s="1"/>
  <c r="N169" i="38" a="1"/>
  <c r="N169" i="38" s="1"/>
  <c r="AC168" i="38" a="1"/>
  <c r="AC168" i="38" s="1"/>
  <c r="F168" i="38" a="1"/>
  <c r="F168" i="38" s="1"/>
  <c r="Q167" i="38" a="1"/>
  <c r="Q167" i="38" s="1"/>
  <c r="AE166" i="38" a="1"/>
  <c r="AE166" i="38" s="1"/>
  <c r="E166" i="38" a="1"/>
  <c r="E166" i="38" s="1"/>
  <c r="AA164" i="38" a="1"/>
  <c r="AA164" i="38" s="1"/>
  <c r="AM162" i="38" a="1"/>
  <c r="AM162" i="38" s="1"/>
  <c r="H162" i="38" a="1"/>
  <c r="H162" i="38" s="1"/>
  <c r="J161" i="38" a="1"/>
  <c r="J161" i="38" s="1"/>
  <c r="O160" i="38" a="1"/>
  <c r="O160" i="38" s="1"/>
  <c r="X159" i="38" a="1"/>
  <c r="X159" i="38" s="1"/>
  <c r="L153" i="38" a="1"/>
  <c r="L153" i="38" s="1"/>
  <c r="L332" i="38" s="1"/>
  <c r="AD149" i="38" a="1"/>
  <c r="AD149" i="38" s="1"/>
  <c r="AD328" i="38" s="1"/>
  <c r="R147" i="38" a="1"/>
  <c r="R147" i="38" s="1"/>
  <c r="R326" i="38" s="1"/>
  <c r="X142" i="38" a="1"/>
  <c r="X142" i="38" s="1"/>
  <c r="X321" i="38" s="1"/>
  <c r="AO139" i="38" a="1"/>
  <c r="AO139" i="38" s="1"/>
  <c r="G128" i="38" a="1"/>
  <c r="G128" i="38" s="1"/>
  <c r="G307" i="38" s="1"/>
  <c r="L117" i="38" a="1"/>
  <c r="L117" i="38" s="1"/>
  <c r="M165" i="38" a="1"/>
  <c r="M165" i="38" s="1"/>
  <c r="Z164" i="38" a="1"/>
  <c r="Z164" i="38" s="1"/>
  <c r="AG163" i="38" a="1"/>
  <c r="AG163" i="38" s="1"/>
  <c r="AL162" i="38" a="1"/>
  <c r="AL162" i="38" s="1"/>
  <c r="G162" i="38" a="1"/>
  <c r="G162" i="38" s="1"/>
  <c r="N160" i="38" a="1"/>
  <c r="N160" i="38" s="1"/>
  <c r="S158" i="38" a="1"/>
  <c r="S158" i="38" s="1"/>
  <c r="H157" i="38" a="1"/>
  <c r="H157" i="38" s="1"/>
  <c r="AB154" i="38" a="1"/>
  <c r="AB154" i="38" s="1"/>
  <c r="AI151" i="38" a="1"/>
  <c r="AI151" i="38" s="1"/>
  <c r="AI330" i="38" s="1"/>
  <c r="AC149" i="38" a="1"/>
  <c r="AC149" i="38" s="1"/>
  <c r="AC328" i="38" s="1"/>
  <c r="O147" i="38" a="1"/>
  <c r="O147" i="38" s="1"/>
  <c r="O326" i="38" s="1"/>
  <c r="AA136" i="38" a="1"/>
  <c r="AA136" i="38" s="1"/>
  <c r="AA315" i="38" s="1"/>
  <c r="AB132" i="38" a="1"/>
  <c r="AB132" i="38" s="1"/>
  <c r="C117" i="38" a="1"/>
  <c r="C117" i="38" s="1"/>
  <c r="AA333" i="38"/>
  <c r="AD330" i="38"/>
  <c r="S328" i="38"/>
  <c r="R142" i="38" a="1"/>
  <c r="R142" i="38" s="1"/>
  <c r="R321" i="38" s="1"/>
  <c r="AN139" i="38" a="1"/>
  <c r="AN139" i="38" s="1"/>
  <c r="AN318" i="38" s="1"/>
  <c r="AA132" i="38" a="1"/>
  <c r="AA132" i="38" s="1"/>
  <c r="F128" i="38" a="1"/>
  <c r="F128" i="38" s="1"/>
  <c r="F307" i="38" s="1"/>
  <c r="Y333" i="38"/>
  <c r="G332" i="38"/>
  <c r="AA330" i="38"/>
  <c r="R328" i="38"/>
  <c r="AM318" i="38"/>
  <c r="O136" i="38" a="1"/>
  <c r="O136" i="38" s="1"/>
  <c r="Y132" i="38" a="1"/>
  <c r="Y132" i="38" s="1"/>
  <c r="Y311" i="38" s="1"/>
  <c r="T170" i="38" a="1"/>
  <c r="T170" i="38" s="1"/>
  <c r="AK169" i="38" a="1"/>
  <c r="AK169" i="38" s="1"/>
  <c r="G169" i="38" a="1"/>
  <c r="G169" i="38" s="1"/>
  <c r="Z168" i="38" a="1"/>
  <c r="Z168" i="38" s="1"/>
  <c r="AM167" i="38" a="1"/>
  <c r="AM167" i="38" s="1"/>
  <c r="AJ165" i="38" a="1"/>
  <c r="AJ165" i="38" s="1"/>
  <c r="K165" i="38" a="1"/>
  <c r="K165" i="38" s="1"/>
  <c r="R164" i="38" a="1"/>
  <c r="R164" i="38" s="1"/>
  <c r="AE163" i="38" a="1"/>
  <c r="AE163" i="38" s="1"/>
  <c r="AM161" i="38" a="1"/>
  <c r="AM161" i="38" s="1"/>
  <c r="G161" i="38" a="1"/>
  <c r="G161" i="38" s="1"/>
  <c r="P158" i="38" a="1"/>
  <c r="P158" i="38" s="1"/>
  <c r="AG155" i="38" a="1"/>
  <c r="AG155" i="38" s="1"/>
  <c r="R154" i="38" a="1"/>
  <c r="R154" i="38" s="1"/>
  <c r="R333" i="38" s="1"/>
  <c r="V151" i="38" a="1"/>
  <c r="V151" i="38" s="1"/>
  <c r="V330" i="38" s="1"/>
  <c r="Q149" i="38" a="1"/>
  <c r="Q149" i="38" s="1"/>
  <c r="Q328" i="38" s="1"/>
  <c r="J147" i="38" a="1"/>
  <c r="J147" i="38" s="1"/>
  <c r="J326" i="38" s="1"/>
  <c r="AA144" i="38" a="1"/>
  <c r="AA144" i="38" s="1"/>
  <c r="AA323" i="38" s="1"/>
  <c r="Q142" i="38" a="1"/>
  <c r="Q142" i="38" s="1"/>
  <c r="AB139" i="38" a="1"/>
  <c r="AB139" i="38" s="1"/>
  <c r="AB318" i="38" s="1"/>
  <c r="AR125" i="38" a="1"/>
  <c r="AR125" i="38" s="1"/>
  <c r="AR304" i="38" s="1"/>
  <c r="P154" i="38" a="1"/>
  <c r="P154" i="38" s="1"/>
  <c r="P333" i="38" s="1"/>
  <c r="AP152" i="38" a="1"/>
  <c r="AP152" i="38" s="1"/>
  <c r="AP331" i="38" s="1"/>
  <c r="Y144" i="38" a="1"/>
  <c r="Y144" i="38" s="1"/>
  <c r="Y323" i="38" s="1"/>
  <c r="AR141" i="38" a="1"/>
  <c r="AR141" i="38" s="1"/>
  <c r="AR320" i="38" s="1"/>
  <c r="L139" i="38" a="1"/>
  <c r="L139" i="38" s="1"/>
  <c r="L318" i="38" s="1"/>
  <c r="D136" i="38" a="1"/>
  <c r="D136" i="38" s="1"/>
  <c r="D315" i="38" s="1"/>
  <c r="AM131" i="38" a="1"/>
  <c r="AM131" i="38" s="1"/>
  <c r="AM310" i="38" s="1"/>
  <c r="AQ125" i="38" a="1"/>
  <c r="AQ125" i="38" s="1"/>
  <c r="AQ304" i="38" s="1"/>
  <c r="AA332" i="38"/>
  <c r="E332" i="38"/>
  <c r="W330" i="38"/>
  <c r="AK326" i="38"/>
  <c r="M325" i="38"/>
  <c r="G322" i="38"/>
  <c r="AA321" i="38"/>
  <c r="U318" i="38"/>
  <c r="Q316" i="38"/>
  <c r="AI314" i="38"/>
  <c r="AC311" i="38"/>
  <c r="AQ307" i="38"/>
  <c r="U307" i="38"/>
  <c r="I301" i="38"/>
  <c r="AN173" i="38" a="1"/>
  <c r="AN173" i="38" s="1"/>
  <c r="P173" i="38" a="1"/>
  <c r="P173" i="38" s="1"/>
  <c r="L172" i="38" a="1"/>
  <c r="L172" i="38" s="1"/>
  <c r="AE171" i="38" a="1"/>
  <c r="AE171" i="38" s="1"/>
  <c r="AP170" i="38" a="1"/>
  <c r="AP170" i="38" s="1"/>
  <c r="S170" i="38" a="1"/>
  <c r="S170" i="38" s="1"/>
  <c r="E169" i="38" a="1"/>
  <c r="E169" i="38" s="1"/>
  <c r="Y168" i="38" a="1"/>
  <c r="Y168" i="38" s="1"/>
  <c r="AK167" i="38" a="1"/>
  <c r="AK167" i="38" s="1"/>
  <c r="K167" i="38" a="1"/>
  <c r="K167" i="38" s="1"/>
  <c r="Y166" i="38" a="1"/>
  <c r="Y166" i="38" s="1"/>
  <c r="J165" i="38" a="1"/>
  <c r="J165" i="38" s="1"/>
  <c r="M164" i="38" a="1"/>
  <c r="M164" i="38" s="1"/>
  <c r="AB163" i="38" a="1"/>
  <c r="AB163" i="38" s="1"/>
  <c r="AH161" i="38" a="1"/>
  <c r="AH161" i="38" s="1"/>
  <c r="C161" i="38" a="1"/>
  <c r="C161" i="38" s="1"/>
  <c r="G160" i="38" a="1"/>
  <c r="G160" i="38" s="1"/>
  <c r="H159" i="38" a="1"/>
  <c r="H159" i="38" s="1"/>
  <c r="AB156" i="38" a="1"/>
  <c r="AB156" i="38" s="1"/>
  <c r="AE152" i="38" a="1"/>
  <c r="AE152" i="38" s="1"/>
  <c r="AE331" i="38" s="1"/>
  <c r="AS143" i="38"/>
  <c r="W138" i="38" a="1"/>
  <c r="W138" i="38" s="1"/>
  <c r="W317" i="38" s="1"/>
  <c r="AB333" i="38"/>
  <c r="Z332" i="38"/>
  <c r="AR330" i="38"/>
  <c r="P327" i="38"/>
  <c r="AH325" i="38"/>
  <c r="H323" i="38"/>
  <c r="F322" i="38"/>
  <c r="X320" i="38"/>
  <c r="AL316" i="38"/>
  <c r="AF313" i="38"/>
  <c r="AB311" i="38"/>
  <c r="AL194" i="38" a="1"/>
  <c r="AL194" i="38" s="1"/>
  <c r="V194" i="38" a="1"/>
  <c r="V194" i="38" s="1"/>
  <c r="G194" i="38" a="1"/>
  <c r="G194" i="38" s="1"/>
  <c r="AH193" i="38" a="1"/>
  <c r="AH193" i="38" s="1"/>
  <c r="S193" i="38" a="1"/>
  <c r="S193" i="38" s="1"/>
  <c r="AE192" i="38" a="1"/>
  <c r="AE192" i="38" s="1"/>
  <c r="AQ191" i="38" a="1"/>
  <c r="AQ191" i="38" s="1"/>
  <c r="AB191" i="38" a="1"/>
  <c r="AB191" i="38" s="1"/>
  <c r="M191" i="38" a="1"/>
  <c r="M191" i="38" s="1"/>
  <c r="AM190" i="38" a="1"/>
  <c r="AM190" i="38" s="1"/>
  <c r="AJ189" i="38" a="1"/>
  <c r="AJ189" i="38" s="1"/>
  <c r="T189" i="38" a="1"/>
  <c r="T189" i="38" s="1"/>
  <c r="T326" i="38" s="1"/>
  <c r="D189" i="38" a="1"/>
  <c r="D189" i="38" s="1"/>
  <c r="AF188" i="38" a="1"/>
  <c r="AF188" i="38" s="1"/>
  <c r="O188" i="38" a="1"/>
  <c r="O188" i="38" s="1"/>
  <c r="X187" i="38" a="1"/>
  <c r="X187" i="38" s="1"/>
  <c r="H187" i="38" a="1"/>
  <c r="H187" i="38" s="1"/>
  <c r="C186" i="38" a="1"/>
  <c r="C186" i="38" s="1"/>
  <c r="AA185" i="38" a="1"/>
  <c r="AA185" i="38" s="1"/>
  <c r="M185" i="38" a="1"/>
  <c r="M185" i="38" s="1"/>
  <c r="AM184" i="38" a="1"/>
  <c r="AM184" i="38" s="1"/>
  <c r="W184" i="38" a="1"/>
  <c r="W184" i="38" s="1"/>
  <c r="AM182" i="38" a="1"/>
  <c r="AM182" i="38" s="1"/>
  <c r="V182" i="38" a="1"/>
  <c r="V182" i="38" s="1"/>
  <c r="AA181" i="38" a="1"/>
  <c r="AA181" i="38" s="1"/>
  <c r="I181" i="38" a="1"/>
  <c r="I181" i="38" s="1"/>
  <c r="AE180" i="38" a="1"/>
  <c r="AE180" i="38" s="1"/>
  <c r="K180" i="38" a="1"/>
  <c r="K180" i="38" s="1"/>
  <c r="AH179" i="38" a="1"/>
  <c r="AH179" i="38" s="1"/>
  <c r="P178" i="38" a="1"/>
  <c r="P178" i="38" s="1"/>
  <c r="AN176" i="38" a="1"/>
  <c r="AN176" i="38" s="1"/>
  <c r="AM174" i="38" a="1"/>
  <c r="AM174" i="38" s="1"/>
  <c r="AL173" i="38" a="1"/>
  <c r="AL173" i="38" s="1"/>
  <c r="O173" i="38" a="1"/>
  <c r="O173" i="38" s="1"/>
  <c r="AO170" i="38" a="1"/>
  <c r="AO170" i="38" s="1"/>
  <c r="AF169" i="38" a="1"/>
  <c r="AF169" i="38" s="1"/>
  <c r="D169" i="38" a="1"/>
  <c r="D169" i="38" s="1"/>
  <c r="AJ167" i="38" a="1"/>
  <c r="AJ167" i="38" s="1"/>
  <c r="I167" i="38" a="1"/>
  <c r="I167" i="38" s="1"/>
  <c r="AH165" i="38" a="1"/>
  <c r="AH165" i="38" s="1"/>
  <c r="E165" i="38" a="1"/>
  <c r="E165" i="38" s="1"/>
  <c r="AA163" i="38" a="1"/>
  <c r="AA163" i="38" s="1"/>
  <c r="AG162" i="38" a="1"/>
  <c r="AG162" i="38" s="1"/>
  <c r="AG161" i="38" a="1"/>
  <c r="AG161" i="38" s="1"/>
  <c r="AM160" i="38" a="1"/>
  <c r="AM160" i="38" s="1"/>
  <c r="F160" i="38" a="1"/>
  <c r="F160" i="38" s="1"/>
  <c r="G159" i="38" a="1"/>
  <c r="G159" i="38" s="1"/>
  <c r="AN157" i="38" a="1"/>
  <c r="AN157" i="38" s="1"/>
  <c r="R155" i="38" a="1"/>
  <c r="R155" i="38" s="1"/>
  <c r="E154" i="38" a="1"/>
  <c r="E154" i="38" s="1"/>
  <c r="E333" i="38" s="1"/>
  <c r="AD152" i="38" a="1"/>
  <c r="AD152" i="38" s="1"/>
  <c r="AD331" i="38" s="1"/>
  <c r="AN150" i="38" a="1"/>
  <c r="AN150" i="38" s="1"/>
  <c r="AN329" i="38" s="1"/>
  <c r="AG148" i="38" a="1"/>
  <c r="AG148" i="38" s="1"/>
  <c r="AG327" i="38" s="1"/>
  <c r="U146" i="38" a="1"/>
  <c r="U146" i="38" s="1"/>
  <c r="U325" i="38" s="1"/>
  <c r="AR143" i="38" a="1"/>
  <c r="AR143" i="38" s="1"/>
  <c r="O141" i="38" a="1"/>
  <c r="O141" i="38" s="1"/>
  <c r="O320" i="38" s="1"/>
  <c r="V138" i="38" a="1"/>
  <c r="V138" i="38" s="1"/>
  <c r="M135" i="38" a="1"/>
  <c r="M135" i="38" s="1"/>
  <c r="M314" i="38" s="1"/>
  <c r="AK130" i="38" a="1"/>
  <c r="AK130" i="38" s="1"/>
  <c r="AL125" i="38" a="1"/>
  <c r="AL125" i="38" s="1"/>
  <c r="AL304" i="38" s="1"/>
  <c r="Y332" i="38"/>
  <c r="AQ330" i="38"/>
  <c r="AK327" i="38"/>
  <c r="O327" i="38"/>
  <c r="E322" i="38"/>
  <c r="W320" i="38"/>
  <c r="Q317" i="38"/>
  <c r="AA311" i="38"/>
  <c r="L191" i="38" a="1"/>
  <c r="L191" i="38" s="1"/>
  <c r="AL190" i="38" a="1"/>
  <c r="AL190" i="38" s="1"/>
  <c r="Y190" i="38" a="1"/>
  <c r="Y190" i="38" s="1"/>
  <c r="I190" i="38" a="1"/>
  <c r="I190" i="38" s="1"/>
  <c r="C189" i="38" a="1"/>
  <c r="C189" i="38" s="1"/>
  <c r="AE188" i="38" a="1"/>
  <c r="AE188" i="38" s="1"/>
  <c r="AN187" i="38" a="1"/>
  <c r="AN187" i="38" s="1"/>
  <c r="AI186" i="38" a="1"/>
  <c r="AI186" i="38" s="1"/>
  <c r="S186" i="38" a="1"/>
  <c r="S186" i="38" s="1"/>
  <c r="AR185" i="38" a="1"/>
  <c r="AR185" i="38" s="1"/>
  <c r="L185" i="38" a="1"/>
  <c r="L185" i="38" s="1"/>
  <c r="V184" i="38" a="1"/>
  <c r="V184" i="38" s="1"/>
  <c r="E184" i="38" a="1"/>
  <c r="E184" i="38" s="1"/>
  <c r="AD183" i="38" a="1"/>
  <c r="AD183" i="38" s="1"/>
  <c r="N183" i="38" a="1"/>
  <c r="N183" i="38" s="1"/>
  <c r="U182" i="38" a="1"/>
  <c r="U182" i="38" s="1"/>
  <c r="AR181" i="38" a="1"/>
  <c r="AR181" i="38" s="1"/>
  <c r="Z181" i="38" a="1"/>
  <c r="Z181" i="38" s="1"/>
  <c r="N179" i="38" a="1"/>
  <c r="N179" i="38" s="1"/>
  <c r="AK178" i="38" a="1"/>
  <c r="AK178" i="38" s="1"/>
  <c r="AK177" i="38" a="1"/>
  <c r="AK177" i="38" s="1"/>
  <c r="R177" i="38" a="1"/>
  <c r="R177" i="38" s="1"/>
  <c r="AN175" i="38" a="1"/>
  <c r="AN175" i="38" s="1"/>
  <c r="T175" i="38" a="1"/>
  <c r="T175" i="38" s="1"/>
  <c r="AL174" i="38" a="1"/>
  <c r="AL174" i="38" s="1"/>
  <c r="R174" i="38" a="1"/>
  <c r="R174" i="38" s="1"/>
  <c r="AK173" i="38" a="1"/>
  <c r="AK173" i="38" s="1"/>
  <c r="AF172" i="38" a="1"/>
  <c r="AF172" i="38" s="1"/>
  <c r="K172" i="38" a="1"/>
  <c r="K172" i="38" s="1"/>
  <c r="X171" i="38" a="1"/>
  <c r="X171" i="38" s="1"/>
  <c r="AN170" i="38" a="1"/>
  <c r="AN170" i="38" s="1"/>
  <c r="P170" i="38" a="1"/>
  <c r="P170" i="38" s="1"/>
  <c r="AE169" i="38" a="1"/>
  <c r="AE169" i="38" s="1"/>
  <c r="W168" i="38" a="1"/>
  <c r="W168" i="38" s="1"/>
  <c r="AH167" i="38" a="1"/>
  <c r="AH167" i="38" s="1"/>
  <c r="H167" i="38" a="1"/>
  <c r="H167" i="38" s="1"/>
  <c r="U166" i="38" a="1"/>
  <c r="U166" i="38" s="1"/>
  <c r="D165" i="38" a="1"/>
  <c r="D165" i="38" s="1"/>
  <c r="L164" i="38" a="1"/>
  <c r="L164" i="38" s="1"/>
  <c r="S163" i="38" a="1"/>
  <c r="S163" i="38" s="1"/>
  <c r="AF162" i="38" a="1"/>
  <c r="AF162" i="38" s="1"/>
  <c r="AL160" i="38" a="1"/>
  <c r="AL160" i="38" s="1"/>
  <c r="E160" i="38" a="1"/>
  <c r="E160" i="38" s="1"/>
  <c r="AA156" i="38" a="1"/>
  <c r="AA156" i="38" s="1"/>
  <c r="Q155" i="38" a="1"/>
  <c r="Q155" i="38" s="1"/>
  <c r="AR153" i="38" a="1"/>
  <c r="AR153" i="38" s="1"/>
  <c r="AR332" i="38" s="1"/>
  <c r="AB152" i="38" a="1"/>
  <c r="AB152" i="38" s="1"/>
  <c r="AB331" i="38" s="1"/>
  <c r="AI150" i="38" a="1"/>
  <c r="AI150" i="38" s="1"/>
  <c r="AI329" i="38" s="1"/>
  <c r="S146" i="38" a="1"/>
  <c r="S146" i="38" s="1"/>
  <c r="S325" i="38" s="1"/>
  <c r="AQ143" i="38" a="1"/>
  <c r="AQ143" i="38" s="1"/>
  <c r="AQ322" i="38" s="1"/>
  <c r="N141" i="38" a="1"/>
  <c r="N141" i="38" s="1"/>
  <c r="K135" i="38" a="1"/>
  <c r="K135" i="38" s="1"/>
  <c r="K314" i="38" s="1"/>
  <c r="AK125" i="38" a="1"/>
  <c r="AK125" i="38" s="1"/>
  <c r="Z185" i="38" a="1"/>
  <c r="Z185" i="38" s="1"/>
  <c r="K185" i="38" a="1"/>
  <c r="K185" i="38" s="1"/>
  <c r="AL184" i="38" a="1"/>
  <c r="AL184" i="38" s="1"/>
  <c r="M183" i="38" a="1"/>
  <c r="M183" i="38" s="1"/>
  <c r="AL182" i="38" a="1"/>
  <c r="AL182" i="38" s="1"/>
  <c r="T182" i="38" a="1"/>
  <c r="T182" i="38" s="1"/>
  <c r="AQ181" i="38" a="1"/>
  <c r="AQ181" i="38" s="1"/>
  <c r="AQ318" i="38" s="1"/>
  <c r="Y181" i="38" a="1"/>
  <c r="Y181" i="38" s="1"/>
  <c r="H181" i="38" a="1"/>
  <c r="H181" i="38" s="1"/>
  <c r="AD180" i="38" a="1"/>
  <c r="AD180" i="38" s="1"/>
  <c r="J180" i="38" a="1"/>
  <c r="J180" i="38" s="1"/>
  <c r="AF179" i="38" a="1"/>
  <c r="AF179" i="38" s="1"/>
  <c r="AJ178" i="38" a="1"/>
  <c r="AJ178" i="38" s="1"/>
  <c r="AJ315" i="38" s="1"/>
  <c r="O178" i="38" a="1"/>
  <c r="O178" i="38" s="1"/>
  <c r="Q177" i="38" a="1"/>
  <c r="Q177" i="38" s="1"/>
  <c r="AK176" i="38" a="1"/>
  <c r="AK176" i="38" s="1"/>
  <c r="Q176" i="38" a="1"/>
  <c r="Q176" i="38" s="1"/>
  <c r="AM175" i="38" a="1"/>
  <c r="AM175" i="38" s="1"/>
  <c r="S175" i="38" a="1"/>
  <c r="S175" i="38" s="1"/>
  <c r="AK174" i="38" a="1"/>
  <c r="AK174" i="38" s="1"/>
  <c r="Q174" i="38" a="1"/>
  <c r="Q174" i="38" s="1"/>
  <c r="AJ173" i="38" a="1"/>
  <c r="AJ173" i="38" s="1"/>
  <c r="K173" i="38" a="1"/>
  <c r="K173" i="38" s="1"/>
  <c r="AE172" i="38" a="1"/>
  <c r="AE172" i="38" s="1"/>
  <c r="J172" i="38" a="1"/>
  <c r="J172" i="38" s="1"/>
  <c r="W171" i="38" a="1"/>
  <c r="W171" i="38" s="1"/>
  <c r="O170" i="38" a="1"/>
  <c r="O170" i="38" s="1"/>
  <c r="AD169" i="38" a="1"/>
  <c r="AD169" i="38" s="1"/>
  <c r="C169" i="38" a="1"/>
  <c r="C169" i="38" s="1"/>
  <c r="V168" i="38" a="1"/>
  <c r="V168" i="38" s="1"/>
  <c r="T166" i="38" a="1"/>
  <c r="T166" i="38" s="1"/>
  <c r="AG165" i="38" a="1"/>
  <c r="AG165" i="38" s="1"/>
  <c r="AP164" i="38" a="1"/>
  <c r="AP164" i="38" s="1"/>
  <c r="K164" i="38" a="1"/>
  <c r="K164" i="38" s="1"/>
  <c r="AB162" i="38" a="1"/>
  <c r="AB162" i="38" s="1"/>
  <c r="AF161" i="38" a="1"/>
  <c r="AF161" i="38" s="1"/>
  <c r="AI160" i="38" a="1"/>
  <c r="AI160" i="38" s="1"/>
  <c r="D160" i="38" a="1"/>
  <c r="D160" i="38" s="1"/>
  <c r="F159" i="38" a="1"/>
  <c r="F159" i="38" s="1"/>
  <c r="AM157" i="38" a="1"/>
  <c r="AM157" i="38" s="1"/>
  <c r="Z156" i="38" a="1"/>
  <c r="Z156" i="38" s="1"/>
  <c r="P155" i="38" a="1"/>
  <c r="P155" i="38" s="1"/>
  <c r="AQ153" i="38" a="1"/>
  <c r="AQ153" i="38" s="1"/>
  <c r="AQ332" i="38" s="1"/>
  <c r="AH150" i="38" a="1"/>
  <c r="AH150" i="38" s="1"/>
  <c r="AH329" i="38" s="1"/>
  <c r="AF148" i="38" a="1"/>
  <c r="AF148" i="38" s="1"/>
  <c r="AF327" i="38" s="1"/>
  <c r="E146" i="38" a="1"/>
  <c r="E146" i="38" s="1"/>
  <c r="E325" i="38" s="1"/>
  <c r="AP143" i="38" a="1"/>
  <c r="AP143" i="38" s="1"/>
  <c r="AP322" i="38" s="1"/>
  <c r="M141" i="38" a="1"/>
  <c r="M141" i="38" s="1"/>
  <c r="M320" i="38" s="1"/>
  <c r="U138" i="38" a="1"/>
  <c r="U138" i="38" s="1"/>
  <c r="AJ130" i="38" a="1"/>
  <c r="AJ130" i="38" s="1"/>
  <c r="U125" i="38" a="1"/>
  <c r="U125" i="38" s="1"/>
  <c r="U304" i="38" s="1"/>
  <c r="C333" i="38"/>
  <c r="U331" i="38"/>
  <c r="O328" i="38"/>
  <c r="AI327" i="38"/>
  <c r="AC324" i="38"/>
  <c r="E323" i="38"/>
  <c r="Y322" i="38"/>
  <c r="AK317" i="38"/>
  <c r="AG315" i="38"/>
  <c r="E312" i="38"/>
  <c r="AC188" i="38" a="1"/>
  <c r="AC188" i="38" s="1"/>
  <c r="V187" i="38" a="1"/>
  <c r="V187" i="38" s="1"/>
  <c r="F187" i="38" a="1"/>
  <c r="F187" i="38" s="1"/>
  <c r="AF186" i="38" a="1"/>
  <c r="AF186" i="38" s="1"/>
  <c r="Q186" i="38" a="1"/>
  <c r="Q186" i="38" s="1"/>
  <c r="J185" i="38" a="1"/>
  <c r="J185" i="38" s="1"/>
  <c r="AK184" i="38" a="1"/>
  <c r="AK184" i="38" s="1"/>
  <c r="U184" i="38" a="1"/>
  <c r="U184" i="38" s="1"/>
  <c r="D184" i="38" a="1"/>
  <c r="D184" i="38" s="1"/>
  <c r="AC183" i="38" a="1"/>
  <c r="AC183" i="38" s="1"/>
  <c r="L183" i="38" a="1"/>
  <c r="L183" i="38" s="1"/>
  <c r="AJ182" i="38" a="1"/>
  <c r="AJ182" i="38" s="1"/>
  <c r="S182" i="38" a="1"/>
  <c r="S182" i="38" s="1"/>
  <c r="AP181" i="38" a="1"/>
  <c r="AP181" i="38" s="1"/>
  <c r="AP318" i="38" s="1"/>
  <c r="G181" i="38" a="1"/>
  <c r="G181" i="38" s="1"/>
  <c r="AB180" i="38" a="1"/>
  <c r="AB180" i="38" s="1"/>
  <c r="I180" i="38" a="1"/>
  <c r="I180" i="38" s="1"/>
  <c r="M179" i="38" a="1"/>
  <c r="M179" i="38" s="1"/>
  <c r="AJ177" i="38" a="1"/>
  <c r="AJ177" i="38" s="1"/>
  <c r="AJ176" i="38" a="1"/>
  <c r="AJ176" i="38" s="1"/>
  <c r="P176" i="38" a="1"/>
  <c r="P176" i="38" s="1"/>
  <c r="AL175" i="38" a="1"/>
  <c r="AL175" i="38" s="1"/>
  <c r="Q175" i="38" a="1"/>
  <c r="Q175" i="38" s="1"/>
  <c r="AI174" i="38" a="1"/>
  <c r="AI174" i="38" s="1"/>
  <c r="P174" i="38" a="1"/>
  <c r="P174" i="38" s="1"/>
  <c r="AI173" i="38" a="1"/>
  <c r="AI173" i="38" s="1"/>
  <c r="J173" i="38" a="1"/>
  <c r="J173" i="38" s="1"/>
  <c r="AD172" i="38" a="1"/>
  <c r="AD172" i="38" s="1"/>
  <c r="I172" i="38" a="1"/>
  <c r="I172" i="38" s="1"/>
  <c r="V171" i="38" a="1"/>
  <c r="V171" i="38" s="1"/>
  <c r="AM170" i="38" a="1"/>
  <c r="AM170" i="38" s="1"/>
  <c r="L170" i="38" a="1"/>
  <c r="L170" i="38" s="1"/>
  <c r="AB169" i="38" a="1"/>
  <c r="AB169" i="38" s="1"/>
  <c r="Q168" i="38" a="1"/>
  <c r="Q168" i="38" s="1"/>
  <c r="AG167" i="38" a="1"/>
  <c r="AG167" i="38" s="1"/>
  <c r="G167" i="38" a="1"/>
  <c r="G167" i="38" s="1"/>
  <c r="S166" i="38" a="1"/>
  <c r="S166" i="38" s="1"/>
  <c r="AF165" i="38" a="1"/>
  <c r="AF165" i="38" s="1"/>
  <c r="AO164" i="38" a="1"/>
  <c r="AO164" i="38" s="1"/>
  <c r="P163" i="38" a="1"/>
  <c r="P163" i="38" s="1"/>
  <c r="AA162" i="38" a="1"/>
  <c r="AA162" i="38" s="1"/>
  <c r="AE161" i="38" a="1"/>
  <c r="AE161" i="38" s="1"/>
  <c r="AH160" i="38" a="1"/>
  <c r="AH160" i="38" s="1"/>
  <c r="E159" i="38" a="1"/>
  <c r="E159" i="38" s="1"/>
  <c r="AL157" i="38" a="1"/>
  <c r="AL157" i="38" s="1"/>
  <c r="Y156" i="38" a="1"/>
  <c r="Y156" i="38" s="1"/>
  <c r="O155" i="38" a="1"/>
  <c r="O155" i="38" s="1"/>
  <c r="AP153" i="38" a="1"/>
  <c r="AP153" i="38" s="1"/>
  <c r="AP332" i="38" s="1"/>
  <c r="AG150" i="38" a="1"/>
  <c r="AG150" i="38" s="1"/>
  <c r="AG329" i="38" s="1"/>
  <c r="D146" i="38" a="1"/>
  <c r="D146" i="38" s="1"/>
  <c r="D325" i="38" s="1"/>
  <c r="AK143" i="38" a="1"/>
  <c r="AK143" i="38" s="1"/>
  <c r="AK322" i="38" s="1"/>
  <c r="T138" i="38" a="1"/>
  <c r="T138" i="38" s="1"/>
  <c r="AO134" i="38" a="1"/>
  <c r="AO134" i="38" s="1"/>
  <c r="AO313" i="38" s="1"/>
  <c r="R125" i="38" a="1"/>
  <c r="R125" i="38" s="1"/>
  <c r="R304" i="38" s="1"/>
  <c r="AJ184" i="38" a="1"/>
  <c r="AJ184" i="38" s="1"/>
  <c r="T184" i="38" a="1"/>
  <c r="T184" i="38" s="1"/>
  <c r="AB183" i="38" a="1"/>
  <c r="AB183" i="38" s="1"/>
  <c r="K183" i="38" a="1"/>
  <c r="K183" i="38" s="1"/>
  <c r="P182" i="38" a="1"/>
  <c r="P182" i="38" s="1"/>
  <c r="AO181" i="38" a="1"/>
  <c r="AO181" i="38" s="1"/>
  <c r="X181" i="38" a="1"/>
  <c r="X181" i="38" s="1"/>
  <c r="E181" i="38" a="1"/>
  <c r="E181" i="38" s="1"/>
  <c r="H180" i="38" a="1"/>
  <c r="H180" i="38" s="1"/>
  <c r="AE179" i="38" a="1"/>
  <c r="AE179" i="38" s="1"/>
  <c r="AI178" i="38" a="1"/>
  <c r="AI178" i="38" s="1"/>
  <c r="AI315" i="38" s="1"/>
  <c r="M178" i="38" a="1"/>
  <c r="M178" i="38" s="1"/>
  <c r="P177" i="38" a="1"/>
  <c r="P177" i="38" s="1"/>
  <c r="AI176" i="38" a="1"/>
  <c r="AI176" i="38" s="1"/>
  <c r="O176" i="38" a="1"/>
  <c r="O176" i="38" s="1"/>
  <c r="AK175" i="38" a="1"/>
  <c r="AK175" i="38" s="1"/>
  <c r="M175" i="38" a="1"/>
  <c r="M175" i="38" s="1"/>
  <c r="AH174" i="38" a="1"/>
  <c r="AH174" i="38" s="1"/>
  <c r="O174" i="38" a="1"/>
  <c r="O174" i="38" s="1"/>
  <c r="AG173" i="38" a="1"/>
  <c r="AG173" i="38" s="1"/>
  <c r="AC172" i="38" a="1"/>
  <c r="AC172" i="38" s="1"/>
  <c r="U171" i="38" a="1"/>
  <c r="U171" i="38" s="1"/>
  <c r="AL170" i="38" a="1"/>
  <c r="AL170" i="38" s="1"/>
  <c r="K170" i="38" a="1"/>
  <c r="K170" i="38" s="1"/>
  <c r="AS168" i="38" a="1"/>
  <c r="AS168" i="38" s="1"/>
  <c r="P168" i="38" a="1"/>
  <c r="P168" i="38" s="1"/>
  <c r="AF167" i="38" a="1"/>
  <c r="AF167" i="38" s="1"/>
  <c r="F167" i="38" a="1"/>
  <c r="F167" i="38" s="1"/>
  <c r="N166" i="38" a="1"/>
  <c r="N166" i="38" s="1"/>
  <c r="AN164" i="38" a="1"/>
  <c r="AN164" i="38" s="1"/>
  <c r="J164" i="38" a="1"/>
  <c r="J164" i="38" s="1"/>
  <c r="O163" i="38" a="1"/>
  <c r="O163" i="38" s="1"/>
  <c r="X162" i="38" a="1"/>
  <c r="X162" i="38" s="1"/>
  <c r="AM159" i="38" a="1"/>
  <c r="AM159" i="38" s="1"/>
  <c r="D159" i="38" a="1"/>
  <c r="D159" i="38" s="1"/>
  <c r="AK157" i="38" a="1"/>
  <c r="AK157" i="38" s="1"/>
  <c r="X156" i="38" a="1"/>
  <c r="X156" i="38" s="1"/>
  <c r="M155" i="38" a="1"/>
  <c r="M155" i="38" s="1"/>
  <c r="S152" i="38" a="1"/>
  <c r="S152" i="38" s="1"/>
  <c r="S331" i="38" s="1"/>
  <c r="AF150" i="38" a="1"/>
  <c r="AF150" i="38" s="1"/>
  <c r="AF329" i="38" s="1"/>
  <c r="AE148" i="38" a="1"/>
  <c r="AE148" i="38" s="1"/>
  <c r="AE327" i="38" s="1"/>
  <c r="AJ143" i="38" a="1"/>
  <c r="AJ143" i="38" s="1"/>
  <c r="AJ322" i="38" s="1"/>
  <c r="L141" i="38" a="1"/>
  <c r="L141" i="38" s="1"/>
  <c r="S138" i="38" a="1"/>
  <c r="S138" i="38" s="1"/>
  <c r="S317" i="38" s="1"/>
  <c r="AH130" i="38" a="1"/>
  <c r="AH130" i="38" s="1"/>
  <c r="AH309" i="38" s="1"/>
  <c r="K326" i="38"/>
  <c r="AI308" i="38"/>
  <c r="AJ309" i="38"/>
  <c r="AG330" i="38"/>
  <c r="T317" i="38"/>
  <c r="AB313" i="38"/>
  <c r="AL310" i="38"/>
  <c r="R310" i="38"/>
  <c r="AN309" i="38"/>
  <c r="AR307" i="38"/>
  <c r="X307" i="38"/>
  <c r="AF303" i="38"/>
  <c r="L303" i="38"/>
  <c r="AS114" i="38"/>
  <c r="AS116" i="38"/>
  <c r="AS117" i="38"/>
  <c r="H118" i="38" a="1"/>
  <c r="H118" i="38" s="1"/>
  <c r="C113" i="38" a="1"/>
  <c r="C113" i="38" s="1"/>
  <c r="AA116" i="38" a="1"/>
  <c r="AA116" i="38" s="1"/>
  <c r="I123" i="38" a="1"/>
  <c r="I123" i="38" s="1"/>
  <c r="D119" i="38" a="1"/>
  <c r="D119" i="38" s="1"/>
  <c r="H126" i="38" a="1"/>
  <c r="H126" i="38" s="1"/>
  <c r="X118" i="38" a="1"/>
  <c r="X118" i="38" s="1"/>
  <c r="AE117" i="38" a="1"/>
  <c r="AE117" i="38" s="1"/>
  <c r="AR117" i="38" a="1"/>
  <c r="AR117" i="38" s="1"/>
  <c r="AP125" i="38" a="1"/>
  <c r="AP125" i="38" s="1"/>
  <c r="AR119" i="38" a="1"/>
  <c r="AR119" i="38" s="1"/>
  <c r="F121" i="38" a="1"/>
  <c r="F121" i="38" s="1"/>
  <c r="P121" i="38" a="1"/>
  <c r="P121" i="38" s="1"/>
  <c r="Z120" i="38" a="1"/>
  <c r="Z120" i="38" s="1"/>
  <c r="AH119" i="38" a="1"/>
  <c r="AH119" i="38" s="1"/>
  <c r="P119" i="38" a="1"/>
  <c r="P119" i="38" s="1"/>
  <c r="S118" i="38" a="1"/>
  <c r="S118" i="38" s="1"/>
  <c r="Y120" i="38" a="1"/>
  <c r="Y120" i="38" s="1"/>
  <c r="H120" i="38" a="1"/>
  <c r="H120" i="38" s="1"/>
  <c r="AL118" i="38" a="1"/>
  <c r="AL118" i="38" s="1"/>
  <c r="R118" i="38" a="1"/>
  <c r="R118" i="38" s="1"/>
  <c r="AJ116" i="38" a="1"/>
  <c r="AJ116" i="38" s="1"/>
  <c r="O121" i="38" a="1"/>
  <c r="O121" i="38" s="1"/>
  <c r="X120" i="38" a="1"/>
  <c r="X120" i="38" s="1"/>
  <c r="N119" i="38" a="1"/>
  <c r="N119" i="38" s="1"/>
  <c r="AK118" i="38" a="1"/>
  <c r="AK118" i="38" s="1"/>
  <c r="AG116" i="38" a="1"/>
  <c r="AG116" i="38" s="1"/>
  <c r="AN120" i="38" a="1"/>
  <c r="AN120" i="38" s="1"/>
  <c r="AD119" i="38" a="1"/>
  <c r="AD119" i="38" s="1"/>
  <c r="AC116" i="38" a="1"/>
  <c r="AC116" i="38" s="1"/>
  <c r="AC115" i="38" a="1"/>
  <c r="AC115" i="38" s="1"/>
  <c r="M113" i="38" a="1"/>
  <c r="M113" i="38" s="1"/>
  <c r="W120" i="38" a="1"/>
  <c r="W120" i="38" s="1"/>
  <c r="F120" i="38" a="1"/>
  <c r="F120" i="38" s="1"/>
  <c r="L119" i="38" a="1"/>
  <c r="L119" i="38" s="1"/>
  <c r="M118" i="38" a="1"/>
  <c r="M118" i="38" s="1"/>
  <c r="AB116" i="38" a="1"/>
  <c r="AB116" i="38" s="1"/>
  <c r="AS113" i="38"/>
  <c r="AC119" i="38" a="1"/>
  <c r="AC119" i="38" s="1"/>
  <c r="K119" i="38" a="1"/>
  <c r="K119" i="38" s="1"/>
  <c r="X117" i="38" a="1"/>
  <c r="X117" i="38" s="1"/>
  <c r="Z115" i="38" a="1"/>
  <c r="Z115" i="38" s="1"/>
  <c r="AQ113" i="38" a="1"/>
  <c r="AQ113" i="38" s="1"/>
  <c r="AB119" i="38" a="1"/>
  <c r="AB119" i="38" s="1"/>
  <c r="J119" i="38" a="1"/>
  <c r="J119" i="38" s="1"/>
  <c r="K118" i="38" a="1"/>
  <c r="K118" i="38" s="1"/>
  <c r="Y116" i="38" a="1"/>
  <c r="Y116" i="38" s="1"/>
  <c r="AN113" i="38" a="1"/>
  <c r="AN113" i="38" s="1"/>
  <c r="AF118" i="38" a="1"/>
  <c r="AF118" i="38" s="1"/>
  <c r="J118" i="38" a="1"/>
  <c r="J118" i="38" s="1"/>
  <c r="U117" i="38" a="1"/>
  <c r="U117" i="38" s="1"/>
  <c r="S115" i="38" a="1"/>
  <c r="S115" i="38" s="1"/>
  <c r="AG113" i="38" a="1"/>
  <c r="AG113" i="38" s="1"/>
  <c r="C120" i="38" a="1"/>
  <c r="C120" i="38" s="1"/>
  <c r="AA119" i="38" a="1"/>
  <c r="AA119" i="38" s="1"/>
  <c r="I118" i="38" a="1"/>
  <c r="I118" i="38" s="1"/>
  <c r="R116" i="38" a="1"/>
  <c r="R116" i="38" s="1"/>
  <c r="P115" i="38" a="1"/>
  <c r="P115" i="38" s="1"/>
  <c r="AP119" i="38" a="1"/>
  <c r="AP119" i="38" s="1"/>
  <c r="Z119" i="38" a="1"/>
  <c r="Z119" i="38" s="1"/>
  <c r="G119" i="38" a="1"/>
  <c r="G119" i="38" s="1"/>
  <c r="N117" i="38" a="1"/>
  <c r="N117" i="38" s="1"/>
  <c r="L115" i="38" a="1"/>
  <c r="L115" i="38" s="1"/>
  <c r="AR122" i="38" a="1"/>
  <c r="AR122" i="38" s="1"/>
  <c r="M122" i="38" a="1"/>
  <c r="M122" i="38" s="1"/>
  <c r="I121" i="38" a="1"/>
  <c r="I121" i="38" s="1"/>
  <c r="E118" i="38" a="1"/>
  <c r="E118" i="38" s="1"/>
  <c r="M117" i="38" a="1"/>
  <c r="M117" i="38" s="1"/>
  <c r="W121" i="38" a="1"/>
  <c r="W121" i="38" s="1"/>
  <c r="AG120" i="38" a="1"/>
  <c r="AG120" i="38" s="1"/>
  <c r="P120" i="38" a="1"/>
  <c r="P120" i="38" s="1"/>
  <c r="J116" i="38" a="1"/>
  <c r="J116" i="38" s="1"/>
  <c r="K113" i="38" a="1"/>
  <c r="K113" i="38" s="1"/>
  <c r="O120" i="38" a="1"/>
  <c r="O120" i="38" s="1"/>
  <c r="AS118" i="38"/>
  <c r="Y118" i="38" a="1"/>
  <c r="Y118" i="38" s="1"/>
  <c r="AQ114" i="38" a="1"/>
  <c r="AQ114" i="38" s="1"/>
  <c r="I113" i="38" a="1"/>
  <c r="I113" i="38" s="1"/>
  <c r="J124" i="38" a="1"/>
  <c r="J124" i="38" s="1"/>
  <c r="AM119" i="38" a="1"/>
  <c r="AM119" i="38" s="1"/>
  <c r="U119" i="38" a="1"/>
  <c r="U119" i="38" s="1"/>
  <c r="AR118" i="38" a="1"/>
  <c r="AR118" i="38" s="1"/>
  <c r="AQ117" i="38" a="1"/>
  <c r="AQ117" i="38" s="1"/>
  <c r="F117" i="38" a="1"/>
  <c r="F117" i="38" s="1"/>
  <c r="AQ118" i="38" a="1"/>
  <c r="AQ118" i="38" s="1"/>
  <c r="V118" i="38" a="1"/>
  <c r="V118" i="38" s="1"/>
  <c r="AR116" i="38" a="1"/>
  <c r="AR116" i="38" s="1"/>
  <c r="C116" i="38" a="1"/>
  <c r="C116" i="38" s="1"/>
  <c r="AH114" i="38" a="1"/>
  <c r="AH114" i="38" s="1"/>
  <c r="R119" i="38" a="1"/>
  <c r="R119" i="38" s="1"/>
  <c r="AP118" i="38" a="1"/>
  <c r="AP118" i="38" s="1"/>
  <c r="U118" i="38" a="1"/>
  <c r="U118" i="38" s="1"/>
  <c r="AK117" i="38" a="1"/>
  <c r="AK117" i="38" s="1"/>
  <c r="AQ116" i="38" a="1"/>
  <c r="AQ116" i="38" s="1"/>
  <c r="AB114" i="38" a="1"/>
  <c r="AB114" i="38" s="1"/>
  <c r="K114" i="38" a="1"/>
  <c r="K114" i="38" s="1"/>
  <c r="AI113" i="38" a="1"/>
  <c r="AI113" i="38" s="1"/>
  <c r="V135" i="38" a="1"/>
  <c r="V135" i="38" s="1"/>
  <c r="L135" i="38" a="1"/>
  <c r="L135" i="38" s="1"/>
  <c r="AK133" i="38" a="1"/>
  <c r="AK133" i="38" s="1"/>
  <c r="AA133" i="38" a="1"/>
  <c r="AA133" i="38" s="1"/>
  <c r="Q133" i="38" a="1"/>
  <c r="Q133" i="38" s="1"/>
  <c r="G133" i="38" a="1"/>
  <c r="G133" i="38" s="1"/>
  <c r="AP131" i="38" a="1"/>
  <c r="AP131" i="38" s="1"/>
  <c r="AF131" i="38" a="1"/>
  <c r="AF131" i="38" s="1"/>
  <c r="V131" i="38" a="1"/>
  <c r="V131" i="38" s="1"/>
  <c r="L131" i="38" a="1"/>
  <c r="L131" i="38" s="1"/>
  <c r="AK129" i="38" a="1"/>
  <c r="AK129" i="38" s="1"/>
  <c r="AA129" i="38" a="1"/>
  <c r="AA129" i="38" s="1"/>
  <c r="Q129" i="38" a="1"/>
  <c r="Q129" i="38" s="1"/>
  <c r="G129" i="38" a="1"/>
  <c r="G129" i="38" s="1"/>
  <c r="X126" i="38" a="1"/>
  <c r="X126" i="38" s="1"/>
  <c r="M126" i="38" a="1"/>
  <c r="M126" i="38" s="1"/>
  <c r="AQ124" i="38" a="1"/>
  <c r="AQ124" i="38" s="1"/>
  <c r="T124" i="38" a="1"/>
  <c r="T124" i="38" s="1"/>
  <c r="I124" i="38" a="1"/>
  <c r="I124" i="38" s="1"/>
  <c r="AC123" i="38" a="1"/>
  <c r="AC123" i="38" s="1"/>
  <c r="F123" i="38" a="1"/>
  <c r="F123" i="38" s="1"/>
  <c r="X122" i="38" a="1"/>
  <c r="X122" i="38" s="1"/>
  <c r="AF121" i="38" a="1"/>
  <c r="AF121" i="38" s="1"/>
  <c r="AA120" i="38" a="1"/>
  <c r="AA120" i="38" s="1"/>
  <c r="D120" i="38" a="1"/>
  <c r="D120" i="38" s="1"/>
  <c r="V119" i="38" a="1"/>
  <c r="V119" i="38" s="1"/>
  <c r="AD118" i="38" a="1"/>
  <c r="AD118" i="38" s="1"/>
  <c r="V117" i="38" a="1"/>
  <c r="V117" i="38" s="1"/>
  <c r="G117" i="38" a="1"/>
  <c r="G117" i="38" s="1"/>
  <c r="AK116" i="38" a="1"/>
  <c r="AK116" i="38" s="1"/>
  <c r="AA115" i="38" a="1"/>
  <c r="AA115" i="38" s="1"/>
  <c r="AO114" i="38" a="1"/>
  <c r="AO114" i="38" s="1"/>
  <c r="S113" i="38" a="1"/>
  <c r="S113" i="38" s="1"/>
  <c r="AH117" i="38" a="1"/>
  <c r="AH117" i="38" s="1"/>
  <c r="X116" i="38" a="1"/>
  <c r="X116" i="38" s="1"/>
  <c r="I116" i="38" a="1"/>
  <c r="I116" i="38" s="1"/>
  <c r="AM115" i="38" a="1"/>
  <c r="AM115" i="38" s="1"/>
  <c r="K115" i="38" a="1"/>
  <c r="K115" i="38" s="1"/>
  <c r="X114" i="38" a="1"/>
  <c r="X114" i="38" s="1"/>
  <c r="J114" i="38" a="1"/>
  <c r="J114" i="38" s="1"/>
  <c r="AH113" i="38" a="1"/>
  <c r="AH113" i="38" s="1"/>
  <c r="R113" i="38" a="1"/>
  <c r="R113" i="38" s="1"/>
  <c r="AK120" i="38" a="1"/>
  <c r="AK120" i="38" s="1"/>
  <c r="N120" i="38" a="1"/>
  <c r="N120" i="38" s="1"/>
  <c r="AF119" i="38" a="1"/>
  <c r="AF119" i="38" s="1"/>
  <c r="I119" i="38" a="1"/>
  <c r="I119" i="38" s="1"/>
  <c r="AN118" i="38" a="1"/>
  <c r="AN118" i="38" s="1"/>
  <c r="O118" i="38" a="1"/>
  <c r="O118" i="38" s="1"/>
  <c r="C118" i="38" a="1"/>
  <c r="C118" i="38" s="1"/>
  <c r="AG117" i="38" a="1"/>
  <c r="AG117" i="38" s="1"/>
  <c r="W116" i="38" a="1"/>
  <c r="W116" i="38" s="1"/>
  <c r="H116" i="38" a="1"/>
  <c r="H116" i="38" s="1"/>
  <c r="AL115" i="38" a="1"/>
  <c r="AL115" i="38" s="1"/>
  <c r="J115" i="38" a="1"/>
  <c r="J115" i="38" s="1"/>
  <c r="AM114" i="38" a="1"/>
  <c r="AM114" i="38" s="1"/>
  <c r="W114" i="38" a="1"/>
  <c r="W114" i="38" s="1"/>
  <c r="N113" i="38" a="1"/>
  <c r="N113" i="38" s="1"/>
  <c r="T119" i="38" a="1"/>
  <c r="T119" i="38" s="1"/>
  <c r="AB118" i="38" a="1"/>
  <c r="AB118" i="38" s="1"/>
  <c r="E117" i="38" a="1"/>
  <c r="E117" i="38" s="1"/>
  <c r="AI116" i="38" a="1"/>
  <c r="AI116" i="38" s="1"/>
  <c r="T116" i="38" a="1"/>
  <c r="T116" i="38" s="1"/>
  <c r="H114" i="38" a="1"/>
  <c r="H114" i="38" s="1"/>
  <c r="AF113" i="38" a="1"/>
  <c r="AF113" i="38" s="1"/>
  <c r="AE125" i="38" a="1"/>
  <c r="AE125" i="38" s="1"/>
  <c r="H125" i="38" a="1"/>
  <c r="H125" i="38" s="1"/>
  <c r="AL123" i="38" a="1"/>
  <c r="AL123" i="38" s="1"/>
  <c r="AG122" i="38" a="1"/>
  <c r="AG122" i="38" s="1"/>
  <c r="J122" i="38" a="1"/>
  <c r="J122" i="38" s="1"/>
  <c r="AO121" i="38" a="1"/>
  <c r="AO121" i="38" s="1"/>
  <c r="AC121" i="38" a="1"/>
  <c r="AC121" i="38" s="1"/>
  <c r="E121" i="38" a="1"/>
  <c r="E121" i="38" s="1"/>
  <c r="AJ120" i="38" a="1"/>
  <c r="AJ120" i="38" s="1"/>
  <c r="M120" i="38" a="1"/>
  <c r="M120" i="38" s="1"/>
  <c r="AE119" i="38" a="1"/>
  <c r="AE119" i="38" s="1"/>
  <c r="H119" i="38" a="1"/>
  <c r="H119" i="38" s="1"/>
  <c r="AM118" i="38" a="1"/>
  <c r="AM118" i="38" s="1"/>
  <c r="AA118" i="38" a="1"/>
  <c r="AA118" i="38" s="1"/>
  <c r="N118" i="38" a="1"/>
  <c r="N118" i="38" s="1"/>
  <c r="AF117" i="38" a="1"/>
  <c r="AF117" i="38" s="1"/>
  <c r="Q117" i="38" a="1"/>
  <c r="Q117" i="38" s="1"/>
  <c r="G116" i="38" a="1"/>
  <c r="G116" i="38" s="1"/>
  <c r="AK115" i="38" a="1"/>
  <c r="AK115" i="38" s="1"/>
  <c r="V115" i="38" a="1"/>
  <c r="V115" i="38" s="1"/>
  <c r="I115" i="38" a="1"/>
  <c r="I115" i="38" s="1"/>
  <c r="AL114" i="38" a="1"/>
  <c r="AL114" i="38" s="1"/>
  <c r="V114" i="38" a="1"/>
  <c r="V114" i="38" s="1"/>
  <c r="D117" i="38" a="1"/>
  <c r="D117" i="38" s="1"/>
  <c r="AH116" i="38" a="1"/>
  <c r="AH116" i="38" s="1"/>
  <c r="S116" i="38" a="1"/>
  <c r="S116" i="38" s="1"/>
  <c r="AI114" i="38" a="1"/>
  <c r="AI114" i="38" s="1"/>
  <c r="AE113" i="38" a="1"/>
  <c r="AE113" i="38" s="1"/>
  <c r="L113" i="38" a="1"/>
  <c r="L113" i="38" s="1"/>
  <c r="F114" i="38" a="1"/>
  <c r="F114" i="38" s="1"/>
  <c r="P114" i="38" a="1"/>
  <c r="P114" i="38" s="1"/>
  <c r="F113" i="38" a="1"/>
  <c r="F113" i="38" s="1"/>
  <c r="AA113" i="38" a="1"/>
  <c r="AA113" i="38" s="1"/>
  <c r="D115" i="38" a="1"/>
  <c r="D115" i="38" s="1"/>
  <c r="N115" i="38" a="1"/>
  <c r="N115" i="38" s="1"/>
  <c r="X115" i="38" a="1"/>
  <c r="X115" i="38" s="1"/>
  <c r="AH115" i="38" a="1"/>
  <c r="AH115" i="38" s="1"/>
  <c r="AR115" i="38" a="1"/>
  <c r="AR115" i="38" s="1"/>
  <c r="I117" i="38" a="1"/>
  <c r="I117" i="38" s="1"/>
  <c r="S117" i="38" a="1"/>
  <c r="S117" i="38" s="1"/>
  <c r="AC117" i="38" a="1"/>
  <c r="AC117" i="38" s="1"/>
  <c r="AM117" i="38" a="1"/>
  <c r="AM117" i="38" s="1"/>
  <c r="Q113" i="38" a="1"/>
  <c r="Q113" i="38" s="1"/>
  <c r="AL113" i="38" a="1"/>
  <c r="AL113" i="38" s="1"/>
  <c r="Q114" i="38" a="1"/>
  <c r="Q114" i="38" s="1"/>
  <c r="AA114" i="38" a="1"/>
  <c r="AA114" i="38" s="1"/>
  <c r="AK114" i="38" a="1"/>
  <c r="AK114" i="38" s="1"/>
  <c r="L116" i="38" a="1"/>
  <c r="L116" i="38" s="1"/>
  <c r="V116" i="38" a="1"/>
  <c r="V116" i="38" s="1"/>
  <c r="AF116" i="38" a="1"/>
  <c r="AF116" i="38" s="1"/>
  <c r="AP116" i="38" a="1"/>
  <c r="AP116" i="38" s="1"/>
  <c r="G118" i="38" a="1"/>
  <c r="G118" i="38" s="1"/>
  <c r="Q118" i="38" a="1"/>
  <c r="Q118" i="38" s="1"/>
  <c r="G113" i="38" a="1"/>
  <c r="G113" i="38" s="1"/>
  <c r="AB113" i="38" a="1"/>
  <c r="AB113" i="38" s="1"/>
  <c r="AM113" i="38" a="1"/>
  <c r="AM113" i="38" s="1"/>
  <c r="G114" i="38" a="1"/>
  <c r="G114" i="38" s="1"/>
  <c r="E115" i="38" a="1"/>
  <c r="E115" i="38" s="1"/>
  <c r="O115" i="38" a="1"/>
  <c r="O115" i="38" s="1"/>
  <c r="Y115" i="38" a="1"/>
  <c r="Y115" i="38" s="1"/>
  <c r="AI115" i="38" a="1"/>
  <c r="AI115" i="38" s="1"/>
  <c r="AS115" i="38"/>
  <c r="J117" i="38" a="1"/>
  <c r="J117" i="38" s="1"/>
  <c r="T117" i="38" a="1"/>
  <c r="T117" i="38" s="1"/>
  <c r="AD117" i="38" a="1"/>
  <c r="AD117" i="38" s="1"/>
  <c r="AN117" i="38" a="1"/>
  <c r="AN117" i="38" s="1"/>
  <c r="E119" i="38" a="1"/>
  <c r="E119" i="38" s="1"/>
  <c r="O119" i="38" a="1"/>
  <c r="O119" i="38" s="1"/>
  <c r="Y119" i="38" a="1"/>
  <c r="Y119" i="38" s="1"/>
  <c r="AI119" i="38" a="1"/>
  <c r="AI119" i="38" s="1"/>
  <c r="AS119" i="38"/>
  <c r="J121" i="38" a="1"/>
  <c r="J121" i="38" s="1"/>
  <c r="T121" i="38" a="1"/>
  <c r="T121" i="38" s="1"/>
  <c r="AD121" i="38" a="1"/>
  <c r="AD121" i="38" s="1"/>
  <c r="AN121" i="38" a="1"/>
  <c r="AN121" i="38" s="1"/>
  <c r="E123" i="38" a="1"/>
  <c r="E123" i="38" s="1"/>
  <c r="O123" i="38" a="1"/>
  <c r="O123" i="38" s="1"/>
  <c r="Y123" i="38" a="1"/>
  <c r="Y123" i="38" s="1"/>
  <c r="AI123" i="38" a="1"/>
  <c r="AI123" i="38" s="1"/>
  <c r="AS123" i="38"/>
  <c r="J125" i="38" a="1"/>
  <c r="J125" i="38" s="1"/>
  <c r="T125" i="38" a="1"/>
  <c r="T125" i="38" s="1"/>
  <c r="AD125" i="38" a="1"/>
  <c r="AD125" i="38" s="1"/>
  <c r="AN125" i="38" a="1"/>
  <c r="AN125" i="38" s="1"/>
  <c r="T113" i="38" a="1"/>
  <c r="T113" i="38" s="1"/>
  <c r="AO113" i="38" a="1"/>
  <c r="AO113" i="38" s="1"/>
  <c r="I114" i="38" a="1"/>
  <c r="I114" i="38" s="1"/>
  <c r="G115" i="38" a="1"/>
  <c r="G115" i="38" s="1"/>
  <c r="Q115" i="38" a="1"/>
  <c r="Q115" i="38" s="1"/>
  <c r="W113" i="38" a="1"/>
  <c r="W113" i="38" s="1"/>
  <c r="AR113" i="38" a="1"/>
  <c r="AR113" i="38" s="1"/>
  <c r="O113" i="38" a="1"/>
  <c r="O113" i="38" s="1"/>
  <c r="AJ113" i="38" a="1"/>
  <c r="AJ113" i="38" s="1"/>
  <c r="D114" i="38" a="1"/>
  <c r="D114" i="38" s="1"/>
  <c r="Y114" i="38" a="1"/>
  <c r="Y114" i="38" s="1"/>
  <c r="E113" i="38" a="1"/>
  <c r="E113" i="38" s="1"/>
  <c r="Z113" i="38" a="1"/>
  <c r="Z113" i="38" s="1"/>
  <c r="O114" i="38" a="1"/>
  <c r="O114" i="38" s="1"/>
  <c r="C115" i="38" a="1"/>
  <c r="C115" i="38" s="1"/>
  <c r="M115" i="38" a="1"/>
  <c r="M115" i="38" s="1"/>
  <c r="W115" i="38" a="1"/>
  <c r="W115" i="38" s="1"/>
  <c r="AG115" i="38" a="1"/>
  <c r="AG115" i="38" s="1"/>
  <c r="AQ115" i="38" a="1"/>
  <c r="AQ115" i="38" s="1"/>
  <c r="H117" i="38" a="1"/>
  <c r="H117" i="38" s="1"/>
  <c r="R117" i="38" a="1"/>
  <c r="R117" i="38" s="1"/>
  <c r="AB117" i="38" a="1"/>
  <c r="AB117" i="38" s="1"/>
  <c r="AL117" i="38" a="1"/>
  <c r="AL117" i="38" s="1"/>
  <c r="C119" i="38" a="1"/>
  <c r="C119" i="38" s="1"/>
  <c r="M119" i="38" a="1"/>
  <c r="M119" i="38" s="1"/>
  <c r="W119" i="38" a="1"/>
  <c r="W119" i="38" s="1"/>
  <c r="AG119" i="38" a="1"/>
  <c r="AG119" i="38" s="1"/>
  <c r="AQ119" i="38" a="1"/>
  <c r="AQ119" i="38" s="1"/>
  <c r="H121" i="38" a="1"/>
  <c r="H121" i="38" s="1"/>
  <c r="R121" i="38" a="1"/>
  <c r="R121" i="38" s="1"/>
  <c r="AB121" i="38" a="1"/>
  <c r="AB121" i="38" s="1"/>
  <c r="AL121" i="38" a="1"/>
  <c r="AL121" i="38" s="1"/>
  <c r="C123" i="38" a="1"/>
  <c r="C123" i="38" s="1"/>
  <c r="M123" i="38" a="1"/>
  <c r="M123" i="38" s="1"/>
  <c r="W123" i="38" a="1"/>
  <c r="W123" i="38" s="1"/>
  <c r="AG123" i="38" a="1"/>
  <c r="AG123" i="38" s="1"/>
  <c r="P113" i="38" a="1"/>
  <c r="P113" i="38" s="1"/>
  <c r="AK113" i="38" a="1"/>
  <c r="AK113" i="38" s="1"/>
  <c r="E114" i="38" a="1"/>
  <c r="E114" i="38" s="1"/>
  <c r="Z114" i="38" a="1"/>
  <c r="Z114" i="38" s="1"/>
  <c r="AJ114" i="38" a="1"/>
  <c r="AJ114" i="38" s="1"/>
  <c r="K116" i="38" a="1"/>
  <c r="K116" i="38" s="1"/>
  <c r="U116" i="38" a="1"/>
  <c r="U116" i="38" s="1"/>
  <c r="AE116" i="38" a="1"/>
  <c r="AE116" i="38" s="1"/>
  <c r="AO116" i="38" a="1"/>
  <c r="AO116" i="38" s="1"/>
  <c r="F118" i="38" a="1"/>
  <c r="F118" i="38" s="1"/>
  <c r="P118" i="38" a="1"/>
  <c r="P118" i="38" s="1"/>
  <c r="Z118" i="38" a="1"/>
  <c r="Z118" i="38" s="1"/>
  <c r="AJ118" i="38" a="1"/>
  <c r="AJ118" i="38" s="1"/>
  <c r="K120" i="38" a="1"/>
  <c r="K120" i="38" s="1"/>
  <c r="U120" i="38" a="1"/>
  <c r="U120" i="38" s="1"/>
  <c r="AE120" i="38" a="1"/>
  <c r="AE120" i="38" s="1"/>
  <c r="AO120" i="38" a="1"/>
  <c r="AO120" i="38" s="1"/>
  <c r="F122" i="38" a="1"/>
  <c r="F122" i="38" s="1"/>
  <c r="P122" i="38" a="1"/>
  <c r="P122" i="38" s="1"/>
  <c r="Z122" i="38" a="1"/>
  <c r="Z122" i="38" s="1"/>
  <c r="AJ122" i="38" a="1"/>
  <c r="AJ122" i="38" s="1"/>
  <c r="K124" i="38" a="1"/>
  <c r="K124" i="38" s="1"/>
  <c r="U124" i="38" a="1"/>
  <c r="U124" i="38" s="1"/>
  <c r="AE124" i="38" a="1"/>
  <c r="AE124" i="38" s="1"/>
  <c r="AO124" i="38" a="1"/>
  <c r="AO124" i="38" s="1"/>
  <c r="F126" i="38" a="1"/>
  <c r="F126" i="38" s="1"/>
  <c r="P126" i="38" a="1"/>
  <c r="P126" i="38" s="1"/>
  <c r="P117" i="38" a="1"/>
  <c r="P117" i="38" s="1"/>
  <c r="F116" i="38" a="1"/>
  <c r="F116" i="38" s="1"/>
  <c r="AJ115" i="38" a="1"/>
  <c r="AJ115" i="38" s="1"/>
  <c r="U115" i="38" a="1"/>
  <c r="U115" i="38" s="1"/>
  <c r="H115" i="38" a="1"/>
  <c r="H115" i="38" s="1"/>
  <c r="U114" i="38" a="1"/>
  <c r="U114" i="38" s="1"/>
  <c r="C114" i="38" a="1"/>
  <c r="C114" i="38" s="1"/>
  <c r="AD113" i="38" a="1"/>
  <c r="AD113" i="38" s="1"/>
  <c r="L118" i="38" a="1"/>
  <c r="L118" i="38" s="1"/>
  <c r="O117" i="38" a="1"/>
  <c r="O117" i="38" s="1"/>
  <c r="AD116" i="38" a="1"/>
  <c r="AD116" i="38" s="1"/>
  <c r="E116" i="38" a="1"/>
  <c r="E116" i="38" s="1"/>
  <c r="T115" i="38" a="1"/>
  <c r="T115" i="38" s="1"/>
  <c r="T114" i="38" a="1"/>
  <c r="T114" i="38" s="1"/>
  <c r="AC113" i="38" a="1"/>
  <c r="AC113" i="38" s="1"/>
  <c r="AM125" i="38" a="1"/>
  <c r="AM125" i="38" s="1"/>
  <c r="AK124" i="38" a="1"/>
  <c r="AK124" i="38" s="1"/>
  <c r="Z124" i="38" a="1"/>
  <c r="Z124" i="38" s="1"/>
  <c r="O124" i="38" a="1"/>
  <c r="O124" i="38" s="1"/>
  <c r="D124" i="38" a="1"/>
  <c r="D124" i="38" s="1"/>
  <c r="K123" i="38" a="1"/>
  <c r="K123" i="38" s="1"/>
  <c r="AP122" i="38" a="1"/>
  <c r="AP122" i="38" s="1"/>
  <c r="S122" i="38" a="1"/>
  <c r="S122" i="38" s="1"/>
  <c r="G122" i="38" a="1"/>
  <c r="G122" i="38" s="1"/>
  <c r="AK121" i="38" a="1"/>
  <c r="AK121" i="38" s="1"/>
  <c r="N121" i="38" a="1"/>
  <c r="N121" i="38" s="1"/>
  <c r="AS120" i="38"/>
  <c r="I120" i="38" a="1"/>
  <c r="I120" i="38" s="1"/>
  <c r="AN119" i="38" a="1"/>
  <c r="AN119" i="38" s="1"/>
  <c r="Q119" i="38" a="1"/>
  <c r="Q119" i="38" s="1"/>
  <c r="AI118" i="38" a="1"/>
  <c r="AI118" i="38" s="1"/>
  <c r="AP117" i="38" a="1"/>
  <c r="AP117" i="38" s="1"/>
  <c r="AA117" i="38" a="1"/>
  <c r="AA117" i="38" s="1"/>
  <c r="Q116" i="38" a="1"/>
  <c r="Q116" i="38" s="1"/>
  <c r="AF115" i="38" a="1"/>
  <c r="AF115" i="38" s="1"/>
  <c r="F115" i="38" a="1"/>
  <c r="F115" i="38" s="1"/>
  <c r="AG114" i="38" a="1"/>
  <c r="AG114" i="38" s="1"/>
  <c r="S114" i="38" a="1"/>
  <c r="S114" i="38" s="1"/>
  <c r="Y113" i="38" a="1"/>
  <c r="Y113" i="38" s="1"/>
  <c r="J113" i="38" a="1"/>
  <c r="J113" i="38" s="1"/>
  <c r="AH118" i="38" a="1"/>
  <c r="AH118" i="38" s="1"/>
  <c r="AO117" i="38" a="1"/>
  <c r="AO117" i="38" s="1"/>
  <c r="Z117" i="38" a="1"/>
  <c r="Z117" i="38" s="1"/>
  <c r="P116" i="38" a="1"/>
  <c r="P116" i="38" s="1"/>
  <c r="AE115" i="38" a="1"/>
  <c r="AE115" i="38" s="1"/>
  <c r="AF114" i="38" a="1"/>
  <c r="AF114" i="38" s="1"/>
  <c r="R114" i="38" a="1"/>
  <c r="R114" i="38" s="1"/>
  <c r="X113" i="38" a="1"/>
  <c r="X113" i="38" s="1"/>
  <c r="H113" i="38" a="1"/>
  <c r="H113" i="38" s="1"/>
  <c r="R115" i="38" a="1"/>
  <c r="R115" i="38" s="1"/>
  <c r="N114" i="38" a="1"/>
  <c r="N114" i="38" s="1"/>
  <c r="AP113" i="38" a="1"/>
  <c r="AP113" i="38" s="1"/>
  <c r="AN122" i="38" a="1"/>
  <c r="AN122" i="38" s="1"/>
  <c r="D122" i="38" a="1"/>
  <c r="D122" i="38" s="1"/>
  <c r="AI121" i="38" a="1"/>
  <c r="AI121" i="38" s="1"/>
  <c r="L121" i="38" a="1"/>
  <c r="L121" i="38" s="1"/>
  <c r="AQ120" i="38" a="1"/>
  <c r="AQ120" i="38" s="1"/>
  <c r="AD120" i="38" a="1"/>
  <c r="AD120" i="38" s="1"/>
  <c r="G120" i="38" a="1"/>
  <c r="G120" i="38" s="1"/>
  <c r="AL119" i="38" a="1"/>
  <c r="AL119" i="38" s="1"/>
  <c r="AG118" i="38" a="1"/>
  <c r="AG118" i="38" s="1"/>
  <c r="Y117" i="38" a="1"/>
  <c r="Y117" i="38" s="1"/>
  <c r="AN116" i="38" a="1"/>
  <c r="AN116" i="38" s="1"/>
  <c r="O116" i="38" a="1"/>
  <c r="O116" i="38" s="1"/>
  <c r="AD115" i="38" a="1"/>
  <c r="AD115" i="38" s="1"/>
  <c r="AR114" i="38" a="1"/>
  <c r="AR114" i="38" s="1"/>
  <c r="AE114" i="38" a="1"/>
  <c r="AE114" i="38" s="1"/>
  <c r="D113" i="38" a="1"/>
  <c r="D113" i="38" s="1"/>
  <c r="AP115" i="38" a="1"/>
  <c r="AP115" i="38" s="1"/>
  <c r="M114" i="38" a="1"/>
  <c r="M114" i="38" s="1"/>
  <c r="V113" i="38" a="1"/>
  <c r="V113" i="38" s="1"/>
  <c r="P85" i="40"/>
  <c r="O81" i="40"/>
  <c r="P81" i="40"/>
  <c r="AJ117" i="38" a="1"/>
  <c r="AJ117" i="38" s="1"/>
  <c r="K117" i="38" a="1"/>
  <c r="K117" i="38" s="1"/>
  <c r="Z116" i="38" a="1"/>
  <c r="Z116" i="38" s="1"/>
  <c r="AO115" i="38" a="1"/>
  <c r="AO115" i="38" s="1"/>
  <c r="AC114" i="38" a="1"/>
  <c r="AC114" i="38" s="1"/>
  <c r="L114" i="38" a="1"/>
  <c r="L114" i="38" s="1"/>
  <c r="U113" i="38" a="1"/>
  <c r="U113" i="38" s="1"/>
  <c r="P82" i="40"/>
  <c r="O82" i="40"/>
  <c r="C127" i="38" a="1"/>
  <c r="C127" i="38" s="1"/>
  <c r="Y126" i="38" a="1"/>
  <c r="Y126" i="38" s="1"/>
  <c r="N126" i="38" a="1"/>
  <c r="N126" i="38" s="1"/>
  <c r="C126" i="38" a="1"/>
  <c r="C126" i="38" s="1"/>
  <c r="AR124" i="38" a="1"/>
  <c r="AR124" i="38" s="1"/>
  <c r="AG124" i="38" a="1"/>
  <c r="AG124" i="38" s="1"/>
  <c r="AD123" i="38" a="1"/>
  <c r="AD123" i="38" s="1"/>
  <c r="G123" i="38" a="1"/>
  <c r="G123" i="38" s="1"/>
  <c r="AL122" i="38" a="1"/>
  <c r="AL122" i="38" s="1"/>
  <c r="Y122" i="38" a="1"/>
  <c r="Y122" i="38" s="1"/>
  <c r="AG121" i="38" a="1"/>
  <c r="AG121" i="38" s="1"/>
  <c r="AB120" i="38" a="1"/>
  <c r="AB120" i="38" s="1"/>
  <c r="E120" i="38" a="1"/>
  <c r="E120" i="38" s="1"/>
  <c r="AJ119" i="38" a="1"/>
  <c r="AJ119" i="38" s="1"/>
  <c r="X119" i="38" a="1"/>
  <c r="X119" i="38" s="1"/>
  <c r="AE118" i="38" a="1"/>
  <c r="AE118" i="38" s="1"/>
  <c r="W117" i="38" a="1"/>
  <c r="W117" i="38" s="1"/>
  <c r="AL116" i="38" a="1"/>
  <c r="AL116" i="38" s="1"/>
  <c r="M116" i="38" a="1"/>
  <c r="M116" i="38" s="1"/>
  <c r="AB115" i="38" a="1"/>
  <c r="AB115" i="38" s="1"/>
  <c r="AP114" i="38" a="1"/>
  <c r="AP114" i="38" s="1"/>
  <c r="P83" i="40"/>
  <c r="P75" i="40"/>
  <c r="M295" i="38" l="1"/>
  <c r="AK312" i="38"/>
  <c r="AB294" i="38"/>
  <c r="U292" i="38"/>
  <c r="G299" i="38"/>
  <c r="AG293" i="38"/>
  <c r="AC292" i="38"/>
  <c r="Z301" i="38"/>
  <c r="M302" i="38"/>
  <c r="E292" i="38"/>
  <c r="AD300" i="38"/>
  <c r="G297" i="38"/>
  <c r="F293" i="38"/>
  <c r="E300" i="38"/>
  <c r="AG296" i="38"/>
  <c r="V296" i="38"/>
  <c r="G312" i="38"/>
  <c r="AB295" i="38"/>
  <c r="AH298" i="38"/>
  <c r="AB312" i="38"/>
  <c r="AO319" i="38"/>
  <c r="AF307" i="38"/>
  <c r="T309" i="38"/>
  <c r="Q300" i="38"/>
  <c r="F304" i="38"/>
  <c r="M316" i="38"/>
  <c r="V321" i="38"/>
  <c r="G316" i="38"/>
  <c r="AE315" i="38"/>
  <c r="D321" i="38"/>
  <c r="K317" i="38"/>
  <c r="X308" i="38"/>
  <c r="I314" i="38"/>
  <c r="K300" i="38"/>
  <c r="W314" i="38"/>
  <c r="AQ300" i="38"/>
  <c r="U311" i="38"/>
  <c r="AO320" i="38"/>
  <c r="X304" i="38"/>
  <c r="AL309" i="38"/>
  <c r="F294" i="38"/>
  <c r="AP295" i="38"/>
  <c r="AC300" i="38"/>
  <c r="AD297" i="38"/>
  <c r="AL327" i="38"/>
  <c r="X311" i="38"/>
  <c r="P319" i="38"/>
  <c r="Z318" i="38"/>
  <c r="AE308" i="38"/>
  <c r="AD308" i="38"/>
  <c r="E317" i="38"/>
  <c r="AJ326" i="38"/>
  <c r="G300" i="38"/>
  <c r="K301" i="38"/>
  <c r="G303" i="38"/>
  <c r="M315" i="38"/>
  <c r="AI304" i="38"/>
  <c r="I315" i="38"/>
  <c r="AC315" i="38"/>
  <c r="J317" i="38"/>
  <c r="Z300" i="38"/>
  <c r="I308" i="38"/>
  <c r="H309" i="38"/>
  <c r="T300" i="38"/>
  <c r="L292" i="38"/>
  <c r="C297" i="38"/>
  <c r="Q312" i="38"/>
  <c r="AL295" i="38"/>
  <c r="AC293" i="38"/>
  <c r="AQ299" i="38"/>
  <c r="AF294" i="38"/>
  <c r="T294" i="38"/>
  <c r="F301" i="38"/>
  <c r="AL300" i="38"/>
  <c r="D293" i="38"/>
  <c r="J300" i="38"/>
  <c r="AF295" i="38"/>
  <c r="AE292" i="38"/>
  <c r="AO300" i="38"/>
  <c r="O297" i="38"/>
  <c r="AA312" i="38"/>
  <c r="J303" i="38"/>
  <c r="R295" i="38"/>
  <c r="P300" i="38"/>
  <c r="AH301" i="38"/>
  <c r="AA318" i="38"/>
  <c r="H317" i="38"/>
  <c r="AE307" i="38"/>
  <c r="AD307" i="38"/>
  <c r="AA314" i="38"/>
  <c r="M300" i="38"/>
  <c r="AF314" i="38"/>
  <c r="AB320" i="38"/>
  <c r="AE314" i="38"/>
  <c r="X313" i="38"/>
  <c r="AE316" i="38"/>
  <c r="AG307" i="38"/>
  <c r="Q313" i="38"/>
  <c r="G320" i="38"/>
  <c r="AB310" i="38"/>
  <c r="L307" i="38"/>
  <c r="J301" i="38"/>
  <c r="F300" i="38"/>
  <c r="F318" i="38"/>
  <c r="T319" i="38"/>
  <c r="AM327" i="38"/>
  <c r="AI313" i="38"/>
  <c r="X324" i="38"/>
  <c r="AR315" i="38"/>
  <c r="E301" i="38"/>
  <c r="AH330" i="38"/>
  <c r="G314" i="38"/>
  <c r="AG310" i="38"/>
  <c r="G331" i="38"/>
  <c r="E316" i="38"/>
  <c r="S307" i="38"/>
  <c r="F324" i="38"/>
  <c r="C313" i="38"/>
  <c r="Z304" i="38"/>
  <c r="AJ319" i="38"/>
  <c r="K310" i="38"/>
  <c r="W301" i="38"/>
  <c r="AE329" i="38"/>
  <c r="AO294" i="38"/>
  <c r="AI300" i="38"/>
  <c r="AK314" i="38"/>
  <c r="Y313" i="38"/>
  <c r="AD309" i="38"/>
  <c r="I318" i="38"/>
  <c r="V313" i="38"/>
  <c r="AH316" i="38"/>
  <c r="AL311" i="38"/>
  <c r="E304" i="38"/>
  <c r="Z312" i="38"/>
  <c r="V319" i="38"/>
  <c r="AQ317" i="38"/>
  <c r="AM300" i="38"/>
  <c r="J307" i="38"/>
  <c r="P301" i="38"/>
  <c r="H300" i="38"/>
  <c r="M292" i="38"/>
  <c r="O304" i="38"/>
  <c r="Z322" i="38"/>
  <c r="AF319" i="38"/>
  <c r="Q314" i="38"/>
  <c r="AP311" i="38"/>
  <c r="D309" i="38"/>
  <c r="AG316" i="38"/>
  <c r="AN312" i="38"/>
  <c r="V331" i="38"/>
  <c r="AM312" i="38"/>
  <c r="AQ315" i="38"/>
  <c r="AQ302" i="38"/>
  <c r="J312" i="38"/>
  <c r="Y309" i="38"/>
  <c r="AD313" i="38"/>
  <c r="T293" i="38"/>
  <c r="I292" i="38"/>
  <c r="AH295" i="38"/>
  <c r="AG292" i="38"/>
  <c r="AR296" i="38"/>
  <c r="P314" i="38"/>
  <c r="K308" i="38"/>
  <c r="E307" i="38"/>
  <c r="AN313" i="38"/>
  <c r="H313" i="38"/>
  <c r="U300" i="38"/>
  <c r="N310" i="38"/>
  <c r="C319" i="38"/>
  <c r="P311" i="38"/>
  <c r="AF318" i="38"/>
  <c r="T312" i="38"/>
  <c r="Y308" i="38"/>
  <c r="F316" i="38"/>
  <c r="R312" i="38"/>
  <c r="P312" i="38"/>
  <c r="AD315" i="38"/>
  <c r="H311" i="38"/>
  <c r="U324" i="38"/>
  <c r="AI318" i="38"/>
  <c r="J309" i="38"/>
  <c r="AQ328" i="38"/>
  <c r="AA316" i="38"/>
  <c r="Q323" i="38"/>
  <c r="Q295" i="38"/>
  <c r="S295" i="38"/>
  <c r="AP296" i="38"/>
  <c r="O298" i="38"/>
  <c r="AD292" i="38"/>
  <c r="X310" i="38"/>
  <c r="R309" i="38"/>
  <c r="AB328" i="38"/>
  <c r="AJ310" i="38"/>
  <c r="AM311" i="38"/>
  <c r="AO307" i="38"/>
  <c r="H315" i="38"/>
  <c r="AH311" i="38"/>
  <c r="P315" i="38"/>
  <c r="AE310" i="38"/>
  <c r="AJ308" i="38"/>
  <c r="K316" i="38"/>
  <c r="P318" i="38"/>
  <c r="C302" i="38"/>
  <c r="O296" i="38"/>
  <c r="AJ298" i="38"/>
  <c r="H304" i="38"/>
  <c r="O315" i="38"/>
  <c r="N293" i="38"/>
  <c r="Z297" i="38"/>
  <c r="G294" i="38"/>
  <c r="AL292" i="38"/>
  <c r="AF292" i="38"/>
  <c r="AB293" i="38"/>
  <c r="U296" i="38"/>
  <c r="AQ308" i="38"/>
  <c r="S319" i="38"/>
  <c r="C323" i="38"/>
  <c r="Q311" i="38"/>
  <c r="U308" i="38"/>
  <c r="Y317" i="38"/>
  <c r="O311" i="38"/>
  <c r="AD314" i="38"/>
  <c r="D326" i="38"/>
  <c r="AD310" i="38"/>
  <c r="AG304" i="38"/>
  <c r="O310" i="38"/>
  <c r="AR300" i="38"/>
  <c r="S323" i="38"/>
  <c r="AO309" i="38"/>
  <c r="AC317" i="38"/>
  <c r="AB307" i="38"/>
  <c r="S303" i="38"/>
  <c r="L322" i="38"/>
  <c r="O292" i="38"/>
  <c r="Y297" i="38"/>
  <c r="E299" i="38"/>
  <c r="V293" i="38"/>
  <c r="AB299" i="38"/>
  <c r="AN298" i="38"/>
  <c r="C293" i="38"/>
  <c r="W298" i="38"/>
  <c r="AN296" i="38"/>
  <c r="AL293" i="38"/>
  <c r="R292" i="38"/>
  <c r="K292" i="38"/>
  <c r="AG300" i="38"/>
  <c r="R294" i="38"/>
  <c r="I299" i="38"/>
  <c r="U293" i="38"/>
  <c r="P297" i="38"/>
  <c r="M298" i="38"/>
  <c r="I293" i="38"/>
  <c r="AD296" i="38"/>
  <c r="Q292" i="38"/>
  <c r="H293" i="38"/>
  <c r="AH292" i="38"/>
  <c r="I303" i="38"/>
  <c r="AQ295" i="38"/>
  <c r="J295" i="38"/>
  <c r="J297" i="38"/>
  <c r="Q321" i="38"/>
  <c r="O301" i="38"/>
  <c r="AL331" i="38"/>
  <c r="J308" i="38"/>
  <c r="AM295" i="38"/>
  <c r="U309" i="38"/>
  <c r="AL319" i="38"/>
  <c r="AC307" i="38"/>
  <c r="D317" i="38"/>
  <c r="AG321" i="38"/>
  <c r="V324" i="38"/>
  <c r="AO316" i="38"/>
  <c r="O309" i="38"/>
  <c r="AG309" i="38"/>
  <c r="M317" i="38"/>
  <c r="F310" i="38"/>
  <c r="Z310" i="38"/>
  <c r="AB314" i="38"/>
  <c r="AC309" i="38"/>
  <c r="D300" i="38"/>
  <c r="M307" i="38"/>
  <c r="AI311" i="38"/>
  <c r="J320" i="38"/>
  <c r="AI293" i="38"/>
  <c r="AA293" i="38"/>
  <c r="AG298" i="38"/>
  <c r="AO292" i="38"/>
  <c r="T296" i="38"/>
  <c r="AM296" i="38"/>
  <c r="T295" i="38"/>
  <c r="J293" i="38"/>
  <c r="T303" i="38"/>
  <c r="AK296" i="38"/>
  <c r="AF297" i="38"/>
  <c r="AG295" i="38"/>
  <c r="L320" i="38"/>
  <c r="AR318" i="38"/>
  <c r="K322" i="38"/>
  <c r="AE301" i="38"/>
  <c r="AF308" i="38"/>
  <c r="M319" i="38"/>
  <c r="N316" i="38"/>
  <c r="N315" i="38"/>
  <c r="G309" i="38"/>
  <c r="AF309" i="38"/>
  <c r="C309" i="38"/>
  <c r="D310" i="38"/>
  <c r="AK313" i="38"/>
  <c r="K320" i="38"/>
  <c r="K309" i="38"/>
  <c r="C317" i="38"/>
  <c r="AM314" i="38"/>
  <c r="Q302" i="38"/>
  <c r="Z316" i="38"/>
  <c r="AJ292" i="38"/>
  <c r="AG301" i="38"/>
  <c r="AF300" i="38"/>
  <c r="AN301" i="38"/>
  <c r="D296" i="38"/>
  <c r="Q294" i="38"/>
  <c r="K293" i="38"/>
  <c r="F297" i="38"/>
  <c r="AL301" i="38"/>
  <c r="M293" i="38"/>
  <c r="X292" i="38"/>
  <c r="N300" i="38"/>
  <c r="U294" i="38"/>
  <c r="AO295" i="38"/>
  <c r="AL296" i="38"/>
  <c r="T292" i="38"/>
  <c r="J296" i="38"/>
  <c r="AC296" i="38"/>
  <c r="AI295" i="38"/>
  <c r="X293" i="38"/>
  <c r="AQ303" i="38"/>
  <c r="U297" i="38"/>
  <c r="AN292" i="38"/>
  <c r="M328" i="38"/>
  <c r="N321" i="38"/>
  <c r="R315" i="38"/>
  <c r="O307" i="38"/>
  <c r="H316" i="38"/>
  <c r="AF304" i="38"/>
  <c r="I327" i="38"/>
  <c r="S312" i="38"/>
  <c r="H324" i="38"/>
  <c r="W308" i="38"/>
  <c r="U313" i="38"/>
  <c r="E303" i="38"/>
  <c r="AN308" i="38"/>
  <c r="T308" i="38"/>
  <c r="AA301" i="38"/>
  <c r="C311" i="38"/>
  <c r="AN303" i="38"/>
  <c r="AB300" i="38"/>
  <c r="AI298" i="38"/>
  <c r="Y298" i="38"/>
  <c r="W292" i="38"/>
  <c r="Q298" i="38"/>
  <c r="AE304" i="38"/>
  <c r="V292" i="38"/>
  <c r="G302" i="38"/>
  <c r="AJ294" i="38"/>
  <c r="G295" i="38"/>
  <c r="AP297" i="38"/>
  <c r="AA295" i="38"/>
  <c r="L301" i="38"/>
  <c r="I317" i="38"/>
  <c r="U310" i="38"/>
  <c r="AA322" i="38"/>
  <c r="R314" i="38"/>
  <c r="J314" i="38"/>
  <c r="AF325" i="38"/>
  <c r="Z308" i="38"/>
  <c r="U321" i="38"/>
  <c r="AH303" i="38"/>
  <c r="AK311" i="38"/>
  <c r="AM307" i="38"/>
  <c r="C326" i="38"/>
  <c r="AE312" i="38"/>
  <c r="AL318" i="38"/>
  <c r="E308" i="38"/>
  <c r="J325" i="38"/>
  <c r="AE313" i="38"/>
  <c r="AA310" i="38"/>
  <c r="AK315" i="38"/>
  <c r="R303" i="38"/>
  <c r="W296" i="38"/>
  <c r="AE297" i="38"/>
  <c r="AQ293" i="38"/>
  <c r="K296" i="38"/>
  <c r="AK293" i="38"/>
  <c r="AQ298" i="38"/>
  <c r="AP292" i="38"/>
  <c r="Q293" i="38"/>
  <c r="AC295" i="38"/>
  <c r="H294" i="38"/>
  <c r="AK300" i="38"/>
  <c r="AB296" i="38"/>
  <c r="Y295" i="38"/>
  <c r="D292" i="38"/>
  <c r="R296" i="38"/>
  <c r="Q296" i="38"/>
  <c r="AN310" i="38"/>
  <c r="M312" i="38"/>
  <c r="V309" i="38"/>
  <c r="Y327" i="38"/>
  <c r="Q304" i="38"/>
  <c r="AD320" i="38"/>
  <c r="O325" i="38"/>
  <c r="AH312" i="38"/>
  <c r="AJ304" i="38"/>
  <c r="H314" i="38"/>
  <c r="AE325" i="38"/>
  <c r="AP307" i="38"/>
  <c r="E321" i="38"/>
  <c r="AR302" i="38"/>
  <c r="R307" i="38"/>
  <c r="V308" i="38"/>
  <c r="N312" i="38"/>
  <c r="AI301" i="38"/>
  <c r="P307" i="38"/>
  <c r="AK324" i="38"/>
  <c r="Y304" i="38"/>
  <c r="O313" i="38"/>
  <c r="W309" i="38"/>
  <c r="W315" i="38"/>
  <c r="AD302" i="38"/>
  <c r="G301" i="38"/>
  <c r="AD304" i="38"/>
  <c r="AB297" i="38"/>
  <c r="M296" i="38"/>
  <c r="C292" i="38"/>
  <c r="AG303" i="38"/>
  <c r="AE293" i="38"/>
  <c r="AE294" i="38"/>
  <c r="S301" i="38"/>
  <c r="P296" i="38"/>
  <c r="K295" i="38"/>
  <c r="H296" i="38"/>
  <c r="T304" i="38"/>
  <c r="AF296" i="38"/>
  <c r="I295" i="38"/>
  <c r="G308" i="38"/>
  <c r="AH293" i="38"/>
  <c r="E297" i="38"/>
  <c r="O300" i="38"/>
  <c r="U317" i="38"/>
  <c r="K313" i="38"/>
  <c r="AQ320" i="38"/>
  <c r="L328" i="38"/>
  <c r="U301" i="38"/>
  <c r="H308" i="38"/>
  <c r="AI307" i="38"/>
  <c r="AM319" i="38"/>
  <c r="S300" i="38"/>
  <c r="AR311" i="38"/>
  <c r="T318" i="38"/>
  <c r="AF312" i="38"/>
  <c r="AA303" i="38"/>
  <c r="AL303" i="38"/>
  <c r="D313" i="38"/>
  <c r="Z320" i="38"/>
  <c r="AQ301" i="38"/>
  <c r="AC325" i="38"/>
  <c r="E310" i="38"/>
  <c r="AL307" i="38"/>
  <c r="AO311" i="38"/>
  <c r="H301" i="38"/>
  <c r="U319" i="38"/>
  <c r="J315" i="38"/>
  <c r="V295" i="38"/>
  <c r="L295" i="38"/>
  <c r="AR292" i="38"/>
  <c r="AP304" i="38"/>
  <c r="L297" i="38"/>
  <c r="AI292" i="38"/>
  <c r="E298" i="38"/>
  <c r="AE296" i="38"/>
  <c r="C298" i="38"/>
  <c r="S296" i="38"/>
  <c r="F295" i="38"/>
  <c r="AR293" i="38"/>
  <c r="AP301" i="38"/>
  <c r="AJ293" i="38"/>
  <c r="AQ294" i="38"/>
  <c r="J304" i="38"/>
  <c r="N297" i="38"/>
  <c r="N292" i="38"/>
  <c r="X295" i="38"/>
  <c r="Q308" i="38"/>
  <c r="C295" i="38"/>
  <c r="I300" i="38"/>
  <c r="AJ295" i="38"/>
  <c r="C307" i="38"/>
  <c r="Y300" i="38"/>
  <c r="X300" i="38"/>
  <c r="Y318" i="38"/>
  <c r="X318" i="38"/>
  <c r="G311" i="38"/>
  <c r="AK310" i="38"/>
  <c r="AE300" i="38"/>
  <c r="AN307" i="38"/>
  <c r="Q307" i="38"/>
  <c r="Q299" i="38"/>
  <c r="S318" i="38"/>
  <c r="AN314" i="38"/>
  <c r="V303" i="38"/>
  <c r="H312" i="38"/>
  <c r="AJ300" i="38"/>
  <c r="AD299" i="38"/>
  <c r="AN297" i="38"/>
  <c r="L314" i="38"/>
  <c r="D301" i="38"/>
  <c r="V314" i="38"/>
  <c r="AJ296" i="38"/>
  <c r="AJ297" i="38"/>
  <c r="H292" i="38"/>
  <c r="R293" i="38"/>
  <c r="AE295" i="38"/>
  <c r="E296" i="38"/>
  <c r="W300" i="38"/>
  <c r="AF293" i="38"/>
  <c r="U295" i="38"/>
  <c r="I296" i="38"/>
  <c r="AR303" i="38"/>
  <c r="P295" i="38"/>
  <c r="AD294" i="38"/>
  <c r="Z296" i="38"/>
  <c r="K302" i="38"/>
  <c r="Z293" i="38"/>
  <c r="AG294" i="38"/>
  <c r="AA297" i="38"/>
  <c r="W293" i="38"/>
  <c r="AH296" i="38"/>
  <c r="AA308" i="38"/>
  <c r="AR295" i="38"/>
  <c r="M301" i="38"/>
  <c r="AQ292" i="38"/>
  <c r="AO318" i="38"/>
  <c r="G318" i="38"/>
  <c r="E318" i="38"/>
  <c r="R301" i="38"/>
  <c r="AN294" i="38"/>
  <c r="M310" i="38"/>
  <c r="X314" i="38"/>
  <c r="D302" i="38"/>
  <c r="AI323" i="38"/>
  <c r="S299" i="38"/>
  <c r="T307" i="38"/>
  <c r="AA304" i="38"/>
  <c r="AB304" i="38"/>
  <c r="AR317" i="38"/>
  <c r="AF323" i="38"/>
  <c r="AG318" i="38"/>
  <c r="AA307" i="38"/>
  <c r="L300" i="38"/>
  <c r="AD295" i="38"/>
  <c r="X298" i="38"/>
  <c r="AI297" i="38"/>
  <c r="X301" i="38"/>
  <c r="Y301" i="38"/>
  <c r="AP294" i="38"/>
  <c r="AN304" i="38"/>
  <c r="O295" i="38"/>
  <c r="AO296" i="38"/>
  <c r="D303" i="38"/>
  <c r="AO303" i="38"/>
  <c r="E293" i="38"/>
  <c r="W294" i="38"/>
  <c r="AI302" i="38"/>
  <c r="G293" i="38"/>
  <c r="AM297" i="38"/>
  <c r="AM293" i="38"/>
  <c r="S292" i="38"/>
  <c r="AK308" i="38"/>
  <c r="V297" i="38"/>
  <c r="AR301" i="38"/>
  <c r="AK309" i="38"/>
  <c r="J322" i="38"/>
  <c r="J313" i="38"/>
  <c r="AJ313" i="38"/>
  <c r="P308" i="38"/>
  <c r="AG313" i="38"/>
  <c r="AC313" i="38"/>
  <c r="P309" i="38"/>
  <c r="D307" i="38"/>
  <c r="L309" i="38"/>
  <c r="W321" i="38"/>
  <c r="AI310" i="38"/>
  <c r="AH304" i="38"/>
  <c r="AG323" i="38"/>
  <c r="AJ321" i="38"/>
  <c r="AH310" i="38"/>
  <c r="AF316" i="38"/>
  <c r="G304" i="38"/>
  <c r="AD317" i="38"/>
  <c r="D304" i="38"/>
  <c r="F314" i="38"/>
  <c r="R302" i="38"/>
  <c r="R323" i="38"/>
  <c r="Q318" i="38"/>
  <c r="K307" i="38"/>
  <c r="Z295" i="38"/>
  <c r="AN295" i="38"/>
  <c r="AE303" i="38"/>
  <c r="AO293" i="38"/>
  <c r="AQ297" i="38"/>
  <c r="X296" i="38"/>
  <c r="S330" i="38"/>
  <c r="AN317" i="38"/>
  <c r="AL313" i="38"/>
  <c r="AC308" i="38"/>
  <c r="AC320" i="38"/>
  <c r="AI303" i="38"/>
  <c r="I319" i="38"/>
  <c r="AM301" i="38"/>
  <c r="Y303" i="38"/>
  <c r="W303" i="38"/>
  <c r="P313" i="38"/>
  <c r="AB301" i="38"/>
  <c r="J310" i="38"/>
  <c r="L293" i="38"/>
  <c r="AB292" i="38"/>
  <c r="AA292" i="38"/>
  <c r="AL294" i="38"/>
  <c r="V310" i="38"/>
  <c r="F296" i="38"/>
  <c r="N296" i="38"/>
  <c r="AK304" i="38"/>
  <c r="V317" i="38"/>
  <c r="AC312" i="38"/>
  <c r="W319" i="38"/>
  <c r="AJ314" i="38"/>
  <c r="AL312" i="38"/>
  <c r="AR310" i="38"/>
  <c r="C310" i="38"/>
  <c r="AO304" i="38"/>
  <c r="D308" i="38"/>
  <c r="AB308" i="38"/>
  <c r="AL321" i="38"/>
  <c r="C303" i="38"/>
  <c r="AC304" i="38"/>
  <c r="AA300" i="38"/>
  <c r="V304" i="38"/>
  <c r="AR309" i="38"/>
  <c r="AB315" i="38"/>
  <c r="AP302" i="38"/>
  <c r="AP300" i="38"/>
  <c r="M322" i="38"/>
  <c r="AB317" i="38"/>
  <c r="R311" i="38"/>
  <c r="Q303" i="38"/>
  <c r="E295" i="38"/>
  <c r="R300" i="38"/>
  <c r="O303" i="38"/>
  <c r="AM292" i="38"/>
  <c r="J292" i="38"/>
  <c r="Z303" i="38"/>
  <c r="P292" i="38"/>
  <c r="Y292" i="38"/>
  <c r="K303" i="38"/>
  <c r="AG302" i="38"/>
  <c r="E302" i="38"/>
  <c r="G292" i="38"/>
  <c r="F292" i="38"/>
  <c r="H295" i="38"/>
  <c r="AK295" i="38"/>
  <c r="AF310" i="38"/>
  <c r="AQ296" i="38"/>
  <c r="N303" i="38"/>
  <c r="Y310" i="38"/>
  <c r="J311" i="38"/>
  <c r="I311" i="38"/>
  <c r="AK319" i="38"/>
  <c r="K304" i="38"/>
  <c r="O308" i="38"/>
  <c r="I304" i="38"/>
  <c r="W307" i="38"/>
  <c r="AK321" i="38"/>
  <c r="H318" i="38"/>
  <c r="AE309" i="38"/>
  <c r="AP314" i="38"/>
  <c r="AF301" i="38"/>
  <c r="I312" i="38"/>
  <c r="AM321" i="38"/>
  <c r="X309" i="38"/>
  <c r="O317" i="38"/>
  <c r="R313" i="38"/>
  <c r="Y293" i="38"/>
  <c r="AA296" i="38"/>
  <c r="AH297" i="38"/>
  <c r="AK292" i="38"/>
  <c r="Y302" i="38"/>
  <c r="L310" i="38"/>
  <c r="Y296" i="38"/>
  <c r="U303" i="38"/>
  <c r="AG297" i="38"/>
  <c r="AK303" i="38"/>
  <c r="O293" i="38"/>
  <c r="AP293" i="38"/>
  <c r="AL298" i="38"/>
  <c r="S293" i="38"/>
  <c r="AM304" i="38"/>
  <c r="AJ301" i="38"/>
  <c r="W302" i="38"/>
  <c r="Z292" i="38"/>
  <c r="AN300" i="38"/>
  <c r="Q297" i="38"/>
  <c r="P293" i="38"/>
  <c r="W295" i="38"/>
  <c r="G296" i="38"/>
  <c r="AP310" i="38"/>
  <c r="AR297" i="38"/>
  <c r="N320" i="38"/>
  <c r="AR322" i="38"/>
  <c r="P310" i="38"/>
  <c r="F319" i="38"/>
  <c r="AI316" i="38"/>
  <c r="T321" i="38"/>
  <c r="AO301" i="38"/>
  <c r="AE317" i="38"/>
  <c r="AJ302" i="38"/>
  <c r="AP308" i="38"/>
  <c r="C301" i="38"/>
  <c r="AJ311" i="38"/>
  <c r="AO297" i="38"/>
  <c r="I309" i="38"/>
  <c r="I310" i="38"/>
  <c r="P147" i="38" a="1"/>
  <c r="P147" i="38" s="1"/>
  <c r="P189" i="38" a="1"/>
  <c r="P189" i="38" s="1"/>
  <c r="AL302" i="38"/>
  <c r="AB298" i="38"/>
  <c r="X299" i="38"/>
  <c r="I302" i="38"/>
  <c r="I298" i="38"/>
  <c r="V298" i="38"/>
  <c r="L294" i="38"/>
  <c r="AI294" i="38"/>
  <c r="I294" i="38"/>
  <c r="AF298" i="38"/>
  <c r="D299" i="38"/>
  <c r="Z294" i="38"/>
  <c r="Q140" i="38" a="1"/>
  <c r="Q140" i="38" s="1"/>
  <c r="Q182" i="38" a="1"/>
  <c r="Q182" i="38" s="1"/>
  <c r="Q146" i="38" a="1"/>
  <c r="Q146" i="38" s="1"/>
  <c r="Q188" i="38" a="1"/>
  <c r="Q188" i="38" s="1"/>
  <c r="P146" i="38" a="1"/>
  <c r="P146" i="38" s="1"/>
  <c r="P188" i="38" a="1"/>
  <c r="P188" i="38" s="1"/>
  <c r="M294" i="38"/>
  <c r="V302" i="38"/>
  <c r="P302" i="38"/>
  <c r="AK302" i="38"/>
  <c r="S302" i="38"/>
  <c r="AO302" i="38"/>
  <c r="U302" i="38"/>
  <c r="X302" i="38"/>
  <c r="Z302" i="38"/>
  <c r="AA302" i="38"/>
  <c r="AH302" i="38"/>
  <c r="H302" i="38"/>
  <c r="J302" i="38"/>
  <c r="T302" i="38"/>
  <c r="AB302" i="38"/>
  <c r="AM302" i="38"/>
  <c r="AN302" i="38"/>
  <c r="L302" i="38"/>
  <c r="N302" i="38"/>
  <c r="AE302" i="38"/>
  <c r="AF302" i="38"/>
  <c r="Y294" i="38"/>
  <c r="V294" i="38"/>
  <c r="N299" i="38"/>
  <c r="AA299" i="38"/>
  <c r="U298" i="38"/>
  <c r="G298" i="38"/>
  <c r="R297" i="38"/>
  <c r="H297" i="38"/>
  <c r="Q150" i="38" a="1"/>
  <c r="Q150" i="38" s="1"/>
  <c r="Q192" i="38" a="1"/>
  <c r="Q192" i="38" s="1"/>
  <c r="C294" i="38"/>
  <c r="O294" i="38"/>
  <c r="AK294" i="38"/>
  <c r="AK299" i="38"/>
  <c r="AM298" i="38"/>
  <c r="Z298" i="38"/>
  <c r="K298" i="38"/>
  <c r="AL297" i="38"/>
  <c r="C296" i="38"/>
  <c r="L296" i="38"/>
  <c r="AI296" i="38"/>
  <c r="E294" i="38"/>
  <c r="AR294" i="38"/>
  <c r="AP298" i="38"/>
  <c r="AC298" i="38"/>
  <c r="H299" i="38"/>
  <c r="N295" i="38"/>
  <c r="D295" i="38"/>
  <c r="AO299" i="38"/>
  <c r="O302" i="38"/>
  <c r="AH294" i="38"/>
  <c r="F302" i="38"/>
  <c r="P294" i="38"/>
  <c r="Y299" i="38"/>
  <c r="AN293" i="38"/>
  <c r="AD293" i="38"/>
  <c r="AE299" i="38"/>
  <c r="X294" i="38"/>
  <c r="AC302" i="38"/>
  <c r="S297" i="38"/>
  <c r="U299" i="38"/>
  <c r="N294" i="38"/>
  <c r="I297" i="38"/>
  <c r="M297" i="38"/>
  <c r="P298" i="38"/>
  <c r="Q147" i="38" a="1"/>
  <c r="Q147" i="38" s="1"/>
  <c r="Q189" i="38" a="1"/>
  <c r="Q189" i="38" s="1"/>
  <c r="AS126" i="38" a="1"/>
  <c r="AS126" i="38" s="1"/>
  <c r="M305" i="38" s="1"/>
  <c r="C305" i="38"/>
  <c r="AL299" i="38"/>
  <c r="J299" i="38"/>
  <c r="AM299" i="38"/>
  <c r="V299" i="38"/>
  <c r="AC299" i="38"/>
  <c r="AF299" i="38"/>
  <c r="AP299" i="38"/>
  <c r="L299" i="38"/>
  <c r="T299" i="38"/>
  <c r="AH299" i="38"/>
  <c r="AI299" i="38"/>
  <c r="R299" i="38"/>
  <c r="AR299" i="38"/>
  <c r="K299" i="38"/>
  <c r="D294" i="38"/>
  <c r="T298" i="38"/>
  <c r="K294" i="38"/>
  <c r="W297" i="38"/>
  <c r="AC297" i="38"/>
  <c r="D297" i="38"/>
  <c r="T297" i="38"/>
  <c r="AA298" i="38"/>
  <c r="L298" i="38"/>
  <c r="AM294" i="38"/>
  <c r="O299" i="38"/>
  <c r="C299" i="38"/>
  <c r="F299" i="38"/>
  <c r="Z299" i="38"/>
  <c r="H298" i="38"/>
  <c r="W299" i="38"/>
  <c r="AS127" i="38" a="1"/>
  <c r="AS127" i="38" s="1"/>
  <c r="F298" i="38"/>
  <c r="S298" i="38"/>
  <c r="AK298" i="38"/>
  <c r="AO298" i="38"/>
  <c r="AE298" i="38"/>
  <c r="X305" i="38"/>
  <c r="S294" i="38"/>
  <c r="M299" i="38"/>
  <c r="J294" i="38"/>
  <c r="P299" i="38"/>
  <c r="AC294" i="38"/>
  <c r="AR298" i="38"/>
  <c r="AJ299" i="38"/>
  <c r="R298" i="38"/>
  <c r="AG299" i="38"/>
  <c r="AD298" i="38"/>
  <c r="Q148" i="38" a="1"/>
  <c r="Q148" i="38" s="1"/>
  <c r="Q190" i="38" a="1"/>
  <c r="Q190" i="38" s="1"/>
  <c r="AA294" i="38"/>
  <c r="AN299" i="38"/>
  <c r="Y305" i="38"/>
  <c r="F305" i="38"/>
  <c r="X297" i="38"/>
  <c r="K297" i="38"/>
  <c r="AK297" i="38"/>
  <c r="J298" i="38"/>
  <c r="N298" i="38"/>
  <c r="D298" i="38"/>
  <c r="Q326" i="38" l="1"/>
  <c r="P326" i="38"/>
  <c r="P325" i="38"/>
  <c r="Q325" i="38"/>
  <c r="Q319" i="38"/>
  <c r="Q327" i="38"/>
  <c r="Q329" i="38"/>
  <c r="N305" i="38"/>
  <c r="AJ305" i="38"/>
  <c r="AH305" i="38"/>
  <c r="K305" i="38"/>
  <c r="AG305" i="38"/>
  <c r="V305" i="38"/>
  <c r="D305" i="38"/>
  <c r="AA305" i="38"/>
  <c r="E305" i="38"/>
  <c r="AD305" i="38"/>
  <c r="G305" i="38"/>
  <c r="AF305" i="38"/>
  <c r="AI305" i="38"/>
  <c r="I305" i="38"/>
  <c r="AK305" i="38"/>
  <c r="S305" i="38"/>
  <c r="AR305" i="38"/>
  <c r="AP305" i="38"/>
  <c r="AQ305" i="38"/>
  <c r="J305" i="38"/>
  <c r="O305" i="38"/>
  <c r="Q305" i="38"/>
  <c r="R305" i="38"/>
  <c r="Z305" i="38"/>
  <c r="AB305" i="38"/>
  <c r="AC305" i="38"/>
  <c r="AE305" i="38"/>
  <c r="AL305" i="38"/>
  <c r="L305" i="38"/>
  <c r="U305" i="38"/>
  <c r="W305" i="38"/>
  <c r="AM305" i="38"/>
  <c r="AN305" i="38"/>
  <c r="AO305" i="38"/>
  <c r="T305" i="38"/>
  <c r="N306" i="38"/>
  <c r="AH306" i="38"/>
  <c r="M306" i="38"/>
  <c r="AI306" i="38"/>
  <c r="O306" i="38"/>
  <c r="AK306" i="38"/>
  <c r="Z306" i="38"/>
  <c r="H306" i="38"/>
  <c r="AE306" i="38"/>
  <c r="I306" i="38"/>
  <c r="AJ306" i="38"/>
  <c r="P306" i="38"/>
  <c r="AO306" i="38"/>
  <c r="R306" i="38"/>
  <c r="AQ306" i="38"/>
  <c r="S306" i="38"/>
  <c r="AR306" i="38"/>
  <c r="T306" i="38"/>
  <c r="AB306" i="38"/>
  <c r="AL306" i="38"/>
  <c r="AM306" i="38"/>
  <c r="D306" i="38"/>
  <c r="AN306" i="38"/>
  <c r="G306" i="38"/>
  <c r="J306" i="38"/>
  <c r="K306" i="38"/>
  <c r="V306" i="38"/>
  <c r="W306" i="38"/>
  <c r="X306" i="38"/>
  <c r="Y306" i="38"/>
  <c r="AA306" i="38"/>
  <c r="AC306" i="38"/>
  <c r="AF306" i="38"/>
  <c r="AG306" i="38"/>
  <c r="AP306" i="38"/>
  <c r="E306" i="38"/>
  <c r="F306" i="38"/>
  <c r="L306" i="38"/>
  <c r="Q306" i="38"/>
  <c r="U306" i="38"/>
  <c r="AD306" i="38"/>
  <c r="H305" i="38"/>
  <c r="P305" i="38"/>
  <c r="C306" i="38"/>
  <c r="C337" i="38" l="1" a="1"/>
  <c r="AJ357" i="38" s="1"/>
  <c r="AI22" i="36" s="1"/>
  <c r="AL340" i="38" l="1"/>
  <c r="AK5" i="36" s="1"/>
  <c r="AO347" i="38"/>
  <c r="AN12" i="36" s="1"/>
  <c r="AJ376" i="38"/>
  <c r="AI41" i="36" s="1"/>
  <c r="AK363" i="38"/>
  <c r="AJ28" i="36" s="1"/>
  <c r="AF369" i="38"/>
  <c r="AE34" i="36" s="1"/>
  <c r="AK346" i="38"/>
  <c r="AJ11" i="36" s="1"/>
  <c r="AQ348" i="38"/>
  <c r="AP13" i="36" s="1"/>
  <c r="N375" i="38"/>
  <c r="M40" i="36" s="1"/>
  <c r="R358" i="38"/>
  <c r="Q23" i="36" s="1"/>
  <c r="AF366" i="38"/>
  <c r="AE31" i="36" s="1"/>
  <c r="AJ378" i="38"/>
  <c r="AI43" i="36" s="1"/>
  <c r="Q350" i="38"/>
  <c r="P15" i="36" s="1"/>
  <c r="Y355" i="38"/>
  <c r="X20" i="36" s="1"/>
  <c r="U350" i="38"/>
  <c r="T15" i="36" s="1"/>
  <c r="X373" i="38"/>
  <c r="W38" i="36" s="1"/>
  <c r="G346" i="38"/>
  <c r="F11" i="36" s="1"/>
  <c r="P375" i="38"/>
  <c r="O40" i="36" s="1"/>
  <c r="T360" i="38"/>
  <c r="S25" i="36" s="1"/>
  <c r="AQ350" i="38"/>
  <c r="AP15" i="36" s="1"/>
  <c r="L376" i="38"/>
  <c r="K41" i="36" s="1"/>
  <c r="AO358" i="38"/>
  <c r="AN23" i="36" s="1"/>
  <c r="I368" i="38"/>
  <c r="H33" i="36" s="1"/>
  <c r="X344" i="38"/>
  <c r="W9" i="36" s="1"/>
  <c r="I351" i="38"/>
  <c r="H16" i="36" s="1"/>
  <c r="AN375" i="38"/>
  <c r="AM40" i="36" s="1"/>
  <c r="P351" i="38"/>
  <c r="O16" i="36" s="1"/>
  <c r="E374" i="38"/>
  <c r="D39" i="36" s="1"/>
  <c r="C347" i="38"/>
  <c r="B12" i="36" s="1"/>
  <c r="T376" i="38"/>
  <c r="S41" i="36" s="1"/>
  <c r="M374" i="38"/>
  <c r="L39" i="36" s="1"/>
  <c r="V351" i="38"/>
  <c r="U16" i="36" s="1"/>
  <c r="J377" i="38"/>
  <c r="I42" i="36" s="1"/>
  <c r="AI344" i="38"/>
  <c r="AH9" i="36" s="1"/>
  <c r="Z369" i="38"/>
  <c r="Y34" i="36" s="1"/>
  <c r="AJ373" i="38"/>
  <c r="AI38" i="36" s="1"/>
  <c r="X361" i="38"/>
  <c r="W26" i="36" s="1"/>
  <c r="N366" i="38"/>
  <c r="M31" i="36" s="1"/>
  <c r="G352" i="38"/>
  <c r="F17" i="36" s="1"/>
  <c r="J375" i="38"/>
  <c r="I40" i="36" s="1"/>
  <c r="E348" i="38"/>
  <c r="D13" i="36" s="1"/>
  <c r="Y377" i="38"/>
  <c r="X42" i="36" s="1"/>
  <c r="AL368" i="38"/>
  <c r="AK33" i="36" s="1"/>
  <c r="K338" i="38"/>
  <c r="J3" i="36" s="1"/>
  <c r="H378" i="38"/>
  <c r="G43" i="36" s="1"/>
  <c r="R345" i="38"/>
  <c r="Q10" i="36" s="1"/>
  <c r="C372" i="38"/>
  <c r="B37" i="36" s="1"/>
  <c r="AP374" i="38"/>
  <c r="AO39" i="36" s="1"/>
  <c r="AL363" i="38"/>
  <c r="AK28" i="36" s="1"/>
  <c r="AM369" i="38"/>
  <c r="AL34" i="36" s="1"/>
  <c r="L363" i="38"/>
  <c r="K28" i="36" s="1"/>
  <c r="AG375" i="38"/>
  <c r="AF40" i="36" s="1"/>
  <c r="AO348" i="38"/>
  <c r="AN13" i="36" s="1"/>
  <c r="F378" i="38"/>
  <c r="E43" i="36" s="1"/>
  <c r="J345" i="38"/>
  <c r="I10" i="36" s="1"/>
  <c r="L341" i="38"/>
  <c r="K6" i="36" s="1"/>
  <c r="P355" i="38"/>
  <c r="O20" i="36" s="1"/>
  <c r="N341" i="38"/>
  <c r="M6" i="36" s="1"/>
  <c r="AA372" i="38"/>
  <c r="Z37" i="36" s="1"/>
  <c r="AB376" i="38"/>
  <c r="AA41" i="36" s="1"/>
  <c r="T365" i="38"/>
  <c r="S30" i="36" s="1"/>
  <c r="E371" i="38"/>
  <c r="D36" i="36" s="1"/>
  <c r="D364" i="38"/>
  <c r="C29" i="36" s="1"/>
  <c r="P376" i="38"/>
  <c r="O41" i="36" s="1"/>
  <c r="AL349" i="38"/>
  <c r="AK14" i="36" s="1"/>
  <c r="AE378" i="38"/>
  <c r="AD43" i="36" s="1"/>
  <c r="S375" i="38"/>
  <c r="R40" i="36" s="1"/>
  <c r="U356" i="38"/>
  <c r="T21" i="36" s="1"/>
  <c r="AM341" i="38"/>
  <c r="AL6" i="36" s="1"/>
  <c r="J373" i="38"/>
  <c r="I38" i="36" s="1"/>
  <c r="P378" i="38"/>
  <c r="O43" i="36" s="1"/>
  <c r="I366" i="38"/>
  <c r="H31" i="36" s="1"/>
  <c r="AK372" i="38"/>
  <c r="AJ37" i="36" s="1"/>
  <c r="AJ354" i="38"/>
  <c r="AI19" i="36" s="1"/>
  <c r="AE358" i="38"/>
  <c r="AD23" i="36" s="1"/>
  <c r="AI370" i="38"/>
  <c r="AH35" i="36" s="1"/>
  <c r="L343" i="38"/>
  <c r="K8" i="36" s="1"/>
  <c r="Z357" i="38"/>
  <c r="Y22" i="36" s="1"/>
  <c r="AJ344" i="38"/>
  <c r="AI9" i="36" s="1"/>
  <c r="AG373" i="38"/>
  <c r="AF38" i="36" s="1"/>
  <c r="J340" i="38"/>
  <c r="I5" i="36" s="1"/>
  <c r="AQ366" i="38"/>
  <c r="AP31" i="36" s="1"/>
  <c r="X374" i="38"/>
  <c r="W39" i="36" s="1"/>
  <c r="D374" i="38"/>
  <c r="C39" i="36" s="1"/>
  <c r="AI368" i="38"/>
  <c r="AH33" i="36" s="1"/>
  <c r="D361" i="38"/>
  <c r="C26" i="36" s="1"/>
  <c r="AB363" i="38"/>
  <c r="AA28" i="36" s="1"/>
  <c r="AG343" i="38"/>
  <c r="AF8" i="36" s="1"/>
  <c r="C346" i="38"/>
  <c r="B11" i="36" s="1"/>
  <c r="AM374" i="38"/>
  <c r="AL39" i="36" s="1"/>
  <c r="R341" i="38"/>
  <c r="Q6" i="36" s="1"/>
  <c r="AD367" i="38"/>
  <c r="AC32" i="36" s="1"/>
  <c r="L342" i="38"/>
  <c r="K7" i="36" s="1"/>
  <c r="AH339" i="38"/>
  <c r="AG4" i="36" s="1"/>
  <c r="AB339" i="38"/>
  <c r="AA4" i="36" s="1"/>
  <c r="AO346" i="38"/>
  <c r="AN11" i="36" s="1"/>
  <c r="K376" i="38"/>
  <c r="J41" i="36" s="1"/>
  <c r="K362" i="38"/>
  <c r="J27" i="36" s="1"/>
  <c r="Y345" i="38"/>
  <c r="X10" i="36" s="1"/>
  <c r="Z355" i="38"/>
  <c r="Y20" i="36" s="1"/>
  <c r="AB377" i="38"/>
  <c r="AA42" i="36" s="1"/>
  <c r="D337" i="38"/>
  <c r="C2" i="36" s="1"/>
  <c r="AR344" i="38"/>
  <c r="AQ9" i="36" s="1"/>
  <c r="AD375" i="38"/>
  <c r="AC40" i="36" s="1"/>
  <c r="AD360" i="38"/>
  <c r="AC25" i="36" s="1"/>
  <c r="Y376" i="38"/>
  <c r="X41" i="36" s="1"/>
  <c r="T354" i="38"/>
  <c r="S19" i="36" s="1"/>
  <c r="AR371" i="38"/>
  <c r="AQ36" i="36" s="1"/>
  <c r="U376" i="38"/>
  <c r="T41" i="36" s="1"/>
  <c r="AQ377" i="38"/>
  <c r="AP42" i="36" s="1"/>
  <c r="Y374" i="38"/>
  <c r="X39" i="36" s="1"/>
  <c r="V357" i="38"/>
  <c r="U22" i="36" s="1"/>
  <c r="Y363" i="38"/>
  <c r="X28" i="36" s="1"/>
  <c r="AM353" i="38"/>
  <c r="AL18" i="36" s="1"/>
  <c r="J357" i="38"/>
  <c r="I22" i="36" s="1"/>
  <c r="M364" i="38"/>
  <c r="L29" i="36" s="1"/>
  <c r="AL376" i="38"/>
  <c r="AK41" i="36" s="1"/>
  <c r="AD373" i="38"/>
  <c r="AC38" i="36" s="1"/>
  <c r="Z367" i="38"/>
  <c r="Y32" i="36" s="1"/>
  <c r="S362" i="38"/>
  <c r="R27" i="36" s="1"/>
  <c r="P353" i="38"/>
  <c r="O18" i="36" s="1"/>
  <c r="Y338" i="38"/>
  <c r="X3" i="36" s="1"/>
  <c r="T363" i="38"/>
  <c r="S28" i="36" s="1"/>
  <c r="AF375" i="38"/>
  <c r="AE40" i="36" s="1"/>
  <c r="H357" i="38"/>
  <c r="G22" i="36" s="1"/>
  <c r="AA364" i="38"/>
  <c r="Z29" i="36" s="1"/>
  <c r="AL361" i="38"/>
  <c r="AK26" i="36" s="1"/>
  <c r="Y350" i="38"/>
  <c r="X15" i="36" s="1"/>
  <c r="AJ358" i="38"/>
  <c r="AI23" i="36" s="1"/>
  <c r="AD362" i="38"/>
  <c r="AC27" i="36" s="1"/>
  <c r="AB374" i="38"/>
  <c r="AA39" i="36" s="1"/>
  <c r="J376" i="38"/>
  <c r="I41" i="36" s="1"/>
  <c r="D363" i="38"/>
  <c r="C28" i="36" s="1"/>
  <c r="E359" i="38"/>
  <c r="D24" i="36" s="1"/>
  <c r="AR349" i="38"/>
  <c r="AQ14" i="36" s="1"/>
  <c r="K378" i="38"/>
  <c r="J43" i="36" s="1"/>
  <c r="D348" i="38"/>
  <c r="C13" i="36" s="1"/>
  <c r="AP372" i="38"/>
  <c r="AO37" i="36" s="1"/>
  <c r="P377" i="38"/>
  <c r="O42" i="36" s="1"/>
  <c r="AL359" i="38"/>
  <c r="AK24" i="36" s="1"/>
  <c r="AG367" i="38"/>
  <c r="AF32" i="36" s="1"/>
  <c r="AD358" i="38"/>
  <c r="AC23" i="36" s="1"/>
  <c r="G373" i="38"/>
  <c r="F38" i="36" s="1"/>
  <c r="F346" i="38"/>
  <c r="E11" i="36" s="1"/>
  <c r="I371" i="38"/>
  <c r="H36" i="36" s="1"/>
  <c r="AC375" i="38"/>
  <c r="AB40" i="36" s="1"/>
  <c r="U357" i="38"/>
  <c r="T22" i="36" s="1"/>
  <c r="D359" i="38"/>
  <c r="C24" i="36" s="1"/>
  <c r="AL373" i="38"/>
  <c r="AK38" i="36" s="1"/>
  <c r="AO365" i="38"/>
  <c r="AN30" i="36" s="1"/>
  <c r="C344" i="38"/>
  <c r="B9" i="36" s="1"/>
  <c r="O369" i="38"/>
  <c r="N34" i="36" s="1"/>
  <c r="AQ373" i="38"/>
  <c r="AP38" i="36" s="1"/>
  <c r="V343" i="38"/>
  <c r="U8" i="36" s="1"/>
  <c r="AO357" i="38"/>
  <c r="AN22" i="36" s="1"/>
  <c r="R373" i="38"/>
  <c r="Q38" i="36" s="1"/>
  <c r="AQ371" i="38"/>
  <c r="AP36" i="36" s="1"/>
  <c r="O338" i="38"/>
  <c r="N3" i="36" s="1"/>
  <c r="AP353" i="38"/>
  <c r="AO18" i="36" s="1"/>
  <c r="M372" i="38"/>
  <c r="L37" i="36" s="1"/>
  <c r="S342" i="38"/>
  <c r="R7" i="36" s="1"/>
  <c r="R357" i="38"/>
  <c r="Q22" i="36" s="1"/>
  <c r="AN372" i="38"/>
  <c r="AM37" i="36" s="1"/>
  <c r="E377" i="38"/>
  <c r="D42" i="36" s="1"/>
  <c r="Z378" i="38"/>
  <c r="Y43" i="36" s="1"/>
  <c r="L375" i="38"/>
  <c r="K40" i="36" s="1"/>
  <c r="W370" i="38"/>
  <c r="V35" i="36" s="1"/>
  <c r="AL370" i="38"/>
  <c r="AK35" i="36" s="1"/>
  <c r="AE355" i="38"/>
  <c r="AD20" i="36" s="1"/>
  <c r="S372" i="38"/>
  <c r="R37" i="36" s="1"/>
  <c r="Q371" i="38"/>
  <c r="P36" i="36" s="1"/>
  <c r="AA358" i="38"/>
  <c r="Z23" i="36" s="1"/>
  <c r="X378" i="38"/>
  <c r="W43" i="36" s="1"/>
  <c r="AB348" i="38"/>
  <c r="AA13" i="36" s="1"/>
  <c r="J368" i="38"/>
  <c r="I33" i="36" s="1"/>
  <c r="AA354" i="38"/>
  <c r="Z19" i="36" s="1"/>
  <c r="S369" i="38"/>
  <c r="R34" i="36" s="1"/>
  <c r="S356" i="38"/>
  <c r="R21" i="36" s="1"/>
  <c r="D357" i="38"/>
  <c r="C22" i="36" s="1"/>
  <c r="Z370" i="38"/>
  <c r="Y35" i="36" s="1"/>
  <c r="AA347" i="38"/>
  <c r="Z12" i="36" s="1"/>
  <c r="AI366" i="38"/>
  <c r="AH31" i="36" s="1"/>
  <c r="U353" i="38"/>
  <c r="T18" i="36" s="1"/>
  <c r="AN340" i="38"/>
  <c r="AM5" i="36" s="1"/>
  <c r="AG374" i="38"/>
  <c r="AF39" i="36" s="1"/>
  <c r="T355" i="38"/>
  <c r="S20" i="36" s="1"/>
  <c r="AC349" i="38"/>
  <c r="AB14" i="36" s="1"/>
  <c r="AE346" i="38"/>
  <c r="AD11" i="36" s="1"/>
  <c r="AR365" i="38"/>
  <c r="AQ30" i="36" s="1"/>
  <c r="AN352" i="38"/>
  <c r="AM17" i="36" s="1"/>
  <c r="P346" i="38"/>
  <c r="O11" i="36" s="1"/>
  <c r="O367" i="38"/>
  <c r="N32" i="36" s="1"/>
  <c r="AJ353" i="38"/>
  <c r="AI18" i="36" s="1"/>
  <c r="AE348" i="38"/>
  <c r="AD13" i="36" s="1"/>
  <c r="AB342" i="38"/>
  <c r="AA7" i="36" s="1"/>
  <c r="L365" i="38"/>
  <c r="K30" i="36" s="1"/>
  <c r="AK357" i="38"/>
  <c r="AJ22" i="36" s="1"/>
  <c r="P345" i="38"/>
  <c r="O10" i="36" s="1"/>
  <c r="Y366" i="38"/>
  <c r="X31" i="36" s="1"/>
  <c r="AM342" i="38"/>
  <c r="AL7" i="36" s="1"/>
  <c r="AM347" i="38"/>
  <c r="AL12" i="36" s="1"/>
  <c r="N340" i="38"/>
  <c r="M5" i="36" s="1"/>
  <c r="AF363" i="38"/>
  <c r="AE28" i="36" s="1"/>
  <c r="AD347" i="38"/>
  <c r="AC12" i="36" s="1"/>
  <c r="L347" i="38"/>
  <c r="K12" i="36" s="1"/>
  <c r="AJ365" i="38"/>
  <c r="AI30" i="36" s="1"/>
  <c r="AJ341" i="38"/>
  <c r="AI6" i="36" s="1"/>
  <c r="AN344" i="38"/>
  <c r="AM9" i="36" s="1"/>
  <c r="D339" i="38"/>
  <c r="C4" i="36" s="1"/>
  <c r="AM362" i="38"/>
  <c r="AL27" i="36" s="1"/>
  <c r="X346" i="38"/>
  <c r="W11" i="36" s="1"/>
  <c r="AG346" i="38"/>
  <c r="AF11" i="36" s="1"/>
  <c r="E365" i="38"/>
  <c r="D30" i="36" s="1"/>
  <c r="AB340" i="38"/>
  <c r="AA5" i="36" s="1"/>
  <c r="V378" i="38"/>
  <c r="U43" i="36" s="1"/>
  <c r="AH337" i="38"/>
  <c r="AG2" i="36" s="1"/>
  <c r="T374" i="38"/>
  <c r="S39" i="36" s="1"/>
  <c r="AO345" i="38"/>
  <c r="AN10" i="36" s="1"/>
  <c r="L346" i="38"/>
  <c r="K11" i="36" s="1"/>
  <c r="H343" i="38"/>
  <c r="G8" i="36" s="1"/>
  <c r="H338" i="38"/>
  <c r="G3" i="36" s="1"/>
  <c r="AO377" i="38"/>
  <c r="AN42" i="36" s="1"/>
  <c r="AD364" i="38"/>
  <c r="AC29" i="36" s="1"/>
  <c r="G372" i="38"/>
  <c r="F37" i="36" s="1"/>
  <c r="Q358" i="38"/>
  <c r="P23" i="36" s="1"/>
  <c r="L345" i="38"/>
  <c r="K10" i="36" s="1"/>
  <c r="X358" i="38"/>
  <c r="W23" i="36" s="1"/>
  <c r="M341" i="38"/>
  <c r="L6" i="36" s="1"/>
  <c r="AO342" i="38"/>
  <c r="AN7" i="36" s="1"/>
  <c r="T338" i="38"/>
  <c r="S3" i="36" s="1"/>
  <c r="V347" i="38"/>
  <c r="U12" i="36" s="1"/>
  <c r="K343" i="38"/>
  <c r="J8" i="36" s="1"/>
  <c r="AA363" i="38"/>
  <c r="Z28" i="36" s="1"/>
  <c r="P371" i="38"/>
  <c r="O36" i="36" s="1"/>
  <c r="C378" i="38"/>
  <c r="B43" i="36" s="1"/>
  <c r="AQ372" i="38"/>
  <c r="AP37" i="36" s="1"/>
  <c r="S366" i="38"/>
  <c r="R31" i="36" s="1"/>
  <c r="AR373" i="38"/>
  <c r="AQ38" i="36" s="1"/>
  <c r="AJ372" i="38"/>
  <c r="AI37" i="36" s="1"/>
  <c r="S349" i="38"/>
  <c r="R14" i="36" s="1"/>
  <c r="F376" i="38"/>
  <c r="E41" i="36" s="1"/>
  <c r="AL366" i="38"/>
  <c r="AK31" i="36" s="1"/>
  <c r="AP357" i="38"/>
  <c r="AO22" i="36" s="1"/>
  <c r="T339" i="38"/>
  <c r="S4" i="36" s="1"/>
  <c r="T370" i="38"/>
  <c r="S35" i="36" s="1"/>
  <c r="Q349" i="38"/>
  <c r="P14" i="36" s="1"/>
  <c r="AQ346" i="38"/>
  <c r="AP11" i="36" s="1"/>
  <c r="R375" i="38"/>
  <c r="Q40" i="36" s="1"/>
  <c r="AP375" i="38"/>
  <c r="AO40" i="36" s="1"/>
  <c r="R360" i="38"/>
  <c r="Q25" i="36" s="1"/>
  <c r="AN376" i="38"/>
  <c r="AM41" i="36" s="1"/>
  <c r="AI371" i="38"/>
  <c r="AH36" i="36" s="1"/>
  <c r="AM364" i="38"/>
  <c r="AL29" i="36" s="1"/>
  <c r="U373" i="38"/>
  <c r="T38" i="36" s="1"/>
  <c r="L372" i="38"/>
  <c r="K37" i="36" s="1"/>
  <c r="D369" i="38"/>
  <c r="C34" i="36" s="1"/>
  <c r="AQ370" i="38"/>
  <c r="AP35" i="36" s="1"/>
  <c r="L350" i="38"/>
  <c r="K15" i="36" s="1"/>
  <c r="S357" i="38"/>
  <c r="R22" i="36" s="1"/>
  <c r="AJ338" i="38"/>
  <c r="AI3" i="36" s="1"/>
  <c r="R366" i="38"/>
  <c r="Q31" i="36" s="1"/>
  <c r="Q348" i="38"/>
  <c r="P13" i="36" s="1"/>
  <c r="AQ345" i="38"/>
  <c r="AP10" i="36" s="1"/>
  <c r="AL374" i="38"/>
  <c r="AK39" i="36" s="1"/>
  <c r="K370" i="38"/>
  <c r="J35" i="36" s="1"/>
  <c r="J353" i="38"/>
  <c r="I18" i="36" s="1"/>
  <c r="Q376" i="38"/>
  <c r="P41" i="36" s="1"/>
  <c r="AA370" i="38"/>
  <c r="Z35" i="36" s="1"/>
  <c r="V362" i="38"/>
  <c r="U27" i="36" s="1"/>
  <c r="X365" i="38"/>
  <c r="W30" i="36" s="1"/>
  <c r="AB371" i="38"/>
  <c r="AA36" i="36" s="1"/>
  <c r="Q368" i="38"/>
  <c r="P33" i="36" s="1"/>
  <c r="O368" i="38"/>
  <c r="N33" i="36" s="1"/>
  <c r="E376" i="38"/>
  <c r="D41" i="36" s="1"/>
  <c r="AL356" i="38"/>
  <c r="AK21" i="36" s="1"/>
  <c r="I361" i="38"/>
  <c r="H26" i="36" s="1"/>
  <c r="H363" i="38"/>
  <c r="G28" i="36" s="1"/>
  <c r="AL347" i="38"/>
  <c r="AK12" i="36" s="1"/>
  <c r="V345" i="38"/>
  <c r="U10" i="36" s="1"/>
  <c r="K361" i="38"/>
  <c r="J26" i="36" s="1"/>
  <c r="AH362" i="38"/>
  <c r="AG27" i="36" s="1"/>
  <c r="G348" i="38"/>
  <c r="F13" i="36" s="1"/>
  <c r="AJ375" i="38"/>
  <c r="AI40" i="36" s="1"/>
  <c r="Z368" i="38"/>
  <c r="Y33" i="36" s="1"/>
  <c r="F360" i="38"/>
  <c r="E25" i="36" s="1"/>
  <c r="AK364" i="38"/>
  <c r="AJ29" i="36" s="1"/>
  <c r="J351" i="38"/>
  <c r="I16" i="36" s="1"/>
  <c r="AP366" i="38"/>
  <c r="AO31" i="36" s="1"/>
  <c r="R365" i="38"/>
  <c r="Q30" i="36" s="1"/>
  <c r="S374" i="38"/>
  <c r="R39" i="36" s="1"/>
  <c r="AF355" i="38"/>
  <c r="AE20" i="36" s="1"/>
  <c r="AA360" i="38"/>
  <c r="Z25" i="36" s="1"/>
  <c r="AN360" i="38"/>
  <c r="AM25" i="36" s="1"/>
  <c r="Q347" i="38"/>
  <c r="P12" i="36" s="1"/>
  <c r="AP343" i="38"/>
  <c r="AO8" i="36" s="1"/>
  <c r="Q344" i="38"/>
  <c r="P9" i="36" s="1"/>
  <c r="AL354" i="38"/>
  <c r="AK19" i="36" s="1"/>
  <c r="AC339" i="38"/>
  <c r="AB4" i="36" s="1"/>
  <c r="K375" i="38"/>
  <c r="J40" i="36" s="1"/>
  <c r="AM367" i="38"/>
  <c r="AL32" i="36" s="1"/>
  <c r="V373" i="38"/>
  <c r="U38" i="36" s="1"/>
  <c r="O351" i="38"/>
  <c r="N16" i="36" s="1"/>
  <c r="W349" i="38"/>
  <c r="V14" i="36" s="1"/>
  <c r="S365" i="38"/>
  <c r="R30" i="36" s="1"/>
  <c r="AH377" i="38"/>
  <c r="AG42" i="36" s="1"/>
  <c r="W347" i="38"/>
  <c r="V12" i="36" s="1"/>
  <c r="AG368" i="38"/>
  <c r="AF33" i="36" s="1"/>
  <c r="D360" i="38"/>
  <c r="C25" i="36" s="1"/>
  <c r="AJ359" i="38"/>
  <c r="AI24" i="36" s="1"/>
  <c r="AL346" i="38"/>
  <c r="AK11" i="36" s="1"/>
  <c r="U343" i="38"/>
  <c r="T8" i="36" s="1"/>
  <c r="AE377" i="38"/>
  <c r="AD42" i="36" s="1"/>
  <c r="G345" i="38"/>
  <c r="F10" i="36" s="1"/>
  <c r="X353" i="38"/>
  <c r="W18" i="36" s="1"/>
  <c r="AE362" i="38"/>
  <c r="AD27" i="36" s="1"/>
  <c r="O375" i="38"/>
  <c r="N40" i="36" s="1"/>
  <c r="E361" i="38"/>
  <c r="D26" i="36" s="1"/>
  <c r="U368" i="38"/>
  <c r="T33" i="36" s="1"/>
  <c r="Y357" i="38"/>
  <c r="X22" i="36" s="1"/>
  <c r="F370" i="38"/>
  <c r="E35" i="36" s="1"/>
  <c r="AA342" i="38"/>
  <c r="Z7" i="36" s="1"/>
  <c r="C337" i="38"/>
  <c r="B2" i="36" s="1"/>
  <c r="AR366" i="38"/>
  <c r="AQ31" i="36" s="1"/>
  <c r="AQ368" i="38"/>
  <c r="AP33" i="36" s="1"/>
  <c r="AG355" i="38"/>
  <c r="AF20" i="36" s="1"/>
  <c r="C366" i="38"/>
  <c r="B31" i="36" s="1"/>
  <c r="M345" i="38"/>
  <c r="L10" i="36" s="1"/>
  <c r="AH340" i="38"/>
  <c r="AG5" i="36" s="1"/>
  <c r="X339" i="38"/>
  <c r="W4" i="36" s="1"/>
  <c r="X375" i="38"/>
  <c r="W40" i="36" s="1"/>
  <c r="AA340" i="38"/>
  <c r="Z5" i="36" s="1"/>
  <c r="W340" i="38"/>
  <c r="V5" i="36" s="1"/>
  <c r="AO370" i="38"/>
  <c r="AN35" i="36" s="1"/>
  <c r="J354" i="38"/>
  <c r="I19" i="36" s="1"/>
  <c r="N361" i="38"/>
  <c r="M26" i="36" s="1"/>
  <c r="X364" i="38"/>
  <c r="W29" i="36" s="1"/>
  <c r="AQ353" i="38"/>
  <c r="AP18" i="36" s="1"/>
  <c r="AG364" i="38"/>
  <c r="AF29" i="36" s="1"/>
  <c r="AC356" i="38"/>
  <c r="AB21" i="36" s="1"/>
  <c r="S343" i="38"/>
  <c r="R8" i="36" s="1"/>
  <c r="Q352" i="38"/>
  <c r="P17" i="36" s="1"/>
  <c r="AH341" i="38"/>
  <c r="AG6" i="36" s="1"/>
  <c r="Z362" i="38"/>
  <c r="Y27" i="36" s="1"/>
  <c r="L374" i="38"/>
  <c r="K39" i="36" s="1"/>
  <c r="AD378" i="38"/>
  <c r="AC43" i="36" s="1"/>
  <c r="AK367" i="38"/>
  <c r="AJ32" i="36" s="1"/>
  <c r="AL369" i="38"/>
  <c r="AK34" i="36" s="1"/>
  <c r="N378" i="38"/>
  <c r="M43" i="36" s="1"/>
  <c r="R378" i="38"/>
  <c r="Q43" i="36" s="1"/>
  <c r="K359" i="38"/>
  <c r="J24" i="36" s="1"/>
  <c r="H348" i="38"/>
  <c r="G13" i="36" s="1"/>
  <c r="AR341" i="38"/>
  <c r="AQ6" i="36" s="1"/>
  <c r="G364" i="38"/>
  <c r="F29" i="36" s="1"/>
  <c r="J363" i="38"/>
  <c r="I28" i="36" s="1"/>
  <c r="F355" i="38"/>
  <c r="E20" i="36" s="1"/>
  <c r="D376" i="38"/>
  <c r="C41" i="36" s="1"/>
  <c r="AN377" i="38"/>
  <c r="AM42" i="36" s="1"/>
  <c r="AH359" i="38"/>
  <c r="AG24" i="36" s="1"/>
  <c r="AC351" i="38"/>
  <c r="AB16" i="36" s="1"/>
  <c r="AD368" i="38"/>
  <c r="AC33" i="36" s="1"/>
  <c r="G378" i="38"/>
  <c r="F43" i="36" s="1"/>
  <c r="AA343" i="38"/>
  <c r="Z8" i="36" s="1"/>
  <c r="R374" i="38"/>
  <c r="Q39" i="36" s="1"/>
  <c r="AQ342" i="38"/>
  <c r="AP7" i="36" s="1"/>
  <c r="AK356" i="38"/>
  <c r="AJ21" i="36" s="1"/>
  <c r="T352" i="38"/>
  <c r="S17" i="36" s="1"/>
  <c r="Q338" i="38"/>
  <c r="P3" i="36" s="1"/>
  <c r="AP356" i="38"/>
  <c r="AO21" i="36" s="1"/>
  <c r="C377" i="38"/>
  <c r="B42" i="36" s="1"/>
  <c r="P373" i="38"/>
  <c r="O38" i="36" s="1"/>
  <c r="L373" i="38"/>
  <c r="K38" i="36" s="1"/>
  <c r="J349" i="38"/>
  <c r="I14" i="36" s="1"/>
  <c r="V376" i="38"/>
  <c r="U41" i="36" s="1"/>
  <c r="AO372" i="38"/>
  <c r="AN37" i="36" s="1"/>
  <c r="T356" i="38"/>
  <c r="S21" i="36" s="1"/>
  <c r="AF358" i="38"/>
  <c r="AE23" i="36" s="1"/>
  <c r="AI353" i="38"/>
  <c r="AH18" i="36" s="1"/>
  <c r="AC357" i="38"/>
  <c r="AB22" i="36" s="1"/>
  <c r="T341" i="38"/>
  <c r="S6" i="36" s="1"/>
  <c r="Y372" i="38"/>
  <c r="X37" i="36" s="1"/>
  <c r="AB362" i="38"/>
  <c r="AA27" i="36" s="1"/>
  <c r="K372" i="38"/>
  <c r="J37" i="36" s="1"/>
  <c r="AC353" i="38"/>
  <c r="AB18" i="36" s="1"/>
  <c r="AH361" i="38"/>
  <c r="AG26" i="36" s="1"/>
  <c r="AI342" i="38"/>
  <c r="AH7" i="36" s="1"/>
  <c r="E367" i="38"/>
  <c r="D32" i="36" s="1"/>
  <c r="W373" i="38"/>
  <c r="V38" i="36" s="1"/>
  <c r="L355" i="38"/>
  <c r="K20" i="36" s="1"/>
  <c r="AF346" i="38"/>
  <c r="AE11" i="36" s="1"/>
  <c r="U365" i="38"/>
  <c r="T30" i="36" s="1"/>
  <c r="C371" i="38"/>
  <c r="B36" i="36" s="1"/>
  <c r="Q378" i="38"/>
  <c r="P43" i="36" s="1"/>
  <c r="L377" i="38"/>
  <c r="K42" i="36" s="1"/>
  <c r="AJ363" i="38"/>
  <c r="AI28" i="36" s="1"/>
  <c r="AG363" i="38"/>
  <c r="AF28" i="36" s="1"/>
  <c r="F341" i="38"/>
  <c r="E6" i="36" s="1"/>
  <c r="X360" i="38"/>
  <c r="W25" i="36" s="1"/>
  <c r="O343" i="38"/>
  <c r="N8" i="36" s="1"/>
  <c r="AN338" i="38"/>
  <c r="AM3" i="36" s="1"/>
  <c r="AA337" i="38"/>
  <c r="Z2" i="36" s="1"/>
  <c r="AC367" i="38"/>
  <c r="AB32" i="36" s="1"/>
  <c r="AB369" i="38"/>
  <c r="AA34" i="36" s="1"/>
  <c r="M339" i="38"/>
  <c r="L4" i="36" s="1"/>
  <c r="AO366" i="38"/>
  <c r="AN31" i="36" s="1"/>
  <c r="F353" i="38"/>
  <c r="E18" i="36" s="1"/>
  <c r="N360" i="38"/>
  <c r="M25" i="36" s="1"/>
  <c r="X363" i="38"/>
  <c r="W28" i="36" s="1"/>
  <c r="Y352" i="38"/>
  <c r="X17" i="36" s="1"/>
  <c r="AH342" i="38"/>
  <c r="AG7" i="36" s="1"/>
  <c r="S352" i="38"/>
  <c r="R17" i="36" s="1"/>
  <c r="F372" i="38"/>
  <c r="E37" i="36" s="1"/>
  <c r="AB354" i="38"/>
  <c r="AA19" i="36" s="1"/>
  <c r="AG365" i="38"/>
  <c r="AF30" i="36" s="1"/>
  <c r="O364" i="38"/>
  <c r="N29" i="36" s="1"/>
  <c r="G360" i="38"/>
  <c r="F25" i="36" s="1"/>
  <c r="AR363" i="38"/>
  <c r="AQ28" i="36" s="1"/>
  <c r="AO355" i="38"/>
  <c r="AN20" i="36" s="1"/>
  <c r="H377" i="38"/>
  <c r="G42" i="36" s="1"/>
  <c r="H344" i="38"/>
  <c r="G9" i="36" s="1"/>
  <c r="M365" i="38"/>
  <c r="L30" i="36" s="1"/>
  <c r="E368" i="38"/>
  <c r="D33" i="36" s="1"/>
  <c r="V366" i="38"/>
  <c r="U31" i="36" s="1"/>
  <c r="AG371" i="38"/>
  <c r="AF36" i="36" s="1"/>
  <c r="F369" i="38"/>
  <c r="E34" i="36" s="1"/>
  <c r="E355" i="38"/>
  <c r="D20" i="36" s="1"/>
  <c r="AM354" i="38"/>
  <c r="AL19" i="36" s="1"/>
  <c r="Z343" i="38"/>
  <c r="Y8" i="36" s="1"/>
  <c r="AJ368" i="38"/>
  <c r="AI33" i="36" s="1"/>
  <c r="F365" i="38"/>
  <c r="E30" i="36" s="1"/>
  <c r="AF365" i="38"/>
  <c r="AE30" i="36" s="1"/>
  <c r="G371" i="38"/>
  <c r="F36" i="36" s="1"/>
  <c r="T373" i="38"/>
  <c r="S38" i="36" s="1"/>
  <c r="AO374" i="38"/>
  <c r="AN39" i="36" s="1"/>
  <c r="W352" i="38"/>
  <c r="V17" i="36" s="1"/>
  <c r="T377" i="38"/>
  <c r="S42" i="36" s="1"/>
  <c r="S373" i="38"/>
  <c r="R38" i="36" s="1"/>
  <c r="Z351" i="38"/>
  <c r="Y16" i="36" s="1"/>
  <c r="W366" i="38"/>
  <c r="V31" i="36" s="1"/>
  <c r="M359" i="38"/>
  <c r="L24" i="36" s="1"/>
  <c r="AQ358" i="38"/>
  <c r="AP23" i="36" s="1"/>
  <c r="G340" i="38"/>
  <c r="F5" i="36" s="1"/>
  <c r="AM355" i="38"/>
  <c r="AL20" i="36" s="1"/>
  <c r="D358" i="38"/>
  <c r="C23" i="36" s="1"/>
  <c r="P363" i="38"/>
  <c r="O28" i="36" s="1"/>
  <c r="AG353" i="38"/>
  <c r="AF18" i="36" s="1"/>
  <c r="X349" i="38"/>
  <c r="W14" i="36" s="1"/>
  <c r="S341" i="38"/>
  <c r="R6" i="36" s="1"/>
  <c r="G357" i="38"/>
  <c r="F22" i="36" s="1"/>
  <c r="AJ361" i="38"/>
  <c r="AI26" i="36" s="1"/>
  <c r="X368" i="38"/>
  <c r="W33" i="36" s="1"/>
  <c r="AC348" i="38"/>
  <c r="AB13" i="36" s="1"/>
  <c r="AR338" i="38"/>
  <c r="AQ3" i="36" s="1"/>
  <c r="Q343" i="38"/>
  <c r="P8" i="36" s="1"/>
  <c r="Y339" i="38"/>
  <c r="X4" i="36" s="1"/>
  <c r="H368" i="38"/>
  <c r="G33" i="36" s="1"/>
  <c r="AO368" i="38"/>
  <c r="AN33" i="36" s="1"/>
  <c r="C364" i="38"/>
  <c r="B29" i="36" s="1"/>
  <c r="AN350" i="38"/>
  <c r="AM15" i="36" s="1"/>
  <c r="P356" i="38"/>
  <c r="O21" i="36" s="1"/>
  <c r="I352" i="38"/>
  <c r="H17" i="36" s="1"/>
  <c r="AO349" i="38"/>
  <c r="AN14" i="36" s="1"/>
  <c r="N347" i="38"/>
  <c r="M12" i="36" s="1"/>
  <c r="I343" i="38"/>
  <c r="H8" i="36" s="1"/>
  <c r="X355" i="38"/>
  <c r="W20" i="36" s="1"/>
  <c r="X366" i="38"/>
  <c r="W31" i="36" s="1"/>
  <c r="H374" i="38"/>
  <c r="G39" i="36" s="1"/>
  <c r="AQ360" i="38"/>
  <c r="AP25" i="36" s="1"/>
  <c r="Z339" i="38"/>
  <c r="Y4" i="36" s="1"/>
  <c r="R351" i="38"/>
  <c r="Q16" i="36" s="1"/>
  <c r="AE341" i="38"/>
  <c r="AD6" i="36" s="1"/>
  <c r="P366" i="38"/>
  <c r="O31" i="36" s="1"/>
  <c r="AH371" i="38"/>
  <c r="AG36" i="36" s="1"/>
  <c r="AE353" i="38"/>
  <c r="AD18" i="36" s="1"/>
  <c r="AD344" i="38"/>
  <c r="AC9" i="36" s="1"/>
  <c r="AF364" i="38"/>
  <c r="AE29" i="36" s="1"/>
  <c r="U370" i="38"/>
  <c r="T35" i="36" s="1"/>
  <c r="AJ377" i="38"/>
  <c r="AI42" i="36" s="1"/>
  <c r="AQ374" i="38"/>
  <c r="AP39" i="36" s="1"/>
  <c r="W375" i="38"/>
  <c r="V40" i="36" s="1"/>
  <c r="AG359" i="38"/>
  <c r="AF24" i="36" s="1"/>
  <c r="AC338" i="38"/>
  <c r="AB3" i="36" s="1"/>
  <c r="AP358" i="38"/>
  <c r="AO23" i="36" s="1"/>
  <c r="C341" i="38"/>
  <c r="B6" i="36" s="1"/>
  <c r="N338" i="38"/>
  <c r="M3" i="36" s="1"/>
  <c r="AD350" i="38"/>
  <c r="AC15" i="36" s="1"/>
  <c r="Z365" i="38"/>
  <c r="Y30" i="36" s="1"/>
  <c r="AE361" i="38"/>
  <c r="AD26" i="36" s="1"/>
  <c r="C338" i="38"/>
  <c r="B3" i="36" s="1"/>
  <c r="AE363" i="38"/>
  <c r="AD28" i="36" s="1"/>
  <c r="AP351" i="38"/>
  <c r="AO16" i="36" s="1"/>
  <c r="N358" i="38"/>
  <c r="M23" i="36" s="1"/>
  <c r="AR362" i="38"/>
  <c r="AQ27" i="36" s="1"/>
  <c r="E352" i="38"/>
  <c r="D17" i="36" s="1"/>
  <c r="AD337" i="38"/>
  <c r="AC2" i="36" s="1"/>
  <c r="N357" i="38"/>
  <c r="M22" i="36" s="1"/>
  <c r="AF344" i="38"/>
  <c r="AE9" i="36" s="1"/>
  <c r="K337" i="38"/>
  <c r="J2" i="36" s="1"/>
  <c r="X338" i="38"/>
  <c r="W3" i="36" s="1"/>
  <c r="W377" i="38"/>
  <c r="V42" i="36" s="1"/>
  <c r="T340" i="38"/>
  <c r="S5" i="36" s="1"/>
  <c r="AM377" i="38"/>
  <c r="AL42" i="36" s="1"/>
  <c r="N373" i="38"/>
  <c r="M38" i="36" s="1"/>
  <c r="X356" i="38"/>
  <c r="W21" i="36" s="1"/>
  <c r="AE338" i="38"/>
  <c r="AD3" i="36" s="1"/>
  <c r="AQ361" i="38"/>
  <c r="AP26" i="36" s="1"/>
  <c r="F373" i="38"/>
  <c r="E38" i="36" s="1"/>
  <c r="U372" i="38"/>
  <c r="T37" i="36" s="1"/>
  <c r="AO337" i="38"/>
  <c r="AN2" i="36" s="1"/>
  <c r="AI376" i="38"/>
  <c r="AH41" i="36" s="1"/>
  <c r="AA376" i="38"/>
  <c r="Z41" i="36" s="1"/>
  <c r="AE350" i="38"/>
  <c r="AD15" i="36" s="1"/>
  <c r="AI357" i="38"/>
  <c r="AH22" i="36" s="1"/>
  <c r="AE370" i="38"/>
  <c r="AD35" i="36" s="1"/>
  <c r="AF357" i="38"/>
  <c r="AE22" i="36" s="1"/>
  <c r="AK360" i="38"/>
  <c r="AJ25" i="36" s="1"/>
  <c r="AA345" i="38"/>
  <c r="Z10" i="36" s="1"/>
  <c r="AM358" i="38"/>
  <c r="AL23" i="36" s="1"/>
  <c r="G343" i="38"/>
  <c r="F8" i="36" s="1"/>
  <c r="D344" i="38"/>
  <c r="C9" i="36" s="1"/>
  <c r="AI362" i="38"/>
  <c r="AH27" i="36" s="1"/>
  <c r="O360" i="38"/>
  <c r="N25" i="36" s="1"/>
  <c r="AE357" i="38"/>
  <c r="AD22" i="36" s="1"/>
  <c r="AP359" i="38"/>
  <c r="AO24" i="36" s="1"/>
  <c r="X343" i="38"/>
  <c r="W8" i="36" s="1"/>
  <c r="AE372" i="38"/>
  <c r="AD37" i="36" s="1"/>
  <c r="AI341" i="38"/>
  <c r="AH6" i="36" s="1"/>
  <c r="V365" i="38"/>
  <c r="U30" i="36" s="1"/>
  <c r="AR340" i="38"/>
  <c r="AQ5" i="36" s="1"/>
  <c r="E349" i="38"/>
  <c r="D14" i="36" s="1"/>
  <c r="AP364" i="38"/>
  <c r="AO29" i="36" s="1"/>
  <c r="AH370" i="38"/>
  <c r="AG35" i="36" s="1"/>
  <c r="AI372" i="38"/>
  <c r="AH37" i="36" s="1"/>
  <c r="AC359" i="38"/>
  <c r="AB24" i="36" s="1"/>
  <c r="Y359" i="38"/>
  <c r="X24" i="36" s="1"/>
  <c r="H352" i="38"/>
  <c r="G17" i="36" s="1"/>
  <c r="D356" i="38"/>
  <c r="C21" i="36" s="1"/>
  <c r="C339" i="38"/>
  <c r="B4" i="36" s="1"/>
  <c r="X367" i="38"/>
  <c r="W32" i="36" s="1"/>
  <c r="R344" i="38"/>
  <c r="Q9" i="36" s="1"/>
  <c r="W337" i="38"/>
  <c r="V2" i="36" s="1"/>
  <c r="C353" i="38"/>
  <c r="B18" i="36" s="1"/>
  <c r="AJ370" i="38"/>
  <c r="AI35" i="36" s="1"/>
  <c r="N367" i="38"/>
  <c r="M32" i="36" s="1"/>
  <c r="AB358" i="38"/>
  <c r="AA23" i="36" s="1"/>
  <c r="C354" i="38"/>
  <c r="B19" i="36" s="1"/>
  <c r="I373" i="38"/>
  <c r="H38" i="36" s="1"/>
  <c r="AP349" i="38"/>
  <c r="AO14" i="36" s="1"/>
  <c r="D342" i="38"/>
  <c r="C7" i="36" s="1"/>
  <c r="AO353" i="38"/>
  <c r="AN18" i="36" s="1"/>
  <c r="AI365" i="38"/>
  <c r="AH30" i="36" s="1"/>
  <c r="K356" i="38"/>
  <c r="J21" i="36" s="1"/>
  <c r="K360" i="38"/>
  <c r="J25" i="36" s="1"/>
  <c r="Y378" i="38"/>
  <c r="X43" i="36" s="1"/>
  <c r="X350" i="38"/>
  <c r="W15" i="36" s="1"/>
  <c r="X340" i="38"/>
  <c r="W5" i="36" s="1"/>
  <c r="AA365" i="38"/>
  <c r="Z30" i="36" s="1"/>
  <c r="AR369" i="38"/>
  <c r="AQ34" i="36" s="1"/>
  <c r="AL352" i="38"/>
  <c r="AK17" i="36" s="1"/>
  <c r="AH343" i="38"/>
  <c r="AG8" i="36" s="1"/>
  <c r="I363" i="38"/>
  <c r="H28" i="36" s="1"/>
  <c r="AK369" i="38"/>
  <c r="AJ34" i="36" s="1"/>
  <c r="AD376" i="38"/>
  <c r="AC41" i="36" s="1"/>
  <c r="Q370" i="38"/>
  <c r="P35" i="36" s="1"/>
  <c r="AJ366" i="38"/>
  <c r="AI31" i="36" s="1"/>
  <c r="AI355" i="38"/>
  <c r="AH20" i="36" s="1"/>
  <c r="AC376" i="38"/>
  <c r="AB41" i="36" s="1"/>
  <c r="AC377" i="38"/>
  <c r="AB42" i="36" s="1"/>
  <c r="AJ339" i="38"/>
  <c r="AI4" i="36" s="1"/>
  <c r="AG369" i="38"/>
  <c r="AF34" i="36" s="1"/>
  <c r="AH347" i="38"/>
  <c r="AG12" i="36" s="1"/>
  <c r="AK362" i="38"/>
  <c r="AJ27" i="36" s="1"/>
  <c r="H361" i="38"/>
  <c r="G26" i="36" s="1"/>
  <c r="Q337" i="38"/>
  <c r="P2" i="36" s="1"/>
  <c r="L359" i="38"/>
  <c r="K24" i="36" s="1"/>
  <c r="S351" i="38"/>
  <c r="R16" i="36" s="1"/>
  <c r="AH356" i="38"/>
  <c r="AG21" i="36" s="1"/>
  <c r="W362" i="38"/>
  <c r="V27" i="36" s="1"/>
  <c r="M348" i="38"/>
  <c r="L13" i="36" s="1"/>
  <c r="Z347" i="38"/>
  <c r="Y12" i="36" s="1"/>
  <c r="G362" i="38"/>
  <c r="F27" i="36" s="1"/>
  <c r="AL378" i="38"/>
  <c r="AK43" i="36" s="1"/>
  <c r="AP341" i="38"/>
  <c r="AO6" i="36" s="1"/>
  <c r="N346" i="38"/>
  <c r="M11" i="36" s="1"/>
  <c r="AD374" i="38"/>
  <c r="AC39" i="36" s="1"/>
  <c r="AM372" i="38"/>
  <c r="AL37" i="36" s="1"/>
  <c r="AP363" i="38"/>
  <c r="AO28" i="36" s="1"/>
  <c r="AD345" i="38"/>
  <c r="AC10" i="36" s="1"/>
  <c r="V360" i="38"/>
  <c r="U25" i="36" s="1"/>
  <c r="AJ351" i="38"/>
  <c r="AI16" i="36" s="1"/>
  <c r="M376" i="38"/>
  <c r="L41" i="36" s="1"/>
  <c r="AH369" i="38"/>
  <c r="AG34" i="36" s="1"/>
  <c r="E378" i="38"/>
  <c r="D43" i="36" s="1"/>
  <c r="Z358" i="38"/>
  <c r="Y23" i="36" s="1"/>
  <c r="T362" i="38"/>
  <c r="S27" i="36" s="1"/>
  <c r="AB344" i="38"/>
  <c r="AA9" i="36" s="1"/>
  <c r="AF359" i="38"/>
  <c r="AE24" i="36" s="1"/>
  <c r="N344" i="38"/>
  <c r="M9" i="36" s="1"/>
  <c r="T337" i="38"/>
  <c r="S2" i="36" s="1"/>
  <c r="N364" i="38"/>
  <c r="M29" i="36" s="1"/>
  <c r="S360" i="38"/>
  <c r="R25" i="36" s="1"/>
  <c r="AA339" i="38"/>
  <c r="Z4" i="36" s="1"/>
  <c r="P359" i="38"/>
  <c r="O24" i="36" s="1"/>
  <c r="Z361" i="38"/>
  <c r="Y26" i="36" s="1"/>
  <c r="AF372" i="38"/>
  <c r="AE37" i="36" s="1"/>
  <c r="G350" i="38"/>
  <c r="F15" i="36" s="1"/>
  <c r="AL367" i="38"/>
  <c r="AK32" i="36" s="1"/>
  <c r="AG378" i="38"/>
  <c r="AF43" i="36" s="1"/>
  <c r="AO364" i="38"/>
  <c r="AN29" i="36" s="1"/>
  <c r="Y370" i="38"/>
  <c r="X35" i="36" s="1"/>
  <c r="AE367" i="38"/>
  <c r="AD32" i="36" s="1"/>
  <c r="P357" i="38"/>
  <c r="O22" i="36" s="1"/>
  <c r="X342" i="38"/>
  <c r="W7" i="36" s="1"/>
  <c r="AD341" i="38"/>
  <c r="AC6" i="36" s="1"/>
  <c r="N362" i="38"/>
  <c r="M27" i="36" s="1"/>
  <c r="AE368" i="38"/>
  <c r="AD33" i="36" s="1"/>
  <c r="K369" i="38"/>
  <c r="J34" i="36" s="1"/>
  <c r="AI377" i="38"/>
  <c r="AH42" i="36" s="1"/>
  <c r="G347" i="38"/>
  <c r="F12" i="36" s="1"/>
  <c r="AR367" i="38"/>
  <c r="AQ32" i="36" s="1"/>
  <c r="AR352" i="38"/>
  <c r="AQ17" i="36" s="1"/>
  <c r="S377" i="38"/>
  <c r="R42" i="36" s="1"/>
  <c r="M366" i="38"/>
  <c r="L31" i="36" s="1"/>
  <c r="Y371" i="38"/>
  <c r="X36" i="36" s="1"/>
  <c r="AN362" i="38"/>
  <c r="AM27" i="36" s="1"/>
  <c r="AM338" i="38"/>
  <c r="AL3" i="36" s="1"/>
  <c r="AM339" i="38"/>
  <c r="AL4" i="36" s="1"/>
  <c r="AI360" i="38"/>
  <c r="AH25" i="36" s="1"/>
  <c r="I345" i="38"/>
  <c r="H10" i="36" s="1"/>
  <c r="AO376" i="38"/>
  <c r="AN41" i="36" s="1"/>
  <c r="L353" i="38"/>
  <c r="K18" i="36" s="1"/>
  <c r="AK350" i="38"/>
  <c r="AJ15" i="36" s="1"/>
  <c r="C358" i="38"/>
  <c r="B23" i="36" s="1"/>
  <c r="S338" i="38"/>
  <c r="R3" i="36" s="1"/>
  <c r="H345" i="38"/>
  <c r="G10" i="36" s="1"/>
  <c r="AQ364" i="38"/>
  <c r="AP29" i="36" s="1"/>
  <c r="W351" i="38"/>
  <c r="V16" i="36" s="1"/>
  <c r="R359" i="38"/>
  <c r="Q24" i="36" s="1"/>
  <c r="U377" i="38"/>
  <c r="T42" i="36" s="1"/>
  <c r="AF349" i="38"/>
  <c r="AE14" i="36" s="1"/>
  <c r="D338" i="38"/>
  <c r="C3" i="36" s="1"/>
  <c r="AL364" i="38"/>
  <c r="AK29" i="36" s="1"/>
  <c r="M363" i="38"/>
  <c r="L28" i="36" s="1"/>
  <c r="F352" i="38"/>
  <c r="E17" i="36" s="1"/>
  <c r="AM337" i="38"/>
  <c r="AL2" i="36" s="1"/>
  <c r="AO359" i="38"/>
  <c r="AN24" i="36" s="1"/>
  <c r="R368" i="38"/>
  <c r="Q33" i="36" s="1"/>
  <c r="AJ369" i="38"/>
  <c r="AI34" i="36" s="1"/>
  <c r="C369" i="38"/>
  <c r="B34" i="36" s="1"/>
  <c r="Z356" i="38"/>
  <c r="Y21" i="36" s="1"/>
  <c r="J350" i="38"/>
  <c r="I15" i="36" s="1"/>
  <c r="Y375" i="38"/>
  <c r="X40" i="36" s="1"/>
  <c r="F377" i="38"/>
  <c r="E42" i="36" s="1"/>
  <c r="Z338" i="38"/>
  <c r="Y3" i="36" s="1"/>
  <c r="L369" i="38"/>
  <c r="K34" i="36" s="1"/>
  <c r="I347" i="38"/>
  <c r="H12" i="36" s="1"/>
  <c r="M362" i="38"/>
  <c r="L27" i="36" s="1"/>
  <c r="C360" i="38"/>
  <c r="B25" i="36" s="1"/>
  <c r="T372" i="38"/>
  <c r="S37" i="36" s="1"/>
  <c r="AB378" i="38"/>
  <c r="AA43" i="36" s="1"/>
  <c r="W341" i="38"/>
  <c r="V6" i="36" s="1"/>
  <c r="AH355" i="38"/>
  <c r="AG20" i="36" s="1"/>
  <c r="AR361" i="38"/>
  <c r="AQ26" i="36" s="1"/>
  <c r="M338" i="38"/>
  <c r="L3" i="36" s="1"/>
  <c r="AA341" i="38"/>
  <c r="Z6" i="36" s="1"/>
  <c r="AE359" i="38"/>
  <c r="AD24" i="36" s="1"/>
  <c r="V352" i="38"/>
  <c r="U17" i="36" s="1"/>
  <c r="AB372" i="38"/>
  <c r="AA37" i="36" s="1"/>
  <c r="L348" i="38"/>
  <c r="K13" i="36" s="1"/>
  <c r="K366" i="38"/>
  <c r="J31" i="36" s="1"/>
  <c r="AD342" i="38"/>
  <c r="AC7" i="36" s="1"/>
  <c r="G363" i="38"/>
  <c r="F28" i="36" s="1"/>
  <c r="W338" i="38"/>
  <c r="V3" i="36" s="1"/>
  <c r="AC378" i="38"/>
  <c r="AB43" i="36" s="1"/>
  <c r="AK374" i="38"/>
  <c r="AJ39" i="36" s="1"/>
  <c r="Y343" i="38"/>
  <c r="X8" i="36" s="1"/>
  <c r="L362" i="38"/>
  <c r="K27" i="36" s="1"/>
  <c r="N348" i="38"/>
  <c r="M13" i="36" s="1"/>
  <c r="AC368" i="38"/>
  <c r="AB33" i="36" s="1"/>
  <c r="AR345" i="38"/>
  <c r="AQ10" i="36" s="1"/>
  <c r="AF340" i="38"/>
  <c r="AE5" i="36" s="1"/>
  <c r="AA359" i="38"/>
  <c r="Z24" i="36" s="1"/>
  <c r="AC346" i="38"/>
  <c r="AB11" i="36" s="1"/>
  <c r="F364" i="38"/>
  <c r="E29" i="36" s="1"/>
  <c r="E358" i="38"/>
  <c r="D23" i="36" s="1"/>
  <c r="AO339" i="38"/>
  <c r="AN4" i="36" s="1"/>
  <c r="O349" i="38"/>
  <c r="N14" i="36" s="1"/>
  <c r="S344" i="38"/>
  <c r="R9" i="36" s="1"/>
  <c r="D372" i="38"/>
  <c r="C37" i="36" s="1"/>
  <c r="Y344" i="38"/>
  <c r="X9" i="36" s="1"/>
  <c r="W371" i="38"/>
  <c r="V36" i="36" s="1"/>
  <c r="Z344" i="38"/>
  <c r="Y9" i="36" s="1"/>
  <c r="Y346" i="38"/>
  <c r="X11" i="36" s="1"/>
  <c r="R370" i="38"/>
  <c r="Q35" i="36" s="1"/>
  <c r="AF352" i="38"/>
  <c r="AE17" i="36" s="1"/>
  <c r="V374" i="38"/>
  <c r="U39" i="36" s="1"/>
  <c r="C352" i="38"/>
  <c r="B17" i="36" s="1"/>
  <c r="AP373" i="38"/>
  <c r="AO38" i="36" s="1"/>
  <c r="K351" i="38"/>
  <c r="J16" i="36" s="1"/>
  <c r="Z341" i="38"/>
  <c r="Y6" i="36" s="1"/>
  <c r="D367" i="38"/>
  <c r="C32" i="36" s="1"/>
  <c r="C373" i="38"/>
  <c r="B38" i="36" s="1"/>
  <c r="AF353" i="38"/>
  <c r="AE18" i="36" s="1"/>
  <c r="C374" i="38"/>
  <c r="B39" i="36" s="1"/>
  <c r="AN343" i="38"/>
  <c r="AM8" i="36" s="1"/>
  <c r="AD370" i="38"/>
  <c r="AC35" i="36" s="1"/>
  <c r="AP360" i="38"/>
  <c r="AO25" i="36" s="1"/>
  <c r="AI340" i="38"/>
  <c r="AH5" i="36" s="1"/>
  <c r="AR343" i="38"/>
  <c r="AQ8" i="36" s="1"/>
  <c r="AP367" i="38"/>
  <c r="AO32" i="36" s="1"/>
  <c r="AL357" i="38"/>
  <c r="AK22" i="36" s="1"/>
  <c r="AG350" i="38"/>
  <c r="AF15" i="36" s="1"/>
  <c r="N371" i="38"/>
  <c r="M36" i="36" s="1"/>
  <c r="D347" i="38"/>
  <c r="C12" i="36" s="1"/>
  <c r="C368" i="38"/>
  <c r="B33" i="36" s="1"/>
  <c r="F361" i="38"/>
  <c r="E26" i="36" s="1"/>
  <c r="Z372" i="38"/>
  <c r="Y37" i="36" s="1"/>
  <c r="AH378" i="38"/>
  <c r="AG43" i="36" s="1"/>
  <c r="AK358" i="38"/>
  <c r="AJ23" i="36" s="1"/>
  <c r="K345" i="38"/>
  <c r="J10" i="36" s="1"/>
  <c r="AR355" i="38"/>
  <c r="AQ20" i="36" s="1"/>
  <c r="Y365" i="38"/>
  <c r="X30" i="36" s="1"/>
  <c r="N349" i="38"/>
  <c r="M14" i="36" s="1"/>
  <c r="D351" i="38"/>
  <c r="C16" i="36" s="1"/>
  <c r="AG356" i="38"/>
  <c r="AF21" i="36" s="1"/>
  <c r="AO361" i="38"/>
  <c r="AN26" i="36" s="1"/>
  <c r="Y340" i="38"/>
  <c r="X5" i="36" s="1"/>
  <c r="J364" i="38"/>
  <c r="I29" i="36" s="1"/>
  <c r="AM371" i="38"/>
  <c r="AL36" i="36" s="1"/>
  <c r="H342" i="38"/>
  <c r="G7" i="36" s="1"/>
  <c r="AK348" i="38"/>
  <c r="AJ13" i="36" s="1"/>
  <c r="G376" i="38"/>
  <c r="F41" i="36" s="1"/>
  <c r="AF367" i="38"/>
  <c r="AE32" i="36" s="1"/>
  <c r="E360" i="38"/>
  <c r="D25" i="36" s="1"/>
  <c r="AJ342" i="38"/>
  <c r="AI7" i="36" s="1"/>
  <c r="U351" i="38"/>
  <c r="T16" i="36" s="1"/>
  <c r="X377" i="38"/>
  <c r="W42" i="36" s="1"/>
  <c r="AH358" i="38"/>
  <c r="AG23" i="36" s="1"/>
  <c r="J343" i="38"/>
  <c r="I8" i="36" s="1"/>
  <c r="AP339" i="38"/>
  <c r="AO4" i="36" s="1"/>
  <c r="O350" i="38"/>
  <c r="N15" i="36" s="1"/>
  <c r="T349" i="38"/>
  <c r="S14" i="36" s="1"/>
  <c r="AE340" i="38"/>
  <c r="AD5" i="36" s="1"/>
  <c r="R352" i="38"/>
  <c r="Q17" i="36" s="1"/>
  <c r="I354" i="38"/>
  <c r="H19" i="36" s="1"/>
  <c r="AP370" i="38"/>
  <c r="AO35" i="36" s="1"/>
  <c r="E342" i="38"/>
  <c r="D7" i="36" s="1"/>
  <c r="I360" i="38"/>
  <c r="H25" i="36" s="1"/>
  <c r="AR353" i="38"/>
  <c r="AQ18" i="36" s="1"/>
  <c r="V337" i="38"/>
  <c r="U2" i="36" s="1"/>
  <c r="M349" i="38"/>
  <c r="L14" i="36" s="1"/>
  <c r="AE366" i="38"/>
  <c r="AD31" i="36" s="1"/>
  <c r="M343" i="38"/>
  <c r="L8" i="36" s="1"/>
  <c r="AD363" i="38"/>
  <c r="AC28" i="36" s="1"/>
  <c r="E345" i="38"/>
  <c r="D10" i="36" s="1"/>
  <c r="I337" i="38"/>
  <c r="H2" i="36" s="1"/>
  <c r="AI375" i="38"/>
  <c r="AH40" i="36" s="1"/>
  <c r="G344" i="38"/>
  <c r="F9" i="36" s="1"/>
  <c r="Q363" i="38"/>
  <c r="P28" i="36" s="1"/>
  <c r="AM348" i="38"/>
  <c r="AL13" i="36" s="1"/>
  <c r="H369" i="38"/>
  <c r="G34" i="36" s="1"/>
  <c r="H347" i="38"/>
  <c r="G12" i="36" s="1"/>
  <c r="O341" i="38"/>
  <c r="N6" i="36" s="1"/>
  <c r="H360" i="38"/>
  <c r="G25" i="36" s="1"/>
  <c r="K347" i="38"/>
  <c r="J12" i="36" s="1"/>
  <c r="AE365" i="38"/>
  <c r="AD30" i="36" s="1"/>
  <c r="AL358" i="38"/>
  <c r="AK23" i="36" s="1"/>
  <c r="H341" i="38"/>
  <c r="G6" i="36" s="1"/>
  <c r="AL351" i="38"/>
  <c r="AK16" i="36" s="1"/>
  <c r="Q345" i="38"/>
  <c r="P10" i="36" s="1"/>
  <c r="K373" i="38"/>
  <c r="J38" i="36" s="1"/>
  <c r="K350" i="38"/>
  <c r="J15" i="36" s="1"/>
  <c r="V375" i="38"/>
  <c r="U40" i="36" s="1"/>
  <c r="Z345" i="38"/>
  <c r="Y10" i="36" s="1"/>
  <c r="Y347" i="38"/>
  <c r="X12" i="36" s="1"/>
  <c r="AR370" i="38"/>
  <c r="AQ35" i="36" s="1"/>
  <c r="Z353" i="38"/>
  <c r="Y18" i="36" s="1"/>
  <c r="AE376" i="38"/>
  <c r="AD41" i="36" s="1"/>
  <c r="AG352" i="38"/>
  <c r="AF17" i="36" s="1"/>
  <c r="E375" i="38"/>
  <c r="D40" i="36" s="1"/>
  <c r="D352" i="38"/>
  <c r="C17" i="36" s="1"/>
  <c r="AF342" i="38"/>
  <c r="AE7" i="36" s="1"/>
  <c r="W368" i="38"/>
  <c r="V33" i="36" s="1"/>
  <c r="R376" i="38"/>
  <c r="Q41" i="36" s="1"/>
  <c r="X354" i="38"/>
  <c r="W19" i="36" s="1"/>
  <c r="N376" i="38"/>
  <c r="M41" i="36" s="1"/>
  <c r="AJ345" i="38"/>
  <c r="AI10" i="36" s="1"/>
  <c r="AK375" i="38"/>
  <c r="AJ40" i="36" s="1"/>
  <c r="AG361" i="38"/>
  <c r="AF26" i="36" s="1"/>
  <c r="AN342" i="38"/>
  <c r="AM7" i="36" s="1"/>
  <c r="C345" i="38"/>
  <c r="B10" i="36" s="1"/>
  <c r="AA368" i="38"/>
  <c r="Z33" i="36" s="1"/>
  <c r="S359" i="38"/>
  <c r="R24" i="36" s="1"/>
  <c r="X351" i="38"/>
  <c r="W16" i="36" s="1"/>
  <c r="V372" i="38"/>
  <c r="U37" i="36" s="1"/>
  <c r="F348" i="38"/>
  <c r="E13" i="36" s="1"/>
  <c r="V369" i="38"/>
  <c r="U34" i="36" s="1"/>
  <c r="W369" i="38"/>
  <c r="V34" i="36" s="1"/>
  <c r="U367" i="38"/>
  <c r="T32" i="36" s="1"/>
  <c r="L337" i="38"/>
  <c r="K2" i="36" s="1"/>
  <c r="Z359" i="38"/>
  <c r="Y24" i="36" s="1"/>
  <c r="AK354" i="38"/>
  <c r="AJ19" i="36" s="1"/>
  <c r="C363" i="38"/>
  <c r="B28" i="36" s="1"/>
  <c r="P340" i="38"/>
  <c r="O5" i="36" s="1"/>
  <c r="AR337" i="38"/>
  <c r="AQ2" i="36" s="1"/>
  <c r="AL338" i="38"/>
  <c r="AK3" i="36" s="1"/>
  <c r="AH368" i="38"/>
  <c r="AG33" i="36" s="1"/>
  <c r="U375" i="38"/>
  <c r="T40" i="36" s="1"/>
  <c r="O373" i="38"/>
  <c r="N38" i="36" s="1"/>
  <c r="R354" i="38"/>
  <c r="Q19" i="36" s="1"/>
  <c r="AD357" i="38"/>
  <c r="AC22" i="36" s="1"/>
  <c r="N352" i="38"/>
  <c r="M17" i="36" s="1"/>
  <c r="V355" i="38"/>
  <c r="U20" i="36" s="1"/>
  <c r="M346" i="38"/>
  <c r="L11" i="36" s="1"/>
  <c r="G368" i="38"/>
  <c r="F33" i="36" s="1"/>
  <c r="AB356" i="38"/>
  <c r="AA21" i="36" s="1"/>
  <c r="H359" i="38"/>
  <c r="G24" i="36" s="1"/>
  <c r="AB349" i="38"/>
  <c r="AA14" i="36" s="1"/>
  <c r="AO356" i="38"/>
  <c r="AN21" i="36" s="1"/>
  <c r="I367" i="38"/>
  <c r="H32" i="36" s="1"/>
  <c r="G374" i="38"/>
  <c r="F39" i="36" s="1"/>
  <c r="I353" i="38"/>
  <c r="H18" i="36" s="1"/>
  <c r="G365" i="38"/>
  <c r="F30" i="36" s="1"/>
  <c r="AI374" i="38"/>
  <c r="AH39" i="36" s="1"/>
  <c r="AM345" i="38"/>
  <c r="AL10" i="36" s="1"/>
  <c r="AN355" i="38"/>
  <c r="AM20" i="36" s="1"/>
  <c r="AB368" i="38"/>
  <c r="AA33" i="36" s="1"/>
  <c r="AR348" i="38"/>
  <c r="AQ13" i="36" s="1"/>
  <c r="M337" i="38"/>
  <c r="L2" i="36" s="1"/>
  <c r="AF377" i="38"/>
  <c r="AE42" i="36" s="1"/>
  <c r="C343" i="38"/>
  <c r="B8" i="36" s="1"/>
  <c r="AA361" i="38"/>
  <c r="Z26" i="36" s="1"/>
  <c r="W354" i="38"/>
  <c r="V19" i="36" s="1"/>
  <c r="AQ337" i="38"/>
  <c r="AP2" i="36" s="1"/>
  <c r="M350" i="38"/>
  <c r="L15" i="36" s="1"/>
  <c r="P338" i="38"/>
  <c r="O3" i="36" s="1"/>
  <c r="J346" i="38"/>
  <c r="I11" i="36" s="1"/>
  <c r="K364" i="38"/>
  <c r="J29" i="36" s="1"/>
  <c r="AJ346" i="38"/>
  <c r="AI11" i="36" s="1"/>
  <c r="AO340" i="38"/>
  <c r="AN5" i="36" s="1"/>
  <c r="I378" i="38"/>
  <c r="H43" i="36" s="1"/>
  <c r="N345" i="38"/>
  <c r="M10" i="36" s="1"/>
  <c r="V364" i="38"/>
  <c r="U29" i="36" s="1"/>
  <c r="H351" i="38"/>
  <c r="G16" i="36" s="1"/>
  <c r="AC370" i="38"/>
  <c r="AB35" i="36" s="1"/>
  <c r="Z337" i="38"/>
  <c r="Y2" i="36" s="1"/>
  <c r="AN341" i="38"/>
  <c r="AM6" i="36" s="1"/>
  <c r="M361" i="38"/>
  <c r="L26" i="36" s="1"/>
  <c r="AK347" i="38"/>
  <c r="AJ12" i="36" s="1"/>
  <c r="AH367" i="38"/>
  <c r="AG32" i="36" s="1"/>
  <c r="AD359" i="38"/>
  <c r="AC24" i="36" s="1"/>
  <c r="N342" i="38"/>
  <c r="M7" i="36" s="1"/>
  <c r="L354" i="38"/>
  <c r="K19" i="36" s="1"/>
  <c r="L349" i="38"/>
  <c r="K14" i="36" s="1"/>
  <c r="AH373" i="38"/>
  <c r="AG38" i="36" s="1"/>
  <c r="S353" i="38"/>
  <c r="R18" i="36" s="1"/>
  <c r="O342" i="38"/>
  <c r="N7" i="36" s="1"/>
  <c r="X347" i="38"/>
  <c r="W12" i="36" s="1"/>
  <c r="R349" i="38"/>
  <c r="Q14" i="36" s="1"/>
  <c r="Z371" i="38"/>
  <c r="Y36" i="36" s="1"/>
  <c r="P354" i="38"/>
  <c r="O19" i="36" s="1"/>
  <c r="AK377" i="38"/>
  <c r="AJ42" i="36" s="1"/>
  <c r="AA353" i="38"/>
  <c r="Z18" i="36" s="1"/>
  <c r="O377" i="38"/>
  <c r="N42" i="36" s="1"/>
  <c r="AK352" i="38"/>
  <c r="AJ17" i="36" s="1"/>
  <c r="AI343" i="38"/>
  <c r="AH8" i="36" s="1"/>
  <c r="J369" i="38"/>
  <c r="I34" i="36" s="1"/>
  <c r="I344" i="38"/>
  <c r="H9" i="36" s="1"/>
  <c r="N355" i="38"/>
  <c r="M20" i="36" s="1"/>
  <c r="R377" i="38"/>
  <c r="Q42" i="36" s="1"/>
  <c r="AN346" i="38"/>
  <c r="AM11" i="36" s="1"/>
  <c r="E337" i="38"/>
  <c r="D2" i="36" s="1"/>
  <c r="O363" i="38"/>
  <c r="N28" i="36" s="1"/>
  <c r="F345" i="38"/>
  <c r="E10" i="36" s="1"/>
  <c r="AP346" i="38"/>
  <c r="AO11" i="36" s="1"/>
  <c r="Q369" i="38"/>
  <c r="P34" i="36" s="1"/>
  <c r="C361" i="38"/>
  <c r="B26" i="36" s="1"/>
  <c r="O352" i="38"/>
  <c r="N17" i="36" s="1"/>
  <c r="D373" i="38"/>
  <c r="C38" i="36" s="1"/>
  <c r="AM349" i="38"/>
  <c r="AL14" i="36" s="1"/>
  <c r="G370" i="38"/>
  <c r="F35" i="36" s="1"/>
  <c r="AP371" i="38"/>
  <c r="AO36" i="36" s="1"/>
  <c r="F354" i="38"/>
  <c r="E19" i="36" s="1"/>
  <c r="I348" i="38"/>
  <c r="H13" i="36" s="1"/>
  <c r="I342" i="38"/>
  <c r="H7" i="36" s="1"/>
  <c r="O344" i="38"/>
  <c r="N9" i="36" s="1"/>
  <c r="AQ338" i="38"/>
  <c r="AP3" i="36" s="1"/>
  <c r="S347" i="38"/>
  <c r="R12" i="36" s="1"/>
  <c r="I349" i="38"/>
  <c r="H14" i="36" s="1"/>
  <c r="W346" i="38"/>
  <c r="V11" i="36" s="1"/>
  <c r="I372" i="38"/>
  <c r="H37" i="36" s="1"/>
  <c r="E364" i="38"/>
  <c r="D29" i="36" s="1"/>
  <c r="F362" i="38"/>
  <c r="E27" i="36" s="1"/>
  <c r="AA352" i="38"/>
  <c r="Z17" i="36" s="1"/>
  <c r="J358" i="38"/>
  <c r="I23" i="36" s="1"/>
  <c r="X357" i="38"/>
  <c r="W22" i="36" s="1"/>
  <c r="AQ378" i="38"/>
  <c r="AP43" i="36" s="1"/>
  <c r="X370" i="38"/>
  <c r="W35" i="36" s="1"/>
  <c r="W378" i="38"/>
  <c r="V43" i="36" s="1"/>
  <c r="AC365" i="38"/>
  <c r="AB30" i="36" s="1"/>
  <c r="AJ371" i="38"/>
  <c r="AI36" i="36" s="1"/>
  <c r="S376" i="38"/>
  <c r="R41" i="36" s="1"/>
  <c r="AM340" i="38"/>
  <c r="AL5" i="36" s="1"/>
  <c r="J361" i="38"/>
  <c r="I26" i="36" s="1"/>
  <c r="AI354" i="38"/>
  <c r="AH19" i="36" s="1"/>
  <c r="Y353" i="38"/>
  <c r="X18" i="36" s="1"/>
  <c r="S358" i="38"/>
  <c r="R23" i="36" s="1"/>
  <c r="Q351" i="38"/>
  <c r="P16" i="36" s="1"/>
  <c r="AM357" i="38"/>
  <c r="AL22" i="36" s="1"/>
  <c r="AF373" i="38"/>
  <c r="AE38" i="36" s="1"/>
  <c r="F337" i="38"/>
  <c r="E2" i="36" s="1"/>
  <c r="AN367" i="38"/>
  <c r="AM32" i="36" s="1"/>
  <c r="AC341" i="38"/>
  <c r="AB6" i="36" s="1"/>
  <c r="L357" i="38"/>
  <c r="K22" i="36" s="1"/>
  <c r="L367" i="38"/>
  <c r="K32" i="36" s="1"/>
  <c r="AQ343" i="38"/>
  <c r="AP8" i="36" s="1"/>
  <c r="E362" i="38"/>
  <c r="D27" i="36" s="1"/>
  <c r="AR354" i="38"/>
  <c r="AQ19" i="36" s="1"/>
  <c r="V338" i="38"/>
  <c r="U3" i="36" s="1"/>
  <c r="M351" i="38"/>
  <c r="L16" i="36" s="1"/>
  <c r="P339" i="38"/>
  <c r="O4" i="36" s="1"/>
  <c r="AI346" i="38"/>
  <c r="AH11" i="36" s="1"/>
  <c r="O365" i="38"/>
  <c r="N30" i="36" s="1"/>
  <c r="C348" i="38"/>
  <c r="B13" i="36" s="1"/>
  <c r="X341" i="38"/>
  <c r="W6" i="36" s="1"/>
  <c r="N337" i="38"/>
  <c r="M2" i="36" s="1"/>
  <c r="AN345" i="38"/>
  <c r="AM10" i="36" s="1"/>
  <c r="C365" i="38"/>
  <c r="B30" i="36" s="1"/>
  <c r="L352" i="38"/>
  <c r="K17" i="36" s="1"/>
  <c r="AC371" i="38"/>
  <c r="AB36" i="36" s="1"/>
  <c r="J338" i="38"/>
  <c r="I3" i="36" s="1"/>
  <c r="M344" i="38"/>
  <c r="L9" i="36" s="1"/>
  <c r="V363" i="38"/>
  <c r="U28" i="36" s="1"/>
  <c r="C349" i="38"/>
  <c r="B14" i="36" s="1"/>
  <c r="M368" i="38"/>
  <c r="L33" i="36" s="1"/>
  <c r="U360" i="38"/>
  <c r="T25" i="36" s="1"/>
  <c r="S346" i="38"/>
  <c r="R11" i="36" s="1"/>
  <c r="AJ355" i="38"/>
  <c r="AI20" i="36" s="1"/>
  <c r="AP350" i="38"/>
  <c r="AO15" i="36" s="1"/>
  <c r="AN374" i="38"/>
  <c r="AM39" i="36" s="1"/>
  <c r="AQ354" i="38"/>
  <c r="AP19" i="36" s="1"/>
  <c r="C351" i="38"/>
  <c r="B16" i="36" s="1"/>
  <c r="P349" i="38"/>
  <c r="O14" i="36" s="1"/>
  <c r="E351" i="38"/>
  <c r="D16" i="36" s="1"/>
  <c r="J372" i="38"/>
  <c r="I37" i="36" s="1"/>
  <c r="AF356" i="38"/>
  <c r="AE21" i="36" s="1"/>
  <c r="S378" i="38"/>
  <c r="R43" i="36" s="1"/>
  <c r="J355" i="38"/>
  <c r="I20" i="36" s="1"/>
  <c r="T378" i="38"/>
  <c r="S43" i="36" s="1"/>
  <c r="AB353" i="38"/>
  <c r="AA18" i="36" s="1"/>
  <c r="AH345" i="38"/>
  <c r="AG10" i="36" s="1"/>
  <c r="AP369" i="38"/>
  <c r="AO34" i="36" s="1"/>
  <c r="AQ357" i="38"/>
  <c r="AP22" i="36" s="1"/>
  <c r="AN356" i="38"/>
  <c r="AM21" i="36" s="1"/>
  <c r="AP377" i="38"/>
  <c r="AO42" i="36" s="1"/>
  <c r="AN347" i="38"/>
  <c r="AM12" i="36" s="1"/>
  <c r="E338" i="38"/>
  <c r="D3" i="36" s="1"/>
  <c r="AN364" i="38"/>
  <c r="AM29" i="36" s="1"/>
  <c r="AN348" i="38"/>
  <c r="AM13" i="36" s="1"/>
  <c r="AP347" i="38"/>
  <c r="AO12" i="36" s="1"/>
  <c r="AB370" i="38"/>
  <c r="AA35" i="36" s="1"/>
  <c r="AC362" i="38"/>
  <c r="AB27" i="36" s="1"/>
  <c r="AL353" i="38"/>
  <c r="AK18" i="36" s="1"/>
  <c r="M375" i="38"/>
  <c r="L40" i="36" s="1"/>
  <c r="AI350" i="38"/>
  <c r="AH15" i="36" s="1"/>
  <c r="O371" i="38"/>
  <c r="N36" i="36" s="1"/>
  <c r="Q375" i="38"/>
  <c r="P40" i="36" s="1"/>
  <c r="Y369" i="38"/>
  <c r="X34" i="36" s="1"/>
  <c r="V356" i="38"/>
  <c r="U21" i="36" s="1"/>
  <c r="AO375" i="38"/>
  <c r="AN40" i="36" s="1"/>
  <c r="K353" i="38"/>
  <c r="J18" i="36" s="1"/>
  <c r="U344" i="38"/>
  <c r="T9" i="36" s="1"/>
  <c r="AH351" i="38"/>
  <c r="AG16" i="36" s="1"/>
  <c r="AK365" i="38"/>
  <c r="AJ30" i="36" s="1"/>
  <c r="K346" i="38"/>
  <c r="J11" i="36" s="1"/>
  <c r="V354" i="38"/>
  <c r="U19" i="36" s="1"/>
  <c r="AL344" i="38"/>
  <c r="AK9" i="36" s="1"/>
  <c r="H350" i="38"/>
  <c r="G15" i="36" s="1"/>
  <c r="T357" i="38"/>
  <c r="S22" i="36" s="1"/>
  <c r="AK359" i="38"/>
  <c r="AJ24" i="36" s="1"/>
  <c r="AN351" i="38"/>
  <c r="AM16" i="36" s="1"/>
  <c r="AP378" i="38"/>
  <c r="AO43" i="36" s="1"/>
  <c r="AH346" i="38"/>
  <c r="AG11" i="36" s="1"/>
  <c r="AF348" i="38"/>
  <c r="AE13" i="36" s="1"/>
  <c r="AJ348" i="38"/>
  <c r="AI13" i="36" s="1"/>
  <c r="Y351" i="38"/>
  <c r="X16" i="36" s="1"/>
  <c r="I357" i="38"/>
  <c r="H22" i="36" s="1"/>
  <c r="J339" i="38"/>
  <c r="I4" i="36" s="1"/>
  <c r="AE360" i="38"/>
  <c r="AD25" i="36" s="1"/>
  <c r="D368" i="38"/>
  <c r="C33" i="36" s="1"/>
  <c r="U355" i="38"/>
  <c r="T20" i="36" s="1"/>
  <c r="J374" i="38"/>
  <c r="I39" i="36" s="1"/>
  <c r="AR358" i="38"/>
  <c r="AQ23" i="36" s="1"/>
  <c r="AD353" i="38"/>
  <c r="AC18" i="36" s="1"/>
  <c r="Z374" i="38"/>
  <c r="Y39" i="36" s="1"/>
  <c r="K365" i="38"/>
  <c r="J30" i="36" s="1"/>
  <c r="AO344" i="38"/>
  <c r="AN9" i="36" s="1"/>
  <c r="AQ363" i="38"/>
  <c r="AP28" i="36" s="1"/>
  <c r="AR357" i="38"/>
  <c r="AQ22" i="36" s="1"/>
  <c r="V339" i="38"/>
  <c r="U4" i="36" s="1"/>
  <c r="M353" i="38"/>
  <c r="L18" i="36" s="1"/>
  <c r="P341" i="38"/>
  <c r="O6" i="36" s="1"/>
  <c r="Z348" i="38"/>
  <c r="Y13" i="36" s="1"/>
  <c r="Q366" i="38"/>
  <c r="P31" i="36" s="1"/>
  <c r="AM350" i="38"/>
  <c r="AL15" i="36" s="1"/>
  <c r="T347" i="38"/>
  <c r="S12" i="36" s="1"/>
  <c r="AA338" i="38"/>
  <c r="Z3" i="36" s="1"/>
  <c r="AC347" i="38"/>
  <c r="AB12" i="36" s="1"/>
  <c r="E366" i="38"/>
  <c r="D31" i="36" s="1"/>
  <c r="D355" i="38"/>
  <c r="C20" i="36" s="1"/>
  <c r="AD372" i="38"/>
  <c r="AC37" i="36" s="1"/>
  <c r="W339" i="38"/>
  <c r="V4" i="36" s="1"/>
  <c r="U345" i="38"/>
  <c r="T10" i="36" s="1"/>
  <c r="AB364" i="38"/>
  <c r="AA29" i="36" s="1"/>
  <c r="N351" i="38"/>
  <c r="M16" i="36" s="1"/>
  <c r="M369" i="38"/>
  <c r="L34" i="36" s="1"/>
  <c r="AL362" i="38"/>
  <c r="AK27" i="36" s="1"/>
  <c r="AR350" i="38"/>
  <c r="AQ15" i="36" s="1"/>
  <c r="AE369" i="38"/>
  <c r="AD34" i="36" s="1"/>
  <c r="O353" i="38"/>
  <c r="N18" i="36" s="1"/>
  <c r="Z376" i="38"/>
  <c r="Y41" i="36" s="1"/>
  <c r="Y367" i="38"/>
  <c r="X32" i="36" s="1"/>
  <c r="Z364" i="38"/>
  <c r="Y29" i="36" s="1"/>
  <c r="AK355" i="38"/>
  <c r="AJ20" i="36" s="1"/>
  <c r="AE352" i="38"/>
  <c r="AD17" i="36" s="1"/>
  <c r="Z375" i="38"/>
  <c r="Y40" i="36" s="1"/>
  <c r="G359" i="38"/>
  <c r="F24" i="36" s="1"/>
  <c r="AI356" i="38"/>
  <c r="AH21" i="36" s="1"/>
  <c r="P358" i="38"/>
  <c r="O23" i="36" s="1"/>
  <c r="C356" i="38"/>
  <c r="B21" i="36" s="1"/>
  <c r="K355" i="38"/>
  <c r="J20" i="36" s="1"/>
  <c r="AE347" i="38"/>
  <c r="AD12" i="36" s="1"/>
  <c r="F371" i="38"/>
  <c r="E36" i="36" s="1"/>
  <c r="Z366" i="38"/>
  <c r="Y31" i="36" s="1"/>
  <c r="U358" i="38"/>
  <c r="T23" i="36" s="1"/>
  <c r="AP352" i="38"/>
  <c r="AO17" i="36" s="1"/>
  <c r="AD349" i="38"/>
  <c r="AC14" i="36" s="1"/>
  <c r="AF341" i="38"/>
  <c r="AE6" i="36" s="1"/>
  <c r="U366" i="38"/>
  <c r="T31" i="36" s="1"/>
  <c r="AK353" i="38"/>
  <c r="AJ18" i="36" s="1"/>
  <c r="AA350" i="38"/>
  <c r="Z15" i="36" s="1"/>
  <c r="AR372" i="38"/>
  <c r="AQ37" i="36" s="1"/>
  <c r="K367" i="38"/>
  <c r="J32" i="36" s="1"/>
  <c r="F357" i="38"/>
  <c r="E22" i="36" s="1"/>
  <c r="AQ376" i="38"/>
  <c r="AP41" i="36" s="1"/>
  <c r="P352" i="38"/>
  <c r="O17" i="36" s="1"/>
  <c r="W372" i="38"/>
  <c r="V37" i="36" s="1"/>
  <c r="AJ350" i="38"/>
  <c r="AI15" i="36" s="1"/>
  <c r="AB355" i="38"/>
  <c r="AA20" i="36" s="1"/>
  <c r="AA377" i="38"/>
  <c r="Z42" i="36" s="1"/>
  <c r="Q367" i="38"/>
  <c r="P32" i="36" s="1"/>
  <c r="AK368" i="38"/>
  <c r="AJ33" i="36" s="1"/>
  <c r="S345" i="38"/>
  <c r="R10" i="36" s="1"/>
  <c r="AP338" i="38"/>
  <c r="AO3" i="36" s="1"/>
  <c r="W358" i="38"/>
  <c r="V23" i="36" s="1"/>
  <c r="AQ339" i="38"/>
  <c r="AP4" i="36" s="1"/>
  <c r="M355" i="38"/>
  <c r="L20" i="36" s="1"/>
  <c r="P343" i="38"/>
  <c r="O8" i="36" s="1"/>
  <c r="AG349" i="38"/>
  <c r="AF14" i="36" s="1"/>
  <c r="S367" i="38"/>
  <c r="R32" i="36" s="1"/>
  <c r="Z352" i="38"/>
  <c r="Y17" i="36" s="1"/>
  <c r="AE356" i="38"/>
  <c r="AD21" i="36" s="1"/>
  <c r="AB373" i="38"/>
  <c r="AA38" i="36" s="1"/>
  <c r="F340" i="38"/>
  <c r="E5" i="36" s="1"/>
  <c r="AJ347" i="38"/>
  <c r="AI12" i="36" s="1"/>
  <c r="AD365" i="38"/>
  <c r="AC30" i="36" s="1"/>
  <c r="AK351" i="38"/>
  <c r="AJ16" i="36" s="1"/>
  <c r="AI369" i="38"/>
  <c r="AH34" i="36" s="1"/>
  <c r="AC363" i="38"/>
  <c r="AB28" i="36" s="1"/>
  <c r="AB352" i="38"/>
  <c r="AA17" i="36" s="1"/>
  <c r="X371" i="38"/>
  <c r="W36" i="36" s="1"/>
  <c r="AN354" i="38"/>
  <c r="AM19" i="36" s="1"/>
  <c r="G377" i="38"/>
  <c r="F42" i="36" s="1"/>
  <c r="AR368" i="38"/>
  <c r="AQ33" i="36" s="1"/>
  <c r="P370" i="38"/>
  <c r="O35" i="36" s="1"/>
  <c r="AE371" i="38"/>
  <c r="AD36" i="36" s="1"/>
  <c r="N372" i="38"/>
  <c r="M37" i="36" s="1"/>
  <c r="E370" i="38"/>
  <c r="D35" i="36" s="1"/>
  <c r="AK343" i="38"/>
  <c r="AJ8" i="36" s="1"/>
  <c r="Q346" i="38"/>
  <c r="P11" i="36" s="1"/>
  <c r="U341" i="38"/>
  <c r="T6" i="36" s="1"/>
  <c r="AR360" i="38"/>
  <c r="AQ25" i="36" s="1"/>
  <c r="G337" i="38"/>
  <c r="F2" i="36" s="1"/>
  <c r="M356" i="38"/>
  <c r="L21" i="36" s="1"/>
  <c r="P344" i="38"/>
  <c r="O9" i="36" s="1"/>
  <c r="AL350" i="38"/>
  <c r="AK15" i="36" s="1"/>
  <c r="S368" i="38"/>
  <c r="R33" i="36" s="1"/>
  <c r="C357" i="38"/>
  <c r="B22" i="36" s="1"/>
  <c r="K354" i="38"/>
  <c r="J19" i="36" s="1"/>
  <c r="Q356" i="38"/>
  <c r="P21" i="36" s="1"/>
  <c r="AQ347" i="38"/>
  <c r="AP12" i="36" s="1"/>
  <c r="R367" i="38"/>
  <c r="Q32" i="36" s="1"/>
  <c r="AG345" i="38"/>
  <c r="AF10" i="36" s="1"/>
  <c r="N363" i="38"/>
  <c r="M28" i="36" s="1"/>
  <c r="AJ337" i="38"/>
  <c r="AI2" i="36" s="1"/>
  <c r="AC358" i="38"/>
  <c r="AB23" i="36" s="1"/>
  <c r="AF376" i="38"/>
  <c r="AE41" i="36" s="1"/>
  <c r="Q374" i="38"/>
  <c r="P39" i="36" s="1"/>
  <c r="AJ364" i="38"/>
  <c r="AI29" i="36" s="1"/>
  <c r="F338" i="38"/>
  <c r="E3" i="36" s="1"/>
  <c r="AN358" i="38"/>
  <c r="AM23" i="36" s="1"/>
  <c r="O345" i="38"/>
  <c r="N10" i="36" s="1"/>
  <c r="R363" i="38"/>
  <c r="Q28" i="36" s="1"/>
  <c r="E340" i="38"/>
  <c r="D5" i="36" s="1"/>
  <c r="L338" i="38"/>
  <c r="K3" i="36" s="1"/>
  <c r="AJ356" i="38"/>
  <c r="AI21" i="36" s="1"/>
  <c r="AO341" i="38"/>
  <c r="AN6" i="36" s="1"/>
  <c r="AB359" i="38"/>
  <c r="AA24" i="36" s="1"/>
  <c r="G354" i="38"/>
  <c r="F19" i="36" s="1"/>
  <c r="T375" i="38"/>
  <c r="S40" i="36" s="1"/>
  <c r="X337" i="38"/>
  <c r="W2" i="36" s="1"/>
  <c r="AN378" i="38"/>
  <c r="AM43" i="36" s="1"/>
  <c r="E372" i="38"/>
  <c r="D37" i="36" s="1"/>
  <c r="N370" i="38"/>
  <c r="M35" i="36" s="1"/>
  <c r="O348" i="38"/>
  <c r="N13" i="36" s="1"/>
  <c r="N368" i="38"/>
  <c r="M33" i="36" s="1"/>
  <c r="Q357" i="38"/>
  <c r="P22" i="36" s="1"/>
  <c r="U371" i="38"/>
  <c r="T36" i="36" s="1"/>
  <c r="J348" i="38"/>
  <c r="I13" i="36" s="1"/>
  <c r="O361" i="38"/>
  <c r="N26" i="36" s="1"/>
  <c r="E346" i="38"/>
  <c r="D11" i="36" s="1"/>
  <c r="AO362" i="38"/>
  <c r="AN27" i="36" s="1"/>
  <c r="J347" i="38"/>
  <c r="I12" i="36" s="1"/>
  <c r="AC343" i="38"/>
  <c r="AB8" i="36" s="1"/>
  <c r="I338" i="38"/>
  <c r="H3" i="36" s="1"/>
  <c r="H367" i="38"/>
  <c r="G32" i="36" s="1"/>
  <c r="Z350" i="38"/>
  <c r="Y15" i="36" s="1"/>
  <c r="AB367" i="38"/>
  <c r="AA32" i="36" s="1"/>
  <c r="K352" i="38"/>
  <c r="J17" i="36" s="1"/>
  <c r="T343" i="38"/>
  <c r="S8" i="36" s="1"/>
  <c r="T369" i="38"/>
  <c r="S34" i="36" s="1"/>
  <c r="AF339" i="38"/>
  <c r="AE4" i="36" s="1"/>
  <c r="G353" i="38"/>
  <c r="F18" i="36" s="1"/>
  <c r="AN371" i="38"/>
  <c r="AM36" i="36" s="1"/>
  <c r="AL355" i="38"/>
  <c r="AK20" i="36" s="1"/>
  <c r="O340" i="38"/>
  <c r="N5" i="36" s="1"/>
  <c r="AK337" i="38"/>
  <c r="AJ2" i="36" s="1"/>
  <c r="AH354" i="38"/>
  <c r="AG19" i="36" s="1"/>
  <c r="AG340" i="38"/>
  <c r="AF5" i="36" s="1"/>
  <c r="AN366" i="38"/>
  <c r="AM31" i="36" s="1"/>
  <c r="V353" i="38"/>
  <c r="U18" i="36" s="1"/>
  <c r="U338" i="38"/>
  <c r="T3" i="36" s="1"/>
  <c r="G351" i="38"/>
  <c r="F16" i="36" s="1"/>
  <c r="S354" i="38"/>
  <c r="R19" i="36" s="1"/>
  <c r="I369" i="38"/>
  <c r="H34" i="36" s="1"/>
  <c r="AC342" i="38"/>
  <c r="AB7" i="36" s="1"/>
  <c r="V370" i="38"/>
  <c r="U35" i="36" s="1"/>
  <c r="R350" i="38"/>
  <c r="Q15" i="36" s="1"/>
  <c r="AA375" i="38"/>
  <c r="Z40" i="36" s="1"/>
  <c r="AP355" i="38"/>
  <c r="AO20" i="36" s="1"/>
  <c r="U374" i="38"/>
  <c r="T39" i="36" s="1"/>
  <c r="O354" i="38"/>
  <c r="N19" i="36" s="1"/>
  <c r="J362" i="38"/>
  <c r="I27" i="36" s="1"/>
  <c r="T346" i="38"/>
  <c r="S11" i="36" s="1"/>
  <c r="W348" i="38"/>
  <c r="V13" i="36" s="1"/>
  <c r="O370" i="38"/>
  <c r="N35" i="36" s="1"/>
  <c r="AA369" i="38"/>
  <c r="Z34" i="36" s="1"/>
  <c r="R347" i="38"/>
  <c r="Q12" i="36" s="1"/>
  <c r="Y360" i="38"/>
  <c r="X25" i="36" s="1"/>
  <c r="AP354" i="38"/>
  <c r="AO19" i="36" s="1"/>
  <c r="AK370" i="38"/>
  <c r="AJ35" i="36" s="1"/>
  <c r="P347" i="38"/>
  <c r="O12" i="36" s="1"/>
  <c r="J360" i="38"/>
  <c r="I25" i="36" s="1"/>
  <c r="W345" i="38"/>
  <c r="V10" i="36" s="1"/>
  <c r="R362" i="38"/>
  <c r="Q27" i="36" s="1"/>
  <c r="AB346" i="38"/>
  <c r="AA11" i="36" s="1"/>
  <c r="V342" i="38"/>
  <c r="U7" i="36" s="1"/>
  <c r="Y337" i="38"/>
  <c r="X2" i="36" s="1"/>
  <c r="AB366" i="38"/>
  <c r="AA31" i="36" s="1"/>
  <c r="C350" i="38"/>
  <c r="B15" i="36" s="1"/>
  <c r="AA366" i="38"/>
  <c r="Z31" i="36" s="1"/>
  <c r="F351" i="38"/>
  <c r="E16" i="36" s="1"/>
  <c r="AL342" i="38"/>
  <c r="AK7" i="36" s="1"/>
  <c r="T368" i="38"/>
  <c r="S33" i="36" s="1"/>
  <c r="AL337" i="38"/>
  <c r="AK2" i="36" s="1"/>
  <c r="AR351" i="38"/>
  <c r="AQ16" i="36" s="1"/>
  <c r="S371" i="38"/>
  <c r="R36" i="36" s="1"/>
  <c r="O355" i="38"/>
  <c r="N20" i="36" s="1"/>
  <c r="E339" i="38"/>
  <c r="D4" i="36" s="1"/>
  <c r="P337" i="38"/>
  <c r="O2" i="36" s="1"/>
  <c r="M354" i="38"/>
  <c r="L19" i="36" s="1"/>
  <c r="L340" i="38"/>
  <c r="K5" i="36" s="1"/>
  <c r="AP365" i="38"/>
  <c r="AO30" i="36" s="1"/>
  <c r="AQ352" i="38"/>
  <c r="AP17" i="36" s="1"/>
  <c r="U337" i="38"/>
  <c r="T2" i="36" s="1"/>
  <c r="AC350" i="38"/>
  <c r="AB15" i="36" s="1"/>
  <c r="M352" i="38"/>
  <c r="L17" i="36" s="1"/>
  <c r="AF337" i="38"/>
  <c r="AE2" i="36" s="1"/>
  <c r="AR364" i="38"/>
  <c r="AQ29" i="36" s="1"/>
  <c r="AQ351" i="38"/>
  <c r="AP16" i="36" s="1"/>
  <c r="W363" i="38"/>
  <c r="V28" i="36" s="1"/>
  <c r="O347" i="38"/>
  <c r="N12" i="36" s="1"/>
  <c r="Y349" i="38"/>
  <c r="X14" i="36" s="1"/>
  <c r="T342" i="38"/>
  <c r="S7" i="36" s="1"/>
  <c r="H370" i="38"/>
  <c r="G35" i="36" s="1"/>
  <c r="H356" i="38"/>
  <c r="G21" i="36" s="1"/>
  <c r="R339" i="38"/>
  <c r="Q4" i="36" s="1"/>
  <c r="AD356" i="38"/>
  <c r="AC21" i="36" s="1"/>
  <c r="Z340" i="38"/>
  <c r="Y5" i="36" s="1"/>
  <c r="K377" i="38"/>
  <c r="J42" i="36" s="1"/>
  <c r="P350" i="38"/>
  <c r="O15" i="36" s="1"/>
  <c r="U361" i="38"/>
  <c r="T26" i="36" s="1"/>
  <c r="AJ374" i="38"/>
  <c r="AI39" i="36" s="1"/>
  <c r="T361" i="38"/>
  <c r="S26" i="36" s="1"/>
  <c r="D345" i="38"/>
  <c r="C10" i="36" s="1"/>
  <c r="P342" i="38"/>
  <c r="O7" i="36" s="1"/>
  <c r="AH357" i="38"/>
  <c r="AG22" i="36" s="1"/>
  <c r="AG344" i="38"/>
  <c r="AF9" i="36" s="1"/>
  <c r="AD371" i="38"/>
  <c r="AC36" i="36" s="1"/>
  <c r="AR356" i="38"/>
  <c r="AQ21" i="36" s="1"/>
  <c r="AP342" i="38"/>
  <c r="AO7" i="36" s="1"/>
  <c r="S355" i="38"/>
  <c r="R20" i="36" s="1"/>
  <c r="I340" i="38"/>
  <c r="H5" i="36" s="1"/>
  <c r="U352" i="38"/>
  <c r="T17" i="36" s="1"/>
  <c r="AD366" i="38"/>
  <c r="AC31" i="36" s="1"/>
  <c r="AN365" i="38"/>
  <c r="AM30" i="36" s="1"/>
  <c r="D377" i="38"/>
  <c r="C42" i="36" s="1"/>
  <c r="R356" i="38"/>
  <c r="Q21" i="36" s="1"/>
  <c r="AF368" i="38"/>
  <c r="AE33" i="36" s="1"/>
  <c r="D349" i="38"/>
  <c r="C14" i="36" s="1"/>
  <c r="AA373" i="38"/>
  <c r="Z38" i="36" s="1"/>
  <c r="AE354" i="38"/>
  <c r="AD19" i="36" s="1"/>
  <c r="AH365" i="38"/>
  <c r="AG30" i="36" s="1"/>
  <c r="Y373" i="38"/>
  <c r="X38" i="36" s="1"/>
  <c r="J352" i="38"/>
  <c r="I17" i="36" s="1"/>
  <c r="L360" i="38"/>
  <c r="K25" i="36" s="1"/>
  <c r="P369" i="38"/>
  <c r="O34" i="36" s="1"/>
  <c r="AI348" i="38"/>
  <c r="AH13" i="36" s="1"/>
  <c r="AO360" i="38"/>
  <c r="AN25" i="36" s="1"/>
  <c r="P372" i="38"/>
  <c r="O37" i="36" s="1"/>
  <c r="AJ367" i="38"/>
  <c r="AI32" i="36" s="1"/>
  <c r="AM346" i="38"/>
  <c r="AL11" i="36" s="1"/>
  <c r="AP344" i="38"/>
  <c r="AO9" i="36" s="1"/>
  <c r="AB361" i="38"/>
  <c r="AA26" i="36" s="1"/>
  <c r="U378" i="38"/>
  <c r="T43" i="36" s="1"/>
  <c r="S350" i="38"/>
  <c r="R15" i="36" s="1"/>
  <c r="I376" i="38"/>
  <c r="H41" i="36" s="1"/>
  <c r="AQ355" i="38"/>
  <c r="AP20" i="36" s="1"/>
  <c r="V368" i="38"/>
  <c r="U33" i="36" s="1"/>
  <c r="O362" i="38"/>
  <c r="N27" i="36" s="1"/>
  <c r="AO378" i="38"/>
  <c r="AN43" i="36" s="1"/>
  <c r="V361" i="38"/>
  <c r="U26" i="36" s="1"/>
  <c r="AG372" i="38"/>
  <c r="AF37" i="36" s="1"/>
  <c r="AO338" i="38"/>
  <c r="AN3" i="36" s="1"/>
  <c r="AD338" i="38"/>
  <c r="AC3" i="36" s="1"/>
  <c r="D340" i="38"/>
  <c r="C5" i="36" s="1"/>
  <c r="O374" i="38"/>
  <c r="N39" i="36" s="1"/>
  <c r="H354" i="38"/>
  <c r="G19" i="36" s="1"/>
  <c r="I377" i="38"/>
  <c r="H42" i="36" s="1"/>
  <c r="AD369" i="38"/>
  <c r="AC34" i="36" s="1"/>
  <c r="N374" i="38"/>
  <c r="M39" i="36" s="1"/>
  <c r="AD355" i="38"/>
  <c r="AC20" i="36" s="1"/>
  <c r="AC364" i="38"/>
  <c r="AB29" i="36" s="1"/>
  <c r="AA349" i="38"/>
  <c r="Z14" i="36" s="1"/>
  <c r="AG366" i="38"/>
  <c r="AF31" i="36" s="1"/>
  <c r="L351" i="38"/>
  <c r="K16" i="36" s="1"/>
  <c r="R348" i="38"/>
  <c r="Q13" i="36" s="1"/>
  <c r="AL341" i="38"/>
  <c r="AK6" i="36" s="1"/>
  <c r="AC369" i="38"/>
  <c r="AB34" i="36" s="1"/>
  <c r="AA355" i="38"/>
  <c r="Z20" i="36" s="1"/>
  <c r="G338" i="38"/>
  <c r="F3" i="36" s="1"/>
  <c r="G356" i="38"/>
  <c r="F21" i="36" s="1"/>
  <c r="Q339" i="38"/>
  <c r="P4" i="36" s="1"/>
  <c r="AG376" i="38"/>
  <c r="AF41" i="36" s="1"/>
  <c r="AA348" i="38"/>
  <c r="Z13" i="36" s="1"/>
  <c r="Q360" i="38"/>
  <c r="P25" i="36" s="1"/>
  <c r="P374" i="38"/>
  <c r="O39" i="36" s="1"/>
  <c r="AM360" i="38"/>
  <c r="AL25" i="36" s="1"/>
  <c r="AL343" i="38"/>
  <c r="AK8" i="36" s="1"/>
  <c r="AK341" i="38"/>
  <c r="AJ6" i="36" s="1"/>
  <c r="M357" i="38"/>
  <c r="L22" i="36" s="1"/>
  <c r="L344" i="38"/>
  <c r="K9" i="36" s="1"/>
  <c r="AF370" i="38"/>
  <c r="AE35" i="36" s="1"/>
  <c r="W356" i="38"/>
  <c r="V21" i="36" s="1"/>
  <c r="U342" i="38"/>
  <c r="T7" i="36" s="1"/>
  <c r="AO354" i="38"/>
  <c r="AN19" i="36" s="1"/>
  <c r="AG338" i="38"/>
  <c r="AF3" i="36" s="1"/>
  <c r="D362" i="38"/>
  <c r="C27" i="36" s="1"/>
  <c r="J370" i="38"/>
  <c r="I35" i="36" s="1"/>
  <c r="J365" i="38"/>
  <c r="I30" i="36" s="1"/>
  <c r="Q364" i="38"/>
  <c r="P29" i="36" s="1"/>
  <c r="AI339" i="38"/>
  <c r="AH4" i="36" s="1"/>
  <c r="I346" i="38"/>
  <c r="H11" i="36" s="1"/>
  <c r="AR376" i="38"/>
  <c r="AQ41" i="36" s="1"/>
  <c r="U363" i="38"/>
  <c r="T28" i="36" s="1"/>
  <c r="H346" i="38"/>
  <c r="G11" i="36" s="1"/>
  <c r="AL375" i="38"/>
  <c r="AK40" i="36" s="1"/>
  <c r="AM361" i="38"/>
  <c r="AL26" i="36" s="1"/>
  <c r="E344" i="38"/>
  <c r="D9" i="36" s="1"/>
  <c r="E353" i="38"/>
  <c r="D18" i="36" s="1"/>
  <c r="L371" i="38"/>
  <c r="K36" i="36" s="1"/>
  <c r="AC354" i="38"/>
  <c r="AB19" i="36" s="1"/>
  <c r="AE374" i="38"/>
  <c r="AD39" i="36" s="1"/>
  <c r="AR377" i="38"/>
  <c r="AQ42" i="36" s="1"/>
  <c r="H364" i="38"/>
  <c r="G29" i="36" s="1"/>
  <c r="AL345" i="38"/>
  <c r="AK10" i="36" s="1"/>
  <c r="AB365" i="38"/>
  <c r="AA30" i="36" s="1"/>
  <c r="N339" i="38"/>
  <c r="M4" i="36" s="1"/>
  <c r="AK376" i="38"/>
  <c r="AJ41" i="36" s="1"/>
  <c r="AC361" i="38"/>
  <c r="AB26" i="36" s="1"/>
  <c r="AB341" i="38"/>
  <c r="AA6" i="36" s="1"/>
  <c r="F367" i="38"/>
  <c r="E32" i="36" s="1"/>
  <c r="AI367" i="38"/>
  <c r="AH32" i="36" s="1"/>
  <c r="T350" i="38"/>
  <c r="S15" i="36" s="1"/>
  <c r="C367" i="38"/>
  <c r="B32" i="36" s="1"/>
  <c r="AB347" i="38"/>
  <c r="AA12" i="36" s="1"/>
  <c r="AL377" i="38"/>
  <c r="AK42" i="36" s="1"/>
  <c r="AM363" i="38"/>
  <c r="AL28" i="36" s="1"/>
  <c r="AC344" i="38"/>
  <c r="AB9" i="36" s="1"/>
  <c r="C375" i="38"/>
  <c r="B40" i="36" s="1"/>
  <c r="AN359" i="38"/>
  <c r="AM24" i="36" s="1"/>
  <c r="M340" i="38"/>
  <c r="L5" i="36" s="1"/>
  <c r="AA367" i="38"/>
  <c r="Z32" i="36" s="1"/>
  <c r="N350" i="38"/>
  <c r="M15" i="36" s="1"/>
  <c r="S361" i="38"/>
  <c r="R26" i="36" s="1"/>
  <c r="G366" i="38"/>
  <c r="F31" i="36" s="1"/>
  <c r="Q361" i="38"/>
  <c r="P26" i="36" s="1"/>
  <c r="AQ362" i="38"/>
  <c r="AP27" i="36" s="1"/>
  <c r="I358" i="38"/>
  <c r="H23" i="36" s="1"/>
  <c r="AP368" i="38"/>
  <c r="AO33" i="36" s="1"/>
  <c r="AG351" i="38"/>
  <c r="AF16" i="36" s="1"/>
  <c r="AB360" i="38"/>
  <c r="AA25" i="36" s="1"/>
  <c r="K341" i="38"/>
  <c r="J6" i="36" s="1"/>
  <c r="U347" i="38"/>
  <c r="T12" i="36" s="1"/>
  <c r="M370" i="38"/>
  <c r="L35" i="36" s="1"/>
  <c r="N353" i="38"/>
  <c r="M18" i="36" s="1"/>
  <c r="AH366" i="38"/>
  <c r="AG31" i="36" s="1"/>
  <c r="E354" i="38"/>
  <c r="D19" i="36" s="1"/>
  <c r="Q341" i="38"/>
  <c r="P6" i="36" s="1"/>
  <c r="AK361" i="38"/>
  <c r="AJ26" i="36" s="1"/>
  <c r="Z349" i="38"/>
  <c r="Y14" i="36" s="1"/>
  <c r="F350" i="38"/>
  <c r="E15" i="36" s="1"/>
  <c r="AF347" i="38"/>
  <c r="AE12" i="36" s="1"/>
  <c r="AP376" i="38"/>
  <c r="AO41" i="36" s="1"/>
  <c r="F366" i="38"/>
  <c r="E31" i="36" s="1"/>
  <c r="Q353" i="38"/>
  <c r="P18" i="36" s="1"/>
  <c r="C340" i="38"/>
  <c r="B5" i="36" s="1"/>
  <c r="Z360" i="38"/>
  <c r="Y25" i="36" s="1"/>
  <c r="K348" i="38"/>
  <c r="J13" i="36" s="1"/>
  <c r="M342" i="38"/>
  <c r="L7" i="36" s="1"/>
  <c r="AM373" i="38"/>
  <c r="AL38" i="36" s="1"/>
  <c r="T351" i="38"/>
  <c r="S16" i="36" s="1"/>
  <c r="AO371" i="38"/>
  <c r="AN36" i="36" s="1"/>
  <c r="AC345" i="38"/>
  <c r="AB10" i="36" s="1"/>
  <c r="S370" i="38"/>
  <c r="R35" i="36" s="1"/>
  <c r="F358" i="38"/>
  <c r="E23" i="36" s="1"/>
  <c r="AB345" i="38"/>
  <c r="AA10" i="36" s="1"/>
  <c r="AK345" i="38"/>
  <c r="AJ10" i="36" s="1"/>
  <c r="AI364" i="38"/>
  <c r="AH29" i="36" s="1"/>
  <c r="AH353" i="38"/>
  <c r="AG18" i="36" s="1"/>
  <c r="AG342" i="38"/>
  <c r="AF7" i="36" s="1"/>
  <c r="H372" i="38"/>
  <c r="G37" i="36" s="1"/>
  <c r="W361" i="38"/>
  <c r="V26" i="36" s="1"/>
  <c r="AQ349" i="38"/>
  <c r="AP14" i="36" s="1"/>
  <c r="AP337" i="38"/>
  <c r="AO2" i="36" s="1"/>
  <c r="U354" i="38"/>
  <c r="T19" i="36" s="1"/>
  <c r="W343" i="38"/>
  <c r="V8" i="36" s="1"/>
  <c r="X369" i="38"/>
  <c r="W34" i="36" s="1"/>
  <c r="AB351" i="38"/>
  <c r="AA16" i="36" s="1"/>
  <c r="G349" i="38"/>
  <c r="F14" i="36" s="1"/>
  <c r="J337" i="38"/>
  <c r="I2" i="36" s="1"/>
  <c r="R371" i="38"/>
  <c r="Q36" i="36" s="1"/>
  <c r="Z377" i="38"/>
  <c r="Y42" i="36" s="1"/>
  <c r="AM375" i="38"/>
  <c r="AL40" i="36" s="1"/>
  <c r="AN361" i="38"/>
  <c r="AM26" i="36" s="1"/>
  <c r="F344" i="38"/>
  <c r="E9" i="36" s="1"/>
  <c r="AF374" i="38"/>
  <c r="AE39" i="36" s="1"/>
  <c r="T359" i="38"/>
  <c r="S24" i="36" s="1"/>
  <c r="AJ340" i="38"/>
  <c r="AI5" i="36" s="1"/>
  <c r="AK349" i="38"/>
  <c r="AJ14" i="36" s="1"/>
  <c r="D370" i="38"/>
  <c r="C35" i="36" s="1"/>
  <c r="D353" i="38"/>
  <c r="C18" i="36" s="1"/>
  <c r="M371" i="38"/>
  <c r="L36" i="36" s="1"/>
  <c r="AM376" i="38"/>
  <c r="AL41" i="36" s="1"/>
  <c r="X362" i="38"/>
  <c r="W27" i="36" s="1"/>
  <c r="AO343" i="38"/>
  <c r="AN8" i="36" s="1"/>
  <c r="AD361" i="38"/>
  <c r="AC26" i="36" s="1"/>
  <c r="I370" i="38"/>
  <c r="H35" i="36" s="1"/>
  <c r="H375" i="38"/>
  <c r="G40" i="36" s="1"/>
  <c r="O359" i="38"/>
  <c r="N24" i="36" s="1"/>
  <c r="I339" i="38"/>
  <c r="H4" i="36" s="1"/>
  <c r="Y358" i="38"/>
  <c r="X23" i="36" s="1"/>
  <c r="O366" i="38"/>
  <c r="N31" i="36" s="1"/>
  <c r="AD348" i="38"/>
  <c r="AC13" i="36" s="1"/>
  <c r="W365" i="38"/>
  <c r="V30" i="36" s="1"/>
  <c r="AF345" i="38"/>
  <c r="AE10" i="36" s="1"/>
  <c r="AH376" i="38"/>
  <c r="AG41" i="36" s="1"/>
  <c r="Y361" i="38"/>
  <c r="X26" i="36" s="1"/>
  <c r="V341" i="38"/>
  <c r="U6" i="36" s="1"/>
  <c r="AO373" i="38"/>
  <c r="AN38" i="36" s="1"/>
  <c r="O358" i="38"/>
  <c r="N23" i="36" s="1"/>
  <c r="AG337" i="38"/>
  <c r="AF2" i="36" s="1"/>
  <c r="H366" i="38"/>
  <c r="G31" i="36" s="1"/>
  <c r="X348" i="38"/>
  <c r="W13" i="36" s="1"/>
  <c r="K358" i="38"/>
  <c r="J23" i="36" s="1"/>
  <c r="O378" i="38"/>
  <c r="N43" i="36" s="1"/>
  <c r="P348" i="38"/>
  <c r="O13" i="36" s="1"/>
  <c r="AA356" i="38"/>
  <c r="Z21" i="36" s="1"/>
  <c r="R353" i="38"/>
  <c r="Q18" i="36" s="1"/>
  <c r="W367" i="38"/>
  <c r="V32" i="36" s="1"/>
  <c r="E350" i="38"/>
  <c r="D15" i="36" s="1"/>
  <c r="AM378" i="38"/>
  <c r="AL43" i="36" s="1"/>
  <c r="AK378" i="38"/>
  <c r="AJ43" i="36" s="1"/>
  <c r="X345" i="38"/>
  <c r="W10" i="36" s="1"/>
  <c r="AM368" i="38"/>
  <c r="AL33" i="36" s="1"/>
  <c r="AO350" i="38"/>
  <c r="AN15" i="36" s="1"/>
  <c r="I365" i="38"/>
  <c r="H30" i="36" s="1"/>
  <c r="AO352" i="38"/>
  <c r="AN17" i="36" s="1"/>
  <c r="H340" i="38"/>
  <c r="G5" i="36" s="1"/>
  <c r="AF360" i="38"/>
  <c r="AE25" i="36" s="1"/>
  <c r="S348" i="38"/>
  <c r="R13" i="36" s="1"/>
  <c r="AP348" i="38"/>
  <c r="AO13" i="36" s="1"/>
  <c r="Z346" i="38"/>
  <c r="Y11" i="36" s="1"/>
  <c r="AR375" i="38"/>
  <c r="AQ40" i="36" s="1"/>
  <c r="W364" i="38"/>
  <c r="V29" i="36" s="1"/>
  <c r="AE351" i="38"/>
  <c r="AD16" i="36" s="1"/>
  <c r="AH338" i="38"/>
  <c r="AG3" i="36" s="1"/>
  <c r="U359" i="38"/>
  <c r="T24" i="36" s="1"/>
  <c r="E347" i="38"/>
  <c r="D12" i="36" s="1"/>
  <c r="E341" i="38"/>
  <c r="D6" i="36" s="1"/>
  <c r="T371" i="38"/>
  <c r="S36" i="36" s="1"/>
  <c r="AI349" i="38"/>
  <c r="AH14" i="36" s="1"/>
  <c r="AO369" i="38"/>
  <c r="AN34" i="36" s="1"/>
  <c r="G342" i="38"/>
  <c r="F7" i="36" s="1"/>
  <c r="AN368" i="38"/>
  <c r="AM33" i="36" s="1"/>
  <c r="AQ356" i="38"/>
  <c r="AP21" i="36" s="1"/>
  <c r="T344" i="38"/>
  <c r="S9" i="36" s="1"/>
  <c r="AK344" i="38"/>
  <c r="AJ9" i="36" s="1"/>
  <c r="AI363" i="38"/>
  <c r="AH28" i="36" s="1"/>
  <c r="AH352" i="38"/>
  <c r="AG17" i="36" s="1"/>
  <c r="AG341" i="38"/>
  <c r="AF6" i="36" s="1"/>
  <c r="J371" i="38"/>
  <c r="I36" i="36" s="1"/>
  <c r="AR359" i="38"/>
  <c r="AQ24" i="36" s="1"/>
  <c r="V348" i="38"/>
  <c r="U13" i="36" s="1"/>
  <c r="U364" i="38"/>
  <c r="T29" i="36" s="1"/>
  <c r="W353" i="38"/>
  <c r="V18" i="36" s="1"/>
  <c r="Y342" i="38"/>
  <c r="X7" i="36" s="1"/>
  <c r="G341" i="38"/>
  <c r="F6" i="36" s="1"/>
  <c r="F368" i="38"/>
  <c r="E33" i="36" s="1"/>
  <c r="AE373" i="38"/>
  <c r="AD38" i="36" s="1"/>
  <c r="F349" i="38"/>
  <c r="E14" i="36" s="1"/>
  <c r="J378" i="38"/>
  <c r="I43" i="36" s="1"/>
  <c r="X376" i="38"/>
  <c r="W41" i="36" s="1"/>
  <c r="P367" i="38"/>
  <c r="O32" i="36" s="1"/>
  <c r="E373" i="38"/>
  <c r="D38" i="36" s="1"/>
  <c r="AN357" i="38"/>
  <c r="AM22" i="36" s="1"/>
  <c r="R338" i="38"/>
  <c r="Q3" i="36" s="1"/>
  <c r="AL371" i="38"/>
  <c r="AK36" i="36" s="1"/>
  <c r="O356" i="38"/>
  <c r="N21" i="36" s="1"/>
  <c r="X372" i="38"/>
  <c r="W37" i="36" s="1"/>
  <c r="AQ341" i="38"/>
  <c r="AP6" i="36" s="1"/>
  <c r="J367" i="38"/>
  <c r="I32" i="36" s="1"/>
  <c r="AJ349" i="38"/>
  <c r="AI14" i="36" s="1"/>
  <c r="S363" i="38"/>
  <c r="R28" i="36" s="1"/>
  <c r="AC374" i="38"/>
  <c r="AB39" i="36" s="1"/>
  <c r="Q359" i="38"/>
  <c r="P24" i="36" s="1"/>
  <c r="O339" i="38"/>
  <c r="N4" i="36" s="1"/>
  <c r="Q355" i="38"/>
  <c r="P20" i="36" s="1"/>
  <c r="O376" i="38"/>
  <c r="N41" i="36" s="1"/>
  <c r="O372" i="38"/>
  <c r="N37" i="36" s="1"/>
  <c r="E356" i="38"/>
  <c r="D21" i="36" s="1"/>
  <c r="AH374" i="38"/>
  <c r="AG39" i="36" s="1"/>
  <c r="Q377" i="38"/>
  <c r="P42" i="36" s="1"/>
  <c r="K363" i="38"/>
  <c r="J28" i="36" s="1"/>
  <c r="AH344" i="38"/>
  <c r="AG9" i="36" s="1"/>
  <c r="Q362" i="38"/>
  <c r="P27" i="36" s="1"/>
  <c r="R340" i="38"/>
  <c r="Q5" i="36" s="1"/>
  <c r="Q373" i="38"/>
  <c r="P38" i="36" s="1"/>
  <c r="AA357" i="38"/>
  <c r="Z22" i="36" s="1"/>
  <c r="K374" i="38"/>
  <c r="J39" i="36" s="1"/>
  <c r="AA371" i="38"/>
  <c r="Z36" i="36" s="1"/>
  <c r="G355" i="38"/>
  <c r="F20" i="36" s="1"/>
  <c r="M377" i="38"/>
  <c r="L42" i="36" s="1"/>
  <c r="E363" i="38"/>
  <c r="D28" i="36" s="1"/>
  <c r="AA344" i="38"/>
  <c r="Z9" i="36" s="1"/>
  <c r="AD352" i="38"/>
  <c r="AC17" i="36" s="1"/>
  <c r="AI338" i="38"/>
  <c r="AH3" i="36" s="1"/>
  <c r="AK373" i="38"/>
  <c r="AJ38" i="36" s="1"/>
  <c r="U348" i="38"/>
  <c r="T13" i="36" s="1"/>
  <c r="M378" i="38"/>
  <c r="L43" i="36" s="1"/>
  <c r="T364" i="38"/>
  <c r="S29" i="36" s="1"/>
  <c r="R346" i="38"/>
  <c r="Q11" i="36" s="1"/>
  <c r="M373" i="38"/>
  <c r="L38" i="36" s="1"/>
  <c r="AI373" i="38"/>
  <c r="AH38" i="36" s="1"/>
  <c r="AI378" i="38"/>
  <c r="AH43" i="36" s="1"/>
  <c r="S364" i="38"/>
  <c r="R29" i="36" s="1"/>
  <c r="O346" i="38"/>
  <c r="N11" i="36" s="1"/>
  <c r="AP362" i="38"/>
  <c r="AO27" i="36" s="1"/>
  <c r="AF350" i="38"/>
  <c r="AE15" i="36" s="1"/>
  <c r="AC337" i="38"/>
  <c r="AB2" i="36" s="1"/>
  <c r="V358" i="38"/>
  <c r="U23" i="36" s="1"/>
  <c r="D346" i="38"/>
  <c r="C11" i="36" s="1"/>
  <c r="AA346" i="38"/>
  <c r="Z11" i="36" s="1"/>
  <c r="AB343" i="38"/>
  <c r="AA8" i="36" s="1"/>
  <c r="H373" i="38"/>
  <c r="G38" i="36" s="1"/>
  <c r="AF361" i="38"/>
  <c r="AE26" i="36" s="1"/>
  <c r="U349" i="38"/>
  <c r="T14" i="36" s="1"/>
  <c r="G369" i="38"/>
  <c r="F34" i="36" s="1"/>
  <c r="K357" i="38"/>
  <c r="J22" i="36" s="1"/>
  <c r="AE344" i="38"/>
  <c r="AD9" i="36" s="1"/>
  <c r="AB338" i="38"/>
  <c r="AA3" i="36" s="1"/>
  <c r="T367" i="38"/>
  <c r="S32" i="36" s="1"/>
  <c r="N343" i="38"/>
  <c r="M8" i="36" s="1"/>
  <c r="AA362" i="38"/>
  <c r="Z27" i="36" s="1"/>
  <c r="AD377" i="38"/>
  <c r="AC42" i="36" s="1"/>
  <c r="AM366" i="38"/>
  <c r="AL31" i="36" s="1"/>
  <c r="AG354" i="38"/>
  <c r="AF19" i="36" s="1"/>
  <c r="F342" i="38"/>
  <c r="E7" i="36" s="1"/>
  <c r="AK342" i="38"/>
  <c r="AJ7" i="36" s="1"/>
  <c r="AI361" i="38"/>
  <c r="AH26" i="36" s="1"/>
  <c r="AH350" i="38"/>
  <c r="AG15" i="36" s="1"/>
  <c r="L339" i="38"/>
  <c r="K4" i="36" s="1"/>
  <c r="P368" i="38"/>
  <c r="O33" i="36" s="1"/>
  <c r="W357" i="38"/>
  <c r="V22" i="36" s="1"/>
  <c r="V346" i="38"/>
  <c r="U11" i="36" s="1"/>
  <c r="Y362" i="38"/>
  <c r="X27" i="36" s="1"/>
  <c r="AA351" i="38"/>
  <c r="Z16" i="36" s="1"/>
  <c r="AC340" i="38"/>
  <c r="AB5" i="36" s="1"/>
  <c r="AQ344" i="38"/>
  <c r="AP9" i="36" s="1"/>
  <c r="G361" i="38"/>
  <c r="F26" i="36" s="1"/>
  <c r="I350" i="38"/>
  <c r="H15" i="36" s="1"/>
  <c r="AI337" i="38"/>
  <c r="AH2" i="36" s="1"/>
  <c r="AP361" i="38"/>
  <c r="AO26" i="36" s="1"/>
  <c r="AG362" i="38"/>
  <c r="AF27" i="36" s="1"/>
  <c r="AQ340" i="38"/>
  <c r="AP5" i="36" s="1"/>
  <c r="R364" i="38"/>
  <c r="Q29" i="36" s="1"/>
  <c r="AC366" i="38"/>
  <c r="AB31" i="36" s="1"/>
  <c r="M347" i="38"/>
  <c r="L12" i="36" s="1"/>
  <c r="AN349" i="38"/>
  <c r="AM14" i="36" s="1"/>
  <c r="AG370" i="38"/>
  <c r="AF35" i="36" s="1"/>
  <c r="AF354" i="38"/>
  <c r="AE19" i="36" s="1"/>
  <c r="AM365" i="38"/>
  <c r="AL30" i="36" s="1"/>
  <c r="U369" i="38"/>
  <c r="T34" i="36" s="1"/>
  <c r="H353" i="38"/>
  <c r="G18" i="36" s="1"/>
  <c r="AK371" i="38"/>
  <c r="AJ36" i="36" s="1"/>
  <c r="V377" i="38"/>
  <c r="U42" i="36" s="1"/>
  <c r="I364" i="38"/>
  <c r="H29" i="36" s="1"/>
  <c r="AP345" i="38"/>
  <c r="AO10" i="36" s="1"/>
  <c r="E357" i="38"/>
  <c r="D22" i="36" s="1"/>
  <c r="Q372" i="38"/>
  <c r="P37" i="36" s="1"/>
  <c r="R355" i="38"/>
  <c r="Q20" i="36" s="1"/>
  <c r="Z373" i="38"/>
  <c r="Y38" i="36" s="1"/>
  <c r="W350" i="38"/>
  <c r="V15" i="36" s="1"/>
  <c r="Y368" i="38"/>
  <c r="X33" i="36" s="1"/>
  <c r="AQ369" i="38"/>
  <c r="AP34" i="36" s="1"/>
  <c r="AM352" i="38"/>
  <c r="AL17" i="36" s="1"/>
  <c r="P364" i="38"/>
  <c r="O29" i="36" s="1"/>
  <c r="G375" i="38"/>
  <c r="F40" i="36" s="1"/>
  <c r="AQ359" i="38"/>
  <c r="AP24" i="36" s="1"/>
  <c r="H339" i="38"/>
  <c r="G4" i="36" s="1"/>
  <c r="AB357" i="38"/>
  <c r="AA22" i="36" s="1"/>
  <c r="AR378" i="38"/>
  <c r="AQ43" i="36" s="1"/>
  <c r="D371" i="38"/>
  <c r="C36" i="36" s="1"/>
  <c r="Q354" i="38"/>
  <c r="P19" i="36" s="1"/>
  <c r="F375" i="38"/>
  <c r="E40" i="36" s="1"/>
  <c r="E369" i="38"/>
  <c r="D34" i="36" s="1"/>
  <c r="AO351" i="38"/>
  <c r="AN16" i="36" s="1"/>
  <c r="AR374" i="38"/>
  <c r="AQ39" i="36" s="1"/>
  <c r="F359" i="38"/>
  <c r="E24" i="36" s="1"/>
  <c r="AE337" i="38"/>
  <c r="AD2" i="36" s="1"/>
  <c r="U346" i="38"/>
  <c r="T11" i="36" s="1"/>
  <c r="T353" i="38"/>
  <c r="S18" i="36" s="1"/>
  <c r="C359" i="38"/>
  <c r="B24" i="36" s="1"/>
  <c r="AG377" i="38"/>
  <c r="AF42" i="36" s="1"/>
  <c r="C376" i="38"/>
  <c r="B41" i="36" s="1"/>
  <c r="P361" i="38"/>
  <c r="O26" i="36" s="1"/>
  <c r="K342" i="38"/>
  <c r="J7" i="36" s="1"/>
  <c r="AH363" i="38"/>
  <c r="AG28" i="36" s="1"/>
  <c r="Y364" i="38"/>
  <c r="X29" i="36" s="1"/>
  <c r="AQ375" i="38"/>
  <c r="AP40" i="36" s="1"/>
  <c r="L361" i="38"/>
  <c r="K26" i="36" s="1"/>
  <c r="J342" i="38"/>
  <c r="I7" i="36" s="1"/>
  <c r="AG360" i="38"/>
  <c r="AF25" i="36" s="1"/>
  <c r="T348" i="38"/>
  <c r="S13" i="36" s="1"/>
  <c r="L368" i="38"/>
  <c r="K33" i="36" s="1"/>
  <c r="L356" i="38"/>
  <c r="K21" i="36" s="1"/>
  <c r="F343" i="38"/>
  <c r="E8" i="36" s="1"/>
  <c r="E343" i="38"/>
  <c r="D8" i="36" s="1"/>
  <c r="AD340" i="38"/>
  <c r="AC5" i="36" s="1"/>
  <c r="H371" i="38"/>
  <c r="G36" i="36" s="1"/>
  <c r="V359" i="38"/>
  <c r="U24" i="36" s="1"/>
  <c r="F347" i="38"/>
  <c r="E12" i="36" s="1"/>
  <c r="G367" i="38"/>
  <c r="F32" i="36" s="1"/>
  <c r="C355" i="38"/>
  <c r="B20" i="36" s="1"/>
  <c r="Q342" i="38"/>
  <c r="P7" i="36" s="1"/>
  <c r="V340" i="38"/>
  <c r="U5" i="36" s="1"/>
  <c r="C362" i="38"/>
  <c r="B27" i="36" s="1"/>
  <c r="F339" i="38"/>
  <c r="E4" i="36" s="1"/>
  <c r="G358" i="38"/>
  <c r="F23" i="36" s="1"/>
  <c r="AH375" i="38"/>
  <c r="AG40" i="36" s="1"/>
  <c r="AH364" i="38"/>
  <c r="AG29" i="36" s="1"/>
  <c r="X352" i="38"/>
  <c r="W17" i="36" s="1"/>
  <c r="AD339" i="38"/>
  <c r="AC4" i="36" s="1"/>
  <c r="AK340" i="38"/>
  <c r="AJ5" i="36" s="1"/>
  <c r="N359" i="38"/>
  <c r="M24" i="36" s="1"/>
  <c r="AG347" i="38"/>
  <c r="AF12" i="36" s="1"/>
  <c r="AB337" i="38"/>
  <c r="AA2" i="36" s="1"/>
  <c r="T366" i="38"/>
  <c r="S31" i="36" s="1"/>
  <c r="W355" i="38"/>
  <c r="V20" i="36" s="1"/>
  <c r="V344" i="38"/>
  <c r="U9" i="36" s="1"/>
  <c r="AC360" i="38"/>
  <c r="AB25" i="36" s="1"/>
  <c r="AE349" i="38"/>
  <c r="AD14" i="36" s="1"/>
  <c r="O337" i="38"/>
  <c r="N2" i="36" s="1"/>
  <c r="AP340" i="38"/>
  <c r="AO5" i="36" s="1"/>
  <c r="AG358" i="38"/>
  <c r="AF23" i="36" s="1"/>
  <c r="K349" i="38"/>
  <c r="J14" i="36" s="1"/>
  <c r="AE339" i="38"/>
  <c r="AD4" i="36" s="1"/>
  <c r="AC355" i="38"/>
  <c r="AB20" i="36" s="1"/>
  <c r="W376" i="38"/>
  <c r="V41" i="36" s="1"/>
  <c r="Z363" i="38"/>
  <c r="Y28" i="36" s="1"/>
  <c r="AC373" i="38"/>
  <c r="AB38" i="36" s="1"/>
  <c r="X359" i="38"/>
  <c r="W24" i="36" s="1"/>
  <c r="C342" i="38"/>
  <c r="B7" i="36" s="1"/>
  <c r="I374" i="38"/>
  <c r="H39" i="36" s="1"/>
  <c r="M360" i="38"/>
  <c r="L25" i="36" s="1"/>
  <c r="AR342" i="38"/>
  <c r="AQ7" i="36" s="1"/>
  <c r="AD354" i="38"/>
  <c r="AC19" i="36" s="1"/>
  <c r="R372" i="38"/>
  <c r="Q37" i="36" s="1"/>
  <c r="AG357" i="38"/>
  <c r="AF22" i="36" s="1"/>
  <c r="S339" i="38"/>
  <c r="R4" i="36" s="1"/>
  <c r="AB350" i="38"/>
  <c r="AA15" i="36" s="1"/>
  <c r="K371" i="38"/>
  <c r="J36" i="36" s="1"/>
  <c r="I356" i="38"/>
  <c r="H21" i="36" s="1"/>
  <c r="AF362" i="38"/>
  <c r="AE27" i="36" s="1"/>
  <c r="F356" i="38"/>
  <c r="E21" i="36" s="1"/>
  <c r="AA378" i="38"/>
  <c r="Z43" i="36" s="1"/>
  <c r="AE375" i="38"/>
  <c r="AD40" i="36" s="1"/>
  <c r="U362" i="38"/>
  <c r="T27" i="36" s="1"/>
  <c r="AI345" i="38"/>
  <c r="AH10" i="36" s="1"/>
  <c r="AQ367" i="38"/>
  <c r="AP32" i="36" s="1"/>
  <c r="AL372" i="38"/>
  <c r="AK37" i="36" s="1"/>
  <c r="T358" i="38"/>
  <c r="S23" i="36" s="1"/>
  <c r="S340" i="38"/>
  <c r="R5" i="36" s="1"/>
  <c r="AJ360" i="38"/>
  <c r="AI25" i="36" s="1"/>
  <c r="Y341" i="38"/>
  <c r="X6" i="36" s="1"/>
  <c r="AB375" i="38"/>
  <c r="AA40" i="36" s="1"/>
  <c r="P362" i="38"/>
  <c r="O27" i="36" s="1"/>
  <c r="AE345" i="38"/>
  <c r="AD10" i="36" s="1"/>
  <c r="N377" i="38"/>
  <c r="M42" i="36" s="1"/>
  <c r="AE364" i="38"/>
  <c r="AD29" i="36" s="1"/>
  <c r="Y348" i="38"/>
  <c r="X13" i="36" s="1"/>
  <c r="AN373" i="38"/>
  <c r="AM38" i="36" s="1"/>
  <c r="AM359" i="38"/>
  <c r="AL24" i="36" s="1"/>
  <c r="Z342" i="38"/>
  <c r="Y7" i="36" s="1"/>
  <c r="N354" i="38"/>
  <c r="M19" i="36" s="1"/>
  <c r="AK366" i="38"/>
  <c r="AJ31" i="36" s="1"/>
  <c r="AI351" i="38"/>
  <c r="AH16" i="36" s="1"/>
  <c r="Q365" i="38"/>
  <c r="P30" i="36" s="1"/>
  <c r="N365" i="38"/>
  <c r="M30" i="36" s="1"/>
  <c r="AC372" i="38"/>
  <c r="AB37" i="36" s="1"/>
  <c r="H358" i="38"/>
  <c r="G23" i="36" s="1"/>
  <c r="AN339" i="38"/>
  <c r="AM4" i="36" s="1"/>
  <c r="D366" i="38"/>
  <c r="C31" i="36" s="1"/>
  <c r="AM370" i="38"/>
  <c r="AL35" i="36" s="1"/>
  <c r="S337" i="38"/>
  <c r="R2" i="36" s="1"/>
  <c r="V367" i="38"/>
  <c r="U32" i="36" s="1"/>
  <c r="AF351" i="38"/>
  <c r="AE16" i="36" s="1"/>
  <c r="M367" i="38"/>
  <c r="L32" i="36" s="1"/>
  <c r="N356" i="38"/>
  <c r="M21" i="36" s="1"/>
  <c r="AM344" i="38"/>
  <c r="AL9" i="36" s="1"/>
  <c r="J366" i="38"/>
  <c r="I31" i="36" s="1"/>
  <c r="H355" i="38"/>
  <c r="G20" i="36" s="1"/>
  <c r="AD343" i="38"/>
  <c r="AC8" i="36" s="1"/>
  <c r="T345" i="38"/>
  <c r="S10" i="36" s="1"/>
  <c r="J344" i="38"/>
  <c r="I9" i="36" s="1"/>
  <c r="D375" i="38"/>
  <c r="C40" i="36" s="1"/>
  <c r="D365" i="38"/>
  <c r="C30" i="36" s="1"/>
  <c r="AN353" i="38"/>
  <c r="AM18" i="36" s="1"/>
  <c r="R342" i="38"/>
  <c r="Q7" i="36" s="1"/>
  <c r="AN363" i="38"/>
  <c r="AM28" i="36" s="1"/>
  <c r="AI352" i="38"/>
  <c r="AH17" i="36" s="1"/>
  <c r="I341" i="38"/>
  <c r="H6" i="36" s="1"/>
  <c r="D341" i="38"/>
  <c r="C6" i="36" s="1"/>
  <c r="AL365" i="38"/>
  <c r="AK30" i="36" s="1"/>
  <c r="W344" i="38"/>
  <c r="V9" i="36" s="1"/>
  <c r="AO367" i="38"/>
  <c r="AN32" i="36" s="1"/>
  <c r="AM343" i="38"/>
  <c r="AL8" i="36" s="1"/>
  <c r="AN370" i="38"/>
  <c r="AM35" i="36" s="1"/>
  <c r="P360" i="38"/>
  <c r="O25" i="36" s="1"/>
  <c r="H349" i="38"/>
  <c r="G14" i="36" s="1"/>
  <c r="H337" i="38"/>
  <c r="G2" i="36" s="1"/>
  <c r="AK339" i="38"/>
  <c r="AJ4" i="36" s="1"/>
  <c r="AI359" i="38"/>
  <c r="AH24" i="36" s="1"/>
  <c r="AH349" i="38"/>
  <c r="AG14" i="36" s="1"/>
  <c r="AG339" i="38"/>
  <c r="AF4" i="36" s="1"/>
  <c r="L370" i="38"/>
  <c r="K35" i="36" s="1"/>
  <c r="W360" i="38"/>
  <c r="V25" i="36" s="1"/>
  <c r="V350" i="38"/>
  <c r="U15" i="36" s="1"/>
  <c r="U340" i="38"/>
  <c r="T5" i="36" s="1"/>
  <c r="M358" i="38"/>
  <c r="L23" i="36" s="1"/>
  <c r="AG348" i="38"/>
  <c r="AF13" i="36" s="1"/>
  <c r="K339" i="38"/>
  <c r="J4" i="36" s="1"/>
  <c r="J356" i="38"/>
  <c r="I21" i="36" s="1"/>
  <c r="AF378" i="38"/>
  <c r="AE43" i="36" s="1"/>
  <c r="AR346" i="38"/>
  <c r="AQ11" i="36" s="1"/>
  <c r="C370" i="38"/>
  <c r="B35" i="36" s="1"/>
  <c r="Z354" i="38"/>
  <c r="Y19" i="36" s="1"/>
  <c r="D378" i="38"/>
  <c r="C43" i="36" s="1"/>
  <c r="Y354" i="38"/>
  <c r="X19" i="36" s="1"/>
  <c r="R369" i="38"/>
  <c r="Q34" i="36" s="1"/>
  <c r="AA374" i="38"/>
  <c r="Z39" i="36" s="1"/>
  <c r="AL360" i="38"/>
  <c r="AK25" i="36" s="1"/>
  <c r="AJ343" i="38"/>
  <c r="AI8" i="36" s="1"/>
  <c r="I375" i="38"/>
  <c r="H40" i="36" s="1"/>
  <c r="AF371" i="38"/>
  <c r="AE36" i="36" s="1"/>
  <c r="AM356" i="38"/>
  <c r="AL21" i="36" s="1"/>
  <c r="AN337" i="38"/>
  <c r="AM2" i="36" s="1"/>
  <c r="I359" i="38"/>
  <c r="H24" i="36" s="1"/>
  <c r="G339" i="38"/>
  <c r="F4" i="36" s="1"/>
  <c r="W374" i="38"/>
  <c r="V39" i="36" s="1"/>
  <c r="AH360" i="38"/>
  <c r="AG25" i="36" s="1"/>
  <c r="AF343" i="38"/>
  <c r="AE8" i="36" s="1"/>
  <c r="H376" i="38"/>
  <c r="G41" i="36" s="1"/>
  <c r="F363" i="38"/>
  <c r="E28" i="36" s="1"/>
  <c r="AD346" i="38"/>
  <c r="AC11" i="36" s="1"/>
  <c r="AH372" i="38"/>
  <c r="AG37" i="36" s="1"/>
  <c r="L358" i="38"/>
  <c r="K23" i="36" s="1"/>
  <c r="K340" i="38"/>
  <c r="J5" i="36" s="1"/>
  <c r="AM351" i="38"/>
  <c r="AL16" i="36" s="1"/>
  <c r="AC352" i="38"/>
  <c r="AB17" i="36" s="1"/>
  <c r="R343" i="38"/>
  <c r="Q8" i="36" s="1"/>
  <c r="R361" i="38"/>
  <c r="Q26" i="36" s="1"/>
  <c r="H362" i="38"/>
  <c r="G27" i="36" s="1"/>
  <c r="V371" i="38"/>
  <c r="U36" i="36" s="1"/>
  <c r="Y356" i="38"/>
  <c r="X21" i="36" s="1"/>
  <c r="R337" i="38"/>
  <c r="Q2" i="36" s="1"/>
  <c r="I362" i="38"/>
  <c r="H27" i="36" s="1"/>
  <c r="K368" i="38"/>
  <c r="J33" i="36" s="1"/>
  <c r="L378" i="38"/>
  <c r="K43" i="36" s="1"/>
  <c r="AQ365" i="38"/>
  <c r="AP30" i="36" s="1"/>
  <c r="D350" i="38"/>
  <c r="C15" i="36" s="1"/>
  <c r="L366" i="38"/>
  <c r="K31" i="36" s="1"/>
  <c r="I355" i="38"/>
  <c r="H20" i="36" s="1"/>
  <c r="AE343" i="38"/>
  <c r="AD8" i="36" s="1"/>
  <c r="H365" i="38"/>
  <c r="G30" i="36" s="1"/>
  <c r="D354" i="38"/>
  <c r="C19" i="36" s="1"/>
  <c r="W342" i="38"/>
  <c r="V7" i="36" s="1"/>
  <c r="K344" i="38"/>
  <c r="J9" i="36" s="1"/>
  <c r="D343" i="38"/>
  <c r="C8" i="36" s="1"/>
  <c r="F374" i="38"/>
  <c r="E39" i="36" s="1"/>
  <c r="AO363" i="38"/>
  <c r="AN28" i="36" s="1"/>
  <c r="AJ352" i="38"/>
  <c r="AI17" i="36" s="1"/>
  <c r="J341" i="38"/>
  <c r="I6" i="36" s="1"/>
  <c r="AJ362" i="38"/>
  <c r="AI27" i="36" s="1"/>
  <c r="AD351" i="38"/>
  <c r="AC16" i="36" s="1"/>
  <c r="AR339" i="38"/>
  <c r="AQ4" i="36" s="1"/>
  <c r="AL339" i="38"/>
  <c r="AK4" i="36" s="1"/>
  <c r="L364" i="38"/>
  <c r="K29" i="36" s="1"/>
  <c r="AE342" i="38"/>
  <c r="AD7" i="36" s="1"/>
  <c r="P365" i="38"/>
  <c r="O30" i="36" s="1"/>
  <c r="Q340" i="38"/>
  <c r="P5" i="36" s="1"/>
  <c r="AN369" i="38"/>
  <c r="AM34" i="36" s="1"/>
  <c r="J359" i="38"/>
  <c r="I24" i="36" s="1"/>
  <c r="AR347" i="38"/>
  <c r="AQ12" i="36" s="1"/>
  <c r="AL348" i="38"/>
  <c r="AK13" i="36" s="1"/>
  <c r="AK338" i="38"/>
  <c r="AJ3" i="36" s="1"/>
  <c r="AI358" i="38"/>
  <c r="AH23" i="36" s="1"/>
  <c r="AH348" i="38"/>
  <c r="AG13" i="36" s="1"/>
  <c r="AF338" i="38"/>
  <c r="AE3" i="36" s="1"/>
  <c r="N369" i="38"/>
  <c r="M34" i="36" s="1"/>
  <c r="W359" i="38"/>
  <c r="V24" i="36" s="1"/>
  <c r="V349" i="38"/>
  <c r="U14" i="36" s="1"/>
  <c r="U339" i="38"/>
  <c r="T4" i="36" s="1"/>
  <c r="O357" i="38"/>
  <c r="N22" i="36" s="1"/>
  <c r="AI347" i="38"/>
  <c r="AH12" i="36" s="1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2" i="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<sst xmlns="http://schemas.openxmlformats.org/spreadsheetml/2006/main" count="2888" uniqueCount="698">
  <si>
    <t>Source:</t>
  </si>
  <si>
    <t>OECD</t>
  </si>
  <si>
    <t>Notes</t>
  </si>
  <si>
    <t>DLIM Domestic Leontief Inverse Matrix</t>
  </si>
  <si>
    <t>ISIC 01T03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</si>
  <si>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</si>
  <si>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</si>
  <si>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</si>
  <si>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</si>
  <si>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</si>
  <si>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</si>
  <si>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</si>
  <si>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22</t>
  </si>
  <si>
    <t>ISIC 25</t>
  </si>
  <si>
    <t>ISIC 26</t>
  </si>
  <si>
    <t>ISIC 27</t>
  </si>
  <si>
    <t>ISIC 28</t>
  </si>
  <si>
    <t>ISIC 29</t>
  </si>
  <si>
    <t>ISIC 30</t>
  </si>
  <si>
    <t>ISIC 31T33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</si>
  <si>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</si>
  <si>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</si>
  <si>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</si>
  <si>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</si>
  <si>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</si>
  <si>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</si>
  <si>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</si>
  <si>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</si>
  <si>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</si>
  <si>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</si>
  <si>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</si>
  <si>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</si>
  <si>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</si>
  <si>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</si>
  <si>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</si>
  <si>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OECD Stat directly provides Leontief inverse matrices, both total and domestic-only, for</t>
  </si>
  <si>
    <t>64 countries and regions.</t>
  </si>
  <si>
    <t>If you don't have a pre-calculated Leontief inverse matrix, you can calculate one from a standard</t>
  </si>
  <si>
    <t>which can be done in Excel with the MINVERSE function.</t>
  </si>
  <si>
    <t>the diagonal and values between 0 and 0.3 elsewhere (usually between 0 and 0.1).</t>
  </si>
  <si>
    <t>as the column headings).  There should be no "total" or other special rows or columns.</t>
  </si>
  <si>
    <t>A domestic-only Leontief matrix filters out payments to foreign suppliers from the respending</t>
  </si>
  <si>
    <t>calculations.  This type of Leontief matrix must be multiplied by a change in domestic (not total)</t>
  </si>
  <si>
    <t>Conversely, a "Total" Leontief matrix must be multiplied by a change in total (not domestic)</t>
  </si>
  <si>
    <t>output by ISIC code, as it does not filter the direct output changes by which it is multiplied.</t>
  </si>
  <si>
    <t>output by ISIC code, as it cannot restore imports that were removed from the direct output changes</t>
  </si>
  <si>
    <t>by which it is multiplied.</t>
  </si>
  <si>
    <t>Meaning</t>
  </si>
  <si>
    <t>ISIC Code</t>
  </si>
  <si>
    <t>Pasted as Values</t>
  </si>
  <si>
    <t>01T03: Agriculture, forestry and fishing</t>
  </si>
  <si>
    <t>07T08: Mining and quarrying of non-energy producing products</t>
  </si>
  <si>
    <t>09: Mining support service activities</t>
  </si>
  <si>
    <t>10T12: Food products, beverages and tobacco</t>
  </si>
  <si>
    <t>13T15: Textiles, wearing apparel, leather and related products</t>
  </si>
  <si>
    <t>16: Wood and of products of wood and cork (except furniture)</t>
  </si>
  <si>
    <t>17T18: Paper products and printing</t>
  </si>
  <si>
    <t>19: Coke and refined petroleum products</t>
  </si>
  <si>
    <t>ISIC 20</t>
  </si>
  <si>
    <t>ISIC 21</t>
  </si>
  <si>
    <t>22: Rubber and plastics products</t>
  </si>
  <si>
    <t>25: Fabricated metal products, except machinery and equipment</t>
  </si>
  <si>
    <t>26: Computer, electronic and optical products</t>
  </si>
  <si>
    <t>27: Electrical equipment</t>
  </si>
  <si>
    <t>28: Machinery and equipment n.e.c.</t>
  </si>
  <si>
    <t>29: Motor vehicles, trailers and semi-trailers</t>
  </si>
  <si>
    <t>30: Other transport equipment</t>
  </si>
  <si>
    <t>31T33: Other manufacturing; repair and installation of machinery and equipment</t>
  </si>
  <si>
    <t>41T43: Construction</t>
  </si>
  <si>
    <t>45T47: Wholesale and retail trade; repair of motor vehicles</t>
  </si>
  <si>
    <t>49T53: Transportation and storage</t>
  </si>
  <si>
    <t>55T56: Accomodation and food services</t>
  </si>
  <si>
    <t>58T60: Publishing, audiovisual and broadcasting activities</t>
  </si>
  <si>
    <t>61: Telecommunications</t>
  </si>
  <si>
    <t>62T63: IT and other information services</t>
  </si>
  <si>
    <t>64T66: Financial and insurance activities</t>
  </si>
  <si>
    <t>68: Real estate activities</t>
  </si>
  <si>
    <t>69T82: Other business sector services</t>
  </si>
  <si>
    <t>84: Public administration and defence; compulsory social security</t>
  </si>
  <si>
    <t>85: Education</t>
  </si>
  <si>
    <t>86T88: Human health and social work</t>
  </si>
  <si>
    <t>90T96: Arts, entertainment, recreation and other service activities</t>
  </si>
  <si>
    <t>97T98: Private households with employed persons</t>
  </si>
  <si>
    <t>Forestry and logging</t>
  </si>
  <si>
    <t>Construction</t>
  </si>
  <si>
    <t>All of the pale orange-colored tabs are used only to create the BEA-derived Leontief</t>
  </si>
  <si>
    <t>Most Data</t>
  </si>
  <si>
    <t>The result is the Leontief Inverse Matrix.  It should generally have values between 1 and 1.3 along</t>
  </si>
  <si>
    <t>20: Chemicals</t>
  </si>
  <si>
    <t>21: Pharmaceuticals</t>
  </si>
  <si>
    <t>In the original OECD data, chemicals and pharmaceuticals are grouped into ISIC 20T21.</t>
  </si>
  <si>
    <t>We separate them out for use in the EPS.</t>
  </si>
  <si>
    <t>For the U.S., we use the BEA "Requirements" table (which contains Leontief-style multipliers),</t>
  </si>
  <si>
    <t>reallocated into OECD's ISIC code categories using output-weighted averaging.</t>
  </si>
  <si>
    <t>Note that if your input-output table is more disaggregated than the OECD's ISIC codes,</t>
  </si>
  <si>
    <t>1. Ensure your input-output table is square (the row headings are the same entities</t>
  </si>
  <si>
    <t>Each row of the table should show the dollar value of the outputs of the industry in that row</t>
  </si>
  <si>
    <t>that is purchased by the industry in each column.</t>
  </si>
  <si>
    <t>you cannot sum up the cash flows prior to transforming it into a Leontief Inverse Matrix.</t>
  </si>
  <si>
    <t>You will get the wrong multipliers if you do that.  You must first transform the I/O table</t>
  </si>
  <si>
    <t xml:space="preserve">used to consolidate the BEA Leontief multipliers into ISIC codes on the </t>
  </si>
  <si>
    <t>into a Leontief Matrix (using the procedure below) while preserving all of its original</t>
  </si>
  <si>
    <t>rows and columns.  Then, you can consolidate the resulting Leontief</t>
  </si>
  <si>
    <t>3. Create an identity matrix (I) with the same dimensions as your input-output table.</t>
  </si>
  <si>
    <t>4. Subtract your input-output table from the identity matrix (I - A).</t>
  </si>
  <si>
    <t>5. Invert the matrix you just obtained (I-A)^-1.  This requries a matrix inversion operation,</t>
  </si>
  <si>
    <t>multipliers into OECD ISIC codes using weighted averaging.  To do this, follow the procedure</t>
  </si>
  <si>
    <t>"Weighted Avg BEA Multipliers" tab as a guide.</t>
  </si>
  <si>
    <t>2. Divide each cell by the total output of the industry specified in the column.  Now each cell</t>
  </si>
  <si>
    <r>
      <t xml:space="preserve">contains the </t>
    </r>
    <r>
      <rPr>
        <b/>
        <sz val="11"/>
        <color theme="1"/>
        <rFont val="Calibri"/>
        <family val="2"/>
        <scheme val="minor"/>
      </rPr>
      <t>direct purchases per dollar of output</t>
    </r>
    <r>
      <rPr>
        <sz val="11"/>
        <color theme="1"/>
        <rFont val="Calibri"/>
        <family val="2"/>
        <scheme val="minor"/>
      </rPr>
      <t xml:space="preserve"> purchased by the industry in the column from</t>
    </r>
  </si>
  <si>
    <t>the industry in the row.  This is the "A" matrix.</t>
  </si>
  <si>
    <t>input-output table using the following steps:</t>
  </si>
  <si>
    <t>Read all of the directions below before you begin creating your own Leontief inverse matrix.</t>
  </si>
  <si>
    <t>An identity matrix has 1s along the diagonal (matching row and column headers) and zeroes elsewhere.</t>
  </si>
  <si>
    <t>before creating a Leontief Inverse Matrix.</t>
  </si>
  <si>
    <t>if you try to sum smaller categories from a highly disaggregated I/O table into an OECD ISIC code</t>
  </si>
  <si>
    <t>Some data sources may provide the "A" matrix directly, in which case, skip steps 1 and 2.</t>
  </si>
  <si>
    <t>A result above 1.5 along the diagonal may be an error, which can arise (for example)</t>
  </si>
  <si>
    <t>For details on how this is done, see the "Weighted Avg BEA Multipliers" tab.</t>
  </si>
  <si>
    <t>ISIC 06</t>
  </si>
  <si>
    <t>ISIC 05</t>
  </si>
  <si>
    <t>05: Coal mining</t>
  </si>
  <si>
    <t>In the original OECD data, coal mining and oil and gas extraction are grouped into ISIC 05T06.</t>
  </si>
  <si>
    <t>06: Oil and gas extraction</t>
  </si>
  <si>
    <t>Splitting OECD Joined ISIC Codes</t>
  </si>
  <si>
    <t>231: Glass</t>
  </si>
  <si>
    <t>239: Cement and other nometallic minerals</t>
  </si>
  <si>
    <t>241: Iron and steel</t>
  </si>
  <si>
    <t>242: Other metals</t>
  </si>
  <si>
    <t>351: Electricity generation and distribution</t>
  </si>
  <si>
    <t>352T353: Energy pipelines and gas processing</t>
  </si>
  <si>
    <t>36T39: Water and waste</t>
  </si>
  <si>
    <t>ISIC 231</t>
  </si>
  <si>
    <t>ISIC 239</t>
  </si>
  <si>
    <t>ISIC 241</t>
  </si>
  <si>
    <t>ISIC 242</t>
  </si>
  <si>
    <t>ISIC 351</t>
  </si>
  <si>
    <t>ISIC 352T353</t>
  </si>
  <si>
    <t>ISIC 36T39</t>
  </si>
  <si>
    <t>In the original OECD data, all nonmetallic minerals are grouped into ISIC 23.</t>
  </si>
  <si>
    <t>In the original OECD data, all metals are grouped into ISIC 24.</t>
  </si>
  <si>
    <t>In the original OECD data, all utilities are grouped into ISIC 35T39.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</si>
  <si>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</si>
  <si>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</si>
  <si>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</si>
  <si>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</si>
  <si>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</si>
  <si>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</si>
  <si>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</si>
  <si>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</si>
  <si>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</si>
  <si>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</si>
  <si>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</si>
  <si>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</si>
  <si>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</si>
  <si>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</si>
  <si>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</si>
  <si>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</si>
  <si>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</si>
  <si>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</si>
  <si>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</si>
  <si>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</si>
  <si>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</si>
  <si>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</si>
  <si>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</si>
  <si>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</si>
  <si>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</si>
  <si>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</si>
  <si>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</si>
  <si>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</si>
  <si>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</si>
  <si>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</si>
  <si>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</si>
  <si>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</si>
  <si>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</si>
  <si>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</si>
  <si>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</si>
  <si>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</si>
  <si>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</si>
  <si>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</si>
  <si>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</si>
  <si>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</si>
  <si>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</si>
  <si>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</si>
  <si>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</si>
  <si>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</si>
  <si>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</si>
  <si>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</si>
  <si>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</si>
  <si>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</si>
  <si>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</si>
  <si>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</si>
  <si>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</si>
  <si>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</si>
  <si>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</si>
  <si>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</si>
  <si>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</si>
  <si>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</si>
  <si>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</si>
  <si>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</si>
  <si>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</si>
  <si>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</si>
  <si>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</si>
  <si>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</si>
  <si>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</si>
  <si>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</si>
  <si>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</si>
  <si>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</si>
  <si>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</si>
  <si>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</si>
  <si>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</si>
  <si>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</si>
  <si>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</si>
  <si>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</si>
  <si>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</si>
  <si>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</si>
  <si>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</si>
  <si>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</si>
  <si>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</si>
  <si>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</si>
  <si>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</si>
  <si>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</si>
  <si>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</si>
  <si>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</si>
  <si>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</si>
  <si>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</si>
  <si>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</si>
  <si>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</si>
  <si>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</si>
  <si>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</si>
  <si>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</si>
  <si>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</si>
  <si>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</si>
  <si>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</si>
  <si>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</si>
  <si>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</si>
  <si>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</si>
  <si>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</si>
  <si>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</si>
  <si>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</si>
  <si>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</si>
  <si>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</si>
  <si>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</si>
  <si>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</si>
  <si>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</si>
  <si>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</si>
  <si>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</si>
  <si>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</si>
  <si>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</si>
  <si>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</si>
  <si>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</si>
  <si>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</si>
  <si>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</si>
  <si>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</si>
  <si>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</si>
  <si>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</si>
  <si>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</si>
  <si>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</si>
  <si>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</si>
  <si>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</si>
  <si>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</si>
  <si>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</si>
  <si>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</si>
  <si>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</si>
  <si>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</si>
  <si>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</si>
  <si>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</si>
  <si>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</si>
  <si>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</si>
  <si>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</si>
  <si>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</si>
  <si>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</si>
  <si>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</si>
  <si>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</si>
  <si>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</si>
  <si>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</si>
  <si>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</si>
  <si>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</si>
  <si>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</si>
  <si>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</si>
  <si>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</si>
  <si>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</si>
  <si>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</si>
  <si>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</si>
  <si>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</si>
  <si>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</si>
  <si>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</si>
  <si>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</si>
  <si>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</si>
  <si>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</si>
  <si>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</si>
  <si>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</si>
  <si>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</si>
  <si>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</si>
  <si>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</si>
  <si>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</si>
  <si>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</si>
  <si>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</si>
  <si>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</si>
  <si>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</si>
  <si>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</si>
  <si>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</si>
  <si>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</si>
  <si>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</si>
  <si>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</si>
  <si>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</si>
  <si>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</si>
  <si>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</si>
  <si>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</si>
  <si>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</si>
  <si>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</si>
  <si>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</si>
  <si>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</si>
  <si>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</si>
  <si>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</si>
  <si>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</si>
  <si>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</si>
  <si>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</si>
  <si>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</si>
  <si>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</si>
  <si>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</si>
  <si>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</si>
  <si>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</si>
  <si>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</si>
  <si>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</si>
  <si>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</si>
  <si>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</si>
  <si>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</si>
  <si>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</si>
  <si>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</si>
  <si>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</si>
  <si>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</si>
  <si>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</si>
  <si>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</si>
  <si>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</si>
  <si>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</si>
  <si>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</si>
  <si>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</si>
  <si>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</si>
  <si>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</si>
  <si>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</si>
  <si>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</si>
  <si>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A01</t>
  </si>
  <si>
    <t>A02</t>
  </si>
  <si>
    <t>A03</t>
  </si>
  <si>
    <t>C16</t>
  </si>
  <si>
    <t>C19</t>
  </si>
  <si>
    <t>C20</t>
  </si>
  <si>
    <t>C21</t>
  </si>
  <si>
    <t>C22</t>
  </si>
  <si>
    <t>C23</t>
  </si>
  <si>
    <t>C25</t>
  </si>
  <si>
    <t>C26</t>
  </si>
  <si>
    <t>C27</t>
  </si>
  <si>
    <t>C28</t>
  </si>
  <si>
    <t>C29</t>
  </si>
  <si>
    <t>F</t>
  </si>
  <si>
    <t>H49</t>
  </si>
  <si>
    <t>H50</t>
  </si>
  <si>
    <t>H51</t>
  </si>
  <si>
    <t>H52</t>
  </si>
  <si>
    <t>H53</t>
  </si>
  <si>
    <t>I</t>
  </si>
  <si>
    <t>J61</t>
  </si>
  <si>
    <t>N</t>
  </si>
  <si>
    <t>Q</t>
  </si>
  <si>
    <t>T</t>
  </si>
  <si>
    <t>GFCF</t>
  </si>
  <si>
    <t>Fishing and aquaculture</t>
  </si>
  <si>
    <t>Manufacture of other transport equipment</t>
  </si>
  <si>
    <t>Electricity, gas, steam and air conditioning supply</t>
  </si>
  <si>
    <t>Land transport and transport via pipelines</t>
  </si>
  <si>
    <t>Water transport</t>
  </si>
  <si>
    <t>Air transport</t>
  </si>
  <si>
    <t>Warehousing and support activities for transportation</t>
  </si>
  <si>
    <t>Postal and courier activities</t>
  </si>
  <si>
    <t>Accommodation and food service activities</t>
  </si>
  <si>
    <t>Telecommunications</t>
  </si>
  <si>
    <t>Real estate activities</t>
  </si>
  <si>
    <t>Public administration and defence; compulsory social security</t>
  </si>
  <si>
    <t>Education</t>
  </si>
  <si>
    <t>Human health and social work activities</t>
  </si>
  <si>
    <t>Other service activities</t>
  </si>
  <si>
    <t>Activities of households as employers; undifferentiated goods- and services-producing activities of households for own use</t>
  </si>
  <si>
    <t>Domestic</t>
  </si>
  <si>
    <t>Imports</t>
  </si>
  <si>
    <t>Value added at basic prices</t>
  </si>
  <si>
    <t>Output at basic prices</t>
  </si>
  <si>
    <t>Exiobase</t>
  </si>
  <si>
    <t>Variable: LEONTFD</t>
  </si>
  <si>
    <t>Split for Chemicals/Pharmaceuticals and Coal/Petroleum Extraction Industries</t>
  </si>
  <si>
    <t>World Input-Output Database</t>
  </si>
  <si>
    <t>National IO Tables</t>
  </si>
  <si>
    <t>http://www.wiod.org/database/niots16</t>
  </si>
  <si>
    <t>Split for All Other ISIC Codes</t>
  </si>
  <si>
    <t>Exiobase 3rx, 2016</t>
  </si>
  <si>
    <t>https://zenodo.org/record/2654460#.YEFjHmhKg2w</t>
  </si>
  <si>
    <t xml:space="preserve">light orange highlightings) and Exiobase (see cells with yellow highlighting). We follow the procedure below </t>
  </si>
  <si>
    <t>for those ISIC code splits. For certain cells in the ISIC 20/21 split highlighted in dark orange, the WIOD data source</t>
  </si>
  <si>
    <t>is not disaggregated enough to provide all values (for example, we only know the value for ISIC 20 to the lumped</t>
  </si>
  <si>
    <t>ISIC codes 05 and 06. We assume the same value for those cells.</t>
  </si>
  <si>
    <t>The OECD tables group the chemicals and pharmaceuticals industries (ISIC 20T21).  The EPS</t>
  </si>
  <si>
    <t>needs these to be disaggregated to calculate cash flows directly.  Accordingly, we calculate</t>
  </si>
  <si>
    <t>these rows and columns using a separate data source.</t>
  </si>
  <si>
    <t>We do the same to split up ISIC 05T06, coal mining and oil and gas extraction.</t>
  </si>
  <si>
    <t>Inverse Matrix for use in splitting apart ISIC 20T21 and are not otherwise used.</t>
  </si>
  <si>
    <t>A matrix, KOR</t>
  </si>
  <si>
    <t>Korea NIOT, 2014 domestic data</t>
  </si>
  <si>
    <t xml:space="preserve">For Korea, we use OECD data where possible, and use the World Input-Output Database (WIOD, see cells with </t>
  </si>
  <si>
    <t>https://www.oecd.org/en/data/datasets/input-output-tables.html</t>
  </si>
  <si>
    <t>OUTPUT</t>
  </si>
  <si>
    <t>VALU</t>
  </si>
  <si>
    <t>TTL_INT_FNL</t>
  </si>
  <si>
    <t>TXS_INT_FNL</t>
  </si>
  <si>
    <t>IMP_OTHER</t>
  </si>
  <si>
    <t>IMP_T</t>
  </si>
  <si>
    <t>IMP_S</t>
  </si>
  <si>
    <t>IMP_R</t>
  </si>
  <si>
    <t>IMP_Q</t>
  </si>
  <si>
    <t>IMP_P</t>
  </si>
  <si>
    <t>IMP_O</t>
  </si>
  <si>
    <t>IMP_N</t>
  </si>
  <si>
    <t>IMP_M</t>
  </si>
  <si>
    <t>IMP_L</t>
  </si>
  <si>
    <t>IMP_K</t>
  </si>
  <si>
    <t>IMP_J62_63</t>
  </si>
  <si>
    <t>IMP_J61</t>
  </si>
  <si>
    <t>IMP_J58T60</t>
  </si>
  <si>
    <t>IMP_I</t>
  </si>
  <si>
    <t>IMP_H53</t>
  </si>
  <si>
    <t>IMP_H52</t>
  </si>
  <si>
    <t>IMP_H51</t>
  </si>
  <si>
    <t>IMP_H50</t>
  </si>
  <si>
    <t>IMP_H49</t>
  </si>
  <si>
    <t>IMP_G</t>
  </si>
  <si>
    <t>IMP_F</t>
  </si>
  <si>
    <t>IMP_E</t>
  </si>
  <si>
    <t>IMP_D</t>
  </si>
  <si>
    <t>IMP_C31T33</t>
  </si>
  <si>
    <t>IMP_C302T309</t>
  </si>
  <si>
    <t>IMP_C301</t>
  </si>
  <si>
    <t>IMP_C29</t>
  </si>
  <si>
    <t>IMP_C28</t>
  </si>
  <si>
    <t>IMP_C27</t>
  </si>
  <si>
    <t>IMP_C26</t>
  </si>
  <si>
    <t>IMP_C25</t>
  </si>
  <si>
    <t>IMP_C24B</t>
  </si>
  <si>
    <t>IMP_C24A</t>
  </si>
  <si>
    <t>IMP_C23</t>
  </si>
  <si>
    <t>IMP_C22</t>
  </si>
  <si>
    <t>IMP_C21</t>
  </si>
  <si>
    <t>IMP_C20</t>
  </si>
  <si>
    <t>IMP_C19</t>
  </si>
  <si>
    <t>IMP_C17_18</t>
  </si>
  <si>
    <t>IMP_C16</t>
  </si>
  <si>
    <t>IMP_C13T15</t>
  </si>
  <si>
    <t>IMP_C10T12</t>
  </si>
  <si>
    <t>IMP_B09</t>
  </si>
  <si>
    <t>IMP_B08</t>
  </si>
  <si>
    <t>IMP_B07</t>
  </si>
  <si>
    <t>IMP_B06</t>
  </si>
  <si>
    <t>IMP_B05</t>
  </si>
  <si>
    <t>IMP_A03</t>
  </si>
  <si>
    <t>IMP_A02</t>
  </si>
  <si>
    <t>IMP_A01</t>
  </si>
  <si>
    <t>DOM_T</t>
  </si>
  <si>
    <t>DOM_S</t>
  </si>
  <si>
    <t>DOM_R</t>
  </si>
  <si>
    <t>DOM_Q</t>
  </si>
  <si>
    <t>DOM_P</t>
  </si>
  <si>
    <t>DOM_O</t>
  </si>
  <si>
    <t>DOM_N</t>
  </si>
  <si>
    <t>DOM_M</t>
  </si>
  <si>
    <t>DOM_L</t>
  </si>
  <si>
    <t>DOM_K</t>
  </si>
  <si>
    <t>DOM_J62_63</t>
  </si>
  <si>
    <t>DOM_J61</t>
  </si>
  <si>
    <t>DOM_J58T60</t>
  </si>
  <si>
    <t>DOM_I</t>
  </si>
  <si>
    <t>DOM_H53</t>
  </si>
  <si>
    <t>DOM_H52</t>
  </si>
  <si>
    <t>DOM_H51</t>
  </si>
  <si>
    <t>DOM_H50</t>
  </si>
  <si>
    <t>DOM_H49</t>
  </si>
  <si>
    <t>DOM_G</t>
  </si>
  <si>
    <t>DOM_F</t>
  </si>
  <si>
    <t>DOM_E</t>
  </si>
  <si>
    <t>DOM_D</t>
  </si>
  <si>
    <t>DOM_C31T33</t>
  </si>
  <si>
    <t>DOM_C302T309</t>
  </si>
  <si>
    <t>DOM_C301</t>
  </si>
  <si>
    <t>DOM_C29</t>
  </si>
  <si>
    <t>DOM_C28</t>
  </si>
  <si>
    <t>DOM_C27</t>
  </si>
  <si>
    <t>DOM_C26</t>
  </si>
  <si>
    <t>DOM_C25</t>
  </si>
  <si>
    <t>DOM_C24B</t>
  </si>
  <si>
    <t>DOM_C24A</t>
  </si>
  <si>
    <t>DOM_C23</t>
  </si>
  <si>
    <t>DOM_C22</t>
  </si>
  <si>
    <t>DOM_C21</t>
  </si>
  <si>
    <t>DOM_C20</t>
  </si>
  <si>
    <t>DOM_C19</t>
  </si>
  <si>
    <t>DOM_C17_18</t>
  </si>
  <si>
    <t>DOM_C16</t>
  </si>
  <si>
    <t>DOM_C13T15</t>
  </si>
  <si>
    <t>DOM_C10T12</t>
  </si>
  <si>
    <t>DOM_B09</t>
  </si>
  <si>
    <t>DOM_B08</t>
  </si>
  <si>
    <t>DOM_B07</t>
  </si>
  <si>
    <t>DOM_B06</t>
  </si>
  <si>
    <t>DOM_B05</t>
  </si>
  <si>
    <t>DOM_A03</t>
  </si>
  <si>
    <t>DOM_A02</t>
  </si>
  <si>
    <t>DOM_A01</t>
  </si>
  <si>
    <t>TOTAL</t>
  </si>
  <si>
    <t>..</t>
  </si>
  <si>
    <t>EXPO</t>
  </si>
  <si>
    <t>CONS_NONRES</t>
  </si>
  <si>
    <t>DPABR</t>
  </si>
  <si>
    <t>INVNT</t>
  </si>
  <si>
    <t>GGFC</t>
  </si>
  <si>
    <t>NPISH</t>
  </si>
  <si>
    <t>HFCE</t>
  </si>
  <si>
    <t>S</t>
  </si>
  <si>
    <t>R</t>
  </si>
  <si>
    <t>P</t>
  </si>
  <si>
    <t>O</t>
  </si>
  <si>
    <t>M</t>
  </si>
  <si>
    <t>L</t>
  </si>
  <si>
    <t>K</t>
  </si>
  <si>
    <t>J62_63</t>
  </si>
  <si>
    <t>J58T60</t>
  </si>
  <si>
    <t>G</t>
  </si>
  <si>
    <t>E</t>
  </si>
  <si>
    <t>D</t>
  </si>
  <si>
    <t>C31T33</t>
  </si>
  <si>
    <t>C302T309</t>
  </si>
  <si>
    <t>C301</t>
  </si>
  <si>
    <t>C24B</t>
  </si>
  <si>
    <t>C24A</t>
  </si>
  <si>
    <t>C17_18</t>
  </si>
  <si>
    <t>C13T15</t>
  </si>
  <si>
    <t>C10T12</t>
  </si>
  <si>
    <t>B09</t>
  </si>
  <si>
    <t>B08</t>
  </si>
  <si>
    <t>B07</t>
  </si>
  <si>
    <t>B06</t>
  </si>
  <si>
    <t>B05</t>
  </si>
  <si>
    <t>I-A Matrix</t>
  </si>
  <si>
    <t>Identity Matrix</t>
  </si>
  <si>
    <t>OTHER IMPORTS</t>
  </si>
  <si>
    <t>imports</t>
  </si>
  <si>
    <t>Consolidated Matrix to ISIC Codes</t>
  </si>
  <si>
    <t>Original Output and Imports Matrices</t>
  </si>
  <si>
    <t>Proportional shares for non-metallic minerals</t>
  </si>
  <si>
    <t>Total Values</t>
  </si>
  <si>
    <t>Total intermediate consumption at purchasers’ prices</t>
  </si>
  <si>
    <t xml:space="preserve">Taxes less subsidies on intermediate and final products (paid in domestic agencies, includes duty on imported products) </t>
  </si>
  <si>
    <t>Other imports</t>
  </si>
  <si>
    <t>Import</t>
  </si>
  <si>
    <t>Arts, entertainment and recreation</t>
  </si>
  <si>
    <t>Administrative and support services</t>
  </si>
  <si>
    <t>Professional, scientific and technical activities</t>
  </si>
  <si>
    <t>Financial and insurance activities</t>
  </si>
  <si>
    <t>IT and other information services</t>
  </si>
  <si>
    <t>Publishing, audiovisual and broadcasting activities</t>
  </si>
  <si>
    <t>Wholesale and retail trade; repair of motor vehicles</t>
  </si>
  <si>
    <t>Water supply; sewerage, waste management and remediation activities</t>
  </si>
  <si>
    <t>Manufacturing nec; repair and installation of machinery and equipment</t>
  </si>
  <si>
    <t>Building of ships and boats</t>
  </si>
  <si>
    <t>Motor vehicles, trailers and semi-trailers</t>
  </si>
  <si>
    <t xml:space="preserve">Machinery and equipment, nec </t>
  </si>
  <si>
    <t>Electrical equipment</t>
  </si>
  <si>
    <t>Computer, electronic and optical equipment</t>
  </si>
  <si>
    <t>Fabricated metal products</t>
  </si>
  <si>
    <t>Manufacture of basic precious and other non-ferrous metals</t>
  </si>
  <si>
    <t>Manufacture of basic iron and steel</t>
  </si>
  <si>
    <t>Rubber and plastics products</t>
  </si>
  <si>
    <t>Pharmaceuticals, medicinal chemical and botanical products</t>
  </si>
  <si>
    <t>Chemical and chemical products</t>
  </si>
  <si>
    <t>Coke and refined petroleum products</t>
  </si>
  <si>
    <t>Paper products; printing and reproduction of recorded media</t>
  </si>
  <si>
    <t>Wood and products of wood and cork</t>
  </si>
  <si>
    <t>Total</t>
  </si>
  <si>
    <t>Textiles, textile products, leather and footwear</t>
  </si>
  <si>
    <t>Imports (cross border)</t>
  </si>
  <si>
    <t>IMPO</t>
  </si>
  <si>
    <t>Food products, beverages and tobacco</t>
  </si>
  <si>
    <t>Exports (cross border)</t>
  </si>
  <si>
    <t>Mining support service activities</t>
  </si>
  <si>
    <t>Direct purchases by non-residents (exports)</t>
  </si>
  <si>
    <t>Other mining and quarrying</t>
  </si>
  <si>
    <t>Direct purchases abroad (part of imports and household consumption)</t>
  </si>
  <si>
    <t>Mining of metal ores</t>
  </si>
  <si>
    <t>Changes in inventories and Acquisitions less disposals of valuables</t>
  </si>
  <si>
    <t>Extraction of crude petroleum and natural gas</t>
  </si>
  <si>
    <t>Gross Fixed Capital Formation</t>
  </si>
  <si>
    <t>Mining of coal and lignite</t>
  </si>
  <si>
    <t>Final consumption expenditure of general government</t>
  </si>
  <si>
    <t>Final consumption expenditure of non-profit institutions serving households</t>
  </si>
  <si>
    <t>Household final consumption expenditure (excluding direct purchases)</t>
  </si>
  <si>
    <t>Agriculture and hunting</t>
  </si>
  <si>
    <t>{Private households with employed persons}</t>
  </si>
  <si>
    <t>{Arts, entertainment, recreation and other service activities}</t>
  </si>
  <si>
    <t>ISIC 90T96,</t>
  </si>
  <si>
    <t>{Human health and social work}</t>
  </si>
  <si>
    <t>ISIC 86T88,</t>
  </si>
  <si>
    <t>{Education}</t>
  </si>
  <si>
    <t>ISIC 85,</t>
  </si>
  <si>
    <t>{Public administration and defence; compulsory social security}</t>
  </si>
  <si>
    <t>ISIC 84,</t>
  </si>
  <si>
    <t>{Other business sector services}</t>
  </si>
  <si>
    <t>ISIC 69T82,</t>
  </si>
  <si>
    <t>{Real estate activities}</t>
  </si>
  <si>
    <t>ISIC 68,</t>
  </si>
  <si>
    <t>{Financial and insurance activities}</t>
  </si>
  <si>
    <t>ISIC 64T66,</t>
  </si>
  <si>
    <t>{IT and other information services}</t>
  </si>
  <si>
    <t>ISIC 62T63,</t>
  </si>
  <si>
    <t>{Telecommunications}</t>
  </si>
  <si>
    <t>ISIC 61,</t>
  </si>
  <si>
    <t>{Publishing, audiovisual and broadcasting activities}</t>
  </si>
  <si>
    <t>ISIC 58T60,</t>
  </si>
  <si>
    <t>{Accomodation and food services}</t>
  </si>
  <si>
    <t>ISIC 55T56,</t>
  </si>
  <si>
    <t>{Transportation and storage}</t>
  </si>
  <si>
    <t>ISIC 49T53,</t>
  </si>
  <si>
    <t>{Wholesale and retail trade; repair of motor vehicles}</t>
  </si>
  <si>
    <t>ISIC 45T47,</t>
  </si>
  <si>
    <t>{Construction}</t>
  </si>
  <si>
    <t>ISIC 41T43,</t>
  </si>
  <si>
    <t>{Water and waste}</t>
  </si>
  <si>
    <t>ISIC 36T39,</t>
  </si>
  <si>
    <t>{Energy pipelines and gas processing}</t>
  </si>
  <si>
    <t>ISIC 352T353,</t>
  </si>
  <si>
    <t>{Electricity generation and distribution}</t>
  </si>
  <si>
    <t>ISIC 351,</t>
  </si>
  <si>
    <t>{Other manufacturing; repair and installation of machinery and equipment}</t>
  </si>
  <si>
    <t>ISIC 31T33,</t>
  </si>
  <si>
    <t>{Other transport equipment}</t>
  </si>
  <si>
    <t>ISIC 30,</t>
  </si>
  <si>
    <t>{Motor vehicles, trailers and semi-trailers}</t>
  </si>
  <si>
    <t>ISIC 29,</t>
  </si>
  <si>
    <t>{Machinery and equipment n.e.c.}</t>
  </si>
  <si>
    <t>ISIC 28,</t>
  </si>
  <si>
    <t>{Electrical equipment}</t>
  </si>
  <si>
    <t>ISIC 27,</t>
  </si>
  <si>
    <t>{Computer, electronic and optical products}</t>
  </si>
  <si>
    <t>ISIC 26,</t>
  </si>
  <si>
    <t>{Fabricated metal products, except machinery and equipment}</t>
  </si>
  <si>
    <t>ISIC 25,</t>
  </si>
  <si>
    <t>{Other metals}</t>
  </si>
  <si>
    <t>ISIC 242,</t>
  </si>
  <si>
    <t>{Iron and steel}</t>
  </si>
  <si>
    <t>ISIC 241,</t>
  </si>
  <si>
    <t>{Cement and other non-metallic minerals}</t>
  </si>
  <si>
    <t>ISIC 239,</t>
  </si>
  <si>
    <t>{Glass}</t>
  </si>
  <si>
    <t>ISIC 231,</t>
  </si>
  <si>
    <t>{Rubber and plastics products}</t>
  </si>
  <si>
    <t>ISIC 22,</t>
  </si>
  <si>
    <t>{Pharmaceuticals}</t>
  </si>
  <si>
    <t>ISIC 21,</t>
  </si>
  <si>
    <t>{Chemicals}</t>
  </si>
  <si>
    <t>ISIC 20,</t>
  </si>
  <si>
    <t>{Coke and refined petroleum products}</t>
  </si>
  <si>
    <t>ISIC 19,</t>
  </si>
  <si>
    <t>{Paper products and printing}</t>
  </si>
  <si>
    <t>ISIC 17T18,</t>
  </si>
  <si>
    <t>{Wood and of products of wood and cork (except furniture)}</t>
  </si>
  <si>
    <t>ISIC 16,</t>
  </si>
  <si>
    <t>{Textiles, wearing apparel, leather and related products}</t>
  </si>
  <si>
    <t>ISIC 13T15,</t>
  </si>
  <si>
    <t>{Food products, beverages and tobacco}</t>
  </si>
  <si>
    <t>ISIC 10T12,</t>
  </si>
  <si>
    <t>{Mining support service activities}</t>
  </si>
  <si>
    <t>ISIC 09,</t>
  </si>
  <si>
    <t>{Mining and quarrying of non-energy producing products}</t>
  </si>
  <si>
    <t>ISIC 07T08,</t>
  </si>
  <si>
    <t>{Oil and gas extraction}</t>
  </si>
  <si>
    <t>ISIC 06,</t>
  </si>
  <si>
    <t>{Coal mining}</t>
  </si>
  <si>
    <t>ISIC 05,</t>
  </si>
  <si>
    <t>{Agriculture, forestry and fishing}</t>
  </si>
  <si>
    <t>ISIC 01T03,</t>
  </si>
  <si>
    <t>Column ISIC</t>
  </si>
  <si>
    <t>Column Name en</t>
  </si>
  <si>
    <t>Column / Colonne</t>
  </si>
  <si>
    <t>Row ISIC</t>
  </si>
  <si>
    <t>Row Name en</t>
  </si>
  <si>
    <t>Row / Ligne source</t>
  </si>
  <si>
    <t>Row / Ligne</t>
  </si>
  <si>
    <t>Input-Output Tables  2025 Edition</t>
  </si>
  <si>
    <t xml:space="preserve"> Inputs as a share of production</t>
  </si>
  <si>
    <t>Output</t>
  </si>
  <si>
    <t>TOTAL OUTPUT</t>
  </si>
  <si>
    <t>DLIM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</si>
</sst>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00"/>
  </numFmts>
  <fonts count="3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i/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i/>
      <sz val="8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8"/>
      <name val="Calibri"/>
      <family val="3"/>
      <charset val="129"/>
      <scheme val="minor"/>
    </font>
    <font>
      <sz val="11"/>
      <name val="맑은 고딕"/>
      <family val="3"/>
      <charset val="129"/>
    </font>
    <font>
      <sz val="11"/>
      <name val="Calibri"/>
      <family val="2"/>
      <scheme val="minor"/>
    </font>
    <font>
      <u/>
      <sz val="1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5" fillId="0" borderId="0"/>
    <xf numFmtId="0" fontId="4" fillId="0" borderId="0"/>
    <xf numFmtId="0" fontId="4" fillId="0" borderId="0"/>
    <xf numFmtId="0" fontId="4" fillId="0" borderId="0"/>
    <xf numFmtId="43" fontId="5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15" fillId="6" borderId="0" applyNumberFormat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7" applyNumberFormat="0" applyAlignment="0" applyProtection="0"/>
    <xf numFmtId="0" fontId="19" fillId="10" borderId="8" applyNumberFormat="0" applyAlignment="0" applyProtection="0"/>
    <xf numFmtId="0" fontId="20" fillId="10" borderId="7" applyNumberFormat="0" applyAlignment="0" applyProtection="0"/>
    <xf numFmtId="0" fontId="21" fillId="0" borderId="9" applyNumberFormat="0" applyFill="0" applyAlignment="0" applyProtection="0"/>
    <xf numFmtId="0" fontId="22" fillId="11" borderId="10" applyNumberFormat="0" applyAlignment="0" applyProtection="0"/>
    <xf numFmtId="0" fontId="23" fillId="0" borderId="0" applyNumberFormat="0" applyFill="0" applyBorder="0" applyAlignment="0" applyProtection="0"/>
    <xf numFmtId="0" fontId="4" fillId="12" borderId="11" applyNumberFormat="0" applyFont="0" applyAlignment="0" applyProtection="0"/>
    <xf numFmtId="0" fontId="24" fillId="0" borderId="0" applyNumberFormat="0" applyFill="0" applyBorder="0" applyAlignment="0" applyProtection="0"/>
    <xf numFmtId="0" fontId="1" fillId="0" borderId="12" applyNumberFormat="0" applyFill="0" applyAlignment="0" applyProtection="0"/>
    <xf numFmtId="0" fontId="25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5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5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5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5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25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26" fillId="0" borderId="0"/>
    <xf numFmtId="0" fontId="28" fillId="0" borderId="0">
      <alignment vertical="center"/>
    </xf>
  </cellStyleXfs>
  <cellXfs count="2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2" borderId="0" xfId="0" applyFill="1"/>
    <xf numFmtId="0" fontId="6" fillId="3" borderId="0" xfId="3" applyFont="1" applyFill="1"/>
    <xf numFmtId="0" fontId="7" fillId="0" borderId="0" xfId="3" applyFont="1"/>
    <xf numFmtId="0" fontId="1" fillId="4" borderId="0" xfId="0" applyFont="1" applyFill="1"/>
    <xf numFmtId="0" fontId="0" fillId="4" borderId="0" xfId="0" applyFill="1"/>
    <xf numFmtId="0" fontId="8" fillId="0" borderId="0" xfId="0" applyFont="1"/>
    <xf numFmtId="0" fontId="1" fillId="3" borderId="0" xfId="0" applyFont="1" applyFill="1"/>
    <xf numFmtId="0" fontId="10" fillId="0" borderId="0" xfId="3" applyFont="1"/>
    <xf numFmtId="0" fontId="1" fillId="2" borderId="0" xfId="0" applyFont="1" applyFill="1"/>
    <xf numFmtId="0" fontId="7" fillId="2" borderId="1" xfId="3" applyFont="1" applyFill="1" applyBorder="1"/>
    <xf numFmtId="0" fontId="7" fillId="2" borderId="3" xfId="3" applyFont="1" applyFill="1" applyBorder="1"/>
    <xf numFmtId="0" fontId="7" fillId="2" borderId="2" xfId="3" applyFont="1" applyFill="1" applyBorder="1"/>
    <xf numFmtId="0" fontId="0" fillId="5" borderId="0" xfId="0" applyFill="1"/>
    <xf numFmtId="0" fontId="29" fillId="0" borderId="0" xfId="0" applyFont="1"/>
    <xf numFmtId="0" fontId="30" fillId="0" borderId="0" xfId="1" applyFont="1"/>
    <xf numFmtId="0" fontId="0" fillId="37" borderId="0" xfId="0" applyFill="1"/>
    <xf numFmtId="0" fontId="1" fillId="37" borderId="0" xfId="0" applyFont="1" applyFill="1"/>
    <xf numFmtId="164" fontId="29" fillId="0" borderId="0" xfId="0" applyNumberFormat="1" applyFont="1"/>
    <xf numFmtId="0" fontId="0" fillId="0" borderId="0" xfId="0" applyAlignment="1">
      <alignment horizontal="right"/>
    </xf>
    <xf numFmtId="0" fontId="29" fillId="0" borderId="0" xfId="0" applyNumberFormat="1" applyFont="1" applyAlignment="1">
      <alignment horizontal="left"/>
    </xf>
  </cellXfs>
  <cellStyles count="52">
    <cellStyle name="20% - Accent1" xfId="27" builtinId="30" customBuiltin="1"/>
    <cellStyle name="20% - Accent2" xfId="31" builtinId="34" customBuiltin="1"/>
    <cellStyle name="20% - Accent3" xfId="35" builtinId="38" customBuiltin="1"/>
    <cellStyle name="20% - Accent4" xfId="39" builtinId="42" customBuiltin="1"/>
    <cellStyle name="20% - Accent5" xfId="43" builtinId="46" customBuiltin="1"/>
    <cellStyle name="20% - Accent6" xfId="47" builtinId="50" customBuiltin="1"/>
    <cellStyle name="40% - Accent1" xfId="28" builtinId="31" customBuiltin="1"/>
    <cellStyle name="40% - Accent2" xfId="32" builtinId="35" customBuiltin="1"/>
    <cellStyle name="40% - Accent3" xfId="36" builtinId="39" customBuiltin="1"/>
    <cellStyle name="40% - Accent4" xfId="40" builtinId="43" customBuiltin="1"/>
    <cellStyle name="40% - Accent5" xfId="44" builtinId="47" customBuiltin="1"/>
    <cellStyle name="40% - Accent6" xfId="48" builtinId="51" customBuiltin="1"/>
    <cellStyle name="60% - Accent1" xfId="29" builtinId="32" customBuiltin="1"/>
    <cellStyle name="60% - Accent2" xfId="33" builtinId="36" customBuiltin="1"/>
    <cellStyle name="60% - Accent3" xfId="37" builtinId="40" customBuiltin="1"/>
    <cellStyle name="60% - Accent4" xfId="41" builtinId="44" customBuiltin="1"/>
    <cellStyle name="60% - Accent5" xfId="45" builtinId="48" customBuiltin="1"/>
    <cellStyle name="60% - Accent6" xfId="49" builtinId="52" customBuiltin="1"/>
    <cellStyle name="Accent1" xfId="26" builtinId="29" customBuiltin="1"/>
    <cellStyle name="Accent2" xfId="30" builtinId="33" customBuiltin="1"/>
    <cellStyle name="Accent3" xfId="34" builtinId="37" customBuiltin="1"/>
    <cellStyle name="Accent4" xfId="38" builtinId="41" customBuiltin="1"/>
    <cellStyle name="Accent5" xfId="42" builtinId="45" customBuiltin="1"/>
    <cellStyle name="Accent6" xfId="46" builtinId="49" customBuiltin="1"/>
    <cellStyle name="Bad" xfId="15" builtinId="27" customBuiltin="1"/>
    <cellStyle name="Calculation" xfId="19" builtinId="22" customBuiltin="1"/>
    <cellStyle name="Check Cell" xfId="21" builtinId="23" customBuiltin="1"/>
    <cellStyle name="Comma 2" xfId="7" xr:uid="{72A45ABC-F0F0-4429-88EA-A7AE9B764D0C}"/>
    <cellStyle name="Explanatory Text" xfId="24" builtinId="53" customBuiltin="1"/>
    <cellStyle name="Good" xfId="14" builtinId="26" customBuiltin="1"/>
    <cellStyle name="Heading 1" xfId="10" builtinId="16" customBuiltin="1"/>
    <cellStyle name="Heading 2" xfId="11" builtinId="17" customBuiltin="1"/>
    <cellStyle name="Heading 3" xfId="12" builtinId="18" customBuiltin="1"/>
    <cellStyle name="Heading 4" xfId="13" builtinId="19" customBuiltin="1"/>
    <cellStyle name="Hyperlink" xfId="1" builtinId="8"/>
    <cellStyle name="Hyperlink 2" xfId="8" xr:uid="{0167757D-C98A-4BFE-9E39-68A48410D30B}"/>
    <cellStyle name="Input" xfId="17" builtinId="20" customBuiltin="1"/>
    <cellStyle name="Linked Cell" xfId="20" builtinId="24" customBuiltin="1"/>
    <cellStyle name="Neutral" xfId="16" builtinId="28" customBuiltin="1"/>
    <cellStyle name="Normal" xfId="0" builtinId="0"/>
    <cellStyle name="Normal 2" xfId="2" xr:uid="{3ADF3FF5-E4D2-4BC8-9960-7408DCCB591E}"/>
    <cellStyle name="Normal 2 2" xfId="5" xr:uid="{7000A92B-F51B-4AA6-B3F5-B9AA6FF10876}"/>
    <cellStyle name="Normal 3" xfId="3" xr:uid="{3E9C4D3A-8A63-4683-99D5-D62ABB76A498}"/>
    <cellStyle name="Normal 3 2" xfId="4" xr:uid="{5117CF18-2AD2-4280-8A7F-EBEBA64C91B0}"/>
    <cellStyle name="Normal 4" xfId="50" xr:uid="{8DBDACB6-8572-42AF-B821-47D95025041F}"/>
    <cellStyle name="Normal 4 2 2" xfId="6" xr:uid="{E2F97DE2-18D1-4CAD-B54E-1764F74EA1AD}"/>
    <cellStyle name="Note" xfId="23" builtinId="10" customBuiltin="1"/>
    <cellStyle name="Output" xfId="18" builtinId="21" customBuiltin="1"/>
    <cellStyle name="Title" xfId="9" builtinId="15" customBuiltin="1"/>
    <cellStyle name="Total" xfId="25" builtinId="25" customBuiltin="1"/>
    <cellStyle name="Warning Text" xfId="22" builtinId="11" customBuiltin="1"/>
    <cellStyle name="표준_OECD LEONTFD - 2023" xfId="51" xr:uid="{282A14E9-6FD8-444C-8939-5583287A7F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1"/>
  <sheetViews>
    <sheetView workbookViewId="0">
      <selection activeCell="B5" sqref="B5"/>
    </sheetView>
  </sheetViews>
  <sheetFormatPr defaultRowHeight="14.5"/>
  <cols>
    <col min="2" max="2" width="83.54296875" customWidth="1"/>
  </cols>
  <sheetData>
    <row r="1" spans="1:2">
      <c r="A1" s="1" t="s">
        <v>3</v>
      </c>
    </row>
    <row r="3" spans="1:2">
      <c r="A3" s="1" t="s">
        <v>0</v>
      </c>
      <c r="B3" s="10" t="s">
        <v>86</v>
      </c>
    </row>
    <row r="4" spans="1:2">
      <c r="B4" t="s">
        <v>1</v>
      </c>
    </row>
    <row r="5" spans="1:2">
      <c r="B5" s="23">
        <v>2023</v>
      </c>
    </row>
    <row r="6" spans="1:2">
      <c r="B6" s="17" t="s">
        <v>693</v>
      </c>
    </row>
    <row r="7" spans="1:2">
      <c r="B7" s="18" t="s">
        <v>409</v>
      </c>
    </row>
    <row r="8" spans="1:2">
      <c r="B8" s="17" t="s">
        <v>389</v>
      </c>
    </row>
    <row r="10" spans="1:2">
      <c r="B10" s="10" t="s">
        <v>390</v>
      </c>
    </row>
    <row r="11" spans="1:2">
      <c r="B11" t="s">
        <v>391</v>
      </c>
    </row>
    <row r="12" spans="1:2">
      <c r="B12" s="2">
        <v>2016</v>
      </c>
    </row>
    <row r="13" spans="1:2">
      <c r="B13" t="s">
        <v>392</v>
      </c>
    </row>
    <row r="14" spans="1:2">
      <c r="B14" s="3" t="s">
        <v>393</v>
      </c>
    </row>
    <row r="15" spans="1:2">
      <c r="B15" t="s">
        <v>407</v>
      </c>
    </row>
    <row r="17" spans="1:2">
      <c r="B17" s="10" t="s">
        <v>394</v>
      </c>
    </row>
    <row r="18" spans="1:2">
      <c r="B18" t="s">
        <v>388</v>
      </c>
    </row>
    <row r="19" spans="1:2">
      <c r="B19" s="2">
        <v>2019</v>
      </c>
    </row>
    <row r="20" spans="1:2">
      <c r="B20" t="s">
        <v>395</v>
      </c>
    </row>
    <row r="21" spans="1:2">
      <c r="B21" s="3" t="s">
        <v>396</v>
      </c>
    </row>
    <row r="22" spans="1:2">
      <c r="B22" t="s">
        <v>406</v>
      </c>
    </row>
    <row r="24" spans="1:2">
      <c r="A24" s="1" t="s">
        <v>2</v>
      </c>
    </row>
    <row r="25" spans="1:2">
      <c r="A25" t="s">
        <v>35</v>
      </c>
    </row>
    <row r="26" spans="1:2">
      <c r="A26" t="s">
        <v>36</v>
      </c>
    </row>
    <row r="28" spans="1:2">
      <c r="A28" t="s">
        <v>41</v>
      </c>
    </row>
    <row r="29" spans="1:2">
      <c r="A29" t="s">
        <v>42</v>
      </c>
    </row>
    <row r="30" spans="1:2">
      <c r="A30" t="s">
        <v>44</v>
      </c>
    </row>
    <row r="31" spans="1:2">
      <c r="A31" t="s">
        <v>43</v>
      </c>
    </row>
    <row r="32" spans="1:2">
      <c r="A32" t="s">
        <v>45</v>
      </c>
    </row>
    <row r="33" spans="1:2">
      <c r="A33" t="s">
        <v>46</v>
      </c>
    </row>
    <row r="35" spans="1:2">
      <c r="A35" t="s">
        <v>408</v>
      </c>
    </row>
    <row r="36" spans="1:2">
      <c r="A36" t="s">
        <v>397</v>
      </c>
    </row>
    <row r="37" spans="1:2">
      <c r="A37" t="s">
        <v>398</v>
      </c>
    </row>
    <row r="38" spans="1:2">
      <c r="A38" t="s">
        <v>399</v>
      </c>
    </row>
    <row r="39" spans="1:2">
      <c r="A39" t="s">
        <v>400</v>
      </c>
    </row>
    <row r="41" spans="1:2">
      <c r="A41" s="7" t="s">
        <v>124</v>
      </c>
      <c r="B41" s="8"/>
    </row>
    <row r="42" spans="1:2">
      <c r="A42" t="s">
        <v>401</v>
      </c>
    </row>
    <row r="43" spans="1:2">
      <c r="A43" t="s">
        <v>402</v>
      </c>
    </row>
    <row r="44" spans="1:2">
      <c r="A44" t="s">
        <v>403</v>
      </c>
    </row>
    <row r="45" spans="1:2">
      <c r="A45" t="s">
        <v>404</v>
      </c>
    </row>
    <row r="47" spans="1:2">
      <c r="A47" t="s">
        <v>92</v>
      </c>
    </row>
    <row r="48" spans="1:2">
      <c r="A48" t="s">
        <v>93</v>
      </c>
    </row>
    <row r="49" spans="1:2">
      <c r="A49" t="s">
        <v>118</v>
      </c>
    </row>
    <row r="51" spans="1:2">
      <c r="A51" s="9" t="s">
        <v>85</v>
      </c>
    </row>
    <row r="52" spans="1:2">
      <c r="A52" s="9" t="s">
        <v>405</v>
      </c>
    </row>
    <row r="54" spans="1:2">
      <c r="A54" s="7" t="s">
        <v>37</v>
      </c>
      <c r="B54" s="8"/>
    </row>
    <row r="55" spans="1:2">
      <c r="A55" s="7" t="s">
        <v>111</v>
      </c>
      <c r="B55" s="8"/>
    </row>
    <row r="57" spans="1:2">
      <c r="A57" s="12" t="s">
        <v>112</v>
      </c>
      <c r="B57" s="12"/>
    </row>
    <row r="59" spans="1:2">
      <c r="A59" t="s">
        <v>95</v>
      </c>
    </row>
    <row r="60" spans="1:2">
      <c r="A60" t="s">
        <v>40</v>
      </c>
    </row>
    <row r="61" spans="1:2">
      <c r="A61" t="s">
        <v>96</v>
      </c>
    </row>
    <row r="62" spans="1:2">
      <c r="A62" t="s">
        <v>97</v>
      </c>
    </row>
    <row r="64" spans="1:2">
      <c r="A64" s="9" t="s">
        <v>94</v>
      </c>
    </row>
    <row r="65" spans="1:1">
      <c r="A65" s="9" t="s">
        <v>98</v>
      </c>
    </row>
    <row r="66" spans="1:1">
      <c r="A66" s="9" t="s">
        <v>99</v>
      </c>
    </row>
    <row r="67" spans="1:1">
      <c r="A67" s="9" t="s">
        <v>101</v>
      </c>
    </row>
    <row r="68" spans="1:1">
      <c r="A68" s="9" t="s">
        <v>102</v>
      </c>
    </row>
    <row r="69" spans="1:1">
      <c r="A69" s="9" t="s">
        <v>106</v>
      </c>
    </row>
    <row r="70" spans="1:1">
      <c r="A70" s="9" t="s">
        <v>100</v>
      </c>
    </row>
    <row r="71" spans="1:1">
      <c r="A71" s="9" t="s">
        <v>107</v>
      </c>
    </row>
    <row r="73" spans="1:1">
      <c r="A73" t="s">
        <v>108</v>
      </c>
    </row>
    <row r="74" spans="1:1">
      <c r="A74" t="s">
        <v>109</v>
      </c>
    </row>
    <row r="75" spans="1:1">
      <c r="A75" t="s">
        <v>110</v>
      </c>
    </row>
    <row r="77" spans="1:1">
      <c r="A77" s="9" t="s">
        <v>116</v>
      </c>
    </row>
    <row r="79" spans="1:1">
      <c r="A79" t="s">
        <v>103</v>
      </c>
    </row>
    <row r="80" spans="1:1">
      <c r="A80" t="s">
        <v>113</v>
      </c>
    </row>
    <row r="82" spans="1:1">
      <c r="A82" t="s">
        <v>104</v>
      </c>
    </row>
    <row r="84" spans="1:1">
      <c r="A84" t="s">
        <v>105</v>
      </c>
    </row>
    <row r="85" spans="1:1">
      <c r="A85" t="s">
        <v>38</v>
      </c>
    </row>
    <row r="87" spans="1:1">
      <c r="A87" t="s">
        <v>87</v>
      </c>
    </row>
    <row r="88" spans="1:1">
      <c r="A88" t="s">
        <v>39</v>
      </c>
    </row>
    <row r="89" spans="1:1">
      <c r="A89" s="9" t="s">
        <v>117</v>
      </c>
    </row>
    <row r="90" spans="1:1">
      <c r="A90" s="9" t="s">
        <v>115</v>
      </c>
    </row>
    <row r="91" spans="1:1">
      <c r="A91" s="9" t="s">
        <v>114</v>
      </c>
    </row>
  </sheetData>
  <phoneticPr fontId="27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600C9-1E80-4B3D-854D-BCDFEE9C6AF8}">
  <dimension ref="A1:Q106"/>
  <sheetViews>
    <sheetView workbookViewId="0">
      <selection activeCell="D19" sqref="D19"/>
    </sheetView>
  </sheetViews>
  <sheetFormatPr defaultRowHeight="14.5"/>
  <cols>
    <col min="1" max="1" width="14.453125" bestFit="1" customWidth="1"/>
    <col min="3" max="3" width="112" bestFit="1" customWidth="1"/>
    <col min="4" max="4" width="112" customWidth="1"/>
    <col min="5" max="5" width="16.81640625" bestFit="1" customWidth="1"/>
    <col min="6" max="6" width="65.54296875" customWidth="1"/>
  </cols>
  <sheetData>
    <row r="1" spans="1:17">
      <c r="A1" t="s">
        <v>692</v>
      </c>
      <c r="B1" t="s">
        <v>691</v>
      </c>
      <c r="C1" t="s">
        <v>690</v>
      </c>
      <c r="D1" t="s">
        <v>689</v>
      </c>
      <c r="E1" t="s">
        <v>688</v>
      </c>
      <c r="F1" t="s">
        <v>687</v>
      </c>
      <c r="G1" t="s">
        <v>686</v>
      </c>
      <c r="P1" t="s">
        <v>685</v>
      </c>
      <c r="Q1" t="s">
        <v>684</v>
      </c>
    </row>
    <row r="2" spans="1:17">
      <c r="A2" t="s">
        <v>514</v>
      </c>
      <c r="B2" t="s">
        <v>384</v>
      </c>
      <c r="C2" t="s">
        <v>602</v>
      </c>
      <c r="D2" t="s">
        <v>4</v>
      </c>
      <c r="E2" t="s">
        <v>342</v>
      </c>
      <c r="F2" t="s">
        <v>602</v>
      </c>
      <c r="P2" t="s">
        <v>683</v>
      </c>
      <c r="Q2" t="s">
        <v>682</v>
      </c>
    </row>
    <row r="3" spans="1:17">
      <c r="A3" t="s">
        <v>513</v>
      </c>
      <c r="B3" t="s">
        <v>384</v>
      </c>
      <c r="C3" t="s">
        <v>83</v>
      </c>
      <c r="D3" t="s">
        <v>4</v>
      </c>
      <c r="E3" t="s">
        <v>343</v>
      </c>
      <c r="F3" t="s">
        <v>83</v>
      </c>
      <c r="P3" t="s">
        <v>681</v>
      </c>
      <c r="Q3" t="s">
        <v>680</v>
      </c>
    </row>
    <row r="4" spans="1:17">
      <c r="A4" t="s">
        <v>512</v>
      </c>
      <c r="B4" t="s">
        <v>384</v>
      </c>
      <c r="C4" t="s">
        <v>368</v>
      </c>
      <c r="D4" t="s">
        <v>4</v>
      </c>
      <c r="E4" t="s">
        <v>344</v>
      </c>
      <c r="F4" t="s">
        <v>368</v>
      </c>
      <c r="P4" t="s">
        <v>679</v>
      </c>
      <c r="Q4" t="s">
        <v>678</v>
      </c>
    </row>
    <row r="5" spans="1:17">
      <c r="A5" t="s">
        <v>511</v>
      </c>
      <c r="B5" t="s">
        <v>384</v>
      </c>
      <c r="C5" t="s">
        <v>598</v>
      </c>
      <c r="D5" t="s">
        <v>120</v>
      </c>
      <c r="E5" t="s">
        <v>548</v>
      </c>
      <c r="F5" t="s">
        <v>598</v>
      </c>
      <c r="P5" t="s">
        <v>677</v>
      </c>
      <c r="Q5" t="s">
        <v>676</v>
      </c>
    </row>
    <row r="6" spans="1:17">
      <c r="A6" t="s">
        <v>510</v>
      </c>
      <c r="B6" t="s">
        <v>384</v>
      </c>
      <c r="C6" t="s">
        <v>596</v>
      </c>
      <c r="D6" t="s">
        <v>119</v>
      </c>
      <c r="E6" t="s">
        <v>547</v>
      </c>
      <c r="F6" t="s">
        <v>596</v>
      </c>
      <c r="P6" t="s">
        <v>675</v>
      </c>
      <c r="Q6" t="s">
        <v>674</v>
      </c>
    </row>
    <row r="7" spans="1:17">
      <c r="A7" t="s">
        <v>509</v>
      </c>
      <c r="B7" t="s">
        <v>384</v>
      </c>
      <c r="C7" t="s">
        <v>594</v>
      </c>
      <c r="D7" t="s">
        <v>5</v>
      </c>
      <c r="E7" t="s">
        <v>546</v>
      </c>
      <c r="F7" t="s">
        <v>594</v>
      </c>
      <c r="P7" t="s">
        <v>673</v>
      </c>
      <c r="Q7" t="s">
        <v>672</v>
      </c>
    </row>
    <row r="8" spans="1:17">
      <c r="A8" t="s">
        <v>508</v>
      </c>
      <c r="B8" t="s">
        <v>384</v>
      </c>
      <c r="C8" t="s">
        <v>592</v>
      </c>
      <c r="D8" t="s">
        <v>5</v>
      </c>
      <c r="E8" t="s">
        <v>545</v>
      </c>
      <c r="F8" t="s">
        <v>592</v>
      </c>
      <c r="P8" t="s">
        <v>671</v>
      </c>
      <c r="Q8" t="s">
        <v>670</v>
      </c>
    </row>
    <row r="9" spans="1:17">
      <c r="A9" t="s">
        <v>507</v>
      </c>
      <c r="B9" t="s">
        <v>384</v>
      </c>
      <c r="C9" t="s">
        <v>590</v>
      </c>
      <c r="D9" t="s">
        <v>6</v>
      </c>
      <c r="E9" t="s">
        <v>544</v>
      </c>
      <c r="F9" t="s">
        <v>590</v>
      </c>
      <c r="P9" t="s">
        <v>669</v>
      </c>
      <c r="Q9" t="s">
        <v>668</v>
      </c>
    </row>
    <row r="10" spans="1:17">
      <c r="A10" t="s">
        <v>506</v>
      </c>
      <c r="B10" t="s">
        <v>384</v>
      </c>
      <c r="C10" t="s">
        <v>588</v>
      </c>
      <c r="D10" t="s">
        <v>7</v>
      </c>
      <c r="E10" t="s">
        <v>543</v>
      </c>
      <c r="F10" t="s">
        <v>588</v>
      </c>
      <c r="P10" t="s">
        <v>667</v>
      </c>
      <c r="Q10" t="s">
        <v>666</v>
      </c>
    </row>
    <row r="11" spans="1:17">
      <c r="A11" t="s">
        <v>505</v>
      </c>
      <c r="B11" t="s">
        <v>384</v>
      </c>
      <c r="C11" t="s">
        <v>585</v>
      </c>
      <c r="D11" t="s">
        <v>8</v>
      </c>
      <c r="E11" t="s">
        <v>542</v>
      </c>
      <c r="F11" t="s">
        <v>585</v>
      </c>
      <c r="P11" t="s">
        <v>665</v>
      </c>
      <c r="Q11" t="s">
        <v>664</v>
      </c>
    </row>
    <row r="12" spans="1:17">
      <c r="A12" t="s">
        <v>504</v>
      </c>
      <c r="B12" t="s">
        <v>384</v>
      </c>
      <c r="C12" t="s">
        <v>583</v>
      </c>
      <c r="D12" t="s">
        <v>9</v>
      </c>
      <c r="E12" t="s">
        <v>345</v>
      </c>
      <c r="F12" t="s">
        <v>583</v>
      </c>
      <c r="P12" t="s">
        <v>663</v>
      </c>
      <c r="Q12" t="s">
        <v>662</v>
      </c>
    </row>
    <row r="13" spans="1:17">
      <c r="A13" t="s">
        <v>503</v>
      </c>
      <c r="B13" t="s">
        <v>384</v>
      </c>
      <c r="C13" t="s">
        <v>582</v>
      </c>
      <c r="D13" t="s">
        <v>10</v>
      </c>
      <c r="E13" t="s">
        <v>541</v>
      </c>
      <c r="F13" t="s">
        <v>582</v>
      </c>
      <c r="P13" t="s">
        <v>661</v>
      </c>
      <c r="Q13" t="s">
        <v>660</v>
      </c>
    </row>
    <row r="14" spans="1:17">
      <c r="A14" t="s">
        <v>502</v>
      </c>
      <c r="B14" t="s">
        <v>384</v>
      </c>
      <c r="C14" t="s">
        <v>581</v>
      </c>
      <c r="D14" t="s">
        <v>11</v>
      </c>
      <c r="E14" t="s">
        <v>346</v>
      </c>
      <c r="F14" t="s">
        <v>581</v>
      </c>
      <c r="P14" t="s">
        <v>659</v>
      </c>
      <c r="Q14" t="s">
        <v>658</v>
      </c>
    </row>
    <row r="15" spans="1:17">
      <c r="A15" t="s">
        <v>501</v>
      </c>
      <c r="B15" t="s">
        <v>384</v>
      </c>
      <c r="C15" t="s">
        <v>580</v>
      </c>
      <c r="D15" t="s">
        <v>58</v>
      </c>
      <c r="E15" t="s">
        <v>347</v>
      </c>
      <c r="F15" t="s">
        <v>580</v>
      </c>
      <c r="P15" t="s">
        <v>657</v>
      </c>
      <c r="Q15" t="s">
        <v>656</v>
      </c>
    </row>
    <row r="16" spans="1:17">
      <c r="A16" t="s">
        <v>500</v>
      </c>
      <c r="B16" t="s">
        <v>384</v>
      </c>
      <c r="C16" t="s">
        <v>579</v>
      </c>
      <c r="D16" t="s">
        <v>59</v>
      </c>
      <c r="E16" t="s">
        <v>348</v>
      </c>
      <c r="F16" t="s">
        <v>579</v>
      </c>
      <c r="P16" t="s">
        <v>655</v>
      </c>
      <c r="Q16" t="s">
        <v>654</v>
      </c>
    </row>
    <row r="17" spans="1:17">
      <c r="A17" t="s">
        <v>499</v>
      </c>
      <c r="B17" t="s">
        <v>384</v>
      </c>
      <c r="C17" t="s">
        <v>578</v>
      </c>
      <c r="D17" t="s">
        <v>12</v>
      </c>
      <c r="E17" t="s">
        <v>349</v>
      </c>
      <c r="F17" t="s">
        <v>578</v>
      </c>
      <c r="P17" t="s">
        <v>653</v>
      </c>
      <c r="Q17" t="s">
        <v>652</v>
      </c>
    </row>
    <row r="18" spans="1:17" ht="14.25" customHeight="1">
      <c r="A18" t="s">
        <v>498</v>
      </c>
      <c r="B18" t="s">
        <v>384</v>
      </c>
      <c r="C18" t="s">
        <v>244</v>
      </c>
      <c r="D18" s="4" t="s">
        <v>132</v>
      </c>
      <c r="E18" t="s">
        <v>350</v>
      </c>
      <c r="F18" t="s">
        <v>244</v>
      </c>
      <c r="P18" t="s">
        <v>651</v>
      </c>
      <c r="Q18" t="s">
        <v>650</v>
      </c>
    </row>
    <row r="19" spans="1:17">
      <c r="A19" t="s">
        <v>497</v>
      </c>
      <c r="B19" t="s">
        <v>384</v>
      </c>
      <c r="C19" t="s">
        <v>577</v>
      </c>
      <c r="D19" t="s">
        <v>134</v>
      </c>
      <c r="E19" t="s">
        <v>540</v>
      </c>
      <c r="F19" t="s">
        <v>577</v>
      </c>
      <c r="P19" t="s">
        <v>649</v>
      </c>
      <c r="Q19" t="s">
        <v>648</v>
      </c>
    </row>
    <row r="20" spans="1:17">
      <c r="A20" t="s">
        <v>496</v>
      </c>
      <c r="B20" t="s">
        <v>384</v>
      </c>
      <c r="C20" t="s">
        <v>576</v>
      </c>
      <c r="D20" t="s">
        <v>135</v>
      </c>
      <c r="E20" t="s">
        <v>539</v>
      </c>
      <c r="F20" t="s">
        <v>576</v>
      </c>
      <c r="P20" t="s">
        <v>647</v>
      </c>
      <c r="Q20" t="s">
        <v>646</v>
      </c>
    </row>
    <row r="21" spans="1:17">
      <c r="A21" t="s">
        <v>495</v>
      </c>
      <c r="B21" t="s">
        <v>384</v>
      </c>
      <c r="C21" t="s">
        <v>575</v>
      </c>
      <c r="D21" t="s">
        <v>13</v>
      </c>
      <c r="E21" t="s">
        <v>351</v>
      </c>
      <c r="F21" t="s">
        <v>575</v>
      </c>
      <c r="P21" t="s">
        <v>645</v>
      </c>
      <c r="Q21" t="s">
        <v>644</v>
      </c>
    </row>
    <row r="22" spans="1:17">
      <c r="A22" t="s">
        <v>494</v>
      </c>
      <c r="B22" t="s">
        <v>384</v>
      </c>
      <c r="C22" t="s">
        <v>574</v>
      </c>
      <c r="D22" t="s">
        <v>14</v>
      </c>
      <c r="E22" t="s">
        <v>352</v>
      </c>
      <c r="F22" t="s">
        <v>574</v>
      </c>
      <c r="P22" t="s">
        <v>643</v>
      </c>
      <c r="Q22" t="s">
        <v>642</v>
      </c>
    </row>
    <row r="23" spans="1:17">
      <c r="A23" t="s">
        <v>493</v>
      </c>
      <c r="B23" t="s">
        <v>384</v>
      </c>
      <c r="C23" t="s">
        <v>573</v>
      </c>
      <c r="D23" t="s">
        <v>15</v>
      </c>
      <c r="E23" t="s">
        <v>353</v>
      </c>
      <c r="F23" t="s">
        <v>573</v>
      </c>
      <c r="P23" t="s">
        <v>641</v>
      </c>
      <c r="Q23" t="s">
        <v>640</v>
      </c>
    </row>
    <row r="24" spans="1:17">
      <c r="A24" t="s">
        <v>492</v>
      </c>
      <c r="B24" t="s">
        <v>384</v>
      </c>
      <c r="C24" t="s">
        <v>572</v>
      </c>
      <c r="D24" t="s">
        <v>16</v>
      </c>
      <c r="E24" t="s">
        <v>354</v>
      </c>
      <c r="F24" t="s">
        <v>572</v>
      </c>
      <c r="P24" t="s">
        <v>639</v>
      </c>
      <c r="Q24" t="s">
        <v>638</v>
      </c>
    </row>
    <row r="25" spans="1:17">
      <c r="A25" t="s">
        <v>491</v>
      </c>
      <c r="B25" t="s">
        <v>384</v>
      </c>
      <c r="C25" t="s">
        <v>571</v>
      </c>
      <c r="D25" t="s">
        <v>17</v>
      </c>
      <c r="E25" t="s">
        <v>355</v>
      </c>
      <c r="F25" t="s">
        <v>571</v>
      </c>
      <c r="P25" t="s">
        <v>637</v>
      </c>
      <c r="Q25" t="s">
        <v>636</v>
      </c>
    </row>
    <row r="26" spans="1:17">
      <c r="A26" t="s">
        <v>490</v>
      </c>
      <c r="B26" t="s">
        <v>384</v>
      </c>
      <c r="C26" t="s">
        <v>570</v>
      </c>
      <c r="D26" t="s">
        <v>18</v>
      </c>
      <c r="E26" t="s">
        <v>538</v>
      </c>
      <c r="F26" t="s">
        <v>570</v>
      </c>
      <c r="P26" t="s">
        <v>635</v>
      </c>
      <c r="Q26" t="s">
        <v>634</v>
      </c>
    </row>
    <row r="27" spans="1:17">
      <c r="A27" t="s">
        <v>489</v>
      </c>
      <c r="B27" t="s">
        <v>384</v>
      </c>
      <c r="C27" t="s">
        <v>369</v>
      </c>
      <c r="D27" t="s">
        <v>18</v>
      </c>
      <c r="E27" t="s">
        <v>537</v>
      </c>
      <c r="F27" t="s">
        <v>369</v>
      </c>
      <c r="P27" t="s">
        <v>633</v>
      </c>
      <c r="Q27" t="s">
        <v>632</v>
      </c>
    </row>
    <row r="28" spans="1:17">
      <c r="A28" t="s">
        <v>488</v>
      </c>
      <c r="B28" t="s">
        <v>384</v>
      </c>
      <c r="C28" t="s">
        <v>569</v>
      </c>
      <c r="D28" t="s">
        <v>19</v>
      </c>
      <c r="E28" t="s">
        <v>536</v>
      </c>
      <c r="F28" t="s">
        <v>569</v>
      </c>
      <c r="P28" t="s">
        <v>631</v>
      </c>
      <c r="Q28" t="s">
        <v>630</v>
      </c>
    </row>
    <row r="29" spans="1:17">
      <c r="A29" t="s">
        <v>487</v>
      </c>
      <c r="B29" t="s">
        <v>384</v>
      </c>
      <c r="C29" t="s">
        <v>370</v>
      </c>
      <c r="D29" t="s">
        <v>136</v>
      </c>
      <c r="E29" t="s">
        <v>535</v>
      </c>
      <c r="F29" t="s">
        <v>370</v>
      </c>
      <c r="P29" t="s">
        <v>629</v>
      </c>
      <c r="Q29" t="s">
        <v>628</v>
      </c>
    </row>
    <row r="30" spans="1:17">
      <c r="A30" t="s">
        <v>486</v>
      </c>
      <c r="B30" t="s">
        <v>384</v>
      </c>
      <c r="C30" t="s">
        <v>568</v>
      </c>
      <c r="D30" t="s">
        <v>138</v>
      </c>
      <c r="E30" t="s">
        <v>534</v>
      </c>
      <c r="F30" t="s">
        <v>568</v>
      </c>
      <c r="P30" t="s">
        <v>627</v>
      </c>
      <c r="Q30" t="s">
        <v>626</v>
      </c>
    </row>
    <row r="31" spans="1:17">
      <c r="A31" t="s">
        <v>485</v>
      </c>
      <c r="B31" t="s">
        <v>384</v>
      </c>
      <c r="C31" t="s">
        <v>84</v>
      </c>
      <c r="D31" t="s">
        <v>20</v>
      </c>
      <c r="E31" t="s">
        <v>356</v>
      </c>
      <c r="F31" t="s">
        <v>84</v>
      </c>
      <c r="P31" t="s">
        <v>625</v>
      </c>
      <c r="Q31" t="s">
        <v>624</v>
      </c>
    </row>
    <row r="32" spans="1:17">
      <c r="A32" t="s">
        <v>484</v>
      </c>
      <c r="B32" t="s">
        <v>384</v>
      </c>
      <c r="C32" t="s">
        <v>567</v>
      </c>
      <c r="D32" t="s">
        <v>21</v>
      </c>
      <c r="E32" t="s">
        <v>533</v>
      </c>
      <c r="F32" t="s">
        <v>567</v>
      </c>
      <c r="P32" t="s">
        <v>623</v>
      </c>
      <c r="Q32" t="s">
        <v>622</v>
      </c>
    </row>
    <row r="33" spans="1:17">
      <c r="A33" t="s">
        <v>483</v>
      </c>
      <c r="B33" t="s">
        <v>384</v>
      </c>
      <c r="C33" t="s">
        <v>371</v>
      </c>
      <c r="D33" t="s">
        <v>137</v>
      </c>
      <c r="E33" t="s">
        <v>357</v>
      </c>
      <c r="F33" t="s">
        <v>371</v>
      </c>
      <c r="P33" t="s">
        <v>621</v>
      </c>
      <c r="Q33" t="s">
        <v>620</v>
      </c>
    </row>
    <row r="34" spans="1:17">
      <c r="A34" t="s">
        <v>482</v>
      </c>
      <c r="B34" t="s">
        <v>384</v>
      </c>
      <c r="C34" t="s">
        <v>372</v>
      </c>
      <c r="D34" t="s">
        <v>22</v>
      </c>
      <c r="E34" t="s">
        <v>358</v>
      </c>
      <c r="F34" t="s">
        <v>372</v>
      </c>
      <c r="P34" t="s">
        <v>619</v>
      </c>
      <c r="Q34" t="s">
        <v>618</v>
      </c>
    </row>
    <row r="35" spans="1:17">
      <c r="A35" t="s">
        <v>481</v>
      </c>
      <c r="B35" t="s">
        <v>384</v>
      </c>
      <c r="C35" t="s">
        <v>373</v>
      </c>
      <c r="D35" t="s">
        <v>22</v>
      </c>
      <c r="E35" t="s">
        <v>359</v>
      </c>
      <c r="F35" t="s">
        <v>373</v>
      </c>
      <c r="P35" t="s">
        <v>617</v>
      </c>
      <c r="Q35" t="s">
        <v>616</v>
      </c>
    </row>
    <row r="36" spans="1:17">
      <c r="A36" t="s">
        <v>480</v>
      </c>
      <c r="B36" t="s">
        <v>384</v>
      </c>
      <c r="C36" t="s">
        <v>374</v>
      </c>
      <c r="D36" t="s">
        <v>22</v>
      </c>
      <c r="E36" t="s">
        <v>360</v>
      </c>
      <c r="F36" t="s">
        <v>374</v>
      </c>
      <c r="P36" t="s">
        <v>615</v>
      </c>
      <c r="Q36" t="s">
        <v>614</v>
      </c>
    </row>
    <row r="37" spans="1:17">
      <c r="A37" t="s">
        <v>479</v>
      </c>
      <c r="B37" t="s">
        <v>384</v>
      </c>
      <c r="C37" t="s">
        <v>375</v>
      </c>
      <c r="D37" t="s">
        <v>22</v>
      </c>
      <c r="E37" t="s">
        <v>361</v>
      </c>
      <c r="F37" t="s">
        <v>375</v>
      </c>
      <c r="P37" t="s">
        <v>613</v>
      </c>
      <c r="Q37" t="s">
        <v>612</v>
      </c>
    </row>
    <row r="38" spans="1:17">
      <c r="A38" t="s">
        <v>478</v>
      </c>
      <c r="B38" t="s">
        <v>384</v>
      </c>
      <c r="C38" t="s">
        <v>376</v>
      </c>
      <c r="D38" t="s">
        <v>23</v>
      </c>
      <c r="E38" t="s">
        <v>362</v>
      </c>
      <c r="F38" t="s">
        <v>376</v>
      </c>
      <c r="P38" t="s">
        <v>611</v>
      </c>
      <c r="Q38" t="s">
        <v>610</v>
      </c>
    </row>
    <row r="39" spans="1:17">
      <c r="A39" t="s">
        <v>477</v>
      </c>
      <c r="B39" t="s">
        <v>384</v>
      </c>
      <c r="C39" t="s">
        <v>566</v>
      </c>
      <c r="D39" t="s">
        <v>24</v>
      </c>
      <c r="E39" t="s">
        <v>532</v>
      </c>
      <c r="F39" t="s">
        <v>566</v>
      </c>
      <c r="P39" t="s">
        <v>609</v>
      </c>
      <c r="Q39" t="s">
        <v>608</v>
      </c>
    </row>
    <row r="40" spans="1:17">
      <c r="A40" t="s">
        <v>476</v>
      </c>
      <c r="B40" t="s">
        <v>384</v>
      </c>
      <c r="C40" t="s">
        <v>377</v>
      </c>
      <c r="D40" t="s">
        <v>25</v>
      </c>
      <c r="E40" t="s">
        <v>363</v>
      </c>
      <c r="F40" t="s">
        <v>377</v>
      </c>
      <c r="P40" t="s">
        <v>607</v>
      </c>
      <c r="Q40" t="s">
        <v>606</v>
      </c>
    </row>
    <row r="41" spans="1:17">
      <c r="A41" t="s">
        <v>475</v>
      </c>
      <c r="B41" t="s">
        <v>384</v>
      </c>
      <c r="C41" t="s">
        <v>565</v>
      </c>
      <c r="D41" t="s">
        <v>26</v>
      </c>
      <c r="E41" t="s">
        <v>531</v>
      </c>
      <c r="F41" t="s">
        <v>565</v>
      </c>
      <c r="P41" t="s">
        <v>605</v>
      </c>
      <c r="Q41" t="s">
        <v>604</v>
      </c>
    </row>
    <row r="42" spans="1:17">
      <c r="A42" t="s">
        <v>474</v>
      </c>
      <c r="B42" t="s">
        <v>384</v>
      </c>
      <c r="C42" t="s">
        <v>564</v>
      </c>
      <c r="D42" t="s">
        <v>27</v>
      </c>
      <c r="E42" t="s">
        <v>530</v>
      </c>
      <c r="F42" t="s">
        <v>564</v>
      </c>
      <c r="P42" t="s">
        <v>34</v>
      </c>
      <c r="Q42" t="s">
        <v>603</v>
      </c>
    </row>
    <row r="43" spans="1:17">
      <c r="A43" t="s">
        <v>473</v>
      </c>
      <c r="B43" t="s">
        <v>384</v>
      </c>
      <c r="C43" t="s">
        <v>378</v>
      </c>
      <c r="D43" t="s">
        <v>28</v>
      </c>
      <c r="E43" t="s">
        <v>529</v>
      </c>
      <c r="F43" t="s">
        <v>378</v>
      </c>
    </row>
    <row r="44" spans="1:17">
      <c r="A44" t="s">
        <v>472</v>
      </c>
      <c r="B44" t="s">
        <v>384</v>
      </c>
      <c r="C44" t="s">
        <v>563</v>
      </c>
      <c r="D44" t="s">
        <v>29</v>
      </c>
      <c r="E44" t="s">
        <v>528</v>
      </c>
      <c r="F44" t="s">
        <v>563</v>
      </c>
    </row>
    <row r="45" spans="1:17">
      <c r="A45" t="s">
        <v>471</v>
      </c>
      <c r="B45" t="s">
        <v>384</v>
      </c>
      <c r="C45" t="s">
        <v>562</v>
      </c>
      <c r="D45" t="s">
        <v>29</v>
      </c>
      <c r="E45" t="s">
        <v>364</v>
      </c>
      <c r="F45" t="s">
        <v>562</v>
      </c>
    </row>
    <row r="46" spans="1:17">
      <c r="A46" t="s">
        <v>470</v>
      </c>
      <c r="B46" t="s">
        <v>384</v>
      </c>
      <c r="C46" t="s">
        <v>379</v>
      </c>
      <c r="D46" t="s">
        <v>30</v>
      </c>
      <c r="E46" t="s">
        <v>527</v>
      </c>
      <c r="F46" t="s">
        <v>379</v>
      </c>
    </row>
    <row r="47" spans="1:17">
      <c r="A47" t="s">
        <v>469</v>
      </c>
      <c r="B47" t="s">
        <v>384</v>
      </c>
      <c r="C47" t="s">
        <v>380</v>
      </c>
      <c r="D47" t="s">
        <v>31</v>
      </c>
      <c r="E47" t="s">
        <v>526</v>
      </c>
      <c r="F47" t="s">
        <v>380</v>
      </c>
    </row>
    <row r="48" spans="1:17">
      <c r="A48" t="s">
        <v>468</v>
      </c>
      <c r="B48" t="s">
        <v>384</v>
      </c>
      <c r="C48" t="s">
        <v>381</v>
      </c>
      <c r="D48" t="s">
        <v>32</v>
      </c>
      <c r="E48" t="s">
        <v>365</v>
      </c>
      <c r="F48" t="s">
        <v>381</v>
      </c>
    </row>
    <row r="49" spans="1:6">
      <c r="A49" t="s">
        <v>467</v>
      </c>
      <c r="B49" t="s">
        <v>384</v>
      </c>
      <c r="C49" t="s">
        <v>561</v>
      </c>
      <c r="D49" t="s">
        <v>33</v>
      </c>
      <c r="E49" t="s">
        <v>525</v>
      </c>
      <c r="F49" t="s">
        <v>561</v>
      </c>
    </row>
    <row r="50" spans="1:6">
      <c r="A50" t="s">
        <v>466</v>
      </c>
      <c r="B50" t="s">
        <v>384</v>
      </c>
      <c r="C50" t="s">
        <v>382</v>
      </c>
      <c r="D50" t="s">
        <v>33</v>
      </c>
      <c r="E50" t="s">
        <v>524</v>
      </c>
      <c r="F50" t="s">
        <v>382</v>
      </c>
    </row>
    <row r="51" spans="1:6">
      <c r="A51" t="s">
        <v>465</v>
      </c>
      <c r="B51" t="s">
        <v>384</v>
      </c>
      <c r="C51" t="s">
        <v>383</v>
      </c>
      <c r="D51" t="s">
        <v>34</v>
      </c>
      <c r="E51" t="s">
        <v>366</v>
      </c>
      <c r="F51" t="s">
        <v>383</v>
      </c>
    </row>
    <row r="52" spans="1:6">
      <c r="A52" t="s">
        <v>464</v>
      </c>
      <c r="B52" t="s">
        <v>560</v>
      </c>
      <c r="C52" t="s">
        <v>602</v>
      </c>
      <c r="D52" t="s">
        <v>4</v>
      </c>
      <c r="E52" t="s">
        <v>523</v>
      </c>
      <c r="F52" t="s">
        <v>601</v>
      </c>
    </row>
    <row r="53" spans="1:6">
      <c r="A53" t="s">
        <v>463</v>
      </c>
      <c r="B53" t="s">
        <v>560</v>
      </c>
      <c r="C53" t="s">
        <v>83</v>
      </c>
      <c r="D53" t="s">
        <v>4</v>
      </c>
      <c r="E53" t="s">
        <v>522</v>
      </c>
      <c r="F53" t="s">
        <v>600</v>
      </c>
    </row>
    <row r="54" spans="1:6">
      <c r="A54" t="s">
        <v>462</v>
      </c>
      <c r="B54" t="s">
        <v>560</v>
      </c>
      <c r="C54" t="s">
        <v>368</v>
      </c>
      <c r="D54" t="s">
        <v>4</v>
      </c>
      <c r="E54" t="s">
        <v>521</v>
      </c>
      <c r="F54" t="s">
        <v>599</v>
      </c>
    </row>
    <row r="55" spans="1:6">
      <c r="A55" t="s">
        <v>461</v>
      </c>
      <c r="B55" t="s">
        <v>560</v>
      </c>
      <c r="C55" t="s">
        <v>598</v>
      </c>
      <c r="D55" t="s">
        <v>120</v>
      </c>
      <c r="E55" t="s">
        <v>367</v>
      </c>
      <c r="F55" t="s">
        <v>597</v>
      </c>
    </row>
    <row r="56" spans="1:6">
      <c r="A56" t="s">
        <v>460</v>
      </c>
      <c r="B56" t="s">
        <v>560</v>
      </c>
      <c r="C56" t="s">
        <v>596</v>
      </c>
      <c r="D56" t="s">
        <v>119</v>
      </c>
      <c r="E56" t="s">
        <v>520</v>
      </c>
      <c r="F56" t="s">
        <v>595</v>
      </c>
    </row>
    <row r="57" spans="1:6">
      <c r="A57" t="s">
        <v>459</v>
      </c>
      <c r="B57" t="s">
        <v>560</v>
      </c>
      <c r="C57" t="s">
        <v>594</v>
      </c>
      <c r="D57" t="s">
        <v>5</v>
      </c>
      <c r="E57" t="s">
        <v>519</v>
      </c>
      <c r="F57" t="s">
        <v>593</v>
      </c>
    </row>
    <row r="58" spans="1:6">
      <c r="A58" t="s">
        <v>458</v>
      </c>
      <c r="B58" t="s">
        <v>560</v>
      </c>
      <c r="C58" t="s">
        <v>592</v>
      </c>
      <c r="D58" t="s">
        <v>5</v>
      </c>
      <c r="E58" t="s">
        <v>518</v>
      </c>
      <c r="F58" t="s">
        <v>591</v>
      </c>
    </row>
    <row r="59" spans="1:6">
      <c r="A59" t="s">
        <v>457</v>
      </c>
      <c r="B59" t="s">
        <v>560</v>
      </c>
      <c r="C59" t="s">
        <v>590</v>
      </c>
      <c r="D59" t="s">
        <v>6</v>
      </c>
      <c r="E59" t="s">
        <v>517</v>
      </c>
      <c r="F59" t="s">
        <v>589</v>
      </c>
    </row>
    <row r="60" spans="1:6">
      <c r="A60" t="s">
        <v>456</v>
      </c>
      <c r="B60" t="s">
        <v>560</v>
      </c>
      <c r="C60" t="s">
        <v>588</v>
      </c>
      <c r="D60" t="s">
        <v>7</v>
      </c>
      <c r="E60" t="s">
        <v>587</v>
      </c>
      <c r="F60" t="s">
        <v>586</v>
      </c>
    </row>
    <row r="61" spans="1:6">
      <c r="A61" t="s">
        <v>455</v>
      </c>
      <c r="B61" t="s">
        <v>560</v>
      </c>
      <c r="C61" t="s">
        <v>585</v>
      </c>
      <c r="D61" t="s">
        <v>8</v>
      </c>
      <c r="E61" t="s">
        <v>515</v>
      </c>
      <c r="F61" t="s">
        <v>584</v>
      </c>
    </row>
    <row r="62" spans="1:6">
      <c r="A62" t="s">
        <v>454</v>
      </c>
      <c r="B62" t="s">
        <v>560</v>
      </c>
      <c r="C62" t="s">
        <v>583</v>
      </c>
      <c r="D62" t="s">
        <v>9</v>
      </c>
    </row>
    <row r="63" spans="1:6">
      <c r="A63" t="s">
        <v>453</v>
      </c>
      <c r="B63" t="s">
        <v>560</v>
      </c>
      <c r="C63" t="s">
        <v>582</v>
      </c>
      <c r="D63" t="s">
        <v>10</v>
      </c>
    </row>
    <row r="64" spans="1:6">
      <c r="A64" t="s">
        <v>452</v>
      </c>
      <c r="B64" t="s">
        <v>560</v>
      </c>
      <c r="C64" t="s">
        <v>581</v>
      </c>
      <c r="D64" t="s">
        <v>11</v>
      </c>
    </row>
    <row r="65" spans="1:4">
      <c r="A65" t="s">
        <v>451</v>
      </c>
      <c r="B65" t="s">
        <v>560</v>
      </c>
      <c r="C65" t="s">
        <v>580</v>
      </c>
      <c r="D65" t="s">
        <v>58</v>
      </c>
    </row>
    <row r="66" spans="1:4">
      <c r="A66" t="s">
        <v>450</v>
      </c>
      <c r="B66" t="s">
        <v>560</v>
      </c>
      <c r="C66" t="s">
        <v>579</v>
      </c>
      <c r="D66" t="s">
        <v>59</v>
      </c>
    </row>
    <row r="67" spans="1:4">
      <c r="A67" t="s">
        <v>449</v>
      </c>
      <c r="B67" t="s">
        <v>560</v>
      </c>
      <c r="C67" t="s">
        <v>578</v>
      </c>
      <c r="D67" t="s">
        <v>12</v>
      </c>
    </row>
    <row r="68" spans="1:4">
      <c r="A68" t="s">
        <v>448</v>
      </c>
      <c r="B68" t="s">
        <v>560</v>
      </c>
      <c r="C68" t="s">
        <v>244</v>
      </c>
      <c r="D68" s="4" t="s">
        <v>132</v>
      </c>
    </row>
    <row r="69" spans="1:4">
      <c r="A69" t="s">
        <v>447</v>
      </c>
      <c r="B69" t="s">
        <v>560</v>
      </c>
      <c r="C69" t="s">
        <v>577</v>
      </c>
      <c r="D69" t="s">
        <v>134</v>
      </c>
    </row>
    <row r="70" spans="1:4">
      <c r="A70" t="s">
        <v>446</v>
      </c>
      <c r="B70" t="s">
        <v>560</v>
      </c>
      <c r="C70" t="s">
        <v>576</v>
      </c>
      <c r="D70" t="s">
        <v>135</v>
      </c>
    </row>
    <row r="71" spans="1:4">
      <c r="A71" t="s">
        <v>445</v>
      </c>
      <c r="B71" t="s">
        <v>560</v>
      </c>
      <c r="C71" t="s">
        <v>575</v>
      </c>
      <c r="D71" t="s">
        <v>13</v>
      </c>
    </row>
    <row r="72" spans="1:4">
      <c r="A72" t="s">
        <v>444</v>
      </c>
      <c r="B72" t="s">
        <v>560</v>
      </c>
      <c r="C72" t="s">
        <v>574</v>
      </c>
      <c r="D72" t="s">
        <v>14</v>
      </c>
    </row>
    <row r="73" spans="1:4">
      <c r="A73" t="s">
        <v>443</v>
      </c>
      <c r="B73" t="s">
        <v>560</v>
      </c>
      <c r="C73" t="s">
        <v>573</v>
      </c>
      <c r="D73" t="s">
        <v>15</v>
      </c>
    </row>
    <row r="74" spans="1:4">
      <c r="A74" t="s">
        <v>442</v>
      </c>
      <c r="B74" t="s">
        <v>560</v>
      </c>
      <c r="C74" t="s">
        <v>572</v>
      </c>
      <c r="D74" t="s">
        <v>16</v>
      </c>
    </row>
    <row r="75" spans="1:4">
      <c r="A75" t="s">
        <v>441</v>
      </c>
      <c r="B75" t="s">
        <v>560</v>
      </c>
      <c r="C75" t="s">
        <v>571</v>
      </c>
      <c r="D75" t="s">
        <v>17</v>
      </c>
    </row>
    <row r="76" spans="1:4">
      <c r="A76" t="s">
        <v>440</v>
      </c>
      <c r="B76" t="s">
        <v>560</v>
      </c>
      <c r="C76" t="s">
        <v>570</v>
      </c>
      <c r="D76" t="s">
        <v>18</v>
      </c>
    </row>
    <row r="77" spans="1:4">
      <c r="A77" t="s">
        <v>439</v>
      </c>
      <c r="B77" t="s">
        <v>560</v>
      </c>
      <c r="C77" t="s">
        <v>369</v>
      </c>
      <c r="D77" t="s">
        <v>18</v>
      </c>
    </row>
    <row r="78" spans="1:4">
      <c r="A78" t="s">
        <v>438</v>
      </c>
      <c r="B78" t="s">
        <v>560</v>
      </c>
      <c r="C78" t="s">
        <v>569</v>
      </c>
      <c r="D78" t="s">
        <v>19</v>
      </c>
    </row>
    <row r="79" spans="1:4">
      <c r="A79" t="s">
        <v>437</v>
      </c>
      <c r="B79" t="s">
        <v>560</v>
      </c>
      <c r="C79" t="s">
        <v>370</v>
      </c>
      <c r="D79" t="s">
        <v>136</v>
      </c>
    </row>
    <row r="80" spans="1:4">
      <c r="A80" t="s">
        <v>436</v>
      </c>
      <c r="B80" t="s">
        <v>560</v>
      </c>
      <c r="C80" t="s">
        <v>568</v>
      </c>
      <c r="D80" t="s">
        <v>138</v>
      </c>
    </row>
    <row r="81" spans="1:4">
      <c r="A81" t="s">
        <v>435</v>
      </c>
      <c r="B81" t="s">
        <v>560</v>
      </c>
      <c r="C81" t="s">
        <v>84</v>
      </c>
      <c r="D81" t="s">
        <v>20</v>
      </c>
    </row>
    <row r="82" spans="1:4">
      <c r="A82" t="s">
        <v>434</v>
      </c>
      <c r="B82" t="s">
        <v>560</v>
      </c>
      <c r="C82" t="s">
        <v>567</v>
      </c>
      <c r="D82" t="s">
        <v>21</v>
      </c>
    </row>
    <row r="83" spans="1:4">
      <c r="A83" t="s">
        <v>433</v>
      </c>
      <c r="B83" t="s">
        <v>560</v>
      </c>
      <c r="C83" t="s">
        <v>371</v>
      </c>
      <c r="D83" t="s">
        <v>137</v>
      </c>
    </row>
    <row r="84" spans="1:4">
      <c r="A84" t="s">
        <v>432</v>
      </c>
      <c r="B84" t="s">
        <v>560</v>
      </c>
      <c r="C84" t="s">
        <v>372</v>
      </c>
      <c r="D84" t="s">
        <v>22</v>
      </c>
    </row>
    <row r="85" spans="1:4">
      <c r="A85" t="s">
        <v>431</v>
      </c>
      <c r="B85" t="s">
        <v>560</v>
      </c>
      <c r="C85" t="s">
        <v>373</v>
      </c>
      <c r="D85" t="s">
        <v>22</v>
      </c>
    </row>
    <row r="86" spans="1:4">
      <c r="A86" t="s">
        <v>430</v>
      </c>
      <c r="B86" t="s">
        <v>560</v>
      </c>
      <c r="C86" t="s">
        <v>374</v>
      </c>
      <c r="D86" t="s">
        <v>22</v>
      </c>
    </row>
    <row r="87" spans="1:4">
      <c r="A87" t="s">
        <v>429</v>
      </c>
      <c r="B87" t="s">
        <v>560</v>
      </c>
      <c r="C87" t="s">
        <v>375</v>
      </c>
      <c r="D87" t="s">
        <v>22</v>
      </c>
    </row>
    <row r="88" spans="1:4">
      <c r="A88" t="s">
        <v>428</v>
      </c>
      <c r="B88" t="s">
        <v>560</v>
      </c>
      <c r="C88" t="s">
        <v>376</v>
      </c>
      <c r="D88" t="s">
        <v>23</v>
      </c>
    </row>
    <row r="89" spans="1:4">
      <c r="A89" t="s">
        <v>427</v>
      </c>
      <c r="B89" t="s">
        <v>560</v>
      </c>
      <c r="C89" t="s">
        <v>566</v>
      </c>
      <c r="D89" t="s">
        <v>24</v>
      </c>
    </row>
    <row r="90" spans="1:4">
      <c r="A90" t="s">
        <v>426</v>
      </c>
      <c r="B90" t="s">
        <v>560</v>
      </c>
      <c r="C90" t="s">
        <v>377</v>
      </c>
      <c r="D90" t="s">
        <v>25</v>
      </c>
    </row>
    <row r="91" spans="1:4">
      <c r="A91" t="s">
        <v>425</v>
      </c>
      <c r="B91" t="s">
        <v>560</v>
      </c>
      <c r="C91" t="s">
        <v>565</v>
      </c>
      <c r="D91" t="s">
        <v>26</v>
      </c>
    </row>
    <row r="92" spans="1:4">
      <c r="A92" t="s">
        <v>424</v>
      </c>
      <c r="B92" t="s">
        <v>560</v>
      </c>
      <c r="C92" t="s">
        <v>564</v>
      </c>
      <c r="D92" t="s">
        <v>27</v>
      </c>
    </row>
    <row r="93" spans="1:4">
      <c r="A93" t="s">
        <v>423</v>
      </c>
      <c r="B93" t="s">
        <v>560</v>
      </c>
      <c r="C93" t="s">
        <v>378</v>
      </c>
      <c r="D93" t="s">
        <v>28</v>
      </c>
    </row>
    <row r="94" spans="1:4">
      <c r="A94" t="s">
        <v>422</v>
      </c>
      <c r="B94" t="s">
        <v>560</v>
      </c>
      <c r="C94" t="s">
        <v>563</v>
      </c>
      <c r="D94" t="s">
        <v>29</v>
      </c>
    </row>
    <row r="95" spans="1:4">
      <c r="A95" t="s">
        <v>421</v>
      </c>
      <c r="B95" t="s">
        <v>560</v>
      </c>
      <c r="C95" t="s">
        <v>562</v>
      </c>
      <c r="D95" t="s">
        <v>29</v>
      </c>
    </row>
    <row r="96" spans="1:4">
      <c r="A96" t="s">
        <v>420</v>
      </c>
      <c r="B96" t="s">
        <v>560</v>
      </c>
      <c r="C96" t="s">
        <v>379</v>
      </c>
      <c r="D96" t="s">
        <v>30</v>
      </c>
    </row>
    <row r="97" spans="1:4">
      <c r="A97" t="s">
        <v>419</v>
      </c>
      <c r="B97" t="s">
        <v>560</v>
      </c>
      <c r="C97" t="s">
        <v>380</v>
      </c>
      <c r="D97" t="s">
        <v>31</v>
      </c>
    </row>
    <row r="98" spans="1:4">
      <c r="A98" t="s">
        <v>418</v>
      </c>
      <c r="B98" t="s">
        <v>560</v>
      </c>
      <c r="C98" t="s">
        <v>381</v>
      </c>
      <c r="D98" t="s">
        <v>32</v>
      </c>
    </row>
    <row r="99" spans="1:4">
      <c r="A99" t="s">
        <v>417</v>
      </c>
      <c r="B99" t="s">
        <v>560</v>
      </c>
      <c r="C99" t="s">
        <v>561</v>
      </c>
      <c r="D99" t="s">
        <v>33</v>
      </c>
    </row>
    <row r="100" spans="1:4">
      <c r="A100" t="s">
        <v>416</v>
      </c>
      <c r="B100" t="s">
        <v>560</v>
      </c>
      <c r="C100" t="s">
        <v>382</v>
      </c>
      <c r="D100" t="s">
        <v>33</v>
      </c>
    </row>
    <row r="101" spans="1:4">
      <c r="A101" t="s">
        <v>415</v>
      </c>
      <c r="B101" t="s">
        <v>560</v>
      </c>
      <c r="C101" t="s">
        <v>383</v>
      </c>
      <c r="D101" t="s">
        <v>34</v>
      </c>
    </row>
    <row r="102" spans="1:4">
      <c r="A102" t="s">
        <v>414</v>
      </c>
      <c r="B102" t="s">
        <v>560</v>
      </c>
      <c r="C102" t="s">
        <v>559</v>
      </c>
      <c r="D102" t="s">
        <v>551</v>
      </c>
    </row>
    <row r="103" spans="1:4">
      <c r="A103" t="s">
        <v>413</v>
      </c>
      <c r="C103" t="s">
        <v>558</v>
      </c>
    </row>
    <row r="104" spans="1:4">
      <c r="A104" t="s">
        <v>412</v>
      </c>
      <c r="C104" t="s">
        <v>557</v>
      </c>
    </row>
    <row r="105" spans="1:4">
      <c r="A105" t="s">
        <v>411</v>
      </c>
      <c r="C105" t="s">
        <v>386</v>
      </c>
    </row>
    <row r="106" spans="1:4">
      <c r="A106" t="s">
        <v>410</v>
      </c>
      <c r="C106" t="s">
        <v>387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8E80D-6549-4D23-928E-EEDF7DD36F46}">
  <dimension ref="A1:BI106"/>
  <sheetViews>
    <sheetView topLeftCell="A82" workbookViewId="0">
      <selection activeCell="A2" sqref="A2"/>
    </sheetView>
  </sheetViews>
  <sheetFormatPr defaultRowHeight="14.5"/>
  <cols>
    <col min="1" max="1" width="14.453125" bestFit="1" customWidth="1"/>
  </cols>
  <sheetData>
    <row r="1" spans="1:61">
      <c r="B1" t="s">
        <v>342</v>
      </c>
      <c r="C1" t="s">
        <v>343</v>
      </c>
      <c r="D1" t="s">
        <v>344</v>
      </c>
      <c r="E1" t="s">
        <v>548</v>
      </c>
      <c r="F1" t="s">
        <v>547</v>
      </c>
      <c r="G1" t="s">
        <v>546</v>
      </c>
      <c r="H1" t="s">
        <v>545</v>
      </c>
      <c r="I1" t="s">
        <v>544</v>
      </c>
      <c r="J1" t="s">
        <v>543</v>
      </c>
      <c r="K1" t="s">
        <v>542</v>
      </c>
      <c r="L1" t="s">
        <v>345</v>
      </c>
      <c r="M1" t="s">
        <v>541</v>
      </c>
      <c r="N1" t="s">
        <v>346</v>
      </c>
      <c r="O1" t="s">
        <v>347</v>
      </c>
      <c r="P1" t="s">
        <v>348</v>
      </c>
      <c r="Q1" t="s">
        <v>349</v>
      </c>
      <c r="R1" t="s">
        <v>350</v>
      </c>
      <c r="S1" t="s">
        <v>540</v>
      </c>
      <c r="T1" t="s">
        <v>539</v>
      </c>
      <c r="U1" t="s">
        <v>351</v>
      </c>
      <c r="V1" t="s">
        <v>352</v>
      </c>
      <c r="W1" t="s">
        <v>353</v>
      </c>
      <c r="X1" t="s">
        <v>354</v>
      </c>
      <c r="Y1" t="s">
        <v>355</v>
      </c>
      <c r="Z1" t="s">
        <v>538</v>
      </c>
      <c r="AA1" t="s">
        <v>537</v>
      </c>
      <c r="AB1" t="s">
        <v>536</v>
      </c>
      <c r="AC1" t="s">
        <v>535</v>
      </c>
      <c r="AD1" t="s">
        <v>534</v>
      </c>
      <c r="AE1" t="s">
        <v>356</v>
      </c>
      <c r="AF1" t="s">
        <v>533</v>
      </c>
      <c r="AG1" t="s">
        <v>357</v>
      </c>
      <c r="AH1" t="s">
        <v>358</v>
      </c>
      <c r="AI1" t="s">
        <v>359</v>
      </c>
      <c r="AJ1" t="s">
        <v>360</v>
      </c>
      <c r="AK1" t="s">
        <v>361</v>
      </c>
      <c r="AL1" t="s">
        <v>362</v>
      </c>
      <c r="AM1" t="s">
        <v>532</v>
      </c>
      <c r="AN1" t="s">
        <v>363</v>
      </c>
      <c r="AO1" t="s">
        <v>531</v>
      </c>
      <c r="AP1" t="s">
        <v>530</v>
      </c>
      <c r="AQ1" t="s">
        <v>529</v>
      </c>
      <c r="AR1" t="s">
        <v>528</v>
      </c>
      <c r="AS1" t="s">
        <v>364</v>
      </c>
      <c r="AT1" t="s">
        <v>527</v>
      </c>
      <c r="AU1" t="s">
        <v>526</v>
      </c>
      <c r="AV1" t="s">
        <v>365</v>
      </c>
      <c r="AW1" t="s">
        <v>525</v>
      </c>
      <c r="AX1" t="s">
        <v>524</v>
      </c>
      <c r="AY1" t="s">
        <v>366</v>
      </c>
      <c r="AZ1" t="s">
        <v>523</v>
      </c>
      <c r="BA1" t="s">
        <v>522</v>
      </c>
      <c r="BB1" t="s">
        <v>521</v>
      </c>
      <c r="BC1" t="s">
        <v>367</v>
      </c>
      <c r="BD1" t="s">
        <v>520</v>
      </c>
      <c r="BE1" t="s">
        <v>519</v>
      </c>
      <c r="BF1" t="s">
        <v>518</v>
      </c>
      <c r="BG1" t="s">
        <v>517</v>
      </c>
      <c r="BH1" t="s">
        <v>516</v>
      </c>
      <c r="BI1" t="s">
        <v>515</v>
      </c>
    </row>
    <row r="2" spans="1:61">
      <c r="A2" t="s">
        <v>514</v>
      </c>
      <c r="B2">
        <v>2972.944</v>
      </c>
      <c r="C2">
        <v>35.360999999999997</v>
      </c>
      <c r="D2">
        <v>53.442999999999998</v>
      </c>
      <c r="E2">
        <v>1.4E-2</v>
      </c>
      <c r="F2">
        <v>4.0000000000000001E-3</v>
      </c>
      <c r="G2">
        <v>3.0000000000000001E-3</v>
      </c>
      <c r="H2">
        <v>0.54500000000000004</v>
      </c>
      <c r="I2">
        <v>1E-3</v>
      </c>
      <c r="J2">
        <v>20981.346000000001</v>
      </c>
      <c r="K2">
        <v>486.11099999999999</v>
      </c>
      <c r="L2">
        <v>11.968999999999999</v>
      </c>
      <c r="M2">
        <v>4.0860000000000003</v>
      </c>
      <c r="N2">
        <v>0.35499999999999998</v>
      </c>
      <c r="O2">
        <v>251.49700000000001</v>
      </c>
      <c r="P2">
        <v>47.453000000000003</v>
      </c>
      <c r="Q2">
        <v>81.025000000000006</v>
      </c>
      <c r="R2">
        <v>0.99399999999999999</v>
      </c>
      <c r="S2">
        <v>0.44</v>
      </c>
      <c r="T2">
        <v>0.43099999999999999</v>
      </c>
      <c r="U2">
        <v>0.94699999999999995</v>
      </c>
      <c r="V2">
        <v>4.8849999999999998</v>
      </c>
      <c r="W2">
        <v>1.4370000000000001</v>
      </c>
      <c r="X2">
        <v>6.7930000000000001</v>
      </c>
      <c r="Y2">
        <v>3.3450000000000002</v>
      </c>
      <c r="Z2">
        <v>0.89800000000000002</v>
      </c>
      <c r="AA2">
        <v>0.23</v>
      </c>
      <c r="AB2">
        <v>13.723000000000001</v>
      </c>
      <c r="AC2">
        <v>22.533000000000001</v>
      </c>
      <c r="AD2">
        <v>5.306</v>
      </c>
      <c r="AE2">
        <v>54.844999999999999</v>
      </c>
      <c r="AF2">
        <v>407.72300000000001</v>
      </c>
      <c r="AG2">
        <v>2.0289999999999999</v>
      </c>
      <c r="AH2">
        <v>4.8860000000000001</v>
      </c>
      <c r="AI2">
        <v>0.153</v>
      </c>
      <c r="AJ2">
        <v>6.9180000000000001</v>
      </c>
      <c r="AK2">
        <v>0.60299999999999998</v>
      </c>
      <c r="AL2">
        <v>4458.1329999999998</v>
      </c>
      <c r="AM2">
        <v>2.633</v>
      </c>
      <c r="AN2">
        <v>0.82799999999999996</v>
      </c>
      <c r="AO2">
        <v>0.47199999999999998</v>
      </c>
      <c r="AP2">
        <v>2.0569999999999999</v>
      </c>
      <c r="AQ2">
        <v>8.5630000000000006</v>
      </c>
      <c r="AR2">
        <v>49.210999999999999</v>
      </c>
      <c r="AS2">
        <v>36.942</v>
      </c>
      <c r="AT2">
        <v>47.886000000000003</v>
      </c>
      <c r="AU2">
        <v>58.945999999999998</v>
      </c>
      <c r="AV2">
        <v>147.215</v>
      </c>
      <c r="AW2">
        <v>31.315999999999999</v>
      </c>
      <c r="AX2">
        <v>46.865000000000002</v>
      </c>
      <c r="AY2">
        <v>0</v>
      </c>
      <c r="AZ2">
        <v>13717.814</v>
      </c>
      <c r="BA2">
        <v>15.803000000000001</v>
      </c>
      <c r="BB2">
        <v>0.76400000000000001</v>
      </c>
      <c r="BC2">
        <v>290.07299999999998</v>
      </c>
      <c r="BD2">
        <v>6.0140000000000002</v>
      </c>
      <c r="BE2">
        <v>0</v>
      </c>
      <c r="BF2">
        <v>70.644999999999996</v>
      </c>
      <c r="BG2">
        <v>614.13099999999997</v>
      </c>
      <c r="BH2">
        <v>0</v>
      </c>
      <c r="BI2">
        <v>45071.582999999999</v>
      </c>
    </row>
    <row r="3" spans="1:61">
      <c r="A3" t="s">
        <v>513</v>
      </c>
      <c r="B3">
        <v>72.760999999999996</v>
      </c>
      <c r="C3">
        <v>351.459</v>
      </c>
      <c r="D3">
        <v>2.964</v>
      </c>
      <c r="E3">
        <v>0.16</v>
      </c>
      <c r="F3">
        <v>6.0000000000000001E-3</v>
      </c>
      <c r="G3">
        <v>8.0000000000000002E-3</v>
      </c>
      <c r="H3">
        <v>0.435</v>
      </c>
      <c r="I3">
        <v>0</v>
      </c>
      <c r="J3">
        <v>219.11600000000001</v>
      </c>
      <c r="K3">
        <v>14.913</v>
      </c>
      <c r="L3">
        <v>935.90700000000004</v>
      </c>
      <c r="M3">
        <v>133.583</v>
      </c>
      <c r="N3">
        <v>0.29199999999999998</v>
      </c>
      <c r="O3">
        <v>31.253</v>
      </c>
      <c r="P3">
        <v>1.54</v>
      </c>
      <c r="Q3">
        <v>90.787000000000006</v>
      </c>
      <c r="R3">
        <v>4.3810000000000002</v>
      </c>
      <c r="S3">
        <v>2.0990000000000002</v>
      </c>
      <c r="T3">
        <v>1.2869999999999999</v>
      </c>
      <c r="U3">
        <v>0.91200000000000003</v>
      </c>
      <c r="V3">
        <v>0.85199999999999998</v>
      </c>
      <c r="W3">
        <v>0.61399999999999999</v>
      </c>
      <c r="X3">
        <v>1.65</v>
      </c>
      <c r="Y3">
        <v>0.80400000000000005</v>
      </c>
      <c r="Z3">
        <v>1.018</v>
      </c>
      <c r="AA3">
        <v>7.3999999999999996E-2</v>
      </c>
      <c r="AB3">
        <v>67.519000000000005</v>
      </c>
      <c r="AC3">
        <v>80.406000000000006</v>
      </c>
      <c r="AD3">
        <v>0.32900000000000001</v>
      </c>
      <c r="AE3">
        <v>39.76</v>
      </c>
      <c r="AF3">
        <v>29.507999999999999</v>
      </c>
      <c r="AG3">
        <v>0.17599999999999999</v>
      </c>
      <c r="AH3">
        <v>0.47199999999999998</v>
      </c>
      <c r="AI3">
        <v>0.11600000000000001</v>
      </c>
      <c r="AJ3">
        <v>0.64700000000000002</v>
      </c>
      <c r="AK3">
        <v>0.13800000000000001</v>
      </c>
      <c r="AL3">
        <v>80.7</v>
      </c>
      <c r="AM3">
        <v>0.79</v>
      </c>
      <c r="AN3">
        <v>0.55900000000000005</v>
      </c>
      <c r="AO3">
        <v>0.54</v>
      </c>
      <c r="AP3">
        <v>0.82699999999999996</v>
      </c>
      <c r="AQ3">
        <v>3.7320000000000002</v>
      </c>
      <c r="AR3">
        <v>1.9419999999999999</v>
      </c>
      <c r="AS3">
        <v>1.71</v>
      </c>
      <c r="AT3">
        <v>11.379</v>
      </c>
      <c r="AU3">
        <v>5.899</v>
      </c>
      <c r="AV3">
        <v>5.1609999999999996</v>
      </c>
      <c r="AW3">
        <v>5.9059999999999997</v>
      </c>
      <c r="AX3">
        <v>4.617</v>
      </c>
      <c r="AY3">
        <v>0</v>
      </c>
      <c r="AZ3">
        <v>523.36800000000005</v>
      </c>
      <c r="BA3">
        <v>15.967000000000001</v>
      </c>
      <c r="BB3">
        <v>0.03</v>
      </c>
      <c r="BC3">
        <v>282.70299999999997</v>
      </c>
      <c r="BD3">
        <v>2.8730000000000002</v>
      </c>
      <c r="BE3">
        <v>0</v>
      </c>
      <c r="BF3">
        <v>0.374</v>
      </c>
      <c r="BG3">
        <v>45.905000000000001</v>
      </c>
      <c r="BH3">
        <v>0</v>
      </c>
      <c r="BI3">
        <v>3082.931</v>
      </c>
    </row>
    <row r="4" spans="1:61">
      <c r="A4" t="s">
        <v>512</v>
      </c>
      <c r="B4">
        <v>4.8550000000000004</v>
      </c>
      <c r="C4">
        <v>0.44800000000000001</v>
      </c>
      <c r="D4">
        <v>431.33300000000003</v>
      </c>
      <c r="E4">
        <v>3.0000000000000001E-3</v>
      </c>
      <c r="F4">
        <v>0</v>
      </c>
      <c r="G4">
        <v>1E-3</v>
      </c>
      <c r="H4">
        <v>4.4999999999999998E-2</v>
      </c>
      <c r="I4">
        <v>0</v>
      </c>
      <c r="J4">
        <v>2711.5830000000001</v>
      </c>
      <c r="K4">
        <v>0.91200000000000003</v>
      </c>
      <c r="L4">
        <v>0.03</v>
      </c>
      <c r="M4">
        <v>8.7999999999999995E-2</v>
      </c>
      <c r="N4">
        <v>0.121</v>
      </c>
      <c r="O4">
        <v>2.2730000000000001</v>
      </c>
      <c r="P4">
        <v>0.41</v>
      </c>
      <c r="Q4">
        <v>0.252</v>
      </c>
      <c r="R4">
        <v>0.161</v>
      </c>
      <c r="S4">
        <v>0.13600000000000001</v>
      </c>
      <c r="T4">
        <v>0.125</v>
      </c>
      <c r="U4">
        <v>0.307</v>
      </c>
      <c r="V4">
        <v>0.60699999999999998</v>
      </c>
      <c r="W4">
        <v>0.314</v>
      </c>
      <c r="X4">
        <v>0.46899999999999997</v>
      </c>
      <c r="Y4">
        <v>0.183</v>
      </c>
      <c r="Z4">
        <v>0.192</v>
      </c>
      <c r="AA4">
        <v>1.2E-2</v>
      </c>
      <c r="AB4">
        <v>0.14899999999999999</v>
      </c>
      <c r="AC4">
        <v>0.215</v>
      </c>
      <c r="AD4">
        <v>9.7000000000000003E-2</v>
      </c>
      <c r="AE4">
        <v>0.78400000000000003</v>
      </c>
      <c r="AF4">
        <v>40.506999999999998</v>
      </c>
      <c r="AG4">
        <v>8.6999999999999994E-2</v>
      </c>
      <c r="AH4">
        <v>1.421</v>
      </c>
      <c r="AI4">
        <v>3.5000000000000003E-2</v>
      </c>
      <c r="AJ4">
        <v>0.35799999999999998</v>
      </c>
      <c r="AK4">
        <v>4.0000000000000001E-3</v>
      </c>
      <c r="AL4">
        <v>1256.01</v>
      </c>
      <c r="AM4">
        <v>0.51800000000000002</v>
      </c>
      <c r="AN4">
        <v>0.17499999999999999</v>
      </c>
      <c r="AO4">
        <v>0.35199999999999998</v>
      </c>
      <c r="AP4">
        <v>0.68600000000000005</v>
      </c>
      <c r="AQ4">
        <v>1.0940000000000001</v>
      </c>
      <c r="AR4">
        <v>1.1299999999999999</v>
      </c>
      <c r="AS4">
        <v>0.29699999999999999</v>
      </c>
      <c r="AT4">
        <v>11.728</v>
      </c>
      <c r="AU4">
        <v>4.6040000000000001</v>
      </c>
      <c r="AV4">
        <v>12.708</v>
      </c>
      <c r="AW4">
        <v>1.67</v>
      </c>
      <c r="AX4">
        <v>2.6560000000000001</v>
      </c>
      <c r="AY4">
        <v>0</v>
      </c>
      <c r="AZ4">
        <v>2680.6819999999998</v>
      </c>
      <c r="BA4">
        <v>3.6339999999999999</v>
      </c>
      <c r="BB4">
        <v>1.0999999999999999E-2</v>
      </c>
      <c r="BC4">
        <v>0.99399999999999999</v>
      </c>
      <c r="BD4">
        <v>1.5660000000000001</v>
      </c>
      <c r="BE4">
        <v>0</v>
      </c>
      <c r="BF4">
        <v>5.2089999999999996</v>
      </c>
      <c r="BG4">
        <v>429.38499999999999</v>
      </c>
      <c r="BH4">
        <v>0</v>
      </c>
      <c r="BI4">
        <v>7613.625</v>
      </c>
    </row>
    <row r="5" spans="1:61">
      <c r="A5" t="s">
        <v>511</v>
      </c>
      <c r="B5">
        <v>0.14299999999999999</v>
      </c>
      <c r="C5">
        <v>7.0000000000000001E-3</v>
      </c>
      <c r="D5">
        <v>3.9E-2</v>
      </c>
      <c r="E5">
        <v>0.24399999999999999</v>
      </c>
      <c r="F5">
        <v>0</v>
      </c>
      <c r="G5">
        <v>0</v>
      </c>
      <c r="H5">
        <v>0.02</v>
      </c>
      <c r="I5">
        <v>0</v>
      </c>
      <c r="J5">
        <v>0.42699999999999999</v>
      </c>
      <c r="K5">
        <v>0.214</v>
      </c>
      <c r="L5">
        <v>2.5000000000000001E-2</v>
      </c>
      <c r="M5">
        <v>0.112</v>
      </c>
      <c r="N5">
        <v>24.172999999999998</v>
      </c>
      <c r="O5">
        <v>0.627</v>
      </c>
      <c r="P5">
        <v>7.0000000000000007E-2</v>
      </c>
      <c r="Q5">
        <v>0.21299999999999999</v>
      </c>
      <c r="R5">
        <v>0.159</v>
      </c>
      <c r="S5">
        <v>0.39100000000000001</v>
      </c>
      <c r="T5">
        <v>0.13400000000000001</v>
      </c>
      <c r="U5">
        <v>0.25800000000000001</v>
      </c>
      <c r="V5">
        <v>0.77300000000000002</v>
      </c>
      <c r="W5">
        <v>0.28899999999999998</v>
      </c>
      <c r="X5">
        <v>0.432</v>
      </c>
      <c r="Y5">
        <v>0.39400000000000002</v>
      </c>
      <c r="Z5">
        <v>9.5000000000000001E-2</v>
      </c>
      <c r="AA5">
        <v>3.6999999999999998E-2</v>
      </c>
      <c r="AB5">
        <v>9.5000000000000001E-2</v>
      </c>
      <c r="AC5">
        <v>208.80199999999999</v>
      </c>
      <c r="AD5">
        <v>7.1999999999999995E-2</v>
      </c>
      <c r="AE5">
        <v>0.45800000000000002</v>
      </c>
      <c r="AF5">
        <v>0.34799999999999998</v>
      </c>
      <c r="AG5">
        <v>0.06</v>
      </c>
      <c r="AH5">
        <v>0.122</v>
      </c>
      <c r="AI5">
        <v>0.09</v>
      </c>
      <c r="AJ5">
        <v>0.10299999999999999</v>
      </c>
      <c r="AK5">
        <v>1.4E-2</v>
      </c>
      <c r="AL5">
        <v>0.316</v>
      </c>
      <c r="AM5">
        <v>0.03</v>
      </c>
      <c r="AN5">
        <v>7.4999999999999997E-2</v>
      </c>
      <c r="AO5">
        <v>4.2999999999999997E-2</v>
      </c>
      <c r="AP5">
        <v>3.7999999999999999E-2</v>
      </c>
      <c r="AQ5">
        <v>8.4000000000000005E-2</v>
      </c>
      <c r="AR5">
        <v>0.16900000000000001</v>
      </c>
      <c r="AS5">
        <v>8.5000000000000006E-2</v>
      </c>
      <c r="AT5">
        <v>0.126</v>
      </c>
      <c r="AU5">
        <v>0.10299999999999999</v>
      </c>
      <c r="AV5">
        <v>0.192</v>
      </c>
      <c r="AW5">
        <v>4.7E-2</v>
      </c>
      <c r="AX5">
        <v>0.09</v>
      </c>
      <c r="AY5">
        <v>0</v>
      </c>
      <c r="AZ5">
        <v>2.8370000000000002</v>
      </c>
      <c r="BA5">
        <v>2E-3</v>
      </c>
      <c r="BB5">
        <v>1E-3</v>
      </c>
      <c r="BC5">
        <v>0.73299999999999998</v>
      </c>
      <c r="BD5">
        <v>1.6E-2</v>
      </c>
      <c r="BE5">
        <v>0</v>
      </c>
      <c r="BF5">
        <v>5.0000000000000001E-3</v>
      </c>
      <c r="BG5">
        <v>13.228</v>
      </c>
      <c r="BH5">
        <v>0</v>
      </c>
      <c r="BI5">
        <v>257.66300000000001</v>
      </c>
    </row>
    <row r="6" spans="1:61">
      <c r="A6" t="s">
        <v>510</v>
      </c>
      <c r="B6">
        <v>3.6999999999999998E-2</v>
      </c>
      <c r="C6">
        <v>1E-3</v>
      </c>
      <c r="D6">
        <v>8.0000000000000002E-3</v>
      </c>
      <c r="E6">
        <v>0</v>
      </c>
      <c r="F6">
        <v>8.0000000000000002E-3</v>
      </c>
      <c r="G6">
        <v>0</v>
      </c>
      <c r="H6">
        <v>3.0000000000000001E-3</v>
      </c>
      <c r="I6">
        <v>0</v>
      </c>
      <c r="J6">
        <v>0.16400000000000001</v>
      </c>
      <c r="K6">
        <v>0.109</v>
      </c>
      <c r="L6">
        <v>8.9999999999999993E-3</v>
      </c>
      <c r="M6">
        <v>0.04</v>
      </c>
      <c r="N6">
        <v>102.895</v>
      </c>
      <c r="O6">
        <v>0.29199999999999998</v>
      </c>
      <c r="P6">
        <v>3.4000000000000002E-2</v>
      </c>
      <c r="Q6">
        <v>0.106</v>
      </c>
      <c r="R6">
        <v>4.8000000000000001E-2</v>
      </c>
      <c r="S6">
        <v>0.11</v>
      </c>
      <c r="T6">
        <v>3.2000000000000001E-2</v>
      </c>
      <c r="U6">
        <v>9.8000000000000004E-2</v>
      </c>
      <c r="V6">
        <v>0.433</v>
      </c>
      <c r="W6">
        <v>0.14000000000000001</v>
      </c>
      <c r="X6">
        <v>0.18099999999999999</v>
      </c>
      <c r="Y6">
        <v>0.157</v>
      </c>
      <c r="Z6">
        <v>4.3999999999999997E-2</v>
      </c>
      <c r="AA6">
        <v>1.0999999999999999E-2</v>
      </c>
      <c r="AB6">
        <v>0.03</v>
      </c>
      <c r="AC6">
        <v>29.373999999999999</v>
      </c>
      <c r="AD6">
        <v>0.01</v>
      </c>
      <c r="AE6">
        <v>0.20100000000000001</v>
      </c>
      <c r="AF6">
        <v>0.111</v>
      </c>
      <c r="AG6">
        <v>1.6E-2</v>
      </c>
      <c r="AH6">
        <v>2.9000000000000001E-2</v>
      </c>
      <c r="AI6">
        <v>1.4E-2</v>
      </c>
      <c r="AJ6">
        <v>2.1999999999999999E-2</v>
      </c>
      <c r="AK6">
        <v>4.0000000000000001E-3</v>
      </c>
      <c r="AL6">
        <v>0.125</v>
      </c>
      <c r="AM6">
        <v>1.2999999999999999E-2</v>
      </c>
      <c r="AN6">
        <v>1.9E-2</v>
      </c>
      <c r="AO6">
        <v>0.01</v>
      </c>
      <c r="AP6">
        <v>8.9999999999999993E-3</v>
      </c>
      <c r="AQ6">
        <v>2.1999999999999999E-2</v>
      </c>
      <c r="AR6">
        <v>3.7999999999999999E-2</v>
      </c>
      <c r="AS6">
        <v>1.7000000000000001E-2</v>
      </c>
      <c r="AT6">
        <v>2.5000000000000001E-2</v>
      </c>
      <c r="AU6">
        <v>0.02</v>
      </c>
      <c r="AV6">
        <v>0.08</v>
      </c>
      <c r="AW6">
        <v>0.01</v>
      </c>
      <c r="AX6">
        <v>3.1E-2</v>
      </c>
      <c r="AY6">
        <v>0</v>
      </c>
      <c r="AZ6">
        <v>1.502</v>
      </c>
      <c r="BA6">
        <v>1E-3</v>
      </c>
      <c r="BB6">
        <v>0</v>
      </c>
      <c r="BC6">
        <v>0.48799999999999999</v>
      </c>
      <c r="BD6">
        <v>0</v>
      </c>
      <c r="BE6">
        <v>0</v>
      </c>
      <c r="BF6">
        <v>4.0000000000000001E-3</v>
      </c>
      <c r="BG6">
        <v>2.2000000000000002</v>
      </c>
      <c r="BH6">
        <v>0</v>
      </c>
      <c r="BI6">
        <v>139.39099999999999</v>
      </c>
    </row>
    <row r="7" spans="1:61">
      <c r="A7" t="s">
        <v>509</v>
      </c>
      <c r="B7">
        <v>1.4999999999999999E-2</v>
      </c>
      <c r="C7">
        <v>1E-3</v>
      </c>
      <c r="D7">
        <v>1E-3</v>
      </c>
      <c r="E7">
        <v>1E-3</v>
      </c>
      <c r="F7">
        <v>0</v>
      </c>
      <c r="G7">
        <v>7.0000000000000001E-3</v>
      </c>
      <c r="H7">
        <v>4.9000000000000002E-2</v>
      </c>
      <c r="I7">
        <v>0</v>
      </c>
      <c r="J7">
        <v>0.13400000000000001</v>
      </c>
      <c r="K7">
        <v>2.3E-2</v>
      </c>
      <c r="L7">
        <v>1.2E-2</v>
      </c>
      <c r="M7">
        <v>1.2999999999999999E-2</v>
      </c>
      <c r="N7">
        <v>0.20799999999999999</v>
      </c>
      <c r="O7">
        <v>0.69099999999999995</v>
      </c>
      <c r="P7">
        <v>1.7999999999999999E-2</v>
      </c>
      <c r="Q7">
        <v>0.129</v>
      </c>
      <c r="R7">
        <v>0.93</v>
      </c>
      <c r="S7">
        <v>13.709</v>
      </c>
      <c r="T7">
        <v>12.837</v>
      </c>
      <c r="U7">
        <v>3.121</v>
      </c>
      <c r="V7">
        <v>0.876</v>
      </c>
      <c r="W7">
        <v>1.2689999999999999</v>
      </c>
      <c r="X7">
        <v>1.825</v>
      </c>
      <c r="Y7">
        <v>1.6160000000000001</v>
      </c>
      <c r="Z7">
        <v>0.36499999999999999</v>
      </c>
      <c r="AA7">
        <v>0.12</v>
      </c>
      <c r="AB7">
        <v>0.17899999999999999</v>
      </c>
      <c r="AC7">
        <v>0.246</v>
      </c>
      <c r="AD7">
        <v>8.3000000000000004E-2</v>
      </c>
      <c r="AE7">
        <v>2.9790000000000001</v>
      </c>
      <c r="AF7">
        <v>0.08</v>
      </c>
      <c r="AG7">
        <v>4.0000000000000001E-3</v>
      </c>
      <c r="AH7">
        <v>8.0000000000000002E-3</v>
      </c>
      <c r="AI7">
        <v>0</v>
      </c>
      <c r="AJ7">
        <v>1.6E-2</v>
      </c>
      <c r="AK7">
        <v>1E-3</v>
      </c>
      <c r="AL7">
        <v>4.8000000000000001E-2</v>
      </c>
      <c r="AM7">
        <v>2E-3</v>
      </c>
      <c r="AN7">
        <v>2E-3</v>
      </c>
      <c r="AO7">
        <v>1E-3</v>
      </c>
      <c r="AP7">
        <v>5.0000000000000001E-3</v>
      </c>
      <c r="AQ7">
        <v>0.17499999999999999</v>
      </c>
      <c r="AR7">
        <v>6.2E-2</v>
      </c>
      <c r="AS7">
        <v>0.01</v>
      </c>
      <c r="AT7">
        <v>1.4E-2</v>
      </c>
      <c r="AU7">
        <v>0.02</v>
      </c>
      <c r="AV7">
        <v>1.2999999999999999E-2</v>
      </c>
      <c r="AW7">
        <v>7.0000000000000001E-3</v>
      </c>
      <c r="AX7">
        <v>3.5999999999999997E-2</v>
      </c>
      <c r="AY7">
        <v>0</v>
      </c>
      <c r="AZ7">
        <v>1.2999999999999999E-2</v>
      </c>
      <c r="BA7">
        <v>0</v>
      </c>
      <c r="BB7">
        <v>0</v>
      </c>
      <c r="BC7">
        <v>0.01</v>
      </c>
      <c r="BD7">
        <v>0</v>
      </c>
      <c r="BE7">
        <v>0</v>
      </c>
      <c r="BF7">
        <v>0</v>
      </c>
      <c r="BG7">
        <v>77.799000000000007</v>
      </c>
      <c r="BH7">
        <v>0</v>
      </c>
      <c r="BI7">
        <v>119.78700000000001</v>
      </c>
    </row>
    <row r="8" spans="1:61">
      <c r="A8" t="s">
        <v>508</v>
      </c>
      <c r="B8">
        <v>10.737</v>
      </c>
      <c r="C8">
        <v>0.34</v>
      </c>
      <c r="D8">
        <v>2.0139999999999998</v>
      </c>
      <c r="E8">
        <v>0.222</v>
      </c>
      <c r="F8">
        <v>0.05</v>
      </c>
      <c r="G8">
        <v>0.16600000000000001</v>
      </c>
      <c r="H8">
        <v>55.72</v>
      </c>
      <c r="I8">
        <v>2.4E-2</v>
      </c>
      <c r="J8">
        <v>30.286000000000001</v>
      </c>
      <c r="K8">
        <v>4.5759999999999996</v>
      </c>
      <c r="L8">
        <v>0.46100000000000002</v>
      </c>
      <c r="M8">
        <v>11.305</v>
      </c>
      <c r="N8">
        <v>56.448</v>
      </c>
      <c r="O8">
        <v>296.88099999999997</v>
      </c>
      <c r="P8">
        <v>1.5469999999999999</v>
      </c>
      <c r="Q8">
        <v>8.3659999999999997</v>
      </c>
      <c r="R8">
        <v>850.05200000000002</v>
      </c>
      <c r="S8">
        <v>299.72800000000001</v>
      </c>
      <c r="T8">
        <v>92.037999999999997</v>
      </c>
      <c r="U8">
        <v>15.779</v>
      </c>
      <c r="V8">
        <v>9.8309999999999995</v>
      </c>
      <c r="W8">
        <v>11.333</v>
      </c>
      <c r="X8">
        <v>10.294</v>
      </c>
      <c r="Y8">
        <v>7.4790000000000001</v>
      </c>
      <c r="Z8">
        <v>1.78</v>
      </c>
      <c r="AA8">
        <v>0.496</v>
      </c>
      <c r="AB8">
        <v>7.3620000000000001</v>
      </c>
      <c r="AC8">
        <v>64.287999999999997</v>
      </c>
      <c r="AD8">
        <v>20.94</v>
      </c>
      <c r="AE8">
        <v>878.41099999999994</v>
      </c>
      <c r="AF8">
        <v>9.2100000000000009</v>
      </c>
      <c r="AG8">
        <v>0.746</v>
      </c>
      <c r="AH8">
        <v>0.45600000000000002</v>
      </c>
      <c r="AI8">
        <v>0.159</v>
      </c>
      <c r="AJ8">
        <v>1.768</v>
      </c>
      <c r="AK8">
        <v>0.34599999999999997</v>
      </c>
      <c r="AL8">
        <v>9.2590000000000003</v>
      </c>
      <c r="AM8">
        <v>0.42699999999999999</v>
      </c>
      <c r="AN8">
        <v>0.46</v>
      </c>
      <c r="AO8">
        <v>0.29699999999999999</v>
      </c>
      <c r="AP8">
        <v>0.68799999999999994</v>
      </c>
      <c r="AQ8">
        <v>17.445</v>
      </c>
      <c r="AR8">
        <v>3.92</v>
      </c>
      <c r="AS8">
        <v>6.4480000000000004</v>
      </c>
      <c r="AT8">
        <v>12.118</v>
      </c>
      <c r="AU8">
        <v>2.9449999999999998</v>
      </c>
      <c r="AV8">
        <v>4.1040000000000001</v>
      </c>
      <c r="AW8">
        <v>1.0269999999999999</v>
      </c>
      <c r="AX8">
        <v>2.431</v>
      </c>
      <c r="AY8">
        <v>0</v>
      </c>
      <c r="AZ8">
        <v>38.618000000000002</v>
      </c>
      <c r="BA8">
        <v>0.20599999999999999</v>
      </c>
      <c r="BB8">
        <v>1.7000000000000001E-2</v>
      </c>
      <c r="BC8">
        <v>3.3780000000000001</v>
      </c>
      <c r="BD8">
        <v>0</v>
      </c>
      <c r="BE8">
        <v>0</v>
      </c>
      <c r="BF8">
        <v>0.55800000000000005</v>
      </c>
      <c r="BG8">
        <v>408.298</v>
      </c>
      <c r="BH8">
        <v>0</v>
      </c>
      <c r="BI8">
        <v>3274.2820000000002</v>
      </c>
    </row>
    <row r="9" spans="1:61">
      <c r="A9" t="s">
        <v>507</v>
      </c>
      <c r="B9">
        <v>1.9E-2</v>
      </c>
      <c r="C9">
        <v>1E-3</v>
      </c>
      <c r="D9">
        <v>4.0000000000000001E-3</v>
      </c>
      <c r="E9">
        <v>0</v>
      </c>
      <c r="F9">
        <v>0</v>
      </c>
      <c r="G9">
        <v>0</v>
      </c>
      <c r="H9">
        <v>2E-3</v>
      </c>
      <c r="I9">
        <v>0</v>
      </c>
      <c r="J9">
        <v>8.5000000000000006E-2</v>
      </c>
      <c r="K9">
        <v>5.6000000000000001E-2</v>
      </c>
      <c r="L9">
        <v>5.0000000000000001E-3</v>
      </c>
      <c r="M9">
        <v>2.1000000000000001E-2</v>
      </c>
      <c r="N9">
        <v>7.8E-2</v>
      </c>
      <c r="O9">
        <v>0.14899999999999999</v>
      </c>
      <c r="P9">
        <v>1.7999999999999999E-2</v>
      </c>
      <c r="Q9">
        <v>5.5E-2</v>
      </c>
      <c r="R9">
        <v>2.5000000000000001E-2</v>
      </c>
      <c r="S9">
        <v>5.7000000000000002E-2</v>
      </c>
      <c r="T9">
        <v>1.7000000000000001E-2</v>
      </c>
      <c r="U9">
        <v>5.2999999999999999E-2</v>
      </c>
      <c r="V9">
        <v>0.22500000000000001</v>
      </c>
      <c r="W9">
        <v>7.2999999999999995E-2</v>
      </c>
      <c r="X9">
        <v>9.4E-2</v>
      </c>
      <c r="Y9">
        <v>8.2000000000000003E-2</v>
      </c>
      <c r="Z9">
        <v>2.3E-2</v>
      </c>
      <c r="AA9">
        <v>6.0000000000000001E-3</v>
      </c>
      <c r="AB9">
        <v>1.6E-2</v>
      </c>
      <c r="AC9">
        <v>0.04</v>
      </c>
      <c r="AD9">
        <v>5.0000000000000001E-3</v>
      </c>
      <c r="AE9">
        <v>0.109</v>
      </c>
      <c r="AF9">
        <v>5.7000000000000002E-2</v>
      </c>
      <c r="AG9">
        <v>8.0000000000000002E-3</v>
      </c>
      <c r="AH9">
        <v>1.4E-2</v>
      </c>
      <c r="AI9">
        <v>6.0000000000000001E-3</v>
      </c>
      <c r="AJ9">
        <v>1.0999999999999999E-2</v>
      </c>
      <c r="AK9">
        <v>2E-3</v>
      </c>
      <c r="AL9">
        <v>6.4000000000000001E-2</v>
      </c>
      <c r="AM9">
        <v>7.0000000000000001E-3</v>
      </c>
      <c r="AN9">
        <v>0.01</v>
      </c>
      <c r="AO9">
        <v>5.0000000000000001E-3</v>
      </c>
      <c r="AP9">
        <v>5.0000000000000001E-3</v>
      </c>
      <c r="AQ9">
        <v>1.2E-2</v>
      </c>
      <c r="AR9">
        <v>2.1999999999999999E-2</v>
      </c>
      <c r="AS9">
        <v>8.9999999999999993E-3</v>
      </c>
      <c r="AT9">
        <v>1.2999999999999999E-2</v>
      </c>
      <c r="AU9">
        <v>0.01</v>
      </c>
      <c r="AV9">
        <v>4.1000000000000002E-2</v>
      </c>
      <c r="AW9">
        <v>5.0000000000000001E-3</v>
      </c>
      <c r="AX9">
        <v>1.6E-2</v>
      </c>
      <c r="AY9">
        <v>0</v>
      </c>
      <c r="AZ9">
        <v>0.77500000000000002</v>
      </c>
      <c r="BA9">
        <v>0</v>
      </c>
      <c r="BB9">
        <v>1.4999999999999999E-2</v>
      </c>
      <c r="BC9">
        <v>0.93799999999999994</v>
      </c>
      <c r="BD9">
        <v>0</v>
      </c>
      <c r="BE9">
        <v>0</v>
      </c>
      <c r="BF9">
        <v>2E-3</v>
      </c>
      <c r="BG9">
        <v>15.464</v>
      </c>
      <c r="BH9">
        <v>0</v>
      </c>
      <c r="BI9">
        <v>18.831</v>
      </c>
    </row>
    <row r="10" spans="1:61">
      <c r="A10" t="s">
        <v>506</v>
      </c>
      <c r="B10">
        <v>3218.393</v>
      </c>
      <c r="C10">
        <v>5.5259999999999998</v>
      </c>
      <c r="D10">
        <v>444.39800000000002</v>
      </c>
      <c r="E10">
        <v>0.17899999999999999</v>
      </c>
      <c r="F10">
        <v>0.09</v>
      </c>
      <c r="G10">
        <v>9.6000000000000002E-2</v>
      </c>
      <c r="H10">
        <v>4.4249999999999998</v>
      </c>
      <c r="I10">
        <v>1.2E-2</v>
      </c>
      <c r="J10">
        <v>21114.006000000001</v>
      </c>
      <c r="K10">
        <v>182.59</v>
      </c>
      <c r="L10">
        <v>7.4880000000000004</v>
      </c>
      <c r="M10">
        <v>72.350999999999999</v>
      </c>
      <c r="N10">
        <v>38.615000000000002</v>
      </c>
      <c r="O10">
        <v>1315.58</v>
      </c>
      <c r="P10">
        <v>190.09299999999999</v>
      </c>
      <c r="Q10">
        <v>73.632999999999996</v>
      </c>
      <c r="R10">
        <v>26.308</v>
      </c>
      <c r="S10">
        <v>30.263999999999999</v>
      </c>
      <c r="T10">
        <v>24.390999999999998</v>
      </c>
      <c r="U10">
        <v>42.692999999999998</v>
      </c>
      <c r="V10">
        <v>72.796999999999997</v>
      </c>
      <c r="W10">
        <v>47.362000000000002</v>
      </c>
      <c r="X10">
        <v>62.470999999999997</v>
      </c>
      <c r="Y10">
        <v>51.529000000000003</v>
      </c>
      <c r="Z10">
        <v>13.345000000000001</v>
      </c>
      <c r="AA10">
        <v>4.6680000000000001</v>
      </c>
      <c r="AB10">
        <v>39.183</v>
      </c>
      <c r="AC10">
        <v>50.101999999999997</v>
      </c>
      <c r="AD10">
        <v>28.553999999999998</v>
      </c>
      <c r="AE10">
        <v>114.09</v>
      </c>
      <c r="AF10">
        <v>1570.6379999999999</v>
      </c>
      <c r="AG10">
        <v>22.63</v>
      </c>
      <c r="AH10">
        <v>101.81699999999999</v>
      </c>
      <c r="AI10">
        <v>18.460999999999999</v>
      </c>
      <c r="AJ10">
        <v>99.763000000000005</v>
      </c>
      <c r="AK10">
        <v>17.837</v>
      </c>
      <c r="AL10">
        <v>31471.800999999999</v>
      </c>
      <c r="AM10">
        <v>99.322999999999993</v>
      </c>
      <c r="AN10">
        <v>46.774999999999999</v>
      </c>
      <c r="AO10">
        <v>61.488</v>
      </c>
      <c r="AP10">
        <v>123.502</v>
      </c>
      <c r="AQ10">
        <v>119.777</v>
      </c>
      <c r="AR10">
        <v>258.81900000000002</v>
      </c>
      <c r="AS10">
        <v>99.613</v>
      </c>
      <c r="AT10">
        <v>333.22899999999998</v>
      </c>
      <c r="AU10">
        <v>582.13499999999999</v>
      </c>
      <c r="AV10">
        <v>849.43700000000001</v>
      </c>
      <c r="AW10">
        <v>314.74</v>
      </c>
      <c r="AX10">
        <v>242.084</v>
      </c>
      <c r="AY10">
        <v>0</v>
      </c>
      <c r="AZ10">
        <v>58875.008999999998</v>
      </c>
      <c r="BA10">
        <v>94.200999999999993</v>
      </c>
      <c r="BB10">
        <v>1.3160000000000001</v>
      </c>
      <c r="BC10">
        <v>168.12799999999999</v>
      </c>
      <c r="BD10">
        <v>26.379000000000001</v>
      </c>
      <c r="BE10">
        <v>0</v>
      </c>
      <c r="BF10">
        <v>262.47899999999998</v>
      </c>
      <c r="BG10">
        <v>8119.8980000000001</v>
      </c>
      <c r="BH10">
        <v>0</v>
      </c>
      <c r="BI10">
        <v>131256.50899999999</v>
      </c>
    </row>
    <row r="11" spans="1:61">
      <c r="A11" t="s">
        <v>505</v>
      </c>
      <c r="B11">
        <v>64.373999999999995</v>
      </c>
      <c r="C11">
        <v>5.77</v>
      </c>
      <c r="D11">
        <v>102.875</v>
      </c>
      <c r="E11">
        <v>0.77900000000000003</v>
      </c>
      <c r="F11">
        <v>0.23499999999999999</v>
      </c>
      <c r="G11">
        <v>0.252</v>
      </c>
      <c r="H11">
        <v>8.6370000000000005</v>
      </c>
      <c r="I11">
        <v>3.4000000000000002E-2</v>
      </c>
      <c r="J11">
        <v>243.52699999999999</v>
      </c>
      <c r="K11">
        <v>19216.841</v>
      </c>
      <c r="L11">
        <v>30.850999999999999</v>
      </c>
      <c r="M11">
        <v>304.11</v>
      </c>
      <c r="N11">
        <v>43.168999999999997</v>
      </c>
      <c r="O11">
        <v>764.63099999999997</v>
      </c>
      <c r="P11">
        <v>60.784999999999997</v>
      </c>
      <c r="Q11">
        <v>665.71699999999998</v>
      </c>
      <c r="R11">
        <v>161.28200000000001</v>
      </c>
      <c r="S11">
        <v>105.87</v>
      </c>
      <c r="T11">
        <v>47.908000000000001</v>
      </c>
      <c r="U11">
        <v>187.59700000000001</v>
      </c>
      <c r="V11">
        <v>319.488</v>
      </c>
      <c r="W11">
        <v>195.749</v>
      </c>
      <c r="X11">
        <v>285.35500000000002</v>
      </c>
      <c r="Y11">
        <v>1208.8309999999999</v>
      </c>
      <c r="Z11">
        <v>154.43100000000001</v>
      </c>
      <c r="AA11">
        <v>35.716000000000001</v>
      </c>
      <c r="AB11">
        <v>720.44399999999996</v>
      </c>
      <c r="AC11">
        <v>95.031000000000006</v>
      </c>
      <c r="AD11">
        <v>67.254000000000005</v>
      </c>
      <c r="AE11">
        <v>519.26099999999997</v>
      </c>
      <c r="AF11">
        <v>1401.5719999999999</v>
      </c>
      <c r="AG11">
        <v>23.638000000000002</v>
      </c>
      <c r="AH11">
        <v>25.239000000000001</v>
      </c>
      <c r="AI11">
        <v>13.709</v>
      </c>
      <c r="AJ11">
        <v>99.756</v>
      </c>
      <c r="AK11">
        <v>57.045999999999999</v>
      </c>
      <c r="AL11">
        <v>814.29700000000003</v>
      </c>
      <c r="AM11">
        <v>67.951999999999998</v>
      </c>
      <c r="AN11">
        <v>61.146999999999998</v>
      </c>
      <c r="AO11">
        <v>52.494999999999997</v>
      </c>
      <c r="AP11">
        <v>111.83199999999999</v>
      </c>
      <c r="AQ11">
        <v>190.96700000000001</v>
      </c>
      <c r="AR11">
        <v>463.64800000000002</v>
      </c>
      <c r="AS11">
        <v>296.56900000000002</v>
      </c>
      <c r="AT11">
        <v>578.68600000000004</v>
      </c>
      <c r="AU11">
        <v>293.46899999999999</v>
      </c>
      <c r="AV11">
        <v>732.82299999999998</v>
      </c>
      <c r="AW11">
        <v>324.52499999999998</v>
      </c>
      <c r="AX11">
        <v>759.08900000000006</v>
      </c>
      <c r="AY11">
        <v>0</v>
      </c>
      <c r="AZ11">
        <v>21633.878000000001</v>
      </c>
      <c r="BA11">
        <v>22.059000000000001</v>
      </c>
      <c r="BB11">
        <v>6.0000000000000001E-3</v>
      </c>
      <c r="BC11">
        <v>1073.42</v>
      </c>
      <c r="BD11">
        <v>90.158000000000001</v>
      </c>
      <c r="BE11">
        <v>0</v>
      </c>
      <c r="BF11">
        <v>167.52799999999999</v>
      </c>
      <c r="BG11">
        <v>11322.245999999999</v>
      </c>
      <c r="BH11">
        <v>0</v>
      </c>
      <c r="BI11">
        <v>66294.554999999993</v>
      </c>
    </row>
    <row r="12" spans="1:61">
      <c r="A12" t="s">
        <v>504</v>
      </c>
      <c r="B12">
        <v>36.228999999999999</v>
      </c>
      <c r="C12">
        <v>10.192</v>
      </c>
      <c r="D12">
        <v>5.3860000000000001</v>
      </c>
      <c r="E12">
        <v>0.315</v>
      </c>
      <c r="F12">
        <v>3.6999999999999998E-2</v>
      </c>
      <c r="G12">
        <v>8.1000000000000003E-2</v>
      </c>
      <c r="H12">
        <v>2.9830000000000001</v>
      </c>
      <c r="I12">
        <v>6.0000000000000001E-3</v>
      </c>
      <c r="J12">
        <v>154.83199999999999</v>
      </c>
      <c r="K12">
        <v>50.262</v>
      </c>
      <c r="L12">
        <v>1196.827</v>
      </c>
      <c r="M12">
        <v>238.84100000000001</v>
      </c>
      <c r="N12">
        <v>3.3130000000000002</v>
      </c>
      <c r="O12">
        <v>192.434</v>
      </c>
      <c r="P12">
        <v>8.1340000000000003</v>
      </c>
      <c r="Q12">
        <v>83.709000000000003</v>
      </c>
      <c r="R12">
        <v>120.84</v>
      </c>
      <c r="S12">
        <v>24.417000000000002</v>
      </c>
      <c r="T12">
        <v>27.056000000000001</v>
      </c>
      <c r="U12">
        <v>119.512</v>
      </c>
      <c r="V12">
        <v>85.123999999999995</v>
      </c>
      <c r="W12">
        <v>93.396000000000001</v>
      </c>
      <c r="X12">
        <v>96.55</v>
      </c>
      <c r="Y12">
        <v>255.23599999999999</v>
      </c>
      <c r="Z12">
        <v>169.62</v>
      </c>
      <c r="AA12">
        <v>9.86</v>
      </c>
      <c r="AB12">
        <v>995.48</v>
      </c>
      <c r="AC12">
        <v>56.182000000000002</v>
      </c>
      <c r="AD12">
        <v>8.6620000000000008</v>
      </c>
      <c r="AE12">
        <v>3116.7719999999999</v>
      </c>
      <c r="AF12">
        <v>237.43299999999999</v>
      </c>
      <c r="AG12">
        <v>5.87</v>
      </c>
      <c r="AH12">
        <v>2.7589999999999999</v>
      </c>
      <c r="AI12">
        <v>0.749</v>
      </c>
      <c r="AJ12">
        <v>52.395000000000003</v>
      </c>
      <c r="AK12">
        <v>1.839</v>
      </c>
      <c r="AL12">
        <v>123.976</v>
      </c>
      <c r="AM12">
        <v>16.908999999999999</v>
      </c>
      <c r="AN12">
        <v>5.8810000000000002</v>
      </c>
      <c r="AO12">
        <v>4.8879999999999999</v>
      </c>
      <c r="AP12">
        <v>8.7780000000000005</v>
      </c>
      <c r="AQ12">
        <v>400.11700000000002</v>
      </c>
      <c r="AR12">
        <v>94.387</v>
      </c>
      <c r="AS12">
        <v>34.966000000000001</v>
      </c>
      <c r="AT12">
        <v>16.905000000000001</v>
      </c>
      <c r="AU12">
        <v>34.61</v>
      </c>
      <c r="AV12">
        <v>38.351999999999997</v>
      </c>
      <c r="AW12">
        <v>17.745000000000001</v>
      </c>
      <c r="AX12">
        <v>134.887</v>
      </c>
      <c r="AY12">
        <v>0</v>
      </c>
      <c r="AZ12">
        <v>178.36</v>
      </c>
      <c r="BA12">
        <v>0.252</v>
      </c>
      <c r="BB12">
        <v>5.0000000000000001E-3</v>
      </c>
      <c r="BC12">
        <v>34.396999999999998</v>
      </c>
      <c r="BD12">
        <v>1.421</v>
      </c>
      <c r="BE12">
        <v>0</v>
      </c>
      <c r="BF12">
        <v>9.4329999999999998</v>
      </c>
      <c r="BG12">
        <v>124.5</v>
      </c>
      <c r="BH12">
        <v>0</v>
      </c>
      <c r="BI12">
        <v>8744.1</v>
      </c>
    </row>
    <row r="13" spans="1:61">
      <c r="A13" t="s">
        <v>503</v>
      </c>
      <c r="B13">
        <v>66.751999999999995</v>
      </c>
      <c r="C13">
        <v>2.4550000000000001</v>
      </c>
      <c r="D13">
        <v>24.405999999999999</v>
      </c>
      <c r="E13">
        <v>0.20100000000000001</v>
      </c>
      <c r="F13">
        <v>0.161</v>
      </c>
      <c r="G13">
        <v>0.17599999999999999</v>
      </c>
      <c r="H13">
        <v>4.7149999999999999</v>
      </c>
      <c r="I13">
        <v>1.4999999999999999E-2</v>
      </c>
      <c r="J13">
        <v>2758.4160000000002</v>
      </c>
      <c r="K13">
        <v>390.26299999999998</v>
      </c>
      <c r="L13">
        <v>87.061999999999998</v>
      </c>
      <c r="M13">
        <v>9145.6650000000009</v>
      </c>
      <c r="N13">
        <v>35.847000000000001</v>
      </c>
      <c r="O13">
        <v>953.45</v>
      </c>
      <c r="P13">
        <v>289.25900000000001</v>
      </c>
      <c r="Q13">
        <v>483.94400000000002</v>
      </c>
      <c r="R13">
        <v>394.029</v>
      </c>
      <c r="S13">
        <v>91.489000000000004</v>
      </c>
      <c r="T13">
        <v>89.605000000000004</v>
      </c>
      <c r="U13">
        <v>328.86500000000001</v>
      </c>
      <c r="V13">
        <v>784.73299999999995</v>
      </c>
      <c r="W13">
        <v>448.036</v>
      </c>
      <c r="X13">
        <v>439.358</v>
      </c>
      <c r="Y13">
        <v>436.55799999999999</v>
      </c>
      <c r="Z13">
        <v>61.945</v>
      </c>
      <c r="AA13">
        <v>32.107999999999997</v>
      </c>
      <c r="AB13">
        <v>345.262</v>
      </c>
      <c r="AC13">
        <v>130.358</v>
      </c>
      <c r="AD13">
        <v>62.600999999999999</v>
      </c>
      <c r="AE13">
        <v>375.12900000000002</v>
      </c>
      <c r="AF13">
        <v>2467.0889999999999</v>
      </c>
      <c r="AG13">
        <v>32.000999999999998</v>
      </c>
      <c r="AH13">
        <v>51.765999999999998</v>
      </c>
      <c r="AI13">
        <v>9.81</v>
      </c>
      <c r="AJ13">
        <v>165.62100000000001</v>
      </c>
      <c r="AK13">
        <v>149.52699999999999</v>
      </c>
      <c r="AL13">
        <v>795.26499999999999</v>
      </c>
      <c r="AM13">
        <v>3013.991</v>
      </c>
      <c r="AN13">
        <v>282.529</v>
      </c>
      <c r="AO13">
        <v>448.85</v>
      </c>
      <c r="AP13">
        <v>1087.961</v>
      </c>
      <c r="AQ13">
        <v>218.179</v>
      </c>
      <c r="AR13">
        <v>1843.31</v>
      </c>
      <c r="AS13">
        <v>624.38900000000001</v>
      </c>
      <c r="AT13">
        <v>1002.419</v>
      </c>
      <c r="AU13">
        <v>1535.5340000000001</v>
      </c>
      <c r="AV13">
        <v>721.22699999999998</v>
      </c>
      <c r="AW13">
        <v>289.363</v>
      </c>
      <c r="AX13">
        <v>572.94000000000005</v>
      </c>
      <c r="AY13">
        <v>0</v>
      </c>
      <c r="AZ13">
        <v>1610.338</v>
      </c>
      <c r="BA13">
        <v>1.65</v>
      </c>
      <c r="BB13">
        <v>0.47299999999999998</v>
      </c>
      <c r="BC13">
        <v>177.82</v>
      </c>
      <c r="BD13">
        <v>14.829000000000001</v>
      </c>
      <c r="BE13">
        <v>0</v>
      </c>
      <c r="BF13">
        <v>35.744999999999997</v>
      </c>
      <c r="BG13">
        <v>4208.8119999999999</v>
      </c>
      <c r="BH13">
        <v>0</v>
      </c>
      <c r="BI13">
        <v>39624.300999999999</v>
      </c>
    </row>
    <row r="14" spans="1:61">
      <c r="A14" t="s">
        <v>502</v>
      </c>
      <c r="B14">
        <v>1527.3820000000001</v>
      </c>
      <c r="C14">
        <v>124.35599999999999</v>
      </c>
      <c r="D14">
        <v>1037.5650000000001</v>
      </c>
      <c r="E14">
        <v>11.01</v>
      </c>
      <c r="F14">
        <v>3.448</v>
      </c>
      <c r="G14">
        <v>6.593</v>
      </c>
      <c r="H14">
        <v>210.85</v>
      </c>
      <c r="I14">
        <v>0.72099999999999997</v>
      </c>
      <c r="J14">
        <v>1999.519</v>
      </c>
      <c r="K14">
        <v>808.91499999999996</v>
      </c>
      <c r="L14">
        <v>215.29900000000001</v>
      </c>
      <c r="M14">
        <v>684.60299999999995</v>
      </c>
      <c r="N14">
        <v>11844.102000000001</v>
      </c>
      <c r="O14">
        <v>19682.129000000001</v>
      </c>
      <c r="P14">
        <v>342.64699999999999</v>
      </c>
      <c r="Q14">
        <v>2167.4430000000002</v>
      </c>
      <c r="R14">
        <v>1325.8040000000001</v>
      </c>
      <c r="S14">
        <v>3387.855</v>
      </c>
      <c r="T14">
        <v>734.79899999999998</v>
      </c>
      <c r="U14">
        <v>805.59799999999996</v>
      </c>
      <c r="V14">
        <v>746.048</v>
      </c>
      <c r="W14">
        <v>1026.2190000000001</v>
      </c>
      <c r="X14">
        <v>766.98699999999997</v>
      </c>
      <c r="Y14">
        <v>1576.2070000000001</v>
      </c>
      <c r="Z14">
        <v>252.149</v>
      </c>
      <c r="AA14">
        <v>66.408000000000001</v>
      </c>
      <c r="AB14">
        <v>405.99599999999998</v>
      </c>
      <c r="AC14">
        <v>5807.1689999999999</v>
      </c>
      <c r="AD14">
        <v>695.06100000000004</v>
      </c>
      <c r="AE14">
        <v>3800.5239999999999</v>
      </c>
      <c r="AF14">
        <v>5083.1329999999998</v>
      </c>
      <c r="AG14">
        <v>3097.8679999999999</v>
      </c>
      <c r="AH14">
        <v>6677.3159999999998</v>
      </c>
      <c r="AI14">
        <v>3299.8539999999998</v>
      </c>
      <c r="AJ14">
        <v>2018.4280000000001</v>
      </c>
      <c r="AK14">
        <v>523.41499999999996</v>
      </c>
      <c r="AL14">
        <v>1530.0170000000001</v>
      </c>
      <c r="AM14">
        <v>245.35599999999999</v>
      </c>
      <c r="AN14">
        <v>284.084</v>
      </c>
      <c r="AO14">
        <v>257.42</v>
      </c>
      <c r="AP14">
        <v>679.10799999999995</v>
      </c>
      <c r="AQ14">
        <v>494.70299999999997</v>
      </c>
      <c r="AR14">
        <v>1635.9849999999999</v>
      </c>
      <c r="AS14">
        <v>984.75900000000001</v>
      </c>
      <c r="AT14">
        <v>1788.74</v>
      </c>
      <c r="AU14">
        <v>847.678</v>
      </c>
      <c r="AV14">
        <v>994.80100000000004</v>
      </c>
      <c r="AW14">
        <v>364.59399999999999</v>
      </c>
      <c r="AX14">
        <v>968.17899999999997</v>
      </c>
      <c r="AY14">
        <v>0</v>
      </c>
      <c r="AZ14">
        <v>3549.7429999999999</v>
      </c>
      <c r="BA14">
        <v>2.625</v>
      </c>
      <c r="BB14">
        <v>0.33</v>
      </c>
      <c r="BC14">
        <v>8.9109999999999996</v>
      </c>
      <c r="BD14">
        <v>167.042</v>
      </c>
      <c r="BE14">
        <v>0</v>
      </c>
      <c r="BF14">
        <v>65.927000000000007</v>
      </c>
      <c r="BG14">
        <v>58664.786999999997</v>
      </c>
      <c r="BH14">
        <v>0</v>
      </c>
      <c r="BI14">
        <v>156298.21</v>
      </c>
    </row>
    <row r="15" spans="1:61">
      <c r="A15" t="s">
        <v>501</v>
      </c>
      <c r="B15">
        <v>3683.2260000000001</v>
      </c>
      <c r="C15">
        <v>25.48</v>
      </c>
      <c r="D15">
        <v>116.428</v>
      </c>
      <c r="E15">
        <v>5.9969999999999999</v>
      </c>
      <c r="F15">
        <v>1.6930000000000001</v>
      </c>
      <c r="G15">
        <v>3.9950000000000001</v>
      </c>
      <c r="H15">
        <v>126.491</v>
      </c>
      <c r="I15">
        <v>0.29799999999999999</v>
      </c>
      <c r="J15">
        <v>2705.1889999999999</v>
      </c>
      <c r="K15">
        <v>5258.7110000000002</v>
      </c>
      <c r="L15">
        <v>505.02199999999999</v>
      </c>
      <c r="M15">
        <v>2638.49</v>
      </c>
      <c r="N15">
        <v>2742.2420000000002</v>
      </c>
      <c r="O15">
        <v>61680.118999999999</v>
      </c>
      <c r="P15">
        <v>2276.7800000000002</v>
      </c>
      <c r="Q15">
        <v>20063.011999999999</v>
      </c>
      <c r="R15">
        <v>2084.1759999999999</v>
      </c>
      <c r="S15">
        <v>1415.6079999999999</v>
      </c>
      <c r="T15">
        <v>945.12800000000004</v>
      </c>
      <c r="U15">
        <v>1819.09</v>
      </c>
      <c r="V15">
        <v>3962.3530000000001</v>
      </c>
      <c r="W15">
        <v>2569.5100000000002</v>
      </c>
      <c r="X15">
        <v>1677.674</v>
      </c>
      <c r="Y15">
        <v>3660.4189999999999</v>
      </c>
      <c r="Z15">
        <v>1008.085</v>
      </c>
      <c r="AA15">
        <v>134.74</v>
      </c>
      <c r="AB15">
        <v>1464.91</v>
      </c>
      <c r="AC15">
        <v>569.66499999999996</v>
      </c>
      <c r="AD15">
        <v>553.71100000000001</v>
      </c>
      <c r="AE15">
        <v>3281.848</v>
      </c>
      <c r="AF15">
        <v>1360.492</v>
      </c>
      <c r="AG15">
        <v>185.72200000000001</v>
      </c>
      <c r="AH15">
        <v>387.65899999999999</v>
      </c>
      <c r="AI15">
        <v>177.018</v>
      </c>
      <c r="AJ15">
        <v>340.697</v>
      </c>
      <c r="AK15">
        <v>43.267000000000003</v>
      </c>
      <c r="AL15">
        <v>1053.9939999999999</v>
      </c>
      <c r="AM15">
        <v>398.875</v>
      </c>
      <c r="AN15">
        <v>51.99</v>
      </c>
      <c r="AO15">
        <v>128.56</v>
      </c>
      <c r="AP15">
        <v>125.051</v>
      </c>
      <c r="AQ15">
        <v>1078.2</v>
      </c>
      <c r="AR15">
        <v>1384</v>
      </c>
      <c r="AS15">
        <v>585.15599999999995</v>
      </c>
      <c r="AT15">
        <v>387.64</v>
      </c>
      <c r="AU15">
        <v>565.14700000000005</v>
      </c>
      <c r="AV15">
        <v>1707.6310000000001</v>
      </c>
      <c r="AW15">
        <v>193.995</v>
      </c>
      <c r="AX15">
        <v>1264.345</v>
      </c>
      <c r="AY15">
        <v>0</v>
      </c>
      <c r="AZ15">
        <v>6200.8890000000001</v>
      </c>
      <c r="BA15">
        <v>9.827</v>
      </c>
      <c r="BB15">
        <v>0.56399999999999995</v>
      </c>
      <c r="BC15">
        <v>202.69499999999999</v>
      </c>
      <c r="BD15">
        <v>3.3170000000000002</v>
      </c>
      <c r="BE15">
        <v>0</v>
      </c>
      <c r="BF15">
        <v>43.78</v>
      </c>
      <c r="BG15">
        <v>74161.960000000006</v>
      </c>
      <c r="BH15">
        <v>0</v>
      </c>
      <c r="BI15">
        <v>219022.56599999999</v>
      </c>
    </row>
    <row r="16" spans="1:61">
      <c r="A16" t="s">
        <v>500</v>
      </c>
      <c r="B16">
        <v>251.66200000000001</v>
      </c>
      <c r="C16">
        <v>0.48899999999999999</v>
      </c>
      <c r="D16">
        <v>19.140999999999998</v>
      </c>
      <c r="E16">
        <v>0.27100000000000002</v>
      </c>
      <c r="F16">
        <v>0.11700000000000001</v>
      </c>
      <c r="G16">
        <v>0.22600000000000001</v>
      </c>
      <c r="H16">
        <v>2.5299999999999998</v>
      </c>
      <c r="I16">
        <v>6.0000000000000001E-3</v>
      </c>
      <c r="J16">
        <v>364.71699999999998</v>
      </c>
      <c r="K16">
        <v>44.576999999999998</v>
      </c>
      <c r="L16">
        <v>2.851</v>
      </c>
      <c r="M16">
        <v>8.34</v>
      </c>
      <c r="N16">
        <v>9.0060000000000002</v>
      </c>
      <c r="O16">
        <v>588.27</v>
      </c>
      <c r="P16">
        <v>4862.2569999999996</v>
      </c>
      <c r="Q16">
        <v>31.486999999999998</v>
      </c>
      <c r="R16">
        <v>8.1419999999999995</v>
      </c>
      <c r="S16">
        <v>20.058</v>
      </c>
      <c r="T16">
        <v>10.243</v>
      </c>
      <c r="U16">
        <v>15.532</v>
      </c>
      <c r="V16">
        <v>47.572000000000003</v>
      </c>
      <c r="W16">
        <v>14.379</v>
      </c>
      <c r="X16">
        <v>69.201999999999998</v>
      </c>
      <c r="Y16">
        <v>28.553999999999998</v>
      </c>
      <c r="Z16">
        <v>5.7910000000000004</v>
      </c>
      <c r="AA16">
        <v>2.137</v>
      </c>
      <c r="AB16">
        <v>48.676000000000002</v>
      </c>
      <c r="AC16">
        <v>27.765999999999998</v>
      </c>
      <c r="AD16">
        <v>34.674999999999997</v>
      </c>
      <c r="AE16">
        <v>43.063000000000002</v>
      </c>
      <c r="AF16">
        <v>220.71700000000001</v>
      </c>
      <c r="AG16">
        <v>6.8710000000000004</v>
      </c>
      <c r="AH16">
        <v>14.446</v>
      </c>
      <c r="AI16">
        <v>4.2539999999999996</v>
      </c>
      <c r="AJ16">
        <v>22.024999999999999</v>
      </c>
      <c r="AK16">
        <v>7.6390000000000002</v>
      </c>
      <c r="AL16">
        <v>129.239</v>
      </c>
      <c r="AM16">
        <v>21.385999999999999</v>
      </c>
      <c r="AN16">
        <v>24.626000000000001</v>
      </c>
      <c r="AO16">
        <v>79.736000000000004</v>
      </c>
      <c r="AP16">
        <v>51.686999999999998</v>
      </c>
      <c r="AQ16">
        <v>33.767000000000003</v>
      </c>
      <c r="AR16">
        <v>601.77599999999995</v>
      </c>
      <c r="AS16">
        <v>30.477</v>
      </c>
      <c r="AT16">
        <v>427.61599999999999</v>
      </c>
      <c r="AU16">
        <v>175.458</v>
      </c>
      <c r="AV16">
        <v>11096.806</v>
      </c>
      <c r="AW16">
        <v>71.320999999999998</v>
      </c>
      <c r="AX16">
        <v>110.875</v>
      </c>
      <c r="AY16">
        <v>0</v>
      </c>
      <c r="AZ16">
        <v>3919</v>
      </c>
      <c r="BA16">
        <v>14.25</v>
      </c>
      <c r="BB16">
        <v>2.1459999999999999</v>
      </c>
      <c r="BC16">
        <v>419.56200000000001</v>
      </c>
      <c r="BD16">
        <v>15.106999999999999</v>
      </c>
      <c r="BE16">
        <v>0</v>
      </c>
      <c r="BF16">
        <v>26.867000000000001</v>
      </c>
      <c r="BG16">
        <v>8793.9760000000006</v>
      </c>
      <c r="BH16">
        <v>0</v>
      </c>
      <c r="BI16">
        <v>32883.364999999998</v>
      </c>
    </row>
    <row r="17" spans="1:61">
      <c r="A17" t="s">
        <v>499</v>
      </c>
      <c r="B17">
        <v>368.75299999999999</v>
      </c>
      <c r="C17">
        <v>14.367000000000001</v>
      </c>
      <c r="D17">
        <v>78.793999999999997</v>
      </c>
      <c r="E17">
        <v>3.02</v>
      </c>
      <c r="F17">
        <v>0.96799999999999997</v>
      </c>
      <c r="G17">
        <v>1.0109999999999999</v>
      </c>
      <c r="H17">
        <v>33.244</v>
      </c>
      <c r="I17">
        <v>8.8999999999999996E-2</v>
      </c>
      <c r="J17">
        <v>5087.1080000000002</v>
      </c>
      <c r="K17">
        <v>1243.2550000000001</v>
      </c>
      <c r="L17">
        <v>173.22200000000001</v>
      </c>
      <c r="M17">
        <v>1059.0219999999999</v>
      </c>
      <c r="N17">
        <v>159.66900000000001</v>
      </c>
      <c r="O17">
        <v>3987.7089999999998</v>
      </c>
      <c r="P17">
        <v>662.33500000000004</v>
      </c>
      <c r="Q17">
        <v>10914.329</v>
      </c>
      <c r="R17">
        <v>687.77800000000002</v>
      </c>
      <c r="S17">
        <v>311.57799999999997</v>
      </c>
      <c r="T17">
        <v>319.233</v>
      </c>
      <c r="U17">
        <v>1603.375</v>
      </c>
      <c r="V17">
        <v>4647.6139999999996</v>
      </c>
      <c r="W17">
        <v>3831.163</v>
      </c>
      <c r="X17">
        <v>3525.3049999999998</v>
      </c>
      <c r="Y17">
        <v>10341.9</v>
      </c>
      <c r="Z17">
        <v>526.02200000000005</v>
      </c>
      <c r="AA17">
        <v>346.798</v>
      </c>
      <c r="AB17">
        <v>1251.329</v>
      </c>
      <c r="AC17">
        <v>142.61000000000001</v>
      </c>
      <c r="AD17">
        <v>275.80700000000002</v>
      </c>
      <c r="AE17">
        <v>6413.2030000000004</v>
      </c>
      <c r="AF17">
        <v>4341.3829999999998</v>
      </c>
      <c r="AG17">
        <v>269.68799999999999</v>
      </c>
      <c r="AH17">
        <v>96.108000000000004</v>
      </c>
      <c r="AI17">
        <v>18.231000000000002</v>
      </c>
      <c r="AJ17">
        <v>313.24900000000002</v>
      </c>
      <c r="AK17">
        <v>58.722000000000001</v>
      </c>
      <c r="AL17">
        <v>777.69600000000003</v>
      </c>
      <c r="AM17">
        <v>171.416</v>
      </c>
      <c r="AN17">
        <v>96.518000000000001</v>
      </c>
      <c r="AO17">
        <v>65.950999999999993</v>
      </c>
      <c r="AP17">
        <v>157.88499999999999</v>
      </c>
      <c r="AQ17">
        <v>939.79499999999996</v>
      </c>
      <c r="AR17">
        <v>710.56500000000005</v>
      </c>
      <c r="AS17">
        <v>404.47699999999998</v>
      </c>
      <c r="AT17">
        <v>223.898</v>
      </c>
      <c r="AU17">
        <v>305.00200000000001</v>
      </c>
      <c r="AV17">
        <v>476.29700000000003</v>
      </c>
      <c r="AW17">
        <v>126.26300000000001</v>
      </c>
      <c r="AX17">
        <v>520.34699999999998</v>
      </c>
      <c r="AY17">
        <v>0</v>
      </c>
      <c r="AZ17">
        <v>1151.9690000000001</v>
      </c>
      <c r="BA17">
        <v>3.915</v>
      </c>
      <c r="BB17">
        <v>0.05</v>
      </c>
      <c r="BC17">
        <v>542.91300000000001</v>
      </c>
      <c r="BD17">
        <v>38.103000000000002</v>
      </c>
      <c r="BE17">
        <v>0</v>
      </c>
      <c r="BF17">
        <v>8.5860000000000003</v>
      </c>
      <c r="BG17">
        <v>15503.962</v>
      </c>
      <c r="BH17">
        <v>0</v>
      </c>
      <c r="BI17">
        <v>85333.600999999995</v>
      </c>
    </row>
    <row r="18" spans="1:61">
      <c r="A18" t="s">
        <v>498</v>
      </c>
      <c r="B18">
        <v>87.093000000000004</v>
      </c>
      <c r="C18">
        <v>3.2410000000000001</v>
      </c>
      <c r="D18">
        <v>6.2889999999999997</v>
      </c>
      <c r="E18">
        <v>0.54700000000000004</v>
      </c>
      <c r="F18">
        <v>0.36099999999999999</v>
      </c>
      <c r="G18">
        <v>0.73699999999999999</v>
      </c>
      <c r="H18">
        <v>31.247</v>
      </c>
      <c r="I18">
        <v>0.04</v>
      </c>
      <c r="J18">
        <v>725.89300000000003</v>
      </c>
      <c r="K18">
        <v>71.584999999999994</v>
      </c>
      <c r="L18">
        <v>58.595999999999997</v>
      </c>
      <c r="M18">
        <v>45.332000000000001</v>
      </c>
      <c r="N18">
        <v>44.017000000000003</v>
      </c>
      <c r="O18">
        <v>585.71199999999999</v>
      </c>
      <c r="P18">
        <v>106.833</v>
      </c>
      <c r="Q18">
        <v>398.851</v>
      </c>
      <c r="R18">
        <v>4455.1229999999996</v>
      </c>
      <c r="S18">
        <v>943.95899999999995</v>
      </c>
      <c r="T18">
        <v>256.13</v>
      </c>
      <c r="U18">
        <v>405.49200000000002</v>
      </c>
      <c r="V18">
        <v>980.36500000000001</v>
      </c>
      <c r="W18">
        <v>570.13400000000001</v>
      </c>
      <c r="X18">
        <v>358.34300000000002</v>
      </c>
      <c r="Y18">
        <v>1070.3920000000001</v>
      </c>
      <c r="Z18">
        <v>200.01499999999999</v>
      </c>
      <c r="AA18">
        <v>26.936</v>
      </c>
      <c r="AB18">
        <v>165.62799999999999</v>
      </c>
      <c r="AC18">
        <v>112.871</v>
      </c>
      <c r="AD18">
        <v>186.41200000000001</v>
      </c>
      <c r="AE18">
        <v>16163.406999999999</v>
      </c>
      <c r="AF18">
        <v>384.35899999999998</v>
      </c>
      <c r="AG18">
        <v>18.62</v>
      </c>
      <c r="AH18">
        <v>65.058000000000007</v>
      </c>
      <c r="AI18">
        <v>12.252000000000001</v>
      </c>
      <c r="AJ18">
        <v>104.024</v>
      </c>
      <c r="AK18">
        <v>9.2880000000000003</v>
      </c>
      <c r="AL18">
        <v>362.447</v>
      </c>
      <c r="AM18">
        <v>12.728999999999999</v>
      </c>
      <c r="AN18">
        <v>14.648999999999999</v>
      </c>
      <c r="AO18">
        <v>8.8719999999999999</v>
      </c>
      <c r="AP18">
        <v>32.020000000000003</v>
      </c>
      <c r="AQ18">
        <v>1377.7550000000001</v>
      </c>
      <c r="AR18">
        <v>217.56800000000001</v>
      </c>
      <c r="AS18">
        <v>58.942</v>
      </c>
      <c r="AT18">
        <v>110.254</v>
      </c>
      <c r="AU18">
        <v>158.04499999999999</v>
      </c>
      <c r="AV18">
        <v>108.65300000000001</v>
      </c>
      <c r="AW18">
        <v>35.548999999999999</v>
      </c>
      <c r="AX18">
        <v>119.779</v>
      </c>
      <c r="AY18">
        <v>0</v>
      </c>
      <c r="AZ18">
        <v>326.19200000000001</v>
      </c>
      <c r="BA18">
        <v>1.839</v>
      </c>
      <c r="BB18">
        <v>0.125</v>
      </c>
      <c r="BC18">
        <v>66.207999999999998</v>
      </c>
      <c r="BD18">
        <v>1.8919999999999999</v>
      </c>
      <c r="BE18">
        <v>0</v>
      </c>
      <c r="BF18">
        <v>1.647</v>
      </c>
      <c r="BG18">
        <v>4549.2420000000002</v>
      </c>
      <c r="BH18">
        <v>0</v>
      </c>
      <c r="BI18">
        <v>36219.588000000003</v>
      </c>
    </row>
    <row r="19" spans="1:61">
      <c r="A19" t="s">
        <v>497</v>
      </c>
      <c r="B19">
        <v>21.501999999999999</v>
      </c>
      <c r="C19">
        <v>1.83</v>
      </c>
      <c r="D19">
        <v>2.7290000000000001</v>
      </c>
      <c r="E19">
        <v>1.8919999999999999</v>
      </c>
      <c r="F19">
        <v>1.6970000000000001</v>
      </c>
      <c r="G19">
        <v>0.84199999999999997</v>
      </c>
      <c r="H19">
        <v>6.6550000000000002</v>
      </c>
      <c r="I19">
        <v>6.4000000000000001E-2</v>
      </c>
      <c r="J19">
        <v>73.817999999999998</v>
      </c>
      <c r="K19">
        <v>43.347999999999999</v>
      </c>
      <c r="L19">
        <v>31.888999999999999</v>
      </c>
      <c r="M19">
        <v>31.344999999999999</v>
      </c>
      <c r="N19">
        <v>44.215000000000003</v>
      </c>
      <c r="O19">
        <v>146.983</v>
      </c>
      <c r="P19">
        <v>8.7560000000000002</v>
      </c>
      <c r="Q19">
        <v>424.22199999999998</v>
      </c>
      <c r="R19">
        <v>393.72699999999998</v>
      </c>
      <c r="S19">
        <v>27556.032999999999</v>
      </c>
      <c r="T19">
        <v>979.04100000000005</v>
      </c>
      <c r="U19">
        <v>17287.532999999999</v>
      </c>
      <c r="V19">
        <v>1900.338</v>
      </c>
      <c r="W19">
        <v>3004.49</v>
      </c>
      <c r="X19">
        <v>11028.23</v>
      </c>
      <c r="Y19">
        <v>8596.8510000000006</v>
      </c>
      <c r="Z19">
        <v>2383.1129999999998</v>
      </c>
      <c r="AA19">
        <v>700.11</v>
      </c>
      <c r="AB19">
        <v>514.17499999999995</v>
      </c>
      <c r="AC19">
        <v>164.881</v>
      </c>
      <c r="AD19">
        <v>345.43099999999998</v>
      </c>
      <c r="AE19">
        <v>6657.37</v>
      </c>
      <c r="AF19">
        <v>191.86099999999999</v>
      </c>
      <c r="AG19">
        <v>8.7539999999999996</v>
      </c>
      <c r="AH19">
        <v>23.777999999999999</v>
      </c>
      <c r="AI19">
        <v>0.186</v>
      </c>
      <c r="AJ19">
        <v>63.564999999999998</v>
      </c>
      <c r="AK19">
        <v>1.2529999999999999</v>
      </c>
      <c r="AL19">
        <v>14.266999999999999</v>
      </c>
      <c r="AM19">
        <v>1.5109999999999999</v>
      </c>
      <c r="AN19">
        <v>1.679</v>
      </c>
      <c r="AO19">
        <v>1.077</v>
      </c>
      <c r="AP19">
        <v>3.931</v>
      </c>
      <c r="AQ19">
        <v>161.17699999999999</v>
      </c>
      <c r="AR19">
        <v>195.608</v>
      </c>
      <c r="AS19">
        <v>20.37</v>
      </c>
      <c r="AT19">
        <v>23.731000000000002</v>
      </c>
      <c r="AU19">
        <v>26.300999999999998</v>
      </c>
      <c r="AV19">
        <v>9.8260000000000005</v>
      </c>
      <c r="AW19">
        <v>15.132</v>
      </c>
      <c r="AX19">
        <v>88.144000000000005</v>
      </c>
      <c r="AY19">
        <v>0</v>
      </c>
      <c r="AZ19">
        <v>3.0000000000000001E-3</v>
      </c>
      <c r="BA19">
        <v>0</v>
      </c>
      <c r="BB19">
        <v>0</v>
      </c>
      <c r="BC19">
        <v>1E-3</v>
      </c>
      <c r="BD19">
        <v>0</v>
      </c>
      <c r="BE19">
        <v>0</v>
      </c>
      <c r="BF19">
        <v>0</v>
      </c>
      <c r="BG19">
        <v>30304.495999999999</v>
      </c>
      <c r="BH19">
        <v>0</v>
      </c>
      <c r="BI19">
        <v>113509.761</v>
      </c>
    </row>
    <row r="20" spans="1:61">
      <c r="A20" t="s">
        <v>496</v>
      </c>
      <c r="B20">
        <v>4.8929999999999998</v>
      </c>
      <c r="C20">
        <v>0.625</v>
      </c>
      <c r="D20">
        <v>0.218</v>
      </c>
      <c r="E20">
        <v>7.9000000000000001E-2</v>
      </c>
      <c r="F20">
        <v>0.14199999999999999</v>
      </c>
      <c r="G20">
        <v>0.13600000000000001</v>
      </c>
      <c r="H20">
        <v>1.4359999999999999</v>
      </c>
      <c r="I20">
        <v>4.0000000000000001E-3</v>
      </c>
      <c r="J20">
        <v>126.723</v>
      </c>
      <c r="K20">
        <v>29.998000000000001</v>
      </c>
      <c r="L20">
        <v>12.082000000000001</v>
      </c>
      <c r="M20">
        <v>31.071999999999999</v>
      </c>
      <c r="N20">
        <v>12.385999999999999</v>
      </c>
      <c r="O20">
        <v>572.78200000000004</v>
      </c>
      <c r="P20">
        <v>18.521999999999998</v>
      </c>
      <c r="Q20">
        <v>158.435</v>
      </c>
      <c r="R20">
        <v>83.91</v>
      </c>
      <c r="S20">
        <v>2171.248</v>
      </c>
      <c r="T20">
        <v>10595.299000000001</v>
      </c>
      <c r="U20">
        <v>4090.9780000000001</v>
      </c>
      <c r="V20">
        <v>2603.84</v>
      </c>
      <c r="W20">
        <v>4030.6759999999999</v>
      </c>
      <c r="X20">
        <v>2278.462</v>
      </c>
      <c r="Y20">
        <v>2363.7539999999999</v>
      </c>
      <c r="Z20">
        <v>321.363</v>
      </c>
      <c r="AA20">
        <v>174.8</v>
      </c>
      <c r="AB20">
        <v>440.452</v>
      </c>
      <c r="AC20">
        <v>43.127000000000002</v>
      </c>
      <c r="AD20">
        <v>168.00800000000001</v>
      </c>
      <c r="AE20">
        <v>811.399</v>
      </c>
      <c r="AF20">
        <v>95.718999999999994</v>
      </c>
      <c r="AG20">
        <v>2.4700000000000002</v>
      </c>
      <c r="AH20">
        <v>6.4649999999999999</v>
      </c>
      <c r="AI20">
        <v>0.161</v>
      </c>
      <c r="AJ20">
        <v>9.2989999999999995</v>
      </c>
      <c r="AK20">
        <v>0.109</v>
      </c>
      <c r="AL20">
        <v>23.815000000000001</v>
      </c>
      <c r="AM20">
        <v>3.2810000000000001</v>
      </c>
      <c r="AN20">
        <v>1.1299999999999999</v>
      </c>
      <c r="AO20">
        <v>0.91600000000000004</v>
      </c>
      <c r="AP20">
        <v>2.7240000000000002</v>
      </c>
      <c r="AQ20">
        <v>34.176000000000002</v>
      </c>
      <c r="AR20">
        <v>36.381</v>
      </c>
      <c r="AS20">
        <v>3.3330000000000002</v>
      </c>
      <c r="AT20">
        <v>7.6550000000000002</v>
      </c>
      <c r="AU20">
        <v>1.3169999999999999</v>
      </c>
      <c r="AV20">
        <v>7.077</v>
      </c>
      <c r="AW20">
        <v>5.0220000000000002</v>
      </c>
      <c r="AX20">
        <v>49.231999999999999</v>
      </c>
      <c r="AY20">
        <v>0</v>
      </c>
      <c r="AZ20">
        <v>1E-3</v>
      </c>
      <c r="BA20">
        <v>0</v>
      </c>
      <c r="BB20">
        <v>0</v>
      </c>
      <c r="BC20">
        <v>6.0000000000000001E-3</v>
      </c>
      <c r="BD20">
        <v>0</v>
      </c>
      <c r="BE20">
        <v>0</v>
      </c>
      <c r="BF20">
        <v>0</v>
      </c>
      <c r="BG20">
        <v>18524.826000000001</v>
      </c>
      <c r="BH20">
        <v>0</v>
      </c>
      <c r="BI20">
        <v>49961.964</v>
      </c>
    </row>
    <row r="21" spans="1:61">
      <c r="A21" t="s">
        <v>495</v>
      </c>
      <c r="B21">
        <v>188.52799999999999</v>
      </c>
      <c r="C21">
        <v>17.510000000000002</v>
      </c>
      <c r="D21">
        <v>31.22</v>
      </c>
      <c r="E21">
        <v>5.93</v>
      </c>
      <c r="F21">
        <v>2.2829999999999999</v>
      </c>
      <c r="G21">
        <v>1.9039999999999999</v>
      </c>
      <c r="H21">
        <v>37.33</v>
      </c>
      <c r="I21">
        <v>0.30299999999999999</v>
      </c>
      <c r="J21">
        <v>1808.278</v>
      </c>
      <c r="K21">
        <v>294.053</v>
      </c>
      <c r="L21">
        <v>228.10599999999999</v>
      </c>
      <c r="M21">
        <v>175.37200000000001</v>
      </c>
      <c r="N21">
        <v>153.767</v>
      </c>
      <c r="O21">
        <v>1437.3</v>
      </c>
      <c r="P21">
        <v>105.358</v>
      </c>
      <c r="Q21">
        <v>872.97199999999998</v>
      </c>
      <c r="R21">
        <v>522.51300000000003</v>
      </c>
      <c r="S21">
        <v>2777.5439999999999</v>
      </c>
      <c r="T21">
        <v>821.15599999999995</v>
      </c>
      <c r="U21">
        <v>13649.174000000001</v>
      </c>
      <c r="V21">
        <v>3633.7449999999999</v>
      </c>
      <c r="W21">
        <v>3786.8919999999998</v>
      </c>
      <c r="X21">
        <v>12596.022999999999</v>
      </c>
      <c r="Y21">
        <v>10177.259</v>
      </c>
      <c r="Z21">
        <v>3291.0810000000001</v>
      </c>
      <c r="AA21">
        <v>679.14499999999998</v>
      </c>
      <c r="AB21">
        <v>1150.712</v>
      </c>
      <c r="AC21">
        <v>333.42099999999999</v>
      </c>
      <c r="AD21">
        <v>211.75299999999999</v>
      </c>
      <c r="AE21">
        <v>12471.537</v>
      </c>
      <c r="AF21">
        <v>1419.04</v>
      </c>
      <c r="AG21">
        <v>50.423000000000002</v>
      </c>
      <c r="AH21">
        <v>105.325</v>
      </c>
      <c r="AI21">
        <v>19.626000000000001</v>
      </c>
      <c r="AJ21">
        <v>256.59500000000003</v>
      </c>
      <c r="AK21">
        <v>20.396000000000001</v>
      </c>
      <c r="AL21">
        <v>632.66399999999999</v>
      </c>
      <c r="AM21">
        <v>61.481999999999999</v>
      </c>
      <c r="AN21">
        <v>117.78</v>
      </c>
      <c r="AO21">
        <v>88.891000000000005</v>
      </c>
      <c r="AP21">
        <v>96.102999999999994</v>
      </c>
      <c r="AQ21">
        <v>1073.154</v>
      </c>
      <c r="AR21">
        <v>740.69600000000003</v>
      </c>
      <c r="AS21">
        <v>313.39800000000002</v>
      </c>
      <c r="AT21">
        <v>682.428</v>
      </c>
      <c r="AU21">
        <v>228.81399999999999</v>
      </c>
      <c r="AV21">
        <v>178.47900000000001</v>
      </c>
      <c r="AW21">
        <v>101.55200000000001</v>
      </c>
      <c r="AX21">
        <v>489.95299999999997</v>
      </c>
      <c r="AY21">
        <v>0</v>
      </c>
      <c r="AZ21">
        <v>2157.4229999999998</v>
      </c>
      <c r="BA21">
        <v>20.811</v>
      </c>
      <c r="BB21">
        <v>167.459</v>
      </c>
      <c r="BC21">
        <v>10207.523999999999</v>
      </c>
      <c r="BD21">
        <v>915.625</v>
      </c>
      <c r="BE21">
        <v>0</v>
      </c>
      <c r="BF21">
        <v>12.14</v>
      </c>
      <c r="BG21">
        <v>11970.704</v>
      </c>
      <c r="BH21">
        <v>0</v>
      </c>
      <c r="BI21">
        <v>103590.65300000001</v>
      </c>
    </row>
    <row r="22" spans="1:61">
      <c r="A22" t="s">
        <v>494</v>
      </c>
      <c r="B22">
        <v>81.370999999999995</v>
      </c>
      <c r="C22">
        <v>4.968</v>
      </c>
      <c r="D22">
        <v>19.649000000000001</v>
      </c>
      <c r="E22">
        <v>0.92200000000000004</v>
      </c>
      <c r="F22">
        <v>0.61499999999999999</v>
      </c>
      <c r="G22">
        <v>0.443</v>
      </c>
      <c r="H22">
        <v>12.898</v>
      </c>
      <c r="I22">
        <v>7.8E-2</v>
      </c>
      <c r="J22">
        <v>265.98700000000002</v>
      </c>
      <c r="K22">
        <v>140.05799999999999</v>
      </c>
      <c r="L22">
        <v>19.835999999999999</v>
      </c>
      <c r="M22">
        <v>118.664</v>
      </c>
      <c r="N22">
        <v>101.577</v>
      </c>
      <c r="O22">
        <v>1009.48</v>
      </c>
      <c r="P22">
        <v>99.293999999999997</v>
      </c>
      <c r="Q22">
        <v>388.66199999999998</v>
      </c>
      <c r="R22">
        <v>153.709</v>
      </c>
      <c r="S22">
        <v>188.64500000000001</v>
      </c>
      <c r="T22">
        <v>121.011</v>
      </c>
      <c r="U22">
        <v>588.55899999999997</v>
      </c>
      <c r="V22">
        <v>70046.538</v>
      </c>
      <c r="W22">
        <v>6425.6270000000004</v>
      </c>
      <c r="X22">
        <v>3958.0540000000001</v>
      </c>
      <c r="Y22">
        <v>3815.1460000000002</v>
      </c>
      <c r="Z22">
        <v>1111.932</v>
      </c>
      <c r="AA22">
        <v>197.839</v>
      </c>
      <c r="AB22">
        <v>377.024</v>
      </c>
      <c r="AC22">
        <v>561.21699999999998</v>
      </c>
      <c r="AD22">
        <v>88.847999999999999</v>
      </c>
      <c r="AE22">
        <v>1962.6469999999999</v>
      </c>
      <c r="AF22">
        <v>2139.5529999999999</v>
      </c>
      <c r="AG22">
        <v>46.405000000000001</v>
      </c>
      <c r="AH22">
        <v>103.874</v>
      </c>
      <c r="AI22">
        <v>47.843000000000004</v>
      </c>
      <c r="AJ22">
        <v>265.74700000000001</v>
      </c>
      <c r="AK22">
        <v>76.808000000000007</v>
      </c>
      <c r="AL22">
        <v>501.26799999999997</v>
      </c>
      <c r="AM22">
        <v>438.19400000000002</v>
      </c>
      <c r="AN22">
        <v>2415.4609999999998</v>
      </c>
      <c r="AO22">
        <v>1529.019</v>
      </c>
      <c r="AP22">
        <v>524.13</v>
      </c>
      <c r="AQ22">
        <v>388.66500000000002</v>
      </c>
      <c r="AR22">
        <v>1875.184</v>
      </c>
      <c r="AS22">
        <v>453.34699999999998</v>
      </c>
      <c r="AT22">
        <v>626.04899999999998</v>
      </c>
      <c r="AU22">
        <v>649.24099999999999</v>
      </c>
      <c r="AV22">
        <v>1144.4369999999999</v>
      </c>
      <c r="AW22">
        <v>240.52099999999999</v>
      </c>
      <c r="AX22">
        <v>1720.0309999999999</v>
      </c>
      <c r="AY22">
        <v>0</v>
      </c>
      <c r="AZ22">
        <v>16650.462</v>
      </c>
      <c r="BA22">
        <v>43.908000000000001</v>
      </c>
      <c r="BB22">
        <v>113.42700000000001</v>
      </c>
      <c r="BC22">
        <v>32471.082999999999</v>
      </c>
      <c r="BD22">
        <v>2699.1410000000001</v>
      </c>
      <c r="BE22">
        <v>0</v>
      </c>
      <c r="BF22">
        <v>62.383000000000003</v>
      </c>
      <c r="BG22">
        <v>182863.37400000001</v>
      </c>
      <c r="BH22">
        <v>0</v>
      </c>
      <c r="BI22">
        <v>341950.85800000001</v>
      </c>
    </row>
    <row r="23" spans="1:61">
      <c r="A23" t="s">
        <v>493</v>
      </c>
      <c r="B23">
        <v>60.993000000000002</v>
      </c>
      <c r="C23">
        <v>3.9140000000000001</v>
      </c>
      <c r="D23">
        <v>27.611999999999998</v>
      </c>
      <c r="E23">
        <v>1.5329999999999999</v>
      </c>
      <c r="F23">
        <v>0.46600000000000003</v>
      </c>
      <c r="G23">
        <v>0.85099999999999998</v>
      </c>
      <c r="H23">
        <v>24.353000000000002</v>
      </c>
      <c r="I23">
        <v>0.11700000000000001</v>
      </c>
      <c r="J23">
        <v>221.102</v>
      </c>
      <c r="K23">
        <v>88.119</v>
      </c>
      <c r="L23">
        <v>17.835000000000001</v>
      </c>
      <c r="M23">
        <v>92.912000000000006</v>
      </c>
      <c r="N23">
        <v>43.387999999999998</v>
      </c>
      <c r="O23">
        <v>432.11700000000002</v>
      </c>
      <c r="P23">
        <v>38.755000000000003</v>
      </c>
      <c r="Q23">
        <v>251.542</v>
      </c>
      <c r="R23">
        <v>133.82900000000001</v>
      </c>
      <c r="S23">
        <v>292.33999999999997</v>
      </c>
      <c r="T23">
        <v>198.38399999999999</v>
      </c>
      <c r="U23">
        <v>904.91600000000005</v>
      </c>
      <c r="V23">
        <v>9918.152</v>
      </c>
      <c r="W23">
        <v>20657.8</v>
      </c>
      <c r="X23">
        <v>5960.7290000000003</v>
      </c>
      <c r="Y23">
        <v>8391.1319999999996</v>
      </c>
      <c r="Z23">
        <v>841.23199999999997</v>
      </c>
      <c r="AA23">
        <v>338.863</v>
      </c>
      <c r="AB23">
        <v>390.72</v>
      </c>
      <c r="AC23">
        <v>2008.0509999999999</v>
      </c>
      <c r="AD23">
        <v>123.345</v>
      </c>
      <c r="AE23">
        <v>6539.62</v>
      </c>
      <c r="AF23">
        <v>1762.1130000000001</v>
      </c>
      <c r="AG23">
        <v>68.938000000000002</v>
      </c>
      <c r="AH23">
        <v>118.447</v>
      </c>
      <c r="AI23">
        <v>18.803999999999998</v>
      </c>
      <c r="AJ23">
        <v>165.185</v>
      </c>
      <c r="AK23">
        <v>26.986000000000001</v>
      </c>
      <c r="AL23">
        <v>369.80900000000003</v>
      </c>
      <c r="AM23">
        <v>133.37700000000001</v>
      </c>
      <c r="AN23">
        <v>833.02200000000005</v>
      </c>
      <c r="AO23">
        <v>276</v>
      </c>
      <c r="AP23">
        <v>197.43700000000001</v>
      </c>
      <c r="AQ23">
        <v>329.512</v>
      </c>
      <c r="AR23">
        <v>1038.1099999999999</v>
      </c>
      <c r="AS23">
        <v>332.34699999999998</v>
      </c>
      <c r="AT23">
        <v>449.416</v>
      </c>
      <c r="AU23">
        <v>278.72000000000003</v>
      </c>
      <c r="AV23">
        <v>389.34199999999998</v>
      </c>
      <c r="AW23">
        <v>220.154</v>
      </c>
      <c r="AX23">
        <v>1194.6379999999999</v>
      </c>
      <c r="AY23">
        <v>0</v>
      </c>
      <c r="AZ23">
        <v>7838.6549999999997</v>
      </c>
      <c r="BA23">
        <v>20.02</v>
      </c>
      <c r="BB23">
        <v>0.23699999999999999</v>
      </c>
      <c r="BC23">
        <v>12231.046</v>
      </c>
      <c r="BD23">
        <v>1152.626</v>
      </c>
      <c r="BE23">
        <v>0</v>
      </c>
      <c r="BF23">
        <v>24.663</v>
      </c>
      <c r="BG23">
        <v>31094.236000000001</v>
      </c>
      <c r="BH23">
        <v>0</v>
      </c>
      <c r="BI23">
        <v>118568.564</v>
      </c>
    </row>
    <row r="24" spans="1:61">
      <c r="A24" t="s">
        <v>492</v>
      </c>
      <c r="B24">
        <v>130.935</v>
      </c>
      <c r="C24">
        <v>28.85</v>
      </c>
      <c r="D24">
        <v>60.194000000000003</v>
      </c>
      <c r="E24">
        <v>9.3330000000000002</v>
      </c>
      <c r="F24">
        <v>3.4790000000000001</v>
      </c>
      <c r="G24">
        <v>3.161</v>
      </c>
      <c r="H24">
        <v>71.271000000000001</v>
      </c>
      <c r="I24">
        <v>0.439</v>
      </c>
      <c r="J24">
        <v>621.11</v>
      </c>
      <c r="K24">
        <v>195.11699999999999</v>
      </c>
      <c r="L24">
        <v>62.784999999999997</v>
      </c>
      <c r="M24">
        <v>268.71899999999999</v>
      </c>
      <c r="N24">
        <v>260.66199999999998</v>
      </c>
      <c r="O24">
        <v>650.19899999999996</v>
      </c>
      <c r="P24">
        <v>59.031999999999996</v>
      </c>
      <c r="Q24">
        <v>364.03</v>
      </c>
      <c r="R24">
        <v>567.28599999999994</v>
      </c>
      <c r="S24">
        <v>1173.6669999999999</v>
      </c>
      <c r="T24">
        <v>445.63499999999999</v>
      </c>
      <c r="U24">
        <v>1429.2149999999999</v>
      </c>
      <c r="V24">
        <v>1967.9179999999999</v>
      </c>
      <c r="W24">
        <v>2643.7739999999999</v>
      </c>
      <c r="X24">
        <v>18680.703000000001</v>
      </c>
      <c r="Y24">
        <v>5937.143</v>
      </c>
      <c r="Z24">
        <v>1949.643</v>
      </c>
      <c r="AA24">
        <v>326.36200000000002</v>
      </c>
      <c r="AB24">
        <v>461.56</v>
      </c>
      <c r="AC24">
        <v>873.29399999999998</v>
      </c>
      <c r="AD24">
        <v>562.03</v>
      </c>
      <c r="AE24">
        <v>3508.4780000000001</v>
      </c>
      <c r="AF24">
        <v>1519.2909999999999</v>
      </c>
      <c r="AG24">
        <v>59.603000000000002</v>
      </c>
      <c r="AH24">
        <v>50.289000000000001</v>
      </c>
      <c r="AI24">
        <v>15.481999999999999</v>
      </c>
      <c r="AJ24">
        <v>202.09399999999999</v>
      </c>
      <c r="AK24">
        <v>32.755000000000003</v>
      </c>
      <c r="AL24">
        <v>264.38900000000001</v>
      </c>
      <c r="AM24">
        <v>84.022999999999996</v>
      </c>
      <c r="AN24">
        <v>141.31700000000001</v>
      </c>
      <c r="AO24">
        <v>112.342</v>
      </c>
      <c r="AP24">
        <v>190.43799999999999</v>
      </c>
      <c r="AQ24">
        <v>236.672</v>
      </c>
      <c r="AR24">
        <v>757.32299999999998</v>
      </c>
      <c r="AS24">
        <v>376.32400000000001</v>
      </c>
      <c r="AT24">
        <v>437.91899999999998</v>
      </c>
      <c r="AU24">
        <v>235.54900000000001</v>
      </c>
      <c r="AV24">
        <v>296.34399999999999</v>
      </c>
      <c r="AW24">
        <v>126.04600000000001</v>
      </c>
      <c r="AX24">
        <v>336.084</v>
      </c>
      <c r="AY24">
        <v>0</v>
      </c>
      <c r="AZ24">
        <v>2507.9989999999998</v>
      </c>
      <c r="BA24">
        <v>41.834000000000003</v>
      </c>
      <c r="BB24">
        <v>44.79</v>
      </c>
      <c r="BC24">
        <v>48762.733</v>
      </c>
      <c r="BD24">
        <v>4678.0309999999999</v>
      </c>
      <c r="BE24">
        <v>0</v>
      </c>
      <c r="BF24">
        <v>9.4629999999999992</v>
      </c>
      <c r="BG24">
        <v>45155.421000000002</v>
      </c>
      <c r="BH24">
        <v>0</v>
      </c>
      <c r="BI24">
        <v>149990.576</v>
      </c>
    </row>
    <row r="25" spans="1:61">
      <c r="A25" t="s">
        <v>491</v>
      </c>
      <c r="B25">
        <v>44.774000000000001</v>
      </c>
      <c r="C25">
        <v>18.181000000000001</v>
      </c>
      <c r="D25">
        <v>16.754999999999999</v>
      </c>
      <c r="E25">
        <v>0.52300000000000002</v>
      </c>
      <c r="F25">
        <v>0.30599999999999999</v>
      </c>
      <c r="G25">
        <v>0.61699999999999999</v>
      </c>
      <c r="H25">
        <v>13.827999999999999</v>
      </c>
      <c r="I25">
        <v>0.05</v>
      </c>
      <c r="J25">
        <v>140.08600000000001</v>
      </c>
      <c r="K25">
        <v>60.011000000000003</v>
      </c>
      <c r="L25">
        <v>13.311999999999999</v>
      </c>
      <c r="M25">
        <v>33.768999999999998</v>
      </c>
      <c r="N25">
        <v>40.741999999999997</v>
      </c>
      <c r="O25">
        <v>170.48500000000001</v>
      </c>
      <c r="P25">
        <v>17.338999999999999</v>
      </c>
      <c r="Q25">
        <v>120.02</v>
      </c>
      <c r="R25">
        <v>111.842</v>
      </c>
      <c r="S25">
        <v>137.13300000000001</v>
      </c>
      <c r="T25">
        <v>99.084000000000003</v>
      </c>
      <c r="U25">
        <v>273.07799999999997</v>
      </c>
      <c r="V25">
        <v>1262.731</v>
      </c>
      <c r="W25">
        <v>2315.7069999999999</v>
      </c>
      <c r="X25">
        <v>1405.481</v>
      </c>
      <c r="Y25">
        <v>55827.983</v>
      </c>
      <c r="Z25">
        <v>187.65799999999999</v>
      </c>
      <c r="AA25">
        <v>173.64</v>
      </c>
      <c r="AB25">
        <v>96.435000000000002</v>
      </c>
      <c r="AC25">
        <v>319.726</v>
      </c>
      <c r="AD25">
        <v>88.424000000000007</v>
      </c>
      <c r="AE25">
        <v>1073.644</v>
      </c>
      <c r="AF25">
        <v>6873.5990000000002</v>
      </c>
      <c r="AG25">
        <v>370.66699999999997</v>
      </c>
      <c r="AH25">
        <v>132.119</v>
      </c>
      <c r="AI25">
        <v>43.514000000000003</v>
      </c>
      <c r="AJ25">
        <v>244.95500000000001</v>
      </c>
      <c r="AK25">
        <v>44.134</v>
      </c>
      <c r="AL25">
        <v>129.30600000000001</v>
      </c>
      <c r="AM25">
        <v>46.524000000000001</v>
      </c>
      <c r="AN25">
        <v>132.852</v>
      </c>
      <c r="AO25">
        <v>124.56100000000001</v>
      </c>
      <c r="AP25">
        <v>129.941</v>
      </c>
      <c r="AQ25">
        <v>111.989</v>
      </c>
      <c r="AR25">
        <v>502.245</v>
      </c>
      <c r="AS25">
        <v>378.90499999999997</v>
      </c>
      <c r="AT25">
        <v>198.255</v>
      </c>
      <c r="AU25">
        <v>129.31299999999999</v>
      </c>
      <c r="AV25">
        <v>126.886</v>
      </c>
      <c r="AW25">
        <v>74.551000000000002</v>
      </c>
      <c r="AX25">
        <v>195.88300000000001</v>
      </c>
      <c r="AY25">
        <v>0</v>
      </c>
      <c r="AZ25">
        <v>34097.947999999997</v>
      </c>
      <c r="BA25">
        <v>1.6850000000000001</v>
      </c>
      <c r="BB25">
        <v>1.323</v>
      </c>
      <c r="BC25">
        <v>31790.235000000001</v>
      </c>
      <c r="BD25">
        <v>2997.8969999999999</v>
      </c>
      <c r="BE25">
        <v>0</v>
      </c>
      <c r="BF25">
        <v>35.140999999999998</v>
      </c>
      <c r="BG25">
        <v>73263.709000000003</v>
      </c>
      <c r="BH25">
        <v>0</v>
      </c>
      <c r="BI25">
        <v>216241.49900000001</v>
      </c>
    </row>
    <row r="26" spans="1:61">
      <c r="A26" t="s">
        <v>490</v>
      </c>
      <c r="B26">
        <v>11.994</v>
      </c>
      <c r="C26">
        <v>1.143</v>
      </c>
      <c r="D26">
        <v>12.930999999999999</v>
      </c>
      <c r="E26">
        <v>0.34100000000000003</v>
      </c>
      <c r="F26">
        <v>0.14599999999999999</v>
      </c>
      <c r="G26">
        <v>0.11700000000000001</v>
      </c>
      <c r="H26">
        <v>2.7349999999999999</v>
      </c>
      <c r="I26">
        <v>1.7000000000000001E-2</v>
      </c>
      <c r="J26">
        <v>83.835999999999999</v>
      </c>
      <c r="K26">
        <v>14.01</v>
      </c>
      <c r="L26">
        <v>10.186999999999999</v>
      </c>
      <c r="M26">
        <v>10.082000000000001</v>
      </c>
      <c r="N26">
        <v>10.388</v>
      </c>
      <c r="O26">
        <v>69.549000000000007</v>
      </c>
      <c r="P26">
        <v>5.2039999999999997</v>
      </c>
      <c r="Q26">
        <v>38.500999999999998</v>
      </c>
      <c r="R26">
        <v>28.337</v>
      </c>
      <c r="S26">
        <v>128.65600000000001</v>
      </c>
      <c r="T26">
        <v>36.65</v>
      </c>
      <c r="U26">
        <v>579.85900000000004</v>
      </c>
      <c r="V26">
        <v>176.03</v>
      </c>
      <c r="W26">
        <v>189.31</v>
      </c>
      <c r="X26">
        <v>678.279</v>
      </c>
      <c r="Y26">
        <v>479.93200000000002</v>
      </c>
      <c r="Z26">
        <v>3993.6390000000001</v>
      </c>
      <c r="AA26">
        <v>105.44799999999999</v>
      </c>
      <c r="AB26">
        <v>57.588000000000001</v>
      </c>
      <c r="AC26">
        <v>30.867000000000001</v>
      </c>
      <c r="AD26">
        <v>10.081</v>
      </c>
      <c r="AE26">
        <v>546.65700000000004</v>
      </c>
      <c r="AF26">
        <v>63.16</v>
      </c>
      <c r="AG26">
        <v>6.0339999999999998</v>
      </c>
      <c r="AH26">
        <v>336.173</v>
      </c>
      <c r="AI26">
        <v>21.553000000000001</v>
      </c>
      <c r="AJ26">
        <v>26.614999999999998</v>
      </c>
      <c r="AK26">
        <v>1.137</v>
      </c>
      <c r="AL26">
        <v>24.315999999999999</v>
      </c>
      <c r="AM26">
        <v>2.9769999999999999</v>
      </c>
      <c r="AN26">
        <v>7.0250000000000004</v>
      </c>
      <c r="AO26">
        <v>3.7749999999999999</v>
      </c>
      <c r="AP26">
        <v>3.5609999999999999</v>
      </c>
      <c r="AQ26">
        <v>41.475000000000001</v>
      </c>
      <c r="AR26">
        <v>36.143000000000001</v>
      </c>
      <c r="AS26">
        <v>18.616</v>
      </c>
      <c r="AT26">
        <v>90.087000000000003</v>
      </c>
      <c r="AU26">
        <v>10.683</v>
      </c>
      <c r="AV26">
        <v>9.2989999999999995</v>
      </c>
      <c r="AW26">
        <v>5.97</v>
      </c>
      <c r="AX26">
        <v>30.73</v>
      </c>
      <c r="AY26">
        <v>0</v>
      </c>
      <c r="AZ26">
        <v>88.712000000000003</v>
      </c>
      <c r="BA26">
        <v>3.5000000000000003E-2</v>
      </c>
      <c r="BB26">
        <v>1E-3</v>
      </c>
      <c r="BC26">
        <v>7822.2629999999999</v>
      </c>
      <c r="BD26">
        <v>770.06299999999999</v>
      </c>
      <c r="BE26">
        <v>0</v>
      </c>
      <c r="BF26">
        <v>8.7999999999999995E-2</v>
      </c>
      <c r="BG26">
        <v>17609.824000000001</v>
      </c>
      <c r="BH26">
        <v>0</v>
      </c>
      <c r="BI26">
        <v>34342.83</v>
      </c>
    </row>
    <row r="27" spans="1:61">
      <c r="A27" t="s">
        <v>489</v>
      </c>
      <c r="B27">
        <v>0.245</v>
      </c>
      <c r="C27">
        <v>0.38900000000000001</v>
      </c>
      <c r="D27">
        <v>7.2249999999999996</v>
      </c>
      <c r="E27">
        <v>0.03</v>
      </c>
      <c r="F27">
        <v>7.0000000000000001E-3</v>
      </c>
      <c r="G27">
        <v>8.9999999999999993E-3</v>
      </c>
      <c r="H27">
        <v>7.5999999999999998E-2</v>
      </c>
      <c r="I27">
        <v>1E-3</v>
      </c>
      <c r="J27">
        <v>2.718</v>
      </c>
      <c r="K27">
        <v>0.30299999999999999</v>
      </c>
      <c r="L27">
        <v>0.221</v>
      </c>
      <c r="M27">
        <v>0.18099999999999999</v>
      </c>
      <c r="N27">
        <v>0.158</v>
      </c>
      <c r="O27">
        <v>1.226</v>
      </c>
      <c r="P27">
        <v>6.0999999999999999E-2</v>
      </c>
      <c r="Q27">
        <v>1.895</v>
      </c>
      <c r="R27">
        <v>1.5620000000000001</v>
      </c>
      <c r="S27">
        <v>79.569000000000003</v>
      </c>
      <c r="T27">
        <v>3.3439999999999999</v>
      </c>
      <c r="U27">
        <v>58.298000000000002</v>
      </c>
      <c r="V27">
        <v>17.466000000000001</v>
      </c>
      <c r="W27">
        <v>19.311</v>
      </c>
      <c r="X27">
        <v>54.369</v>
      </c>
      <c r="Y27">
        <v>328.36</v>
      </c>
      <c r="Z27">
        <v>277.48700000000002</v>
      </c>
      <c r="AA27">
        <v>832.89700000000005</v>
      </c>
      <c r="AB27">
        <v>14.712</v>
      </c>
      <c r="AC27">
        <v>1.117</v>
      </c>
      <c r="AD27">
        <v>1.339</v>
      </c>
      <c r="AE27">
        <v>25.611999999999998</v>
      </c>
      <c r="AF27">
        <v>50.683999999999997</v>
      </c>
      <c r="AG27">
        <v>26.292000000000002</v>
      </c>
      <c r="AH27">
        <v>33.89</v>
      </c>
      <c r="AI27">
        <v>69.177999999999997</v>
      </c>
      <c r="AJ27">
        <v>11.853</v>
      </c>
      <c r="AK27">
        <v>0.47499999999999998</v>
      </c>
      <c r="AL27">
        <v>0.628</v>
      </c>
      <c r="AM27">
        <v>3.2000000000000001E-2</v>
      </c>
      <c r="AN27">
        <v>6.5000000000000002E-2</v>
      </c>
      <c r="AO27">
        <v>0.155</v>
      </c>
      <c r="AP27">
        <v>0.66600000000000004</v>
      </c>
      <c r="AQ27">
        <v>0.81399999999999995</v>
      </c>
      <c r="AR27">
        <v>3.59</v>
      </c>
      <c r="AS27">
        <v>10.618</v>
      </c>
      <c r="AT27">
        <v>75.19</v>
      </c>
      <c r="AU27">
        <v>1.536</v>
      </c>
      <c r="AV27">
        <v>5.944</v>
      </c>
      <c r="AW27">
        <v>0.92300000000000004</v>
      </c>
      <c r="AX27">
        <v>25.891999999999999</v>
      </c>
      <c r="AY27">
        <v>0</v>
      </c>
      <c r="AZ27">
        <v>314.62200000000001</v>
      </c>
      <c r="BA27">
        <v>0</v>
      </c>
      <c r="BB27">
        <v>0</v>
      </c>
      <c r="BC27">
        <v>4481.393</v>
      </c>
      <c r="BD27">
        <v>434.053</v>
      </c>
      <c r="BE27">
        <v>0</v>
      </c>
      <c r="BF27">
        <v>0</v>
      </c>
      <c r="BG27">
        <v>3189.415</v>
      </c>
      <c r="BH27">
        <v>0</v>
      </c>
      <c r="BI27">
        <v>10468.096</v>
      </c>
    </row>
    <row r="28" spans="1:61">
      <c r="A28" t="s">
        <v>488</v>
      </c>
      <c r="B28">
        <v>43.712000000000003</v>
      </c>
      <c r="C28">
        <v>6.1120000000000001</v>
      </c>
      <c r="D28">
        <v>32.223999999999997</v>
      </c>
      <c r="E28">
        <v>0.443</v>
      </c>
      <c r="F28">
        <v>0.46200000000000002</v>
      </c>
      <c r="G28">
        <v>0.29599999999999999</v>
      </c>
      <c r="H28">
        <v>9.8109999999999999</v>
      </c>
      <c r="I28">
        <v>5.2999999999999999E-2</v>
      </c>
      <c r="J28">
        <v>181.84700000000001</v>
      </c>
      <c r="K28">
        <v>280.95499999999998</v>
      </c>
      <c r="L28">
        <v>20.928000000000001</v>
      </c>
      <c r="M28">
        <v>70.775000000000006</v>
      </c>
      <c r="N28">
        <v>37.500999999999998</v>
      </c>
      <c r="O28">
        <v>246.845</v>
      </c>
      <c r="P28">
        <v>48.398000000000003</v>
      </c>
      <c r="Q28">
        <v>78.703999999999994</v>
      </c>
      <c r="R28">
        <v>70.641999999999996</v>
      </c>
      <c r="S28">
        <v>143.971</v>
      </c>
      <c r="T28">
        <v>66.816999999999993</v>
      </c>
      <c r="U28">
        <v>138.25800000000001</v>
      </c>
      <c r="V28">
        <v>538.39</v>
      </c>
      <c r="W28">
        <v>222.09200000000001</v>
      </c>
      <c r="X28">
        <v>275.637</v>
      </c>
      <c r="Y28">
        <v>398.31400000000002</v>
      </c>
      <c r="Z28">
        <v>156.67099999999999</v>
      </c>
      <c r="AA28">
        <v>26.443999999999999</v>
      </c>
      <c r="AB28">
        <v>1152.06</v>
      </c>
      <c r="AC28">
        <v>158.512</v>
      </c>
      <c r="AD28">
        <v>82.77</v>
      </c>
      <c r="AE28">
        <v>814.74400000000003</v>
      </c>
      <c r="AF28">
        <v>701.947</v>
      </c>
      <c r="AG28">
        <v>44.48</v>
      </c>
      <c r="AH28">
        <v>68.284000000000006</v>
      </c>
      <c r="AI28">
        <v>36.103000000000002</v>
      </c>
      <c r="AJ28">
        <v>141.124</v>
      </c>
      <c r="AK28">
        <v>37.530999999999999</v>
      </c>
      <c r="AL28">
        <v>434.02300000000002</v>
      </c>
      <c r="AM28">
        <v>90.234999999999999</v>
      </c>
      <c r="AN28">
        <v>97.921999999999997</v>
      </c>
      <c r="AO28">
        <v>84.271000000000001</v>
      </c>
      <c r="AP28">
        <v>254.93700000000001</v>
      </c>
      <c r="AQ28">
        <v>254.4</v>
      </c>
      <c r="AR28">
        <v>588.23</v>
      </c>
      <c r="AS28">
        <v>241.947</v>
      </c>
      <c r="AT28">
        <v>340.08499999999998</v>
      </c>
      <c r="AU28">
        <v>708.625</v>
      </c>
      <c r="AV28">
        <v>1445.1110000000001</v>
      </c>
      <c r="AW28">
        <v>306.64499999999998</v>
      </c>
      <c r="AX28">
        <v>349.02499999999998</v>
      </c>
      <c r="AY28">
        <v>0</v>
      </c>
      <c r="AZ28">
        <v>8583.2209999999995</v>
      </c>
      <c r="BA28">
        <v>8.9</v>
      </c>
      <c r="BB28">
        <v>16.579999999999998</v>
      </c>
      <c r="BC28">
        <v>3717.0520000000001</v>
      </c>
      <c r="BD28">
        <v>365.05</v>
      </c>
      <c r="BE28">
        <v>0</v>
      </c>
      <c r="BF28">
        <v>113.002</v>
      </c>
      <c r="BG28">
        <v>4400.607</v>
      </c>
      <c r="BH28">
        <v>0</v>
      </c>
      <c r="BI28">
        <v>28733.728999999999</v>
      </c>
    </row>
    <row r="29" spans="1:61">
      <c r="A29" t="s">
        <v>487</v>
      </c>
      <c r="B29">
        <v>789.88900000000001</v>
      </c>
      <c r="C29">
        <v>24.562999999999999</v>
      </c>
      <c r="D29">
        <v>160.06899999999999</v>
      </c>
      <c r="E29">
        <v>12.124000000000001</v>
      </c>
      <c r="F29">
        <v>6.3360000000000003</v>
      </c>
      <c r="G29">
        <v>5.8710000000000004</v>
      </c>
      <c r="H29">
        <v>193.33699999999999</v>
      </c>
      <c r="I29">
        <v>0.19800000000000001</v>
      </c>
      <c r="J29">
        <v>3564.317</v>
      </c>
      <c r="K29">
        <v>1579.221</v>
      </c>
      <c r="L29">
        <v>199.56200000000001</v>
      </c>
      <c r="M29">
        <v>1490.5070000000001</v>
      </c>
      <c r="N29">
        <v>1652.2270000000001</v>
      </c>
      <c r="O29">
        <v>6294.1790000000001</v>
      </c>
      <c r="P29">
        <v>303.69299999999998</v>
      </c>
      <c r="Q29">
        <v>1762.577</v>
      </c>
      <c r="R29">
        <v>1967.8520000000001</v>
      </c>
      <c r="S29">
        <v>4634.5720000000001</v>
      </c>
      <c r="T29">
        <v>1867.817</v>
      </c>
      <c r="U29">
        <v>1785.3440000000001</v>
      </c>
      <c r="V29">
        <v>2264.6799999999998</v>
      </c>
      <c r="W29">
        <v>1151.6369999999999</v>
      </c>
      <c r="X29">
        <v>1459.048</v>
      </c>
      <c r="Y29">
        <v>2168.1379999999999</v>
      </c>
      <c r="Z29">
        <v>433.44400000000002</v>
      </c>
      <c r="AA29">
        <v>148.761</v>
      </c>
      <c r="AB29">
        <v>342.988</v>
      </c>
      <c r="AC29">
        <v>16105.45</v>
      </c>
      <c r="AD29">
        <v>768.14800000000002</v>
      </c>
      <c r="AE29">
        <v>1043.826</v>
      </c>
      <c r="AF29">
        <v>6945.4719999999998</v>
      </c>
      <c r="AG29">
        <v>358.14299999999997</v>
      </c>
      <c r="AH29">
        <v>62.368000000000002</v>
      </c>
      <c r="AI29">
        <v>17.428999999999998</v>
      </c>
      <c r="AJ29">
        <v>818.55600000000004</v>
      </c>
      <c r="AK29">
        <v>175.02</v>
      </c>
      <c r="AL29">
        <v>5502.6570000000002</v>
      </c>
      <c r="AM29">
        <v>394.34300000000002</v>
      </c>
      <c r="AN29">
        <v>916.18700000000001</v>
      </c>
      <c r="AO29">
        <v>312.00599999999997</v>
      </c>
      <c r="AP29">
        <v>921.62099999999998</v>
      </c>
      <c r="AQ29">
        <v>2244.047</v>
      </c>
      <c r="AR29">
        <v>1580.7840000000001</v>
      </c>
      <c r="AS29">
        <v>436.76</v>
      </c>
      <c r="AT29">
        <v>1795.4169999999999</v>
      </c>
      <c r="AU29">
        <v>2708.5059999999999</v>
      </c>
      <c r="AV29">
        <v>2179.9369999999999</v>
      </c>
      <c r="AW29">
        <v>944.15200000000004</v>
      </c>
      <c r="AX29">
        <v>1306.473</v>
      </c>
      <c r="AY29">
        <v>0</v>
      </c>
      <c r="AZ29">
        <v>22935.396000000001</v>
      </c>
      <c r="BA29">
        <v>5.9790000000000001</v>
      </c>
      <c r="BB29">
        <v>8.5999999999999993E-2</v>
      </c>
      <c r="BC29">
        <v>40.966999999999999</v>
      </c>
      <c r="BD29">
        <v>0</v>
      </c>
      <c r="BE29">
        <v>0</v>
      </c>
      <c r="BF29">
        <v>0.59499999999999997</v>
      </c>
      <c r="BG29">
        <v>13.347</v>
      </c>
      <c r="BH29">
        <v>0</v>
      </c>
      <c r="BI29">
        <v>106796.625</v>
      </c>
    </row>
    <row r="30" spans="1:61">
      <c r="A30" t="s">
        <v>486</v>
      </c>
      <c r="B30">
        <v>113.048</v>
      </c>
      <c r="C30">
        <v>1.903</v>
      </c>
      <c r="D30">
        <v>30.529</v>
      </c>
      <c r="E30">
        <v>0.98799999999999999</v>
      </c>
      <c r="F30">
        <v>0.45</v>
      </c>
      <c r="G30">
        <v>0.82899999999999996</v>
      </c>
      <c r="H30">
        <v>16.079000000000001</v>
      </c>
      <c r="I30">
        <v>7.4999999999999997E-2</v>
      </c>
      <c r="J30">
        <v>550.76800000000003</v>
      </c>
      <c r="K30">
        <v>131.024</v>
      </c>
      <c r="L30">
        <v>35.066000000000003</v>
      </c>
      <c r="M30">
        <v>661.54600000000005</v>
      </c>
      <c r="N30">
        <v>158.24600000000001</v>
      </c>
      <c r="O30">
        <v>541.09799999999996</v>
      </c>
      <c r="P30">
        <v>49.86</v>
      </c>
      <c r="Q30">
        <v>164.851</v>
      </c>
      <c r="R30">
        <v>197.24</v>
      </c>
      <c r="S30">
        <v>4369.558</v>
      </c>
      <c r="T30">
        <v>1950.65</v>
      </c>
      <c r="U30">
        <v>313.916</v>
      </c>
      <c r="V30">
        <v>207.54499999999999</v>
      </c>
      <c r="W30">
        <v>138.88999999999999</v>
      </c>
      <c r="X30">
        <v>269.34699999999998</v>
      </c>
      <c r="Y30">
        <v>208.875</v>
      </c>
      <c r="Z30">
        <v>71.36</v>
      </c>
      <c r="AA30">
        <v>34.881</v>
      </c>
      <c r="AB30">
        <v>44.72</v>
      </c>
      <c r="AC30">
        <v>500.74400000000003</v>
      </c>
      <c r="AD30">
        <v>4001.8290000000002</v>
      </c>
      <c r="AE30">
        <v>404.726</v>
      </c>
      <c r="AF30">
        <v>996.54</v>
      </c>
      <c r="AG30">
        <v>21.510999999999999</v>
      </c>
      <c r="AH30">
        <v>25.593</v>
      </c>
      <c r="AI30">
        <v>4.0170000000000003</v>
      </c>
      <c r="AJ30">
        <v>107.23699999999999</v>
      </c>
      <c r="AK30">
        <v>29.571999999999999</v>
      </c>
      <c r="AL30">
        <v>849.85699999999997</v>
      </c>
      <c r="AM30">
        <v>31.742999999999999</v>
      </c>
      <c r="AN30">
        <v>28.893000000000001</v>
      </c>
      <c r="AO30">
        <v>28.113</v>
      </c>
      <c r="AP30">
        <v>111.405</v>
      </c>
      <c r="AQ30">
        <v>511.50900000000001</v>
      </c>
      <c r="AR30">
        <v>383.88200000000001</v>
      </c>
      <c r="AS30">
        <v>105.77800000000001</v>
      </c>
      <c r="AT30">
        <v>1301.0119999999999</v>
      </c>
      <c r="AU30">
        <v>570.63400000000001</v>
      </c>
      <c r="AV30">
        <v>725.99900000000002</v>
      </c>
      <c r="AW30">
        <v>129.261</v>
      </c>
      <c r="AX30">
        <v>168.44499999999999</v>
      </c>
      <c r="AY30">
        <v>0</v>
      </c>
      <c r="AZ30">
        <v>3662.2440000000001</v>
      </c>
      <c r="BA30">
        <v>34.398000000000003</v>
      </c>
      <c r="BB30">
        <v>4.0910000000000002</v>
      </c>
      <c r="BC30">
        <v>2.286</v>
      </c>
      <c r="BD30">
        <v>-4.0000000000000001E-3</v>
      </c>
      <c r="BE30">
        <v>0</v>
      </c>
      <c r="BF30">
        <v>8.4000000000000005E-2</v>
      </c>
      <c r="BG30">
        <v>14.943</v>
      </c>
      <c r="BH30">
        <v>0</v>
      </c>
      <c r="BI30">
        <v>25019.687000000002</v>
      </c>
    </row>
    <row r="31" spans="1:61">
      <c r="A31" t="s">
        <v>485</v>
      </c>
      <c r="B31">
        <v>195.21700000000001</v>
      </c>
      <c r="C31">
        <v>32.350999999999999</v>
      </c>
      <c r="D31">
        <v>44.05</v>
      </c>
      <c r="E31">
        <v>1.8049999999999999</v>
      </c>
      <c r="F31">
        <v>0.504</v>
      </c>
      <c r="G31">
        <v>0.55200000000000005</v>
      </c>
      <c r="H31">
        <v>17.318000000000001</v>
      </c>
      <c r="I31">
        <v>0.13400000000000001</v>
      </c>
      <c r="J31">
        <v>165.363</v>
      </c>
      <c r="K31">
        <v>73.129000000000005</v>
      </c>
      <c r="L31">
        <v>15.984999999999999</v>
      </c>
      <c r="M31">
        <v>50.929000000000002</v>
      </c>
      <c r="N31">
        <v>98.725999999999999</v>
      </c>
      <c r="O31">
        <v>216.12700000000001</v>
      </c>
      <c r="P31">
        <v>20.949000000000002</v>
      </c>
      <c r="Q31">
        <v>82.873000000000005</v>
      </c>
      <c r="R31">
        <v>119.367</v>
      </c>
      <c r="S31">
        <v>195.84299999999999</v>
      </c>
      <c r="T31">
        <v>102.017</v>
      </c>
      <c r="U31">
        <v>260.00400000000002</v>
      </c>
      <c r="V31">
        <v>159.61099999999999</v>
      </c>
      <c r="W31">
        <v>131.798</v>
      </c>
      <c r="X31">
        <v>187.649</v>
      </c>
      <c r="Y31">
        <v>192.90700000000001</v>
      </c>
      <c r="Z31">
        <v>97.364999999999995</v>
      </c>
      <c r="AA31">
        <v>17.268000000000001</v>
      </c>
      <c r="AB31">
        <v>81.010000000000005</v>
      </c>
      <c r="AC31">
        <v>1094.174</v>
      </c>
      <c r="AD31">
        <v>280.87200000000001</v>
      </c>
      <c r="AE31">
        <v>19201.334999999999</v>
      </c>
      <c r="AF31">
        <v>1343.4639999999999</v>
      </c>
      <c r="AG31">
        <v>75.123999999999995</v>
      </c>
      <c r="AH31">
        <v>48.531999999999996</v>
      </c>
      <c r="AI31">
        <v>9.9160000000000004</v>
      </c>
      <c r="AJ31">
        <v>575.59199999999998</v>
      </c>
      <c r="AK31">
        <v>47.061999999999998</v>
      </c>
      <c r="AL31">
        <v>578.32600000000002</v>
      </c>
      <c r="AM31">
        <v>82.82</v>
      </c>
      <c r="AN31">
        <v>346.31200000000001</v>
      </c>
      <c r="AO31">
        <v>63.232999999999997</v>
      </c>
      <c r="AP31">
        <v>356.84500000000003</v>
      </c>
      <c r="AQ31">
        <v>13360.632</v>
      </c>
      <c r="AR31">
        <v>1194.7260000000001</v>
      </c>
      <c r="AS31">
        <v>194.52099999999999</v>
      </c>
      <c r="AT31">
        <v>1901.5139999999999</v>
      </c>
      <c r="AU31">
        <v>865.69100000000003</v>
      </c>
      <c r="AV31">
        <v>576.67100000000005</v>
      </c>
      <c r="AW31">
        <v>169.739</v>
      </c>
      <c r="AX31">
        <v>198.31299999999999</v>
      </c>
      <c r="AY31">
        <v>0</v>
      </c>
      <c r="AZ31">
        <v>135.12299999999999</v>
      </c>
      <c r="BA31">
        <v>23.315999999999999</v>
      </c>
      <c r="BB31">
        <v>1.6080000000000001</v>
      </c>
      <c r="BC31">
        <v>194783.57500000001</v>
      </c>
      <c r="BD31">
        <v>0.04</v>
      </c>
      <c r="BE31">
        <v>0</v>
      </c>
      <c r="BF31">
        <v>3.464</v>
      </c>
      <c r="BG31">
        <v>61.755000000000003</v>
      </c>
      <c r="BH31">
        <v>0</v>
      </c>
      <c r="BI31">
        <v>240135.149</v>
      </c>
    </row>
    <row r="32" spans="1:61">
      <c r="A32" t="s">
        <v>484</v>
      </c>
      <c r="B32">
        <v>2029.9590000000001</v>
      </c>
      <c r="C32">
        <v>76.069000000000003</v>
      </c>
      <c r="D32">
        <v>412.54199999999997</v>
      </c>
      <c r="E32">
        <v>6.8209999999999997</v>
      </c>
      <c r="F32">
        <v>2.4289999999999998</v>
      </c>
      <c r="G32">
        <v>3.7229999999999999</v>
      </c>
      <c r="H32">
        <v>99.933999999999997</v>
      </c>
      <c r="I32">
        <v>0.35799999999999998</v>
      </c>
      <c r="J32">
        <v>9601.2780000000002</v>
      </c>
      <c r="K32">
        <v>5466.299</v>
      </c>
      <c r="L32">
        <v>406.63499999999999</v>
      </c>
      <c r="M32">
        <v>1654.79</v>
      </c>
      <c r="N32">
        <v>2479.7020000000002</v>
      </c>
      <c r="O32">
        <v>11888.115</v>
      </c>
      <c r="P32">
        <v>1977.854</v>
      </c>
      <c r="Q32">
        <v>4378.8990000000003</v>
      </c>
      <c r="R32">
        <v>1574.454</v>
      </c>
      <c r="S32">
        <v>4141.826</v>
      </c>
      <c r="T32">
        <v>1189.175</v>
      </c>
      <c r="U32">
        <v>4082.4969999999998</v>
      </c>
      <c r="V32">
        <v>17602.647000000001</v>
      </c>
      <c r="W32">
        <v>5747.9459999999999</v>
      </c>
      <c r="X32">
        <v>7426.5190000000002</v>
      </c>
      <c r="Y32">
        <v>12340.152</v>
      </c>
      <c r="Z32">
        <v>1658.47</v>
      </c>
      <c r="AA32">
        <v>425.41899999999998</v>
      </c>
      <c r="AB32">
        <v>1396.972</v>
      </c>
      <c r="AC32">
        <v>1942.2809999999999</v>
      </c>
      <c r="AD32">
        <v>477.95400000000001</v>
      </c>
      <c r="AE32">
        <v>8186.13</v>
      </c>
      <c r="AF32">
        <v>5716.9880000000003</v>
      </c>
      <c r="AG32">
        <v>964.58600000000001</v>
      </c>
      <c r="AH32">
        <v>1032.5319999999999</v>
      </c>
      <c r="AI32">
        <v>469.17</v>
      </c>
      <c r="AJ32">
        <v>765.66800000000001</v>
      </c>
      <c r="AK32">
        <v>236.54300000000001</v>
      </c>
      <c r="AL32">
        <v>7979.8540000000003</v>
      </c>
      <c r="AM32">
        <v>543.101</v>
      </c>
      <c r="AN32">
        <v>760.88199999999995</v>
      </c>
      <c r="AO32">
        <v>464.25900000000001</v>
      </c>
      <c r="AP32">
        <v>502.56799999999998</v>
      </c>
      <c r="AQ32">
        <v>889.42100000000005</v>
      </c>
      <c r="AR32">
        <v>1854.816</v>
      </c>
      <c r="AS32">
        <v>1399.835</v>
      </c>
      <c r="AT32">
        <v>1362.201</v>
      </c>
      <c r="AU32">
        <v>1066.701</v>
      </c>
      <c r="AV32">
        <v>5050.2240000000002</v>
      </c>
      <c r="AW32">
        <v>539.27800000000002</v>
      </c>
      <c r="AX32">
        <v>1466.107</v>
      </c>
      <c r="AY32">
        <v>0</v>
      </c>
      <c r="AZ32">
        <v>68382.945999999996</v>
      </c>
      <c r="BA32">
        <v>33.74</v>
      </c>
      <c r="BB32">
        <v>20.033000000000001</v>
      </c>
      <c r="BC32">
        <v>21930.218000000001</v>
      </c>
      <c r="BD32">
        <v>0.01</v>
      </c>
      <c r="BE32">
        <v>0</v>
      </c>
      <c r="BF32">
        <v>204.13800000000001</v>
      </c>
      <c r="BG32">
        <v>57473.468000000001</v>
      </c>
      <c r="BH32">
        <v>0</v>
      </c>
      <c r="BI32">
        <v>289787.13299999997</v>
      </c>
    </row>
    <row r="33" spans="1:61">
      <c r="A33" t="s">
        <v>483</v>
      </c>
      <c r="B33">
        <v>249.131</v>
      </c>
      <c r="C33">
        <v>49.048000000000002</v>
      </c>
      <c r="D33">
        <v>42.686999999999998</v>
      </c>
      <c r="E33">
        <v>5.9960000000000004</v>
      </c>
      <c r="F33">
        <v>2.0310000000000001</v>
      </c>
      <c r="G33">
        <v>1.593</v>
      </c>
      <c r="H33">
        <v>97.536000000000001</v>
      </c>
      <c r="I33">
        <v>0.223</v>
      </c>
      <c r="J33">
        <v>1568.664</v>
      </c>
      <c r="K33">
        <v>400.87099999999998</v>
      </c>
      <c r="L33">
        <v>127.34</v>
      </c>
      <c r="M33">
        <v>330.738</v>
      </c>
      <c r="N33">
        <v>1512.5060000000001</v>
      </c>
      <c r="O33">
        <v>1597.79</v>
      </c>
      <c r="P33">
        <v>154.76900000000001</v>
      </c>
      <c r="Q33">
        <v>461.65699999999998</v>
      </c>
      <c r="R33">
        <v>640.18600000000004</v>
      </c>
      <c r="S33">
        <v>976.19500000000005</v>
      </c>
      <c r="T33">
        <v>417.65199999999999</v>
      </c>
      <c r="U33">
        <v>598.202</v>
      </c>
      <c r="V33">
        <v>1272.107</v>
      </c>
      <c r="W33">
        <v>619.35</v>
      </c>
      <c r="X33">
        <v>795.85299999999995</v>
      </c>
      <c r="Y33">
        <v>1105.99</v>
      </c>
      <c r="Z33">
        <v>149.96100000000001</v>
      </c>
      <c r="AA33">
        <v>53.558</v>
      </c>
      <c r="AB33">
        <v>183.768</v>
      </c>
      <c r="AC33">
        <v>890.13900000000001</v>
      </c>
      <c r="AD33">
        <v>182.55500000000001</v>
      </c>
      <c r="AE33">
        <v>1096.8879999999999</v>
      </c>
      <c r="AF33">
        <v>3647.9079999999999</v>
      </c>
      <c r="AG33">
        <v>581.09</v>
      </c>
      <c r="AH33">
        <v>164.053</v>
      </c>
      <c r="AI33">
        <v>40.136000000000003</v>
      </c>
      <c r="AJ33">
        <v>1411.8720000000001</v>
      </c>
      <c r="AK33">
        <v>537.08699999999999</v>
      </c>
      <c r="AL33">
        <v>670.60299999999995</v>
      </c>
      <c r="AM33">
        <v>189.80099999999999</v>
      </c>
      <c r="AN33">
        <v>113.96299999999999</v>
      </c>
      <c r="AO33">
        <v>80.680000000000007</v>
      </c>
      <c r="AP33">
        <v>253.31800000000001</v>
      </c>
      <c r="AQ33">
        <v>160.31</v>
      </c>
      <c r="AR33">
        <v>670.07799999999997</v>
      </c>
      <c r="AS33">
        <v>304.47300000000001</v>
      </c>
      <c r="AT33">
        <v>436.62799999999999</v>
      </c>
      <c r="AU33">
        <v>510.041</v>
      </c>
      <c r="AV33">
        <v>537.72400000000005</v>
      </c>
      <c r="AW33">
        <v>117.96899999999999</v>
      </c>
      <c r="AX33">
        <v>331.57100000000003</v>
      </c>
      <c r="AY33">
        <v>0</v>
      </c>
      <c r="AZ33">
        <v>9664.5360000000001</v>
      </c>
      <c r="BA33">
        <v>9.1940000000000008</v>
      </c>
      <c r="BB33">
        <v>1.3540000000000001</v>
      </c>
      <c r="BC33">
        <v>1884.17</v>
      </c>
      <c r="BD33">
        <v>0.02</v>
      </c>
      <c r="BE33">
        <v>0</v>
      </c>
      <c r="BF33">
        <v>476.33199999999999</v>
      </c>
      <c r="BG33">
        <v>3551.7220000000002</v>
      </c>
      <c r="BH33">
        <v>0</v>
      </c>
      <c r="BI33">
        <v>41931.622000000003</v>
      </c>
    </row>
    <row r="34" spans="1:61">
      <c r="A34" t="s">
        <v>482</v>
      </c>
      <c r="B34">
        <v>40.878</v>
      </c>
      <c r="C34">
        <v>7.8E-2</v>
      </c>
      <c r="D34">
        <v>0.247</v>
      </c>
      <c r="E34">
        <v>0.24399999999999999</v>
      </c>
      <c r="F34">
        <v>4.0000000000000001E-3</v>
      </c>
      <c r="G34">
        <v>9.5000000000000001E-2</v>
      </c>
      <c r="H34">
        <v>0.129</v>
      </c>
      <c r="I34">
        <v>7.0000000000000001E-3</v>
      </c>
      <c r="J34">
        <v>179.315</v>
      </c>
      <c r="K34">
        <v>75.066999999999993</v>
      </c>
      <c r="L34">
        <v>11.077999999999999</v>
      </c>
      <c r="M34">
        <v>35.006999999999998</v>
      </c>
      <c r="N34">
        <v>759.46799999999996</v>
      </c>
      <c r="O34">
        <v>298.90100000000001</v>
      </c>
      <c r="P34">
        <v>29.867999999999999</v>
      </c>
      <c r="Q34">
        <v>95.11</v>
      </c>
      <c r="R34">
        <v>57.262999999999998</v>
      </c>
      <c r="S34">
        <v>225.172</v>
      </c>
      <c r="T34">
        <v>119.99</v>
      </c>
      <c r="U34">
        <v>130.85599999999999</v>
      </c>
      <c r="V34">
        <v>485.55399999999997</v>
      </c>
      <c r="W34">
        <v>182.62200000000001</v>
      </c>
      <c r="X34">
        <v>212.17500000000001</v>
      </c>
      <c r="Y34">
        <v>258.71100000000001</v>
      </c>
      <c r="Z34">
        <v>47.284999999999997</v>
      </c>
      <c r="AA34">
        <v>15.124000000000001</v>
      </c>
      <c r="AB34">
        <v>38.594999999999999</v>
      </c>
      <c r="AC34">
        <v>342.98399999999998</v>
      </c>
      <c r="AD34">
        <v>9.4730000000000008</v>
      </c>
      <c r="AE34">
        <v>265.56599999999997</v>
      </c>
      <c r="AF34">
        <v>11.278</v>
      </c>
      <c r="AG34">
        <v>1.627</v>
      </c>
      <c r="AH34">
        <v>4.4770000000000003</v>
      </c>
      <c r="AI34">
        <v>11.936</v>
      </c>
      <c r="AJ34">
        <v>9.9670000000000005</v>
      </c>
      <c r="AK34">
        <v>0.89900000000000002</v>
      </c>
      <c r="AL34">
        <v>149.12200000000001</v>
      </c>
      <c r="AM34">
        <v>11.759</v>
      </c>
      <c r="AN34">
        <v>18.303000000000001</v>
      </c>
      <c r="AO34">
        <v>8.7729999999999997</v>
      </c>
      <c r="AP34">
        <v>6.9939999999999998</v>
      </c>
      <c r="AQ34">
        <v>25.661999999999999</v>
      </c>
      <c r="AR34">
        <v>16.542999999999999</v>
      </c>
      <c r="AS34">
        <v>13.884</v>
      </c>
      <c r="AT34">
        <v>14.398999999999999</v>
      </c>
      <c r="AU34">
        <v>20.588999999999999</v>
      </c>
      <c r="AV34">
        <v>79.010999999999996</v>
      </c>
      <c r="AW34">
        <v>7.0170000000000003</v>
      </c>
      <c r="AX34">
        <v>31.082999999999998</v>
      </c>
      <c r="AY34">
        <v>0</v>
      </c>
      <c r="AZ34">
        <v>698.10199999999998</v>
      </c>
      <c r="BA34">
        <v>0.746</v>
      </c>
      <c r="BB34">
        <v>0.93700000000000006</v>
      </c>
      <c r="BC34">
        <v>214.19800000000001</v>
      </c>
      <c r="BD34">
        <v>0</v>
      </c>
      <c r="BE34">
        <v>0</v>
      </c>
      <c r="BF34">
        <v>99.92</v>
      </c>
      <c r="BG34">
        <v>29282.955000000002</v>
      </c>
      <c r="BH34">
        <v>0</v>
      </c>
      <c r="BI34">
        <v>34657.044999999998</v>
      </c>
    </row>
    <row r="35" spans="1:61">
      <c r="A35" t="s">
        <v>481</v>
      </c>
      <c r="B35">
        <v>66.593999999999994</v>
      </c>
      <c r="C35">
        <v>15.048</v>
      </c>
      <c r="D35">
        <v>16.581</v>
      </c>
      <c r="E35">
        <v>0.47699999999999998</v>
      </c>
      <c r="F35">
        <v>1.5469999999999999</v>
      </c>
      <c r="G35">
        <v>0.22700000000000001</v>
      </c>
      <c r="H35">
        <v>15.324999999999999</v>
      </c>
      <c r="I35">
        <v>4.9000000000000002E-2</v>
      </c>
      <c r="J35">
        <v>367.923</v>
      </c>
      <c r="K35">
        <v>179.328</v>
      </c>
      <c r="L35">
        <v>27.239000000000001</v>
      </c>
      <c r="M35">
        <v>98.212000000000003</v>
      </c>
      <c r="N35">
        <v>422.68700000000001</v>
      </c>
      <c r="O35">
        <v>392.66699999999997</v>
      </c>
      <c r="P35">
        <v>84.88</v>
      </c>
      <c r="Q35">
        <v>144.47900000000001</v>
      </c>
      <c r="R35">
        <v>124.669</v>
      </c>
      <c r="S35">
        <v>155.422</v>
      </c>
      <c r="T35">
        <v>96.29</v>
      </c>
      <c r="U35">
        <v>146.45099999999999</v>
      </c>
      <c r="V35">
        <v>676.88</v>
      </c>
      <c r="W35">
        <v>427.57100000000003</v>
      </c>
      <c r="X35">
        <v>428.49900000000002</v>
      </c>
      <c r="Y35">
        <v>312.63799999999998</v>
      </c>
      <c r="Z35">
        <v>64.16</v>
      </c>
      <c r="AA35">
        <v>34.402999999999999</v>
      </c>
      <c r="AB35">
        <v>90.722999999999999</v>
      </c>
      <c r="AC35">
        <v>224.45500000000001</v>
      </c>
      <c r="AD35">
        <v>46.737000000000002</v>
      </c>
      <c r="AE35">
        <v>553.89200000000005</v>
      </c>
      <c r="AF35">
        <v>1673.6369999999999</v>
      </c>
      <c r="AG35">
        <v>47.561999999999998</v>
      </c>
      <c r="AH35">
        <v>66.558999999999997</v>
      </c>
      <c r="AI35">
        <v>993.43</v>
      </c>
      <c r="AJ35">
        <v>1438.008</v>
      </c>
      <c r="AK35">
        <v>536.24900000000002</v>
      </c>
      <c r="AL35">
        <v>376.64100000000002</v>
      </c>
      <c r="AM35">
        <v>163.60300000000001</v>
      </c>
      <c r="AN35">
        <v>170.96600000000001</v>
      </c>
      <c r="AO35">
        <v>234.477</v>
      </c>
      <c r="AP35">
        <v>851.95699999999999</v>
      </c>
      <c r="AQ35">
        <v>222.72200000000001</v>
      </c>
      <c r="AR35">
        <v>1508.325</v>
      </c>
      <c r="AS35">
        <v>677.82</v>
      </c>
      <c r="AT35">
        <v>768.83100000000002</v>
      </c>
      <c r="AU35">
        <v>393.99599999999998</v>
      </c>
      <c r="AV35">
        <v>396.834</v>
      </c>
      <c r="AW35">
        <v>193.40700000000001</v>
      </c>
      <c r="AX35">
        <v>241.46299999999999</v>
      </c>
      <c r="AY35">
        <v>0</v>
      </c>
      <c r="AZ35">
        <v>1612.396</v>
      </c>
      <c r="BA35">
        <v>0.69199999999999995</v>
      </c>
      <c r="BB35">
        <v>1.329</v>
      </c>
      <c r="BC35">
        <v>936.63199999999995</v>
      </c>
      <c r="BD35">
        <v>0.12</v>
      </c>
      <c r="BE35">
        <v>0</v>
      </c>
      <c r="BF35">
        <v>376.029</v>
      </c>
      <c r="BG35">
        <v>7362.0129999999999</v>
      </c>
      <c r="BH35">
        <v>0</v>
      </c>
      <c r="BI35">
        <v>26461.751</v>
      </c>
    </row>
    <row r="36" spans="1:61">
      <c r="A36" t="s">
        <v>480</v>
      </c>
      <c r="B36">
        <v>202.32300000000001</v>
      </c>
      <c r="C36">
        <v>34.69</v>
      </c>
      <c r="D36">
        <v>144.61199999999999</v>
      </c>
      <c r="E36">
        <v>5.7779999999999996</v>
      </c>
      <c r="F36">
        <v>1.633</v>
      </c>
      <c r="G36">
        <v>1.508</v>
      </c>
      <c r="H36">
        <v>53.149000000000001</v>
      </c>
      <c r="I36">
        <v>0.27</v>
      </c>
      <c r="J36">
        <v>1623.3219999999999</v>
      </c>
      <c r="K36">
        <v>417.25299999999999</v>
      </c>
      <c r="L36">
        <v>121.578</v>
      </c>
      <c r="M36">
        <v>363.04599999999999</v>
      </c>
      <c r="N36">
        <v>900.47400000000005</v>
      </c>
      <c r="O36">
        <v>1343.866</v>
      </c>
      <c r="P36">
        <v>151.577</v>
      </c>
      <c r="Q36">
        <v>364.767</v>
      </c>
      <c r="R36">
        <v>389.06299999999999</v>
      </c>
      <c r="S36">
        <v>598.60900000000004</v>
      </c>
      <c r="T36">
        <v>267.02199999999999</v>
      </c>
      <c r="U36">
        <v>529.73400000000004</v>
      </c>
      <c r="V36">
        <v>952.678</v>
      </c>
      <c r="W36">
        <v>596.80200000000002</v>
      </c>
      <c r="X36">
        <v>694.73</v>
      </c>
      <c r="Y36">
        <v>1546.4090000000001</v>
      </c>
      <c r="Z36">
        <v>157.25899999999999</v>
      </c>
      <c r="AA36">
        <v>66.825000000000003</v>
      </c>
      <c r="AB36">
        <v>179.506</v>
      </c>
      <c r="AC36">
        <v>466.26900000000001</v>
      </c>
      <c r="AD36">
        <v>206.624</v>
      </c>
      <c r="AE36">
        <v>870.33</v>
      </c>
      <c r="AF36">
        <v>8724.7180000000008</v>
      </c>
      <c r="AG36">
        <v>1282.6400000000001</v>
      </c>
      <c r="AH36">
        <v>4782.0339999999997</v>
      </c>
      <c r="AI36">
        <v>1716.0519999999999</v>
      </c>
      <c r="AJ36">
        <v>10102.663</v>
      </c>
      <c r="AK36">
        <v>509.61700000000002</v>
      </c>
      <c r="AL36">
        <v>610.12900000000002</v>
      </c>
      <c r="AM36">
        <v>144.04</v>
      </c>
      <c r="AN36">
        <v>236.21299999999999</v>
      </c>
      <c r="AO36">
        <v>142.732</v>
      </c>
      <c r="AP36">
        <v>217.245</v>
      </c>
      <c r="AQ36">
        <v>143.01400000000001</v>
      </c>
      <c r="AR36">
        <v>918.10299999999995</v>
      </c>
      <c r="AS36">
        <v>380.17700000000002</v>
      </c>
      <c r="AT36">
        <v>517.202</v>
      </c>
      <c r="AU36">
        <v>141.50299999999999</v>
      </c>
      <c r="AV36">
        <v>155.41300000000001</v>
      </c>
      <c r="AW36">
        <v>147.81399999999999</v>
      </c>
      <c r="AX36">
        <v>226.566</v>
      </c>
      <c r="AY36">
        <v>0</v>
      </c>
      <c r="AZ36">
        <v>2472.42</v>
      </c>
      <c r="BA36">
        <v>15.943</v>
      </c>
      <c r="BB36">
        <v>1.91</v>
      </c>
      <c r="BC36">
        <v>591.49699999999996</v>
      </c>
      <c r="BD36">
        <v>0.03</v>
      </c>
      <c r="BE36">
        <v>0</v>
      </c>
      <c r="BF36">
        <v>5.0880000000000001</v>
      </c>
      <c r="BG36">
        <v>4262.6639999999998</v>
      </c>
      <c r="BH36">
        <v>0</v>
      </c>
      <c r="BI36">
        <v>51699.131999999998</v>
      </c>
    </row>
    <row r="37" spans="1:61">
      <c r="A37" t="s">
        <v>479</v>
      </c>
      <c r="B37">
        <v>49.561999999999998</v>
      </c>
      <c r="C37">
        <v>3.0430000000000001</v>
      </c>
      <c r="D37">
        <v>11.638</v>
      </c>
      <c r="E37">
        <v>0.50800000000000001</v>
      </c>
      <c r="F37">
        <v>0.16700000000000001</v>
      </c>
      <c r="G37">
        <v>0.109</v>
      </c>
      <c r="H37">
        <v>4.5990000000000002</v>
      </c>
      <c r="I37">
        <v>3.3000000000000002E-2</v>
      </c>
      <c r="J37">
        <v>105.715</v>
      </c>
      <c r="K37">
        <v>91.923000000000002</v>
      </c>
      <c r="L37">
        <v>13.177</v>
      </c>
      <c r="M37">
        <v>66.789000000000001</v>
      </c>
      <c r="N37">
        <v>16.779</v>
      </c>
      <c r="O37">
        <v>120.443</v>
      </c>
      <c r="P37">
        <v>32.295000000000002</v>
      </c>
      <c r="Q37">
        <v>51.540999999999997</v>
      </c>
      <c r="R37">
        <v>31.038</v>
      </c>
      <c r="S37">
        <v>35.994999999999997</v>
      </c>
      <c r="T37">
        <v>19.167000000000002</v>
      </c>
      <c r="U37">
        <v>72.664000000000001</v>
      </c>
      <c r="V37">
        <v>130.637</v>
      </c>
      <c r="W37">
        <v>76.906000000000006</v>
      </c>
      <c r="X37">
        <v>170.69</v>
      </c>
      <c r="Y37">
        <v>135.44800000000001</v>
      </c>
      <c r="Z37">
        <v>29.401</v>
      </c>
      <c r="AA37">
        <v>10.401</v>
      </c>
      <c r="AB37">
        <v>35.134999999999998</v>
      </c>
      <c r="AC37">
        <v>198.89400000000001</v>
      </c>
      <c r="AD37">
        <v>37.014000000000003</v>
      </c>
      <c r="AE37">
        <v>179.636</v>
      </c>
      <c r="AF37">
        <v>3477.0909999999999</v>
      </c>
      <c r="AG37">
        <v>40.393999999999998</v>
      </c>
      <c r="AH37">
        <v>24.155999999999999</v>
      </c>
      <c r="AI37">
        <v>13.428000000000001</v>
      </c>
      <c r="AJ37">
        <v>348.49900000000002</v>
      </c>
      <c r="AK37">
        <v>4160.558</v>
      </c>
      <c r="AL37">
        <v>425.22800000000001</v>
      </c>
      <c r="AM37">
        <v>404.63299999999998</v>
      </c>
      <c r="AN37">
        <v>508.05500000000001</v>
      </c>
      <c r="AO37">
        <v>175.12299999999999</v>
      </c>
      <c r="AP37">
        <v>1836.528</v>
      </c>
      <c r="AQ37">
        <v>248.41</v>
      </c>
      <c r="AR37">
        <v>1270.9069999999999</v>
      </c>
      <c r="AS37">
        <v>269.93900000000002</v>
      </c>
      <c r="AT37">
        <v>918.66899999999998</v>
      </c>
      <c r="AU37">
        <v>410.97</v>
      </c>
      <c r="AV37">
        <v>413.28500000000003</v>
      </c>
      <c r="AW37">
        <v>159.38900000000001</v>
      </c>
      <c r="AX37">
        <v>463.31799999999998</v>
      </c>
      <c r="AY37">
        <v>0</v>
      </c>
      <c r="AZ37">
        <v>248.708</v>
      </c>
      <c r="BA37">
        <v>1.9E-2</v>
      </c>
      <c r="BB37">
        <v>4.0000000000000001E-3</v>
      </c>
      <c r="BC37">
        <v>4.0540000000000003</v>
      </c>
      <c r="BD37">
        <v>5.25</v>
      </c>
      <c r="BE37">
        <v>0</v>
      </c>
      <c r="BF37">
        <v>8.1850000000000005</v>
      </c>
      <c r="BG37">
        <v>625.89499999999998</v>
      </c>
      <c r="BH37">
        <v>0</v>
      </c>
      <c r="BI37">
        <v>18192.04</v>
      </c>
    </row>
    <row r="38" spans="1:61">
      <c r="A38" t="s">
        <v>478</v>
      </c>
      <c r="B38">
        <v>256.09199999999998</v>
      </c>
      <c r="C38">
        <v>73.536000000000001</v>
      </c>
      <c r="D38">
        <v>85.09</v>
      </c>
      <c r="E38">
        <v>3.8340000000000001</v>
      </c>
      <c r="F38">
        <v>2.911</v>
      </c>
      <c r="G38">
        <v>5.2619999999999996</v>
      </c>
      <c r="H38">
        <v>66.230999999999995</v>
      </c>
      <c r="I38">
        <v>0.376</v>
      </c>
      <c r="J38">
        <v>1906.6489999999999</v>
      </c>
      <c r="K38">
        <v>1147.3320000000001</v>
      </c>
      <c r="L38">
        <v>151.864</v>
      </c>
      <c r="M38">
        <v>476.71100000000001</v>
      </c>
      <c r="N38">
        <v>534.47500000000002</v>
      </c>
      <c r="O38">
        <v>2719.4389999999999</v>
      </c>
      <c r="P38">
        <v>421.33499999999998</v>
      </c>
      <c r="Q38">
        <v>1272.9680000000001</v>
      </c>
      <c r="R38">
        <v>569.69200000000001</v>
      </c>
      <c r="S38">
        <v>1034.3510000000001</v>
      </c>
      <c r="T38">
        <v>501.23200000000003</v>
      </c>
      <c r="U38">
        <v>1548.5119999999999</v>
      </c>
      <c r="V38">
        <v>2540.2829999999999</v>
      </c>
      <c r="W38">
        <v>1731.825</v>
      </c>
      <c r="X38">
        <v>2041.8630000000001</v>
      </c>
      <c r="Y38">
        <v>1411.239</v>
      </c>
      <c r="Z38">
        <v>407.03300000000002</v>
      </c>
      <c r="AA38">
        <v>175.541</v>
      </c>
      <c r="AB38">
        <v>431.87200000000001</v>
      </c>
      <c r="AC38">
        <v>1725.057</v>
      </c>
      <c r="AD38">
        <v>574.66899999999998</v>
      </c>
      <c r="AE38">
        <v>4218.3</v>
      </c>
      <c r="AF38">
        <v>11656.967000000001</v>
      </c>
      <c r="AG38">
        <v>859.154</v>
      </c>
      <c r="AH38">
        <v>1399.0429999999999</v>
      </c>
      <c r="AI38">
        <v>901.649</v>
      </c>
      <c r="AJ38">
        <v>2289.9720000000002</v>
      </c>
      <c r="AK38">
        <v>530.53200000000004</v>
      </c>
      <c r="AL38">
        <v>7438.2920000000004</v>
      </c>
      <c r="AM38">
        <v>1896.768</v>
      </c>
      <c r="AN38">
        <v>1247.068</v>
      </c>
      <c r="AO38">
        <v>2265.7020000000002</v>
      </c>
      <c r="AP38">
        <v>6325.6959999999999</v>
      </c>
      <c r="AQ38">
        <v>2107.4140000000002</v>
      </c>
      <c r="AR38">
        <v>12760.93</v>
      </c>
      <c r="AS38">
        <v>3265.6970000000001</v>
      </c>
      <c r="AT38">
        <v>6901.9480000000003</v>
      </c>
      <c r="AU38">
        <v>7204.884</v>
      </c>
      <c r="AV38">
        <v>9752.741</v>
      </c>
      <c r="AW38">
        <v>3455.3829999999998</v>
      </c>
      <c r="AX38">
        <v>3919.5819999999999</v>
      </c>
      <c r="AY38">
        <v>0</v>
      </c>
      <c r="AZ38">
        <v>28897.865000000002</v>
      </c>
      <c r="BA38">
        <v>1227.289</v>
      </c>
      <c r="BB38">
        <v>3.7559999999999998</v>
      </c>
      <c r="BC38">
        <v>9.4789999999999992</v>
      </c>
      <c r="BD38">
        <v>0</v>
      </c>
      <c r="BE38">
        <v>0</v>
      </c>
      <c r="BF38">
        <v>2591.6959999999999</v>
      </c>
      <c r="BG38">
        <v>19.417999999999999</v>
      </c>
      <c r="BH38">
        <v>0</v>
      </c>
      <c r="BI38">
        <v>146964.497</v>
      </c>
    </row>
    <row r="39" spans="1:61">
      <c r="A39" t="s">
        <v>477</v>
      </c>
      <c r="B39">
        <v>38.421999999999997</v>
      </c>
      <c r="C39">
        <v>3.984</v>
      </c>
      <c r="D39">
        <v>9.2729999999999997</v>
      </c>
      <c r="E39">
        <v>0.36399999999999999</v>
      </c>
      <c r="F39">
        <v>0.31900000000000001</v>
      </c>
      <c r="G39">
        <v>0.32700000000000001</v>
      </c>
      <c r="H39">
        <v>6.6970000000000001</v>
      </c>
      <c r="I39">
        <v>5.0999999999999997E-2</v>
      </c>
      <c r="J39">
        <v>488.411</v>
      </c>
      <c r="K39">
        <v>201.5</v>
      </c>
      <c r="L39">
        <v>29.689</v>
      </c>
      <c r="M39">
        <v>214.727</v>
      </c>
      <c r="N39">
        <v>67.869</v>
      </c>
      <c r="O39">
        <v>534.35</v>
      </c>
      <c r="P39">
        <v>101.029</v>
      </c>
      <c r="Q39">
        <v>120.761</v>
      </c>
      <c r="R39">
        <v>76.891999999999996</v>
      </c>
      <c r="S39">
        <v>153.24199999999999</v>
      </c>
      <c r="T39">
        <v>94.450999999999993</v>
      </c>
      <c r="U39">
        <v>175.92400000000001</v>
      </c>
      <c r="V39">
        <v>643.49</v>
      </c>
      <c r="W39">
        <v>404.3</v>
      </c>
      <c r="X39">
        <v>289.11599999999999</v>
      </c>
      <c r="Y39">
        <v>332.839</v>
      </c>
      <c r="Z39">
        <v>92.039000000000001</v>
      </c>
      <c r="AA39">
        <v>49.712000000000003</v>
      </c>
      <c r="AB39">
        <v>110.29</v>
      </c>
      <c r="AC39">
        <v>250.06800000000001</v>
      </c>
      <c r="AD39">
        <v>66.864000000000004</v>
      </c>
      <c r="AE39">
        <v>388.959</v>
      </c>
      <c r="AF39">
        <v>2681.127</v>
      </c>
      <c r="AG39">
        <v>56.854999999999997</v>
      </c>
      <c r="AH39">
        <v>89.162999999999997</v>
      </c>
      <c r="AI39">
        <v>39.15</v>
      </c>
      <c r="AJ39">
        <v>226.95500000000001</v>
      </c>
      <c r="AK39">
        <v>120.77</v>
      </c>
      <c r="AL39">
        <v>1077.8309999999999</v>
      </c>
      <c r="AM39">
        <v>9007.1980000000003</v>
      </c>
      <c r="AN39">
        <v>1503.614</v>
      </c>
      <c r="AO39">
        <v>1594.0250000000001</v>
      </c>
      <c r="AP39">
        <v>1262.6089999999999</v>
      </c>
      <c r="AQ39">
        <v>531.56399999999996</v>
      </c>
      <c r="AR39">
        <v>4566.7209999999995</v>
      </c>
      <c r="AS39">
        <v>537.14300000000003</v>
      </c>
      <c r="AT39">
        <v>1076.999</v>
      </c>
      <c r="AU39">
        <v>3232.8890000000001</v>
      </c>
      <c r="AV39">
        <v>834.95899999999995</v>
      </c>
      <c r="AW39">
        <v>920.83100000000002</v>
      </c>
      <c r="AX39">
        <v>862.68600000000004</v>
      </c>
      <c r="AY39">
        <v>0</v>
      </c>
      <c r="AZ39">
        <v>6776.35</v>
      </c>
      <c r="BA39">
        <v>139.11699999999999</v>
      </c>
      <c r="BB39">
        <v>1435.433</v>
      </c>
      <c r="BC39">
        <v>4895.7640000000001</v>
      </c>
      <c r="BD39">
        <v>2.62</v>
      </c>
      <c r="BE39">
        <v>0</v>
      </c>
      <c r="BF39">
        <v>39.729999999999997</v>
      </c>
      <c r="BG39">
        <v>5011.451</v>
      </c>
      <c r="BH39">
        <v>0</v>
      </c>
      <c r="BI39">
        <v>53469.514999999999</v>
      </c>
    </row>
    <row r="40" spans="1:61">
      <c r="A40" t="s">
        <v>476</v>
      </c>
      <c r="B40">
        <v>41.671999999999997</v>
      </c>
      <c r="C40">
        <v>7.383</v>
      </c>
      <c r="D40">
        <v>27.640999999999998</v>
      </c>
      <c r="E40">
        <v>1.167</v>
      </c>
      <c r="F40">
        <v>0.68200000000000005</v>
      </c>
      <c r="G40">
        <v>0.19900000000000001</v>
      </c>
      <c r="H40">
        <v>11.111000000000001</v>
      </c>
      <c r="I40">
        <v>5.0999999999999997E-2</v>
      </c>
      <c r="J40">
        <v>220.47800000000001</v>
      </c>
      <c r="K40">
        <v>161.727</v>
      </c>
      <c r="L40">
        <v>25.446999999999999</v>
      </c>
      <c r="M40">
        <v>91.399000000000001</v>
      </c>
      <c r="N40">
        <v>64.263999999999996</v>
      </c>
      <c r="O40">
        <v>210.828</v>
      </c>
      <c r="P40">
        <v>79.441999999999993</v>
      </c>
      <c r="Q40">
        <v>104.178</v>
      </c>
      <c r="R40">
        <v>69.537999999999997</v>
      </c>
      <c r="S40">
        <v>88.650999999999996</v>
      </c>
      <c r="T40">
        <v>64.379000000000005</v>
      </c>
      <c r="U40">
        <v>186.51599999999999</v>
      </c>
      <c r="V40">
        <v>520.25400000000002</v>
      </c>
      <c r="W40">
        <v>231.54300000000001</v>
      </c>
      <c r="X40">
        <v>395.00299999999999</v>
      </c>
      <c r="Y40">
        <v>413.822</v>
      </c>
      <c r="Z40">
        <v>59.061</v>
      </c>
      <c r="AA40">
        <v>24.507000000000001</v>
      </c>
      <c r="AB40">
        <v>85.941000000000003</v>
      </c>
      <c r="AC40">
        <v>240.809</v>
      </c>
      <c r="AD40">
        <v>61.616999999999997</v>
      </c>
      <c r="AE40">
        <v>563.69799999999998</v>
      </c>
      <c r="AF40">
        <v>2560.6880000000001</v>
      </c>
      <c r="AG40">
        <v>87.801000000000002</v>
      </c>
      <c r="AH40">
        <v>100.84099999999999</v>
      </c>
      <c r="AI40">
        <v>32.070999999999998</v>
      </c>
      <c r="AJ40">
        <v>347.04199999999997</v>
      </c>
      <c r="AK40">
        <v>183.82400000000001</v>
      </c>
      <c r="AL40">
        <v>990.69200000000001</v>
      </c>
      <c r="AM40">
        <v>614.71600000000001</v>
      </c>
      <c r="AN40">
        <v>7624.9709999999995</v>
      </c>
      <c r="AO40">
        <v>797.26900000000001</v>
      </c>
      <c r="AP40">
        <v>1630.9090000000001</v>
      </c>
      <c r="AQ40">
        <v>855.68799999999999</v>
      </c>
      <c r="AR40">
        <v>1944.9169999999999</v>
      </c>
      <c r="AS40">
        <v>609.94000000000005</v>
      </c>
      <c r="AT40">
        <v>1334.9079999999999</v>
      </c>
      <c r="AU40">
        <v>610.096</v>
      </c>
      <c r="AV40">
        <v>788.23800000000006</v>
      </c>
      <c r="AW40">
        <v>327.57600000000002</v>
      </c>
      <c r="AX40">
        <v>699.90499999999997</v>
      </c>
      <c r="AY40">
        <v>0</v>
      </c>
      <c r="AZ40">
        <v>20340.571</v>
      </c>
      <c r="BA40">
        <v>4.8</v>
      </c>
      <c r="BB40">
        <v>0.28199999999999997</v>
      </c>
      <c r="BC40">
        <v>32.015999999999998</v>
      </c>
      <c r="BD40">
        <v>3.15</v>
      </c>
      <c r="BE40">
        <v>0</v>
      </c>
      <c r="BF40">
        <v>153.303</v>
      </c>
      <c r="BG40">
        <v>930.92100000000005</v>
      </c>
      <c r="BH40">
        <v>0</v>
      </c>
      <c r="BI40">
        <v>47660.142999999996</v>
      </c>
    </row>
    <row r="41" spans="1:61">
      <c r="A41" t="s">
        <v>475</v>
      </c>
      <c r="B41">
        <v>18.948</v>
      </c>
      <c r="C41">
        <v>2.9750000000000001</v>
      </c>
      <c r="D41">
        <v>9.11</v>
      </c>
      <c r="E41">
        <v>0.72499999999999998</v>
      </c>
      <c r="F41">
        <v>0.45300000000000001</v>
      </c>
      <c r="G41">
        <v>0.20200000000000001</v>
      </c>
      <c r="H41">
        <v>9.69</v>
      </c>
      <c r="I41">
        <v>3.7999999999999999E-2</v>
      </c>
      <c r="J41">
        <v>338.84699999999998</v>
      </c>
      <c r="K41">
        <v>136.47</v>
      </c>
      <c r="L41">
        <v>17.454999999999998</v>
      </c>
      <c r="M41">
        <v>103.959</v>
      </c>
      <c r="N41">
        <v>76.971999999999994</v>
      </c>
      <c r="O41">
        <v>379.00900000000001</v>
      </c>
      <c r="P41">
        <v>110.815</v>
      </c>
      <c r="Q41">
        <v>110.124</v>
      </c>
      <c r="R41">
        <v>85.799000000000007</v>
      </c>
      <c r="S41">
        <v>132.36199999999999</v>
      </c>
      <c r="T41">
        <v>67.027000000000001</v>
      </c>
      <c r="U41">
        <v>189.053</v>
      </c>
      <c r="V41">
        <v>682.89700000000005</v>
      </c>
      <c r="W41">
        <v>308.01600000000002</v>
      </c>
      <c r="X41">
        <v>323.10300000000001</v>
      </c>
      <c r="Y41">
        <v>262.81099999999998</v>
      </c>
      <c r="Z41">
        <v>80.448999999999998</v>
      </c>
      <c r="AA41">
        <v>32.134999999999998</v>
      </c>
      <c r="AB41">
        <v>78.771000000000001</v>
      </c>
      <c r="AC41">
        <v>422.20299999999997</v>
      </c>
      <c r="AD41">
        <v>81.489999999999995</v>
      </c>
      <c r="AE41">
        <v>479.14</v>
      </c>
      <c r="AF41">
        <v>1955.818</v>
      </c>
      <c r="AG41">
        <v>52.41</v>
      </c>
      <c r="AH41">
        <v>106.29300000000001</v>
      </c>
      <c r="AI41">
        <v>44.93</v>
      </c>
      <c r="AJ41">
        <v>341.64400000000001</v>
      </c>
      <c r="AK41">
        <v>152.55600000000001</v>
      </c>
      <c r="AL41">
        <v>450.82299999999998</v>
      </c>
      <c r="AM41">
        <v>582.12400000000002</v>
      </c>
      <c r="AN41">
        <v>1103.7760000000001</v>
      </c>
      <c r="AO41">
        <v>4724.3109999999997</v>
      </c>
      <c r="AP41">
        <v>2119.2159999999999</v>
      </c>
      <c r="AQ41">
        <v>401.96600000000001</v>
      </c>
      <c r="AR41">
        <v>2750.335</v>
      </c>
      <c r="AS41">
        <v>590.26599999999996</v>
      </c>
      <c r="AT41">
        <v>992.86900000000003</v>
      </c>
      <c r="AU41">
        <v>644.48599999999999</v>
      </c>
      <c r="AV41">
        <v>515.54499999999996</v>
      </c>
      <c r="AW41">
        <v>231.935</v>
      </c>
      <c r="AX41">
        <v>343.15699999999998</v>
      </c>
      <c r="AY41">
        <v>0</v>
      </c>
      <c r="AZ41">
        <v>427.42099999999999</v>
      </c>
      <c r="BA41">
        <v>9.5210000000000008</v>
      </c>
      <c r="BB41">
        <v>124.709</v>
      </c>
      <c r="BC41">
        <v>18745.485000000001</v>
      </c>
      <c r="BD41">
        <v>0.02</v>
      </c>
      <c r="BE41">
        <v>0</v>
      </c>
      <c r="BF41">
        <v>1.518</v>
      </c>
      <c r="BG41">
        <v>12232.379000000001</v>
      </c>
      <c r="BH41">
        <v>0</v>
      </c>
      <c r="BI41">
        <v>54186.557000000001</v>
      </c>
    </row>
    <row r="42" spans="1:61">
      <c r="A42" t="s">
        <v>474</v>
      </c>
      <c r="B42">
        <v>603.976</v>
      </c>
      <c r="C42">
        <v>39.857999999999997</v>
      </c>
      <c r="D42">
        <v>150.792</v>
      </c>
      <c r="E42">
        <v>3.98</v>
      </c>
      <c r="F42">
        <v>4.1130000000000004</v>
      </c>
      <c r="G42">
        <v>2.2709999999999999</v>
      </c>
      <c r="H42">
        <v>50.622</v>
      </c>
      <c r="I42">
        <v>0.496</v>
      </c>
      <c r="J42">
        <v>2059.6590000000001</v>
      </c>
      <c r="K42">
        <v>762.39300000000003</v>
      </c>
      <c r="L42">
        <v>111.544</v>
      </c>
      <c r="M42">
        <v>546.21900000000005</v>
      </c>
      <c r="N42">
        <v>810.07899999999995</v>
      </c>
      <c r="O42">
        <v>2003.7619999999999</v>
      </c>
      <c r="P42">
        <v>314.84100000000001</v>
      </c>
      <c r="Q42">
        <v>723.71199999999999</v>
      </c>
      <c r="R42">
        <v>512.745</v>
      </c>
      <c r="S42">
        <v>889.41499999999996</v>
      </c>
      <c r="T42">
        <v>564.85299999999995</v>
      </c>
      <c r="U42">
        <v>956.12800000000004</v>
      </c>
      <c r="V42">
        <v>1971.586</v>
      </c>
      <c r="W42">
        <v>1271.97</v>
      </c>
      <c r="X42">
        <v>1448.4280000000001</v>
      </c>
      <c r="Y42">
        <v>1332.037</v>
      </c>
      <c r="Z42">
        <v>358.53500000000003</v>
      </c>
      <c r="AA42">
        <v>124.828</v>
      </c>
      <c r="AB42">
        <v>366.66399999999999</v>
      </c>
      <c r="AC42">
        <v>1921.2840000000001</v>
      </c>
      <c r="AD42">
        <v>328.17</v>
      </c>
      <c r="AE42">
        <v>2473.857</v>
      </c>
      <c r="AF42">
        <v>7822.1639999999998</v>
      </c>
      <c r="AG42">
        <v>374.19</v>
      </c>
      <c r="AH42">
        <v>548.35900000000004</v>
      </c>
      <c r="AI42">
        <v>228.41200000000001</v>
      </c>
      <c r="AJ42">
        <v>1088.4390000000001</v>
      </c>
      <c r="AK42">
        <v>236.83199999999999</v>
      </c>
      <c r="AL42">
        <v>1974.9970000000001</v>
      </c>
      <c r="AM42">
        <v>502.19400000000002</v>
      </c>
      <c r="AN42">
        <v>906.49300000000005</v>
      </c>
      <c r="AO42">
        <v>679.28700000000003</v>
      </c>
      <c r="AP42">
        <v>28199.837</v>
      </c>
      <c r="AQ42">
        <v>21695.446</v>
      </c>
      <c r="AR42">
        <v>4892.2790000000005</v>
      </c>
      <c r="AS42">
        <v>1441.702</v>
      </c>
      <c r="AT42">
        <v>1928.674</v>
      </c>
      <c r="AU42">
        <v>1004.046</v>
      </c>
      <c r="AV42">
        <v>951.19200000000001</v>
      </c>
      <c r="AW42">
        <v>656.16600000000005</v>
      </c>
      <c r="AX42">
        <v>1070.2080000000001</v>
      </c>
      <c r="AY42">
        <v>0</v>
      </c>
      <c r="AZ42">
        <v>64732.707000000002</v>
      </c>
      <c r="BA42">
        <v>189.02</v>
      </c>
      <c r="BB42">
        <v>5.5E-2</v>
      </c>
      <c r="BC42">
        <v>79.570999999999998</v>
      </c>
      <c r="BD42">
        <v>29.027000000000001</v>
      </c>
      <c r="BE42">
        <v>0</v>
      </c>
      <c r="BF42">
        <v>132.36099999999999</v>
      </c>
      <c r="BG42">
        <v>6583.8469999999998</v>
      </c>
      <c r="BH42">
        <v>0</v>
      </c>
      <c r="BI42">
        <v>170656.31899999999</v>
      </c>
    </row>
    <row r="43" spans="1:61">
      <c r="A43" t="s">
        <v>473</v>
      </c>
      <c r="B43">
        <v>32.926000000000002</v>
      </c>
      <c r="C43">
        <v>7.1449999999999996</v>
      </c>
      <c r="D43">
        <v>12.816000000000001</v>
      </c>
      <c r="E43">
        <v>0.78800000000000003</v>
      </c>
      <c r="F43">
        <v>0.60799999999999998</v>
      </c>
      <c r="G43">
        <v>0.314</v>
      </c>
      <c r="H43">
        <v>13.18</v>
      </c>
      <c r="I43">
        <v>0.06</v>
      </c>
      <c r="J43">
        <v>437.35399999999998</v>
      </c>
      <c r="K43">
        <v>276.77699999999999</v>
      </c>
      <c r="L43">
        <v>27.172999999999998</v>
      </c>
      <c r="M43">
        <v>121.718</v>
      </c>
      <c r="N43">
        <v>88.728999999999999</v>
      </c>
      <c r="O43">
        <v>315.36900000000003</v>
      </c>
      <c r="P43">
        <v>69.373000000000005</v>
      </c>
      <c r="Q43">
        <v>160.53800000000001</v>
      </c>
      <c r="R43">
        <v>101.717</v>
      </c>
      <c r="S43">
        <v>152.56800000000001</v>
      </c>
      <c r="T43">
        <v>93.114000000000004</v>
      </c>
      <c r="U43">
        <v>316.29000000000002</v>
      </c>
      <c r="V43">
        <v>521.84900000000005</v>
      </c>
      <c r="W43">
        <v>277.39600000000002</v>
      </c>
      <c r="X43">
        <v>329.08199999999999</v>
      </c>
      <c r="Y43">
        <v>377.49099999999999</v>
      </c>
      <c r="Z43">
        <v>150.434</v>
      </c>
      <c r="AA43">
        <v>28.812999999999999</v>
      </c>
      <c r="AB43">
        <v>133.37</v>
      </c>
      <c r="AC43">
        <v>251.345</v>
      </c>
      <c r="AD43">
        <v>76.244</v>
      </c>
      <c r="AE43">
        <v>881.55899999999997</v>
      </c>
      <c r="AF43">
        <v>7753.1779999999999</v>
      </c>
      <c r="AG43">
        <v>103.176</v>
      </c>
      <c r="AH43">
        <v>134.61600000000001</v>
      </c>
      <c r="AI43">
        <v>46.865000000000002</v>
      </c>
      <c r="AJ43">
        <v>764.61599999999999</v>
      </c>
      <c r="AK43">
        <v>151.53899999999999</v>
      </c>
      <c r="AL43">
        <v>3778.5219999999999</v>
      </c>
      <c r="AM43">
        <v>417.61799999999999</v>
      </c>
      <c r="AN43">
        <v>617.75</v>
      </c>
      <c r="AO43">
        <v>592.64700000000005</v>
      </c>
      <c r="AP43">
        <v>1373.7339999999999</v>
      </c>
      <c r="AQ43">
        <v>2836.1860000000001</v>
      </c>
      <c r="AR43">
        <v>2451.2950000000001</v>
      </c>
      <c r="AS43">
        <v>668.15300000000002</v>
      </c>
      <c r="AT43">
        <v>799.58299999999997</v>
      </c>
      <c r="AU43">
        <v>969.72699999999998</v>
      </c>
      <c r="AV43">
        <v>1040.386</v>
      </c>
      <c r="AW43">
        <v>560.94399999999996</v>
      </c>
      <c r="AX43">
        <v>881.34</v>
      </c>
      <c r="AY43">
        <v>0</v>
      </c>
      <c r="AZ43">
        <v>149094.258</v>
      </c>
      <c r="BA43">
        <v>387.55599999999998</v>
      </c>
      <c r="BB43">
        <v>102.021</v>
      </c>
      <c r="BC43">
        <v>19848.027999999998</v>
      </c>
      <c r="BD43">
        <v>0.21</v>
      </c>
      <c r="BE43">
        <v>0</v>
      </c>
      <c r="BF43">
        <v>324.79700000000003</v>
      </c>
      <c r="BG43">
        <v>340.45100000000002</v>
      </c>
      <c r="BH43">
        <v>0</v>
      </c>
      <c r="BI43">
        <v>201295.33499999999</v>
      </c>
    </row>
    <row r="44" spans="1:61">
      <c r="A44" t="s">
        <v>472</v>
      </c>
      <c r="B44">
        <v>404.49900000000002</v>
      </c>
      <c r="C44">
        <v>18.751999999999999</v>
      </c>
      <c r="D44">
        <v>76.123000000000005</v>
      </c>
      <c r="E44">
        <v>6.7770000000000001</v>
      </c>
      <c r="F44">
        <v>5.2119999999999997</v>
      </c>
      <c r="G44">
        <v>2.5979999999999999</v>
      </c>
      <c r="H44">
        <v>93.097999999999999</v>
      </c>
      <c r="I44">
        <v>1.4119999999999999</v>
      </c>
      <c r="J44">
        <v>2494.1990000000001</v>
      </c>
      <c r="K44">
        <v>919.34100000000001</v>
      </c>
      <c r="L44">
        <v>97.81</v>
      </c>
      <c r="M44">
        <v>526.00300000000004</v>
      </c>
      <c r="N44">
        <v>718.23099999999999</v>
      </c>
      <c r="O44">
        <v>2640.87</v>
      </c>
      <c r="P44">
        <v>603.10599999999999</v>
      </c>
      <c r="Q44">
        <v>1055.954</v>
      </c>
      <c r="R44">
        <v>675.66</v>
      </c>
      <c r="S44">
        <v>1071.4000000000001</v>
      </c>
      <c r="T44">
        <v>463.93700000000001</v>
      </c>
      <c r="U44">
        <v>1459.6990000000001</v>
      </c>
      <c r="V44">
        <v>5247.6880000000001</v>
      </c>
      <c r="W44">
        <v>1652.232</v>
      </c>
      <c r="X44">
        <v>2134.3000000000002</v>
      </c>
      <c r="Y44">
        <v>3586.8270000000002</v>
      </c>
      <c r="Z44">
        <v>794.851</v>
      </c>
      <c r="AA44">
        <v>266.83</v>
      </c>
      <c r="AB44">
        <v>441.459</v>
      </c>
      <c r="AC44">
        <v>2420.576</v>
      </c>
      <c r="AD44">
        <v>452.77</v>
      </c>
      <c r="AE44">
        <v>9200.11</v>
      </c>
      <c r="AF44">
        <v>10013.620000000001</v>
      </c>
      <c r="AG44">
        <v>240.88300000000001</v>
      </c>
      <c r="AH44">
        <v>437.55900000000003</v>
      </c>
      <c r="AI44">
        <v>140.614</v>
      </c>
      <c r="AJ44">
        <v>1585.6869999999999</v>
      </c>
      <c r="AK44">
        <v>186.05199999999999</v>
      </c>
      <c r="AL44">
        <v>3120.9180000000001</v>
      </c>
      <c r="AM44">
        <v>1437.8489999999999</v>
      </c>
      <c r="AN44">
        <v>1985.856</v>
      </c>
      <c r="AO44">
        <v>1859.3979999999999</v>
      </c>
      <c r="AP44">
        <v>5135.3720000000003</v>
      </c>
      <c r="AQ44">
        <v>4625.6819999999998</v>
      </c>
      <c r="AR44">
        <v>26398.686000000002</v>
      </c>
      <c r="AS44">
        <v>2172.85</v>
      </c>
      <c r="AT44">
        <v>4096.0140000000001</v>
      </c>
      <c r="AU44">
        <v>2016.2719999999999</v>
      </c>
      <c r="AV44">
        <v>2197.4780000000001</v>
      </c>
      <c r="AW44">
        <v>1049.4159999999999</v>
      </c>
      <c r="AX44">
        <v>1699.8150000000001</v>
      </c>
      <c r="AY44">
        <v>0</v>
      </c>
      <c r="AZ44">
        <v>4589.2730000000001</v>
      </c>
      <c r="BA44">
        <v>286.97199999999998</v>
      </c>
      <c r="BB44">
        <v>1421.9960000000001</v>
      </c>
      <c r="BC44">
        <v>60331.680999999997</v>
      </c>
      <c r="BD44">
        <v>31.541</v>
      </c>
      <c r="BE44">
        <v>0</v>
      </c>
      <c r="BF44">
        <v>66.522000000000006</v>
      </c>
      <c r="BG44">
        <v>25574.991999999998</v>
      </c>
      <c r="BH44">
        <v>0</v>
      </c>
      <c r="BI44">
        <v>202235.32199999999</v>
      </c>
    </row>
    <row r="45" spans="1:61">
      <c r="A45" t="s">
        <v>471</v>
      </c>
      <c r="B45">
        <v>216.49199999999999</v>
      </c>
      <c r="C45">
        <v>25.39</v>
      </c>
      <c r="D45">
        <v>59.429000000000002</v>
      </c>
      <c r="E45">
        <v>4.0720000000000001</v>
      </c>
      <c r="F45">
        <v>4.0620000000000003</v>
      </c>
      <c r="G45">
        <v>2.1970000000000001</v>
      </c>
      <c r="H45">
        <v>75.564999999999998</v>
      </c>
      <c r="I45">
        <v>0.51500000000000001</v>
      </c>
      <c r="J45">
        <v>1435.047</v>
      </c>
      <c r="K45">
        <v>469.59</v>
      </c>
      <c r="L45">
        <v>76.616</v>
      </c>
      <c r="M45">
        <v>378.15</v>
      </c>
      <c r="N45">
        <v>316.69600000000003</v>
      </c>
      <c r="O45">
        <v>1263.396</v>
      </c>
      <c r="P45">
        <v>329.00200000000001</v>
      </c>
      <c r="Q45">
        <v>574.49300000000005</v>
      </c>
      <c r="R45">
        <v>415.803</v>
      </c>
      <c r="S45">
        <v>475.65300000000002</v>
      </c>
      <c r="T45">
        <v>253.83099999999999</v>
      </c>
      <c r="U45">
        <v>785.90599999999995</v>
      </c>
      <c r="V45">
        <v>1644.0809999999999</v>
      </c>
      <c r="W45">
        <v>962.952</v>
      </c>
      <c r="X45">
        <v>1354.2719999999999</v>
      </c>
      <c r="Y45">
        <v>1557.8820000000001</v>
      </c>
      <c r="Z45">
        <v>385.89499999999998</v>
      </c>
      <c r="AA45">
        <v>140.363</v>
      </c>
      <c r="AB45">
        <v>292.637</v>
      </c>
      <c r="AC45">
        <v>1260.7239999999999</v>
      </c>
      <c r="AD45">
        <v>464.99400000000003</v>
      </c>
      <c r="AE45">
        <v>2730.7959999999998</v>
      </c>
      <c r="AF45">
        <v>6392.39</v>
      </c>
      <c r="AG45">
        <v>310.77</v>
      </c>
      <c r="AH45">
        <v>743.34799999999996</v>
      </c>
      <c r="AI45">
        <v>283.48599999999999</v>
      </c>
      <c r="AJ45">
        <v>1789.5060000000001</v>
      </c>
      <c r="AK45">
        <v>401.73</v>
      </c>
      <c r="AL45">
        <v>2473.5439999999999</v>
      </c>
      <c r="AM45">
        <v>1051.721</v>
      </c>
      <c r="AN45">
        <v>1537.461</v>
      </c>
      <c r="AO45">
        <v>1467.6590000000001</v>
      </c>
      <c r="AP45">
        <v>2802.2040000000002</v>
      </c>
      <c r="AQ45">
        <v>2867.0619999999999</v>
      </c>
      <c r="AR45">
        <v>5988.5959999999995</v>
      </c>
      <c r="AS45">
        <v>3234.873</v>
      </c>
      <c r="AT45">
        <v>2523.663</v>
      </c>
      <c r="AU45">
        <v>2393.4859999999999</v>
      </c>
      <c r="AV45">
        <v>1860.556</v>
      </c>
      <c r="AW45">
        <v>1092.537</v>
      </c>
      <c r="AX45">
        <v>1148.713</v>
      </c>
      <c r="AY45">
        <v>0</v>
      </c>
      <c r="AZ45">
        <v>8175.2690000000002</v>
      </c>
      <c r="BA45">
        <v>51.366</v>
      </c>
      <c r="BB45">
        <v>33.823</v>
      </c>
      <c r="BC45">
        <v>95.825000000000003</v>
      </c>
      <c r="BD45">
        <v>24.359000000000002</v>
      </c>
      <c r="BE45">
        <v>0</v>
      </c>
      <c r="BF45">
        <v>96.757999999999996</v>
      </c>
      <c r="BG45">
        <v>15583.723</v>
      </c>
      <c r="BH45">
        <v>0</v>
      </c>
      <c r="BI45">
        <v>82380.926999999996</v>
      </c>
    </row>
    <row r="46" spans="1:61">
      <c r="A46" t="s">
        <v>470</v>
      </c>
      <c r="B46">
        <v>18.538</v>
      </c>
      <c r="C46">
        <v>1.5980000000000001</v>
      </c>
      <c r="D46">
        <v>3.7010000000000001</v>
      </c>
      <c r="E46">
        <v>0.161</v>
      </c>
      <c r="F46">
        <v>4.5999999999999999E-2</v>
      </c>
      <c r="G46">
        <v>6.5000000000000002E-2</v>
      </c>
      <c r="H46">
        <v>1.7390000000000001</v>
      </c>
      <c r="I46">
        <v>1.2999999999999999E-2</v>
      </c>
      <c r="J46">
        <v>78.153999999999996</v>
      </c>
      <c r="K46">
        <v>28.422000000000001</v>
      </c>
      <c r="L46">
        <v>6.04</v>
      </c>
      <c r="M46">
        <v>26.007000000000001</v>
      </c>
      <c r="N46">
        <v>12.69</v>
      </c>
      <c r="O46">
        <v>61.496000000000002</v>
      </c>
      <c r="P46">
        <v>16.324000000000002</v>
      </c>
      <c r="Q46">
        <v>24.164999999999999</v>
      </c>
      <c r="R46">
        <v>14.792999999999999</v>
      </c>
      <c r="S46">
        <v>77.521000000000001</v>
      </c>
      <c r="T46">
        <v>43.941000000000003</v>
      </c>
      <c r="U46">
        <v>49.365000000000002</v>
      </c>
      <c r="V46">
        <v>45.069000000000003</v>
      </c>
      <c r="W46">
        <v>41.28</v>
      </c>
      <c r="X46">
        <v>51.433</v>
      </c>
      <c r="Y46">
        <v>70.028000000000006</v>
      </c>
      <c r="Z46">
        <v>15.891999999999999</v>
      </c>
      <c r="AA46">
        <v>5.5069999999999997</v>
      </c>
      <c r="AB46">
        <v>13.029</v>
      </c>
      <c r="AC46">
        <v>83.24</v>
      </c>
      <c r="AD46">
        <v>71.355000000000004</v>
      </c>
      <c r="AE46">
        <v>153.21700000000001</v>
      </c>
      <c r="AF46">
        <v>288.85399999999998</v>
      </c>
      <c r="AG46">
        <v>23.42</v>
      </c>
      <c r="AH46">
        <v>16.286000000000001</v>
      </c>
      <c r="AI46">
        <v>4.4569999999999999</v>
      </c>
      <c r="AJ46">
        <v>43.503999999999998</v>
      </c>
      <c r="AK46">
        <v>10.932</v>
      </c>
      <c r="AL46">
        <v>121.673</v>
      </c>
      <c r="AM46">
        <v>24.675000000000001</v>
      </c>
      <c r="AN46">
        <v>48.682000000000002</v>
      </c>
      <c r="AO46">
        <v>31.446000000000002</v>
      </c>
      <c r="AP46">
        <v>142.88</v>
      </c>
      <c r="AQ46">
        <v>123.18600000000001</v>
      </c>
      <c r="AR46">
        <v>190.89699999999999</v>
      </c>
      <c r="AS46">
        <v>45.526000000000003</v>
      </c>
      <c r="AT46">
        <v>265.51400000000001</v>
      </c>
      <c r="AU46">
        <v>78.515000000000001</v>
      </c>
      <c r="AV46">
        <v>89.733000000000004</v>
      </c>
      <c r="AW46">
        <v>43.697000000000003</v>
      </c>
      <c r="AX46">
        <v>77.361000000000004</v>
      </c>
      <c r="AY46">
        <v>0</v>
      </c>
      <c r="AZ46">
        <v>3445.1060000000002</v>
      </c>
      <c r="BA46">
        <v>155.09200000000001</v>
      </c>
      <c r="BB46">
        <v>151756.76800000001</v>
      </c>
      <c r="BC46">
        <v>45.929000000000002</v>
      </c>
      <c r="BD46">
        <v>0.02</v>
      </c>
      <c r="BE46">
        <v>0</v>
      </c>
      <c r="BF46">
        <v>4.3330000000000002</v>
      </c>
      <c r="BG46">
        <v>43.546999999999997</v>
      </c>
      <c r="BH46">
        <v>0</v>
      </c>
      <c r="BI46">
        <v>158136.86300000001</v>
      </c>
    </row>
    <row r="47" spans="1:61">
      <c r="A47" t="s">
        <v>469</v>
      </c>
      <c r="B47">
        <v>12.31</v>
      </c>
      <c r="C47">
        <v>3.137</v>
      </c>
      <c r="D47">
        <v>4.0919999999999996</v>
      </c>
      <c r="E47">
        <v>0.154</v>
      </c>
      <c r="F47">
        <v>0.13100000000000001</v>
      </c>
      <c r="G47">
        <v>0.21299999999999999</v>
      </c>
      <c r="H47">
        <v>3.0979999999999999</v>
      </c>
      <c r="I47">
        <v>1.7000000000000001E-2</v>
      </c>
      <c r="J47">
        <v>85.772000000000006</v>
      </c>
      <c r="K47">
        <v>47.718000000000004</v>
      </c>
      <c r="L47">
        <v>6.3289999999999997</v>
      </c>
      <c r="M47">
        <v>20.736999999999998</v>
      </c>
      <c r="N47">
        <v>26.741</v>
      </c>
      <c r="O47">
        <v>115.178</v>
      </c>
      <c r="P47">
        <v>21.657</v>
      </c>
      <c r="Q47">
        <v>51.965000000000003</v>
      </c>
      <c r="R47">
        <v>25.164999999999999</v>
      </c>
      <c r="S47">
        <v>47.987000000000002</v>
      </c>
      <c r="T47">
        <v>25.106000000000002</v>
      </c>
      <c r="U47">
        <v>67.775000000000006</v>
      </c>
      <c r="V47">
        <v>125.45399999999999</v>
      </c>
      <c r="W47">
        <v>81.688000000000002</v>
      </c>
      <c r="X47">
        <v>94.289000000000001</v>
      </c>
      <c r="Y47">
        <v>65.313999999999993</v>
      </c>
      <c r="Z47">
        <v>21.446000000000002</v>
      </c>
      <c r="AA47">
        <v>9.1720000000000006</v>
      </c>
      <c r="AB47">
        <v>19.634</v>
      </c>
      <c r="AC47">
        <v>79.427999999999997</v>
      </c>
      <c r="AD47">
        <v>25.673999999999999</v>
      </c>
      <c r="AE47">
        <v>177.69499999999999</v>
      </c>
      <c r="AF47">
        <v>492.66199999999998</v>
      </c>
      <c r="AG47">
        <v>35.259</v>
      </c>
      <c r="AH47">
        <v>57.395000000000003</v>
      </c>
      <c r="AI47">
        <v>37.932000000000002</v>
      </c>
      <c r="AJ47">
        <v>100.869</v>
      </c>
      <c r="AK47">
        <v>22.282</v>
      </c>
      <c r="AL47">
        <v>300.21100000000001</v>
      </c>
      <c r="AM47">
        <v>90.725999999999999</v>
      </c>
      <c r="AN47">
        <v>79.430000000000007</v>
      </c>
      <c r="AO47">
        <v>118.824</v>
      </c>
      <c r="AP47">
        <v>306.62</v>
      </c>
      <c r="AQ47">
        <v>95.634</v>
      </c>
      <c r="AR47">
        <v>615.77700000000004</v>
      </c>
      <c r="AS47">
        <v>152.47900000000001</v>
      </c>
      <c r="AT47">
        <v>375.428</v>
      </c>
      <c r="AU47">
        <v>726.13300000000004</v>
      </c>
      <c r="AV47">
        <v>414.82600000000002</v>
      </c>
      <c r="AW47">
        <v>146.93799999999999</v>
      </c>
      <c r="AX47">
        <v>167.12700000000001</v>
      </c>
      <c r="AY47">
        <v>0</v>
      </c>
      <c r="AZ47">
        <v>42845.008999999998</v>
      </c>
      <c r="BA47">
        <v>4253.9690000000001</v>
      </c>
      <c r="BB47">
        <v>62968.648999999998</v>
      </c>
      <c r="BC47">
        <v>8.9730000000000008</v>
      </c>
      <c r="BD47">
        <v>0.01</v>
      </c>
      <c r="BE47">
        <v>0</v>
      </c>
      <c r="BF47">
        <v>191.393</v>
      </c>
      <c r="BG47">
        <v>10.635999999999999</v>
      </c>
      <c r="BH47">
        <v>0</v>
      </c>
      <c r="BI47">
        <v>115880.268</v>
      </c>
    </row>
    <row r="48" spans="1:61">
      <c r="A48" t="s">
        <v>468</v>
      </c>
      <c r="B48">
        <v>4.1669999999999998</v>
      </c>
      <c r="C48">
        <v>0.83299999999999996</v>
      </c>
      <c r="D48">
        <v>2.282</v>
      </c>
      <c r="E48">
        <v>0.13100000000000001</v>
      </c>
      <c r="F48">
        <v>2.5999999999999999E-2</v>
      </c>
      <c r="G48">
        <v>3.1E-2</v>
      </c>
      <c r="H48">
        <v>0.32900000000000001</v>
      </c>
      <c r="I48">
        <v>3.0000000000000001E-3</v>
      </c>
      <c r="J48">
        <v>28.585000000000001</v>
      </c>
      <c r="K48">
        <v>9.6910000000000007</v>
      </c>
      <c r="L48">
        <v>1.0980000000000001</v>
      </c>
      <c r="M48">
        <v>6.0709999999999997</v>
      </c>
      <c r="N48">
        <v>4.6890000000000001</v>
      </c>
      <c r="O48">
        <v>23.428000000000001</v>
      </c>
      <c r="P48">
        <v>7.1269999999999998</v>
      </c>
      <c r="Q48">
        <v>14.042</v>
      </c>
      <c r="R48">
        <v>11.058</v>
      </c>
      <c r="S48">
        <v>7.5060000000000002</v>
      </c>
      <c r="T48">
        <v>5.6349999999999998</v>
      </c>
      <c r="U48">
        <v>23.286000000000001</v>
      </c>
      <c r="V48">
        <v>33.326999999999998</v>
      </c>
      <c r="W48">
        <v>18.867000000000001</v>
      </c>
      <c r="X48">
        <v>19.332000000000001</v>
      </c>
      <c r="Y48">
        <v>21.041</v>
      </c>
      <c r="Z48">
        <v>7.9</v>
      </c>
      <c r="AA48">
        <v>1.601</v>
      </c>
      <c r="AB48">
        <v>5.74</v>
      </c>
      <c r="AC48">
        <v>14.311999999999999</v>
      </c>
      <c r="AD48">
        <v>6.2359999999999998</v>
      </c>
      <c r="AE48">
        <v>36.829000000000001</v>
      </c>
      <c r="AF48">
        <v>105.518</v>
      </c>
      <c r="AG48">
        <v>6.9020000000000001</v>
      </c>
      <c r="AH48">
        <v>4.7169999999999996</v>
      </c>
      <c r="AI48">
        <v>3.157</v>
      </c>
      <c r="AJ48">
        <v>13.045</v>
      </c>
      <c r="AK48">
        <v>5.3550000000000004</v>
      </c>
      <c r="AL48">
        <v>60.271000000000001</v>
      </c>
      <c r="AM48">
        <v>14.587999999999999</v>
      </c>
      <c r="AN48">
        <v>9.86</v>
      </c>
      <c r="AO48">
        <v>15.757</v>
      </c>
      <c r="AP48">
        <v>58.430999999999997</v>
      </c>
      <c r="AQ48">
        <v>14.131</v>
      </c>
      <c r="AR48">
        <v>93.381</v>
      </c>
      <c r="AS48">
        <v>21.931999999999999</v>
      </c>
      <c r="AT48">
        <v>225.60900000000001</v>
      </c>
      <c r="AU48">
        <v>92.379000000000005</v>
      </c>
      <c r="AV48">
        <v>3033.7179999999998</v>
      </c>
      <c r="AW48">
        <v>24.567</v>
      </c>
      <c r="AX48">
        <v>48.671999999999997</v>
      </c>
      <c r="AY48">
        <v>0</v>
      </c>
      <c r="AZ48">
        <v>44754.343000000001</v>
      </c>
      <c r="BA48">
        <v>7165.3310000000001</v>
      </c>
      <c r="BB48">
        <v>88471.688999999998</v>
      </c>
      <c r="BC48">
        <v>3.42</v>
      </c>
      <c r="BD48">
        <v>0</v>
      </c>
      <c r="BE48">
        <v>0</v>
      </c>
      <c r="BF48">
        <v>107.462</v>
      </c>
      <c r="BG48">
        <v>6.4210000000000003</v>
      </c>
      <c r="BH48">
        <v>0</v>
      </c>
      <c r="BI48">
        <v>144675.85699999999</v>
      </c>
    </row>
    <row r="49" spans="1:61">
      <c r="A49" t="s">
        <v>467</v>
      </c>
      <c r="B49">
        <v>5.8689999999999998</v>
      </c>
      <c r="C49">
        <v>1.5780000000000001</v>
      </c>
      <c r="D49">
        <v>2.8159999999999998</v>
      </c>
      <c r="E49">
        <v>0.09</v>
      </c>
      <c r="F49">
        <v>0.04</v>
      </c>
      <c r="G49">
        <v>5.2999999999999999E-2</v>
      </c>
      <c r="H49">
        <v>1.79</v>
      </c>
      <c r="I49">
        <v>2E-3</v>
      </c>
      <c r="J49">
        <v>63.116999999999997</v>
      </c>
      <c r="K49">
        <v>21.63</v>
      </c>
      <c r="L49">
        <v>2.3029999999999999</v>
      </c>
      <c r="M49">
        <v>15.512</v>
      </c>
      <c r="N49">
        <v>7.8789999999999996</v>
      </c>
      <c r="O49">
        <v>44.896000000000001</v>
      </c>
      <c r="P49">
        <v>5.6280000000000001</v>
      </c>
      <c r="Q49">
        <v>19.356000000000002</v>
      </c>
      <c r="R49">
        <v>14.696999999999999</v>
      </c>
      <c r="S49">
        <v>11.842000000000001</v>
      </c>
      <c r="T49">
        <v>8.8689999999999998</v>
      </c>
      <c r="U49">
        <v>28.321999999999999</v>
      </c>
      <c r="V49">
        <v>50.743000000000002</v>
      </c>
      <c r="W49">
        <v>22.542999999999999</v>
      </c>
      <c r="X49">
        <v>40.777999999999999</v>
      </c>
      <c r="Y49">
        <v>55.405000000000001</v>
      </c>
      <c r="Z49">
        <v>22.757000000000001</v>
      </c>
      <c r="AA49">
        <v>3.4710000000000001</v>
      </c>
      <c r="AB49">
        <v>17.378</v>
      </c>
      <c r="AC49">
        <v>31.059000000000001</v>
      </c>
      <c r="AD49">
        <v>14.894</v>
      </c>
      <c r="AE49">
        <v>76.578999999999994</v>
      </c>
      <c r="AF49">
        <v>333.60599999999999</v>
      </c>
      <c r="AG49">
        <v>9.6999999999999993</v>
      </c>
      <c r="AH49">
        <v>20.048999999999999</v>
      </c>
      <c r="AI49">
        <v>5.8090000000000002</v>
      </c>
      <c r="AJ49">
        <v>33.683</v>
      </c>
      <c r="AK49">
        <v>10.106999999999999</v>
      </c>
      <c r="AL49">
        <v>562.84500000000003</v>
      </c>
      <c r="AM49">
        <v>1318.779</v>
      </c>
      <c r="AN49">
        <v>48.646999999999998</v>
      </c>
      <c r="AO49">
        <v>41.639000000000003</v>
      </c>
      <c r="AP49">
        <v>100.64400000000001</v>
      </c>
      <c r="AQ49">
        <v>56.622999999999998</v>
      </c>
      <c r="AR49">
        <v>508.72199999999998</v>
      </c>
      <c r="AS49">
        <v>122.264</v>
      </c>
      <c r="AT49">
        <v>344.27499999999998</v>
      </c>
      <c r="AU49">
        <v>317.71899999999999</v>
      </c>
      <c r="AV49">
        <v>124.30800000000001</v>
      </c>
      <c r="AW49">
        <v>3462.9340000000002</v>
      </c>
      <c r="AX49">
        <v>357.52800000000002</v>
      </c>
      <c r="AY49">
        <v>0</v>
      </c>
      <c r="AZ49">
        <v>17450.373</v>
      </c>
      <c r="BA49">
        <v>3965.424</v>
      </c>
      <c r="BB49">
        <v>5841.9989999999998</v>
      </c>
      <c r="BC49">
        <v>1024.394</v>
      </c>
      <c r="BD49">
        <v>0</v>
      </c>
      <c r="BE49">
        <v>0</v>
      </c>
      <c r="BF49">
        <v>275.20999999999998</v>
      </c>
      <c r="BG49">
        <v>750.16</v>
      </c>
      <c r="BH49">
        <v>0</v>
      </c>
      <c r="BI49">
        <v>37679.339</v>
      </c>
    </row>
    <row r="50" spans="1:61">
      <c r="A50" t="s">
        <v>466</v>
      </c>
      <c r="B50">
        <v>28.942</v>
      </c>
      <c r="C50">
        <v>7.0519999999999996</v>
      </c>
      <c r="D50">
        <v>54.006</v>
      </c>
      <c r="E50">
        <v>0.81100000000000005</v>
      </c>
      <c r="F50">
        <v>0.54600000000000004</v>
      </c>
      <c r="G50">
        <v>0.48499999999999999</v>
      </c>
      <c r="H50">
        <v>15.166</v>
      </c>
      <c r="I50">
        <v>7.5999999999999998E-2</v>
      </c>
      <c r="J50">
        <v>295.61399999999998</v>
      </c>
      <c r="K50">
        <v>183.29599999999999</v>
      </c>
      <c r="L50">
        <v>18.594999999999999</v>
      </c>
      <c r="M50">
        <v>57.851999999999997</v>
      </c>
      <c r="N50">
        <v>43.412999999999997</v>
      </c>
      <c r="O50">
        <v>166.70699999999999</v>
      </c>
      <c r="P50">
        <v>31.233000000000001</v>
      </c>
      <c r="Q50">
        <v>78.2</v>
      </c>
      <c r="R50">
        <v>93.001999999999995</v>
      </c>
      <c r="S50">
        <v>131.09800000000001</v>
      </c>
      <c r="T50">
        <v>42.88</v>
      </c>
      <c r="U50">
        <v>192.06200000000001</v>
      </c>
      <c r="V50">
        <v>381.96499999999997</v>
      </c>
      <c r="W50">
        <v>107.642</v>
      </c>
      <c r="X50">
        <v>122.818</v>
      </c>
      <c r="Y50">
        <v>154.65100000000001</v>
      </c>
      <c r="Z50">
        <v>43.252000000000002</v>
      </c>
      <c r="AA50">
        <v>13.624000000000001</v>
      </c>
      <c r="AB50">
        <v>59.9</v>
      </c>
      <c r="AC50">
        <v>103.307</v>
      </c>
      <c r="AD50">
        <v>124.071</v>
      </c>
      <c r="AE50">
        <v>301.18900000000002</v>
      </c>
      <c r="AF50">
        <v>1392.596</v>
      </c>
      <c r="AG50">
        <v>51.82</v>
      </c>
      <c r="AH50">
        <v>89.436000000000007</v>
      </c>
      <c r="AI50">
        <v>31.515000000000001</v>
      </c>
      <c r="AJ50">
        <v>187.71899999999999</v>
      </c>
      <c r="AK50">
        <v>61.421999999999997</v>
      </c>
      <c r="AL50">
        <v>1345.2270000000001</v>
      </c>
      <c r="AM50">
        <v>214.37</v>
      </c>
      <c r="AN50">
        <v>393.03500000000003</v>
      </c>
      <c r="AO50">
        <v>374.322</v>
      </c>
      <c r="AP50">
        <v>1270.8240000000001</v>
      </c>
      <c r="AQ50">
        <v>361.86900000000003</v>
      </c>
      <c r="AR50">
        <v>1439.6510000000001</v>
      </c>
      <c r="AS50">
        <v>437.67200000000003</v>
      </c>
      <c r="AT50">
        <v>521.01800000000003</v>
      </c>
      <c r="AU50">
        <v>600.74</v>
      </c>
      <c r="AV50">
        <v>1400.057</v>
      </c>
      <c r="AW50">
        <v>308.678</v>
      </c>
      <c r="AX50">
        <v>3561.654</v>
      </c>
      <c r="AY50">
        <v>0</v>
      </c>
      <c r="AZ50">
        <v>29401.892</v>
      </c>
      <c r="BA50">
        <v>8347.1689999999999</v>
      </c>
      <c r="BB50">
        <v>86.593999999999994</v>
      </c>
      <c r="BC50">
        <v>54.28</v>
      </c>
      <c r="BD50">
        <v>0.01</v>
      </c>
      <c r="BE50">
        <v>0</v>
      </c>
      <c r="BF50">
        <v>123.666</v>
      </c>
      <c r="BG50">
        <v>62.56</v>
      </c>
      <c r="BH50">
        <v>0</v>
      </c>
      <c r="BI50">
        <v>54973.256000000001</v>
      </c>
    </row>
    <row r="51" spans="1:61">
      <c r="A51" t="s">
        <v>465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2100.7310000000002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2100.7310000000002</v>
      </c>
    </row>
    <row r="52" spans="1:61">
      <c r="A52" t="s">
        <v>464</v>
      </c>
      <c r="B52">
        <v>626.02099999999996</v>
      </c>
      <c r="C52">
        <v>12.84</v>
      </c>
      <c r="D52">
        <v>12.413</v>
      </c>
      <c r="E52">
        <v>0.01</v>
      </c>
      <c r="F52">
        <v>3.0000000000000001E-3</v>
      </c>
      <c r="G52">
        <v>2E-3</v>
      </c>
      <c r="H52">
        <v>0.193</v>
      </c>
      <c r="I52">
        <v>0</v>
      </c>
      <c r="J52">
        <v>4410.2619999999997</v>
      </c>
      <c r="K52">
        <v>106.142</v>
      </c>
      <c r="L52">
        <v>17.527000000000001</v>
      </c>
      <c r="M52">
        <v>3.63</v>
      </c>
      <c r="N52">
        <v>1.611</v>
      </c>
      <c r="O52">
        <v>60.621000000000002</v>
      </c>
      <c r="P52">
        <v>10.632999999999999</v>
      </c>
      <c r="Q52">
        <v>20.366</v>
      </c>
      <c r="R52">
        <v>0.90700000000000003</v>
      </c>
      <c r="S52">
        <v>1.1910000000000001</v>
      </c>
      <c r="T52">
        <v>0.67900000000000005</v>
      </c>
      <c r="U52">
        <v>0.91900000000000004</v>
      </c>
      <c r="V52">
        <v>2.6379999999999999</v>
      </c>
      <c r="W52">
        <v>1.2250000000000001</v>
      </c>
      <c r="X52">
        <v>2.69</v>
      </c>
      <c r="Y52">
        <v>3.665</v>
      </c>
      <c r="Z52">
        <v>0.53</v>
      </c>
      <c r="AA52">
        <v>0.152</v>
      </c>
      <c r="AB52">
        <v>4.5970000000000004</v>
      </c>
      <c r="AC52">
        <v>7.577</v>
      </c>
      <c r="AD52">
        <v>1.3680000000000001</v>
      </c>
      <c r="AE52">
        <v>14.289</v>
      </c>
      <c r="AF52">
        <v>90.247</v>
      </c>
      <c r="AG52">
        <v>0.79400000000000004</v>
      </c>
      <c r="AH52">
        <v>1.847</v>
      </c>
      <c r="AI52">
        <v>0.34699999999999998</v>
      </c>
      <c r="AJ52">
        <v>3.085</v>
      </c>
      <c r="AK52">
        <v>0.36899999999999999</v>
      </c>
      <c r="AL52">
        <v>968.82</v>
      </c>
      <c r="AM52">
        <v>1.038</v>
      </c>
      <c r="AN52">
        <v>0.64200000000000002</v>
      </c>
      <c r="AO52">
        <v>0.59099999999999997</v>
      </c>
      <c r="AP52">
        <v>1.125</v>
      </c>
      <c r="AQ52">
        <v>2.76</v>
      </c>
      <c r="AR52">
        <v>12.614000000000001</v>
      </c>
      <c r="AS52">
        <v>8.5359999999999996</v>
      </c>
      <c r="AT52">
        <v>11.333</v>
      </c>
      <c r="AU52">
        <v>13.750999999999999</v>
      </c>
      <c r="AV52">
        <v>32.798000000000002</v>
      </c>
      <c r="AW52">
        <v>7.242</v>
      </c>
      <c r="AX52">
        <v>10.669</v>
      </c>
      <c r="AY52">
        <v>0</v>
      </c>
      <c r="AZ52">
        <v>2986.7910000000002</v>
      </c>
      <c r="BA52">
        <v>3.7440000000000002</v>
      </c>
      <c r="BB52">
        <v>0.371</v>
      </c>
      <c r="BC52">
        <v>76.22</v>
      </c>
      <c r="BD52">
        <v>1.171</v>
      </c>
      <c r="BE52">
        <v>102.786</v>
      </c>
      <c r="BF52">
        <v>0</v>
      </c>
      <c r="BG52">
        <v>0</v>
      </c>
      <c r="BH52">
        <v>0</v>
      </c>
      <c r="BI52">
        <v>9664.3909999999996</v>
      </c>
    </row>
    <row r="53" spans="1:61">
      <c r="A53" t="s">
        <v>463</v>
      </c>
      <c r="B53">
        <v>8.4920000000000009</v>
      </c>
      <c r="C53">
        <v>38.325000000000003</v>
      </c>
      <c r="D53">
        <v>0.35099999999999998</v>
      </c>
      <c r="E53">
        <v>1.7999999999999999E-2</v>
      </c>
      <c r="F53">
        <v>1E-3</v>
      </c>
      <c r="G53">
        <v>1E-3</v>
      </c>
      <c r="H53">
        <v>5.8000000000000003E-2</v>
      </c>
      <c r="I53">
        <v>0</v>
      </c>
      <c r="J53">
        <v>27.234000000000002</v>
      </c>
      <c r="K53">
        <v>1.8240000000000001</v>
      </c>
      <c r="L53">
        <v>104.578</v>
      </c>
      <c r="M53">
        <v>15.087999999999999</v>
      </c>
      <c r="N53">
        <v>0.14799999999999999</v>
      </c>
      <c r="O53">
        <v>3.94</v>
      </c>
      <c r="P53">
        <v>0.20699999999999999</v>
      </c>
      <c r="Q53">
        <v>10.217000000000001</v>
      </c>
      <c r="R53">
        <v>0.67600000000000005</v>
      </c>
      <c r="S53">
        <v>0.33700000000000002</v>
      </c>
      <c r="T53">
        <v>0.219</v>
      </c>
      <c r="U53">
        <v>0.27500000000000002</v>
      </c>
      <c r="V53">
        <v>0.318</v>
      </c>
      <c r="W53">
        <v>0.22700000000000001</v>
      </c>
      <c r="X53">
        <v>0.36699999999999999</v>
      </c>
      <c r="Y53">
        <v>0.49099999999999999</v>
      </c>
      <c r="Z53">
        <v>0.33</v>
      </c>
      <c r="AA53">
        <v>2.4E-2</v>
      </c>
      <c r="AB53">
        <v>8.6539999999999999</v>
      </c>
      <c r="AC53">
        <v>9.0739999999999998</v>
      </c>
      <c r="AD53">
        <v>5.8999999999999997E-2</v>
      </c>
      <c r="AE53">
        <v>8.2759999999999998</v>
      </c>
      <c r="AF53">
        <v>3.8130000000000002</v>
      </c>
      <c r="AG53">
        <v>0.06</v>
      </c>
      <c r="AH53">
        <v>8.5000000000000006E-2</v>
      </c>
      <c r="AI53">
        <v>1.6E-2</v>
      </c>
      <c r="AJ53">
        <v>0.22</v>
      </c>
      <c r="AK53">
        <v>4.3999999999999997E-2</v>
      </c>
      <c r="AL53">
        <v>10.079000000000001</v>
      </c>
      <c r="AM53">
        <v>0.14199999999999999</v>
      </c>
      <c r="AN53">
        <v>0.09</v>
      </c>
      <c r="AO53">
        <v>8.8999999999999996E-2</v>
      </c>
      <c r="AP53">
        <v>7.4999999999999997E-2</v>
      </c>
      <c r="AQ53">
        <v>0.89400000000000002</v>
      </c>
      <c r="AR53">
        <v>0.42599999999999999</v>
      </c>
      <c r="AS53">
        <v>0.26600000000000001</v>
      </c>
      <c r="AT53">
        <v>1.3160000000000001</v>
      </c>
      <c r="AU53">
        <v>0.74299999999999999</v>
      </c>
      <c r="AV53">
        <v>0.69499999999999995</v>
      </c>
      <c r="AW53">
        <v>0.69299999999999995</v>
      </c>
      <c r="AX53">
        <v>0.70599999999999996</v>
      </c>
      <c r="AY53">
        <v>0</v>
      </c>
      <c r="AZ53">
        <v>61.173000000000002</v>
      </c>
      <c r="BA53">
        <v>1.7829999999999999</v>
      </c>
      <c r="BB53">
        <v>1.7999999999999999E-2</v>
      </c>
      <c r="BC53">
        <v>31.762</v>
      </c>
      <c r="BD53">
        <v>0.33200000000000002</v>
      </c>
      <c r="BE53">
        <v>1.3109999999999999</v>
      </c>
      <c r="BF53">
        <v>0</v>
      </c>
      <c r="BG53">
        <v>0</v>
      </c>
      <c r="BH53">
        <v>0</v>
      </c>
      <c r="BI53">
        <v>356.64400000000001</v>
      </c>
    </row>
    <row r="54" spans="1:61">
      <c r="A54" t="s">
        <v>462</v>
      </c>
      <c r="B54">
        <v>1.5920000000000001</v>
      </c>
      <c r="C54">
        <v>6.4000000000000001E-2</v>
      </c>
      <c r="D54">
        <v>50.985999999999997</v>
      </c>
      <c r="E54">
        <v>1E-3</v>
      </c>
      <c r="F54">
        <v>0</v>
      </c>
      <c r="G54">
        <v>0</v>
      </c>
      <c r="H54">
        <v>0.02</v>
      </c>
      <c r="I54">
        <v>0</v>
      </c>
      <c r="J54">
        <v>327.09100000000001</v>
      </c>
      <c r="K54">
        <v>0.218</v>
      </c>
      <c r="L54">
        <v>0.03</v>
      </c>
      <c r="M54">
        <v>0.08</v>
      </c>
      <c r="N54">
        <v>0.27800000000000002</v>
      </c>
      <c r="O54">
        <v>0.98</v>
      </c>
      <c r="P54">
        <v>0.126</v>
      </c>
      <c r="Q54">
        <v>0.111</v>
      </c>
      <c r="R54">
        <v>9.8000000000000004E-2</v>
      </c>
      <c r="S54">
        <v>0.19700000000000001</v>
      </c>
      <c r="T54">
        <v>9.5000000000000001E-2</v>
      </c>
      <c r="U54">
        <v>0.11700000000000001</v>
      </c>
      <c r="V54">
        <v>0.20200000000000001</v>
      </c>
      <c r="W54">
        <v>0.122</v>
      </c>
      <c r="X54">
        <v>0.155</v>
      </c>
      <c r="Y54">
        <v>0.14599999999999999</v>
      </c>
      <c r="Z54">
        <v>0.24199999999999999</v>
      </c>
      <c r="AA54">
        <v>1.2999999999999999E-2</v>
      </c>
      <c r="AB54">
        <v>5.7000000000000002E-2</v>
      </c>
      <c r="AC54">
        <v>0.24199999999999999</v>
      </c>
      <c r="AD54">
        <v>4.1000000000000002E-2</v>
      </c>
      <c r="AE54">
        <v>0.25800000000000001</v>
      </c>
      <c r="AF54">
        <v>5.734</v>
      </c>
      <c r="AG54">
        <v>8.4000000000000005E-2</v>
      </c>
      <c r="AH54">
        <v>1.5429999999999999</v>
      </c>
      <c r="AI54">
        <v>2.7E-2</v>
      </c>
      <c r="AJ54">
        <v>0.46100000000000002</v>
      </c>
      <c r="AK54">
        <v>5.2999999999999999E-2</v>
      </c>
      <c r="AL54">
        <v>156.71899999999999</v>
      </c>
      <c r="AM54">
        <v>0.128</v>
      </c>
      <c r="AN54">
        <v>5.8999999999999997E-2</v>
      </c>
      <c r="AO54">
        <v>7.6999999999999999E-2</v>
      </c>
      <c r="AP54">
        <v>0.13400000000000001</v>
      </c>
      <c r="AQ54">
        <v>0.17699999999999999</v>
      </c>
      <c r="AR54">
        <v>0.33100000000000002</v>
      </c>
      <c r="AS54">
        <v>0.111</v>
      </c>
      <c r="AT54">
        <v>1.5329999999999999</v>
      </c>
      <c r="AU54">
        <v>0.76400000000000001</v>
      </c>
      <c r="AV54">
        <v>1.7969999999999999</v>
      </c>
      <c r="AW54">
        <v>0.29299999999999998</v>
      </c>
      <c r="AX54">
        <v>0.41399999999999998</v>
      </c>
      <c r="AY54">
        <v>0</v>
      </c>
      <c r="AZ54">
        <v>339.72899999999998</v>
      </c>
      <c r="BA54">
        <v>0.46600000000000003</v>
      </c>
      <c r="BB54">
        <v>1.6E-2</v>
      </c>
      <c r="BC54">
        <v>0.96399999999999997</v>
      </c>
      <c r="BD54">
        <v>7.8E-2</v>
      </c>
      <c r="BE54">
        <v>5.7750000000000004</v>
      </c>
      <c r="BF54">
        <v>0</v>
      </c>
      <c r="BG54">
        <v>0</v>
      </c>
      <c r="BH54">
        <v>0</v>
      </c>
      <c r="BI54">
        <v>901.02599999999995</v>
      </c>
    </row>
    <row r="55" spans="1:61">
      <c r="A55" t="s">
        <v>461</v>
      </c>
      <c r="B55">
        <v>10.137</v>
      </c>
      <c r="C55">
        <v>0.50600000000000001</v>
      </c>
      <c r="D55">
        <v>0.186</v>
      </c>
      <c r="E55">
        <v>10.596</v>
      </c>
      <c r="F55">
        <v>0.156</v>
      </c>
      <c r="G55">
        <v>0.46300000000000002</v>
      </c>
      <c r="H55">
        <v>13.567</v>
      </c>
      <c r="I55">
        <v>5.2999999999999999E-2</v>
      </c>
      <c r="J55">
        <v>70.018000000000001</v>
      </c>
      <c r="K55">
        <v>29.077000000000002</v>
      </c>
      <c r="L55">
        <v>2.3340000000000001</v>
      </c>
      <c r="M55">
        <v>46.058</v>
      </c>
      <c r="N55">
        <v>1003.035</v>
      </c>
      <c r="O55">
        <v>461.053</v>
      </c>
      <c r="P55">
        <v>2.113</v>
      </c>
      <c r="Q55">
        <v>26.966999999999999</v>
      </c>
      <c r="R55">
        <v>425.91899999999998</v>
      </c>
      <c r="S55">
        <v>3702.5479999999998</v>
      </c>
      <c r="T55">
        <v>461.86099999999999</v>
      </c>
      <c r="U55">
        <v>6.7220000000000004</v>
      </c>
      <c r="V55">
        <v>5.7050000000000001</v>
      </c>
      <c r="W55">
        <v>13.46</v>
      </c>
      <c r="X55">
        <v>14.983000000000001</v>
      </c>
      <c r="Y55">
        <v>11.935</v>
      </c>
      <c r="Z55">
        <v>8.7620000000000005</v>
      </c>
      <c r="AA55">
        <v>2.6669999999999998</v>
      </c>
      <c r="AB55">
        <v>1.89</v>
      </c>
      <c r="AC55">
        <v>8686.4670000000006</v>
      </c>
      <c r="AD55">
        <v>3.0619999999999998</v>
      </c>
      <c r="AE55">
        <v>134.44999999999999</v>
      </c>
      <c r="AF55">
        <v>18.475999999999999</v>
      </c>
      <c r="AG55">
        <v>2.6749999999999998</v>
      </c>
      <c r="AH55">
        <v>0.56200000000000006</v>
      </c>
      <c r="AI55">
        <v>0.216</v>
      </c>
      <c r="AJ55">
        <v>4.5179999999999998</v>
      </c>
      <c r="AK55">
        <v>0.34200000000000003</v>
      </c>
      <c r="AL55">
        <v>11.7</v>
      </c>
      <c r="AM55">
        <v>0.44500000000000001</v>
      </c>
      <c r="AN55">
        <v>0.94399999999999995</v>
      </c>
      <c r="AO55">
        <v>0.432</v>
      </c>
      <c r="AP55">
        <v>0.54800000000000004</v>
      </c>
      <c r="AQ55">
        <v>8.8030000000000008</v>
      </c>
      <c r="AR55">
        <v>3.2930000000000001</v>
      </c>
      <c r="AS55">
        <v>1.3129999999999999</v>
      </c>
      <c r="AT55">
        <v>22.376999999999999</v>
      </c>
      <c r="AU55">
        <v>25.602</v>
      </c>
      <c r="AV55">
        <v>6.0780000000000003</v>
      </c>
      <c r="AW55">
        <v>0.65700000000000003</v>
      </c>
      <c r="AX55">
        <v>10.766999999999999</v>
      </c>
      <c r="AY55">
        <v>0</v>
      </c>
      <c r="AZ55">
        <v>1.3140000000000001</v>
      </c>
      <c r="BA55">
        <v>2E-3</v>
      </c>
      <c r="BB55">
        <v>5.0000000000000001E-3</v>
      </c>
      <c r="BC55">
        <v>0.35699999999999998</v>
      </c>
      <c r="BD55">
        <v>1.9E-2</v>
      </c>
      <c r="BE55">
        <v>0.221</v>
      </c>
      <c r="BF55">
        <v>0</v>
      </c>
      <c r="BG55">
        <v>0</v>
      </c>
      <c r="BH55">
        <v>0</v>
      </c>
      <c r="BI55">
        <v>15278.411</v>
      </c>
    </row>
    <row r="56" spans="1:61">
      <c r="A56" t="s">
        <v>460</v>
      </c>
      <c r="B56">
        <v>22.138000000000002</v>
      </c>
      <c r="C56">
        <v>1.5</v>
      </c>
      <c r="D56">
        <v>11.954000000000001</v>
      </c>
      <c r="E56">
        <v>6.58</v>
      </c>
      <c r="F56">
        <v>8.85</v>
      </c>
      <c r="G56">
        <v>1.3080000000000001</v>
      </c>
      <c r="H56">
        <v>79.432000000000002</v>
      </c>
      <c r="I56">
        <v>0.26600000000000001</v>
      </c>
      <c r="J56">
        <v>423.22</v>
      </c>
      <c r="K56">
        <v>83.378</v>
      </c>
      <c r="L56">
        <v>20.048999999999999</v>
      </c>
      <c r="M56">
        <v>264.233</v>
      </c>
      <c r="N56">
        <v>99813.858999999997</v>
      </c>
      <c r="O56">
        <v>7701.8969999999999</v>
      </c>
      <c r="P56">
        <v>17.452999999999999</v>
      </c>
      <c r="Q56">
        <v>243.381</v>
      </c>
      <c r="R56">
        <v>1072.6849999999999</v>
      </c>
      <c r="S56">
        <v>2462.652</v>
      </c>
      <c r="T56">
        <v>1278.3599999999999</v>
      </c>
      <c r="U56">
        <v>336.76</v>
      </c>
      <c r="V56">
        <v>72.837999999999994</v>
      </c>
      <c r="W56">
        <v>76.739999999999995</v>
      </c>
      <c r="X56">
        <v>146.47399999999999</v>
      </c>
      <c r="Y56">
        <v>188.70500000000001</v>
      </c>
      <c r="Z56">
        <v>51.167000000000002</v>
      </c>
      <c r="AA56">
        <v>17.786000000000001</v>
      </c>
      <c r="AB56">
        <v>50.048999999999999</v>
      </c>
      <c r="AC56">
        <v>28457.401000000002</v>
      </c>
      <c r="AD56">
        <v>58.695999999999998</v>
      </c>
      <c r="AE56">
        <v>250.14500000000001</v>
      </c>
      <c r="AF56">
        <v>576.93700000000001</v>
      </c>
      <c r="AG56">
        <v>55.29</v>
      </c>
      <c r="AH56">
        <v>62.128</v>
      </c>
      <c r="AI56">
        <v>27.08</v>
      </c>
      <c r="AJ56">
        <v>160.48699999999999</v>
      </c>
      <c r="AK56">
        <v>20.388000000000002</v>
      </c>
      <c r="AL56">
        <v>93.712999999999994</v>
      </c>
      <c r="AM56">
        <v>12.914999999999999</v>
      </c>
      <c r="AN56">
        <v>9.6679999999999993</v>
      </c>
      <c r="AO56">
        <v>13.145</v>
      </c>
      <c r="AP56">
        <v>26.946999999999999</v>
      </c>
      <c r="AQ56">
        <v>99.980999999999995</v>
      </c>
      <c r="AR56">
        <v>154.95099999999999</v>
      </c>
      <c r="AS56">
        <v>47.14</v>
      </c>
      <c r="AT56">
        <v>148.904</v>
      </c>
      <c r="AU56">
        <v>89.796999999999997</v>
      </c>
      <c r="AV56">
        <v>41.582000000000001</v>
      </c>
      <c r="AW56">
        <v>13.635999999999999</v>
      </c>
      <c r="AX56">
        <v>31.132000000000001</v>
      </c>
      <c r="AY56">
        <v>0</v>
      </c>
      <c r="AZ56">
        <v>57.406999999999996</v>
      </c>
      <c r="BA56">
        <v>7.2999999999999995E-2</v>
      </c>
      <c r="BB56">
        <v>0.19900000000000001</v>
      </c>
      <c r="BC56">
        <v>98.299000000000007</v>
      </c>
      <c r="BD56">
        <v>8.8689999999999998</v>
      </c>
      <c r="BE56">
        <v>3.5779999999999998</v>
      </c>
      <c r="BF56">
        <v>0</v>
      </c>
      <c r="BG56">
        <v>0</v>
      </c>
      <c r="BH56">
        <v>0</v>
      </c>
      <c r="BI56">
        <v>145074.20199999999</v>
      </c>
    </row>
    <row r="57" spans="1:61">
      <c r="A57" t="s">
        <v>459</v>
      </c>
      <c r="B57">
        <v>3.278</v>
      </c>
      <c r="C57">
        <v>0.04</v>
      </c>
      <c r="D57">
        <v>0.25</v>
      </c>
      <c r="E57">
        <v>0.57299999999999995</v>
      </c>
      <c r="F57">
        <v>9.0999999999999998E-2</v>
      </c>
      <c r="G57">
        <v>3.6219999999999999</v>
      </c>
      <c r="H57">
        <v>25.754000000000001</v>
      </c>
      <c r="I57">
        <v>4.5999999999999999E-2</v>
      </c>
      <c r="J57">
        <v>17.073</v>
      </c>
      <c r="K57">
        <v>5.4509999999999996</v>
      </c>
      <c r="L57">
        <v>0.54100000000000004</v>
      </c>
      <c r="M57">
        <v>2.5299999999999998</v>
      </c>
      <c r="N57">
        <v>109.71899999999999</v>
      </c>
      <c r="O57">
        <v>315.904</v>
      </c>
      <c r="P57">
        <v>2.4550000000000001</v>
      </c>
      <c r="Q57">
        <v>15.269</v>
      </c>
      <c r="R57">
        <v>234.41399999999999</v>
      </c>
      <c r="S57">
        <v>5543.393</v>
      </c>
      <c r="T57">
        <v>5941.451</v>
      </c>
      <c r="U57">
        <v>179.46600000000001</v>
      </c>
      <c r="V57">
        <v>41.042000000000002</v>
      </c>
      <c r="W57">
        <v>65.105000000000004</v>
      </c>
      <c r="X57">
        <v>51.713000000000001</v>
      </c>
      <c r="Y57">
        <v>41.917000000000002</v>
      </c>
      <c r="Z57">
        <v>5.6</v>
      </c>
      <c r="AA57">
        <v>2.4449999999999998</v>
      </c>
      <c r="AB57">
        <v>12.276999999999999</v>
      </c>
      <c r="AC57">
        <v>101.71299999999999</v>
      </c>
      <c r="AD57">
        <v>3.8759999999999999</v>
      </c>
      <c r="AE57">
        <v>201.45699999999999</v>
      </c>
      <c r="AF57">
        <v>5.2939999999999996</v>
      </c>
      <c r="AG57">
        <v>0.66400000000000003</v>
      </c>
      <c r="AH57">
        <v>0.379</v>
      </c>
      <c r="AI57">
        <v>0.17199999999999999</v>
      </c>
      <c r="AJ57">
        <v>1.526</v>
      </c>
      <c r="AK57">
        <v>0.16600000000000001</v>
      </c>
      <c r="AL57">
        <v>4.6029999999999998</v>
      </c>
      <c r="AM57">
        <v>0.47299999999999998</v>
      </c>
      <c r="AN57">
        <v>0.29899999999999999</v>
      </c>
      <c r="AO57">
        <v>0.34100000000000003</v>
      </c>
      <c r="AP57">
        <v>0.54800000000000004</v>
      </c>
      <c r="AQ57">
        <v>2.7719999999999998</v>
      </c>
      <c r="AR57">
        <v>5.016</v>
      </c>
      <c r="AS57">
        <v>1.66</v>
      </c>
      <c r="AT57">
        <v>1.59</v>
      </c>
      <c r="AU57">
        <v>1.165</v>
      </c>
      <c r="AV57">
        <v>1.5109999999999999</v>
      </c>
      <c r="AW57">
        <v>0.61299999999999999</v>
      </c>
      <c r="AX57">
        <v>2.9390000000000001</v>
      </c>
      <c r="AY57">
        <v>0</v>
      </c>
      <c r="AZ57">
        <v>4.3040000000000003</v>
      </c>
      <c r="BA57">
        <v>1.4E-2</v>
      </c>
      <c r="BB57">
        <v>0.04</v>
      </c>
      <c r="BC57">
        <v>2.0529999999999999</v>
      </c>
      <c r="BD57">
        <v>0.02</v>
      </c>
      <c r="BE57">
        <v>0.70499999999999996</v>
      </c>
      <c r="BF57">
        <v>0</v>
      </c>
      <c r="BG57">
        <v>0</v>
      </c>
      <c r="BH57">
        <v>0</v>
      </c>
      <c r="BI57">
        <v>12967.331</v>
      </c>
    </row>
    <row r="58" spans="1:61">
      <c r="A58" t="s">
        <v>458</v>
      </c>
      <c r="B58">
        <v>6.0670000000000002</v>
      </c>
      <c r="C58">
        <v>0.13700000000000001</v>
      </c>
      <c r="D58">
        <v>0.77</v>
      </c>
      <c r="E58">
        <v>8.1000000000000003E-2</v>
      </c>
      <c r="F58">
        <v>1.7999999999999999E-2</v>
      </c>
      <c r="G58">
        <v>5.8000000000000003E-2</v>
      </c>
      <c r="H58">
        <v>18.518000000000001</v>
      </c>
      <c r="I58">
        <v>8.0000000000000002E-3</v>
      </c>
      <c r="J58">
        <v>11.635</v>
      </c>
      <c r="K58">
        <v>4.9089999999999998</v>
      </c>
      <c r="L58">
        <v>0.45800000000000002</v>
      </c>
      <c r="M58">
        <v>4.7690000000000001</v>
      </c>
      <c r="N58">
        <v>22.242999999999999</v>
      </c>
      <c r="O58">
        <v>141.11199999999999</v>
      </c>
      <c r="P58">
        <v>2.052</v>
      </c>
      <c r="Q58">
        <v>16.273</v>
      </c>
      <c r="R58">
        <v>284.452</v>
      </c>
      <c r="S58">
        <v>97.712999999999994</v>
      </c>
      <c r="T58">
        <v>30.224</v>
      </c>
      <c r="U58">
        <v>6.0609999999999999</v>
      </c>
      <c r="V58">
        <v>5.2789999999999999</v>
      </c>
      <c r="W58">
        <v>5.29</v>
      </c>
      <c r="X58">
        <v>4.6820000000000004</v>
      </c>
      <c r="Y58">
        <v>4.5979999999999999</v>
      </c>
      <c r="Z58">
        <v>1.2</v>
      </c>
      <c r="AA58">
        <v>0.216</v>
      </c>
      <c r="AB58">
        <v>3.379</v>
      </c>
      <c r="AC58">
        <v>24.18</v>
      </c>
      <c r="AD58">
        <v>2.4580000000000002</v>
      </c>
      <c r="AE58">
        <v>293.29500000000002</v>
      </c>
      <c r="AF58">
        <v>3.1070000000000002</v>
      </c>
      <c r="AG58">
        <v>0.48099999999999998</v>
      </c>
      <c r="AH58">
        <v>1.403</v>
      </c>
      <c r="AI58">
        <v>0.24099999999999999</v>
      </c>
      <c r="AJ58">
        <v>1.0609999999999999</v>
      </c>
      <c r="AK58">
        <v>0.13200000000000001</v>
      </c>
      <c r="AL58">
        <v>3.1480000000000001</v>
      </c>
      <c r="AM58">
        <v>0.35699999999999998</v>
      </c>
      <c r="AN58">
        <v>0.13900000000000001</v>
      </c>
      <c r="AO58">
        <v>0.17</v>
      </c>
      <c r="AP58">
        <v>0.214</v>
      </c>
      <c r="AQ58">
        <v>5.7919999999999998</v>
      </c>
      <c r="AR58">
        <v>1.89</v>
      </c>
      <c r="AS58">
        <v>2.423</v>
      </c>
      <c r="AT58">
        <v>2.8239999999999998</v>
      </c>
      <c r="AU58">
        <v>0.83499999999999996</v>
      </c>
      <c r="AV58">
        <v>1.6890000000000001</v>
      </c>
      <c r="AW58">
        <v>0.33200000000000002</v>
      </c>
      <c r="AX58">
        <v>1.3029999999999999</v>
      </c>
      <c r="AY58">
        <v>0</v>
      </c>
      <c r="AZ58">
        <v>11.327999999999999</v>
      </c>
      <c r="BA58">
        <v>1.0999999999999999E-2</v>
      </c>
      <c r="BB58">
        <v>2.3E-2</v>
      </c>
      <c r="BC58">
        <v>3.08</v>
      </c>
      <c r="BD58">
        <v>0.23</v>
      </c>
      <c r="BE58">
        <v>0.69099999999999995</v>
      </c>
      <c r="BF58">
        <v>0</v>
      </c>
      <c r="BG58">
        <v>0</v>
      </c>
      <c r="BH58">
        <v>0</v>
      </c>
      <c r="BI58">
        <v>1035.038</v>
      </c>
    </row>
    <row r="59" spans="1:61">
      <c r="A59" t="s">
        <v>457</v>
      </c>
      <c r="B59">
        <v>0.315</v>
      </c>
      <c r="C59">
        <v>0.02</v>
      </c>
      <c r="D59">
        <v>0.105</v>
      </c>
      <c r="E59">
        <v>1.4E-2</v>
      </c>
      <c r="F59">
        <v>1.4999999999999999E-2</v>
      </c>
      <c r="G59">
        <v>4.0000000000000001E-3</v>
      </c>
      <c r="H59">
        <v>0.21199999999999999</v>
      </c>
      <c r="I59">
        <v>1E-3</v>
      </c>
      <c r="J59">
        <v>1.502</v>
      </c>
      <c r="K59">
        <v>0.45400000000000001</v>
      </c>
      <c r="L59">
        <v>9.2999999999999999E-2</v>
      </c>
      <c r="M59">
        <v>0.52400000000000002</v>
      </c>
      <c r="N59">
        <v>107.84099999999999</v>
      </c>
      <c r="O59">
        <v>10.430999999999999</v>
      </c>
      <c r="P59">
        <v>0.16800000000000001</v>
      </c>
      <c r="Q59">
        <v>0.84499999999999997</v>
      </c>
      <c r="R59">
        <v>1.8720000000000001</v>
      </c>
      <c r="S59">
        <v>5.58</v>
      </c>
      <c r="T59">
        <v>3.3780000000000001</v>
      </c>
      <c r="U59">
        <v>1.018</v>
      </c>
      <c r="V59">
        <v>1.04</v>
      </c>
      <c r="W59">
        <v>0.57999999999999996</v>
      </c>
      <c r="X59">
        <v>0.95099999999999996</v>
      </c>
      <c r="Y59">
        <v>1.0820000000000001</v>
      </c>
      <c r="Z59">
        <v>0.246</v>
      </c>
      <c r="AA59">
        <v>9.6000000000000002E-2</v>
      </c>
      <c r="AB59">
        <v>0.24199999999999999</v>
      </c>
      <c r="AC59">
        <v>33.036000000000001</v>
      </c>
      <c r="AD59">
        <v>0.19700000000000001</v>
      </c>
      <c r="AE59">
        <v>1.7290000000000001</v>
      </c>
      <c r="AF59">
        <v>2.597</v>
      </c>
      <c r="AG59">
        <v>0.35699999999999998</v>
      </c>
      <c r="AH59">
        <v>0.85899999999999999</v>
      </c>
      <c r="AI59">
        <v>0.36199999999999999</v>
      </c>
      <c r="AJ59">
        <v>1.6240000000000001</v>
      </c>
      <c r="AK59">
        <v>0.153</v>
      </c>
      <c r="AL59">
        <v>0.80300000000000005</v>
      </c>
      <c r="AM59">
        <v>0.16600000000000001</v>
      </c>
      <c r="AN59">
        <v>0.224</v>
      </c>
      <c r="AO59">
        <v>0.20300000000000001</v>
      </c>
      <c r="AP59">
        <v>0.29099999999999998</v>
      </c>
      <c r="AQ59">
        <v>0.433</v>
      </c>
      <c r="AR59">
        <v>1.0900000000000001</v>
      </c>
      <c r="AS59">
        <v>0.38300000000000001</v>
      </c>
      <c r="AT59">
        <v>0.58199999999999996</v>
      </c>
      <c r="AU59">
        <v>0.373</v>
      </c>
      <c r="AV59">
        <v>0.41</v>
      </c>
      <c r="AW59">
        <v>0.156</v>
      </c>
      <c r="AX59">
        <v>0.252</v>
      </c>
      <c r="AY59">
        <v>0</v>
      </c>
      <c r="AZ59">
        <v>2.5379999999999998</v>
      </c>
      <c r="BA59">
        <v>8.9999999999999993E-3</v>
      </c>
      <c r="BB59">
        <v>1.97</v>
      </c>
      <c r="BC59">
        <v>69.105999999999995</v>
      </c>
      <c r="BD59">
        <v>7.0000000000000007E-2</v>
      </c>
      <c r="BE59">
        <v>0.40200000000000002</v>
      </c>
      <c r="BF59">
        <v>0</v>
      </c>
      <c r="BG59">
        <v>0</v>
      </c>
      <c r="BH59">
        <v>0</v>
      </c>
      <c r="BI59">
        <v>259.00599999999997</v>
      </c>
    </row>
    <row r="60" spans="1:61">
      <c r="A60" t="s">
        <v>456</v>
      </c>
      <c r="B60">
        <v>719.07299999999998</v>
      </c>
      <c r="C60">
        <v>1.1220000000000001</v>
      </c>
      <c r="D60">
        <v>98.754000000000005</v>
      </c>
      <c r="E60">
        <v>5.0999999999999997E-2</v>
      </c>
      <c r="F60">
        <v>1.7999999999999999E-2</v>
      </c>
      <c r="G60">
        <v>0.02</v>
      </c>
      <c r="H60">
        <v>1.593</v>
      </c>
      <c r="I60">
        <v>3.0000000000000001E-3</v>
      </c>
      <c r="J60">
        <v>4477.7920000000004</v>
      </c>
      <c r="K60">
        <v>45.654000000000003</v>
      </c>
      <c r="L60">
        <v>2.1970000000000001</v>
      </c>
      <c r="M60">
        <v>18.678999999999998</v>
      </c>
      <c r="N60">
        <v>17.814</v>
      </c>
      <c r="O60">
        <v>360.351</v>
      </c>
      <c r="P60">
        <v>41.26</v>
      </c>
      <c r="Q60">
        <v>35.451000000000001</v>
      </c>
      <c r="R60">
        <v>15.39</v>
      </c>
      <c r="S60">
        <v>15.132999999999999</v>
      </c>
      <c r="T60">
        <v>9.3320000000000007</v>
      </c>
      <c r="U60">
        <v>9.3510000000000009</v>
      </c>
      <c r="V60">
        <v>22.841000000000001</v>
      </c>
      <c r="W60">
        <v>11.257999999999999</v>
      </c>
      <c r="X60">
        <v>15.561999999999999</v>
      </c>
      <c r="Y60">
        <v>14.077</v>
      </c>
      <c r="Z60">
        <v>3.8260000000000001</v>
      </c>
      <c r="AA60">
        <v>1.1319999999999999</v>
      </c>
      <c r="AB60">
        <v>10.461</v>
      </c>
      <c r="AC60">
        <v>18.324999999999999</v>
      </c>
      <c r="AD60">
        <v>5.8840000000000003</v>
      </c>
      <c r="AE60">
        <v>28.219000000000001</v>
      </c>
      <c r="AF60">
        <v>294.322</v>
      </c>
      <c r="AG60">
        <v>3.0880000000000001</v>
      </c>
      <c r="AH60">
        <v>17.169</v>
      </c>
      <c r="AI60">
        <v>2.3620000000000001</v>
      </c>
      <c r="AJ60">
        <v>12.127000000000001</v>
      </c>
      <c r="AK60">
        <v>2.3639999999999999</v>
      </c>
      <c r="AL60">
        <v>6178.1090000000004</v>
      </c>
      <c r="AM60">
        <v>17.312999999999999</v>
      </c>
      <c r="AN60">
        <v>7.3289999999999997</v>
      </c>
      <c r="AO60">
        <v>8.4960000000000004</v>
      </c>
      <c r="AP60">
        <v>11.532</v>
      </c>
      <c r="AQ60">
        <v>18.45</v>
      </c>
      <c r="AR60">
        <v>31.382000000000001</v>
      </c>
      <c r="AS60">
        <v>15.534000000000001</v>
      </c>
      <c r="AT60">
        <v>55.305999999999997</v>
      </c>
      <c r="AU60">
        <v>109.02200000000001</v>
      </c>
      <c r="AV60">
        <v>159.768</v>
      </c>
      <c r="AW60">
        <v>54.143999999999998</v>
      </c>
      <c r="AX60">
        <v>43.768999999999998</v>
      </c>
      <c r="AY60">
        <v>0</v>
      </c>
      <c r="AZ60">
        <v>12770.460999999999</v>
      </c>
      <c r="BA60">
        <v>18.504000000000001</v>
      </c>
      <c r="BB60">
        <v>0.435</v>
      </c>
      <c r="BC60">
        <v>25.013999999999999</v>
      </c>
      <c r="BD60">
        <v>3.7559999999999998</v>
      </c>
      <c r="BE60">
        <v>331.67200000000003</v>
      </c>
      <c r="BF60">
        <v>0</v>
      </c>
      <c r="BG60">
        <v>0</v>
      </c>
      <c r="BH60">
        <v>0</v>
      </c>
      <c r="BI60">
        <v>26192.053</v>
      </c>
    </row>
    <row r="61" spans="1:61">
      <c r="A61" t="s">
        <v>455</v>
      </c>
      <c r="B61">
        <v>15.755000000000001</v>
      </c>
      <c r="C61">
        <v>1.9750000000000001</v>
      </c>
      <c r="D61">
        <v>26.373999999999999</v>
      </c>
      <c r="E61">
        <v>0.27700000000000002</v>
      </c>
      <c r="F61">
        <v>8.3000000000000004E-2</v>
      </c>
      <c r="G61">
        <v>0.11</v>
      </c>
      <c r="H61">
        <v>2.4700000000000002</v>
      </c>
      <c r="I61">
        <v>1.0999999999999999E-2</v>
      </c>
      <c r="J61">
        <v>72.992000000000004</v>
      </c>
      <c r="K61">
        <v>5523.0969999999998</v>
      </c>
      <c r="L61">
        <v>12.012</v>
      </c>
      <c r="M61">
        <v>67.88</v>
      </c>
      <c r="N61">
        <v>13.542</v>
      </c>
      <c r="O61">
        <v>145.589</v>
      </c>
      <c r="P61">
        <v>18.103999999999999</v>
      </c>
      <c r="Q61">
        <v>128.04900000000001</v>
      </c>
      <c r="R61">
        <v>39.956000000000003</v>
      </c>
      <c r="S61">
        <v>35.777000000000001</v>
      </c>
      <c r="T61">
        <v>16.547999999999998</v>
      </c>
      <c r="U61">
        <v>55.841000000000001</v>
      </c>
      <c r="V61">
        <v>135.09200000000001</v>
      </c>
      <c r="W61">
        <v>50.796999999999997</v>
      </c>
      <c r="X61">
        <v>81.024000000000001</v>
      </c>
      <c r="Y61">
        <v>435.68299999999999</v>
      </c>
      <c r="Z61">
        <v>38.845999999999997</v>
      </c>
      <c r="AA61">
        <v>9.4860000000000007</v>
      </c>
      <c r="AB61">
        <v>321.80099999999999</v>
      </c>
      <c r="AC61">
        <v>33.375</v>
      </c>
      <c r="AD61">
        <v>25.257000000000001</v>
      </c>
      <c r="AE61">
        <v>147.01</v>
      </c>
      <c r="AF61">
        <v>397.85</v>
      </c>
      <c r="AG61">
        <v>6.5259999999999998</v>
      </c>
      <c r="AH61">
        <v>6.5579999999999998</v>
      </c>
      <c r="AI61">
        <v>3.6859999999999999</v>
      </c>
      <c r="AJ61">
        <v>24.995999999999999</v>
      </c>
      <c r="AK61">
        <v>20.69</v>
      </c>
      <c r="AL61">
        <v>207.79900000000001</v>
      </c>
      <c r="AM61">
        <v>22.103999999999999</v>
      </c>
      <c r="AN61">
        <v>14.862</v>
      </c>
      <c r="AO61">
        <v>9.9429999999999996</v>
      </c>
      <c r="AP61">
        <v>19.809000000000001</v>
      </c>
      <c r="AQ61">
        <v>22.346</v>
      </c>
      <c r="AR61">
        <v>136.596</v>
      </c>
      <c r="AS61">
        <v>117.387</v>
      </c>
      <c r="AT61">
        <v>227.09</v>
      </c>
      <c r="AU61">
        <v>122.955</v>
      </c>
      <c r="AV61">
        <v>256.86200000000002</v>
      </c>
      <c r="AW61">
        <v>126.571</v>
      </c>
      <c r="AX61">
        <v>321.726</v>
      </c>
      <c r="AY61">
        <v>0</v>
      </c>
      <c r="AZ61">
        <v>10923.084999999999</v>
      </c>
      <c r="BA61">
        <v>3.7160000000000002</v>
      </c>
      <c r="BB61">
        <v>0.05</v>
      </c>
      <c r="BC61">
        <v>58.075000000000003</v>
      </c>
      <c r="BD61">
        <v>16.779</v>
      </c>
      <c r="BE61">
        <v>113.482</v>
      </c>
      <c r="BF61">
        <v>0</v>
      </c>
      <c r="BG61">
        <v>0</v>
      </c>
      <c r="BH61">
        <v>0</v>
      </c>
      <c r="BI61">
        <v>20636.351999999999</v>
      </c>
    </row>
    <row r="62" spans="1:61">
      <c r="A62" t="s">
        <v>454</v>
      </c>
      <c r="B62">
        <v>12.503</v>
      </c>
      <c r="C62">
        <v>4.2960000000000003</v>
      </c>
      <c r="D62">
        <v>1.917</v>
      </c>
      <c r="E62">
        <v>0.107</v>
      </c>
      <c r="F62">
        <v>1.2999999999999999E-2</v>
      </c>
      <c r="G62">
        <v>2.8000000000000001E-2</v>
      </c>
      <c r="H62">
        <v>1.0169999999999999</v>
      </c>
      <c r="I62">
        <v>2E-3</v>
      </c>
      <c r="J62">
        <v>50.595999999999997</v>
      </c>
      <c r="K62">
        <v>16.716999999999999</v>
      </c>
      <c r="L62">
        <v>387.92399999999998</v>
      </c>
      <c r="M62">
        <v>78.256</v>
      </c>
      <c r="N62">
        <v>2.7890000000000001</v>
      </c>
      <c r="O62">
        <v>67.25</v>
      </c>
      <c r="P62">
        <v>3.0510000000000002</v>
      </c>
      <c r="Q62">
        <v>26.870999999999999</v>
      </c>
      <c r="R62">
        <v>39.884999999999998</v>
      </c>
      <c r="S62">
        <v>9.4979999999999993</v>
      </c>
      <c r="T62">
        <v>9.4009999999999998</v>
      </c>
      <c r="U62">
        <v>38.072000000000003</v>
      </c>
      <c r="V62">
        <v>28.434000000000001</v>
      </c>
      <c r="W62">
        <v>30.140999999999998</v>
      </c>
      <c r="X62">
        <v>30.78</v>
      </c>
      <c r="Y62">
        <v>81.688999999999993</v>
      </c>
      <c r="Z62">
        <v>55.448999999999998</v>
      </c>
      <c r="AA62">
        <v>3.2309999999999999</v>
      </c>
      <c r="AB62">
        <v>325.755</v>
      </c>
      <c r="AC62">
        <v>21.9</v>
      </c>
      <c r="AD62">
        <v>2.9550000000000001</v>
      </c>
      <c r="AE62">
        <v>1019.725</v>
      </c>
      <c r="AF62">
        <v>74.814999999999998</v>
      </c>
      <c r="AG62">
        <v>2.125</v>
      </c>
      <c r="AH62">
        <v>1.6040000000000001</v>
      </c>
      <c r="AI62">
        <v>0.66600000000000004</v>
      </c>
      <c r="AJ62">
        <v>17.094000000000001</v>
      </c>
      <c r="AK62">
        <v>0.53900000000000003</v>
      </c>
      <c r="AL62">
        <v>40.090000000000003</v>
      </c>
      <c r="AM62">
        <v>5.4909999999999997</v>
      </c>
      <c r="AN62">
        <v>1.962</v>
      </c>
      <c r="AO62">
        <v>1.6040000000000001</v>
      </c>
      <c r="AP62">
        <v>2.7210000000000001</v>
      </c>
      <c r="AQ62">
        <v>129.624</v>
      </c>
      <c r="AR62">
        <v>30.922000000000001</v>
      </c>
      <c r="AS62">
        <v>11.461</v>
      </c>
      <c r="AT62">
        <v>5.8360000000000003</v>
      </c>
      <c r="AU62">
        <v>11.648999999999999</v>
      </c>
      <c r="AV62">
        <v>14.409000000000001</v>
      </c>
      <c r="AW62">
        <v>5.952</v>
      </c>
      <c r="AX62">
        <v>44.12</v>
      </c>
      <c r="AY62">
        <v>0</v>
      </c>
      <c r="AZ62">
        <v>67.284000000000006</v>
      </c>
      <c r="BA62">
        <v>6.4000000000000001E-2</v>
      </c>
      <c r="BB62">
        <v>0.03</v>
      </c>
      <c r="BC62">
        <v>10.286</v>
      </c>
      <c r="BD62">
        <v>0.89800000000000002</v>
      </c>
      <c r="BE62">
        <v>12.754</v>
      </c>
      <c r="BF62">
        <v>0</v>
      </c>
      <c r="BG62">
        <v>0</v>
      </c>
      <c r="BH62">
        <v>0</v>
      </c>
      <c r="BI62">
        <v>2844.2539999999999</v>
      </c>
    </row>
    <row r="63" spans="1:61">
      <c r="A63" t="s">
        <v>453</v>
      </c>
      <c r="B63">
        <v>10.217000000000001</v>
      </c>
      <c r="C63">
        <v>0.52800000000000002</v>
      </c>
      <c r="D63">
        <v>3.37</v>
      </c>
      <c r="E63">
        <v>2.1999999999999999E-2</v>
      </c>
      <c r="F63">
        <v>1.6E-2</v>
      </c>
      <c r="G63">
        <v>2.5999999999999999E-2</v>
      </c>
      <c r="H63">
        <v>0.57799999999999996</v>
      </c>
      <c r="I63">
        <v>2E-3</v>
      </c>
      <c r="J63">
        <v>377.32100000000003</v>
      </c>
      <c r="K63">
        <v>52.237000000000002</v>
      </c>
      <c r="L63">
        <v>12.05</v>
      </c>
      <c r="M63">
        <v>1227.652</v>
      </c>
      <c r="N63">
        <v>5.7679999999999998</v>
      </c>
      <c r="O63">
        <v>144.38399999999999</v>
      </c>
      <c r="P63">
        <v>40.662999999999997</v>
      </c>
      <c r="Q63">
        <v>68.353999999999999</v>
      </c>
      <c r="R63">
        <v>55.128</v>
      </c>
      <c r="S63">
        <v>13.596</v>
      </c>
      <c r="T63">
        <v>12.419</v>
      </c>
      <c r="U63">
        <v>38.863</v>
      </c>
      <c r="V63">
        <v>87.367000000000004</v>
      </c>
      <c r="W63">
        <v>53.960999999999999</v>
      </c>
      <c r="X63">
        <v>54.505000000000003</v>
      </c>
      <c r="Y63">
        <v>54.225000000000001</v>
      </c>
      <c r="Z63">
        <v>5.8319999999999999</v>
      </c>
      <c r="AA63">
        <v>2.93</v>
      </c>
      <c r="AB63">
        <v>44.832000000000001</v>
      </c>
      <c r="AC63">
        <v>13.917</v>
      </c>
      <c r="AD63">
        <v>5.9660000000000002</v>
      </c>
      <c r="AE63">
        <v>48.03</v>
      </c>
      <c r="AF63">
        <v>197.136</v>
      </c>
      <c r="AG63">
        <v>3.2589999999999999</v>
      </c>
      <c r="AH63">
        <v>5.8529999999999998</v>
      </c>
      <c r="AI63">
        <v>1.0529999999999999</v>
      </c>
      <c r="AJ63">
        <v>17.693999999999999</v>
      </c>
      <c r="AK63">
        <v>11.06</v>
      </c>
      <c r="AL63">
        <v>94.876999999999995</v>
      </c>
      <c r="AM63">
        <v>199.10300000000001</v>
      </c>
      <c r="AN63">
        <v>14.859</v>
      </c>
      <c r="AO63">
        <v>40.039000000000001</v>
      </c>
      <c r="AP63">
        <v>62.07</v>
      </c>
      <c r="AQ63">
        <v>16.632000000000001</v>
      </c>
      <c r="AR63">
        <v>150.125</v>
      </c>
      <c r="AS63">
        <v>60.125</v>
      </c>
      <c r="AT63">
        <v>63.829000000000001</v>
      </c>
      <c r="AU63">
        <v>111.19</v>
      </c>
      <c r="AV63">
        <v>73.105999999999995</v>
      </c>
      <c r="AW63">
        <v>18.832000000000001</v>
      </c>
      <c r="AX63">
        <v>44.677</v>
      </c>
      <c r="AY63">
        <v>0</v>
      </c>
      <c r="AZ63">
        <v>240.80199999999999</v>
      </c>
      <c r="BA63">
        <v>0.159</v>
      </c>
      <c r="BB63">
        <v>0.29799999999999999</v>
      </c>
      <c r="BC63">
        <v>19.039000000000001</v>
      </c>
      <c r="BD63">
        <v>1.2609999999999999</v>
      </c>
      <c r="BE63">
        <v>43.232999999999997</v>
      </c>
      <c r="BF63">
        <v>0</v>
      </c>
      <c r="BG63">
        <v>0</v>
      </c>
      <c r="BH63">
        <v>0</v>
      </c>
      <c r="BI63">
        <v>3925.0729999999999</v>
      </c>
    </row>
    <row r="64" spans="1:61">
      <c r="A64" t="s">
        <v>452</v>
      </c>
      <c r="B64">
        <v>479.43599999999998</v>
      </c>
      <c r="C64">
        <v>46.767000000000003</v>
      </c>
      <c r="D64">
        <v>393.75799999999998</v>
      </c>
      <c r="E64">
        <v>4.0890000000000004</v>
      </c>
      <c r="F64">
        <v>1.306</v>
      </c>
      <c r="G64">
        <v>2.423</v>
      </c>
      <c r="H64">
        <v>77.682000000000002</v>
      </c>
      <c r="I64">
        <v>0.26900000000000002</v>
      </c>
      <c r="J64">
        <v>695.99099999999999</v>
      </c>
      <c r="K64">
        <v>159.071</v>
      </c>
      <c r="L64">
        <v>68.376000000000005</v>
      </c>
      <c r="M64">
        <v>187.73</v>
      </c>
      <c r="N64">
        <v>3724.2379999999998</v>
      </c>
      <c r="O64">
        <v>4511.9269999999997</v>
      </c>
      <c r="P64">
        <v>67.054000000000002</v>
      </c>
      <c r="Q64">
        <v>248.01499999999999</v>
      </c>
      <c r="R64">
        <v>460.101</v>
      </c>
      <c r="S64">
        <v>1279.6199999999999</v>
      </c>
      <c r="T64">
        <v>262.97199999999998</v>
      </c>
      <c r="U64">
        <v>261.18400000000003</v>
      </c>
      <c r="V64">
        <v>181.81800000000001</v>
      </c>
      <c r="W64">
        <v>325.37599999999998</v>
      </c>
      <c r="X64">
        <v>260.10599999999999</v>
      </c>
      <c r="Y64">
        <v>508.78800000000001</v>
      </c>
      <c r="Z64">
        <v>69.474000000000004</v>
      </c>
      <c r="AA64">
        <v>22.292999999999999</v>
      </c>
      <c r="AB64">
        <v>114.483</v>
      </c>
      <c r="AC64">
        <v>1792.02</v>
      </c>
      <c r="AD64">
        <v>251.37100000000001</v>
      </c>
      <c r="AE64">
        <v>1386.57</v>
      </c>
      <c r="AF64">
        <v>1906.0609999999999</v>
      </c>
      <c r="AG64">
        <v>1174.204</v>
      </c>
      <c r="AH64">
        <v>1932.079</v>
      </c>
      <c r="AI64">
        <v>958.54899999999998</v>
      </c>
      <c r="AJ64">
        <v>759.99900000000002</v>
      </c>
      <c r="AK64">
        <v>197.005</v>
      </c>
      <c r="AL64">
        <v>560.61199999999997</v>
      </c>
      <c r="AM64">
        <v>83.051000000000002</v>
      </c>
      <c r="AN64">
        <v>108.584</v>
      </c>
      <c r="AO64">
        <v>95.947000000000003</v>
      </c>
      <c r="AP64">
        <v>257.45499999999998</v>
      </c>
      <c r="AQ64">
        <v>160.60599999999999</v>
      </c>
      <c r="AR64">
        <v>592.678</v>
      </c>
      <c r="AS64">
        <v>360.68</v>
      </c>
      <c r="AT64">
        <v>673.673</v>
      </c>
      <c r="AU64">
        <v>308.49700000000001</v>
      </c>
      <c r="AV64">
        <v>336.86599999999999</v>
      </c>
      <c r="AW64">
        <v>133.63300000000001</v>
      </c>
      <c r="AX64">
        <v>334.98500000000001</v>
      </c>
      <c r="AY64">
        <v>0</v>
      </c>
      <c r="AZ64">
        <v>1733.84</v>
      </c>
      <c r="BA64">
        <v>1.1950000000000001</v>
      </c>
      <c r="BB64">
        <v>0.29799999999999999</v>
      </c>
      <c r="BC64">
        <v>38.491999999999997</v>
      </c>
      <c r="BD64">
        <v>4.8739999999999997</v>
      </c>
      <c r="BE64">
        <v>76.516999999999996</v>
      </c>
      <c r="BF64">
        <v>0</v>
      </c>
      <c r="BG64">
        <v>0</v>
      </c>
      <c r="BH64">
        <v>0</v>
      </c>
      <c r="BI64">
        <v>30634.688999999998</v>
      </c>
    </row>
    <row r="65" spans="1:61">
      <c r="A65" t="s">
        <v>451</v>
      </c>
      <c r="B65">
        <v>1120.1949999999999</v>
      </c>
      <c r="C65">
        <v>6.3019999999999996</v>
      </c>
      <c r="D65">
        <v>23.588000000000001</v>
      </c>
      <c r="E65">
        <v>1.7150000000000001</v>
      </c>
      <c r="F65">
        <v>0.47399999999999998</v>
      </c>
      <c r="G65">
        <v>1.149</v>
      </c>
      <c r="H65">
        <v>36.186999999999998</v>
      </c>
      <c r="I65">
        <v>8.1000000000000003E-2</v>
      </c>
      <c r="J65">
        <v>808.40099999999995</v>
      </c>
      <c r="K65">
        <v>1585.2439999999999</v>
      </c>
      <c r="L65">
        <v>151.46199999999999</v>
      </c>
      <c r="M65">
        <v>804.85599999999999</v>
      </c>
      <c r="N65">
        <v>699.86800000000005</v>
      </c>
      <c r="O65">
        <v>18670.744999999999</v>
      </c>
      <c r="P65">
        <v>786.34400000000005</v>
      </c>
      <c r="Q65">
        <v>6159.0860000000002</v>
      </c>
      <c r="R65">
        <v>604.99199999999996</v>
      </c>
      <c r="S65">
        <v>390.31599999999997</v>
      </c>
      <c r="T65">
        <v>285.63400000000001</v>
      </c>
      <c r="U65">
        <v>547.70399999999995</v>
      </c>
      <c r="V65">
        <v>1229.8009999999999</v>
      </c>
      <c r="W65">
        <v>780</v>
      </c>
      <c r="X65">
        <v>511.37400000000002</v>
      </c>
      <c r="Y65">
        <v>1094.886</v>
      </c>
      <c r="Z65">
        <v>306.51299999999998</v>
      </c>
      <c r="AA65">
        <v>40.615000000000002</v>
      </c>
      <c r="AB65">
        <v>442.8</v>
      </c>
      <c r="AC65">
        <v>109.227</v>
      </c>
      <c r="AD65">
        <v>154.018</v>
      </c>
      <c r="AE65">
        <v>867.91700000000003</v>
      </c>
      <c r="AF65">
        <v>324.12</v>
      </c>
      <c r="AG65">
        <v>18.693000000000001</v>
      </c>
      <c r="AH65">
        <v>32.783000000000001</v>
      </c>
      <c r="AI65">
        <v>12.433999999999999</v>
      </c>
      <c r="AJ65">
        <v>76.998999999999995</v>
      </c>
      <c r="AK65">
        <v>6.1210000000000004</v>
      </c>
      <c r="AL65">
        <v>296.43900000000002</v>
      </c>
      <c r="AM65">
        <v>117.256</v>
      </c>
      <c r="AN65">
        <v>10.441000000000001</v>
      </c>
      <c r="AO65">
        <v>34.625</v>
      </c>
      <c r="AP65">
        <v>24.707000000000001</v>
      </c>
      <c r="AQ65">
        <v>306.79300000000001</v>
      </c>
      <c r="AR65">
        <v>401.70499999999998</v>
      </c>
      <c r="AS65">
        <v>163.45099999999999</v>
      </c>
      <c r="AT65">
        <v>99.001000000000005</v>
      </c>
      <c r="AU65">
        <v>161.072</v>
      </c>
      <c r="AV65">
        <v>723.58900000000006</v>
      </c>
      <c r="AW65">
        <v>53.768000000000001</v>
      </c>
      <c r="AX65">
        <v>373.53699999999998</v>
      </c>
      <c r="AY65">
        <v>0</v>
      </c>
      <c r="AZ65">
        <v>1960.9269999999999</v>
      </c>
      <c r="BA65">
        <v>2.5659999999999998</v>
      </c>
      <c r="BB65">
        <v>1.206</v>
      </c>
      <c r="BC65">
        <v>76.897000000000006</v>
      </c>
      <c r="BD65">
        <v>5.5430000000000001</v>
      </c>
      <c r="BE65">
        <v>31.501000000000001</v>
      </c>
      <c r="BF65">
        <v>0</v>
      </c>
      <c r="BG65">
        <v>0</v>
      </c>
      <c r="BH65">
        <v>0</v>
      </c>
      <c r="BI65">
        <v>43537.667999999998</v>
      </c>
    </row>
    <row r="66" spans="1:61">
      <c r="A66" t="s">
        <v>450</v>
      </c>
      <c r="B66">
        <v>97.691999999999993</v>
      </c>
      <c r="C66">
        <v>0.22700000000000001</v>
      </c>
      <c r="D66">
        <v>7.0650000000000004</v>
      </c>
      <c r="E66">
        <v>0.114</v>
      </c>
      <c r="F66">
        <v>4.3999999999999997E-2</v>
      </c>
      <c r="G66">
        <v>0.09</v>
      </c>
      <c r="H66">
        <v>1.109</v>
      </c>
      <c r="I66">
        <v>3.0000000000000001E-3</v>
      </c>
      <c r="J66">
        <v>130.923</v>
      </c>
      <c r="K66">
        <v>25.594000000000001</v>
      </c>
      <c r="L66">
        <v>2.0030000000000001</v>
      </c>
      <c r="M66">
        <v>7.9749999999999996</v>
      </c>
      <c r="N66">
        <v>13.093999999999999</v>
      </c>
      <c r="O66">
        <v>330.51900000000001</v>
      </c>
      <c r="P66">
        <v>1675.7529999999999</v>
      </c>
      <c r="Q66">
        <v>49.904000000000003</v>
      </c>
      <c r="R66">
        <v>6.8129999999999997</v>
      </c>
      <c r="S66">
        <v>12.188000000000001</v>
      </c>
      <c r="T66">
        <v>6.7110000000000003</v>
      </c>
      <c r="U66">
        <v>8.2230000000000008</v>
      </c>
      <c r="V66">
        <v>36.533999999999999</v>
      </c>
      <c r="W66">
        <v>11.188000000000001</v>
      </c>
      <c r="X66">
        <v>31.614000000000001</v>
      </c>
      <c r="Y66">
        <v>18.09</v>
      </c>
      <c r="Z66">
        <v>4.2880000000000003</v>
      </c>
      <c r="AA66">
        <v>1.3480000000000001</v>
      </c>
      <c r="AB66">
        <v>20.53</v>
      </c>
      <c r="AC66">
        <v>14.08</v>
      </c>
      <c r="AD66">
        <v>13.105</v>
      </c>
      <c r="AE66">
        <v>19.8</v>
      </c>
      <c r="AF66">
        <v>55.56</v>
      </c>
      <c r="AG66">
        <v>2.601</v>
      </c>
      <c r="AH66">
        <v>5.415</v>
      </c>
      <c r="AI66">
        <v>1.7310000000000001</v>
      </c>
      <c r="AJ66">
        <v>5.4560000000000004</v>
      </c>
      <c r="AK66">
        <v>1.681</v>
      </c>
      <c r="AL66">
        <v>16.57</v>
      </c>
      <c r="AM66">
        <v>5.2889999999999997</v>
      </c>
      <c r="AN66">
        <v>2.5609999999999999</v>
      </c>
      <c r="AO66">
        <v>2.8050000000000002</v>
      </c>
      <c r="AP66">
        <v>4.7990000000000004</v>
      </c>
      <c r="AQ66">
        <v>6.78</v>
      </c>
      <c r="AR66">
        <v>211.23099999999999</v>
      </c>
      <c r="AS66">
        <v>7.6020000000000003</v>
      </c>
      <c r="AT66">
        <v>149.471</v>
      </c>
      <c r="AU66">
        <v>59.947000000000003</v>
      </c>
      <c r="AV66">
        <v>4009.279</v>
      </c>
      <c r="AW66">
        <v>24.015000000000001</v>
      </c>
      <c r="AX66">
        <v>39.356000000000002</v>
      </c>
      <c r="AY66">
        <v>0</v>
      </c>
      <c r="AZ66">
        <v>1485.26</v>
      </c>
      <c r="BA66">
        <v>5.4089999999999998</v>
      </c>
      <c r="BB66">
        <v>5.4320000000000004</v>
      </c>
      <c r="BC66">
        <v>229.22900000000001</v>
      </c>
      <c r="BD66">
        <v>4</v>
      </c>
      <c r="BE66">
        <v>19.678000000000001</v>
      </c>
      <c r="BF66">
        <v>0</v>
      </c>
      <c r="BG66">
        <v>0</v>
      </c>
      <c r="BH66">
        <v>0</v>
      </c>
      <c r="BI66">
        <v>8907.7790000000005</v>
      </c>
    </row>
    <row r="67" spans="1:61">
      <c r="A67" t="s">
        <v>449</v>
      </c>
      <c r="B67">
        <v>46.613</v>
      </c>
      <c r="C67">
        <v>1.7509999999999999</v>
      </c>
      <c r="D67">
        <v>9.9629999999999992</v>
      </c>
      <c r="E67">
        <v>0.371</v>
      </c>
      <c r="F67">
        <v>0.11600000000000001</v>
      </c>
      <c r="G67">
        <v>0.123</v>
      </c>
      <c r="H67">
        <v>4.0149999999999997</v>
      </c>
      <c r="I67">
        <v>1.0999999999999999E-2</v>
      </c>
      <c r="J67">
        <v>618.21299999999997</v>
      </c>
      <c r="K67">
        <v>181.49700000000001</v>
      </c>
      <c r="L67">
        <v>21.04</v>
      </c>
      <c r="M67">
        <v>131.989</v>
      </c>
      <c r="N67">
        <v>21.852</v>
      </c>
      <c r="O67">
        <v>508.46699999999998</v>
      </c>
      <c r="P67">
        <v>83.296999999999997</v>
      </c>
      <c r="Q67">
        <v>1336.432</v>
      </c>
      <c r="R67">
        <v>71.108000000000004</v>
      </c>
      <c r="S67">
        <v>37.186999999999998</v>
      </c>
      <c r="T67">
        <v>40.183999999999997</v>
      </c>
      <c r="U67">
        <v>192.22399999999999</v>
      </c>
      <c r="V67">
        <v>576.53099999999995</v>
      </c>
      <c r="W67">
        <v>471.59300000000002</v>
      </c>
      <c r="X67">
        <v>434.22500000000002</v>
      </c>
      <c r="Y67">
        <v>1270.4269999999999</v>
      </c>
      <c r="Z67">
        <v>63.825000000000003</v>
      </c>
      <c r="AA67">
        <v>42.609000000000002</v>
      </c>
      <c r="AB67">
        <v>153.464</v>
      </c>
      <c r="AC67">
        <v>20.166</v>
      </c>
      <c r="AD67">
        <v>33.439</v>
      </c>
      <c r="AE67">
        <v>730.52499999999998</v>
      </c>
      <c r="AF67">
        <v>508.22199999999998</v>
      </c>
      <c r="AG67">
        <v>32.384999999999998</v>
      </c>
      <c r="AH67">
        <v>11.925000000000001</v>
      </c>
      <c r="AI67">
        <v>2.6309999999999998</v>
      </c>
      <c r="AJ67">
        <v>35.561999999999998</v>
      </c>
      <c r="AK67">
        <v>6.335</v>
      </c>
      <c r="AL67">
        <v>88.35</v>
      </c>
      <c r="AM67">
        <v>18.507999999999999</v>
      </c>
      <c r="AN67">
        <v>10.284000000000001</v>
      </c>
      <c r="AO67">
        <v>6.4489999999999998</v>
      </c>
      <c r="AP67">
        <v>14.173</v>
      </c>
      <c r="AQ67">
        <v>103.742</v>
      </c>
      <c r="AR67">
        <v>76.295000000000002</v>
      </c>
      <c r="AS67">
        <v>46.713999999999999</v>
      </c>
      <c r="AT67">
        <v>24.9</v>
      </c>
      <c r="AU67">
        <v>33.762999999999998</v>
      </c>
      <c r="AV67">
        <v>61.540999999999997</v>
      </c>
      <c r="AW67">
        <v>14.179</v>
      </c>
      <c r="AX67">
        <v>62.298999999999999</v>
      </c>
      <c r="AY67">
        <v>0</v>
      </c>
      <c r="AZ67">
        <v>153.71799999999999</v>
      </c>
      <c r="BA67">
        <v>0.109</v>
      </c>
      <c r="BB67">
        <v>0.40500000000000003</v>
      </c>
      <c r="BC67">
        <v>61.375999999999998</v>
      </c>
      <c r="BD67">
        <v>5.0949999999999998</v>
      </c>
      <c r="BE67">
        <v>3.778</v>
      </c>
      <c r="BF67">
        <v>0</v>
      </c>
      <c r="BG67">
        <v>0</v>
      </c>
      <c r="BH67">
        <v>0</v>
      </c>
      <c r="BI67">
        <v>8485.9940000000006</v>
      </c>
    </row>
    <row r="68" spans="1:61">
      <c r="A68" t="s">
        <v>448</v>
      </c>
      <c r="B68">
        <v>17.308</v>
      </c>
      <c r="C68">
        <v>0.60899999999999999</v>
      </c>
      <c r="D68">
        <v>1.222</v>
      </c>
      <c r="E68">
        <v>9.7000000000000003E-2</v>
      </c>
      <c r="F68">
        <v>6.4000000000000001E-2</v>
      </c>
      <c r="G68">
        <v>0.13500000000000001</v>
      </c>
      <c r="H68">
        <v>4.6929999999999996</v>
      </c>
      <c r="I68">
        <v>6.0000000000000001E-3</v>
      </c>
      <c r="J68">
        <v>137.19300000000001</v>
      </c>
      <c r="K68">
        <v>15.932</v>
      </c>
      <c r="L68">
        <v>11.317</v>
      </c>
      <c r="M68">
        <v>5.2450000000000001</v>
      </c>
      <c r="N68">
        <v>12.092000000000001</v>
      </c>
      <c r="O68">
        <v>121.66</v>
      </c>
      <c r="P68">
        <v>21.613</v>
      </c>
      <c r="Q68">
        <v>81.494</v>
      </c>
      <c r="R68">
        <v>832.79300000000001</v>
      </c>
      <c r="S68">
        <v>154.31200000000001</v>
      </c>
      <c r="T68">
        <v>39.058</v>
      </c>
      <c r="U68">
        <v>79.263000000000005</v>
      </c>
      <c r="V68">
        <v>209.36500000000001</v>
      </c>
      <c r="W68">
        <v>116.78400000000001</v>
      </c>
      <c r="X68">
        <v>72.745000000000005</v>
      </c>
      <c r="Y68">
        <v>211.26900000000001</v>
      </c>
      <c r="Z68">
        <v>39.384999999999998</v>
      </c>
      <c r="AA68">
        <v>5.2919999999999998</v>
      </c>
      <c r="AB68">
        <v>32.771999999999998</v>
      </c>
      <c r="AC68">
        <v>23.446000000000002</v>
      </c>
      <c r="AD68">
        <v>10.401</v>
      </c>
      <c r="AE68">
        <v>3113.1460000000002</v>
      </c>
      <c r="AF68">
        <v>57.411000000000001</v>
      </c>
      <c r="AG68">
        <v>2.95</v>
      </c>
      <c r="AH68">
        <v>8.4190000000000005</v>
      </c>
      <c r="AI68">
        <v>1.151</v>
      </c>
      <c r="AJ68">
        <v>9.77</v>
      </c>
      <c r="AK68">
        <v>1.099</v>
      </c>
      <c r="AL68">
        <v>64.248999999999995</v>
      </c>
      <c r="AM68">
        <v>1.43</v>
      </c>
      <c r="AN68">
        <v>2.3650000000000002</v>
      </c>
      <c r="AO68">
        <v>1.268</v>
      </c>
      <c r="AP68">
        <v>4.8099999999999996</v>
      </c>
      <c r="AQ68">
        <v>261.54599999999999</v>
      </c>
      <c r="AR68">
        <v>38.499000000000002</v>
      </c>
      <c r="AS68">
        <v>9.8290000000000006</v>
      </c>
      <c r="AT68">
        <v>13.039</v>
      </c>
      <c r="AU68">
        <v>27.588999999999999</v>
      </c>
      <c r="AV68">
        <v>19.41</v>
      </c>
      <c r="AW68">
        <v>5.8250000000000002</v>
      </c>
      <c r="AX68">
        <v>22.876999999999999</v>
      </c>
      <c r="AY68">
        <v>0</v>
      </c>
      <c r="AZ68">
        <v>57.865000000000002</v>
      </c>
      <c r="BA68">
        <v>4.1000000000000002E-2</v>
      </c>
      <c r="BB68">
        <v>0.13200000000000001</v>
      </c>
      <c r="BC68">
        <v>24.2</v>
      </c>
      <c r="BD68">
        <v>1.9079999999999999</v>
      </c>
      <c r="BE68">
        <v>2.6949999999999998</v>
      </c>
      <c r="BF68">
        <v>0</v>
      </c>
      <c r="BG68">
        <v>0</v>
      </c>
      <c r="BH68">
        <v>0</v>
      </c>
      <c r="BI68">
        <v>6011.0940000000001</v>
      </c>
    </row>
    <row r="69" spans="1:61">
      <c r="A69" t="s">
        <v>447</v>
      </c>
      <c r="B69">
        <v>9.2889999999999997</v>
      </c>
      <c r="C69">
        <v>0.77</v>
      </c>
      <c r="D69">
        <v>3.681</v>
      </c>
      <c r="E69">
        <v>0.40500000000000003</v>
      </c>
      <c r="F69">
        <v>0.33900000000000002</v>
      </c>
      <c r="G69">
        <v>0.186</v>
      </c>
      <c r="H69">
        <v>2.129</v>
      </c>
      <c r="I69">
        <v>1.4999999999999999E-2</v>
      </c>
      <c r="J69">
        <v>22.846</v>
      </c>
      <c r="K69">
        <v>10.874000000000001</v>
      </c>
      <c r="L69">
        <v>6.8520000000000003</v>
      </c>
      <c r="M69">
        <v>8.6129999999999995</v>
      </c>
      <c r="N69">
        <v>33.244</v>
      </c>
      <c r="O69">
        <v>69.866</v>
      </c>
      <c r="P69">
        <v>2.774</v>
      </c>
      <c r="Q69">
        <v>86.028000000000006</v>
      </c>
      <c r="R69">
        <v>80.066999999999993</v>
      </c>
      <c r="S69">
        <v>5235.13</v>
      </c>
      <c r="T69">
        <v>235.714</v>
      </c>
      <c r="U69">
        <v>3309.98</v>
      </c>
      <c r="V69">
        <v>378.06</v>
      </c>
      <c r="W69">
        <v>593.00900000000001</v>
      </c>
      <c r="X69">
        <v>2119.4630000000002</v>
      </c>
      <c r="Y69">
        <v>1653.6189999999999</v>
      </c>
      <c r="Z69">
        <v>455.71800000000002</v>
      </c>
      <c r="AA69">
        <v>134.71100000000001</v>
      </c>
      <c r="AB69">
        <v>101.059</v>
      </c>
      <c r="AC69">
        <v>49.411000000000001</v>
      </c>
      <c r="AD69">
        <v>68.438000000000002</v>
      </c>
      <c r="AE69">
        <v>1280.6859999999999</v>
      </c>
      <c r="AF69">
        <v>53.3</v>
      </c>
      <c r="AG69">
        <v>10.287000000000001</v>
      </c>
      <c r="AH69">
        <v>19.254999999999999</v>
      </c>
      <c r="AI69">
        <v>7.8360000000000003</v>
      </c>
      <c r="AJ69">
        <v>18.698</v>
      </c>
      <c r="AK69">
        <v>1.7350000000000001</v>
      </c>
      <c r="AL69">
        <v>8.2449999999999992</v>
      </c>
      <c r="AM69">
        <v>1.3009999999999999</v>
      </c>
      <c r="AN69">
        <v>2.2000000000000002</v>
      </c>
      <c r="AO69">
        <v>1.5509999999999999</v>
      </c>
      <c r="AP69">
        <v>3.044</v>
      </c>
      <c r="AQ69">
        <v>32.457000000000001</v>
      </c>
      <c r="AR69">
        <v>43.921999999999997</v>
      </c>
      <c r="AS69">
        <v>7.7560000000000002</v>
      </c>
      <c r="AT69">
        <v>10.603</v>
      </c>
      <c r="AU69">
        <v>7.8659999999999997</v>
      </c>
      <c r="AV69">
        <v>5.452</v>
      </c>
      <c r="AW69">
        <v>4.3630000000000004</v>
      </c>
      <c r="AX69">
        <v>20.024000000000001</v>
      </c>
      <c r="AY69">
        <v>0</v>
      </c>
      <c r="AZ69">
        <v>14.851000000000001</v>
      </c>
      <c r="BA69">
        <v>1.6E-2</v>
      </c>
      <c r="BB69">
        <v>1.9E-2</v>
      </c>
      <c r="BC69">
        <v>13.177</v>
      </c>
      <c r="BD69">
        <v>1.226</v>
      </c>
      <c r="BE69">
        <v>0.52100000000000002</v>
      </c>
      <c r="BF69">
        <v>0</v>
      </c>
      <c r="BG69">
        <v>0</v>
      </c>
      <c r="BH69">
        <v>0</v>
      </c>
      <c r="BI69">
        <v>16242.682000000001</v>
      </c>
    </row>
    <row r="70" spans="1:61">
      <c r="A70" t="s">
        <v>446</v>
      </c>
      <c r="B70">
        <v>4.6210000000000004</v>
      </c>
      <c r="C70">
        <v>0.44500000000000001</v>
      </c>
      <c r="D70">
        <v>0.27200000000000002</v>
      </c>
      <c r="E70">
        <v>6.2E-2</v>
      </c>
      <c r="F70">
        <v>9.4E-2</v>
      </c>
      <c r="G70">
        <v>9.0999999999999998E-2</v>
      </c>
      <c r="H70">
        <v>1.0389999999999999</v>
      </c>
      <c r="I70">
        <v>3.0000000000000001E-3</v>
      </c>
      <c r="J70">
        <v>83.855999999999995</v>
      </c>
      <c r="K70">
        <v>22.152000000000001</v>
      </c>
      <c r="L70">
        <v>8.4190000000000005</v>
      </c>
      <c r="M70">
        <v>20.936</v>
      </c>
      <c r="N70">
        <v>9.4939999999999998</v>
      </c>
      <c r="O70">
        <v>383.1</v>
      </c>
      <c r="P70">
        <v>12.647</v>
      </c>
      <c r="Q70">
        <v>107.675</v>
      </c>
      <c r="R70">
        <v>54.712000000000003</v>
      </c>
      <c r="S70">
        <v>1384.2239999999999</v>
      </c>
      <c r="T70">
        <v>6700.3860000000004</v>
      </c>
      <c r="U70">
        <v>2610.143</v>
      </c>
      <c r="V70">
        <v>1666.6990000000001</v>
      </c>
      <c r="W70">
        <v>2564.1179999999999</v>
      </c>
      <c r="X70">
        <v>1463.9559999999999</v>
      </c>
      <c r="Y70">
        <v>1512.982</v>
      </c>
      <c r="Z70">
        <v>208.09200000000001</v>
      </c>
      <c r="AA70">
        <v>112.008</v>
      </c>
      <c r="AB70">
        <v>280.59199999999998</v>
      </c>
      <c r="AC70">
        <v>28.687000000000001</v>
      </c>
      <c r="AD70">
        <v>106.238</v>
      </c>
      <c r="AE70">
        <v>531.13599999999997</v>
      </c>
      <c r="AF70">
        <v>63.741999999999997</v>
      </c>
      <c r="AG70">
        <v>1.8859999999999999</v>
      </c>
      <c r="AH70">
        <v>4.3390000000000004</v>
      </c>
      <c r="AI70">
        <v>0.20699999999999999</v>
      </c>
      <c r="AJ70">
        <v>6.7359999999999998</v>
      </c>
      <c r="AK70">
        <v>0.31</v>
      </c>
      <c r="AL70">
        <v>16.995999999999999</v>
      </c>
      <c r="AM70">
        <v>2.4180000000000001</v>
      </c>
      <c r="AN70">
        <v>1.232</v>
      </c>
      <c r="AO70">
        <v>0.89</v>
      </c>
      <c r="AP70">
        <v>2.11</v>
      </c>
      <c r="AQ70">
        <v>23.253</v>
      </c>
      <c r="AR70">
        <v>25.11</v>
      </c>
      <c r="AS70">
        <v>2.972</v>
      </c>
      <c r="AT70">
        <v>6.1950000000000003</v>
      </c>
      <c r="AU70">
        <v>2.0990000000000002</v>
      </c>
      <c r="AV70">
        <v>6.8550000000000004</v>
      </c>
      <c r="AW70">
        <v>3.6520000000000001</v>
      </c>
      <c r="AX70">
        <v>32.656999999999996</v>
      </c>
      <c r="AY70">
        <v>0</v>
      </c>
      <c r="AZ70">
        <v>20.367000000000001</v>
      </c>
      <c r="BA70">
        <v>1.6E-2</v>
      </c>
      <c r="BB70">
        <v>2.5999999999999999E-2</v>
      </c>
      <c r="BC70">
        <v>23.646000000000001</v>
      </c>
      <c r="BD70">
        <v>2.218</v>
      </c>
      <c r="BE70">
        <v>0.751</v>
      </c>
      <c r="BF70">
        <v>0</v>
      </c>
      <c r="BG70">
        <v>0</v>
      </c>
      <c r="BH70">
        <v>0</v>
      </c>
      <c r="BI70">
        <v>20129.561000000002</v>
      </c>
    </row>
    <row r="71" spans="1:61">
      <c r="A71" t="s">
        <v>445</v>
      </c>
      <c r="B71">
        <v>24.228000000000002</v>
      </c>
      <c r="C71">
        <v>2.0760000000000001</v>
      </c>
      <c r="D71">
        <v>4.657</v>
      </c>
      <c r="E71">
        <v>0.66300000000000003</v>
      </c>
      <c r="F71">
        <v>0.254</v>
      </c>
      <c r="G71">
        <v>0.215</v>
      </c>
      <c r="H71">
        <v>4.66</v>
      </c>
      <c r="I71">
        <v>3.3000000000000002E-2</v>
      </c>
      <c r="J71">
        <v>191.053</v>
      </c>
      <c r="K71">
        <v>35.131</v>
      </c>
      <c r="L71">
        <v>23.776</v>
      </c>
      <c r="M71">
        <v>20.437000000000001</v>
      </c>
      <c r="N71">
        <v>27.369</v>
      </c>
      <c r="O71">
        <v>165.03800000000001</v>
      </c>
      <c r="P71">
        <v>12.993</v>
      </c>
      <c r="Q71">
        <v>94.588999999999999</v>
      </c>
      <c r="R71">
        <v>58.661999999999999</v>
      </c>
      <c r="S71">
        <v>306.91800000000001</v>
      </c>
      <c r="T71">
        <v>101.715</v>
      </c>
      <c r="U71">
        <v>1377.3340000000001</v>
      </c>
      <c r="V71">
        <v>438.86700000000002</v>
      </c>
      <c r="W71">
        <v>407.488</v>
      </c>
      <c r="X71">
        <v>1342.8810000000001</v>
      </c>
      <c r="Y71">
        <v>1063.8779999999999</v>
      </c>
      <c r="Z71">
        <v>338.697</v>
      </c>
      <c r="AA71">
        <v>70.917000000000002</v>
      </c>
      <c r="AB71">
        <v>120.878</v>
      </c>
      <c r="AC71">
        <v>59.734000000000002</v>
      </c>
      <c r="AD71">
        <v>19.837</v>
      </c>
      <c r="AE71">
        <v>1264.7470000000001</v>
      </c>
      <c r="AF71">
        <v>122.471</v>
      </c>
      <c r="AG71">
        <v>6.2640000000000002</v>
      </c>
      <c r="AH71">
        <v>11.941000000000001</v>
      </c>
      <c r="AI71">
        <v>4.4690000000000003</v>
      </c>
      <c r="AJ71">
        <v>21.888999999999999</v>
      </c>
      <c r="AK71">
        <v>1.621</v>
      </c>
      <c r="AL71">
        <v>55.777999999999999</v>
      </c>
      <c r="AM71">
        <v>5.2720000000000002</v>
      </c>
      <c r="AN71">
        <v>13.347</v>
      </c>
      <c r="AO71">
        <v>7.11</v>
      </c>
      <c r="AP71">
        <v>5.2450000000000001</v>
      </c>
      <c r="AQ71">
        <v>97.697000000000003</v>
      </c>
      <c r="AR71">
        <v>72.129000000000005</v>
      </c>
      <c r="AS71">
        <v>32.155000000000001</v>
      </c>
      <c r="AT71">
        <v>67.834000000000003</v>
      </c>
      <c r="AU71">
        <v>21.783999999999999</v>
      </c>
      <c r="AV71">
        <v>22.550999999999998</v>
      </c>
      <c r="AW71">
        <v>9.8949999999999996</v>
      </c>
      <c r="AX71">
        <v>50.210999999999999</v>
      </c>
      <c r="AY71">
        <v>0</v>
      </c>
      <c r="AZ71">
        <v>225.666</v>
      </c>
      <c r="BA71">
        <v>0.128</v>
      </c>
      <c r="BB71">
        <v>0.48499999999999999</v>
      </c>
      <c r="BC71">
        <v>1167.018</v>
      </c>
      <c r="BD71">
        <v>112.005</v>
      </c>
      <c r="BE71">
        <v>4.6900000000000004</v>
      </c>
      <c r="BF71">
        <v>0</v>
      </c>
      <c r="BG71">
        <v>0</v>
      </c>
      <c r="BH71">
        <v>0</v>
      </c>
      <c r="BI71">
        <v>9719.3819999999996</v>
      </c>
    </row>
    <row r="72" spans="1:61">
      <c r="A72" t="s">
        <v>444</v>
      </c>
      <c r="B72">
        <v>17.483000000000001</v>
      </c>
      <c r="C72">
        <v>1.8169999999999999</v>
      </c>
      <c r="D72">
        <v>7.5880000000000001</v>
      </c>
      <c r="E72">
        <v>0.32200000000000001</v>
      </c>
      <c r="F72">
        <v>0.24</v>
      </c>
      <c r="G72">
        <v>0.156</v>
      </c>
      <c r="H72">
        <v>3.6190000000000002</v>
      </c>
      <c r="I72">
        <v>2.1999999999999999E-2</v>
      </c>
      <c r="J72">
        <v>69.861999999999995</v>
      </c>
      <c r="K72">
        <v>32.198</v>
      </c>
      <c r="L72">
        <v>5.468</v>
      </c>
      <c r="M72">
        <v>41.970999999999997</v>
      </c>
      <c r="N72">
        <v>44.298000000000002</v>
      </c>
      <c r="O72">
        <v>239.57499999999999</v>
      </c>
      <c r="P72">
        <v>26.15</v>
      </c>
      <c r="Q72">
        <v>76.796999999999997</v>
      </c>
      <c r="R72">
        <v>39.878</v>
      </c>
      <c r="S72">
        <v>62.076000000000001</v>
      </c>
      <c r="T72">
        <v>48.856999999999999</v>
      </c>
      <c r="U72">
        <v>277.80200000000002</v>
      </c>
      <c r="V72">
        <v>45007.983</v>
      </c>
      <c r="W72">
        <v>3493.8090000000002</v>
      </c>
      <c r="X72">
        <v>2296.623</v>
      </c>
      <c r="Y72">
        <v>1738.075</v>
      </c>
      <c r="Z72">
        <v>671.39499999999998</v>
      </c>
      <c r="AA72">
        <v>110.73</v>
      </c>
      <c r="AB72">
        <v>205.80199999999999</v>
      </c>
      <c r="AC72">
        <v>248.83699999999999</v>
      </c>
      <c r="AD72">
        <v>34.948999999999998</v>
      </c>
      <c r="AE72">
        <v>770.56399999999996</v>
      </c>
      <c r="AF72">
        <v>853.495</v>
      </c>
      <c r="AG72">
        <v>14.701000000000001</v>
      </c>
      <c r="AH72">
        <v>43.29</v>
      </c>
      <c r="AI72">
        <v>20.57</v>
      </c>
      <c r="AJ72">
        <v>107.244</v>
      </c>
      <c r="AK72">
        <v>34.26</v>
      </c>
      <c r="AL72">
        <v>123.255</v>
      </c>
      <c r="AM72">
        <v>227.102</v>
      </c>
      <c r="AN72">
        <v>1463.2929999999999</v>
      </c>
      <c r="AO72">
        <v>769.87599999999998</v>
      </c>
      <c r="AP72">
        <v>160.22999999999999</v>
      </c>
      <c r="AQ72">
        <v>70.010000000000005</v>
      </c>
      <c r="AR72">
        <v>851.31200000000001</v>
      </c>
      <c r="AS72">
        <v>207.08699999999999</v>
      </c>
      <c r="AT72">
        <v>275.09300000000002</v>
      </c>
      <c r="AU72">
        <v>322.49599999999998</v>
      </c>
      <c r="AV72">
        <v>612.72900000000004</v>
      </c>
      <c r="AW72">
        <v>97.759</v>
      </c>
      <c r="AX72">
        <v>964.30899999999997</v>
      </c>
      <c r="AY72">
        <v>0</v>
      </c>
      <c r="AZ72">
        <v>9918.3549999999996</v>
      </c>
      <c r="BA72">
        <v>6.3470000000000004</v>
      </c>
      <c r="BB72">
        <v>8.6430000000000007</v>
      </c>
      <c r="BC72">
        <v>19779.278999999999</v>
      </c>
      <c r="BD72">
        <v>1873.66</v>
      </c>
      <c r="BE72">
        <v>25.311</v>
      </c>
      <c r="BF72">
        <v>0</v>
      </c>
      <c r="BG72">
        <v>0</v>
      </c>
      <c r="BH72">
        <v>0</v>
      </c>
      <c r="BI72">
        <v>94404.653000000006</v>
      </c>
    </row>
    <row r="73" spans="1:61">
      <c r="A73" t="s">
        <v>443</v>
      </c>
      <c r="B73">
        <v>21</v>
      </c>
      <c r="C73">
        <v>1.0960000000000001</v>
      </c>
      <c r="D73">
        <v>8.8849999999999998</v>
      </c>
      <c r="E73">
        <v>0.442</v>
      </c>
      <c r="F73">
        <v>0.123</v>
      </c>
      <c r="G73">
        <v>0.251</v>
      </c>
      <c r="H73">
        <v>7.6680000000000001</v>
      </c>
      <c r="I73">
        <v>3.4000000000000002E-2</v>
      </c>
      <c r="J73">
        <v>64.295000000000002</v>
      </c>
      <c r="K73">
        <v>19.13</v>
      </c>
      <c r="L73">
        <v>4.931</v>
      </c>
      <c r="M73">
        <v>27.638000000000002</v>
      </c>
      <c r="N73">
        <v>17.454999999999998</v>
      </c>
      <c r="O73">
        <v>104.122</v>
      </c>
      <c r="P73">
        <v>12.053000000000001</v>
      </c>
      <c r="Q73">
        <v>61.405000000000001</v>
      </c>
      <c r="R73">
        <v>39.69</v>
      </c>
      <c r="S73">
        <v>92.662999999999997</v>
      </c>
      <c r="T73">
        <v>73.784999999999997</v>
      </c>
      <c r="U73">
        <v>266.79300000000001</v>
      </c>
      <c r="V73">
        <v>3187.9290000000001</v>
      </c>
      <c r="W73">
        <v>6645.2719999999999</v>
      </c>
      <c r="X73">
        <v>1797.481</v>
      </c>
      <c r="Y73">
        <v>2571.848</v>
      </c>
      <c r="Z73">
        <v>254.38200000000001</v>
      </c>
      <c r="AA73">
        <v>107.336</v>
      </c>
      <c r="AB73">
        <v>119.764</v>
      </c>
      <c r="AC73">
        <v>659.17499999999995</v>
      </c>
      <c r="AD73">
        <v>36.212000000000003</v>
      </c>
      <c r="AE73">
        <v>2071.5569999999998</v>
      </c>
      <c r="AF73">
        <v>480.13200000000001</v>
      </c>
      <c r="AG73">
        <v>21.728999999999999</v>
      </c>
      <c r="AH73">
        <v>40.561999999999998</v>
      </c>
      <c r="AI73">
        <v>9.0679999999999996</v>
      </c>
      <c r="AJ73">
        <v>47.8</v>
      </c>
      <c r="AK73">
        <v>6.2839999999999998</v>
      </c>
      <c r="AL73">
        <v>82.203999999999994</v>
      </c>
      <c r="AM73">
        <v>36.305</v>
      </c>
      <c r="AN73">
        <v>254.965</v>
      </c>
      <c r="AO73">
        <v>73.494</v>
      </c>
      <c r="AP73">
        <v>18.82</v>
      </c>
      <c r="AQ73">
        <v>81.507000000000005</v>
      </c>
      <c r="AR73">
        <v>281.86900000000003</v>
      </c>
      <c r="AS73">
        <v>93.265000000000001</v>
      </c>
      <c r="AT73">
        <v>128.41300000000001</v>
      </c>
      <c r="AU73">
        <v>68.319999999999993</v>
      </c>
      <c r="AV73">
        <v>98.313000000000002</v>
      </c>
      <c r="AW73">
        <v>62.383000000000003</v>
      </c>
      <c r="AX73">
        <v>294.03399999999999</v>
      </c>
      <c r="AY73">
        <v>0</v>
      </c>
      <c r="AZ73">
        <v>2099.3620000000001</v>
      </c>
      <c r="BA73">
        <v>0.13500000000000001</v>
      </c>
      <c r="BB73">
        <v>0.76900000000000002</v>
      </c>
      <c r="BC73">
        <v>3515.9380000000001</v>
      </c>
      <c r="BD73">
        <v>340.43900000000002</v>
      </c>
      <c r="BE73">
        <v>12.085000000000001</v>
      </c>
      <c r="BF73">
        <v>0</v>
      </c>
      <c r="BG73">
        <v>0</v>
      </c>
      <c r="BH73">
        <v>0</v>
      </c>
      <c r="BI73">
        <v>26422.613000000001</v>
      </c>
    </row>
    <row r="74" spans="1:61">
      <c r="A74" t="s">
        <v>442</v>
      </c>
      <c r="B74">
        <v>60.174999999999997</v>
      </c>
      <c r="C74">
        <v>11.257999999999999</v>
      </c>
      <c r="D74">
        <v>25.548999999999999</v>
      </c>
      <c r="E74">
        <v>3.5110000000000001</v>
      </c>
      <c r="F74">
        <v>1.31</v>
      </c>
      <c r="G74">
        <v>1.179</v>
      </c>
      <c r="H74">
        <v>27.933</v>
      </c>
      <c r="I74">
        <v>0.16200000000000001</v>
      </c>
      <c r="J74">
        <v>229.52199999999999</v>
      </c>
      <c r="K74">
        <v>74.063000000000002</v>
      </c>
      <c r="L74">
        <v>23.036999999999999</v>
      </c>
      <c r="M74">
        <v>83.287000000000006</v>
      </c>
      <c r="N74">
        <v>108.771</v>
      </c>
      <c r="O74">
        <v>273.52</v>
      </c>
      <c r="P74">
        <v>25.843</v>
      </c>
      <c r="Q74">
        <v>140.13399999999999</v>
      </c>
      <c r="R74">
        <v>213.52799999999999</v>
      </c>
      <c r="S74">
        <v>300.92200000000003</v>
      </c>
      <c r="T74">
        <v>102.771</v>
      </c>
      <c r="U74">
        <v>470.77300000000002</v>
      </c>
      <c r="V74">
        <v>751.87400000000002</v>
      </c>
      <c r="W74">
        <v>891.20399999999995</v>
      </c>
      <c r="X74">
        <v>6882.4279999999999</v>
      </c>
      <c r="Y74">
        <v>2038.059</v>
      </c>
      <c r="Z74">
        <v>710.21</v>
      </c>
      <c r="AA74">
        <v>119.041</v>
      </c>
      <c r="AB74">
        <v>171.15799999999999</v>
      </c>
      <c r="AC74">
        <v>343.65499999999997</v>
      </c>
      <c r="AD74">
        <v>74.581999999999994</v>
      </c>
      <c r="AE74">
        <v>1198.4280000000001</v>
      </c>
      <c r="AF74">
        <v>453.81900000000002</v>
      </c>
      <c r="AG74">
        <v>25.11</v>
      </c>
      <c r="AH74">
        <v>29.744</v>
      </c>
      <c r="AI74">
        <v>16.719000000000001</v>
      </c>
      <c r="AJ74">
        <v>73.150000000000006</v>
      </c>
      <c r="AK74">
        <v>10.173999999999999</v>
      </c>
      <c r="AL74">
        <v>53.02</v>
      </c>
      <c r="AM74">
        <v>23.667999999999999</v>
      </c>
      <c r="AN74">
        <v>48.902000000000001</v>
      </c>
      <c r="AO74">
        <v>35.25</v>
      </c>
      <c r="AP74">
        <v>51.512</v>
      </c>
      <c r="AQ74">
        <v>37.76</v>
      </c>
      <c r="AR74">
        <v>228.24100000000001</v>
      </c>
      <c r="AS74">
        <v>132.179</v>
      </c>
      <c r="AT74">
        <v>110.492</v>
      </c>
      <c r="AU74">
        <v>62.698999999999998</v>
      </c>
      <c r="AV74">
        <v>92.468000000000004</v>
      </c>
      <c r="AW74">
        <v>37.590000000000003</v>
      </c>
      <c r="AX74">
        <v>111.518</v>
      </c>
      <c r="AY74">
        <v>0</v>
      </c>
      <c r="AZ74">
        <v>667.96900000000005</v>
      </c>
      <c r="BA74">
        <v>1.3069999999999999</v>
      </c>
      <c r="BB74">
        <v>1.9279999999999999</v>
      </c>
      <c r="BC74">
        <v>18051.401999999998</v>
      </c>
      <c r="BD74">
        <v>1745.336</v>
      </c>
      <c r="BE74">
        <v>4.97</v>
      </c>
      <c r="BF74">
        <v>0</v>
      </c>
      <c r="BG74">
        <v>0</v>
      </c>
      <c r="BH74">
        <v>0</v>
      </c>
      <c r="BI74">
        <v>37464.811999999998</v>
      </c>
    </row>
    <row r="75" spans="1:61">
      <c r="A75" t="s">
        <v>441</v>
      </c>
      <c r="B75">
        <v>4.9000000000000004</v>
      </c>
      <c r="C75">
        <v>2.4889999999999999</v>
      </c>
      <c r="D75">
        <v>1.9970000000000001</v>
      </c>
      <c r="E75">
        <v>6.3E-2</v>
      </c>
      <c r="F75">
        <v>4.1000000000000002E-2</v>
      </c>
      <c r="G75">
        <v>6.8000000000000005E-2</v>
      </c>
      <c r="H75">
        <v>1.5940000000000001</v>
      </c>
      <c r="I75">
        <v>6.0000000000000001E-3</v>
      </c>
      <c r="J75">
        <v>16.466999999999999</v>
      </c>
      <c r="K75">
        <v>4.5860000000000003</v>
      </c>
      <c r="L75">
        <v>1.5620000000000001</v>
      </c>
      <c r="M75">
        <v>3.3780000000000001</v>
      </c>
      <c r="N75">
        <v>6.7709999999999999</v>
      </c>
      <c r="O75">
        <v>22.893999999999998</v>
      </c>
      <c r="P75">
        <v>2.5939999999999999</v>
      </c>
      <c r="Q75">
        <v>14.215</v>
      </c>
      <c r="R75">
        <v>14.44</v>
      </c>
      <c r="S75">
        <v>18.443999999999999</v>
      </c>
      <c r="T75">
        <v>19.757999999999999</v>
      </c>
      <c r="U75">
        <v>32.497</v>
      </c>
      <c r="V75">
        <v>102.032</v>
      </c>
      <c r="W75">
        <v>90.153000000000006</v>
      </c>
      <c r="X75">
        <v>183.011</v>
      </c>
      <c r="Y75">
        <v>8510.5239999999994</v>
      </c>
      <c r="Z75">
        <v>22.872</v>
      </c>
      <c r="AA75">
        <v>24.204000000000001</v>
      </c>
      <c r="AB75">
        <v>10.916</v>
      </c>
      <c r="AC75">
        <v>20.762</v>
      </c>
      <c r="AD75">
        <v>9.7680000000000007</v>
      </c>
      <c r="AE75">
        <v>71.849999999999994</v>
      </c>
      <c r="AF75">
        <v>1011.545</v>
      </c>
      <c r="AG75">
        <v>46.36</v>
      </c>
      <c r="AH75">
        <v>18.34</v>
      </c>
      <c r="AI75">
        <v>6.7140000000000004</v>
      </c>
      <c r="AJ75">
        <v>30.59</v>
      </c>
      <c r="AK75">
        <v>3.7029999999999998</v>
      </c>
      <c r="AL75">
        <v>9.1210000000000004</v>
      </c>
      <c r="AM75">
        <v>3.5720000000000001</v>
      </c>
      <c r="AN75">
        <v>7.391</v>
      </c>
      <c r="AO75">
        <v>6.9029999999999996</v>
      </c>
      <c r="AP75">
        <v>6.4779999999999998</v>
      </c>
      <c r="AQ75">
        <v>7.5010000000000003</v>
      </c>
      <c r="AR75">
        <v>47.35</v>
      </c>
      <c r="AS75">
        <v>31.390999999999998</v>
      </c>
      <c r="AT75">
        <v>17.701000000000001</v>
      </c>
      <c r="AU75">
        <v>11.79</v>
      </c>
      <c r="AV75">
        <v>12.202999999999999</v>
      </c>
      <c r="AW75">
        <v>6.45</v>
      </c>
      <c r="AX75">
        <v>14.397</v>
      </c>
      <c r="AY75">
        <v>0</v>
      </c>
      <c r="AZ75">
        <v>5073.4170000000004</v>
      </c>
      <c r="BA75">
        <v>0.59299999999999997</v>
      </c>
      <c r="BB75">
        <v>4.9269999999999996</v>
      </c>
      <c r="BC75">
        <v>5304.643</v>
      </c>
      <c r="BD75">
        <v>501.13499999999999</v>
      </c>
      <c r="BE75">
        <v>20.72</v>
      </c>
      <c r="BF75">
        <v>0</v>
      </c>
      <c r="BG75">
        <v>0</v>
      </c>
      <c r="BH75">
        <v>0</v>
      </c>
      <c r="BI75">
        <v>21419.79</v>
      </c>
    </row>
    <row r="76" spans="1:61">
      <c r="A76" t="s">
        <v>440</v>
      </c>
      <c r="B76">
        <v>0.377</v>
      </c>
      <c r="C76">
        <v>2.9000000000000001E-2</v>
      </c>
      <c r="D76">
        <v>2.9319999999999999</v>
      </c>
      <c r="E76">
        <v>4.0000000000000001E-3</v>
      </c>
      <c r="F76">
        <v>5.0000000000000001E-3</v>
      </c>
      <c r="G76">
        <v>2E-3</v>
      </c>
      <c r="H76">
        <v>8.8999999999999996E-2</v>
      </c>
      <c r="I76">
        <v>0</v>
      </c>
      <c r="J76">
        <v>0.89</v>
      </c>
      <c r="K76">
        <v>0.23899999999999999</v>
      </c>
      <c r="L76">
        <v>6.3E-2</v>
      </c>
      <c r="M76">
        <v>0.24399999999999999</v>
      </c>
      <c r="N76">
        <v>0.36699999999999999</v>
      </c>
      <c r="O76">
        <v>0.93200000000000005</v>
      </c>
      <c r="P76">
        <v>9.4E-2</v>
      </c>
      <c r="Q76">
        <v>0.33500000000000002</v>
      </c>
      <c r="R76">
        <v>0.36899999999999999</v>
      </c>
      <c r="S76">
        <v>0.97299999999999998</v>
      </c>
      <c r="T76">
        <v>0.311</v>
      </c>
      <c r="U76">
        <v>1.028</v>
      </c>
      <c r="V76">
        <v>2.13</v>
      </c>
      <c r="W76">
        <v>1.0840000000000001</v>
      </c>
      <c r="X76">
        <v>5.1390000000000002</v>
      </c>
      <c r="Y76">
        <v>7.024</v>
      </c>
      <c r="Z76">
        <v>1063.904</v>
      </c>
      <c r="AA76">
        <v>20.838999999999999</v>
      </c>
      <c r="AB76">
        <v>1.6990000000000001</v>
      </c>
      <c r="AC76">
        <v>1.3220000000000001</v>
      </c>
      <c r="AD76">
        <v>0.21199999999999999</v>
      </c>
      <c r="AE76">
        <v>1.179</v>
      </c>
      <c r="AF76">
        <v>2.1360000000000001</v>
      </c>
      <c r="AG76">
        <v>0.86899999999999999</v>
      </c>
      <c r="AH76">
        <v>91.051000000000002</v>
      </c>
      <c r="AI76">
        <v>5.3179999999999996</v>
      </c>
      <c r="AJ76">
        <v>4.7779999999999996</v>
      </c>
      <c r="AK76">
        <v>8.7999999999999995E-2</v>
      </c>
      <c r="AL76">
        <v>0.39800000000000002</v>
      </c>
      <c r="AM76">
        <v>7.0000000000000007E-2</v>
      </c>
      <c r="AN76">
        <v>0.23799999999999999</v>
      </c>
      <c r="AO76">
        <v>0.153</v>
      </c>
      <c r="AP76">
        <v>0.191</v>
      </c>
      <c r="AQ76">
        <v>0.17399999999999999</v>
      </c>
      <c r="AR76">
        <v>0.88200000000000001</v>
      </c>
      <c r="AS76">
        <v>0.79800000000000004</v>
      </c>
      <c r="AT76">
        <v>16.605</v>
      </c>
      <c r="AU76">
        <v>0.31</v>
      </c>
      <c r="AV76">
        <v>0.30199999999999999</v>
      </c>
      <c r="AW76">
        <v>0.34699999999999998</v>
      </c>
      <c r="AX76">
        <v>2.4169999999999998</v>
      </c>
      <c r="AY76">
        <v>0</v>
      </c>
      <c r="AZ76">
        <v>0.96199999999999997</v>
      </c>
      <c r="BA76">
        <v>2E-3</v>
      </c>
      <c r="BB76">
        <v>1.2E-2</v>
      </c>
      <c r="BC76">
        <v>1987.7090000000001</v>
      </c>
      <c r="BD76">
        <v>192.82300000000001</v>
      </c>
      <c r="BE76">
        <v>5.5E-2</v>
      </c>
      <c r="BF76">
        <v>0</v>
      </c>
      <c r="BG76">
        <v>0</v>
      </c>
      <c r="BH76">
        <v>0</v>
      </c>
      <c r="BI76">
        <v>3422.5030000000002</v>
      </c>
    </row>
    <row r="77" spans="1:61">
      <c r="A77" t="s">
        <v>439</v>
      </c>
      <c r="B77">
        <v>1.0349999999999999</v>
      </c>
      <c r="C77">
        <v>0.311</v>
      </c>
      <c r="D77">
        <v>4.91</v>
      </c>
      <c r="E77">
        <v>2.8000000000000001E-2</v>
      </c>
      <c r="F77">
        <v>6.0000000000000001E-3</v>
      </c>
      <c r="G77">
        <v>8.0000000000000002E-3</v>
      </c>
      <c r="H77">
        <v>0.20599999999999999</v>
      </c>
      <c r="I77">
        <v>1E-3</v>
      </c>
      <c r="J77">
        <v>4.2709999999999999</v>
      </c>
      <c r="K77">
        <v>0.97599999999999998</v>
      </c>
      <c r="L77">
        <v>0.27100000000000002</v>
      </c>
      <c r="M77">
        <v>0.84799999999999998</v>
      </c>
      <c r="N77">
        <v>1.6279999999999999</v>
      </c>
      <c r="O77">
        <v>4.6459999999999999</v>
      </c>
      <c r="P77">
        <v>0.51200000000000001</v>
      </c>
      <c r="Q77">
        <v>1.804</v>
      </c>
      <c r="R77">
        <v>1.3660000000000001</v>
      </c>
      <c r="S77">
        <v>3.7130000000000001</v>
      </c>
      <c r="T77">
        <v>2.9540000000000002</v>
      </c>
      <c r="U77">
        <v>8.5609999999999999</v>
      </c>
      <c r="V77">
        <v>21.617999999999999</v>
      </c>
      <c r="W77">
        <v>12.651</v>
      </c>
      <c r="X77">
        <v>22.689</v>
      </c>
      <c r="Y77">
        <v>211.67599999999999</v>
      </c>
      <c r="Z77">
        <v>175.38900000000001</v>
      </c>
      <c r="AA77">
        <v>533.346</v>
      </c>
      <c r="AB77">
        <v>9.3580000000000005</v>
      </c>
      <c r="AC77">
        <v>4.2939999999999996</v>
      </c>
      <c r="AD77">
        <v>0.751</v>
      </c>
      <c r="AE77">
        <v>8.3550000000000004</v>
      </c>
      <c r="AF77">
        <v>39.261000000000003</v>
      </c>
      <c r="AG77">
        <v>17.61</v>
      </c>
      <c r="AH77">
        <v>24.111000000000001</v>
      </c>
      <c r="AI77">
        <v>45.375</v>
      </c>
      <c r="AJ77">
        <v>12.023</v>
      </c>
      <c r="AK77">
        <v>0.61699999999999999</v>
      </c>
      <c r="AL77">
        <v>1.8029999999999999</v>
      </c>
      <c r="AM77">
        <v>0.443</v>
      </c>
      <c r="AN77">
        <v>1.3</v>
      </c>
      <c r="AO77">
        <v>1.5760000000000001</v>
      </c>
      <c r="AP77">
        <v>1.3109999999999999</v>
      </c>
      <c r="AQ77">
        <v>0.99</v>
      </c>
      <c r="AR77">
        <v>6.8860000000000001</v>
      </c>
      <c r="AS77">
        <v>7.8360000000000003</v>
      </c>
      <c r="AT77">
        <v>49.462000000000003</v>
      </c>
      <c r="AU77">
        <v>1.758</v>
      </c>
      <c r="AV77">
        <v>5.1630000000000003</v>
      </c>
      <c r="AW77">
        <v>1.0309999999999999</v>
      </c>
      <c r="AX77">
        <v>17.401</v>
      </c>
      <c r="AY77">
        <v>0</v>
      </c>
      <c r="AZ77">
        <v>215.85400000000001</v>
      </c>
      <c r="BA77">
        <v>0.13100000000000001</v>
      </c>
      <c r="BB77">
        <v>1.133</v>
      </c>
      <c r="BC77">
        <v>2968.3589999999999</v>
      </c>
      <c r="BD77">
        <v>283.798</v>
      </c>
      <c r="BE77">
        <v>0.38400000000000001</v>
      </c>
      <c r="BF77">
        <v>0</v>
      </c>
      <c r="BG77">
        <v>0</v>
      </c>
      <c r="BH77">
        <v>0</v>
      </c>
      <c r="BI77">
        <v>4743.8</v>
      </c>
    </row>
    <row r="78" spans="1:61">
      <c r="A78" t="s">
        <v>438</v>
      </c>
      <c r="B78">
        <v>279.279</v>
      </c>
      <c r="C78">
        <v>18.169</v>
      </c>
      <c r="D78">
        <v>96.644000000000005</v>
      </c>
      <c r="E78">
        <v>2.4540000000000002</v>
      </c>
      <c r="F78">
        <v>1.321</v>
      </c>
      <c r="G78">
        <v>1.0680000000000001</v>
      </c>
      <c r="H78">
        <v>52.478999999999999</v>
      </c>
      <c r="I78">
        <v>0.157</v>
      </c>
      <c r="J78">
        <v>565.197</v>
      </c>
      <c r="K78">
        <v>250.047</v>
      </c>
      <c r="L78">
        <v>44.183999999999997</v>
      </c>
      <c r="M78">
        <v>181.75</v>
      </c>
      <c r="N78">
        <v>209.64099999999999</v>
      </c>
      <c r="O78">
        <v>656.399</v>
      </c>
      <c r="P78">
        <v>78.293999999999997</v>
      </c>
      <c r="Q78">
        <v>190.779</v>
      </c>
      <c r="R78">
        <v>270.76100000000002</v>
      </c>
      <c r="S78">
        <v>667.32100000000003</v>
      </c>
      <c r="T78">
        <v>210.72900000000001</v>
      </c>
      <c r="U78">
        <v>400.51499999999999</v>
      </c>
      <c r="V78">
        <v>681.73599999999999</v>
      </c>
      <c r="W78">
        <v>347.42099999999999</v>
      </c>
      <c r="X78">
        <v>677.26199999999994</v>
      </c>
      <c r="Y78">
        <v>649.50900000000001</v>
      </c>
      <c r="Z78">
        <v>155.56</v>
      </c>
      <c r="AA78">
        <v>75.528000000000006</v>
      </c>
      <c r="AB78">
        <v>565.62400000000002</v>
      </c>
      <c r="AC78">
        <v>893.976</v>
      </c>
      <c r="AD78">
        <v>145.15199999999999</v>
      </c>
      <c r="AE78">
        <v>701.39800000000002</v>
      </c>
      <c r="AF78">
        <v>719.59699999999998</v>
      </c>
      <c r="AG78">
        <v>133.38300000000001</v>
      </c>
      <c r="AH78">
        <v>298.05799999999999</v>
      </c>
      <c r="AI78">
        <v>234.136</v>
      </c>
      <c r="AJ78">
        <v>285.25700000000001</v>
      </c>
      <c r="AK78">
        <v>33.902000000000001</v>
      </c>
      <c r="AL78">
        <v>348.48200000000003</v>
      </c>
      <c r="AM78">
        <v>55.600999999999999</v>
      </c>
      <c r="AN78">
        <v>185.804</v>
      </c>
      <c r="AO78">
        <v>112.06399999999999</v>
      </c>
      <c r="AP78">
        <v>133.82499999999999</v>
      </c>
      <c r="AQ78">
        <v>168.26300000000001</v>
      </c>
      <c r="AR78">
        <v>509.113</v>
      </c>
      <c r="AS78">
        <v>258.46600000000001</v>
      </c>
      <c r="AT78">
        <v>321.108</v>
      </c>
      <c r="AU78">
        <v>337.29500000000002</v>
      </c>
      <c r="AV78">
        <v>677.96799999999996</v>
      </c>
      <c r="AW78">
        <v>180.52799999999999</v>
      </c>
      <c r="AX78">
        <v>215.84899999999999</v>
      </c>
      <c r="AY78">
        <v>0</v>
      </c>
      <c r="AZ78">
        <v>3123.951</v>
      </c>
      <c r="BA78">
        <v>1.113</v>
      </c>
      <c r="BB78">
        <v>0.73199999999999998</v>
      </c>
      <c r="BC78">
        <v>1529.184</v>
      </c>
      <c r="BD78">
        <v>148.851</v>
      </c>
      <c r="BE78">
        <v>98.694999999999993</v>
      </c>
      <c r="BF78">
        <v>0</v>
      </c>
      <c r="BG78">
        <v>0</v>
      </c>
      <c r="BH78">
        <v>0</v>
      </c>
      <c r="BI78">
        <v>19181.578000000001</v>
      </c>
    </row>
    <row r="79" spans="1:61">
      <c r="A79" t="s">
        <v>437</v>
      </c>
      <c r="B79">
        <v>2.1800000000000002</v>
      </c>
      <c r="C79">
        <v>0.13700000000000001</v>
      </c>
      <c r="D79">
        <v>0.63800000000000001</v>
      </c>
      <c r="E79">
        <v>4.2000000000000003E-2</v>
      </c>
      <c r="F79">
        <v>1.4E-2</v>
      </c>
      <c r="G79">
        <v>0.01</v>
      </c>
      <c r="H79">
        <v>0.41299999999999998</v>
      </c>
      <c r="I79">
        <v>2E-3</v>
      </c>
      <c r="J79">
        <v>6.3029999999999999</v>
      </c>
      <c r="K79">
        <v>2.1829999999999998</v>
      </c>
      <c r="L79">
        <v>0.51300000000000001</v>
      </c>
      <c r="M79">
        <v>1.8560000000000001</v>
      </c>
      <c r="N79">
        <v>62.161999999999999</v>
      </c>
      <c r="O79">
        <v>17.869</v>
      </c>
      <c r="P79">
        <v>2.722</v>
      </c>
      <c r="Q79">
        <v>3.782</v>
      </c>
      <c r="R79">
        <v>3.5569999999999999</v>
      </c>
      <c r="S79">
        <v>12.682</v>
      </c>
      <c r="T79">
        <v>3.1469999999999998</v>
      </c>
      <c r="U79">
        <v>3.5659999999999998</v>
      </c>
      <c r="V79">
        <v>9.7159999999999993</v>
      </c>
      <c r="W79">
        <v>9.0679999999999996</v>
      </c>
      <c r="X79">
        <v>7.9130000000000003</v>
      </c>
      <c r="Y79">
        <v>8.5640000000000001</v>
      </c>
      <c r="Z79">
        <v>1.4750000000000001</v>
      </c>
      <c r="AA79">
        <v>0.59599999999999997</v>
      </c>
      <c r="AB79">
        <v>1.5269999999999999</v>
      </c>
      <c r="AC79">
        <v>38.012999999999998</v>
      </c>
      <c r="AD79">
        <v>1.0820000000000001</v>
      </c>
      <c r="AE79">
        <v>8.9120000000000008</v>
      </c>
      <c r="AF79">
        <v>11.823</v>
      </c>
      <c r="AG79">
        <v>1.6180000000000001</v>
      </c>
      <c r="AH79">
        <v>2.81</v>
      </c>
      <c r="AI79">
        <v>1.589</v>
      </c>
      <c r="AJ79">
        <v>3.9849999999999999</v>
      </c>
      <c r="AK79">
        <v>0.69099999999999995</v>
      </c>
      <c r="AL79">
        <v>4.4050000000000002</v>
      </c>
      <c r="AM79">
        <v>1.407</v>
      </c>
      <c r="AN79">
        <v>2.1909999999999998</v>
      </c>
      <c r="AO79">
        <v>2.0019999999999998</v>
      </c>
      <c r="AP79">
        <v>3.141</v>
      </c>
      <c r="AQ79">
        <v>3.0649999999999999</v>
      </c>
      <c r="AR79">
        <v>11.526</v>
      </c>
      <c r="AS79">
        <v>2.9039999999999999</v>
      </c>
      <c r="AT79">
        <v>3.7320000000000002</v>
      </c>
      <c r="AU79">
        <v>2.7109999999999999</v>
      </c>
      <c r="AV79">
        <v>7.2069999999999999</v>
      </c>
      <c r="AW79">
        <v>1.2869999999999999</v>
      </c>
      <c r="AX79">
        <v>2.1850000000000001</v>
      </c>
      <c r="AY79">
        <v>0</v>
      </c>
      <c r="AZ79">
        <v>16.899999999999999</v>
      </c>
      <c r="BA79">
        <v>0.10100000000000001</v>
      </c>
      <c r="BB79">
        <v>0.29099999999999998</v>
      </c>
      <c r="BC79">
        <v>25.984000000000002</v>
      </c>
      <c r="BD79">
        <v>1.052</v>
      </c>
      <c r="BE79">
        <v>5.67</v>
      </c>
      <c r="BF79">
        <v>0</v>
      </c>
      <c r="BG79">
        <v>0</v>
      </c>
      <c r="BH79">
        <v>0</v>
      </c>
      <c r="BI79">
        <v>330.91899999999998</v>
      </c>
    </row>
    <row r="80" spans="1:61">
      <c r="A80" t="s">
        <v>436</v>
      </c>
      <c r="B80">
        <v>1.121</v>
      </c>
      <c r="C80">
        <v>2.3E-2</v>
      </c>
      <c r="D80">
        <v>0.14399999999999999</v>
      </c>
      <c r="E80">
        <v>5.0000000000000001E-3</v>
      </c>
      <c r="F80">
        <v>2E-3</v>
      </c>
      <c r="G80">
        <v>2E-3</v>
      </c>
      <c r="H80">
        <v>6.5000000000000002E-2</v>
      </c>
      <c r="I80">
        <v>0</v>
      </c>
      <c r="J80">
        <v>4.6210000000000004</v>
      </c>
      <c r="K80">
        <v>1.2929999999999999</v>
      </c>
      <c r="L80">
        <v>0.14799999999999999</v>
      </c>
      <c r="M80">
        <v>0.64900000000000002</v>
      </c>
      <c r="N80">
        <v>4.6020000000000003</v>
      </c>
      <c r="O80">
        <v>8.1479999999999997</v>
      </c>
      <c r="P80">
        <v>0.63900000000000001</v>
      </c>
      <c r="Q80">
        <v>2.629</v>
      </c>
      <c r="R80">
        <v>0.83</v>
      </c>
      <c r="S80">
        <v>1.6259999999999999</v>
      </c>
      <c r="T80">
        <v>0.81</v>
      </c>
      <c r="U80">
        <v>1.111</v>
      </c>
      <c r="V80">
        <v>3.0379999999999998</v>
      </c>
      <c r="W80">
        <v>2.1070000000000002</v>
      </c>
      <c r="X80">
        <v>2.419</v>
      </c>
      <c r="Y80">
        <v>2.5720000000000001</v>
      </c>
      <c r="Z80">
        <v>0.48899999999999999</v>
      </c>
      <c r="AA80">
        <v>0.14699999999999999</v>
      </c>
      <c r="AB80">
        <v>0.46600000000000003</v>
      </c>
      <c r="AC80">
        <v>2.831</v>
      </c>
      <c r="AD80">
        <v>0.249</v>
      </c>
      <c r="AE80">
        <v>2.964</v>
      </c>
      <c r="AF80">
        <v>3.052</v>
      </c>
      <c r="AG80">
        <v>0.23</v>
      </c>
      <c r="AH80">
        <v>0.42399999999999999</v>
      </c>
      <c r="AI80">
        <v>0.183</v>
      </c>
      <c r="AJ80">
        <v>0.874</v>
      </c>
      <c r="AK80">
        <v>0.14799999999999999</v>
      </c>
      <c r="AL80">
        <v>5.0519999999999996</v>
      </c>
      <c r="AM80">
        <v>0.41299999999999998</v>
      </c>
      <c r="AN80">
        <v>0.53700000000000003</v>
      </c>
      <c r="AO80">
        <v>0.60399999999999998</v>
      </c>
      <c r="AP80">
        <v>0.90600000000000003</v>
      </c>
      <c r="AQ80">
        <v>1.1890000000000001</v>
      </c>
      <c r="AR80">
        <v>2.7069999999999999</v>
      </c>
      <c r="AS80">
        <v>0.90100000000000002</v>
      </c>
      <c r="AT80">
        <v>1.0489999999999999</v>
      </c>
      <c r="AU80">
        <v>0.92</v>
      </c>
      <c r="AV80">
        <v>1.518</v>
      </c>
      <c r="AW80">
        <v>0.42199999999999999</v>
      </c>
      <c r="AX80">
        <v>0.67500000000000004</v>
      </c>
      <c r="AY80">
        <v>0</v>
      </c>
      <c r="AZ80">
        <v>13.962</v>
      </c>
      <c r="BA80">
        <v>4.2999999999999997E-2</v>
      </c>
      <c r="BB80">
        <v>6.2E-2</v>
      </c>
      <c r="BC80">
        <v>7.37</v>
      </c>
      <c r="BD80">
        <v>0.43099999999999999</v>
      </c>
      <c r="BE80">
        <v>2.0270000000000001</v>
      </c>
      <c r="BF80">
        <v>0</v>
      </c>
      <c r="BG80">
        <v>0</v>
      </c>
      <c r="BH80">
        <v>0</v>
      </c>
      <c r="BI80">
        <v>91.448999999999998</v>
      </c>
    </row>
    <row r="81" spans="1:61">
      <c r="A81" t="s">
        <v>435</v>
      </c>
      <c r="B81">
        <v>5.085</v>
      </c>
      <c r="C81">
        <v>0.32300000000000001</v>
      </c>
      <c r="D81">
        <v>1.472</v>
      </c>
      <c r="E81">
        <v>6.6000000000000003E-2</v>
      </c>
      <c r="F81">
        <v>2.4E-2</v>
      </c>
      <c r="G81">
        <v>2.1999999999999999E-2</v>
      </c>
      <c r="H81">
        <v>0.96</v>
      </c>
      <c r="I81">
        <v>3.0000000000000001E-3</v>
      </c>
      <c r="J81">
        <v>16.573</v>
      </c>
      <c r="K81">
        <v>5.6189999999999998</v>
      </c>
      <c r="L81">
        <v>1.204</v>
      </c>
      <c r="M81">
        <v>3.6</v>
      </c>
      <c r="N81">
        <v>16.311</v>
      </c>
      <c r="O81">
        <v>18.562999999999999</v>
      </c>
      <c r="P81">
        <v>2.7040000000000002</v>
      </c>
      <c r="Q81">
        <v>6.6429999999999998</v>
      </c>
      <c r="R81">
        <v>8.3889999999999993</v>
      </c>
      <c r="S81">
        <v>21.186</v>
      </c>
      <c r="T81">
        <v>8.6389999999999993</v>
      </c>
      <c r="U81">
        <v>10.474</v>
      </c>
      <c r="V81">
        <v>17.478000000000002</v>
      </c>
      <c r="W81">
        <v>10.869</v>
      </c>
      <c r="X81">
        <v>17.95</v>
      </c>
      <c r="Y81">
        <v>20.527999999999999</v>
      </c>
      <c r="Z81">
        <v>3.5009999999999999</v>
      </c>
      <c r="AA81">
        <v>1.4890000000000001</v>
      </c>
      <c r="AB81">
        <v>3.964</v>
      </c>
      <c r="AC81">
        <v>32.161000000000001</v>
      </c>
      <c r="AD81">
        <v>2.4169999999999998</v>
      </c>
      <c r="AE81">
        <v>26.71</v>
      </c>
      <c r="AF81">
        <v>22.956</v>
      </c>
      <c r="AG81">
        <v>3.129</v>
      </c>
      <c r="AH81">
        <v>7.2220000000000004</v>
      </c>
      <c r="AI81">
        <v>4.1050000000000004</v>
      </c>
      <c r="AJ81">
        <v>9.8680000000000003</v>
      </c>
      <c r="AK81">
        <v>1.2509999999999999</v>
      </c>
      <c r="AL81">
        <v>10.675000000000001</v>
      </c>
      <c r="AM81">
        <v>2.5649999999999999</v>
      </c>
      <c r="AN81">
        <v>4.6849999999999996</v>
      </c>
      <c r="AO81">
        <v>5.3150000000000004</v>
      </c>
      <c r="AP81">
        <v>4.8609999999999998</v>
      </c>
      <c r="AQ81">
        <v>5.7489999999999997</v>
      </c>
      <c r="AR81">
        <v>16.173999999999999</v>
      </c>
      <c r="AS81">
        <v>5.62</v>
      </c>
      <c r="AT81">
        <v>7.1280000000000001</v>
      </c>
      <c r="AU81">
        <v>4.3209999999999997</v>
      </c>
      <c r="AV81">
        <v>7.6630000000000003</v>
      </c>
      <c r="AW81">
        <v>2.851</v>
      </c>
      <c r="AX81">
        <v>3.802</v>
      </c>
      <c r="AY81">
        <v>0</v>
      </c>
      <c r="AZ81">
        <v>35.951999999999998</v>
      </c>
      <c r="BA81">
        <v>0.42499999999999999</v>
      </c>
      <c r="BB81">
        <v>1.24</v>
      </c>
      <c r="BC81">
        <v>38.142000000000003</v>
      </c>
      <c r="BD81">
        <v>1.9019999999999999</v>
      </c>
      <c r="BE81">
        <v>34.963999999999999</v>
      </c>
      <c r="BF81">
        <v>0</v>
      </c>
      <c r="BG81">
        <v>0</v>
      </c>
      <c r="BH81">
        <v>0</v>
      </c>
      <c r="BI81">
        <v>507.488</v>
      </c>
    </row>
    <row r="82" spans="1:61">
      <c r="A82" t="s">
        <v>434</v>
      </c>
      <c r="B82">
        <v>693.44100000000003</v>
      </c>
      <c r="C82">
        <v>23.170999999999999</v>
      </c>
      <c r="D82">
        <v>144.38200000000001</v>
      </c>
      <c r="E82">
        <v>3.524</v>
      </c>
      <c r="F82">
        <v>1.0609999999999999</v>
      </c>
      <c r="G82">
        <v>1.353</v>
      </c>
      <c r="H82">
        <v>38.856999999999999</v>
      </c>
      <c r="I82">
        <v>0.14199999999999999</v>
      </c>
      <c r="J82">
        <v>2807.4679999999998</v>
      </c>
      <c r="K82">
        <v>1408.8489999999999</v>
      </c>
      <c r="L82">
        <v>124.881</v>
      </c>
      <c r="M82">
        <v>477.16699999999997</v>
      </c>
      <c r="N82">
        <v>2723</v>
      </c>
      <c r="O82">
        <v>5051.7870000000003</v>
      </c>
      <c r="P82">
        <v>837.11900000000003</v>
      </c>
      <c r="Q82">
        <v>1509.479</v>
      </c>
      <c r="R82">
        <v>515.58199999999999</v>
      </c>
      <c r="S82">
        <v>1735.2760000000001</v>
      </c>
      <c r="T82">
        <v>777.202</v>
      </c>
      <c r="U82">
        <v>1081.796</v>
      </c>
      <c r="V82">
        <v>7887.2510000000002</v>
      </c>
      <c r="W82">
        <v>1955.4829999999999</v>
      </c>
      <c r="X82">
        <v>2750.5949999999998</v>
      </c>
      <c r="Y82">
        <v>3263.913</v>
      </c>
      <c r="Z82">
        <v>622.17499999999995</v>
      </c>
      <c r="AA82">
        <v>185.75299999999999</v>
      </c>
      <c r="AB82">
        <v>475.08199999999999</v>
      </c>
      <c r="AC82">
        <v>1931.2539999999999</v>
      </c>
      <c r="AD82">
        <v>150.809</v>
      </c>
      <c r="AE82">
        <v>2127.79</v>
      </c>
      <c r="AF82">
        <v>1424.588</v>
      </c>
      <c r="AG82">
        <v>281.05200000000002</v>
      </c>
      <c r="AH82">
        <v>520.20600000000002</v>
      </c>
      <c r="AI82">
        <v>225.01400000000001</v>
      </c>
      <c r="AJ82">
        <v>327.94600000000003</v>
      </c>
      <c r="AK82">
        <v>72.275999999999996</v>
      </c>
      <c r="AL82">
        <v>2224.8589999999999</v>
      </c>
      <c r="AM82">
        <v>260.04300000000001</v>
      </c>
      <c r="AN82">
        <v>323.89499999999998</v>
      </c>
      <c r="AO82">
        <v>206.369</v>
      </c>
      <c r="AP82">
        <v>174.256</v>
      </c>
      <c r="AQ82">
        <v>252.58699999999999</v>
      </c>
      <c r="AR82">
        <v>739.87599999999998</v>
      </c>
      <c r="AS82">
        <v>274.25900000000001</v>
      </c>
      <c r="AT82">
        <v>447.06900000000002</v>
      </c>
      <c r="AU82">
        <v>414.06900000000002</v>
      </c>
      <c r="AV82">
        <v>2086.4589999999998</v>
      </c>
      <c r="AW82">
        <v>175.28399999999999</v>
      </c>
      <c r="AX82">
        <v>516.53899999999999</v>
      </c>
      <c r="AY82">
        <v>0</v>
      </c>
      <c r="AZ82">
        <v>11889.858</v>
      </c>
      <c r="BA82">
        <v>14.794</v>
      </c>
      <c r="BB82">
        <v>20.084</v>
      </c>
      <c r="BC82">
        <v>9000.9130000000005</v>
      </c>
      <c r="BD82">
        <v>865.33500000000004</v>
      </c>
      <c r="BE82">
        <v>588.78099999999995</v>
      </c>
      <c r="BF82">
        <v>0</v>
      </c>
      <c r="BG82">
        <v>0</v>
      </c>
      <c r="BH82">
        <v>0</v>
      </c>
      <c r="BI82">
        <v>74632.05</v>
      </c>
    </row>
    <row r="83" spans="1:61">
      <c r="A83" t="s">
        <v>433</v>
      </c>
      <c r="B83">
        <v>112.789</v>
      </c>
      <c r="C83">
        <v>17.321000000000002</v>
      </c>
      <c r="D83">
        <v>21.431999999999999</v>
      </c>
      <c r="E83">
        <v>2.44</v>
      </c>
      <c r="F83">
        <v>0.75900000000000001</v>
      </c>
      <c r="G83">
        <v>0.67</v>
      </c>
      <c r="H83">
        <v>35.503999999999998</v>
      </c>
      <c r="I83">
        <v>8.4000000000000005E-2</v>
      </c>
      <c r="J83">
        <v>655.92700000000002</v>
      </c>
      <c r="K83">
        <v>166.81399999999999</v>
      </c>
      <c r="L83">
        <v>51.49</v>
      </c>
      <c r="M83">
        <v>134.38</v>
      </c>
      <c r="N83">
        <v>958.82399999999996</v>
      </c>
      <c r="O83">
        <v>765.16899999999998</v>
      </c>
      <c r="P83">
        <v>70.965999999999994</v>
      </c>
      <c r="Q83">
        <v>211.37</v>
      </c>
      <c r="R83">
        <v>270.18299999999999</v>
      </c>
      <c r="S83">
        <v>646.12699999999995</v>
      </c>
      <c r="T83">
        <v>295.07</v>
      </c>
      <c r="U83">
        <v>282.93900000000002</v>
      </c>
      <c r="V83">
        <v>830.80499999999995</v>
      </c>
      <c r="W83">
        <v>348.86799999999999</v>
      </c>
      <c r="X83">
        <v>417.524</v>
      </c>
      <c r="Y83">
        <v>510.185</v>
      </c>
      <c r="Z83">
        <v>82.488</v>
      </c>
      <c r="AA83">
        <v>35.723999999999997</v>
      </c>
      <c r="AB83">
        <v>92.388000000000005</v>
      </c>
      <c r="AC83">
        <v>689.697</v>
      </c>
      <c r="AD83">
        <v>68.456000000000003</v>
      </c>
      <c r="AE83">
        <v>544.48699999999997</v>
      </c>
      <c r="AF83">
        <v>1289.5450000000001</v>
      </c>
      <c r="AG83">
        <v>207.31299999999999</v>
      </c>
      <c r="AH83">
        <v>101.818</v>
      </c>
      <c r="AI83">
        <v>31.036999999999999</v>
      </c>
      <c r="AJ83">
        <v>515.52499999999998</v>
      </c>
      <c r="AK83">
        <v>183.82599999999999</v>
      </c>
      <c r="AL83">
        <v>319.786</v>
      </c>
      <c r="AM83">
        <v>82.93</v>
      </c>
      <c r="AN83">
        <v>57.375</v>
      </c>
      <c r="AO83">
        <v>37.067</v>
      </c>
      <c r="AP83">
        <v>93.988</v>
      </c>
      <c r="AQ83">
        <v>69.853999999999999</v>
      </c>
      <c r="AR83">
        <v>260.404</v>
      </c>
      <c r="AS83">
        <v>113.63200000000001</v>
      </c>
      <c r="AT83">
        <v>166.60400000000001</v>
      </c>
      <c r="AU83">
        <v>190.24799999999999</v>
      </c>
      <c r="AV83">
        <v>237.18700000000001</v>
      </c>
      <c r="AW83">
        <v>48.317999999999998</v>
      </c>
      <c r="AX83">
        <v>135.542</v>
      </c>
      <c r="AY83">
        <v>0</v>
      </c>
      <c r="AZ83">
        <v>3635.9430000000002</v>
      </c>
      <c r="BA83">
        <v>3.72</v>
      </c>
      <c r="BB83">
        <v>3.0790000000000002</v>
      </c>
      <c r="BC83">
        <v>714.20799999999997</v>
      </c>
      <c r="BD83">
        <v>68.926000000000002</v>
      </c>
      <c r="BE83">
        <v>774.32899999999995</v>
      </c>
      <c r="BF83">
        <v>0</v>
      </c>
      <c r="BG83">
        <v>0</v>
      </c>
      <c r="BH83">
        <v>0</v>
      </c>
      <c r="BI83">
        <v>17663.085999999999</v>
      </c>
    </row>
    <row r="84" spans="1:61">
      <c r="A84" t="s">
        <v>432</v>
      </c>
      <c r="B84">
        <v>16.364999999999998</v>
      </c>
      <c r="C84">
        <v>17.3</v>
      </c>
      <c r="D84">
        <v>42.673000000000002</v>
      </c>
      <c r="E84">
        <v>0.38700000000000001</v>
      </c>
      <c r="F84">
        <v>0.49099999999999999</v>
      </c>
      <c r="G84">
        <v>0.14599999999999999</v>
      </c>
      <c r="H84">
        <v>13.923</v>
      </c>
      <c r="I84">
        <v>1.6E-2</v>
      </c>
      <c r="J84">
        <v>141.27000000000001</v>
      </c>
      <c r="K84">
        <v>58.372999999999998</v>
      </c>
      <c r="L84">
        <v>18.817</v>
      </c>
      <c r="M84">
        <v>40.475999999999999</v>
      </c>
      <c r="N84">
        <v>309.32499999999999</v>
      </c>
      <c r="O84">
        <v>218.828</v>
      </c>
      <c r="P84">
        <v>14.541</v>
      </c>
      <c r="Q84">
        <v>58.795999999999999</v>
      </c>
      <c r="R84">
        <v>54.494999999999997</v>
      </c>
      <c r="S84">
        <v>183.18600000000001</v>
      </c>
      <c r="T84">
        <v>78.707999999999998</v>
      </c>
      <c r="U84">
        <v>81.435000000000002</v>
      </c>
      <c r="V84">
        <v>468.65499999999997</v>
      </c>
      <c r="W84">
        <v>135.03299999999999</v>
      </c>
      <c r="X84">
        <v>132.49100000000001</v>
      </c>
      <c r="Y84">
        <v>110.179</v>
      </c>
      <c r="Z84">
        <v>29.324999999999999</v>
      </c>
      <c r="AA84">
        <v>8.0009999999999994</v>
      </c>
      <c r="AB84">
        <v>23.007999999999999</v>
      </c>
      <c r="AC84">
        <v>116.565</v>
      </c>
      <c r="AD84">
        <v>7.8250000000000002</v>
      </c>
      <c r="AE84">
        <v>124.012</v>
      </c>
      <c r="AF84">
        <v>645.86300000000006</v>
      </c>
      <c r="AG84">
        <v>53.006</v>
      </c>
      <c r="AH84">
        <v>3702.3519999999999</v>
      </c>
      <c r="AI84">
        <v>8.1110000000000007</v>
      </c>
      <c r="AJ84">
        <v>787.82600000000002</v>
      </c>
      <c r="AK84">
        <v>20.5</v>
      </c>
      <c r="AL84">
        <v>40.136000000000003</v>
      </c>
      <c r="AM84">
        <v>15.696</v>
      </c>
      <c r="AN84">
        <v>21.5</v>
      </c>
      <c r="AO84">
        <v>14.227</v>
      </c>
      <c r="AP84">
        <v>14.528</v>
      </c>
      <c r="AQ84">
        <v>10.054</v>
      </c>
      <c r="AR84">
        <v>101.93</v>
      </c>
      <c r="AS84">
        <v>39.914999999999999</v>
      </c>
      <c r="AT84">
        <v>49.155999999999999</v>
      </c>
      <c r="AU84">
        <v>20.286000000000001</v>
      </c>
      <c r="AV84">
        <v>32.676000000000002</v>
      </c>
      <c r="AW84">
        <v>14.994</v>
      </c>
      <c r="AX84">
        <v>24.702000000000002</v>
      </c>
      <c r="AY84">
        <v>0</v>
      </c>
      <c r="AZ84">
        <v>239.65700000000001</v>
      </c>
      <c r="BA84">
        <v>0.26900000000000002</v>
      </c>
      <c r="BB84">
        <v>0.65500000000000003</v>
      </c>
      <c r="BC84">
        <v>314.36099999999999</v>
      </c>
      <c r="BD84">
        <v>30.422999999999998</v>
      </c>
      <c r="BE84">
        <v>173.62200000000001</v>
      </c>
      <c r="BF84">
        <v>0</v>
      </c>
      <c r="BG84">
        <v>0</v>
      </c>
      <c r="BH84">
        <v>0</v>
      </c>
      <c r="BI84">
        <v>8881.0910000000003</v>
      </c>
    </row>
    <row r="85" spans="1:61">
      <c r="A85" t="s">
        <v>431</v>
      </c>
      <c r="B85">
        <v>12.772</v>
      </c>
      <c r="C85">
        <v>3.706</v>
      </c>
      <c r="D85">
        <v>3.8119999999999998</v>
      </c>
      <c r="E85">
        <v>0.106</v>
      </c>
      <c r="F85">
        <v>0.32</v>
      </c>
      <c r="G85">
        <v>4.9000000000000002E-2</v>
      </c>
      <c r="H85">
        <v>3.3090000000000002</v>
      </c>
      <c r="I85">
        <v>1.0999999999999999E-2</v>
      </c>
      <c r="J85">
        <v>64.875</v>
      </c>
      <c r="K85">
        <v>31.347999999999999</v>
      </c>
      <c r="L85">
        <v>6.7480000000000002</v>
      </c>
      <c r="M85">
        <v>17.978999999999999</v>
      </c>
      <c r="N85">
        <v>26.956</v>
      </c>
      <c r="O85">
        <v>74.933999999999997</v>
      </c>
      <c r="P85">
        <v>16.669</v>
      </c>
      <c r="Q85">
        <v>24.934000000000001</v>
      </c>
      <c r="R85">
        <v>22.094000000000001</v>
      </c>
      <c r="S85">
        <v>22.326000000000001</v>
      </c>
      <c r="T85">
        <v>12.221</v>
      </c>
      <c r="U85">
        <v>20.965</v>
      </c>
      <c r="V85">
        <v>134.48099999999999</v>
      </c>
      <c r="W85">
        <v>76.790000000000006</v>
      </c>
      <c r="X85">
        <v>78.543000000000006</v>
      </c>
      <c r="Y85">
        <v>47.156999999999996</v>
      </c>
      <c r="Z85">
        <v>10.528</v>
      </c>
      <c r="AA85">
        <v>6.3849999999999998</v>
      </c>
      <c r="AB85">
        <v>17.111000000000001</v>
      </c>
      <c r="AC85">
        <v>25.379000000000001</v>
      </c>
      <c r="AD85">
        <v>10.173</v>
      </c>
      <c r="AE85">
        <v>92.593000000000004</v>
      </c>
      <c r="AF85">
        <v>368.59500000000003</v>
      </c>
      <c r="AG85">
        <v>14.499000000000001</v>
      </c>
      <c r="AH85">
        <v>30.803000000000001</v>
      </c>
      <c r="AI85">
        <v>211.005</v>
      </c>
      <c r="AJ85">
        <v>326.92200000000003</v>
      </c>
      <c r="AK85">
        <v>111.60899999999999</v>
      </c>
      <c r="AL85">
        <v>68.153999999999996</v>
      </c>
      <c r="AM85">
        <v>34.524000000000001</v>
      </c>
      <c r="AN85">
        <v>36.353999999999999</v>
      </c>
      <c r="AO85">
        <v>49.438000000000002</v>
      </c>
      <c r="AP85">
        <v>176.64500000000001</v>
      </c>
      <c r="AQ85">
        <v>44.447000000000003</v>
      </c>
      <c r="AR85">
        <v>314.15100000000001</v>
      </c>
      <c r="AS85">
        <v>140.32400000000001</v>
      </c>
      <c r="AT85">
        <v>159.71299999999999</v>
      </c>
      <c r="AU85">
        <v>81.135999999999996</v>
      </c>
      <c r="AV85">
        <v>79.534999999999997</v>
      </c>
      <c r="AW85">
        <v>39.932000000000002</v>
      </c>
      <c r="AX85">
        <v>49.405999999999999</v>
      </c>
      <c r="AY85">
        <v>0</v>
      </c>
      <c r="AZ85">
        <v>300.81599999999997</v>
      </c>
      <c r="BA85">
        <v>0.19800000000000001</v>
      </c>
      <c r="BB85">
        <v>0.36299999999999999</v>
      </c>
      <c r="BC85">
        <v>80.463999999999999</v>
      </c>
      <c r="BD85">
        <v>7.55</v>
      </c>
      <c r="BE85">
        <v>514.44200000000001</v>
      </c>
      <c r="BF85">
        <v>0</v>
      </c>
      <c r="BG85">
        <v>0</v>
      </c>
      <c r="BH85">
        <v>0</v>
      </c>
      <c r="BI85">
        <v>4106.2920000000004</v>
      </c>
    </row>
    <row r="86" spans="1:61">
      <c r="A86" t="s">
        <v>430</v>
      </c>
      <c r="B86">
        <v>48.786000000000001</v>
      </c>
      <c r="C86">
        <v>7.5590000000000002</v>
      </c>
      <c r="D86">
        <v>30.681000000000001</v>
      </c>
      <c r="E86">
        <v>1.359</v>
      </c>
      <c r="F86">
        <v>0.372</v>
      </c>
      <c r="G86">
        <v>0.34699999999999998</v>
      </c>
      <c r="H86">
        <v>12.111000000000001</v>
      </c>
      <c r="I86">
        <v>5.7000000000000002E-2</v>
      </c>
      <c r="J86">
        <v>352.346</v>
      </c>
      <c r="K86">
        <v>91.783000000000001</v>
      </c>
      <c r="L86">
        <v>27.167000000000002</v>
      </c>
      <c r="M86">
        <v>77.811999999999998</v>
      </c>
      <c r="N86">
        <v>465.077</v>
      </c>
      <c r="O86">
        <v>357.18400000000003</v>
      </c>
      <c r="P86">
        <v>38.179000000000002</v>
      </c>
      <c r="Q86">
        <v>89.822000000000003</v>
      </c>
      <c r="R86">
        <v>95.472999999999999</v>
      </c>
      <c r="S86">
        <v>231.703</v>
      </c>
      <c r="T86">
        <v>106.696</v>
      </c>
      <c r="U86">
        <v>120.926</v>
      </c>
      <c r="V86">
        <v>314.137</v>
      </c>
      <c r="W86">
        <v>152.071</v>
      </c>
      <c r="X86">
        <v>179.69800000000001</v>
      </c>
      <c r="Y86">
        <v>335.21899999999999</v>
      </c>
      <c r="Z86">
        <v>39.15</v>
      </c>
      <c r="AA86">
        <v>16.948</v>
      </c>
      <c r="AB86">
        <v>43.383000000000003</v>
      </c>
      <c r="AC86">
        <v>308.01299999999998</v>
      </c>
      <c r="AD86">
        <v>42.017000000000003</v>
      </c>
      <c r="AE86">
        <v>204.51900000000001</v>
      </c>
      <c r="AF86">
        <v>1702.1610000000001</v>
      </c>
      <c r="AG86">
        <v>251.21199999999999</v>
      </c>
      <c r="AH86">
        <v>955.17600000000004</v>
      </c>
      <c r="AI86">
        <v>326.23200000000003</v>
      </c>
      <c r="AJ86">
        <v>1908.7190000000001</v>
      </c>
      <c r="AK86">
        <v>104.634</v>
      </c>
      <c r="AL86">
        <v>141.98099999999999</v>
      </c>
      <c r="AM86">
        <v>34.134</v>
      </c>
      <c r="AN86">
        <v>52.094999999999999</v>
      </c>
      <c r="AO86">
        <v>31.79</v>
      </c>
      <c r="AP86">
        <v>48.26</v>
      </c>
      <c r="AQ86">
        <v>32.043999999999997</v>
      </c>
      <c r="AR86">
        <v>194.02799999999999</v>
      </c>
      <c r="AS86">
        <v>78.900000000000006</v>
      </c>
      <c r="AT86">
        <v>109.425</v>
      </c>
      <c r="AU86">
        <v>37.630000000000003</v>
      </c>
      <c r="AV86">
        <v>55.725000000000001</v>
      </c>
      <c r="AW86">
        <v>31.504999999999999</v>
      </c>
      <c r="AX86">
        <v>53.148000000000003</v>
      </c>
      <c r="AY86">
        <v>0</v>
      </c>
      <c r="AZ86">
        <v>643.80999999999995</v>
      </c>
      <c r="BA86">
        <v>3.0840000000000001</v>
      </c>
      <c r="BB86">
        <v>0.88400000000000001</v>
      </c>
      <c r="BC86">
        <v>222.78899999999999</v>
      </c>
      <c r="BD86">
        <v>21.038</v>
      </c>
      <c r="BE86">
        <v>44.898000000000003</v>
      </c>
      <c r="BF86">
        <v>0</v>
      </c>
      <c r="BG86">
        <v>0</v>
      </c>
      <c r="BH86">
        <v>0</v>
      </c>
      <c r="BI86">
        <v>10875.896000000001</v>
      </c>
    </row>
    <row r="87" spans="1:61">
      <c r="A87" t="s">
        <v>429</v>
      </c>
      <c r="B87">
        <v>5.5149999999999997</v>
      </c>
      <c r="C87">
        <v>0.36</v>
      </c>
      <c r="D87">
        <v>1.3</v>
      </c>
      <c r="E87">
        <v>5.8000000000000003E-2</v>
      </c>
      <c r="F87">
        <v>1.9E-2</v>
      </c>
      <c r="G87">
        <v>1.2999999999999999E-2</v>
      </c>
      <c r="H87">
        <v>0.53700000000000003</v>
      </c>
      <c r="I87">
        <v>4.0000000000000001E-3</v>
      </c>
      <c r="J87">
        <v>13.016999999999999</v>
      </c>
      <c r="K87">
        <v>9.9499999999999993</v>
      </c>
      <c r="L87">
        <v>1.5169999999999999</v>
      </c>
      <c r="M87">
        <v>7.3230000000000004</v>
      </c>
      <c r="N87">
        <v>2.7130000000000001</v>
      </c>
      <c r="O87">
        <v>14.129</v>
      </c>
      <c r="P87">
        <v>3.59</v>
      </c>
      <c r="Q87">
        <v>5.8419999999999996</v>
      </c>
      <c r="R87">
        <v>3.6789999999999998</v>
      </c>
      <c r="S87">
        <v>4.8</v>
      </c>
      <c r="T87">
        <v>2.5579999999999998</v>
      </c>
      <c r="U87">
        <v>8.1460000000000008</v>
      </c>
      <c r="V87">
        <v>15.717000000000001</v>
      </c>
      <c r="W87">
        <v>8.7260000000000009</v>
      </c>
      <c r="X87">
        <v>18.943999999999999</v>
      </c>
      <c r="Y87">
        <v>15.555</v>
      </c>
      <c r="Z87">
        <v>3.2719999999999998</v>
      </c>
      <c r="AA87">
        <v>1.1639999999999999</v>
      </c>
      <c r="AB87">
        <v>3.883</v>
      </c>
      <c r="AC87">
        <v>22.29</v>
      </c>
      <c r="AD87">
        <v>4.04</v>
      </c>
      <c r="AE87">
        <v>19.876000000000001</v>
      </c>
      <c r="AF87">
        <v>366.79700000000003</v>
      </c>
      <c r="AG87">
        <v>4.7190000000000003</v>
      </c>
      <c r="AH87">
        <v>3.677</v>
      </c>
      <c r="AI87">
        <v>1.93</v>
      </c>
      <c r="AJ87">
        <v>39.21</v>
      </c>
      <c r="AK87">
        <v>426.64299999999997</v>
      </c>
      <c r="AL87">
        <v>45.808999999999997</v>
      </c>
      <c r="AM87">
        <v>42.661999999999999</v>
      </c>
      <c r="AN87">
        <v>53.844000000000001</v>
      </c>
      <c r="AO87">
        <v>18.899000000000001</v>
      </c>
      <c r="AP87">
        <v>192.17599999999999</v>
      </c>
      <c r="AQ87">
        <v>26.39</v>
      </c>
      <c r="AR87">
        <v>134.93799999999999</v>
      </c>
      <c r="AS87">
        <v>28.753</v>
      </c>
      <c r="AT87">
        <v>96.730999999999995</v>
      </c>
      <c r="AU87">
        <v>43.415999999999997</v>
      </c>
      <c r="AV87">
        <v>43.929000000000002</v>
      </c>
      <c r="AW87">
        <v>16.783000000000001</v>
      </c>
      <c r="AX87">
        <v>48.908000000000001</v>
      </c>
      <c r="AY87">
        <v>0</v>
      </c>
      <c r="AZ87">
        <v>33.067</v>
      </c>
      <c r="BA87">
        <v>2.3E-2</v>
      </c>
      <c r="BB87">
        <v>4.3999999999999997E-2</v>
      </c>
      <c r="BC87">
        <v>4.173</v>
      </c>
      <c r="BD87">
        <v>0.16</v>
      </c>
      <c r="BE87">
        <v>17.725000000000001</v>
      </c>
      <c r="BF87">
        <v>0</v>
      </c>
      <c r="BG87">
        <v>0</v>
      </c>
      <c r="BH87">
        <v>0</v>
      </c>
      <c r="BI87">
        <v>1889.9459999999999</v>
      </c>
    </row>
    <row r="88" spans="1:61">
      <c r="A88" t="s">
        <v>428</v>
      </c>
      <c r="B88">
        <v>1.22</v>
      </c>
      <c r="C88">
        <v>0.183</v>
      </c>
      <c r="D88">
        <v>0.252</v>
      </c>
      <c r="E88">
        <v>5.0000000000000001E-3</v>
      </c>
      <c r="F88">
        <v>3.0000000000000001E-3</v>
      </c>
      <c r="G88">
        <v>2E-3</v>
      </c>
      <c r="H88">
        <v>8.3000000000000004E-2</v>
      </c>
      <c r="I88">
        <v>0</v>
      </c>
      <c r="J88">
        <v>5.9779999999999998</v>
      </c>
      <c r="K88">
        <v>0.89600000000000002</v>
      </c>
      <c r="L88">
        <v>0.52200000000000002</v>
      </c>
      <c r="M88">
        <v>0.69899999999999995</v>
      </c>
      <c r="N88">
        <v>3.4569999999999999</v>
      </c>
      <c r="O88">
        <v>4.5010000000000003</v>
      </c>
      <c r="P88">
        <v>0.90100000000000002</v>
      </c>
      <c r="Q88">
        <v>1.1879999999999999</v>
      </c>
      <c r="R88">
        <v>0.59299999999999997</v>
      </c>
      <c r="S88">
        <v>1.365</v>
      </c>
      <c r="T88">
        <v>0.80800000000000005</v>
      </c>
      <c r="U88">
        <v>1.0549999999999999</v>
      </c>
      <c r="V88">
        <v>5.7750000000000004</v>
      </c>
      <c r="W88">
        <v>1.5369999999999999</v>
      </c>
      <c r="X88">
        <v>2.1419999999999999</v>
      </c>
      <c r="Y88">
        <v>2.077</v>
      </c>
      <c r="Z88">
        <v>0.45600000000000002</v>
      </c>
      <c r="AA88">
        <v>0.14299999999999999</v>
      </c>
      <c r="AB88">
        <v>0.52</v>
      </c>
      <c r="AC88">
        <v>2.0550000000000002</v>
      </c>
      <c r="AD88">
        <v>0.315</v>
      </c>
      <c r="AE88">
        <v>2.5390000000000001</v>
      </c>
      <c r="AF88">
        <v>4.4169999999999998</v>
      </c>
      <c r="AG88">
        <v>0.52</v>
      </c>
      <c r="AH88">
        <v>1.107</v>
      </c>
      <c r="AI88">
        <v>0.51</v>
      </c>
      <c r="AJ88">
        <v>1.246</v>
      </c>
      <c r="AK88">
        <v>0.221</v>
      </c>
      <c r="AL88">
        <v>7.51</v>
      </c>
      <c r="AM88">
        <v>4.7130000000000001</v>
      </c>
      <c r="AN88">
        <v>1.204</v>
      </c>
      <c r="AO88">
        <v>0.755</v>
      </c>
      <c r="AP88">
        <v>1.06</v>
      </c>
      <c r="AQ88">
        <v>1.212</v>
      </c>
      <c r="AR88">
        <v>3.4390000000000001</v>
      </c>
      <c r="AS88">
        <v>1.1499999999999999</v>
      </c>
      <c r="AT88">
        <v>1.56</v>
      </c>
      <c r="AU88">
        <v>1.3959999999999999</v>
      </c>
      <c r="AV88">
        <v>2.6840000000000002</v>
      </c>
      <c r="AW88">
        <v>4.6680000000000001</v>
      </c>
      <c r="AX88">
        <v>1.0389999999999999</v>
      </c>
      <c r="AY88">
        <v>0</v>
      </c>
      <c r="AZ88">
        <v>27.245999999999999</v>
      </c>
      <c r="BA88">
        <v>2.387</v>
      </c>
      <c r="BB88">
        <v>9.1170000000000009</v>
      </c>
      <c r="BC88">
        <v>9.8350000000000009</v>
      </c>
      <c r="BD88">
        <v>0.40899999999999997</v>
      </c>
      <c r="BE88">
        <v>4310.5010000000002</v>
      </c>
      <c r="BF88">
        <v>0</v>
      </c>
      <c r="BG88">
        <v>0</v>
      </c>
      <c r="BH88">
        <v>0</v>
      </c>
      <c r="BI88">
        <v>4441.1750000000002</v>
      </c>
    </row>
    <row r="89" spans="1:61">
      <c r="A89" t="s">
        <v>427</v>
      </c>
      <c r="B89">
        <v>7.0410000000000004</v>
      </c>
      <c r="C89">
        <v>0.56699999999999995</v>
      </c>
      <c r="D89">
        <v>1.591</v>
      </c>
      <c r="E89">
        <v>4.9000000000000002E-2</v>
      </c>
      <c r="F89">
        <v>4.1000000000000002E-2</v>
      </c>
      <c r="G89">
        <v>4.2999999999999997E-2</v>
      </c>
      <c r="H89">
        <v>0.91</v>
      </c>
      <c r="I89">
        <v>7.0000000000000001E-3</v>
      </c>
      <c r="J89">
        <v>73.983999999999995</v>
      </c>
      <c r="K89">
        <v>25.687000000000001</v>
      </c>
      <c r="L89">
        <v>3.7930000000000001</v>
      </c>
      <c r="M89">
        <v>27.837</v>
      </c>
      <c r="N89">
        <v>17.052</v>
      </c>
      <c r="O89">
        <v>82.468999999999994</v>
      </c>
      <c r="P89">
        <v>16.474</v>
      </c>
      <c r="Q89">
        <v>19.478999999999999</v>
      </c>
      <c r="R89">
        <v>10.329000000000001</v>
      </c>
      <c r="S89">
        <v>20.673999999999999</v>
      </c>
      <c r="T89">
        <v>12.459</v>
      </c>
      <c r="U89">
        <v>22.27</v>
      </c>
      <c r="V89">
        <v>96.406000000000006</v>
      </c>
      <c r="W89">
        <v>52.094999999999999</v>
      </c>
      <c r="X89">
        <v>42.542000000000002</v>
      </c>
      <c r="Y89">
        <v>49.374000000000002</v>
      </c>
      <c r="Z89">
        <v>12.505000000000001</v>
      </c>
      <c r="AA89">
        <v>7.1879999999999997</v>
      </c>
      <c r="AB89">
        <v>14.478</v>
      </c>
      <c r="AC89">
        <v>30.245000000000001</v>
      </c>
      <c r="AD89">
        <v>7.9</v>
      </c>
      <c r="AE89">
        <v>49.533999999999999</v>
      </c>
      <c r="AF89">
        <v>329.101</v>
      </c>
      <c r="AG89">
        <v>7.6589999999999998</v>
      </c>
      <c r="AH89">
        <v>11.771000000000001</v>
      </c>
      <c r="AI89">
        <v>5.5010000000000003</v>
      </c>
      <c r="AJ89">
        <v>25.254000000000001</v>
      </c>
      <c r="AK89">
        <v>13</v>
      </c>
      <c r="AL89">
        <v>148.53700000000001</v>
      </c>
      <c r="AM89">
        <v>1246.4110000000001</v>
      </c>
      <c r="AN89">
        <v>203.22300000000001</v>
      </c>
      <c r="AO89">
        <v>135.80699999999999</v>
      </c>
      <c r="AP89">
        <v>131.655</v>
      </c>
      <c r="AQ89">
        <v>65.364999999999995</v>
      </c>
      <c r="AR89">
        <v>555.88599999999997</v>
      </c>
      <c r="AS89">
        <v>62.954999999999998</v>
      </c>
      <c r="AT89">
        <v>121.54300000000001</v>
      </c>
      <c r="AU89">
        <v>378.33100000000002</v>
      </c>
      <c r="AV89">
        <v>101.983</v>
      </c>
      <c r="AW89">
        <v>122.357</v>
      </c>
      <c r="AX89">
        <v>103.55200000000001</v>
      </c>
      <c r="AY89">
        <v>0</v>
      </c>
      <c r="AZ89">
        <v>982.94600000000003</v>
      </c>
      <c r="BA89">
        <v>22.556999999999999</v>
      </c>
      <c r="BB89">
        <v>229.15899999999999</v>
      </c>
      <c r="BC89">
        <v>519.98599999999999</v>
      </c>
      <c r="BD89">
        <v>3.2970000000000002</v>
      </c>
      <c r="BE89">
        <v>57.381999999999998</v>
      </c>
      <c r="BF89">
        <v>0</v>
      </c>
      <c r="BG89">
        <v>0</v>
      </c>
      <c r="BH89">
        <v>0</v>
      </c>
      <c r="BI89">
        <v>6290.241</v>
      </c>
    </row>
    <row r="90" spans="1:61">
      <c r="A90" t="s">
        <v>426</v>
      </c>
      <c r="B90">
        <v>2.4449999999999998</v>
      </c>
      <c r="C90">
        <v>0.33500000000000002</v>
      </c>
      <c r="D90">
        <v>1.2270000000000001</v>
      </c>
      <c r="E90">
        <v>5.1999999999999998E-2</v>
      </c>
      <c r="F90">
        <v>3.2000000000000001E-2</v>
      </c>
      <c r="G90">
        <v>1.2E-2</v>
      </c>
      <c r="H90">
        <v>0.57099999999999995</v>
      </c>
      <c r="I90">
        <v>3.0000000000000001E-3</v>
      </c>
      <c r="J90">
        <v>11.984</v>
      </c>
      <c r="K90">
        <v>7.2610000000000001</v>
      </c>
      <c r="L90">
        <v>1.0860000000000001</v>
      </c>
      <c r="M90">
        <v>4.085</v>
      </c>
      <c r="N90">
        <v>4.6219999999999999</v>
      </c>
      <c r="O90">
        <v>13.199</v>
      </c>
      <c r="P90">
        <v>4.1120000000000001</v>
      </c>
      <c r="Q90">
        <v>5.3250000000000002</v>
      </c>
      <c r="R90">
        <v>3.4830000000000001</v>
      </c>
      <c r="S90">
        <v>4.8070000000000004</v>
      </c>
      <c r="T90">
        <v>3.161</v>
      </c>
      <c r="U90">
        <v>8.4770000000000003</v>
      </c>
      <c r="V90">
        <v>34.597000000000001</v>
      </c>
      <c r="W90">
        <v>11.718</v>
      </c>
      <c r="X90">
        <v>19.698</v>
      </c>
      <c r="Y90">
        <v>19.189</v>
      </c>
      <c r="Z90">
        <v>3.1280000000000001</v>
      </c>
      <c r="AA90">
        <v>1.238</v>
      </c>
      <c r="AB90">
        <v>3.8029999999999999</v>
      </c>
      <c r="AC90">
        <v>10.964</v>
      </c>
      <c r="AD90">
        <v>2.891</v>
      </c>
      <c r="AE90">
        <v>26.617000000000001</v>
      </c>
      <c r="AF90">
        <v>98.632000000000005</v>
      </c>
      <c r="AG90">
        <v>3.9039999999999999</v>
      </c>
      <c r="AH90">
        <v>5.74</v>
      </c>
      <c r="AI90">
        <v>2.0680000000000001</v>
      </c>
      <c r="AJ90">
        <v>14.093</v>
      </c>
      <c r="AK90">
        <v>7.5250000000000004</v>
      </c>
      <c r="AL90">
        <v>39.485999999999997</v>
      </c>
      <c r="AM90">
        <v>25.178999999999998</v>
      </c>
      <c r="AN90">
        <v>262.75099999999998</v>
      </c>
      <c r="AO90">
        <v>33.917999999999999</v>
      </c>
      <c r="AP90">
        <v>60.908000000000001</v>
      </c>
      <c r="AQ90">
        <v>31.655999999999999</v>
      </c>
      <c r="AR90">
        <v>77.554000000000002</v>
      </c>
      <c r="AS90">
        <v>24.387</v>
      </c>
      <c r="AT90">
        <v>49.576999999999998</v>
      </c>
      <c r="AU90">
        <v>23.765999999999998</v>
      </c>
      <c r="AV90">
        <v>31.513000000000002</v>
      </c>
      <c r="AW90">
        <v>12.795</v>
      </c>
      <c r="AX90">
        <v>26.15</v>
      </c>
      <c r="AY90">
        <v>0</v>
      </c>
      <c r="AZ90">
        <v>746.74199999999996</v>
      </c>
      <c r="BA90">
        <v>0.34300000000000003</v>
      </c>
      <c r="BB90">
        <v>0.747</v>
      </c>
      <c r="BC90">
        <v>44.487000000000002</v>
      </c>
      <c r="BD90">
        <v>1.2989999999999999</v>
      </c>
      <c r="BE90">
        <v>219.76</v>
      </c>
      <c r="BF90">
        <v>0</v>
      </c>
      <c r="BG90">
        <v>0</v>
      </c>
      <c r="BH90">
        <v>0</v>
      </c>
      <c r="BI90">
        <v>2055.105</v>
      </c>
    </row>
    <row r="91" spans="1:61">
      <c r="A91" t="s">
        <v>425</v>
      </c>
      <c r="B91">
        <v>9.5640000000000001</v>
      </c>
      <c r="C91">
        <v>1.1519999999999999</v>
      </c>
      <c r="D91">
        <v>3.605</v>
      </c>
      <c r="E91">
        <v>0.25900000000000001</v>
      </c>
      <c r="F91">
        <v>0.161</v>
      </c>
      <c r="G91">
        <v>7.9000000000000001E-2</v>
      </c>
      <c r="H91">
        <v>3.472</v>
      </c>
      <c r="I91">
        <v>1.4999999999999999E-2</v>
      </c>
      <c r="J91">
        <v>129.08699999999999</v>
      </c>
      <c r="K91">
        <v>48.951999999999998</v>
      </c>
      <c r="L91">
        <v>6.383</v>
      </c>
      <c r="M91">
        <v>37.326000000000001</v>
      </c>
      <c r="N91">
        <v>34.264000000000003</v>
      </c>
      <c r="O91">
        <v>149.63200000000001</v>
      </c>
      <c r="P91">
        <v>42.633000000000003</v>
      </c>
      <c r="Q91">
        <v>43.786000000000001</v>
      </c>
      <c r="R91">
        <v>30.684000000000001</v>
      </c>
      <c r="S91">
        <v>48.704999999999998</v>
      </c>
      <c r="T91">
        <v>25.298999999999999</v>
      </c>
      <c r="U91">
        <v>66.652000000000001</v>
      </c>
      <c r="V91">
        <v>365.05099999999999</v>
      </c>
      <c r="W91">
        <v>118.245</v>
      </c>
      <c r="X91">
        <v>125.754</v>
      </c>
      <c r="Y91">
        <v>110.971</v>
      </c>
      <c r="Z91">
        <v>30.780999999999999</v>
      </c>
      <c r="AA91">
        <v>12.085000000000001</v>
      </c>
      <c r="AB91">
        <v>28.574000000000002</v>
      </c>
      <c r="AC91">
        <v>144.178</v>
      </c>
      <c r="AD91">
        <v>27.532</v>
      </c>
      <c r="AE91">
        <v>171.02099999999999</v>
      </c>
      <c r="AF91">
        <v>662.75300000000004</v>
      </c>
      <c r="AG91">
        <v>18.667999999999999</v>
      </c>
      <c r="AH91">
        <v>38.22</v>
      </c>
      <c r="AI91">
        <v>16.326000000000001</v>
      </c>
      <c r="AJ91">
        <v>113.80500000000001</v>
      </c>
      <c r="AK91">
        <v>49.195999999999998</v>
      </c>
      <c r="AL91">
        <v>163.97800000000001</v>
      </c>
      <c r="AM91">
        <v>210.20500000000001</v>
      </c>
      <c r="AN91">
        <v>361.99299999999999</v>
      </c>
      <c r="AO91">
        <v>1479.4970000000001</v>
      </c>
      <c r="AP91">
        <v>680.03899999999999</v>
      </c>
      <c r="AQ91">
        <v>135.983</v>
      </c>
      <c r="AR91">
        <v>918.97799999999995</v>
      </c>
      <c r="AS91">
        <v>195.477</v>
      </c>
      <c r="AT91">
        <v>323.41399999999999</v>
      </c>
      <c r="AU91">
        <v>223.47300000000001</v>
      </c>
      <c r="AV91">
        <v>182.26599999999999</v>
      </c>
      <c r="AW91">
        <v>79.244</v>
      </c>
      <c r="AX91">
        <v>119.15</v>
      </c>
      <c r="AY91">
        <v>0</v>
      </c>
      <c r="AZ91">
        <v>237.41499999999999</v>
      </c>
      <c r="BA91">
        <v>4.5949999999999998</v>
      </c>
      <c r="BB91">
        <v>40.65</v>
      </c>
      <c r="BC91">
        <v>6201.6610000000001</v>
      </c>
      <c r="BD91">
        <v>8.5649999999999995</v>
      </c>
      <c r="BE91">
        <v>16.859000000000002</v>
      </c>
      <c r="BF91">
        <v>0</v>
      </c>
      <c r="BG91">
        <v>0</v>
      </c>
      <c r="BH91">
        <v>0</v>
      </c>
      <c r="BI91">
        <v>14298.308999999999</v>
      </c>
    </row>
    <row r="92" spans="1:61">
      <c r="A92" t="s">
        <v>424</v>
      </c>
      <c r="B92">
        <v>22.623999999999999</v>
      </c>
      <c r="C92">
        <v>1.5980000000000001</v>
      </c>
      <c r="D92">
        <v>5.58</v>
      </c>
      <c r="E92">
        <v>0.16800000000000001</v>
      </c>
      <c r="F92">
        <v>0.17499999999999999</v>
      </c>
      <c r="G92">
        <v>9.6000000000000002E-2</v>
      </c>
      <c r="H92">
        <v>2.226</v>
      </c>
      <c r="I92">
        <v>2.1000000000000001E-2</v>
      </c>
      <c r="J92">
        <v>81.289000000000001</v>
      </c>
      <c r="K92">
        <v>29.013000000000002</v>
      </c>
      <c r="L92">
        <v>4.1959999999999997</v>
      </c>
      <c r="M92">
        <v>20.943000000000001</v>
      </c>
      <c r="N92">
        <v>26.741</v>
      </c>
      <c r="O92">
        <v>78.754000000000005</v>
      </c>
      <c r="P92">
        <v>13.474</v>
      </c>
      <c r="Q92">
        <v>28.666</v>
      </c>
      <c r="R92">
        <v>20.117000000000001</v>
      </c>
      <c r="S92">
        <v>34.045999999999999</v>
      </c>
      <c r="T92">
        <v>21.414000000000001</v>
      </c>
      <c r="U92">
        <v>37.825000000000003</v>
      </c>
      <c r="V92">
        <v>84.247</v>
      </c>
      <c r="W92">
        <v>49.692999999999998</v>
      </c>
      <c r="X92">
        <v>57.194000000000003</v>
      </c>
      <c r="Y92">
        <v>60.441000000000003</v>
      </c>
      <c r="Z92">
        <v>14.340999999999999</v>
      </c>
      <c r="AA92">
        <v>4.8109999999999999</v>
      </c>
      <c r="AB92">
        <v>14.237</v>
      </c>
      <c r="AC92">
        <v>71.900999999999996</v>
      </c>
      <c r="AD92">
        <v>13.597</v>
      </c>
      <c r="AE92">
        <v>105.69199999999999</v>
      </c>
      <c r="AF92">
        <v>301.85899999999998</v>
      </c>
      <c r="AG92">
        <v>14.342000000000001</v>
      </c>
      <c r="AH92">
        <v>24.638000000000002</v>
      </c>
      <c r="AI92">
        <v>10.3</v>
      </c>
      <c r="AJ92">
        <v>44.256999999999998</v>
      </c>
      <c r="AK92">
        <v>9.9749999999999996</v>
      </c>
      <c r="AL92">
        <v>80.347999999999999</v>
      </c>
      <c r="AM92">
        <v>25.602</v>
      </c>
      <c r="AN92">
        <v>40.953000000000003</v>
      </c>
      <c r="AO92">
        <v>36.036999999999999</v>
      </c>
      <c r="AP92">
        <v>834.75</v>
      </c>
      <c r="AQ92">
        <v>801.03499999999997</v>
      </c>
      <c r="AR92">
        <v>208.876</v>
      </c>
      <c r="AS92">
        <v>60.475000000000001</v>
      </c>
      <c r="AT92">
        <v>79.17</v>
      </c>
      <c r="AU92">
        <v>43.026000000000003</v>
      </c>
      <c r="AV92">
        <v>42.027000000000001</v>
      </c>
      <c r="AW92">
        <v>27.693999999999999</v>
      </c>
      <c r="AX92">
        <v>42.374000000000002</v>
      </c>
      <c r="AY92">
        <v>0</v>
      </c>
      <c r="AZ92">
        <v>1902.498</v>
      </c>
      <c r="BA92">
        <v>5.7910000000000004</v>
      </c>
      <c r="BB92">
        <v>1.4079999999999999</v>
      </c>
      <c r="BC92">
        <v>95.466999999999999</v>
      </c>
      <c r="BD92">
        <v>0.62</v>
      </c>
      <c r="BE92">
        <v>211.24700000000001</v>
      </c>
      <c r="BF92">
        <v>0</v>
      </c>
      <c r="BG92">
        <v>0</v>
      </c>
      <c r="BH92">
        <v>0</v>
      </c>
      <c r="BI92">
        <v>5849.8879999999999</v>
      </c>
    </row>
    <row r="93" spans="1:61">
      <c r="A93" t="s">
        <v>423</v>
      </c>
      <c r="B93">
        <v>1.859</v>
      </c>
      <c r="C93">
        <v>0.36199999999999999</v>
      </c>
      <c r="D93">
        <v>0.68200000000000005</v>
      </c>
      <c r="E93">
        <v>4.5999999999999999E-2</v>
      </c>
      <c r="F93">
        <v>3.5999999999999997E-2</v>
      </c>
      <c r="G93">
        <v>1.4999999999999999E-2</v>
      </c>
      <c r="H93">
        <v>0.73199999999999998</v>
      </c>
      <c r="I93">
        <v>3.0000000000000001E-3</v>
      </c>
      <c r="J93">
        <v>23.777000000000001</v>
      </c>
      <c r="K93">
        <v>14.337</v>
      </c>
      <c r="L93">
        <v>1.4730000000000001</v>
      </c>
      <c r="M93">
        <v>6.54</v>
      </c>
      <c r="N93">
        <v>47.615000000000002</v>
      </c>
      <c r="O93">
        <v>19.472000000000001</v>
      </c>
      <c r="P93">
        <v>3.698</v>
      </c>
      <c r="Q93">
        <v>8.2569999999999997</v>
      </c>
      <c r="R93">
        <v>5.7110000000000003</v>
      </c>
      <c r="S93">
        <v>8.8800000000000008</v>
      </c>
      <c r="T93">
        <v>5.4290000000000003</v>
      </c>
      <c r="U93">
        <v>16.640999999999998</v>
      </c>
      <c r="V93">
        <v>31.271999999999998</v>
      </c>
      <c r="W93">
        <v>14.617000000000001</v>
      </c>
      <c r="X93">
        <v>17.57</v>
      </c>
      <c r="Y93">
        <v>20.818000000000001</v>
      </c>
      <c r="Z93">
        <v>8.1050000000000004</v>
      </c>
      <c r="AA93">
        <v>1.5109999999999999</v>
      </c>
      <c r="AB93">
        <v>7.1150000000000002</v>
      </c>
      <c r="AC93">
        <v>24.376999999999999</v>
      </c>
      <c r="AD93">
        <v>3.7879999999999998</v>
      </c>
      <c r="AE93">
        <v>46.192</v>
      </c>
      <c r="AF93">
        <v>411.46800000000002</v>
      </c>
      <c r="AG93">
        <v>5.3230000000000004</v>
      </c>
      <c r="AH93">
        <v>7.7569999999999997</v>
      </c>
      <c r="AI93">
        <v>2.468</v>
      </c>
      <c r="AJ93">
        <v>42.048000000000002</v>
      </c>
      <c r="AK93">
        <v>7.9790000000000001</v>
      </c>
      <c r="AL93">
        <v>197.84</v>
      </c>
      <c r="AM93">
        <v>20.728999999999999</v>
      </c>
      <c r="AN93">
        <v>33.085999999999999</v>
      </c>
      <c r="AO93">
        <v>30.916</v>
      </c>
      <c r="AP93">
        <v>69.402000000000001</v>
      </c>
      <c r="AQ93">
        <v>143.26</v>
      </c>
      <c r="AR93">
        <v>124.676</v>
      </c>
      <c r="AS93">
        <v>33.906999999999996</v>
      </c>
      <c r="AT93">
        <v>38.090000000000003</v>
      </c>
      <c r="AU93">
        <v>46.442</v>
      </c>
      <c r="AV93">
        <v>48.537999999999997</v>
      </c>
      <c r="AW93">
        <v>26.056000000000001</v>
      </c>
      <c r="AX93">
        <v>43.137999999999998</v>
      </c>
      <c r="AY93">
        <v>0</v>
      </c>
      <c r="AZ93">
        <v>452.33199999999999</v>
      </c>
      <c r="BA93">
        <v>15.343</v>
      </c>
      <c r="BB93">
        <v>0.41399999999999998</v>
      </c>
      <c r="BC93">
        <v>1209.1279999999999</v>
      </c>
      <c r="BD93">
        <v>0.32</v>
      </c>
      <c r="BE93">
        <v>918.54700000000003</v>
      </c>
      <c r="BF93">
        <v>0</v>
      </c>
      <c r="BG93">
        <v>0</v>
      </c>
      <c r="BH93">
        <v>0</v>
      </c>
      <c r="BI93">
        <v>4270.1400000000003</v>
      </c>
    </row>
    <row r="94" spans="1:61">
      <c r="A94" t="s">
        <v>422</v>
      </c>
      <c r="B94">
        <v>53.792000000000002</v>
      </c>
      <c r="C94">
        <v>2.68</v>
      </c>
      <c r="D94">
        <v>11.484</v>
      </c>
      <c r="E94">
        <v>0.72</v>
      </c>
      <c r="F94">
        <v>0.55200000000000005</v>
      </c>
      <c r="G94">
        <v>0.315</v>
      </c>
      <c r="H94">
        <v>10.647</v>
      </c>
      <c r="I94">
        <v>0.126</v>
      </c>
      <c r="J94">
        <v>462.98</v>
      </c>
      <c r="K94">
        <v>145.71899999999999</v>
      </c>
      <c r="L94">
        <v>15.478</v>
      </c>
      <c r="M94">
        <v>80.197999999999993</v>
      </c>
      <c r="N94">
        <v>96.015000000000001</v>
      </c>
      <c r="O94">
        <v>410.69</v>
      </c>
      <c r="P94">
        <v>111.404</v>
      </c>
      <c r="Q94">
        <v>162.28</v>
      </c>
      <c r="R94">
        <v>93.022999999999996</v>
      </c>
      <c r="S94">
        <v>150.58600000000001</v>
      </c>
      <c r="T94">
        <v>63.518999999999998</v>
      </c>
      <c r="U94">
        <v>203.28</v>
      </c>
      <c r="V94">
        <v>827.34299999999996</v>
      </c>
      <c r="W94">
        <v>231.13300000000001</v>
      </c>
      <c r="X94">
        <v>319.50599999999997</v>
      </c>
      <c r="Y94">
        <v>542.46100000000001</v>
      </c>
      <c r="Z94">
        <v>103.672</v>
      </c>
      <c r="AA94">
        <v>34.909999999999997</v>
      </c>
      <c r="AB94">
        <v>69.798000000000002</v>
      </c>
      <c r="AC94">
        <v>318.19299999999998</v>
      </c>
      <c r="AD94">
        <v>55.515000000000001</v>
      </c>
      <c r="AE94">
        <v>783.46900000000005</v>
      </c>
      <c r="AF94">
        <v>1699.0039999999999</v>
      </c>
      <c r="AG94">
        <v>34.362000000000002</v>
      </c>
      <c r="AH94">
        <v>64.760999999999996</v>
      </c>
      <c r="AI94">
        <v>24.026</v>
      </c>
      <c r="AJ94">
        <v>228.001</v>
      </c>
      <c r="AK94">
        <v>45.222000000000001</v>
      </c>
      <c r="AL94">
        <v>564.78200000000004</v>
      </c>
      <c r="AM94">
        <v>266.935</v>
      </c>
      <c r="AN94">
        <v>318.27199999999999</v>
      </c>
      <c r="AO94">
        <v>285.25</v>
      </c>
      <c r="AP94">
        <v>849.76599999999996</v>
      </c>
      <c r="AQ94">
        <v>555.98500000000001</v>
      </c>
      <c r="AR94">
        <v>3500.3960000000002</v>
      </c>
      <c r="AS94">
        <v>351.04300000000001</v>
      </c>
      <c r="AT94">
        <v>433.48899999999998</v>
      </c>
      <c r="AU94">
        <v>285.70499999999998</v>
      </c>
      <c r="AV94">
        <v>324.34899999999999</v>
      </c>
      <c r="AW94">
        <v>167.30699999999999</v>
      </c>
      <c r="AX94">
        <v>255.226</v>
      </c>
      <c r="AY94">
        <v>0</v>
      </c>
      <c r="AZ94">
        <v>614.101</v>
      </c>
      <c r="BA94">
        <v>45.573</v>
      </c>
      <c r="BB94">
        <v>128.465</v>
      </c>
      <c r="BC94">
        <v>6220.2179999999998</v>
      </c>
      <c r="BD94">
        <v>9.6549999999999994</v>
      </c>
      <c r="BE94">
        <v>97.590999999999994</v>
      </c>
      <c r="BF94">
        <v>0</v>
      </c>
      <c r="BG94">
        <v>0</v>
      </c>
      <c r="BH94">
        <v>0</v>
      </c>
      <c r="BI94">
        <v>22730.969000000001</v>
      </c>
    </row>
    <row r="95" spans="1:61">
      <c r="A95" t="s">
        <v>421</v>
      </c>
      <c r="B95">
        <v>69.313000000000002</v>
      </c>
      <c r="C95">
        <v>8.4529999999999994</v>
      </c>
      <c r="D95">
        <v>19.059000000000001</v>
      </c>
      <c r="E95">
        <v>1.286</v>
      </c>
      <c r="F95">
        <v>1.242</v>
      </c>
      <c r="G95">
        <v>0.67300000000000004</v>
      </c>
      <c r="H95">
        <v>22.911999999999999</v>
      </c>
      <c r="I95">
        <v>0.14699999999999999</v>
      </c>
      <c r="J95">
        <v>386.97699999999998</v>
      </c>
      <c r="K95">
        <v>126.83</v>
      </c>
      <c r="L95">
        <v>20.329999999999998</v>
      </c>
      <c r="M95">
        <v>97.849000000000004</v>
      </c>
      <c r="N95">
        <v>94.53</v>
      </c>
      <c r="O95">
        <v>358.03</v>
      </c>
      <c r="P95">
        <v>83.766999999999996</v>
      </c>
      <c r="Q95">
        <v>141.17599999999999</v>
      </c>
      <c r="R95">
        <v>117.28</v>
      </c>
      <c r="S95">
        <v>120.322</v>
      </c>
      <c r="T95">
        <v>64.417000000000002</v>
      </c>
      <c r="U95">
        <v>201.83199999999999</v>
      </c>
      <c r="V95">
        <v>439.00599999999997</v>
      </c>
      <c r="W95">
        <v>247.43100000000001</v>
      </c>
      <c r="X95">
        <v>354.42200000000003</v>
      </c>
      <c r="Y95">
        <v>402.42200000000003</v>
      </c>
      <c r="Z95">
        <v>89.418999999999997</v>
      </c>
      <c r="AA95">
        <v>33.454999999999998</v>
      </c>
      <c r="AB95">
        <v>74.679000000000002</v>
      </c>
      <c r="AC95">
        <v>309.52999999999997</v>
      </c>
      <c r="AD95">
        <v>122.32</v>
      </c>
      <c r="AE95">
        <v>829.17100000000005</v>
      </c>
      <c r="AF95">
        <v>1640.8150000000001</v>
      </c>
      <c r="AG95">
        <v>95.894999999999996</v>
      </c>
      <c r="AH95">
        <v>257.14400000000001</v>
      </c>
      <c r="AI95">
        <v>98.295000000000002</v>
      </c>
      <c r="AJ95">
        <v>456.899</v>
      </c>
      <c r="AK95">
        <v>103</v>
      </c>
      <c r="AL95">
        <v>644.04999999999995</v>
      </c>
      <c r="AM95">
        <v>308.58300000000003</v>
      </c>
      <c r="AN95">
        <v>410.108</v>
      </c>
      <c r="AO95">
        <v>377.05</v>
      </c>
      <c r="AP95">
        <v>676.02</v>
      </c>
      <c r="AQ95">
        <v>711.39599999999996</v>
      </c>
      <c r="AR95">
        <v>1513.9190000000001</v>
      </c>
      <c r="AS95">
        <v>797.70100000000002</v>
      </c>
      <c r="AT95">
        <v>652.63199999999995</v>
      </c>
      <c r="AU95">
        <v>602.67200000000003</v>
      </c>
      <c r="AV95">
        <v>467.38499999999999</v>
      </c>
      <c r="AW95">
        <v>291.80200000000002</v>
      </c>
      <c r="AX95">
        <v>281.89800000000002</v>
      </c>
      <c r="AY95">
        <v>0</v>
      </c>
      <c r="AZ95">
        <v>2195</v>
      </c>
      <c r="BA95">
        <v>11.647</v>
      </c>
      <c r="BB95">
        <v>0.97099999999999997</v>
      </c>
      <c r="BC95">
        <v>63.378</v>
      </c>
      <c r="BD95">
        <v>3.008</v>
      </c>
      <c r="BE95">
        <v>174.85300000000001</v>
      </c>
      <c r="BF95">
        <v>0</v>
      </c>
      <c r="BG95">
        <v>0</v>
      </c>
      <c r="BH95">
        <v>0</v>
      </c>
      <c r="BI95">
        <v>17674.398000000001</v>
      </c>
    </row>
    <row r="96" spans="1:61">
      <c r="A96" t="s">
        <v>420</v>
      </c>
      <c r="B96">
        <v>2.0009999999999999</v>
      </c>
      <c r="C96">
        <v>0.35099999999999998</v>
      </c>
      <c r="D96">
        <v>0.39300000000000002</v>
      </c>
      <c r="E96">
        <v>1.9E-2</v>
      </c>
      <c r="F96">
        <v>8.0000000000000002E-3</v>
      </c>
      <c r="G96">
        <v>7.0000000000000001E-3</v>
      </c>
      <c r="H96">
        <v>0.23100000000000001</v>
      </c>
      <c r="I96">
        <v>1E-3</v>
      </c>
      <c r="J96">
        <v>11.983000000000001</v>
      </c>
      <c r="K96">
        <v>2.1179999999999999</v>
      </c>
      <c r="L96">
        <v>0.99</v>
      </c>
      <c r="M96">
        <v>1.4750000000000001</v>
      </c>
      <c r="N96">
        <v>4.891</v>
      </c>
      <c r="O96">
        <v>9.0449999999999999</v>
      </c>
      <c r="P96">
        <v>1.4970000000000001</v>
      </c>
      <c r="Q96">
        <v>2.8690000000000002</v>
      </c>
      <c r="R96">
        <v>1.8480000000000001</v>
      </c>
      <c r="S96">
        <v>4.6230000000000002</v>
      </c>
      <c r="T96">
        <v>2.97</v>
      </c>
      <c r="U96">
        <v>2.5830000000000002</v>
      </c>
      <c r="V96">
        <v>10.134</v>
      </c>
      <c r="W96">
        <v>3.7989999999999999</v>
      </c>
      <c r="X96">
        <v>10.63</v>
      </c>
      <c r="Y96">
        <v>6.6909999999999998</v>
      </c>
      <c r="Z96">
        <v>1.661</v>
      </c>
      <c r="AA96">
        <v>0.48099999999999998</v>
      </c>
      <c r="AB96">
        <v>1.2350000000000001</v>
      </c>
      <c r="AC96">
        <v>4.8070000000000004</v>
      </c>
      <c r="AD96">
        <v>0.83</v>
      </c>
      <c r="AE96">
        <v>6.782</v>
      </c>
      <c r="AF96">
        <v>20.221</v>
      </c>
      <c r="AG96">
        <v>1.9530000000000001</v>
      </c>
      <c r="AH96">
        <v>7.9370000000000003</v>
      </c>
      <c r="AI96">
        <v>1.897</v>
      </c>
      <c r="AJ96">
        <v>12.654999999999999</v>
      </c>
      <c r="AK96">
        <v>1.258</v>
      </c>
      <c r="AL96">
        <v>8.7070000000000007</v>
      </c>
      <c r="AM96">
        <v>3.6349999999999998</v>
      </c>
      <c r="AN96">
        <v>2.9140000000000001</v>
      </c>
      <c r="AO96">
        <v>6.008</v>
      </c>
      <c r="AP96">
        <v>5.4109999999999996</v>
      </c>
      <c r="AQ96">
        <v>3.9990000000000001</v>
      </c>
      <c r="AR96">
        <v>13.247</v>
      </c>
      <c r="AS96">
        <v>3.4039999999999999</v>
      </c>
      <c r="AT96">
        <v>4.6070000000000002</v>
      </c>
      <c r="AU96">
        <v>3.629</v>
      </c>
      <c r="AV96">
        <v>4.819</v>
      </c>
      <c r="AW96">
        <v>3.4020000000000001</v>
      </c>
      <c r="AX96">
        <v>2.3580000000000001</v>
      </c>
      <c r="AY96">
        <v>0</v>
      </c>
      <c r="AZ96">
        <v>36.448</v>
      </c>
      <c r="BA96">
        <v>1.3069999999999999</v>
      </c>
      <c r="BB96">
        <v>5.032</v>
      </c>
      <c r="BC96">
        <v>76.599999999999994</v>
      </c>
      <c r="BD96">
        <v>2.3180000000000001</v>
      </c>
      <c r="BE96">
        <v>34.070999999999998</v>
      </c>
      <c r="BF96">
        <v>0</v>
      </c>
      <c r="BG96">
        <v>0</v>
      </c>
      <c r="BH96">
        <v>0</v>
      </c>
      <c r="BI96">
        <v>364.78800000000001</v>
      </c>
    </row>
    <row r="97" spans="1:61">
      <c r="A97" t="s">
        <v>419</v>
      </c>
      <c r="B97">
        <v>0.83499999999999996</v>
      </c>
      <c r="C97">
        <v>0.11799999999999999</v>
      </c>
      <c r="D97">
        <v>0.21</v>
      </c>
      <c r="E97">
        <v>1.2999999999999999E-2</v>
      </c>
      <c r="F97">
        <v>6.0000000000000001E-3</v>
      </c>
      <c r="G97">
        <v>4.0000000000000001E-3</v>
      </c>
      <c r="H97">
        <v>0.14199999999999999</v>
      </c>
      <c r="I97">
        <v>1E-3</v>
      </c>
      <c r="J97">
        <v>4.2160000000000002</v>
      </c>
      <c r="K97">
        <v>2.218</v>
      </c>
      <c r="L97">
        <v>0.34100000000000003</v>
      </c>
      <c r="M97">
        <v>1.8460000000000001</v>
      </c>
      <c r="N97">
        <v>2.3479999999999999</v>
      </c>
      <c r="O97">
        <v>7.1479999999999997</v>
      </c>
      <c r="P97">
        <v>1.4019999999999999</v>
      </c>
      <c r="Q97">
        <v>2.806</v>
      </c>
      <c r="R97">
        <v>0.98399999999999999</v>
      </c>
      <c r="S97">
        <v>1.79</v>
      </c>
      <c r="T97">
        <v>0.76800000000000002</v>
      </c>
      <c r="U97">
        <v>1.3779999999999999</v>
      </c>
      <c r="V97">
        <v>5.3330000000000002</v>
      </c>
      <c r="W97">
        <v>2.65</v>
      </c>
      <c r="X97">
        <v>2.9649999999999999</v>
      </c>
      <c r="Y97">
        <v>7.1219999999999999</v>
      </c>
      <c r="Z97">
        <v>1.1040000000000001</v>
      </c>
      <c r="AA97">
        <v>0.376</v>
      </c>
      <c r="AB97">
        <v>0.88100000000000001</v>
      </c>
      <c r="AC97">
        <v>2.7690000000000001</v>
      </c>
      <c r="AD97">
        <v>0.498</v>
      </c>
      <c r="AE97">
        <v>3.5030000000000001</v>
      </c>
      <c r="AF97">
        <v>9.9830000000000005</v>
      </c>
      <c r="AG97">
        <v>0.79700000000000004</v>
      </c>
      <c r="AH97">
        <v>4.7779999999999996</v>
      </c>
      <c r="AI97">
        <v>0.69499999999999995</v>
      </c>
      <c r="AJ97">
        <v>3.9350000000000001</v>
      </c>
      <c r="AK97">
        <v>0.81299999999999994</v>
      </c>
      <c r="AL97">
        <v>3.4740000000000002</v>
      </c>
      <c r="AM97">
        <v>2.4990000000000001</v>
      </c>
      <c r="AN97">
        <v>3.024</v>
      </c>
      <c r="AO97">
        <v>7.7610000000000001</v>
      </c>
      <c r="AP97">
        <v>4.4119999999999999</v>
      </c>
      <c r="AQ97">
        <v>1.7430000000000001</v>
      </c>
      <c r="AR97">
        <v>31.404</v>
      </c>
      <c r="AS97">
        <v>2.3180000000000001</v>
      </c>
      <c r="AT97">
        <v>5.4210000000000003</v>
      </c>
      <c r="AU97">
        <v>3.125</v>
      </c>
      <c r="AV97">
        <v>4.3070000000000004</v>
      </c>
      <c r="AW97">
        <v>1.484</v>
      </c>
      <c r="AX97">
        <v>1.7130000000000001</v>
      </c>
      <c r="AY97">
        <v>0</v>
      </c>
      <c r="AZ97">
        <v>20.524999999999999</v>
      </c>
      <c r="BA97">
        <v>1.4339999999999999</v>
      </c>
      <c r="BB97">
        <v>12.385</v>
      </c>
      <c r="BC97">
        <v>473.04</v>
      </c>
      <c r="BD97">
        <v>0.32</v>
      </c>
      <c r="BE97">
        <v>588.851</v>
      </c>
      <c r="BF97">
        <v>0</v>
      </c>
      <c r="BG97">
        <v>0</v>
      </c>
      <c r="BH97">
        <v>0</v>
      </c>
      <c r="BI97">
        <v>1246.0139999999999</v>
      </c>
    </row>
    <row r="98" spans="1:61">
      <c r="A98" t="s">
        <v>418</v>
      </c>
      <c r="B98">
        <v>0.58899999999999997</v>
      </c>
      <c r="C98">
        <v>2.9000000000000001E-2</v>
      </c>
      <c r="D98">
        <v>0.151</v>
      </c>
      <c r="E98">
        <v>5.0000000000000001E-3</v>
      </c>
      <c r="F98">
        <v>2E-3</v>
      </c>
      <c r="G98">
        <v>2E-3</v>
      </c>
      <c r="H98">
        <v>5.8999999999999997E-2</v>
      </c>
      <c r="I98">
        <v>0</v>
      </c>
      <c r="J98">
        <v>2.2069999999999999</v>
      </c>
      <c r="K98">
        <v>1.01</v>
      </c>
      <c r="L98">
        <v>0.11799999999999999</v>
      </c>
      <c r="M98">
        <v>0.55900000000000005</v>
      </c>
      <c r="N98">
        <v>1.6020000000000001</v>
      </c>
      <c r="O98">
        <v>4.9950000000000001</v>
      </c>
      <c r="P98">
        <v>1.5329999999999999</v>
      </c>
      <c r="Q98">
        <v>1.627</v>
      </c>
      <c r="R98">
        <v>0.53900000000000003</v>
      </c>
      <c r="S98">
        <v>1.593</v>
      </c>
      <c r="T98">
        <v>0.626</v>
      </c>
      <c r="U98">
        <v>1.63</v>
      </c>
      <c r="V98">
        <v>34.851999999999997</v>
      </c>
      <c r="W98">
        <v>5.1970000000000001</v>
      </c>
      <c r="X98">
        <v>5.89</v>
      </c>
      <c r="Y98">
        <v>4.4370000000000003</v>
      </c>
      <c r="Z98">
        <v>1.1879999999999999</v>
      </c>
      <c r="AA98">
        <v>0.26500000000000001</v>
      </c>
      <c r="AB98">
        <v>0.94299999999999995</v>
      </c>
      <c r="AC98">
        <v>1.427</v>
      </c>
      <c r="AD98">
        <v>0.29899999999999999</v>
      </c>
      <c r="AE98">
        <v>3.528</v>
      </c>
      <c r="AF98">
        <v>4.7759999999999998</v>
      </c>
      <c r="AG98">
        <v>0.46600000000000003</v>
      </c>
      <c r="AH98">
        <v>1.206</v>
      </c>
      <c r="AI98">
        <v>0.47399999999999998</v>
      </c>
      <c r="AJ98">
        <v>2.173</v>
      </c>
      <c r="AK98">
        <v>0.24</v>
      </c>
      <c r="AL98">
        <v>2.3069999999999999</v>
      </c>
      <c r="AM98">
        <v>0.70799999999999996</v>
      </c>
      <c r="AN98">
        <v>1.681</v>
      </c>
      <c r="AO98">
        <v>1.5</v>
      </c>
      <c r="AP98">
        <v>1.117</v>
      </c>
      <c r="AQ98">
        <v>1.0549999999999999</v>
      </c>
      <c r="AR98">
        <v>4.0229999999999997</v>
      </c>
      <c r="AS98">
        <v>1.06</v>
      </c>
      <c r="AT98">
        <v>1.431</v>
      </c>
      <c r="AU98">
        <v>1.3049999999999999</v>
      </c>
      <c r="AV98">
        <v>4.641</v>
      </c>
      <c r="AW98">
        <v>0.59</v>
      </c>
      <c r="AX98">
        <v>1.431</v>
      </c>
      <c r="AY98">
        <v>0</v>
      </c>
      <c r="AZ98">
        <v>17.484000000000002</v>
      </c>
      <c r="BA98">
        <v>0.10299999999999999</v>
      </c>
      <c r="BB98">
        <v>0.51400000000000001</v>
      </c>
      <c r="BC98">
        <v>43.304000000000002</v>
      </c>
      <c r="BD98">
        <v>2.258</v>
      </c>
      <c r="BE98">
        <v>197.01900000000001</v>
      </c>
      <c r="BF98">
        <v>0</v>
      </c>
      <c r="BG98">
        <v>0</v>
      </c>
      <c r="BH98">
        <v>0</v>
      </c>
      <c r="BI98">
        <v>369.76600000000002</v>
      </c>
    </row>
    <row r="99" spans="1:61">
      <c r="A99" t="s">
        <v>417</v>
      </c>
      <c r="B99">
        <v>1.2250000000000001</v>
      </c>
      <c r="C99">
        <v>0.17699999999999999</v>
      </c>
      <c r="D99">
        <v>0.33500000000000002</v>
      </c>
      <c r="E99">
        <v>1.2999999999999999E-2</v>
      </c>
      <c r="F99">
        <v>7.0000000000000001E-3</v>
      </c>
      <c r="G99">
        <v>7.0000000000000001E-3</v>
      </c>
      <c r="H99">
        <v>0.251</v>
      </c>
      <c r="I99">
        <v>0</v>
      </c>
      <c r="J99">
        <v>8.8989999999999991</v>
      </c>
      <c r="K99">
        <v>2.7930000000000001</v>
      </c>
      <c r="L99">
        <v>0.33</v>
      </c>
      <c r="M99">
        <v>1.895</v>
      </c>
      <c r="N99">
        <v>1.365</v>
      </c>
      <c r="O99">
        <v>6.5960000000000001</v>
      </c>
      <c r="P99">
        <v>1.6</v>
      </c>
      <c r="Q99">
        <v>2.4020000000000001</v>
      </c>
      <c r="R99">
        <v>1.81</v>
      </c>
      <c r="S99">
        <v>1.542</v>
      </c>
      <c r="T99">
        <v>1.1220000000000001</v>
      </c>
      <c r="U99">
        <v>3.0249999999999999</v>
      </c>
      <c r="V99">
        <v>7.2850000000000001</v>
      </c>
      <c r="W99">
        <v>2.9380000000000002</v>
      </c>
      <c r="X99">
        <v>5.5039999999999996</v>
      </c>
      <c r="Y99">
        <v>8.23</v>
      </c>
      <c r="Z99">
        <v>2.4129999999999998</v>
      </c>
      <c r="AA99">
        <v>0.40799999999999997</v>
      </c>
      <c r="AB99">
        <v>1.9359999999999999</v>
      </c>
      <c r="AC99">
        <v>3.8159999999999998</v>
      </c>
      <c r="AD99">
        <v>1.5229999999999999</v>
      </c>
      <c r="AE99">
        <v>9.4429999999999996</v>
      </c>
      <c r="AF99">
        <v>34.923999999999999</v>
      </c>
      <c r="AG99">
        <v>1.079</v>
      </c>
      <c r="AH99">
        <v>2.2330000000000001</v>
      </c>
      <c r="AI99">
        <v>0.67700000000000005</v>
      </c>
      <c r="AJ99">
        <v>3.843</v>
      </c>
      <c r="AK99">
        <v>1.105</v>
      </c>
      <c r="AL99">
        <v>65.41</v>
      </c>
      <c r="AM99">
        <v>152.23099999999999</v>
      </c>
      <c r="AN99">
        <v>5.6529999999999996</v>
      </c>
      <c r="AO99">
        <v>5.3419999999999996</v>
      </c>
      <c r="AP99">
        <v>9.8970000000000002</v>
      </c>
      <c r="AQ99">
        <v>5.9450000000000003</v>
      </c>
      <c r="AR99">
        <v>54.323999999999998</v>
      </c>
      <c r="AS99">
        <v>13.927</v>
      </c>
      <c r="AT99">
        <v>35.887999999999998</v>
      </c>
      <c r="AU99">
        <v>30.919</v>
      </c>
      <c r="AV99">
        <v>14.127000000000001</v>
      </c>
      <c r="AW99">
        <v>337.65199999999999</v>
      </c>
      <c r="AX99">
        <v>23.998000000000001</v>
      </c>
      <c r="AY99">
        <v>0</v>
      </c>
      <c r="AZ99">
        <v>672.88199999999995</v>
      </c>
      <c r="BA99">
        <v>191.208</v>
      </c>
      <c r="BB99">
        <v>711.92</v>
      </c>
      <c r="BC99">
        <v>140.83699999999999</v>
      </c>
      <c r="BD99">
        <v>0.39</v>
      </c>
      <c r="BE99">
        <v>422.959</v>
      </c>
      <c r="BF99">
        <v>0</v>
      </c>
      <c r="BG99">
        <v>0</v>
      </c>
      <c r="BH99">
        <v>0</v>
      </c>
      <c r="BI99">
        <v>3018.2579999999998</v>
      </c>
    </row>
    <row r="100" spans="1:61">
      <c r="A100" t="s">
        <v>416</v>
      </c>
      <c r="B100">
        <v>1.0129999999999999</v>
      </c>
      <c r="C100">
        <v>5.2999999999999999E-2</v>
      </c>
      <c r="D100">
        <v>0.28599999999999998</v>
      </c>
      <c r="E100">
        <v>8.9999999999999993E-3</v>
      </c>
      <c r="F100">
        <v>3.0000000000000001E-3</v>
      </c>
      <c r="G100">
        <v>3.0000000000000001E-3</v>
      </c>
      <c r="H100">
        <v>0.109</v>
      </c>
      <c r="I100">
        <v>0</v>
      </c>
      <c r="J100">
        <v>4.3579999999999997</v>
      </c>
      <c r="K100">
        <v>3.262</v>
      </c>
      <c r="L100">
        <v>0.251</v>
      </c>
      <c r="M100">
        <v>0.78100000000000003</v>
      </c>
      <c r="N100">
        <v>2.6379999999999999</v>
      </c>
      <c r="O100">
        <v>5.0890000000000004</v>
      </c>
      <c r="P100">
        <v>1.159</v>
      </c>
      <c r="Q100">
        <v>1.405</v>
      </c>
      <c r="R100">
        <v>0.872</v>
      </c>
      <c r="S100">
        <v>2.1680000000000001</v>
      </c>
      <c r="T100">
        <v>0.89600000000000002</v>
      </c>
      <c r="U100">
        <v>1.282</v>
      </c>
      <c r="V100">
        <v>7.5780000000000003</v>
      </c>
      <c r="W100">
        <v>2.0430000000000001</v>
      </c>
      <c r="X100">
        <v>2.9169999999999998</v>
      </c>
      <c r="Y100">
        <v>2.9319999999999999</v>
      </c>
      <c r="Z100">
        <v>0.60899999999999999</v>
      </c>
      <c r="AA100">
        <v>0.223</v>
      </c>
      <c r="AB100">
        <v>0.749</v>
      </c>
      <c r="AC100">
        <v>3.3250000000000002</v>
      </c>
      <c r="AD100">
        <v>0.39700000000000002</v>
      </c>
      <c r="AE100">
        <v>3.0649999999999999</v>
      </c>
      <c r="AF100">
        <v>6.6890000000000001</v>
      </c>
      <c r="AG100">
        <v>0.87</v>
      </c>
      <c r="AH100">
        <v>2.492</v>
      </c>
      <c r="AI100">
        <v>1.0489999999999999</v>
      </c>
      <c r="AJ100">
        <v>4.3079999999999998</v>
      </c>
      <c r="AK100">
        <v>0.375</v>
      </c>
      <c r="AL100">
        <v>3.8809999999999998</v>
      </c>
      <c r="AM100">
        <v>1.0189999999999999</v>
      </c>
      <c r="AN100">
        <v>0.97</v>
      </c>
      <c r="AO100">
        <v>1.3129999999999999</v>
      </c>
      <c r="AP100">
        <v>1.1930000000000001</v>
      </c>
      <c r="AQ100">
        <v>0.92700000000000005</v>
      </c>
      <c r="AR100">
        <v>3.5190000000000001</v>
      </c>
      <c r="AS100">
        <v>1.149</v>
      </c>
      <c r="AT100">
        <v>1.6</v>
      </c>
      <c r="AU100">
        <v>1.2370000000000001</v>
      </c>
      <c r="AV100">
        <v>3.3690000000000002</v>
      </c>
      <c r="AW100">
        <v>0.95299999999999996</v>
      </c>
      <c r="AX100">
        <v>1.0720000000000001</v>
      </c>
      <c r="AY100">
        <v>0</v>
      </c>
      <c r="AZ100">
        <v>22.465</v>
      </c>
      <c r="BA100">
        <v>0.23200000000000001</v>
      </c>
      <c r="BB100">
        <v>0.75600000000000001</v>
      </c>
      <c r="BC100">
        <v>12.224</v>
      </c>
      <c r="BD100">
        <v>0.56999999999999995</v>
      </c>
      <c r="BE100">
        <v>226.846</v>
      </c>
      <c r="BF100">
        <v>0</v>
      </c>
      <c r="BG100">
        <v>0</v>
      </c>
      <c r="BH100">
        <v>0</v>
      </c>
      <c r="BI100">
        <v>350.55500000000001</v>
      </c>
    </row>
    <row r="101" spans="1:61">
      <c r="A101" t="s">
        <v>415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</row>
    <row r="102" spans="1:61">
      <c r="A102" t="s">
        <v>414</v>
      </c>
      <c r="B102">
        <v>16.452000000000002</v>
      </c>
      <c r="C102">
        <v>1.143</v>
      </c>
      <c r="D102">
        <v>7.5430000000000001</v>
      </c>
      <c r="E102">
        <v>0.26900000000000002</v>
      </c>
      <c r="F102">
        <v>0.191</v>
      </c>
      <c r="G102">
        <v>9.7000000000000003E-2</v>
      </c>
      <c r="H102">
        <v>3.5720000000000001</v>
      </c>
      <c r="I102">
        <v>1.2999999999999999E-2</v>
      </c>
      <c r="J102">
        <v>18.120999999999999</v>
      </c>
      <c r="K102">
        <v>121.259</v>
      </c>
      <c r="L102">
        <v>6.6639999999999997</v>
      </c>
      <c r="M102">
        <v>31.390999999999998</v>
      </c>
      <c r="N102">
        <v>1464.431</v>
      </c>
      <c r="O102">
        <v>370.05099999999999</v>
      </c>
      <c r="P102">
        <v>30.678999999999998</v>
      </c>
      <c r="Q102">
        <v>92.34</v>
      </c>
      <c r="R102">
        <v>43.963000000000001</v>
      </c>
      <c r="S102">
        <v>114.58</v>
      </c>
      <c r="T102">
        <v>70.016999999999996</v>
      </c>
      <c r="U102">
        <v>71.686000000000007</v>
      </c>
      <c r="V102">
        <v>572.10199999999998</v>
      </c>
      <c r="W102">
        <v>151.05500000000001</v>
      </c>
      <c r="X102">
        <v>154.4</v>
      </c>
      <c r="Y102">
        <v>405.74400000000003</v>
      </c>
      <c r="Z102">
        <v>42.768999999999998</v>
      </c>
      <c r="AA102">
        <v>12.497999999999999</v>
      </c>
      <c r="AB102">
        <v>39.557000000000002</v>
      </c>
      <c r="AC102">
        <v>462.50299999999999</v>
      </c>
      <c r="AD102">
        <v>11.366</v>
      </c>
      <c r="AE102">
        <v>146.066</v>
      </c>
      <c r="AF102">
        <v>142.38800000000001</v>
      </c>
      <c r="AG102">
        <v>21.32</v>
      </c>
      <c r="AH102">
        <v>42.674999999999997</v>
      </c>
      <c r="AI102">
        <v>17.562999999999999</v>
      </c>
      <c r="AJ102">
        <v>36.984000000000002</v>
      </c>
      <c r="AK102">
        <v>8.3089999999999993</v>
      </c>
      <c r="AL102">
        <v>65.393000000000001</v>
      </c>
      <c r="AM102">
        <v>18.292999999999999</v>
      </c>
      <c r="AN102">
        <v>29.802</v>
      </c>
      <c r="AO102">
        <v>21.501999999999999</v>
      </c>
      <c r="AP102">
        <v>22.526</v>
      </c>
      <c r="AQ102">
        <v>23.707999999999998</v>
      </c>
      <c r="AR102">
        <v>67.822000000000003</v>
      </c>
      <c r="AS102">
        <v>24.213000000000001</v>
      </c>
      <c r="AT102">
        <v>35.012999999999998</v>
      </c>
      <c r="AU102">
        <v>30.567</v>
      </c>
      <c r="AV102">
        <v>90.302000000000007</v>
      </c>
      <c r="AW102">
        <v>16.024999999999999</v>
      </c>
      <c r="AX102">
        <v>38.134999999999998</v>
      </c>
      <c r="AY102">
        <v>0</v>
      </c>
      <c r="AZ102">
        <v>725.85199999999998</v>
      </c>
      <c r="BA102">
        <v>1.6870000000000001</v>
      </c>
      <c r="BB102">
        <v>5.1870000000000003</v>
      </c>
      <c r="BC102">
        <v>656.39</v>
      </c>
      <c r="BD102">
        <v>62.728999999999999</v>
      </c>
      <c r="BE102">
        <v>787.71</v>
      </c>
      <c r="BF102">
        <v>0</v>
      </c>
      <c r="BG102">
        <v>0</v>
      </c>
      <c r="BH102">
        <v>0</v>
      </c>
      <c r="BI102">
        <v>7454.6170000000002</v>
      </c>
    </row>
    <row r="103" spans="1:61">
      <c r="A103" t="s">
        <v>413</v>
      </c>
      <c r="B103">
        <v>341.98200000000003</v>
      </c>
      <c r="C103">
        <v>54.661000000000001</v>
      </c>
      <c r="D103">
        <v>441.726</v>
      </c>
      <c r="E103">
        <v>6.2670000000000003</v>
      </c>
      <c r="F103">
        <v>1.9379999999999999</v>
      </c>
      <c r="G103">
        <v>3.3410000000000002</v>
      </c>
      <c r="H103">
        <v>106.355</v>
      </c>
      <c r="I103">
        <v>0.42099999999999999</v>
      </c>
      <c r="J103">
        <v>-776.70100000000002</v>
      </c>
      <c r="K103">
        <v>1021.377</v>
      </c>
      <c r="L103">
        <v>194.21799999999999</v>
      </c>
      <c r="M103">
        <v>486.565</v>
      </c>
      <c r="N103">
        <v>594.91399999999999</v>
      </c>
      <c r="O103">
        <v>3627.578</v>
      </c>
      <c r="P103">
        <v>790.06</v>
      </c>
      <c r="Q103">
        <v>1017.84</v>
      </c>
      <c r="R103">
        <v>1014.4829999999999</v>
      </c>
      <c r="S103">
        <v>3096.4290000000001</v>
      </c>
      <c r="T103">
        <v>820.87699999999995</v>
      </c>
      <c r="U103">
        <v>1038.3889999999999</v>
      </c>
      <c r="V103">
        <v>3994.9059999999999</v>
      </c>
      <c r="W103">
        <v>1834.9480000000001</v>
      </c>
      <c r="X103">
        <v>2017.915</v>
      </c>
      <c r="Y103">
        <v>4092.527</v>
      </c>
      <c r="Z103">
        <v>468.78800000000001</v>
      </c>
      <c r="AA103">
        <v>151.376</v>
      </c>
      <c r="AB103">
        <v>611.88800000000003</v>
      </c>
      <c r="AC103">
        <v>-18.574000000000002</v>
      </c>
      <c r="AD103">
        <v>358.59199999999998</v>
      </c>
      <c r="AE103">
        <v>3856.4180000000001</v>
      </c>
      <c r="AF103">
        <v>4851.4650000000001</v>
      </c>
      <c r="AG103">
        <v>1249.249</v>
      </c>
      <c r="AH103">
        <v>411.95800000000003</v>
      </c>
      <c r="AI103">
        <v>160.39699999999999</v>
      </c>
      <c r="AJ103">
        <v>1081.336</v>
      </c>
      <c r="AK103">
        <v>274.971</v>
      </c>
      <c r="AL103">
        <v>5260.335</v>
      </c>
      <c r="AM103">
        <v>430.24299999999999</v>
      </c>
      <c r="AN103">
        <v>507.50200000000001</v>
      </c>
      <c r="AO103">
        <v>430.30799999999999</v>
      </c>
      <c r="AP103">
        <v>2790.116</v>
      </c>
      <c r="AQ103">
        <v>1060.681</v>
      </c>
      <c r="AR103">
        <v>2141.8789999999999</v>
      </c>
      <c r="AS103">
        <v>798.54</v>
      </c>
      <c r="AT103">
        <v>1490.2460000000001</v>
      </c>
      <c r="AU103">
        <v>1056.297</v>
      </c>
      <c r="AV103">
        <v>3320.45</v>
      </c>
      <c r="AW103">
        <v>521.29399999999998</v>
      </c>
      <c r="AX103">
        <v>974.63300000000004</v>
      </c>
      <c r="AY103">
        <v>0</v>
      </c>
      <c r="AZ103">
        <v>31308.517</v>
      </c>
      <c r="BA103">
        <v>437.887</v>
      </c>
      <c r="BB103">
        <v>382.41800000000001</v>
      </c>
      <c r="BC103">
        <v>25377.827000000001</v>
      </c>
      <c r="BD103">
        <v>870.31500000000005</v>
      </c>
      <c r="BE103">
        <v>0</v>
      </c>
      <c r="BF103">
        <v>401.31599999999997</v>
      </c>
      <c r="BG103">
        <v>15250.187</v>
      </c>
      <c r="BH103">
        <v>0</v>
      </c>
      <c r="BI103">
        <v>134091.87100000001</v>
      </c>
    </row>
    <row r="104" spans="1:61">
      <c r="A104" t="s">
        <v>412</v>
      </c>
      <c r="B104">
        <v>23423.002</v>
      </c>
      <c r="C104">
        <v>1390.261</v>
      </c>
      <c r="D104">
        <v>5436.7730000000001</v>
      </c>
      <c r="E104">
        <v>151.624</v>
      </c>
      <c r="F104">
        <v>73.498000000000005</v>
      </c>
      <c r="G104">
        <v>70.545000000000002</v>
      </c>
      <c r="H104">
        <v>2134.5160000000001</v>
      </c>
      <c r="I104">
        <v>9.1069999999999993</v>
      </c>
      <c r="J104">
        <v>108697.659</v>
      </c>
      <c r="K104">
        <v>53314.726000000002</v>
      </c>
      <c r="L104">
        <v>6593.6509999999998</v>
      </c>
      <c r="M104">
        <v>27333.028999999999</v>
      </c>
      <c r="N104">
        <v>139577.16</v>
      </c>
      <c r="O104">
        <v>175393.35399999999</v>
      </c>
      <c r="P104">
        <v>19205.414000000001</v>
      </c>
      <c r="Q104">
        <v>62264.84</v>
      </c>
      <c r="R104">
        <v>27195.938999999998</v>
      </c>
      <c r="S104">
        <v>89208.005999999994</v>
      </c>
      <c r="T104">
        <v>42461.186999999998</v>
      </c>
      <c r="U104">
        <v>72054.460000000006</v>
      </c>
      <c r="V104">
        <v>212963.68299999999</v>
      </c>
      <c r="W104">
        <v>90781.042000000001</v>
      </c>
      <c r="X104">
        <v>109757.289</v>
      </c>
      <c r="Y104">
        <v>176818.39199999999</v>
      </c>
      <c r="Z104">
        <v>28342.962</v>
      </c>
      <c r="AA104">
        <v>7876.82</v>
      </c>
      <c r="AB104">
        <v>19297.618999999999</v>
      </c>
      <c r="AC104">
        <v>88674.388000000006</v>
      </c>
      <c r="AD104">
        <v>13944.585999999999</v>
      </c>
      <c r="AE104">
        <v>148060.451</v>
      </c>
      <c r="AF104">
        <v>142732.68900000001</v>
      </c>
      <c r="AG104">
        <v>13792.736000000001</v>
      </c>
      <c r="AH104">
        <v>27245.834999999999</v>
      </c>
      <c r="AI104">
        <v>11417.507</v>
      </c>
      <c r="AJ104">
        <v>36736.131999999998</v>
      </c>
      <c r="AK104">
        <v>11223.815000000001</v>
      </c>
      <c r="AL104">
        <v>105709.014</v>
      </c>
      <c r="AM104">
        <v>28085.48</v>
      </c>
      <c r="AN104">
        <v>29724.595000000001</v>
      </c>
      <c r="AO104">
        <v>23846.434000000001</v>
      </c>
      <c r="AP104">
        <v>67235.218999999997</v>
      </c>
      <c r="AQ104">
        <v>67551.668999999994</v>
      </c>
      <c r="AR104">
        <v>101951.944</v>
      </c>
      <c r="AS104">
        <v>27083.184000000001</v>
      </c>
      <c r="AT104">
        <v>45106.264999999999</v>
      </c>
      <c r="AU104">
        <v>38861.487000000001</v>
      </c>
      <c r="AV104">
        <v>68097.176999999996</v>
      </c>
      <c r="AW104">
        <v>20373.463</v>
      </c>
      <c r="AX104">
        <v>34319.080999999998</v>
      </c>
      <c r="AY104">
        <v>0</v>
      </c>
      <c r="AZ104">
        <v>830484.31499999994</v>
      </c>
      <c r="BA104">
        <v>27442.483</v>
      </c>
      <c r="BB104">
        <v>314214.245</v>
      </c>
      <c r="BC104">
        <v>587036.74199999997</v>
      </c>
      <c r="BD104">
        <v>21696.920999999998</v>
      </c>
      <c r="BE104">
        <v>11339.616</v>
      </c>
      <c r="BF104">
        <v>6639.5680000000002</v>
      </c>
      <c r="BG104">
        <v>790481.86100000003</v>
      </c>
      <c r="BH104">
        <v>0</v>
      </c>
      <c r="BI104">
        <v>5242935.4610000001</v>
      </c>
    </row>
    <row r="105" spans="1:61">
      <c r="A105" t="s">
        <v>411</v>
      </c>
      <c r="B105">
        <v>21648.592000000001</v>
      </c>
      <c r="C105">
        <v>1692.67</v>
      </c>
      <c r="D105">
        <v>2176.8539999999998</v>
      </c>
      <c r="E105">
        <v>106.039</v>
      </c>
      <c r="F105">
        <v>65.893000000000001</v>
      </c>
      <c r="G105">
        <v>49.241</v>
      </c>
      <c r="H105">
        <v>1139.7670000000001</v>
      </c>
      <c r="I105">
        <v>9.7240000000000002</v>
      </c>
      <c r="J105">
        <v>22558.881000000001</v>
      </c>
      <c r="K105">
        <v>12979.843999999999</v>
      </c>
      <c r="L105">
        <v>2150.451</v>
      </c>
      <c r="M105">
        <v>12291.281000000001</v>
      </c>
      <c r="N105">
        <v>16721.081999999999</v>
      </c>
      <c r="O105">
        <v>43629.26</v>
      </c>
      <c r="P105">
        <v>13677.957</v>
      </c>
      <c r="Q105">
        <v>23068.777999999998</v>
      </c>
      <c r="R105">
        <v>9023.6579999999994</v>
      </c>
      <c r="S105">
        <v>24301.778999999999</v>
      </c>
      <c r="T105">
        <v>7500.7879999999996</v>
      </c>
      <c r="U105">
        <v>31536.213</v>
      </c>
      <c r="V105">
        <v>128987.25</v>
      </c>
      <c r="W105">
        <v>27787.544999999998</v>
      </c>
      <c r="X105">
        <v>40233.317000000003</v>
      </c>
      <c r="Y105">
        <v>39423.142</v>
      </c>
      <c r="Z105">
        <v>5999.8739999999998</v>
      </c>
      <c r="AA105">
        <v>2591.2779999999998</v>
      </c>
      <c r="AB105">
        <v>9436.116</v>
      </c>
      <c r="AC105">
        <v>18122.261999999999</v>
      </c>
      <c r="AD105">
        <v>11075.107</v>
      </c>
      <c r="AE105">
        <v>92074.751999999993</v>
      </c>
      <c r="AF105">
        <v>147054.508</v>
      </c>
      <c r="AG105">
        <v>28138.895</v>
      </c>
      <c r="AH105">
        <v>7411.2179999999998</v>
      </c>
      <c r="AI105">
        <v>15044.25</v>
      </c>
      <c r="AJ105">
        <v>14963.011</v>
      </c>
      <c r="AK105">
        <v>6968.2290000000003</v>
      </c>
      <c r="AL105">
        <v>41255.516000000003</v>
      </c>
      <c r="AM105">
        <v>25384.046999999999</v>
      </c>
      <c r="AN105">
        <v>17935.559000000001</v>
      </c>
      <c r="AO105">
        <v>30340.133999999998</v>
      </c>
      <c r="AP105">
        <v>103421.141</v>
      </c>
      <c r="AQ105">
        <v>133727.364</v>
      </c>
      <c r="AR105">
        <v>100283.421</v>
      </c>
      <c r="AS105">
        <v>55297.760999999999</v>
      </c>
      <c r="AT105">
        <v>113030.656</v>
      </c>
      <c r="AU105">
        <v>77018.817999999999</v>
      </c>
      <c r="AV105">
        <v>76578.726999999999</v>
      </c>
      <c r="AW105">
        <v>17305.885999999999</v>
      </c>
      <c r="AX105">
        <v>20654.188999999998</v>
      </c>
      <c r="AY105">
        <v>2100.7310000000002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1655973.456</v>
      </c>
    </row>
    <row r="106" spans="1:61">
      <c r="A106" t="s">
        <v>410</v>
      </c>
      <c r="B106">
        <v>45071.593999999997</v>
      </c>
      <c r="C106">
        <v>3082.9319999999998</v>
      </c>
      <c r="D106">
        <v>7613.6260000000002</v>
      </c>
      <c r="E106">
        <v>257.66300000000001</v>
      </c>
      <c r="F106">
        <v>139.39099999999999</v>
      </c>
      <c r="G106">
        <v>119.78700000000001</v>
      </c>
      <c r="H106">
        <v>3274.2829999999999</v>
      </c>
      <c r="I106">
        <v>18.831</v>
      </c>
      <c r="J106">
        <v>131256.53899999999</v>
      </c>
      <c r="K106">
        <v>66294.570000000007</v>
      </c>
      <c r="L106">
        <v>8744.1020000000008</v>
      </c>
      <c r="M106">
        <v>39624.309000000001</v>
      </c>
      <c r="N106">
        <v>156298.242</v>
      </c>
      <c r="O106">
        <v>219022.614</v>
      </c>
      <c r="P106">
        <v>32883.370999999999</v>
      </c>
      <c r="Q106">
        <v>85333.618000000002</v>
      </c>
      <c r="R106">
        <v>36219.597000000002</v>
      </c>
      <c r="S106">
        <v>113509.785</v>
      </c>
      <c r="T106">
        <v>49961.974999999999</v>
      </c>
      <c r="U106">
        <v>103590.673</v>
      </c>
      <c r="V106">
        <v>341950.93400000001</v>
      </c>
      <c r="W106">
        <v>118568.587</v>
      </c>
      <c r="X106">
        <v>149990.606</v>
      </c>
      <c r="Y106">
        <v>216241.53400000001</v>
      </c>
      <c r="Z106">
        <v>34342.836000000003</v>
      </c>
      <c r="AA106">
        <v>10468.098</v>
      </c>
      <c r="AB106">
        <v>28733.736000000001</v>
      </c>
      <c r="AC106">
        <v>106796.651</v>
      </c>
      <c r="AD106">
        <v>25019.692999999999</v>
      </c>
      <c r="AE106">
        <v>240135.20300000001</v>
      </c>
      <c r="AF106">
        <v>289787.196</v>
      </c>
      <c r="AG106">
        <v>41931.631000000001</v>
      </c>
      <c r="AH106">
        <v>34657.052000000003</v>
      </c>
      <c r="AI106">
        <v>26461.757000000001</v>
      </c>
      <c r="AJ106">
        <v>51699.144</v>
      </c>
      <c r="AK106">
        <v>18192.044000000002</v>
      </c>
      <c r="AL106">
        <v>146964.53</v>
      </c>
      <c r="AM106">
        <v>53469.527000000002</v>
      </c>
      <c r="AN106">
        <v>47660.154000000002</v>
      </c>
      <c r="AO106">
        <v>54186.567999999999</v>
      </c>
      <c r="AP106">
        <v>170656.359</v>
      </c>
      <c r="AQ106">
        <v>201279.03400000001</v>
      </c>
      <c r="AR106">
        <v>202235.36499999999</v>
      </c>
      <c r="AS106">
        <v>82380.945000000007</v>
      </c>
      <c r="AT106">
        <v>158136.92199999999</v>
      </c>
      <c r="AU106">
        <v>115880.304</v>
      </c>
      <c r="AV106">
        <v>144675.90400000001</v>
      </c>
      <c r="AW106">
        <v>37679.349000000002</v>
      </c>
      <c r="AX106">
        <v>54973.27</v>
      </c>
      <c r="AY106">
        <v>2100.7310000000002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4309573.1660000002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91DD6-12A1-4C44-8F60-11DEB5330666}">
  <dimension ref="A1:GU205"/>
  <sheetViews>
    <sheetView tabSelected="1" workbookViewId="0">
      <selection activeCell="D19" sqref="D19"/>
    </sheetView>
  </sheetViews>
  <sheetFormatPr defaultRowHeight="14.5"/>
  <cols>
    <col min="1" max="1" width="22.81640625" customWidth="1"/>
    <col min="2" max="2" width="7.26953125" customWidth="1"/>
    <col min="3" max="3" width="12.54296875" bestFit="1" customWidth="1"/>
    <col min="4" max="4" width="18.453125" customWidth="1"/>
    <col min="5" max="5" width="13.453125" customWidth="1"/>
  </cols>
  <sheetData>
    <row r="1" spans="1:203">
      <c r="D1" t="s">
        <v>142</v>
      </c>
      <c r="E1" t="s">
        <v>143</v>
      </c>
      <c r="F1" t="s">
        <v>144</v>
      </c>
      <c r="G1" t="s">
        <v>145</v>
      </c>
      <c r="H1" t="s">
        <v>146</v>
      </c>
      <c r="I1" t="s">
        <v>147</v>
      </c>
      <c r="J1" t="s">
        <v>148</v>
      </c>
      <c r="K1" t="s">
        <v>149</v>
      </c>
      <c r="L1" t="s">
        <v>150</v>
      </c>
      <c r="M1" t="s">
        <v>151</v>
      </c>
      <c r="N1" t="s">
        <v>152</v>
      </c>
      <c r="O1" t="s">
        <v>153</v>
      </c>
      <c r="P1" t="s">
        <v>154</v>
      </c>
      <c r="Q1" t="s">
        <v>155</v>
      </c>
      <c r="R1" t="s">
        <v>156</v>
      </c>
      <c r="S1" t="s">
        <v>157</v>
      </c>
      <c r="T1" t="s">
        <v>158</v>
      </c>
      <c r="U1" t="s">
        <v>159</v>
      </c>
      <c r="V1" t="s">
        <v>160</v>
      </c>
      <c r="W1" t="s">
        <v>161</v>
      </c>
      <c r="X1" t="s">
        <v>162</v>
      </c>
      <c r="Y1" t="s">
        <v>163</v>
      </c>
      <c r="Z1" t="s">
        <v>164</v>
      </c>
      <c r="AA1" t="s">
        <v>165</v>
      </c>
      <c r="AB1" t="s">
        <v>166</v>
      </c>
      <c r="AC1" t="s">
        <v>167</v>
      </c>
      <c r="AD1" t="s">
        <v>168</v>
      </c>
      <c r="AE1" t="s">
        <v>169</v>
      </c>
      <c r="AF1" t="s">
        <v>170</v>
      </c>
      <c r="AG1" t="s">
        <v>171</v>
      </c>
      <c r="AH1" t="s">
        <v>172</v>
      </c>
      <c r="AI1" t="s">
        <v>173</v>
      </c>
      <c r="AJ1" t="s">
        <v>174</v>
      </c>
      <c r="AK1" t="s">
        <v>175</v>
      </c>
      <c r="AL1" t="s">
        <v>176</v>
      </c>
      <c r="AM1" t="s">
        <v>177</v>
      </c>
      <c r="AN1" t="s">
        <v>178</v>
      </c>
      <c r="AO1" t="s">
        <v>179</v>
      </c>
      <c r="AP1" t="s">
        <v>180</v>
      </c>
      <c r="AQ1" t="s">
        <v>181</v>
      </c>
      <c r="AR1" t="s">
        <v>182</v>
      </c>
      <c r="AS1" t="s">
        <v>183</v>
      </c>
      <c r="AT1" t="s">
        <v>184</v>
      </c>
      <c r="AU1" t="s">
        <v>185</v>
      </c>
      <c r="AV1" t="s">
        <v>186</v>
      </c>
      <c r="AW1" t="s">
        <v>187</v>
      </c>
      <c r="AX1" t="s">
        <v>188</v>
      </c>
      <c r="AY1" t="s">
        <v>189</v>
      </c>
      <c r="AZ1" t="s">
        <v>190</v>
      </c>
      <c r="BA1" t="s">
        <v>191</v>
      </c>
      <c r="BB1" t="s">
        <v>192</v>
      </c>
      <c r="BC1" t="s">
        <v>193</v>
      </c>
      <c r="BD1" t="s">
        <v>194</v>
      </c>
      <c r="BE1" t="s">
        <v>195</v>
      </c>
      <c r="BF1" t="s">
        <v>196</v>
      </c>
      <c r="BG1" t="s">
        <v>197</v>
      </c>
      <c r="BH1" t="s">
        <v>198</v>
      </c>
      <c r="BI1" t="s">
        <v>199</v>
      </c>
      <c r="BJ1" t="s">
        <v>200</v>
      </c>
      <c r="BK1" t="s">
        <v>201</v>
      </c>
      <c r="BL1" t="s">
        <v>202</v>
      </c>
      <c r="BM1" t="s">
        <v>203</v>
      </c>
      <c r="BN1" t="s">
        <v>204</v>
      </c>
      <c r="BO1" t="s">
        <v>205</v>
      </c>
      <c r="BP1" t="s">
        <v>206</v>
      </c>
      <c r="BQ1" t="s">
        <v>207</v>
      </c>
      <c r="BR1" t="s">
        <v>208</v>
      </c>
      <c r="BS1" t="s">
        <v>209</v>
      </c>
      <c r="BT1" t="s">
        <v>210</v>
      </c>
      <c r="BU1" t="s">
        <v>211</v>
      </c>
      <c r="BV1" t="s">
        <v>212</v>
      </c>
      <c r="BW1" t="s">
        <v>213</v>
      </c>
      <c r="BX1" t="s">
        <v>214</v>
      </c>
      <c r="BY1" t="s">
        <v>215</v>
      </c>
      <c r="BZ1" t="s">
        <v>216</v>
      </c>
      <c r="CA1" t="s">
        <v>217</v>
      </c>
      <c r="CB1" t="s">
        <v>218</v>
      </c>
      <c r="CC1" t="s">
        <v>219</v>
      </c>
      <c r="CD1" t="s">
        <v>220</v>
      </c>
      <c r="CE1" t="s">
        <v>221</v>
      </c>
      <c r="CF1" t="s">
        <v>222</v>
      </c>
      <c r="CG1" t="s">
        <v>223</v>
      </c>
      <c r="CH1" t="s">
        <v>224</v>
      </c>
      <c r="CI1" t="s">
        <v>225</v>
      </c>
      <c r="CJ1" t="s">
        <v>226</v>
      </c>
      <c r="CK1" t="s">
        <v>227</v>
      </c>
      <c r="CL1" t="s">
        <v>228</v>
      </c>
      <c r="CM1" t="s">
        <v>229</v>
      </c>
      <c r="CN1" t="s">
        <v>230</v>
      </c>
      <c r="CO1" t="s">
        <v>231</v>
      </c>
      <c r="CP1" t="s">
        <v>232</v>
      </c>
      <c r="CQ1" t="s">
        <v>233</v>
      </c>
      <c r="CR1" t="s">
        <v>234</v>
      </c>
      <c r="CS1" t="s">
        <v>235</v>
      </c>
      <c r="CT1" t="s">
        <v>236</v>
      </c>
      <c r="CU1" t="s">
        <v>237</v>
      </c>
      <c r="CV1" t="s">
        <v>238</v>
      </c>
      <c r="CW1" t="s">
        <v>239</v>
      </c>
      <c r="CX1" t="s">
        <v>240</v>
      </c>
      <c r="CY1" t="s">
        <v>241</v>
      </c>
      <c r="CZ1" t="s">
        <v>242</v>
      </c>
      <c r="DA1" t="s">
        <v>243</v>
      </c>
      <c r="DB1" t="s">
        <v>244</v>
      </c>
      <c r="DC1" t="s">
        <v>245</v>
      </c>
      <c r="DD1" t="s">
        <v>246</v>
      </c>
      <c r="DE1" t="s">
        <v>247</v>
      </c>
      <c r="DF1" t="s">
        <v>248</v>
      </c>
      <c r="DG1" t="s">
        <v>249</v>
      </c>
      <c r="DH1" t="s">
        <v>250</v>
      </c>
      <c r="DI1" t="s">
        <v>251</v>
      </c>
      <c r="DJ1" t="s">
        <v>252</v>
      </c>
      <c r="DK1" t="s">
        <v>253</v>
      </c>
      <c r="DL1" t="s">
        <v>254</v>
      </c>
      <c r="DM1" t="s">
        <v>255</v>
      </c>
      <c r="DN1" t="s">
        <v>256</v>
      </c>
      <c r="DO1" t="s">
        <v>257</v>
      </c>
      <c r="DP1" t="s">
        <v>258</v>
      </c>
      <c r="DQ1" t="s">
        <v>259</v>
      </c>
      <c r="DR1" t="s">
        <v>260</v>
      </c>
      <c r="DS1" t="s">
        <v>261</v>
      </c>
      <c r="DT1" t="s">
        <v>262</v>
      </c>
      <c r="DU1" t="s">
        <v>263</v>
      </c>
      <c r="DV1" t="s">
        <v>264</v>
      </c>
      <c r="DW1" t="s">
        <v>265</v>
      </c>
      <c r="DX1" t="s">
        <v>266</v>
      </c>
      <c r="DY1" t="s">
        <v>267</v>
      </c>
      <c r="DZ1" t="s">
        <v>268</v>
      </c>
      <c r="EA1" t="s">
        <v>269</v>
      </c>
      <c r="EB1" t="s">
        <v>270</v>
      </c>
      <c r="EC1" t="s">
        <v>271</v>
      </c>
      <c r="ED1" t="s">
        <v>272</v>
      </c>
      <c r="EE1" t="s">
        <v>273</v>
      </c>
      <c r="EF1" t="s">
        <v>274</v>
      </c>
      <c r="EG1" t="s">
        <v>275</v>
      </c>
      <c r="EH1" t="s">
        <v>276</v>
      </c>
      <c r="EI1" t="s">
        <v>277</v>
      </c>
      <c r="EJ1" t="s">
        <v>278</v>
      </c>
      <c r="EK1" t="s">
        <v>279</v>
      </c>
      <c r="EL1" t="s">
        <v>280</v>
      </c>
      <c r="EM1" t="s">
        <v>281</v>
      </c>
      <c r="EN1" t="s">
        <v>282</v>
      </c>
      <c r="EO1" t="s">
        <v>283</v>
      </c>
      <c r="EP1" t="s">
        <v>284</v>
      </c>
      <c r="EQ1" t="s">
        <v>285</v>
      </c>
      <c r="ER1" t="s">
        <v>286</v>
      </c>
      <c r="ES1" t="s">
        <v>287</v>
      </c>
      <c r="ET1" t="s">
        <v>288</v>
      </c>
      <c r="EU1" t="s">
        <v>289</v>
      </c>
      <c r="EV1" t="s">
        <v>290</v>
      </c>
      <c r="EW1" t="s">
        <v>291</v>
      </c>
      <c r="EX1" t="s">
        <v>292</v>
      </c>
      <c r="EY1" t="s">
        <v>293</v>
      </c>
      <c r="EZ1" t="s">
        <v>294</v>
      </c>
      <c r="FA1" t="s">
        <v>295</v>
      </c>
      <c r="FB1" t="s">
        <v>296</v>
      </c>
      <c r="FC1" t="s">
        <v>297</v>
      </c>
      <c r="FD1" t="s">
        <v>298</v>
      </c>
      <c r="FE1" t="s">
        <v>299</v>
      </c>
      <c r="FF1" t="s">
        <v>300</v>
      </c>
      <c r="FG1" t="s">
        <v>301</v>
      </c>
      <c r="FH1" t="s">
        <v>302</v>
      </c>
      <c r="FI1" t="s">
        <v>303</v>
      </c>
      <c r="FJ1" t="s">
        <v>304</v>
      </c>
      <c r="FK1" t="s">
        <v>305</v>
      </c>
      <c r="FL1" t="s">
        <v>306</v>
      </c>
      <c r="FM1" t="s">
        <v>307</v>
      </c>
      <c r="FN1" t="s">
        <v>308</v>
      </c>
      <c r="FO1" t="s">
        <v>309</v>
      </c>
      <c r="FP1" t="s">
        <v>310</v>
      </c>
      <c r="FQ1" t="s">
        <v>311</v>
      </c>
      <c r="FR1" t="s">
        <v>312</v>
      </c>
      <c r="FS1" t="s">
        <v>313</v>
      </c>
      <c r="FT1" t="s">
        <v>314</v>
      </c>
      <c r="FU1" t="s">
        <v>315</v>
      </c>
      <c r="FV1" t="s">
        <v>316</v>
      </c>
      <c r="FW1" t="s">
        <v>317</v>
      </c>
      <c r="FX1" t="s">
        <v>318</v>
      </c>
      <c r="FY1" t="s">
        <v>319</v>
      </c>
      <c r="FZ1" t="s">
        <v>320</v>
      </c>
      <c r="GA1" t="s">
        <v>321</v>
      </c>
      <c r="GB1" t="s">
        <v>322</v>
      </c>
      <c r="GC1" t="s">
        <v>323</v>
      </c>
      <c r="GD1" t="s">
        <v>324</v>
      </c>
      <c r="GE1" t="s">
        <v>325</v>
      </c>
      <c r="GF1" t="s">
        <v>326</v>
      </c>
      <c r="GG1" t="s">
        <v>327</v>
      </c>
      <c r="GH1" t="s">
        <v>328</v>
      </c>
      <c r="GI1" t="s">
        <v>329</v>
      </c>
      <c r="GJ1" t="s">
        <v>330</v>
      </c>
      <c r="GK1" t="s">
        <v>331</v>
      </c>
      <c r="GL1" t="s">
        <v>332</v>
      </c>
      <c r="GM1" t="s">
        <v>333</v>
      </c>
      <c r="GN1" t="s">
        <v>334</v>
      </c>
      <c r="GO1" t="s">
        <v>335</v>
      </c>
      <c r="GP1" t="s">
        <v>336</v>
      </c>
      <c r="GQ1" t="s">
        <v>337</v>
      </c>
      <c r="GR1" t="s">
        <v>338</v>
      </c>
      <c r="GS1" t="s">
        <v>339</v>
      </c>
      <c r="GT1" t="s">
        <v>340</v>
      </c>
      <c r="GU1" t="s">
        <v>341</v>
      </c>
    </row>
    <row r="2" spans="1:203">
      <c r="D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  <c r="K2">
        <v>8</v>
      </c>
      <c r="L2">
        <v>9</v>
      </c>
      <c r="M2">
        <v>10</v>
      </c>
      <c r="N2">
        <v>11</v>
      </c>
      <c r="O2">
        <v>12</v>
      </c>
      <c r="P2">
        <v>13</v>
      </c>
      <c r="Q2">
        <v>14</v>
      </c>
      <c r="R2">
        <v>15</v>
      </c>
      <c r="S2">
        <v>16</v>
      </c>
      <c r="T2">
        <v>17</v>
      </c>
      <c r="U2">
        <v>18</v>
      </c>
      <c r="V2">
        <v>19</v>
      </c>
      <c r="W2">
        <v>20</v>
      </c>
      <c r="X2">
        <v>21</v>
      </c>
      <c r="Y2">
        <v>22</v>
      </c>
      <c r="Z2">
        <v>23</v>
      </c>
      <c r="AA2">
        <v>24</v>
      </c>
      <c r="AB2">
        <v>25</v>
      </c>
      <c r="AC2">
        <v>26</v>
      </c>
      <c r="AD2">
        <v>27</v>
      </c>
      <c r="AE2">
        <v>28</v>
      </c>
      <c r="AF2">
        <v>29</v>
      </c>
      <c r="AG2">
        <v>30</v>
      </c>
      <c r="AH2">
        <v>31</v>
      </c>
      <c r="AI2">
        <v>32</v>
      </c>
      <c r="AJ2">
        <v>33</v>
      </c>
      <c r="AK2">
        <v>34</v>
      </c>
      <c r="AL2">
        <v>35</v>
      </c>
      <c r="AM2">
        <v>36</v>
      </c>
      <c r="AN2">
        <v>37</v>
      </c>
      <c r="AO2">
        <v>38</v>
      </c>
      <c r="AP2">
        <v>39</v>
      </c>
      <c r="AQ2">
        <v>40</v>
      </c>
      <c r="AR2">
        <v>41</v>
      </c>
      <c r="AS2">
        <v>42</v>
      </c>
      <c r="AT2">
        <v>43</v>
      </c>
      <c r="AU2">
        <v>44</v>
      </c>
      <c r="AV2">
        <v>45</v>
      </c>
      <c r="AW2">
        <v>46</v>
      </c>
      <c r="AX2">
        <v>47</v>
      </c>
      <c r="AY2">
        <v>48</v>
      </c>
      <c r="AZ2">
        <v>49</v>
      </c>
      <c r="BA2">
        <v>50</v>
      </c>
      <c r="BB2">
        <v>51</v>
      </c>
      <c r="BC2">
        <v>52</v>
      </c>
      <c r="BD2">
        <v>53</v>
      </c>
      <c r="BE2">
        <v>54</v>
      </c>
      <c r="BF2">
        <v>55</v>
      </c>
      <c r="BG2">
        <v>56</v>
      </c>
      <c r="BH2">
        <v>57</v>
      </c>
      <c r="BI2">
        <v>58</v>
      </c>
      <c r="BJ2">
        <v>59</v>
      </c>
      <c r="BK2">
        <v>60</v>
      </c>
      <c r="BL2">
        <v>61</v>
      </c>
      <c r="BM2">
        <v>62</v>
      </c>
      <c r="BN2">
        <v>63</v>
      </c>
      <c r="BO2">
        <v>64</v>
      </c>
      <c r="BP2">
        <v>65</v>
      </c>
      <c r="BQ2">
        <v>66</v>
      </c>
      <c r="BR2">
        <v>67</v>
      </c>
      <c r="BS2">
        <v>68</v>
      </c>
      <c r="BT2">
        <v>69</v>
      </c>
      <c r="BU2">
        <v>70</v>
      </c>
      <c r="BV2">
        <v>71</v>
      </c>
      <c r="BW2">
        <v>72</v>
      </c>
      <c r="BX2">
        <v>73</v>
      </c>
      <c r="BY2">
        <v>74</v>
      </c>
      <c r="BZ2">
        <v>75</v>
      </c>
      <c r="CA2">
        <v>76</v>
      </c>
      <c r="CB2">
        <v>77</v>
      </c>
      <c r="CC2">
        <v>78</v>
      </c>
      <c r="CD2">
        <v>79</v>
      </c>
      <c r="CE2">
        <v>80</v>
      </c>
      <c r="CF2">
        <v>81</v>
      </c>
      <c r="CG2">
        <v>82</v>
      </c>
      <c r="CH2">
        <v>83</v>
      </c>
      <c r="CI2">
        <v>84</v>
      </c>
      <c r="CJ2">
        <v>85</v>
      </c>
      <c r="CK2">
        <v>86</v>
      </c>
      <c r="CL2">
        <v>87</v>
      </c>
      <c r="CM2">
        <v>88</v>
      </c>
      <c r="CN2">
        <v>89</v>
      </c>
      <c r="CO2">
        <v>90</v>
      </c>
      <c r="CP2">
        <v>91</v>
      </c>
      <c r="CQ2">
        <v>92</v>
      </c>
      <c r="CR2">
        <v>93</v>
      </c>
      <c r="CS2">
        <v>94</v>
      </c>
      <c r="CT2">
        <v>95</v>
      </c>
      <c r="CU2">
        <v>96</v>
      </c>
      <c r="CV2">
        <v>97</v>
      </c>
      <c r="CW2">
        <v>98</v>
      </c>
      <c r="CX2">
        <v>99</v>
      </c>
      <c r="CY2">
        <v>100</v>
      </c>
      <c r="CZ2">
        <v>101</v>
      </c>
      <c r="DA2">
        <v>102</v>
      </c>
      <c r="DB2">
        <v>103</v>
      </c>
      <c r="DC2">
        <v>104</v>
      </c>
      <c r="DD2">
        <v>105</v>
      </c>
      <c r="DE2">
        <v>106</v>
      </c>
      <c r="DF2">
        <v>107</v>
      </c>
      <c r="DG2">
        <v>108</v>
      </c>
      <c r="DH2">
        <v>109</v>
      </c>
      <c r="DI2">
        <v>110</v>
      </c>
      <c r="DJ2">
        <v>111</v>
      </c>
      <c r="DK2">
        <v>112</v>
      </c>
      <c r="DL2">
        <v>113</v>
      </c>
      <c r="DM2">
        <v>114</v>
      </c>
      <c r="DN2">
        <v>115</v>
      </c>
      <c r="DO2">
        <v>116</v>
      </c>
      <c r="DP2">
        <v>117</v>
      </c>
      <c r="DQ2">
        <v>118</v>
      </c>
      <c r="DR2">
        <v>119</v>
      </c>
      <c r="DS2">
        <v>120</v>
      </c>
      <c r="DT2">
        <v>121</v>
      </c>
      <c r="DU2">
        <v>122</v>
      </c>
      <c r="DV2">
        <v>123</v>
      </c>
      <c r="DW2">
        <v>124</v>
      </c>
      <c r="DX2">
        <v>125</v>
      </c>
      <c r="DY2">
        <v>126</v>
      </c>
      <c r="DZ2">
        <v>127</v>
      </c>
      <c r="EA2">
        <v>128</v>
      </c>
      <c r="EB2">
        <v>129</v>
      </c>
      <c r="EC2">
        <v>130</v>
      </c>
      <c r="ED2">
        <v>131</v>
      </c>
      <c r="EE2">
        <v>132</v>
      </c>
      <c r="EF2">
        <v>133</v>
      </c>
      <c r="EG2">
        <v>134</v>
      </c>
      <c r="EH2">
        <v>135</v>
      </c>
      <c r="EI2">
        <v>136</v>
      </c>
      <c r="EJ2">
        <v>137</v>
      </c>
      <c r="EK2">
        <v>138</v>
      </c>
      <c r="EL2">
        <v>139</v>
      </c>
      <c r="EM2">
        <v>140</v>
      </c>
      <c r="EN2">
        <v>141</v>
      </c>
      <c r="EO2">
        <v>142</v>
      </c>
      <c r="EP2">
        <v>143</v>
      </c>
      <c r="EQ2">
        <v>144</v>
      </c>
      <c r="ER2">
        <v>145</v>
      </c>
      <c r="ES2">
        <v>146</v>
      </c>
      <c r="ET2">
        <v>147</v>
      </c>
      <c r="EU2">
        <v>148</v>
      </c>
      <c r="EV2">
        <v>149</v>
      </c>
      <c r="EW2">
        <v>150</v>
      </c>
      <c r="EX2">
        <v>151</v>
      </c>
      <c r="EY2">
        <v>152</v>
      </c>
      <c r="EZ2">
        <v>153</v>
      </c>
      <c r="FA2">
        <v>154</v>
      </c>
      <c r="FB2">
        <v>155</v>
      </c>
      <c r="FC2">
        <v>156</v>
      </c>
      <c r="FD2">
        <v>157</v>
      </c>
      <c r="FE2">
        <v>158</v>
      </c>
      <c r="FF2">
        <v>159</v>
      </c>
      <c r="FG2">
        <v>160</v>
      </c>
      <c r="FH2">
        <v>161</v>
      </c>
      <c r="FI2">
        <v>162</v>
      </c>
      <c r="FJ2">
        <v>163</v>
      </c>
      <c r="FK2">
        <v>164</v>
      </c>
      <c r="FL2">
        <v>165</v>
      </c>
      <c r="FM2">
        <v>166</v>
      </c>
      <c r="FN2">
        <v>167</v>
      </c>
      <c r="FO2">
        <v>168</v>
      </c>
      <c r="FP2">
        <v>169</v>
      </c>
      <c r="FQ2">
        <v>170</v>
      </c>
      <c r="FR2">
        <v>171</v>
      </c>
      <c r="FS2">
        <v>172</v>
      </c>
      <c r="FT2">
        <v>173</v>
      </c>
      <c r="FU2">
        <v>174</v>
      </c>
      <c r="FV2">
        <v>175</v>
      </c>
      <c r="FW2">
        <v>176</v>
      </c>
      <c r="FX2">
        <v>177</v>
      </c>
      <c r="FY2">
        <v>178</v>
      </c>
      <c r="FZ2">
        <v>179</v>
      </c>
      <c r="GA2">
        <v>180</v>
      </c>
      <c r="GB2">
        <v>181</v>
      </c>
      <c r="GC2">
        <v>182</v>
      </c>
      <c r="GD2">
        <v>183</v>
      </c>
      <c r="GE2">
        <v>184</v>
      </c>
      <c r="GF2">
        <v>185</v>
      </c>
      <c r="GG2">
        <v>186</v>
      </c>
      <c r="GH2">
        <v>187</v>
      </c>
      <c r="GI2">
        <v>188</v>
      </c>
      <c r="GJ2">
        <v>189</v>
      </c>
      <c r="GK2">
        <v>190</v>
      </c>
      <c r="GL2">
        <v>191</v>
      </c>
      <c r="GM2">
        <v>192</v>
      </c>
      <c r="GN2">
        <v>193</v>
      </c>
      <c r="GO2">
        <v>194</v>
      </c>
      <c r="GP2">
        <v>195</v>
      </c>
      <c r="GQ2">
        <v>196</v>
      </c>
      <c r="GR2">
        <v>197</v>
      </c>
      <c r="GS2">
        <v>198</v>
      </c>
      <c r="GT2">
        <v>199</v>
      </c>
      <c r="GU2">
        <v>200</v>
      </c>
    </row>
    <row r="3" spans="1:203">
      <c r="D3" t="s">
        <v>4</v>
      </c>
      <c r="E3" t="s">
        <v>4</v>
      </c>
      <c r="F3" t="s">
        <v>4</v>
      </c>
      <c r="G3" t="s">
        <v>4</v>
      </c>
      <c r="H3" t="s">
        <v>4</v>
      </c>
      <c r="I3" t="s">
        <v>4</v>
      </c>
      <c r="J3" t="s">
        <v>4</v>
      </c>
      <c r="K3" t="s">
        <v>4</v>
      </c>
      <c r="L3" t="s">
        <v>4</v>
      </c>
      <c r="M3" t="s">
        <v>4</v>
      </c>
      <c r="N3" t="s">
        <v>4</v>
      </c>
      <c r="O3" t="s">
        <v>4</v>
      </c>
      <c r="P3" t="s">
        <v>4</v>
      </c>
      <c r="Q3" t="s">
        <v>4</v>
      </c>
      <c r="R3" t="s">
        <v>4</v>
      </c>
      <c r="S3" t="s">
        <v>4</v>
      </c>
      <c r="T3" t="s">
        <v>4</v>
      </c>
      <c r="U3" t="s">
        <v>4</v>
      </c>
      <c r="V3" t="s">
        <v>4</v>
      </c>
      <c r="W3" t="s">
        <v>120</v>
      </c>
      <c r="X3" t="s">
        <v>120</v>
      </c>
      <c r="Y3" t="s">
        <v>120</v>
      </c>
      <c r="Z3" t="s">
        <v>120</v>
      </c>
      <c r="AA3" t="s">
        <v>120</v>
      </c>
      <c r="AB3" t="s">
        <v>120</v>
      </c>
      <c r="AC3" t="s">
        <v>120</v>
      </c>
      <c r="AD3" t="s">
        <v>120</v>
      </c>
      <c r="AE3" t="s">
        <v>119</v>
      </c>
      <c r="AF3" t="s">
        <v>119</v>
      </c>
      <c r="AG3" t="s">
        <v>119</v>
      </c>
      <c r="AH3" t="s">
        <v>119</v>
      </c>
      <c r="AI3" t="s">
        <v>5</v>
      </c>
      <c r="AJ3" t="s">
        <v>5</v>
      </c>
      <c r="AK3" t="s">
        <v>5</v>
      </c>
      <c r="AL3" t="s">
        <v>5</v>
      </c>
      <c r="AM3" t="s">
        <v>5</v>
      </c>
      <c r="AN3" t="s">
        <v>5</v>
      </c>
      <c r="AO3" t="s">
        <v>5</v>
      </c>
      <c r="AP3" t="s">
        <v>5</v>
      </c>
      <c r="AQ3" t="s">
        <v>5</v>
      </c>
      <c r="AR3" t="s">
        <v>5</v>
      </c>
      <c r="AS3" t="s">
        <v>5</v>
      </c>
      <c r="AT3" t="s">
        <v>7</v>
      </c>
      <c r="AU3" t="s">
        <v>7</v>
      </c>
      <c r="AV3" t="s">
        <v>7</v>
      </c>
      <c r="AW3" t="s">
        <v>7</v>
      </c>
      <c r="AX3" t="s">
        <v>7</v>
      </c>
      <c r="AY3" t="s">
        <v>7</v>
      </c>
      <c r="AZ3" t="s">
        <v>7</v>
      </c>
      <c r="BA3" t="s">
        <v>7</v>
      </c>
      <c r="BB3" t="s">
        <v>7</v>
      </c>
      <c r="BC3" t="s">
        <v>7</v>
      </c>
      <c r="BD3" t="s">
        <v>7</v>
      </c>
      <c r="BE3" t="s">
        <v>7</v>
      </c>
      <c r="BF3" t="s">
        <v>8</v>
      </c>
      <c r="BG3" t="s">
        <v>8</v>
      </c>
      <c r="BH3" t="s">
        <v>8</v>
      </c>
      <c r="BI3" t="s">
        <v>9</v>
      </c>
      <c r="BJ3" t="s">
        <v>9</v>
      </c>
      <c r="BK3" t="s">
        <v>10</v>
      </c>
      <c r="BL3" t="s">
        <v>10</v>
      </c>
      <c r="BM3" t="s">
        <v>10</v>
      </c>
      <c r="BN3" t="s">
        <v>10</v>
      </c>
      <c r="BO3" t="s">
        <v>11</v>
      </c>
      <c r="BP3" t="s">
        <v>11</v>
      </c>
      <c r="BQ3" t="s">
        <v>11</v>
      </c>
      <c r="BR3" t="s">
        <v>11</v>
      </c>
      <c r="BS3" t="s">
        <v>11</v>
      </c>
      <c r="BT3" t="s">
        <v>11</v>
      </c>
      <c r="BU3" t="s">
        <v>11</v>
      </c>
      <c r="BV3" t="s">
        <v>11</v>
      </c>
      <c r="BW3" t="s">
        <v>11</v>
      </c>
      <c r="BX3" t="s">
        <v>11</v>
      </c>
      <c r="BY3" t="s">
        <v>11</v>
      </c>
      <c r="BZ3" t="s">
        <v>11</v>
      </c>
      <c r="CA3" t="s">
        <v>11</v>
      </c>
      <c r="CB3" t="s">
        <v>11</v>
      </c>
      <c r="CC3" t="s">
        <v>11</v>
      </c>
      <c r="CD3" t="s">
        <v>11</v>
      </c>
      <c r="CE3" t="s">
        <v>11</v>
      </c>
      <c r="CF3" t="s">
        <v>11</v>
      </c>
      <c r="CG3" t="s">
        <v>11</v>
      </c>
      <c r="CH3" t="s">
        <v>11</v>
      </c>
      <c r="CI3" t="s">
        <v>11</v>
      </c>
      <c r="CJ3" t="s">
        <v>58</v>
      </c>
      <c r="CK3" t="s">
        <v>58</v>
      </c>
      <c r="CL3" t="s">
        <v>58</v>
      </c>
      <c r="CM3" t="s">
        <v>58</v>
      </c>
      <c r="CN3" t="s">
        <v>58</v>
      </c>
      <c r="CO3" t="s">
        <v>58</v>
      </c>
      <c r="CP3" t="s">
        <v>58</v>
      </c>
      <c r="CQ3" t="s">
        <v>58</v>
      </c>
      <c r="CR3" t="s">
        <v>11</v>
      </c>
      <c r="CS3" t="s">
        <v>11</v>
      </c>
      <c r="CT3" t="s">
        <v>11</v>
      </c>
      <c r="CU3" t="s">
        <v>12</v>
      </c>
      <c r="CV3" t="s">
        <v>132</v>
      </c>
      <c r="CW3" t="s">
        <v>132</v>
      </c>
      <c r="CX3" t="s">
        <v>133</v>
      </c>
      <c r="CY3" t="s">
        <v>133</v>
      </c>
      <c r="CZ3" t="s">
        <v>133</v>
      </c>
      <c r="DA3" t="s">
        <v>133</v>
      </c>
      <c r="DB3" t="s">
        <v>133</v>
      </c>
      <c r="DC3" t="s">
        <v>134</v>
      </c>
      <c r="DD3" t="s">
        <v>134</v>
      </c>
      <c r="DE3" t="s">
        <v>135</v>
      </c>
      <c r="DF3" t="s">
        <v>135</v>
      </c>
      <c r="DG3" t="s">
        <v>135</v>
      </c>
      <c r="DH3" t="s">
        <v>135</v>
      </c>
      <c r="DI3" t="s">
        <v>135</v>
      </c>
      <c r="DJ3" t="s">
        <v>135</v>
      </c>
      <c r="DK3" t="s">
        <v>135</v>
      </c>
      <c r="DL3" t="s">
        <v>135</v>
      </c>
      <c r="DM3" t="s">
        <v>135</v>
      </c>
      <c r="DN3" t="s">
        <v>135</v>
      </c>
      <c r="DO3" t="s">
        <v>135</v>
      </c>
      <c r="DP3" t="s">
        <v>13</v>
      </c>
      <c r="DQ3" t="s">
        <v>16</v>
      </c>
      <c r="DR3" t="s">
        <v>14</v>
      </c>
      <c r="DS3" t="s">
        <v>15</v>
      </c>
      <c r="DT3" t="s">
        <v>14</v>
      </c>
      <c r="DU3" t="s">
        <v>14</v>
      </c>
      <c r="DV3" t="s">
        <v>17</v>
      </c>
      <c r="DW3" t="s">
        <v>18</v>
      </c>
      <c r="DX3" t="s">
        <v>19</v>
      </c>
      <c r="DY3" t="s">
        <v>138</v>
      </c>
      <c r="DZ3" t="s">
        <v>138</v>
      </c>
      <c r="EA3" t="s">
        <v>136</v>
      </c>
      <c r="EB3" t="s">
        <v>136</v>
      </c>
      <c r="EC3" t="s">
        <v>136</v>
      </c>
      <c r="ED3" t="s">
        <v>136</v>
      </c>
      <c r="EE3" t="s">
        <v>136</v>
      </c>
      <c r="EF3" t="s">
        <v>136</v>
      </c>
      <c r="EG3" t="s">
        <v>136</v>
      </c>
      <c r="EH3" t="s">
        <v>136</v>
      </c>
      <c r="EI3" t="s">
        <v>136</v>
      </c>
      <c r="EJ3" t="s">
        <v>136</v>
      </c>
      <c r="EK3" t="s">
        <v>136</v>
      </c>
      <c r="EL3" t="s">
        <v>136</v>
      </c>
      <c r="EM3" t="s">
        <v>136</v>
      </c>
      <c r="EN3" t="s">
        <v>136</v>
      </c>
      <c r="EO3" t="s">
        <v>137</v>
      </c>
      <c r="EP3" t="s">
        <v>137</v>
      </c>
      <c r="EQ3" t="s">
        <v>137</v>
      </c>
      <c r="ER3" t="s">
        <v>137</v>
      </c>
      <c r="ES3" t="s">
        <v>137</v>
      </c>
      <c r="ET3" t="s">
        <v>137</v>
      </c>
      <c r="EU3" t="s">
        <v>138</v>
      </c>
      <c r="EV3" t="s">
        <v>138</v>
      </c>
      <c r="EW3" t="s">
        <v>20</v>
      </c>
      <c r="EX3" t="s">
        <v>20</v>
      </c>
      <c r="EY3" t="s">
        <v>21</v>
      </c>
      <c r="EZ3" t="s">
        <v>21</v>
      </c>
      <c r="FA3" t="s">
        <v>21</v>
      </c>
      <c r="FB3" t="s">
        <v>21</v>
      </c>
      <c r="FC3" t="s">
        <v>23</v>
      </c>
      <c r="FD3" t="s">
        <v>22</v>
      </c>
      <c r="FE3" t="s">
        <v>22</v>
      </c>
      <c r="FF3" t="s">
        <v>22</v>
      </c>
      <c r="FG3" t="s">
        <v>22</v>
      </c>
      <c r="FH3" t="s">
        <v>22</v>
      </c>
      <c r="FI3" t="s">
        <v>22</v>
      </c>
      <c r="FJ3" t="s">
        <v>22</v>
      </c>
      <c r="FK3" t="s">
        <v>25</v>
      </c>
      <c r="FL3" t="s">
        <v>27</v>
      </c>
      <c r="FM3" t="s">
        <v>27</v>
      </c>
      <c r="FN3" t="s">
        <v>27</v>
      </c>
      <c r="FO3" t="s">
        <v>28</v>
      </c>
      <c r="FP3" t="s">
        <v>29</v>
      </c>
      <c r="FQ3" t="s">
        <v>26</v>
      </c>
      <c r="FR3" t="s">
        <v>29</v>
      </c>
      <c r="FS3" t="s">
        <v>29</v>
      </c>
      <c r="FT3" t="s">
        <v>30</v>
      </c>
      <c r="FU3" t="s">
        <v>31</v>
      </c>
      <c r="FV3" t="s">
        <v>32</v>
      </c>
      <c r="FW3" t="s">
        <v>138</v>
      </c>
      <c r="FX3" t="s">
        <v>138</v>
      </c>
      <c r="FY3" t="s">
        <v>138</v>
      </c>
      <c r="FZ3" t="s">
        <v>138</v>
      </c>
      <c r="GA3" t="s">
        <v>138</v>
      </c>
      <c r="GB3" t="s">
        <v>138</v>
      </c>
      <c r="GC3" t="s">
        <v>138</v>
      </c>
      <c r="GD3" t="s">
        <v>138</v>
      </c>
      <c r="GE3" t="s">
        <v>138</v>
      </c>
      <c r="GF3" t="s">
        <v>138</v>
      </c>
      <c r="GG3" t="s">
        <v>138</v>
      </c>
      <c r="GH3" t="s">
        <v>138</v>
      </c>
      <c r="GI3" t="s">
        <v>138</v>
      </c>
      <c r="GJ3" t="s">
        <v>138</v>
      </c>
      <c r="GK3" t="s">
        <v>138</v>
      </c>
      <c r="GL3" t="s">
        <v>138</v>
      </c>
      <c r="GM3" t="s">
        <v>138</v>
      </c>
      <c r="GN3" t="s">
        <v>138</v>
      </c>
      <c r="GO3" t="s">
        <v>138</v>
      </c>
      <c r="GP3" t="s">
        <v>138</v>
      </c>
      <c r="GQ3" t="s">
        <v>33</v>
      </c>
      <c r="GR3" t="s">
        <v>33</v>
      </c>
      <c r="GS3" t="s">
        <v>33</v>
      </c>
      <c r="GT3" t="s">
        <v>34</v>
      </c>
    </row>
    <row r="4" spans="1:203">
      <c r="A4" t="s">
        <v>142</v>
      </c>
      <c r="B4">
        <v>1</v>
      </c>
      <c r="C4" t="s">
        <v>4</v>
      </c>
      <c r="D4">
        <v>0.23182363983847762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3.95308501864205E-3</v>
      </c>
      <c r="M4">
        <v>2.7659502143920701E-2</v>
      </c>
      <c r="N4">
        <v>5.6230309481012729E-2</v>
      </c>
      <c r="O4">
        <v>1.8384108392901449E-3</v>
      </c>
      <c r="P4">
        <v>1.1277273238536478E-2</v>
      </c>
      <c r="Q4">
        <v>6.809712849933482E-3</v>
      </c>
      <c r="R4">
        <v>0</v>
      </c>
      <c r="S4">
        <v>0</v>
      </c>
      <c r="T4">
        <v>0</v>
      </c>
      <c r="U4">
        <v>2.7364624947516687E-4</v>
      </c>
      <c r="V4">
        <v>7.7441152012370959E-5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0.58299410937667417</v>
      </c>
      <c r="BA4">
        <v>0</v>
      </c>
      <c r="BB4">
        <v>0.1557136411409151</v>
      </c>
      <c r="BC4">
        <v>0</v>
      </c>
      <c r="BD4">
        <v>0</v>
      </c>
      <c r="BE4">
        <v>3.5626797810066782E-3</v>
      </c>
      <c r="BF4">
        <v>1.5038441713681076E-4</v>
      </c>
      <c r="BG4">
        <v>5.6430351992862941E-6</v>
      </c>
      <c r="BH4">
        <v>4.822154520578654E-4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4.4366097616593452E-3</v>
      </c>
      <c r="CP4">
        <v>0</v>
      </c>
      <c r="CQ4">
        <v>4.4366097616593452E-3</v>
      </c>
      <c r="CR4">
        <v>0</v>
      </c>
      <c r="CS4">
        <v>4.4366097616593452E-3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1.6741681958375824E-4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3.9339591611354894E-5</v>
      </c>
      <c r="FU4">
        <v>0</v>
      </c>
      <c r="FV4">
        <v>4.0730654265819666E-4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1.2806121557597693E-5</v>
      </c>
      <c r="GS4">
        <v>2.1975731535436169E-4</v>
      </c>
      <c r="GT4">
        <v>1.5489169084358775E-5</v>
      </c>
      <c r="GU4">
        <v>0</v>
      </c>
    </row>
    <row r="5" spans="1:203">
      <c r="A5" t="s">
        <v>143</v>
      </c>
      <c r="B5">
        <v>2</v>
      </c>
      <c r="C5" t="s">
        <v>4</v>
      </c>
      <c r="D5">
        <v>0</v>
      </c>
      <c r="E5">
        <v>5.2183943313375046E-3</v>
      </c>
      <c r="F5">
        <v>5.0671251035903052E-4</v>
      </c>
      <c r="G5">
        <v>0</v>
      </c>
      <c r="H5">
        <v>0</v>
      </c>
      <c r="I5">
        <v>0</v>
      </c>
      <c r="J5">
        <v>0</v>
      </c>
      <c r="K5">
        <v>0</v>
      </c>
      <c r="L5">
        <v>1.3911969180992276E-4</v>
      </c>
      <c r="M5">
        <v>1.7403320756263109E-5</v>
      </c>
      <c r="N5">
        <v>1.5168723371562367E-6</v>
      </c>
      <c r="O5">
        <v>8.2462746947646229E-5</v>
      </c>
      <c r="P5">
        <v>1.8915067796920182E-4</v>
      </c>
      <c r="Q5">
        <v>2.6527290090844438E-5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6.5555337994790649E-4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2.6828377216152723E-6</v>
      </c>
      <c r="GU5">
        <v>0</v>
      </c>
    </row>
    <row r="6" spans="1:203">
      <c r="A6" t="s">
        <v>144</v>
      </c>
      <c r="B6">
        <v>3</v>
      </c>
      <c r="C6" t="s">
        <v>4</v>
      </c>
      <c r="D6">
        <v>0</v>
      </c>
      <c r="E6">
        <v>0</v>
      </c>
      <c r="F6">
        <v>1.8664804349985734E-3</v>
      </c>
      <c r="G6">
        <v>0</v>
      </c>
      <c r="H6">
        <v>0</v>
      </c>
      <c r="I6">
        <v>0</v>
      </c>
      <c r="J6">
        <v>0</v>
      </c>
      <c r="K6">
        <v>0</v>
      </c>
      <c r="L6">
        <v>1.4149539803151581E-4</v>
      </c>
      <c r="M6">
        <v>6.4789564791904169E-5</v>
      </c>
      <c r="N6">
        <v>4.1146023293116434E-5</v>
      </c>
      <c r="O6">
        <v>6.152775664816576E-4</v>
      </c>
      <c r="P6">
        <v>5.319401566732042E-4</v>
      </c>
      <c r="Q6">
        <v>1.4515228262357979E-3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2.6589591587882519E-3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4.5296208697556903E-7</v>
      </c>
      <c r="CP6">
        <v>0</v>
      </c>
      <c r="CQ6">
        <v>4.5296208697556903E-7</v>
      </c>
      <c r="CR6">
        <v>0</v>
      </c>
      <c r="CS6">
        <v>4.5296208697556908E-7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4.9401846374370984E-6</v>
      </c>
      <c r="GS6">
        <v>0</v>
      </c>
      <c r="GT6">
        <v>1.0237449521606716E-6</v>
      </c>
      <c r="GU6">
        <v>0</v>
      </c>
    </row>
    <row r="7" spans="1:203">
      <c r="A7" t="s">
        <v>145</v>
      </c>
      <c r="B7">
        <v>4</v>
      </c>
      <c r="C7" t="s">
        <v>4</v>
      </c>
      <c r="D7">
        <v>0</v>
      </c>
      <c r="E7">
        <v>0</v>
      </c>
      <c r="F7">
        <v>0</v>
      </c>
      <c r="G7">
        <v>1.7739543112573529E-3</v>
      </c>
      <c r="H7">
        <v>0</v>
      </c>
      <c r="I7">
        <v>0</v>
      </c>
      <c r="J7">
        <v>0</v>
      </c>
      <c r="K7">
        <v>0</v>
      </c>
      <c r="L7">
        <v>2.5470940473644895E-6</v>
      </c>
      <c r="M7">
        <v>4.9805315369701484E-6</v>
      </c>
      <c r="N7">
        <v>2.2296592293852245E-6</v>
      </c>
      <c r="O7">
        <v>5.3621191073311711E-6</v>
      </c>
      <c r="P7">
        <v>2.0269611400735262E-5</v>
      </c>
      <c r="Q7">
        <v>2.1698110905094439E-6</v>
      </c>
      <c r="R7">
        <v>0</v>
      </c>
      <c r="S7">
        <v>0</v>
      </c>
      <c r="T7">
        <v>0</v>
      </c>
      <c r="U7">
        <v>1.2003473227290822E-3</v>
      </c>
      <c r="V7">
        <v>1.7569562763213741E-4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6.0351638165345471E-8</v>
      </c>
      <c r="AV7">
        <v>3.7058063582764428E-8</v>
      </c>
      <c r="AW7">
        <v>4.1839232812130236E-6</v>
      </c>
      <c r="AX7">
        <v>0</v>
      </c>
      <c r="AY7">
        <v>1.2190316497836371E-2</v>
      </c>
      <c r="AZ7">
        <v>0</v>
      </c>
      <c r="BA7">
        <v>5.3307018395256274E-7</v>
      </c>
      <c r="BB7">
        <v>2.8746545037542707E-2</v>
      </c>
      <c r="BC7">
        <v>6.5662487150301724E-3</v>
      </c>
      <c r="BD7">
        <v>2.9206530264912992E-4</v>
      </c>
      <c r="BE7">
        <v>2.0112508249606271E-8</v>
      </c>
      <c r="BF7">
        <v>3.5293315749785893E-4</v>
      </c>
      <c r="BG7">
        <v>7.3527628353574938E-6</v>
      </c>
      <c r="BH7">
        <v>7.9231062785457644E-4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4.3544805270416567E-7</v>
      </c>
      <c r="CP7">
        <v>0</v>
      </c>
      <c r="CQ7">
        <v>4.3544805270416567E-7</v>
      </c>
      <c r="CR7">
        <v>0</v>
      </c>
      <c r="CS7">
        <v>4.3544805270416567E-7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2.9887742606504477E-5</v>
      </c>
      <c r="DW7">
        <v>0</v>
      </c>
      <c r="DX7">
        <v>0</v>
      </c>
      <c r="DY7">
        <v>6.1342214766384392E-9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1.1229201371208899E-3</v>
      </c>
      <c r="EX7">
        <v>0</v>
      </c>
      <c r="EY7">
        <v>0</v>
      </c>
      <c r="EZ7">
        <v>0</v>
      </c>
      <c r="FA7">
        <v>0</v>
      </c>
      <c r="FB7">
        <v>0</v>
      </c>
      <c r="FC7">
        <v>1.5674924974152876E-2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4.0778299086300019E-5</v>
      </c>
      <c r="FS7">
        <v>0</v>
      </c>
      <c r="FT7">
        <v>1.3038991619316604E-3</v>
      </c>
      <c r="FU7">
        <v>1.4502994942148486E-5</v>
      </c>
      <c r="FV7">
        <v>4.5676495663807054E-3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2.1544883856898509E-4</v>
      </c>
      <c r="GS7">
        <v>6.2699424992220835E-3</v>
      </c>
      <c r="GT7">
        <v>1.1985989510117233E-3</v>
      </c>
      <c r="GU7">
        <v>0</v>
      </c>
    </row>
    <row r="8" spans="1:203">
      <c r="A8" t="s">
        <v>146</v>
      </c>
      <c r="B8">
        <v>5</v>
      </c>
      <c r="C8" t="s">
        <v>4</v>
      </c>
      <c r="D8">
        <v>0</v>
      </c>
      <c r="E8">
        <v>0</v>
      </c>
      <c r="F8">
        <v>0</v>
      </c>
      <c r="G8">
        <v>0</v>
      </c>
      <c r="H8">
        <v>5.5348156899490573E-3</v>
      </c>
      <c r="I8">
        <v>0</v>
      </c>
      <c r="J8">
        <v>0</v>
      </c>
      <c r="K8">
        <v>0</v>
      </c>
      <c r="L8">
        <v>8.9929215000616729E-6</v>
      </c>
      <c r="M8">
        <v>3.5725974180690023E-6</v>
      </c>
      <c r="N8">
        <v>1.7244840938630293E-6</v>
      </c>
      <c r="O8">
        <v>6.889735708749192E-6</v>
      </c>
      <c r="P8">
        <v>7.6761008393919341E-5</v>
      </c>
      <c r="Q8">
        <v>5.9976580910223783E-5</v>
      </c>
      <c r="R8">
        <v>0</v>
      </c>
      <c r="S8">
        <v>0</v>
      </c>
      <c r="T8">
        <v>0</v>
      </c>
      <c r="U8">
        <v>1.258476800940969E-4</v>
      </c>
      <c r="V8">
        <v>2.5045148515141159E-5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3.9959439538748427E-2</v>
      </c>
      <c r="AY8">
        <v>0</v>
      </c>
      <c r="AZ8">
        <v>0</v>
      </c>
      <c r="BA8">
        <v>0</v>
      </c>
      <c r="BB8">
        <v>6.3394051382578585E-3</v>
      </c>
      <c r="BC8">
        <v>4.077356832839644E-8</v>
      </c>
      <c r="BD8">
        <v>3.881566880307763E-5</v>
      </c>
      <c r="BE8">
        <v>2.2174153505917499E-8</v>
      </c>
      <c r="BF8">
        <v>2.3352958266716784E-5</v>
      </c>
      <c r="BG8">
        <v>4.8668031750055804E-7</v>
      </c>
      <c r="BH8">
        <v>5.2839224314973389E-5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5.7892722901163202E-8</v>
      </c>
      <c r="CP8">
        <v>0</v>
      </c>
      <c r="CQ8">
        <v>5.7892722901163202E-8</v>
      </c>
      <c r="CR8">
        <v>0</v>
      </c>
      <c r="CS8">
        <v>5.7892722901163208E-8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2.7003734503065442E-6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1.4971366182972337E-4</v>
      </c>
      <c r="EX8">
        <v>0</v>
      </c>
      <c r="EY8">
        <v>0</v>
      </c>
      <c r="EZ8">
        <v>0</v>
      </c>
      <c r="FA8">
        <v>0</v>
      </c>
      <c r="FB8">
        <v>0</v>
      </c>
      <c r="FC8">
        <v>1.7647671936105399E-3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4.1425095097826883E-6</v>
      </c>
      <c r="FS8">
        <v>0</v>
      </c>
      <c r="FT8">
        <v>1.2718720509581207E-4</v>
      </c>
      <c r="FU8">
        <v>1.0098827303696878E-6</v>
      </c>
      <c r="FV8">
        <v>4.4354876509234006E-4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2.1169093017960325E-5</v>
      </c>
      <c r="GS8">
        <v>6.0983684492102875E-4</v>
      </c>
      <c r="GT8">
        <v>3.3893709394475565E-7</v>
      </c>
      <c r="GU8">
        <v>0</v>
      </c>
    </row>
    <row r="9" spans="1:203">
      <c r="A9" t="s">
        <v>147</v>
      </c>
      <c r="B9">
        <v>6</v>
      </c>
      <c r="C9" t="s">
        <v>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</row>
    <row r="10" spans="1:203">
      <c r="A10" t="s">
        <v>148</v>
      </c>
      <c r="B10">
        <v>7</v>
      </c>
      <c r="C10" t="s">
        <v>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4.1501824787734643E-4</v>
      </c>
      <c r="K10">
        <v>0</v>
      </c>
      <c r="L10">
        <v>1.7326236735473098E-9</v>
      </c>
      <c r="M10">
        <v>0</v>
      </c>
      <c r="N10">
        <v>3.2231650532741982E-9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4.3902863765383796E-9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2.0617202815931334E-10</v>
      </c>
      <c r="BC10">
        <v>1.1125463113361979E-9</v>
      </c>
      <c r="BD10">
        <v>1.7672933143856362E-9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1.0325863790580588E-10</v>
      </c>
      <c r="CP10">
        <v>0</v>
      </c>
      <c r="CQ10">
        <v>1.0325863790580588E-10</v>
      </c>
      <c r="CR10">
        <v>0</v>
      </c>
      <c r="CS10">
        <v>1.0325863790580591E-10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8.0762559810106272E-11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9.8993272186795982E-11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1.1825132503698654E-10</v>
      </c>
      <c r="FU10">
        <v>0</v>
      </c>
      <c r="FV10">
        <v>1.7142831626463791E-10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2.5151947113229269E-10</v>
      </c>
      <c r="GS10">
        <v>1.9886551391099481E-10</v>
      </c>
      <c r="GT10">
        <v>5.8867153769589439E-9</v>
      </c>
      <c r="GU10">
        <v>0</v>
      </c>
    </row>
    <row r="11" spans="1:203">
      <c r="A11" t="s">
        <v>149</v>
      </c>
      <c r="B11">
        <v>8</v>
      </c>
      <c r="C11" t="s">
        <v>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2.0893629467385688E-4</v>
      </c>
      <c r="L11">
        <v>3.3795230475860472E-9</v>
      </c>
      <c r="M11">
        <v>4.9048161279390617E-9</v>
      </c>
      <c r="N11">
        <v>6.3296258402492505E-9</v>
      </c>
      <c r="O11">
        <v>3.1297910697892522E-7</v>
      </c>
      <c r="P11">
        <v>8.5769631485379209E-7</v>
      </c>
      <c r="Q11">
        <v>2.7241876837591323E-8</v>
      </c>
      <c r="R11">
        <v>1.2856896896509172E-4</v>
      </c>
      <c r="S11">
        <v>0</v>
      </c>
      <c r="T11">
        <v>0</v>
      </c>
      <c r="U11">
        <v>5.5381898851683158E-8</v>
      </c>
      <c r="V11">
        <v>1.8274002042781691E-8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4.4798101037681891E-9</v>
      </c>
      <c r="AV11">
        <v>0</v>
      </c>
      <c r="AW11">
        <v>3.1279557358613074E-7</v>
      </c>
      <c r="AX11">
        <v>0</v>
      </c>
      <c r="AY11">
        <v>5.3513742675297774E-9</v>
      </c>
      <c r="AZ11">
        <v>0</v>
      </c>
      <c r="BA11">
        <v>0</v>
      </c>
      <c r="BB11">
        <v>0</v>
      </c>
      <c r="BC11">
        <v>0</v>
      </c>
      <c r="BD11">
        <v>4.593723158505329E-9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3.4677319321121593E-10</v>
      </c>
      <c r="CP11">
        <v>0</v>
      </c>
      <c r="CQ11">
        <v>3.4677319321121593E-10</v>
      </c>
      <c r="CR11">
        <v>0</v>
      </c>
      <c r="CS11">
        <v>3.4677319321121598E-10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2.1175375320186669E-9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2.1685492578803473E-10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2.1028209416320897E-10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9.1788255176362033E-10</v>
      </c>
      <c r="FS11">
        <v>0</v>
      </c>
      <c r="FT11">
        <v>7.8581497242683704E-9</v>
      </c>
      <c r="FU11">
        <v>0</v>
      </c>
      <c r="FV11">
        <v>2.6210853567865753E-5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5.3929336242487705E-10</v>
      </c>
      <c r="GS11">
        <v>5.4340820733431047E-10</v>
      </c>
      <c r="GT11">
        <v>9.4365677391082274E-9</v>
      </c>
      <c r="GU11">
        <v>0</v>
      </c>
    </row>
    <row r="12" spans="1:203">
      <c r="A12" t="s">
        <v>150</v>
      </c>
      <c r="B12">
        <v>9</v>
      </c>
      <c r="C12" t="s">
        <v>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0.26786336509399328</v>
      </c>
      <c r="M12">
        <v>3.273966441148708E-4</v>
      </c>
      <c r="N12">
        <v>4.6846595056779898E-5</v>
      </c>
      <c r="O12">
        <v>2.5169752337521703E-3</v>
      </c>
      <c r="P12">
        <v>3.6851858253977979E-2</v>
      </c>
      <c r="Q12">
        <v>3.0309555355424036E-2</v>
      </c>
      <c r="R12">
        <v>0</v>
      </c>
      <c r="S12">
        <v>0</v>
      </c>
      <c r="T12">
        <v>0</v>
      </c>
      <c r="U12">
        <v>5.5465172397221277E-4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0.94922113705713262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3.7614973932908417E-3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1.8724592708703063E-4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</row>
    <row r="13" spans="1:203">
      <c r="A13" t="s">
        <v>151</v>
      </c>
      <c r="B13">
        <v>10</v>
      </c>
      <c r="C13" t="s">
        <v>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5.67817593389029E-6</v>
      </c>
      <c r="M13">
        <v>8.1881717866244617E-4</v>
      </c>
      <c r="N13">
        <v>1.820524866357897E-6</v>
      </c>
      <c r="O13">
        <v>5.3702266338188066E-6</v>
      </c>
      <c r="P13">
        <v>9.869079402781681E-5</v>
      </c>
      <c r="Q13">
        <v>1.0984732289308632E-5</v>
      </c>
      <c r="R13">
        <v>0</v>
      </c>
      <c r="S13">
        <v>0</v>
      </c>
      <c r="T13">
        <v>0</v>
      </c>
      <c r="U13">
        <v>1.7858567010497071E-5</v>
      </c>
      <c r="V13">
        <v>2.3465815715309344E-4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0.81699331846679013</v>
      </c>
      <c r="AV13">
        <v>1.7318041969529351E-7</v>
      </c>
      <c r="AW13">
        <v>4.4576956959710791E-6</v>
      </c>
      <c r="AX13">
        <v>1.1600805139306889E-2</v>
      </c>
      <c r="AY13">
        <v>2.2941696770172977E-6</v>
      </c>
      <c r="AZ13">
        <v>1.0799182065207734E-3</v>
      </c>
      <c r="BA13">
        <v>1.6943144903249486E-2</v>
      </c>
      <c r="BB13">
        <v>3.0557444567008967E-3</v>
      </c>
      <c r="BC13">
        <v>3.4180917193056938E-4</v>
      </c>
      <c r="BD13">
        <v>0</v>
      </c>
      <c r="BE13">
        <v>0</v>
      </c>
      <c r="BF13">
        <v>0</v>
      </c>
      <c r="BG13">
        <v>0</v>
      </c>
      <c r="BH13">
        <v>5.1524354427282355E-3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2.4041650065149E-6</v>
      </c>
      <c r="CO13">
        <v>1.3533175459107028E-4</v>
      </c>
      <c r="CP13">
        <v>0</v>
      </c>
      <c r="CQ13">
        <v>1.3533175459107028E-4</v>
      </c>
      <c r="CR13">
        <v>0</v>
      </c>
      <c r="CS13">
        <v>1.353317545910703E-4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5.5667154708796878E-9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3.5341658445321483E-4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2.3242058808915358E-7</v>
      </c>
      <c r="FS13">
        <v>0</v>
      </c>
      <c r="FT13">
        <v>4.5159077282170964E-5</v>
      </c>
      <c r="FU13">
        <v>0</v>
      </c>
      <c r="FV13">
        <v>3.4596262293415061E-5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6.8707433262429922E-8</v>
      </c>
      <c r="GS13">
        <v>4.0942454532355257E-4</v>
      </c>
      <c r="GT13">
        <v>0</v>
      </c>
      <c r="GU13">
        <v>0</v>
      </c>
    </row>
    <row r="14" spans="1:203">
      <c r="A14" t="s">
        <v>152</v>
      </c>
      <c r="B14">
        <v>11</v>
      </c>
      <c r="C14" t="s">
        <v>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6.9169045333231279E-6</v>
      </c>
      <c r="M14">
        <v>2.5124882452265954E-6</v>
      </c>
      <c r="N14">
        <v>1.7323321698221848E-2</v>
      </c>
      <c r="O14">
        <v>1.0766109556186617E-5</v>
      </c>
      <c r="P14">
        <v>4.7632612659343274E-4</v>
      </c>
      <c r="Q14">
        <v>1.6159151019136133E-5</v>
      </c>
      <c r="R14">
        <v>0</v>
      </c>
      <c r="S14">
        <v>0</v>
      </c>
      <c r="T14">
        <v>0</v>
      </c>
      <c r="U14">
        <v>5.5252641404572464E-6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0.87477184766542671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</row>
    <row r="15" spans="1:203">
      <c r="A15" t="s">
        <v>153</v>
      </c>
      <c r="B15">
        <v>12</v>
      </c>
      <c r="C15" t="s">
        <v>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7.6648803709812551E-8</v>
      </c>
      <c r="O15">
        <v>0</v>
      </c>
      <c r="P15">
        <v>0</v>
      </c>
      <c r="Q15">
        <v>1.3981728839438626E-5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</row>
    <row r="16" spans="1:203">
      <c r="A16" t="s">
        <v>154</v>
      </c>
      <c r="B16">
        <v>13</v>
      </c>
      <c r="C16" t="s">
        <v>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7.2378497926289738E-9</v>
      </c>
      <c r="M16">
        <v>1.4241942183398704E-8</v>
      </c>
      <c r="N16">
        <v>1.3916889340094454E-8</v>
      </c>
      <c r="O16">
        <v>2.1176016152380843E-6</v>
      </c>
      <c r="P16">
        <v>2.3712052244319607E-6</v>
      </c>
      <c r="Q16">
        <v>8.0935128591760438E-7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3.9321831095044122E-3</v>
      </c>
      <c r="AX16">
        <v>0</v>
      </c>
      <c r="AY16">
        <v>1.7768287827840771E-7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1.7021774982803509E-9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1.5160942341638681E-4</v>
      </c>
      <c r="CN16">
        <v>2.2466385056905077E-8</v>
      </c>
      <c r="CO16">
        <v>1.5180300250505652E-5</v>
      </c>
      <c r="CP16">
        <v>0</v>
      </c>
      <c r="CQ16">
        <v>1.5180300250505653E-5</v>
      </c>
      <c r="CR16">
        <v>0</v>
      </c>
      <c r="CS16">
        <v>1.5180300250505655E-5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5.2221084259936288E-10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3.9668250015662786E-9</v>
      </c>
      <c r="FS16">
        <v>0</v>
      </c>
      <c r="FT16">
        <v>1.0236519672918532E-7</v>
      </c>
      <c r="FU16">
        <v>0</v>
      </c>
      <c r="FV16">
        <v>5.4271160388640787E-5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2.193012338358978E-9</v>
      </c>
      <c r="GT16">
        <v>0</v>
      </c>
      <c r="GU16">
        <v>0</v>
      </c>
    </row>
    <row r="17" spans="1:203">
      <c r="A17" t="s">
        <v>155</v>
      </c>
      <c r="B17">
        <v>14</v>
      </c>
      <c r="C17" t="s">
        <v>4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1.7204778189376291E-8</v>
      </c>
      <c r="M17">
        <v>7.983298596649274E-8</v>
      </c>
      <c r="N17">
        <v>3.6215147636797332E-8</v>
      </c>
      <c r="O17">
        <v>9.0103908255505395E-7</v>
      </c>
      <c r="P17">
        <v>7.5889400765387193E-6</v>
      </c>
      <c r="Q17">
        <v>2.8216709928866222E-5</v>
      </c>
      <c r="R17">
        <v>0</v>
      </c>
      <c r="S17">
        <v>0</v>
      </c>
      <c r="T17">
        <v>0</v>
      </c>
      <c r="U17">
        <v>1.9875093992984937E-5</v>
      </c>
      <c r="V17">
        <v>1.6853710940782989E-5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1.4153159683268551E-8</v>
      </c>
      <c r="AV17">
        <v>1.0491071673395995E-8</v>
      </c>
      <c r="AW17">
        <v>1.4586554698257409E-6</v>
      </c>
      <c r="AX17">
        <v>1.4674215277590317E-6</v>
      </c>
      <c r="AY17">
        <v>0.38710026850821977</v>
      </c>
      <c r="AZ17">
        <v>1.6870229885884713E-4</v>
      </c>
      <c r="BA17">
        <v>5.4248263504167891E-4</v>
      </c>
      <c r="BB17">
        <v>3.0728942372840207E-9</v>
      </c>
      <c r="BC17">
        <v>1.4547383181726574E-8</v>
      </c>
      <c r="BD17">
        <v>0</v>
      </c>
      <c r="BE17">
        <v>0</v>
      </c>
      <c r="BF17">
        <v>0</v>
      </c>
      <c r="BG17">
        <v>0</v>
      </c>
      <c r="BH17">
        <v>3.5282627352568527E-3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1.0872655104802251E-7</v>
      </c>
      <c r="CO17">
        <v>1.2335600650980788E-5</v>
      </c>
      <c r="CP17">
        <v>0</v>
      </c>
      <c r="CQ17">
        <v>1.2335600650980788E-5</v>
      </c>
      <c r="CR17">
        <v>0</v>
      </c>
      <c r="CS17">
        <v>1.2335600650980788E-5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2.8210546180758338E-9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1.9949318642136505E-9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1.4426235557502321E-7</v>
      </c>
      <c r="FS17">
        <v>0</v>
      </c>
      <c r="FT17">
        <v>5.9331671853398976E-5</v>
      </c>
      <c r="FU17">
        <v>0</v>
      </c>
      <c r="FV17">
        <v>5.4159160547444162E-5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6.7284180435287742E-9</v>
      </c>
      <c r="GS17">
        <v>2.5706829851218876E-4</v>
      </c>
      <c r="GT17">
        <v>0</v>
      </c>
      <c r="GU17">
        <v>0</v>
      </c>
    </row>
    <row r="18" spans="1:203">
      <c r="A18" t="s">
        <v>156</v>
      </c>
      <c r="B18">
        <v>15</v>
      </c>
      <c r="C18" t="s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</row>
    <row r="19" spans="1:203">
      <c r="A19" t="s">
        <v>157</v>
      </c>
      <c r="B19">
        <v>16</v>
      </c>
      <c r="C19" t="s">
        <v>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</row>
    <row r="20" spans="1:203">
      <c r="A20" t="s">
        <v>158</v>
      </c>
      <c r="B20">
        <v>17</v>
      </c>
      <c r="C20" t="s">
        <v>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</row>
    <row r="21" spans="1:203">
      <c r="A21" t="s">
        <v>159</v>
      </c>
      <c r="B21">
        <v>18</v>
      </c>
      <c r="C21" t="s">
        <v>4</v>
      </c>
      <c r="D21">
        <v>1.6685296787668248E-8</v>
      </c>
      <c r="E21">
        <v>0</v>
      </c>
      <c r="F21">
        <v>4.3813047141278349E-7</v>
      </c>
      <c r="G21">
        <v>1.0059232476138512E-3</v>
      </c>
      <c r="H21">
        <v>1.5337423412056954E-4</v>
      </c>
      <c r="I21">
        <v>0</v>
      </c>
      <c r="J21">
        <v>0</v>
      </c>
      <c r="K21">
        <v>3.2792835643917712E-3</v>
      </c>
      <c r="L21">
        <v>2.1310415053018499E-7</v>
      </c>
      <c r="M21">
        <v>5.2094848347749461E-4</v>
      </c>
      <c r="N21">
        <v>6.7945206418522639E-7</v>
      </c>
      <c r="O21">
        <v>1.1592996159917318E-5</v>
      </c>
      <c r="P21">
        <v>1.3007721616512363E-5</v>
      </c>
      <c r="Q21">
        <v>4.5034383705602173E-3</v>
      </c>
      <c r="R21">
        <v>0</v>
      </c>
      <c r="S21">
        <v>0</v>
      </c>
      <c r="T21">
        <v>0</v>
      </c>
      <c r="U21">
        <v>2.8121520607483873E-2</v>
      </c>
      <c r="V21">
        <v>1.3768049038090314E-3</v>
      </c>
      <c r="W21">
        <v>2.6133575240395052E-4</v>
      </c>
      <c r="X21">
        <v>0</v>
      </c>
      <c r="Y21">
        <v>0</v>
      </c>
      <c r="Z21">
        <v>0</v>
      </c>
      <c r="AA21">
        <v>2.6133575240395047E-4</v>
      </c>
      <c r="AB21">
        <v>0</v>
      </c>
      <c r="AC21">
        <v>0</v>
      </c>
      <c r="AD21">
        <v>0</v>
      </c>
      <c r="AE21">
        <v>1.685255257492264E-6</v>
      </c>
      <c r="AF21">
        <v>3.1191424726231716E-8</v>
      </c>
      <c r="AG21">
        <v>0</v>
      </c>
      <c r="AH21">
        <v>0</v>
      </c>
      <c r="AI21">
        <v>1.8050675888589025E-7</v>
      </c>
      <c r="AJ21">
        <v>3.1638432721348843E-5</v>
      </c>
      <c r="AK21">
        <v>0</v>
      </c>
      <c r="AL21">
        <v>8.2587816433338197E-9</v>
      </c>
      <c r="AM21">
        <v>0</v>
      </c>
      <c r="AN21">
        <v>3.7593782572406597E-8</v>
      </c>
      <c r="AO21">
        <v>6.6175358922316507E-7</v>
      </c>
      <c r="AP21">
        <v>6.0168574613615726E-6</v>
      </c>
      <c r="AQ21">
        <v>5.114853705379356E-9</v>
      </c>
      <c r="AR21">
        <v>1.1978880098982865E-9</v>
      </c>
      <c r="AS21">
        <v>2.3608705051128769E-5</v>
      </c>
      <c r="AT21">
        <v>0</v>
      </c>
      <c r="AU21">
        <v>3.5360302790376315E-7</v>
      </c>
      <c r="AV21">
        <v>1.1049663933268573E-7</v>
      </c>
      <c r="AW21">
        <v>3.5715941470056051E-6</v>
      </c>
      <c r="AX21">
        <v>8.5585223840057331E-4</v>
      </c>
      <c r="AY21">
        <v>1.2241508542369601E-3</v>
      </c>
      <c r="AZ21">
        <v>4.0005732185112366E-4</v>
      </c>
      <c r="BA21">
        <v>1.5741916133888183E-5</v>
      </c>
      <c r="BB21">
        <v>8.2637553393127524E-4</v>
      </c>
      <c r="BC21">
        <v>1.5607911912394861E-5</v>
      </c>
      <c r="BD21">
        <v>3.7003862864240099E-5</v>
      </c>
      <c r="BE21">
        <v>0</v>
      </c>
      <c r="BF21">
        <v>0</v>
      </c>
      <c r="BG21">
        <v>0</v>
      </c>
      <c r="BH21">
        <v>0</v>
      </c>
      <c r="BI21">
        <v>3.0604381700313286E-2</v>
      </c>
      <c r="BJ21">
        <v>0</v>
      </c>
      <c r="BK21">
        <v>7.0362308945105662E-6</v>
      </c>
      <c r="BL21">
        <v>0</v>
      </c>
      <c r="BM21">
        <v>1.7324008153137948E-6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6.2154803530389217E-4</v>
      </c>
      <c r="CN21">
        <v>5.0293572003561797E-4</v>
      </c>
      <c r="CO21">
        <v>1.2160412709207509E-4</v>
      </c>
      <c r="CP21">
        <v>0</v>
      </c>
      <c r="CQ21">
        <v>1.2160412709207509E-4</v>
      </c>
      <c r="CR21">
        <v>0</v>
      </c>
      <c r="CS21">
        <v>1.2160412709207507E-4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2.1657421995641948E-6</v>
      </c>
      <c r="DF21">
        <v>0</v>
      </c>
      <c r="DG21">
        <v>1.6378752561185346E-7</v>
      </c>
      <c r="DH21">
        <v>0</v>
      </c>
      <c r="DI21">
        <v>9.5037231620609238E-10</v>
      </c>
      <c r="DJ21">
        <v>0</v>
      </c>
      <c r="DK21">
        <v>9.2407722045390563E-8</v>
      </c>
      <c r="DL21">
        <v>0</v>
      </c>
      <c r="DM21">
        <v>2.2557280960270785E-7</v>
      </c>
      <c r="DN21">
        <v>0</v>
      </c>
      <c r="DO21">
        <v>2.9511022618461546E-7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1.6465850533109351E-5</v>
      </c>
      <c r="DY21">
        <v>3.6445642690388387E-9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4.7886843241282049E-7</v>
      </c>
      <c r="EV21">
        <v>1.0607302162106522E-6</v>
      </c>
      <c r="EW21">
        <v>1.3478863989420197E-4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4.77055141234771E-4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1.7246243422498942E-5</v>
      </c>
      <c r="FS21">
        <v>0</v>
      </c>
      <c r="FT21">
        <v>3.0032811056975191E-4</v>
      </c>
      <c r="FU21">
        <v>5.3056138263080359E-6</v>
      </c>
      <c r="FV21">
        <v>2.7516037702815217E-5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1.0861589015993016E-6</v>
      </c>
      <c r="GS21">
        <v>3.2513154533645935E-4</v>
      </c>
      <c r="GT21">
        <v>0</v>
      </c>
      <c r="GU21">
        <v>0</v>
      </c>
    </row>
    <row r="22" spans="1:203">
      <c r="A22" t="s">
        <v>160</v>
      </c>
      <c r="B22">
        <v>19</v>
      </c>
      <c r="C22" t="s">
        <v>4</v>
      </c>
      <c r="D22">
        <v>0</v>
      </c>
      <c r="E22">
        <v>0</v>
      </c>
      <c r="F22">
        <v>0</v>
      </c>
      <c r="G22">
        <v>1.8028312795474534E-5</v>
      </c>
      <c r="H22">
        <v>3.5784758648533779E-6</v>
      </c>
      <c r="I22">
        <v>0</v>
      </c>
      <c r="J22">
        <v>0</v>
      </c>
      <c r="K22">
        <v>1.8655047327080119E-4</v>
      </c>
      <c r="L22">
        <v>3.470428981220957E-8</v>
      </c>
      <c r="M22">
        <v>1.2293791415236309E-7</v>
      </c>
      <c r="N22">
        <v>0</v>
      </c>
      <c r="O22">
        <v>0</v>
      </c>
      <c r="P22">
        <v>0</v>
      </c>
      <c r="Q22">
        <v>5.4918732166330391E-7</v>
      </c>
      <c r="R22">
        <v>0</v>
      </c>
      <c r="S22">
        <v>0</v>
      </c>
      <c r="T22">
        <v>0</v>
      </c>
      <c r="U22">
        <v>5.3172766444745573E-6</v>
      </c>
      <c r="V22">
        <v>2.7883311983784093E-2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3.5094476696952502E-8</v>
      </c>
      <c r="AU22">
        <v>4.0947742453762679E-6</v>
      </c>
      <c r="AV22">
        <v>1.5520063970228264E-7</v>
      </c>
      <c r="AW22">
        <v>4.5182973631664829E-5</v>
      </c>
      <c r="AX22">
        <v>4.2735085066674154E-6</v>
      </c>
      <c r="AY22">
        <v>4.1852134950691801E-5</v>
      </c>
      <c r="AZ22">
        <v>2.6487761856785055E-5</v>
      </c>
      <c r="BA22">
        <v>9.6835896754621567E-4</v>
      </c>
      <c r="BB22">
        <v>1.2750191182689925E-8</v>
      </c>
      <c r="BC22">
        <v>0</v>
      </c>
      <c r="BD22">
        <v>0.16413487994686829</v>
      </c>
      <c r="BE22">
        <v>0</v>
      </c>
      <c r="BF22">
        <v>0</v>
      </c>
      <c r="BG22">
        <v>0</v>
      </c>
      <c r="BH22">
        <v>2.7854414463003168E-7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1.2600951965066512E-5</v>
      </c>
      <c r="CP22">
        <v>0</v>
      </c>
      <c r="CQ22">
        <v>1.2600951965066514E-5</v>
      </c>
      <c r="CR22">
        <v>0</v>
      </c>
      <c r="CS22">
        <v>1.2600951965066514E-5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3.2688312672699059E-9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9.6055710389864784E-4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5.615280677231514E-5</v>
      </c>
      <c r="FS22">
        <v>0</v>
      </c>
      <c r="FT22">
        <v>2.9108332975177036E-5</v>
      </c>
      <c r="FU22">
        <v>0</v>
      </c>
      <c r="FV22">
        <v>1.2491183468229868E-6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4.7336027005453384E-6</v>
      </c>
      <c r="GS22">
        <v>1.2005837166412161E-3</v>
      </c>
      <c r="GT22">
        <v>0</v>
      </c>
      <c r="GU22">
        <v>0</v>
      </c>
    </row>
    <row r="23" spans="1:203">
      <c r="A23" t="s">
        <v>161</v>
      </c>
      <c r="B23">
        <v>20</v>
      </c>
      <c r="C23" t="s">
        <v>120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4.7719842044263057E-3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4.3586903182194685E-4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3.1696174210079568E-3</v>
      </c>
      <c r="EB23">
        <v>7.8707616273056002E-3</v>
      </c>
      <c r="EC23">
        <v>0</v>
      </c>
      <c r="ED23">
        <v>0</v>
      </c>
      <c r="EE23">
        <v>0</v>
      </c>
      <c r="EF23">
        <v>5.1950551596362487E-7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1.5548056728167338E-3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1.1258944981226584E-2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</row>
    <row r="24" spans="1:203">
      <c r="A24" t="s">
        <v>162</v>
      </c>
      <c r="B24">
        <v>21</v>
      </c>
      <c r="C24" t="s">
        <v>120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</row>
    <row r="25" spans="1:203">
      <c r="A25" t="s">
        <v>163</v>
      </c>
      <c r="B25">
        <v>22</v>
      </c>
      <c r="C25" t="s">
        <v>120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</row>
    <row r="26" spans="1:203">
      <c r="A26" t="s">
        <v>164</v>
      </c>
      <c r="B26">
        <v>23</v>
      </c>
      <c r="C26" t="s">
        <v>120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</row>
    <row r="27" spans="1:203">
      <c r="A27" t="s">
        <v>165</v>
      </c>
      <c r="B27">
        <v>24</v>
      </c>
      <c r="C27" t="s">
        <v>120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</row>
    <row r="28" spans="1:203">
      <c r="A28" t="s">
        <v>166</v>
      </c>
      <c r="B28">
        <v>25</v>
      </c>
      <c r="C28" t="s">
        <v>120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</row>
    <row r="29" spans="1:203">
      <c r="A29" t="s">
        <v>167</v>
      </c>
      <c r="B29">
        <v>26</v>
      </c>
      <c r="C29" t="s">
        <v>120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</row>
    <row r="30" spans="1:203">
      <c r="A30" t="s">
        <v>168</v>
      </c>
      <c r="B30">
        <v>27</v>
      </c>
      <c r="C30" t="s">
        <v>120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</row>
    <row r="31" spans="1:203">
      <c r="A31" t="s">
        <v>169</v>
      </c>
      <c r="B31">
        <v>28</v>
      </c>
      <c r="C31" t="s">
        <v>119</v>
      </c>
      <c r="D31">
        <v>0</v>
      </c>
      <c r="E31">
        <v>1.9732440081758415E-7</v>
      </c>
      <c r="F31">
        <v>5.4246157479218474E-8</v>
      </c>
      <c r="G31">
        <v>9.064449159364217E-10</v>
      </c>
      <c r="H31">
        <v>1.2130903238679766E-8</v>
      </c>
      <c r="I31">
        <v>0</v>
      </c>
      <c r="J31">
        <v>3.8147277623642442E-4</v>
      </c>
      <c r="K31">
        <v>3.2129801398798196E-8</v>
      </c>
      <c r="L31">
        <v>1.3608930675676124E-9</v>
      </c>
      <c r="M31">
        <v>1.7260541140867306E-9</v>
      </c>
      <c r="N31">
        <v>2.5252841417716662E-9</v>
      </c>
      <c r="O31">
        <v>8.9899785804753012E-8</v>
      </c>
      <c r="P31">
        <v>0</v>
      </c>
      <c r="Q31">
        <v>4.0767369763738469E-9</v>
      </c>
      <c r="R31">
        <v>5.7335902686582931E-5</v>
      </c>
      <c r="S31">
        <v>0</v>
      </c>
      <c r="T31">
        <v>0</v>
      </c>
      <c r="U31">
        <v>1.6073949355851547E-8</v>
      </c>
      <c r="V31">
        <v>3.5287971465267E-9</v>
      </c>
      <c r="W31">
        <v>1.3306783447344142E-8</v>
      </c>
      <c r="X31">
        <v>0</v>
      </c>
      <c r="Y31">
        <v>0</v>
      </c>
      <c r="Z31">
        <v>0</v>
      </c>
      <c r="AA31">
        <v>1.3306783447344141E-8</v>
      </c>
      <c r="AB31">
        <v>0</v>
      </c>
      <c r="AC31">
        <v>0</v>
      </c>
      <c r="AD31">
        <v>0</v>
      </c>
      <c r="AE31">
        <v>9.6681585061146258E-8</v>
      </c>
      <c r="AF31">
        <v>1.4936774455550129E-8</v>
      </c>
      <c r="AG31">
        <v>0</v>
      </c>
      <c r="AH31">
        <v>0</v>
      </c>
      <c r="AI31">
        <v>9.1136426863877256E-9</v>
      </c>
      <c r="AJ31">
        <v>6.2653002182816887E-8</v>
      </c>
      <c r="AK31">
        <v>0</v>
      </c>
      <c r="AL31">
        <v>4.3303737367432161E-9</v>
      </c>
      <c r="AM31">
        <v>0</v>
      </c>
      <c r="AN31">
        <v>0</v>
      </c>
      <c r="AO31">
        <v>0</v>
      </c>
      <c r="AP31">
        <v>7.6591168718300272E-7</v>
      </c>
      <c r="AQ31">
        <v>1.4249131883138671E-9</v>
      </c>
      <c r="AR31">
        <v>6.787968794511871E-10</v>
      </c>
      <c r="AS31">
        <v>5.6797904909231838E-9</v>
      </c>
      <c r="AT31">
        <v>6.7389412912420031E-9</v>
      </c>
      <c r="AU31">
        <v>1.7295192019050195E-9</v>
      </c>
      <c r="AV31">
        <v>2.4632818946944958E-9</v>
      </c>
      <c r="AW31">
        <v>5.4042204431347221E-8</v>
      </c>
      <c r="AX31">
        <v>2.8331603705857246E-8</v>
      </c>
      <c r="AY31">
        <v>2.1123054852318601E-9</v>
      </c>
      <c r="AZ31">
        <v>5.5706761305288704E-8</v>
      </c>
      <c r="BA31">
        <v>1.4168827708240194E-8</v>
      </c>
      <c r="BB31">
        <v>2.1245486745067002E-10</v>
      </c>
      <c r="BC31">
        <v>1.1416536939817492E-9</v>
      </c>
      <c r="BD31">
        <v>1.7889768850338214E-9</v>
      </c>
      <c r="BE31">
        <v>2.795247722793913E-9</v>
      </c>
      <c r="BF31">
        <v>2.6313597987908994E-10</v>
      </c>
      <c r="BG31">
        <v>2.0042643661191561E-9</v>
      </c>
      <c r="BH31">
        <v>1.6676341352625383E-9</v>
      </c>
      <c r="BI31">
        <v>1.6560278433691726E-9</v>
      </c>
      <c r="BJ31">
        <v>0</v>
      </c>
      <c r="BK31">
        <v>1.2657612025228897E-8</v>
      </c>
      <c r="BL31">
        <v>0</v>
      </c>
      <c r="BM31">
        <v>5.2112257660124739E-10</v>
      </c>
      <c r="BN31">
        <v>1.1641177747218827E-9</v>
      </c>
      <c r="BO31">
        <v>2.0222423076731007E-8</v>
      </c>
      <c r="BP31">
        <v>0</v>
      </c>
      <c r="BQ31">
        <v>2.0222423076731007E-8</v>
      </c>
      <c r="BR31">
        <v>1.8912505394518941E-10</v>
      </c>
      <c r="BS31">
        <v>0</v>
      </c>
      <c r="BT31">
        <v>0</v>
      </c>
      <c r="BU31">
        <v>1.8912505394518938E-10</v>
      </c>
      <c r="BV31">
        <v>1.8912505394518941E-10</v>
      </c>
      <c r="BW31">
        <v>1.8912505394518941E-10</v>
      </c>
      <c r="BX31">
        <v>1.8912505394518941E-10</v>
      </c>
      <c r="BY31">
        <v>1.8912505394518943E-10</v>
      </c>
      <c r="BZ31">
        <v>1.8912505394518941E-10</v>
      </c>
      <c r="CA31">
        <v>1.8912505394518941E-10</v>
      </c>
      <c r="CB31">
        <v>0</v>
      </c>
      <c r="CC31">
        <v>1.8912505394518938E-10</v>
      </c>
      <c r="CD31">
        <v>1.8912505394518938E-10</v>
      </c>
      <c r="CE31">
        <v>1.8912505394518941E-10</v>
      </c>
      <c r="CF31">
        <v>1.8912505394518941E-10</v>
      </c>
      <c r="CG31">
        <v>1.8912505394518941E-10</v>
      </c>
      <c r="CH31">
        <v>1.8912505394518941E-10</v>
      </c>
      <c r="CI31">
        <v>1.8912505394518941E-10</v>
      </c>
      <c r="CJ31">
        <v>0</v>
      </c>
      <c r="CK31">
        <v>8.967279426770836E-10</v>
      </c>
      <c r="CL31">
        <v>0</v>
      </c>
      <c r="CM31">
        <v>6.9541955585648821E-7</v>
      </c>
      <c r="CN31">
        <v>2.7486269273854856E-9</v>
      </c>
      <c r="CO31">
        <v>1.029219646224527E-10</v>
      </c>
      <c r="CP31">
        <v>0</v>
      </c>
      <c r="CQ31">
        <v>1.029219646224527E-10</v>
      </c>
      <c r="CR31">
        <v>0</v>
      </c>
      <c r="CS31">
        <v>1.029219646224527E-10</v>
      </c>
      <c r="CT31">
        <v>0</v>
      </c>
      <c r="CU31">
        <v>2.1365065180730553E-10</v>
      </c>
      <c r="CV31">
        <v>9.5935086971940994E-10</v>
      </c>
      <c r="CW31">
        <v>0</v>
      </c>
      <c r="CX31">
        <v>4.0508430560934969E-9</v>
      </c>
      <c r="CY31">
        <v>7.5096712696020699E-8</v>
      </c>
      <c r="CZ31">
        <v>8.570377039587655E-10</v>
      </c>
      <c r="DA31">
        <v>0</v>
      </c>
      <c r="DB31">
        <v>8.680490002575185E-10</v>
      </c>
      <c r="DC31">
        <v>8.5068729338248079E-11</v>
      </c>
      <c r="DD31">
        <v>0</v>
      </c>
      <c r="DE31">
        <v>2.8131292858985702E-9</v>
      </c>
      <c r="DF31">
        <v>0</v>
      </c>
      <c r="DG31">
        <v>1.8160709600535327E-9</v>
      </c>
      <c r="DH31">
        <v>0</v>
      </c>
      <c r="DI31">
        <v>6.8329499122153248E-10</v>
      </c>
      <c r="DJ31">
        <v>0</v>
      </c>
      <c r="DK31">
        <v>5.8539946753342163E-10</v>
      </c>
      <c r="DL31">
        <v>0</v>
      </c>
      <c r="DM31">
        <v>6.8561663035751726E-9</v>
      </c>
      <c r="DN31">
        <v>0</v>
      </c>
      <c r="DO31">
        <v>3.5962106395907903E-9</v>
      </c>
      <c r="DP31">
        <v>1.6427870762426748E-10</v>
      </c>
      <c r="DQ31">
        <v>9.6266701862578653E-11</v>
      </c>
      <c r="DR31">
        <v>5.2856892379778442E-10</v>
      </c>
      <c r="DS31">
        <v>1.3778404509331315E-10</v>
      </c>
      <c r="DT31">
        <v>4.579658131488991E-11</v>
      </c>
      <c r="DU31">
        <v>5.2078894667432427E-10</v>
      </c>
      <c r="DV31">
        <v>6.7141757122426492E-11</v>
      </c>
      <c r="DW31">
        <v>2.7375389357944064E-10</v>
      </c>
      <c r="DX31">
        <v>5.2698778700481461E-10</v>
      </c>
      <c r="DY31">
        <v>1.4202652952377523E-9</v>
      </c>
      <c r="DZ31">
        <v>0</v>
      </c>
      <c r="EA31">
        <v>1.5466172633898306E-9</v>
      </c>
      <c r="EB31">
        <v>3.6023887939828169E-9</v>
      </c>
      <c r="EC31">
        <v>0</v>
      </c>
      <c r="ED31">
        <v>5.2924716377803801E-8</v>
      </c>
      <c r="EE31">
        <v>2.9554840377613444E-7</v>
      </c>
      <c r="EF31">
        <v>1.5940490059365105E-8</v>
      </c>
      <c r="EG31">
        <v>1.4433602757224172E-7</v>
      </c>
      <c r="EH31">
        <v>0</v>
      </c>
      <c r="EI31">
        <v>0</v>
      </c>
      <c r="EJ31">
        <v>0</v>
      </c>
      <c r="EK31">
        <v>0</v>
      </c>
      <c r="EL31">
        <v>1.5684842024667158E-8</v>
      </c>
      <c r="EM31">
        <v>4.0306686348886006E-9</v>
      </c>
      <c r="EN31">
        <v>1.2653469835445229E-9</v>
      </c>
      <c r="EO31">
        <v>1.8097597482939306E-9</v>
      </c>
      <c r="EP31">
        <v>1.8097597482939304E-9</v>
      </c>
      <c r="EQ31">
        <v>1.8097597482939306E-9</v>
      </c>
      <c r="ER31">
        <v>0</v>
      </c>
      <c r="ES31">
        <v>1.8097597482939308E-9</v>
      </c>
      <c r="ET31">
        <v>1.8097597482939304E-9</v>
      </c>
      <c r="EU31">
        <v>2.7428070446789652E-8</v>
      </c>
      <c r="EV31">
        <v>1.70348687140937E-9</v>
      </c>
      <c r="EW31">
        <v>8.1639825964409279E-11</v>
      </c>
      <c r="EX31">
        <v>0</v>
      </c>
      <c r="EY31">
        <v>9.415270691406726E-10</v>
      </c>
      <c r="EZ31">
        <v>9.7516268508194841E-9</v>
      </c>
      <c r="FA31">
        <v>7.3184996742399887E-11</v>
      </c>
      <c r="FB31">
        <v>1.4493264152055329E-10</v>
      </c>
      <c r="FC31">
        <v>9.9576185132842927E-11</v>
      </c>
      <c r="FD31">
        <v>6.8210099429734589E-10</v>
      </c>
      <c r="FE31">
        <v>3.1053398273842005E-10</v>
      </c>
      <c r="FF31">
        <v>4.6902823680034942E-9</v>
      </c>
      <c r="FG31">
        <v>4.9663940961972709E-10</v>
      </c>
      <c r="FH31">
        <v>7.5409840873873132E-9</v>
      </c>
      <c r="FI31">
        <v>6.2758604932886978E-10</v>
      </c>
      <c r="FJ31">
        <v>4.2744062514023174E-10</v>
      </c>
      <c r="FK31">
        <v>6.2903046845094473E-11</v>
      </c>
      <c r="FL31">
        <v>1.6954623156695719E-10</v>
      </c>
      <c r="FM31">
        <v>3.0173497718030229E-10</v>
      </c>
      <c r="FN31">
        <v>4.8825499440139283E-10</v>
      </c>
      <c r="FO31">
        <v>8.6043061404749617E-11</v>
      </c>
      <c r="FP31">
        <v>1.1626170375238916E-9</v>
      </c>
      <c r="FQ31">
        <v>5.2710008164034342E-10</v>
      </c>
      <c r="FR31">
        <v>3.9726875564181993E-10</v>
      </c>
      <c r="FS31">
        <v>1.6698943638821031E-10</v>
      </c>
      <c r="FT31">
        <v>1.1759686158023538E-10</v>
      </c>
      <c r="FU31">
        <v>1.4686127029141973E-10</v>
      </c>
      <c r="FV31">
        <v>1.6834745327244213E-10</v>
      </c>
      <c r="FW31">
        <v>4.8948132676056123E-9</v>
      </c>
      <c r="FX31">
        <v>4.8902068598121546E-9</v>
      </c>
      <c r="FY31">
        <v>2.1847162151863587E-8</v>
      </c>
      <c r="FZ31">
        <v>3.4260251267903605E-8</v>
      </c>
      <c r="GA31">
        <v>2.1553147309524131E-8</v>
      </c>
      <c r="GB31">
        <v>1.8542057542565234E-8</v>
      </c>
      <c r="GC31">
        <v>1.9261730330597565E-8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1.1619140191165368E-8</v>
      </c>
      <c r="GJ31">
        <v>5.2273589402395009E-9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1.045980038558472E-9</v>
      </c>
      <c r="GR31">
        <v>2.5590361016010863E-10</v>
      </c>
      <c r="GS31">
        <v>1.9396582810909889E-10</v>
      </c>
      <c r="GT31">
        <v>4.4036202446297472E-9</v>
      </c>
      <c r="GU31">
        <v>0</v>
      </c>
    </row>
    <row r="32" spans="1:203">
      <c r="A32" t="s">
        <v>170</v>
      </c>
      <c r="B32">
        <v>29</v>
      </c>
      <c r="C32" t="s">
        <v>119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4.5656448518017834E-3</v>
      </c>
      <c r="BG32">
        <v>3.4395684814419103E-3</v>
      </c>
      <c r="BH32">
        <v>0</v>
      </c>
      <c r="BI32">
        <v>4.5377495943489258E-3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4.3972607349047725E-3</v>
      </c>
      <c r="DY32">
        <v>8.5438912811151503E-11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9.1932620260765738E-3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</row>
    <row r="33" spans="1:203">
      <c r="A33" t="s">
        <v>171</v>
      </c>
      <c r="B33">
        <v>30</v>
      </c>
      <c r="C33" t="s">
        <v>119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</row>
    <row r="34" spans="1:203">
      <c r="A34" t="s">
        <v>172</v>
      </c>
      <c r="B34">
        <v>31</v>
      </c>
      <c r="C34" t="s">
        <v>119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</row>
    <row r="35" spans="1:203">
      <c r="A35" t="s">
        <v>173</v>
      </c>
      <c r="B35">
        <v>32</v>
      </c>
      <c r="C35" t="s">
        <v>5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1.8007574614375774E-5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</row>
    <row r="36" spans="1:203">
      <c r="A36" t="s">
        <v>174</v>
      </c>
      <c r="B36">
        <v>33</v>
      </c>
      <c r="C36" t="s">
        <v>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1.1541622722594674E-8</v>
      </c>
      <c r="CP36">
        <v>0</v>
      </c>
      <c r="CQ36">
        <v>1.1541622722594674E-8</v>
      </c>
      <c r="CR36">
        <v>0</v>
      </c>
      <c r="CS36">
        <v>1.1541622722594676E-8</v>
      </c>
      <c r="CT36">
        <v>0</v>
      </c>
      <c r="CU36">
        <v>0</v>
      </c>
      <c r="CV36">
        <v>0</v>
      </c>
      <c r="CW36">
        <v>0</v>
      </c>
      <c r="CX36">
        <v>1.3351457733557857E-8</v>
      </c>
      <c r="CY36">
        <v>0</v>
      </c>
      <c r="CZ36">
        <v>0</v>
      </c>
      <c r="DA36">
        <v>0</v>
      </c>
      <c r="DB36">
        <v>1.2284412298328568E-8</v>
      </c>
      <c r="DC36">
        <v>1.0112683368084091E-3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2.4612338510746691E-7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1.6191448093903851E-7</v>
      </c>
      <c r="GT36">
        <v>0</v>
      </c>
      <c r="GU36">
        <v>0</v>
      </c>
    </row>
    <row r="37" spans="1:203">
      <c r="A37" t="s">
        <v>175</v>
      </c>
      <c r="B37">
        <v>34</v>
      </c>
      <c r="C37" t="s">
        <v>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8.2032323515190213E-5</v>
      </c>
      <c r="CZ37">
        <v>2.421944251052415E-8</v>
      </c>
      <c r="DA37">
        <v>0</v>
      </c>
      <c r="DB37">
        <v>1.6406662603578033E-6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1.4231718869326498E-8</v>
      </c>
      <c r="GT37">
        <v>0</v>
      </c>
      <c r="GU37">
        <v>0</v>
      </c>
    </row>
    <row r="38" spans="1:203">
      <c r="A38" t="s">
        <v>176</v>
      </c>
      <c r="B38">
        <v>35</v>
      </c>
      <c r="C38" t="s">
        <v>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5.6046846759018603E-8</v>
      </c>
      <c r="CP38">
        <v>0</v>
      </c>
      <c r="CQ38">
        <v>5.6046846759018603E-8</v>
      </c>
      <c r="CR38">
        <v>0</v>
      </c>
      <c r="CS38">
        <v>5.6046846759018617E-8</v>
      </c>
      <c r="CT38">
        <v>0</v>
      </c>
      <c r="CU38">
        <v>0</v>
      </c>
      <c r="CV38">
        <v>0</v>
      </c>
      <c r="CW38">
        <v>0</v>
      </c>
      <c r="CX38">
        <v>1.0381591977205184E-3</v>
      </c>
      <c r="CY38">
        <v>0</v>
      </c>
      <c r="CZ38">
        <v>0</v>
      </c>
      <c r="DA38">
        <v>0</v>
      </c>
      <c r="DB38">
        <v>4.4207519657350785E-4</v>
      </c>
      <c r="DC38">
        <v>3.3514607460159184E-3</v>
      </c>
      <c r="DD38">
        <v>0</v>
      </c>
      <c r="DE38">
        <v>0</v>
      </c>
      <c r="DF38">
        <v>0</v>
      </c>
      <c r="DG38">
        <v>9.7176176993074932E-7</v>
      </c>
      <c r="DH38">
        <v>0</v>
      </c>
      <c r="DI38">
        <v>0</v>
      </c>
      <c r="DJ38">
        <v>0</v>
      </c>
      <c r="DK38">
        <v>3.5571532616205614E-7</v>
      </c>
      <c r="DL38">
        <v>0</v>
      </c>
      <c r="DM38">
        <v>0.14588360364906114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8.3817479802294902E-7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6.5423715087262425E-7</v>
      </c>
      <c r="GT38">
        <v>0</v>
      </c>
      <c r="GU38">
        <v>0</v>
      </c>
    </row>
    <row r="39" spans="1:203">
      <c r="A39" t="s">
        <v>177</v>
      </c>
      <c r="B39">
        <v>36</v>
      </c>
      <c r="C39" t="s">
        <v>5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</row>
    <row r="40" spans="1:203">
      <c r="A40" t="s">
        <v>178</v>
      </c>
      <c r="B40">
        <v>37</v>
      </c>
      <c r="C40" t="s">
        <v>5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6.2997813991272483E-8</v>
      </c>
      <c r="CP40">
        <v>0</v>
      </c>
      <c r="CQ40">
        <v>6.299781399127247E-8</v>
      </c>
      <c r="CR40">
        <v>0</v>
      </c>
      <c r="CS40">
        <v>6.2997813991272483E-8</v>
      </c>
      <c r="CT40">
        <v>0</v>
      </c>
      <c r="CU40">
        <v>0</v>
      </c>
      <c r="CV40">
        <v>0</v>
      </c>
      <c r="CW40">
        <v>0</v>
      </c>
      <c r="CX40">
        <v>2.4039164562761413E-3</v>
      </c>
      <c r="CY40">
        <v>0</v>
      </c>
      <c r="CZ40">
        <v>0</v>
      </c>
      <c r="DA40">
        <v>0</v>
      </c>
      <c r="DB40">
        <v>6.4261268470811918E-4</v>
      </c>
      <c r="DC40">
        <v>0</v>
      </c>
      <c r="DD40">
        <v>0</v>
      </c>
      <c r="DE40">
        <v>3.2500221861739731E-2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2.0532402303577805E-6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9.6712087576477508E-7</v>
      </c>
      <c r="GT40">
        <v>0</v>
      </c>
      <c r="GU40">
        <v>0</v>
      </c>
    </row>
    <row r="41" spans="1:203">
      <c r="A41" t="s">
        <v>179</v>
      </c>
      <c r="B41">
        <v>38</v>
      </c>
      <c r="C41" t="s">
        <v>5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6.5483322169272118E-5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1.3964285956726587E-7</v>
      </c>
      <c r="GT41">
        <v>0</v>
      </c>
      <c r="GU41">
        <v>0</v>
      </c>
    </row>
    <row r="42" spans="1:203">
      <c r="A42" t="s">
        <v>180</v>
      </c>
      <c r="B42">
        <v>39</v>
      </c>
      <c r="C42" t="s">
        <v>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5.7155846908871774E-4</v>
      </c>
      <c r="CY42">
        <v>2.0914494963863078E-4</v>
      </c>
      <c r="CZ42">
        <v>0</v>
      </c>
      <c r="DA42">
        <v>0</v>
      </c>
      <c r="DB42">
        <v>1.6768863971269708E-4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1.3542807348037048E-6</v>
      </c>
      <c r="GT42">
        <v>0</v>
      </c>
      <c r="GU42">
        <v>0</v>
      </c>
    </row>
    <row r="43" spans="1:203">
      <c r="A43" t="s">
        <v>181</v>
      </c>
      <c r="B43">
        <v>40</v>
      </c>
      <c r="C43" t="s">
        <v>5</v>
      </c>
      <c r="D43">
        <v>0</v>
      </c>
      <c r="E43">
        <v>0</v>
      </c>
      <c r="F43">
        <v>0</v>
      </c>
      <c r="G43">
        <v>2.283134281658624E-6</v>
      </c>
      <c r="H43">
        <v>0</v>
      </c>
      <c r="I43">
        <v>0</v>
      </c>
      <c r="J43">
        <v>0</v>
      </c>
      <c r="K43">
        <v>7.0484051445203393E-6</v>
      </c>
      <c r="L43">
        <v>2.4981305339676405E-4</v>
      </c>
      <c r="M43">
        <v>1.3012023884496283E-4</v>
      </c>
      <c r="N43">
        <v>1.6304238339854198E-6</v>
      </c>
      <c r="O43">
        <v>0</v>
      </c>
      <c r="P43">
        <v>4.5480892971974486E-6</v>
      </c>
      <c r="Q43">
        <v>1.6778085210065707E-4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1.6970649369878115E-7</v>
      </c>
      <c r="BC43">
        <v>0</v>
      </c>
      <c r="BD43">
        <v>0</v>
      </c>
      <c r="BE43">
        <v>0</v>
      </c>
      <c r="BF43">
        <v>7.9901008753168959E-5</v>
      </c>
      <c r="BG43">
        <v>0</v>
      </c>
      <c r="BH43">
        <v>1.236557722256151E-4</v>
      </c>
      <c r="BI43">
        <v>0</v>
      </c>
      <c r="BJ43">
        <v>0</v>
      </c>
      <c r="BK43">
        <v>1.6528731209125708E-3</v>
      </c>
      <c r="BL43">
        <v>0</v>
      </c>
      <c r="BM43">
        <v>7.695058792084996E-4</v>
      </c>
      <c r="BN43">
        <v>0</v>
      </c>
      <c r="BO43">
        <v>8.1656714220815755E-6</v>
      </c>
      <c r="BP43">
        <v>0</v>
      </c>
      <c r="BQ43">
        <v>8.1656714220815772E-6</v>
      </c>
      <c r="BR43">
        <v>3.1692894949925836E-4</v>
      </c>
      <c r="BS43">
        <v>0</v>
      </c>
      <c r="BT43">
        <v>0</v>
      </c>
      <c r="BU43">
        <v>3.1692894949925842E-4</v>
      </c>
      <c r="BV43">
        <v>3.1692894949925842E-4</v>
      </c>
      <c r="BW43">
        <v>3.1692894949925842E-4</v>
      </c>
      <c r="BX43">
        <v>3.1692894949925842E-4</v>
      </c>
      <c r="BY43">
        <v>3.1692894949925842E-4</v>
      </c>
      <c r="BZ43">
        <v>3.1692894949925842E-4</v>
      </c>
      <c r="CA43">
        <v>3.1692894949925842E-4</v>
      </c>
      <c r="CB43">
        <v>0</v>
      </c>
      <c r="CC43">
        <v>3.1692894949925836E-4</v>
      </c>
      <c r="CD43">
        <v>3.1692894949925836E-4</v>
      </c>
      <c r="CE43">
        <v>3.1692894949925842E-4</v>
      </c>
      <c r="CF43">
        <v>3.1692894949925842E-4</v>
      </c>
      <c r="CG43">
        <v>3.1692894949925842E-4</v>
      </c>
      <c r="CH43">
        <v>3.1692894949925842E-4</v>
      </c>
      <c r="CI43">
        <v>3.1692894949925842E-4</v>
      </c>
      <c r="CJ43">
        <v>9.2624225902055435E-3</v>
      </c>
      <c r="CK43">
        <v>0</v>
      </c>
      <c r="CL43">
        <v>0</v>
      </c>
      <c r="CM43">
        <v>1.0064993155266535E-3</v>
      </c>
      <c r="CN43">
        <v>1.7652266157903191E-3</v>
      </c>
      <c r="CO43">
        <v>1.5279325922419575E-7</v>
      </c>
      <c r="CP43">
        <v>0</v>
      </c>
      <c r="CQ43">
        <v>1.5279325922419575E-7</v>
      </c>
      <c r="CR43">
        <v>0</v>
      </c>
      <c r="CS43">
        <v>1.5279325922419577E-7</v>
      </c>
      <c r="CT43">
        <v>0</v>
      </c>
      <c r="CU43">
        <v>5.4686608617501587E-7</v>
      </c>
      <c r="CV43">
        <v>1.0048195545281583E-2</v>
      </c>
      <c r="CW43">
        <v>0</v>
      </c>
      <c r="CX43">
        <v>3.9531199915472746E-3</v>
      </c>
      <c r="CY43">
        <v>3.090265066426874E-3</v>
      </c>
      <c r="CZ43">
        <v>7.0203994060480501E-2</v>
      </c>
      <c r="DA43">
        <v>0</v>
      </c>
      <c r="DB43">
        <v>0.21366017868639867</v>
      </c>
      <c r="DC43">
        <v>1.0960842863137481E-6</v>
      </c>
      <c r="DD43">
        <v>0</v>
      </c>
      <c r="DE43">
        <v>6.509085108214634E-7</v>
      </c>
      <c r="DF43">
        <v>0</v>
      </c>
      <c r="DG43">
        <v>4.5988580663805833E-7</v>
      </c>
      <c r="DH43">
        <v>0</v>
      </c>
      <c r="DI43">
        <v>1.3690227323931789E-9</v>
      </c>
      <c r="DJ43">
        <v>0</v>
      </c>
      <c r="DK43">
        <v>1.7007509678667981E-7</v>
      </c>
      <c r="DL43">
        <v>0</v>
      </c>
      <c r="DM43">
        <v>1.5329809195564192E-6</v>
      </c>
      <c r="DN43">
        <v>0</v>
      </c>
      <c r="DO43">
        <v>1.849846267480579E-3</v>
      </c>
      <c r="DP43">
        <v>1.449195163701373E-4</v>
      </c>
      <c r="DQ43">
        <v>4.6736021722514815E-8</v>
      </c>
      <c r="DR43">
        <v>0</v>
      </c>
      <c r="DS43">
        <v>6.2331993578298574E-7</v>
      </c>
      <c r="DT43">
        <v>4.2134617141675647E-5</v>
      </c>
      <c r="DU43">
        <v>0</v>
      </c>
      <c r="DV43">
        <v>2.8882041732402683E-7</v>
      </c>
      <c r="DW43">
        <v>2.6635705977550098E-6</v>
      </c>
      <c r="DX43">
        <v>0</v>
      </c>
      <c r="DY43">
        <v>0</v>
      </c>
      <c r="DZ43">
        <v>0</v>
      </c>
      <c r="EA43">
        <v>2.6643930832848155E-6</v>
      </c>
      <c r="EB43">
        <v>1.8437793200644471E-6</v>
      </c>
      <c r="EC43">
        <v>4.25315735831286E-6</v>
      </c>
      <c r="ED43">
        <v>1.6146727219606197E-5</v>
      </c>
      <c r="EE43">
        <v>0</v>
      </c>
      <c r="EF43">
        <v>3.6531886711782086E-6</v>
      </c>
      <c r="EG43">
        <v>4.3713812077574646E-5</v>
      </c>
      <c r="EH43">
        <v>0</v>
      </c>
      <c r="EI43">
        <v>0</v>
      </c>
      <c r="EJ43">
        <v>0</v>
      </c>
      <c r="EK43">
        <v>0</v>
      </c>
      <c r="EL43">
        <v>5.4550062159142447E-6</v>
      </c>
      <c r="EM43">
        <v>3.3258343675173603E-6</v>
      </c>
      <c r="EN43">
        <v>3.4517521545099134E-6</v>
      </c>
      <c r="EO43">
        <v>4.0172061721864164E-7</v>
      </c>
      <c r="EP43">
        <v>4.0172061721864159E-7</v>
      </c>
      <c r="EQ43">
        <v>4.0172061721864159E-7</v>
      </c>
      <c r="ER43">
        <v>0</v>
      </c>
      <c r="ES43">
        <v>4.0172061721864159E-7</v>
      </c>
      <c r="ET43">
        <v>4.0172061721864159E-7</v>
      </c>
      <c r="EU43">
        <v>7.3488966100883593E-6</v>
      </c>
      <c r="EV43">
        <v>3.3430657596306127E-5</v>
      </c>
      <c r="EW43">
        <v>1.7391270689277923E-3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4.2684835031064985E-7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1.8495572837924661E-7</v>
      </c>
      <c r="FP43">
        <v>2.890499719896434E-7</v>
      </c>
      <c r="FQ43">
        <v>5.836623562166679E-7</v>
      </c>
      <c r="FR43">
        <v>2.9456035644619078E-6</v>
      </c>
      <c r="FS43">
        <v>1.9485526804761618E-6</v>
      </c>
      <c r="FT43">
        <v>2.9462776452585449E-8</v>
      </c>
      <c r="FU43">
        <v>0</v>
      </c>
      <c r="FV43">
        <v>3.4262754835135201E-7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9.447511522263166E-7</v>
      </c>
      <c r="GS43">
        <v>1.2256495781780776E-4</v>
      </c>
      <c r="GT43">
        <v>0</v>
      </c>
      <c r="GU43">
        <v>0</v>
      </c>
    </row>
    <row r="44" spans="1:203">
      <c r="A44" t="s">
        <v>182</v>
      </c>
      <c r="B44">
        <v>41</v>
      </c>
      <c r="C44" t="s">
        <v>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8.1774908411265274E-6</v>
      </c>
      <c r="M44">
        <v>4.1869248633641045E-6</v>
      </c>
      <c r="N44">
        <v>5.1563189013321258E-6</v>
      </c>
      <c r="O44">
        <v>7.7442030851704595E-5</v>
      </c>
      <c r="P44">
        <v>1.1243865987975935E-5</v>
      </c>
      <c r="Q44">
        <v>4.7375107217815058E-6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1.1432436837430161E-6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2.1788383983446276E-6</v>
      </c>
      <c r="BS44">
        <v>0</v>
      </c>
      <c r="BT44">
        <v>0</v>
      </c>
      <c r="BU44">
        <v>2.1788383983446272E-6</v>
      </c>
      <c r="BV44">
        <v>2.1788383983446276E-6</v>
      </c>
      <c r="BW44">
        <v>2.1788383983446276E-6</v>
      </c>
      <c r="BX44">
        <v>2.1788383983446276E-6</v>
      </c>
      <c r="BY44">
        <v>2.1788383983446276E-6</v>
      </c>
      <c r="BZ44">
        <v>2.1788383983446276E-6</v>
      </c>
      <c r="CA44">
        <v>2.1788383983446276E-6</v>
      </c>
      <c r="CB44">
        <v>0</v>
      </c>
      <c r="CC44">
        <v>2.1788383983446272E-6</v>
      </c>
      <c r="CD44">
        <v>2.1788383983446276E-6</v>
      </c>
      <c r="CE44">
        <v>2.1788383983446276E-6</v>
      </c>
      <c r="CF44">
        <v>2.1788383983446276E-6</v>
      </c>
      <c r="CG44">
        <v>2.1788383983446276E-6</v>
      </c>
      <c r="CH44">
        <v>2.1788383983446276E-6</v>
      </c>
      <c r="CI44">
        <v>2.1788383983446276E-6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0.13675072200495084</v>
      </c>
      <c r="CY44">
        <v>0.23867218174568075</v>
      </c>
      <c r="CZ44">
        <v>0.30210303289302792</v>
      </c>
      <c r="DA44">
        <v>0</v>
      </c>
      <c r="DB44">
        <v>5.9920117581155766E-3</v>
      </c>
      <c r="DC44">
        <v>7.7865477060589977E-4</v>
      </c>
      <c r="DD44">
        <v>0</v>
      </c>
      <c r="DE44">
        <v>1.3626001072263588E-5</v>
      </c>
      <c r="DF44">
        <v>0</v>
      </c>
      <c r="DG44">
        <v>3.0836942900368827E-5</v>
      </c>
      <c r="DH44">
        <v>0</v>
      </c>
      <c r="DI44">
        <v>2.6280797599606381E-7</v>
      </c>
      <c r="DJ44">
        <v>0</v>
      </c>
      <c r="DK44">
        <v>1.5661430310062418E-5</v>
      </c>
      <c r="DL44">
        <v>0</v>
      </c>
      <c r="DM44">
        <v>2.5830853395310353E-5</v>
      </c>
      <c r="DN44">
        <v>0</v>
      </c>
      <c r="DO44">
        <v>3.3368701167611997E-4</v>
      </c>
      <c r="DP44">
        <v>1.1563652968269473E-4</v>
      </c>
      <c r="DQ44">
        <v>8.1132469259843128E-7</v>
      </c>
      <c r="DR44">
        <v>0</v>
      </c>
      <c r="DS44">
        <v>0</v>
      </c>
      <c r="DT44">
        <v>1.079022409364666E-4</v>
      </c>
      <c r="DU44">
        <v>9.2165976800316797E-7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2.9518048048588159E-6</v>
      </c>
      <c r="EB44">
        <v>2.4321526474289058E-6</v>
      </c>
      <c r="EC44">
        <v>5.0616333351556417E-6</v>
      </c>
      <c r="ED44">
        <v>4.5684327783360823E-5</v>
      </c>
      <c r="EE44">
        <v>0</v>
      </c>
      <c r="EF44">
        <v>1.0309816381043565E-5</v>
      </c>
      <c r="EG44">
        <v>1.2514866077323829E-4</v>
      </c>
      <c r="EH44">
        <v>0</v>
      </c>
      <c r="EI44">
        <v>0</v>
      </c>
      <c r="EJ44">
        <v>0</v>
      </c>
      <c r="EK44">
        <v>0</v>
      </c>
      <c r="EL44">
        <v>1.3511214853928812E-5</v>
      </c>
      <c r="EM44">
        <v>3.8235986936930393E-6</v>
      </c>
      <c r="EN44">
        <v>3.7378813281768857E-6</v>
      </c>
      <c r="EO44">
        <v>9.6032820145798569E-7</v>
      </c>
      <c r="EP44">
        <v>9.6032820145798548E-7</v>
      </c>
      <c r="EQ44">
        <v>9.6032820145798569E-7</v>
      </c>
      <c r="ER44">
        <v>0</v>
      </c>
      <c r="ES44">
        <v>9.6032820145798569E-7</v>
      </c>
      <c r="ET44">
        <v>9.6032820145798569E-7</v>
      </c>
      <c r="EU44">
        <v>1.8395295961352755E-5</v>
      </c>
      <c r="EV44">
        <v>8.1174320556797448E-5</v>
      </c>
      <c r="EW44">
        <v>1.6082517774579585E-3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1.1926647165054226E-6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5.5527565342744309E-7</v>
      </c>
      <c r="FP44">
        <v>1.1006450053387869E-6</v>
      </c>
      <c r="FQ44">
        <v>2.3906955315309599E-6</v>
      </c>
      <c r="FR44">
        <v>0</v>
      </c>
      <c r="FS44">
        <v>3.6529668506121234E-6</v>
      </c>
      <c r="FT44">
        <v>6.6693335917993881E-5</v>
      </c>
      <c r="FU44">
        <v>0</v>
      </c>
      <c r="FV44">
        <v>7.9797440518364927E-7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2.5898120341447456E-6</v>
      </c>
      <c r="GS44">
        <v>0</v>
      </c>
      <c r="GT44">
        <v>0</v>
      </c>
      <c r="GU44">
        <v>0</v>
      </c>
    </row>
    <row r="45" spans="1:203">
      <c r="A45" t="s">
        <v>183</v>
      </c>
      <c r="B45">
        <v>42</v>
      </c>
      <c r="C45" t="s">
        <v>5</v>
      </c>
      <c r="D45">
        <v>0</v>
      </c>
      <c r="E45">
        <v>0</v>
      </c>
      <c r="F45">
        <v>0</v>
      </c>
      <c r="G45">
        <v>1.4613536295483907E-5</v>
      </c>
      <c r="H45">
        <v>2.6920833196004208E-6</v>
      </c>
      <c r="I45">
        <v>0</v>
      </c>
      <c r="J45">
        <v>0</v>
      </c>
      <c r="K45">
        <v>8.5382729545516734E-5</v>
      </c>
      <c r="L45">
        <v>1.8478226646181719E-7</v>
      </c>
      <c r="M45">
        <v>8.2250323252612301E-7</v>
      </c>
      <c r="N45">
        <v>5.6853788243823946E-8</v>
      </c>
      <c r="O45">
        <v>2.0305313748369399E-4</v>
      </c>
      <c r="P45">
        <v>3.9993183031472087E-5</v>
      </c>
      <c r="Q45">
        <v>1.7954109845455166E-6</v>
      </c>
      <c r="R45">
        <v>0</v>
      </c>
      <c r="S45">
        <v>0</v>
      </c>
      <c r="T45">
        <v>0</v>
      </c>
      <c r="U45">
        <v>0</v>
      </c>
      <c r="V45">
        <v>8.41717924966743E-5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3.8192508006260067E-5</v>
      </c>
      <c r="BB45">
        <v>2.5929140472221124E-4</v>
      </c>
      <c r="BC45">
        <v>0</v>
      </c>
      <c r="BD45">
        <v>8.5913651425733781E-4</v>
      </c>
      <c r="BE45">
        <v>0</v>
      </c>
      <c r="BF45">
        <v>3.2685707486573926E-5</v>
      </c>
      <c r="BG45">
        <v>0</v>
      </c>
      <c r="BH45">
        <v>6.378341897538784E-5</v>
      </c>
      <c r="BI45">
        <v>0</v>
      </c>
      <c r="BJ45">
        <v>0</v>
      </c>
      <c r="BK45">
        <v>2.3862872317260111E-7</v>
      </c>
      <c r="BL45">
        <v>0</v>
      </c>
      <c r="BM45">
        <v>2.3336433624576873E-7</v>
      </c>
      <c r="BN45">
        <v>0</v>
      </c>
      <c r="BO45">
        <v>0</v>
      </c>
      <c r="BP45">
        <v>0</v>
      </c>
      <c r="BQ45">
        <v>0</v>
      </c>
      <c r="BR45">
        <v>7.2249023392326147E-7</v>
      </c>
      <c r="BS45">
        <v>0</v>
      </c>
      <c r="BT45">
        <v>0</v>
      </c>
      <c r="BU45">
        <v>7.2249023392326147E-7</v>
      </c>
      <c r="BV45">
        <v>7.2249023392326136E-7</v>
      </c>
      <c r="BW45">
        <v>7.2249023392326147E-7</v>
      </c>
      <c r="BX45">
        <v>7.2249023392326158E-7</v>
      </c>
      <c r="BY45">
        <v>7.2249023392326158E-7</v>
      </c>
      <c r="BZ45">
        <v>7.2249023392326147E-7</v>
      </c>
      <c r="CA45">
        <v>7.2249023392326158E-7</v>
      </c>
      <c r="CB45">
        <v>0</v>
      </c>
      <c r="CC45">
        <v>7.2249023392326147E-7</v>
      </c>
      <c r="CD45">
        <v>7.2249023392326147E-7</v>
      </c>
      <c r="CE45">
        <v>7.2249023392326158E-7</v>
      </c>
      <c r="CF45">
        <v>7.2249023392326147E-7</v>
      </c>
      <c r="CG45">
        <v>7.2249023392326147E-7</v>
      </c>
      <c r="CH45">
        <v>7.2249023392326147E-7</v>
      </c>
      <c r="CI45">
        <v>7.2249023392326147E-7</v>
      </c>
      <c r="CJ45">
        <v>0</v>
      </c>
      <c r="CK45">
        <v>5.1906178082302031E-4</v>
      </c>
      <c r="CL45">
        <v>0</v>
      </c>
      <c r="CM45">
        <v>1.0644767419868972E-2</v>
      </c>
      <c r="CN45">
        <v>1.3648588370445672E-2</v>
      </c>
      <c r="CO45">
        <v>5.2079150958057614E-3</v>
      </c>
      <c r="CP45">
        <v>0</v>
      </c>
      <c r="CQ45">
        <v>5.2079150958057614E-3</v>
      </c>
      <c r="CR45">
        <v>0</v>
      </c>
      <c r="CS45">
        <v>5.2079150958057622E-3</v>
      </c>
      <c r="CT45">
        <v>0</v>
      </c>
      <c r="CU45">
        <v>2.4572163331005562E-7</v>
      </c>
      <c r="CV45">
        <v>2.0922599848553197E-3</v>
      </c>
      <c r="CW45">
        <v>0</v>
      </c>
      <c r="CX45">
        <v>4.5825863883775589E-3</v>
      </c>
      <c r="CY45">
        <v>2.1031029563756156E-5</v>
      </c>
      <c r="CZ45">
        <v>2.4052744560689571E-5</v>
      </c>
      <c r="DA45">
        <v>0</v>
      </c>
      <c r="DB45">
        <v>1.8719006525190904E-2</v>
      </c>
      <c r="DC45">
        <v>8.392022246148075E-7</v>
      </c>
      <c r="DD45">
        <v>0</v>
      </c>
      <c r="DE45">
        <v>1.7224044872378965E-7</v>
      </c>
      <c r="DF45">
        <v>0</v>
      </c>
      <c r="DG45">
        <v>8.3215067943647695E-8</v>
      </c>
      <c r="DH45">
        <v>0</v>
      </c>
      <c r="DI45">
        <v>9.300168519607576E-10</v>
      </c>
      <c r="DJ45">
        <v>0</v>
      </c>
      <c r="DK45">
        <v>2.0621513007034183E-8</v>
      </c>
      <c r="DL45">
        <v>0</v>
      </c>
      <c r="DM45">
        <v>3.0596809111380448E-7</v>
      </c>
      <c r="DN45">
        <v>0</v>
      </c>
      <c r="DO45">
        <v>1.1440823326009956E-3</v>
      </c>
      <c r="DP45">
        <v>1.6350468005390294E-7</v>
      </c>
      <c r="DQ45">
        <v>1.3765269792603332E-5</v>
      </c>
      <c r="DR45">
        <v>0</v>
      </c>
      <c r="DS45">
        <v>3.2972722061326165E-7</v>
      </c>
      <c r="DT45">
        <v>2.4323393651087121E-5</v>
      </c>
      <c r="DU45">
        <v>0</v>
      </c>
      <c r="DV45">
        <v>8.3646677930511931E-6</v>
      </c>
      <c r="DW45">
        <v>3.5906003060369345E-7</v>
      </c>
      <c r="DX45">
        <v>5.870828283242381E-6</v>
      </c>
      <c r="DY45">
        <v>1.1407037609564235E-13</v>
      </c>
      <c r="DZ45">
        <v>0</v>
      </c>
      <c r="EA45">
        <v>8.6116743924432343E-7</v>
      </c>
      <c r="EB45">
        <v>5.2034632736408837E-7</v>
      </c>
      <c r="EC45">
        <v>6.0932264722651019E-7</v>
      </c>
      <c r="ED45">
        <v>1.2034513064675969E-6</v>
      </c>
      <c r="EE45">
        <v>0</v>
      </c>
      <c r="EF45">
        <v>2.1762122354720322E-7</v>
      </c>
      <c r="EG45">
        <v>3.1255773559675224E-6</v>
      </c>
      <c r="EH45">
        <v>0</v>
      </c>
      <c r="EI45">
        <v>0</v>
      </c>
      <c r="EJ45">
        <v>0</v>
      </c>
      <c r="EK45">
        <v>0</v>
      </c>
      <c r="EL45">
        <v>7.6241890087727568E-7</v>
      </c>
      <c r="EM45">
        <v>7.8110164061234261E-7</v>
      </c>
      <c r="EN45">
        <v>1.3118439012925739E-6</v>
      </c>
      <c r="EO45">
        <v>1.0419748456961695E-7</v>
      </c>
      <c r="EP45">
        <v>1.0419748456961695E-7</v>
      </c>
      <c r="EQ45">
        <v>1.0419748456961696E-7</v>
      </c>
      <c r="ER45">
        <v>0</v>
      </c>
      <c r="ES45">
        <v>1.0419748456961696E-7</v>
      </c>
      <c r="ET45">
        <v>1.0419748456961696E-7</v>
      </c>
      <c r="EU45">
        <v>2.1062460432038915E-6</v>
      </c>
      <c r="EV45">
        <v>2.3209506181177405E-5</v>
      </c>
      <c r="EW45">
        <v>6.924531437136822E-6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1.6196122105432685E-4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1.1213088000275525E-8</v>
      </c>
      <c r="FP45">
        <v>2.9225399766379516E-8</v>
      </c>
      <c r="FQ45">
        <v>3.0273887020210411E-9</v>
      </c>
      <c r="FR45">
        <v>1.5042638991305815E-6</v>
      </c>
      <c r="FS45">
        <v>3.7587059217906366E-8</v>
      </c>
      <c r="FT45">
        <v>5.3855652890023361E-8</v>
      </c>
      <c r="FU45">
        <v>0</v>
      </c>
      <c r="FV45">
        <v>7.8034357786639432E-5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2.6246816381948775E-7</v>
      </c>
      <c r="GS45">
        <v>7.3342930252669807E-5</v>
      </c>
      <c r="GT45">
        <v>0</v>
      </c>
      <c r="GU45">
        <v>0</v>
      </c>
    </row>
    <row r="46" spans="1:203">
      <c r="A46" t="s">
        <v>184</v>
      </c>
      <c r="B46">
        <v>43</v>
      </c>
      <c r="C46" t="s">
        <v>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6.4877192490225138E-4</v>
      </c>
      <c r="BA46">
        <v>0</v>
      </c>
      <c r="BB46">
        <v>5.2906004374652189E-3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1.1224993013081308E-6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9.6350558617845519E-4</v>
      </c>
      <c r="GT46">
        <v>0</v>
      </c>
      <c r="GU46">
        <v>0</v>
      </c>
    </row>
    <row r="47" spans="1:203">
      <c r="A47" t="s">
        <v>185</v>
      </c>
      <c r="B47">
        <v>44</v>
      </c>
      <c r="C47" t="s">
        <v>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6.1956016177380925E-2</v>
      </c>
      <c r="AV47">
        <v>0</v>
      </c>
      <c r="AW47">
        <v>0</v>
      </c>
      <c r="AX47">
        <v>0</v>
      </c>
      <c r="AY47">
        <v>0</v>
      </c>
      <c r="AZ47">
        <v>5.9337279873348537E-6</v>
      </c>
      <c r="BA47">
        <v>0</v>
      </c>
      <c r="BB47">
        <v>3.0674814432664356E-3</v>
      </c>
      <c r="BC47">
        <v>0</v>
      </c>
      <c r="BD47">
        <v>2.5069633367812433E-6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1.7126959815793482E-2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1.6541103104117398E-6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4.3578543129857845E-4</v>
      </c>
      <c r="GT47">
        <v>0</v>
      </c>
      <c r="GU47">
        <v>0</v>
      </c>
    </row>
    <row r="48" spans="1:203">
      <c r="A48" t="s">
        <v>186</v>
      </c>
      <c r="B48">
        <v>45</v>
      </c>
      <c r="C48" t="s">
        <v>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4.6764857055763873E-2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2.5495407407741724E-3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1.7688810343472319E-2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9.5161795015477179E-7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2.5035533994082577E-4</v>
      </c>
      <c r="GT48">
        <v>0</v>
      </c>
      <c r="GU48">
        <v>0</v>
      </c>
    </row>
    <row r="49" spans="1:203">
      <c r="A49" t="s">
        <v>187</v>
      </c>
      <c r="B49">
        <v>46</v>
      </c>
      <c r="C49" t="s">
        <v>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8.6969148034159989E-8</v>
      </c>
      <c r="AX49">
        <v>0</v>
      </c>
      <c r="AY49">
        <v>0</v>
      </c>
      <c r="AZ49">
        <v>1.0293822012823062E-7</v>
      </c>
      <c r="BA49">
        <v>0</v>
      </c>
      <c r="BB49">
        <v>2.6940499981840528E-10</v>
      </c>
      <c r="BC49">
        <v>0</v>
      </c>
      <c r="BD49">
        <v>2.3406166870021569E-9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1.4361583632271254E-10</v>
      </c>
      <c r="CP49">
        <v>0</v>
      </c>
      <c r="CQ49">
        <v>1.4361583632271254E-10</v>
      </c>
      <c r="CR49">
        <v>0</v>
      </c>
      <c r="CS49">
        <v>1.4361583632271254E-10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1.2400345346193887E-10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2.5267286346230941E-10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2.6869218665822208E-10</v>
      </c>
      <c r="GT49">
        <v>0</v>
      </c>
      <c r="GU49">
        <v>0</v>
      </c>
    </row>
    <row r="50" spans="1:203">
      <c r="A50" t="s">
        <v>188</v>
      </c>
      <c r="B50">
        <v>47</v>
      </c>
      <c r="C50" t="s">
        <v>7</v>
      </c>
      <c r="D50">
        <v>5.2942266117990097E-9</v>
      </c>
      <c r="E50">
        <v>0</v>
      </c>
      <c r="F50">
        <v>0</v>
      </c>
      <c r="G50">
        <v>6.1365521494753842E-8</v>
      </c>
      <c r="H50">
        <v>0</v>
      </c>
      <c r="I50">
        <v>0</v>
      </c>
      <c r="J50">
        <v>0</v>
      </c>
      <c r="K50">
        <v>0</v>
      </c>
      <c r="L50">
        <v>4.9171836398937909E-5</v>
      </c>
      <c r="M50">
        <v>3.9050305825369363E-5</v>
      </c>
      <c r="N50">
        <v>0</v>
      </c>
      <c r="O50">
        <v>0</v>
      </c>
      <c r="P50">
        <v>0</v>
      </c>
      <c r="Q50">
        <v>1.1837749466184213E-5</v>
      </c>
      <c r="R50">
        <v>0</v>
      </c>
      <c r="S50">
        <v>0</v>
      </c>
      <c r="T50">
        <v>0</v>
      </c>
      <c r="U50">
        <v>0</v>
      </c>
      <c r="V50">
        <v>6.1419491817933895E-6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2.3582950487420215E-3</v>
      </c>
      <c r="BE50">
        <v>0</v>
      </c>
      <c r="BF50">
        <v>0</v>
      </c>
      <c r="BG50">
        <v>0</v>
      </c>
      <c r="BH50">
        <v>5.0947916813494279E-6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5.0483394993937414E-6</v>
      </c>
      <c r="BS50">
        <v>0</v>
      </c>
      <c r="BT50">
        <v>0</v>
      </c>
      <c r="BU50">
        <v>5.0483394993937406E-6</v>
      </c>
      <c r="BV50">
        <v>5.0483394993937414E-6</v>
      </c>
      <c r="BW50">
        <v>5.0483394993937414E-6</v>
      </c>
      <c r="BX50">
        <v>5.0483394993937406E-6</v>
      </c>
      <c r="BY50">
        <v>5.0483394993937414E-6</v>
      </c>
      <c r="BZ50">
        <v>5.0483394993937414E-6</v>
      </c>
      <c r="CA50">
        <v>5.0483394993937414E-6</v>
      </c>
      <c r="CB50">
        <v>0</v>
      </c>
      <c r="CC50">
        <v>5.0483394993937414E-6</v>
      </c>
      <c r="CD50">
        <v>5.0483394993937406E-6</v>
      </c>
      <c r="CE50">
        <v>5.0483394993937414E-6</v>
      </c>
      <c r="CF50">
        <v>5.0483394993937414E-6</v>
      </c>
      <c r="CG50">
        <v>5.0483394993937406E-6</v>
      </c>
      <c r="CH50">
        <v>5.0483394993937414E-6</v>
      </c>
      <c r="CI50">
        <v>5.0483394993937414E-6</v>
      </c>
      <c r="CJ50">
        <v>0</v>
      </c>
      <c r="CK50">
        <v>0</v>
      </c>
      <c r="CL50">
        <v>0</v>
      </c>
      <c r="CM50">
        <v>0</v>
      </c>
      <c r="CN50">
        <v>1.3688355474689562E-6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2.0129950841657933E-3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1.4455788311038576E-5</v>
      </c>
      <c r="FU50">
        <v>0</v>
      </c>
      <c r="FV50">
        <v>2.2482180025397261E-5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4.2709746010538795E-7</v>
      </c>
      <c r="GS50">
        <v>1.0008853343171325E-6</v>
      </c>
      <c r="GT50">
        <v>0</v>
      </c>
      <c r="GU50">
        <v>0</v>
      </c>
    </row>
    <row r="51" spans="1:203">
      <c r="A51" t="s">
        <v>189</v>
      </c>
      <c r="B51">
        <v>48</v>
      </c>
      <c r="C51" t="s">
        <v>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1.9900010381190215E-4</v>
      </c>
      <c r="M51">
        <v>6.6159669969939518E-4</v>
      </c>
      <c r="N51">
        <v>1.190383998372431E-7</v>
      </c>
      <c r="O51">
        <v>2.7529068244778858E-4</v>
      </c>
      <c r="P51">
        <v>1.5325028319134923E-5</v>
      </c>
      <c r="Q51">
        <v>5.2215548252203942E-4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6.1002114053998809E-8</v>
      </c>
      <c r="AU51">
        <v>3.6350570877719951E-3</v>
      </c>
      <c r="AV51">
        <v>1.4230503682812813E-3</v>
      </c>
      <c r="AW51">
        <v>3.3222139437043476E-2</v>
      </c>
      <c r="AX51">
        <v>3.2247372133899215E-5</v>
      </c>
      <c r="AY51">
        <v>5.4039093578330276E-2</v>
      </c>
      <c r="AZ51">
        <v>1.3328942932159927E-4</v>
      </c>
      <c r="BA51">
        <v>1.5778928253082775E-6</v>
      </c>
      <c r="BB51">
        <v>8.102914571805361E-3</v>
      </c>
      <c r="BC51">
        <v>2.6583848533477634E-4</v>
      </c>
      <c r="BD51">
        <v>1.2730580205833235E-3</v>
      </c>
      <c r="BE51">
        <v>0</v>
      </c>
      <c r="BF51">
        <v>1.9366187880582984E-4</v>
      </c>
      <c r="BG51">
        <v>0</v>
      </c>
      <c r="BH51">
        <v>8.9056732073328565E-2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5.9862601594994774E-4</v>
      </c>
      <c r="CP51">
        <v>0</v>
      </c>
      <c r="CQ51">
        <v>5.9862601594994774E-4</v>
      </c>
      <c r="CR51">
        <v>0</v>
      </c>
      <c r="CS51">
        <v>5.9862601594994774E-4</v>
      </c>
      <c r="CT51">
        <v>0</v>
      </c>
      <c r="CU51">
        <v>0</v>
      </c>
      <c r="CV51">
        <v>0</v>
      </c>
      <c r="CW51">
        <v>0</v>
      </c>
      <c r="CX51">
        <v>1.3272283085541123E-3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4.9106058812486084E-5</v>
      </c>
      <c r="DY51">
        <v>1.0736797392066124E-8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1.1452400167307187E-2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3.0749542242886562E-4</v>
      </c>
      <c r="FS51">
        <v>0</v>
      </c>
      <c r="FT51">
        <v>0</v>
      </c>
      <c r="FU51">
        <v>0</v>
      </c>
      <c r="FV51">
        <v>4.7311241575997397E-6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1.2427653024174106E-3</v>
      </c>
      <c r="GS51">
        <v>7.6262083551305732E-3</v>
      </c>
      <c r="GT51">
        <v>0</v>
      </c>
      <c r="GU51">
        <v>0</v>
      </c>
    </row>
    <row r="52" spans="1:203">
      <c r="A52" t="s">
        <v>190</v>
      </c>
      <c r="B52">
        <v>49</v>
      </c>
      <c r="C52" t="s">
        <v>7</v>
      </c>
      <c r="D52">
        <v>2.6576695138212722E-9</v>
      </c>
      <c r="E52">
        <v>0</v>
      </c>
      <c r="F52">
        <v>0</v>
      </c>
      <c r="G52">
        <v>6.5079968506097728E-9</v>
      </c>
      <c r="H52">
        <v>0</v>
      </c>
      <c r="I52">
        <v>0</v>
      </c>
      <c r="J52">
        <v>0</v>
      </c>
      <c r="K52">
        <v>2.8480922253948783E-7</v>
      </c>
      <c r="L52">
        <v>8.0400961947668505E-9</v>
      </c>
      <c r="M52">
        <v>1.5717777503386702E-8</v>
      </c>
      <c r="N52">
        <v>0</v>
      </c>
      <c r="O52">
        <v>0</v>
      </c>
      <c r="P52">
        <v>0</v>
      </c>
      <c r="Q52">
        <v>6.1151952186390253E-7</v>
      </c>
      <c r="R52">
        <v>0</v>
      </c>
      <c r="S52">
        <v>0</v>
      </c>
      <c r="T52">
        <v>0</v>
      </c>
      <c r="U52">
        <v>0</v>
      </c>
      <c r="V52">
        <v>4.7264530456500877E-7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5.8048099827654425E-9</v>
      </c>
      <c r="AV52">
        <v>6.9409017837001455E-9</v>
      </c>
      <c r="AW52">
        <v>0</v>
      </c>
      <c r="AX52">
        <v>2.0491934142645769E-7</v>
      </c>
      <c r="AY52">
        <v>1.1683485118836562E-3</v>
      </c>
      <c r="AZ52">
        <v>5.9875257272903826E-5</v>
      </c>
      <c r="BA52">
        <v>5.5363112276538238E-8</v>
      </c>
      <c r="BB52">
        <v>1.1334239148940948E-9</v>
      </c>
      <c r="BC52">
        <v>5.8921395950303061E-9</v>
      </c>
      <c r="BD52">
        <v>2.2008788775824552E-8</v>
      </c>
      <c r="BE52">
        <v>0</v>
      </c>
      <c r="BF52">
        <v>7.326453338592361E-10</v>
      </c>
      <c r="BG52">
        <v>3.3097755293301881E-8</v>
      </c>
      <c r="BH52">
        <v>2.9738983456402108E-8</v>
      </c>
      <c r="BI52">
        <v>0</v>
      </c>
      <c r="BJ52">
        <v>0</v>
      </c>
      <c r="BK52">
        <v>6.5453178868441541E-8</v>
      </c>
      <c r="BL52">
        <v>0</v>
      </c>
      <c r="BM52">
        <v>2.9616970098500602E-9</v>
      </c>
      <c r="BN52">
        <v>0</v>
      </c>
      <c r="BO52">
        <v>0</v>
      </c>
      <c r="BP52">
        <v>0</v>
      </c>
      <c r="BQ52">
        <v>0</v>
      </c>
      <c r="BR52">
        <v>1.760058948420578E-6</v>
      </c>
      <c r="BS52">
        <v>0</v>
      </c>
      <c r="BT52">
        <v>0</v>
      </c>
      <c r="BU52">
        <v>1.7600589484205777E-6</v>
      </c>
      <c r="BV52">
        <v>1.760058948420578E-6</v>
      </c>
      <c r="BW52">
        <v>1.760058948420578E-6</v>
      </c>
      <c r="BX52">
        <v>1.7600589484205782E-6</v>
      </c>
      <c r="BY52">
        <v>1.7600589484205782E-6</v>
      </c>
      <c r="BZ52">
        <v>1.760058948420578E-6</v>
      </c>
      <c r="CA52">
        <v>1.7600589484205782E-6</v>
      </c>
      <c r="CB52">
        <v>0</v>
      </c>
      <c r="CC52">
        <v>1.7600589484205777E-6</v>
      </c>
      <c r="CD52">
        <v>1.7600589484205777E-6</v>
      </c>
      <c r="CE52">
        <v>1.760058948420578E-6</v>
      </c>
      <c r="CF52">
        <v>1.760058948420578E-6</v>
      </c>
      <c r="CG52">
        <v>1.760058948420578E-6</v>
      </c>
      <c r="CH52">
        <v>1.7600589484205782E-6</v>
      </c>
      <c r="CI52">
        <v>1.760058948420578E-6</v>
      </c>
      <c r="CJ52">
        <v>0</v>
      </c>
      <c r="CK52">
        <v>0</v>
      </c>
      <c r="CL52">
        <v>0</v>
      </c>
      <c r="CM52">
        <v>0</v>
      </c>
      <c r="CN52">
        <v>2.8718559490863133E-8</v>
      </c>
      <c r="CO52">
        <v>2.8680566671491456E-4</v>
      </c>
      <c r="CP52">
        <v>0</v>
      </c>
      <c r="CQ52">
        <v>2.8680566671491456E-4</v>
      </c>
      <c r="CR52">
        <v>0</v>
      </c>
      <c r="CS52">
        <v>2.8680566671491462E-4</v>
      </c>
      <c r="CT52">
        <v>0</v>
      </c>
      <c r="CU52">
        <v>6.8127563418673861E-10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3.7930080528323249E-9</v>
      </c>
      <c r="DY52">
        <v>7.3698264409366342E-17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5.9324144211071037E-10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5.6180088451464819E-9</v>
      </c>
      <c r="FS52">
        <v>0</v>
      </c>
      <c r="FT52">
        <v>3.5758644911236273E-7</v>
      </c>
      <c r="FU52">
        <v>0</v>
      </c>
      <c r="FV52">
        <v>1.4678289294892045E-6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1.5393028482619055E-9</v>
      </c>
      <c r="GS52">
        <v>2.9585160171991419E-9</v>
      </c>
      <c r="GT52">
        <v>0</v>
      </c>
      <c r="GU52">
        <v>0</v>
      </c>
    </row>
    <row r="53" spans="1:203">
      <c r="A53" t="s">
        <v>191</v>
      </c>
      <c r="B53">
        <v>50</v>
      </c>
      <c r="C53" t="s">
        <v>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7.8353082009701078E-7</v>
      </c>
      <c r="M53">
        <v>2.0257637751065194E-7</v>
      </c>
      <c r="N53">
        <v>0</v>
      </c>
      <c r="O53">
        <v>0</v>
      </c>
      <c r="P53">
        <v>0</v>
      </c>
      <c r="Q53">
        <v>7.2315767029672295E-5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8.8523775134339952E-8</v>
      </c>
      <c r="AU53">
        <v>1.9530200843511772E-5</v>
      </c>
      <c r="AV53">
        <v>9.3469632799953492E-6</v>
      </c>
      <c r="AW53">
        <v>1.6392785180384205E-4</v>
      </c>
      <c r="AX53">
        <v>1.2649709119036525E-5</v>
      </c>
      <c r="AY53">
        <v>1.0592990464054127E-2</v>
      </c>
      <c r="AZ53">
        <v>4.1424896068790608E-5</v>
      </c>
      <c r="BA53">
        <v>3.0924758924069817E-2</v>
      </c>
      <c r="BB53">
        <v>2.1057802480996869E-3</v>
      </c>
      <c r="BC53">
        <v>5.1581665070645497E-3</v>
      </c>
      <c r="BD53">
        <v>5.611417501398281E-4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1.0812838314017516E-5</v>
      </c>
      <c r="CP53">
        <v>0</v>
      </c>
      <c r="CQ53">
        <v>1.0812838314017516E-5</v>
      </c>
      <c r="CR53">
        <v>0</v>
      </c>
      <c r="CS53">
        <v>1.0812838314017516E-5</v>
      </c>
      <c r="CT53">
        <v>0</v>
      </c>
      <c r="CU53">
        <v>5.658562280784244E-6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8.1315083421419708E-4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3.2832851027006208E-7</v>
      </c>
      <c r="FU53">
        <v>0</v>
      </c>
      <c r="FV53">
        <v>1.2877622948582586E-5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2.0946052709878274E-4</v>
      </c>
      <c r="GT53">
        <v>0</v>
      </c>
      <c r="GU53">
        <v>0</v>
      </c>
    </row>
    <row r="54" spans="1:203">
      <c r="A54" t="s">
        <v>192</v>
      </c>
      <c r="B54">
        <v>51</v>
      </c>
      <c r="C54" t="s">
        <v>7</v>
      </c>
      <c r="D54">
        <v>4.5344637520469612E-4</v>
      </c>
      <c r="E54">
        <v>1.4394490687747951E-4</v>
      </c>
      <c r="F54">
        <v>5.0772726481809879E-4</v>
      </c>
      <c r="G54">
        <v>3.1724718387507954E-4</v>
      </c>
      <c r="H54">
        <v>4.8327031882605822E-4</v>
      </c>
      <c r="I54">
        <v>0</v>
      </c>
      <c r="J54">
        <v>0</v>
      </c>
      <c r="K54">
        <v>6.8954015398284757E-5</v>
      </c>
      <c r="L54">
        <v>0.36273625370636303</v>
      </c>
      <c r="M54">
        <v>0.61471670014635116</v>
      </c>
      <c r="N54">
        <v>0.63134000529567191</v>
      </c>
      <c r="O54">
        <v>0.29671315154859879</v>
      </c>
      <c r="P54">
        <v>0.64299803226291796</v>
      </c>
      <c r="Q54">
        <v>0.33854268279095023</v>
      </c>
      <c r="R54">
        <v>2.4637738021428342E-3</v>
      </c>
      <c r="S54">
        <v>0</v>
      </c>
      <c r="T54">
        <v>0</v>
      </c>
      <c r="U54">
        <v>0</v>
      </c>
      <c r="V54">
        <v>4.3204060432558269E-2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2.1556774198910406E-7</v>
      </c>
      <c r="AU54">
        <v>5.2857611403050635E-3</v>
      </c>
      <c r="AV54">
        <v>3.453038803107638E-3</v>
      </c>
      <c r="AW54">
        <v>5.6361547254828559E-2</v>
      </c>
      <c r="AX54">
        <v>8.6547712284003875E-2</v>
      </c>
      <c r="AY54">
        <v>3.2500085407237478E-2</v>
      </c>
      <c r="AZ54">
        <v>3.0148108952876484E-3</v>
      </c>
      <c r="BA54">
        <v>0.37868576459443737</v>
      </c>
      <c r="BB54">
        <v>0.1833974788989666</v>
      </c>
      <c r="BC54">
        <v>0.12946530690509794</v>
      </c>
      <c r="BD54">
        <v>7.7739706747802974E-3</v>
      </c>
      <c r="BE54">
        <v>0</v>
      </c>
      <c r="BF54">
        <v>1.3102709603395481E-5</v>
      </c>
      <c r="BG54">
        <v>8.7995583147810946E-7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4.5505325645836927E-3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8.0600086483030347E-7</v>
      </c>
      <c r="CL54">
        <v>0</v>
      </c>
      <c r="CM54">
        <v>1.1108608109954907E-2</v>
      </c>
      <c r="CN54">
        <v>1.4573074992875225E-2</v>
      </c>
      <c r="CO54">
        <v>7.2083937044654565E-4</v>
      </c>
      <c r="CP54">
        <v>0</v>
      </c>
      <c r="CQ54">
        <v>7.2083937044654565E-4</v>
      </c>
      <c r="CR54">
        <v>0</v>
      </c>
      <c r="CS54">
        <v>7.2083937044654575E-4</v>
      </c>
      <c r="CT54">
        <v>0</v>
      </c>
      <c r="CU54">
        <v>1.5149731374752116E-4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3.3801441843519158E-7</v>
      </c>
      <c r="DY54">
        <v>6.5676306606871772E-15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8.6885052977790603E-2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1.0851743053047476E-3</v>
      </c>
      <c r="FS54">
        <v>0</v>
      </c>
      <c r="FT54">
        <v>1.1805177729047559E-4</v>
      </c>
      <c r="FU54">
        <v>0</v>
      </c>
      <c r="FV54">
        <v>1.3034118476267864E-3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1.8924651071780426E-3</v>
      </c>
      <c r="GS54">
        <v>2.7239032801272826E-2</v>
      </c>
      <c r="GT54">
        <v>0</v>
      </c>
      <c r="GU54">
        <v>0</v>
      </c>
    </row>
    <row r="55" spans="1:203">
      <c r="A55" t="s">
        <v>193</v>
      </c>
      <c r="B55">
        <v>52</v>
      </c>
      <c r="C55" t="s">
        <v>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1.5115294174273609E-2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4.5532764621922102E-8</v>
      </c>
      <c r="AU55">
        <v>3.0658241433266478E-7</v>
      </c>
      <c r="AV55">
        <v>1.73933133379777E-7</v>
      </c>
      <c r="AW55">
        <v>5.3489887787274485E-6</v>
      </c>
      <c r="AX55">
        <v>9.8972147670191605E-4</v>
      </c>
      <c r="AY55">
        <v>2.7622691762077634E-6</v>
      </c>
      <c r="AZ55">
        <v>0</v>
      </c>
      <c r="BA55">
        <v>1.1088852597056397E-6</v>
      </c>
      <c r="BB55">
        <v>4.7140753498108772E-4</v>
      </c>
      <c r="BC55">
        <v>3.1776889454379148E-2</v>
      </c>
      <c r="BD55">
        <v>1.41216507215335E-5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1.0849891688342994E-6</v>
      </c>
      <c r="CP55">
        <v>0</v>
      </c>
      <c r="CQ55">
        <v>1.0849891688342994E-6</v>
      </c>
      <c r="CR55">
        <v>0</v>
      </c>
      <c r="CS55">
        <v>1.0849891688342996E-6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1.412092566150239E-8</v>
      </c>
      <c r="FA55">
        <v>1.2664398172773138E-10</v>
      </c>
      <c r="FB55">
        <v>2.4206353583666891E-10</v>
      </c>
      <c r="FC55">
        <v>3.8311514641492329E-2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5.8695624821714098E-4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9.4732763021279608E-3</v>
      </c>
      <c r="GT55">
        <v>0</v>
      </c>
      <c r="GU55">
        <v>0</v>
      </c>
    </row>
    <row r="56" spans="1:203">
      <c r="A56" t="s">
        <v>194</v>
      </c>
      <c r="B56">
        <v>53</v>
      </c>
      <c r="C56" t="s">
        <v>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9.6131635669824777E-8</v>
      </c>
      <c r="AU56">
        <v>3.9208534161332436E-5</v>
      </c>
      <c r="AV56">
        <v>2.0742051135979764E-5</v>
      </c>
      <c r="AW56">
        <v>3.9208126858267982E-4</v>
      </c>
      <c r="AX56">
        <v>3.0687810724989881E-5</v>
      </c>
      <c r="AY56">
        <v>1.4759513802754566E-3</v>
      </c>
      <c r="AZ56">
        <v>6.122017600626646E-5</v>
      </c>
      <c r="BA56">
        <v>5.7416225452405857E-7</v>
      </c>
      <c r="BB56">
        <v>4.6884963624520531E-3</v>
      </c>
      <c r="BC56">
        <v>0</v>
      </c>
      <c r="BD56">
        <v>0.10817117885918326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7.8975103628009245E-5</v>
      </c>
      <c r="CP56">
        <v>0</v>
      </c>
      <c r="CQ56">
        <v>7.8975103628009245E-5</v>
      </c>
      <c r="CR56">
        <v>0</v>
      </c>
      <c r="CS56">
        <v>7.8975103628009245E-5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1.4569736801352491E-2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2.1257677055030116E-4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1.8453456300982121E-5</v>
      </c>
      <c r="GS56">
        <v>2.6888172357857954E-3</v>
      </c>
      <c r="GT56">
        <v>0</v>
      </c>
      <c r="GU56">
        <v>0</v>
      </c>
    </row>
    <row r="57" spans="1:203">
      <c r="A57" t="s">
        <v>195</v>
      </c>
      <c r="B57">
        <v>54</v>
      </c>
      <c r="C57" t="s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3.0339126644466169E-2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7.7367459790923544E-8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8.2814817997870906E-5</v>
      </c>
      <c r="GT57">
        <v>0</v>
      </c>
      <c r="GU57">
        <v>0</v>
      </c>
    </row>
    <row r="58" spans="1:203">
      <c r="A58" t="s">
        <v>196</v>
      </c>
      <c r="B58">
        <v>55</v>
      </c>
      <c r="C58" t="s">
        <v>8</v>
      </c>
      <c r="D58">
        <v>1.2070368771667802E-4</v>
      </c>
      <c r="E58">
        <v>2.2090096369962198E-5</v>
      </c>
      <c r="F58">
        <v>1.6893136652731915E-5</v>
      </c>
      <c r="G58">
        <v>5.9586855439159479E-3</v>
      </c>
      <c r="H58">
        <v>1.1138188853226049E-3</v>
      </c>
      <c r="I58">
        <v>0</v>
      </c>
      <c r="J58">
        <v>0</v>
      </c>
      <c r="K58">
        <v>8.7876285494223327E-3</v>
      </c>
      <c r="L58">
        <v>1.6799853548718366E-4</v>
      </c>
      <c r="M58">
        <v>4.4141403255051984E-4</v>
      </c>
      <c r="N58">
        <v>2.1772014569966638E-4</v>
      </c>
      <c r="O58">
        <v>1.4883735023913617E-4</v>
      </c>
      <c r="P58">
        <v>1.2214204980909665E-4</v>
      </c>
      <c r="Q58">
        <v>2.0889144396734559E-3</v>
      </c>
      <c r="R58">
        <v>0</v>
      </c>
      <c r="S58">
        <v>0</v>
      </c>
      <c r="T58">
        <v>0</v>
      </c>
      <c r="U58">
        <v>1.166140151664307E-3</v>
      </c>
      <c r="V58">
        <v>5.7259691471888224E-2</v>
      </c>
      <c r="W58">
        <v>1.3737785429837634E-3</v>
      </c>
      <c r="X58">
        <v>0</v>
      </c>
      <c r="Y58">
        <v>0</v>
      </c>
      <c r="Z58">
        <v>0</v>
      </c>
      <c r="AA58">
        <v>1.3737785429837636E-3</v>
      </c>
      <c r="AB58">
        <v>0</v>
      </c>
      <c r="AC58">
        <v>0</v>
      </c>
      <c r="AD58">
        <v>0</v>
      </c>
      <c r="AE58">
        <v>6.7148942369813662E-6</v>
      </c>
      <c r="AF58">
        <v>3.9018355798111391E-8</v>
      </c>
      <c r="AG58">
        <v>0</v>
      </c>
      <c r="AH58">
        <v>0</v>
      </c>
      <c r="AI58">
        <v>7.1688334779865002E-7</v>
      </c>
      <c r="AJ58">
        <v>7.0656158276314121E-4</v>
      </c>
      <c r="AK58">
        <v>0</v>
      </c>
      <c r="AL58">
        <v>9.4429266393090392E-9</v>
      </c>
      <c r="AM58">
        <v>0</v>
      </c>
      <c r="AN58">
        <v>4.3295688879179627E-8</v>
      </c>
      <c r="AO58">
        <v>8.0304660758690803E-7</v>
      </c>
      <c r="AP58">
        <v>5.5373607848050404E-5</v>
      </c>
      <c r="AQ58">
        <v>7.8414296387724751E-9</v>
      </c>
      <c r="AR58">
        <v>1.3403611862167774E-9</v>
      </c>
      <c r="AS58">
        <v>1.8438555445869842E-3</v>
      </c>
      <c r="AT58">
        <v>0</v>
      </c>
      <c r="AU58">
        <v>2.5900180044772013E-6</v>
      </c>
      <c r="AV58">
        <v>1.3429418035950347E-6</v>
      </c>
      <c r="AW58">
        <v>8.5831716246872663E-6</v>
      </c>
      <c r="AX58">
        <v>2.8987519900498142E-4</v>
      </c>
      <c r="AY58">
        <v>1.0114010396834474E-3</v>
      </c>
      <c r="AZ58">
        <v>1.0962123679315073E-4</v>
      </c>
      <c r="BA58">
        <v>4.1069620194763765E-4</v>
      </c>
      <c r="BB58">
        <v>3.2709712703884536E-4</v>
      </c>
      <c r="BC58">
        <v>4.7921297133279574E-4</v>
      </c>
      <c r="BD58">
        <v>1.942580832581011E-3</v>
      </c>
      <c r="BE58">
        <v>1.482850631239121E-7</v>
      </c>
      <c r="BF58">
        <v>0.30134614181975672</v>
      </c>
      <c r="BG58">
        <v>0.24739244186880566</v>
      </c>
      <c r="BH58">
        <v>7.1552038028451448E-2</v>
      </c>
      <c r="BI58">
        <v>1.9550438905059035E-3</v>
      </c>
      <c r="BJ58">
        <v>0</v>
      </c>
      <c r="BK58">
        <v>2.8092430584421313E-5</v>
      </c>
      <c r="BL58">
        <v>0</v>
      </c>
      <c r="BM58">
        <v>1.1346722180666008E-2</v>
      </c>
      <c r="BN58">
        <v>2.3808320539528082E-3</v>
      </c>
      <c r="BO58">
        <v>4.9028311484449263E-4</v>
      </c>
      <c r="BP58">
        <v>0</v>
      </c>
      <c r="BQ58">
        <v>4.9028311484449263E-4</v>
      </c>
      <c r="BR58">
        <v>5.0166154290878784E-4</v>
      </c>
      <c r="BS58">
        <v>0</v>
      </c>
      <c r="BT58">
        <v>0</v>
      </c>
      <c r="BU58">
        <v>5.0166154290878773E-4</v>
      </c>
      <c r="BV58">
        <v>5.0166154290878773E-4</v>
      </c>
      <c r="BW58">
        <v>5.0166154290878784E-4</v>
      </c>
      <c r="BX58">
        <v>5.0166154290878784E-4</v>
      </c>
      <c r="BY58">
        <v>5.0166154290878784E-4</v>
      </c>
      <c r="BZ58">
        <v>5.0166154290878784E-4</v>
      </c>
      <c r="CA58">
        <v>5.0166154290878784E-4</v>
      </c>
      <c r="CB58">
        <v>0</v>
      </c>
      <c r="CC58">
        <v>5.0166154290878773E-4</v>
      </c>
      <c r="CD58">
        <v>5.0166154290878773E-4</v>
      </c>
      <c r="CE58">
        <v>5.0166154290878773E-4</v>
      </c>
      <c r="CF58">
        <v>5.0166154290878773E-4</v>
      </c>
      <c r="CG58">
        <v>5.0166154290878773E-4</v>
      </c>
      <c r="CH58">
        <v>5.0166154290878773E-4</v>
      </c>
      <c r="CI58">
        <v>5.0166154290878784E-4</v>
      </c>
      <c r="CJ58">
        <v>2.3759724781927048E-4</v>
      </c>
      <c r="CK58">
        <v>6.5018988087840802E-8</v>
      </c>
      <c r="CL58">
        <v>0</v>
      </c>
      <c r="CM58">
        <v>1.649325853041508E-3</v>
      </c>
      <c r="CN58">
        <v>2.3197840211889474E-3</v>
      </c>
      <c r="CO58">
        <v>9.4187691296721248E-4</v>
      </c>
      <c r="CP58">
        <v>0</v>
      </c>
      <c r="CQ58">
        <v>9.4187691296721237E-4</v>
      </c>
      <c r="CR58">
        <v>0</v>
      </c>
      <c r="CS58">
        <v>9.4187691296721259E-4</v>
      </c>
      <c r="CT58">
        <v>0</v>
      </c>
      <c r="CU58">
        <v>2.7503665894314511E-2</v>
      </c>
      <c r="CV58">
        <v>1.7332962372211573E-3</v>
      </c>
      <c r="CW58">
        <v>0</v>
      </c>
      <c r="CX58">
        <v>6.4843707999004039E-4</v>
      </c>
      <c r="CY58">
        <v>0</v>
      </c>
      <c r="CZ58">
        <v>1.1159262744075855E-6</v>
      </c>
      <c r="DA58">
        <v>0</v>
      </c>
      <c r="DB58">
        <v>6.378886558356103E-3</v>
      </c>
      <c r="DC58">
        <v>6.2401339796827951E-4</v>
      </c>
      <c r="DD58">
        <v>0</v>
      </c>
      <c r="DE58">
        <v>9.1986639176117502E-4</v>
      </c>
      <c r="DF58">
        <v>0</v>
      </c>
      <c r="DG58">
        <v>6.1641395545952433E-4</v>
      </c>
      <c r="DH58">
        <v>0</v>
      </c>
      <c r="DI58">
        <v>1.0988335626626941E-9</v>
      </c>
      <c r="DJ58">
        <v>0</v>
      </c>
      <c r="DK58">
        <v>2.7924366996407671E-4</v>
      </c>
      <c r="DL58">
        <v>0</v>
      </c>
      <c r="DM58">
        <v>1.373521665500748E-3</v>
      </c>
      <c r="DN58">
        <v>0</v>
      </c>
      <c r="DO58">
        <v>1.2784707344903929E-3</v>
      </c>
      <c r="DP58">
        <v>1.7686565623029641E-3</v>
      </c>
      <c r="DQ58">
        <v>1.5376334558665915E-3</v>
      </c>
      <c r="DR58">
        <v>3.4394902832542872E-4</v>
      </c>
      <c r="DS58">
        <v>1.5590580876421844E-3</v>
      </c>
      <c r="DT58">
        <v>1.4867788840942752E-3</v>
      </c>
      <c r="DU58">
        <v>1.9375296169412066E-3</v>
      </c>
      <c r="DV58">
        <v>1.7967381955569684E-4</v>
      </c>
      <c r="DW58">
        <v>1.8175659179482898E-3</v>
      </c>
      <c r="DX58">
        <v>9.3098270748741704E-2</v>
      </c>
      <c r="DY58">
        <v>2.6654418682012621E-8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2.2270310353750641E-6</v>
      </c>
      <c r="EV58">
        <v>6.4680003732452414E-5</v>
      </c>
      <c r="EW58">
        <v>1.9307638009274932E-3</v>
      </c>
      <c r="EX58">
        <v>0</v>
      </c>
      <c r="EY58">
        <v>1.0451426645050701E-9</v>
      </c>
      <c r="EZ58">
        <v>1.5185705981872701E-8</v>
      </c>
      <c r="FA58">
        <v>1.2120090445166792E-10</v>
      </c>
      <c r="FB58">
        <v>2.3240146356760585E-10</v>
      </c>
      <c r="FC58">
        <v>1.4897899217877605E-3</v>
      </c>
      <c r="FD58">
        <v>3.9330724618520058E-5</v>
      </c>
      <c r="FE58">
        <v>3.5587650499823017E-4</v>
      </c>
      <c r="FF58">
        <v>1.8166035373485682E-8</v>
      </c>
      <c r="FG58">
        <v>1.1239917741007743E-9</v>
      </c>
      <c r="FH58">
        <v>1.238261304457744E-3</v>
      </c>
      <c r="FI58">
        <v>3.5549488461862301E-9</v>
      </c>
      <c r="FJ58">
        <v>4.7269735347243652E-9</v>
      </c>
      <c r="FK58">
        <v>1.5610099331386702E-10</v>
      </c>
      <c r="FL58">
        <v>3.9319530803634913E-4</v>
      </c>
      <c r="FM58">
        <v>8.2672399495922755E-4</v>
      </c>
      <c r="FN58">
        <v>5.6881647904148105E-4</v>
      </c>
      <c r="FO58">
        <v>5.8804560009740182E-4</v>
      </c>
      <c r="FP58">
        <v>2.8789296701708191E-3</v>
      </c>
      <c r="FQ58">
        <v>3.6249518613394187E-4</v>
      </c>
      <c r="FR58">
        <v>1.2853535467268469E-3</v>
      </c>
      <c r="FS58">
        <v>7.0360536077392912E-4</v>
      </c>
      <c r="FT58">
        <v>2.6271050749703171E-3</v>
      </c>
      <c r="FU58">
        <v>6.0720719557101545E-4</v>
      </c>
      <c r="FV58">
        <v>2.8538419951372454E-3</v>
      </c>
      <c r="FW58">
        <v>1.3796321516102309E-3</v>
      </c>
      <c r="FX58">
        <v>1.2757949594416455E-3</v>
      </c>
      <c r="FY58">
        <v>1.0898939271587007E-3</v>
      </c>
      <c r="FZ58">
        <v>1.3450783987926664E-3</v>
      </c>
      <c r="GA58">
        <v>1.2584369586123884E-3</v>
      </c>
      <c r="GB58">
        <v>1.2618314898997132E-3</v>
      </c>
      <c r="GC58">
        <v>1.2766395042258544E-3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1.2641538929391077E-3</v>
      </c>
      <c r="GJ58">
        <v>1.3142340483123451E-3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4.447202871633805E-3</v>
      </c>
      <c r="GR58">
        <v>2.8334389220951348E-3</v>
      </c>
      <c r="GS58">
        <v>4.8428319765247523E-3</v>
      </c>
      <c r="GT58">
        <v>3.178729895387855E-6</v>
      </c>
      <c r="GU58">
        <v>0</v>
      </c>
    </row>
    <row r="59" spans="1:203">
      <c r="A59" t="s">
        <v>197</v>
      </c>
      <c r="B59">
        <v>56</v>
      </c>
      <c r="C59" t="s">
        <v>8</v>
      </c>
      <c r="D59">
        <v>1.4258139406393121E-8</v>
      </c>
      <c r="E59">
        <v>1.8105241147216281E-5</v>
      </c>
      <c r="F59">
        <v>2.8053661005400586E-5</v>
      </c>
      <c r="G59">
        <v>2.0261326535484929E-5</v>
      </c>
      <c r="H59">
        <v>3.2139881001405881E-6</v>
      </c>
      <c r="I59">
        <v>0</v>
      </c>
      <c r="J59">
        <v>0</v>
      </c>
      <c r="K59">
        <v>7.135858928504012E-5</v>
      </c>
      <c r="L59">
        <v>9.1847355021103818E-8</v>
      </c>
      <c r="M59">
        <v>1.4459103300919797E-6</v>
      </c>
      <c r="N59">
        <v>6.7691483764597365E-7</v>
      </c>
      <c r="O59">
        <v>3.8775029915305196E-4</v>
      </c>
      <c r="P59">
        <v>1.884313405410651E-4</v>
      </c>
      <c r="Q59">
        <v>1.3311237139341589E-5</v>
      </c>
      <c r="R59">
        <v>0</v>
      </c>
      <c r="S59">
        <v>0</v>
      </c>
      <c r="T59">
        <v>0</v>
      </c>
      <c r="U59">
        <v>1.1360581163278624E-4</v>
      </c>
      <c r="V59">
        <v>7.5204151393298512E-5</v>
      </c>
      <c r="W59">
        <v>5.3706482792367781E-5</v>
      </c>
      <c r="X59">
        <v>0</v>
      </c>
      <c r="Y59">
        <v>0</v>
      </c>
      <c r="Z59">
        <v>0</v>
      </c>
      <c r="AA59">
        <v>5.3706482792367774E-5</v>
      </c>
      <c r="AB59">
        <v>0</v>
      </c>
      <c r="AC59">
        <v>0</v>
      </c>
      <c r="AD59">
        <v>0</v>
      </c>
      <c r="AE59">
        <v>9.4947943166701759E-7</v>
      </c>
      <c r="AF59">
        <v>3.0855238064085425E-8</v>
      </c>
      <c r="AG59">
        <v>0</v>
      </c>
      <c r="AH59">
        <v>0</v>
      </c>
      <c r="AI59">
        <v>1.7735837166247544E-7</v>
      </c>
      <c r="AJ59">
        <v>2.8315071434457032E-5</v>
      </c>
      <c r="AK59">
        <v>0</v>
      </c>
      <c r="AL59">
        <v>8.2162986512714269E-9</v>
      </c>
      <c r="AM59">
        <v>0</v>
      </c>
      <c r="AN59">
        <v>3.7382880528471505E-8</v>
      </c>
      <c r="AO59">
        <v>6.5751903823714993E-7</v>
      </c>
      <c r="AP59">
        <v>5.7852259595736877E-6</v>
      </c>
      <c r="AQ59">
        <v>5.0218535645290071E-9</v>
      </c>
      <c r="AR59">
        <v>1.1925365795028758E-9</v>
      </c>
      <c r="AS59">
        <v>8.0452768288191606E-6</v>
      </c>
      <c r="AT59">
        <v>3.715942548627811E-8</v>
      </c>
      <c r="AU59">
        <v>1.4838163734692501E-5</v>
      </c>
      <c r="AV59">
        <v>1.2754413666322455E-6</v>
      </c>
      <c r="AW59">
        <v>1.986921135128499E-4</v>
      </c>
      <c r="AX59">
        <v>0</v>
      </c>
      <c r="AY59">
        <v>2.2828906509010925E-5</v>
      </c>
      <c r="AZ59">
        <v>4.7619037036627155E-5</v>
      </c>
      <c r="BA59">
        <v>1.4463608509309193E-4</v>
      </c>
      <c r="BB59">
        <v>5.0345087010618247E-5</v>
      </c>
      <c r="BC59">
        <v>8.0259345471399904E-7</v>
      </c>
      <c r="BD59">
        <v>7.926312004576282E-6</v>
      </c>
      <c r="BE59">
        <v>1.7229151841692276E-8</v>
      </c>
      <c r="BF59">
        <v>3.8195562306196468E-5</v>
      </c>
      <c r="BG59">
        <v>1.0660124887341292E-3</v>
      </c>
      <c r="BH59">
        <v>1.6975899108114149E-4</v>
      </c>
      <c r="BI59">
        <v>5.2441061057409928E-6</v>
      </c>
      <c r="BJ59">
        <v>0</v>
      </c>
      <c r="BK59">
        <v>1.846672738427477E-5</v>
      </c>
      <c r="BL59">
        <v>0</v>
      </c>
      <c r="BM59">
        <v>9.5064605663198437E-6</v>
      </c>
      <c r="BN59">
        <v>5.2153747467681983E-8</v>
      </c>
      <c r="BO59">
        <v>1.5040441275365642E-5</v>
      </c>
      <c r="BP59">
        <v>0</v>
      </c>
      <c r="BQ59">
        <v>1.5040441275365642E-5</v>
      </c>
      <c r="BR59">
        <v>1.7105840454167578E-5</v>
      </c>
      <c r="BS59">
        <v>0</v>
      </c>
      <c r="BT59">
        <v>0</v>
      </c>
      <c r="BU59">
        <v>1.7105840454167578E-5</v>
      </c>
      <c r="BV59">
        <v>1.7105840454167575E-5</v>
      </c>
      <c r="BW59">
        <v>1.7105840454167578E-5</v>
      </c>
      <c r="BX59">
        <v>1.7105840454167578E-5</v>
      </c>
      <c r="BY59">
        <v>1.7105840454167578E-5</v>
      </c>
      <c r="BZ59">
        <v>1.7105840454167575E-5</v>
      </c>
      <c r="CA59">
        <v>1.7105840454167578E-5</v>
      </c>
      <c r="CB59">
        <v>0</v>
      </c>
      <c r="CC59">
        <v>1.7105840454167578E-5</v>
      </c>
      <c r="CD59">
        <v>1.7105840454167578E-5</v>
      </c>
      <c r="CE59">
        <v>1.7105840454167578E-5</v>
      </c>
      <c r="CF59">
        <v>1.7105840454167578E-5</v>
      </c>
      <c r="CG59">
        <v>1.7105840454167578E-5</v>
      </c>
      <c r="CH59">
        <v>1.7105840454167578E-5</v>
      </c>
      <c r="CI59">
        <v>1.7105840454167578E-5</v>
      </c>
      <c r="CJ59">
        <v>5.4332446312140941E-6</v>
      </c>
      <c r="CK59">
        <v>1.4828338343393936E-7</v>
      </c>
      <c r="CL59">
        <v>0</v>
      </c>
      <c r="CM59">
        <v>1.1908365673164788E-4</v>
      </c>
      <c r="CN59">
        <v>1.0181304192390216E-4</v>
      </c>
      <c r="CO59">
        <v>3.0621828676643177E-6</v>
      </c>
      <c r="CP59">
        <v>0</v>
      </c>
      <c r="CQ59">
        <v>3.0621828676643181E-6</v>
      </c>
      <c r="CR59">
        <v>0</v>
      </c>
      <c r="CS59">
        <v>3.0621828676643181E-6</v>
      </c>
      <c r="CT59">
        <v>0</v>
      </c>
      <c r="CU59">
        <v>9.5018858783698174E-6</v>
      </c>
      <c r="CV59">
        <v>1.2148571973489448E-6</v>
      </c>
      <c r="CW59">
        <v>0</v>
      </c>
      <c r="CX59">
        <v>3.4103544672149175E-7</v>
      </c>
      <c r="CY59">
        <v>2.4921566331054553E-6</v>
      </c>
      <c r="CZ59">
        <v>1.0459873317736771E-8</v>
      </c>
      <c r="DA59">
        <v>0</v>
      </c>
      <c r="DB59">
        <v>5.490839826935333E-6</v>
      </c>
      <c r="DC59">
        <v>3.7940489528624863E-5</v>
      </c>
      <c r="DD59">
        <v>0</v>
      </c>
      <c r="DE59">
        <v>2.3011160025938086E-7</v>
      </c>
      <c r="DF59">
        <v>0</v>
      </c>
      <c r="DG59">
        <v>2.7019959725620549E-7</v>
      </c>
      <c r="DH59">
        <v>0</v>
      </c>
      <c r="DI59">
        <v>9.3164441350263375E-10</v>
      </c>
      <c r="DJ59">
        <v>0</v>
      </c>
      <c r="DK59">
        <v>9.0011349437713374E-8</v>
      </c>
      <c r="DL59">
        <v>0</v>
      </c>
      <c r="DM59">
        <v>2.4722055223280013E-7</v>
      </c>
      <c r="DN59">
        <v>0</v>
      </c>
      <c r="DO59">
        <v>2.4875581738480892E-5</v>
      </c>
      <c r="DP59">
        <v>1.2615638572106158E-5</v>
      </c>
      <c r="DQ59">
        <v>1.6178311735066641E-5</v>
      </c>
      <c r="DR59">
        <v>6.3046514711260942E-6</v>
      </c>
      <c r="DS59">
        <v>4.853848965106575E-6</v>
      </c>
      <c r="DT59">
        <v>6.2611163108921359E-6</v>
      </c>
      <c r="DU59">
        <v>4.7335748658828756E-6</v>
      </c>
      <c r="DV59">
        <v>1.9047909229736313E-7</v>
      </c>
      <c r="DW59">
        <v>6.7209589590078798E-9</v>
      </c>
      <c r="DX59">
        <v>9.3667078966558915E-5</v>
      </c>
      <c r="DY59">
        <v>4.0266185695011248E-9</v>
      </c>
      <c r="DZ59">
        <v>0</v>
      </c>
      <c r="EA59">
        <v>2.7129754690626245E-4</v>
      </c>
      <c r="EB59">
        <v>1.9786017868066481E-4</v>
      </c>
      <c r="EC59">
        <v>2.8271872801809123E-4</v>
      </c>
      <c r="ED59">
        <v>4.7071590293499459E-4</v>
      </c>
      <c r="EE59">
        <v>5.5813082869220123E-4</v>
      </c>
      <c r="EF59">
        <v>4.7607081441413096E-5</v>
      </c>
      <c r="EG59">
        <v>2.8941834883557734E-4</v>
      </c>
      <c r="EH59">
        <v>5.3577759923683786E-4</v>
      </c>
      <c r="EI59">
        <v>0</v>
      </c>
      <c r="EJ59">
        <v>0</v>
      </c>
      <c r="EK59">
        <v>0</v>
      </c>
      <c r="EL59">
        <v>1.0837083167917036E-3</v>
      </c>
      <c r="EM59">
        <v>1.2393325625719175E-3</v>
      </c>
      <c r="EN59">
        <v>1.2672297447925758E-3</v>
      </c>
      <c r="EO59">
        <v>2.0829275957209185E-6</v>
      </c>
      <c r="EP59">
        <v>2.082927595720918E-6</v>
      </c>
      <c r="EQ59">
        <v>2.0829275957209185E-6</v>
      </c>
      <c r="ER59">
        <v>0</v>
      </c>
      <c r="ES59">
        <v>2.0829275957209185E-6</v>
      </c>
      <c r="ET59">
        <v>2.082927595720918E-6</v>
      </c>
      <c r="EU59">
        <v>2.8765940836098823E-7</v>
      </c>
      <c r="EV59">
        <v>8.6720792280663625E-6</v>
      </c>
      <c r="EW59">
        <v>6.5920945485510052E-6</v>
      </c>
      <c r="EX59">
        <v>0</v>
      </c>
      <c r="EY59">
        <v>1.0304424218905197E-9</v>
      </c>
      <c r="EZ59">
        <v>1.4166683831035283E-8</v>
      </c>
      <c r="FA59">
        <v>1.1184659985482094E-10</v>
      </c>
      <c r="FB59">
        <v>2.1578903040828059E-10</v>
      </c>
      <c r="FC59">
        <v>4.8057171423480358E-6</v>
      </c>
      <c r="FD59">
        <v>7.8691589959111787E-9</v>
      </c>
      <c r="FE59">
        <v>6.3330827744410979E-9</v>
      </c>
      <c r="FF59">
        <v>1.1843900372196424E-8</v>
      </c>
      <c r="FG59">
        <v>9.3510932689919312E-10</v>
      </c>
      <c r="FH59">
        <v>1.5210068764165056E-7</v>
      </c>
      <c r="FI59">
        <v>2.0496871997102474E-9</v>
      </c>
      <c r="FJ59">
        <v>1.8623718651236296E-9</v>
      </c>
      <c r="FK59">
        <v>1.2625884186985332E-10</v>
      </c>
      <c r="FL59">
        <v>6.1033554917517918E-9</v>
      </c>
      <c r="FM59">
        <v>6.7497928120137108E-8</v>
      </c>
      <c r="FN59">
        <v>4.0176105057703807E-8</v>
      </c>
      <c r="FO59">
        <v>2.5747690283811701E-9</v>
      </c>
      <c r="FP59">
        <v>3.5709518887701435E-5</v>
      </c>
      <c r="FQ59">
        <v>5.6419320040173259E-9</v>
      </c>
      <c r="FR59">
        <v>7.8529289083820704E-6</v>
      </c>
      <c r="FS59">
        <v>3.4306864252299388E-9</v>
      </c>
      <c r="FT59">
        <v>1.6944059049284823E-4</v>
      </c>
      <c r="FU59">
        <v>2.5478424276248333E-5</v>
      </c>
      <c r="FV59">
        <v>5.6703986004298482E-5</v>
      </c>
      <c r="FW59">
        <v>1.9976328390867229E-3</v>
      </c>
      <c r="FX59">
        <v>1.9924068289478166E-3</v>
      </c>
      <c r="FY59">
        <v>1.8660070095197737E-3</v>
      </c>
      <c r="FZ59">
        <v>1.7342533262524754E-3</v>
      </c>
      <c r="GA59">
        <v>1.9909013278965018E-3</v>
      </c>
      <c r="GB59">
        <v>1.980138778567024E-3</v>
      </c>
      <c r="GC59">
        <v>1.9648492951431706E-3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1.6707789801852645E-3</v>
      </c>
      <c r="GJ59">
        <v>1.7679571573349438E-3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1.829870284257912E-4</v>
      </c>
      <c r="GR59">
        <v>9.3906595519332623E-5</v>
      </c>
      <c r="GS59">
        <v>7.6585903864623934E-5</v>
      </c>
      <c r="GT59">
        <v>1.959618208345907E-8</v>
      </c>
      <c r="GU59">
        <v>0</v>
      </c>
    </row>
    <row r="60" spans="1:203">
      <c r="A60" t="s">
        <v>198</v>
      </c>
      <c r="B60">
        <v>57</v>
      </c>
      <c r="C60" t="s">
        <v>8</v>
      </c>
      <c r="D60">
        <v>1.4559115122339416E-7</v>
      </c>
      <c r="E60">
        <v>0</v>
      </c>
      <c r="F60">
        <v>3.2412881174731549E-6</v>
      </c>
      <c r="G60">
        <v>1.3997522281625506E-4</v>
      </c>
      <c r="H60">
        <v>2.4490269684665944E-5</v>
      </c>
      <c r="I60">
        <v>0</v>
      </c>
      <c r="J60">
        <v>0</v>
      </c>
      <c r="K60">
        <v>2.6786208750123982E-4</v>
      </c>
      <c r="L60">
        <v>7.7949263564157682E-7</v>
      </c>
      <c r="M60">
        <v>3.3647749396442463E-6</v>
      </c>
      <c r="N60">
        <v>3.032739669081994E-7</v>
      </c>
      <c r="O60">
        <v>0</v>
      </c>
      <c r="P60">
        <v>7.5511734030422362E-7</v>
      </c>
      <c r="Q60">
        <v>1.9398262119626029E-5</v>
      </c>
      <c r="R60">
        <v>0</v>
      </c>
      <c r="S60">
        <v>0</v>
      </c>
      <c r="T60">
        <v>0</v>
      </c>
      <c r="U60">
        <v>1.115507753536564E-4</v>
      </c>
      <c r="V60">
        <v>6.3255458772909414E-4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2.2366844067349371E-7</v>
      </c>
      <c r="AJ60">
        <v>1.2122634268736889E-4</v>
      </c>
      <c r="AK60">
        <v>0</v>
      </c>
      <c r="AL60">
        <v>8.6681119184906279E-9</v>
      </c>
      <c r="AM60">
        <v>0</v>
      </c>
      <c r="AN60">
        <v>3.9555485661811377E-8</v>
      </c>
      <c r="AO60">
        <v>7.0858540231926913E-7</v>
      </c>
      <c r="AP60">
        <v>9.3923461390521548E-6</v>
      </c>
      <c r="AQ60">
        <v>5.9167661309558365E-9</v>
      </c>
      <c r="AR60">
        <v>1.2478278029664452E-9</v>
      </c>
      <c r="AS60">
        <v>8.0382917850930775E-5</v>
      </c>
      <c r="AT60">
        <v>5.4609180496879024E-8</v>
      </c>
      <c r="AU60">
        <v>7.0444748980857217E-6</v>
      </c>
      <c r="AV60">
        <v>3.1495141616031274E-6</v>
      </c>
      <c r="AW60">
        <v>8.5360735132103624E-5</v>
      </c>
      <c r="AX60">
        <v>1.4977194480328231E-3</v>
      </c>
      <c r="AY60">
        <v>7.676873630638718E-4</v>
      </c>
      <c r="AZ60">
        <v>4.1933472137705026E-4</v>
      </c>
      <c r="BA60">
        <v>2.2838711441717358E-4</v>
      </c>
      <c r="BB60">
        <v>1.720046277389406E-4</v>
      </c>
      <c r="BC60">
        <v>1.3910514414062629E-4</v>
      </c>
      <c r="BD60">
        <v>5.1969897408794699E-4</v>
      </c>
      <c r="BE60">
        <v>2.6544908576017511E-8</v>
      </c>
      <c r="BF60">
        <v>3.0366332982838858E-3</v>
      </c>
      <c r="BG60">
        <v>2.5959995495214036E-2</v>
      </c>
      <c r="BH60">
        <v>0.12587331210081701</v>
      </c>
      <c r="BI60">
        <v>1.6720870446637116E-4</v>
      </c>
      <c r="BJ60">
        <v>0</v>
      </c>
      <c r="BK60">
        <v>3.838487999368738E-4</v>
      </c>
      <c r="BL60">
        <v>0</v>
      </c>
      <c r="BM60">
        <v>2.5298925340232691E-4</v>
      </c>
      <c r="BN60">
        <v>1.1684689111376972E-5</v>
      </c>
      <c r="BO60">
        <v>0</v>
      </c>
      <c r="BP60">
        <v>0</v>
      </c>
      <c r="BQ60">
        <v>0</v>
      </c>
      <c r="BR60">
        <v>4.2876114406042371E-6</v>
      </c>
      <c r="BS60">
        <v>0</v>
      </c>
      <c r="BT60">
        <v>0</v>
      </c>
      <c r="BU60">
        <v>4.2876114406042371E-6</v>
      </c>
      <c r="BV60">
        <v>4.2876114406042371E-6</v>
      </c>
      <c r="BW60">
        <v>4.2876114406042371E-6</v>
      </c>
      <c r="BX60">
        <v>4.2876114406042371E-6</v>
      </c>
      <c r="BY60">
        <v>4.287611440604238E-6</v>
      </c>
      <c r="BZ60">
        <v>4.2876114406042371E-6</v>
      </c>
      <c r="CA60">
        <v>4.287611440604238E-6</v>
      </c>
      <c r="CB60">
        <v>0</v>
      </c>
      <c r="CC60">
        <v>4.2876114406042371E-6</v>
      </c>
      <c r="CD60">
        <v>4.2876114406042371E-6</v>
      </c>
      <c r="CE60">
        <v>4.2876114406042371E-6</v>
      </c>
      <c r="CF60">
        <v>4.2876114406042371E-6</v>
      </c>
      <c r="CG60">
        <v>4.2876114406042371E-6</v>
      </c>
      <c r="CH60">
        <v>4.2876114406042371E-6</v>
      </c>
      <c r="CI60">
        <v>4.2876114406042371E-6</v>
      </c>
      <c r="CJ60">
        <v>7.3256720749454041E-6</v>
      </c>
      <c r="CK60">
        <v>4.4049225556067657E-5</v>
      </c>
      <c r="CL60">
        <v>0</v>
      </c>
      <c r="CM60">
        <v>1.1617567858844049E-4</v>
      </c>
      <c r="CN60">
        <v>1.3252768864375534E-4</v>
      </c>
      <c r="CO60">
        <v>4.2134897882808677E-4</v>
      </c>
      <c r="CP60">
        <v>0</v>
      </c>
      <c r="CQ60">
        <v>4.2134897882808683E-4</v>
      </c>
      <c r="CR60">
        <v>0</v>
      </c>
      <c r="CS60">
        <v>4.2134897882808683E-4</v>
      </c>
      <c r="CT60">
        <v>0</v>
      </c>
      <c r="CU60">
        <v>1.3356605943744965E-4</v>
      </c>
      <c r="CV60">
        <v>9.0880556772324206E-5</v>
      </c>
      <c r="CW60">
        <v>0</v>
      </c>
      <c r="CX60">
        <v>3.0648397901199693E-4</v>
      </c>
      <c r="CY60">
        <v>2.3443765192405539E-4</v>
      </c>
      <c r="CZ60">
        <v>9.5034647897759296E-8</v>
      </c>
      <c r="DA60">
        <v>0</v>
      </c>
      <c r="DB60">
        <v>2.6817337131966736E-4</v>
      </c>
      <c r="DC60">
        <v>6.0842404814725555E-5</v>
      </c>
      <c r="DD60">
        <v>0</v>
      </c>
      <c r="DE60">
        <v>1.0796608676520519E-6</v>
      </c>
      <c r="DF60">
        <v>0</v>
      </c>
      <c r="DG60">
        <v>1.4420861215240695E-6</v>
      </c>
      <c r="DH60">
        <v>0</v>
      </c>
      <c r="DI60">
        <v>1.0266857304904012E-9</v>
      </c>
      <c r="DJ60">
        <v>0</v>
      </c>
      <c r="DK60">
        <v>5.6634927774146354E-7</v>
      </c>
      <c r="DL60">
        <v>0</v>
      </c>
      <c r="DM60">
        <v>1.0283246772919329E-6</v>
      </c>
      <c r="DN60">
        <v>0</v>
      </c>
      <c r="DO60">
        <v>2.2396470490545226E-3</v>
      </c>
      <c r="DP60">
        <v>8.7213263771611046E-4</v>
      </c>
      <c r="DQ60">
        <v>4.8549055174289604E-4</v>
      </c>
      <c r="DR60">
        <v>5.6393475622256285E-4</v>
      </c>
      <c r="DS60">
        <v>1.6870572832000246E-4</v>
      </c>
      <c r="DT60">
        <v>1.9703290156209181E-4</v>
      </c>
      <c r="DU60">
        <v>2.8505314288712262E-3</v>
      </c>
      <c r="DV60">
        <v>1.0762550484572192E-4</v>
      </c>
      <c r="DW60">
        <v>1.0116067832156339E-4</v>
      </c>
      <c r="DX60">
        <v>1.0730539407331095E-2</v>
      </c>
      <c r="DY60">
        <v>9.8602804470148437E-9</v>
      </c>
      <c r="DZ60">
        <v>0</v>
      </c>
      <c r="EA60">
        <v>5.1992550807300692E-4</v>
      </c>
      <c r="EB60">
        <v>3.6070502416032636E-4</v>
      </c>
      <c r="EC60">
        <v>1.0806814822651038E-4</v>
      </c>
      <c r="ED60">
        <v>1.961484995263044E-4</v>
      </c>
      <c r="EE60">
        <v>2.1366631992594608E-4</v>
      </c>
      <c r="EF60">
        <v>1.3604037497860763E-4</v>
      </c>
      <c r="EG60">
        <v>7.4010856745339326E-4</v>
      </c>
      <c r="EH60">
        <v>2.053362082897419E-4</v>
      </c>
      <c r="EI60">
        <v>0</v>
      </c>
      <c r="EJ60">
        <v>0</v>
      </c>
      <c r="EK60">
        <v>0</v>
      </c>
      <c r="EL60">
        <v>3.4277997863263747E-4</v>
      </c>
      <c r="EM60">
        <v>3.9709449527693065E-4</v>
      </c>
      <c r="EN60">
        <v>3.9898654700953385E-4</v>
      </c>
      <c r="EO60">
        <v>5.6015066268832745E-5</v>
      </c>
      <c r="EP60">
        <v>5.6015066268832739E-5</v>
      </c>
      <c r="EQ60">
        <v>5.6015066268832745E-5</v>
      </c>
      <c r="ER60">
        <v>0</v>
      </c>
      <c r="ES60">
        <v>5.6015066268832745E-5</v>
      </c>
      <c r="ET60">
        <v>5.6015066268832745E-5</v>
      </c>
      <c r="EU60">
        <v>6.5794228053149189E-6</v>
      </c>
      <c r="EV60">
        <v>6.688523715256528E-5</v>
      </c>
      <c r="EW60">
        <v>3.7562080344565209E-4</v>
      </c>
      <c r="EX60">
        <v>0</v>
      </c>
      <c r="EY60">
        <v>1.0362886824089713E-9</v>
      </c>
      <c r="EZ60">
        <v>1.4558260694963602E-8</v>
      </c>
      <c r="FA60">
        <v>1.1542218804122952E-10</v>
      </c>
      <c r="FB60">
        <v>2.2216127074417165E-10</v>
      </c>
      <c r="FC60">
        <v>1.2504841769593444E-5</v>
      </c>
      <c r="FD60">
        <v>3.5299631880541011E-8</v>
      </c>
      <c r="FE60">
        <v>1.7751261033843921E-6</v>
      </c>
      <c r="FF60">
        <v>1.2182614429743792E-8</v>
      </c>
      <c r="FG60">
        <v>1.0007361878074507E-9</v>
      </c>
      <c r="FH60">
        <v>1.3631116388373658E-6</v>
      </c>
      <c r="FI60">
        <v>2.4759144481757116E-9</v>
      </c>
      <c r="FJ60">
        <v>2.4834500822412857E-9</v>
      </c>
      <c r="FK60">
        <v>1.3674762680734571E-10</v>
      </c>
      <c r="FL60">
        <v>4.8926822955507009E-5</v>
      </c>
      <c r="FM60">
        <v>8.6461300781202406E-5</v>
      </c>
      <c r="FN60">
        <v>1.8514510875176915E-4</v>
      </c>
      <c r="FO60">
        <v>7.0245946113388279E-9</v>
      </c>
      <c r="FP60">
        <v>1.7919524338034387E-4</v>
      </c>
      <c r="FQ60">
        <v>2.062801148758433E-8</v>
      </c>
      <c r="FR60">
        <v>2.4757552651867793E-4</v>
      </c>
      <c r="FS60">
        <v>1.6620104788835104E-5</v>
      </c>
      <c r="FT60">
        <v>4.7620510389164317E-4</v>
      </c>
      <c r="FU60">
        <v>6.1343370887127934E-5</v>
      </c>
      <c r="FV60">
        <v>5.4727623014995245E-4</v>
      </c>
      <c r="FW60">
        <v>8.9987129764649348E-5</v>
      </c>
      <c r="FX60">
        <v>8.9997483039355868E-5</v>
      </c>
      <c r="FY60">
        <v>8.7054905441653766E-5</v>
      </c>
      <c r="FZ60">
        <v>8.268377318892198E-5</v>
      </c>
      <c r="GA60">
        <v>9.0427038228839873E-5</v>
      </c>
      <c r="GB60">
        <v>9.012750859580684E-5</v>
      </c>
      <c r="GC60">
        <v>8.9503152705257781E-5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7.756865613238276E-5</v>
      </c>
      <c r="GJ60">
        <v>8.0857976352383926E-5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6.7730054097584684E-4</v>
      </c>
      <c r="GR60">
        <v>2.798884101193868E-4</v>
      </c>
      <c r="GS60">
        <v>5.9880865138295354E-3</v>
      </c>
      <c r="GT60">
        <v>0</v>
      </c>
      <c r="GU60">
        <v>0</v>
      </c>
    </row>
    <row r="61" spans="1:203">
      <c r="A61" t="s">
        <v>199</v>
      </c>
      <c r="B61">
        <v>58</v>
      </c>
      <c r="C61" t="s">
        <v>9</v>
      </c>
      <c r="D61">
        <v>1.7927711786948693E-6</v>
      </c>
      <c r="E61">
        <v>0</v>
      </c>
      <c r="F61">
        <v>2.4782669021781235E-6</v>
      </c>
      <c r="G61">
        <v>1.892165718656293E-3</v>
      </c>
      <c r="H61">
        <v>3.5516797289040667E-4</v>
      </c>
      <c r="I61">
        <v>0</v>
      </c>
      <c r="J61">
        <v>0</v>
      </c>
      <c r="K61">
        <v>2.6940692469506339E-3</v>
      </c>
      <c r="L61">
        <v>6.4742847055758587E-4</v>
      </c>
      <c r="M61">
        <v>1.7060494467929141E-3</v>
      </c>
      <c r="N61">
        <v>2.9443170992251021E-4</v>
      </c>
      <c r="O61">
        <v>1.4529492440252523E-2</v>
      </c>
      <c r="P61">
        <v>7.5165956250776943E-4</v>
      </c>
      <c r="Q61">
        <v>7.9651012162514148E-3</v>
      </c>
      <c r="R61">
        <v>6.8205714252133405E-4</v>
      </c>
      <c r="S61">
        <v>0</v>
      </c>
      <c r="T61">
        <v>0</v>
      </c>
      <c r="U61">
        <v>8.0811015312632077E-4</v>
      </c>
      <c r="V61">
        <v>4.4710735298702932E-2</v>
      </c>
      <c r="W61">
        <v>3.2368015721831269E-3</v>
      </c>
      <c r="X61">
        <v>0</v>
      </c>
      <c r="Y61">
        <v>0</v>
      </c>
      <c r="Z61">
        <v>0</v>
      </c>
      <c r="AA61">
        <v>3.2368015721831269E-3</v>
      </c>
      <c r="AB61">
        <v>0</v>
      </c>
      <c r="AC61">
        <v>0</v>
      </c>
      <c r="AD61">
        <v>0</v>
      </c>
      <c r="AE61">
        <v>3.4836518707786269E-6</v>
      </c>
      <c r="AF61">
        <v>3.9460619859902421E-8</v>
      </c>
      <c r="AG61">
        <v>0</v>
      </c>
      <c r="AH61">
        <v>0</v>
      </c>
      <c r="AI61">
        <v>2.0283774234095356E-6</v>
      </c>
      <c r="AJ61">
        <v>3.9778245507400391E-3</v>
      </c>
      <c r="AK61">
        <v>4.7571452718642442E-4</v>
      </c>
      <c r="AL61">
        <v>9.5443567090673939E-9</v>
      </c>
      <c r="AM61">
        <v>0</v>
      </c>
      <c r="AN61">
        <v>4.3791206268960116E-8</v>
      </c>
      <c r="AO61">
        <v>8.1812130438375668E-7</v>
      </c>
      <c r="AP61">
        <v>1.8159548824331316E-4</v>
      </c>
      <c r="AQ61">
        <v>8.3391126172831437E-9</v>
      </c>
      <c r="AR61">
        <v>1.352265153590954E-9</v>
      </c>
      <c r="AS61">
        <v>1.8084049902331084E-3</v>
      </c>
      <c r="AT61">
        <v>1.9086082881823416E-7</v>
      </c>
      <c r="AU61">
        <v>4.2049443830888616E-5</v>
      </c>
      <c r="AV61">
        <v>2.7217712540212167E-5</v>
      </c>
      <c r="AW61">
        <v>2.92276117958505E-4</v>
      </c>
      <c r="AX61">
        <v>1.2238957872359941E-2</v>
      </c>
      <c r="AY61">
        <v>1.0372378368459394E-3</v>
      </c>
      <c r="AZ61">
        <v>4.8413097371114589E-3</v>
      </c>
      <c r="BA61">
        <v>7.0137746322302877E-5</v>
      </c>
      <c r="BB61">
        <v>1.0996825854896698E-3</v>
      </c>
      <c r="BC61">
        <v>8.9431239458930933E-4</v>
      </c>
      <c r="BD61">
        <v>3.4481981479046633E-4</v>
      </c>
      <c r="BE61">
        <v>2.0874631975764408E-7</v>
      </c>
      <c r="BF61">
        <v>3.3579181254763979E-4</v>
      </c>
      <c r="BG61">
        <v>8.9690160254050444E-5</v>
      </c>
      <c r="BH61">
        <v>3.0222532536365414E-4</v>
      </c>
      <c r="BI61">
        <v>0.24197373214256118</v>
      </c>
      <c r="BJ61">
        <v>0</v>
      </c>
      <c r="BK61">
        <v>9.5746938044418885E-3</v>
      </c>
      <c r="BL61">
        <v>0</v>
      </c>
      <c r="BM61">
        <v>4.3837339130443215E-3</v>
      </c>
      <c r="BN61">
        <v>1.3648611008615209E-4</v>
      </c>
      <c r="BO61">
        <v>2.2827932418582569E-3</v>
      </c>
      <c r="BP61">
        <v>0</v>
      </c>
      <c r="BQ61">
        <v>2.2827932418582569E-3</v>
      </c>
      <c r="BR61">
        <v>2.0906179157395018E-4</v>
      </c>
      <c r="BS61">
        <v>0</v>
      </c>
      <c r="BT61">
        <v>0</v>
      </c>
      <c r="BU61">
        <v>2.0906179157395016E-4</v>
      </c>
      <c r="BV61">
        <v>2.0906179157395016E-4</v>
      </c>
      <c r="BW61">
        <v>2.0906179157395016E-4</v>
      </c>
      <c r="BX61">
        <v>2.0906179157395018E-4</v>
      </c>
      <c r="BY61">
        <v>2.0906179157395018E-4</v>
      </c>
      <c r="BZ61">
        <v>2.0906179157395016E-4</v>
      </c>
      <c r="CA61">
        <v>2.0906179157395021E-4</v>
      </c>
      <c r="CB61">
        <v>0</v>
      </c>
      <c r="CC61">
        <v>2.0906179157395016E-4</v>
      </c>
      <c r="CD61">
        <v>2.0906179157395016E-4</v>
      </c>
      <c r="CE61">
        <v>2.0906179157395016E-4</v>
      </c>
      <c r="CF61">
        <v>2.0906179157395018E-4</v>
      </c>
      <c r="CG61">
        <v>2.0906179157395018E-4</v>
      </c>
      <c r="CH61">
        <v>2.0906179157395018E-4</v>
      </c>
      <c r="CI61">
        <v>2.0906179157395018E-4</v>
      </c>
      <c r="CJ61">
        <v>1.5268985948527547E-5</v>
      </c>
      <c r="CK61">
        <v>2.2257229288421984E-4</v>
      </c>
      <c r="CL61">
        <v>0</v>
      </c>
      <c r="CM61">
        <v>1.0637957851626016E-3</v>
      </c>
      <c r="CN61">
        <v>1.376855531838252E-3</v>
      </c>
      <c r="CO61">
        <v>6.4943710685377778E-4</v>
      </c>
      <c r="CP61">
        <v>0</v>
      </c>
      <c r="CQ61">
        <v>6.4943710685377767E-4</v>
      </c>
      <c r="CR61">
        <v>0</v>
      </c>
      <c r="CS61">
        <v>6.4943710685377778E-4</v>
      </c>
      <c r="CT61">
        <v>0</v>
      </c>
      <c r="CU61">
        <v>8.7315759177656823E-4</v>
      </c>
      <c r="CV61">
        <v>5.7058937116652841E-3</v>
      </c>
      <c r="CW61">
        <v>0</v>
      </c>
      <c r="CX61">
        <v>6.6358870608453357E-3</v>
      </c>
      <c r="CY61">
        <v>6.8303045465985023E-3</v>
      </c>
      <c r="CZ61">
        <v>1.3102151354663977E-4</v>
      </c>
      <c r="DA61">
        <v>0</v>
      </c>
      <c r="DB61">
        <v>4.7977806698896565E-3</v>
      </c>
      <c r="DC61">
        <v>2.4940125064456679E-4</v>
      </c>
      <c r="DD61">
        <v>0</v>
      </c>
      <c r="DE61">
        <v>4.4723262393114548E-3</v>
      </c>
      <c r="DF61">
        <v>0</v>
      </c>
      <c r="DG61">
        <v>2.9559814130555454E-3</v>
      </c>
      <c r="DH61">
        <v>0</v>
      </c>
      <c r="DI61">
        <v>1.1064341831180576E-9</v>
      </c>
      <c r="DJ61">
        <v>0</v>
      </c>
      <c r="DK61">
        <v>1.3588899487737393E-3</v>
      </c>
      <c r="DL61">
        <v>0</v>
      </c>
      <c r="DM61">
        <v>6.7699094209727343E-3</v>
      </c>
      <c r="DN61">
        <v>0</v>
      </c>
      <c r="DO61">
        <v>9.3806954962591931E-3</v>
      </c>
      <c r="DP61">
        <v>2.9682308284054541E-3</v>
      </c>
      <c r="DQ61">
        <v>2.7206156947839296E-3</v>
      </c>
      <c r="DR61">
        <v>2.6926057126299129E-4</v>
      </c>
      <c r="DS61">
        <v>2.6259812853788515E-3</v>
      </c>
      <c r="DT61">
        <v>5.8662510782554386E-4</v>
      </c>
      <c r="DU61">
        <v>1.4245104840870141E-3</v>
      </c>
      <c r="DV61">
        <v>7.8274213399845297E-4</v>
      </c>
      <c r="DW61">
        <v>1.8970627578108713E-3</v>
      </c>
      <c r="DX61">
        <v>5.1934073627711519E-2</v>
      </c>
      <c r="DY61">
        <v>3.0293775122443639E-8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0.1038498455039092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1.0082507023815001E-2</v>
      </c>
      <c r="EX61">
        <v>0</v>
      </c>
      <c r="EY61">
        <v>1.0462058880432891E-9</v>
      </c>
      <c r="EZ61">
        <v>1.5260430404857797E-8</v>
      </c>
      <c r="FA61">
        <v>1.2192595262468308E-10</v>
      </c>
      <c r="FB61">
        <v>2.3368080950778406E-10</v>
      </c>
      <c r="FC61">
        <v>2.5575351840361095E-4</v>
      </c>
      <c r="FD61">
        <v>5.2333727928893206E-4</v>
      </c>
      <c r="FE61">
        <v>8.9522931311740886E-6</v>
      </c>
      <c r="FF61">
        <v>1.8770260552826415E-8</v>
      </c>
      <c r="FG61">
        <v>1.1397741820348994E-9</v>
      </c>
      <c r="FH61">
        <v>1.2888296658350327E-7</v>
      </c>
      <c r="FI61">
        <v>3.7543738977374982E-9</v>
      </c>
      <c r="FJ61">
        <v>5.596328587999333E-9</v>
      </c>
      <c r="FK61">
        <v>1.5868658514418092E-10</v>
      </c>
      <c r="FL61">
        <v>4.3459260835530545E-7</v>
      </c>
      <c r="FM61">
        <v>9.9804865671978564E-7</v>
      </c>
      <c r="FN61">
        <v>1.7042496081303002E-6</v>
      </c>
      <c r="FO61">
        <v>3.164248474106648E-5</v>
      </c>
      <c r="FP61">
        <v>1.4048291382143211E-4</v>
      </c>
      <c r="FQ61">
        <v>2.1452845268197989E-5</v>
      </c>
      <c r="FR61">
        <v>1.0396638259593814E-4</v>
      </c>
      <c r="FS61">
        <v>6.527831057063569E-5</v>
      </c>
      <c r="FT61">
        <v>4.1356966015841223E-6</v>
      </c>
      <c r="FU61">
        <v>3.4193178211455928E-4</v>
      </c>
      <c r="FV61">
        <v>3.7063121726641917E-4</v>
      </c>
      <c r="FW61">
        <v>1.1171093683618082E-5</v>
      </c>
      <c r="FX61">
        <v>8.9852473948284623E-6</v>
      </c>
      <c r="FY61">
        <v>4.8572902029319437E-6</v>
      </c>
      <c r="FZ61">
        <v>1.0483925843070727E-5</v>
      </c>
      <c r="GA61">
        <v>7.8684840500061898E-6</v>
      </c>
      <c r="GB61">
        <v>8.1435892264443864E-6</v>
      </c>
      <c r="GC61">
        <v>8.5348391186796192E-6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1.1054297091773039E-5</v>
      </c>
      <c r="GJ61">
        <v>1.1501410107261924E-5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2.1252590236887477E-4</v>
      </c>
      <c r="GR61">
        <v>7.4099234087869766E-4</v>
      </c>
      <c r="GS61">
        <v>1.9929368571384095E-4</v>
      </c>
      <c r="GT61">
        <v>0</v>
      </c>
      <c r="GU61">
        <v>0</v>
      </c>
    </row>
    <row r="62" spans="1:203">
      <c r="A62" t="s">
        <v>200</v>
      </c>
      <c r="B62">
        <v>59</v>
      </c>
      <c r="C62" t="s">
        <v>9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</row>
    <row r="63" spans="1:203">
      <c r="A63" t="s">
        <v>201</v>
      </c>
      <c r="B63">
        <v>60</v>
      </c>
      <c r="C63" t="s">
        <v>10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2.0129218134451394E-7</v>
      </c>
      <c r="X63">
        <v>0</v>
      </c>
      <c r="Y63">
        <v>0</v>
      </c>
      <c r="Z63">
        <v>0</v>
      </c>
      <c r="AA63">
        <v>2.0129218134451394E-7</v>
      </c>
      <c r="AB63">
        <v>0</v>
      </c>
      <c r="AC63">
        <v>0</v>
      </c>
      <c r="AD63">
        <v>0</v>
      </c>
      <c r="AE63">
        <v>0</v>
      </c>
      <c r="AF63">
        <v>2.608431246437428E-8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5.7637681643017535E-3</v>
      </c>
      <c r="BA63">
        <v>0</v>
      </c>
      <c r="BB63">
        <v>0</v>
      </c>
      <c r="BC63">
        <v>0</v>
      </c>
      <c r="BD63">
        <v>0</v>
      </c>
      <c r="BE63">
        <v>3.5754048277458353E-8</v>
      </c>
      <c r="BF63">
        <v>3.8837419657635348E-4</v>
      </c>
      <c r="BG63">
        <v>0</v>
      </c>
      <c r="BH63">
        <v>0</v>
      </c>
      <c r="BI63">
        <v>1.8276743102236945E-6</v>
      </c>
      <c r="BJ63">
        <v>0</v>
      </c>
      <c r="BK63">
        <v>0</v>
      </c>
      <c r="BL63">
        <v>0</v>
      </c>
      <c r="BM63">
        <v>3.5977863164772701E-2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6.7737265326770759E-5</v>
      </c>
      <c r="CL63">
        <v>0</v>
      </c>
      <c r="CM63">
        <v>0</v>
      </c>
      <c r="CN63">
        <v>0</v>
      </c>
      <c r="CO63">
        <v>8.9118721914020638E-5</v>
      </c>
      <c r="CP63">
        <v>0</v>
      </c>
      <c r="CQ63">
        <v>8.9118721914020624E-5</v>
      </c>
      <c r="CR63">
        <v>0</v>
      </c>
      <c r="CS63">
        <v>8.9118721914020638E-5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2.1635555234766278E-4</v>
      </c>
      <c r="DY63">
        <v>4.2037951096481441E-12</v>
      </c>
      <c r="DZ63">
        <v>0</v>
      </c>
      <c r="EA63">
        <v>9.1969372860442023E-7</v>
      </c>
      <c r="EB63">
        <v>6.9868664447884882E-7</v>
      </c>
      <c r="EC63">
        <v>1.084062358470412E-6</v>
      </c>
      <c r="ED63">
        <v>1.1229547462302664E-6</v>
      </c>
      <c r="EE63">
        <v>0</v>
      </c>
      <c r="EF63">
        <v>2.6085101999858424E-7</v>
      </c>
      <c r="EG63">
        <v>2.7360508595877385E-6</v>
      </c>
      <c r="EH63">
        <v>0</v>
      </c>
      <c r="EI63">
        <v>0</v>
      </c>
      <c r="EJ63">
        <v>0</v>
      </c>
      <c r="EK63">
        <v>0</v>
      </c>
      <c r="EL63">
        <v>1.2098813267827004E-6</v>
      </c>
      <c r="EM63">
        <v>1.2340048429765843E-6</v>
      </c>
      <c r="EN63">
        <v>1.2145654602583055E-6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1.4747846873415049E-8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1.5255761542781635E-8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6.1598642469826626E-6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3.2279324467331814E-5</v>
      </c>
      <c r="GR63">
        <v>0</v>
      </c>
      <c r="GS63">
        <v>0</v>
      </c>
      <c r="GT63">
        <v>0</v>
      </c>
      <c r="GU63">
        <v>0</v>
      </c>
    </row>
    <row r="64" spans="1:203">
      <c r="A64" t="s">
        <v>202</v>
      </c>
      <c r="B64">
        <v>61</v>
      </c>
      <c r="C64" t="s">
        <v>10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</row>
    <row r="65" spans="1:203">
      <c r="A65" t="s">
        <v>203</v>
      </c>
      <c r="B65">
        <v>62</v>
      </c>
      <c r="C65" t="s">
        <v>10</v>
      </c>
      <c r="D65">
        <v>4.860717133929423E-4</v>
      </c>
      <c r="E65">
        <v>4.3523309049260585E-4</v>
      </c>
      <c r="F65">
        <v>3.0437568476812351E-4</v>
      </c>
      <c r="G65">
        <v>1.2219509473946075E-2</v>
      </c>
      <c r="H65">
        <v>2.3920743803446849E-4</v>
      </c>
      <c r="I65">
        <v>0</v>
      </c>
      <c r="J65">
        <v>0</v>
      </c>
      <c r="K65">
        <v>6.830405180275661E-3</v>
      </c>
      <c r="L65">
        <v>1.5736634944358747E-4</v>
      </c>
      <c r="M65">
        <v>8.1675058868360199E-5</v>
      </c>
      <c r="N65">
        <v>1.1064277965653958E-3</v>
      </c>
      <c r="O65">
        <v>1.9505292341209348E-3</v>
      </c>
      <c r="P65">
        <v>5.9063224492005737E-3</v>
      </c>
      <c r="Q65">
        <v>2.7234660840088899E-4</v>
      </c>
      <c r="R65">
        <v>0</v>
      </c>
      <c r="S65">
        <v>0</v>
      </c>
      <c r="T65">
        <v>0</v>
      </c>
      <c r="U65">
        <v>2.9105410713498291E-4</v>
      </c>
      <c r="V65">
        <v>2.953274553137355E-3</v>
      </c>
      <c r="W65">
        <v>5.5494130839839178E-7</v>
      </c>
      <c r="X65">
        <v>0</v>
      </c>
      <c r="Y65">
        <v>0</v>
      </c>
      <c r="Z65">
        <v>0</v>
      </c>
      <c r="AA65">
        <v>5.5494130839839178E-7</v>
      </c>
      <c r="AB65">
        <v>0</v>
      </c>
      <c r="AC65">
        <v>0</v>
      </c>
      <c r="AD65">
        <v>0</v>
      </c>
      <c r="AE65">
        <v>0</v>
      </c>
      <c r="AF65">
        <v>2.9840997866063261E-8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1.3539966723556665E-4</v>
      </c>
      <c r="AT65">
        <v>5.055906056084913E-7</v>
      </c>
      <c r="AU65">
        <v>6.2405235307501502E-4</v>
      </c>
      <c r="AV65">
        <v>4.2867444136018081E-4</v>
      </c>
      <c r="AW65">
        <v>5.8176154097799842E-3</v>
      </c>
      <c r="AX65">
        <v>2.1554185623406882E-2</v>
      </c>
      <c r="AY65">
        <v>6.5614629091537618E-2</v>
      </c>
      <c r="AZ65">
        <v>6.9609649501991442E-3</v>
      </c>
      <c r="BA65">
        <v>1.0579002477816722E-2</v>
      </c>
      <c r="BB65">
        <v>1.5771802859073283E-2</v>
      </c>
      <c r="BC65">
        <v>1.1709112934685968E-2</v>
      </c>
      <c r="BD65">
        <v>1.1655197844192973E-2</v>
      </c>
      <c r="BE65">
        <v>5.6474273615773453E-3</v>
      </c>
      <c r="BF65">
        <v>8.9756993049671871E-3</v>
      </c>
      <c r="BG65">
        <v>7.3230207356488079E-3</v>
      </c>
      <c r="BH65">
        <v>1.6739243284866027E-2</v>
      </c>
      <c r="BI65">
        <v>8.6531034073293444E-3</v>
      </c>
      <c r="BJ65">
        <v>0</v>
      </c>
      <c r="BK65">
        <v>3.8716299486740512E-6</v>
      </c>
      <c r="BL65">
        <v>0</v>
      </c>
      <c r="BM65">
        <v>0.24113812019449515</v>
      </c>
      <c r="BN65">
        <v>8.0984708843401226E-2</v>
      </c>
      <c r="BO65">
        <v>3.7365531101207441E-4</v>
      </c>
      <c r="BP65">
        <v>0</v>
      </c>
      <c r="BQ65">
        <v>3.7365531101207441E-4</v>
      </c>
      <c r="BR65">
        <v>3.0089840097409086E-4</v>
      </c>
      <c r="BS65">
        <v>0</v>
      </c>
      <c r="BT65">
        <v>0</v>
      </c>
      <c r="BU65">
        <v>3.0089840097409081E-4</v>
      </c>
      <c r="BV65">
        <v>3.0089840097409081E-4</v>
      </c>
      <c r="BW65">
        <v>3.0089840097409081E-4</v>
      </c>
      <c r="BX65">
        <v>3.0089840097409086E-4</v>
      </c>
      <c r="BY65">
        <v>3.0089840097409086E-4</v>
      </c>
      <c r="BZ65">
        <v>3.0089840097409081E-4</v>
      </c>
      <c r="CA65">
        <v>3.0089840097409086E-4</v>
      </c>
      <c r="CB65">
        <v>0</v>
      </c>
      <c r="CC65">
        <v>3.0089840097409081E-4</v>
      </c>
      <c r="CD65">
        <v>3.0089840097409081E-4</v>
      </c>
      <c r="CE65">
        <v>3.0089840097409081E-4</v>
      </c>
      <c r="CF65">
        <v>3.0089840097409086E-4</v>
      </c>
      <c r="CG65">
        <v>3.0089840097409086E-4</v>
      </c>
      <c r="CH65">
        <v>3.0089840097409086E-4</v>
      </c>
      <c r="CI65">
        <v>3.0089840097409086E-4</v>
      </c>
      <c r="CJ65">
        <v>1.9591642410851138E-5</v>
      </c>
      <c r="CK65">
        <v>2.8808263372516913E-4</v>
      </c>
      <c r="CL65">
        <v>0</v>
      </c>
      <c r="CM65">
        <v>2.365681816181007E-3</v>
      </c>
      <c r="CN65">
        <v>3.0278410802767912E-3</v>
      </c>
      <c r="CO65">
        <v>9.6068280180531349E-3</v>
      </c>
      <c r="CP65">
        <v>0</v>
      </c>
      <c r="CQ65">
        <v>9.6068280180531349E-3</v>
      </c>
      <c r="CR65">
        <v>0</v>
      </c>
      <c r="CS65">
        <v>9.6068280180531367E-3</v>
      </c>
      <c r="CT65">
        <v>0</v>
      </c>
      <c r="CU65">
        <v>8.3258572955329183E-3</v>
      </c>
      <c r="CV65">
        <v>1.1639425992361081E-2</v>
      </c>
      <c r="CW65">
        <v>0</v>
      </c>
      <c r="CX65">
        <v>2.8004102878633419E-2</v>
      </c>
      <c r="CY65">
        <v>1.7361068759238707E-2</v>
      </c>
      <c r="CZ65">
        <v>1.1468660306037247E-3</v>
      </c>
      <c r="DA65">
        <v>0</v>
      </c>
      <c r="DB65">
        <v>1.1006109252224235E-2</v>
      </c>
      <c r="DC65">
        <v>1.6377450500034172E-4</v>
      </c>
      <c r="DD65">
        <v>0</v>
      </c>
      <c r="DE65">
        <v>6.4709625177141074E-5</v>
      </c>
      <c r="DF65">
        <v>0</v>
      </c>
      <c r="DG65">
        <v>9.3113684231494151E-5</v>
      </c>
      <c r="DH65">
        <v>0</v>
      </c>
      <c r="DI65">
        <v>1.1251008053944313E-9</v>
      </c>
      <c r="DJ65">
        <v>0</v>
      </c>
      <c r="DK65">
        <v>3.0400150954376128E-3</v>
      </c>
      <c r="DL65">
        <v>0</v>
      </c>
      <c r="DM65">
        <v>6.0315693551592708E-4</v>
      </c>
      <c r="DN65">
        <v>0</v>
      </c>
      <c r="DO65">
        <v>9.8507631127067686E-4</v>
      </c>
      <c r="DP65">
        <v>4.6820860427526419E-3</v>
      </c>
      <c r="DQ65">
        <v>2.1051424436286394E-3</v>
      </c>
      <c r="DR65">
        <v>3.7154099247520677E-3</v>
      </c>
      <c r="DS65">
        <v>1.0656082518139964E-2</v>
      </c>
      <c r="DT65">
        <v>2.1377475532596522E-3</v>
      </c>
      <c r="DU65">
        <v>4.7482106147675937E-3</v>
      </c>
      <c r="DV65">
        <v>4.6270932789318787E-4</v>
      </c>
      <c r="DW65">
        <v>1.8039929958654351E-4</v>
      </c>
      <c r="DX65">
        <v>1.1598319960408148E-2</v>
      </c>
      <c r="DY65">
        <v>6.4881909550488207E-8</v>
      </c>
      <c r="DZ65">
        <v>0</v>
      </c>
      <c r="EA65">
        <v>1.5106120799191287E-6</v>
      </c>
      <c r="EB65">
        <v>1.0893392399722264E-6</v>
      </c>
      <c r="EC65">
        <v>1.9580166698038096E-6</v>
      </c>
      <c r="ED65">
        <v>2.776223097923451E-6</v>
      </c>
      <c r="EE65">
        <v>0</v>
      </c>
      <c r="EF65">
        <v>6.4088781837448316E-7</v>
      </c>
      <c r="EG65">
        <v>7.051194295458524E-6</v>
      </c>
      <c r="EH65">
        <v>0</v>
      </c>
      <c r="EI65">
        <v>0</v>
      </c>
      <c r="EJ65">
        <v>0</v>
      </c>
      <c r="EK65">
        <v>0</v>
      </c>
      <c r="EL65">
        <v>1.8896743889105146E-6</v>
      </c>
      <c r="EM65">
        <v>1.9432999968585429E-6</v>
      </c>
      <c r="EN65">
        <v>1.9861363210334001E-6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1.3741381659692437E-5</v>
      </c>
      <c r="EW65">
        <v>1.715802051155361E-3</v>
      </c>
      <c r="EX65">
        <v>0</v>
      </c>
      <c r="EY65">
        <v>1.048803592095971E-9</v>
      </c>
      <c r="EZ65">
        <v>1.5455016677052844E-8</v>
      </c>
      <c r="FA65">
        <v>1.2373281408369267E-10</v>
      </c>
      <c r="FB65">
        <v>2.3686370070796164E-10</v>
      </c>
      <c r="FC65">
        <v>2.1810922768777941E-3</v>
      </c>
      <c r="FD65">
        <v>3.5783163220444504E-5</v>
      </c>
      <c r="FE65">
        <v>1.6875238004486536E-4</v>
      </c>
      <c r="FF65">
        <v>2.0445842022962616E-8</v>
      </c>
      <c r="FG65">
        <v>1.181859347398607E-9</v>
      </c>
      <c r="FH65">
        <v>1.5253624490437916E-4</v>
      </c>
      <c r="FI65">
        <v>4.35854888452126E-9</v>
      </c>
      <c r="FJ65">
        <v>8.3095833599481389E-9</v>
      </c>
      <c r="FK65">
        <v>1.6568187247829099E-10</v>
      </c>
      <c r="FL65">
        <v>7.7743329726121736E-5</v>
      </c>
      <c r="FM65">
        <v>1.1205691424967863E-4</v>
      </c>
      <c r="FN65">
        <v>1.4788390954990271E-5</v>
      </c>
      <c r="FO65">
        <v>3.8595679325921018E-4</v>
      </c>
      <c r="FP65">
        <v>5.218538112076246E-6</v>
      </c>
      <c r="FQ65">
        <v>1.1087917932178061E-3</v>
      </c>
      <c r="FR65">
        <v>9.7341954694441966E-4</v>
      </c>
      <c r="FS65">
        <v>9.9737556203507603E-4</v>
      </c>
      <c r="FT65">
        <v>0</v>
      </c>
      <c r="FU65">
        <v>0</v>
      </c>
      <c r="FV65">
        <v>7.1113560241292727E-4</v>
      </c>
      <c r="FW65">
        <v>8.4316437811411213E-5</v>
      </c>
      <c r="FX65">
        <v>8.4474523654407005E-5</v>
      </c>
      <c r="FY65">
        <v>8.2650046699848066E-5</v>
      </c>
      <c r="FZ65">
        <v>7.9609442961896631E-5</v>
      </c>
      <c r="GA65">
        <v>8.4748473732888701E-5</v>
      </c>
      <c r="GB65">
        <v>8.4550578487940339E-5</v>
      </c>
      <c r="GC65">
        <v>8.4055706403123747E-5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7.3752233341421348E-5</v>
      </c>
      <c r="GJ65">
        <v>7.6438554122518001E-5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4.7985125689787526E-5</v>
      </c>
      <c r="GR65">
        <v>1.9044050190920862E-2</v>
      </c>
      <c r="GS65">
        <v>3.9147872898078716E-2</v>
      </c>
      <c r="GT65">
        <v>0</v>
      </c>
      <c r="GU65">
        <v>0</v>
      </c>
    </row>
    <row r="66" spans="1:203">
      <c r="A66" t="s">
        <v>204</v>
      </c>
      <c r="B66">
        <v>63</v>
      </c>
      <c r="C66" t="s">
        <v>10</v>
      </c>
      <c r="D66">
        <v>1.1165951860842949E-5</v>
      </c>
      <c r="E66">
        <v>0</v>
      </c>
      <c r="F66">
        <v>5.1014348419185239E-6</v>
      </c>
      <c r="G66">
        <v>1.0767787285240543E-3</v>
      </c>
      <c r="H66">
        <v>1.2352337210416376E-4</v>
      </c>
      <c r="I66">
        <v>0</v>
      </c>
      <c r="J66">
        <v>0</v>
      </c>
      <c r="K66">
        <v>1.4925380502231556E-3</v>
      </c>
      <c r="L66">
        <v>5.0734879177501863E-5</v>
      </c>
      <c r="M66">
        <v>8.3526060614056756E-5</v>
      </c>
      <c r="N66">
        <v>3.3050435695601571E-4</v>
      </c>
      <c r="O66">
        <v>1.6457409299438592E-5</v>
      </c>
      <c r="P66">
        <v>1.3555153545920763E-4</v>
      </c>
      <c r="Q66">
        <v>3.0911529049677729E-4</v>
      </c>
      <c r="R66">
        <v>0</v>
      </c>
      <c r="S66">
        <v>0</v>
      </c>
      <c r="T66">
        <v>0</v>
      </c>
      <c r="U66">
        <v>2.5600664299597323E-4</v>
      </c>
      <c r="V66">
        <v>2.4787086270392465E-4</v>
      </c>
      <c r="W66">
        <v>3.8063259040692615E-4</v>
      </c>
      <c r="X66">
        <v>0</v>
      </c>
      <c r="Y66">
        <v>0</v>
      </c>
      <c r="Z66">
        <v>0</v>
      </c>
      <c r="AA66">
        <v>3.8063259040692615E-4</v>
      </c>
      <c r="AB66">
        <v>0</v>
      </c>
      <c r="AC66">
        <v>0</v>
      </c>
      <c r="AD66">
        <v>0</v>
      </c>
      <c r="AE66">
        <v>3.5901374973506959E-6</v>
      </c>
      <c r="AF66">
        <v>4.5070017479750139E-8</v>
      </c>
      <c r="AG66">
        <v>0</v>
      </c>
      <c r="AH66">
        <v>0</v>
      </c>
      <c r="AI66">
        <v>1.0418681308368531E-7</v>
      </c>
      <c r="AJ66">
        <v>1.2477997854120661E-4</v>
      </c>
      <c r="AK66">
        <v>0</v>
      </c>
      <c r="AL66">
        <v>1.0474173583471144E-8</v>
      </c>
      <c r="AM66">
        <v>0</v>
      </c>
      <c r="AN66">
        <v>4.8254390113089859E-8</v>
      </c>
      <c r="AO66">
        <v>0</v>
      </c>
      <c r="AP66">
        <v>8.7725546238886247E-6</v>
      </c>
      <c r="AQ66">
        <v>1.2449615475057885E-8</v>
      </c>
      <c r="AR66">
        <v>1.459520086656563E-9</v>
      </c>
      <c r="AS66">
        <v>2.3470608522111966E-4</v>
      </c>
      <c r="AT66">
        <v>1.1731455545027313E-6</v>
      </c>
      <c r="AU66">
        <v>1.4221529045527286E-3</v>
      </c>
      <c r="AV66">
        <v>1.0366896694391562E-3</v>
      </c>
      <c r="AW66">
        <v>8.8480230058353062E-3</v>
      </c>
      <c r="AX66">
        <v>1.5262258391827012E-4</v>
      </c>
      <c r="AY66">
        <v>1.7351847255445631E-3</v>
      </c>
      <c r="AZ66">
        <v>5.5682936932802243E-5</v>
      </c>
      <c r="BA66">
        <v>1.6022841171322306E-4</v>
      </c>
      <c r="BB66">
        <v>7.1055152433202053E-4</v>
      </c>
      <c r="BC66">
        <v>3.7280256870090202E-3</v>
      </c>
      <c r="BD66">
        <v>1.5684282290936715E-3</v>
      </c>
      <c r="BE66">
        <v>2.5462770663662614E-2</v>
      </c>
      <c r="BF66">
        <v>1.5627352952760941E-3</v>
      </c>
      <c r="BG66">
        <v>2.527196513621596E-3</v>
      </c>
      <c r="BH66">
        <v>9.6641854975842538E-3</v>
      </c>
      <c r="BI66">
        <v>4.1481465882270489E-4</v>
      </c>
      <c r="BJ66">
        <v>0</v>
      </c>
      <c r="BK66">
        <v>9.3195171445039921E-4</v>
      </c>
      <c r="BL66">
        <v>0</v>
      </c>
      <c r="BM66">
        <v>6.7493057477541057E-3</v>
      </c>
      <c r="BN66">
        <v>0.16131366210093759</v>
      </c>
      <c r="BO66">
        <v>1.5106178009280939E-3</v>
      </c>
      <c r="BP66">
        <v>0</v>
      </c>
      <c r="BQ66">
        <v>1.5106178009280939E-3</v>
      </c>
      <c r="BR66">
        <v>1.4406635412739547E-3</v>
      </c>
      <c r="BS66">
        <v>0</v>
      </c>
      <c r="BT66">
        <v>0</v>
      </c>
      <c r="BU66">
        <v>1.4406635412739543E-3</v>
      </c>
      <c r="BV66">
        <v>1.4406635412739547E-3</v>
      </c>
      <c r="BW66">
        <v>1.4406635412739545E-3</v>
      </c>
      <c r="BX66">
        <v>1.4406635412739545E-3</v>
      </c>
      <c r="BY66">
        <v>1.4406635412739545E-3</v>
      </c>
      <c r="BZ66">
        <v>1.4406635412739545E-3</v>
      </c>
      <c r="CA66">
        <v>1.4406635412739545E-3</v>
      </c>
      <c r="CB66">
        <v>0</v>
      </c>
      <c r="CC66">
        <v>1.4406635412739545E-3</v>
      </c>
      <c r="CD66">
        <v>1.4406635412739547E-3</v>
      </c>
      <c r="CE66">
        <v>1.4406635412739547E-3</v>
      </c>
      <c r="CF66">
        <v>1.4406635412739547E-3</v>
      </c>
      <c r="CG66">
        <v>1.4406635412739545E-3</v>
      </c>
      <c r="CH66">
        <v>1.4406635412739547E-3</v>
      </c>
      <c r="CI66">
        <v>1.4406635412739545E-3</v>
      </c>
      <c r="CJ66">
        <v>6.892110429924011E-4</v>
      </c>
      <c r="CK66">
        <v>1.346199003038656E-5</v>
      </c>
      <c r="CL66">
        <v>0</v>
      </c>
      <c r="CM66">
        <v>2.7812418947763506E-4</v>
      </c>
      <c r="CN66">
        <v>7.7325751161404655E-4</v>
      </c>
      <c r="CO66">
        <v>1.5957508933160979E-3</v>
      </c>
      <c r="CP66">
        <v>0</v>
      </c>
      <c r="CQ66">
        <v>1.5957508933160979E-3</v>
      </c>
      <c r="CR66">
        <v>0</v>
      </c>
      <c r="CS66">
        <v>1.5957508933160981E-3</v>
      </c>
      <c r="CT66">
        <v>0</v>
      </c>
      <c r="CU66">
        <v>3.3226564645592732E-3</v>
      </c>
      <c r="CV66">
        <v>3.9452934773087384E-4</v>
      </c>
      <c r="CW66">
        <v>0</v>
      </c>
      <c r="CX66">
        <v>6.4997710620656656E-3</v>
      </c>
      <c r="CY66">
        <v>6.3196611499815149E-4</v>
      </c>
      <c r="CZ66">
        <v>2.6002688275818437E-4</v>
      </c>
      <c r="DA66">
        <v>0</v>
      </c>
      <c r="DB66">
        <v>7.1757034634397623E-4</v>
      </c>
      <c r="DC66">
        <v>3.9579285117757883E-5</v>
      </c>
      <c r="DD66">
        <v>0</v>
      </c>
      <c r="DE66">
        <v>1.5011908648186978E-4</v>
      </c>
      <c r="DF66">
        <v>0</v>
      </c>
      <c r="DG66">
        <v>2.6980423162285068E-4</v>
      </c>
      <c r="DH66">
        <v>0</v>
      </c>
      <c r="DI66">
        <v>1.1722244332343308E-9</v>
      </c>
      <c r="DJ66">
        <v>0</v>
      </c>
      <c r="DK66">
        <v>1.1461390550178405E-4</v>
      </c>
      <c r="DL66">
        <v>0</v>
      </c>
      <c r="DM66">
        <v>2.5220942307681488E-4</v>
      </c>
      <c r="DN66">
        <v>0</v>
      </c>
      <c r="DO66">
        <v>5.5052650499354326E-4</v>
      </c>
      <c r="DP66">
        <v>1.1212493247424063E-3</v>
      </c>
      <c r="DQ66">
        <v>4.7924093522056015E-4</v>
      </c>
      <c r="DR66">
        <v>3.3448013342128962E-3</v>
      </c>
      <c r="DS66">
        <v>9.6845663621450894E-4</v>
      </c>
      <c r="DT66">
        <v>9.8844122540610964E-4</v>
      </c>
      <c r="DU66">
        <v>7.3173109800750511E-4</v>
      </c>
      <c r="DV66">
        <v>1.7459845861882232E-4</v>
      </c>
      <c r="DW66">
        <v>3.7034995168217319E-4</v>
      </c>
      <c r="DX66">
        <v>2.2955146550258749E-3</v>
      </c>
      <c r="DY66">
        <v>2.1048654666231929E-8</v>
      </c>
      <c r="DZ66">
        <v>0</v>
      </c>
      <c r="EA66">
        <v>4.7160152168687511E-4</v>
      </c>
      <c r="EB66">
        <v>3.3407087449950309E-4</v>
      </c>
      <c r="EC66">
        <v>3.7661555683098997E-4</v>
      </c>
      <c r="ED66">
        <v>2.0333254538394766E-4</v>
      </c>
      <c r="EE66">
        <v>1.0003642006593676E-4</v>
      </c>
      <c r="EF66">
        <v>1.3709313966025479E-4</v>
      </c>
      <c r="EG66">
        <v>7.0687505438367197E-4</v>
      </c>
      <c r="EH66">
        <v>9.9326475229749654E-5</v>
      </c>
      <c r="EI66">
        <v>0</v>
      </c>
      <c r="EJ66">
        <v>0</v>
      </c>
      <c r="EK66">
        <v>0</v>
      </c>
      <c r="EL66">
        <v>3.4069211183234929E-4</v>
      </c>
      <c r="EM66">
        <v>3.9326159948054745E-4</v>
      </c>
      <c r="EN66">
        <v>3.9075648949144371E-4</v>
      </c>
      <c r="EO66">
        <v>3.054002330315835E-7</v>
      </c>
      <c r="EP66">
        <v>3.0540023303158344E-7</v>
      </c>
      <c r="EQ66">
        <v>3.054002330315835E-7</v>
      </c>
      <c r="ER66">
        <v>0</v>
      </c>
      <c r="ES66">
        <v>3.054002330315835E-7</v>
      </c>
      <c r="ET66">
        <v>3.054002330315835E-7</v>
      </c>
      <c r="EU66">
        <v>2.7874947033947215E-6</v>
      </c>
      <c r="EV66">
        <v>4.6079686351127737E-5</v>
      </c>
      <c r="EW66">
        <v>4.4835897509268183E-4</v>
      </c>
      <c r="EX66">
        <v>0</v>
      </c>
      <c r="EY66">
        <v>1.0550850741543964E-9</v>
      </c>
      <c r="EZ66">
        <v>1.5932646139754081E-8</v>
      </c>
      <c r="FA66">
        <v>1.2828317673429231E-10</v>
      </c>
      <c r="FB66">
        <v>2.448465462307259E-10</v>
      </c>
      <c r="FC66">
        <v>2.7018687952086521E-4</v>
      </c>
      <c r="FD66">
        <v>1.0933774989401647E-4</v>
      </c>
      <c r="FE66">
        <v>6.8067520626314659E-4</v>
      </c>
      <c r="FF66">
        <v>2.5929425588779133E-8</v>
      </c>
      <c r="FG66">
        <v>1.2264453656777647E-9</v>
      </c>
      <c r="FH66">
        <v>9.5977941229835031E-4</v>
      </c>
      <c r="FI66">
        <v>6.9606957314876607E-9</v>
      </c>
      <c r="FJ66">
        <v>5.8663343659507804E-5</v>
      </c>
      <c r="FK66">
        <v>1.7507848815235598E-10</v>
      </c>
      <c r="FL66">
        <v>3.7717319867865552E-3</v>
      </c>
      <c r="FM66">
        <v>6.0460142761345186E-3</v>
      </c>
      <c r="FN66">
        <v>6.6530661519445533E-3</v>
      </c>
      <c r="FO66">
        <v>8.0222480383024231E-4</v>
      </c>
      <c r="FP66">
        <v>2.6688278529354062E-3</v>
      </c>
      <c r="FQ66">
        <v>1.9860167987490384E-3</v>
      </c>
      <c r="FR66">
        <v>6.5888140141888204E-3</v>
      </c>
      <c r="FS66">
        <v>5.8316575977239039E-3</v>
      </c>
      <c r="FT66">
        <v>4.2424347456409429E-3</v>
      </c>
      <c r="FU66">
        <v>1.0721266196020525E-2</v>
      </c>
      <c r="FV66">
        <v>2.5588028982684026E-3</v>
      </c>
      <c r="FW66">
        <v>1.9177537302417207E-3</v>
      </c>
      <c r="FX66">
        <v>1.9227732299196075E-3</v>
      </c>
      <c r="FY66">
        <v>1.8873409826626684E-3</v>
      </c>
      <c r="FZ66">
        <v>1.8314580805527906E-3</v>
      </c>
      <c r="GA66">
        <v>1.9282606519534966E-3</v>
      </c>
      <c r="GB66">
        <v>1.9242443316736433E-3</v>
      </c>
      <c r="GC66">
        <v>1.9133904635168575E-3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1.6835075725485371E-3</v>
      </c>
      <c r="GJ66">
        <v>1.7422528684247632E-3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1.7444342544444432E-2</v>
      </c>
      <c r="GR66">
        <v>2.7429813301142868E-2</v>
      </c>
      <c r="GS66">
        <v>1.0107571221466823E-2</v>
      </c>
      <c r="GT66">
        <v>2.5245809953376893E-6</v>
      </c>
      <c r="GU66">
        <v>0</v>
      </c>
    </row>
    <row r="67" spans="1:203">
      <c r="A67" t="s">
        <v>205</v>
      </c>
      <c r="B67">
        <v>64</v>
      </c>
      <c r="C67" t="s">
        <v>11</v>
      </c>
      <c r="D67">
        <v>3.8556838721819938E-9</v>
      </c>
      <c r="E67">
        <v>2.1959108579441803E-6</v>
      </c>
      <c r="F67">
        <v>8.8435703678078095E-7</v>
      </c>
      <c r="G67">
        <v>9.0027956127789683E-9</v>
      </c>
      <c r="H67">
        <v>1.3347910622931706E-7</v>
      </c>
      <c r="I67">
        <v>0</v>
      </c>
      <c r="J67">
        <v>0</v>
      </c>
      <c r="K67">
        <v>3.8018629655377769E-3</v>
      </c>
      <c r="L67">
        <v>9.8919341705898538E-9</v>
      </c>
      <c r="M67">
        <v>2.2727229277116317E-8</v>
      </c>
      <c r="N67">
        <v>1.9311719705949423E-8</v>
      </c>
      <c r="O67">
        <v>2.1705654574348849E-5</v>
      </c>
      <c r="P67">
        <v>1.8240766127182272E-4</v>
      </c>
      <c r="Q67">
        <v>1.7622473970536892E-4</v>
      </c>
      <c r="R67">
        <v>0</v>
      </c>
      <c r="S67">
        <v>0</v>
      </c>
      <c r="T67">
        <v>0</v>
      </c>
      <c r="U67">
        <v>0</v>
      </c>
      <c r="V67">
        <v>2.0070211398748043E-4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4.9947158689701655E-2</v>
      </c>
      <c r="BP67">
        <v>0</v>
      </c>
      <c r="BQ67">
        <v>4.9947158689701662E-2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2.2767550278945408E-8</v>
      </c>
      <c r="CY67">
        <v>5.9149566625448112E-7</v>
      </c>
      <c r="CZ67">
        <v>3.6988755786180013E-9</v>
      </c>
      <c r="DA67">
        <v>0</v>
      </c>
      <c r="DB67">
        <v>5.7853492410538083E-9</v>
      </c>
      <c r="DC67">
        <v>6.2214737266232372E-3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1.2276455095723412E-3</v>
      </c>
      <c r="DP67">
        <v>0</v>
      </c>
      <c r="DQ67">
        <v>3.043403208245112E-9</v>
      </c>
      <c r="DR67">
        <v>0</v>
      </c>
      <c r="DS67">
        <v>0</v>
      </c>
      <c r="DT67">
        <v>0</v>
      </c>
      <c r="DU67">
        <v>0</v>
      </c>
      <c r="DV67">
        <v>5.7097504304160655E-10</v>
      </c>
      <c r="DW67">
        <v>0</v>
      </c>
      <c r="DX67">
        <v>0</v>
      </c>
      <c r="DY67">
        <v>0</v>
      </c>
      <c r="DZ67">
        <v>0</v>
      </c>
      <c r="EA67">
        <v>4.7332507408934348E-3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1.0177395579346456E-9</v>
      </c>
      <c r="EZ67">
        <v>1.2434454912581469E-8</v>
      </c>
      <c r="FA67">
        <v>1.0465414554045933E-10</v>
      </c>
      <c r="FB67">
        <v>2.0288148499175303E-10</v>
      </c>
      <c r="FC67">
        <v>7.5655434526044294E-10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1.2001464891877003E-9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8.2512024284690324E-7</v>
      </c>
      <c r="FU67">
        <v>0</v>
      </c>
      <c r="FV67">
        <v>6.8982238058968302E-5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8.1711176420202278E-9</v>
      </c>
      <c r="GT67">
        <v>0</v>
      </c>
      <c r="GU67">
        <v>0</v>
      </c>
    </row>
    <row r="68" spans="1:203">
      <c r="A68" t="s">
        <v>206</v>
      </c>
      <c r="B68">
        <v>65</v>
      </c>
      <c r="C68" t="s">
        <v>11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</row>
    <row r="69" spans="1:203">
      <c r="A69" t="s">
        <v>207</v>
      </c>
      <c r="B69">
        <v>66</v>
      </c>
      <c r="C69" t="s">
        <v>11</v>
      </c>
      <c r="D69">
        <v>3.2480677880290699E-9</v>
      </c>
      <c r="E69">
        <v>1.6875928045347839E-6</v>
      </c>
      <c r="F69">
        <v>5.775136162447142E-7</v>
      </c>
      <c r="G69">
        <v>6.2417111287888229E-9</v>
      </c>
      <c r="H69">
        <v>9.4145572708477783E-8</v>
      </c>
      <c r="I69">
        <v>0</v>
      </c>
      <c r="J69">
        <v>0</v>
      </c>
      <c r="K69">
        <v>2.4199055474034815E-4</v>
      </c>
      <c r="L69">
        <v>7.8046160368933135E-9</v>
      </c>
      <c r="M69">
        <v>1.5134580549892163E-8</v>
      </c>
      <c r="N69">
        <v>1.5113590775076113E-8</v>
      </c>
      <c r="O69">
        <v>1.9048955862579362E-6</v>
      </c>
      <c r="P69">
        <v>8.7286496926491364E-6</v>
      </c>
      <c r="Q69">
        <v>5.7127322179505351E-6</v>
      </c>
      <c r="R69">
        <v>0</v>
      </c>
      <c r="S69">
        <v>0</v>
      </c>
      <c r="T69">
        <v>0</v>
      </c>
      <c r="U69">
        <v>0</v>
      </c>
      <c r="V69">
        <v>8.1034946127135606E-7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8.3792344047367096E-4</v>
      </c>
      <c r="BP69">
        <v>0</v>
      </c>
      <c r="BQ69">
        <v>8.3792344047367096E-4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1.1585564261995191E-7</v>
      </c>
      <c r="CL69">
        <v>0</v>
      </c>
      <c r="CM69">
        <v>0</v>
      </c>
      <c r="CN69">
        <v>0</v>
      </c>
      <c r="CO69">
        <v>3.7943114806643867E-4</v>
      </c>
      <c r="CP69">
        <v>0</v>
      </c>
      <c r="CQ69">
        <v>3.7943114806643867E-4</v>
      </c>
      <c r="CR69">
        <v>0</v>
      </c>
      <c r="CS69">
        <v>3.7943114806643873E-4</v>
      </c>
      <c r="CT69">
        <v>0</v>
      </c>
      <c r="CU69">
        <v>0</v>
      </c>
      <c r="CV69">
        <v>0</v>
      </c>
      <c r="CW69">
        <v>0</v>
      </c>
      <c r="CX69">
        <v>1.7635461707889915E-8</v>
      </c>
      <c r="CY69">
        <v>4.8349011562002318E-7</v>
      </c>
      <c r="CZ69">
        <v>3.0368292186822004E-9</v>
      </c>
      <c r="DA69">
        <v>0</v>
      </c>
      <c r="DB69">
        <v>4.3031518529957141E-9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1.1960842276304976E-9</v>
      </c>
      <c r="DR69">
        <v>0</v>
      </c>
      <c r="DS69">
        <v>0</v>
      </c>
      <c r="DT69">
        <v>0</v>
      </c>
      <c r="DU69">
        <v>0</v>
      </c>
      <c r="DV69">
        <v>4.0068398593029816E-10</v>
      </c>
      <c r="DW69">
        <v>0</v>
      </c>
      <c r="DX69">
        <v>0</v>
      </c>
      <c r="DY69">
        <v>0</v>
      </c>
      <c r="DZ69">
        <v>0</v>
      </c>
      <c r="EA69">
        <v>5.0599008058061208E-8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1.0140262822018922E-9</v>
      </c>
      <c r="EZ69">
        <v>1.2037045164091919E-8</v>
      </c>
      <c r="FA69">
        <v>1.0236471245248711E-10</v>
      </c>
      <c r="FB69">
        <v>1.9888411518702799E-10</v>
      </c>
      <c r="FC69">
        <v>5.7368969506549006E-10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1.0581803317274079E-9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3.5623926696532959E-8</v>
      </c>
      <c r="FU69">
        <v>0</v>
      </c>
      <c r="FV69">
        <v>3.8900085563373801E-6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2.6770131455625795E-9</v>
      </c>
      <c r="GT69">
        <v>0</v>
      </c>
      <c r="GU69">
        <v>0</v>
      </c>
    </row>
    <row r="70" spans="1:203">
      <c r="A70" t="s">
        <v>208</v>
      </c>
      <c r="B70">
        <v>67</v>
      </c>
      <c r="C70" t="s">
        <v>11</v>
      </c>
      <c r="D70">
        <v>2.4873347655539976E-8</v>
      </c>
      <c r="E70">
        <v>1.8384632949740321E-5</v>
      </c>
      <c r="F70">
        <v>4.9417733459814662E-7</v>
      </c>
      <c r="G70">
        <v>5.0699793217939371E-6</v>
      </c>
      <c r="H70">
        <v>2.1509554067315405E-6</v>
      </c>
      <c r="I70">
        <v>0</v>
      </c>
      <c r="J70">
        <v>0</v>
      </c>
      <c r="K70">
        <v>5.7920803616576083E-5</v>
      </c>
      <c r="L70">
        <v>3.1414312606181285E-7</v>
      </c>
      <c r="M70">
        <v>6.024030265901068E-7</v>
      </c>
      <c r="N70">
        <v>6.021196243286624E-7</v>
      </c>
      <c r="O70">
        <v>1.3312821681908909E-6</v>
      </c>
      <c r="P70">
        <v>6.4804214878279529E-5</v>
      </c>
      <c r="Q70">
        <v>8.2119635938573647E-7</v>
      </c>
      <c r="R70">
        <v>0</v>
      </c>
      <c r="S70">
        <v>0</v>
      </c>
      <c r="T70">
        <v>0</v>
      </c>
      <c r="U70">
        <v>5.5422547746746329E-6</v>
      </c>
      <c r="V70">
        <v>2.9355457228120643E-4</v>
      </c>
      <c r="W70">
        <v>8.0312687423101191E-8</v>
      </c>
      <c r="X70">
        <v>0</v>
      </c>
      <c r="Y70">
        <v>0</v>
      </c>
      <c r="Z70">
        <v>0</v>
      </c>
      <c r="AA70">
        <v>8.0312687423101178E-8</v>
      </c>
      <c r="AB70">
        <v>0</v>
      </c>
      <c r="AC70">
        <v>0</v>
      </c>
      <c r="AD70">
        <v>0</v>
      </c>
      <c r="AE70">
        <v>0</v>
      </c>
      <c r="AF70">
        <v>3.1882260819599711E-8</v>
      </c>
      <c r="AG70">
        <v>0</v>
      </c>
      <c r="AH70">
        <v>0</v>
      </c>
      <c r="AI70">
        <v>8.0502481294595544E-8</v>
      </c>
      <c r="AJ70">
        <v>5.8977276650170677E-7</v>
      </c>
      <c r="AK70">
        <v>0</v>
      </c>
      <c r="AL70">
        <v>8.3797053282012621E-9</v>
      </c>
      <c r="AM70">
        <v>0</v>
      </c>
      <c r="AN70">
        <v>3.8139928876615678E-8</v>
      </c>
      <c r="AO70">
        <v>0</v>
      </c>
      <c r="AP70">
        <v>6.7519706744691877E-6</v>
      </c>
      <c r="AQ70">
        <v>5.3561653236721306E-9</v>
      </c>
      <c r="AR70">
        <v>1.212788255668551E-9</v>
      </c>
      <c r="AS70">
        <v>5.6184913861876885E-6</v>
      </c>
      <c r="AT70">
        <v>3.8380182183341627E-8</v>
      </c>
      <c r="AU70">
        <v>2.3696920662080701E-8</v>
      </c>
      <c r="AV70">
        <v>1.4594353203277516E-8</v>
      </c>
      <c r="AW70">
        <v>2.3959480257553067E-6</v>
      </c>
      <c r="AX70">
        <v>0</v>
      </c>
      <c r="AY70">
        <v>3.9981694257623118E-7</v>
      </c>
      <c r="AZ70">
        <v>1.4807336691024333E-6</v>
      </c>
      <c r="BA70">
        <v>4.6298037692159754E-7</v>
      </c>
      <c r="BB70">
        <v>4.101615083246451E-7</v>
      </c>
      <c r="BC70">
        <v>2.2433563981344796E-6</v>
      </c>
      <c r="BD70">
        <v>6.7781452085937532E-7</v>
      </c>
      <c r="BE70">
        <v>1.1458880562577109E-8</v>
      </c>
      <c r="BF70">
        <v>5.3665815917367444E-6</v>
      </c>
      <c r="BG70">
        <v>3.4265810401475201E-7</v>
      </c>
      <c r="BH70">
        <v>2.4567920688503431E-6</v>
      </c>
      <c r="BI70">
        <v>1.2440880354903635E-6</v>
      </c>
      <c r="BJ70">
        <v>0</v>
      </c>
      <c r="BK70">
        <v>2.486259797265938E-7</v>
      </c>
      <c r="BL70">
        <v>0</v>
      </c>
      <c r="BM70">
        <v>9.0054999973754411E-5</v>
      </c>
      <c r="BN70">
        <v>5.53615374244883E-7</v>
      </c>
      <c r="BO70">
        <v>9.2475077600967341E-4</v>
      </c>
      <c r="BP70">
        <v>0</v>
      </c>
      <c r="BQ70">
        <v>9.2475077600967341E-4</v>
      </c>
      <c r="BR70">
        <v>1.8671235366672031E-3</v>
      </c>
      <c r="BS70">
        <v>0</v>
      </c>
      <c r="BT70">
        <v>0</v>
      </c>
      <c r="BU70">
        <v>1.8671235366672029E-3</v>
      </c>
      <c r="BV70">
        <v>1.8671235366672029E-3</v>
      </c>
      <c r="BW70">
        <v>1.8671235366672031E-3</v>
      </c>
      <c r="BX70">
        <v>1.8671235366672031E-3</v>
      </c>
      <c r="BY70">
        <v>1.8671235366672031E-3</v>
      </c>
      <c r="BZ70">
        <v>1.8671235366672031E-3</v>
      </c>
      <c r="CA70">
        <v>1.8671235366672031E-3</v>
      </c>
      <c r="CB70">
        <v>0</v>
      </c>
      <c r="CC70">
        <v>1.8671235366672029E-3</v>
      </c>
      <c r="CD70">
        <v>1.8671235366672027E-3</v>
      </c>
      <c r="CE70">
        <v>1.8671235366672029E-3</v>
      </c>
      <c r="CF70">
        <v>1.8671235366672031E-3</v>
      </c>
      <c r="CG70">
        <v>1.8671235366672029E-3</v>
      </c>
      <c r="CH70">
        <v>1.8671235366672029E-3</v>
      </c>
      <c r="CI70">
        <v>1.8671235366672029E-3</v>
      </c>
      <c r="CJ70">
        <v>0</v>
      </c>
      <c r="CK70">
        <v>0</v>
      </c>
      <c r="CL70">
        <v>0</v>
      </c>
      <c r="CM70">
        <v>1.423363111229868E-5</v>
      </c>
      <c r="CN70">
        <v>6.5227411368949487E-7</v>
      </c>
      <c r="CO70">
        <v>2.3723358323557725E-5</v>
      </c>
      <c r="CP70">
        <v>0</v>
      </c>
      <c r="CQ70">
        <v>2.3723358323557725E-5</v>
      </c>
      <c r="CR70">
        <v>0</v>
      </c>
      <c r="CS70">
        <v>2.3723358323557728E-5</v>
      </c>
      <c r="CT70">
        <v>0</v>
      </c>
      <c r="CU70">
        <v>1.9469891195882574E-6</v>
      </c>
      <c r="CV70">
        <v>1.4088152357892625E-5</v>
      </c>
      <c r="CW70">
        <v>0</v>
      </c>
      <c r="CX70">
        <v>2.1224723444209281E-8</v>
      </c>
      <c r="CY70">
        <v>5.0114342390895278E-7</v>
      </c>
      <c r="CZ70">
        <v>1.5793171555365724E-8</v>
      </c>
      <c r="DA70">
        <v>0</v>
      </c>
      <c r="DB70">
        <v>2.1712974677343496E-4</v>
      </c>
      <c r="DC70">
        <v>4.0251440947759083E-8</v>
      </c>
      <c r="DD70">
        <v>0</v>
      </c>
      <c r="DE70">
        <v>1.1995025845819514E-6</v>
      </c>
      <c r="DF70">
        <v>0</v>
      </c>
      <c r="DG70">
        <v>1.8461059370613699E-6</v>
      </c>
      <c r="DH70">
        <v>0</v>
      </c>
      <c r="DI70">
        <v>1.0155499459377088E-9</v>
      </c>
      <c r="DJ70">
        <v>0</v>
      </c>
      <c r="DK70">
        <v>5.0053024089738886E-7</v>
      </c>
      <c r="DL70">
        <v>0</v>
      </c>
      <c r="DM70">
        <v>2.6475066452951419E-7</v>
      </c>
      <c r="DN70">
        <v>0</v>
      </c>
      <c r="DO70">
        <v>2.9297143254657833E-6</v>
      </c>
      <c r="DP70">
        <v>2.2615204748125382E-5</v>
      </c>
      <c r="DQ70">
        <v>1.5284547886188937E-5</v>
      </c>
      <c r="DR70">
        <v>5.6310591419886678E-8</v>
      </c>
      <c r="DS70">
        <v>9.8390091425269355E-6</v>
      </c>
      <c r="DT70">
        <v>1.2416891404227282E-5</v>
      </c>
      <c r="DU70">
        <v>1.6740225442631904E-5</v>
      </c>
      <c r="DV70">
        <v>1.7954213426436363E-5</v>
      </c>
      <c r="DW70">
        <v>2.0354848484888336E-8</v>
      </c>
      <c r="DX70">
        <v>5.0551756927860465E-4</v>
      </c>
      <c r="DY70">
        <v>9.8222220900519977E-12</v>
      </c>
      <c r="DZ70">
        <v>0</v>
      </c>
      <c r="EA70">
        <v>1.510480922468344E-6</v>
      </c>
      <c r="EB70">
        <v>1.4925059554425218E-6</v>
      </c>
      <c r="EC70">
        <v>1.5025125988527239E-5</v>
      </c>
      <c r="ED70">
        <v>9.429795437996851E-7</v>
      </c>
      <c r="EE70">
        <v>2.8171909719104209E-6</v>
      </c>
      <c r="EF70">
        <v>1.3540606448612156E-7</v>
      </c>
      <c r="EG70">
        <v>2.793272704102082E-6</v>
      </c>
      <c r="EH70">
        <v>0</v>
      </c>
      <c r="EI70">
        <v>0</v>
      </c>
      <c r="EJ70">
        <v>0</v>
      </c>
      <c r="EK70">
        <v>0</v>
      </c>
      <c r="EL70">
        <v>2.631728464639732E-7</v>
      </c>
      <c r="EM70">
        <v>1.0617325915167308E-5</v>
      </c>
      <c r="EN70">
        <v>8.4774708213492678E-6</v>
      </c>
      <c r="EO70">
        <v>5.8538808929007705E-7</v>
      </c>
      <c r="EP70">
        <v>5.8538808929007695E-7</v>
      </c>
      <c r="EQ70">
        <v>5.8538808929007705E-7</v>
      </c>
      <c r="ER70">
        <v>0</v>
      </c>
      <c r="ES70">
        <v>5.8538808929007705E-7</v>
      </c>
      <c r="ET70">
        <v>5.8538808929007705E-7</v>
      </c>
      <c r="EU70">
        <v>2.5299865394197135E-7</v>
      </c>
      <c r="EV70">
        <v>1.2186319837079804E-6</v>
      </c>
      <c r="EW70">
        <v>1.0317280571713841E-4</v>
      </c>
      <c r="EX70">
        <v>0</v>
      </c>
      <c r="EY70">
        <v>1.0326210126499856E-9</v>
      </c>
      <c r="EZ70">
        <v>1.4319571164811822E-8</v>
      </c>
      <c r="FA70">
        <v>1.1315812562773122E-10</v>
      </c>
      <c r="FB70">
        <v>2.1812765256441864E-10</v>
      </c>
      <c r="FC70">
        <v>8.834066651479436E-6</v>
      </c>
      <c r="FD70">
        <v>1.1151259984987306E-8</v>
      </c>
      <c r="FE70">
        <v>1.4157630371776003E-8</v>
      </c>
      <c r="FF70">
        <v>1.3067800553406593E-8</v>
      </c>
      <c r="FG70">
        <v>9.5942840580658557E-10</v>
      </c>
      <c r="FH70">
        <v>2.7940102072784326E-7</v>
      </c>
      <c r="FI70">
        <v>2.192363929130342E-9</v>
      </c>
      <c r="FJ70">
        <v>2.0577092441365953E-9</v>
      </c>
      <c r="FK70">
        <v>1.2998557062447444E-10</v>
      </c>
      <c r="FL70">
        <v>2.2296234779161812E-7</v>
      </c>
      <c r="FM70">
        <v>4.0691271495069423E-6</v>
      </c>
      <c r="FN70">
        <v>1.1299959610407281E-6</v>
      </c>
      <c r="FO70">
        <v>6.886882730769939E-9</v>
      </c>
      <c r="FP70">
        <v>4.374090839612507E-4</v>
      </c>
      <c r="FQ70">
        <v>7.4778144165252948E-9</v>
      </c>
      <c r="FR70">
        <v>6.9523276961096816E-5</v>
      </c>
      <c r="FS70">
        <v>7.4717523225232656E-9</v>
      </c>
      <c r="FT70">
        <v>4.8704474158720757E-5</v>
      </c>
      <c r="FU70">
        <v>5.5396815849584303E-4</v>
      </c>
      <c r="FV70">
        <v>5.4307555879213997E-5</v>
      </c>
      <c r="FW70">
        <v>1.1468888058551441E-3</v>
      </c>
      <c r="FX70">
        <v>9.5601132262074868E-4</v>
      </c>
      <c r="FY70">
        <v>1.6717582698392577E-4</v>
      </c>
      <c r="FZ70">
        <v>3.6967487363717315E-5</v>
      </c>
      <c r="GA70">
        <v>7.5230245429810981E-4</v>
      </c>
      <c r="GB70">
        <v>6.4521189368154524E-4</v>
      </c>
      <c r="GC70">
        <v>4.3878697952157706E-4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2.4225209796539661E-3</v>
      </c>
      <c r="GJ70">
        <v>2.1427561366696604E-3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3.3316434514820206E-4</v>
      </c>
      <c r="GR70">
        <v>2.7296279793702247E-4</v>
      </c>
      <c r="GS70">
        <v>1.1389367581457841E-4</v>
      </c>
      <c r="GT70">
        <v>8.9330016961738354E-7</v>
      </c>
      <c r="GU70">
        <v>0</v>
      </c>
    </row>
    <row r="71" spans="1:203">
      <c r="A71" t="s">
        <v>209</v>
      </c>
      <c r="B71">
        <v>68</v>
      </c>
      <c r="C71" t="s">
        <v>11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</row>
    <row r="72" spans="1:203">
      <c r="A72" t="s">
        <v>210</v>
      </c>
      <c r="B72">
        <v>69</v>
      </c>
      <c r="C72" t="s">
        <v>11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</row>
    <row r="73" spans="1:203">
      <c r="A73" t="s">
        <v>211</v>
      </c>
      <c r="B73">
        <v>70</v>
      </c>
      <c r="C73" t="s">
        <v>11</v>
      </c>
      <c r="D73">
        <v>1.2609653295459922E-8</v>
      </c>
      <c r="E73">
        <v>1.1393777636911877E-6</v>
      </c>
      <c r="F73">
        <v>3.7515998110466798E-7</v>
      </c>
      <c r="G73">
        <v>4.9582683683653245E-6</v>
      </c>
      <c r="H73">
        <v>2.5713522615764536E-7</v>
      </c>
      <c r="I73">
        <v>0</v>
      </c>
      <c r="J73">
        <v>0</v>
      </c>
      <c r="K73">
        <v>6.4828523451769431E-6</v>
      </c>
      <c r="L73">
        <v>6.3459887998133634E-8</v>
      </c>
      <c r="M73">
        <v>4.4096476393109305E-7</v>
      </c>
      <c r="N73">
        <v>1.7169176175700023E-7</v>
      </c>
      <c r="O73">
        <v>9.8892931201839946E-7</v>
      </c>
      <c r="P73">
        <v>0</v>
      </c>
      <c r="Q73">
        <v>8.776709016550113E-7</v>
      </c>
      <c r="R73">
        <v>0</v>
      </c>
      <c r="S73">
        <v>0</v>
      </c>
      <c r="T73">
        <v>0</v>
      </c>
      <c r="U73">
        <v>4.1615943027666156E-6</v>
      </c>
      <c r="V73">
        <v>2.1441838916110818E-5</v>
      </c>
      <c r="W73">
        <v>1.0013973607301058E-6</v>
      </c>
      <c r="X73">
        <v>0</v>
      </c>
      <c r="Y73">
        <v>0</v>
      </c>
      <c r="Z73">
        <v>0</v>
      </c>
      <c r="AA73">
        <v>1.0013973607301058E-6</v>
      </c>
      <c r="AB73">
        <v>0</v>
      </c>
      <c r="AC73">
        <v>0</v>
      </c>
      <c r="AD73">
        <v>0</v>
      </c>
      <c r="AE73">
        <v>3.5196187851750353E-7</v>
      </c>
      <c r="AF73">
        <v>3.0696912116706422E-8</v>
      </c>
      <c r="AG73">
        <v>0</v>
      </c>
      <c r="AH73">
        <v>0</v>
      </c>
      <c r="AI73">
        <v>1.4134644531661504E-7</v>
      </c>
      <c r="AJ73">
        <v>8.5963431810737198E-6</v>
      </c>
      <c r="AK73">
        <v>0</v>
      </c>
      <c r="AL73">
        <v>8.1717032070430508E-9</v>
      </c>
      <c r="AM73">
        <v>0</v>
      </c>
      <c r="AN73">
        <v>3.7187364250278163E-8</v>
      </c>
      <c r="AO73">
        <v>6.5726212506553449E-7</v>
      </c>
      <c r="AP73">
        <v>2.3217127708973121E-6</v>
      </c>
      <c r="AQ73">
        <v>4.8000183588743262E-9</v>
      </c>
      <c r="AR73">
        <v>1.1872275947186016E-9</v>
      </c>
      <c r="AS73">
        <v>7.9374082187430414E-6</v>
      </c>
      <c r="AT73">
        <v>0</v>
      </c>
      <c r="AU73">
        <v>1.2417271370934756E-8</v>
      </c>
      <c r="AV73">
        <v>0</v>
      </c>
      <c r="AW73">
        <v>2.0440722192404821E-6</v>
      </c>
      <c r="AX73">
        <v>1.3745664612329787E-7</v>
      </c>
      <c r="AY73">
        <v>2.1915972342179324E-8</v>
      </c>
      <c r="AZ73">
        <v>7.9516683337474272E-7</v>
      </c>
      <c r="BA73">
        <v>0</v>
      </c>
      <c r="BB73">
        <v>1.246290053784814E-8</v>
      </c>
      <c r="BC73">
        <v>4.3246396015402093E-8</v>
      </c>
      <c r="BD73">
        <v>1.1785314287892437E-8</v>
      </c>
      <c r="BE73">
        <v>1.041136499544487E-8</v>
      </c>
      <c r="BF73">
        <v>1.3865951065017108E-7</v>
      </c>
      <c r="BG73">
        <v>1.8602522408808763E-8</v>
      </c>
      <c r="BH73">
        <v>8.5840396893282257E-8</v>
      </c>
      <c r="BI73">
        <v>5.8776942390986999E-8</v>
      </c>
      <c r="BJ73">
        <v>0</v>
      </c>
      <c r="BK73">
        <v>7.2602433792530757E-8</v>
      </c>
      <c r="BL73">
        <v>0</v>
      </c>
      <c r="BM73">
        <v>1.5093276002762012E-6</v>
      </c>
      <c r="BN73">
        <v>1.4456351620370264E-8</v>
      </c>
      <c r="BO73">
        <v>9.4431819677054853E-6</v>
      </c>
      <c r="BP73">
        <v>0</v>
      </c>
      <c r="BQ73">
        <v>9.4431819677054836E-6</v>
      </c>
      <c r="BR73">
        <v>3.3322925210183774E-8</v>
      </c>
      <c r="BS73">
        <v>0</v>
      </c>
      <c r="BT73">
        <v>0</v>
      </c>
      <c r="BU73">
        <v>3.3322925210183774E-8</v>
      </c>
      <c r="BV73">
        <v>3.3322925210183774E-8</v>
      </c>
      <c r="BW73">
        <v>3.3322925210183774E-8</v>
      </c>
      <c r="BX73">
        <v>3.3322925210183774E-8</v>
      </c>
      <c r="BY73">
        <v>3.332292521018378E-8</v>
      </c>
      <c r="BZ73">
        <v>3.3322925210183774E-8</v>
      </c>
      <c r="CA73">
        <v>3.3322925210183774E-8</v>
      </c>
      <c r="CB73">
        <v>0</v>
      </c>
      <c r="CC73">
        <v>3.3322925210183774E-8</v>
      </c>
      <c r="CD73">
        <v>3.3322925210183774E-8</v>
      </c>
      <c r="CE73">
        <v>3.3322925210183774E-8</v>
      </c>
      <c r="CF73">
        <v>3.3322925210183774E-8</v>
      </c>
      <c r="CG73">
        <v>3.3322925210183774E-8</v>
      </c>
      <c r="CH73">
        <v>3.332292521018378E-8</v>
      </c>
      <c r="CI73">
        <v>3.3322925210183774E-8</v>
      </c>
      <c r="CJ73">
        <v>0</v>
      </c>
      <c r="CK73">
        <v>2.4359126608772466E-8</v>
      </c>
      <c r="CL73">
        <v>0</v>
      </c>
      <c r="CM73">
        <v>0</v>
      </c>
      <c r="CN73">
        <v>1.5564500436119345E-8</v>
      </c>
      <c r="CO73">
        <v>5.6978219988819085E-7</v>
      </c>
      <c r="CP73">
        <v>0</v>
      </c>
      <c r="CQ73">
        <v>5.6978219988819075E-7</v>
      </c>
      <c r="CR73">
        <v>0</v>
      </c>
      <c r="CS73">
        <v>5.6978219988819085E-7</v>
      </c>
      <c r="CT73">
        <v>0</v>
      </c>
      <c r="CU73">
        <v>2.5341483145075489E-8</v>
      </c>
      <c r="CV73">
        <v>3.5502103932281423E-7</v>
      </c>
      <c r="CW73">
        <v>0</v>
      </c>
      <c r="CX73">
        <v>1.3550511318337129E-7</v>
      </c>
      <c r="CY73">
        <v>8.5497223660249639E-7</v>
      </c>
      <c r="CZ73">
        <v>1.0127314300452648E-8</v>
      </c>
      <c r="DA73">
        <v>0</v>
      </c>
      <c r="DB73">
        <v>2.8127973477776222E-6</v>
      </c>
      <c r="DC73">
        <v>2.3688127936180932E-7</v>
      </c>
      <c r="DD73">
        <v>0</v>
      </c>
      <c r="DE73">
        <v>1.81754508514892E-6</v>
      </c>
      <c r="DF73">
        <v>0</v>
      </c>
      <c r="DG73">
        <v>1.4607581513164852E-7</v>
      </c>
      <c r="DH73">
        <v>0</v>
      </c>
      <c r="DI73">
        <v>9.9162371433773525E-10</v>
      </c>
      <c r="DJ73">
        <v>0</v>
      </c>
      <c r="DK73">
        <v>3.3647868436434312E-7</v>
      </c>
      <c r="DL73">
        <v>0</v>
      </c>
      <c r="DM73">
        <v>1.1777088490210296E-7</v>
      </c>
      <c r="DN73">
        <v>0</v>
      </c>
      <c r="DO73">
        <v>7.434844867281694E-8</v>
      </c>
      <c r="DP73">
        <v>5.0026044409791178E-6</v>
      </c>
      <c r="DQ73">
        <v>2.6087155909987468E-6</v>
      </c>
      <c r="DR73">
        <v>4.8610130083276454E-9</v>
      </c>
      <c r="DS73">
        <v>2.9547832479446741E-7</v>
      </c>
      <c r="DT73">
        <v>1.2455990319987544E-7</v>
      </c>
      <c r="DU73">
        <v>4.3116410142260417E-7</v>
      </c>
      <c r="DV73">
        <v>7.4667368242616641E-8</v>
      </c>
      <c r="DW73">
        <v>5.7057756774233249E-9</v>
      </c>
      <c r="DX73">
        <v>5.5963727550548182E-8</v>
      </c>
      <c r="DY73">
        <v>1.0873769664881769E-15</v>
      </c>
      <c r="DZ73">
        <v>0</v>
      </c>
      <c r="EA73">
        <v>2.4422382009964206E-8</v>
      </c>
      <c r="EB73">
        <v>2.6484635912646331E-7</v>
      </c>
      <c r="EC73">
        <v>3.5652316144607126E-7</v>
      </c>
      <c r="ED73">
        <v>3.7689929354344006E-7</v>
      </c>
      <c r="EE73">
        <v>2.0767883499873863E-5</v>
      </c>
      <c r="EF73">
        <v>7.457536571079256E-8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1.2254819935132373E-6</v>
      </c>
      <c r="EM73">
        <v>1.1232805824386057E-7</v>
      </c>
      <c r="EN73">
        <v>2.1612049637396563E-7</v>
      </c>
      <c r="EO73">
        <v>4.6122104650773098E-8</v>
      </c>
      <c r="EP73">
        <v>4.6122104650773092E-8</v>
      </c>
      <c r="EQ73">
        <v>4.6122104650773092E-8</v>
      </c>
      <c r="ER73">
        <v>0</v>
      </c>
      <c r="ES73">
        <v>4.6122104650773098E-8</v>
      </c>
      <c r="ET73">
        <v>4.6122104650773092E-8</v>
      </c>
      <c r="EU73">
        <v>2.8006147923073596E-7</v>
      </c>
      <c r="EV73">
        <v>1.4179569424928098E-4</v>
      </c>
      <c r="EW73">
        <v>4.3679953950678591E-6</v>
      </c>
      <c r="EX73">
        <v>0</v>
      </c>
      <c r="EY73">
        <v>1.0298291381300518E-9</v>
      </c>
      <c r="EZ73">
        <v>1.4134997453945118E-8</v>
      </c>
      <c r="FA73">
        <v>1.1144082681063492E-10</v>
      </c>
      <c r="FB73">
        <v>2.1508324427173949E-10</v>
      </c>
      <c r="FC73">
        <v>5.9243442159859584E-10</v>
      </c>
      <c r="FD73">
        <v>7.2704693181731421E-9</v>
      </c>
      <c r="FE73">
        <v>5.462659836057136E-9</v>
      </c>
      <c r="FF73">
        <v>8.0642054898266029E-9</v>
      </c>
      <c r="FG73">
        <v>9.0518556622577501E-10</v>
      </c>
      <c r="FH73">
        <v>3.0048567213636007E-8</v>
      </c>
      <c r="FI73">
        <v>1.9143131481489939E-9</v>
      </c>
      <c r="FJ73">
        <v>1.7888852771036832E-9</v>
      </c>
      <c r="FK73">
        <v>1.2520540753801318E-10</v>
      </c>
      <c r="FL73">
        <v>4.655126312647321E-9</v>
      </c>
      <c r="FM73">
        <v>2.32936903270046E-8</v>
      </c>
      <c r="FN73">
        <v>1.7789364435392178E-8</v>
      </c>
      <c r="FO73">
        <v>2.1222358941405593E-9</v>
      </c>
      <c r="FP73">
        <v>8.3772406060220569E-8</v>
      </c>
      <c r="FQ73">
        <v>5.1324489195592887E-9</v>
      </c>
      <c r="FR73">
        <v>6.3091390044003304E-5</v>
      </c>
      <c r="FS73">
        <v>2.5565895928405186E-9</v>
      </c>
      <c r="FT73">
        <v>8.3528701952757377E-4</v>
      </c>
      <c r="FU73">
        <v>3.6467678257418947E-5</v>
      </c>
      <c r="FV73">
        <v>3.9128804553686601E-7</v>
      </c>
      <c r="FW73">
        <v>3.8647282810099772E-6</v>
      </c>
      <c r="FX73">
        <v>4.7193893854463025E-6</v>
      </c>
      <c r="FY73">
        <v>1.5815655974971072E-6</v>
      </c>
      <c r="FZ73">
        <v>3.8338722126580166E-7</v>
      </c>
      <c r="GA73">
        <v>4.9015425099569418E-6</v>
      </c>
      <c r="GB73">
        <v>4.7341846979389252E-6</v>
      </c>
      <c r="GC73">
        <v>3.7258020646005788E-6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2.5083914706798864E-5</v>
      </c>
      <c r="GJ73">
        <v>3.2449900836443384E-5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3.2516564559865119E-3</v>
      </c>
      <c r="GR73">
        <v>2.5205772943956017E-6</v>
      </c>
      <c r="GS73">
        <v>7.9344155744520293E-7</v>
      </c>
      <c r="GT73">
        <v>4.8705274297734331E-6</v>
      </c>
      <c r="GU73">
        <v>0</v>
      </c>
    </row>
    <row r="74" spans="1:203">
      <c r="A74" t="s">
        <v>212</v>
      </c>
      <c r="B74">
        <v>71</v>
      </c>
      <c r="C74" t="s">
        <v>11</v>
      </c>
      <c r="D74">
        <v>1.4289326984109995E-9</v>
      </c>
      <c r="E74">
        <v>4.9721292498629655E-7</v>
      </c>
      <c r="F74">
        <v>1.4406201368153584E-7</v>
      </c>
      <c r="G74">
        <v>1.7497317084782043E-9</v>
      </c>
      <c r="H74">
        <v>3.0587810184765012E-8</v>
      </c>
      <c r="I74">
        <v>0</v>
      </c>
      <c r="J74">
        <v>0</v>
      </c>
      <c r="K74">
        <v>1.4269535837678328E-7</v>
      </c>
      <c r="L74">
        <v>3.1818347260256554E-9</v>
      </c>
      <c r="M74">
        <v>4.4646893883708738E-9</v>
      </c>
      <c r="N74">
        <v>5.9738390438351199E-9</v>
      </c>
      <c r="O74">
        <v>2.6821444434454041E-7</v>
      </c>
      <c r="P74">
        <v>5.2394425677789437E-8</v>
      </c>
      <c r="Q74">
        <v>1.3133586961181566E-8</v>
      </c>
      <c r="R74">
        <v>0</v>
      </c>
      <c r="S74">
        <v>0</v>
      </c>
      <c r="T74">
        <v>0</v>
      </c>
      <c r="U74">
        <v>3.9257184345365751E-8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1.6998655087692803E-7</v>
      </c>
      <c r="AF74">
        <v>1.941382925471395E-8</v>
      </c>
      <c r="AG74">
        <v>0</v>
      </c>
      <c r="AH74">
        <v>0</v>
      </c>
      <c r="AI74">
        <v>9.4593751069530569E-8</v>
      </c>
      <c r="AJ74">
        <v>1.268389488428681E-7</v>
      </c>
      <c r="AK74">
        <v>1.9573001060923769E-4</v>
      </c>
      <c r="AL74">
        <v>5.9526030750302112E-9</v>
      </c>
      <c r="AM74">
        <v>0</v>
      </c>
      <c r="AN74">
        <v>2.6749587885619446E-8</v>
      </c>
      <c r="AO74">
        <v>4.4051435657487606E-7</v>
      </c>
      <c r="AP74">
        <v>1.4912333315700162E-6</v>
      </c>
      <c r="AQ74">
        <v>2.4395328954861948E-9</v>
      </c>
      <c r="AR74">
        <v>9.0191073202060422E-10</v>
      </c>
      <c r="AS74">
        <v>1.4096888817580941E-8</v>
      </c>
      <c r="AT74">
        <v>1.2219083022751227E-8</v>
      </c>
      <c r="AU74">
        <v>4.3916604929293799E-9</v>
      </c>
      <c r="AV74">
        <v>5.6354146480873594E-9</v>
      </c>
      <c r="AW74">
        <v>2.9563400941863126E-7</v>
      </c>
      <c r="AX74">
        <v>5.6723825718269989E-8</v>
      </c>
      <c r="AY74">
        <v>5.0275911911265126E-9</v>
      </c>
      <c r="AZ74">
        <v>1.7256841539710282E-7</v>
      </c>
      <c r="BA74">
        <v>3.8356613805952534E-8</v>
      </c>
      <c r="BB74">
        <v>3.8929796968351671E-10</v>
      </c>
      <c r="BC74">
        <v>2.0875324904914039E-9</v>
      </c>
      <c r="BD74">
        <v>3.6811045784219873E-9</v>
      </c>
      <c r="BE74">
        <v>4.8463919751736058E-9</v>
      </c>
      <c r="BF74">
        <v>5.106410988376079E-10</v>
      </c>
      <c r="BG74">
        <v>4.345738004552231E-9</v>
      </c>
      <c r="BH74">
        <v>3.5913519591356215E-9</v>
      </c>
      <c r="BI74">
        <v>3.3248461377534427E-9</v>
      </c>
      <c r="BJ74">
        <v>0</v>
      </c>
      <c r="BK74">
        <v>2.6612503899590397E-8</v>
      </c>
      <c r="BL74">
        <v>0</v>
      </c>
      <c r="BM74">
        <v>9.746296056710306E-10</v>
      </c>
      <c r="BN74">
        <v>2.0703576575453756E-9</v>
      </c>
      <c r="BO74">
        <v>0</v>
      </c>
      <c r="BP74">
        <v>0</v>
      </c>
      <c r="BQ74">
        <v>0</v>
      </c>
      <c r="BR74">
        <v>7.0339562881675664E-10</v>
      </c>
      <c r="BS74">
        <v>0</v>
      </c>
      <c r="BT74">
        <v>0</v>
      </c>
      <c r="BU74">
        <v>7.0339562881675654E-10</v>
      </c>
      <c r="BV74">
        <v>7.0339562881675664E-10</v>
      </c>
      <c r="BW74">
        <v>7.0339562881675664E-10</v>
      </c>
      <c r="BX74">
        <v>7.0339562881675664E-10</v>
      </c>
      <c r="BY74">
        <v>7.0339562881675664E-10</v>
      </c>
      <c r="BZ74">
        <v>7.0339562881675664E-10</v>
      </c>
      <c r="CA74">
        <v>7.0339562881675664E-10</v>
      </c>
      <c r="CB74">
        <v>0</v>
      </c>
      <c r="CC74">
        <v>7.0339562881675654E-10</v>
      </c>
      <c r="CD74">
        <v>7.0339562881675654E-10</v>
      </c>
      <c r="CE74">
        <v>7.0339562881675664E-10</v>
      </c>
      <c r="CF74">
        <v>7.0339562881675664E-10</v>
      </c>
      <c r="CG74">
        <v>7.0339562881675664E-10</v>
      </c>
      <c r="CH74">
        <v>7.0339562881675664E-10</v>
      </c>
      <c r="CI74">
        <v>7.0339562881675664E-10</v>
      </c>
      <c r="CJ74">
        <v>0</v>
      </c>
      <c r="CK74">
        <v>2.9626732309461108E-9</v>
      </c>
      <c r="CL74">
        <v>0</v>
      </c>
      <c r="CM74">
        <v>1.6787614680184326E-6</v>
      </c>
      <c r="CN74">
        <v>5.5112767329032879E-9</v>
      </c>
      <c r="CO74">
        <v>2.6347984878497948E-10</v>
      </c>
      <c r="CP74">
        <v>0</v>
      </c>
      <c r="CQ74">
        <v>2.6347984878497948E-10</v>
      </c>
      <c r="CR74">
        <v>0</v>
      </c>
      <c r="CS74">
        <v>2.6347984878497948E-10</v>
      </c>
      <c r="CT74">
        <v>0</v>
      </c>
      <c r="CU74">
        <v>4.5067377615451735E-10</v>
      </c>
      <c r="CV74">
        <v>1.9467721175089276E-9</v>
      </c>
      <c r="CW74">
        <v>0</v>
      </c>
      <c r="CX74">
        <v>7.2008574783729802E-9</v>
      </c>
      <c r="CY74">
        <v>1.7565107833197329E-7</v>
      </c>
      <c r="CZ74">
        <v>1.4733835548881922E-9</v>
      </c>
      <c r="DA74">
        <v>0</v>
      </c>
      <c r="DB74">
        <v>1.5979286134454158E-9</v>
      </c>
      <c r="DC74">
        <v>1.9576967041550556E-10</v>
      </c>
      <c r="DD74">
        <v>0</v>
      </c>
      <c r="DE74">
        <v>9.4840105936677281E-9</v>
      </c>
      <c r="DF74">
        <v>0</v>
      </c>
      <c r="DG74">
        <v>4.2014956098968221E-9</v>
      </c>
      <c r="DH74">
        <v>0</v>
      </c>
      <c r="DI74">
        <v>7.9897269590257998E-10</v>
      </c>
      <c r="DJ74">
        <v>0</v>
      </c>
      <c r="DK74">
        <v>1.2636338816011041E-9</v>
      </c>
      <c r="DL74">
        <v>0</v>
      </c>
      <c r="DM74">
        <v>1.7882811366233139E-8</v>
      </c>
      <c r="DN74">
        <v>0</v>
      </c>
      <c r="DO74">
        <v>8.1298296273280367E-9</v>
      </c>
      <c r="DP74">
        <v>3.4417491249005608E-10</v>
      </c>
      <c r="DQ74">
        <v>1.9917375727976695E-10</v>
      </c>
      <c r="DR74">
        <v>1.5344221788498771E-9</v>
      </c>
      <c r="DS74">
        <v>3.2385431117004428E-10</v>
      </c>
      <c r="DT74">
        <v>1.1391567348605487E-10</v>
      </c>
      <c r="DU74">
        <v>1.2225775112501021E-9</v>
      </c>
      <c r="DV74">
        <v>1.2772651786798867E-10</v>
      </c>
      <c r="DW74">
        <v>4.7607171944462711E-10</v>
      </c>
      <c r="DX74">
        <v>1.0208721930866592E-9</v>
      </c>
      <c r="DY74">
        <v>2.189593206488235E-9</v>
      </c>
      <c r="DZ74">
        <v>0</v>
      </c>
      <c r="EA74">
        <v>4.3950913440093198E-9</v>
      </c>
      <c r="EB74">
        <v>8.1073492029489848E-9</v>
      </c>
      <c r="EC74">
        <v>3.8520310786472907E-9</v>
      </c>
      <c r="ED74">
        <v>1.4319671950039622E-7</v>
      </c>
      <c r="EE74">
        <v>8.0380688115472392E-7</v>
      </c>
      <c r="EF74">
        <v>3.0752600518890315E-8</v>
      </c>
      <c r="EG74">
        <v>3.8691825632354387E-7</v>
      </c>
      <c r="EH74">
        <v>7.5074340477758829E-7</v>
      </c>
      <c r="EI74">
        <v>0</v>
      </c>
      <c r="EJ74">
        <v>0</v>
      </c>
      <c r="EK74">
        <v>0</v>
      </c>
      <c r="EL74">
        <v>4.8259850292769045E-8</v>
      </c>
      <c r="EM74">
        <v>1.2132371807742424E-8</v>
      </c>
      <c r="EN74">
        <v>3.8533267833360658E-9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3.7811914423420941E-9</v>
      </c>
      <c r="EW74">
        <v>1.6619214840395292E-10</v>
      </c>
      <c r="EX74">
        <v>0</v>
      </c>
      <c r="EY74">
        <v>9.8967005524022575E-10</v>
      </c>
      <c r="EZ74">
        <v>1.1867700413575426E-8</v>
      </c>
      <c r="FA74">
        <v>9.1232128304129708E-11</v>
      </c>
      <c r="FB74">
        <v>1.7843758985211585E-10</v>
      </c>
      <c r="FC74">
        <v>1.8969927616066277E-10</v>
      </c>
      <c r="FD74">
        <v>1.1742145541451694E-9</v>
      </c>
      <c r="FE74">
        <v>5.3840344893142987E-10</v>
      </c>
      <c r="FF74">
        <v>6.501148818798529E-9</v>
      </c>
      <c r="FG74">
        <v>6.27018290803957E-10</v>
      </c>
      <c r="FH74">
        <v>1.6619791911071403E-8</v>
      </c>
      <c r="FI74">
        <v>9.1289615160407985E-10</v>
      </c>
      <c r="FJ74">
        <v>6.5906058515376907E-10</v>
      </c>
      <c r="FK74">
        <v>8.09437855024868E-11</v>
      </c>
      <c r="FL74">
        <v>3.0354695745506646E-10</v>
      </c>
      <c r="FM74">
        <v>5.5919329288415906E-10</v>
      </c>
      <c r="FN74">
        <v>1.0582165706637551E-9</v>
      </c>
      <c r="FO74">
        <v>1.9583052964565017E-10</v>
      </c>
      <c r="FP74">
        <v>2.5339444038049156E-9</v>
      </c>
      <c r="FQ74">
        <v>8.9956190555663915E-10</v>
      </c>
      <c r="FR74">
        <v>8.3125994036639296E-10</v>
      </c>
      <c r="FS74">
        <v>2.8888591387238369E-10</v>
      </c>
      <c r="FT74">
        <v>2.9549692141699057E-10</v>
      </c>
      <c r="FU74">
        <v>3.527414851835197E-10</v>
      </c>
      <c r="FV74">
        <v>4.9219616631108199E-10</v>
      </c>
      <c r="FW74">
        <v>1.4855351133177244E-8</v>
      </c>
      <c r="FX74">
        <v>1.4785396613111496E-8</v>
      </c>
      <c r="FY74">
        <v>6.4731603271451748E-8</v>
      </c>
      <c r="FZ74">
        <v>9.7743272389484038E-8</v>
      </c>
      <c r="GA74">
        <v>6.5223872301387572E-8</v>
      </c>
      <c r="GB74">
        <v>5.5820338105754871E-8</v>
      </c>
      <c r="GC74">
        <v>5.7876261155025057E-8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2.5580022404370493E-8</v>
      </c>
      <c r="GJ74">
        <v>1.151922820340251E-8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2.487837187605495E-9</v>
      </c>
      <c r="GR74">
        <v>4.874838199317694E-10</v>
      </c>
      <c r="GS74">
        <v>4.2182612010134324E-10</v>
      </c>
      <c r="GT74">
        <v>8.0965575157700073E-9</v>
      </c>
      <c r="GU74">
        <v>0</v>
      </c>
    </row>
    <row r="75" spans="1:203">
      <c r="A75" t="s">
        <v>213</v>
      </c>
      <c r="B75">
        <v>72</v>
      </c>
      <c r="C75" t="s">
        <v>11</v>
      </c>
      <c r="D75">
        <v>2.2994221796191381E-4</v>
      </c>
      <c r="E75">
        <v>1.9264804816595833E-3</v>
      </c>
      <c r="F75">
        <v>2.9507887155316142E-3</v>
      </c>
      <c r="G75">
        <v>1.0349528842052492E-3</v>
      </c>
      <c r="H75">
        <v>4.9242059771335122E-3</v>
      </c>
      <c r="I75">
        <v>0</v>
      </c>
      <c r="J75">
        <v>0</v>
      </c>
      <c r="K75">
        <v>9.4828023872631593E-3</v>
      </c>
      <c r="L75">
        <v>4.3025594286573221E-4</v>
      </c>
      <c r="M75">
        <v>1.8421655994406484E-4</v>
      </c>
      <c r="N75">
        <v>1.1495410028293347E-4</v>
      </c>
      <c r="O75">
        <v>8.7900480462135963E-4</v>
      </c>
      <c r="P75">
        <v>6.3323231720569346E-3</v>
      </c>
      <c r="Q75">
        <v>2.6914429154560986E-3</v>
      </c>
      <c r="R75">
        <v>0</v>
      </c>
      <c r="S75">
        <v>0</v>
      </c>
      <c r="T75">
        <v>0</v>
      </c>
      <c r="U75">
        <v>4.6070815064150989E-3</v>
      </c>
      <c r="V75">
        <v>1.0811463861145747E-2</v>
      </c>
      <c r="W75">
        <v>1.5084249137824231E-4</v>
      </c>
      <c r="X75">
        <v>0</v>
      </c>
      <c r="Y75">
        <v>0</v>
      </c>
      <c r="Z75">
        <v>0</v>
      </c>
      <c r="AA75">
        <v>1.5084249137824231E-4</v>
      </c>
      <c r="AB75">
        <v>0</v>
      </c>
      <c r="AC75">
        <v>0</v>
      </c>
      <c r="AD75">
        <v>0</v>
      </c>
      <c r="AE75">
        <v>4.5463384708757243E-5</v>
      </c>
      <c r="AF75">
        <v>3.4412920303510063E-8</v>
      </c>
      <c r="AG75">
        <v>0</v>
      </c>
      <c r="AH75">
        <v>0</v>
      </c>
      <c r="AI75">
        <v>2.3022745916617197E-7</v>
      </c>
      <c r="AJ75">
        <v>1.5759470779027007E-2</v>
      </c>
      <c r="AK75">
        <v>4.5378334365043182E-4</v>
      </c>
      <c r="AL75">
        <v>8.7337761785348654E-9</v>
      </c>
      <c r="AM75">
        <v>0</v>
      </c>
      <c r="AN75">
        <v>3.9883067165950151E-8</v>
      </c>
      <c r="AO75">
        <v>7.2286122858771059E-7</v>
      </c>
      <c r="AP75">
        <v>9.7921594547168632E-6</v>
      </c>
      <c r="AQ75">
        <v>6.0816487471721052E-9</v>
      </c>
      <c r="AR75">
        <v>1.2558196741148783E-9</v>
      </c>
      <c r="AS75">
        <v>6.5032630476325208E-3</v>
      </c>
      <c r="AT75">
        <v>5.8351633886490393E-8</v>
      </c>
      <c r="AU75">
        <v>3.0146134674732633E-6</v>
      </c>
      <c r="AV75">
        <v>2.2728457637252094E-6</v>
      </c>
      <c r="AW75">
        <v>9.8008669922544888E-5</v>
      </c>
      <c r="AX75">
        <v>1.2156947845438044E-5</v>
      </c>
      <c r="AY75">
        <v>5.9038042383766944E-4</v>
      </c>
      <c r="AZ75">
        <v>3.2546115316879837E-4</v>
      </c>
      <c r="BA75">
        <v>6.530858852288111E-5</v>
      </c>
      <c r="BB75">
        <v>2.6992430474457468E-4</v>
      </c>
      <c r="BC75">
        <v>3.7357011998289535E-4</v>
      </c>
      <c r="BD75">
        <v>2.1101576750241102E-4</v>
      </c>
      <c r="BE75">
        <v>2.8939133763286781E-8</v>
      </c>
      <c r="BF75">
        <v>3.0284400173372864E-4</v>
      </c>
      <c r="BG75">
        <v>1.6417965181935766E-4</v>
      </c>
      <c r="BH75">
        <v>3.8773752855629582E-4</v>
      </c>
      <c r="BI75">
        <v>1.229497657454316E-3</v>
      </c>
      <c r="BJ75">
        <v>0</v>
      </c>
      <c r="BK75">
        <v>5.1130991381196289E-4</v>
      </c>
      <c r="BL75">
        <v>0</v>
      </c>
      <c r="BM75">
        <v>2.8522369500241269E-4</v>
      </c>
      <c r="BN75">
        <v>3.9829300586112563E-4</v>
      </c>
      <c r="BO75">
        <v>3.5817388593977332E-3</v>
      </c>
      <c r="BP75">
        <v>0</v>
      </c>
      <c r="BQ75">
        <v>3.5817388593977336E-3</v>
      </c>
      <c r="BR75">
        <v>1.6453261012468241E-4</v>
      </c>
      <c r="BS75">
        <v>0</v>
      </c>
      <c r="BT75">
        <v>0</v>
      </c>
      <c r="BU75">
        <v>1.6453261012468239E-4</v>
      </c>
      <c r="BV75">
        <v>1.6453261012468241E-4</v>
      </c>
      <c r="BW75">
        <v>1.6453261012468241E-4</v>
      </c>
      <c r="BX75">
        <v>1.6453261012468241E-4</v>
      </c>
      <c r="BY75">
        <v>1.6453261012468241E-4</v>
      </c>
      <c r="BZ75">
        <v>1.6453261012468239E-4</v>
      </c>
      <c r="CA75">
        <v>1.6453261012468241E-4</v>
      </c>
      <c r="CB75">
        <v>0</v>
      </c>
      <c r="CC75">
        <v>1.6453261012468241E-4</v>
      </c>
      <c r="CD75">
        <v>1.6453261012468239E-4</v>
      </c>
      <c r="CE75">
        <v>1.6453261012468241E-4</v>
      </c>
      <c r="CF75">
        <v>1.6453261012468241E-4</v>
      </c>
      <c r="CG75">
        <v>1.6453261012468239E-4</v>
      </c>
      <c r="CH75">
        <v>1.6453261012468241E-4</v>
      </c>
      <c r="CI75">
        <v>1.6453261012468239E-4</v>
      </c>
      <c r="CJ75">
        <v>0</v>
      </c>
      <c r="CK75">
        <v>1.3006936530490422E-5</v>
      </c>
      <c r="CL75">
        <v>0</v>
      </c>
      <c r="CM75">
        <v>9.9706819357341643E-5</v>
      </c>
      <c r="CN75">
        <v>2.3679483161144304E-5</v>
      </c>
      <c r="CO75">
        <v>5.7743536176895036E-4</v>
      </c>
      <c r="CP75">
        <v>0</v>
      </c>
      <c r="CQ75">
        <v>5.7743536176895036E-4</v>
      </c>
      <c r="CR75">
        <v>0</v>
      </c>
      <c r="CS75">
        <v>5.7743536176895047E-4</v>
      </c>
      <c r="CT75">
        <v>0</v>
      </c>
      <c r="CU75">
        <v>2.6153962890397542E-4</v>
      </c>
      <c r="CV75">
        <v>3.6868747908170159E-4</v>
      </c>
      <c r="CW75">
        <v>0</v>
      </c>
      <c r="CX75">
        <v>2.8161675187869926E-3</v>
      </c>
      <c r="CY75">
        <v>6.294349996697E-4</v>
      </c>
      <c r="CZ75">
        <v>2.4430806328690843E-5</v>
      </c>
      <c r="DA75">
        <v>0</v>
      </c>
      <c r="DB75">
        <v>5.5351289324087902E-3</v>
      </c>
      <c r="DC75">
        <v>7.6709058173351593E-5</v>
      </c>
      <c r="DD75">
        <v>0</v>
      </c>
      <c r="DE75">
        <v>2.9936352934278784E-4</v>
      </c>
      <c r="DF75">
        <v>0</v>
      </c>
      <c r="DG75">
        <v>1.1336199903863278E-3</v>
      </c>
      <c r="DH75">
        <v>0</v>
      </c>
      <c r="DI75">
        <v>1.0446001347160196E-9</v>
      </c>
      <c r="DJ75">
        <v>0</v>
      </c>
      <c r="DK75">
        <v>2.9263608554063266E-4</v>
      </c>
      <c r="DL75">
        <v>0</v>
      </c>
      <c r="DM75">
        <v>6.3049227911189058E-4</v>
      </c>
      <c r="DN75">
        <v>0</v>
      </c>
      <c r="DO75">
        <v>4.2975014922004139E-4</v>
      </c>
      <c r="DP75">
        <v>7.6394837150058125E-4</v>
      </c>
      <c r="DQ75">
        <v>8.0745312003318909E-4</v>
      </c>
      <c r="DR75">
        <v>3.5063121515406331E-4</v>
      </c>
      <c r="DS75">
        <v>3.0141623018658251E-4</v>
      </c>
      <c r="DT75">
        <v>1.5970906647191495E-4</v>
      </c>
      <c r="DU75">
        <v>4.0714656450018205E-4</v>
      </c>
      <c r="DV75">
        <v>2.4245585612831894E-4</v>
      </c>
      <c r="DW75">
        <v>4.4256560300308503E-4</v>
      </c>
      <c r="DX75">
        <v>1.8426753315600188E-3</v>
      </c>
      <c r="DY75">
        <v>9.9664954185236995E-9</v>
      </c>
      <c r="DZ75">
        <v>0</v>
      </c>
      <c r="EA75">
        <v>5.1630175810735562E-3</v>
      </c>
      <c r="EB75">
        <v>3.5720896461542938E-3</v>
      </c>
      <c r="EC75">
        <v>6.1236044189572373E-4</v>
      </c>
      <c r="ED75">
        <v>5.6762036456561886E-3</v>
      </c>
      <c r="EE75">
        <v>4.4721148157814989E-3</v>
      </c>
      <c r="EF75">
        <v>1.0676671619917289E-3</v>
      </c>
      <c r="EG75">
        <v>1.7520660071089204E-2</v>
      </c>
      <c r="EH75">
        <v>2.4840622140006582E-4</v>
      </c>
      <c r="EI75">
        <v>0</v>
      </c>
      <c r="EJ75">
        <v>0</v>
      </c>
      <c r="EK75">
        <v>0</v>
      </c>
      <c r="EL75">
        <v>5.0874236816383844E-3</v>
      </c>
      <c r="EM75">
        <v>6.2276582738290589E-3</v>
      </c>
      <c r="EN75">
        <v>6.5306095212947059E-3</v>
      </c>
      <c r="EO75">
        <v>2.5227083784266482E-5</v>
      </c>
      <c r="EP75">
        <v>2.5227083784266479E-5</v>
      </c>
      <c r="EQ75">
        <v>2.5227083784266482E-5</v>
      </c>
      <c r="ER75">
        <v>0</v>
      </c>
      <c r="ES75">
        <v>2.5227083784266482E-5</v>
      </c>
      <c r="ET75">
        <v>2.5227083784266482E-5</v>
      </c>
      <c r="EU75">
        <v>1.6568418600588635E-5</v>
      </c>
      <c r="EV75">
        <v>6.8490396828037726E-4</v>
      </c>
      <c r="EW75">
        <v>1.4884344188751822E-2</v>
      </c>
      <c r="EX75">
        <v>0</v>
      </c>
      <c r="EY75">
        <v>1.0370941928928492E-9</v>
      </c>
      <c r="EZ75">
        <v>1.461997388515653E-8</v>
      </c>
      <c r="FA75">
        <v>1.1592712124933796E-10</v>
      </c>
      <c r="FB75">
        <v>2.2305913026349069E-10</v>
      </c>
      <c r="FC75">
        <v>2.6418933126664385E-3</v>
      </c>
      <c r="FD75">
        <v>7.2045559949277722E-8</v>
      </c>
      <c r="FE75">
        <v>2.9581240598032438E-2</v>
      </c>
      <c r="FF75">
        <v>1.4550508666341203E-8</v>
      </c>
      <c r="FG75">
        <v>1.0128344397458821E-9</v>
      </c>
      <c r="FH75">
        <v>1.3571945850130759E-2</v>
      </c>
      <c r="FI75">
        <v>2.5456572529933069E-9</v>
      </c>
      <c r="FJ75">
        <v>2.602686842879966E-9</v>
      </c>
      <c r="FK75">
        <v>1.3831472684592051E-10</v>
      </c>
      <c r="FL75">
        <v>4.2183094548811932E-4</v>
      </c>
      <c r="FM75">
        <v>4.003112590274323E-4</v>
      </c>
      <c r="FN75">
        <v>5.4669605173233635E-4</v>
      </c>
      <c r="FO75">
        <v>3.2504628016153129E-4</v>
      </c>
      <c r="FP75">
        <v>1.5437160304869236E-2</v>
      </c>
      <c r="FQ75">
        <v>3.4312252972509322E-8</v>
      </c>
      <c r="FR75">
        <v>2.570244419436134E-3</v>
      </c>
      <c r="FS75">
        <v>5.9433325404640463E-4</v>
      </c>
      <c r="FT75">
        <v>1.2386409127274354E-3</v>
      </c>
      <c r="FU75">
        <v>6.9939899766070859E-3</v>
      </c>
      <c r="FV75">
        <v>1.950250340020784E-3</v>
      </c>
      <c r="FW75">
        <v>6.8557889321196027E-3</v>
      </c>
      <c r="FX75">
        <v>6.187712315729248E-3</v>
      </c>
      <c r="FY75">
        <v>3.2091053742422534E-3</v>
      </c>
      <c r="FZ75">
        <v>3.7437501252560669E-3</v>
      </c>
      <c r="GA75">
        <v>4.8853942554962634E-3</v>
      </c>
      <c r="GB75">
        <v>4.7526693660085925E-3</v>
      </c>
      <c r="GC75">
        <v>4.9203350692607782E-3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3.1627990615872743E-2</v>
      </c>
      <c r="GJ75">
        <v>2.7307416864105014E-2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3.7280378780184874E-3</v>
      </c>
      <c r="GR75">
        <v>1.216358613832066E-3</v>
      </c>
      <c r="GS75">
        <v>1.7529272509655485E-3</v>
      </c>
      <c r="GT75">
        <v>1.6405539551247728E-5</v>
      </c>
      <c r="GU75">
        <v>0</v>
      </c>
    </row>
    <row r="76" spans="1:203">
      <c r="A76" t="s">
        <v>214</v>
      </c>
      <c r="B76">
        <v>73</v>
      </c>
      <c r="C76" t="s">
        <v>11</v>
      </c>
      <c r="D76">
        <v>4.6112128900516145E-9</v>
      </c>
      <c r="E76">
        <v>9.1579809055638697E-7</v>
      </c>
      <c r="F76">
        <v>2.0105367265809859E-6</v>
      </c>
      <c r="G76">
        <v>1.5387501028226154E-8</v>
      </c>
      <c r="H76">
        <v>1.9343760333053262E-7</v>
      </c>
      <c r="I76">
        <v>0</v>
      </c>
      <c r="J76">
        <v>0</v>
      </c>
      <c r="K76">
        <v>6.5594431802067164E-4</v>
      </c>
      <c r="L76">
        <v>1.2138982490056955E-8</v>
      </c>
      <c r="M76">
        <v>3.8943015394186775E-8</v>
      </c>
      <c r="N76">
        <v>2.3888115968963084E-8</v>
      </c>
      <c r="O76">
        <v>3.0336564613449709E-6</v>
      </c>
      <c r="P76">
        <v>7.0223311995788019E-5</v>
      </c>
      <c r="Q76">
        <v>3.0117127677758814E-5</v>
      </c>
      <c r="R76">
        <v>0</v>
      </c>
      <c r="S76">
        <v>0</v>
      </c>
      <c r="T76">
        <v>0</v>
      </c>
      <c r="U76">
        <v>4.7350115707863469E-5</v>
      </c>
      <c r="V76">
        <v>5.1460980799963017E-4</v>
      </c>
      <c r="W76">
        <v>2.1052533250136582E-7</v>
      </c>
      <c r="X76">
        <v>0</v>
      </c>
      <c r="Y76">
        <v>0</v>
      </c>
      <c r="Z76">
        <v>0</v>
      </c>
      <c r="AA76">
        <v>2.1052533250136582E-7</v>
      </c>
      <c r="AB76">
        <v>0</v>
      </c>
      <c r="AC76">
        <v>0</v>
      </c>
      <c r="AD76">
        <v>0</v>
      </c>
      <c r="AE76">
        <v>7.8422992474494797E-7</v>
      </c>
      <c r="AF76">
        <v>2.4108441427056017E-8</v>
      </c>
      <c r="AG76">
        <v>0</v>
      </c>
      <c r="AH76">
        <v>0</v>
      </c>
      <c r="AI76">
        <v>1.2846614861792077E-7</v>
      </c>
      <c r="AJ76">
        <v>1.5554207844629107E-6</v>
      </c>
      <c r="AK76">
        <v>2.8478928595315799E-4</v>
      </c>
      <c r="AL76">
        <v>7.4515871964736846E-9</v>
      </c>
      <c r="AM76">
        <v>0</v>
      </c>
      <c r="AN76">
        <v>3.42454602361869E-8</v>
      </c>
      <c r="AO76">
        <v>5.7771291751162796E-7</v>
      </c>
      <c r="AP76">
        <v>2.4081841845508712E-6</v>
      </c>
      <c r="AQ76">
        <v>3.8573364734282579E-9</v>
      </c>
      <c r="AR76">
        <v>1.1098928237847874E-9</v>
      </c>
      <c r="AS76">
        <v>8.4512702884055449E-8</v>
      </c>
      <c r="AT76">
        <v>1.7969436356273006E-8</v>
      </c>
      <c r="AU76">
        <v>7.8849800656211056E-7</v>
      </c>
      <c r="AV76">
        <v>2.4779563826465896E-8</v>
      </c>
      <c r="AW76">
        <v>9.5655309737058649E-4</v>
      </c>
      <c r="AX76">
        <v>4.4020064969600291E-7</v>
      </c>
      <c r="AY76">
        <v>1.0750715669951521E-3</v>
      </c>
      <c r="AZ76">
        <v>1.7340102774972696E-5</v>
      </c>
      <c r="BA76">
        <v>6.2322594102293447E-5</v>
      </c>
      <c r="BB76">
        <v>1.9085243286174677E-9</v>
      </c>
      <c r="BC76">
        <v>9.6138756148149894E-9</v>
      </c>
      <c r="BD76">
        <v>4.5048247247452478E-5</v>
      </c>
      <c r="BE76">
        <v>9.4723819847960147E-9</v>
      </c>
      <c r="BF76">
        <v>5.4747743192783014E-9</v>
      </c>
      <c r="BG76">
        <v>1.9769078164913543E-4</v>
      </c>
      <c r="BH76">
        <v>2.4052600572774518E-4</v>
      </c>
      <c r="BI76">
        <v>3.6271686622275641E-8</v>
      </c>
      <c r="BJ76">
        <v>0</v>
      </c>
      <c r="BK76">
        <v>1.0667210902480995E-6</v>
      </c>
      <c r="BL76">
        <v>0</v>
      </c>
      <c r="BM76">
        <v>5.797420950643424E-9</v>
      </c>
      <c r="BN76">
        <v>7.9294700746919529E-9</v>
      </c>
      <c r="BO76">
        <v>0</v>
      </c>
      <c r="BP76">
        <v>0</v>
      </c>
      <c r="BQ76">
        <v>0</v>
      </c>
      <c r="BR76">
        <v>2.3367197096439509E-3</v>
      </c>
      <c r="BS76">
        <v>0</v>
      </c>
      <c r="BT76">
        <v>0</v>
      </c>
      <c r="BU76">
        <v>2.3367197096439509E-3</v>
      </c>
      <c r="BV76">
        <v>2.3367197096439509E-3</v>
      </c>
      <c r="BW76">
        <v>2.3367197096439505E-3</v>
      </c>
      <c r="BX76">
        <v>2.3367197096439509E-3</v>
      </c>
      <c r="BY76">
        <v>2.3367197096439509E-3</v>
      </c>
      <c r="BZ76">
        <v>2.3367197096439505E-3</v>
      </c>
      <c r="CA76">
        <v>2.3367197096439509E-3</v>
      </c>
      <c r="CB76">
        <v>0</v>
      </c>
      <c r="CC76">
        <v>2.3367197096439505E-3</v>
      </c>
      <c r="CD76">
        <v>2.3367197096439509E-3</v>
      </c>
      <c r="CE76">
        <v>2.3367197096439509E-3</v>
      </c>
      <c r="CF76">
        <v>2.3367197096439509E-3</v>
      </c>
      <c r="CG76">
        <v>2.3367197096439509E-3</v>
      </c>
      <c r="CH76">
        <v>2.3367197096439509E-3</v>
      </c>
      <c r="CI76">
        <v>2.3367197096439509E-3</v>
      </c>
      <c r="CJ76">
        <v>0</v>
      </c>
      <c r="CK76">
        <v>3.7884136242422378E-3</v>
      </c>
      <c r="CL76">
        <v>0</v>
      </c>
      <c r="CM76">
        <v>7.9659139173851281E-5</v>
      </c>
      <c r="CN76">
        <v>2.4374387206305515E-7</v>
      </c>
      <c r="CO76">
        <v>5.5572328876899411E-4</v>
      </c>
      <c r="CP76">
        <v>0</v>
      </c>
      <c r="CQ76">
        <v>5.5572328876899411E-4</v>
      </c>
      <c r="CR76">
        <v>0</v>
      </c>
      <c r="CS76">
        <v>5.5572328876899411E-4</v>
      </c>
      <c r="CT76">
        <v>0</v>
      </c>
      <c r="CU76">
        <v>1.1102198984406834E-4</v>
      </c>
      <c r="CV76">
        <v>4.3249980796800845E-7</v>
      </c>
      <c r="CW76">
        <v>0</v>
      </c>
      <c r="CX76">
        <v>2.9121886808562393E-8</v>
      </c>
      <c r="CY76">
        <v>7.9728324740472195E-7</v>
      </c>
      <c r="CZ76">
        <v>4.4084131564384594E-9</v>
      </c>
      <c r="DA76">
        <v>0</v>
      </c>
      <c r="DB76">
        <v>7.861529494416799E-9</v>
      </c>
      <c r="DC76">
        <v>5.8392547980001992E-4</v>
      </c>
      <c r="DD76">
        <v>0</v>
      </c>
      <c r="DE76">
        <v>6.2396747118221901E-4</v>
      </c>
      <c r="DF76">
        <v>0</v>
      </c>
      <c r="DG76">
        <v>3.3779796793854209E-3</v>
      </c>
      <c r="DH76">
        <v>0</v>
      </c>
      <c r="DI76">
        <v>9.3669151692589239E-10</v>
      </c>
      <c r="DJ76">
        <v>0</v>
      </c>
      <c r="DK76">
        <v>4.5892870319043268E-5</v>
      </c>
      <c r="DL76">
        <v>0</v>
      </c>
      <c r="DM76">
        <v>4.5430140070182795E-4</v>
      </c>
      <c r="DN76">
        <v>0</v>
      </c>
      <c r="DO76">
        <v>1.3469605811104784E-3</v>
      </c>
      <c r="DP76">
        <v>7.7150850792885787E-5</v>
      </c>
      <c r="DQ76">
        <v>7.2172052001983624E-5</v>
      </c>
      <c r="DR76">
        <v>8.6902844493986241E-6</v>
      </c>
      <c r="DS76">
        <v>7.7740039850623626E-5</v>
      </c>
      <c r="DT76">
        <v>4.7924799621918481E-9</v>
      </c>
      <c r="DU76">
        <v>7.048818396425482E-5</v>
      </c>
      <c r="DV76">
        <v>8.8406454811630434E-10</v>
      </c>
      <c r="DW76">
        <v>1.66885075904705E-9</v>
      </c>
      <c r="DX76">
        <v>1.0378999013819633E-8</v>
      </c>
      <c r="DY76">
        <v>3.2611563912816541E-9</v>
      </c>
      <c r="DZ76">
        <v>0</v>
      </c>
      <c r="EA76">
        <v>1.270067623385625E-3</v>
      </c>
      <c r="EB76">
        <v>1.0465999169337349E-3</v>
      </c>
      <c r="EC76">
        <v>3.0269569700621467E-8</v>
      </c>
      <c r="ED76">
        <v>3.1399501834214351E-6</v>
      </c>
      <c r="EE76">
        <v>4.3178845450439467E-5</v>
      </c>
      <c r="EF76">
        <v>3.0552395880592671E-7</v>
      </c>
      <c r="EG76">
        <v>6.5685730278437784E-6</v>
      </c>
      <c r="EH76">
        <v>3.5048216554794225E-5</v>
      </c>
      <c r="EI76">
        <v>0</v>
      </c>
      <c r="EJ76">
        <v>0</v>
      </c>
      <c r="EK76">
        <v>0</v>
      </c>
      <c r="EL76">
        <v>1.3336866637897926E-3</v>
      </c>
      <c r="EM76">
        <v>4.3476571904781759E-4</v>
      </c>
      <c r="EN76">
        <v>1.4722172837815933E-4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1.4953067955185859E-4</v>
      </c>
      <c r="EV76">
        <v>2.2016570275000518E-5</v>
      </c>
      <c r="EW76">
        <v>2.6222681277621302E-8</v>
      </c>
      <c r="EX76">
        <v>0</v>
      </c>
      <c r="EY76">
        <v>1.0207057929122371E-9</v>
      </c>
      <c r="EZ76">
        <v>1.3560998717249443E-8</v>
      </c>
      <c r="FA76">
        <v>1.0534226667140501E-10</v>
      </c>
      <c r="FB76">
        <v>2.0581328424298903E-10</v>
      </c>
      <c r="FC76">
        <v>1.0822116341800937E-9</v>
      </c>
      <c r="FD76">
        <v>3.3760887332888097E-9</v>
      </c>
      <c r="FE76">
        <v>1.8140045492929642E-9</v>
      </c>
      <c r="FF76">
        <v>1.0280701250689645E-8</v>
      </c>
      <c r="FG76">
        <v>6.7475629062038801E-10</v>
      </c>
      <c r="FH76">
        <v>5.3158663835554038E-8</v>
      </c>
      <c r="FI76">
        <v>1.0619726133030789E-9</v>
      </c>
      <c r="FJ76">
        <v>1.2796306962562995E-9</v>
      </c>
      <c r="FK76">
        <v>9.2839452065345762E-11</v>
      </c>
      <c r="FL76">
        <v>1.129362250048352E-9</v>
      </c>
      <c r="FM76">
        <v>2.3457297988744014E-9</v>
      </c>
      <c r="FN76">
        <v>4.1899112387148209E-9</v>
      </c>
      <c r="FO76">
        <v>6.7800858428531556E-10</v>
      </c>
      <c r="FP76">
        <v>7.9270937564950974E-5</v>
      </c>
      <c r="FQ76">
        <v>2.5499642445263646E-9</v>
      </c>
      <c r="FR76">
        <v>9.2648571441357739E-6</v>
      </c>
      <c r="FS76">
        <v>9.7635808042429367E-10</v>
      </c>
      <c r="FT76">
        <v>1.2327034855859302E-4</v>
      </c>
      <c r="FU76">
        <v>1.76580128781096E-4</v>
      </c>
      <c r="FV76">
        <v>1.4006226548772627E-4</v>
      </c>
      <c r="FW76">
        <v>4.1314803465159654E-4</v>
      </c>
      <c r="FX76">
        <v>3.5842838351892229E-4</v>
      </c>
      <c r="FY76">
        <v>1.2508850889738797E-4</v>
      </c>
      <c r="FZ76">
        <v>1.086964675773886E-4</v>
      </c>
      <c r="GA76">
        <v>2.8871603309661199E-4</v>
      </c>
      <c r="GB76">
        <v>2.8272797325426535E-4</v>
      </c>
      <c r="GC76">
        <v>2.9834489731374666E-4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3.9279755323612278E-4</v>
      </c>
      <c r="GJ76">
        <v>4.7842620352032766E-4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1.4212593029222739E-4</v>
      </c>
      <c r="GR76">
        <v>3.1949414799591949E-9</v>
      </c>
      <c r="GS76">
        <v>1.349638154826694E-5</v>
      </c>
      <c r="GT76">
        <v>4.0655354100391717E-8</v>
      </c>
      <c r="GU76">
        <v>0</v>
      </c>
    </row>
    <row r="77" spans="1:203">
      <c r="A77" t="s">
        <v>215</v>
      </c>
      <c r="B77">
        <v>74</v>
      </c>
      <c r="C77" t="s">
        <v>11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1.5727724421801641E-3</v>
      </c>
      <c r="BS77">
        <v>0</v>
      </c>
      <c r="BT77">
        <v>0</v>
      </c>
      <c r="BU77">
        <v>1.5727724421801636E-3</v>
      </c>
      <c r="BV77">
        <v>1.5727724421801639E-3</v>
      </c>
      <c r="BW77">
        <v>1.5727724421801639E-3</v>
      </c>
      <c r="BX77">
        <v>1.5727724421801641E-3</v>
      </c>
      <c r="BY77">
        <v>1.5727724421801641E-3</v>
      </c>
      <c r="BZ77">
        <v>1.5727724421801639E-3</v>
      </c>
      <c r="CA77">
        <v>1.5727724421801639E-3</v>
      </c>
      <c r="CB77">
        <v>0</v>
      </c>
      <c r="CC77">
        <v>1.5727724421801639E-3</v>
      </c>
      <c r="CD77">
        <v>1.5727724421801639E-3</v>
      </c>
      <c r="CE77">
        <v>1.5727724421801639E-3</v>
      </c>
      <c r="CF77">
        <v>1.5727724421801639E-3</v>
      </c>
      <c r="CG77">
        <v>1.5727724421801639E-3</v>
      </c>
      <c r="CH77">
        <v>1.5727724421801639E-3</v>
      </c>
      <c r="CI77">
        <v>1.5727724421801639E-3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</row>
    <row r="78" spans="1:203">
      <c r="A78" t="s">
        <v>216</v>
      </c>
      <c r="B78">
        <v>75</v>
      </c>
      <c r="C78" t="s">
        <v>11</v>
      </c>
      <c r="D78">
        <v>6.1688333657492115E-9</v>
      </c>
      <c r="E78">
        <v>0</v>
      </c>
      <c r="F78">
        <v>1.3101097782764299E-6</v>
      </c>
      <c r="G78">
        <v>2.4877418219770728E-7</v>
      </c>
      <c r="H78">
        <v>4.3250834678891286E-7</v>
      </c>
      <c r="I78">
        <v>0</v>
      </c>
      <c r="J78">
        <v>0</v>
      </c>
      <c r="K78">
        <v>2.2174217594052181E-4</v>
      </c>
      <c r="L78">
        <v>1.9517252970951855E-8</v>
      </c>
      <c r="M78">
        <v>7.3652048887484877E-8</v>
      </c>
      <c r="N78">
        <v>3.8534459583987524E-8</v>
      </c>
      <c r="O78">
        <v>3.4321101366278156E-5</v>
      </c>
      <c r="P78">
        <v>3.9191254048029214E-5</v>
      </c>
      <c r="Q78">
        <v>8.801019455597862E-5</v>
      </c>
      <c r="R78">
        <v>0</v>
      </c>
      <c r="S78">
        <v>0</v>
      </c>
      <c r="T78">
        <v>0</v>
      </c>
      <c r="U78">
        <v>1.2510840566273513E-5</v>
      </c>
      <c r="V78">
        <v>2.9629521583707946E-4</v>
      </c>
      <c r="W78">
        <v>1.7440486129293706E-6</v>
      </c>
      <c r="X78">
        <v>0</v>
      </c>
      <c r="Y78">
        <v>0</v>
      </c>
      <c r="Z78">
        <v>0</v>
      </c>
      <c r="AA78">
        <v>1.7440486129293704E-6</v>
      </c>
      <c r="AB78">
        <v>0</v>
      </c>
      <c r="AC78">
        <v>0</v>
      </c>
      <c r="AD78">
        <v>0</v>
      </c>
      <c r="AE78">
        <v>1.367185600764986E-6</v>
      </c>
      <c r="AF78">
        <v>2.8740941488943019E-8</v>
      </c>
      <c r="AG78">
        <v>0</v>
      </c>
      <c r="AH78">
        <v>0</v>
      </c>
      <c r="AI78">
        <v>1.5205666965497345E-7</v>
      </c>
      <c r="AJ78">
        <v>5.3911508643621686E-4</v>
      </c>
      <c r="AK78">
        <v>3.3530837368295988E-4</v>
      </c>
      <c r="AL78">
        <v>7.8020813148197451E-9</v>
      </c>
      <c r="AM78">
        <v>0</v>
      </c>
      <c r="AN78">
        <v>3.5436439534982117E-8</v>
      </c>
      <c r="AO78">
        <v>6.2117396754177094E-7</v>
      </c>
      <c r="AP78">
        <v>3.9671521974975684E-6</v>
      </c>
      <c r="AQ78">
        <v>0</v>
      </c>
      <c r="AR78">
        <v>1.1413489784200133E-9</v>
      </c>
      <c r="AS78">
        <v>0</v>
      </c>
      <c r="AT78">
        <v>2.8505935077262732E-8</v>
      </c>
      <c r="AU78">
        <v>3.5726567275659065E-6</v>
      </c>
      <c r="AV78">
        <v>4.2828192370138025E-8</v>
      </c>
      <c r="AW78">
        <v>1.3518355095934681E-4</v>
      </c>
      <c r="AX78">
        <v>2.795816756470571E-6</v>
      </c>
      <c r="AY78">
        <v>2.9000645231398991E-4</v>
      </c>
      <c r="AZ78">
        <v>0</v>
      </c>
      <c r="BA78">
        <v>1.4152949237416113E-4</v>
      </c>
      <c r="BB78">
        <v>3.5758817478195279E-9</v>
      </c>
      <c r="BC78">
        <v>1.684853236997396E-8</v>
      </c>
      <c r="BD78">
        <v>2.5160227498021408E-4</v>
      </c>
      <c r="BE78">
        <v>0</v>
      </c>
      <c r="BF78">
        <v>7.4136841619902672E-5</v>
      </c>
      <c r="BG78">
        <v>2.8577915241737776E-5</v>
      </c>
      <c r="BH78">
        <v>1.2080339978854027E-5</v>
      </c>
      <c r="BI78">
        <v>1.0985800385522937E-5</v>
      </c>
      <c r="BJ78">
        <v>0</v>
      </c>
      <c r="BK78">
        <v>6.2718011710003225E-5</v>
      </c>
      <c r="BL78">
        <v>0</v>
      </c>
      <c r="BM78">
        <v>1.4154999284356982E-8</v>
      </c>
      <c r="BN78">
        <v>1.1981483258793485E-8</v>
      </c>
      <c r="BO78">
        <v>0</v>
      </c>
      <c r="BP78">
        <v>0</v>
      </c>
      <c r="BQ78">
        <v>0</v>
      </c>
      <c r="BR78">
        <v>5.3321679959751427E-5</v>
      </c>
      <c r="BS78">
        <v>0</v>
      </c>
      <c r="BT78">
        <v>0</v>
      </c>
      <c r="BU78">
        <v>5.3321679959751427E-5</v>
      </c>
      <c r="BV78">
        <v>5.3321679959751434E-5</v>
      </c>
      <c r="BW78">
        <v>5.3321679959751434E-5</v>
      </c>
      <c r="BX78">
        <v>5.3321679959751427E-5</v>
      </c>
      <c r="BY78">
        <v>5.3321679959751434E-5</v>
      </c>
      <c r="BZ78">
        <v>5.3321679959751434E-5</v>
      </c>
      <c r="CA78">
        <v>5.3321679959751434E-5</v>
      </c>
      <c r="CB78">
        <v>0</v>
      </c>
      <c r="CC78">
        <v>5.3321679959751427E-5</v>
      </c>
      <c r="CD78">
        <v>5.3321679959751434E-5</v>
      </c>
      <c r="CE78">
        <v>5.3321679959751434E-5</v>
      </c>
      <c r="CF78">
        <v>5.3321679959751434E-5</v>
      </c>
      <c r="CG78">
        <v>5.3321679959751434E-5</v>
      </c>
      <c r="CH78">
        <v>5.3321679959751434E-5</v>
      </c>
      <c r="CI78">
        <v>5.3321679959751427E-5</v>
      </c>
      <c r="CJ78">
        <v>1.2028193778108862E-5</v>
      </c>
      <c r="CK78">
        <v>7.1926916844248636E-5</v>
      </c>
      <c r="CL78">
        <v>0</v>
      </c>
      <c r="CM78">
        <v>3.5867831981382984E-3</v>
      </c>
      <c r="CN78">
        <v>1.3769637171801143E-3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3.9772114907384688E-4</v>
      </c>
      <c r="CV78">
        <v>1.6350898834980448E-3</v>
      </c>
      <c r="CW78">
        <v>0</v>
      </c>
      <c r="CX78">
        <v>4.5775109264140001E-8</v>
      </c>
      <c r="CY78">
        <v>1.3592970282064165E-6</v>
      </c>
      <c r="CZ78">
        <v>5.784512468966494E-9</v>
      </c>
      <c r="DA78">
        <v>0</v>
      </c>
      <c r="DB78">
        <v>1.4787308913255135E-8</v>
      </c>
      <c r="DC78">
        <v>5.7824041289186202E-4</v>
      </c>
      <c r="DD78">
        <v>0</v>
      </c>
      <c r="DE78">
        <v>1.6240702980300392E-5</v>
      </c>
      <c r="DF78">
        <v>0</v>
      </c>
      <c r="DG78">
        <v>1.7285208069420921E-4</v>
      </c>
      <c r="DH78">
        <v>0</v>
      </c>
      <c r="DI78">
        <v>9.6850953100537266E-10</v>
      </c>
      <c r="DJ78">
        <v>0</v>
      </c>
      <c r="DK78">
        <v>2.9306036608016471E-4</v>
      </c>
      <c r="DL78">
        <v>0</v>
      </c>
      <c r="DM78">
        <v>1.7536104036582761E-5</v>
      </c>
      <c r="DN78">
        <v>0</v>
      </c>
      <c r="DO78">
        <v>2.1619652624345381E-3</v>
      </c>
      <c r="DP78">
        <v>3.1791480405293858E-4</v>
      </c>
      <c r="DQ78">
        <v>1.2105962159499186E-4</v>
      </c>
      <c r="DR78">
        <v>3.9422582745642133E-6</v>
      </c>
      <c r="DS78">
        <v>3.944648758753445E-4</v>
      </c>
      <c r="DT78">
        <v>4.6619258076048727E-5</v>
      </c>
      <c r="DU78">
        <v>1.7317127578379772E-4</v>
      </c>
      <c r="DV78">
        <v>3.0218308777173404E-9</v>
      </c>
      <c r="DW78">
        <v>2.3818941810968348E-9</v>
      </c>
      <c r="DX78">
        <v>3.1886413510439284E-6</v>
      </c>
      <c r="DY78">
        <v>6.195540060095491E-14</v>
      </c>
      <c r="DZ78">
        <v>0</v>
      </c>
      <c r="EA78">
        <v>6.0413875747226533E-5</v>
      </c>
      <c r="EB78">
        <v>4.557411339300675E-5</v>
      </c>
      <c r="EC78">
        <v>0</v>
      </c>
      <c r="ED78">
        <v>2.2054862774441069E-5</v>
      </c>
      <c r="EE78">
        <v>3.8738634209856602E-5</v>
      </c>
      <c r="EF78">
        <v>5.2528965536102518E-4</v>
      </c>
      <c r="EG78">
        <v>4.2104573582776079E-5</v>
      </c>
      <c r="EH78">
        <v>3.6212586107767705E-5</v>
      </c>
      <c r="EI78">
        <v>0</v>
      </c>
      <c r="EJ78">
        <v>0</v>
      </c>
      <c r="EK78">
        <v>0</v>
      </c>
      <c r="EL78">
        <v>8.8801337298120673E-5</v>
      </c>
      <c r="EM78">
        <v>1.0037371022106877E-4</v>
      </c>
      <c r="EN78">
        <v>1.0593958623489684E-4</v>
      </c>
      <c r="EO78">
        <v>4.1821326719011581E-4</v>
      </c>
      <c r="EP78">
        <v>4.1821326719011575E-4</v>
      </c>
      <c r="EQ78">
        <v>4.1821326719011575E-4</v>
      </c>
      <c r="ER78">
        <v>0</v>
      </c>
      <c r="ES78">
        <v>4.1821326719011575E-4</v>
      </c>
      <c r="ET78">
        <v>4.1821326719011575E-4</v>
      </c>
      <c r="EU78">
        <v>4.1123291359925425E-7</v>
      </c>
      <c r="EV78">
        <v>8.0724522971047867E-7</v>
      </c>
      <c r="EW78">
        <v>4.2076149208460581E-6</v>
      </c>
      <c r="EX78">
        <v>0</v>
      </c>
      <c r="EY78">
        <v>1.0245459177387719E-9</v>
      </c>
      <c r="EZ78">
        <v>0</v>
      </c>
      <c r="FA78">
        <v>1.0841736467465676E-10</v>
      </c>
      <c r="FB78">
        <v>0</v>
      </c>
      <c r="FC78">
        <v>2.4745027246633525E-9</v>
      </c>
      <c r="FD78">
        <v>4.3808604548224686E-9</v>
      </c>
      <c r="FE78">
        <v>2.5309962941349372E-9</v>
      </c>
      <c r="FF78">
        <v>0</v>
      </c>
      <c r="FG78">
        <v>8.7516088511125281E-10</v>
      </c>
      <c r="FH78">
        <v>0</v>
      </c>
      <c r="FI78">
        <v>1.7478727420934625E-9</v>
      </c>
      <c r="FJ78">
        <v>1.4834289025592449E-9</v>
      </c>
      <c r="FK78">
        <v>1.1709877477796698E-10</v>
      </c>
      <c r="FL78">
        <v>1.6753767044805165E-9</v>
      </c>
      <c r="FM78">
        <v>3.8038736556868542E-9</v>
      </c>
      <c r="FN78">
        <v>0</v>
      </c>
      <c r="FO78">
        <v>9.6056709040381198E-10</v>
      </c>
      <c r="FP78">
        <v>8.7790150688904359E-6</v>
      </c>
      <c r="FQ78">
        <v>3.2685421087221983E-9</v>
      </c>
      <c r="FR78">
        <v>1.101647343817311E-4</v>
      </c>
      <c r="FS78">
        <v>1.3648307961002636E-9</v>
      </c>
      <c r="FT78">
        <v>4.7637500682667097E-4</v>
      </c>
      <c r="FU78">
        <v>4.006619292509156E-4</v>
      </c>
      <c r="FV78">
        <v>1.339097921191458E-3</v>
      </c>
      <c r="FW78">
        <v>5.0455746148857466E-4</v>
      </c>
      <c r="FX78">
        <v>5.0023976048969398E-4</v>
      </c>
      <c r="FY78">
        <v>4.4100671299324618E-4</v>
      </c>
      <c r="FZ78">
        <v>3.8498959638765229E-4</v>
      </c>
      <c r="GA78">
        <v>4.9752386207352925E-4</v>
      </c>
      <c r="GB78">
        <v>4.9279434061711086E-4</v>
      </c>
      <c r="GC78">
        <v>4.8770404910340401E-4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3.9664025967256684E-4</v>
      </c>
      <c r="GJ78">
        <v>4.3220024878504149E-4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9.5265071914155626E-9</v>
      </c>
      <c r="GS78">
        <v>1.9647776173052699E-4</v>
      </c>
      <c r="GT78">
        <v>0</v>
      </c>
      <c r="GU78">
        <v>0</v>
      </c>
    </row>
    <row r="79" spans="1:203">
      <c r="A79" t="s">
        <v>217</v>
      </c>
      <c r="B79">
        <v>76</v>
      </c>
      <c r="C79" t="s">
        <v>11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1.0923390476628854E-2</v>
      </c>
      <c r="BS79">
        <v>0</v>
      </c>
      <c r="BT79">
        <v>0</v>
      </c>
      <c r="BU79">
        <v>1.0923390476628854E-2</v>
      </c>
      <c r="BV79">
        <v>1.0923390476628854E-2</v>
      </c>
      <c r="BW79">
        <v>1.0923390476628854E-2</v>
      </c>
      <c r="BX79">
        <v>1.0923390476628854E-2</v>
      </c>
      <c r="BY79">
        <v>1.0923390476628854E-2</v>
      </c>
      <c r="BZ79">
        <v>1.0923390476628853E-2</v>
      </c>
      <c r="CA79">
        <v>1.0923390476628854E-2</v>
      </c>
      <c r="CB79">
        <v>0</v>
      </c>
      <c r="CC79">
        <v>1.0923390476628853E-2</v>
      </c>
      <c r="CD79">
        <v>1.0923390476628853E-2</v>
      </c>
      <c r="CE79">
        <v>1.0923390476628853E-2</v>
      </c>
      <c r="CF79">
        <v>1.0923390476628854E-2</v>
      </c>
      <c r="CG79">
        <v>1.0923390476628854E-2</v>
      </c>
      <c r="CH79">
        <v>1.0923390476628856E-2</v>
      </c>
      <c r="CI79">
        <v>1.0923390476628853E-2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</row>
    <row r="80" spans="1:203">
      <c r="A80" t="s">
        <v>218</v>
      </c>
      <c r="B80">
        <v>77</v>
      </c>
      <c r="C80" t="s">
        <v>11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</row>
    <row r="81" spans="1:203">
      <c r="A81" t="s">
        <v>219</v>
      </c>
      <c r="B81">
        <v>78</v>
      </c>
      <c r="C81" t="s">
        <v>11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0.25721143190376683</v>
      </c>
      <c r="CL81">
        <v>0</v>
      </c>
      <c r="CM81">
        <v>1.4225474349040242E-3</v>
      </c>
      <c r="CN81">
        <v>1.7154301053872959E-8</v>
      </c>
      <c r="CO81">
        <v>8.0986371517476913E-3</v>
      </c>
      <c r="CP81">
        <v>0</v>
      </c>
      <c r="CQ81">
        <v>8.0986371517476913E-3</v>
      </c>
      <c r="CR81">
        <v>0</v>
      </c>
      <c r="CS81">
        <v>8.0986371517476931E-3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2.4715597267397776E-7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</row>
    <row r="82" spans="1:203">
      <c r="A82" t="s">
        <v>220</v>
      </c>
      <c r="B82">
        <v>79</v>
      </c>
      <c r="C82" t="s">
        <v>11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3.0661991067600753E-4</v>
      </c>
      <c r="BS82">
        <v>0</v>
      </c>
      <c r="BT82">
        <v>0</v>
      </c>
      <c r="BU82">
        <v>3.0661991067600748E-4</v>
      </c>
      <c r="BV82">
        <v>3.0661991067600753E-4</v>
      </c>
      <c r="BW82">
        <v>3.0661991067600753E-4</v>
      </c>
      <c r="BX82">
        <v>3.0661991067600753E-4</v>
      </c>
      <c r="BY82">
        <v>3.0661991067600753E-4</v>
      </c>
      <c r="BZ82">
        <v>3.0661991067600748E-4</v>
      </c>
      <c r="CA82">
        <v>3.0661991067600753E-4</v>
      </c>
      <c r="CB82">
        <v>0</v>
      </c>
      <c r="CC82">
        <v>3.0661991067600748E-4</v>
      </c>
      <c r="CD82">
        <v>3.0661991067600753E-4</v>
      </c>
      <c r="CE82">
        <v>3.0661991067600753E-4</v>
      </c>
      <c r="CF82">
        <v>3.0661991067600753E-4</v>
      </c>
      <c r="CG82">
        <v>3.0661991067600753E-4</v>
      </c>
      <c r="CH82">
        <v>3.0661991067600753E-4</v>
      </c>
      <c r="CI82">
        <v>3.0661991067600753E-4</v>
      </c>
      <c r="CJ82">
        <v>0</v>
      </c>
      <c r="CK82">
        <v>4.6930465220923947E-3</v>
      </c>
      <c r="CL82">
        <v>0</v>
      </c>
      <c r="CM82">
        <v>8.3031206291477307E-5</v>
      </c>
      <c r="CN82">
        <v>2.5515257568573814E-8</v>
      </c>
      <c r="CO82">
        <v>4.4836490968172142E-4</v>
      </c>
      <c r="CP82">
        <v>0</v>
      </c>
      <c r="CQ82">
        <v>4.4836490968172142E-4</v>
      </c>
      <c r="CR82">
        <v>0</v>
      </c>
      <c r="CS82">
        <v>4.4836490968172142E-4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</row>
    <row r="83" spans="1:203">
      <c r="A83" t="s">
        <v>221</v>
      </c>
      <c r="B83">
        <v>80</v>
      </c>
      <c r="C83" t="s">
        <v>11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2.5718659186739925E-8</v>
      </c>
      <c r="FE83">
        <v>1.1393190703453411E-2</v>
      </c>
      <c r="FF83">
        <v>0</v>
      </c>
      <c r="FG83">
        <v>9.9456971233639021E-10</v>
      </c>
      <c r="FH83">
        <v>2.8357714006595051E-3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</row>
    <row r="84" spans="1:203">
      <c r="A84" t="s">
        <v>222</v>
      </c>
      <c r="B84">
        <v>81</v>
      </c>
      <c r="C84" t="s">
        <v>11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1.07635180129792E-7</v>
      </c>
      <c r="X84">
        <v>0</v>
      </c>
      <c r="Y84">
        <v>0</v>
      </c>
      <c r="Z84">
        <v>0</v>
      </c>
      <c r="AA84">
        <v>1.0763518012979199E-7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8.508235709066396E-2</v>
      </c>
      <c r="BP84">
        <v>0</v>
      </c>
      <c r="BQ84">
        <v>8.508235709066396E-2</v>
      </c>
      <c r="BR84">
        <v>1.5230299929514498E-3</v>
      </c>
      <c r="BS84">
        <v>0</v>
      </c>
      <c r="BT84">
        <v>0</v>
      </c>
      <c r="BU84">
        <v>1.5230299929514495E-3</v>
      </c>
      <c r="BV84">
        <v>1.52302999295145E-3</v>
      </c>
      <c r="BW84">
        <v>1.52302999295145E-3</v>
      </c>
      <c r="BX84">
        <v>1.5230299929514498E-3</v>
      </c>
      <c r="BY84">
        <v>1.5230299929514498E-3</v>
      </c>
      <c r="BZ84">
        <v>1.5230299929514498E-3</v>
      </c>
      <c r="CA84">
        <v>1.5230299929514498E-3</v>
      </c>
      <c r="CB84">
        <v>0</v>
      </c>
      <c r="CC84">
        <v>1.5230299929514498E-3</v>
      </c>
      <c r="CD84">
        <v>1.5230299929514495E-3</v>
      </c>
      <c r="CE84">
        <v>1.5230299929514498E-3</v>
      </c>
      <c r="CF84">
        <v>1.5230299929514498E-3</v>
      </c>
      <c r="CG84">
        <v>1.5230299929514498E-3</v>
      </c>
      <c r="CH84">
        <v>1.52302999295145E-3</v>
      </c>
      <c r="CI84">
        <v>1.52302999295145E-3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3.1580508263518516E-7</v>
      </c>
      <c r="EB84">
        <v>7.9012568400763119E-7</v>
      </c>
      <c r="EC84">
        <v>1.6330265376743063E-8</v>
      </c>
      <c r="ED84">
        <v>8.7430503588427147E-7</v>
      </c>
      <c r="EE84">
        <v>1.5507642612721408E-6</v>
      </c>
      <c r="EF84">
        <v>1.4193169219203139E-7</v>
      </c>
      <c r="EG84">
        <v>2.2276637380504428E-6</v>
      </c>
      <c r="EH84">
        <v>1.2498371185926322E-6</v>
      </c>
      <c r="EI84">
        <v>0</v>
      </c>
      <c r="EJ84">
        <v>0</v>
      </c>
      <c r="EK84">
        <v>0</v>
      </c>
      <c r="EL84">
        <v>1.7845508904820216E-6</v>
      </c>
      <c r="EM84">
        <v>0</v>
      </c>
      <c r="EN84">
        <v>0</v>
      </c>
      <c r="EO84">
        <v>4.3515648306177569E-6</v>
      </c>
      <c r="EP84">
        <v>4.3515648306177569E-6</v>
      </c>
      <c r="EQ84">
        <v>4.3515648306177569E-6</v>
      </c>
      <c r="ER84">
        <v>0</v>
      </c>
      <c r="ES84">
        <v>4.3515648306177569E-6</v>
      </c>
      <c r="ET84">
        <v>4.3515648306177569E-6</v>
      </c>
      <c r="EU84">
        <v>9.5366238772137988E-8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</row>
    <row r="85" spans="1:203">
      <c r="A85" t="s">
        <v>223</v>
      </c>
      <c r="B85">
        <v>82</v>
      </c>
      <c r="C85" t="s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5.3765431071397969E-5</v>
      </c>
      <c r="CL85">
        <v>0</v>
      </c>
      <c r="CM85">
        <v>1.4738106508930736E-5</v>
      </c>
      <c r="CN85">
        <v>1.2419172497370192E-6</v>
      </c>
      <c r="CO85">
        <v>9.8848261871322668E-6</v>
      </c>
      <c r="CP85">
        <v>0</v>
      </c>
      <c r="CQ85">
        <v>9.8848261871322668E-6</v>
      </c>
      <c r="CR85">
        <v>0</v>
      </c>
      <c r="CS85">
        <v>9.8848261871322684E-6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</row>
    <row r="86" spans="1:203">
      <c r="A86" t="s">
        <v>224</v>
      </c>
      <c r="B86">
        <v>83</v>
      </c>
      <c r="C86" t="s">
        <v>11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1.4905731431651793E-5</v>
      </c>
      <c r="BS86">
        <v>0</v>
      </c>
      <c r="BT86">
        <v>0</v>
      </c>
      <c r="BU86">
        <v>1.490573143165179E-5</v>
      </c>
      <c r="BV86">
        <v>1.4905731431651793E-5</v>
      </c>
      <c r="BW86">
        <v>1.4905731431651793E-5</v>
      </c>
      <c r="BX86">
        <v>1.4905731431651793E-5</v>
      </c>
      <c r="BY86">
        <v>1.4905731431651793E-5</v>
      </c>
      <c r="BZ86">
        <v>1.4905731431651791E-5</v>
      </c>
      <c r="CA86">
        <v>1.4905731431651793E-5</v>
      </c>
      <c r="CB86">
        <v>0</v>
      </c>
      <c r="CC86">
        <v>1.4905731431651791E-5</v>
      </c>
      <c r="CD86">
        <v>1.4905731431651791E-5</v>
      </c>
      <c r="CE86">
        <v>1.4905731431651793E-5</v>
      </c>
      <c r="CF86">
        <v>1.4905731431651793E-5</v>
      </c>
      <c r="CG86">
        <v>1.4905731431651791E-5</v>
      </c>
      <c r="CH86">
        <v>1.4905731431651793E-5</v>
      </c>
      <c r="CI86">
        <v>1.4905731431651791E-5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1.1095440121406389E-4</v>
      </c>
      <c r="CW86">
        <v>0</v>
      </c>
      <c r="CX86">
        <v>3.0592737737283726E-5</v>
      </c>
      <c r="CY86">
        <v>7.8528684886653539E-5</v>
      </c>
      <c r="CZ86">
        <v>1.5115983674953564E-8</v>
      </c>
      <c r="DA86">
        <v>0</v>
      </c>
      <c r="DB86">
        <v>1.3937429203062941E-4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5.7082915305555338E-6</v>
      </c>
      <c r="EV86">
        <v>0</v>
      </c>
      <c r="EW86">
        <v>2.7865070944640066E-7</v>
      </c>
      <c r="EX86">
        <v>0</v>
      </c>
      <c r="EY86">
        <v>1.0322362804277377E-9</v>
      </c>
      <c r="EZ86">
        <v>1.348817839606404E-8</v>
      </c>
      <c r="FA86">
        <v>1.1289920089698774E-10</v>
      </c>
      <c r="FB86">
        <v>2.1764915454989223E-10</v>
      </c>
      <c r="FC86">
        <v>7.230237861750285E-8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2.1611042402960841E-9</v>
      </c>
      <c r="FJ86">
        <v>1.9181267854053656E-9</v>
      </c>
      <c r="FK86">
        <v>1.2812554069175906E-10</v>
      </c>
      <c r="FL86">
        <v>6.9568518163758449E-9</v>
      </c>
      <c r="FM86">
        <v>1.6638637229541963E-8</v>
      </c>
      <c r="FN86">
        <v>9.3326579995513423E-9</v>
      </c>
      <c r="FO86">
        <v>4.059135503340915E-9</v>
      </c>
      <c r="FP86">
        <v>3.420934163246678E-7</v>
      </c>
      <c r="FQ86">
        <v>7.2689995891638069E-9</v>
      </c>
      <c r="FR86">
        <v>6.2547175748870402E-8</v>
      </c>
      <c r="FS86">
        <v>5.8068442927408758E-9</v>
      </c>
      <c r="FT86">
        <v>1.5723911314675254E-7</v>
      </c>
      <c r="FU86">
        <v>3.2287056973503484E-7</v>
      </c>
      <c r="FV86">
        <v>1.4743527738056007E-7</v>
      </c>
      <c r="FW86">
        <v>1.0338886407783155E-6</v>
      </c>
      <c r="FX86">
        <v>9.2245270869639844E-7</v>
      </c>
      <c r="FY86">
        <v>5.5517259833691944E-7</v>
      </c>
      <c r="FZ86">
        <v>6.8381220072523281E-7</v>
      </c>
      <c r="GA86">
        <v>9.3613442169680779E-7</v>
      </c>
      <c r="GB86">
        <v>9.1666974087498416E-7</v>
      </c>
      <c r="GC86">
        <v>9.7492930670171955E-7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1.2770346110501099E-6</v>
      </c>
      <c r="GJ86">
        <v>1.3249856910123964E-6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2.4788660332618269E-7</v>
      </c>
      <c r="GR86">
        <v>8.1296017529939795E-8</v>
      </c>
      <c r="GS86">
        <v>7.4112628204471289E-8</v>
      </c>
      <c r="GT86">
        <v>0</v>
      </c>
      <c r="GU86">
        <v>0</v>
      </c>
    </row>
    <row r="87" spans="1:203">
      <c r="A87" t="s">
        <v>225</v>
      </c>
      <c r="B87">
        <v>84</v>
      </c>
      <c r="C87" t="s">
        <v>11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1.2423589499711211E-7</v>
      </c>
      <c r="X87">
        <v>0</v>
      </c>
      <c r="Y87">
        <v>0</v>
      </c>
      <c r="Z87">
        <v>0</v>
      </c>
      <c r="AA87">
        <v>1.2423589499711211E-7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1.574812932682658E-3</v>
      </c>
      <c r="BP87">
        <v>0</v>
      </c>
      <c r="BQ87">
        <v>1.574812932682658E-3</v>
      </c>
      <c r="BR87">
        <v>2.9618840865046591E-5</v>
      </c>
      <c r="BS87">
        <v>0</v>
      </c>
      <c r="BT87">
        <v>0</v>
      </c>
      <c r="BU87">
        <v>2.9618840865046588E-5</v>
      </c>
      <c r="BV87">
        <v>2.9618840865046588E-5</v>
      </c>
      <c r="BW87">
        <v>2.9618840865046591E-5</v>
      </c>
      <c r="BX87">
        <v>2.9618840865046591E-5</v>
      </c>
      <c r="BY87">
        <v>2.9618840865046588E-5</v>
      </c>
      <c r="BZ87">
        <v>2.9618840865046588E-5</v>
      </c>
      <c r="CA87">
        <v>2.9618840865046588E-5</v>
      </c>
      <c r="CB87">
        <v>0</v>
      </c>
      <c r="CC87">
        <v>2.9618840865046588E-5</v>
      </c>
      <c r="CD87">
        <v>2.9618840865046588E-5</v>
      </c>
      <c r="CE87">
        <v>2.9618840865046588E-5</v>
      </c>
      <c r="CF87">
        <v>2.9618840865046591E-5</v>
      </c>
      <c r="CG87">
        <v>2.9618840865046591E-5</v>
      </c>
      <c r="CH87">
        <v>2.9618840865046595E-5</v>
      </c>
      <c r="CI87">
        <v>2.9618840865046588E-5</v>
      </c>
      <c r="CJ87">
        <v>0</v>
      </c>
      <c r="CK87">
        <v>2.9765209721730906E-3</v>
      </c>
      <c r="CL87">
        <v>0</v>
      </c>
      <c r="CM87">
        <v>3.0286185201615004E-5</v>
      </c>
      <c r="CN87">
        <v>4.5614966555357533E-8</v>
      </c>
      <c r="CO87">
        <v>3.7839481843363065E-4</v>
      </c>
      <c r="CP87">
        <v>0</v>
      </c>
      <c r="CQ87">
        <v>3.7839481843363065E-4</v>
      </c>
      <c r="CR87">
        <v>0</v>
      </c>
      <c r="CS87">
        <v>3.7839481843363065E-4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6.9294161997000184E-8</v>
      </c>
      <c r="EB87">
        <v>5.2777522789398064E-8</v>
      </c>
      <c r="EC87">
        <v>5.9794414310738812E-9</v>
      </c>
      <c r="ED87">
        <v>1.9539288874026778E-7</v>
      </c>
      <c r="EE87">
        <v>1.1066815135142484E-6</v>
      </c>
      <c r="EF87">
        <v>1.6467019223150105E-7</v>
      </c>
      <c r="EG87">
        <v>5.2793292529750069E-7</v>
      </c>
      <c r="EH87">
        <v>1.0443166752164338E-6</v>
      </c>
      <c r="EI87">
        <v>0</v>
      </c>
      <c r="EJ87">
        <v>0</v>
      </c>
      <c r="EK87">
        <v>0</v>
      </c>
      <c r="EL87">
        <v>8.072342149956004E-8</v>
      </c>
      <c r="EM87">
        <v>0</v>
      </c>
      <c r="EN87">
        <v>0</v>
      </c>
      <c r="EO87">
        <v>4.7396350842993568E-8</v>
      </c>
      <c r="EP87">
        <v>4.7396350842993568E-8</v>
      </c>
      <c r="EQ87">
        <v>4.7396350842993568E-8</v>
      </c>
      <c r="ER87">
        <v>0</v>
      </c>
      <c r="ES87">
        <v>4.7396350842993575E-8</v>
      </c>
      <c r="ET87">
        <v>4.7396350842993568E-8</v>
      </c>
      <c r="EU87">
        <v>1.4096969148741736E-6</v>
      </c>
      <c r="EV87">
        <v>0</v>
      </c>
      <c r="EW87">
        <v>1.5552733783199922E-9</v>
      </c>
      <c r="EX87">
        <v>0</v>
      </c>
      <c r="EY87">
        <v>1.0175899832373301E-9</v>
      </c>
      <c r="EZ87">
        <v>1.3287610410847846E-8</v>
      </c>
      <c r="FA87">
        <v>1.0459675132508525E-10</v>
      </c>
      <c r="FB87">
        <v>2.0276403039185274E-10</v>
      </c>
      <c r="FC87">
        <v>7.3264016515821626E-10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1.4838761532593611E-9</v>
      </c>
      <c r="FJ87">
        <v>1.1615686883937893E-9</v>
      </c>
      <c r="FK87">
        <v>1.0752867285688176E-10</v>
      </c>
      <c r="FL87">
        <v>8.6211552600327965E-10</v>
      </c>
      <c r="FM87">
        <v>1.7143539133025366E-9</v>
      </c>
      <c r="FN87">
        <v>3.1074702082747359E-9</v>
      </c>
      <c r="FO87">
        <v>5.3482053448852261E-10</v>
      </c>
      <c r="FP87">
        <v>6.2434228463415201E-8</v>
      </c>
      <c r="FQ87">
        <v>2.0785912581912809E-9</v>
      </c>
      <c r="FR87">
        <v>1.3312710453576558E-8</v>
      </c>
      <c r="FS87">
        <v>7.8041408965002859E-10</v>
      </c>
      <c r="FT87">
        <v>7.697842478655718E-7</v>
      </c>
      <c r="FU87">
        <v>1.0354601017621015E-6</v>
      </c>
      <c r="FV87">
        <v>9.9116434738308302E-7</v>
      </c>
      <c r="FW87">
        <v>1.1734258999658771E-6</v>
      </c>
      <c r="FX87">
        <v>1.0142169734200339E-6</v>
      </c>
      <c r="FY87">
        <v>7.8513601387413439E-7</v>
      </c>
      <c r="FZ87">
        <v>9.0600413282383011E-7</v>
      </c>
      <c r="GA87">
        <v>1.3597961776686964E-6</v>
      </c>
      <c r="GB87">
        <v>1.2722543569282148E-6</v>
      </c>
      <c r="GC87">
        <v>1.3328000480758606E-6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9.3886662596061348E-7</v>
      </c>
      <c r="GJ87">
        <v>8.8142858904143843E-7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9.540729144134136E-7</v>
      </c>
      <c r="GR87">
        <v>2.0067777442537075E-9</v>
      </c>
      <c r="GS87">
        <v>7.7454966852562554E-9</v>
      </c>
      <c r="GT87">
        <v>1.0141774624161521E-8</v>
      </c>
      <c r="GU87">
        <v>0</v>
      </c>
    </row>
    <row r="88" spans="1:203">
      <c r="A88" t="s">
        <v>226</v>
      </c>
      <c r="B88">
        <v>85</v>
      </c>
      <c r="C88" t="s">
        <v>58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</row>
    <row r="89" spans="1:203">
      <c r="A89" t="s">
        <v>227</v>
      </c>
      <c r="B89">
        <v>86</v>
      </c>
      <c r="C89" t="s">
        <v>58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5.975863079336753E-7</v>
      </c>
      <c r="X89">
        <v>0</v>
      </c>
      <c r="Y89">
        <v>0</v>
      </c>
      <c r="Z89">
        <v>0</v>
      </c>
      <c r="AA89">
        <v>5.975863079336753E-7</v>
      </c>
      <c r="AB89">
        <v>0</v>
      </c>
      <c r="AC89">
        <v>0</v>
      </c>
      <c r="AD89">
        <v>0</v>
      </c>
      <c r="AE89">
        <v>3.8989142525269866E-7</v>
      </c>
      <c r="AF89">
        <v>2.2064922457961314E-8</v>
      </c>
      <c r="AG89">
        <v>0</v>
      </c>
      <c r="AH89">
        <v>0</v>
      </c>
      <c r="AI89">
        <v>3.017893505274503E-8</v>
      </c>
      <c r="AJ89">
        <v>8.7602851557111329E-7</v>
      </c>
      <c r="AK89">
        <v>0</v>
      </c>
      <c r="AL89">
        <v>6.763026653655365E-9</v>
      </c>
      <c r="AM89">
        <v>0</v>
      </c>
      <c r="AN89">
        <v>3.0399040835151854E-8</v>
      </c>
      <c r="AO89">
        <v>0</v>
      </c>
      <c r="AP89">
        <v>2.1279218266223077E-6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1.3334989657105526E-5</v>
      </c>
      <c r="BG89">
        <v>1.2202562000294486E-8</v>
      </c>
      <c r="BH89">
        <v>1.9659413139012116E-3</v>
      </c>
      <c r="BI89">
        <v>2.9100041655820182E-6</v>
      </c>
      <c r="BJ89">
        <v>0</v>
      </c>
      <c r="BK89">
        <v>0</v>
      </c>
      <c r="BL89">
        <v>0</v>
      </c>
      <c r="BM89">
        <v>8.5810192675225781E-8</v>
      </c>
      <c r="BN89">
        <v>1.6757559877012205E-8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4.1874764032973164E-3</v>
      </c>
      <c r="CL89">
        <v>0</v>
      </c>
      <c r="CM89">
        <v>0</v>
      </c>
      <c r="CN89">
        <v>0</v>
      </c>
      <c r="CO89">
        <v>4.8153954963614356E-3</v>
      </c>
      <c r="CP89">
        <v>0</v>
      </c>
      <c r="CQ89">
        <v>4.8153954963614356E-3</v>
      </c>
      <c r="CR89">
        <v>0</v>
      </c>
      <c r="CS89">
        <v>4.8153954963614364E-3</v>
      </c>
      <c r="CT89">
        <v>0</v>
      </c>
      <c r="CU89">
        <v>2.1176953733940979E-2</v>
      </c>
      <c r="CV89">
        <v>1.0636998266990435E-4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2.8792164472992469E-8</v>
      </c>
      <c r="DC89">
        <v>2.9229347699581304E-6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2.276558384207745E-5</v>
      </c>
      <c r="DQ89">
        <v>2.8334815090985152E-6</v>
      </c>
      <c r="DR89">
        <v>1.1934228237944069E-5</v>
      </c>
      <c r="DS89">
        <v>1.3819553969181256E-3</v>
      </c>
      <c r="DT89">
        <v>6.0409909752662499E-4</v>
      </c>
      <c r="DU89">
        <v>1.0600326130435087E-2</v>
      </c>
      <c r="DV89">
        <v>1.4033332768565457E-5</v>
      </c>
      <c r="DW89">
        <v>3.0930659089568571E-9</v>
      </c>
      <c r="DX89">
        <v>1.6304029662250122E-5</v>
      </c>
      <c r="DY89">
        <v>3.1678780330809363E-13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1.3035875973092994E-8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9.0203305910734442E-9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5.1655553296982374E-6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5.5246643587037587E-8</v>
      </c>
      <c r="GR89">
        <v>0</v>
      </c>
      <c r="GS89">
        <v>1.1883303289445127E-5</v>
      </c>
      <c r="GT89">
        <v>0</v>
      </c>
      <c r="GU89">
        <v>0</v>
      </c>
    </row>
    <row r="90" spans="1:203">
      <c r="A90" t="s">
        <v>228</v>
      </c>
      <c r="B90">
        <v>87</v>
      </c>
      <c r="C90" t="s">
        <v>58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</row>
    <row r="91" spans="1:203">
      <c r="A91" t="s">
        <v>229</v>
      </c>
      <c r="B91">
        <v>88</v>
      </c>
      <c r="C91" t="s">
        <v>58</v>
      </c>
      <c r="D91">
        <v>3.225081301554007E-9</v>
      </c>
      <c r="E91">
        <v>1.6263743800984689E-6</v>
      </c>
      <c r="F91">
        <v>5.6812864301817642E-7</v>
      </c>
      <c r="G91">
        <v>6.091847411959203E-9</v>
      </c>
      <c r="H91">
        <v>9.6559943428384429E-8</v>
      </c>
      <c r="I91">
        <v>0</v>
      </c>
      <c r="J91">
        <v>5.1735062130261133E-4</v>
      </c>
      <c r="K91">
        <v>1.3701803383768865E-4</v>
      </c>
      <c r="L91">
        <v>7.7275376594918815E-9</v>
      </c>
      <c r="M91">
        <v>1.4982755847567942E-8</v>
      </c>
      <c r="N91">
        <v>1.5169770624795559E-8</v>
      </c>
      <c r="O91">
        <v>3.1637113996214611E-6</v>
      </c>
      <c r="P91">
        <v>1.7065623825094027E-6</v>
      </c>
      <c r="Q91">
        <v>1.7127501497309933E-6</v>
      </c>
      <c r="R91">
        <v>0</v>
      </c>
      <c r="S91">
        <v>0</v>
      </c>
      <c r="T91">
        <v>0</v>
      </c>
      <c r="U91">
        <v>4.2872150878315126E-4</v>
      </c>
      <c r="V91">
        <v>1.3955047972380989E-8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7.4447984589691586E-6</v>
      </c>
      <c r="BA91">
        <v>0</v>
      </c>
      <c r="BB91">
        <v>1.077995998388514E-9</v>
      </c>
      <c r="BC91">
        <v>5.386289308773304E-9</v>
      </c>
      <c r="BD91">
        <v>0</v>
      </c>
      <c r="BE91">
        <v>0</v>
      </c>
      <c r="BF91">
        <v>1.8702893205798276E-9</v>
      </c>
      <c r="BG91">
        <v>0</v>
      </c>
      <c r="BH91">
        <v>2.5569266756652369E-8</v>
      </c>
      <c r="BI91">
        <v>1.1954473824286868E-8</v>
      </c>
      <c r="BJ91">
        <v>0</v>
      </c>
      <c r="BK91">
        <v>1.1800398361910978E-7</v>
      </c>
      <c r="BL91">
        <v>0</v>
      </c>
      <c r="BM91">
        <v>2.8852444819085488E-9</v>
      </c>
      <c r="BN91">
        <v>0</v>
      </c>
      <c r="BO91">
        <v>0</v>
      </c>
      <c r="BP91">
        <v>0</v>
      </c>
      <c r="BQ91">
        <v>0</v>
      </c>
      <c r="BR91">
        <v>1.4003169019851073E-7</v>
      </c>
      <c r="BS91">
        <v>0</v>
      </c>
      <c r="BT91">
        <v>0</v>
      </c>
      <c r="BU91">
        <v>1.400316901985107E-7</v>
      </c>
      <c r="BV91">
        <v>1.4003169019851073E-7</v>
      </c>
      <c r="BW91">
        <v>1.4003169019851073E-7</v>
      </c>
      <c r="BX91">
        <v>1.4003169019851073E-7</v>
      </c>
      <c r="BY91">
        <v>1.4003169019851073E-7</v>
      </c>
      <c r="BZ91">
        <v>1.4003169019851073E-7</v>
      </c>
      <c r="CA91">
        <v>1.4003169019851073E-7</v>
      </c>
      <c r="CB91">
        <v>0</v>
      </c>
      <c r="CC91">
        <v>1.400316901985107E-7</v>
      </c>
      <c r="CD91">
        <v>1.4003169019851073E-7</v>
      </c>
      <c r="CE91">
        <v>1.4003169019851073E-7</v>
      </c>
      <c r="CF91">
        <v>1.4003169019851073E-7</v>
      </c>
      <c r="CG91">
        <v>1.4003169019851073E-7</v>
      </c>
      <c r="CH91">
        <v>1.4003169019851073E-7</v>
      </c>
      <c r="CI91">
        <v>1.4003169019851073E-7</v>
      </c>
      <c r="CJ91">
        <v>0</v>
      </c>
      <c r="CK91">
        <v>4.1643267303208764E-4</v>
      </c>
      <c r="CL91">
        <v>0</v>
      </c>
      <c r="CM91">
        <v>5.6370477852481704E-3</v>
      </c>
      <c r="CN91">
        <v>2.5774328897683987E-8</v>
      </c>
      <c r="CO91">
        <v>6.2507917185842103E-5</v>
      </c>
      <c r="CP91">
        <v>0</v>
      </c>
      <c r="CQ91">
        <v>6.2507917185842103E-5</v>
      </c>
      <c r="CR91">
        <v>0</v>
      </c>
      <c r="CS91">
        <v>6.2507917185842117E-5</v>
      </c>
      <c r="CT91">
        <v>0</v>
      </c>
      <c r="CU91">
        <v>3.1739986942910918E-9</v>
      </c>
      <c r="CV91">
        <v>9.6923537299634616E-9</v>
      </c>
      <c r="CW91">
        <v>0</v>
      </c>
      <c r="CX91">
        <v>1.7319810085176576E-8</v>
      </c>
      <c r="CY91">
        <v>0</v>
      </c>
      <c r="CZ91">
        <v>0</v>
      </c>
      <c r="DA91">
        <v>0</v>
      </c>
      <c r="DB91">
        <v>0</v>
      </c>
      <c r="DC91">
        <v>1.2402328458780402E-8</v>
      </c>
      <c r="DD91">
        <v>0</v>
      </c>
      <c r="DE91">
        <v>1.8907594086036163E-8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6.7579378907072264E-9</v>
      </c>
      <c r="DL91">
        <v>0</v>
      </c>
      <c r="DM91">
        <v>2.5035826709885552E-8</v>
      </c>
      <c r="DN91">
        <v>0</v>
      </c>
      <c r="DO91">
        <v>0</v>
      </c>
      <c r="DP91">
        <v>1.8879830668665858E-9</v>
      </c>
      <c r="DQ91">
        <v>1.1341300268853186E-9</v>
      </c>
      <c r="DR91">
        <v>0</v>
      </c>
      <c r="DS91">
        <v>2.0768855429512984E-9</v>
      </c>
      <c r="DT91">
        <v>5.2872732948076135E-10</v>
      </c>
      <c r="DU91">
        <v>4.1437749662154652E-8</v>
      </c>
      <c r="DV91">
        <v>4.0052527678718317E-10</v>
      </c>
      <c r="DW91">
        <v>0</v>
      </c>
      <c r="DX91">
        <v>3.5299711683908731E-9</v>
      </c>
      <c r="DY91">
        <v>6.8587449565589127E-17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7.8954672379512253E-10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7.7632294364542221E-10</v>
      </c>
      <c r="FH91">
        <v>2.2702996505481453E-8</v>
      </c>
      <c r="FI91">
        <v>1.3448236394017046E-9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4.9945239845839994E-9</v>
      </c>
      <c r="FS91">
        <v>0</v>
      </c>
      <c r="FT91">
        <v>1.1191038111017882E-5</v>
      </c>
      <c r="FU91">
        <v>2.7741532023925427E-7</v>
      </c>
      <c r="FV91">
        <v>6.3666313772981649E-7</v>
      </c>
      <c r="FW91">
        <v>1.647734576931601E-7</v>
      </c>
      <c r="FX91">
        <v>1.5745787062851783E-7</v>
      </c>
      <c r="FY91">
        <v>5.1745665390158379E-7</v>
      </c>
      <c r="FZ91">
        <v>6.5383848001010714E-7</v>
      </c>
      <c r="GA91">
        <v>6.8896823956313776E-7</v>
      </c>
      <c r="GB91">
        <v>5.7175175018642154E-7</v>
      </c>
      <c r="GC91">
        <v>5.8445004048447935E-7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2.0756225589238395E-7</v>
      </c>
      <c r="GJ91">
        <v>1.0673016915110416E-7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1.5291485454589966E-9</v>
      </c>
      <c r="GS91">
        <v>2.6283232466812208E-9</v>
      </c>
      <c r="GT91">
        <v>0</v>
      </c>
      <c r="GU91">
        <v>0</v>
      </c>
    </row>
    <row r="92" spans="1:203">
      <c r="A92" t="s">
        <v>230</v>
      </c>
      <c r="B92">
        <v>89</v>
      </c>
      <c r="C92" t="s">
        <v>58</v>
      </c>
      <c r="D92">
        <v>1.8376615430281826E-2</v>
      </c>
      <c r="E92">
        <v>0.1303598680896409</v>
      </c>
      <c r="F92">
        <v>0.21126494176565522</v>
      </c>
      <c r="G92">
        <v>0.1156652309898917</v>
      </c>
      <c r="H92">
        <v>0.22571077182383151</v>
      </c>
      <c r="I92">
        <v>0</v>
      </c>
      <c r="J92">
        <v>6.6046331538499072E-4</v>
      </c>
      <c r="K92">
        <v>1.0623260027219651E-2</v>
      </c>
      <c r="L92">
        <v>1.5895510725928094E-3</v>
      </c>
      <c r="M92">
        <v>3.2390654237589349E-4</v>
      </c>
      <c r="N92">
        <v>4.3310598471722039E-3</v>
      </c>
      <c r="O92">
        <v>1.5331243257594412E-2</v>
      </c>
      <c r="P92">
        <v>1.1454334370398697E-3</v>
      </c>
      <c r="Q92">
        <v>2.9658022781668316E-3</v>
      </c>
      <c r="R92">
        <v>7.6419625092767531E-4</v>
      </c>
      <c r="S92">
        <v>0</v>
      </c>
      <c r="T92">
        <v>0</v>
      </c>
      <c r="U92">
        <v>2.1427488728935431E-2</v>
      </c>
      <c r="V92">
        <v>2.3772861275948617E-5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3.5966127127061947E-3</v>
      </c>
      <c r="BA92">
        <v>0</v>
      </c>
      <c r="BB92">
        <v>9.1397091446151831E-5</v>
      </c>
      <c r="BC92">
        <v>1.6737044361178094E-5</v>
      </c>
      <c r="BD92">
        <v>0</v>
      </c>
      <c r="BE92">
        <v>0</v>
      </c>
      <c r="BF92">
        <v>1.0536260664711941E-6</v>
      </c>
      <c r="BG92">
        <v>0</v>
      </c>
      <c r="BH92">
        <v>1.6253005145521462E-5</v>
      </c>
      <c r="BI92">
        <v>1.4122765165729974E-4</v>
      </c>
      <c r="BJ92">
        <v>0</v>
      </c>
      <c r="BK92">
        <v>1.0165178596582259E-3</v>
      </c>
      <c r="BL92">
        <v>0</v>
      </c>
      <c r="BM92">
        <v>4.4311970846314335E-5</v>
      </c>
      <c r="BN92">
        <v>0</v>
      </c>
      <c r="BO92">
        <v>0</v>
      </c>
      <c r="BP92">
        <v>0</v>
      </c>
      <c r="BQ92">
        <v>0</v>
      </c>
      <c r="BR92">
        <v>6.0950787655647688E-6</v>
      </c>
      <c r="BS92">
        <v>0</v>
      </c>
      <c r="BT92">
        <v>0</v>
      </c>
      <c r="BU92">
        <v>6.0950787655647679E-6</v>
      </c>
      <c r="BV92">
        <v>6.0950787655647696E-6</v>
      </c>
      <c r="BW92">
        <v>6.0950787655647696E-6</v>
      </c>
      <c r="BX92">
        <v>6.0950787655647688E-6</v>
      </c>
      <c r="BY92">
        <v>6.0950787655647696E-6</v>
      </c>
      <c r="BZ92">
        <v>6.0950787655647688E-6</v>
      </c>
      <c r="CA92">
        <v>6.0950787655647688E-6</v>
      </c>
      <c r="CB92">
        <v>0</v>
      </c>
      <c r="CC92">
        <v>6.0950787655647688E-6</v>
      </c>
      <c r="CD92">
        <v>6.0950787655647688E-6</v>
      </c>
      <c r="CE92">
        <v>6.0950787655647696E-6</v>
      </c>
      <c r="CF92">
        <v>6.0950787655647696E-6</v>
      </c>
      <c r="CG92">
        <v>6.0950787655647688E-6</v>
      </c>
      <c r="CH92">
        <v>6.0950787655647696E-6</v>
      </c>
      <c r="CI92">
        <v>6.0950787655647688E-6</v>
      </c>
      <c r="CJ92">
        <v>0</v>
      </c>
      <c r="CK92">
        <v>8.0446998658939093E-3</v>
      </c>
      <c r="CL92">
        <v>0</v>
      </c>
      <c r="CM92">
        <v>0.18727272299197889</v>
      </c>
      <c r="CN92">
        <v>0.23033012759363389</v>
      </c>
      <c r="CO92">
        <v>2.485921013343253E-3</v>
      </c>
      <c r="CP92">
        <v>0</v>
      </c>
      <c r="CQ92">
        <v>2.485921013343253E-3</v>
      </c>
      <c r="CR92">
        <v>0</v>
      </c>
      <c r="CS92">
        <v>2.4859210133432535E-3</v>
      </c>
      <c r="CT92">
        <v>0</v>
      </c>
      <c r="CU92">
        <v>5.03577644290743E-5</v>
      </c>
      <c r="CV92">
        <v>1.2325433273819529E-3</v>
      </c>
      <c r="CW92">
        <v>0</v>
      </c>
      <c r="CX92">
        <v>1.7239731584659649E-5</v>
      </c>
      <c r="CY92">
        <v>0</v>
      </c>
      <c r="CZ92">
        <v>0</v>
      </c>
      <c r="DA92">
        <v>0</v>
      </c>
      <c r="DB92">
        <v>0</v>
      </c>
      <c r="DC92">
        <v>2.5812324398288997E-6</v>
      </c>
      <c r="DD92">
        <v>0</v>
      </c>
      <c r="DE92">
        <v>2.6221881363671367E-7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1.168380082735284E-6</v>
      </c>
      <c r="DL92">
        <v>0</v>
      </c>
      <c r="DM92">
        <v>3.4496031321315289E-7</v>
      </c>
      <c r="DN92">
        <v>0</v>
      </c>
      <c r="DO92">
        <v>0</v>
      </c>
      <c r="DP92">
        <v>1.7811289771065681E-4</v>
      </c>
      <c r="DQ92">
        <v>3.0201418686061761E-6</v>
      </c>
      <c r="DR92">
        <v>0</v>
      </c>
      <c r="DS92">
        <v>1.5926760909300473E-4</v>
      </c>
      <c r="DT92">
        <v>1.5836656873544641E-4</v>
      </c>
      <c r="DU92">
        <v>1.1836456072588852E-5</v>
      </c>
      <c r="DV92">
        <v>5.6634833049899711E-6</v>
      </c>
      <c r="DW92">
        <v>0</v>
      </c>
      <c r="DX92">
        <v>1.0570394914701566E-5</v>
      </c>
      <c r="DY92">
        <v>2.053831018769881E-13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7.2682689043654517E-6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1.0943827304314395E-9</v>
      </c>
      <c r="FH92">
        <v>9.7609312306653211E-7</v>
      </c>
      <c r="FI92">
        <v>3.1943089739084235E-9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9.1372522990314957E-4</v>
      </c>
      <c r="FS92">
        <v>0</v>
      </c>
      <c r="FT92">
        <v>6.1224896716237452E-4</v>
      </c>
      <c r="FU92">
        <v>7.1651663515607525E-5</v>
      </c>
      <c r="FV92">
        <v>1.7603079670409993E-5</v>
      </c>
      <c r="FW92">
        <v>3.8031802125613602E-3</v>
      </c>
      <c r="FX92">
        <v>3.787369998882704E-3</v>
      </c>
      <c r="FY92">
        <v>3.5993508043725467E-3</v>
      </c>
      <c r="FZ92">
        <v>3.4748654627617674E-3</v>
      </c>
      <c r="GA92">
        <v>3.7707408957878474E-3</v>
      </c>
      <c r="GB92">
        <v>3.7597075055639385E-3</v>
      </c>
      <c r="GC92">
        <v>3.7460585675465645E-3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3.3968453322626652E-3</v>
      </c>
      <c r="GJ92">
        <v>3.5406736037598917E-3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4.0878184626131839E-3</v>
      </c>
      <c r="GS92">
        <v>2.2772741454434142E-4</v>
      </c>
      <c r="GT92">
        <v>0</v>
      </c>
      <c r="GU92">
        <v>0</v>
      </c>
    </row>
    <row r="93" spans="1:203">
      <c r="A93" t="s">
        <v>231</v>
      </c>
      <c r="B93">
        <v>90</v>
      </c>
      <c r="C93" t="s">
        <v>58</v>
      </c>
      <c r="D93">
        <v>1.2270415060613066E-8</v>
      </c>
      <c r="E93">
        <v>1.9209637064800226E-6</v>
      </c>
      <c r="F93">
        <v>1.2564329435101455E-5</v>
      </c>
      <c r="G93">
        <v>6.1777560410571159E-6</v>
      </c>
      <c r="H93">
        <v>1.3222373874765596E-5</v>
      </c>
      <c r="I93">
        <v>0</v>
      </c>
      <c r="J93">
        <v>0</v>
      </c>
      <c r="K93">
        <v>1.5228238769447431E-6</v>
      </c>
      <c r="L93">
        <v>7.3874594374537734E-8</v>
      </c>
      <c r="M93">
        <v>7.9965513907665549E-4</v>
      </c>
      <c r="N93">
        <v>2.2942708329714166E-7</v>
      </c>
      <c r="O93">
        <v>7.5907210119899218E-4</v>
      </c>
      <c r="P93">
        <v>1.1223075578178357E-3</v>
      </c>
      <c r="Q93">
        <v>1.309603993730277E-3</v>
      </c>
      <c r="R93">
        <v>0</v>
      </c>
      <c r="S93">
        <v>0</v>
      </c>
      <c r="T93">
        <v>0</v>
      </c>
      <c r="U93">
        <v>1.312575253615977E-4</v>
      </c>
      <c r="V93">
        <v>2.7535488453131803E-3</v>
      </c>
      <c r="W93">
        <v>1.3096206608481957E-4</v>
      </c>
      <c r="X93">
        <v>0</v>
      </c>
      <c r="Y93">
        <v>0</v>
      </c>
      <c r="Z93">
        <v>0</v>
      </c>
      <c r="AA93">
        <v>1.3096206608481954E-4</v>
      </c>
      <c r="AB93">
        <v>0</v>
      </c>
      <c r="AC93">
        <v>0</v>
      </c>
      <c r="AD93">
        <v>0</v>
      </c>
      <c r="AE93">
        <v>8.1513897816625827E-6</v>
      </c>
      <c r="AF93">
        <v>3.0874883265828561E-8</v>
      </c>
      <c r="AG93">
        <v>0</v>
      </c>
      <c r="AH93">
        <v>0</v>
      </c>
      <c r="AI93">
        <v>1.7216666881673979E-7</v>
      </c>
      <c r="AJ93">
        <v>2.7426800842280248E-4</v>
      </c>
      <c r="AK93">
        <v>3.438795418366707E-4</v>
      </c>
      <c r="AL93">
        <v>8.1675148499363509E-9</v>
      </c>
      <c r="AM93">
        <v>0</v>
      </c>
      <c r="AN93">
        <v>3.7174759416552956E-8</v>
      </c>
      <c r="AO93">
        <v>6.5976581293834923E-7</v>
      </c>
      <c r="AP93">
        <v>5.2548502210811636E-6</v>
      </c>
      <c r="AQ93">
        <v>4.9786590841461008E-9</v>
      </c>
      <c r="AR93">
        <v>1.1867195094812423E-9</v>
      </c>
      <c r="AS93">
        <v>3.6283622226822082E-3</v>
      </c>
      <c r="AT93">
        <v>3.7384675904084275E-8</v>
      </c>
      <c r="AU93">
        <v>1.2001648279141428E-4</v>
      </c>
      <c r="AV93">
        <v>1.4906806333260276E-6</v>
      </c>
      <c r="AW93">
        <v>2.3763708145328492E-3</v>
      </c>
      <c r="AX93">
        <v>1.8010857602982753E-3</v>
      </c>
      <c r="AY93">
        <v>2.5248107542236993E-3</v>
      </c>
      <c r="AZ93">
        <v>3.9120998281685714E-5</v>
      </c>
      <c r="BA93">
        <v>3.5317984461194982E-3</v>
      </c>
      <c r="BB93">
        <v>6.0169544231735697E-4</v>
      </c>
      <c r="BC93">
        <v>5.0676757714189495E-5</v>
      </c>
      <c r="BD93">
        <v>2.4898389627826304E-3</v>
      </c>
      <c r="BE93">
        <v>1.6697455385783048E-8</v>
      </c>
      <c r="BF93">
        <v>2.3873864793636877E-2</v>
      </c>
      <c r="BG93">
        <v>4.8051555704966753E-3</v>
      </c>
      <c r="BH93">
        <v>1.9455203412979804E-2</v>
      </c>
      <c r="BI93">
        <v>1.9262204715838921E-2</v>
      </c>
      <c r="BJ93">
        <v>0</v>
      </c>
      <c r="BK93">
        <v>7.5847724762564787E-4</v>
      </c>
      <c r="BL93">
        <v>0</v>
      </c>
      <c r="BM93">
        <v>6.7759304504911733E-3</v>
      </c>
      <c r="BN93">
        <v>3.8573864860945385E-8</v>
      </c>
      <c r="BO93">
        <v>1.0986770510552147E-2</v>
      </c>
      <c r="BP93">
        <v>0</v>
      </c>
      <c r="BQ93">
        <v>1.0986770510552147E-2</v>
      </c>
      <c r="BR93">
        <v>2.4469705866732482E-2</v>
      </c>
      <c r="BS93">
        <v>0</v>
      </c>
      <c r="BT93">
        <v>0</v>
      </c>
      <c r="BU93">
        <v>2.4469705866732482E-2</v>
      </c>
      <c r="BV93">
        <v>2.4469705866732482E-2</v>
      </c>
      <c r="BW93">
        <v>2.4469705866732482E-2</v>
      </c>
      <c r="BX93">
        <v>2.4469705866732486E-2</v>
      </c>
      <c r="BY93">
        <v>2.4469705866732482E-2</v>
      </c>
      <c r="BZ93">
        <v>2.4469705866732482E-2</v>
      </c>
      <c r="CA93">
        <v>2.4469705866732486E-2</v>
      </c>
      <c r="CB93">
        <v>0</v>
      </c>
      <c r="CC93">
        <v>2.4469705866732482E-2</v>
      </c>
      <c r="CD93">
        <v>2.4469705866732482E-2</v>
      </c>
      <c r="CE93">
        <v>2.4469705866732482E-2</v>
      </c>
      <c r="CF93">
        <v>2.4469705866732482E-2</v>
      </c>
      <c r="CG93">
        <v>2.4469705866732482E-2</v>
      </c>
      <c r="CH93">
        <v>2.4469705866732482E-2</v>
      </c>
      <c r="CI93">
        <v>2.4469705866732482E-2</v>
      </c>
      <c r="CJ93">
        <v>2.4962221950490155E-5</v>
      </c>
      <c r="CK93">
        <v>0.25630725812813426</v>
      </c>
      <c r="CL93">
        <v>0</v>
      </c>
      <c r="CM93">
        <v>6.1321222059053847E-2</v>
      </c>
      <c r="CN93">
        <v>5.3654522545918598E-2</v>
      </c>
      <c r="CO93">
        <v>0.30520849970512892</v>
      </c>
      <c r="CP93">
        <v>0</v>
      </c>
      <c r="CQ93">
        <v>0.30520849970512887</v>
      </c>
      <c r="CR93">
        <v>0</v>
      </c>
      <c r="CS93">
        <v>0.30520849970512892</v>
      </c>
      <c r="CT93">
        <v>0</v>
      </c>
      <c r="CU93">
        <v>0.15786171021254428</v>
      </c>
      <c r="CV93">
        <v>1.4650999737891945E-2</v>
      </c>
      <c r="CW93">
        <v>0</v>
      </c>
      <c r="CX93">
        <v>1.9998527880007522E-7</v>
      </c>
      <c r="CY93">
        <v>1.8255529135493194E-5</v>
      </c>
      <c r="CZ93">
        <v>9.9878216305208793E-9</v>
      </c>
      <c r="DA93">
        <v>0</v>
      </c>
      <c r="DB93">
        <v>1.2573539572032374E-3</v>
      </c>
      <c r="DC93">
        <v>5.9251796622145159E-3</v>
      </c>
      <c r="DD93">
        <v>0</v>
      </c>
      <c r="DE93">
        <v>1.956736394833031E-3</v>
      </c>
      <c r="DF93">
        <v>0</v>
      </c>
      <c r="DG93">
        <v>3.5772988620282165E-2</v>
      </c>
      <c r="DH93">
        <v>0</v>
      </c>
      <c r="DI93">
        <v>9.9904016862680742E-10</v>
      </c>
      <c r="DJ93">
        <v>0</v>
      </c>
      <c r="DK93">
        <v>4.7413227229460006E-4</v>
      </c>
      <c r="DL93">
        <v>0</v>
      </c>
      <c r="DM93">
        <v>9.2029426627963343E-4</v>
      </c>
      <c r="DN93">
        <v>0</v>
      </c>
      <c r="DO93">
        <v>1.8842393667149306E-3</v>
      </c>
      <c r="DP93">
        <v>1.6223907227707966E-2</v>
      </c>
      <c r="DQ93">
        <v>4.6413208874677616E-3</v>
      </c>
      <c r="DR93">
        <v>4.3689497981175248E-3</v>
      </c>
      <c r="DS93">
        <v>1.1894518340538675E-2</v>
      </c>
      <c r="DT93">
        <v>1.0071815309751056E-2</v>
      </c>
      <c r="DU93">
        <v>1.3007526643582052E-2</v>
      </c>
      <c r="DV93">
        <v>1.0446545123308807E-3</v>
      </c>
      <c r="DW93">
        <v>5.6263965797669175E-9</v>
      </c>
      <c r="DX93">
        <v>1.3991726298691691E-2</v>
      </c>
      <c r="DY93">
        <v>6.8819299922080381E-9</v>
      </c>
      <c r="DZ93">
        <v>0</v>
      </c>
      <c r="EA93">
        <v>1.0951865787437395E-2</v>
      </c>
      <c r="EB93">
        <v>2.1030898524719281E-2</v>
      </c>
      <c r="EC93">
        <v>6.9373560412670484E-4</v>
      </c>
      <c r="ED93">
        <v>4.83245934135384E-3</v>
      </c>
      <c r="EE93">
        <v>1.7077882976227969E-3</v>
      </c>
      <c r="EF93">
        <v>2.8376824637588462E-3</v>
      </c>
      <c r="EG93">
        <v>4.0861849100668314E-3</v>
      </c>
      <c r="EH93">
        <v>2.4016815565019818E-3</v>
      </c>
      <c r="EI93">
        <v>0</v>
      </c>
      <c r="EJ93">
        <v>0</v>
      </c>
      <c r="EK93">
        <v>0</v>
      </c>
      <c r="EL93">
        <v>9.8544874084987143E-3</v>
      </c>
      <c r="EM93">
        <v>1.429113472969264E-2</v>
      </c>
      <c r="EN93">
        <v>1.0524032405496009E-2</v>
      </c>
      <c r="EO93">
        <v>4.6371783619437871E-4</v>
      </c>
      <c r="EP93">
        <v>4.6371783619437865E-4</v>
      </c>
      <c r="EQ93">
        <v>4.6371783619437871E-4</v>
      </c>
      <c r="ER93">
        <v>0</v>
      </c>
      <c r="ES93">
        <v>4.6371783619437876E-4</v>
      </c>
      <c r="ET93">
        <v>4.6371783619437871E-4</v>
      </c>
      <c r="EU93">
        <v>8.169870854751755E-5</v>
      </c>
      <c r="EV93">
        <v>2.3519340311474158E-3</v>
      </c>
      <c r="EW93">
        <v>2.9708099245121388E-3</v>
      </c>
      <c r="EX93">
        <v>0</v>
      </c>
      <c r="EY93">
        <v>1.0297717405215268E-9</v>
      </c>
      <c r="EZ93">
        <v>1.4080948931521232E-8</v>
      </c>
      <c r="FA93">
        <v>1.1145011794150828E-10</v>
      </c>
      <c r="FB93">
        <v>2.1507702358210252E-10</v>
      </c>
      <c r="FC93">
        <v>2.3908676484533326E-4</v>
      </c>
      <c r="FD93">
        <v>7.146129187961649E-9</v>
      </c>
      <c r="FE93">
        <v>5.2153183063772279E-9</v>
      </c>
      <c r="FF93">
        <v>1.2160958185300074E-8</v>
      </c>
      <c r="FG93">
        <v>9.2808474097046379E-10</v>
      </c>
      <c r="FH93">
        <v>1.3293514146916178E-7</v>
      </c>
      <c r="FI93">
        <v>2.0134115522254125E-9</v>
      </c>
      <c r="FJ93">
        <v>1.8102152809941754E-9</v>
      </c>
      <c r="FK93">
        <v>1.2515001315901664E-10</v>
      </c>
      <c r="FL93">
        <v>4.7537650673119583E-9</v>
      </c>
      <c r="FM93">
        <v>2.2118696751419465E-8</v>
      </c>
      <c r="FN93">
        <v>2.4519212605118565E-8</v>
      </c>
      <c r="FO93">
        <v>2.1929675335841116E-9</v>
      </c>
      <c r="FP93">
        <v>3.1535565180069126E-3</v>
      </c>
      <c r="FQ93">
        <v>5.1946410044193829E-9</v>
      </c>
      <c r="FR93">
        <v>7.1426500691735041E-3</v>
      </c>
      <c r="FS93">
        <v>2.9448627365849244E-9</v>
      </c>
      <c r="FT93">
        <v>1.0588058818412596E-3</v>
      </c>
      <c r="FU93">
        <v>1.0122867839328341E-3</v>
      </c>
      <c r="FV93">
        <v>0.11447762088412812</v>
      </c>
      <c r="FW93">
        <v>6.7502275329838629E-3</v>
      </c>
      <c r="FX93">
        <v>6.0293140628287995E-3</v>
      </c>
      <c r="FY93">
        <v>3.1298932586369789E-3</v>
      </c>
      <c r="FZ93">
        <v>2.8828745674602313E-3</v>
      </c>
      <c r="GA93">
        <v>5.0300887245861119E-3</v>
      </c>
      <c r="GB93">
        <v>5.0197425576662255E-3</v>
      </c>
      <c r="GC93">
        <v>5.2213024352293627E-3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6.4058167506775791E-3</v>
      </c>
      <c r="GJ93">
        <v>8.1431891381138193E-3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7.7618103393896571E-4</v>
      </c>
      <c r="GR93">
        <v>1.0503034177290367E-3</v>
      </c>
      <c r="GS93">
        <v>1.0306592832506473E-2</v>
      </c>
      <c r="GT93">
        <v>1.0529027915056225E-4</v>
      </c>
      <c r="GU93">
        <v>0</v>
      </c>
    </row>
    <row r="94" spans="1:203">
      <c r="A94" t="s">
        <v>232</v>
      </c>
      <c r="B94">
        <v>91</v>
      </c>
      <c r="C94" t="s">
        <v>58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</row>
    <row r="95" spans="1:203">
      <c r="A95" t="s">
        <v>233</v>
      </c>
      <c r="B95">
        <v>92</v>
      </c>
      <c r="C95" t="s">
        <v>58</v>
      </c>
      <c r="D95">
        <v>4.2105262093728374E-8</v>
      </c>
      <c r="E95">
        <v>0</v>
      </c>
      <c r="F95">
        <v>0</v>
      </c>
      <c r="G95">
        <v>1.5888292922655687E-7</v>
      </c>
      <c r="H95">
        <v>6.4257066167748435E-7</v>
      </c>
      <c r="I95">
        <v>0</v>
      </c>
      <c r="J95">
        <v>0</v>
      </c>
      <c r="K95">
        <v>3.0758227952285109E-6</v>
      </c>
      <c r="L95">
        <v>3.1685040099570481E-7</v>
      </c>
      <c r="M95">
        <v>1.9719885309284629E-7</v>
      </c>
      <c r="N95">
        <v>1.9466245015483468E-7</v>
      </c>
      <c r="O95">
        <v>0</v>
      </c>
      <c r="P95">
        <v>7.6197847032497752E-6</v>
      </c>
      <c r="Q95">
        <v>2.0200881145631052E-6</v>
      </c>
      <c r="R95">
        <v>0</v>
      </c>
      <c r="S95">
        <v>0</v>
      </c>
      <c r="T95">
        <v>0</v>
      </c>
      <c r="U95">
        <v>4.8686101836425343E-6</v>
      </c>
      <c r="V95">
        <v>1.5344207677280347E-4</v>
      </c>
      <c r="W95">
        <v>7.1071518153451464E-4</v>
      </c>
      <c r="X95">
        <v>0</v>
      </c>
      <c r="Y95">
        <v>0</v>
      </c>
      <c r="Z95">
        <v>0</v>
      </c>
      <c r="AA95">
        <v>7.1071518153451464E-4</v>
      </c>
      <c r="AB95">
        <v>0</v>
      </c>
      <c r="AC95">
        <v>0</v>
      </c>
      <c r="AD95">
        <v>0</v>
      </c>
      <c r="AE95">
        <v>4.7846278425410706E-5</v>
      </c>
      <c r="AF95">
        <v>3.3554644189070205E-8</v>
      </c>
      <c r="AG95">
        <v>0</v>
      </c>
      <c r="AH95">
        <v>0</v>
      </c>
      <c r="AI95">
        <v>2.103466677054415E-7</v>
      </c>
      <c r="AJ95">
        <v>6.9473594737576505E-3</v>
      </c>
      <c r="AK95">
        <v>4.3353739921167501E-4</v>
      </c>
      <c r="AL95">
        <v>8.597287732329211E-9</v>
      </c>
      <c r="AM95">
        <v>0</v>
      </c>
      <c r="AN95">
        <v>3.9229169456237096E-8</v>
      </c>
      <c r="AO95">
        <v>7.0773852583748869E-7</v>
      </c>
      <c r="AP95">
        <v>8.1295697812149291E-6</v>
      </c>
      <c r="AQ95">
        <v>5.7870154535254578E-9</v>
      </c>
      <c r="AR95">
        <v>1.2392931935433097E-9</v>
      </c>
      <c r="AS95">
        <v>1.2273543771788818E-4</v>
      </c>
      <c r="AT95">
        <v>0</v>
      </c>
      <c r="AU95">
        <v>1.0511784604343778E-7</v>
      </c>
      <c r="AV95">
        <v>6.0144610047292167E-8</v>
      </c>
      <c r="AW95">
        <v>3.8463102594080954E-6</v>
      </c>
      <c r="AX95">
        <v>0</v>
      </c>
      <c r="AY95">
        <v>9.6671668469218367E-6</v>
      </c>
      <c r="AZ95">
        <v>5.6080012315111399E-5</v>
      </c>
      <c r="BA95">
        <v>2.9069331589656327E-6</v>
      </c>
      <c r="BB95">
        <v>4.8350678451970713E-6</v>
      </c>
      <c r="BC95">
        <v>6.4797685199411053E-6</v>
      </c>
      <c r="BD95">
        <v>1.0312533464629185E-5</v>
      </c>
      <c r="BE95">
        <v>2.3555341842698393E-8</v>
      </c>
      <c r="BF95">
        <v>6.3818803926207259E-6</v>
      </c>
      <c r="BG95">
        <v>1.3013544289840346E-6</v>
      </c>
      <c r="BH95">
        <v>1.6203596065657313E-4</v>
      </c>
      <c r="BI95">
        <v>1.1153574923272306E-4</v>
      </c>
      <c r="BJ95">
        <v>0</v>
      </c>
      <c r="BK95">
        <v>1.459571705414652E-5</v>
      </c>
      <c r="BL95">
        <v>0</v>
      </c>
      <c r="BM95">
        <v>3.1240430392412511E-5</v>
      </c>
      <c r="BN95">
        <v>1.8774874161084383E-5</v>
      </c>
      <c r="BO95">
        <v>5.751862416242403E-6</v>
      </c>
      <c r="BP95">
        <v>0</v>
      </c>
      <c r="BQ95">
        <v>5.751862416242403E-6</v>
      </c>
      <c r="BR95">
        <v>9.6002691348376367E-4</v>
      </c>
      <c r="BS95">
        <v>0</v>
      </c>
      <c r="BT95">
        <v>0</v>
      </c>
      <c r="BU95">
        <v>9.6002691348376346E-4</v>
      </c>
      <c r="BV95">
        <v>9.6002691348376357E-4</v>
      </c>
      <c r="BW95">
        <v>9.6002691348376367E-4</v>
      </c>
      <c r="BX95">
        <v>9.6002691348376367E-4</v>
      </c>
      <c r="BY95">
        <v>9.6002691348376367E-4</v>
      </c>
      <c r="BZ95">
        <v>9.6002691348376357E-4</v>
      </c>
      <c r="CA95">
        <v>9.6002691348376367E-4</v>
      </c>
      <c r="CB95">
        <v>0</v>
      </c>
      <c r="CC95">
        <v>9.6002691348376367E-4</v>
      </c>
      <c r="CD95">
        <v>9.6002691348376357E-4</v>
      </c>
      <c r="CE95">
        <v>9.6002691348376367E-4</v>
      </c>
      <c r="CF95">
        <v>9.6002691348376367E-4</v>
      </c>
      <c r="CG95">
        <v>9.6002691348376357E-4</v>
      </c>
      <c r="CH95">
        <v>9.6002691348376367E-4</v>
      </c>
      <c r="CI95">
        <v>9.6002691348376367E-4</v>
      </c>
      <c r="CJ95">
        <v>0</v>
      </c>
      <c r="CK95">
        <v>0</v>
      </c>
      <c r="CL95">
        <v>0</v>
      </c>
      <c r="CM95">
        <v>0</v>
      </c>
      <c r="CN95">
        <v>7.8420181150055978E-7</v>
      </c>
      <c r="CO95">
        <v>5.8277677100370445E-6</v>
      </c>
      <c r="CP95">
        <v>0</v>
      </c>
      <c r="CQ95">
        <v>5.8277677100370445E-6</v>
      </c>
      <c r="CR95">
        <v>0</v>
      </c>
      <c r="CS95">
        <v>5.8277677100370453E-6</v>
      </c>
      <c r="CT95">
        <v>0</v>
      </c>
      <c r="CU95">
        <v>3.5436379784674186E-5</v>
      </c>
      <c r="CV95">
        <v>1.2091323800489793E-5</v>
      </c>
      <c r="CW95">
        <v>0</v>
      </c>
      <c r="CX95">
        <v>1.2471252447540695E-4</v>
      </c>
      <c r="CY95">
        <v>0</v>
      </c>
      <c r="CZ95">
        <v>4.5556216849206021E-8</v>
      </c>
      <c r="DA95">
        <v>0</v>
      </c>
      <c r="DB95">
        <v>1.0137022887808624E-5</v>
      </c>
      <c r="DC95">
        <v>6.0242476237194117E-6</v>
      </c>
      <c r="DD95">
        <v>0</v>
      </c>
      <c r="DE95">
        <v>2.3969405215538797E-6</v>
      </c>
      <c r="DF95">
        <v>0</v>
      </c>
      <c r="DG95">
        <v>8.0561328388311762E-6</v>
      </c>
      <c r="DH95">
        <v>0</v>
      </c>
      <c r="DI95">
        <v>1.0309282185088705E-9</v>
      </c>
      <c r="DJ95">
        <v>0</v>
      </c>
      <c r="DK95">
        <v>1.6532900394396648E-6</v>
      </c>
      <c r="DL95">
        <v>0</v>
      </c>
      <c r="DM95">
        <v>3.7528440469587623E-6</v>
      </c>
      <c r="DN95">
        <v>0</v>
      </c>
      <c r="DO95">
        <v>4.3797865051222985E-6</v>
      </c>
      <c r="DP95">
        <v>6.2904706654802131E-5</v>
      </c>
      <c r="DQ95">
        <v>4.8192362248887193E-5</v>
      </c>
      <c r="DR95">
        <v>2.6361249206547946E-5</v>
      </c>
      <c r="DS95">
        <v>1.7170824400270102E-5</v>
      </c>
      <c r="DT95">
        <v>7.338508878963602E-5</v>
      </c>
      <c r="DU95">
        <v>4.6483908884941662E-5</v>
      </c>
      <c r="DV95">
        <v>1.8868506633084196E-5</v>
      </c>
      <c r="DW95">
        <v>1.4016544512838867E-5</v>
      </c>
      <c r="DX95">
        <v>3.5539325171701211E-4</v>
      </c>
      <c r="DY95">
        <v>9.2059908096133477E-9</v>
      </c>
      <c r="DZ95">
        <v>0</v>
      </c>
      <c r="EA95">
        <v>2.548228490498923E-6</v>
      </c>
      <c r="EB95">
        <v>1.7673607401793276E-6</v>
      </c>
      <c r="EC95">
        <v>3.9813870749375124E-7</v>
      </c>
      <c r="ED95">
        <v>3.1964595942227836E-6</v>
      </c>
      <c r="EE95">
        <v>0</v>
      </c>
      <c r="EF95">
        <v>4.8520162925108006E-7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2.5609885861252292E-6</v>
      </c>
      <c r="EM95">
        <v>3.2066728004321877E-6</v>
      </c>
      <c r="EN95">
        <v>3.3361325218666001E-6</v>
      </c>
      <c r="EO95">
        <v>1.6467040679228272E-7</v>
      </c>
      <c r="EP95">
        <v>1.6467040679228269E-7</v>
      </c>
      <c r="EQ95">
        <v>1.6467040679228272E-7</v>
      </c>
      <c r="ER95">
        <v>0</v>
      </c>
      <c r="ES95">
        <v>1.6467040679228272E-7</v>
      </c>
      <c r="ET95">
        <v>1.6467040679228269E-7</v>
      </c>
      <c r="EU95">
        <v>0</v>
      </c>
      <c r="EV95">
        <v>1.5235977911305742E-6</v>
      </c>
      <c r="EW95">
        <v>3.47459882717742E-4</v>
      </c>
      <c r="EX95">
        <v>0</v>
      </c>
      <c r="EY95">
        <v>1.0354065211798704E-9</v>
      </c>
      <c r="EZ95">
        <v>1.4493683177842218E-8</v>
      </c>
      <c r="FA95">
        <v>1.1486543867744731E-10</v>
      </c>
      <c r="FB95">
        <v>2.2115506464976312E-10</v>
      </c>
      <c r="FC95">
        <v>3.1231269619460804E-6</v>
      </c>
      <c r="FD95">
        <v>2.261365134343348E-8</v>
      </c>
      <c r="FE95">
        <v>2.5432110443929501E-5</v>
      </c>
      <c r="FF95">
        <v>1.3958135676879389E-8</v>
      </c>
      <c r="FG95">
        <v>9.9200663340106357E-10</v>
      </c>
      <c r="FH95">
        <v>3.6899642604963954E-6</v>
      </c>
      <c r="FI95">
        <v>2.3978824372375924E-9</v>
      </c>
      <c r="FJ95">
        <v>2.364527408757002E-9</v>
      </c>
      <c r="FK95">
        <v>1.3502745976075068E-10</v>
      </c>
      <c r="FL95">
        <v>7.7349630843487422E-8</v>
      </c>
      <c r="FM95">
        <v>1.012085060769116E-7</v>
      </c>
      <c r="FN95">
        <v>1.0880850874636158E-7</v>
      </c>
      <c r="FO95">
        <v>5.805726790163706E-7</v>
      </c>
      <c r="FP95">
        <v>5.3125671197576689E-4</v>
      </c>
      <c r="FQ95">
        <v>1.4796816729831109E-8</v>
      </c>
      <c r="FR95">
        <v>1.5147241729163103E-4</v>
      </c>
      <c r="FS95">
        <v>6.6581268049573116E-6</v>
      </c>
      <c r="FT95">
        <v>9.1422294625438907E-6</v>
      </c>
      <c r="FU95">
        <v>5.1099676909426081E-5</v>
      </c>
      <c r="FV95">
        <v>2.1193215590170632E-6</v>
      </c>
      <c r="FW95">
        <v>3.0435468508310614E-5</v>
      </c>
      <c r="FX95">
        <v>2.7017053584985538E-5</v>
      </c>
      <c r="FY95">
        <v>1.1823054573083982E-5</v>
      </c>
      <c r="FZ95">
        <v>9.8918258994910842E-6</v>
      </c>
      <c r="GA95">
        <v>2.1569496685941697E-5</v>
      </c>
      <c r="GB95">
        <v>2.11196758998568E-5</v>
      </c>
      <c r="GC95">
        <v>2.1903192038461034E-5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1.2423920294755454E-4</v>
      </c>
      <c r="GJ95">
        <v>1.020172787496173E-4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3.4725501632083728E-5</v>
      </c>
      <c r="GR95">
        <v>1.8024801709564905E-4</v>
      </c>
      <c r="GS95">
        <v>9.9140556018652117E-5</v>
      </c>
      <c r="GT95">
        <v>0</v>
      </c>
      <c r="GU95">
        <v>0</v>
      </c>
    </row>
    <row r="96" spans="1:203">
      <c r="A96" t="s">
        <v>234</v>
      </c>
      <c r="B96">
        <v>93</v>
      </c>
      <c r="C96" t="s">
        <v>11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</row>
    <row r="97" spans="1:203">
      <c r="A97" t="s">
        <v>235</v>
      </c>
      <c r="B97">
        <v>94</v>
      </c>
      <c r="C97" t="s">
        <v>11</v>
      </c>
      <c r="D97">
        <v>6.6320597062359845E-8</v>
      </c>
      <c r="E97">
        <v>0</v>
      </c>
      <c r="F97">
        <v>0</v>
      </c>
      <c r="G97">
        <v>8.8821580856443336E-8</v>
      </c>
      <c r="H97">
        <v>5.4617555758303079E-7</v>
      </c>
      <c r="I97">
        <v>0</v>
      </c>
      <c r="J97">
        <v>0</v>
      </c>
      <c r="K97">
        <v>2.6043171359509438E-6</v>
      </c>
      <c r="L97">
        <v>3.5062832253023125E-7</v>
      </c>
      <c r="M97">
        <v>1.121087365299219E-7</v>
      </c>
      <c r="N97">
        <v>8.4696311255704711E-8</v>
      </c>
      <c r="O97">
        <v>0</v>
      </c>
      <c r="P97">
        <v>2.5455478653873692E-6</v>
      </c>
      <c r="Q97">
        <v>1.1075459006132392E-6</v>
      </c>
      <c r="R97">
        <v>0</v>
      </c>
      <c r="S97">
        <v>0</v>
      </c>
      <c r="T97">
        <v>0</v>
      </c>
      <c r="U97">
        <v>2.1631005812365856E-6</v>
      </c>
      <c r="V97">
        <v>4.4123267942854886E-5</v>
      </c>
      <c r="W97">
        <v>9.5161031900572613E-6</v>
      </c>
      <c r="X97">
        <v>0</v>
      </c>
      <c r="Y97">
        <v>0</v>
      </c>
      <c r="Z97">
        <v>0</v>
      </c>
      <c r="AA97">
        <v>9.5161031900572596E-6</v>
      </c>
      <c r="AB97">
        <v>0</v>
      </c>
      <c r="AC97">
        <v>0</v>
      </c>
      <c r="AD97">
        <v>0</v>
      </c>
      <c r="AE97">
        <v>3.526248589289021E-6</v>
      </c>
      <c r="AF97">
        <v>3.8804663005899516E-8</v>
      </c>
      <c r="AG97">
        <v>0</v>
      </c>
      <c r="AH97">
        <v>0</v>
      </c>
      <c r="AI97">
        <v>2.766561061243753E-7</v>
      </c>
      <c r="AJ97">
        <v>7.142526549350467E-4</v>
      </c>
      <c r="AK97">
        <v>0</v>
      </c>
      <c r="AL97">
        <v>9.52107176586412E-9</v>
      </c>
      <c r="AM97">
        <v>0</v>
      </c>
      <c r="AN97">
        <v>4.364758491804293E-8</v>
      </c>
      <c r="AO97">
        <v>0</v>
      </c>
      <c r="AP97">
        <v>2.5524187246976406E-5</v>
      </c>
      <c r="AQ97">
        <v>8.2581482958902734E-9</v>
      </c>
      <c r="AR97">
        <v>1.3495447612612686E-9</v>
      </c>
      <c r="AS97">
        <v>1.2049920670847142E-4</v>
      </c>
      <c r="AT97">
        <v>0</v>
      </c>
      <c r="AU97">
        <v>8.0376313489987492E-8</v>
      </c>
      <c r="AV97">
        <v>5.3603551109185459E-8</v>
      </c>
      <c r="AW97">
        <v>4.4640597610426322E-6</v>
      </c>
      <c r="AX97">
        <v>0</v>
      </c>
      <c r="AY97">
        <v>5.7428125056225771E-6</v>
      </c>
      <c r="AZ97">
        <v>0</v>
      </c>
      <c r="BA97">
        <v>1.1875767770645291E-6</v>
      </c>
      <c r="BB97">
        <v>5.1115959174644271E-6</v>
      </c>
      <c r="BC97">
        <v>5.1436906590140265E-6</v>
      </c>
      <c r="BD97">
        <v>5.4797167342410031E-6</v>
      </c>
      <c r="BE97">
        <v>1.6518099590590572E-7</v>
      </c>
      <c r="BF97">
        <v>3.4696051930735706E-6</v>
      </c>
      <c r="BG97">
        <v>5.5263327619174308E-7</v>
      </c>
      <c r="BH97">
        <v>8.3026849156255566E-5</v>
      </c>
      <c r="BI97">
        <v>8.3300779129946289E-5</v>
      </c>
      <c r="BJ97">
        <v>0</v>
      </c>
      <c r="BK97">
        <v>5.8859735290977519E-6</v>
      </c>
      <c r="BL97">
        <v>0</v>
      </c>
      <c r="BM97">
        <v>4.2615846260527108E-6</v>
      </c>
      <c r="BN97">
        <v>2.4531334040894625E-5</v>
      </c>
      <c r="BO97">
        <v>1.9264605235262609E-6</v>
      </c>
      <c r="BP97">
        <v>0</v>
      </c>
      <c r="BQ97">
        <v>1.9264605235262609E-6</v>
      </c>
      <c r="BR97">
        <v>2.5388288844405599E-6</v>
      </c>
      <c r="BS97">
        <v>0</v>
      </c>
      <c r="BT97">
        <v>0</v>
      </c>
      <c r="BU97">
        <v>2.5388288844405599E-6</v>
      </c>
      <c r="BV97">
        <v>2.5388288844405599E-6</v>
      </c>
      <c r="BW97">
        <v>2.5388288844405599E-6</v>
      </c>
      <c r="BX97">
        <v>2.5388288844405599E-6</v>
      </c>
      <c r="BY97">
        <v>2.5388288844405599E-6</v>
      </c>
      <c r="BZ97">
        <v>2.5388288844405599E-6</v>
      </c>
      <c r="CA97">
        <v>2.5388288844405599E-6</v>
      </c>
      <c r="CB97">
        <v>0</v>
      </c>
      <c r="CC97">
        <v>2.5388288844405599E-6</v>
      </c>
      <c r="CD97">
        <v>2.5388288844405595E-6</v>
      </c>
      <c r="CE97">
        <v>2.5388288844405599E-6</v>
      </c>
      <c r="CF97">
        <v>2.5388288844405599E-6</v>
      </c>
      <c r="CG97">
        <v>2.5388288844405599E-6</v>
      </c>
      <c r="CH97">
        <v>2.5388288844405599E-6</v>
      </c>
      <c r="CI97">
        <v>2.5388288844405599E-6</v>
      </c>
      <c r="CJ97">
        <v>0</v>
      </c>
      <c r="CK97">
        <v>0</v>
      </c>
      <c r="CL97">
        <v>0</v>
      </c>
      <c r="CM97">
        <v>0</v>
      </c>
      <c r="CN97">
        <v>1.2261552046827562E-7</v>
      </c>
      <c r="CO97">
        <v>1.6402027871393482E-6</v>
      </c>
      <c r="CP97">
        <v>0</v>
      </c>
      <c r="CQ97">
        <v>1.640202787139348E-6</v>
      </c>
      <c r="CR97">
        <v>0</v>
      </c>
      <c r="CS97">
        <v>1.6402027871393482E-6</v>
      </c>
      <c r="CT97">
        <v>0</v>
      </c>
      <c r="CU97">
        <v>1.567317656932488E-5</v>
      </c>
      <c r="CV97">
        <v>4.0395389353519214E-6</v>
      </c>
      <c r="CW97">
        <v>0</v>
      </c>
      <c r="CX97">
        <v>1.9737377356593636E-4</v>
      </c>
      <c r="CY97">
        <v>0</v>
      </c>
      <c r="CZ97">
        <v>2.5360115340659534E-6</v>
      </c>
      <c r="DA97">
        <v>0</v>
      </c>
      <c r="DB97">
        <v>7.5405216064993504E-6</v>
      </c>
      <c r="DC97">
        <v>3.5502660147683223E-6</v>
      </c>
      <c r="DD97">
        <v>0</v>
      </c>
      <c r="DE97">
        <v>8.6842148878000812E-7</v>
      </c>
      <c r="DF97">
        <v>0</v>
      </c>
      <c r="DG97">
        <v>3.5599679589428085E-6</v>
      </c>
      <c r="DH97">
        <v>0</v>
      </c>
      <c r="DI97">
        <v>1.0956183289390949E-9</v>
      </c>
      <c r="DJ97">
        <v>0</v>
      </c>
      <c r="DK97">
        <v>1.0288825851814428E-6</v>
      </c>
      <c r="DL97">
        <v>0</v>
      </c>
      <c r="DM97">
        <v>1.8800698166928715E-6</v>
      </c>
      <c r="DN97">
        <v>0</v>
      </c>
      <c r="DO97">
        <v>1.3634095943328679E-6</v>
      </c>
      <c r="DP97">
        <v>2.8554743505347639E-5</v>
      </c>
      <c r="DQ97">
        <v>2.3644870630458243E-5</v>
      </c>
      <c r="DR97">
        <v>1.8843797053508527E-5</v>
      </c>
      <c r="DS97">
        <v>6.8230412605575644E-6</v>
      </c>
      <c r="DT97">
        <v>2.5114212093049453E-5</v>
      </c>
      <c r="DU97">
        <v>1.6645135344086352E-5</v>
      </c>
      <c r="DV97">
        <v>7.4727141933611721E-6</v>
      </c>
      <c r="DW97">
        <v>3.2820676456272549E-5</v>
      </c>
      <c r="DX97">
        <v>6.0797625318854945E-5</v>
      </c>
      <c r="DY97">
        <v>2.4505862773484448E-8</v>
      </c>
      <c r="DZ97">
        <v>0</v>
      </c>
      <c r="EA97">
        <v>1.6844986919970564E-6</v>
      </c>
      <c r="EB97">
        <v>1.1675098581020906E-6</v>
      </c>
      <c r="EC97">
        <v>2.4975554245363475E-7</v>
      </c>
      <c r="ED97">
        <v>3.0693497101357016E-6</v>
      </c>
      <c r="EE97">
        <v>0</v>
      </c>
      <c r="EF97">
        <v>5.8488589641890076E-7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1.9256588129484615E-6</v>
      </c>
      <c r="EM97">
        <v>2.0319948231151615E-6</v>
      </c>
      <c r="EN97">
        <v>2.0900759854646083E-6</v>
      </c>
      <c r="EO97">
        <v>1.26781211017787E-7</v>
      </c>
      <c r="EP97">
        <v>1.2678121101778698E-7</v>
      </c>
      <c r="EQ97">
        <v>1.26781211017787E-7</v>
      </c>
      <c r="ER97">
        <v>0</v>
      </c>
      <c r="ES97">
        <v>1.26781211017787E-7</v>
      </c>
      <c r="ET97">
        <v>1.2678121101778698E-7</v>
      </c>
      <c r="EU97">
        <v>0</v>
      </c>
      <c r="EV97">
        <v>8.6920748085413606E-7</v>
      </c>
      <c r="EW97">
        <v>2.2503678724403485E-4</v>
      </c>
      <c r="EX97">
        <v>0</v>
      </c>
      <c r="EY97">
        <v>1.0459595573651205E-9</v>
      </c>
      <c r="EZ97">
        <v>1.510747335580094E-8</v>
      </c>
      <c r="FA97">
        <v>1.217385737249114E-10</v>
      </c>
      <c r="FB97">
        <v>2.33300459916817E-10</v>
      </c>
      <c r="FC97">
        <v>2.9707080928630071E-6</v>
      </c>
      <c r="FD97">
        <v>1.5302801159568703E-5</v>
      </c>
      <c r="FE97">
        <v>6.156806850524754E-5</v>
      </c>
      <c r="FF97">
        <v>1.8597771847355394E-8</v>
      </c>
      <c r="FG97">
        <v>1.1363198367535373E-9</v>
      </c>
      <c r="FH97">
        <v>6.0929434313811307E-5</v>
      </c>
      <c r="FI97">
        <v>3.544338956790402E-9</v>
      </c>
      <c r="FJ97">
        <v>5.4016121430927571E-9</v>
      </c>
      <c r="FK97">
        <v>1.5714823913382396E-10</v>
      </c>
      <c r="FL97">
        <v>8.9191198532833035E-8</v>
      </c>
      <c r="FM97">
        <v>6.9457237554515648E-8</v>
      </c>
      <c r="FN97">
        <v>1.033302639777552E-7</v>
      </c>
      <c r="FO97">
        <v>1.4260303980325141E-6</v>
      </c>
      <c r="FP97">
        <v>2.2759884514771928E-4</v>
      </c>
      <c r="FQ97">
        <v>1.9574343832225437E-5</v>
      </c>
      <c r="FR97">
        <v>6.6107014764563198E-5</v>
      </c>
      <c r="FS97">
        <v>2.4602956284094276E-5</v>
      </c>
      <c r="FT97">
        <v>1.9150969040802114E-6</v>
      </c>
      <c r="FU97">
        <v>1.8789450093787435E-5</v>
      </c>
      <c r="FV97">
        <v>7.8156548367271198E-7</v>
      </c>
      <c r="FW97">
        <v>8.4797818125329338E-6</v>
      </c>
      <c r="FX97">
        <v>7.652725788643067E-6</v>
      </c>
      <c r="FY97">
        <v>3.9770788802465976E-6</v>
      </c>
      <c r="FZ97">
        <v>4.6848368726325781E-6</v>
      </c>
      <c r="GA97">
        <v>6.0339766571945792E-6</v>
      </c>
      <c r="GB97">
        <v>5.8570276331004917E-6</v>
      </c>
      <c r="GC97">
        <v>5.956854761261309E-6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3.8073386692214016E-5</v>
      </c>
      <c r="GJ97">
        <v>3.2676008071595804E-5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1.6988994577657258E-6</v>
      </c>
      <c r="GR97">
        <v>2.9088440860427733E-5</v>
      </c>
      <c r="GS97">
        <v>3.7192956670644639E-5</v>
      </c>
      <c r="GT97">
        <v>0</v>
      </c>
      <c r="GU97">
        <v>0</v>
      </c>
    </row>
    <row r="98" spans="1:203">
      <c r="A98" t="s">
        <v>236</v>
      </c>
      <c r="B98">
        <v>95</v>
      </c>
      <c r="C98" t="s">
        <v>11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</row>
    <row r="99" spans="1:203">
      <c r="A99" t="s">
        <v>237</v>
      </c>
      <c r="B99">
        <v>96</v>
      </c>
      <c r="C99" t="s">
        <v>12</v>
      </c>
      <c r="D99">
        <v>3.5006200291424783E-4</v>
      </c>
      <c r="E99">
        <v>2.0063307888711863E-4</v>
      </c>
      <c r="F99">
        <v>5.1046320659565926E-4</v>
      </c>
      <c r="G99">
        <v>1.794181170693477E-2</v>
      </c>
      <c r="H99">
        <v>1.9498192501529808E-3</v>
      </c>
      <c r="I99">
        <v>0</v>
      </c>
      <c r="J99">
        <v>6.1375245199887937E-4</v>
      </c>
      <c r="K99">
        <v>3.6128453293758384E-2</v>
      </c>
      <c r="L99">
        <v>1.61781452261055E-4</v>
      </c>
      <c r="M99">
        <v>3.6311491726694203E-4</v>
      </c>
      <c r="N99">
        <v>2.5081936503484076E-3</v>
      </c>
      <c r="O99">
        <v>6.53320531665062E-3</v>
      </c>
      <c r="P99">
        <v>7.5991889257575078E-3</v>
      </c>
      <c r="Q99">
        <v>1.7010727622318951E-3</v>
      </c>
      <c r="R99">
        <v>5.5747998407426472E-4</v>
      </c>
      <c r="S99">
        <v>0</v>
      </c>
      <c r="T99">
        <v>0</v>
      </c>
      <c r="U99">
        <v>3.5248927010649448E-3</v>
      </c>
      <c r="V99">
        <v>3.1701524218094662E-2</v>
      </c>
      <c r="W99">
        <v>2.9702125905969163E-3</v>
      </c>
      <c r="X99">
        <v>0</v>
      </c>
      <c r="Y99">
        <v>0</v>
      </c>
      <c r="Z99">
        <v>0</v>
      </c>
      <c r="AA99">
        <v>2.9702125905969163E-3</v>
      </c>
      <c r="AB99">
        <v>0</v>
      </c>
      <c r="AC99">
        <v>0</v>
      </c>
      <c r="AD99">
        <v>0</v>
      </c>
      <c r="AE99">
        <v>1.2604346566215797E-5</v>
      </c>
      <c r="AF99">
        <v>3.5621933133540265E-8</v>
      </c>
      <c r="AG99">
        <v>0</v>
      </c>
      <c r="AH99">
        <v>0</v>
      </c>
      <c r="AI99">
        <v>2.840003050908663E-7</v>
      </c>
      <c r="AJ99">
        <v>1.9662917911783327E-3</v>
      </c>
      <c r="AK99">
        <v>4.0351171576475672E-4</v>
      </c>
      <c r="AL99">
        <v>8.9541824974493643E-9</v>
      </c>
      <c r="AM99">
        <v>0</v>
      </c>
      <c r="AN99">
        <v>4.0941641794942027E-8</v>
      </c>
      <c r="AO99">
        <v>7.4782004816122991E-7</v>
      </c>
      <c r="AP99">
        <v>1.4558041217273635E-5</v>
      </c>
      <c r="AQ99">
        <v>6.6003109736650784E-9</v>
      </c>
      <c r="AR99">
        <v>1.2823292368255463E-9</v>
      </c>
      <c r="AS99">
        <v>2.844392920917723E-3</v>
      </c>
      <c r="AT99">
        <v>7.3032719321877486E-8</v>
      </c>
      <c r="AU99">
        <v>1.5871499104395807E-3</v>
      </c>
      <c r="AV99">
        <v>8.2646807106194443E-4</v>
      </c>
      <c r="AW99">
        <v>2.1403141185944569E-2</v>
      </c>
      <c r="AX99">
        <v>1.9078059833942694E-2</v>
      </c>
      <c r="AY99">
        <v>3.1806704463884776E-2</v>
      </c>
      <c r="AZ99">
        <v>4.2430244806974824E-3</v>
      </c>
      <c r="BA99">
        <v>4.6290582277874347E-4</v>
      </c>
      <c r="BB99">
        <v>1.6069936979480663E-2</v>
      </c>
      <c r="BC99">
        <v>3.5231262252758452E-2</v>
      </c>
      <c r="BD99">
        <v>2.3012276820001783E-2</v>
      </c>
      <c r="BE99">
        <v>3.9483779237409389E-8</v>
      </c>
      <c r="BF99">
        <v>1.7535681623133077E-2</v>
      </c>
      <c r="BG99">
        <v>2.1381975937836101E-2</v>
      </c>
      <c r="BH99">
        <v>3.627605795409769E-2</v>
      </c>
      <c r="BI99">
        <v>7.5036461498321121E-3</v>
      </c>
      <c r="BJ99">
        <v>0</v>
      </c>
      <c r="BK99">
        <v>2.9588254605778254E-3</v>
      </c>
      <c r="BL99">
        <v>0</v>
      </c>
      <c r="BM99">
        <v>1.0216261167419565E-2</v>
      </c>
      <c r="BN99">
        <v>9.9979909167793174E-3</v>
      </c>
      <c r="BO99">
        <v>2.1761018092551689E-2</v>
      </c>
      <c r="BP99">
        <v>0</v>
      </c>
      <c r="BQ99">
        <v>2.1761018092551689E-2</v>
      </c>
      <c r="BR99">
        <v>2.1412044287636286E-3</v>
      </c>
      <c r="BS99">
        <v>0</v>
      </c>
      <c r="BT99">
        <v>0</v>
      </c>
      <c r="BU99">
        <v>2.1412044287636286E-3</v>
      </c>
      <c r="BV99">
        <v>2.1412044287636286E-3</v>
      </c>
      <c r="BW99">
        <v>2.1412044287636286E-3</v>
      </c>
      <c r="BX99">
        <v>2.1412044287636286E-3</v>
      </c>
      <c r="BY99">
        <v>2.1412044287636286E-3</v>
      </c>
      <c r="BZ99">
        <v>2.1412044287636286E-3</v>
      </c>
      <c r="CA99">
        <v>2.1412044287636286E-3</v>
      </c>
      <c r="CB99">
        <v>0</v>
      </c>
      <c r="CC99">
        <v>2.1412044287636282E-3</v>
      </c>
      <c r="CD99">
        <v>2.1412044287636282E-3</v>
      </c>
      <c r="CE99">
        <v>2.1412044287636286E-3</v>
      </c>
      <c r="CF99">
        <v>2.1412044287636286E-3</v>
      </c>
      <c r="CG99">
        <v>2.1412044287636286E-3</v>
      </c>
      <c r="CH99">
        <v>2.1412044287636286E-3</v>
      </c>
      <c r="CI99">
        <v>2.1412044287636286E-3</v>
      </c>
      <c r="CJ99">
        <v>7.9059037470580323E-3</v>
      </c>
      <c r="CK99">
        <v>2.1701835269113799E-4</v>
      </c>
      <c r="CL99">
        <v>0</v>
      </c>
      <c r="CM99">
        <v>2.0901061880203027E-2</v>
      </c>
      <c r="CN99">
        <v>2.3275042865269147E-2</v>
      </c>
      <c r="CO99">
        <v>1.055474653748586E-2</v>
      </c>
      <c r="CP99">
        <v>0</v>
      </c>
      <c r="CQ99">
        <v>1.0554746537485862E-2</v>
      </c>
      <c r="CR99">
        <v>0</v>
      </c>
      <c r="CS99">
        <v>1.0554746537485862E-2</v>
      </c>
      <c r="CT99">
        <v>0</v>
      </c>
      <c r="CU99">
        <v>0.1065750987161873</v>
      </c>
      <c r="CV99">
        <v>1.6104663914240338E-2</v>
      </c>
      <c r="CW99">
        <v>0</v>
      </c>
      <c r="CX99">
        <v>3.5367275590041437E-3</v>
      </c>
      <c r="CY99">
        <v>1.4448274072322298E-3</v>
      </c>
      <c r="CZ99">
        <v>2.7777842927319236E-4</v>
      </c>
      <c r="DA99">
        <v>0</v>
      </c>
      <c r="DB99">
        <v>6.92586098360117E-3</v>
      </c>
      <c r="DC99">
        <v>9.1870499588367826E-4</v>
      </c>
      <c r="DD99">
        <v>0</v>
      </c>
      <c r="DE99">
        <v>1.6790995430710767E-3</v>
      </c>
      <c r="DF99">
        <v>0</v>
      </c>
      <c r="DG99">
        <v>2.7262484726739643E-3</v>
      </c>
      <c r="DH99">
        <v>0</v>
      </c>
      <c r="DI99">
        <v>1.0618005063690942E-9</v>
      </c>
      <c r="DJ99">
        <v>0</v>
      </c>
      <c r="DK99">
        <v>1.0516946455563204E-3</v>
      </c>
      <c r="DL99">
        <v>0</v>
      </c>
      <c r="DM99">
        <v>2.6209732542682882E-3</v>
      </c>
      <c r="DN99">
        <v>0</v>
      </c>
      <c r="DO99">
        <v>1.1570912801003353E-2</v>
      </c>
      <c r="DP99">
        <v>1.327207953763356E-2</v>
      </c>
      <c r="DQ99">
        <v>1.8276600347358934E-2</v>
      </c>
      <c r="DR99">
        <v>1.4219756285984781E-2</v>
      </c>
      <c r="DS99">
        <v>4.4357878537820701E-2</v>
      </c>
      <c r="DT99">
        <v>2.2705625246158111E-2</v>
      </c>
      <c r="DU99">
        <v>6.1345919281212163E-2</v>
      </c>
      <c r="DV99">
        <v>5.4206696516509605E-2</v>
      </c>
      <c r="DW99">
        <v>5.0118093889760258E-3</v>
      </c>
      <c r="DX99">
        <v>4.5252002891050136E-2</v>
      </c>
      <c r="DY99">
        <v>1.3061598389811655E-8</v>
      </c>
      <c r="DZ99">
        <v>0</v>
      </c>
      <c r="EA99">
        <v>2.7013796045413678E-3</v>
      </c>
      <c r="EB99">
        <v>2.0922111730582739E-3</v>
      </c>
      <c r="EC99">
        <v>2.9485243693755775E-3</v>
      </c>
      <c r="ED99">
        <v>1.6930088885941102E-3</v>
      </c>
      <c r="EE99">
        <v>1.906087165463611E-3</v>
      </c>
      <c r="EF99">
        <v>6.3525194990908637E-4</v>
      </c>
      <c r="EG99">
        <v>3.4795360737176631E-3</v>
      </c>
      <c r="EH99">
        <v>1.8547141763744219E-3</v>
      </c>
      <c r="EI99">
        <v>0</v>
      </c>
      <c r="EJ99">
        <v>0</v>
      </c>
      <c r="EK99">
        <v>0</v>
      </c>
      <c r="EL99">
        <v>3.2934790489668451E-3</v>
      </c>
      <c r="EM99">
        <v>3.6020741793411949E-3</v>
      </c>
      <c r="EN99">
        <v>3.5701929046057846E-3</v>
      </c>
      <c r="EO99">
        <v>7.0609030838002038E-6</v>
      </c>
      <c r="EP99">
        <v>7.0609030838002038E-6</v>
      </c>
      <c r="EQ99">
        <v>7.0609030838002038E-6</v>
      </c>
      <c r="ER99">
        <v>0</v>
      </c>
      <c r="ES99">
        <v>7.0609030838002038E-6</v>
      </c>
      <c r="ET99">
        <v>7.0609030838002038E-6</v>
      </c>
      <c r="EU99">
        <v>4.4568292942192189E-5</v>
      </c>
      <c r="EV99">
        <v>2.9645301779849712E-4</v>
      </c>
      <c r="EW99">
        <v>2.5427010110081603E-2</v>
      </c>
      <c r="EX99">
        <v>0</v>
      </c>
      <c r="EY99">
        <v>1.0397192349773117E-9</v>
      </c>
      <c r="EZ99">
        <v>1.4800490733269508E-8</v>
      </c>
      <c r="FA99">
        <v>1.1760432005135525E-10</v>
      </c>
      <c r="FB99">
        <v>2.26037227994051E-10</v>
      </c>
      <c r="FC99">
        <v>1.0511625981837493E-3</v>
      </c>
      <c r="FD99">
        <v>1.6451060349526695E-4</v>
      </c>
      <c r="FE99">
        <v>4.2114464212884865E-3</v>
      </c>
      <c r="FF99">
        <v>1.556598656682754E-8</v>
      </c>
      <c r="FG99">
        <v>1.0467542818063809E-9</v>
      </c>
      <c r="FH99">
        <v>1.1378494194957791E-3</v>
      </c>
      <c r="FI99">
        <v>2.8143934280291624E-9</v>
      </c>
      <c r="FJ99">
        <v>3.0809906604382512E-9</v>
      </c>
      <c r="FK99">
        <v>1.4367786519175266E-10</v>
      </c>
      <c r="FL99">
        <v>5.3383987346044896E-5</v>
      </c>
      <c r="FM99">
        <v>1.0129623868523226E-4</v>
      </c>
      <c r="FN99">
        <v>1.4773003731757828E-4</v>
      </c>
      <c r="FO99">
        <v>2.5171014468228204E-5</v>
      </c>
      <c r="FP99">
        <v>2.8551820815125527E-3</v>
      </c>
      <c r="FQ99">
        <v>1.2495811924618093E-4</v>
      </c>
      <c r="FR99">
        <v>1.1690844213859044E-3</v>
      </c>
      <c r="FS99">
        <v>5.0613075569461814E-4</v>
      </c>
      <c r="FT99">
        <v>7.7426926919844103E-5</v>
      </c>
      <c r="FU99">
        <v>6.8971893919389244E-4</v>
      </c>
      <c r="FV99">
        <v>1.2015675139197906E-3</v>
      </c>
      <c r="FW99">
        <v>2.5643472866645235E-2</v>
      </c>
      <c r="FX99">
        <v>2.5656276050450021E-2</v>
      </c>
      <c r="FY99">
        <v>2.4777589652435279E-2</v>
      </c>
      <c r="FZ99">
        <v>2.3705504195622357E-2</v>
      </c>
      <c r="GA99">
        <v>2.5709640531941316E-2</v>
      </c>
      <c r="GB99">
        <v>2.5624053006123689E-2</v>
      </c>
      <c r="GC99">
        <v>2.5461164296391375E-2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2.2133550854978291E-2</v>
      </c>
      <c r="GJ99">
        <v>2.3081689302012542E-2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4.3632375834272587E-4</v>
      </c>
      <c r="GR99">
        <v>7.7954338230566071E-4</v>
      </c>
      <c r="GS99">
        <v>1.4696305708177294E-2</v>
      </c>
      <c r="GT99">
        <v>2.8279411282161944E-5</v>
      </c>
      <c r="GU99">
        <v>0</v>
      </c>
    </row>
    <row r="100" spans="1:203">
      <c r="A100" t="s">
        <v>238</v>
      </c>
      <c r="B100">
        <v>97</v>
      </c>
      <c r="C100" t="s">
        <v>132</v>
      </c>
      <c r="D100">
        <v>5.3732422701284276E-9</v>
      </c>
      <c r="E100">
        <v>0</v>
      </c>
      <c r="F100">
        <v>0</v>
      </c>
      <c r="G100">
        <v>2.4132086421496846E-5</v>
      </c>
      <c r="H100">
        <v>2.6841440900905761E-6</v>
      </c>
      <c r="I100">
        <v>0</v>
      </c>
      <c r="J100">
        <v>0</v>
      </c>
      <c r="K100">
        <v>4.9203916261594479E-5</v>
      </c>
      <c r="L100">
        <v>3.4465877037077099E-4</v>
      </c>
      <c r="M100">
        <v>7.6245895572468075E-4</v>
      </c>
      <c r="N100">
        <v>1.3168040868404089E-5</v>
      </c>
      <c r="O100">
        <v>2.6539960724182261E-5</v>
      </c>
      <c r="P100">
        <v>2.577842187686426E-5</v>
      </c>
      <c r="Q100">
        <v>3.6181057656359339E-3</v>
      </c>
      <c r="R100">
        <v>0</v>
      </c>
      <c r="S100">
        <v>0</v>
      </c>
      <c r="T100">
        <v>0</v>
      </c>
      <c r="U100">
        <v>7.0334390987736668E-6</v>
      </c>
      <c r="V100">
        <v>1.1811675280392173E-4</v>
      </c>
      <c r="W100">
        <v>4.949612186287827E-5</v>
      </c>
      <c r="X100">
        <v>0</v>
      </c>
      <c r="Y100">
        <v>0</v>
      </c>
      <c r="Z100">
        <v>0</v>
      </c>
      <c r="AA100">
        <v>4.9496121862878263E-5</v>
      </c>
      <c r="AB100">
        <v>0</v>
      </c>
      <c r="AC100">
        <v>0</v>
      </c>
      <c r="AD100">
        <v>0</v>
      </c>
      <c r="AE100">
        <v>0</v>
      </c>
      <c r="AF100">
        <v>2.7478954091702135E-8</v>
      </c>
      <c r="AG100">
        <v>0</v>
      </c>
      <c r="AH100">
        <v>0</v>
      </c>
      <c r="AI100">
        <v>3.4711900901329349E-10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6.3522554352473454E-9</v>
      </c>
      <c r="AR100">
        <v>1.2721640569116732E-9</v>
      </c>
      <c r="AS100">
        <v>1.9158964657735665E-5</v>
      </c>
      <c r="AT100">
        <v>0</v>
      </c>
      <c r="AU100">
        <v>4.0795096493434418E-8</v>
      </c>
      <c r="AV100">
        <v>2.2895339435020322E-8</v>
      </c>
      <c r="AW100">
        <v>3.2613824909432682E-6</v>
      </c>
      <c r="AX100">
        <v>1.6280422087655053E-2</v>
      </c>
      <c r="AY100">
        <v>5.602631475025817E-6</v>
      </c>
      <c r="AZ100">
        <v>3.149504120430107E-6</v>
      </c>
      <c r="BA100">
        <v>7.7414250313771998E-4</v>
      </c>
      <c r="BB100">
        <v>1.4814267625576953E-3</v>
      </c>
      <c r="BC100">
        <v>2.3702138041084043E-2</v>
      </c>
      <c r="BD100">
        <v>7.7493036211590921E-5</v>
      </c>
      <c r="BE100">
        <v>0</v>
      </c>
      <c r="BF100">
        <v>4.1340275747565766E-5</v>
      </c>
      <c r="BG100">
        <v>1.9242508328495382E-3</v>
      </c>
      <c r="BH100">
        <v>0</v>
      </c>
      <c r="BI100">
        <v>1.9000195709149034E-4</v>
      </c>
      <c r="BJ100">
        <v>0</v>
      </c>
      <c r="BK100">
        <v>8.0857530033238737E-6</v>
      </c>
      <c r="BL100">
        <v>0</v>
      </c>
      <c r="BM100">
        <v>3.3929033492556887E-6</v>
      </c>
      <c r="BN100">
        <v>2.5846191729617022E-5</v>
      </c>
      <c r="BO100">
        <v>0</v>
      </c>
      <c r="BP100">
        <v>0</v>
      </c>
      <c r="BQ100">
        <v>0</v>
      </c>
      <c r="BR100">
        <v>3.2895591398699858E-5</v>
      </c>
      <c r="BS100">
        <v>0</v>
      </c>
      <c r="BT100">
        <v>0</v>
      </c>
      <c r="BU100">
        <v>3.2895591398699851E-5</v>
      </c>
      <c r="BV100">
        <v>3.2895591398699858E-5</v>
      </c>
      <c r="BW100">
        <v>3.2895591398699858E-5</v>
      </c>
      <c r="BX100">
        <v>3.2895591398699858E-5</v>
      </c>
      <c r="BY100">
        <v>3.2895591398699858E-5</v>
      </c>
      <c r="BZ100">
        <v>3.2895591398699851E-5</v>
      </c>
      <c r="CA100">
        <v>3.2895591398699858E-5</v>
      </c>
      <c r="CB100">
        <v>0</v>
      </c>
      <c r="CC100">
        <v>3.2895591398699858E-5</v>
      </c>
      <c r="CD100">
        <v>3.2895591398699851E-5</v>
      </c>
      <c r="CE100">
        <v>3.2895591398699858E-5</v>
      </c>
      <c r="CF100">
        <v>3.2895591398699858E-5</v>
      </c>
      <c r="CG100">
        <v>3.2895591398699858E-5</v>
      </c>
      <c r="CH100">
        <v>3.2895591398699858E-5</v>
      </c>
      <c r="CI100">
        <v>3.2895591398699851E-5</v>
      </c>
      <c r="CJ100">
        <v>8.1392967623322995E-6</v>
      </c>
      <c r="CK100">
        <v>5.7534755850838723E-6</v>
      </c>
      <c r="CL100">
        <v>0</v>
      </c>
      <c r="CM100">
        <v>5.3353164933835865E-5</v>
      </c>
      <c r="CN100">
        <v>5.7644883200056586E-5</v>
      </c>
      <c r="CO100">
        <v>6.4793223302382057E-3</v>
      </c>
      <c r="CP100">
        <v>0</v>
      </c>
      <c r="CQ100">
        <v>6.4793223302382057E-3</v>
      </c>
      <c r="CR100">
        <v>0</v>
      </c>
      <c r="CS100">
        <v>6.4793223302382066E-3</v>
      </c>
      <c r="CT100">
        <v>0</v>
      </c>
      <c r="CU100">
        <v>2.8027638180392143E-3</v>
      </c>
      <c r="CV100">
        <v>0.10836949250255014</v>
      </c>
      <c r="CW100">
        <v>0</v>
      </c>
      <c r="CX100">
        <v>2.8453579834465252E-4</v>
      </c>
      <c r="CY100">
        <v>0</v>
      </c>
      <c r="CZ100">
        <v>1.9068421287138662E-7</v>
      </c>
      <c r="DA100">
        <v>0</v>
      </c>
      <c r="DB100">
        <v>5.1849644685773811E-4</v>
      </c>
      <c r="DC100">
        <v>1.7241770775338038E-5</v>
      </c>
      <c r="DD100">
        <v>0</v>
      </c>
      <c r="DE100">
        <v>8.4418939615394921E-5</v>
      </c>
      <c r="DF100">
        <v>0</v>
      </c>
      <c r="DG100">
        <v>1.2188360955903316E-4</v>
      </c>
      <c r="DH100">
        <v>0</v>
      </c>
      <c r="DI100">
        <v>1.0551257707587734E-9</v>
      </c>
      <c r="DJ100">
        <v>0</v>
      </c>
      <c r="DK100">
        <v>4.8127794835749737E-5</v>
      </c>
      <c r="DL100">
        <v>0</v>
      </c>
      <c r="DM100">
        <v>9.9736815494105561E-5</v>
      </c>
      <c r="DN100">
        <v>0</v>
      </c>
      <c r="DO100">
        <v>7.5874374282078162E-5</v>
      </c>
      <c r="DP100">
        <v>4.0904627012184697E-4</v>
      </c>
      <c r="DQ100">
        <v>8.7549331044209356E-4</v>
      </c>
      <c r="DR100">
        <v>1.1466045429610516E-3</v>
      </c>
      <c r="DS100">
        <v>4.3289867587964995E-3</v>
      </c>
      <c r="DT100">
        <v>2.9152466599445745E-2</v>
      </c>
      <c r="DU100">
        <v>7.1767178084979266E-3</v>
      </c>
      <c r="DV100">
        <v>2.332794023589344E-3</v>
      </c>
      <c r="DW100">
        <v>1.0255865961781869E-3</v>
      </c>
      <c r="DX100">
        <v>6.9029226371789786E-3</v>
      </c>
      <c r="DY100">
        <v>1.1278904403107721E-8</v>
      </c>
      <c r="DZ100">
        <v>0</v>
      </c>
      <c r="EA100">
        <v>1.8850857266508375E-5</v>
      </c>
      <c r="EB100">
        <v>1.4456326884024352E-5</v>
      </c>
      <c r="EC100">
        <v>2.1121516779709584E-5</v>
      </c>
      <c r="ED100">
        <v>1.2255868628135319E-5</v>
      </c>
      <c r="EE100">
        <v>1.2524293752429075E-5</v>
      </c>
      <c r="EF100">
        <v>4.4708302871303227E-6</v>
      </c>
      <c r="EG100">
        <v>2.55504312468111E-5</v>
      </c>
      <c r="EH100">
        <v>0</v>
      </c>
      <c r="EI100">
        <v>0</v>
      </c>
      <c r="EJ100">
        <v>0</v>
      </c>
      <c r="EK100">
        <v>0</v>
      </c>
      <c r="EL100">
        <v>2.2985734284858795E-5</v>
      </c>
      <c r="EM100">
        <v>2.5185634851121248E-5</v>
      </c>
      <c r="EN100">
        <v>2.4956518286373051E-5</v>
      </c>
      <c r="EO100">
        <v>8.1707538991633857E-8</v>
      </c>
      <c r="EP100">
        <v>8.1707538991633844E-8</v>
      </c>
      <c r="EQ100">
        <v>8.1707538991633844E-8</v>
      </c>
      <c r="ER100">
        <v>0</v>
      </c>
      <c r="ES100">
        <v>8.1707538991633857E-8</v>
      </c>
      <c r="ET100">
        <v>8.1707538991633857E-8</v>
      </c>
      <c r="EU100">
        <v>1.8131992590482578E-5</v>
      </c>
      <c r="EV100">
        <v>4.189975144184957E-8</v>
      </c>
      <c r="EW100">
        <v>3.4485276249219144E-3</v>
      </c>
      <c r="EX100">
        <v>0</v>
      </c>
      <c r="EY100">
        <v>1.0387481543386099E-9</v>
      </c>
      <c r="EZ100">
        <v>1.3955001254750339E-8</v>
      </c>
      <c r="FA100">
        <v>1.1649749596220763E-10</v>
      </c>
      <c r="FB100">
        <v>2.2492076734480292E-10</v>
      </c>
      <c r="FC100">
        <v>3.8327991379251912E-4</v>
      </c>
      <c r="FD100">
        <v>9.972876473999689E-7</v>
      </c>
      <c r="FE100">
        <v>1.8904041402488399E-5</v>
      </c>
      <c r="FF100">
        <v>1.5049660064490369E-8</v>
      </c>
      <c r="FG100">
        <v>1.0331463768225707E-9</v>
      </c>
      <c r="FH100">
        <v>2.3117478440646065E-5</v>
      </c>
      <c r="FI100">
        <v>2.7073708621623453E-9</v>
      </c>
      <c r="FJ100">
        <v>2.874362059712676E-9</v>
      </c>
      <c r="FK100">
        <v>1.4164536726639015E-10</v>
      </c>
      <c r="FL100">
        <v>7.6160640826758118E-6</v>
      </c>
      <c r="FM100">
        <v>1.4150468575843708E-6</v>
      </c>
      <c r="FN100">
        <v>1.2292550384030625E-5</v>
      </c>
      <c r="FO100">
        <v>2.068114349074113E-5</v>
      </c>
      <c r="FP100">
        <v>1.4658625584920512E-5</v>
      </c>
      <c r="FQ100">
        <v>2.5299513063855185E-7</v>
      </c>
      <c r="FR100">
        <v>4.0599164737369189E-4</v>
      </c>
      <c r="FS100">
        <v>1.6176146776573496E-5</v>
      </c>
      <c r="FT100">
        <v>1.6501872458948328E-5</v>
      </c>
      <c r="FU100">
        <v>4.032529937850949E-4</v>
      </c>
      <c r="FV100">
        <v>2.7031872376576143E-4</v>
      </c>
      <c r="FW100">
        <v>1.6375095962709607E-4</v>
      </c>
      <c r="FX100">
        <v>1.6074112178858432E-4</v>
      </c>
      <c r="FY100">
        <v>1.51238689345859E-4</v>
      </c>
      <c r="FZ100">
        <v>1.5311837731090728E-4</v>
      </c>
      <c r="GA100">
        <v>1.6080735039605731E-4</v>
      </c>
      <c r="GB100">
        <v>1.6043880569623379E-4</v>
      </c>
      <c r="GC100">
        <v>1.6005543009553448E-4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1.4323561791379475E-4</v>
      </c>
      <c r="GJ100">
        <v>1.4928911692247069E-4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1.5307290961333732E-4</v>
      </c>
      <c r="GR100">
        <v>1.2241223275762502E-4</v>
      </c>
      <c r="GS100">
        <v>2.64879468180412E-3</v>
      </c>
      <c r="GT100">
        <v>4.4439327029379147E-3</v>
      </c>
      <c r="GU100">
        <v>0</v>
      </c>
    </row>
    <row r="101" spans="1:203">
      <c r="A101" t="s">
        <v>239</v>
      </c>
      <c r="B101">
        <v>98</v>
      </c>
      <c r="C101" t="s">
        <v>132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</row>
    <row r="102" spans="1:203">
      <c r="A102" t="s">
        <v>240</v>
      </c>
      <c r="B102">
        <v>99</v>
      </c>
      <c r="C102" t="s">
        <v>133</v>
      </c>
      <c r="D102">
        <v>6.963553730923607E-7</v>
      </c>
      <c r="E102">
        <v>0</v>
      </c>
      <c r="F102">
        <v>4.503222772954626E-6</v>
      </c>
      <c r="G102">
        <v>3.8220345887993108E-6</v>
      </c>
      <c r="H102">
        <v>2.1504675789325353E-6</v>
      </c>
      <c r="I102">
        <v>0</v>
      </c>
      <c r="J102">
        <v>0</v>
      </c>
      <c r="K102">
        <v>4.5023505435220155E-6</v>
      </c>
      <c r="L102">
        <v>6.2416496564616508E-7</v>
      </c>
      <c r="M102">
        <v>3.803453904643299E-7</v>
      </c>
      <c r="N102">
        <v>3.7162366793260525E-7</v>
      </c>
      <c r="O102">
        <v>9.0005367057310192E-6</v>
      </c>
      <c r="P102">
        <v>1.7778593973164927E-6</v>
      </c>
      <c r="Q102">
        <v>6.4188312385072784E-7</v>
      </c>
      <c r="R102">
        <v>0</v>
      </c>
      <c r="S102">
        <v>0</v>
      </c>
      <c r="T102">
        <v>0</v>
      </c>
      <c r="U102">
        <v>0</v>
      </c>
      <c r="V102">
        <v>1.1069341561690353E-6</v>
      </c>
      <c r="W102">
        <v>8.6704493221580618E-5</v>
      </c>
      <c r="X102">
        <v>0</v>
      </c>
      <c r="Y102">
        <v>0</v>
      </c>
      <c r="Z102">
        <v>0</v>
      </c>
      <c r="AA102">
        <v>8.6704493221580604E-5</v>
      </c>
      <c r="AB102">
        <v>0</v>
      </c>
      <c r="AC102">
        <v>0</v>
      </c>
      <c r="AD102">
        <v>0</v>
      </c>
      <c r="AE102">
        <v>0</v>
      </c>
      <c r="AF102">
        <v>3.2573898516638732E-8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2.7432125623956838E-7</v>
      </c>
      <c r="AV102">
        <v>2.0652140484084443E-7</v>
      </c>
      <c r="AW102">
        <v>5.6892862196356855E-6</v>
      </c>
      <c r="AX102">
        <v>0</v>
      </c>
      <c r="AY102">
        <v>2.1314642973421511E-6</v>
      </c>
      <c r="AZ102">
        <v>0</v>
      </c>
      <c r="BA102">
        <v>0</v>
      </c>
      <c r="BB102">
        <v>3.5540966137595886E-8</v>
      </c>
      <c r="BC102">
        <v>0</v>
      </c>
      <c r="BD102">
        <v>1.0647311368695189E-7</v>
      </c>
      <c r="BE102">
        <v>0</v>
      </c>
      <c r="BF102">
        <v>5.4002715556999864E-6</v>
      </c>
      <c r="BG102">
        <v>2.4768869546419077E-6</v>
      </c>
      <c r="BH102">
        <v>0</v>
      </c>
      <c r="BI102">
        <v>0</v>
      </c>
      <c r="BJ102">
        <v>0</v>
      </c>
      <c r="BK102">
        <v>2.8808340969986075E-4</v>
      </c>
      <c r="BL102">
        <v>0</v>
      </c>
      <c r="BM102">
        <v>2.4065425067724616E-4</v>
      </c>
      <c r="BN102">
        <v>0</v>
      </c>
      <c r="BO102">
        <v>1.8336555272071668E-2</v>
      </c>
      <c r="BP102">
        <v>0</v>
      </c>
      <c r="BQ102">
        <v>1.8336555272071668E-2</v>
      </c>
      <c r="BR102">
        <v>1.6812805060984493E-4</v>
      </c>
      <c r="BS102">
        <v>0</v>
      </c>
      <c r="BT102">
        <v>0</v>
      </c>
      <c r="BU102">
        <v>1.6812805060984493E-4</v>
      </c>
      <c r="BV102">
        <v>1.6812805060984496E-4</v>
      </c>
      <c r="BW102">
        <v>1.6812805060984496E-4</v>
      </c>
      <c r="BX102">
        <v>1.6812805060984496E-4</v>
      </c>
      <c r="BY102">
        <v>1.6812805060984496E-4</v>
      </c>
      <c r="BZ102">
        <v>1.6812805060984496E-4</v>
      </c>
      <c r="CA102">
        <v>1.6812805060984496E-4</v>
      </c>
      <c r="CB102">
        <v>0</v>
      </c>
      <c r="CC102">
        <v>1.6812805060984496E-4</v>
      </c>
      <c r="CD102">
        <v>1.6812805060984493E-4</v>
      </c>
      <c r="CE102">
        <v>1.6812805060984496E-4</v>
      </c>
      <c r="CF102">
        <v>1.6812805060984496E-4</v>
      </c>
      <c r="CG102">
        <v>1.6812805060984496E-4</v>
      </c>
      <c r="CH102">
        <v>1.6812805060984493E-4</v>
      </c>
      <c r="CI102">
        <v>1.6812805060984493E-4</v>
      </c>
      <c r="CJ102">
        <v>3.7103769538682431E-5</v>
      </c>
      <c r="CK102">
        <v>9.2297092113765616E-8</v>
      </c>
      <c r="CL102">
        <v>0</v>
      </c>
      <c r="CM102">
        <v>8.2766940097198899E-5</v>
      </c>
      <c r="CN102">
        <v>1.0298451086588805E-4</v>
      </c>
      <c r="CO102">
        <v>1.5442436090818719E-4</v>
      </c>
      <c r="CP102">
        <v>0</v>
      </c>
      <c r="CQ102">
        <v>1.5442436090818719E-4</v>
      </c>
      <c r="CR102">
        <v>0</v>
      </c>
      <c r="CS102">
        <v>1.5442436090818722E-4</v>
      </c>
      <c r="CT102">
        <v>0</v>
      </c>
      <c r="CU102">
        <v>2.0175339436868508E-5</v>
      </c>
      <c r="CV102">
        <v>2.465956664618755E-3</v>
      </c>
      <c r="CW102">
        <v>0</v>
      </c>
      <c r="CX102">
        <v>1.7833130362641513E-2</v>
      </c>
      <c r="CY102">
        <v>2.1708092087108321E-5</v>
      </c>
      <c r="CZ102">
        <v>9.2711714979461452E-4</v>
      </c>
      <c r="DA102">
        <v>0</v>
      </c>
      <c r="DB102">
        <v>1.3932894896391421E-5</v>
      </c>
      <c r="DC102">
        <v>3.3966295830179217E-3</v>
      </c>
      <c r="DD102">
        <v>0</v>
      </c>
      <c r="DE102">
        <v>1.3654978729188405E-3</v>
      </c>
      <c r="DF102">
        <v>0</v>
      </c>
      <c r="DG102">
        <v>2.0271945189844834E-3</v>
      </c>
      <c r="DH102">
        <v>0</v>
      </c>
      <c r="DI102">
        <v>1.1757077619303192E-9</v>
      </c>
      <c r="DJ102">
        <v>0</v>
      </c>
      <c r="DK102">
        <v>9.1229605233286292E-4</v>
      </c>
      <c r="DL102">
        <v>0</v>
      </c>
      <c r="DM102">
        <v>1.3771883641179677E-3</v>
      </c>
      <c r="DN102">
        <v>0</v>
      </c>
      <c r="DO102">
        <v>2.089977222836908E-3</v>
      </c>
      <c r="DP102">
        <v>1.9881375321757036E-5</v>
      </c>
      <c r="DQ102">
        <v>7.7825531030628739E-5</v>
      </c>
      <c r="DR102">
        <v>2.3193098368931107E-5</v>
      </c>
      <c r="DS102">
        <v>2.4025896143339875E-6</v>
      </c>
      <c r="DT102">
        <v>8.6137565214385948E-5</v>
      </c>
      <c r="DU102">
        <v>1.013849910252278E-4</v>
      </c>
      <c r="DV102">
        <v>2.4464426815002462E-4</v>
      </c>
      <c r="DW102">
        <v>1.7004444296951488E-4</v>
      </c>
      <c r="DX102">
        <v>4.3334769930402896E-5</v>
      </c>
      <c r="DY102">
        <v>8.4199592723381782E-13</v>
      </c>
      <c r="DZ102">
        <v>0</v>
      </c>
      <c r="EA102">
        <v>3.3208316678887573E-4</v>
      </c>
      <c r="EB102">
        <v>2.5432086552388319E-4</v>
      </c>
      <c r="EC102">
        <v>4.446199552938618E-4</v>
      </c>
      <c r="ED102">
        <v>2.3160420817267447E-4</v>
      </c>
      <c r="EE102">
        <v>2.5526145024179405E-4</v>
      </c>
      <c r="EF102">
        <v>9.3822553037458721E-5</v>
      </c>
      <c r="EG102">
        <v>4.8118354784610002E-4</v>
      </c>
      <c r="EH102">
        <v>2.4899097079548099E-4</v>
      </c>
      <c r="EI102">
        <v>0</v>
      </c>
      <c r="EJ102">
        <v>0</v>
      </c>
      <c r="EK102">
        <v>0</v>
      </c>
      <c r="EL102">
        <v>4.000296917413461E-4</v>
      </c>
      <c r="EM102">
        <v>4.3906831942529674E-4</v>
      </c>
      <c r="EN102">
        <v>4.3044319001994219E-4</v>
      </c>
      <c r="EO102">
        <v>2.4017948172781887E-6</v>
      </c>
      <c r="EP102">
        <v>2.4017948172781882E-6</v>
      </c>
      <c r="EQ102">
        <v>2.4017948172781882E-6</v>
      </c>
      <c r="ER102">
        <v>0</v>
      </c>
      <c r="ES102">
        <v>2.4017948172781887E-6</v>
      </c>
      <c r="ET102">
        <v>2.4017948172781882E-6</v>
      </c>
      <c r="EU102">
        <v>2.0420823100767639E-6</v>
      </c>
      <c r="EV102">
        <v>4.2672497881883507E-6</v>
      </c>
      <c r="EW102">
        <v>6.5472303613768558E-3</v>
      </c>
      <c r="EX102">
        <v>0</v>
      </c>
      <c r="EY102">
        <v>0</v>
      </c>
      <c r="EZ102">
        <v>1.4504643140844528E-8</v>
      </c>
      <c r="FA102">
        <v>1.2853398919386621E-10</v>
      </c>
      <c r="FB102">
        <v>2.4530308076323349E-10</v>
      </c>
      <c r="FC102">
        <v>8.2211041493582889E-4</v>
      </c>
      <c r="FD102">
        <v>8.9631236371106812E-8</v>
      </c>
      <c r="FE102">
        <v>4.0868833833092995E-5</v>
      </c>
      <c r="FF102">
        <v>1.4684843439944896E-8</v>
      </c>
      <c r="FG102">
        <v>1.289306063970212E-9</v>
      </c>
      <c r="FH102">
        <v>8.6579611881719496E-6</v>
      </c>
      <c r="FI102">
        <v>2.4323652308537546E-9</v>
      </c>
      <c r="FJ102">
        <v>2.0355121853668753E-7</v>
      </c>
      <c r="FK102">
        <v>0</v>
      </c>
      <c r="FL102">
        <v>1.8208123222464015E-7</v>
      </c>
      <c r="FM102">
        <v>0</v>
      </c>
      <c r="FN102">
        <v>0</v>
      </c>
      <c r="FO102">
        <v>1.7948958524704008E-7</v>
      </c>
      <c r="FP102">
        <v>0</v>
      </c>
      <c r="FQ102">
        <v>0</v>
      </c>
      <c r="FR102">
        <v>6.8786968004420175E-4</v>
      </c>
      <c r="FS102">
        <v>2.2470796268953469E-7</v>
      </c>
      <c r="FT102">
        <v>1.9672594329427101E-5</v>
      </c>
      <c r="FU102">
        <v>3.3753805018851988E-5</v>
      </c>
      <c r="FV102">
        <v>3.862210274869357E-5</v>
      </c>
      <c r="FW102">
        <v>2.2330136549343122E-4</v>
      </c>
      <c r="FX102">
        <v>2.2392548099422287E-4</v>
      </c>
      <c r="FY102">
        <v>2.2033035414575848E-4</v>
      </c>
      <c r="FZ102">
        <v>2.139450900336369E-4</v>
      </c>
      <c r="GA102">
        <v>2.2481315397642545E-4</v>
      </c>
      <c r="GB102">
        <v>2.2433496237432937E-4</v>
      </c>
      <c r="GC102">
        <v>2.230683625475179E-4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1.9627036343818215E-4</v>
      </c>
      <c r="GJ102">
        <v>2.0295041282704208E-4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6.5310741105757691E-5</v>
      </c>
      <c r="GR102">
        <v>0</v>
      </c>
      <c r="GS102">
        <v>1.6903495910794936E-3</v>
      </c>
      <c r="GT102">
        <v>0</v>
      </c>
      <c r="GU102">
        <v>0</v>
      </c>
    </row>
    <row r="103" spans="1:203">
      <c r="A103" t="s">
        <v>241</v>
      </c>
      <c r="B103">
        <v>100</v>
      </c>
      <c r="C103" t="s">
        <v>133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6.0499222128933775E-7</v>
      </c>
      <c r="X103">
        <v>0</v>
      </c>
      <c r="Y103">
        <v>0</v>
      </c>
      <c r="Z103">
        <v>0</v>
      </c>
      <c r="AA103">
        <v>6.0499222128933775E-7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2.2039146179661922E-5</v>
      </c>
      <c r="CY103">
        <v>6.9854374188549452E-3</v>
      </c>
      <c r="CZ103">
        <v>1.8180154837279969E-4</v>
      </c>
      <c r="DA103">
        <v>0</v>
      </c>
      <c r="DB103">
        <v>1.2137674232421636E-4</v>
      </c>
      <c r="DC103">
        <v>5.3401817592862573E-9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6.7034553606360042E-9</v>
      </c>
      <c r="DQ103">
        <v>4.5051600340208907E-9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6.8355978153963675E-4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2.5925726370324861E-7</v>
      </c>
      <c r="FS103">
        <v>0</v>
      </c>
      <c r="FT103">
        <v>4.5407123236950479E-8</v>
      </c>
      <c r="FU103">
        <v>0</v>
      </c>
      <c r="FV103">
        <v>7.8225891400327637E-7</v>
      </c>
      <c r="FW103">
        <v>3.1617570621880603E-7</v>
      </c>
      <c r="FX103">
        <v>3.1373655235075686E-7</v>
      </c>
      <c r="FY103">
        <v>1.3220405792799159E-6</v>
      </c>
      <c r="FZ103">
        <v>1.9310093741282062E-6</v>
      </c>
      <c r="GA103">
        <v>1.3780273854226333E-6</v>
      </c>
      <c r="GB103">
        <v>1.1764033303269252E-6</v>
      </c>
      <c r="GC103">
        <v>1.2180055708645914E-6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5.2152627915819837E-7</v>
      </c>
      <c r="GJ103">
        <v>2.45559509100783E-7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5.8999774878771772E-7</v>
      </c>
      <c r="GT103">
        <v>0</v>
      </c>
      <c r="GU103">
        <v>0</v>
      </c>
    </row>
    <row r="104" spans="1:203">
      <c r="A104" t="s">
        <v>242</v>
      </c>
      <c r="B104">
        <v>101</v>
      </c>
      <c r="C104" t="s">
        <v>133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9.2896564978742094E-6</v>
      </c>
      <c r="X104">
        <v>0</v>
      </c>
      <c r="Y104">
        <v>0</v>
      </c>
      <c r="Z104">
        <v>0</v>
      </c>
      <c r="AA104">
        <v>9.2896564978742094E-6</v>
      </c>
      <c r="AB104">
        <v>0</v>
      </c>
      <c r="AC104">
        <v>0</v>
      </c>
      <c r="AD104">
        <v>0</v>
      </c>
      <c r="AE104">
        <v>7.8821189736993464E-6</v>
      </c>
      <c r="AF104">
        <v>3.1795845530045401E-8</v>
      </c>
      <c r="AG104">
        <v>0</v>
      </c>
      <c r="AH104">
        <v>0</v>
      </c>
      <c r="AI104">
        <v>3.2738118017077029E-10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1.1998264557923667E-9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2.4456785692931211E-3</v>
      </c>
      <c r="CZ104">
        <v>0.13651289854211579</v>
      </c>
      <c r="DA104">
        <v>0</v>
      </c>
      <c r="DB104">
        <v>1.4110613723740419E-3</v>
      </c>
      <c r="DC104">
        <v>9.0629440281416061E-9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1.2519355677012893E-8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1.4617848935631745E-8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6.1068343586264937E-2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1.258147736323114E-5</v>
      </c>
      <c r="FS104">
        <v>0</v>
      </c>
      <c r="FT104">
        <v>1.0801126099501418E-5</v>
      </c>
      <c r="FU104">
        <v>0</v>
      </c>
      <c r="FV104">
        <v>0</v>
      </c>
      <c r="FW104">
        <v>2.4310551453250965E-6</v>
      </c>
      <c r="FX104">
        <v>2.4460154811067889E-6</v>
      </c>
      <c r="FY104">
        <v>7.2946903372904254E-6</v>
      </c>
      <c r="FZ104">
        <v>7.1185688178884526E-6</v>
      </c>
      <c r="GA104">
        <v>7.4313252090369287E-6</v>
      </c>
      <c r="GB104">
        <v>2.2246027130407544E-6</v>
      </c>
      <c r="GC104">
        <v>2.2720864704142398E-6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1.4796338271531448E-6</v>
      </c>
      <c r="GJ104">
        <v>2.4510346032977649E-6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8.4295584514499531E-6</v>
      </c>
      <c r="GT104">
        <v>0</v>
      </c>
      <c r="GU104">
        <v>0</v>
      </c>
    </row>
    <row r="105" spans="1:203">
      <c r="A105" t="s">
        <v>243</v>
      </c>
      <c r="B105">
        <v>102</v>
      </c>
      <c r="C105" t="s">
        <v>133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</row>
    <row r="106" spans="1:203">
      <c r="A106" t="s">
        <v>244</v>
      </c>
      <c r="B106">
        <v>103</v>
      </c>
      <c r="C106" t="s">
        <v>133</v>
      </c>
      <c r="D106">
        <v>5.8295840205006423E-5</v>
      </c>
      <c r="E106">
        <v>2.6524577250060037E-5</v>
      </c>
      <c r="F106">
        <v>1.214573911990777E-4</v>
      </c>
      <c r="G106">
        <v>3.1774124204444897E-5</v>
      </c>
      <c r="H106">
        <v>1.4914968031928942E-5</v>
      </c>
      <c r="I106">
        <v>0</v>
      </c>
      <c r="J106">
        <v>0</v>
      </c>
      <c r="K106">
        <v>8.4500489376514133E-5</v>
      </c>
      <c r="L106">
        <v>7.4020181132014714E-5</v>
      </c>
      <c r="M106">
        <v>9.3296833446551665E-5</v>
      </c>
      <c r="N106">
        <v>7.538192159315608E-5</v>
      </c>
      <c r="O106">
        <v>2.8951003755950372E-4</v>
      </c>
      <c r="P106">
        <v>6.6616893144009015E-5</v>
      </c>
      <c r="Q106">
        <v>9.4504053987936831E-6</v>
      </c>
      <c r="R106">
        <v>0</v>
      </c>
      <c r="S106">
        <v>0</v>
      </c>
      <c r="T106">
        <v>0</v>
      </c>
      <c r="U106">
        <v>9.5311628465580449E-5</v>
      </c>
      <c r="V106">
        <v>2.1497108884863982E-4</v>
      </c>
      <c r="W106">
        <v>1.8216214035374852E-4</v>
      </c>
      <c r="X106">
        <v>0</v>
      </c>
      <c r="Y106">
        <v>0</v>
      </c>
      <c r="Z106">
        <v>0</v>
      </c>
      <c r="AA106">
        <v>1.8216214035374852E-4</v>
      </c>
      <c r="AB106">
        <v>0</v>
      </c>
      <c r="AC106">
        <v>0</v>
      </c>
      <c r="AD106">
        <v>0</v>
      </c>
      <c r="AE106">
        <v>4.3663464030286023E-5</v>
      </c>
      <c r="AF106">
        <v>4.2825678001502636E-8</v>
      </c>
      <c r="AG106">
        <v>0</v>
      </c>
      <c r="AH106">
        <v>0</v>
      </c>
      <c r="AI106">
        <v>3.8110648763850235E-10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1.3967255115405915E-9</v>
      </c>
      <c r="AS106">
        <v>1.8235674548980455E-5</v>
      </c>
      <c r="AT106">
        <v>0</v>
      </c>
      <c r="AU106">
        <v>0</v>
      </c>
      <c r="AV106">
        <v>0</v>
      </c>
      <c r="AW106">
        <v>4.9309473986988512E-6</v>
      </c>
      <c r="AX106">
        <v>2.4928010140300142E-5</v>
      </c>
      <c r="AY106">
        <v>0</v>
      </c>
      <c r="AZ106">
        <v>0</v>
      </c>
      <c r="BA106">
        <v>6.3604802376180346E-5</v>
      </c>
      <c r="BB106">
        <v>3.4153054786024794E-5</v>
      </c>
      <c r="BC106">
        <v>0</v>
      </c>
      <c r="BD106">
        <v>0</v>
      </c>
      <c r="BE106">
        <v>0</v>
      </c>
      <c r="BF106">
        <v>5.3096327878255232E-7</v>
      </c>
      <c r="BG106">
        <v>1.1605114386472651E-3</v>
      </c>
      <c r="BH106">
        <v>1.3692356492606979E-4</v>
      </c>
      <c r="BI106">
        <v>7.7317752744713957E-4</v>
      </c>
      <c r="BJ106">
        <v>0</v>
      </c>
      <c r="BK106">
        <v>5.6600274144484311E-3</v>
      </c>
      <c r="BL106">
        <v>0</v>
      </c>
      <c r="BM106">
        <v>4.9282355108738853E-3</v>
      </c>
      <c r="BN106">
        <v>1.697409751447837E-4</v>
      </c>
      <c r="BO106">
        <v>3.3467802794234936E-3</v>
      </c>
      <c r="BP106">
        <v>0</v>
      </c>
      <c r="BQ106">
        <v>3.3467802794234936E-3</v>
      </c>
      <c r="BR106">
        <v>1.1054196610917226E-4</v>
      </c>
      <c r="BS106">
        <v>0</v>
      </c>
      <c r="BT106">
        <v>0</v>
      </c>
      <c r="BU106">
        <v>1.1054196610917225E-4</v>
      </c>
      <c r="BV106">
        <v>1.1054196610917226E-4</v>
      </c>
      <c r="BW106">
        <v>1.1054196610917226E-4</v>
      </c>
      <c r="BX106">
        <v>1.1054196610917226E-4</v>
      </c>
      <c r="BY106">
        <v>1.1054196610917226E-4</v>
      </c>
      <c r="BZ106">
        <v>1.1054196610917226E-4</v>
      </c>
      <c r="CA106">
        <v>1.1054196610917227E-4</v>
      </c>
      <c r="CB106">
        <v>0</v>
      </c>
      <c r="CC106">
        <v>1.1054196610917226E-4</v>
      </c>
      <c r="CD106">
        <v>1.1054196610917225E-4</v>
      </c>
      <c r="CE106">
        <v>1.1054196610917226E-4</v>
      </c>
      <c r="CF106">
        <v>1.1054196610917226E-4</v>
      </c>
      <c r="CG106">
        <v>1.1054196610917226E-4</v>
      </c>
      <c r="CH106">
        <v>1.1054196610917226E-4</v>
      </c>
      <c r="CI106">
        <v>1.1054196610917226E-4</v>
      </c>
      <c r="CJ106">
        <v>0</v>
      </c>
      <c r="CK106">
        <v>1.0749651924753724E-4</v>
      </c>
      <c r="CL106">
        <v>0</v>
      </c>
      <c r="CM106">
        <v>1.2604566773605046E-3</v>
      </c>
      <c r="CN106">
        <v>1.6344032033033303E-3</v>
      </c>
      <c r="CO106">
        <v>5.4011539474033794E-4</v>
      </c>
      <c r="CP106">
        <v>0</v>
      </c>
      <c r="CQ106">
        <v>5.4011539474033794E-4</v>
      </c>
      <c r="CR106">
        <v>0</v>
      </c>
      <c r="CS106">
        <v>5.4011539474033794E-4</v>
      </c>
      <c r="CT106">
        <v>0</v>
      </c>
      <c r="CU106">
        <v>4.9107151270673638E-4</v>
      </c>
      <c r="CV106">
        <v>5.1971206455803526E-3</v>
      </c>
      <c r="CW106">
        <v>0</v>
      </c>
      <c r="CX106">
        <v>2.2133476489469332E-2</v>
      </c>
      <c r="CY106">
        <v>0.17965950349880469</v>
      </c>
      <c r="CZ106">
        <v>2.7345522769716749E-2</v>
      </c>
      <c r="DA106">
        <v>0</v>
      </c>
      <c r="DB106">
        <v>0.10634617525971167</v>
      </c>
      <c r="DC106">
        <v>6.8602403329348187E-3</v>
      </c>
      <c r="DD106">
        <v>0</v>
      </c>
      <c r="DE106">
        <v>4.0005430816154324E-5</v>
      </c>
      <c r="DF106">
        <v>0</v>
      </c>
      <c r="DG106">
        <v>1.399603574139999E-2</v>
      </c>
      <c r="DH106">
        <v>0</v>
      </c>
      <c r="DI106">
        <v>1.1244035370351419E-9</v>
      </c>
      <c r="DJ106">
        <v>0</v>
      </c>
      <c r="DK106">
        <v>1.037904038848221E-5</v>
      </c>
      <c r="DL106">
        <v>0</v>
      </c>
      <c r="DM106">
        <v>5.3348851285969132E-6</v>
      </c>
      <c r="DN106">
        <v>0</v>
      </c>
      <c r="DO106">
        <v>6.5045888741210661E-4</v>
      </c>
      <c r="DP106">
        <v>1.5374829205053475E-3</v>
      </c>
      <c r="DQ106">
        <v>1.3858301615122051E-3</v>
      </c>
      <c r="DR106">
        <v>1.5020403660456554E-4</v>
      </c>
      <c r="DS106">
        <v>3.62963980198761E-3</v>
      </c>
      <c r="DT106">
        <v>2.0763778202566373E-3</v>
      </c>
      <c r="DU106">
        <v>5.1347690387645731E-4</v>
      </c>
      <c r="DV106">
        <v>4.1410899872495761E-4</v>
      </c>
      <c r="DW106">
        <v>1.2205833262558042E-3</v>
      </c>
      <c r="DX106">
        <v>3.0270576569913373E-3</v>
      </c>
      <c r="DY106">
        <v>5.8815824401100089E-11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6.4519403751147603E-7</v>
      </c>
      <c r="EP106">
        <v>6.4519403751147592E-7</v>
      </c>
      <c r="EQ106">
        <v>6.4519403751147592E-7</v>
      </c>
      <c r="ER106">
        <v>0</v>
      </c>
      <c r="ES106">
        <v>6.4519403751147603E-7</v>
      </c>
      <c r="ET106">
        <v>6.4519403751147603E-7</v>
      </c>
      <c r="EU106">
        <v>0</v>
      </c>
      <c r="EV106">
        <v>6.1690999179806087E-5</v>
      </c>
      <c r="EW106">
        <v>4.604786179639931E-2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1.202229226395207E-9</v>
      </c>
      <c r="FH106">
        <v>2.1475006994800698E-5</v>
      </c>
      <c r="FI106">
        <v>0</v>
      </c>
      <c r="FJ106">
        <v>1.0280458271984153E-8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1.2365556624916567E-7</v>
      </c>
      <c r="FR106">
        <v>3.1265155197510484E-4</v>
      </c>
      <c r="FS106">
        <v>8.1952843161528897E-9</v>
      </c>
      <c r="FT106">
        <v>3.3134077406086397E-4</v>
      </c>
      <c r="FU106">
        <v>1.8266294823998868E-7</v>
      </c>
      <c r="FV106">
        <v>3.8605887017119952E-5</v>
      </c>
      <c r="FW106">
        <v>4.1616856428763221E-4</v>
      </c>
      <c r="FX106">
        <v>4.1720921336475477E-4</v>
      </c>
      <c r="FY106">
        <v>4.0947709665635349E-4</v>
      </c>
      <c r="FZ106">
        <v>3.9620802403758258E-4</v>
      </c>
      <c r="GA106">
        <v>4.1902230311519696E-4</v>
      </c>
      <c r="GB106">
        <v>4.1799394664719203E-4</v>
      </c>
      <c r="GC106">
        <v>4.1554557398964072E-4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3.6448396320768578E-4</v>
      </c>
      <c r="GJ106">
        <v>3.7742885049368087E-4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1.4072023420654832E-5</v>
      </c>
      <c r="GS106">
        <v>6.8485675965217728E-4</v>
      </c>
      <c r="GT106">
        <v>1.0614980791762778E-6</v>
      </c>
      <c r="GU106">
        <v>0</v>
      </c>
    </row>
    <row r="107" spans="1:203">
      <c r="A107" t="s">
        <v>245</v>
      </c>
      <c r="B107">
        <v>104</v>
      </c>
      <c r="C107" t="s">
        <v>134</v>
      </c>
      <c r="D107">
        <v>7.8224141004224108E-8</v>
      </c>
      <c r="E107">
        <v>1.2789539894427985E-5</v>
      </c>
      <c r="F107">
        <v>1.7559843313146321E-5</v>
      </c>
      <c r="G107">
        <v>6.8426272671730226E-4</v>
      </c>
      <c r="H107">
        <v>8.3257021299403274E-5</v>
      </c>
      <c r="I107">
        <v>0</v>
      </c>
      <c r="J107">
        <v>0</v>
      </c>
      <c r="K107">
        <v>1.8297435113706806E-3</v>
      </c>
      <c r="L107">
        <v>4.180521786795445E-4</v>
      </c>
      <c r="M107">
        <v>1.024145352275809E-3</v>
      </c>
      <c r="N107">
        <v>4.3640649944910075E-4</v>
      </c>
      <c r="O107">
        <v>1.2972050255449809E-3</v>
      </c>
      <c r="P107">
        <v>1.334205718790006E-3</v>
      </c>
      <c r="Q107">
        <v>3.3217486565711826E-3</v>
      </c>
      <c r="R107">
        <v>0</v>
      </c>
      <c r="S107">
        <v>0</v>
      </c>
      <c r="T107">
        <v>0</v>
      </c>
      <c r="U107">
        <v>6.4062343634781055E-5</v>
      </c>
      <c r="V107">
        <v>9.691390843672243E-4</v>
      </c>
      <c r="W107">
        <v>1.2211103288360932E-2</v>
      </c>
      <c r="X107">
        <v>0</v>
      </c>
      <c r="Y107">
        <v>0</v>
      </c>
      <c r="Z107">
        <v>0</v>
      </c>
      <c r="AA107">
        <v>1.221110328836093E-2</v>
      </c>
      <c r="AB107">
        <v>0</v>
      </c>
      <c r="AC107">
        <v>0</v>
      </c>
      <c r="AD107">
        <v>0</v>
      </c>
      <c r="AE107">
        <v>1.5897883863408909E-4</v>
      </c>
      <c r="AF107">
        <v>3.2958036279936218E-8</v>
      </c>
      <c r="AG107">
        <v>0</v>
      </c>
      <c r="AH107">
        <v>0</v>
      </c>
      <c r="AI107">
        <v>1.9943272738203756E-7</v>
      </c>
      <c r="AJ107">
        <v>2.0009851751401362E-3</v>
      </c>
      <c r="AK107">
        <v>3.6680679109087489E-4</v>
      </c>
      <c r="AL107">
        <v>8.5027561826208395E-9</v>
      </c>
      <c r="AM107">
        <v>0</v>
      </c>
      <c r="AN107">
        <v>3.8776055479641628E-8</v>
      </c>
      <c r="AO107">
        <v>6.9694936054583688E-7</v>
      </c>
      <c r="AP107">
        <v>7.2583807524886477E-6</v>
      </c>
      <c r="AQ107">
        <v>5.5948932093739826E-9</v>
      </c>
      <c r="AR107">
        <v>1.2277973310643783E-9</v>
      </c>
      <c r="AS107">
        <v>4.8258466776163948E-4</v>
      </c>
      <c r="AT107">
        <v>0</v>
      </c>
      <c r="AU107">
        <v>0</v>
      </c>
      <c r="AV107">
        <v>0</v>
      </c>
      <c r="AW107">
        <v>0</v>
      </c>
      <c r="AX107">
        <v>3.6914334753730937E-4</v>
      </c>
      <c r="AY107">
        <v>0</v>
      </c>
      <c r="AZ107">
        <v>1.8613501141443955E-5</v>
      </c>
      <c r="BA107">
        <v>1.3398222670906482E-4</v>
      </c>
      <c r="BB107">
        <v>1.9087407253504373E-5</v>
      </c>
      <c r="BC107">
        <v>7.8397719573293463E-5</v>
      </c>
      <c r="BD107">
        <v>0</v>
      </c>
      <c r="BE107">
        <v>2.2421156360213512E-8</v>
      </c>
      <c r="BF107">
        <v>5.9517659304380235E-5</v>
      </c>
      <c r="BG107">
        <v>6.9721542998989419E-6</v>
      </c>
      <c r="BH107">
        <v>0</v>
      </c>
      <c r="BI107">
        <v>1.071337555367601E-4</v>
      </c>
      <c r="BJ107">
        <v>0</v>
      </c>
      <c r="BK107">
        <v>4.3495424214704776E-5</v>
      </c>
      <c r="BL107">
        <v>0</v>
      </c>
      <c r="BM107">
        <v>2.6444814911471041E-4</v>
      </c>
      <c r="BN107">
        <v>0</v>
      </c>
      <c r="BO107">
        <v>2.1142113554294532E-3</v>
      </c>
      <c r="BP107">
        <v>0</v>
      </c>
      <c r="BQ107">
        <v>2.1142113554294532E-3</v>
      </c>
      <c r="BR107">
        <v>1.5192838989982684E-3</v>
      </c>
      <c r="BS107">
        <v>0</v>
      </c>
      <c r="BT107">
        <v>0</v>
      </c>
      <c r="BU107">
        <v>1.5192838989982682E-3</v>
      </c>
      <c r="BV107">
        <v>1.5192838989982684E-3</v>
      </c>
      <c r="BW107">
        <v>1.5192838989982684E-3</v>
      </c>
      <c r="BX107">
        <v>1.5192838989982684E-3</v>
      </c>
      <c r="BY107">
        <v>1.5192838989982686E-3</v>
      </c>
      <c r="BZ107">
        <v>1.5192838989982684E-3</v>
      </c>
      <c r="CA107">
        <v>1.5192838989982686E-3</v>
      </c>
      <c r="CB107">
        <v>0</v>
      </c>
      <c r="CC107">
        <v>1.5192838989982684E-3</v>
      </c>
      <c r="CD107">
        <v>1.5192838989982684E-3</v>
      </c>
      <c r="CE107">
        <v>1.5192838989982686E-3</v>
      </c>
      <c r="CF107">
        <v>1.5192838989982684E-3</v>
      </c>
      <c r="CG107">
        <v>1.5192838989982684E-3</v>
      </c>
      <c r="CH107">
        <v>1.5192838989982686E-3</v>
      </c>
      <c r="CI107">
        <v>1.5192838989982684E-3</v>
      </c>
      <c r="CJ107">
        <v>2.6317450088876864E-4</v>
      </c>
      <c r="CK107">
        <v>5.7157981830380353E-5</v>
      </c>
      <c r="CL107">
        <v>0</v>
      </c>
      <c r="CM107">
        <v>9.1999225503264855E-4</v>
      </c>
      <c r="CN107">
        <v>9.2805127141412755E-4</v>
      </c>
      <c r="CO107">
        <v>4.6508978555967375E-4</v>
      </c>
      <c r="CP107">
        <v>0</v>
      </c>
      <c r="CQ107">
        <v>4.6508978555967375E-4</v>
      </c>
      <c r="CR107">
        <v>0</v>
      </c>
      <c r="CS107">
        <v>4.6508978555967375E-4</v>
      </c>
      <c r="CT107">
        <v>0</v>
      </c>
      <c r="CU107">
        <v>1.4393302715873797E-3</v>
      </c>
      <c r="CV107">
        <v>4.2148409384949558E-4</v>
      </c>
      <c r="CW107">
        <v>0</v>
      </c>
      <c r="CX107">
        <v>4.2985974030414973E-4</v>
      </c>
      <c r="CY107">
        <v>5.2694770588318474E-4</v>
      </c>
      <c r="CZ107">
        <v>2.5861836066799898E-8</v>
      </c>
      <c r="DA107">
        <v>0</v>
      </c>
      <c r="DB107">
        <v>4.7775207477417951E-3</v>
      </c>
      <c r="DC107">
        <v>0.49742752663647394</v>
      </c>
      <c r="DD107">
        <v>0</v>
      </c>
      <c r="DE107">
        <v>3.5983865181402622E-4</v>
      </c>
      <c r="DF107">
        <v>0</v>
      </c>
      <c r="DG107">
        <v>3.6135278315925262E-4</v>
      </c>
      <c r="DH107">
        <v>0</v>
      </c>
      <c r="DI107">
        <v>1.0262130987229019E-9</v>
      </c>
      <c r="DJ107">
        <v>0</v>
      </c>
      <c r="DK107">
        <v>1.3870196504280833E-4</v>
      </c>
      <c r="DL107">
        <v>0</v>
      </c>
      <c r="DM107">
        <v>2.7458490191669332E-4</v>
      </c>
      <c r="DN107">
        <v>0</v>
      </c>
      <c r="DO107">
        <v>4.999665454574348E-2</v>
      </c>
      <c r="DP107">
        <v>0.21022510743571562</v>
      </c>
      <c r="DQ107">
        <v>0.10563954402395208</v>
      </c>
      <c r="DR107">
        <v>2.4438046192543305E-3</v>
      </c>
      <c r="DS107">
        <v>2.7259651747817464E-2</v>
      </c>
      <c r="DT107">
        <v>3.6379521200570518E-3</v>
      </c>
      <c r="DU107">
        <v>1.0440417635884826E-2</v>
      </c>
      <c r="DV107">
        <v>2.5544949570811361E-2</v>
      </c>
      <c r="DW107">
        <v>8.6503592877627666E-3</v>
      </c>
      <c r="DX107">
        <v>2.094948888924919E-2</v>
      </c>
      <c r="DY107">
        <v>8.762664945142905E-9</v>
      </c>
      <c r="DZ107">
        <v>0</v>
      </c>
      <c r="EA107">
        <v>2.4582378766325623E-4</v>
      </c>
      <c r="EB107">
        <v>1.8739909576283181E-4</v>
      </c>
      <c r="EC107">
        <v>2.6132036349476266E-4</v>
      </c>
      <c r="ED107">
        <v>1.5645077036230735E-4</v>
      </c>
      <c r="EE107">
        <v>1.6787844269115041E-4</v>
      </c>
      <c r="EF107">
        <v>4.5012297899395414E-5</v>
      </c>
      <c r="EG107">
        <v>3.1935276921240684E-4</v>
      </c>
      <c r="EH107">
        <v>1.6295611316627086E-4</v>
      </c>
      <c r="EI107">
        <v>0</v>
      </c>
      <c r="EJ107">
        <v>0</v>
      </c>
      <c r="EK107">
        <v>0</v>
      </c>
      <c r="EL107">
        <v>3.0139077028629201E-4</v>
      </c>
      <c r="EM107">
        <v>3.3075133761412752E-4</v>
      </c>
      <c r="EN107">
        <v>3.2954121446912668E-4</v>
      </c>
      <c r="EO107">
        <v>2.051099326099008E-4</v>
      </c>
      <c r="EP107">
        <v>2.0510993260990074E-4</v>
      </c>
      <c r="EQ107">
        <v>2.0510993260990077E-4</v>
      </c>
      <c r="ER107">
        <v>0</v>
      </c>
      <c r="ES107">
        <v>2.051099326099008E-4</v>
      </c>
      <c r="ET107">
        <v>2.0510993260990077E-4</v>
      </c>
      <c r="EU107">
        <v>4.6672471606921717E-4</v>
      </c>
      <c r="EV107">
        <v>4.7701451183745107E-3</v>
      </c>
      <c r="EW107">
        <v>6.7086016516668429E-2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9.7669530792998253E-10</v>
      </c>
      <c r="FH107">
        <v>5.7354848326898378E-7</v>
      </c>
      <c r="FI107">
        <v>2.3080320931948362E-9</v>
      </c>
      <c r="FJ107">
        <v>2.2177651111741653E-9</v>
      </c>
      <c r="FK107">
        <v>0</v>
      </c>
      <c r="FL107">
        <v>0</v>
      </c>
      <c r="FM107">
        <v>0</v>
      </c>
      <c r="FN107">
        <v>0</v>
      </c>
      <c r="FO107">
        <v>1.3762690030408185E-6</v>
      </c>
      <c r="FP107">
        <v>9.4830894451074444E-5</v>
      </c>
      <c r="FQ107">
        <v>1.051480361707189E-8</v>
      </c>
      <c r="FR107">
        <v>2.8688313984330067E-3</v>
      </c>
      <c r="FS107">
        <v>1.1250154001322704E-7</v>
      </c>
      <c r="FT107">
        <v>3.4821176347918789E-5</v>
      </c>
      <c r="FU107">
        <v>0</v>
      </c>
      <c r="FV107">
        <v>6.4422596792213467E-5</v>
      </c>
      <c r="FW107">
        <v>1.2026913842485382E-4</v>
      </c>
      <c r="FX107">
        <v>1.1456316175773331E-4</v>
      </c>
      <c r="FY107">
        <v>1.0146438961191973E-4</v>
      </c>
      <c r="FZ107">
        <v>1.1085410054106818E-4</v>
      </c>
      <c r="GA107">
        <v>1.1364310576157911E-4</v>
      </c>
      <c r="GB107">
        <v>1.1354555844187264E-4</v>
      </c>
      <c r="GC107">
        <v>1.1392674237806005E-4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1.0583487885017005E-4</v>
      </c>
      <c r="GJ107">
        <v>1.1101133611758033E-4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1.0766970881716251E-3</v>
      </c>
      <c r="GT107">
        <v>5.2912970984062221E-7</v>
      </c>
      <c r="GU107">
        <v>0</v>
      </c>
    </row>
    <row r="108" spans="1:203">
      <c r="A108" t="s">
        <v>246</v>
      </c>
      <c r="B108">
        <v>105</v>
      </c>
      <c r="C108" t="s">
        <v>134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</row>
    <row r="109" spans="1:203">
      <c r="A109" t="s">
        <v>247</v>
      </c>
      <c r="B109">
        <v>106</v>
      </c>
      <c r="C109" t="s">
        <v>135</v>
      </c>
      <c r="D109">
        <v>4.2102873667348034E-9</v>
      </c>
      <c r="E109">
        <v>0</v>
      </c>
      <c r="F109">
        <v>2.3902634649959191E-7</v>
      </c>
      <c r="G109">
        <v>1.3211991883576395E-8</v>
      </c>
      <c r="H109">
        <v>1.6067418683407693E-7</v>
      </c>
      <c r="I109">
        <v>0</v>
      </c>
      <c r="J109">
        <v>0</v>
      </c>
      <c r="K109">
        <v>1.7149213336299268E-6</v>
      </c>
      <c r="L109">
        <v>1.1820257071223187E-8</v>
      </c>
      <c r="M109">
        <v>1.079000173449901E-8</v>
      </c>
      <c r="N109">
        <v>1.0477569401352169E-8</v>
      </c>
      <c r="O109">
        <v>0</v>
      </c>
      <c r="P109">
        <v>1.1951396393140565E-7</v>
      </c>
      <c r="Q109">
        <v>3.8715126128045071E-8</v>
      </c>
      <c r="R109">
        <v>0</v>
      </c>
      <c r="S109">
        <v>0</v>
      </c>
      <c r="T109">
        <v>0</v>
      </c>
      <c r="U109">
        <v>0</v>
      </c>
      <c r="V109">
        <v>2.2479095775234161E-5</v>
      </c>
      <c r="W109">
        <v>6.2279204796908062E-8</v>
      </c>
      <c r="X109">
        <v>0</v>
      </c>
      <c r="Y109">
        <v>0</v>
      </c>
      <c r="Z109">
        <v>0</v>
      </c>
      <c r="AA109">
        <v>6.2279204796908062E-8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2.4138287385273177E-8</v>
      </c>
      <c r="AU109">
        <v>1.3344450953908722E-7</v>
      </c>
      <c r="AV109">
        <v>2.3578896207111886E-8</v>
      </c>
      <c r="AW109">
        <v>1.4297029071505185E-5</v>
      </c>
      <c r="AX109">
        <v>0</v>
      </c>
      <c r="AY109">
        <v>8.3639977787484189E-6</v>
      </c>
      <c r="AZ109">
        <v>0</v>
      </c>
      <c r="BA109">
        <v>3.3211741739755246E-7</v>
      </c>
      <c r="BB109">
        <v>1.703408030941823E-9</v>
      </c>
      <c r="BC109">
        <v>8.4887770218610047E-9</v>
      </c>
      <c r="BD109">
        <v>0</v>
      </c>
      <c r="BE109">
        <v>0</v>
      </c>
      <c r="BF109">
        <v>4.3885371831269525E-9</v>
      </c>
      <c r="BG109">
        <v>3.9868730968780988E-7</v>
      </c>
      <c r="BH109">
        <v>0</v>
      </c>
      <c r="BI109">
        <v>3.0238842253776212E-8</v>
      </c>
      <c r="BJ109">
        <v>0</v>
      </c>
      <c r="BK109">
        <v>4.8211825587122331E-7</v>
      </c>
      <c r="BL109">
        <v>0</v>
      </c>
      <c r="BM109">
        <v>5.0556704299964111E-9</v>
      </c>
      <c r="BN109">
        <v>7.200915526674696E-9</v>
      </c>
      <c r="BO109">
        <v>3.111445565632219E-6</v>
      </c>
      <c r="BP109">
        <v>0</v>
      </c>
      <c r="BQ109">
        <v>3.111445565632219E-6</v>
      </c>
      <c r="BR109">
        <v>2.562397452057253E-6</v>
      </c>
      <c r="BS109">
        <v>0</v>
      </c>
      <c r="BT109">
        <v>0</v>
      </c>
      <c r="BU109">
        <v>2.562397452057253E-6</v>
      </c>
      <c r="BV109">
        <v>2.562397452057253E-6</v>
      </c>
      <c r="BW109">
        <v>2.562397452057253E-6</v>
      </c>
      <c r="BX109">
        <v>2.5623974520572534E-6</v>
      </c>
      <c r="BY109">
        <v>2.562397452057253E-6</v>
      </c>
      <c r="BZ109">
        <v>2.562397452057253E-6</v>
      </c>
      <c r="CA109">
        <v>2.5623974520572534E-6</v>
      </c>
      <c r="CB109">
        <v>0</v>
      </c>
      <c r="CC109">
        <v>2.562397452057253E-6</v>
      </c>
      <c r="CD109">
        <v>2.562397452057253E-6</v>
      </c>
      <c r="CE109">
        <v>2.562397452057253E-6</v>
      </c>
      <c r="CF109">
        <v>2.562397452057253E-6</v>
      </c>
      <c r="CG109">
        <v>2.562397452057253E-6</v>
      </c>
      <c r="CH109">
        <v>2.562397452057253E-6</v>
      </c>
      <c r="CI109">
        <v>2.562397452057253E-6</v>
      </c>
      <c r="CJ109">
        <v>0</v>
      </c>
      <c r="CK109">
        <v>1.1257116886816525E-4</v>
      </c>
      <c r="CL109">
        <v>0</v>
      </c>
      <c r="CM109">
        <v>4.9824568554306096E-6</v>
      </c>
      <c r="CN109">
        <v>1.2611646900013335E-7</v>
      </c>
      <c r="CO109">
        <v>2.1803066881648748E-3</v>
      </c>
      <c r="CP109">
        <v>0</v>
      </c>
      <c r="CQ109">
        <v>2.1803066881648744E-3</v>
      </c>
      <c r="CR109">
        <v>0</v>
      </c>
      <c r="CS109">
        <v>2.1803066881648748E-3</v>
      </c>
      <c r="CT109">
        <v>0</v>
      </c>
      <c r="CU109">
        <v>1.497568982226403E-6</v>
      </c>
      <c r="CV109">
        <v>5.861890406088038E-8</v>
      </c>
      <c r="CW109">
        <v>0</v>
      </c>
      <c r="CX109">
        <v>2.7257774168933243E-8</v>
      </c>
      <c r="CY109">
        <v>7.198369473605426E-7</v>
      </c>
      <c r="CZ109">
        <v>4.1036555389952091E-9</v>
      </c>
      <c r="DA109">
        <v>0</v>
      </c>
      <c r="DB109">
        <v>7.1749644933740591E-9</v>
      </c>
      <c r="DC109">
        <v>1.6139230924184229E-6</v>
      </c>
      <c r="DD109">
        <v>0</v>
      </c>
      <c r="DE109">
        <v>0.2475363834616271</v>
      </c>
      <c r="DF109">
        <v>0</v>
      </c>
      <c r="DG109">
        <v>3.4483125078436949E-5</v>
      </c>
      <c r="DH109">
        <v>0</v>
      </c>
      <c r="DI109">
        <v>9.4306076756247179E-10</v>
      </c>
      <c r="DJ109">
        <v>0</v>
      </c>
      <c r="DK109">
        <v>1.0120339906339482E-7</v>
      </c>
      <c r="DL109">
        <v>0</v>
      </c>
      <c r="DM109">
        <v>2.7371883273109251E-5</v>
      </c>
      <c r="DN109">
        <v>0</v>
      </c>
      <c r="DO109">
        <v>9.649738680419391E-2</v>
      </c>
      <c r="DP109">
        <v>1.3578440941389838E-7</v>
      </c>
      <c r="DQ109">
        <v>6.6395326780024461E-6</v>
      </c>
      <c r="DR109">
        <v>2.3909643402993139E-7</v>
      </c>
      <c r="DS109">
        <v>3.2963393797944506E-4</v>
      </c>
      <c r="DT109">
        <v>2.5419720517146266E-9</v>
      </c>
      <c r="DU109">
        <v>1.3299250371522644E-3</v>
      </c>
      <c r="DV109">
        <v>7.7526973104945375E-10</v>
      </c>
      <c r="DW109">
        <v>1.570092997764989E-9</v>
      </c>
      <c r="DX109">
        <v>8.6675235876248228E-9</v>
      </c>
      <c r="DY109">
        <v>4.336378484309535E-9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5.8631234942779721E-9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9.7178049591095246E-10</v>
      </c>
      <c r="FD109">
        <v>0</v>
      </c>
      <c r="FE109">
        <v>0</v>
      </c>
      <c r="FF109">
        <v>0</v>
      </c>
      <c r="FG109">
        <v>8.227203551746365E-10</v>
      </c>
      <c r="FH109">
        <v>3.1325382771737079E-8</v>
      </c>
      <c r="FI109">
        <v>1.5652731952251625E-9</v>
      </c>
      <c r="FJ109">
        <v>1.2390093585653926E-9</v>
      </c>
      <c r="FK109">
        <v>0</v>
      </c>
      <c r="FL109">
        <v>1.0669894328491283E-9</v>
      </c>
      <c r="FM109">
        <v>2.2009532555849433E-9</v>
      </c>
      <c r="FN109">
        <v>3.9745451793749279E-9</v>
      </c>
      <c r="FO109">
        <v>6.1640153756980757E-10</v>
      </c>
      <c r="FP109">
        <v>4.0097097735079369E-7</v>
      </c>
      <c r="FQ109">
        <v>2.3437161513046018E-9</v>
      </c>
      <c r="FR109">
        <v>2.8096936755640862E-6</v>
      </c>
      <c r="FS109">
        <v>7.6388563281999127E-10</v>
      </c>
      <c r="FT109">
        <v>2.2216226244540693E-8</v>
      </c>
      <c r="FU109">
        <v>4.9721278863380171E-7</v>
      </c>
      <c r="FV109">
        <v>5.1154338958941724E-5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2.7553316550261938E-9</v>
      </c>
      <c r="GS109">
        <v>1.4475490147413804E-6</v>
      </c>
      <c r="GT109">
        <v>0</v>
      </c>
      <c r="GU109">
        <v>0</v>
      </c>
    </row>
    <row r="110" spans="1:203">
      <c r="A110" t="s">
        <v>248</v>
      </c>
      <c r="B110">
        <v>107</v>
      </c>
      <c r="C110" t="s">
        <v>135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</row>
    <row r="111" spans="1:203">
      <c r="A111" t="s">
        <v>249</v>
      </c>
      <c r="B111">
        <v>108</v>
      </c>
      <c r="C111" t="s">
        <v>135</v>
      </c>
      <c r="D111">
        <v>6.5339991969150185E-8</v>
      </c>
      <c r="E111">
        <v>0</v>
      </c>
      <c r="F111">
        <v>1.5134239996567916E-6</v>
      </c>
      <c r="G111">
        <v>4.6034785720996682E-5</v>
      </c>
      <c r="H111">
        <v>6.2597775117190268E-6</v>
      </c>
      <c r="I111">
        <v>0</v>
      </c>
      <c r="J111">
        <v>0</v>
      </c>
      <c r="K111">
        <v>1.2217311661450738E-4</v>
      </c>
      <c r="L111">
        <v>1.305458654079312E-7</v>
      </c>
      <c r="M111">
        <v>2.2093838588358992E-7</v>
      </c>
      <c r="N111">
        <v>1.2935578326024448E-7</v>
      </c>
      <c r="O111">
        <v>2.053321339378937E-6</v>
      </c>
      <c r="P111">
        <v>6.2750643875212808E-7</v>
      </c>
      <c r="Q111">
        <v>6.0964263040062796E-7</v>
      </c>
      <c r="R111">
        <v>0</v>
      </c>
      <c r="S111">
        <v>0</v>
      </c>
      <c r="T111">
        <v>0</v>
      </c>
      <c r="U111">
        <v>0</v>
      </c>
      <c r="V111">
        <v>2.2022382589680911E-4</v>
      </c>
      <c r="W111">
        <v>6.8127313874154608E-6</v>
      </c>
      <c r="X111">
        <v>0</v>
      </c>
      <c r="Y111">
        <v>0</v>
      </c>
      <c r="Z111">
        <v>0</v>
      </c>
      <c r="AA111">
        <v>6.8127313874154608E-6</v>
      </c>
      <c r="AB111">
        <v>0</v>
      </c>
      <c r="AC111">
        <v>0</v>
      </c>
      <c r="AD111">
        <v>0</v>
      </c>
      <c r="AE111">
        <v>4.5028089192204209E-7</v>
      </c>
      <c r="AF111">
        <v>2.4600893673556297E-8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4.7496247982392611E-8</v>
      </c>
      <c r="AU111">
        <v>2.2074596068567603E-4</v>
      </c>
      <c r="AV111">
        <v>8.0368137450757577E-5</v>
      </c>
      <c r="AW111">
        <v>2.1148522147594298E-3</v>
      </c>
      <c r="AX111">
        <v>1.5390027444426492E-5</v>
      </c>
      <c r="AY111">
        <v>7.0191987125024996E-5</v>
      </c>
      <c r="AZ111">
        <v>1.2341598866043406E-5</v>
      </c>
      <c r="BA111">
        <v>3.5317921113942795E-6</v>
      </c>
      <c r="BB111">
        <v>6.3684911331976729E-5</v>
      </c>
      <c r="BC111">
        <v>1.9633774405038559E-5</v>
      </c>
      <c r="BD111">
        <v>2.8473890697040409E-7</v>
      </c>
      <c r="BE111">
        <v>0</v>
      </c>
      <c r="BF111">
        <v>6.3632540402803794E-5</v>
      </c>
      <c r="BG111">
        <v>1.1642474823347317E-4</v>
      </c>
      <c r="BH111">
        <v>0</v>
      </c>
      <c r="BI111">
        <v>6.2649962124017549E-6</v>
      </c>
      <c r="BJ111">
        <v>0</v>
      </c>
      <c r="BK111">
        <v>1.6635421871184459E-5</v>
      </c>
      <c r="BL111">
        <v>0</v>
      </c>
      <c r="BM111">
        <v>4.2647678998124482E-4</v>
      </c>
      <c r="BN111">
        <v>5.8015149931646674E-5</v>
      </c>
      <c r="BO111">
        <v>1.2636801778542089E-5</v>
      </c>
      <c r="BP111">
        <v>0</v>
      </c>
      <c r="BQ111">
        <v>1.2636801778542089E-5</v>
      </c>
      <c r="BR111">
        <v>1.585250463858425E-5</v>
      </c>
      <c r="BS111">
        <v>0</v>
      </c>
      <c r="BT111">
        <v>0</v>
      </c>
      <c r="BU111">
        <v>1.585250463858425E-5</v>
      </c>
      <c r="BV111">
        <v>1.585250463858425E-5</v>
      </c>
      <c r="BW111">
        <v>1.5852504638584253E-5</v>
      </c>
      <c r="BX111">
        <v>1.585250463858425E-5</v>
      </c>
      <c r="BY111">
        <v>1.5852504638584253E-5</v>
      </c>
      <c r="BZ111">
        <v>1.585250463858425E-5</v>
      </c>
      <c r="CA111">
        <v>1.5852504638584253E-5</v>
      </c>
      <c r="CB111">
        <v>0</v>
      </c>
      <c r="CC111">
        <v>1.585250463858425E-5</v>
      </c>
      <c r="CD111">
        <v>1.585250463858425E-5</v>
      </c>
      <c r="CE111">
        <v>1.5852504638584253E-5</v>
      </c>
      <c r="CF111">
        <v>1.585250463858425E-5</v>
      </c>
      <c r="CG111">
        <v>1.5852504638584253E-5</v>
      </c>
      <c r="CH111">
        <v>1.585250463858425E-5</v>
      </c>
      <c r="CI111">
        <v>1.585250463858425E-5</v>
      </c>
      <c r="CJ111">
        <v>0</v>
      </c>
      <c r="CK111">
        <v>4.4833554190389118E-5</v>
      </c>
      <c r="CL111">
        <v>0</v>
      </c>
      <c r="CM111">
        <v>3.8180102936316545E-5</v>
      </c>
      <c r="CN111">
        <v>3.693428898554461E-5</v>
      </c>
      <c r="CO111">
        <v>1.1934397806367628E-3</v>
      </c>
      <c r="CP111">
        <v>0</v>
      </c>
      <c r="CQ111">
        <v>1.193439780636763E-3</v>
      </c>
      <c r="CR111">
        <v>0</v>
      </c>
      <c r="CS111">
        <v>1.193439780636763E-3</v>
      </c>
      <c r="CT111">
        <v>0</v>
      </c>
      <c r="CU111">
        <v>2.1014338804847487E-3</v>
      </c>
      <c r="CV111">
        <v>8.575994403306849E-4</v>
      </c>
      <c r="CW111">
        <v>0</v>
      </c>
      <c r="CX111">
        <v>2.8899569727915158E-4</v>
      </c>
      <c r="CY111">
        <v>1.8952611641469215E-4</v>
      </c>
      <c r="CZ111">
        <v>2.5508461833023817E-8</v>
      </c>
      <c r="DA111">
        <v>0</v>
      </c>
      <c r="DB111">
        <v>8.5626853831822366E-5</v>
      </c>
      <c r="DC111">
        <v>7.939312629046039E-4</v>
      </c>
      <c r="DD111">
        <v>0</v>
      </c>
      <c r="DE111">
        <v>5.75919182201464E-5</v>
      </c>
      <c r="DF111">
        <v>0</v>
      </c>
      <c r="DG111">
        <v>3.9982469471269953E-2</v>
      </c>
      <c r="DH111">
        <v>0</v>
      </c>
      <c r="DI111">
        <v>1.0258697170505042E-9</v>
      </c>
      <c r="DJ111">
        <v>0</v>
      </c>
      <c r="DK111">
        <v>2.9758993232937349E-5</v>
      </c>
      <c r="DL111">
        <v>0</v>
      </c>
      <c r="DM111">
        <v>5.5008646287102922E-5</v>
      </c>
      <c r="DN111">
        <v>0</v>
      </c>
      <c r="DO111">
        <v>2.168893550774053E-2</v>
      </c>
      <c r="DP111">
        <v>1.8549461988601804E-2</v>
      </c>
      <c r="DQ111">
        <v>8.6747864097916644E-3</v>
      </c>
      <c r="DR111">
        <v>1.0128227560457603E-3</v>
      </c>
      <c r="DS111">
        <v>6.6831301046826755E-3</v>
      </c>
      <c r="DT111">
        <v>9.3983280654231995E-4</v>
      </c>
      <c r="DU111">
        <v>7.6111383291957496E-3</v>
      </c>
      <c r="DV111">
        <v>1.8753327272528521E-3</v>
      </c>
      <c r="DW111">
        <v>6.3281618125235871E-5</v>
      </c>
      <c r="DX111">
        <v>2.3905345560875399E-3</v>
      </c>
      <c r="DY111">
        <v>8.1857528564162889E-9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2.6341508693132393E-4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1.5414929054637521E-5</v>
      </c>
      <c r="FD111">
        <v>0</v>
      </c>
      <c r="FE111">
        <v>0</v>
      </c>
      <c r="FF111">
        <v>0</v>
      </c>
      <c r="FG111">
        <v>9.7122332287237225E-10</v>
      </c>
      <c r="FH111">
        <v>1.6128412964134618E-7</v>
      </c>
      <c r="FI111">
        <v>2.3026721119593365E-9</v>
      </c>
      <c r="FJ111">
        <v>2.1419921238522181E-9</v>
      </c>
      <c r="FK111">
        <v>0</v>
      </c>
      <c r="FL111">
        <v>2.7290626395110684E-8</v>
      </c>
      <c r="FM111">
        <v>3.0239453324722368E-8</v>
      </c>
      <c r="FN111">
        <v>1.0019406714521325E-7</v>
      </c>
      <c r="FO111">
        <v>5.3863492680777588E-10</v>
      </c>
      <c r="FP111">
        <v>1.1784258542936517E-5</v>
      </c>
      <c r="FQ111">
        <v>1.0218153737449555E-8</v>
      </c>
      <c r="FR111">
        <v>2.3703824946405376E-4</v>
      </c>
      <c r="FS111">
        <v>2.2236413771360186E-8</v>
      </c>
      <c r="FT111">
        <v>1.295512324956081E-7</v>
      </c>
      <c r="FU111">
        <v>3.0987550222465886E-6</v>
      </c>
      <c r="FV111">
        <v>2.8949014672879382E-4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1.4058833902674109E-6</v>
      </c>
      <c r="GS111">
        <v>1.9729468194553673E-5</v>
      </c>
      <c r="GT111">
        <v>0</v>
      </c>
      <c r="GU111">
        <v>0</v>
      </c>
    </row>
    <row r="112" spans="1:203">
      <c r="A112" t="s">
        <v>250</v>
      </c>
      <c r="B112">
        <v>109</v>
      </c>
      <c r="C112" t="s">
        <v>135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</row>
    <row r="113" spans="1:203">
      <c r="A113" t="s">
        <v>251</v>
      </c>
      <c r="B113">
        <v>110</v>
      </c>
      <c r="C113" t="s">
        <v>135</v>
      </c>
      <c r="D113">
        <v>9.6870119525466377E-7</v>
      </c>
      <c r="E113">
        <v>0</v>
      </c>
      <c r="F113">
        <v>0</v>
      </c>
      <c r="G113">
        <v>1.8418071452303227E-6</v>
      </c>
      <c r="H113">
        <v>0</v>
      </c>
      <c r="I113">
        <v>0</v>
      </c>
      <c r="J113">
        <v>0</v>
      </c>
      <c r="K113">
        <v>1.7449774704342464E-5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8.6003143536511178E-5</v>
      </c>
      <c r="W113">
        <v>1.0507833941422294E-5</v>
      </c>
      <c r="X113">
        <v>0</v>
      </c>
      <c r="Y113">
        <v>0</v>
      </c>
      <c r="Z113">
        <v>0</v>
      </c>
      <c r="AA113">
        <v>1.0507833941422294E-5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3.5797992954493625E-6</v>
      </c>
      <c r="AV113">
        <v>2.6077670239816987E-6</v>
      </c>
      <c r="AW113">
        <v>2.8627407493845828E-5</v>
      </c>
      <c r="AX113">
        <v>0</v>
      </c>
      <c r="AY113">
        <v>2.5590731295011533E-5</v>
      </c>
      <c r="AZ113">
        <v>0</v>
      </c>
      <c r="BA113">
        <v>0</v>
      </c>
      <c r="BB113">
        <v>4.1532051299813981E-7</v>
      </c>
      <c r="BC113">
        <v>1.1277693489505368E-5</v>
      </c>
      <c r="BD113">
        <v>0</v>
      </c>
      <c r="BE113">
        <v>0</v>
      </c>
      <c r="BF113">
        <v>4.1649413342716852E-5</v>
      </c>
      <c r="BG113">
        <v>2.7574215758298463E-6</v>
      </c>
      <c r="BH113">
        <v>0</v>
      </c>
      <c r="BI113">
        <v>2.9867429375777255E-6</v>
      </c>
      <c r="BJ113">
        <v>0</v>
      </c>
      <c r="BK113">
        <v>5.3856859101668074E-5</v>
      </c>
      <c r="BL113">
        <v>0</v>
      </c>
      <c r="BM113">
        <v>1.4310952397269316E-4</v>
      </c>
      <c r="BN113">
        <v>9.9834397533002793E-5</v>
      </c>
      <c r="BO113">
        <v>0</v>
      </c>
      <c r="BP113">
        <v>0</v>
      </c>
      <c r="BQ113">
        <v>0</v>
      </c>
      <c r="BR113">
        <v>4.9996386365704406E-6</v>
      </c>
      <c r="BS113">
        <v>0</v>
      </c>
      <c r="BT113">
        <v>0</v>
      </c>
      <c r="BU113">
        <v>4.9996386365704398E-6</v>
      </c>
      <c r="BV113">
        <v>4.9996386365704398E-6</v>
      </c>
      <c r="BW113">
        <v>4.9996386365704406E-6</v>
      </c>
      <c r="BX113">
        <v>4.9996386365704398E-6</v>
      </c>
      <c r="BY113">
        <v>4.9996386365704406E-6</v>
      </c>
      <c r="BZ113">
        <v>4.9996386365704398E-6</v>
      </c>
      <c r="CA113">
        <v>4.9996386365704406E-6</v>
      </c>
      <c r="CB113">
        <v>0</v>
      </c>
      <c r="CC113">
        <v>4.9996386365704398E-6</v>
      </c>
      <c r="CD113">
        <v>4.9996386365704398E-6</v>
      </c>
      <c r="CE113">
        <v>4.9996386365704398E-6</v>
      </c>
      <c r="CF113">
        <v>4.9996386365704398E-6</v>
      </c>
      <c r="CG113">
        <v>4.9996386365704398E-6</v>
      </c>
      <c r="CH113">
        <v>4.9996386365704406E-6</v>
      </c>
      <c r="CI113">
        <v>4.9996386365704398E-6</v>
      </c>
      <c r="CJ113">
        <v>0</v>
      </c>
      <c r="CK113">
        <v>1.3143116950169694E-4</v>
      </c>
      <c r="CL113">
        <v>0</v>
      </c>
      <c r="CM113">
        <v>0</v>
      </c>
      <c r="CN113">
        <v>1.9412662815499148E-5</v>
      </c>
      <c r="CO113">
        <v>4.0009895880969912E-3</v>
      </c>
      <c r="CP113">
        <v>0</v>
      </c>
      <c r="CQ113">
        <v>4.0009895880969912E-3</v>
      </c>
      <c r="CR113">
        <v>0</v>
      </c>
      <c r="CS113">
        <v>4.000989588096992E-3</v>
      </c>
      <c r="CT113">
        <v>0</v>
      </c>
      <c r="CU113">
        <v>1.7722343462137766E-4</v>
      </c>
      <c r="CV113">
        <v>2.6136867943164725E-6</v>
      </c>
      <c r="CW113">
        <v>0</v>
      </c>
      <c r="CX113">
        <v>3.1027207630163977E-3</v>
      </c>
      <c r="CY113">
        <v>0</v>
      </c>
      <c r="CZ113">
        <v>7.2162476001184208E-7</v>
      </c>
      <c r="DA113">
        <v>0</v>
      </c>
      <c r="DB113">
        <v>2.5648893533953751E-4</v>
      </c>
      <c r="DC113">
        <v>2.1436704874580798E-3</v>
      </c>
      <c r="DD113">
        <v>0</v>
      </c>
      <c r="DE113">
        <v>5.4011245417915463E-5</v>
      </c>
      <c r="DF113">
        <v>0</v>
      </c>
      <c r="DG113">
        <v>9.5817621787195104E-5</v>
      </c>
      <c r="DH113">
        <v>0</v>
      </c>
      <c r="DI113">
        <v>0.26578258030215057</v>
      </c>
      <c r="DJ113">
        <v>0</v>
      </c>
      <c r="DK113">
        <v>4.9796134449793972E-5</v>
      </c>
      <c r="DL113">
        <v>0</v>
      </c>
      <c r="DM113">
        <v>5.9791730431496074E-5</v>
      </c>
      <c r="DN113">
        <v>0</v>
      </c>
      <c r="DO113">
        <v>1.500339573440739E-2</v>
      </c>
      <c r="DP113">
        <v>8.1077697507893332E-4</v>
      </c>
      <c r="DQ113">
        <v>1.2270028975489819E-4</v>
      </c>
      <c r="DR113">
        <v>3.9185413019926807E-6</v>
      </c>
      <c r="DS113">
        <v>1.9305567966368927E-3</v>
      </c>
      <c r="DT113">
        <v>9.1089526369151957E-4</v>
      </c>
      <c r="DU113">
        <v>3.8551209723072282E-6</v>
      </c>
      <c r="DV113">
        <v>3.3879753571118467E-4</v>
      </c>
      <c r="DW113">
        <v>1.9919646833070826E-5</v>
      </c>
      <c r="DX113">
        <v>3.9553596878436452E-7</v>
      </c>
      <c r="DY113">
        <v>1.9152816180221352E-6</v>
      </c>
      <c r="DZ113">
        <v>0</v>
      </c>
      <c r="EA113">
        <v>0</v>
      </c>
      <c r="EB113">
        <v>0</v>
      </c>
      <c r="EC113">
        <v>7.3654594191894347E-4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4.816870307414246E-3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1.5736897338525262E-5</v>
      </c>
      <c r="FD113">
        <v>0</v>
      </c>
      <c r="FE113">
        <v>0</v>
      </c>
      <c r="FF113">
        <v>0</v>
      </c>
      <c r="FG113">
        <v>4.4316860234192822E-7</v>
      </c>
      <c r="FH113">
        <v>0</v>
      </c>
      <c r="FI113">
        <v>4.3149771458931855E-5</v>
      </c>
      <c r="FJ113">
        <v>0</v>
      </c>
      <c r="FK113">
        <v>0</v>
      </c>
      <c r="FL113">
        <v>1.3659734947371822E-7</v>
      </c>
      <c r="FM113">
        <v>0</v>
      </c>
      <c r="FN113">
        <v>4.6397258302036462E-7</v>
      </c>
      <c r="FO113">
        <v>1.5008124467634879E-5</v>
      </c>
      <c r="FP113">
        <v>5.0759315251780454E-6</v>
      </c>
      <c r="FQ113">
        <v>1.9283282758224525E-6</v>
      </c>
      <c r="FR113">
        <v>1.1290586594505189E-4</v>
      </c>
      <c r="FS113">
        <v>0</v>
      </c>
      <c r="FT113">
        <v>6.8485457605373691E-7</v>
      </c>
      <c r="FU113">
        <v>9.1661845491717835E-6</v>
      </c>
      <c r="FV113">
        <v>8.1471876394677634E-5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1.1130137806793772E-6</v>
      </c>
      <c r="GS113">
        <v>3.1671583389856838E-5</v>
      </c>
      <c r="GT113">
        <v>0</v>
      </c>
      <c r="GU113">
        <v>0</v>
      </c>
    </row>
    <row r="114" spans="1:203">
      <c r="A114" t="s">
        <v>252</v>
      </c>
      <c r="B114">
        <v>111</v>
      </c>
      <c r="C114" t="s">
        <v>135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</row>
    <row r="115" spans="1:203">
      <c r="A115" t="s">
        <v>253</v>
      </c>
      <c r="B115">
        <v>112</v>
      </c>
      <c r="C115" t="s">
        <v>135</v>
      </c>
      <c r="D115">
        <v>1.1961869174577304E-6</v>
      </c>
      <c r="E115">
        <v>0</v>
      </c>
      <c r="F115">
        <v>2.3852846469500947E-6</v>
      </c>
      <c r="G115">
        <v>4.5584829528747509E-6</v>
      </c>
      <c r="H115">
        <v>2.9571430181301335E-6</v>
      </c>
      <c r="I115">
        <v>0</v>
      </c>
      <c r="J115">
        <v>0</v>
      </c>
      <c r="K115">
        <v>8.0473430210430201E-6</v>
      </c>
      <c r="L115">
        <v>2.8924862673847399E-7</v>
      </c>
      <c r="M115">
        <v>2.5688833266618326E-7</v>
      </c>
      <c r="N115">
        <v>2.0881331515372063E-7</v>
      </c>
      <c r="O115">
        <v>0</v>
      </c>
      <c r="P115">
        <v>9.4791769274703412E-7</v>
      </c>
      <c r="Q115">
        <v>4.4927189381972485E-7</v>
      </c>
      <c r="R115">
        <v>0</v>
      </c>
      <c r="S115">
        <v>0</v>
      </c>
      <c r="T115">
        <v>0</v>
      </c>
      <c r="U115">
        <v>0</v>
      </c>
      <c r="V115">
        <v>2.6113630646236382E-4</v>
      </c>
      <c r="W115">
        <v>4.5569821395222588E-6</v>
      </c>
      <c r="X115">
        <v>0</v>
      </c>
      <c r="Y115">
        <v>0</v>
      </c>
      <c r="Z115">
        <v>0</v>
      </c>
      <c r="AA115">
        <v>4.5569821395222588E-6</v>
      </c>
      <c r="AB115">
        <v>0</v>
      </c>
      <c r="AC115">
        <v>0</v>
      </c>
      <c r="AD115">
        <v>0</v>
      </c>
      <c r="AE115">
        <v>0</v>
      </c>
      <c r="AF115">
        <v>2.5874403742701338E-8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8.1319712307150747E-8</v>
      </c>
      <c r="AU115">
        <v>1.140466862928552E-5</v>
      </c>
      <c r="AV115">
        <v>5.4455205416887738E-6</v>
      </c>
      <c r="AW115">
        <v>6.8272615166633087E-5</v>
      </c>
      <c r="AX115">
        <v>3.1885237352065992E-6</v>
      </c>
      <c r="AY115">
        <v>8.1890318905033325E-5</v>
      </c>
      <c r="AZ115">
        <v>0</v>
      </c>
      <c r="BA115">
        <v>4.5996770316369624E-6</v>
      </c>
      <c r="BB115">
        <v>8.0168822229259126E-7</v>
      </c>
      <c r="BC115">
        <v>1.710479976164713E-5</v>
      </c>
      <c r="BD115">
        <v>0</v>
      </c>
      <c r="BE115">
        <v>0</v>
      </c>
      <c r="BF115">
        <v>8.914699357121722E-5</v>
      </c>
      <c r="BG115">
        <v>1.0597613173288322E-5</v>
      </c>
      <c r="BH115">
        <v>0</v>
      </c>
      <c r="BI115">
        <v>8.7980521712464602E-6</v>
      </c>
      <c r="BJ115">
        <v>0</v>
      </c>
      <c r="BK115">
        <v>6.7271589041424917E-5</v>
      </c>
      <c r="BL115">
        <v>0</v>
      </c>
      <c r="BM115">
        <v>6.9020424387097255E-5</v>
      </c>
      <c r="BN115">
        <v>3.2449878562796719E-5</v>
      </c>
      <c r="BO115">
        <v>1.2857641159178811E-5</v>
      </c>
      <c r="BP115">
        <v>0</v>
      </c>
      <c r="BQ115">
        <v>1.2857641159178811E-5</v>
      </c>
      <c r="BR115">
        <v>1.7813174358838948E-5</v>
      </c>
      <c r="BS115">
        <v>0</v>
      </c>
      <c r="BT115">
        <v>0</v>
      </c>
      <c r="BU115">
        <v>1.7813174358838945E-5</v>
      </c>
      <c r="BV115">
        <v>1.7813174358838948E-5</v>
      </c>
      <c r="BW115">
        <v>1.7813174358838948E-5</v>
      </c>
      <c r="BX115">
        <v>1.7813174358838948E-5</v>
      </c>
      <c r="BY115">
        <v>1.7813174358838948E-5</v>
      </c>
      <c r="BZ115">
        <v>1.7813174358838948E-5</v>
      </c>
      <c r="CA115">
        <v>1.7813174358838948E-5</v>
      </c>
      <c r="CB115">
        <v>0</v>
      </c>
      <c r="CC115">
        <v>1.7813174358838948E-5</v>
      </c>
      <c r="CD115">
        <v>1.7813174358838945E-5</v>
      </c>
      <c r="CE115">
        <v>1.7813174358838948E-5</v>
      </c>
      <c r="CF115">
        <v>1.7813174358838948E-5</v>
      </c>
      <c r="CG115">
        <v>1.7813174358838948E-5</v>
      </c>
      <c r="CH115">
        <v>1.7813174358838948E-5</v>
      </c>
      <c r="CI115">
        <v>1.7813174358838948E-5</v>
      </c>
      <c r="CJ115">
        <v>0</v>
      </c>
      <c r="CK115">
        <v>1.062169347016478E-4</v>
      </c>
      <c r="CL115">
        <v>0</v>
      </c>
      <c r="CM115">
        <v>4.8153250817061034E-5</v>
      </c>
      <c r="CN115">
        <v>4.8349150227546732E-5</v>
      </c>
      <c r="CO115">
        <v>2.7287172574615927E-3</v>
      </c>
      <c r="CP115">
        <v>0</v>
      </c>
      <c r="CQ115">
        <v>2.7287172574615927E-3</v>
      </c>
      <c r="CR115">
        <v>0</v>
      </c>
      <c r="CS115">
        <v>2.7287172574615931E-3</v>
      </c>
      <c r="CT115">
        <v>0</v>
      </c>
      <c r="CU115">
        <v>1.2293221379835887E-4</v>
      </c>
      <c r="CV115">
        <v>6.1525462564600253E-6</v>
      </c>
      <c r="CW115">
        <v>0</v>
      </c>
      <c r="CX115">
        <v>8.9271644627660099E-6</v>
      </c>
      <c r="CY115">
        <v>0</v>
      </c>
      <c r="CZ115">
        <v>3.2435798369700289E-7</v>
      </c>
      <c r="DA115">
        <v>0</v>
      </c>
      <c r="DB115">
        <v>1.2589595121778611E-5</v>
      </c>
      <c r="DC115">
        <v>1.043174178165478E-3</v>
      </c>
      <c r="DD115">
        <v>0</v>
      </c>
      <c r="DE115">
        <v>1.9184658561295433E-4</v>
      </c>
      <c r="DF115">
        <v>0</v>
      </c>
      <c r="DG115">
        <v>2.6569449251024344E-4</v>
      </c>
      <c r="DH115">
        <v>0</v>
      </c>
      <c r="DI115">
        <v>1.0683314931630613E-9</v>
      </c>
      <c r="DJ115">
        <v>0</v>
      </c>
      <c r="DK115">
        <v>0.35992994284925589</v>
      </c>
      <c r="DL115">
        <v>0</v>
      </c>
      <c r="DM115">
        <v>1.8741602329153258E-4</v>
      </c>
      <c r="DN115">
        <v>0</v>
      </c>
      <c r="DO115">
        <v>7.760724056558828E-3</v>
      </c>
      <c r="DP115">
        <v>1.5401822672793023E-2</v>
      </c>
      <c r="DQ115">
        <v>4.1261086560302265E-3</v>
      </c>
      <c r="DR115">
        <v>1.1162948471540861E-5</v>
      </c>
      <c r="DS115">
        <v>4.2428273548531625E-2</v>
      </c>
      <c r="DT115">
        <v>4.7757320991320866E-3</v>
      </c>
      <c r="DU115">
        <v>1.0079878851773531E-2</v>
      </c>
      <c r="DV115">
        <v>1.5586095431906926E-4</v>
      </c>
      <c r="DW115">
        <v>3.9790522902766407E-4</v>
      </c>
      <c r="DX115">
        <v>1.271801628419973E-4</v>
      </c>
      <c r="DY115">
        <v>1.3261519414474422E-8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6.9358133460560576E-7</v>
      </c>
      <c r="EV115">
        <v>0</v>
      </c>
      <c r="EW115">
        <v>2.3200490432030828E-3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2.6576656546701887E-5</v>
      </c>
      <c r="FD115">
        <v>0</v>
      </c>
      <c r="FE115">
        <v>0</v>
      </c>
      <c r="FF115">
        <v>0</v>
      </c>
      <c r="FG115">
        <v>1.0509692540416602E-9</v>
      </c>
      <c r="FH115">
        <v>5.6123030855204722E-7</v>
      </c>
      <c r="FI115">
        <v>2.9256162050829154E-9</v>
      </c>
      <c r="FJ115">
        <v>3.2870811111480253E-9</v>
      </c>
      <c r="FK115">
        <v>0</v>
      </c>
      <c r="FL115">
        <v>8.7854046297009689E-8</v>
      </c>
      <c r="FM115">
        <v>6.4812347551854776E-8</v>
      </c>
      <c r="FN115">
        <v>2.5386710618355714E-7</v>
      </c>
      <c r="FO115">
        <v>2.7174164536606174E-6</v>
      </c>
      <c r="FP115">
        <v>1.478349976963465E-5</v>
      </c>
      <c r="FQ115">
        <v>7.2731802410813006E-7</v>
      </c>
      <c r="FR115">
        <v>3.0037664640099798E-4</v>
      </c>
      <c r="FS115">
        <v>1.5151422077601248E-8</v>
      </c>
      <c r="FT115">
        <v>5.2453581145667835E-7</v>
      </c>
      <c r="FU115">
        <v>8.6764971818512339E-6</v>
      </c>
      <c r="FV115">
        <v>3.1829856219872817E-4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2.2160940054978356E-6</v>
      </c>
      <c r="GS115">
        <v>7.3184657198227976E-5</v>
      </c>
      <c r="GT115">
        <v>0</v>
      </c>
      <c r="GU115">
        <v>0</v>
      </c>
    </row>
    <row r="116" spans="1:203">
      <c r="A116" t="s">
        <v>254</v>
      </c>
      <c r="B116">
        <v>113</v>
      </c>
      <c r="C116" t="s">
        <v>135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</row>
    <row r="117" spans="1:203">
      <c r="A117" t="s">
        <v>255</v>
      </c>
      <c r="B117">
        <v>114</v>
      </c>
      <c r="C117" t="s">
        <v>135</v>
      </c>
      <c r="D117">
        <v>1.9890664647368642E-8</v>
      </c>
      <c r="E117">
        <v>0</v>
      </c>
      <c r="F117">
        <v>4.9738124964409831E-7</v>
      </c>
      <c r="G117">
        <v>5.58586237422741E-7</v>
      </c>
      <c r="H117">
        <v>3.2613330851847877E-7</v>
      </c>
      <c r="I117">
        <v>0</v>
      </c>
      <c r="J117">
        <v>0</v>
      </c>
      <c r="K117">
        <v>2.17768283445629E-6</v>
      </c>
      <c r="L117">
        <v>3.3311266134108197E-8</v>
      </c>
      <c r="M117">
        <v>2.3963197248378754E-8</v>
      </c>
      <c r="N117">
        <v>1.8236424408329565E-8</v>
      </c>
      <c r="O117">
        <v>0</v>
      </c>
      <c r="P117">
        <v>0</v>
      </c>
      <c r="Q117">
        <v>1.1919039470777346E-7</v>
      </c>
      <c r="R117">
        <v>0</v>
      </c>
      <c r="S117">
        <v>0</v>
      </c>
      <c r="T117">
        <v>0</v>
      </c>
      <c r="U117">
        <v>0</v>
      </c>
      <c r="V117">
        <v>4.4369976803994259E-5</v>
      </c>
      <c r="W117">
        <v>4.360618343469711E-7</v>
      </c>
      <c r="X117">
        <v>0</v>
      </c>
      <c r="Y117">
        <v>0</v>
      </c>
      <c r="Z117">
        <v>0</v>
      </c>
      <c r="AA117">
        <v>4.360618343469711E-7</v>
      </c>
      <c r="AB117">
        <v>0</v>
      </c>
      <c r="AC117">
        <v>0</v>
      </c>
      <c r="AD117">
        <v>0</v>
      </c>
      <c r="AE117">
        <v>0</v>
      </c>
      <c r="AF117">
        <v>2.3406666296684055E-8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4.0931744738183791E-8</v>
      </c>
      <c r="AU117">
        <v>1.6918616031857404E-6</v>
      </c>
      <c r="AV117">
        <v>3.691367851034147E-7</v>
      </c>
      <c r="AW117">
        <v>1.3567920850154928E-5</v>
      </c>
      <c r="AX117">
        <v>0</v>
      </c>
      <c r="AY117">
        <v>1.4228612215911831E-5</v>
      </c>
      <c r="AZ117">
        <v>0</v>
      </c>
      <c r="BA117">
        <v>6.7297194635631546E-7</v>
      </c>
      <c r="BB117">
        <v>6.0980338074209115E-8</v>
      </c>
      <c r="BC117">
        <v>1.112042965435546E-6</v>
      </c>
      <c r="BD117">
        <v>0</v>
      </c>
      <c r="BE117">
        <v>0</v>
      </c>
      <c r="BF117">
        <v>1.2958905167281483E-5</v>
      </c>
      <c r="BG117">
        <v>1.8330621026561484E-6</v>
      </c>
      <c r="BH117">
        <v>0</v>
      </c>
      <c r="BI117">
        <v>1.1742011827893051E-6</v>
      </c>
      <c r="BJ117">
        <v>0</v>
      </c>
      <c r="BK117">
        <v>6.4030914729510309E-6</v>
      </c>
      <c r="BL117">
        <v>0</v>
      </c>
      <c r="BM117">
        <v>6.0271651401379984E-6</v>
      </c>
      <c r="BN117">
        <v>1.6917322648948904E-7</v>
      </c>
      <c r="BO117">
        <v>2.6457321791022931E-6</v>
      </c>
      <c r="BP117">
        <v>0</v>
      </c>
      <c r="BQ117">
        <v>2.6457321791022927E-6</v>
      </c>
      <c r="BR117">
        <v>3.2781550587268691E-6</v>
      </c>
      <c r="BS117">
        <v>0</v>
      </c>
      <c r="BT117">
        <v>0</v>
      </c>
      <c r="BU117">
        <v>3.2781550587268691E-6</v>
      </c>
      <c r="BV117">
        <v>3.2781550587268691E-6</v>
      </c>
      <c r="BW117">
        <v>3.2781550587268695E-6</v>
      </c>
      <c r="BX117">
        <v>3.2781550587268687E-6</v>
      </c>
      <c r="BY117">
        <v>3.2781550587268691E-6</v>
      </c>
      <c r="BZ117">
        <v>3.2781550587268687E-6</v>
      </c>
      <c r="CA117">
        <v>3.2781550587268691E-6</v>
      </c>
      <c r="CB117">
        <v>0</v>
      </c>
      <c r="CC117">
        <v>3.2781550587268687E-6</v>
      </c>
      <c r="CD117">
        <v>3.2781550587268687E-6</v>
      </c>
      <c r="CE117">
        <v>3.2781550587268691E-6</v>
      </c>
      <c r="CF117">
        <v>3.2781550587268691E-6</v>
      </c>
      <c r="CG117">
        <v>3.2781550587268691E-6</v>
      </c>
      <c r="CH117">
        <v>3.2781550587268691E-6</v>
      </c>
      <c r="CI117">
        <v>3.2781550587268691E-6</v>
      </c>
      <c r="CJ117">
        <v>0</v>
      </c>
      <c r="CK117">
        <v>6.1848067566338708E-7</v>
      </c>
      <c r="CL117">
        <v>0</v>
      </c>
      <c r="CM117">
        <v>1.6337706174772669E-5</v>
      </c>
      <c r="CN117">
        <v>7.4478034383762038E-6</v>
      </c>
      <c r="CO117">
        <v>1.4646627109861915E-5</v>
      </c>
      <c r="CP117">
        <v>0</v>
      </c>
      <c r="CQ117">
        <v>1.4646627109861915E-5</v>
      </c>
      <c r="CR117">
        <v>0</v>
      </c>
      <c r="CS117">
        <v>1.4646627109861915E-5</v>
      </c>
      <c r="CT117">
        <v>0</v>
      </c>
      <c r="CU117">
        <v>1.5053138718550694E-5</v>
      </c>
      <c r="CV117">
        <v>0</v>
      </c>
      <c r="CW117">
        <v>0</v>
      </c>
      <c r="CX117">
        <v>5.4934984695519154E-5</v>
      </c>
      <c r="CY117">
        <v>3.9387096871925867E-5</v>
      </c>
      <c r="CZ117">
        <v>1.2839146690877093E-8</v>
      </c>
      <c r="DA117">
        <v>0</v>
      </c>
      <c r="DB117">
        <v>6.096692854231955E-5</v>
      </c>
      <c r="DC117">
        <v>1.2269845710152654E-3</v>
      </c>
      <c r="DD117">
        <v>0</v>
      </c>
      <c r="DE117">
        <v>6.717539529818544E-5</v>
      </c>
      <c r="DF117">
        <v>0</v>
      </c>
      <c r="DG117">
        <v>8.5322740382496737E-3</v>
      </c>
      <c r="DH117">
        <v>0</v>
      </c>
      <c r="DI117">
        <v>1.0105249232073291E-9</v>
      </c>
      <c r="DJ117">
        <v>0</v>
      </c>
      <c r="DK117">
        <v>3.2284785372948652E-3</v>
      </c>
      <c r="DL117">
        <v>0</v>
      </c>
      <c r="DM117">
        <v>1.461261402368925E-2</v>
      </c>
      <c r="DN117">
        <v>0</v>
      </c>
      <c r="DO117">
        <v>3.1691718825732742E-3</v>
      </c>
      <c r="DP117">
        <v>6.9890317657556201E-3</v>
      </c>
      <c r="DQ117">
        <v>6.8990785297267157E-4</v>
      </c>
      <c r="DR117">
        <v>2.5210304072895623E-4</v>
      </c>
      <c r="DS117">
        <v>2.8239685232435714E-3</v>
      </c>
      <c r="DT117">
        <v>0</v>
      </c>
      <c r="DU117">
        <v>1.4635701366961481E-3</v>
      </c>
      <c r="DV117">
        <v>2.7851122419914981E-4</v>
      </c>
      <c r="DW117">
        <v>1.1025283067092421E-8</v>
      </c>
      <c r="DX117">
        <v>1.5415262009665647E-3</v>
      </c>
      <c r="DY117">
        <v>6.9570047382662186E-9</v>
      </c>
      <c r="DZ117">
        <v>0</v>
      </c>
      <c r="EA117">
        <v>1.7301005609961321E-4</v>
      </c>
      <c r="EB117">
        <v>1.1930978999309091E-4</v>
      </c>
      <c r="EC117">
        <v>1.2036674965230771E-3</v>
      </c>
      <c r="ED117">
        <v>1.757841697714773E-4</v>
      </c>
      <c r="EE117">
        <v>1.8289046810299176E-4</v>
      </c>
      <c r="EF117">
        <v>3.4371118138272162E-5</v>
      </c>
      <c r="EG117">
        <v>2.546261619783031E-4</v>
      </c>
      <c r="EH117">
        <v>1.7375871115881804E-4</v>
      </c>
      <c r="EI117">
        <v>0</v>
      </c>
      <c r="EJ117">
        <v>0</v>
      </c>
      <c r="EK117">
        <v>0</v>
      </c>
      <c r="EL117">
        <v>2.9022499781222012E-4</v>
      </c>
      <c r="EM117">
        <v>3.3672236608532239E-4</v>
      </c>
      <c r="EN117">
        <v>3.407325450803835E-4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2.373325014440721E-7</v>
      </c>
      <c r="EV117">
        <v>0</v>
      </c>
      <c r="EW117">
        <v>2.1761697908383146E-4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2.4128540113800073E-6</v>
      </c>
      <c r="FD117">
        <v>0</v>
      </c>
      <c r="FE117">
        <v>0</v>
      </c>
      <c r="FF117">
        <v>0</v>
      </c>
      <c r="FG117">
        <v>9.4856555159786313E-10</v>
      </c>
      <c r="FH117">
        <v>2.0138854883957149E-7</v>
      </c>
      <c r="FI117">
        <v>2.1245795990321788E-9</v>
      </c>
      <c r="FJ117">
        <v>1.9642990572256799E-9</v>
      </c>
      <c r="FK117">
        <v>0</v>
      </c>
      <c r="FL117">
        <v>5.7256631745238021E-9</v>
      </c>
      <c r="FM117">
        <v>7.9807006163062935E-9</v>
      </c>
      <c r="FN117">
        <v>2.0602072223975371E-8</v>
      </c>
      <c r="FO117">
        <v>4.0837970171687782E-9</v>
      </c>
      <c r="FP117">
        <v>2.3288723297583505E-6</v>
      </c>
      <c r="FQ117">
        <v>6.5684410752642752E-9</v>
      </c>
      <c r="FR117">
        <v>4.728812075414537E-5</v>
      </c>
      <c r="FS117">
        <v>1.2825252063064782E-9</v>
      </c>
      <c r="FT117">
        <v>6.1976972692062675E-8</v>
      </c>
      <c r="FU117">
        <v>1.1775718337206448E-6</v>
      </c>
      <c r="FV117">
        <v>5.9299878335588617E-5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2.4706405939548418E-7</v>
      </c>
      <c r="GS117">
        <v>0</v>
      </c>
      <c r="GT117">
        <v>0</v>
      </c>
      <c r="GU117">
        <v>0</v>
      </c>
    </row>
    <row r="118" spans="1:203">
      <c r="A118" t="s">
        <v>256</v>
      </c>
      <c r="B118">
        <v>115</v>
      </c>
      <c r="C118" t="s">
        <v>135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</row>
    <row r="119" spans="1:203">
      <c r="A119" t="s">
        <v>257</v>
      </c>
      <c r="B119">
        <v>116</v>
      </c>
      <c r="C119" t="s">
        <v>135</v>
      </c>
      <c r="D119">
        <v>8.2654273383638405E-8</v>
      </c>
      <c r="E119">
        <v>0</v>
      </c>
      <c r="F119">
        <v>1.0654640321228238E-6</v>
      </c>
      <c r="G119">
        <v>1.245799090363325E-5</v>
      </c>
      <c r="H119">
        <v>1.1567382912771222E-6</v>
      </c>
      <c r="I119">
        <v>0</v>
      </c>
      <c r="J119">
        <v>0</v>
      </c>
      <c r="K119">
        <v>6.5915756475966153E-6</v>
      </c>
      <c r="L119">
        <v>3.5222011753147249E-8</v>
      </c>
      <c r="M119">
        <v>3.8614391757017551E-8</v>
      </c>
      <c r="N119">
        <v>3.0966531039156376E-8</v>
      </c>
      <c r="O119">
        <v>0</v>
      </c>
      <c r="P119">
        <v>1.9397030475489095E-6</v>
      </c>
      <c r="Q119">
        <v>2.3128882307727312E-7</v>
      </c>
      <c r="R119">
        <v>0</v>
      </c>
      <c r="S119">
        <v>0</v>
      </c>
      <c r="T119">
        <v>0</v>
      </c>
      <c r="U119">
        <v>3.5749989895961974E-6</v>
      </c>
      <c r="V119">
        <v>1.3691715736805684E-4</v>
      </c>
      <c r="W119">
        <v>7.1129102155245688E-6</v>
      </c>
      <c r="X119">
        <v>0</v>
      </c>
      <c r="Y119">
        <v>0</v>
      </c>
      <c r="Z119">
        <v>0</v>
      </c>
      <c r="AA119">
        <v>7.1129102155245679E-6</v>
      </c>
      <c r="AB119">
        <v>0</v>
      </c>
      <c r="AC119">
        <v>0</v>
      </c>
      <c r="AD119">
        <v>0</v>
      </c>
      <c r="AE119">
        <v>8.2531771718255959E-7</v>
      </c>
      <c r="AF119">
        <v>3.4084709580995668E-8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7.4947518502974334E-8</v>
      </c>
      <c r="AU119">
        <v>9.7077224771932145E-7</v>
      </c>
      <c r="AV119">
        <v>3.5969095035952654E-7</v>
      </c>
      <c r="AW119">
        <v>1.0758697362967771E-5</v>
      </c>
      <c r="AX119">
        <v>2.8991969685933035E-6</v>
      </c>
      <c r="AY119">
        <v>1.967264071062288E-5</v>
      </c>
      <c r="AZ119">
        <v>0</v>
      </c>
      <c r="BA119">
        <v>6.1940856295896579E-7</v>
      </c>
      <c r="BB119">
        <v>1.2961654750174496E-7</v>
      </c>
      <c r="BC119">
        <v>5.1540358560782486E-6</v>
      </c>
      <c r="BD119">
        <v>3.2892372180007996E-7</v>
      </c>
      <c r="BE119">
        <v>0</v>
      </c>
      <c r="BF119">
        <v>6.098936728048178E-6</v>
      </c>
      <c r="BG119">
        <v>1.6251823386914059E-6</v>
      </c>
      <c r="BH119">
        <v>0</v>
      </c>
      <c r="BI119">
        <v>3.7379061213156883E-4</v>
      </c>
      <c r="BJ119">
        <v>0</v>
      </c>
      <c r="BK119">
        <v>1.3215092678165257E-5</v>
      </c>
      <c r="BL119">
        <v>0</v>
      </c>
      <c r="BM119">
        <v>5.3327534016868546E-5</v>
      </c>
      <c r="BN119">
        <v>1.1371353868171919E-6</v>
      </c>
      <c r="BO119">
        <v>6.4700396638845692E-3</v>
      </c>
      <c r="BP119">
        <v>0</v>
      </c>
      <c r="BQ119">
        <v>6.4700396638845692E-3</v>
      </c>
      <c r="BR119">
        <v>3.6772974874740464E-4</v>
      </c>
      <c r="BS119">
        <v>0</v>
      </c>
      <c r="BT119">
        <v>0</v>
      </c>
      <c r="BU119">
        <v>3.6772974874740459E-4</v>
      </c>
      <c r="BV119">
        <v>3.6772974874740459E-4</v>
      </c>
      <c r="BW119">
        <v>3.6772974874740464E-4</v>
      </c>
      <c r="BX119">
        <v>3.6772974874740464E-4</v>
      </c>
      <c r="BY119">
        <v>3.677297487474047E-4</v>
      </c>
      <c r="BZ119">
        <v>3.6772974874740464E-4</v>
      </c>
      <c r="CA119">
        <v>3.6772974874740464E-4</v>
      </c>
      <c r="CB119">
        <v>0</v>
      </c>
      <c r="CC119">
        <v>3.6772974874740459E-4</v>
      </c>
      <c r="CD119">
        <v>3.6772974874740464E-4</v>
      </c>
      <c r="CE119">
        <v>3.6772974874740464E-4</v>
      </c>
      <c r="CF119">
        <v>3.6772974874740464E-4</v>
      </c>
      <c r="CG119">
        <v>3.6772974874740459E-4</v>
      </c>
      <c r="CH119">
        <v>3.6772974874740464E-4</v>
      </c>
      <c r="CI119">
        <v>3.6772974874740459E-4</v>
      </c>
      <c r="CJ119">
        <v>1.6506502070978655E-4</v>
      </c>
      <c r="CK119">
        <v>4.9814749448038201E-6</v>
      </c>
      <c r="CL119">
        <v>0</v>
      </c>
      <c r="CM119">
        <v>2.5995260781476817E-4</v>
      </c>
      <c r="CN119">
        <v>1.0391435314666558E-4</v>
      </c>
      <c r="CO119">
        <v>3.7474859846557861E-5</v>
      </c>
      <c r="CP119">
        <v>0</v>
      </c>
      <c r="CQ119">
        <v>3.7474859846557861E-5</v>
      </c>
      <c r="CR119">
        <v>0</v>
      </c>
      <c r="CS119">
        <v>3.7474859846557861E-5</v>
      </c>
      <c r="CT119">
        <v>0</v>
      </c>
      <c r="CU119">
        <v>1.8103442060667113E-4</v>
      </c>
      <c r="CV119">
        <v>4.1257373455135741E-5</v>
      </c>
      <c r="CW119">
        <v>0</v>
      </c>
      <c r="CX119">
        <v>9.249767489395476E-5</v>
      </c>
      <c r="CY119">
        <v>5.0844029065525468E-6</v>
      </c>
      <c r="CZ119">
        <v>1.4340027286965003E-5</v>
      </c>
      <c r="DA119">
        <v>0</v>
      </c>
      <c r="DB119">
        <v>3.606006249491282E-5</v>
      </c>
      <c r="DC119">
        <v>2.7889343203178416E-3</v>
      </c>
      <c r="DD119">
        <v>0</v>
      </c>
      <c r="DE119">
        <v>4.3445590461069737E-4</v>
      </c>
      <c r="DF119">
        <v>0</v>
      </c>
      <c r="DG119">
        <v>1.8150331785380078E-4</v>
      </c>
      <c r="DH119">
        <v>0</v>
      </c>
      <c r="DI119">
        <v>1.0629648851740057E-9</v>
      </c>
      <c r="DJ119">
        <v>0</v>
      </c>
      <c r="DK119">
        <v>9.3561472642678272E-5</v>
      </c>
      <c r="DL119">
        <v>0</v>
      </c>
      <c r="DM119">
        <v>2.5653829426314478E-4</v>
      </c>
      <c r="DN119">
        <v>0</v>
      </c>
      <c r="DO119">
        <v>1.7104973406833934E-2</v>
      </c>
      <c r="DP119">
        <v>5.5094488053045393E-3</v>
      </c>
      <c r="DQ119">
        <v>3.0291265338831192E-3</v>
      </c>
      <c r="DR119">
        <v>5.1368371959343206E-4</v>
      </c>
      <c r="DS119">
        <v>1.4574276819546941E-2</v>
      </c>
      <c r="DT119">
        <v>1.1793508121665131E-3</v>
      </c>
      <c r="DU119">
        <v>1.6358035332098835E-3</v>
      </c>
      <c r="DV119">
        <v>3.5568510021283502E-3</v>
      </c>
      <c r="DW119">
        <v>6.8289488329551244E-4</v>
      </c>
      <c r="DX119">
        <v>1.6613034817736469E-4</v>
      </c>
      <c r="DY119">
        <v>1.3015277920886274E-8</v>
      </c>
      <c r="DZ119">
        <v>0</v>
      </c>
      <c r="EA119">
        <v>9.4077417901501263E-6</v>
      </c>
      <c r="EB119">
        <v>3.522948477198335E-5</v>
      </c>
      <c r="EC119">
        <v>2.4640278159369064E-5</v>
      </c>
      <c r="ED119">
        <v>6.5543903957048462E-5</v>
      </c>
      <c r="EE119">
        <v>1.6716565298725149E-5</v>
      </c>
      <c r="EF119">
        <v>1.7335940841119068E-6</v>
      </c>
      <c r="EG119">
        <v>3.7433276713533786E-5</v>
      </c>
      <c r="EH119">
        <v>9.7515456822919665E-5</v>
      </c>
      <c r="EI119">
        <v>0</v>
      </c>
      <c r="EJ119">
        <v>0</v>
      </c>
      <c r="EK119">
        <v>0</v>
      </c>
      <c r="EL119">
        <v>4.8213799275706181E-5</v>
      </c>
      <c r="EM119">
        <v>3.5098675582634758E-5</v>
      </c>
      <c r="EN119">
        <v>2.7727465789597452E-5</v>
      </c>
      <c r="EO119">
        <v>3.6894776035774612E-7</v>
      </c>
      <c r="EP119">
        <v>3.6894776035774601E-7</v>
      </c>
      <c r="EQ119">
        <v>3.6894776035774606E-7</v>
      </c>
      <c r="ER119">
        <v>0</v>
      </c>
      <c r="ES119">
        <v>3.6894776035774606E-7</v>
      </c>
      <c r="ET119">
        <v>3.6894776035774606E-7</v>
      </c>
      <c r="EU119">
        <v>9.0639969738578092E-7</v>
      </c>
      <c r="EV119">
        <v>3.3739114612171919E-6</v>
      </c>
      <c r="EW119">
        <v>9.24988302534993E-4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5.1254020169539588E-6</v>
      </c>
      <c r="FD119">
        <v>0</v>
      </c>
      <c r="FE119">
        <v>0</v>
      </c>
      <c r="FF119">
        <v>0</v>
      </c>
      <c r="FG119">
        <v>1.0467365822408092E-9</v>
      </c>
      <c r="FH119">
        <v>3.3493382333160555E-6</v>
      </c>
      <c r="FI119">
        <v>2.8294264715207112E-9</v>
      </c>
      <c r="FJ119">
        <v>3.0903148952890684E-9</v>
      </c>
      <c r="FK119">
        <v>0</v>
      </c>
      <c r="FL119">
        <v>1.2946897837706315E-9</v>
      </c>
      <c r="FM119">
        <v>0</v>
      </c>
      <c r="FN119">
        <v>0</v>
      </c>
      <c r="FO119">
        <v>0</v>
      </c>
      <c r="FP119">
        <v>3.3207787961419167E-7</v>
      </c>
      <c r="FQ119">
        <v>2.1355523926098758E-8</v>
      </c>
      <c r="FR119">
        <v>2.4559479136455277E-5</v>
      </c>
      <c r="FS119">
        <v>1.138142463237865E-7</v>
      </c>
      <c r="FT119">
        <v>4.8407813393031826E-8</v>
      </c>
      <c r="FU119">
        <v>8.415682492539943E-7</v>
      </c>
      <c r="FV119">
        <v>1.3501896385790374E-4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1.8202650188333613E-7</v>
      </c>
      <c r="GS119">
        <v>8.4350162409012204E-6</v>
      </c>
      <c r="GT119">
        <v>0</v>
      </c>
      <c r="GU119">
        <v>0</v>
      </c>
    </row>
    <row r="120" spans="1:203">
      <c r="A120" t="s">
        <v>258</v>
      </c>
      <c r="B120">
        <v>117</v>
      </c>
      <c r="C120" t="s">
        <v>13</v>
      </c>
      <c r="D120">
        <v>1.7181927659303236E-5</v>
      </c>
      <c r="E120">
        <v>1.7471202940281871E-5</v>
      </c>
      <c r="F120">
        <v>1.9011960567890943E-5</v>
      </c>
      <c r="G120">
        <v>1.0422050089113016E-3</v>
      </c>
      <c r="H120">
        <v>1.1504267520561702E-4</v>
      </c>
      <c r="I120">
        <v>0</v>
      </c>
      <c r="J120">
        <v>0</v>
      </c>
      <c r="K120">
        <v>1.9964214055546428E-3</v>
      </c>
      <c r="L120">
        <v>8.9835042781867021E-5</v>
      </c>
      <c r="M120">
        <v>1.8482715649338738E-4</v>
      </c>
      <c r="N120">
        <v>1.8843724420711935E-3</v>
      </c>
      <c r="O120">
        <v>2.9747623921326425E-3</v>
      </c>
      <c r="P120">
        <v>2.2167841119504531E-3</v>
      </c>
      <c r="Q120">
        <v>7.9012141563528484E-4</v>
      </c>
      <c r="R120">
        <v>0</v>
      </c>
      <c r="S120">
        <v>0</v>
      </c>
      <c r="T120">
        <v>0</v>
      </c>
      <c r="U120">
        <v>2.2751788082552436E-3</v>
      </c>
      <c r="V120">
        <v>1.4890519034665903E-3</v>
      </c>
      <c r="W120">
        <v>3.7036615284427254E-2</v>
      </c>
      <c r="X120">
        <v>0</v>
      </c>
      <c r="Y120">
        <v>0</v>
      </c>
      <c r="Z120">
        <v>0</v>
      </c>
      <c r="AA120">
        <v>3.7036615284427254E-2</v>
      </c>
      <c r="AB120">
        <v>0</v>
      </c>
      <c r="AC120">
        <v>0</v>
      </c>
      <c r="AD120">
        <v>0</v>
      </c>
      <c r="AE120">
        <v>1.1241891326357215E-3</v>
      </c>
      <c r="AF120">
        <v>3.7164599776575043E-8</v>
      </c>
      <c r="AG120">
        <v>0</v>
      </c>
      <c r="AH120">
        <v>0</v>
      </c>
      <c r="AI120">
        <v>3.722786275499994E-7</v>
      </c>
      <c r="AJ120">
        <v>6.9006531978092487E-3</v>
      </c>
      <c r="AK120">
        <v>4.7839299242391964E-4</v>
      </c>
      <c r="AL120">
        <v>9.1368238909951691E-9</v>
      </c>
      <c r="AM120">
        <v>0</v>
      </c>
      <c r="AN120">
        <v>4.1822306478143323E-8</v>
      </c>
      <c r="AO120">
        <v>7.6975655199770387E-7</v>
      </c>
      <c r="AP120">
        <v>2.2703524849525344E-5</v>
      </c>
      <c r="AQ120">
        <v>6.7622841595184178E-9</v>
      </c>
      <c r="AR120">
        <v>1.3041348280313053E-9</v>
      </c>
      <c r="AS120">
        <v>6.5936497071094275E-3</v>
      </c>
      <c r="AT120">
        <v>9.0445340331025203E-8</v>
      </c>
      <c r="AU120">
        <v>3.3309909901121596E-3</v>
      </c>
      <c r="AV120">
        <v>1.6659705529231635E-3</v>
      </c>
      <c r="AW120">
        <v>4.6215503707032111E-2</v>
      </c>
      <c r="AX120">
        <v>2.0784836446873347E-3</v>
      </c>
      <c r="AY120">
        <v>1.0332686248093914E-2</v>
      </c>
      <c r="AZ120">
        <v>1.5915029908466423E-4</v>
      </c>
      <c r="BA120">
        <v>7.6773101531918504E-3</v>
      </c>
      <c r="BB120">
        <v>3.6769697761406105E-3</v>
      </c>
      <c r="BC120">
        <v>4.109908708194835E-2</v>
      </c>
      <c r="BD120">
        <v>6.7889488003152242E-3</v>
      </c>
      <c r="BE120">
        <v>5.477643435883171E-8</v>
      </c>
      <c r="BF120">
        <v>8.4528230935374798E-3</v>
      </c>
      <c r="BG120">
        <v>9.2917661555871403E-3</v>
      </c>
      <c r="BH120">
        <v>4.2961777693918818E-2</v>
      </c>
      <c r="BI120">
        <v>1.251732987840622E-2</v>
      </c>
      <c r="BJ120">
        <v>0</v>
      </c>
      <c r="BK120">
        <v>2.6000555295591856E-3</v>
      </c>
      <c r="BL120">
        <v>0</v>
      </c>
      <c r="BM120">
        <v>2.5582671682027676E-3</v>
      </c>
      <c r="BN120">
        <v>1.0349555029370498E-3</v>
      </c>
      <c r="BO120">
        <v>2.3476870471866695E-2</v>
      </c>
      <c r="BP120">
        <v>0</v>
      </c>
      <c r="BQ120">
        <v>2.3476870471866695E-2</v>
      </c>
      <c r="BR120">
        <v>1.0601204051627245E-2</v>
      </c>
      <c r="BS120">
        <v>0</v>
      </c>
      <c r="BT120">
        <v>0</v>
      </c>
      <c r="BU120">
        <v>1.0601204051627245E-2</v>
      </c>
      <c r="BV120">
        <v>1.0601204051627244E-2</v>
      </c>
      <c r="BW120">
        <v>1.0601204051627245E-2</v>
      </c>
      <c r="BX120">
        <v>1.0601204051627245E-2</v>
      </c>
      <c r="BY120">
        <v>1.0601204051627245E-2</v>
      </c>
      <c r="BZ120">
        <v>1.0601204051627245E-2</v>
      </c>
      <c r="CA120">
        <v>1.0601204051627245E-2</v>
      </c>
      <c r="CB120">
        <v>0</v>
      </c>
      <c r="CC120">
        <v>1.0601204051627245E-2</v>
      </c>
      <c r="CD120">
        <v>1.0601204051627244E-2</v>
      </c>
      <c r="CE120">
        <v>1.0601204051627245E-2</v>
      </c>
      <c r="CF120">
        <v>1.0601204051627245E-2</v>
      </c>
      <c r="CG120">
        <v>1.0601204051627245E-2</v>
      </c>
      <c r="CH120">
        <v>1.0601204051627247E-2</v>
      </c>
      <c r="CI120">
        <v>1.0601204051627247E-2</v>
      </c>
      <c r="CJ120">
        <v>2.8714497288809628E-2</v>
      </c>
      <c r="CK120">
        <v>4.7945217593940676E-4</v>
      </c>
      <c r="CL120">
        <v>0</v>
      </c>
      <c r="CM120">
        <v>3.4779371258690157E-3</v>
      </c>
      <c r="CN120">
        <v>4.1351278739336578E-3</v>
      </c>
      <c r="CO120">
        <v>9.7771996865848344E-3</v>
      </c>
      <c r="CP120">
        <v>0</v>
      </c>
      <c r="CQ120">
        <v>9.7771996865848344E-3</v>
      </c>
      <c r="CR120">
        <v>0</v>
      </c>
      <c r="CS120">
        <v>9.7771996865848362E-3</v>
      </c>
      <c r="CT120">
        <v>0</v>
      </c>
      <c r="CU120">
        <v>1.5845998640859772E-2</v>
      </c>
      <c r="CV120">
        <v>1.3953992635888139E-2</v>
      </c>
      <c r="CW120">
        <v>0</v>
      </c>
      <c r="CX120">
        <v>3.1334806490985016E-3</v>
      </c>
      <c r="CY120">
        <v>1.620269771665538E-3</v>
      </c>
      <c r="CZ120">
        <v>3.8914481513113992E-3</v>
      </c>
      <c r="DA120">
        <v>0</v>
      </c>
      <c r="DB120">
        <v>1.5285671186353085E-2</v>
      </c>
      <c r="DC120">
        <v>4.4211224648895179E-3</v>
      </c>
      <c r="DD120">
        <v>0</v>
      </c>
      <c r="DE120">
        <v>5.5215189333396751E-3</v>
      </c>
      <c r="DF120">
        <v>0</v>
      </c>
      <c r="DG120">
        <v>9.0579638182460738E-3</v>
      </c>
      <c r="DH120">
        <v>0</v>
      </c>
      <c r="DI120">
        <v>1.0758428816617063E-9</v>
      </c>
      <c r="DJ120">
        <v>0</v>
      </c>
      <c r="DK120">
        <v>3.5335749987858828E-3</v>
      </c>
      <c r="DL120">
        <v>0</v>
      </c>
      <c r="DM120">
        <v>8.6896109331302453E-3</v>
      </c>
      <c r="DN120">
        <v>0</v>
      </c>
      <c r="DO120">
        <v>4.0220376405256747E-2</v>
      </c>
      <c r="DP120">
        <v>0.15402447241908337</v>
      </c>
      <c r="DQ120">
        <v>7.5772017846156975E-2</v>
      </c>
      <c r="DR120">
        <v>1.7177196616724209E-2</v>
      </c>
      <c r="DS120">
        <v>3.5764096949821862E-2</v>
      </c>
      <c r="DT120">
        <v>1.1768820129514761E-2</v>
      </c>
      <c r="DU120">
        <v>5.5365226423481281E-2</v>
      </c>
      <c r="DV120">
        <v>1.591149526371503E-2</v>
      </c>
      <c r="DW120">
        <v>3.9214450149768681E-2</v>
      </c>
      <c r="DX120">
        <v>8.3919637169774686E-2</v>
      </c>
      <c r="DY120">
        <v>1.7054263244510645E-8</v>
      </c>
      <c r="DZ120">
        <v>0</v>
      </c>
      <c r="EA120">
        <v>3.5502985458598412E-3</v>
      </c>
      <c r="EB120">
        <v>2.6026211621331249E-3</v>
      </c>
      <c r="EC120">
        <v>3.5664739189716953E-3</v>
      </c>
      <c r="ED120">
        <v>2.5910148489869818E-3</v>
      </c>
      <c r="EE120">
        <v>2.9162820356149746E-3</v>
      </c>
      <c r="EF120">
        <v>3.3246187233353292E-4</v>
      </c>
      <c r="EG120">
        <v>3.783487495843855E-3</v>
      </c>
      <c r="EH120">
        <v>2.858053256292297E-3</v>
      </c>
      <c r="EI120">
        <v>0</v>
      </c>
      <c r="EJ120">
        <v>0</v>
      </c>
      <c r="EK120">
        <v>0</v>
      </c>
      <c r="EL120">
        <v>5.0942855187572581E-3</v>
      </c>
      <c r="EM120">
        <v>5.8296235351928318E-3</v>
      </c>
      <c r="EN120">
        <v>5.8596326117849639E-3</v>
      </c>
      <c r="EO120">
        <v>2.4788720933938881E-6</v>
      </c>
      <c r="EP120">
        <v>2.4788720933938877E-6</v>
      </c>
      <c r="EQ120">
        <v>2.4788720933938881E-6</v>
      </c>
      <c r="ER120">
        <v>0</v>
      </c>
      <c r="ES120">
        <v>2.4788720933938881E-6</v>
      </c>
      <c r="ET120">
        <v>2.4788720933938881E-6</v>
      </c>
      <c r="EU120">
        <v>1.3072168810117037E-4</v>
      </c>
      <c r="EV120">
        <v>8.7960260336786386E-4</v>
      </c>
      <c r="EW120">
        <v>0.10285508936441308</v>
      </c>
      <c r="EX120">
        <v>0</v>
      </c>
      <c r="EY120">
        <v>1.041807530691965E-9</v>
      </c>
      <c r="EZ120">
        <v>1.4946073427183736E-8</v>
      </c>
      <c r="FA120">
        <v>1.1896744517371322E-10</v>
      </c>
      <c r="FB120">
        <v>2.2845280884213835E-10</v>
      </c>
      <c r="FC120">
        <v>2.0139852521910695E-3</v>
      </c>
      <c r="FD120">
        <v>2.0014756984363676E-6</v>
      </c>
      <c r="FE120">
        <v>6.8084439821823215E-5</v>
      </c>
      <c r="FF120">
        <v>1.6476168232089786E-8</v>
      </c>
      <c r="FG120">
        <v>1.0752969706887082E-9</v>
      </c>
      <c r="FH120">
        <v>3.5275427321259877E-3</v>
      </c>
      <c r="FI120">
        <v>3.0194813401932565E-9</v>
      </c>
      <c r="FJ120">
        <v>3.5787428572562588E-9</v>
      </c>
      <c r="FK120">
        <v>1.4823170100350513E-10</v>
      </c>
      <c r="FL120">
        <v>3.7401559177380742E-4</v>
      </c>
      <c r="FM120">
        <v>5.3783549916886647E-4</v>
      </c>
      <c r="FN120">
        <v>6.5912596391911509E-4</v>
      </c>
      <c r="FO120">
        <v>1.5474205759819258E-4</v>
      </c>
      <c r="FP120">
        <v>1.5031902533157247E-3</v>
      </c>
      <c r="FQ120">
        <v>1.0214013713106987E-4</v>
      </c>
      <c r="FR120">
        <v>3.6798778090663506E-3</v>
      </c>
      <c r="FS120">
        <v>2.3969925035036111E-4</v>
      </c>
      <c r="FT120">
        <v>1.8459294867528408E-3</v>
      </c>
      <c r="FU120">
        <v>4.240688051869965E-4</v>
      </c>
      <c r="FV120">
        <v>4.6876666747503533E-4</v>
      </c>
      <c r="FW120">
        <v>1.8869123905330114E-3</v>
      </c>
      <c r="FX120">
        <v>1.7283762243427714E-3</v>
      </c>
      <c r="FY120">
        <v>1.4400881354223356E-3</v>
      </c>
      <c r="FZ120">
        <v>1.8195097421469524E-3</v>
      </c>
      <c r="GA120">
        <v>1.6974779871357156E-3</v>
      </c>
      <c r="GB120">
        <v>1.7027850351726227E-3</v>
      </c>
      <c r="GC120">
        <v>1.7259569334664706E-3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1.726459522105163E-3</v>
      </c>
      <c r="GJ120">
        <v>1.801368505691315E-3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6.5309380366695329E-4</v>
      </c>
      <c r="GR120">
        <v>4.577621201457381E-4</v>
      </c>
      <c r="GS120">
        <v>1.0831127556557742E-2</v>
      </c>
      <c r="GT120">
        <v>4.4551798865485537E-5</v>
      </c>
      <c r="GU120">
        <v>0</v>
      </c>
    </row>
    <row r="121" spans="1:203">
      <c r="A121" t="s">
        <v>259</v>
      </c>
      <c r="B121">
        <v>118</v>
      </c>
      <c r="C121" t="s">
        <v>16</v>
      </c>
      <c r="D121">
        <v>1.6480967852341869E-4</v>
      </c>
      <c r="E121">
        <v>2.0057496859608338E-4</v>
      </c>
      <c r="F121">
        <v>7.7085707507014857E-4</v>
      </c>
      <c r="G121">
        <v>3.678337901278775E-3</v>
      </c>
      <c r="H121">
        <v>3.9863067302216255E-4</v>
      </c>
      <c r="I121">
        <v>0</v>
      </c>
      <c r="J121">
        <v>6.1060740526085156E-4</v>
      </c>
      <c r="K121">
        <v>7.4542100644734459E-3</v>
      </c>
      <c r="L121">
        <v>2.0275725206023851E-4</v>
      </c>
      <c r="M121">
        <v>4.5946319396693444E-4</v>
      </c>
      <c r="N121">
        <v>2.0322583010041299E-3</v>
      </c>
      <c r="O121">
        <v>1.178158048954959E-2</v>
      </c>
      <c r="P121">
        <v>4.8590961812252469E-3</v>
      </c>
      <c r="Q121">
        <v>2.1993181007042579E-3</v>
      </c>
      <c r="R121">
        <v>4.1404551894773633E-4</v>
      </c>
      <c r="S121">
        <v>0</v>
      </c>
      <c r="T121">
        <v>0</v>
      </c>
      <c r="U121">
        <v>1.5454928181749166E-3</v>
      </c>
      <c r="V121">
        <v>1.0263193042975655E-2</v>
      </c>
      <c r="W121">
        <v>2.72637658950362E-2</v>
      </c>
      <c r="X121">
        <v>0</v>
      </c>
      <c r="Y121">
        <v>0</v>
      </c>
      <c r="Z121">
        <v>0</v>
      </c>
      <c r="AA121">
        <v>2.7263765895036204E-2</v>
      </c>
      <c r="AB121">
        <v>0</v>
      </c>
      <c r="AC121">
        <v>0</v>
      </c>
      <c r="AD121">
        <v>0</v>
      </c>
      <c r="AE121">
        <v>2.2957928335507941E-4</v>
      </c>
      <c r="AF121">
        <v>3.5658917340857882E-8</v>
      </c>
      <c r="AG121">
        <v>0</v>
      </c>
      <c r="AH121">
        <v>0</v>
      </c>
      <c r="AI121">
        <v>2.7087970197999396E-7</v>
      </c>
      <c r="AJ121">
        <v>3.9796765260374858E-3</v>
      </c>
      <c r="AK121">
        <v>4.0904135574964997E-4</v>
      </c>
      <c r="AL121">
        <v>8.9185418283408736E-9</v>
      </c>
      <c r="AM121">
        <v>0</v>
      </c>
      <c r="AN121">
        <v>4.077081313215341E-8</v>
      </c>
      <c r="AO121">
        <v>7.4408690338305321E-7</v>
      </c>
      <c r="AP121">
        <v>1.3355868381248519E-5</v>
      </c>
      <c r="AQ121">
        <v>6.5126716417222627E-9</v>
      </c>
      <c r="AR121">
        <v>1.2780573365254162E-9</v>
      </c>
      <c r="AS121">
        <v>7.8794205306311118E-3</v>
      </c>
      <c r="AT121">
        <v>6.8175139090734819E-8</v>
      </c>
      <c r="AU121">
        <v>1.7069898637061428E-4</v>
      </c>
      <c r="AV121">
        <v>9.0632029978394464E-5</v>
      </c>
      <c r="AW121">
        <v>1.7165273751082706E-3</v>
      </c>
      <c r="AX121">
        <v>1.066539557638169E-3</v>
      </c>
      <c r="AY121">
        <v>4.7815484542496414E-3</v>
      </c>
      <c r="AZ121">
        <v>9.2068585819758166E-4</v>
      </c>
      <c r="BA121">
        <v>1.9489865117202302E-3</v>
      </c>
      <c r="BB121">
        <v>1.2152299396770091E-3</v>
      </c>
      <c r="BC121">
        <v>2.5081534016085038E-3</v>
      </c>
      <c r="BD121">
        <v>1.8395155830549443E-3</v>
      </c>
      <c r="BE121">
        <v>3.7381002447551202E-8</v>
      </c>
      <c r="BF121">
        <v>3.1885443450168924E-3</v>
      </c>
      <c r="BG121">
        <v>9.5065515805168926E-4</v>
      </c>
      <c r="BH121">
        <v>5.8778564332259029E-3</v>
      </c>
      <c r="BI121">
        <v>1.6386715563422832E-3</v>
      </c>
      <c r="BJ121">
        <v>0</v>
      </c>
      <c r="BK121">
        <v>5.8833224985595763E-3</v>
      </c>
      <c r="BL121">
        <v>0</v>
      </c>
      <c r="BM121">
        <v>3.8554124566639787E-3</v>
      </c>
      <c r="BN121">
        <v>1.3682631057177377E-3</v>
      </c>
      <c r="BO121">
        <v>3.9769183789642781E-2</v>
      </c>
      <c r="BP121">
        <v>0</v>
      </c>
      <c r="BQ121">
        <v>3.9769183789642774E-2</v>
      </c>
      <c r="BR121">
        <v>8.5464696291767221E-3</v>
      </c>
      <c r="BS121">
        <v>0</v>
      </c>
      <c r="BT121">
        <v>0</v>
      </c>
      <c r="BU121">
        <v>8.5464696291767221E-3</v>
      </c>
      <c r="BV121">
        <v>8.5464696291767221E-3</v>
      </c>
      <c r="BW121">
        <v>8.5464696291767221E-3</v>
      </c>
      <c r="BX121">
        <v>8.5464696291767221E-3</v>
      </c>
      <c r="BY121">
        <v>8.5464696291767221E-3</v>
      </c>
      <c r="BZ121">
        <v>8.5464696291767221E-3</v>
      </c>
      <c r="CA121">
        <v>8.5464696291767221E-3</v>
      </c>
      <c r="CB121">
        <v>0</v>
      </c>
      <c r="CC121">
        <v>8.5464696291767221E-3</v>
      </c>
      <c r="CD121">
        <v>8.5464696291767204E-3</v>
      </c>
      <c r="CE121">
        <v>8.5464696291767221E-3</v>
      </c>
      <c r="CF121">
        <v>8.5464696291767221E-3</v>
      </c>
      <c r="CG121">
        <v>8.5464696291767221E-3</v>
      </c>
      <c r="CH121">
        <v>8.5464696291767221E-3</v>
      </c>
      <c r="CI121">
        <v>8.5464696291767221E-3</v>
      </c>
      <c r="CJ121">
        <v>3.4617251073668143E-2</v>
      </c>
      <c r="CK121">
        <v>4.6179885049199126E-4</v>
      </c>
      <c r="CL121">
        <v>0</v>
      </c>
      <c r="CM121">
        <v>2.3468420315893236E-3</v>
      </c>
      <c r="CN121">
        <v>2.5854833320636738E-3</v>
      </c>
      <c r="CO121">
        <v>3.0459545666877679E-3</v>
      </c>
      <c r="CP121">
        <v>0</v>
      </c>
      <c r="CQ121">
        <v>3.0459545666877683E-3</v>
      </c>
      <c r="CR121">
        <v>0</v>
      </c>
      <c r="CS121">
        <v>3.0459545666877683E-3</v>
      </c>
      <c r="CT121">
        <v>0</v>
      </c>
      <c r="CU121">
        <v>2.7257319483890083E-2</v>
      </c>
      <c r="CV121">
        <v>9.1540623954477398E-3</v>
      </c>
      <c r="CW121">
        <v>0</v>
      </c>
      <c r="CX121">
        <v>8.1279633036090773E-3</v>
      </c>
      <c r="CY121">
        <v>2.9014605107334779E-3</v>
      </c>
      <c r="CZ121">
        <v>6.8071264590517774E-4</v>
      </c>
      <c r="DA121">
        <v>0</v>
      </c>
      <c r="DB121">
        <v>5.603737253147111E-3</v>
      </c>
      <c r="DC121">
        <v>4.6399594929094068E-3</v>
      </c>
      <c r="DD121">
        <v>0</v>
      </c>
      <c r="DE121">
        <v>4.2678039831934968E-3</v>
      </c>
      <c r="DF121">
        <v>0</v>
      </c>
      <c r="DG121">
        <v>7.0683463199299164E-3</v>
      </c>
      <c r="DH121">
        <v>0</v>
      </c>
      <c r="DI121">
        <v>1.0590520393620572E-9</v>
      </c>
      <c r="DJ121">
        <v>0</v>
      </c>
      <c r="DK121">
        <v>2.7208184235883249E-3</v>
      </c>
      <c r="DL121">
        <v>0</v>
      </c>
      <c r="DM121">
        <v>6.9306880450022536E-3</v>
      </c>
      <c r="DN121">
        <v>0</v>
      </c>
      <c r="DO121">
        <v>1.5806843556607986E-2</v>
      </c>
      <c r="DP121">
        <v>1.8133759679072405E-2</v>
      </c>
      <c r="DQ121">
        <v>0.1794320943123584</v>
      </c>
      <c r="DR121">
        <v>2.8652536052559772E-3</v>
      </c>
      <c r="DS121">
        <v>1.5821475931523492E-2</v>
      </c>
      <c r="DT121">
        <v>1.0387556078849166E-2</v>
      </c>
      <c r="DU121">
        <v>7.0287430194050831E-3</v>
      </c>
      <c r="DV121">
        <v>1.3244579636374914E-2</v>
      </c>
      <c r="DW121">
        <v>3.1213139249785155E-2</v>
      </c>
      <c r="DX121">
        <v>5.3973337145881541E-3</v>
      </c>
      <c r="DY121">
        <v>1.1729425469519169E-8</v>
      </c>
      <c r="DZ121">
        <v>0</v>
      </c>
      <c r="EA121">
        <v>1.1217262960624688E-2</v>
      </c>
      <c r="EB121">
        <v>7.9200769167742883E-3</v>
      </c>
      <c r="EC121">
        <v>9.8949443495419398E-3</v>
      </c>
      <c r="ED121">
        <v>3.0000672592421715E-3</v>
      </c>
      <c r="EE121">
        <v>3.395278876394747E-3</v>
      </c>
      <c r="EF121">
        <v>4.3486987067387099E-3</v>
      </c>
      <c r="EG121">
        <v>1.737062538439562E-2</v>
      </c>
      <c r="EH121">
        <v>3.2503463413143469E-3</v>
      </c>
      <c r="EI121">
        <v>0</v>
      </c>
      <c r="EJ121">
        <v>0</v>
      </c>
      <c r="EK121">
        <v>0</v>
      </c>
      <c r="EL121">
        <v>5.2121023850095058E-3</v>
      </c>
      <c r="EM121">
        <v>6.0146261863975679E-3</v>
      </c>
      <c r="EN121">
        <v>6.0339183214432887E-3</v>
      </c>
      <c r="EO121">
        <v>1.2611771401200905E-5</v>
      </c>
      <c r="EP121">
        <v>1.2611771401200902E-5</v>
      </c>
      <c r="EQ121">
        <v>1.2611771401200905E-5</v>
      </c>
      <c r="ER121">
        <v>0</v>
      </c>
      <c r="ES121">
        <v>1.2611771401200905E-5</v>
      </c>
      <c r="ET121">
        <v>1.2611771401200904E-5</v>
      </c>
      <c r="EU121">
        <v>6.3158288619938091E-4</v>
      </c>
      <c r="EV121">
        <v>8.1270244110017674E-3</v>
      </c>
      <c r="EW121">
        <v>3.0484459446847845E-2</v>
      </c>
      <c r="EX121">
        <v>0</v>
      </c>
      <c r="EY121">
        <v>1.0393024936722473E-9</v>
      </c>
      <c r="EZ121">
        <v>1.4768602680231817E-8</v>
      </c>
      <c r="FA121">
        <v>1.1733543601573298E-10</v>
      </c>
      <c r="FB121">
        <v>2.2556018257977103E-10</v>
      </c>
      <c r="FC121">
        <v>5.0158773852646758E-4</v>
      </c>
      <c r="FD121">
        <v>1.0341126400353842E-4</v>
      </c>
      <c r="FE121">
        <v>2.5251859566800749E-5</v>
      </c>
      <c r="FF121">
        <v>1.5395625996012468E-8</v>
      </c>
      <c r="FG121">
        <v>1.0412360474570985E-9</v>
      </c>
      <c r="FH121">
        <v>5.0875363577552427E-4</v>
      </c>
      <c r="FI121">
        <v>2.7689119549140132E-9</v>
      </c>
      <c r="FJ121">
        <v>2.994020629026856E-9</v>
      </c>
      <c r="FK121">
        <v>1.428026102987283E-10</v>
      </c>
      <c r="FL121">
        <v>5.5845095522787974E-5</v>
      </c>
      <c r="FM121">
        <v>6.5928600244529343E-5</v>
      </c>
      <c r="FN121">
        <v>7.7702598665874479E-5</v>
      </c>
      <c r="FO121">
        <v>6.7528449585589211E-4</v>
      </c>
      <c r="FP121">
        <v>9.5381869985746977E-4</v>
      </c>
      <c r="FQ121">
        <v>1.4504608323730894E-5</v>
      </c>
      <c r="FR121">
        <v>3.8715028691795115E-3</v>
      </c>
      <c r="FS121">
        <v>5.7674682842107033E-5</v>
      </c>
      <c r="FT121">
        <v>2.8404607398963382E-2</v>
      </c>
      <c r="FU121">
        <v>1.2608564859573801E-3</v>
      </c>
      <c r="FV121">
        <v>5.0573632013266193E-4</v>
      </c>
      <c r="FW121">
        <v>2.3872724815961647E-2</v>
      </c>
      <c r="FX121">
        <v>2.3889040523556733E-2</v>
      </c>
      <c r="FY121">
        <v>2.31060605502003E-2</v>
      </c>
      <c r="FZ121">
        <v>2.2092857453975313E-2</v>
      </c>
      <c r="GA121">
        <v>2.3963110989694749E-2</v>
      </c>
      <c r="GB121">
        <v>2.388014160861562E-2</v>
      </c>
      <c r="GC121">
        <v>2.3726484956362471E-2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2.0605690658658162E-2</v>
      </c>
      <c r="GJ121">
        <v>2.1481769382691175E-2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1.0663498241576224E-3</v>
      </c>
      <c r="GR121">
        <v>9.5352465038905498E-4</v>
      </c>
      <c r="GS121">
        <v>3.1815809678716498E-3</v>
      </c>
      <c r="GT121">
        <v>5.5814641857035708E-6</v>
      </c>
      <c r="GU121">
        <v>0</v>
      </c>
    </row>
    <row r="122" spans="1:203">
      <c r="A122" t="s">
        <v>260</v>
      </c>
      <c r="B122">
        <v>119</v>
      </c>
      <c r="C122" t="s">
        <v>14</v>
      </c>
      <c r="D122">
        <v>3.5473498253070516E-9</v>
      </c>
      <c r="E122">
        <v>0</v>
      </c>
      <c r="F122">
        <v>5.9614305458289176E-7</v>
      </c>
      <c r="G122">
        <v>2.8819656191364735E-6</v>
      </c>
      <c r="H122">
        <v>3.5223591243642073E-7</v>
      </c>
      <c r="I122">
        <v>0</v>
      </c>
      <c r="J122">
        <v>0</v>
      </c>
      <c r="K122">
        <v>5.7333670801110825E-6</v>
      </c>
      <c r="L122">
        <v>1.0731142834230692E-7</v>
      </c>
      <c r="M122">
        <v>4.01269060377663E-7</v>
      </c>
      <c r="N122">
        <v>1.9178126597788191E-8</v>
      </c>
      <c r="O122">
        <v>2.0027937306792502E-6</v>
      </c>
      <c r="P122">
        <v>1.1632388710891712E-6</v>
      </c>
      <c r="Q122">
        <v>2.5333890508452115E-6</v>
      </c>
      <c r="R122">
        <v>0</v>
      </c>
      <c r="S122">
        <v>0</v>
      </c>
      <c r="T122">
        <v>0</v>
      </c>
      <c r="U122">
        <v>9.7008860435681008E-6</v>
      </c>
      <c r="V122">
        <v>1.9768120942347003E-5</v>
      </c>
      <c r="W122">
        <v>2.2336425673986451E-6</v>
      </c>
      <c r="X122">
        <v>0</v>
      </c>
      <c r="Y122">
        <v>0</v>
      </c>
      <c r="Z122">
        <v>0</v>
      </c>
      <c r="AA122">
        <v>2.2336425673986451E-6</v>
      </c>
      <c r="AB122">
        <v>0</v>
      </c>
      <c r="AC122">
        <v>0</v>
      </c>
      <c r="AD122">
        <v>0</v>
      </c>
      <c r="AE122">
        <v>0</v>
      </c>
      <c r="AF122">
        <v>2.5635282945020039E-8</v>
      </c>
      <c r="AG122">
        <v>0</v>
      </c>
      <c r="AH122">
        <v>0</v>
      </c>
      <c r="AI122">
        <v>2.2898327323443615E-9</v>
      </c>
      <c r="AJ122">
        <v>8.3705376677671394E-5</v>
      </c>
      <c r="AK122">
        <v>0</v>
      </c>
      <c r="AL122">
        <v>8.5937960360975997E-9</v>
      </c>
      <c r="AM122">
        <v>0</v>
      </c>
      <c r="AN122">
        <v>0</v>
      </c>
      <c r="AO122">
        <v>0</v>
      </c>
      <c r="AP122">
        <v>0</v>
      </c>
      <c r="AQ122">
        <v>4.1775293642312404E-9</v>
      </c>
      <c r="AR122">
        <v>1.2205728562252603E-9</v>
      </c>
      <c r="AS122">
        <v>9.354596807131484E-8</v>
      </c>
      <c r="AT122">
        <v>0</v>
      </c>
      <c r="AU122">
        <v>7.5271617189736853E-7</v>
      </c>
      <c r="AV122">
        <v>1.7383525972555496E-7</v>
      </c>
      <c r="AW122">
        <v>6.6270194194564555E-6</v>
      </c>
      <c r="AX122">
        <v>1.196501679360885E-5</v>
      </c>
      <c r="AY122">
        <v>2.0994077484723228E-6</v>
      </c>
      <c r="AZ122">
        <v>2.0815090248785943E-5</v>
      </c>
      <c r="BA122">
        <v>2.6598560009933345E-5</v>
      </c>
      <c r="BB122">
        <v>4.9755157791069402E-6</v>
      </c>
      <c r="BC122">
        <v>1.173113547498893E-6</v>
      </c>
      <c r="BD122">
        <v>1.2287562279279335E-7</v>
      </c>
      <c r="BE122">
        <v>2.4362211527332906E-8</v>
      </c>
      <c r="BF122">
        <v>1.2230271678740162E-6</v>
      </c>
      <c r="BG122">
        <v>8.0061913148370246E-7</v>
      </c>
      <c r="BH122">
        <v>1.3315253762588761E-5</v>
      </c>
      <c r="BI122">
        <v>2.6915473628130441E-6</v>
      </c>
      <c r="BJ122">
        <v>0</v>
      </c>
      <c r="BK122">
        <v>4.8076280701196264E-6</v>
      </c>
      <c r="BL122">
        <v>0</v>
      </c>
      <c r="BM122">
        <v>4.1351200854957492E-6</v>
      </c>
      <c r="BN122">
        <v>3.0431910409763616E-5</v>
      </c>
      <c r="BO122">
        <v>3.1975966199414486E-4</v>
      </c>
      <c r="BP122">
        <v>0</v>
      </c>
      <c r="BQ122">
        <v>3.1975966199414486E-4</v>
      </c>
      <c r="BR122">
        <v>5.6012277236855487E-5</v>
      </c>
      <c r="BS122">
        <v>0</v>
      </c>
      <c r="BT122">
        <v>0</v>
      </c>
      <c r="BU122">
        <v>5.601227723685548E-5</v>
      </c>
      <c r="BV122">
        <v>5.6012277236855487E-5</v>
      </c>
      <c r="BW122">
        <v>5.6012277236855487E-5</v>
      </c>
      <c r="BX122">
        <v>5.6012277236855487E-5</v>
      </c>
      <c r="BY122">
        <v>5.6012277236855487E-5</v>
      </c>
      <c r="BZ122">
        <v>5.6012277236855487E-5</v>
      </c>
      <c r="CA122">
        <v>5.6012277236855494E-5</v>
      </c>
      <c r="CB122">
        <v>0</v>
      </c>
      <c r="CC122">
        <v>5.601227723685548E-5</v>
      </c>
      <c r="CD122">
        <v>5.6012277236855487E-5</v>
      </c>
      <c r="CE122">
        <v>5.6012277236855487E-5</v>
      </c>
      <c r="CF122">
        <v>5.6012277236855487E-5</v>
      </c>
      <c r="CG122">
        <v>5.6012277236855487E-5</v>
      </c>
      <c r="CH122">
        <v>5.6012277236855487E-5</v>
      </c>
      <c r="CI122">
        <v>5.6012277236855487E-5</v>
      </c>
      <c r="CJ122">
        <v>1.3022788405633449E-5</v>
      </c>
      <c r="CK122">
        <v>4.0262705457246844E-7</v>
      </c>
      <c r="CL122">
        <v>0</v>
      </c>
      <c r="CM122">
        <v>1.8455583754256826E-5</v>
      </c>
      <c r="CN122">
        <v>7.5099740733125162E-7</v>
      </c>
      <c r="CO122">
        <v>6.6456970153584843E-6</v>
      </c>
      <c r="CP122">
        <v>0</v>
      </c>
      <c r="CQ122">
        <v>6.6456970153584843E-6</v>
      </c>
      <c r="CR122">
        <v>0</v>
      </c>
      <c r="CS122">
        <v>6.645697015358486E-6</v>
      </c>
      <c r="CT122">
        <v>0</v>
      </c>
      <c r="CU122">
        <v>1.318883618059883E-5</v>
      </c>
      <c r="CV122">
        <v>4.8104219951528744E-5</v>
      </c>
      <c r="CW122">
        <v>0</v>
      </c>
      <c r="CX122">
        <v>1.1154233325162216E-5</v>
      </c>
      <c r="CY122">
        <v>1.1974326588082887E-6</v>
      </c>
      <c r="CZ122">
        <v>4.4181214943956577E-8</v>
      </c>
      <c r="DA122">
        <v>0</v>
      </c>
      <c r="DB122">
        <v>5.9249532856653163E-6</v>
      </c>
      <c r="DC122">
        <v>8.585702569716629E-6</v>
      </c>
      <c r="DD122">
        <v>0</v>
      </c>
      <c r="DE122">
        <v>2.9927171811868228E-7</v>
      </c>
      <c r="DF122">
        <v>0</v>
      </c>
      <c r="DG122">
        <v>1.8773494606859497E-7</v>
      </c>
      <c r="DH122">
        <v>0</v>
      </c>
      <c r="DI122">
        <v>9.2569072805501112E-10</v>
      </c>
      <c r="DJ122">
        <v>0</v>
      </c>
      <c r="DK122">
        <v>8.1045260042586499E-8</v>
      </c>
      <c r="DL122">
        <v>0</v>
      </c>
      <c r="DM122">
        <v>4.4147965769382346E-7</v>
      </c>
      <c r="DN122">
        <v>0</v>
      </c>
      <c r="DO122">
        <v>4.8707176308196857E-7</v>
      </c>
      <c r="DP122">
        <v>2.7331359381689867E-6</v>
      </c>
      <c r="DQ122">
        <v>2.7550136042979256E-4</v>
      </c>
      <c r="DR122">
        <v>5.4089434248378185E-2</v>
      </c>
      <c r="DS122">
        <v>4.7453008512059988E-5</v>
      </c>
      <c r="DT122">
        <v>9.647151165082676E-5</v>
      </c>
      <c r="DU122">
        <v>3.0900942807836561E-3</v>
      </c>
      <c r="DV122">
        <v>4.8013555655808291E-6</v>
      </c>
      <c r="DW122">
        <v>5.1679927004784759E-6</v>
      </c>
      <c r="DX122">
        <v>8.8770884630557357E-5</v>
      </c>
      <c r="DY122">
        <v>5.4138521702862833E-9</v>
      </c>
      <c r="DZ122">
        <v>0</v>
      </c>
      <c r="EA122">
        <v>8.028789787825202E-6</v>
      </c>
      <c r="EB122">
        <v>3.8496809411325276E-6</v>
      </c>
      <c r="EC122">
        <v>3.0103992089892867E-6</v>
      </c>
      <c r="ED122">
        <v>1.1724563873310424E-6</v>
      </c>
      <c r="EE122">
        <v>3.8214919641983563E-6</v>
      </c>
      <c r="EF122">
        <v>2.2885150197953637E-6</v>
      </c>
      <c r="EG122">
        <v>2.0521056272141967E-5</v>
      </c>
      <c r="EH122">
        <v>6.157383371729068E-6</v>
      </c>
      <c r="EI122">
        <v>0</v>
      </c>
      <c r="EJ122">
        <v>0</v>
      </c>
      <c r="EK122">
        <v>0</v>
      </c>
      <c r="EL122">
        <v>1.9032852959366173E-5</v>
      </c>
      <c r="EM122">
        <v>1.6429483702152596E-5</v>
      </c>
      <c r="EN122">
        <v>1.6230099409043936E-5</v>
      </c>
      <c r="EO122">
        <v>2.2985641787818319E-6</v>
      </c>
      <c r="EP122">
        <v>2.2985641787818319E-6</v>
      </c>
      <c r="EQ122">
        <v>2.2985641787818323E-6</v>
      </c>
      <c r="ER122">
        <v>0</v>
      </c>
      <c r="ES122">
        <v>2.2985641787818319E-6</v>
      </c>
      <c r="ET122">
        <v>2.2985641787818319E-6</v>
      </c>
      <c r="EU122">
        <v>3.5364619588009525E-7</v>
      </c>
      <c r="EV122">
        <v>1.4468034708145401E-6</v>
      </c>
      <c r="EW122">
        <v>3.0705455555840506E-5</v>
      </c>
      <c r="EX122">
        <v>0</v>
      </c>
      <c r="EY122">
        <v>1.035364425109815E-9</v>
      </c>
      <c r="EZ122">
        <v>1.4500887401445022E-8</v>
      </c>
      <c r="FA122">
        <v>1.1484346997727822E-10</v>
      </c>
      <c r="FB122">
        <v>2.2113127653534775E-10</v>
      </c>
      <c r="FC122">
        <v>1.0188044272416099E-5</v>
      </c>
      <c r="FD122">
        <v>1.8062350082116425E-8</v>
      </c>
      <c r="FE122">
        <v>7.7923538654009301E-8</v>
      </c>
      <c r="FF122">
        <v>1.3374483499153409E-8</v>
      </c>
      <c r="FG122">
        <v>8.0998060394153497E-10</v>
      </c>
      <c r="FH122">
        <v>0</v>
      </c>
      <c r="FI122">
        <v>2.3972573733878606E-9</v>
      </c>
      <c r="FJ122">
        <v>2.2350400762615793E-9</v>
      </c>
      <c r="FK122">
        <v>1.3498078664211274E-10</v>
      </c>
      <c r="FL122">
        <v>5.0340372170801348E-5</v>
      </c>
      <c r="FM122">
        <v>8.9240261131728579E-5</v>
      </c>
      <c r="FN122">
        <v>1.016444789636871E-4</v>
      </c>
      <c r="FO122">
        <v>4.3481024338752347E-6</v>
      </c>
      <c r="FP122">
        <v>4.3495964269508157E-3</v>
      </c>
      <c r="FQ122">
        <v>1.49763718208515E-8</v>
      </c>
      <c r="FR122">
        <v>9.8922355274515977E-4</v>
      </c>
      <c r="FS122">
        <v>2.0339140826666096E-4</v>
      </c>
      <c r="FT122">
        <v>1.3396695643640673E-3</v>
      </c>
      <c r="FU122">
        <v>2.585786624021219E-4</v>
      </c>
      <c r="FV122">
        <v>1.7489888078961718E-4</v>
      </c>
      <c r="FW122">
        <v>2.1371861185077141E-5</v>
      </c>
      <c r="FX122">
        <v>2.1339714821464143E-5</v>
      </c>
      <c r="FY122">
        <v>2.0231840321030621E-5</v>
      </c>
      <c r="FZ122">
        <v>1.9185929864795579E-5</v>
      </c>
      <c r="GA122">
        <v>2.1299918361373124E-5</v>
      </c>
      <c r="GB122">
        <v>2.121443145528172E-5</v>
      </c>
      <c r="GC122">
        <v>2.1074711401719297E-5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1.8186485512617375E-5</v>
      </c>
      <c r="GJ122">
        <v>1.9104754227191741E-5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2.2713084889725571E-4</v>
      </c>
      <c r="GR122">
        <v>5.7916934403970484E-5</v>
      </c>
      <c r="GS122">
        <v>3.7878728785033182E-5</v>
      </c>
      <c r="GT122">
        <v>2.5726134897226122E-8</v>
      </c>
      <c r="GU122">
        <v>0</v>
      </c>
    </row>
    <row r="123" spans="1:203">
      <c r="A123" t="s">
        <v>261</v>
      </c>
      <c r="B123">
        <v>120</v>
      </c>
      <c r="C123" t="s">
        <v>15</v>
      </c>
      <c r="D123">
        <v>1.5723526115151128E-8</v>
      </c>
      <c r="E123">
        <v>0</v>
      </c>
      <c r="F123">
        <v>0</v>
      </c>
      <c r="G123">
        <v>3.0147504633906702E-4</v>
      </c>
      <c r="H123">
        <v>5.3926888845329138E-5</v>
      </c>
      <c r="I123">
        <v>0</v>
      </c>
      <c r="J123">
        <v>0</v>
      </c>
      <c r="K123">
        <v>5.6959619433892593E-4</v>
      </c>
      <c r="L123">
        <v>5.0434343444718342E-5</v>
      </c>
      <c r="M123">
        <v>1.8929397269708156E-4</v>
      </c>
      <c r="N123">
        <v>1.491597668239749E-3</v>
      </c>
      <c r="O123">
        <v>1.8490206877638143E-3</v>
      </c>
      <c r="P123">
        <v>1.4682479293625064E-3</v>
      </c>
      <c r="Q123">
        <v>1.0730175709377726E-3</v>
      </c>
      <c r="R123">
        <v>0</v>
      </c>
      <c r="S123">
        <v>0</v>
      </c>
      <c r="T123">
        <v>0</v>
      </c>
      <c r="U123">
        <v>3.909882523586175E-4</v>
      </c>
      <c r="V123">
        <v>8.4612772846519354E-3</v>
      </c>
      <c r="W123">
        <v>5.4579714141355026E-3</v>
      </c>
      <c r="X123">
        <v>0</v>
      </c>
      <c r="Y123">
        <v>0</v>
      </c>
      <c r="Z123">
        <v>0</v>
      </c>
      <c r="AA123">
        <v>5.4579714141355018E-3</v>
      </c>
      <c r="AB123">
        <v>0</v>
      </c>
      <c r="AC123">
        <v>0</v>
      </c>
      <c r="AD123">
        <v>0</v>
      </c>
      <c r="AE123">
        <v>6.0588328222741422E-5</v>
      </c>
      <c r="AF123">
        <v>3.5115123039620135E-8</v>
      </c>
      <c r="AG123">
        <v>0</v>
      </c>
      <c r="AH123">
        <v>0</v>
      </c>
      <c r="AI123">
        <v>2.5464009744700966E-7</v>
      </c>
      <c r="AJ123">
        <v>4.6233179280243759E-4</v>
      </c>
      <c r="AK123">
        <v>0</v>
      </c>
      <c r="AL123">
        <v>8.8379976476087676E-9</v>
      </c>
      <c r="AM123">
        <v>0</v>
      </c>
      <c r="AN123">
        <v>4.0381431751949281E-8</v>
      </c>
      <c r="AO123">
        <v>7.3341666422020277E-7</v>
      </c>
      <c r="AP123">
        <v>1.1967557035204359E-5</v>
      </c>
      <c r="AQ123">
        <v>6.3183140052321936E-9</v>
      </c>
      <c r="AR123">
        <v>1.268383235746225E-9</v>
      </c>
      <c r="AS123">
        <v>2.3176521665908053E-3</v>
      </c>
      <c r="AT123">
        <v>0</v>
      </c>
      <c r="AU123">
        <v>1.8892724397304113E-7</v>
      </c>
      <c r="AV123">
        <v>6.221675542355212E-8</v>
      </c>
      <c r="AW123">
        <v>3.4972122124807623E-6</v>
      </c>
      <c r="AX123">
        <v>1.5326308782522956E-4</v>
      </c>
      <c r="AY123">
        <v>6.9069214985851657E-4</v>
      </c>
      <c r="AZ123">
        <v>6.4698418329886054E-5</v>
      </c>
      <c r="BA123">
        <v>5.5722306710241968E-4</v>
      </c>
      <c r="BB123">
        <v>1.1507359209903776E-4</v>
      </c>
      <c r="BC123">
        <v>2.0706094198466081E-4</v>
      </c>
      <c r="BD123">
        <v>1.9132518727752503E-4</v>
      </c>
      <c r="BE123">
        <v>3.2955730134821322E-8</v>
      </c>
      <c r="BF123">
        <v>6.0555925269867273E-4</v>
      </c>
      <c r="BG123">
        <v>3.5538959075079833E-4</v>
      </c>
      <c r="BH123">
        <v>4.7657591258039295E-4</v>
      </c>
      <c r="BI123">
        <v>1.8103918104094895E-3</v>
      </c>
      <c r="BJ123">
        <v>0</v>
      </c>
      <c r="BK123">
        <v>1.1334433327904307E-3</v>
      </c>
      <c r="BL123">
        <v>0</v>
      </c>
      <c r="BM123">
        <v>7.8204409920397833E-4</v>
      </c>
      <c r="BN123">
        <v>6.2150612158338677E-4</v>
      </c>
      <c r="BO123">
        <v>9.3598457777372499E-3</v>
      </c>
      <c r="BP123">
        <v>0</v>
      </c>
      <c r="BQ123">
        <v>9.3598457777372499E-3</v>
      </c>
      <c r="BR123">
        <v>1.290871681827565E-3</v>
      </c>
      <c r="BS123">
        <v>0</v>
      </c>
      <c r="BT123">
        <v>0</v>
      </c>
      <c r="BU123">
        <v>1.2908716818275648E-3</v>
      </c>
      <c r="BV123">
        <v>1.2908716818275648E-3</v>
      </c>
      <c r="BW123">
        <v>1.290871681827565E-3</v>
      </c>
      <c r="BX123">
        <v>1.290871681827565E-3</v>
      </c>
      <c r="BY123">
        <v>1.290871681827565E-3</v>
      </c>
      <c r="BZ123">
        <v>1.290871681827565E-3</v>
      </c>
      <c r="CA123">
        <v>1.290871681827565E-3</v>
      </c>
      <c r="CB123">
        <v>0</v>
      </c>
      <c r="CC123">
        <v>1.290871681827565E-3</v>
      </c>
      <c r="CD123">
        <v>1.290871681827565E-3</v>
      </c>
      <c r="CE123">
        <v>1.290871681827565E-3</v>
      </c>
      <c r="CF123">
        <v>1.290871681827565E-3</v>
      </c>
      <c r="CG123">
        <v>1.290871681827565E-3</v>
      </c>
      <c r="CH123">
        <v>1.290871681827565E-3</v>
      </c>
      <c r="CI123">
        <v>1.290871681827565E-3</v>
      </c>
      <c r="CJ123">
        <v>2.9668794632285272E-4</v>
      </c>
      <c r="CK123">
        <v>5.3937846065656197E-5</v>
      </c>
      <c r="CL123">
        <v>0</v>
      </c>
      <c r="CM123">
        <v>1.8680920305891528E-3</v>
      </c>
      <c r="CN123">
        <v>2.0875652228224597E-3</v>
      </c>
      <c r="CO123">
        <v>5.4915611884289101E-4</v>
      </c>
      <c r="CP123">
        <v>0</v>
      </c>
      <c r="CQ123">
        <v>5.4915611884289112E-4</v>
      </c>
      <c r="CR123">
        <v>0</v>
      </c>
      <c r="CS123">
        <v>5.4915611884289112E-4</v>
      </c>
      <c r="CT123">
        <v>0</v>
      </c>
      <c r="CU123">
        <v>1.7280919448201793E-3</v>
      </c>
      <c r="CV123">
        <v>2.6331739862655527E-3</v>
      </c>
      <c r="CW123">
        <v>0</v>
      </c>
      <c r="CX123">
        <v>1.5496087092968108E-3</v>
      </c>
      <c r="CY123">
        <v>4.0137335118671952E-4</v>
      </c>
      <c r="CZ123">
        <v>3.0467445592985903E-4</v>
      </c>
      <c r="DA123">
        <v>0</v>
      </c>
      <c r="DB123">
        <v>1.300628370027301E-3</v>
      </c>
      <c r="DC123">
        <v>4.7123343741274793E-3</v>
      </c>
      <c r="DD123">
        <v>0</v>
      </c>
      <c r="DE123">
        <v>2.2485119212161688E-3</v>
      </c>
      <c r="DF123">
        <v>0</v>
      </c>
      <c r="DG123">
        <v>1.3543447151773457E-3</v>
      </c>
      <c r="DH123">
        <v>0</v>
      </c>
      <c r="DI123">
        <v>1.0527634718626419E-9</v>
      </c>
      <c r="DJ123">
        <v>0</v>
      </c>
      <c r="DK123">
        <v>5.7071477351631659E-4</v>
      </c>
      <c r="DL123">
        <v>0</v>
      </c>
      <c r="DM123">
        <v>3.2920093943632493E-3</v>
      </c>
      <c r="DN123">
        <v>0</v>
      </c>
      <c r="DO123">
        <v>4.3111476235663864E-3</v>
      </c>
      <c r="DP123">
        <v>4.1363545733512303E-3</v>
      </c>
      <c r="DQ123">
        <v>3.9953114337451044E-2</v>
      </c>
      <c r="DR123">
        <v>4.5429616612540524E-2</v>
      </c>
      <c r="DS123">
        <v>0.19170181311592149</v>
      </c>
      <c r="DT123">
        <v>1.8900303624610933E-2</v>
      </c>
      <c r="DU123">
        <v>4.0517748992832822E-2</v>
      </c>
      <c r="DV123">
        <v>1.6872456052732465E-2</v>
      </c>
      <c r="DW123">
        <v>1.2028266697524954E-2</v>
      </c>
      <c r="DX123">
        <v>6.1363180764872436E-3</v>
      </c>
      <c r="DY123">
        <v>1.0844480212343969E-8</v>
      </c>
      <c r="DZ123">
        <v>0</v>
      </c>
      <c r="EA123">
        <v>1.7455011872601071E-2</v>
      </c>
      <c r="EB123">
        <v>1.2550715468574199E-2</v>
      </c>
      <c r="EC123">
        <v>8.6633192040331021E-3</v>
      </c>
      <c r="ED123">
        <v>8.6537088785197426E-3</v>
      </c>
      <c r="EE123">
        <v>9.8284371687017424E-3</v>
      </c>
      <c r="EF123">
        <v>9.6422938294461611E-5</v>
      </c>
      <c r="EG123">
        <v>2.157362501490204E-2</v>
      </c>
      <c r="EH123">
        <v>9.5105877418196691E-3</v>
      </c>
      <c r="EI123">
        <v>0</v>
      </c>
      <c r="EJ123">
        <v>0</v>
      </c>
      <c r="EK123">
        <v>0</v>
      </c>
      <c r="EL123">
        <v>1.6366660117086748E-2</v>
      </c>
      <c r="EM123">
        <v>1.8804603681115514E-2</v>
      </c>
      <c r="EN123">
        <v>1.892525805556728E-2</v>
      </c>
      <c r="EO123">
        <v>6.1109134416458691E-5</v>
      </c>
      <c r="EP123">
        <v>6.1109134416458677E-5</v>
      </c>
      <c r="EQ123">
        <v>6.1109134416458677E-5</v>
      </c>
      <c r="ER123">
        <v>0</v>
      </c>
      <c r="ES123">
        <v>6.1109134416458677E-5</v>
      </c>
      <c r="ET123">
        <v>6.1109134416458677E-5</v>
      </c>
      <c r="EU123">
        <v>5.098876907627364E-5</v>
      </c>
      <c r="EV123">
        <v>3.6900257627333634E-4</v>
      </c>
      <c r="EW123">
        <v>4.1509944850776498E-2</v>
      </c>
      <c r="EX123">
        <v>0</v>
      </c>
      <c r="EY123">
        <v>1.0383505118817243E-9</v>
      </c>
      <c r="EZ123">
        <v>1.4698462841929013E-8</v>
      </c>
      <c r="FA123">
        <v>1.167246912912183E-10</v>
      </c>
      <c r="FB123">
        <v>2.2447596990762708E-10</v>
      </c>
      <c r="FC123">
        <v>1.0619233630977088E-3</v>
      </c>
      <c r="FD123">
        <v>2.6851400571456799E-7</v>
      </c>
      <c r="FE123">
        <v>1.3896302243559736E-4</v>
      </c>
      <c r="FF123">
        <v>1.495730274279072E-8</v>
      </c>
      <c r="FG123">
        <v>1.0287540717605511E-9</v>
      </c>
      <c r="FH123">
        <v>1.1574855511542419E-4</v>
      </c>
      <c r="FI123">
        <v>2.669687044811991E-9</v>
      </c>
      <c r="FJ123">
        <v>2.8113209298330795E-9</v>
      </c>
      <c r="FK123">
        <v>1.4083620852688656E-10</v>
      </c>
      <c r="FL123">
        <v>1.2272989779496323E-4</v>
      </c>
      <c r="FM123">
        <v>2.9413933661884246E-4</v>
      </c>
      <c r="FN123">
        <v>2.1431805171995792E-4</v>
      </c>
      <c r="FO123">
        <v>1.8394527801009054E-4</v>
      </c>
      <c r="FP123">
        <v>5.9923661724024255E-3</v>
      </c>
      <c r="FQ123">
        <v>6.0895722360627459E-7</v>
      </c>
      <c r="FR123">
        <v>8.0184208863472856E-3</v>
      </c>
      <c r="FS123">
        <v>7.0433295249061254E-4</v>
      </c>
      <c r="FT123">
        <v>9.4938164490274027E-4</v>
      </c>
      <c r="FU123">
        <v>3.2300910730056229E-3</v>
      </c>
      <c r="FV123">
        <v>1.298507316304653E-3</v>
      </c>
      <c r="FW123">
        <v>2.817695112645519E-3</v>
      </c>
      <c r="FX123">
        <v>2.7856158269093053E-3</v>
      </c>
      <c r="FY123">
        <v>2.63305777895986E-3</v>
      </c>
      <c r="FZ123">
        <v>2.6001174285203697E-3</v>
      </c>
      <c r="GA123">
        <v>2.7825195769685552E-3</v>
      </c>
      <c r="GB123">
        <v>2.7749320324194789E-3</v>
      </c>
      <c r="GC123">
        <v>2.7638029645306104E-3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2.4428055857249591E-3</v>
      </c>
      <c r="GJ123">
        <v>2.5522003182930153E-3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2.343220896960142E-3</v>
      </c>
      <c r="GR123">
        <v>2.3738645553876276E-3</v>
      </c>
      <c r="GS123">
        <v>8.8529452655459889E-3</v>
      </c>
      <c r="GT123">
        <v>4.5230989672840009E-5</v>
      </c>
      <c r="GU123">
        <v>0</v>
      </c>
    </row>
    <row r="124" spans="1:203">
      <c r="A124" t="s">
        <v>262</v>
      </c>
      <c r="B124">
        <v>121</v>
      </c>
      <c r="C124" t="s">
        <v>14</v>
      </c>
      <c r="D124">
        <v>3.0878332479214625E-7</v>
      </c>
      <c r="E124">
        <v>0</v>
      </c>
      <c r="F124">
        <v>0</v>
      </c>
      <c r="G124">
        <v>2.4173026021632102E-4</v>
      </c>
      <c r="H124">
        <v>7.3533919873104678E-5</v>
      </c>
      <c r="I124">
        <v>0</v>
      </c>
      <c r="J124">
        <v>0</v>
      </c>
      <c r="K124">
        <v>6.3959710215176296E-4</v>
      </c>
      <c r="L124">
        <v>5.861762678646296E-5</v>
      </c>
      <c r="M124">
        <v>5.6016312825622787E-5</v>
      </c>
      <c r="N124">
        <v>1.4196856910500266E-6</v>
      </c>
      <c r="O124">
        <v>0</v>
      </c>
      <c r="P124">
        <v>1.5066730808121302E-6</v>
      </c>
      <c r="Q124">
        <v>1.2094935517593154E-4</v>
      </c>
      <c r="R124">
        <v>0</v>
      </c>
      <c r="S124">
        <v>0</v>
      </c>
      <c r="T124">
        <v>0</v>
      </c>
      <c r="U124">
        <v>1.9907928202672086E-4</v>
      </c>
      <c r="V124">
        <v>2.1540143260344469E-3</v>
      </c>
      <c r="W124">
        <v>3.803958390652872E-4</v>
      </c>
      <c r="X124">
        <v>0</v>
      </c>
      <c r="Y124">
        <v>0</v>
      </c>
      <c r="Z124">
        <v>0</v>
      </c>
      <c r="AA124">
        <v>3.803958390652872E-4</v>
      </c>
      <c r="AB124">
        <v>0</v>
      </c>
      <c r="AC124">
        <v>0</v>
      </c>
      <c r="AD124">
        <v>0</v>
      </c>
      <c r="AE124">
        <v>4.1093228199268968E-6</v>
      </c>
      <c r="AF124">
        <v>3.6554825739558389E-8</v>
      </c>
      <c r="AG124">
        <v>0</v>
      </c>
      <c r="AH124">
        <v>0</v>
      </c>
      <c r="AI124">
        <v>3.5623590680409638E-10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7.1045400727858931E-9</v>
      </c>
      <c r="AR124">
        <v>1.3055767752556364E-9</v>
      </c>
      <c r="AS124">
        <v>4.9768462014116355E-4</v>
      </c>
      <c r="AT124">
        <v>0</v>
      </c>
      <c r="AU124">
        <v>1.2016590711822929E-6</v>
      </c>
      <c r="AV124">
        <v>7.055908871412844E-7</v>
      </c>
      <c r="AW124">
        <v>1.4394374482355527E-5</v>
      </c>
      <c r="AX124">
        <v>1.3686754746535161E-2</v>
      </c>
      <c r="AY124">
        <v>7.0850705539342697E-4</v>
      </c>
      <c r="AZ124">
        <v>4.4773094256597814E-3</v>
      </c>
      <c r="BA124">
        <v>3.2420019494894318E-4</v>
      </c>
      <c r="BB124">
        <v>2.5574290960968574E-4</v>
      </c>
      <c r="BC124">
        <v>2.424269872505885E-4</v>
      </c>
      <c r="BD124">
        <v>3.8560742042613601E-4</v>
      </c>
      <c r="BE124">
        <v>5.6142749278981675E-8</v>
      </c>
      <c r="BF124">
        <v>5.4093794346130237E-4</v>
      </c>
      <c r="BG124">
        <v>3.3133897633512454E-4</v>
      </c>
      <c r="BH124">
        <v>4.1164049235285413E-4</v>
      </c>
      <c r="BI124">
        <v>4.1707916359663716E-4</v>
      </c>
      <c r="BJ124">
        <v>0</v>
      </c>
      <c r="BK124">
        <v>5.2850034142288985E-4</v>
      </c>
      <c r="BL124">
        <v>0</v>
      </c>
      <c r="BM124">
        <v>3.9590032155039934E-4</v>
      </c>
      <c r="BN124">
        <v>9.2898650722900069E-4</v>
      </c>
      <c r="BO124">
        <v>3.2543235874153528E-3</v>
      </c>
      <c r="BP124">
        <v>0</v>
      </c>
      <c r="BQ124">
        <v>3.2543235874153528E-3</v>
      </c>
      <c r="BR124">
        <v>1.0242697565409553E-3</v>
      </c>
      <c r="BS124">
        <v>0</v>
      </c>
      <c r="BT124">
        <v>0</v>
      </c>
      <c r="BU124">
        <v>1.0242697565409551E-3</v>
      </c>
      <c r="BV124">
        <v>1.0242697565409553E-3</v>
      </c>
      <c r="BW124">
        <v>1.0242697565409553E-3</v>
      </c>
      <c r="BX124">
        <v>1.0242697565409553E-3</v>
      </c>
      <c r="BY124">
        <v>1.0242697565409553E-3</v>
      </c>
      <c r="BZ124">
        <v>1.0242697565409553E-3</v>
      </c>
      <c r="CA124">
        <v>1.0242697565409553E-3</v>
      </c>
      <c r="CB124">
        <v>0</v>
      </c>
      <c r="CC124">
        <v>1.0242697565409553E-3</v>
      </c>
      <c r="CD124">
        <v>1.0242697565409551E-3</v>
      </c>
      <c r="CE124">
        <v>1.0242697565409553E-3</v>
      </c>
      <c r="CF124">
        <v>1.0242697565409553E-3</v>
      </c>
      <c r="CG124">
        <v>1.0242697565409553E-3</v>
      </c>
      <c r="CH124">
        <v>1.0242697565409553E-3</v>
      </c>
      <c r="CI124">
        <v>1.0242697565409553E-3</v>
      </c>
      <c r="CJ124">
        <v>2.8000751264817645E-5</v>
      </c>
      <c r="CK124">
        <v>6.9467324241649159E-5</v>
      </c>
      <c r="CL124">
        <v>0</v>
      </c>
      <c r="CM124">
        <v>3.8301151490943805E-4</v>
      </c>
      <c r="CN124">
        <v>4.4516516582046069E-4</v>
      </c>
      <c r="CO124">
        <v>4.5483848062129667E-4</v>
      </c>
      <c r="CP124">
        <v>0</v>
      </c>
      <c r="CQ124">
        <v>4.5483848062129667E-4</v>
      </c>
      <c r="CR124">
        <v>0</v>
      </c>
      <c r="CS124">
        <v>4.5483848062129672E-4</v>
      </c>
      <c r="CT124">
        <v>0</v>
      </c>
      <c r="CU124">
        <v>5.370010547003333E-4</v>
      </c>
      <c r="CV124">
        <v>4.8160190721999695E-4</v>
      </c>
      <c r="CW124">
        <v>0</v>
      </c>
      <c r="CX124">
        <v>2.7554222783823725E-4</v>
      </c>
      <c r="CY124">
        <v>1.6678136317182265E-4</v>
      </c>
      <c r="CZ124">
        <v>1.2221411622315411E-4</v>
      </c>
      <c r="DA124">
        <v>0</v>
      </c>
      <c r="DB124">
        <v>4.0799963553195403E-4</v>
      </c>
      <c r="DC124">
        <v>1.7381786463516948E-3</v>
      </c>
      <c r="DD124">
        <v>0</v>
      </c>
      <c r="DE124">
        <v>2.9260251661269165E-3</v>
      </c>
      <c r="DF124">
        <v>0</v>
      </c>
      <c r="DG124">
        <v>2.376169680697169E-4</v>
      </c>
      <c r="DH124">
        <v>0</v>
      </c>
      <c r="DI124">
        <v>1.0767143206354113E-9</v>
      </c>
      <c r="DJ124">
        <v>0</v>
      </c>
      <c r="DK124">
        <v>1.6966288303435831E-4</v>
      </c>
      <c r="DL124">
        <v>0</v>
      </c>
      <c r="DM124">
        <v>2.8928176862533613E-4</v>
      </c>
      <c r="DN124">
        <v>0</v>
      </c>
      <c r="DO124">
        <v>4.6525891331573199E-4</v>
      </c>
      <c r="DP124">
        <v>4.252010112034094E-4</v>
      </c>
      <c r="DQ124">
        <v>1.1869579443156433E-2</v>
      </c>
      <c r="DR124">
        <v>0.22454681550822669</v>
      </c>
      <c r="DS124">
        <v>2.4241840261804148E-2</v>
      </c>
      <c r="DT124">
        <v>0.34631409099405958</v>
      </c>
      <c r="DU124">
        <v>9.4317989873018884E-2</v>
      </c>
      <c r="DV124">
        <v>7.6560293561871101E-3</v>
      </c>
      <c r="DW124">
        <v>3.348783623908445E-3</v>
      </c>
      <c r="DX124">
        <v>2.2973012117950111E-3</v>
      </c>
      <c r="DY124">
        <v>1.610748103910022E-8</v>
      </c>
      <c r="DZ124">
        <v>0</v>
      </c>
      <c r="EA124">
        <v>2.9078755565226703E-3</v>
      </c>
      <c r="EB124">
        <v>2.0451390442879822E-3</v>
      </c>
      <c r="EC124">
        <v>1.839831910547437E-3</v>
      </c>
      <c r="ED124">
        <v>1.4494869283751656E-3</v>
      </c>
      <c r="EE124">
        <v>1.6232037681887359E-3</v>
      </c>
      <c r="EF124">
        <v>8.6046530796731737E-4</v>
      </c>
      <c r="EG124">
        <v>4.4213583699862389E-3</v>
      </c>
      <c r="EH124">
        <v>1.5588519843360705E-3</v>
      </c>
      <c r="EI124">
        <v>0</v>
      </c>
      <c r="EJ124">
        <v>0</v>
      </c>
      <c r="EK124">
        <v>0</v>
      </c>
      <c r="EL124">
        <v>2.4520277336382377E-3</v>
      </c>
      <c r="EM124">
        <v>2.832527097639476E-3</v>
      </c>
      <c r="EN124">
        <v>2.8333858823542599E-3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3.9697374930577507E-5</v>
      </c>
      <c r="EV124">
        <v>6.1467132358659254E-4</v>
      </c>
      <c r="EW124">
        <v>4.073694592406845E-3</v>
      </c>
      <c r="EX124">
        <v>0</v>
      </c>
      <c r="EY124">
        <v>1.0419452894186672E-9</v>
      </c>
      <c r="EZ124">
        <v>1.495663553881825E-8</v>
      </c>
      <c r="FA124">
        <v>1.1905833350518005E-10</v>
      </c>
      <c r="FB124">
        <v>2.2861369691100468E-10</v>
      </c>
      <c r="FC124">
        <v>3.435082905248073E-4</v>
      </c>
      <c r="FD124">
        <v>3.3421957691395792E-4</v>
      </c>
      <c r="FE124">
        <v>1.3339156528939216E-4</v>
      </c>
      <c r="FF124">
        <v>1.653859580723026E-8</v>
      </c>
      <c r="FG124">
        <v>1.0768807304373389E-9</v>
      </c>
      <c r="FH124">
        <v>8.9393359510879226E-6</v>
      </c>
      <c r="FI124">
        <v>3.0860399037104433E-9</v>
      </c>
      <c r="FJ124">
        <v>3.6468384245459669E-9</v>
      </c>
      <c r="FK124">
        <v>1.4854554694803583E-10</v>
      </c>
      <c r="FL124">
        <v>5.0171958284098627E-4</v>
      </c>
      <c r="FM124">
        <v>5.839402703089842E-4</v>
      </c>
      <c r="FN124">
        <v>1.1479558483983878E-3</v>
      </c>
      <c r="FO124">
        <v>4.0943139093029381E-4</v>
      </c>
      <c r="FP124">
        <v>2.1633774006894818E-3</v>
      </c>
      <c r="FQ124">
        <v>1.2411544499363347E-3</v>
      </c>
      <c r="FR124">
        <v>1.5841590079378999E-2</v>
      </c>
      <c r="FS124">
        <v>7.5015932876345258E-4</v>
      </c>
      <c r="FT124">
        <v>1.0878067300088641E-3</v>
      </c>
      <c r="FU124">
        <v>1.7761634950670625E-3</v>
      </c>
      <c r="FV124">
        <v>8.4678752620046655E-4</v>
      </c>
      <c r="FW124">
        <v>2.3454089501309511E-3</v>
      </c>
      <c r="FX124">
        <v>2.3294939395849586E-3</v>
      </c>
      <c r="FY124">
        <v>2.2431351099350631E-3</v>
      </c>
      <c r="FZ124">
        <v>2.2087517783315894E-3</v>
      </c>
      <c r="GA124">
        <v>2.3375371671338963E-3</v>
      </c>
      <c r="GB124">
        <v>2.3312237063323063E-3</v>
      </c>
      <c r="GC124">
        <v>2.3207223583114243E-3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2.0485333623487907E-3</v>
      </c>
      <c r="GJ124">
        <v>2.1289323900221349E-3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1.5210828086412301E-3</v>
      </c>
      <c r="GR124">
        <v>4.1810286159580873E-3</v>
      </c>
      <c r="GS124">
        <v>9.907643589549632E-3</v>
      </c>
      <c r="GT124">
        <v>1.0032011873207142E-6</v>
      </c>
      <c r="GU124">
        <v>0</v>
      </c>
    </row>
    <row r="125" spans="1:203">
      <c r="A125" t="s">
        <v>263</v>
      </c>
      <c r="B125">
        <v>122</v>
      </c>
      <c r="C125" t="s">
        <v>14</v>
      </c>
      <c r="D125">
        <v>1.1656657475834118E-8</v>
      </c>
      <c r="E125">
        <v>8.9415746859725595E-6</v>
      </c>
      <c r="F125">
        <v>5.2436820030541867E-6</v>
      </c>
      <c r="G125">
        <v>2.7574041811539966E-5</v>
      </c>
      <c r="H125">
        <v>2.773390439971112E-6</v>
      </c>
      <c r="I125">
        <v>0</v>
      </c>
      <c r="J125">
        <v>0</v>
      </c>
      <c r="K125">
        <v>2.4356383532338433E-4</v>
      </c>
      <c r="L125">
        <v>2.1855065438890079E-8</v>
      </c>
      <c r="M125">
        <v>3.3900534837183202E-6</v>
      </c>
      <c r="N125">
        <v>6.3425593562668007E-8</v>
      </c>
      <c r="O125">
        <v>6.9475028171012462E-6</v>
      </c>
      <c r="P125">
        <v>3.6391028243836128E-4</v>
      </c>
      <c r="Q125">
        <v>5.0571200724638444E-4</v>
      </c>
      <c r="R125">
        <v>0</v>
      </c>
      <c r="S125">
        <v>0</v>
      </c>
      <c r="T125">
        <v>0</v>
      </c>
      <c r="U125">
        <v>6.6934314193183345E-5</v>
      </c>
      <c r="V125">
        <v>5.8938449544328805E-4</v>
      </c>
      <c r="W125">
        <v>8.9113505850044384E-7</v>
      </c>
      <c r="X125">
        <v>0</v>
      </c>
      <c r="Y125">
        <v>0</v>
      </c>
      <c r="Z125">
        <v>0</v>
      </c>
      <c r="AA125">
        <v>8.9113505850044394E-7</v>
      </c>
      <c r="AB125">
        <v>0</v>
      </c>
      <c r="AC125">
        <v>0</v>
      </c>
      <c r="AD125">
        <v>0</v>
      </c>
      <c r="AE125">
        <v>3.4882160513178877E-7</v>
      </c>
      <c r="AF125">
        <v>2.9144237048620249E-8</v>
      </c>
      <c r="AG125">
        <v>0</v>
      </c>
      <c r="AH125">
        <v>0</v>
      </c>
      <c r="AI125">
        <v>1.7150410733511005E-7</v>
      </c>
      <c r="AJ125">
        <v>4.7202034822032014E-6</v>
      </c>
      <c r="AK125">
        <v>0</v>
      </c>
      <c r="AL125">
        <v>8.1368060008816336E-9</v>
      </c>
      <c r="AM125">
        <v>0</v>
      </c>
      <c r="AN125">
        <v>3.7023737033020819E-8</v>
      </c>
      <c r="AO125">
        <v>6.5394031582619649E-7</v>
      </c>
      <c r="AP125">
        <v>5.2863769124161405E-6</v>
      </c>
      <c r="AQ125">
        <v>4.8115486430506782E-9</v>
      </c>
      <c r="AR125">
        <v>1.182798623364165E-9</v>
      </c>
      <c r="AS125">
        <v>4.4153456556284654E-6</v>
      </c>
      <c r="AT125">
        <v>0</v>
      </c>
      <c r="AU125">
        <v>2.0382811796924523E-8</v>
      </c>
      <c r="AV125">
        <v>1.269399242509035E-8</v>
      </c>
      <c r="AW125">
        <v>2.2665781769811357E-6</v>
      </c>
      <c r="AX125">
        <v>6.4533446381663618E-7</v>
      </c>
      <c r="AY125">
        <v>5.9023219090334837E-5</v>
      </c>
      <c r="AZ125">
        <v>3.8954490948850508E-6</v>
      </c>
      <c r="BA125">
        <v>6.3351777466701191E-5</v>
      </c>
      <c r="BB125">
        <v>6.5250389249700305E-9</v>
      </c>
      <c r="BC125">
        <v>2.8539951197926642E-8</v>
      </c>
      <c r="BD125">
        <v>2.4321357803903805E-5</v>
      </c>
      <c r="BE125">
        <v>1.6254330061208428E-8</v>
      </c>
      <c r="BF125">
        <v>9.6246789232179755E-8</v>
      </c>
      <c r="BG125">
        <v>1.1025902795996548E-5</v>
      </c>
      <c r="BH125">
        <v>1.1250557701415469E-6</v>
      </c>
      <c r="BI125">
        <v>1.8418249903383457E-6</v>
      </c>
      <c r="BJ125">
        <v>0</v>
      </c>
      <c r="BK125">
        <v>9.559209416832138E-6</v>
      </c>
      <c r="BL125">
        <v>0</v>
      </c>
      <c r="BM125">
        <v>1.8439803870648185E-8</v>
      </c>
      <c r="BN125">
        <v>1.5910339404293131E-8</v>
      </c>
      <c r="BO125">
        <v>7.4070696134836446E-4</v>
      </c>
      <c r="BP125">
        <v>0</v>
      </c>
      <c r="BQ125">
        <v>7.4070696134836446E-4</v>
      </c>
      <c r="BR125">
        <v>7.5154407570176185E-4</v>
      </c>
      <c r="BS125">
        <v>0</v>
      </c>
      <c r="BT125">
        <v>0</v>
      </c>
      <c r="BU125">
        <v>7.5154407570176185E-4</v>
      </c>
      <c r="BV125">
        <v>7.5154407570176185E-4</v>
      </c>
      <c r="BW125">
        <v>7.5154407570176196E-4</v>
      </c>
      <c r="BX125">
        <v>7.5154407570176196E-4</v>
      </c>
      <c r="BY125">
        <v>7.5154407570176185E-4</v>
      </c>
      <c r="BZ125">
        <v>7.5154407570176185E-4</v>
      </c>
      <c r="CA125">
        <v>7.5154407570176196E-4</v>
      </c>
      <c r="CB125">
        <v>0</v>
      </c>
      <c r="CC125">
        <v>7.5154407570176185E-4</v>
      </c>
      <c r="CD125">
        <v>7.5154407570176185E-4</v>
      </c>
      <c r="CE125">
        <v>7.5154407570176196E-4</v>
      </c>
      <c r="CF125">
        <v>7.5154407570176196E-4</v>
      </c>
      <c r="CG125">
        <v>7.5154407570176185E-4</v>
      </c>
      <c r="CH125">
        <v>7.5154407570176185E-4</v>
      </c>
      <c r="CI125">
        <v>7.5154407570176185E-4</v>
      </c>
      <c r="CJ125">
        <v>2.3380039254923117E-5</v>
      </c>
      <c r="CK125">
        <v>3.3091431651179636E-5</v>
      </c>
      <c r="CL125">
        <v>0</v>
      </c>
      <c r="CM125">
        <v>1.8591667327426346E-4</v>
      </c>
      <c r="CN125">
        <v>8.9779481974210822E-5</v>
      </c>
      <c r="CO125">
        <v>3.3825381113518257E-4</v>
      </c>
      <c r="CP125">
        <v>0</v>
      </c>
      <c r="CQ125">
        <v>3.3825381113518252E-4</v>
      </c>
      <c r="CR125">
        <v>0</v>
      </c>
      <c r="CS125">
        <v>3.3825381113518257E-4</v>
      </c>
      <c r="CT125">
        <v>0</v>
      </c>
      <c r="CU125">
        <v>4.1823132268579982E-5</v>
      </c>
      <c r="CV125">
        <v>6.6193955472165154E-5</v>
      </c>
      <c r="CW125">
        <v>0</v>
      </c>
      <c r="CX125">
        <v>7.5136945545438997E-8</v>
      </c>
      <c r="CY125">
        <v>2.0513132170191778E-6</v>
      </c>
      <c r="CZ125">
        <v>8.851044750123534E-9</v>
      </c>
      <c r="DA125">
        <v>0</v>
      </c>
      <c r="DB125">
        <v>2.6454378014092211E-8</v>
      </c>
      <c r="DC125">
        <v>1.5426656892513735E-4</v>
      </c>
      <c r="DD125">
        <v>0</v>
      </c>
      <c r="DE125">
        <v>2.611210760895979E-4</v>
      </c>
      <c r="DF125">
        <v>0</v>
      </c>
      <c r="DG125">
        <v>1.109626345451841E-4</v>
      </c>
      <c r="DH125">
        <v>0</v>
      </c>
      <c r="DI125">
        <v>9.9638353392757828E-10</v>
      </c>
      <c r="DJ125">
        <v>0</v>
      </c>
      <c r="DK125">
        <v>2.4454398056596579E-5</v>
      </c>
      <c r="DL125">
        <v>0</v>
      </c>
      <c r="DM125">
        <v>3.2402557981753315E-4</v>
      </c>
      <c r="DN125">
        <v>0</v>
      </c>
      <c r="DO125">
        <v>9.3476256988935761E-4</v>
      </c>
      <c r="DP125">
        <v>3.1477695463104122E-4</v>
      </c>
      <c r="DQ125">
        <v>3.5348909650046276E-3</v>
      </c>
      <c r="DR125">
        <v>4.7184829792294508E-4</v>
      </c>
      <c r="DS125">
        <v>1.6477361316914062E-3</v>
      </c>
      <c r="DT125">
        <v>3.3731098214378032E-4</v>
      </c>
      <c r="DU125">
        <v>1.9200429643893079E-2</v>
      </c>
      <c r="DV125">
        <v>2.5589854441377365E-9</v>
      </c>
      <c r="DW125">
        <v>2.2830484472724677E-9</v>
      </c>
      <c r="DX125">
        <v>8.2075530328396391E-6</v>
      </c>
      <c r="DY125">
        <v>3.624425936144697E-9</v>
      </c>
      <c r="DZ125">
        <v>0</v>
      </c>
      <c r="EA125">
        <v>1.2739697057589515E-3</v>
      </c>
      <c r="EB125">
        <v>1.1854968365310064E-3</v>
      </c>
      <c r="EC125">
        <v>7.1206499488667806E-8</v>
      </c>
      <c r="ED125">
        <v>6.9418937355638336E-6</v>
      </c>
      <c r="EE125">
        <v>1.2077499703194815E-4</v>
      </c>
      <c r="EF125">
        <v>1.806475445684377E-7</v>
      </c>
      <c r="EG125">
        <v>4.0549075901732696E-6</v>
      </c>
      <c r="EH125">
        <v>1.6048712548827432E-4</v>
      </c>
      <c r="EI125">
        <v>0</v>
      </c>
      <c r="EJ125">
        <v>0</v>
      </c>
      <c r="EK125">
        <v>0</v>
      </c>
      <c r="EL125">
        <v>1.6366959539261474E-3</v>
      </c>
      <c r="EM125">
        <v>1.6980491750482275E-3</v>
      </c>
      <c r="EN125">
        <v>1.7608230616135234E-3</v>
      </c>
      <c r="EO125">
        <v>1.604931925156187E-4</v>
      </c>
      <c r="EP125">
        <v>1.6049319251561868E-4</v>
      </c>
      <c r="EQ125">
        <v>1.604931925156187E-4</v>
      </c>
      <c r="ER125">
        <v>0</v>
      </c>
      <c r="ES125">
        <v>1.604931925156187E-4</v>
      </c>
      <c r="ET125">
        <v>1.604931925156187E-4</v>
      </c>
      <c r="EU125">
        <v>5.8337420316217083E-7</v>
      </c>
      <c r="EV125">
        <v>2.916506102262758E-5</v>
      </c>
      <c r="EW125">
        <v>3.8248976287177472E-4</v>
      </c>
      <c r="EX125">
        <v>0</v>
      </c>
      <c r="EY125">
        <v>1.0293492000790385E-9</v>
      </c>
      <c r="EZ125">
        <v>1.410181021250287E-8</v>
      </c>
      <c r="FA125">
        <v>1.1120081591207628E-10</v>
      </c>
      <c r="FB125">
        <v>2.1463157015853286E-10</v>
      </c>
      <c r="FC125">
        <v>8.895772364974375E-7</v>
      </c>
      <c r="FD125">
        <v>4.2189983573668398E-9</v>
      </c>
      <c r="FE125">
        <v>2.6821843077652164E-9</v>
      </c>
      <c r="FF125">
        <v>1.148578521731606E-8</v>
      </c>
      <c r="FG125">
        <v>9.2331277067359625E-10</v>
      </c>
      <c r="FH125">
        <v>4.3357525970182691E-8</v>
      </c>
      <c r="FI125">
        <v>1.9888849677195506E-9</v>
      </c>
      <c r="FJ125">
        <v>1.7344107839056867E-9</v>
      </c>
      <c r="FK125">
        <v>1.2446429933935634E-10</v>
      </c>
      <c r="FL125">
        <v>2.7591266619347992E-9</v>
      </c>
      <c r="FM125">
        <v>7.1521657503663897E-9</v>
      </c>
      <c r="FN125">
        <v>1.0982594564260554E-8</v>
      </c>
      <c r="FO125">
        <v>1.5400740320268142E-9</v>
      </c>
      <c r="FP125">
        <v>8.9016475340054381E-4</v>
      </c>
      <c r="FQ125">
        <v>4.8659105600920782E-9</v>
      </c>
      <c r="FR125">
        <v>9.2404813516702516E-4</v>
      </c>
      <c r="FS125">
        <v>2.2673819606160193E-9</v>
      </c>
      <c r="FT125">
        <v>8.3237318666203692E-4</v>
      </c>
      <c r="FU125">
        <v>7.0610769272627162E-4</v>
      </c>
      <c r="FV125">
        <v>1.0782086336401413E-2</v>
      </c>
      <c r="FW125">
        <v>2.0681704925038115E-4</v>
      </c>
      <c r="FX125">
        <v>2.0484882530087529E-4</v>
      </c>
      <c r="FY125">
        <v>1.665401464856309E-4</v>
      </c>
      <c r="FZ125">
        <v>1.4659199990389106E-4</v>
      </c>
      <c r="GA125">
        <v>1.9211258683818612E-4</v>
      </c>
      <c r="GB125">
        <v>1.9175087107372576E-4</v>
      </c>
      <c r="GC125">
        <v>1.9031115589691525E-4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1.6209783968696876E-4</v>
      </c>
      <c r="GJ125">
        <v>1.794324524355403E-4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7.0997208273724205E-7</v>
      </c>
      <c r="GR125">
        <v>3.4140956478640094E-8</v>
      </c>
      <c r="GS125">
        <v>2.9915042286859141E-4</v>
      </c>
      <c r="GT125">
        <v>2.31103002539239E-8</v>
      </c>
      <c r="GU125">
        <v>0</v>
      </c>
    </row>
    <row r="126" spans="1:203">
      <c r="A126" t="s">
        <v>264</v>
      </c>
      <c r="B126">
        <v>123</v>
      </c>
      <c r="C126" t="s">
        <v>17</v>
      </c>
      <c r="D126">
        <v>1.4868499731549145E-5</v>
      </c>
      <c r="E126">
        <v>3.4354838621570655E-5</v>
      </c>
      <c r="F126">
        <v>8.2037996606248401E-5</v>
      </c>
      <c r="G126">
        <v>6.5149146694653431E-4</v>
      </c>
      <c r="H126">
        <v>1.231784487557268E-4</v>
      </c>
      <c r="I126">
        <v>0</v>
      </c>
      <c r="J126">
        <v>0</v>
      </c>
      <c r="K126">
        <v>8.9583471670726892E-4</v>
      </c>
      <c r="L126">
        <v>3.1653964563879462E-5</v>
      </c>
      <c r="M126">
        <v>7.6140583735403614E-5</v>
      </c>
      <c r="N126">
        <v>2.8197734473745466E-4</v>
      </c>
      <c r="O126">
        <v>6.0102808671208116E-3</v>
      </c>
      <c r="P126">
        <v>5.2900556940259783E-3</v>
      </c>
      <c r="Q126">
        <v>3.4101806487838723E-4</v>
      </c>
      <c r="R126">
        <v>0</v>
      </c>
      <c r="S126">
        <v>0</v>
      </c>
      <c r="T126">
        <v>0</v>
      </c>
      <c r="U126">
        <v>1.8663915934873363E-3</v>
      </c>
      <c r="V126">
        <v>1.5409692066131345E-3</v>
      </c>
      <c r="W126">
        <v>5.9507945251641078E-5</v>
      </c>
      <c r="X126">
        <v>0</v>
      </c>
      <c r="Y126">
        <v>0</v>
      </c>
      <c r="Z126">
        <v>0</v>
      </c>
      <c r="AA126">
        <v>5.9507945251641078E-5</v>
      </c>
      <c r="AB126">
        <v>0</v>
      </c>
      <c r="AC126">
        <v>0</v>
      </c>
      <c r="AD126">
        <v>0</v>
      </c>
      <c r="AE126">
        <v>1.527576617621529E-6</v>
      </c>
      <c r="AF126">
        <v>3.2677059662381946E-8</v>
      </c>
      <c r="AG126">
        <v>0</v>
      </c>
      <c r="AH126">
        <v>0</v>
      </c>
      <c r="AI126">
        <v>2.1008892016046453E-6</v>
      </c>
      <c r="AJ126">
        <v>2.1058405319031859E-3</v>
      </c>
      <c r="AK126">
        <v>0</v>
      </c>
      <c r="AL126">
        <v>9.7118293929635995E-9</v>
      </c>
      <c r="AM126">
        <v>0</v>
      </c>
      <c r="AN126">
        <v>4.4601919943917014E-8</v>
      </c>
      <c r="AO126">
        <v>8.3749043892867418E-7</v>
      </c>
      <c r="AP126">
        <v>1.8826272638254617E-4</v>
      </c>
      <c r="AQ126">
        <v>8.6131823463910045E-9</v>
      </c>
      <c r="AR126">
        <v>1.3718546322059715E-9</v>
      </c>
      <c r="AS126">
        <v>3.243464799740399E-2</v>
      </c>
      <c r="AT126">
        <v>2.8499778862891412E-7</v>
      </c>
      <c r="AU126">
        <v>1.1219572848728747E-4</v>
      </c>
      <c r="AV126">
        <v>5.8665645666315343E-4</v>
      </c>
      <c r="AW126">
        <v>8.705403544374947E-4</v>
      </c>
      <c r="AX126">
        <v>1.2638065351174606E-5</v>
      </c>
      <c r="AY126">
        <v>5.2311804961683661E-4</v>
      </c>
      <c r="AZ126">
        <v>4.2115377564034143E-6</v>
      </c>
      <c r="BA126">
        <v>1.867630444363374E-5</v>
      </c>
      <c r="BB126">
        <v>9.2613132190664106E-4</v>
      </c>
      <c r="BC126">
        <v>1.4748782240061992E-3</v>
      </c>
      <c r="BD126">
        <v>1.4493813132482162E-3</v>
      </c>
      <c r="BE126">
        <v>5.20116557796394E-5</v>
      </c>
      <c r="BF126">
        <v>8.1529621372720853E-4</v>
      </c>
      <c r="BG126">
        <v>3.0603755709323282E-4</v>
      </c>
      <c r="BH126">
        <v>9.4657293068535183E-4</v>
      </c>
      <c r="BI126">
        <v>3.4878523709340908E-3</v>
      </c>
      <c r="BJ126">
        <v>0</v>
      </c>
      <c r="BK126">
        <v>3.9307357930716833E-3</v>
      </c>
      <c r="BL126">
        <v>0</v>
      </c>
      <c r="BM126">
        <v>1.7956957647885024E-3</v>
      </c>
      <c r="BN126">
        <v>1.6153188811554415E-3</v>
      </c>
      <c r="BO126">
        <v>1.692661366973389E-3</v>
      </c>
      <c r="BP126">
        <v>0</v>
      </c>
      <c r="BQ126">
        <v>1.692661366973389E-3</v>
      </c>
      <c r="BR126">
        <v>1.2816910652984803E-3</v>
      </c>
      <c r="BS126">
        <v>0</v>
      </c>
      <c r="BT126">
        <v>0</v>
      </c>
      <c r="BU126">
        <v>1.2816910652984803E-3</v>
      </c>
      <c r="BV126">
        <v>1.2816910652984805E-3</v>
      </c>
      <c r="BW126">
        <v>1.2816910652984805E-3</v>
      </c>
      <c r="BX126">
        <v>1.2816910652984803E-3</v>
      </c>
      <c r="BY126">
        <v>1.2816910652984805E-3</v>
      </c>
      <c r="BZ126">
        <v>1.2816910652984803E-3</v>
      </c>
      <c r="CA126">
        <v>1.2816910652984805E-3</v>
      </c>
      <c r="CB126">
        <v>0</v>
      </c>
      <c r="CC126">
        <v>1.2816910652984803E-3</v>
      </c>
      <c r="CD126">
        <v>1.2816910652984803E-3</v>
      </c>
      <c r="CE126">
        <v>1.2816910652984805E-3</v>
      </c>
      <c r="CF126">
        <v>1.2816910652984805E-3</v>
      </c>
      <c r="CG126">
        <v>1.2816910652984803E-3</v>
      </c>
      <c r="CH126">
        <v>1.2816910652984805E-3</v>
      </c>
      <c r="CI126">
        <v>1.2816910652984805E-3</v>
      </c>
      <c r="CJ126">
        <v>5.5794012496333703E-4</v>
      </c>
      <c r="CK126">
        <v>4.0245669904150353E-5</v>
      </c>
      <c r="CL126">
        <v>0</v>
      </c>
      <c r="CM126">
        <v>3.5404789095048658E-4</v>
      </c>
      <c r="CN126">
        <v>5.3949879538849456E-4</v>
      </c>
      <c r="CO126">
        <v>1.2709426788009204E-3</v>
      </c>
      <c r="CP126">
        <v>0</v>
      </c>
      <c r="CQ126">
        <v>1.2709426788009204E-3</v>
      </c>
      <c r="CR126">
        <v>0</v>
      </c>
      <c r="CS126">
        <v>1.2709426788009206E-3</v>
      </c>
      <c r="CT126">
        <v>0</v>
      </c>
      <c r="CU126">
        <v>2.6953568350996326E-3</v>
      </c>
      <c r="CV126">
        <v>1.9474143225758213E-3</v>
      </c>
      <c r="CW126">
        <v>0</v>
      </c>
      <c r="CX126">
        <v>4.5886789670891237E-3</v>
      </c>
      <c r="CY126">
        <v>3.2379163285700067E-3</v>
      </c>
      <c r="CZ126">
        <v>9.1236802231218495E-3</v>
      </c>
      <c r="DA126">
        <v>0</v>
      </c>
      <c r="DB126">
        <v>5.5078870610084252E-3</v>
      </c>
      <c r="DC126">
        <v>2.1122606197333417E-4</v>
      </c>
      <c r="DD126">
        <v>0</v>
      </c>
      <c r="DE126">
        <v>3.3049888764464606E-3</v>
      </c>
      <c r="DF126">
        <v>0</v>
      </c>
      <c r="DG126">
        <v>2.2698968076178038E-3</v>
      </c>
      <c r="DH126">
        <v>0</v>
      </c>
      <c r="DI126">
        <v>1.1187297181836217E-9</v>
      </c>
      <c r="DJ126">
        <v>0</v>
      </c>
      <c r="DK126">
        <v>1.0491775297204839E-3</v>
      </c>
      <c r="DL126">
        <v>0</v>
      </c>
      <c r="DM126">
        <v>4.9740015495670182E-3</v>
      </c>
      <c r="DN126">
        <v>0</v>
      </c>
      <c r="DO126">
        <v>2.1422691934455204E-4</v>
      </c>
      <c r="DP126">
        <v>2.3007485006622222E-3</v>
      </c>
      <c r="DQ126">
        <v>1.1449240669509695E-2</v>
      </c>
      <c r="DR126">
        <v>5.9406530836241889E-4</v>
      </c>
      <c r="DS126">
        <v>1.4138586663373994E-3</v>
      </c>
      <c r="DT126">
        <v>2.3794991873964238E-4</v>
      </c>
      <c r="DU126">
        <v>9.6006277677890316E-4</v>
      </c>
      <c r="DV126">
        <v>0.37309417372457998</v>
      </c>
      <c r="DW126">
        <v>6.4021294503974202E-5</v>
      </c>
      <c r="DX126">
        <v>1.3659211187402576E-3</v>
      </c>
      <c r="DY126">
        <v>4.8484998979419425E-8</v>
      </c>
      <c r="DZ126">
        <v>0</v>
      </c>
      <c r="EA126">
        <v>1.0732047984957482E-3</v>
      </c>
      <c r="EB126">
        <v>4.9566495842153879E-4</v>
      </c>
      <c r="EC126">
        <v>5.9060855290070239E-4</v>
      </c>
      <c r="ED126">
        <v>2.7348925243081456E-4</v>
      </c>
      <c r="EE126">
        <v>1.7820400415295235E-4</v>
      </c>
      <c r="EF126">
        <v>7.0387762322525721E-4</v>
      </c>
      <c r="EG126">
        <v>3.6558937791812984E-3</v>
      </c>
      <c r="EH126">
        <v>1.5987213359648369E-3</v>
      </c>
      <c r="EI126">
        <v>0</v>
      </c>
      <c r="EJ126">
        <v>0</v>
      </c>
      <c r="EK126">
        <v>0</v>
      </c>
      <c r="EL126">
        <v>2.4931902551039819E-3</v>
      </c>
      <c r="EM126">
        <v>7.9325838623587632E-4</v>
      </c>
      <c r="EN126">
        <v>7.7169611627819399E-4</v>
      </c>
      <c r="EO126">
        <v>1.9346323318407378E-4</v>
      </c>
      <c r="EP126">
        <v>1.9346323318407375E-4</v>
      </c>
      <c r="EQ126">
        <v>1.9346323318407375E-4</v>
      </c>
      <c r="ER126">
        <v>0</v>
      </c>
      <c r="ES126">
        <v>1.9346323318407378E-4</v>
      </c>
      <c r="ET126">
        <v>1.9346323318407375E-4</v>
      </c>
      <c r="EU126">
        <v>4.9157340213349455E-6</v>
      </c>
      <c r="EV126">
        <v>1.7748661265662891E-4</v>
      </c>
      <c r="EW126">
        <v>1.9797544000003252E-3</v>
      </c>
      <c r="EX126">
        <v>0</v>
      </c>
      <c r="EY126">
        <v>1.0479182812780309E-9</v>
      </c>
      <c r="EZ126">
        <v>1.5388254852148785E-8</v>
      </c>
      <c r="FA126">
        <v>1.2310973216830404E-10</v>
      </c>
      <c r="FB126">
        <v>2.3576649393215243E-10</v>
      </c>
      <c r="FC126">
        <v>2.0123368904580624E-4</v>
      </c>
      <c r="FD126">
        <v>1.6461253915962746E-5</v>
      </c>
      <c r="FE126">
        <v>5.7130135584324303E-2</v>
      </c>
      <c r="FF126">
        <v>1.9817437160088984E-8</v>
      </c>
      <c r="FG126">
        <v>1.1676813830692768E-9</v>
      </c>
      <c r="FH126">
        <v>8.0702856363728094E-4</v>
      </c>
      <c r="FI126">
        <v>4.0853900564324419E-9</v>
      </c>
      <c r="FJ126">
        <v>7.1431242574395364E-9</v>
      </c>
      <c r="FK126">
        <v>1.6325670835594034E-10</v>
      </c>
      <c r="FL126">
        <v>2.7175635328885933E-4</v>
      </c>
      <c r="FM126">
        <v>9.0684444469769031E-4</v>
      </c>
      <c r="FN126">
        <v>8.5793964735920492E-4</v>
      </c>
      <c r="FO126">
        <v>2.8909786465744313E-4</v>
      </c>
      <c r="FP126">
        <v>9.7321077192974535E-3</v>
      </c>
      <c r="FQ126">
        <v>7.3559375074442473E-4</v>
      </c>
      <c r="FR126">
        <v>3.2230007623138524E-3</v>
      </c>
      <c r="FS126">
        <v>8.0090009928732034E-4</v>
      </c>
      <c r="FT126">
        <v>2.858442911373338E-4</v>
      </c>
      <c r="FU126">
        <v>4.1816945096638069E-4</v>
      </c>
      <c r="FV126">
        <v>2.5144900113392228E-3</v>
      </c>
      <c r="FW126">
        <v>4.5319458445428694E-2</v>
      </c>
      <c r="FX126">
        <v>4.5402503723605915E-2</v>
      </c>
      <c r="FY126">
        <v>4.4346154298699744E-2</v>
      </c>
      <c r="FZ126">
        <v>4.2849297715243789E-2</v>
      </c>
      <c r="GA126">
        <v>4.5536433709607742E-2</v>
      </c>
      <c r="GB126">
        <v>4.5421392317628928E-2</v>
      </c>
      <c r="GC126">
        <v>4.5154880878934135E-2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3.9571564694077278E-2</v>
      </c>
      <c r="GJ126">
        <v>4.1048827130102633E-2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3.9501613459172139E-3</v>
      </c>
      <c r="GR126">
        <v>2.7529625310424273E-3</v>
      </c>
      <c r="GS126">
        <v>3.4681282529726375E-2</v>
      </c>
      <c r="GT126">
        <v>0.62395422186363791</v>
      </c>
      <c r="GU126">
        <v>0</v>
      </c>
    </row>
    <row r="127" spans="1:203">
      <c r="A127" t="s">
        <v>265</v>
      </c>
      <c r="B127">
        <v>124</v>
      </c>
      <c r="C127" t="s">
        <v>18</v>
      </c>
      <c r="D127">
        <v>1.8546127006950444E-6</v>
      </c>
      <c r="E127">
        <v>0</v>
      </c>
      <c r="F127">
        <v>6.1970639537909936E-6</v>
      </c>
      <c r="G127">
        <v>1.7697839523289627E-3</v>
      </c>
      <c r="H127">
        <v>3.524757347848284E-4</v>
      </c>
      <c r="I127">
        <v>0</v>
      </c>
      <c r="J127">
        <v>0</v>
      </c>
      <c r="K127">
        <v>3.1000103214135649E-3</v>
      </c>
      <c r="L127">
        <v>1.0083987356683173E-3</v>
      </c>
      <c r="M127">
        <v>5.3948686728497207E-4</v>
      </c>
      <c r="N127">
        <v>9.9552544533626606E-6</v>
      </c>
      <c r="O127">
        <v>1.5164634204963008E-5</v>
      </c>
      <c r="P127">
        <v>9.4949172080533378E-6</v>
      </c>
      <c r="Q127">
        <v>8.2338494679119246E-4</v>
      </c>
      <c r="R127">
        <v>0</v>
      </c>
      <c r="S127">
        <v>0</v>
      </c>
      <c r="T127">
        <v>0</v>
      </c>
      <c r="U127">
        <v>4.0926738127595221E-4</v>
      </c>
      <c r="V127">
        <v>6.6597601220184141E-2</v>
      </c>
      <c r="W127">
        <v>4.4208064619149126E-2</v>
      </c>
      <c r="X127">
        <v>0</v>
      </c>
      <c r="Y127">
        <v>0</v>
      </c>
      <c r="Z127">
        <v>0</v>
      </c>
      <c r="AA127">
        <v>4.4208064619149119E-2</v>
      </c>
      <c r="AB127">
        <v>0</v>
      </c>
      <c r="AC127">
        <v>0</v>
      </c>
      <c r="AD127">
        <v>0</v>
      </c>
      <c r="AE127">
        <v>4.1685810660279006E-4</v>
      </c>
      <c r="AF127">
        <v>5.6103720153140957E-8</v>
      </c>
      <c r="AG127">
        <v>0</v>
      </c>
      <c r="AH127">
        <v>0</v>
      </c>
      <c r="AI127">
        <v>1.4517287836751599E-5</v>
      </c>
      <c r="AJ127">
        <v>3.8998556927924773E-3</v>
      </c>
      <c r="AK127">
        <v>0</v>
      </c>
      <c r="AL127">
        <v>1.1399265565375284E-8</v>
      </c>
      <c r="AM127">
        <v>0</v>
      </c>
      <c r="AN127">
        <v>5.2874201060288776E-8</v>
      </c>
      <c r="AO127">
        <v>1.0627743113013763E-6</v>
      </c>
      <c r="AP127">
        <v>1.3818624262639649E-3</v>
      </c>
      <c r="AQ127">
        <v>2.4051442535928363E-8</v>
      </c>
      <c r="AR127">
        <v>1.5627160388454586E-9</v>
      </c>
      <c r="AS127">
        <v>3.3210049224735486E-2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1.5335360338865888E-5</v>
      </c>
      <c r="BA127">
        <v>0</v>
      </c>
      <c r="BB127">
        <v>9.8018378164157096E-8</v>
      </c>
      <c r="BC127">
        <v>2.0712232182885154E-6</v>
      </c>
      <c r="BD127">
        <v>0</v>
      </c>
      <c r="BE127">
        <v>0</v>
      </c>
      <c r="BF127">
        <v>0</v>
      </c>
      <c r="BG127">
        <v>0</v>
      </c>
      <c r="BH127">
        <v>1.4826335569736784E-5</v>
      </c>
      <c r="BI127">
        <v>1.5999148322337487E-4</v>
      </c>
      <c r="BJ127">
        <v>0</v>
      </c>
      <c r="BK127">
        <v>5.9600979400287742E-6</v>
      </c>
      <c r="BL127">
        <v>0</v>
      </c>
      <c r="BM127">
        <v>9.7226973572665805E-6</v>
      </c>
      <c r="BN127">
        <v>0</v>
      </c>
      <c r="BO127">
        <v>0</v>
      </c>
      <c r="BP127">
        <v>0</v>
      </c>
      <c r="BQ127">
        <v>0</v>
      </c>
      <c r="BR127">
        <v>3.5672862986196305E-4</v>
      </c>
      <c r="BS127">
        <v>0</v>
      </c>
      <c r="BT127">
        <v>0</v>
      </c>
      <c r="BU127">
        <v>3.5672862986196299E-4</v>
      </c>
      <c r="BV127">
        <v>3.5672862986196305E-4</v>
      </c>
      <c r="BW127">
        <v>3.5672862986196299E-4</v>
      </c>
      <c r="BX127">
        <v>3.5672862986196299E-4</v>
      </c>
      <c r="BY127">
        <v>3.5672862986196305E-4</v>
      </c>
      <c r="BZ127">
        <v>3.5672862986196299E-4</v>
      </c>
      <c r="CA127">
        <v>3.5672862986196299E-4</v>
      </c>
      <c r="CB127">
        <v>0</v>
      </c>
      <c r="CC127">
        <v>3.5672862986196299E-4</v>
      </c>
      <c r="CD127">
        <v>3.5672862986196299E-4</v>
      </c>
      <c r="CE127">
        <v>3.5672862986196299E-4</v>
      </c>
      <c r="CF127">
        <v>3.5672862986196305E-4</v>
      </c>
      <c r="CG127">
        <v>3.5672862986196305E-4</v>
      </c>
      <c r="CH127">
        <v>3.5672862986196299E-4</v>
      </c>
      <c r="CI127">
        <v>3.5672862986196299E-4</v>
      </c>
      <c r="CJ127">
        <v>3.7257020634663815E-4</v>
      </c>
      <c r="CK127">
        <v>1.0645757601857563E-7</v>
      </c>
      <c r="CL127">
        <v>0</v>
      </c>
      <c r="CM127">
        <v>8.8268366934179441E-5</v>
      </c>
      <c r="CN127">
        <v>8.1117343924780815E-5</v>
      </c>
      <c r="CO127">
        <v>3.2854101741369792E-7</v>
      </c>
      <c r="CP127">
        <v>0</v>
      </c>
      <c r="CQ127">
        <v>3.2854101741369797E-7</v>
      </c>
      <c r="CR127">
        <v>0</v>
      </c>
      <c r="CS127">
        <v>3.2854101741369797E-7</v>
      </c>
      <c r="CT127">
        <v>0</v>
      </c>
      <c r="CU127">
        <v>4.948945011793985E-6</v>
      </c>
      <c r="CV127">
        <v>3.5434727439106402E-5</v>
      </c>
      <c r="CW127">
        <v>0</v>
      </c>
      <c r="CX127">
        <v>2.4875673294606371E-7</v>
      </c>
      <c r="CY127">
        <v>1.3373955880679928E-5</v>
      </c>
      <c r="CZ127">
        <v>1.2891315366026654E-5</v>
      </c>
      <c r="DA127">
        <v>0</v>
      </c>
      <c r="DB127">
        <v>3.3992932184767795E-5</v>
      </c>
      <c r="DC127">
        <v>4.5463453297108245E-5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3.4379066036742514E-6</v>
      </c>
      <c r="DQ127">
        <v>1.444375162753486E-5</v>
      </c>
      <c r="DR127">
        <v>2.7167783445793847E-6</v>
      </c>
      <c r="DS127">
        <v>9.026497329291412E-5</v>
      </c>
      <c r="DT127">
        <v>5.3119953887969222E-7</v>
      </c>
      <c r="DU127">
        <v>8.5261506104385521E-6</v>
      </c>
      <c r="DV127">
        <v>1.7083011741671257E-5</v>
      </c>
      <c r="DW127">
        <v>0.17812801903392902</v>
      </c>
      <c r="DX127">
        <v>9.7515274521295389E-5</v>
      </c>
      <c r="DY127">
        <v>1.8947248161669197E-12</v>
      </c>
      <c r="DZ127">
        <v>0</v>
      </c>
      <c r="EA127">
        <v>3.9242611710574108E-7</v>
      </c>
      <c r="EB127">
        <v>4.4058062339547426E-7</v>
      </c>
      <c r="EC127">
        <v>6.1009907961323527E-7</v>
      </c>
      <c r="ED127">
        <v>5.7204955194694638E-6</v>
      </c>
      <c r="EE127">
        <v>3.2817999499428909E-5</v>
      </c>
      <c r="EF127">
        <v>1.1868034456770204E-6</v>
      </c>
      <c r="EG127">
        <v>1.5263928223332706E-5</v>
      </c>
      <c r="EH127">
        <v>0</v>
      </c>
      <c r="EI127">
        <v>0</v>
      </c>
      <c r="EJ127">
        <v>0</v>
      </c>
      <c r="EK127">
        <v>0</v>
      </c>
      <c r="EL127">
        <v>2.1608427646640178E-6</v>
      </c>
      <c r="EM127">
        <v>6.9777068543363733E-7</v>
      </c>
      <c r="EN127">
        <v>5.4075695306652268E-7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2.4619270632226575E-6</v>
      </c>
      <c r="EV127">
        <v>1.8732180985842904E-6</v>
      </c>
      <c r="EW127">
        <v>3.8161473196874496E-5</v>
      </c>
      <c r="EX127">
        <v>0</v>
      </c>
      <c r="EY127">
        <v>1.0625495476376488E-9</v>
      </c>
      <c r="EZ127">
        <v>1.6500263185955926E-8</v>
      </c>
      <c r="FA127">
        <v>1.3409262572247768E-10</v>
      </c>
      <c r="FB127">
        <v>2.5496884322242275E-10</v>
      </c>
      <c r="FC127">
        <v>8.4144960905019426E-5</v>
      </c>
      <c r="FD127">
        <v>3.3873062036471953E-2</v>
      </c>
      <c r="FE127">
        <v>2.9669312055122973E-6</v>
      </c>
      <c r="FF127">
        <v>3.7373868897881426E-8</v>
      </c>
      <c r="FG127">
        <v>1.4635312807757462E-9</v>
      </c>
      <c r="FH127">
        <v>6.819135036866969E-2</v>
      </c>
      <c r="FI127">
        <v>2.4832101266853319E-8</v>
      </c>
      <c r="FJ127">
        <v>1.0382824981251897E-3</v>
      </c>
      <c r="FK127">
        <v>2.1434930118425135E-10</v>
      </c>
      <c r="FL127">
        <v>2.4949915540811543E-8</v>
      </c>
      <c r="FM127">
        <v>5.7463166437782689E-8</v>
      </c>
      <c r="FN127">
        <v>5.3048763347445912E-7</v>
      </c>
      <c r="FO127">
        <v>0</v>
      </c>
      <c r="FP127">
        <v>4.1784324880101906E-4</v>
      </c>
      <c r="FQ127">
        <v>3.2263632335920441E-5</v>
      </c>
      <c r="FR127">
        <v>1.2417678021781403E-2</v>
      </c>
      <c r="FS127">
        <v>4.3198842529196274E-5</v>
      </c>
      <c r="FT127">
        <v>3.3889359494230324E-2</v>
      </c>
      <c r="FU127">
        <v>1.058148355175006E-4</v>
      </c>
      <c r="FV127">
        <v>2.4564404026286579E-4</v>
      </c>
      <c r="FW127">
        <v>2.5123378563442346E-3</v>
      </c>
      <c r="FX127">
        <v>1.7703669981178069E-3</v>
      </c>
      <c r="FY127">
        <v>6.5482548400789316E-4</v>
      </c>
      <c r="FZ127">
        <v>2.7809166959394051E-3</v>
      </c>
      <c r="GA127">
        <v>1.6308750751375569E-3</v>
      </c>
      <c r="GB127">
        <v>1.6763919189784144E-3</v>
      </c>
      <c r="GC127">
        <v>1.826264298202619E-3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2.6715562312812037E-3</v>
      </c>
      <c r="GJ127">
        <v>2.7643161862574814E-3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2.2896957032509497E-4</v>
      </c>
      <c r="GR127">
        <v>1.9901706747191581E-4</v>
      </c>
      <c r="GS127">
        <v>7.3928405604185398E-4</v>
      </c>
      <c r="GT127">
        <v>2.5642628678531672E-2</v>
      </c>
      <c r="GU127">
        <v>0</v>
      </c>
    </row>
    <row r="128" spans="1:203">
      <c r="A128" t="s">
        <v>266</v>
      </c>
      <c r="B128">
        <v>125</v>
      </c>
      <c r="C128" t="s">
        <v>19</v>
      </c>
      <c r="D128">
        <v>1.1095522489484608E-6</v>
      </c>
      <c r="E128">
        <v>0</v>
      </c>
      <c r="F128">
        <v>2.5462202744642663E-6</v>
      </c>
      <c r="G128">
        <v>1.3799181410857633E-4</v>
      </c>
      <c r="H128">
        <v>1.5467104516708283E-5</v>
      </c>
      <c r="I128">
        <v>0</v>
      </c>
      <c r="J128">
        <v>0</v>
      </c>
      <c r="K128">
        <v>2.2517654097837576E-4</v>
      </c>
      <c r="L128">
        <v>6.0750603833067335E-5</v>
      </c>
      <c r="M128">
        <v>1.0881175403021607E-4</v>
      </c>
      <c r="N128">
        <v>1.2079248571916532E-4</v>
      </c>
      <c r="O128">
        <v>6.2339555712171782E-6</v>
      </c>
      <c r="P128">
        <v>4.0408460825986721E-5</v>
      </c>
      <c r="Q128">
        <v>4.437667254004532E-4</v>
      </c>
      <c r="R128">
        <v>0</v>
      </c>
      <c r="S128">
        <v>0</v>
      </c>
      <c r="T128">
        <v>0</v>
      </c>
      <c r="U128">
        <v>3.5351555240465666E-5</v>
      </c>
      <c r="V128">
        <v>5.5367141660547781E-4</v>
      </c>
      <c r="W128">
        <v>2.7286256144580084E-5</v>
      </c>
      <c r="X128">
        <v>0</v>
      </c>
      <c r="Y128">
        <v>0</v>
      </c>
      <c r="Z128">
        <v>0</v>
      </c>
      <c r="AA128">
        <v>2.7286256144580084E-5</v>
      </c>
      <c r="AB128">
        <v>0</v>
      </c>
      <c r="AC128">
        <v>0</v>
      </c>
      <c r="AD128">
        <v>0</v>
      </c>
      <c r="AE128">
        <v>1.2726020204859562E-6</v>
      </c>
      <c r="AF128">
        <v>3.3313449815095222E-8</v>
      </c>
      <c r="AG128">
        <v>0</v>
      </c>
      <c r="AH128">
        <v>0</v>
      </c>
      <c r="AI128">
        <v>6.1506503001530767E-8</v>
      </c>
      <c r="AJ128">
        <v>1.2578758507735768E-5</v>
      </c>
      <c r="AK128">
        <v>0</v>
      </c>
      <c r="AL128">
        <v>9.484871782387021E-9</v>
      </c>
      <c r="AM128">
        <v>0</v>
      </c>
      <c r="AN128">
        <v>4.3264875072630349E-8</v>
      </c>
      <c r="AO128">
        <v>0</v>
      </c>
      <c r="AP128">
        <v>4.7855081572360639E-6</v>
      </c>
      <c r="AQ128">
        <v>8.1341089801846455E-9</v>
      </c>
      <c r="AR128">
        <v>1.3456945901394708E-9</v>
      </c>
      <c r="AS128">
        <v>1.4857206303870186E-4</v>
      </c>
      <c r="AT128">
        <v>3.8135281269274696E-8</v>
      </c>
      <c r="AU128">
        <v>2.7455686027033447E-7</v>
      </c>
      <c r="AV128">
        <v>1.8102723223171133E-7</v>
      </c>
      <c r="AW128">
        <v>4.6463306742804916E-6</v>
      </c>
      <c r="AX128">
        <v>0</v>
      </c>
      <c r="AY128">
        <v>5.7310541425560898E-6</v>
      </c>
      <c r="AZ128">
        <v>0</v>
      </c>
      <c r="BA128">
        <v>8.4801660755049447E-5</v>
      </c>
      <c r="BB128">
        <v>3.110579179287723E-5</v>
      </c>
      <c r="BC128">
        <v>5.5593271897685805E-5</v>
      </c>
      <c r="BD128">
        <v>5.4138035113408013E-5</v>
      </c>
      <c r="BE128">
        <v>1.9624096987974087E-7</v>
      </c>
      <c r="BF128">
        <v>1.1094696773327882E-2</v>
      </c>
      <c r="BG128">
        <v>1.3022743633844066E-2</v>
      </c>
      <c r="BH128">
        <v>9.178742991302169E-3</v>
      </c>
      <c r="BI128">
        <v>6.4532609810587379E-4</v>
      </c>
      <c r="BJ128">
        <v>0</v>
      </c>
      <c r="BK128">
        <v>2.8937643745927252E-4</v>
      </c>
      <c r="BL128">
        <v>0</v>
      </c>
      <c r="BM128">
        <v>4.2027581349879904E-4</v>
      </c>
      <c r="BN128">
        <v>6.3936521364815285E-5</v>
      </c>
      <c r="BO128">
        <v>1.5302241898208386E-4</v>
      </c>
      <c r="BP128">
        <v>0</v>
      </c>
      <c r="BQ128">
        <v>1.5302241898208386E-4</v>
      </c>
      <c r="BR128">
        <v>2.8087222779039544E-5</v>
      </c>
      <c r="BS128">
        <v>0</v>
      </c>
      <c r="BT128">
        <v>0</v>
      </c>
      <c r="BU128">
        <v>2.808722277903954E-5</v>
      </c>
      <c r="BV128">
        <v>2.808722277903954E-5</v>
      </c>
      <c r="BW128">
        <v>2.8087222779039544E-5</v>
      </c>
      <c r="BX128">
        <v>2.8087222779039544E-5</v>
      </c>
      <c r="BY128">
        <v>2.8087222779039544E-5</v>
      </c>
      <c r="BZ128">
        <v>2.808722277903954E-5</v>
      </c>
      <c r="CA128">
        <v>2.8087222779039544E-5</v>
      </c>
      <c r="CB128">
        <v>0</v>
      </c>
      <c r="CC128">
        <v>2.808722277903954E-5</v>
      </c>
      <c r="CD128">
        <v>2.808722277903954E-5</v>
      </c>
      <c r="CE128">
        <v>2.808722277903954E-5</v>
      </c>
      <c r="CF128">
        <v>2.808722277903954E-5</v>
      </c>
      <c r="CG128">
        <v>2.8087222779039544E-5</v>
      </c>
      <c r="CH128">
        <v>2.808722277903954E-5</v>
      </c>
      <c r="CI128">
        <v>2.808722277903954E-5</v>
      </c>
      <c r="CJ128">
        <v>2.585688625020853E-4</v>
      </c>
      <c r="CK128">
        <v>4.5578542035013323E-7</v>
      </c>
      <c r="CL128">
        <v>0</v>
      </c>
      <c r="CM128">
        <v>0</v>
      </c>
      <c r="CN128">
        <v>3.6712689254193992E-6</v>
      </c>
      <c r="CO128">
        <v>4.2949178733695025E-5</v>
      </c>
      <c r="CP128">
        <v>0</v>
      </c>
      <c r="CQ128">
        <v>4.2949178733695025E-5</v>
      </c>
      <c r="CR128">
        <v>0</v>
      </c>
      <c r="CS128">
        <v>4.2949178733695025E-5</v>
      </c>
      <c r="CT128">
        <v>0</v>
      </c>
      <c r="CU128">
        <v>2.7232586513048962E-4</v>
      </c>
      <c r="CV128">
        <v>2.1124324782919348E-4</v>
      </c>
      <c r="CW128">
        <v>0</v>
      </c>
      <c r="CX128">
        <v>1.0271070809688786E-4</v>
      </c>
      <c r="CY128">
        <v>6.5279874670983418E-6</v>
      </c>
      <c r="CZ128">
        <v>4.4663882145799151E-6</v>
      </c>
      <c r="DA128">
        <v>0</v>
      </c>
      <c r="DB128">
        <v>5.8736919197528688E-5</v>
      </c>
      <c r="DC128">
        <v>1.2055699868792896E-6</v>
      </c>
      <c r="DD128">
        <v>0</v>
      </c>
      <c r="DE128">
        <v>1.2008125759767274E-6</v>
      </c>
      <c r="DF128">
        <v>0</v>
      </c>
      <c r="DG128">
        <v>2.2346683358966551E-6</v>
      </c>
      <c r="DH128">
        <v>0</v>
      </c>
      <c r="DI128">
        <v>1.0806797384984336E-9</v>
      </c>
      <c r="DJ128">
        <v>0</v>
      </c>
      <c r="DK128">
        <v>9.2023869902102725E-7</v>
      </c>
      <c r="DL128">
        <v>0</v>
      </c>
      <c r="DM128">
        <v>1.9180418082254227E-6</v>
      </c>
      <c r="DN128">
        <v>0</v>
      </c>
      <c r="DO128">
        <v>2.8942009733622621E-5</v>
      </c>
      <c r="DP128">
        <v>7.0354243740866233E-5</v>
      </c>
      <c r="DQ128">
        <v>4.1301053620118047E-4</v>
      </c>
      <c r="DR128">
        <v>1.076393447366568E-4</v>
      </c>
      <c r="DS128">
        <v>3.0230418493035433E-4</v>
      </c>
      <c r="DT128">
        <v>4.3502380303558493E-5</v>
      </c>
      <c r="DU128">
        <v>7.980072600530224E-4</v>
      </c>
      <c r="DV128">
        <v>2.6352542594762832E-2</v>
      </c>
      <c r="DW128">
        <v>2.7539171452590828E-3</v>
      </c>
      <c r="DX128">
        <v>0.10579778274313324</v>
      </c>
      <c r="DY128">
        <v>2.9642868887261811E-8</v>
      </c>
      <c r="DZ128">
        <v>0</v>
      </c>
      <c r="EA128">
        <v>8.5788005608598668E-5</v>
      </c>
      <c r="EB128">
        <v>6.0491360976931147E-5</v>
      </c>
      <c r="EC128">
        <v>4.5889983222377607E-5</v>
      </c>
      <c r="ED128">
        <v>5.021503557070865E-5</v>
      </c>
      <c r="EE128">
        <v>4.877655811326972E-5</v>
      </c>
      <c r="EF128">
        <v>2.5123314733115587E-5</v>
      </c>
      <c r="EG128">
        <v>1.2647039531718207E-4</v>
      </c>
      <c r="EH128">
        <v>4.6812906051656633E-5</v>
      </c>
      <c r="EI128">
        <v>0</v>
      </c>
      <c r="EJ128">
        <v>0</v>
      </c>
      <c r="EK128">
        <v>0</v>
      </c>
      <c r="EL128">
        <v>8.4390951220746657E-5</v>
      </c>
      <c r="EM128">
        <v>9.7450780515047692E-5</v>
      </c>
      <c r="EN128">
        <v>9.723843783497946E-5</v>
      </c>
      <c r="EO128">
        <v>1.468370417004437E-7</v>
      </c>
      <c r="EP128">
        <v>1.4683704170044367E-7</v>
      </c>
      <c r="EQ128">
        <v>1.4683704170044367E-7</v>
      </c>
      <c r="ER128">
        <v>0</v>
      </c>
      <c r="ES128">
        <v>1.468370417004437E-7</v>
      </c>
      <c r="ET128">
        <v>1.468370417004437E-7</v>
      </c>
      <c r="EU128">
        <v>1.6402130570080468E-6</v>
      </c>
      <c r="EV128">
        <v>5.2078608271392404E-6</v>
      </c>
      <c r="EW128">
        <v>7.8557178367422709E-3</v>
      </c>
      <c r="EX128">
        <v>0</v>
      </c>
      <c r="EY128">
        <v>1.0456276981052792E-9</v>
      </c>
      <c r="EZ128">
        <v>1.5219008837608569E-8</v>
      </c>
      <c r="FA128">
        <v>1.2152941734693E-10</v>
      </c>
      <c r="FB128">
        <v>2.329814229072438E-10</v>
      </c>
      <c r="FC128">
        <v>4.6665667933601437E-3</v>
      </c>
      <c r="FD128">
        <v>1.4863931354654018E-4</v>
      </c>
      <c r="FE128">
        <v>1.9486378713709087E-4</v>
      </c>
      <c r="FF128">
        <v>1.843407860614315E-8</v>
      </c>
      <c r="FG128">
        <v>1.1312973400598738E-9</v>
      </c>
      <c r="FH128">
        <v>5.0362172392399854E-4</v>
      </c>
      <c r="FI128">
        <v>3.667164035587892E-9</v>
      </c>
      <c r="FJ128">
        <v>5.2243693556765191E-9</v>
      </c>
      <c r="FK128">
        <v>1.5730428802951671E-10</v>
      </c>
      <c r="FL128">
        <v>4.8434027752998515E-4</v>
      </c>
      <c r="FM128">
        <v>6.1599854362798375E-4</v>
      </c>
      <c r="FN128">
        <v>9.3409705207528305E-4</v>
      </c>
      <c r="FO128">
        <v>5.4733794256746511E-4</v>
      </c>
      <c r="FP128">
        <v>2.1372302170200594E-3</v>
      </c>
      <c r="FQ128">
        <v>7.5355795039751998E-4</v>
      </c>
      <c r="FR128">
        <v>1.5604376580715014E-3</v>
      </c>
      <c r="FS128">
        <v>1.3180999929149806E-3</v>
      </c>
      <c r="FT128">
        <v>1.4061883115258718E-3</v>
      </c>
      <c r="FU128">
        <v>1.2818637214960356E-2</v>
      </c>
      <c r="FV128">
        <v>1.9094319238268302E-3</v>
      </c>
      <c r="FW128">
        <v>7.718801875417779E-3</v>
      </c>
      <c r="FX128">
        <v>7.7330969343573251E-3</v>
      </c>
      <c r="FY128">
        <v>7.5569205824857055E-3</v>
      </c>
      <c r="FZ128">
        <v>7.2879657598118128E-3</v>
      </c>
      <c r="GA128">
        <v>7.7654963549507426E-3</v>
      </c>
      <c r="GB128">
        <v>7.7437480913772139E-3</v>
      </c>
      <c r="GC128">
        <v>7.6971191864651702E-3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6.730524117354429E-3</v>
      </c>
      <c r="GJ128">
        <v>6.983548494938885E-3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5.7160088977400202E-3</v>
      </c>
      <c r="GR128">
        <v>1.1840313747640148E-2</v>
      </c>
      <c r="GS128">
        <v>2.6030464360187671E-2</v>
      </c>
      <c r="GT128">
        <v>1.5396046215740395E-5</v>
      </c>
      <c r="GU128">
        <v>0</v>
      </c>
    </row>
    <row r="129" spans="1:203">
      <c r="A129" t="s">
        <v>267</v>
      </c>
      <c r="B129">
        <v>126</v>
      </c>
      <c r="C129" t="s">
        <v>138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3.744894330287127E-3</v>
      </c>
      <c r="BG129">
        <v>5.2814514756595917E-4</v>
      </c>
      <c r="BH129">
        <v>0</v>
      </c>
      <c r="BI129">
        <v>0</v>
      </c>
      <c r="BJ129">
        <v>0</v>
      </c>
      <c r="BK129">
        <v>0.19025179455405261</v>
      </c>
      <c r="BL129">
        <v>0</v>
      </c>
      <c r="BM129">
        <v>9.6576361067334568E-2</v>
      </c>
      <c r="BN129">
        <v>0</v>
      </c>
      <c r="BO129">
        <v>0</v>
      </c>
      <c r="BP129">
        <v>0</v>
      </c>
      <c r="BQ129">
        <v>0</v>
      </c>
      <c r="BR129">
        <v>1.7552400342489749E-3</v>
      </c>
      <c r="BS129">
        <v>0</v>
      </c>
      <c r="BT129">
        <v>0</v>
      </c>
      <c r="BU129">
        <v>1.7552400342489747E-3</v>
      </c>
      <c r="BV129">
        <v>1.7552400342489747E-3</v>
      </c>
      <c r="BW129">
        <v>1.7552400342489749E-3</v>
      </c>
      <c r="BX129">
        <v>1.7552400342489749E-3</v>
      </c>
      <c r="BY129">
        <v>1.7552400342489747E-3</v>
      </c>
      <c r="BZ129">
        <v>1.7552400342489749E-3</v>
      </c>
      <c r="CA129">
        <v>1.7552400342489749E-3</v>
      </c>
      <c r="CB129">
        <v>0</v>
      </c>
      <c r="CC129">
        <v>1.7552400342489747E-3</v>
      </c>
      <c r="CD129">
        <v>1.7552400342489747E-3</v>
      </c>
      <c r="CE129">
        <v>1.7552400342489749E-3</v>
      </c>
      <c r="CF129">
        <v>1.7552400342489749E-3</v>
      </c>
      <c r="CG129">
        <v>1.7552400342489749E-3</v>
      </c>
      <c r="CH129">
        <v>1.7552400342489749E-3</v>
      </c>
      <c r="CI129">
        <v>1.7552400342489749E-3</v>
      </c>
      <c r="CJ129">
        <v>3.074269263954208E-3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1.663265486465363E-2</v>
      </c>
      <c r="CV129">
        <v>9.6689013876763791E-2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4.6665665043252773E-3</v>
      </c>
      <c r="DD129">
        <v>0</v>
      </c>
      <c r="DE129">
        <v>6.0443997101445992E-3</v>
      </c>
      <c r="DF129">
        <v>0</v>
      </c>
      <c r="DG129">
        <v>1.1892964094417612E-2</v>
      </c>
      <c r="DH129">
        <v>0</v>
      </c>
      <c r="DI129">
        <v>1.3485528841499801E-9</v>
      </c>
      <c r="DJ129">
        <v>0</v>
      </c>
      <c r="DK129">
        <v>5.4717626923670966E-3</v>
      </c>
      <c r="DL129">
        <v>0</v>
      </c>
      <c r="DM129">
        <v>1.0606537832511784E-2</v>
      </c>
      <c r="DN129">
        <v>0</v>
      </c>
      <c r="DO129">
        <v>5.9205165261053501E-3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1.0141024375449827E-3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1.6655207017810873E-4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</row>
    <row r="130" spans="1:203">
      <c r="A130" t="s">
        <v>268</v>
      </c>
      <c r="B130">
        <v>127</v>
      </c>
      <c r="C130" t="s">
        <v>138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</row>
    <row r="131" spans="1:203">
      <c r="A131" t="s">
        <v>269</v>
      </c>
      <c r="B131">
        <v>128</v>
      </c>
      <c r="C131" t="s">
        <v>136</v>
      </c>
      <c r="D131">
        <v>6.3477728556479436E-4</v>
      </c>
      <c r="E131">
        <v>3.8321772134734615E-4</v>
      </c>
      <c r="F131">
        <v>4.095124080565129E-4</v>
      </c>
      <c r="G131">
        <v>6.1584035717165259E-4</v>
      </c>
      <c r="H131">
        <v>4.8240084055575989E-4</v>
      </c>
      <c r="I131">
        <v>0</v>
      </c>
      <c r="J131">
        <v>0</v>
      </c>
      <c r="K131">
        <v>1.6717182584426256E-3</v>
      </c>
      <c r="L131">
        <v>8.1191125218860237E-4</v>
      </c>
      <c r="M131">
        <v>8.1775435213167816E-4</v>
      </c>
      <c r="N131">
        <v>8.5420793781550576E-4</v>
      </c>
      <c r="O131">
        <v>3.8016330421355955E-4</v>
      </c>
      <c r="P131">
        <v>1.5067119495448839E-3</v>
      </c>
      <c r="Q131">
        <v>6.5584639673594396E-3</v>
      </c>
      <c r="R131">
        <v>0</v>
      </c>
      <c r="S131">
        <v>0</v>
      </c>
      <c r="T131">
        <v>0</v>
      </c>
      <c r="U131">
        <v>2.8170171010993544E-3</v>
      </c>
      <c r="V131">
        <v>2.4554970976510071E-3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1.9253559197195354E-5</v>
      </c>
      <c r="AF131">
        <v>3.6270574718225968E-8</v>
      </c>
      <c r="AG131">
        <v>0</v>
      </c>
      <c r="AH131">
        <v>0</v>
      </c>
      <c r="AI131">
        <v>3.0470196094269879E-7</v>
      </c>
      <c r="AJ131">
        <v>3.5522542072993925E-4</v>
      </c>
      <c r="AK131">
        <v>0</v>
      </c>
      <c r="AL131">
        <v>9.0154725832270272E-9</v>
      </c>
      <c r="AM131">
        <v>0</v>
      </c>
      <c r="AN131">
        <v>4.1234183989380301E-8</v>
      </c>
      <c r="AO131">
        <v>7.5438060979944621E-7</v>
      </c>
      <c r="AP131">
        <v>1.6443690845897953E-5</v>
      </c>
      <c r="AQ131">
        <v>6.7560353000264465E-9</v>
      </c>
      <c r="AR131">
        <v>1.2896655850993012E-9</v>
      </c>
      <c r="AS131">
        <v>4.6607717367354974E-3</v>
      </c>
      <c r="AT131">
        <v>7.5036530704895248E-8</v>
      </c>
      <c r="AU131">
        <v>1.0471226226453947E-4</v>
      </c>
      <c r="AV131">
        <v>5.6911255907756375E-5</v>
      </c>
      <c r="AW131">
        <v>1.3050979573468577E-3</v>
      </c>
      <c r="AX131">
        <v>1.728336107237764E-3</v>
      </c>
      <c r="AY131">
        <v>1.9288294735298811E-3</v>
      </c>
      <c r="AZ131">
        <v>5.0223749248194628E-3</v>
      </c>
      <c r="BA131">
        <v>1.4684316428446528E-3</v>
      </c>
      <c r="BB131">
        <v>1.2122513858311905E-3</v>
      </c>
      <c r="BC131">
        <v>7.3943469443887248E-4</v>
      </c>
      <c r="BD131">
        <v>1.1791117516501341E-3</v>
      </c>
      <c r="BE131">
        <v>4.3143241399051322E-8</v>
      </c>
      <c r="BF131">
        <v>5.3063097605051133E-3</v>
      </c>
      <c r="BG131">
        <v>1.1355829567003099E-3</v>
      </c>
      <c r="BH131">
        <v>1.2765339186634791E-3</v>
      </c>
      <c r="BI131">
        <v>6.209802060904537E-3</v>
      </c>
      <c r="BJ131">
        <v>0</v>
      </c>
      <c r="BK131">
        <v>3.4504176229277553E-2</v>
      </c>
      <c r="BL131">
        <v>0</v>
      </c>
      <c r="BM131">
        <v>5.4076760231873489E-3</v>
      </c>
      <c r="BN131">
        <v>1.2974658895693355E-3</v>
      </c>
      <c r="BO131">
        <v>4.621536429640645E-2</v>
      </c>
      <c r="BP131">
        <v>0</v>
      </c>
      <c r="BQ131">
        <v>4.621536429640645E-2</v>
      </c>
      <c r="BR131">
        <v>3.8532483868512673E-3</v>
      </c>
      <c r="BS131">
        <v>0</v>
      </c>
      <c r="BT131">
        <v>0</v>
      </c>
      <c r="BU131">
        <v>3.8532483868512673E-3</v>
      </c>
      <c r="BV131">
        <v>3.8532483868512673E-3</v>
      </c>
      <c r="BW131">
        <v>3.8532483868512673E-3</v>
      </c>
      <c r="BX131">
        <v>3.8532483868512668E-3</v>
      </c>
      <c r="BY131">
        <v>3.8532483868512673E-3</v>
      </c>
      <c r="BZ131">
        <v>3.8532483868512668E-3</v>
      </c>
      <c r="CA131">
        <v>3.8532483868512677E-3</v>
      </c>
      <c r="CB131">
        <v>0</v>
      </c>
      <c r="CC131">
        <v>3.8532483868512668E-3</v>
      </c>
      <c r="CD131">
        <v>3.8532483868512668E-3</v>
      </c>
      <c r="CE131">
        <v>3.8532483868512677E-3</v>
      </c>
      <c r="CF131">
        <v>3.8532483868512677E-3</v>
      </c>
      <c r="CG131">
        <v>3.8532483868512673E-3</v>
      </c>
      <c r="CH131">
        <v>3.8532483868512673E-3</v>
      </c>
      <c r="CI131">
        <v>3.8532483868512673E-3</v>
      </c>
      <c r="CJ131">
        <v>0</v>
      </c>
      <c r="CK131">
        <v>4.2762129116169549E-4</v>
      </c>
      <c r="CL131">
        <v>0</v>
      </c>
      <c r="CM131">
        <v>3.3848355766046001E-3</v>
      </c>
      <c r="CN131">
        <v>3.8271981834633517E-3</v>
      </c>
      <c r="CO131">
        <v>2.6910329310287258E-3</v>
      </c>
      <c r="CP131">
        <v>0</v>
      </c>
      <c r="CQ131">
        <v>2.6910329310287258E-3</v>
      </c>
      <c r="CR131">
        <v>0</v>
      </c>
      <c r="CS131">
        <v>2.6910329310287262E-3</v>
      </c>
      <c r="CT131">
        <v>0</v>
      </c>
      <c r="CU131">
        <v>2.3778845405812263E-3</v>
      </c>
      <c r="CV131">
        <v>1.7710380610571838E-3</v>
      </c>
      <c r="CW131">
        <v>0</v>
      </c>
      <c r="CX131">
        <v>3.4974574825048436E-3</v>
      </c>
      <c r="CY131">
        <v>9.8773980726611058E-4</v>
      </c>
      <c r="CZ131">
        <v>7.0652354470300733E-4</v>
      </c>
      <c r="DA131">
        <v>0</v>
      </c>
      <c r="DB131">
        <v>3.0647275787882037E-3</v>
      </c>
      <c r="DC131">
        <v>3.4270278949019161E-3</v>
      </c>
      <c r="DD131">
        <v>0</v>
      </c>
      <c r="DE131">
        <v>2.089544122171052E-3</v>
      </c>
      <c r="DF131">
        <v>0</v>
      </c>
      <c r="DG131">
        <v>4.0270452482963563E-2</v>
      </c>
      <c r="DH131">
        <v>0</v>
      </c>
      <c r="DI131">
        <v>1.0665476030494281E-9</v>
      </c>
      <c r="DJ131">
        <v>0</v>
      </c>
      <c r="DK131">
        <v>1.9221727876647082E-3</v>
      </c>
      <c r="DL131">
        <v>0</v>
      </c>
      <c r="DM131">
        <v>7.310536301403772E-3</v>
      </c>
      <c r="DN131">
        <v>0</v>
      </c>
      <c r="DO131">
        <v>1.1125923096992445E-3</v>
      </c>
      <c r="DP131">
        <v>2.089498076408423E-3</v>
      </c>
      <c r="DQ131">
        <v>9.2410091119545824E-4</v>
      </c>
      <c r="DR131">
        <v>1.472177385714117E-3</v>
      </c>
      <c r="DS131">
        <v>7.4785929514421324E-4</v>
      </c>
      <c r="DT131">
        <v>1.8972360007195623E-3</v>
      </c>
      <c r="DU131">
        <v>8.6319559568565627E-4</v>
      </c>
      <c r="DV131">
        <v>7.5310141869718093E-4</v>
      </c>
      <c r="DW131">
        <v>6.0416564511331491E-4</v>
      </c>
      <c r="DX131">
        <v>8.8604229858783292E-4</v>
      </c>
      <c r="DY131">
        <v>1.3011932198177813E-8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1.222117377022085E-3</v>
      </c>
      <c r="EN131">
        <v>1.2257417477246533E-3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7.0601702595109355E-3</v>
      </c>
      <c r="EW131">
        <v>4.8052396305879494E-4</v>
      </c>
      <c r="EX131">
        <v>0</v>
      </c>
      <c r="EY131">
        <v>1.0404286729200869E-9</v>
      </c>
      <c r="EZ131">
        <v>1.4850226157749497E-8</v>
      </c>
      <c r="FA131">
        <v>1.1806448334760868E-10</v>
      </c>
      <c r="FB131">
        <v>2.2685327160440123E-10</v>
      </c>
      <c r="FC131">
        <v>9.2576304682750229E-4</v>
      </c>
      <c r="FD131">
        <v>1.2687427805443616E-4</v>
      </c>
      <c r="FE131">
        <v>3.643772002684909E-4</v>
      </c>
      <c r="FF131">
        <v>1.5861468160179197E-8</v>
      </c>
      <c r="FG131">
        <v>1.0561768460828039E-9</v>
      </c>
      <c r="FH131">
        <v>2.4571756862501172E-5</v>
      </c>
      <c r="FI131">
        <v>2.8942291124417456E-9</v>
      </c>
      <c r="FJ131">
        <v>3.241964346192476E-9</v>
      </c>
      <c r="FK131">
        <v>1.4519877158409332E-10</v>
      </c>
      <c r="FL131">
        <v>4.1930605028251214E-4</v>
      </c>
      <c r="FM131">
        <v>1.0968763406348512E-3</v>
      </c>
      <c r="FN131">
        <v>2.3518223620006722E-5</v>
      </c>
      <c r="FO131">
        <v>2.1268806051737582E-3</v>
      </c>
      <c r="FP131">
        <v>3.648155065982217E-4</v>
      </c>
      <c r="FQ131">
        <v>1.6344248913452542E-4</v>
      </c>
      <c r="FR131">
        <v>3.1301536678188216E-3</v>
      </c>
      <c r="FS131">
        <v>2.4455080578592351E-4</v>
      </c>
      <c r="FT131">
        <v>1.6199791061002576E-3</v>
      </c>
      <c r="FU131">
        <v>4.5325180133392214E-3</v>
      </c>
      <c r="FV131">
        <v>2.7616247157723141E-3</v>
      </c>
      <c r="FW131">
        <v>6.6646269520836523E-3</v>
      </c>
      <c r="FX131">
        <v>6.6709346905497692E-3</v>
      </c>
      <c r="FY131">
        <v>6.457316585752733E-3</v>
      </c>
      <c r="FZ131">
        <v>6.1813212445766767E-3</v>
      </c>
      <c r="GA131">
        <v>6.6879339543435071E-3</v>
      </c>
      <c r="GB131">
        <v>6.6660294462983997E-3</v>
      </c>
      <c r="GC131">
        <v>6.6236467137351486E-3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5.7606518983057018E-3</v>
      </c>
      <c r="GJ131">
        <v>6.0025280789479888E-3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1.7256376499387056E-3</v>
      </c>
      <c r="GR131">
        <v>1.9379309889534602E-3</v>
      </c>
      <c r="GS131">
        <v>5.1907737860960705E-4</v>
      </c>
      <c r="GT131">
        <v>1.0336326311611639E-2</v>
      </c>
      <c r="GU131">
        <v>0</v>
      </c>
    </row>
    <row r="132" spans="1:203">
      <c r="A132" t="s">
        <v>270</v>
      </c>
      <c r="B132">
        <v>129</v>
      </c>
      <c r="C132" t="s">
        <v>136</v>
      </c>
      <c r="D132">
        <v>3.4205869030933618E-4</v>
      </c>
      <c r="E132">
        <v>2.1300326721117256E-4</v>
      </c>
      <c r="F132">
        <v>2.2769795346448986E-4</v>
      </c>
      <c r="G132">
        <v>3.4173746098154997E-4</v>
      </c>
      <c r="H132">
        <v>2.6727585019621901E-4</v>
      </c>
      <c r="I132">
        <v>0</v>
      </c>
      <c r="J132">
        <v>0</v>
      </c>
      <c r="K132">
        <v>9.3631558370365893E-4</v>
      </c>
      <c r="L132">
        <v>4.4525891386937722E-4</v>
      </c>
      <c r="M132">
        <v>4.5377129879586707E-4</v>
      </c>
      <c r="N132">
        <v>4.6954933803473024E-4</v>
      </c>
      <c r="O132">
        <v>2.1217998620736163E-4</v>
      </c>
      <c r="P132">
        <v>8.4240236659172596E-4</v>
      </c>
      <c r="Q132">
        <v>3.6635066650620041E-3</v>
      </c>
      <c r="R132">
        <v>0</v>
      </c>
      <c r="S132">
        <v>0</v>
      </c>
      <c r="T132">
        <v>0</v>
      </c>
      <c r="U132">
        <v>1.5728022334820699E-3</v>
      </c>
      <c r="V132">
        <v>1.3704925871979546E-3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1.0939324717384239E-5</v>
      </c>
      <c r="AF132">
        <v>3.6088388906677417E-8</v>
      </c>
      <c r="AG132">
        <v>0</v>
      </c>
      <c r="AH132">
        <v>0</v>
      </c>
      <c r="AI132">
        <v>2.9066256184477053E-7</v>
      </c>
      <c r="AJ132">
        <v>1.9747588844304441E-4</v>
      </c>
      <c r="AK132">
        <v>0</v>
      </c>
      <c r="AL132">
        <v>8.9953532430762482E-9</v>
      </c>
      <c r="AM132">
        <v>0</v>
      </c>
      <c r="AN132">
        <v>4.1134566436602965E-8</v>
      </c>
      <c r="AO132">
        <v>7.5105267718026001E-7</v>
      </c>
      <c r="AP132">
        <v>1.5144676753077397E-5</v>
      </c>
      <c r="AQ132">
        <v>6.7043175402875582E-9</v>
      </c>
      <c r="AR132">
        <v>1.287261845438395E-9</v>
      </c>
      <c r="AS132">
        <v>2.5795244837476536E-3</v>
      </c>
      <c r="AT132">
        <v>7.3043310181369647E-8</v>
      </c>
      <c r="AU132">
        <v>5.8290374173420647E-5</v>
      </c>
      <c r="AV132">
        <v>3.1365070253490453E-5</v>
      </c>
      <c r="AW132">
        <v>7.3123315753507718E-4</v>
      </c>
      <c r="AX132">
        <v>9.5877094102032705E-4</v>
      </c>
      <c r="AY132">
        <v>1.0770493815838124E-3</v>
      </c>
      <c r="AZ132">
        <v>2.8031788055009692E-3</v>
      </c>
      <c r="BA132">
        <v>8.1748644439468443E-4</v>
      </c>
      <c r="BB132">
        <v>6.6901104831691021E-4</v>
      </c>
      <c r="BC132">
        <v>4.0754429137779036E-4</v>
      </c>
      <c r="BD132">
        <v>6.5646759224073897E-4</v>
      </c>
      <c r="BE132">
        <v>4.1401878453347071E-8</v>
      </c>
      <c r="BF132">
        <v>2.9466644781814956E-3</v>
      </c>
      <c r="BG132">
        <v>6.3316626195788833E-4</v>
      </c>
      <c r="BH132">
        <v>7.1134627016767595E-4</v>
      </c>
      <c r="BI132">
        <v>3.4486675355110152E-3</v>
      </c>
      <c r="BJ132">
        <v>0</v>
      </c>
      <c r="BK132">
        <v>1.9196938431585361E-2</v>
      </c>
      <c r="BL132">
        <v>0</v>
      </c>
      <c r="BM132">
        <v>2.9925416630765108E-3</v>
      </c>
      <c r="BN132">
        <v>7.1040169887240541E-4</v>
      </c>
      <c r="BO132">
        <v>2.5919787775594543E-2</v>
      </c>
      <c r="BP132">
        <v>0</v>
      </c>
      <c r="BQ132">
        <v>2.5919787775594543E-2</v>
      </c>
      <c r="BR132">
        <v>2.1539215565211053E-3</v>
      </c>
      <c r="BS132">
        <v>0</v>
      </c>
      <c r="BT132">
        <v>0</v>
      </c>
      <c r="BU132">
        <v>2.1539215565211049E-3</v>
      </c>
      <c r="BV132">
        <v>2.1539215565211053E-3</v>
      </c>
      <c r="BW132">
        <v>2.1539215565211053E-3</v>
      </c>
      <c r="BX132">
        <v>2.1539215565211053E-3</v>
      </c>
      <c r="BY132">
        <v>2.1539215565211053E-3</v>
      </c>
      <c r="BZ132">
        <v>2.1539215565211053E-3</v>
      </c>
      <c r="CA132">
        <v>2.1539215565211057E-3</v>
      </c>
      <c r="CB132">
        <v>0</v>
      </c>
      <c r="CC132">
        <v>2.1539215565211053E-3</v>
      </c>
      <c r="CD132">
        <v>2.1539215565211053E-3</v>
      </c>
      <c r="CE132">
        <v>2.1539215565211053E-3</v>
      </c>
      <c r="CF132">
        <v>2.1539215565211053E-3</v>
      </c>
      <c r="CG132">
        <v>2.1539215565211053E-3</v>
      </c>
      <c r="CH132">
        <v>2.1539215565211053E-3</v>
      </c>
      <c r="CI132">
        <v>2.1539215565211053E-3</v>
      </c>
      <c r="CJ132">
        <v>0</v>
      </c>
      <c r="CK132">
        <v>2.3935508301724994E-4</v>
      </c>
      <c r="CL132">
        <v>0</v>
      </c>
      <c r="CM132">
        <v>1.8926290300288026E-3</v>
      </c>
      <c r="CN132">
        <v>2.1294051131261226E-3</v>
      </c>
      <c r="CO132">
        <v>1.5042052406275901E-3</v>
      </c>
      <c r="CP132">
        <v>0</v>
      </c>
      <c r="CQ132">
        <v>1.5042052406275903E-3</v>
      </c>
      <c r="CR132">
        <v>0</v>
      </c>
      <c r="CS132">
        <v>1.5042052406275903E-3</v>
      </c>
      <c r="CT132">
        <v>0</v>
      </c>
      <c r="CU132">
        <v>1.3252188007239415E-3</v>
      </c>
      <c r="CV132">
        <v>9.8574960528975014E-4</v>
      </c>
      <c r="CW132">
        <v>0</v>
      </c>
      <c r="CX132">
        <v>1.9199017463264669E-3</v>
      </c>
      <c r="CY132">
        <v>5.4457062058495926E-4</v>
      </c>
      <c r="CZ132">
        <v>3.7087712249631862E-4</v>
      </c>
      <c r="DA132">
        <v>0</v>
      </c>
      <c r="DB132">
        <v>1.6914559800168816E-3</v>
      </c>
      <c r="DC132">
        <v>1.9132865536408137E-3</v>
      </c>
      <c r="DD132">
        <v>0</v>
      </c>
      <c r="DE132">
        <v>1.1694958594990668E-3</v>
      </c>
      <c r="DF132">
        <v>0</v>
      </c>
      <c r="DG132">
        <v>2.2484265195583671E-2</v>
      </c>
      <c r="DH132">
        <v>0</v>
      </c>
      <c r="DI132">
        <v>1.064994671727978E-9</v>
      </c>
      <c r="DJ132">
        <v>0</v>
      </c>
      <c r="DK132">
        <v>1.0701532938914978E-3</v>
      </c>
      <c r="DL132">
        <v>0</v>
      </c>
      <c r="DM132">
        <v>4.0869147438079107E-3</v>
      </c>
      <c r="DN132">
        <v>0</v>
      </c>
      <c r="DO132">
        <v>6.2087149199456515E-4</v>
      </c>
      <c r="DP132">
        <v>1.1635203092318694E-3</v>
      </c>
      <c r="DQ132">
        <v>5.1468729869437392E-4</v>
      </c>
      <c r="DR132">
        <v>8.2023219055539498E-4</v>
      </c>
      <c r="DS132">
        <v>4.1666194521655382E-4</v>
      </c>
      <c r="DT132">
        <v>1.0555746310059743E-3</v>
      </c>
      <c r="DU132">
        <v>4.817978410932517E-4</v>
      </c>
      <c r="DV132">
        <v>4.1731578850778399E-4</v>
      </c>
      <c r="DW132">
        <v>3.2869568540739203E-4</v>
      </c>
      <c r="DX132">
        <v>4.9195004952330723E-4</v>
      </c>
      <c r="DY132">
        <v>1.2948415581113928E-8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6.8165311840502315E-4</v>
      </c>
      <c r="EN132">
        <v>6.8384943948392445E-4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3.9383178131196161E-3</v>
      </c>
      <c r="EW132">
        <v>2.6744750410580666E-4</v>
      </c>
      <c r="EX132">
        <v>0</v>
      </c>
      <c r="EY132">
        <v>1.0401969883508416E-9</v>
      </c>
      <c r="EZ132">
        <v>1.4833945109098207E-8</v>
      </c>
      <c r="FA132">
        <v>1.1791383681847014E-10</v>
      </c>
      <c r="FB132">
        <v>2.2658628321407537E-10</v>
      </c>
      <c r="FC132">
        <v>5.1206769330892216E-4</v>
      </c>
      <c r="FD132">
        <v>6.4893504466120044E-5</v>
      </c>
      <c r="FE132">
        <v>1.973684471002132E-4</v>
      </c>
      <c r="FF132">
        <v>1.5760825125179967E-8</v>
      </c>
      <c r="FG132">
        <v>1.0529512012685503E-9</v>
      </c>
      <c r="FH132">
        <v>1.3283318556908421E-5</v>
      </c>
      <c r="FI132">
        <v>2.8658642470246508E-9</v>
      </c>
      <c r="FJ132">
        <v>3.1875374819240877E-9</v>
      </c>
      <c r="FK132">
        <v>1.4469985005019718E-10</v>
      </c>
      <c r="FL132">
        <v>2.2920229109319655E-4</v>
      </c>
      <c r="FM132">
        <v>6.0296493357469953E-4</v>
      </c>
      <c r="FN132">
        <v>1.2903550810675616E-5</v>
      </c>
      <c r="FO132">
        <v>1.1557459600952022E-3</v>
      </c>
      <c r="FP132">
        <v>2.032847328099837E-4</v>
      </c>
      <c r="FQ132">
        <v>8.1437297856762664E-5</v>
      </c>
      <c r="FR132">
        <v>1.7435424316799115E-3</v>
      </c>
      <c r="FS132">
        <v>1.325192256463843E-4</v>
      </c>
      <c r="FT132">
        <v>9.0532182429645981E-4</v>
      </c>
      <c r="FU132">
        <v>2.5307255714706427E-3</v>
      </c>
      <c r="FV132">
        <v>1.5449728252885345E-3</v>
      </c>
      <c r="FW132">
        <v>3.7169523693656868E-3</v>
      </c>
      <c r="FX132">
        <v>3.7202974005512653E-3</v>
      </c>
      <c r="FY132">
        <v>3.5996358330172063E-3</v>
      </c>
      <c r="FZ132">
        <v>3.4444895246046698E-3</v>
      </c>
      <c r="GA132">
        <v>3.7296444206854082E-3</v>
      </c>
      <c r="GB132">
        <v>3.7173167277313886E-3</v>
      </c>
      <c r="GC132">
        <v>3.6936146486691089E-3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3.2113967510271997E-3</v>
      </c>
      <c r="GJ132">
        <v>3.3469036214738893E-3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9.6375088940394392E-4</v>
      </c>
      <c r="GR132">
        <v>1.0734167988325435E-3</v>
      </c>
      <c r="GS132">
        <v>2.8917286870919689E-4</v>
      </c>
      <c r="GT132">
        <v>5.709386811466763E-3</v>
      </c>
      <c r="GU132">
        <v>0</v>
      </c>
    </row>
    <row r="133" spans="1:203">
      <c r="A133" t="s">
        <v>271</v>
      </c>
      <c r="B133">
        <v>130</v>
      </c>
      <c r="C133" t="s">
        <v>136</v>
      </c>
      <c r="D133">
        <v>8.3588853351576251E-4</v>
      </c>
      <c r="E133">
        <v>3.6665687870979794E-4</v>
      </c>
      <c r="F133">
        <v>3.7884495729041429E-4</v>
      </c>
      <c r="G133">
        <v>5.8123573418532662E-4</v>
      </c>
      <c r="H133">
        <v>4.657574109826776E-4</v>
      </c>
      <c r="I133">
        <v>0</v>
      </c>
      <c r="J133">
        <v>0</v>
      </c>
      <c r="K133">
        <v>1.3768643226341913E-3</v>
      </c>
      <c r="L133">
        <v>8.8909366796166046E-4</v>
      </c>
      <c r="M133">
        <v>7.7210727064790509E-4</v>
      </c>
      <c r="N133">
        <v>9.1008666977402221E-4</v>
      </c>
      <c r="O133">
        <v>3.3360593502957352E-4</v>
      </c>
      <c r="P133">
        <v>1.2757124723640613E-3</v>
      </c>
      <c r="Q133">
        <v>5.6288789555663686E-3</v>
      </c>
      <c r="R133">
        <v>0</v>
      </c>
      <c r="S133">
        <v>0</v>
      </c>
      <c r="T133">
        <v>0</v>
      </c>
      <c r="U133">
        <v>2.4357774778310682E-3</v>
      </c>
      <c r="V133">
        <v>2.1337528170123263E-3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1.9752192878368831E-5</v>
      </c>
      <c r="AF133">
        <v>3.8786044682289375E-8</v>
      </c>
      <c r="AG133">
        <v>0</v>
      </c>
      <c r="AH133">
        <v>0</v>
      </c>
      <c r="AI133">
        <v>4.8463412328615239E-7</v>
      </c>
      <c r="AJ133">
        <v>3.2958122573136395E-4</v>
      </c>
      <c r="AK133">
        <v>0</v>
      </c>
      <c r="AL133">
        <v>9.3792435701686732E-9</v>
      </c>
      <c r="AM133">
        <v>0</v>
      </c>
      <c r="AN133">
        <v>4.2987568526104613E-8</v>
      </c>
      <c r="AO133">
        <v>7.9671394994587356E-7</v>
      </c>
      <c r="AP133">
        <v>3.3084561214326751E-5</v>
      </c>
      <c r="AQ133">
        <v>7.795624422722549E-9</v>
      </c>
      <c r="AR133">
        <v>1.3328597741923361E-9</v>
      </c>
      <c r="AS133">
        <v>4.5568779175807024E-3</v>
      </c>
      <c r="AT133">
        <v>1.2857637163392522E-7</v>
      </c>
      <c r="AU133">
        <v>9.4616378271042246E-5</v>
      </c>
      <c r="AV133">
        <v>5.8951976766316401E-5</v>
      </c>
      <c r="AW133">
        <v>1.0691576152276222E-3</v>
      </c>
      <c r="AX133">
        <v>1.6396191419743174E-3</v>
      </c>
      <c r="AY133">
        <v>1.664276511509407E-3</v>
      </c>
      <c r="AZ133">
        <v>4.3653377518214267E-3</v>
      </c>
      <c r="BA133">
        <v>1.3252385155868138E-3</v>
      </c>
      <c r="BB133">
        <v>1.2296165685991914E-3</v>
      </c>
      <c r="BC133">
        <v>7.6244415277631279E-4</v>
      </c>
      <c r="BD133">
        <v>1.0625612013027382E-3</v>
      </c>
      <c r="BE133">
        <v>1.0516804686703179E-7</v>
      </c>
      <c r="BF133">
        <v>4.9583547709466675E-3</v>
      </c>
      <c r="BG133">
        <v>1.0016509725174689E-3</v>
      </c>
      <c r="BH133">
        <v>1.1354898886238958E-3</v>
      </c>
      <c r="BI133">
        <v>5.7961179985939635E-3</v>
      </c>
      <c r="BJ133">
        <v>0</v>
      </c>
      <c r="BK133">
        <v>3.1398410051196431E-2</v>
      </c>
      <c r="BL133">
        <v>0</v>
      </c>
      <c r="BM133">
        <v>5.2950221439307813E-3</v>
      </c>
      <c r="BN133">
        <v>1.4471260315225289E-3</v>
      </c>
      <c r="BO133">
        <v>3.7242124387932382E-2</v>
      </c>
      <c r="BP133">
        <v>0</v>
      </c>
      <c r="BQ133">
        <v>3.7242124387932389E-2</v>
      </c>
      <c r="BR133">
        <v>3.2715503317764017E-3</v>
      </c>
      <c r="BS133">
        <v>0</v>
      </c>
      <c r="BT133">
        <v>0</v>
      </c>
      <c r="BU133">
        <v>3.2715503317764017E-3</v>
      </c>
      <c r="BV133">
        <v>3.2715503317764022E-3</v>
      </c>
      <c r="BW133">
        <v>3.2715503317764022E-3</v>
      </c>
      <c r="BX133">
        <v>3.2715503317764022E-3</v>
      </c>
      <c r="BY133">
        <v>3.2715503317764022E-3</v>
      </c>
      <c r="BZ133">
        <v>3.2715503317764017E-3</v>
      </c>
      <c r="CA133">
        <v>3.2715503317764022E-3</v>
      </c>
      <c r="CB133">
        <v>0</v>
      </c>
      <c r="CC133">
        <v>3.2715503317764013E-3</v>
      </c>
      <c r="CD133">
        <v>3.2715503317764017E-3</v>
      </c>
      <c r="CE133">
        <v>3.2715503317764022E-3</v>
      </c>
      <c r="CF133">
        <v>3.2715503317764022E-3</v>
      </c>
      <c r="CG133">
        <v>3.2715503317764017E-3</v>
      </c>
      <c r="CH133">
        <v>3.2715503317764022E-3</v>
      </c>
      <c r="CI133">
        <v>3.2715503317764022E-3</v>
      </c>
      <c r="CJ133">
        <v>0</v>
      </c>
      <c r="CK133">
        <v>3.5564997127168692E-4</v>
      </c>
      <c r="CL133">
        <v>0</v>
      </c>
      <c r="CM133">
        <v>2.8743251180718722E-3</v>
      </c>
      <c r="CN133">
        <v>3.4808140490423323E-3</v>
      </c>
      <c r="CO133">
        <v>2.2859752022601262E-3</v>
      </c>
      <c r="CP133">
        <v>0</v>
      </c>
      <c r="CQ133">
        <v>2.2859752022601266E-3</v>
      </c>
      <c r="CR133">
        <v>0</v>
      </c>
      <c r="CS133">
        <v>2.2859752022601266E-3</v>
      </c>
      <c r="CT133">
        <v>0</v>
      </c>
      <c r="CU133">
        <v>2.111648610625772E-3</v>
      </c>
      <c r="CV133">
        <v>1.6022269547733259E-3</v>
      </c>
      <c r="CW133">
        <v>0</v>
      </c>
      <c r="CX133">
        <v>3.7861946413683002E-3</v>
      </c>
      <c r="CY133">
        <v>1.0213949534395232E-3</v>
      </c>
      <c r="CZ133">
        <v>1.1591483004833717E-3</v>
      </c>
      <c r="DA133">
        <v>0</v>
      </c>
      <c r="DB133">
        <v>3.1060984751497813E-3</v>
      </c>
      <c r="DC133">
        <v>2.965028621816683E-3</v>
      </c>
      <c r="DD133">
        <v>0</v>
      </c>
      <c r="DE133">
        <v>1.7401071176641346E-3</v>
      </c>
      <c r="DF133">
        <v>0</v>
      </c>
      <c r="DG133">
        <v>3.4805736696234289E-2</v>
      </c>
      <c r="DH133">
        <v>0</v>
      </c>
      <c r="DI133">
        <v>1.0941665613149656E-9</v>
      </c>
      <c r="DJ133">
        <v>0</v>
      </c>
      <c r="DK133">
        <v>1.7323657335544442E-3</v>
      </c>
      <c r="DL133">
        <v>0</v>
      </c>
      <c r="DM133">
        <v>6.1975296886516975E-3</v>
      </c>
      <c r="DN133">
        <v>0</v>
      </c>
      <c r="DO133">
        <v>9.6923018363831253E-4</v>
      </c>
      <c r="DP133">
        <v>1.8782695631569329E-3</v>
      </c>
      <c r="DQ133">
        <v>8.2814915425203142E-4</v>
      </c>
      <c r="DR133">
        <v>1.3126399882697731E-3</v>
      </c>
      <c r="DS133">
        <v>6.6709182898661424E-4</v>
      </c>
      <c r="DT133">
        <v>1.7260272033943185E-3</v>
      </c>
      <c r="DU133">
        <v>7.4959224365490809E-4</v>
      </c>
      <c r="DV133">
        <v>7.2443153783600847E-4</v>
      </c>
      <c r="DW133">
        <v>7.2270013218728559E-4</v>
      </c>
      <c r="DX133">
        <v>8.2984602182045156E-4</v>
      </c>
      <c r="DY133">
        <v>2.2360873768061323E-8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1.0725411882134576E-3</v>
      </c>
      <c r="EN133">
        <v>1.071554745599484E-3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6.1857404313094989E-3</v>
      </c>
      <c r="EW133">
        <v>4.3493296152050955E-4</v>
      </c>
      <c r="EX133">
        <v>0</v>
      </c>
      <c r="EY133">
        <v>1.0444666399710286E-9</v>
      </c>
      <c r="EZ133">
        <v>1.5136935420653808E-8</v>
      </c>
      <c r="FA133">
        <v>1.2074126947650441E-10</v>
      </c>
      <c r="FB133">
        <v>2.3158989660056075E-10</v>
      </c>
      <c r="FC133">
        <v>9.1201338576464162E-4</v>
      </c>
      <c r="FD133">
        <v>2.4804871945756054E-4</v>
      </c>
      <c r="FE133">
        <v>4.5611781900219898E-4</v>
      </c>
      <c r="FF133">
        <v>1.7791042078675187E-8</v>
      </c>
      <c r="FG133">
        <v>1.1135868583314567E-9</v>
      </c>
      <c r="FH133">
        <v>3.3123461127223999E-5</v>
      </c>
      <c r="FI133">
        <v>3.4590545137063258E-9</v>
      </c>
      <c r="FJ133">
        <v>4.6008252108104985E-9</v>
      </c>
      <c r="FK133">
        <v>1.544399944669563E-10</v>
      </c>
      <c r="FL133">
        <v>4.7649079297175622E-4</v>
      </c>
      <c r="FM133">
        <v>1.167748060543616E-3</v>
      </c>
      <c r="FN133">
        <v>2.5665309279275546E-5</v>
      </c>
      <c r="FO133">
        <v>2.576146513870111E-3</v>
      </c>
      <c r="FP133">
        <v>3.2471691484732161E-4</v>
      </c>
      <c r="FQ133">
        <v>3.6965519022557681E-4</v>
      </c>
      <c r="FR133">
        <v>2.8011512291874706E-3</v>
      </c>
      <c r="FS133">
        <v>3.0481687131899326E-4</v>
      </c>
      <c r="FT133">
        <v>1.3807167115587595E-3</v>
      </c>
      <c r="FU133">
        <v>3.9156483340102377E-3</v>
      </c>
      <c r="FV133">
        <v>2.3155306664327364E-3</v>
      </c>
      <c r="FW133">
        <v>5.8561234346298672E-3</v>
      </c>
      <c r="FX133">
        <v>5.8656831866200033E-3</v>
      </c>
      <c r="FY133">
        <v>5.7140992045104678E-3</v>
      </c>
      <c r="FZ133">
        <v>5.5004851254022765E-3</v>
      </c>
      <c r="GA133">
        <v>5.8843800980840025E-3</v>
      </c>
      <c r="GB133">
        <v>5.8676006574147708E-3</v>
      </c>
      <c r="GC133">
        <v>5.8318922840367403E-3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5.0944477575528722E-3</v>
      </c>
      <c r="GJ133">
        <v>5.2926196445282183E-3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1.4851490133540653E-3</v>
      </c>
      <c r="GR133">
        <v>1.8745723736314382E-3</v>
      </c>
      <c r="GS133">
        <v>4.6361667130030845E-4</v>
      </c>
      <c r="GT133">
        <v>1.0367730638074484E-2</v>
      </c>
      <c r="GU133">
        <v>0</v>
      </c>
    </row>
    <row r="134" spans="1:203">
      <c r="A134" t="s">
        <v>272</v>
      </c>
      <c r="B134">
        <v>131</v>
      </c>
      <c r="C134" t="s">
        <v>136</v>
      </c>
      <c r="D134">
        <v>2.3919724440838517E-5</v>
      </c>
      <c r="E134">
        <v>1.1412528091153472E-5</v>
      </c>
      <c r="F134">
        <v>1.1309958422132515E-5</v>
      </c>
      <c r="G134">
        <v>1.6971377696088995E-5</v>
      </c>
      <c r="H134">
        <v>1.36366602728784E-5</v>
      </c>
      <c r="I134">
        <v>0</v>
      </c>
      <c r="J134">
        <v>0</v>
      </c>
      <c r="K134">
        <v>4.0641284468061594E-5</v>
      </c>
      <c r="L134">
        <v>2.5712258696132252E-5</v>
      </c>
      <c r="M134">
        <v>2.2547891055605501E-5</v>
      </c>
      <c r="N134">
        <v>2.6371937763255763E-5</v>
      </c>
      <c r="O134">
        <v>1.0802535443667477E-5</v>
      </c>
      <c r="P134">
        <v>3.7573869239420806E-5</v>
      </c>
      <c r="Q134">
        <v>1.6549544486707361E-4</v>
      </c>
      <c r="R134">
        <v>0</v>
      </c>
      <c r="S134">
        <v>0</v>
      </c>
      <c r="T134">
        <v>0</v>
      </c>
      <c r="U134">
        <v>7.1601357658733733E-5</v>
      </c>
      <c r="V134">
        <v>6.2680124003360114E-5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1.1748296700937217E-6</v>
      </c>
      <c r="AF134">
        <v>3.6950783869988776E-8</v>
      </c>
      <c r="AG134">
        <v>0</v>
      </c>
      <c r="AH134">
        <v>0</v>
      </c>
      <c r="AI134">
        <v>1.7983035072562058E-7</v>
      </c>
      <c r="AJ134">
        <v>9.843673103066713E-6</v>
      </c>
      <c r="AK134">
        <v>0</v>
      </c>
      <c r="AL134">
        <v>9.3443036500948321E-9</v>
      </c>
      <c r="AM134">
        <v>0</v>
      </c>
      <c r="AN134">
        <v>4.2663211167529942E-8</v>
      </c>
      <c r="AO134">
        <v>7.6002171660812448E-7</v>
      </c>
      <c r="AP134">
        <v>4.2752833711868778E-6</v>
      </c>
      <c r="AQ134">
        <v>7.6740134543287188E-9</v>
      </c>
      <c r="AR134">
        <v>1.3288479493778435E-9</v>
      </c>
      <c r="AS134">
        <v>1.3273462598020823E-4</v>
      </c>
      <c r="AT134">
        <v>1.1711290093688793E-7</v>
      </c>
      <c r="AU134">
        <v>2.7765649203891647E-6</v>
      </c>
      <c r="AV134">
        <v>1.7258934271377409E-6</v>
      </c>
      <c r="AW134">
        <v>3.1593571056779657E-5</v>
      </c>
      <c r="AX134">
        <v>4.795210146229575E-5</v>
      </c>
      <c r="AY134">
        <v>4.8912685882883883E-5</v>
      </c>
      <c r="AZ134">
        <v>1.2836525286150159E-4</v>
      </c>
      <c r="BA134">
        <v>3.8863059322747653E-5</v>
      </c>
      <c r="BB134">
        <v>3.5720668976828364E-5</v>
      </c>
      <c r="BC134">
        <v>2.2130495879818334E-5</v>
      </c>
      <c r="BD134">
        <v>3.1128481435343805E-5</v>
      </c>
      <c r="BE134">
        <v>9.8464335545265414E-8</v>
      </c>
      <c r="BF134">
        <v>1.4485425355457933E-4</v>
      </c>
      <c r="BG134">
        <v>2.939110261798449E-5</v>
      </c>
      <c r="BH134">
        <v>3.3296184617062212E-5</v>
      </c>
      <c r="BI134">
        <v>1.6934708601583454E-4</v>
      </c>
      <c r="BJ134">
        <v>0</v>
      </c>
      <c r="BK134">
        <v>9.190731945826091E-4</v>
      </c>
      <c r="BL134">
        <v>0</v>
      </c>
      <c r="BM134">
        <v>1.5418543512125962E-4</v>
      </c>
      <c r="BN134">
        <v>4.1793316621471837E-5</v>
      </c>
      <c r="BO134">
        <v>1.1004185075760334E-3</v>
      </c>
      <c r="BP134">
        <v>0</v>
      </c>
      <c r="BQ134">
        <v>1.1004185075760334E-3</v>
      </c>
      <c r="BR134">
        <v>9.6262972929031849E-5</v>
      </c>
      <c r="BS134">
        <v>0</v>
      </c>
      <c r="BT134">
        <v>0</v>
      </c>
      <c r="BU134">
        <v>9.6262972929031849E-5</v>
      </c>
      <c r="BV134">
        <v>9.6262972929031849E-5</v>
      </c>
      <c r="BW134">
        <v>9.6262972929031862E-5</v>
      </c>
      <c r="BX134">
        <v>9.6262972929031862E-5</v>
      </c>
      <c r="BY134">
        <v>9.6262972929031876E-5</v>
      </c>
      <c r="BZ134">
        <v>9.6262972929031849E-5</v>
      </c>
      <c r="CA134">
        <v>9.6262972929031862E-5</v>
      </c>
      <c r="CB134">
        <v>0</v>
      </c>
      <c r="CC134">
        <v>9.6262972929031849E-5</v>
      </c>
      <c r="CD134">
        <v>9.6262972929031849E-5</v>
      </c>
      <c r="CE134">
        <v>9.6262972929031862E-5</v>
      </c>
      <c r="CF134">
        <v>9.6262972929031862E-5</v>
      </c>
      <c r="CG134">
        <v>9.6262972929031849E-5</v>
      </c>
      <c r="CH134">
        <v>9.6262972929031862E-5</v>
      </c>
      <c r="CI134">
        <v>9.6262972929031849E-5</v>
      </c>
      <c r="CJ134">
        <v>0</v>
      </c>
      <c r="CK134">
        <v>1.0482762124494443E-5</v>
      </c>
      <c r="CL134">
        <v>0</v>
      </c>
      <c r="CM134">
        <v>8.5678497537709981E-5</v>
      </c>
      <c r="CN134">
        <v>1.0189576753142424E-4</v>
      </c>
      <c r="CO134">
        <v>6.7260277008209993E-5</v>
      </c>
      <c r="CP134">
        <v>0</v>
      </c>
      <c r="CQ134">
        <v>6.726027700820998E-5</v>
      </c>
      <c r="CR134">
        <v>0</v>
      </c>
      <c r="CS134">
        <v>6.7260277008209993E-5</v>
      </c>
      <c r="CT134">
        <v>0</v>
      </c>
      <c r="CU134">
        <v>6.1920701455468204E-5</v>
      </c>
      <c r="CV134">
        <v>4.6920186388305606E-5</v>
      </c>
      <c r="CW134">
        <v>0</v>
      </c>
      <c r="CX134">
        <v>1.0955116706390449E-4</v>
      </c>
      <c r="CY134">
        <v>3.0129737090966878E-5</v>
      </c>
      <c r="CZ134">
        <v>3.2830760984904549E-5</v>
      </c>
      <c r="DA134">
        <v>0</v>
      </c>
      <c r="DB134">
        <v>9.0239423254253546E-5</v>
      </c>
      <c r="DC134">
        <v>8.7116280076748493E-5</v>
      </c>
      <c r="DD134">
        <v>0</v>
      </c>
      <c r="DE134">
        <v>5.128273989303121E-5</v>
      </c>
      <c r="DF134">
        <v>0</v>
      </c>
      <c r="DG134">
        <v>1.0227188474267129E-3</v>
      </c>
      <c r="DH134">
        <v>0</v>
      </c>
      <c r="DI134">
        <v>1.0913994768199746E-9</v>
      </c>
      <c r="DJ134">
        <v>0</v>
      </c>
      <c r="DK134">
        <v>5.0744232951080091E-5</v>
      </c>
      <c r="DL134">
        <v>0</v>
      </c>
      <c r="DM134">
        <v>1.8238902006622961E-4</v>
      </c>
      <c r="DN134">
        <v>0</v>
      </c>
      <c r="DO134">
        <v>2.8469596011056177E-5</v>
      </c>
      <c r="DP134">
        <v>5.5027270993707495E-5</v>
      </c>
      <c r="DQ134">
        <v>2.4267670660098664E-5</v>
      </c>
      <c r="DR134">
        <v>3.84809370017398E-5</v>
      </c>
      <c r="DS134">
        <v>1.9555102011447258E-5</v>
      </c>
      <c r="DT134">
        <v>5.0522103560031937E-5</v>
      </c>
      <c r="DU134">
        <v>2.2018760420438861E-5</v>
      </c>
      <c r="DV134">
        <v>2.1120525118005456E-5</v>
      </c>
      <c r="DW134">
        <v>2.0784545177102819E-5</v>
      </c>
      <c r="DX134">
        <v>2.4240945322646661E-5</v>
      </c>
      <c r="DY134">
        <v>8.6474889526675392E-9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3.1490347445800726E-5</v>
      </c>
      <c r="EN134">
        <v>3.1462308995384148E-5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1.8157368635593265E-4</v>
      </c>
      <c r="EW134">
        <v>1.2735781292941793E-5</v>
      </c>
      <c r="EX134">
        <v>0</v>
      </c>
      <c r="EY134">
        <v>1.0441032322320905E-9</v>
      </c>
      <c r="EZ134">
        <v>1.5105642170295241E-8</v>
      </c>
      <c r="FA134">
        <v>1.204940584723856E-10</v>
      </c>
      <c r="FB134">
        <v>2.3115748114284452E-10</v>
      </c>
      <c r="FC134">
        <v>2.654588707504799E-5</v>
      </c>
      <c r="FD134">
        <v>6.9849041399442424E-6</v>
      </c>
      <c r="FE134">
        <v>1.3085926240382249E-5</v>
      </c>
      <c r="FF134">
        <v>1.7461805419538713E-8</v>
      </c>
      <c r="FG134">
        <v>1.1027756846770605E-9</v>
      </c>
      <c r="FH134">
        <v>1.036112389267095E-6</v>
      </c>
      <c r="FI134">
        <v>3.3144272267954514E-9</v>
      </c>
      <c r="FJ134">
        <v>4.4114007805773874E-9</v>
      </c>
      <c r="FK134">
        <v>1.5355822963243732E-10</v>
      </c>
      <c r="FL134">
        <v>1.3744418019736716E-5</v>
      </c>
      <c r="FM134">
        <v>3.3817982738879042E-5</v>
      </c>
      <c r="FN134">
        <v>7.4549806344418753E-7</v>
      </c>
      <c r="FO134">
        <v>7.4030262462996142E-5</v>
      </c>
      <c r="FP134">
        <v>9.5230263149640273E-6</v>
      </c>
      <c r="FQ134">
        <v>1.0353507366003198E-5</v>
      </c>
      <c r="FR134">
        <v>8.2092420150611242E-5</v>
      </c>
      <c r="FS134">
        <v>8.7468295021772674E-6</v>
      </c>
      <c r="FT134">
        <v>4.0614416120757488E-5</v>
      </c>
      <c r="FU134">
        <v>1.1505993448702205E-4</v>
      </c>
      <c r="FV134">
        <v>6.819984112845919E-5</v>
      </c>
      <c r="FW134">
        <v>1.7187211604269972E-4</v>
      </c>
      <c r="FX134">
        <v>1.7214378597264437E-4</v>
      </c>
      <c r="FY134">
        <v>1.6767042011728956E-4</v>
      </c>
      <c r="FZ134">
        <v>1.6137883402161238E-4</v>
      </c>
      <c r="GA134">
        <v>1.7273566427850401E-4</v>
      </c>
      <c r="GB134">
        <v>1.7222853249782661E-4</v>
      </c>
      <c r="GC134">
        <v>1.711794862249572E-4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1.4945984365531152E-4</v>
      </c>
      <c r="GJ134">
        <v>1.5529170601022503E-4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4.3655108517889561E-5</v>
      </c>
      <c r="GR134">
        <v>5.4631655702577757E-5</v>
      </c>
      <c r="GS134">
        <v>1.3589372217838421E-5</v>
      </c>
      <c r="GT134">
        <v>3.0142151089780823E-4</v>
      </c>
      <c r="GU134">
        <v>0</v>
      </c>
    </row>
    <row r="135" spans="1:203">
      <c r="A135" t="s">
        <v>273</v>
      </c>
      <c r="B135">
        <v>132</v>
      </c>
      <c r="C135" t="s">
        <v>136</v>
      </c>
      <c r="D135">
        <v>4.0297687637294659E-6</v>
      </c>
      <c r="E135">
        <v>4.3602209723598938E-6</v>
      </c>
      <c r="F135">
        <v>2.5268164572503863E-6</v>
      </c>
      <c r="G135">
        <v>3.0349841937153268E-6</v>
      </c>
      <c r="H135">
        <v>2.4844219192678702E-6</v>
      </c>
      <c r="I135">
        <v>0</v>
      </c>
      <c r="J135">
        <v>0</v>
      </c>
      <c r="K135">
        <v>7.4993638958543028E-6</v>
      </c>
      <c r="L135">
        <v>4.4735211571348417E-6</v>
      </c>
      <c r="M135">
        <v>4.0352583986847069E-6</v>
      </c>
      <c r="N135">
        <v>4.6182764502105142E-6</v>
      </c>
      <c r="O135">
        <v>4.8622869856897996E-6</v>
      </c>
      <c r="P135">
        <v>6.8924699454259214E-6</v>
      </c>
      <c r="Q135">
        <v>3.0170120888061948E-5</v>
      </c>
      <c r="R135">
        <v>0</v>
      </c>
      <c r="S135">
        <v>0</v>
      </c>
      <c r="T135">
        <v>0</v>
      </c>
      <c r="U135">
        <v>1.3055436635266559E-5</v>
      </c>
      <c r="V135">
        <v>1.1400710946077018E-5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9.1211070471190397E-7</v>
      </c>
      <c r="AF135">
        <v>3.1151671890956593E-8</v>
      </c>
      <c r="AG135">
        <v>0</v>
      </c>
      <c r="AH135">
        <v>0</v>
      </c>
      <c r="AI135">
        <v>1.5275776196553736E-7</v>
      </c>
      <c r="AJ135">
        <v>2.1776276626504572E-6</v>
      </c>
      <c r="AK135">
        <v>0</v>
      </c>
      <c r="AL135">
        <v>9.2484449453739096E-9</v>
      </c>
      <c r="AM135">
        <v>0</v>
      </c>
      <c r="AN135">
        <v>4.1682909803108582E-8</v>
      </c>
      <c r="AO135">
        <v>6.2641536150696762E-7</v>
      </c>
      <c r="AP135">
        <v>3.7857950313229585E-6</v>
      </c>
      <c r="AQ135">
        <v>7.3476386890629506E-9</v>
      </c>
      <c r="AR135">
        <v>1.3179531700508307E-9</v>
      </c>
      <c r="AS135">
        <v>2.3575230513289653E-5</v>
      </c>
      <c r="AT135">
        <v>3.5812262255704702E-8</v>
      </c>
      <c r="AU135">
        <v>5.0573553376614365E-7</v>
      </c>
      <c r="AV135">
        <v>3.1802743516937303E-7</v>
      </c>
      <c r="AW135">
        <v>6.2689275837686579E-6</v>
      </c>
      <c r="AX135">
        <v>8.6547980199617426E-6</v>
      </c>
      <c r="AY135">
        <v>8.9076556422313612E-6</v>
      </c>
      <c r="AZ135">
        <v>2.3462709927402736E-5</v>
      </c>
      <c r="BA135">
        <v>7.0513998238935586E-6</v>
      </c>
      <c r="BB135">
        <v>6.2924735083163629E-6</v>
      </c>
      <c r="BC135">
        <v>3.8907666316048068E-6</v>
      </c>
      <c r="BD135">
        <v>5.6189428859148448E-6</v>
      </c>
      <c r="BE135">
        <v>7.1012449757181401E-8</v>
      </c>
      <c r="BF135">
        <v>2.5933701106364453E-5</v>
      </c>
      <c r="BG135">
        <v>5.3292973613440394E-6</v>
      </c>
      <c r="BH135">
        <v>6.0257864808177926E-6</v>
      </c>
      <c r="BI135">
        <v>3.0329842613571765E-5</v>
      </c>
      <c r="BJ135">
        <v>0</v>
      </c>
      <c r="BK135">
        <v>1.6547377715310271E-4</v>
      </c>
      <c r="BL135">
        <v>0</v>
      </c>
      <c r="BM135">
        <v>2.7347029040283E-5</v>
      </c>
      <c r="BN135">
        <v>7.2381870250495331E-6</v>
      </c>
      <c r="BO135">
        <v>2.0336109088328668E-4</v>
      </c>
      <c r="BP135">
        <v>0</v>
      </c>
      <c r="BQ135">
        <v>2.0336109088328668E-4</v>
      </c>
      <c r="BR135">
        <v>1.7585513492004144E-5</v>
      </c>
      <c r="BS135">
        <v>0</v>
      </c>
      <c r="BT135">
        <v>0</v>
      </c>
      <c r="BU135">
        <v>1.7585513492004141E-5</v>
      </c>
      <c r="BV135">
        <v>1.7585513492004141E-5</v>
      </c>
      <c r="BW135">
        <v>1.7585513492004144E-5</v>
      </c>
      <c r="BX135">
        <v>1.7585513492004141E-5</v>
      </c>
      <c r="BY135">
        <v>1.7585513492004144E-5</v>
      </c>
      <c r="BZ135">
        <v>1.7585513492004141E-5</v>
      </c>
      <c r="CA135">
        <v>1.7585513492004144E-5</v>
      </c>
      <c r="CB135">
        <v>0</v>
      </c>
      <c r="CC135">
        <v>1.7585513492004141E-5</v>
      </c>
      <c r="CD135">
        <v>1.7585513492004141E-5</v>
      </c>
      <c r="CE135">
        <v>1.7585513492004144E-5</v>
      </c>
      <c r="CF135">
        <v>1.7585513492004144E-5</v>
      </c>
      <c r="CG135">
        <v>1.7585513492004141E-5</v>
      </c>
      <c r="CH135">
        <v>1.7585513492004144E-5</v>
      </c>
      <c r="CI135">
        <v>1.7585513492004141E-5</v>
      </c>
      <c r="CJ135">
        <v>0</v>
      </c>
      <c r="CK135">
        <v>1.9244876896697224E-6</v>
      </c>
      <c r="CL135">
        <v>0</v>
      </c>
      <c r="CM135">
        <v>4.2058741104463757E-5</v>
      </c>
      <c r="CN135">
        <v>1.835097668838731E-5</v>
      </c>
      <c r="CO135">
        <v>1.2285737286958365E-5</v>
      </c>
      <c r="CP135">
        <v>0</v>
      </c>
      <c r="CQ135">
        <v>1.2285737286958367E-5</v>
      </c>
      <c r="CR135">
        <v>0</v>
      </c>
      <c r="CS135">
        <v>1.2285737286958367E-5</v>
      </c>
      <c r="CT135">
        <v>0</v>
      </c>
      <c r="CU135">
        <v>1.1203786132990694E-5</v>
      </c>
      <c r="CV135">
        <v>8.4586072824476084E-6</v>
      </c>
      <c r="CW135">
        <v>0</v>
      </c>
      <c r="CX135">
        <v>1.9080639696516804E-5</v>
      </c>
      <c r="CY135">
        <v>5.5436571759142748E-6</v>
      </c>
      <c r="CZ135">
        <v>5.3542817032676573E-6</v>
      </c>
      <c r="DA135">
        <v>0</v>
      </c>
      <c r="DB135">
        <v>1.5900333170054429E-5</v>
      </c>
      <c r="DC135">
        <v>1.5849782391468351E-5</v>
      </c>
      <c r="DD135">
        <v>0</v>
      </c>
      <c r="DE135">
        <v>9.4108263272638601E-6</v>
      </c>
      <c r="DF135">
        <v>0</v>
      </c>
      <c r="DG135">
        <v>1.861141126369435E-4</v>
      </c>
      <c r="DH135">
        <v>0</v>
      </c>
      <c r="DI135">
        <v>1.0835791798771543E-9</v>
      </c>
      <c r="DJ135">
        <v>0</v>
      </c>
      <c r="DK135">
        <v>9.1541944904460811E-6</v>
      </c>
      <c r="DL135">
        <v>0</v>
      </c>
      <c r="DM135">
        <v>3.3338438784764184E-5</v>
      </c>
      <c r="DN135">
        <v>0</v>
      </c>
      <c r="DO135">
        <v>5.1783172632150342E-6</v>
      </c>
      <c r="DP135">
        <v>9.9310557234360789E-6</v>
      </c>
      <c r="DQ135">
        <v>4.3825648124465914E-6</v>
      </c>
      <c r="DR135">
        <v>6.9580463391961031E-6</v>
      </c>
      <c r="DS135">
        <v>3.5351325708372324E-6</v>
      </c>
      <c r="DT135">
        <v>9.0949789368260731E-6</v>
      </c>
      <c r="DU135">
        <v>4.0037790921058838E-6</v>
      </c>
      <c r="DV135">
        <v>3.759271059259322E-6</v>
      </c>
      <c r="DW135">
        <v>3.5539822977907529E-6</v>
      </c>
      <c r="DX135">
        <v>4.3393557132204421E-6</v>
      </c>
      <c r="DY135">
        <v>5.2347766758908038E-9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5.7219995727422026E-6</v>
      </c>
      <c r="EN135">
        <v>5.7146287931777279E-6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3.2949442856421943E-5</v>
      </c>
      <c r="EW135">
        <v>2.2952979405202112E-6</v>
      </c>
      <c r="EX135">
        <v>0</v>
      </c>
      <c r="EY135">
        <v>1.0431080852298456E-9</v>
      </c>
      <c r="EZ135">
        <v>1.5013715504709363E-8</v>
      </c>
      <c r="FA135">
        <v>1.1981891360512043E-10</v>
      </c>
      <c r="FB135">
        <v>2.299817708251903E-10</v>
      </c>
      <c r="FC135">
        <v>4.7026948518856567E-6</v>
      </c>
      <c r="FD135">
        <v>1.1214857356234294E-6</v>
      </c>
      <c r="FE135">
        <v>2.2215628810369874E-6</v>
      </c>
      <c r="FF135">
        <v>1.6598873464881501E-8</v>
      </c>
      <c r="FG135">
        <v>1.0712045130275828E-9</v>
      </c>
      <c r="FH135">
        <v>1.4065403676040393E-7</v>
      </c>
      <c r="FI135">
        <v>3.0801433594559544E-9</v>
      </c>
      <c r="FJ135">
        <v>3.961545736217951E-9</v>
      </c>
      <c r="FK135">
        <v>1.5118823546991908E-10</v>
      </c>
      <c r="FL135">
        <v>2.3712479639452797E-6</v>
      </c>
      <c r="FM135">
        <v>5.9034465889106147E-6</v>
      </c>
      <c r="FN135">
        <v>1.3291621625212638E-7</v>
      </c>
      <c r="FO135">
        <v>1.2625474480882991E-5</v>
      </c>
      <c r="FP135">
        <v>1.7246699324036296E-6</v>
      </c>
      <c r="FQ135">
        <v>1.6297073044911223E-6</v>
      </c>
      <c r="FR135">
        <v>1.4829886565089113E-5</v>
      </c>
      <c r="FS135">
        <v>1.4856725786629033E-6</v>
      </c>
      <c r="FT135">
        <v>7.4133558229224689E-6</v>
      </c>
      <c r="FU135">
        <v>2.0940561617628941E-5</v>
      </c>
      <c r="FV135">
        <v>1.249288125727519E-5</v>
      </c>
      <c r="FW135">
        <v>3.1179725807462486E-5</v>
      </c>
      <c r="FX135">
        <v>3.1224492861519864E-5</v>
      </c>
      <c r="FY135">
        <v>3.0419009927644378E-5</v>
      </c>
      <c r="FZ135">
        <v>2.9281193311179157E-5</v>
      </c>
      <c r="GA135">
        <v>3.1370818951158244E-5</v>
      </c>
      <c r="GB135">
        <v>3.126832978890941E-5</v>
      </c>
      <c r="GC135">
        <v>3.1078273596998806E-5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2.7089449074674448E-5</v>
      </c>
      <c r="GJ135">
        <v>2.8149941134636519E-5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7.9531276360633174E-6</v>
      </c>
      <c r="GR135">
        <v>9.7134541927724984E-6</v>
      </c>
      <c r="GS135">
        <v>2.4562041692360593E-6</v>
      </c>
      <c r="GT135">
        <v>5.3223695445835829E-5</v>
      </c>
      <c r="GU135">
        <v>0</v>
      </c>
    </row>
    <row r="136" spans="1:203">
      <c r="A136" t="s">
        <v>274</v>
      </c>
      <c r="B136">
        <v>133</v>
      </c>
      <c r="C136" t="s">
        <v>136</v>
      </c>
      <c r="D136">
        <v>1.4125286822366117E-4</v>
      </c>
      <c r="E136">
        <v>5.130154632936871E-5</v>
      </c>
      <c r="F136">
        <v>5.0999789416281615E-5</v>
      </c>
      <c r="G136">
        <v>7.9357819353956772E-5</v>
      </c>
      <c r="H136">
        <v>6.4830048307559627E-5</v>
      </c>
      <c r="I136">
        <v>0</v>
      </c>
      <c r="J136">
        <v>0</v>
      </c>
      <c r="K136">
        <v>1.6498914531899194E-4</v>
      </c>
      <c r="L136">
        <v>1.3546239067663366E-4</v>
      </c>
      <c r="M136">
        <v>1.0545552663034793E-4</v>
      </c>
      <c r="N136">
        <v>1.3616530160024686E-4</v>
      </c>
      <c r="O136">
        <v>4.2850431109021066E-5</v>
      </c>
      <c r="P136">
        <v>1.5743001121479614E-4</v>
      </c>
      <c r="Q136">
        <v>7.0423812236321455E-4</v>
      </c>
      <c r="R136">
        <v>0</v>
      </c>
      <c r="S136">
        <v>0</v>
      </c>
      <c r="T136">
        <v>0</v>
      </c>
      <c r="U136">
        <v>3.0703745275705848E-4</v>
      </c>
      <c r="V136">
        <v>2.7027348362917405E-4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3.5576460993043166E-6</v>
      </c>
      <c r="AF136">
        <v>4.1962679783753985E-8</v>
      </c>
      <c r="AG136">
        <v>0</v>
      </c>
      <c r="AH136">
        <v>0</v>
      </c>
      <c r="AI136">
        <v>2.4202304935331755E-7</v>
      </c>
      <c r="AJ136">
        <v>4.4483641537820779E-5</v>
      </c>
      <c r="AK136">
        <v>0</v>
      </c>
      <c r="AL136">
        <v>9.9130543209006206E-9</v>
      </c>
      <c r="AM136">
        <v>0</v>
      </c>
      <c r="AN136">
        <v>4.5525025360820528E-8</v>
      </c>
      <c r="AO136">
        <v>8.4572583965961562E-7</v>
      </c>
      <c r="AP136">
        <v>8.8527764261830726E-6</v>
      </c>
      <c r="AQ136">
        <v>9.80338815531119E-9</v>
      </c>
      <c r="AR136">
        <v>1.3952568536448504E-9</v>
      </c>
      <c r="AS136">
        <v>6.4026796430024743E-4</v>
      </c>
      <c r="AT136">
        <v>4.4918867344420337E-7</v>
      </c>
      <c r="AU136">
        <v>1.2439521317589504E-5</v>
      </c>
      <c r="AV136">
        <v>8.6586897461773158E-6</v>
      </c>
      <c r="AW136">
        <v>1.2737939858920651E-4</v>
      </c>
      <c r="AX136">
        <v>2.2489067232273364E-4</v>
      </c>
      <c r="AY136">
        <v>2.0933430927210438E-4</v>
      </c>
      <c r="AZ136">
        <v>5.5317010602140505E-4</v>
      </c>
      <c r="BA136">
        <v>1.7401814337945977E-4</v>
      </c>
      <c r="BB136">
        <v>1.7767205094241292E-4</v>
      </c>
      <c r="BC136">
        <v>1.1149547098151512E-4</v>
      </c>
      <c r="BD136">
        <v>1.3931218184448901E-4</v>
      </c>
      <c r="BE136">
        <v>4.6201491719102722E-6</v>
      </c>
      <c r="BF136">
        <v>6.7125665760780129E-4</v>
      </c>
      <c r="BG136">
        <v>1.2872464327307951E-4</v>
      </c>
      <c r="BH136">
        <v>1.4708978515429619E-4</v>
      </c>
      <c r="BI136">
        <v>7.8392515007471772E-4</v>
      </c>
      <c r="BJ136">
        <v>0</v>
      </c>
      <c r="BK136">
        <v>4.1531389598413442E-3</v>
      </c>
      <c r="BL136">
        <v>0</v>
      </c>
      <c r="BM136">
        <v>7.4483106430269592E-4</v>
      </c>
      <c r="BN136">
        <v>2.2307660130756933E-4</v>
      </c>
      <c r="BO136">
        <v>4.354166269301225E-3</v>
      </c>
      <c r="BP136">
        <v>0</v>
      </c>
      <c r="BQ136">
        <v>4.3541662693012259E-3</v>
      </c>
      <c r="BR136">
        <v>4.0482708082651689E-4</v>
      </c>
      <c r="BS136">
        <v>0</v>
      </c>
      <c r="BT136">
        <v>0</v>
      </c>
      <c r="BU136">
        <v>4.0482708082651683E-4</v>
      </c>
      <c r="BV136">
        <v>4.0482708082651689E-4</v>
      </c>
      <c r="BW136">
        <v>4.0482708082651689E-4</v>
      </c>
      <c r="BX136">
        <v>4.0482708082651689E-4</v>
      </c>
      <c r="BY136">
        <v>4.0482708082651689E-4</v>
      </c>
      <c r="BZ136">
        <v>4.0482708082651683E-4</v>
      </c>
      <c r="CA136">
        <v>4.0482708082651689E-4</v>
      </c>
      <c r="CB136">
        <v>0</v>
      </c>
      <c r="CC136">
        <v>4.0482708082651689E-4</v>
      </c>
      <c r="CD136">
        <v>4.0482708082651689E-4</v>
      </c>
      <c r="CE136">
        <v>4.0482708082651689E-4</v>
      </c>
      <c r="CF136">
        <v>4.0482708082651689E-4</v>
      </c>
      <c r="CG136">
        <v>4.0482708082651683E-4</v>
      </c>
      <c r="CH136">
        <v>4.0482708082651689E-4</v>
      </c>
      <c r="CI136">
        <v>4.0482708082651694E-4</v>
      </c>
      <c r="CJ136">
        <v>0</v>
      </c>
      <c r="CK136">
        <v>4.3065019200090101E-5</v>
      </c>
      <c r="CL136">
        <v>0</v>
      </c>
      <c r="CM136">
        <v>3.5653800603866956E-4</v>
      </c>
      <c r="CN136">
        <v>4.6019283089558584E-4</v>
      </c>
      <c r="CO136">
        <v>2.830216578961082E-4</v>
      </c>
      <c r="CP136">
        <v>0</v>
      </c>
      <c r="CQ136">
        <v>2.8302165789610814E-4</v>
      </c>
      <c r="CR136">
        <v>0</v>
      </c>
      <c r="CS136">
        <v>2.830216578961082E-4</v>
      </c>
      <c r="CT136">
        <v>0</v>
      </c>
      <c r="CU136">
        <v>2.7310889058533512E-4</v>
      </c>
      <c r="CV136">
        <v>2.1081409853103238E-4</v>
      </c>
      <c r="CW136">
        <v>0</v>
      </c>
      <c r="CX136">
        <v>5.7253239182822953E-4</v>
      </c>
      <c r="CY136">
        <v>1.4996563021061021E-4</v>
      </c>
      <c r="CZ136">
        <v>2.1466391992029118E-4</v>
      </c>
      <c r="DA136">
        <v>0</v>
      </c>
      <c r="DB136">
        <v>4.4854347390623335E-4</v>
      </c>
      <c r="DC136">
        <v>3.7394677020953623E-4</v>
      </c>
      <c r="DD136">
        <v>0</v>
      </c>
      <c r="DE136">
        <v>2.1099727789182469E-4</v>
      </c>
      <c r="DF136">
        <v>0</v>
      </c>
      <c r="DG136">
        <v>4.3851911346223923E-3</v>
      </c>
      <c r="DH136">
        <v>0</v>
      </c>
      <c r="DI136">
        <v>1.1332930202405546E-9</v>
      </c>
      <c r="DJ136">
        <v>0</v>
      </c>
      <c r="DK136">
        <v>2.2714872597483378E-4</v>
      </c>
      <c r="DL136">
        <v>0</v>
      </c>
      <c r="DM136">
        <v>7.6570467899509536E-4</v>
      </c>
      <c r="DN136">
        <v>0</v>
      </c>
      <c r="DO136">
        <v>1.2307205811162362E-4</v>
      </c>
      <c r="DP136">
        <v>2.4569104344202019E-4</v>
      </c>
      <c r="DQ136">
        <v>1.080230681365938E-4</v>
      </c>
      <c r="DR136">
        <v>1.7041503546780986E-4</v>
      </c>
      <c r="DS136">
        <v>8.6639158225146806E-5</v>
      </c>
      <c r="DT136">
        <v>2.2825235355223721E-4</v>
      </c>
      <c r="DU136">
        <v>9.4884143353638837E-5</v>
      </c>
      <c r="DV136">
        <v>1.0046964974037563E-4</v>
      </c>
      <c r="DW136">
        <v>1.1613930957327352E-4</v>
      </c>
      <c r="DX136">
        <v>1.1256520260266355E-4</v>
      </c>
      <c r="DY136">
        <v>4.5998782350167494E-8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1.3717357484466802E-4</v>
      </c>
      <c r="EN136">
        <v>1.3652784264736001E-4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7.8980963650809063E-4</v>
      </c>
      <c r="EW136">
        <v>5.7251513561213085E-5</v>
      </c>
      <c r="EX136">
        <v>0</v>
      </c>
      <c r="EY136">
        <v>1.0499079934124723E-9</v>
      </c>
      <c r="EZ136">
        <v>1.553611419557517E-8</v>
      </c>
      <c r="FA136">
        <v>1.2451032586388439E-10</v>
      </c>
      <c r="FB136">
        <v>2.3823243875411899E-10</v>
      </c>
      <c r="FC136">
        <v>1.2890087676330713E-4</v>
      </c>
      <c r="FD136">
        <v>4.8569601297130409E-5</v>
      </c>
      <c r="FE136">
        <v>7.5130235738071581E-5</v>
      </c>
      <c r="FF136">
        <v>2.1177453268259477E-8</v>
      </c>
      <c r="FG136">
        <v>1.198938456550864E-9</v>
      </c>
      <c r="FH136">
        <v>5.7090243074595959E-6</v>
      </c>
      <c r="FI136">
        <v>4.614479362957813E-9</v>
      </c>
      <c r="FJ136">
        <v>1.037311901270044E-8</v>
      </c>
      <c r="FK136">
        <v>1.6878314266422244E-10</v>
      </c>
      <c r="FL136">
        <v>7.4305834523645569E-5</v>
      </c>
      <c r="FM136">
        <v>1.7461265578952719E-4</v>
      </c>
      <c r="FN136">
        <v>3.9035847595235888E-6</v>
      </c>
      <c r="FO136">
        <v>4.1687875485153884E-4</v>
      </c>
      <c r="FP136">
        <v>4.2090156740519949E-5</v>
      </c>
      <c r="FQ136">
        <v>7.514917412655704E-5</v>
      </c>
      <c r="FR136">
        <v>3.6489843933295446E-4</v>
      </c>
      <c r="FS136">
        <v>5.0095484560235721E-5</v>
      </c>
      <c r="FT136">
        <v>1.7152644270967987E-4</v>
      </c>
      <c r="FU136">
        <v>4.9310846542371099E-4</v>
      </c>
      <c r="FV136">
        <v>2.8281017492079192E-4</v>
      </c>
      <c r="FW136">
        <v>7.4982196128861437E-4</v>
      </c>
      <c r="FX136">
        <v>7.5154033066670894E-4</v>
      </c>
      <c r="FY136">
        <v>7.3661675990828988E-4</v>
      </c>
      <c r="FZ136">
        <v>7.1285234894388609E-4</v>
      </c>
      <c r="GA136">
        <v>7.5443489347982019E-4</v>
      </c>
      <c r="GB136">
        <v>7.5258327328078637E-4</v>
      </c>
      <c r="GC136">
        <v>7.4820150489393904E-4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6.563230472343964E-4</v>
      </c>
      <c r="GJ136">
        <v>6.7991809953495466E-4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1.8632544439965343E-4</v>
      </c>
      <c r="GR136">
        <v>2.6115097402795246E-4</v>
      </c>
      <c r="GS136">
        <v>6.0285384101682768E-5</v>
      </c>
      <c r="GT136">
        <v>1.4856456089168985E-3</v>
      </c>
      <c r="GU136">
        <v>0</v>
      </c>
    </row>
    <row r="137" spans="1:203">
      <c r="A137" t="s">
        <v>275</v>
      </c>
      <c r="B137">
        <v>134</v>
      </c>
      <c r="C137" t="s">
        <v>136</v>
      </c>
      <c r="D137">
        <v>9.147417530702323E-6</v>
      </c>
      <c r="E137">
        <v>6.2935450220963856E-6</v>
      </c>
      <c r="F137">
        <v>4.5060787470137457E-6</v>
      </c>
      <c r="G137">
        <v>6.2541505606666628E-6</v>
      </c>
      <c r="H137">
        <v>5.0778027857207845E-6</v>
      </c>
      <c r="I137">
        <v>0</v>
      </c>
      <c r="J137">
        <v>0</v>
      </c>
      <c r="K137">
        <v>1.4709714785816395E-5</v>
      </c>
      <c r="L137">
        <v>9.6504453476866212E-6</v>
      </c>
      <c r="M137">
        <v>8.3119193275553787E-6</v>
      </c>
      <c r="N137">
        <v>9.8714649309763739E-6</v>
      </c>
      <c r="O137">
        <v>6.5780095872406189E-6</v>
      </c>
      <c r="P137">
        <v>1.3655008932391048E-5</v>
      </c>
      <c r="Q137">
        <v>6.0188793656646229E-5</v>
      </c>
      <c r="R137">
        <v>0</v>
      </c>
      <c r="S137">
        <v>0</v>
      </c>
      <c r="T137">
        <v>0</v>
      </c>
      <c r="U137">
        <v>2.6085176001302252E-5</v>
      </c>
      <c r="V137">
        <v>2.2839430146088371E-5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1.1033228476942217E-6</v>
      </c>
      <c r="AF137">
        <v>3.7027410690281404E-8</v>
      </c>
      <c r="AG137">
        <v>0</v>
      </c>
      <c r="AH137">
        <v>0</v>
      </c>
      <c r="AI137">
        <v>1.6736115717708833E-7</v>
      </c>
      <c r="AJ137">
        <v>3.9096827729493187E-6</v>
      </c>
      <c r="AK137">
        <v>0</v>
      </c>
      <c r="AL137">
        <v>9.4025511244127774E-9</v>
      </c>
      <c r="AM137">
        <v>0</v>
      </c>
      <c r="AN137">
        <v>4.2689566965125455E-8</v>
      </c>
      <c r="AO137">
        <v>6.9203370637306569E-7</v>
      </c>
      <c r="AP137">
        <v>4.1386214556291711E-6</v>
      </c>
      <c r="AQ137">
        <v>7.8359037020270248E-9</v>
      </c>
      <c r="AR137">
        <v>1.3359244275199133E-9</v>
      </c>
      <c r="AS137">
        <v>4.9138951154225771E-5</v>
      </c>
      <c r="AT137">
        <v>5.4524319169489326E-8</v>
      </c>
      <c r="AU137">
        <v>1.0205234358465099E-6</v>
      </c>
      <c r="AV137">
        <v>6.5319835620284916E-7</v>
      </c>
      <c r="AW137">
        <v>1.1439516276151438E-5</v>
      </c>
      <c r="AX137">
        <v>1.7741136907514515E-5</v>
      </c>
      <c r="AY137">
        <v>1.780320981168341E-5</v>
      </c>
      <c r="AZ137">
        <v>4.685741647638354E-5</v>
      </c>
      <c r="BA137">
        <v>1.4262206122205768E-5</v>
      </c>
      <c r="BB137">
        <v>1.3279605993361036E-5</v>
      </c>
      <c r="BC137">
        <v>8.2466019975916113E-6</v>
      </c>
      <c r="BD137">
        <v>1.1400206525545649E-5</v>
      </c>
      <c r="BE137">
        <v>1.1393718282811817E-7</v>
      </c>
      <c r="BF137">
        <v>5.3294624549276731E-5</v>
      </c>
      <c r="BG137">
        <v>1.0732288672035237E-5</v>
      </c>
      <c r="BH137">
        <v>1.2171769828443379E-5</v>
      </c>
      <c r="BI137">
        <v>6.2299755496201834E-5</v>
      </c>
      <c r="BJ137">
        <v>0</v>
      </c>
      <c r="BK137">
        <v>3.3697373020894232E-4</v>
      </c>
      <c r="BL137">
        <v>0</v>
      </c>
      <c r="BM137">
        <v>5.7070246075040032E-5</v>
      </c>
      <c r="BN137">
        <v>1.5712342263572306E-5</v>
      </c>
      <c r="BO137">
        <v>3.9647343012518677E-4</v>
      </c>
      <c r="BP137">
        <v>0</v>
      </c>
      <c r="BQ137">
        <v>3.9647343012518671E-4</v>
      </c>
      <c r="BR137">
        <v>3.4952148289598435E-5</v>
      </c>
      <c r="BS137">
        <v>0</v>
      </c>
      <c r="BT137">
        <v>0</v>
      </c>
      <c r="BU137">
        <v>3.4952148289598428E-5</v>
      </c>
      <c r="BV137">
        <v>3.4952148289598435E-5</v>
      </c>
      <c r="BW137">
        <v>3.4952148289598435E-5</v>
      </c>
      <c r="BX137">
        <v>3.4952148289598435E-5</v>
      </c>
      <c r="BY137">
        <v>3.4952148289598435E-5</v>
      </c>
      <c r="BZ137">
        <v>3.4952148289598435E-5</v>
      </c>
      <c r="CA137">
        <v>3.4952148289598435E-5</v>
      </c>
      <c r="CB137">
        <v>0</v>
      </c>
      <c r="CC137">
        <v>3.4952148289598435E-5</v>
      </c>
      <c r="CD137">
        <v>3.4952148289598428E-5</v>
      </c>
      <c r="CE137">
        <v>3.4952148289598435E-5</v>
      </c>
      <c r="CF137">
        <v>3.4952148289598435E-5</v>
      </c>
      <c r="CG137">
        <v>3.4952148289598435E-5</v>
      </c>
      <c r="CH137">
        <v>3.4952148289598435E-5</v>
      </c>
      <c r="CI137">
        <v>3.4952148289598435E-5</v>
      </c>
      <c r="CJ137">
        <v>0</v>
      </c>
      <c r="CK137">
        <v>3.7953552074683075E-6</v>
      </c>
      <c r="CL137">
        <v>0</v>
      </c>
      <c r="CM137">
        <v>5.3786493644727169E-5</v>
      </c>
      <c r="CN137">
        <v>3.7359098721341268E-5</v>
      </c>
      <c r="CO137">
        <v>2.4423300021189102E-5</v>
      </c>
      <c r="CP137">
        <v>0</v>
      </c>
      <c r="CQ137">
        <v>2.4423300021189099E-5</v>
      </c>
      <c r="CR137">
        <v>0</v>
      </c>
      <c r="CS137">
        <v>2.4423300021189106E-5</v>
      </c>
      <c r="CT137">
        <v>0</v>
      </c>
      <c r="CU137">
        <v>2.2626084595017775E-5</v>
      </c>
      <c r="CV137">
        <v>1.7189895041209111E-5</v>
      </c>
      <c r="CW137">
        <v>0</v>
      </c>
      <c r="CX137">
        <v>4.1051333603048916E-5</v>
      </c>
      <c r="CY137">
        <v>1.1535563828395028E-5</v>
      </c>
      <c r="CZ137">
        <v>1.2789185885182852E-5</v>
      </c>
      <c r="DA137">
        <v>0</v>
      </c>
      <c r="DB137">
        <v>3.3545293773433068E-5</v>
      </c>
      <c r="DC137">
        <v>3.1716366294557463E-5</v>
      </c>
      <c r="DD137">
        <v>0</v>
      </c>
      <c r="DE137">
        <v>1.8569825354402957E-5</v>
      </c>
      <c r="DF137">
        <v>0</v>
      </c>
      <c r="DG137">
        <v>3.7228719052804143E-4</v>
      </c>
      <c r="DH137">
        <v>0</v>
      </c>
      <c r="DI137">
        <v>1.0954972560661399E-9</v>
      </c>
      <c r="DJ137">
        <v>0</v>
      </c>
      <c r="DK137">
        <v>1.8580552608877533E-5</v>
      </c>
      <c r="DL137">
        <v>0</v>
      </c>
      <c r="DM137">
        <v>6.6215305753683984E-5</v>
      </c>
      <c r="DN137">
        <v>0</v>
      </c>
      <c r="DO137">
        <v>1.0379500844474375E-5</v>
      </c>
      <c r="DP137">
        <v>2.0140825049829563E-5</v>
      </c>
      <c r="DQ137">
        <v>8.8786637479593598E-6</v>
      </c>
      <c r="DR137">
        <v>1.4069877914208112E-5</v>
      </c>
      <c r="DS137">
        <v>7.1500486245734002E-6</v>
      </c>
      <c r="DT137">
        <v>1.8521847226719229E-5</v>
      </c>
      <c r="DU137">
        <v>8.0211987942433873E-6</v>
      </c>
      <c r="DV137">
        <v>7.7999806805702582E-6</v>
      </c>
      <c r="DW137">
        <v>7.8715211225546085E-6</v>
      </c>
      <c r="DX137">
        <v>8.9224101396168068E-6</v>
      </c>
      <c r="DY137">
        <v>6.0756458243059625E-9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1.1495051653081917E-5</v>
      </c>
      <c r="EN137">
        <v>1.1473495624788726E-5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6.6224881494674151E-5</v>
      </c>
      <c r="EW137">
        <v>4.6659404563481075E-6</v>
      </c>
      <c r="EX137">
        <v>0</v>
      </c>
      <c r="EY137">
        <v>1.0447496032617512E-9</v>
      </c>
      <c r="EZ137">
        <v>1.5143062994023407E-8</v>
      </c>
      <c r="FA137">
        <v>1.2092642701595789E-10</v>
      </c>
      <c r="FB137">
        <v>2.3192916713317092E-10</v>
      </c>
      <c r="FC137">
        <v>9.8332272227520653E-6</v>
      </c>
      <c r="FD137">
        <v>2.7576239995555761E-6</v>
      </c>
      <c r="FE137">
        <v>4.9792883491508929E-6</v>
      </c>
      <c r="FF137">
        <v>1.7592452872177747E-8</v>
      </c>
      <c r="FG137">
        <v>1.1037154889639347E-9</v>
      </c>
      <c r="FH137">
        <v>3.9282551833731843E-7</v>
      </c>
      <c r="FI137">
        <v>3.3424061031747554E-9</v>
      </c>
      <c r="FJ137">
        <v>4.6710747532321379E-9</v>
      </c>
      <c r="FK137">
        <v>1.551140075903399E-10</v>
      </c>
      <c r="FL137">
        <v>5.1770666221375609E-6</v>
      </c>
      <c r="FM137">
        <v>1.2644899470755942E-5</v>
      </c>
      <c r="FN137">
        <v>2.8164079445301063E-7</v>
      </c>
      <c r="FO137">
        <v>2.8068905436947928E-5</v>
      </c>
      <c r="FP137">
        <v>3.4826166492109934E-6</v>
      </c>
      <c r="FQ137">
        <v>4.1196966146650042E-6</v>
      </c>
      <c r="FR137">
        <v>3.0028906311162252E-5</v>
      </c>
      <c r="FS137">
        <v>3.3266395349321857E-6</v>
      </c>
      <c r="FT137">
        <v>1.4754878970481048E-5</v>
      </c>
      <c r="FU137">
        <v>4.188098378602086E-5</v>
      </c>
      <c r="FV137">
        <v>2.4717594964126018E-5</v>
      </c>
      <c r="FW137">
        <v>6.2719082355799542E-5</v>
      </c>
      <c r="FX137">
        <v>6.2824241161395114E-5</v>
      </c>
      <c r="FY137">
        <v>6.1279743324132017E-5</v>
      </c>
      <c r="FZ137">
        <v>5.905238504290189E-5</v>
      </c>
      <c r="GA137">
        <v>6.307723538634802E-5</v>
      </c>
      <c r="GB137">
        <v>6.289030311042214E-5</v>
      </c>
      <c r="GC137">
        <v>6.2511210012997564E-5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5.4598313210425038E-5</v>
      </c>
      <c r="GJ137">
        <v>5.6695022623095432E-5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1.5882728595659562E-5</v>
      </c>
      <c r="GR137">
        <v>2.0190450881852462E-5</v>
      </c>
      <c r="GS137">
        <v>4.9697975187369787E-6</v>
      </c>
      <c r="GT137">
        <v>1.1191164742509575E-4</v>
      </c>
      <c r="GU137">
        <v>0</v>
      </c>
    </row>
    <row r="138" spans="1:203">
      <c r="A138" t="s">
        <v>276</v>
      </c>
      <c r="B138">
        <v>135</v>
      </c>
      <c r="C138" t="s">
        <v>136</v>
      </c>
      <c r="D138">
        <v>4.287502313968358E-6</v>
      </c>
      <c r="E138">
        <v>4.4276918380419343E-6</v>
      </c>
      <c r="F138">
        <v>2.6282455315702516E-6</v>
      </c>
      <c r="G138">
        <v>3.2266790974907661E-6</v>
      </c>
      <c r="H138">
        <v>2.6370717876259128E-6</v>
      </c>
      <c r="I138">
        <v>0</v>
      </c>
      <c r="J138">
        <v>0</v>
      </c>
      <c r="K138">
        <v>7.9686560989216119E-6</v>
      </c>
      <c r="L138">
        <v>4.75743694934276E-6</v>
      </c>
      <c r="M138">
        <v>4.2898806442844039E-6</v>
      </c>
      <c r="N138">
        <v>4.9105228064575127E-6</v>
      </c>
      <c r="O138">
        <v>4.9391091759087272E-6</v>
      </c>
      <c r="P138">
        <v>7.3242616856068959E-6</v>
      </c>
      <c r="Q138">
        <v>3.2069056094418235E-5</v>
      </c>
      <c r="R138">
        <v>0</v>
      </c>
      <c r="S138">
        <v>0</v>
      </c>
      <c r="T138">
        <v>0</v>
      </c>
      <c r="U138">
        <v>1.3875663703395808E-5</v>
      </c>
      <c r="V138">
        <v>1.2118358580999684E-5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9.1514267124785817E-7</v>
      </c>
      <c r="AF138">
        <v>3.1512873851724135E-8</v>
      </c>
      <c r="AG138">
        <v>0</v>
      </c>
      <c r="AH138">
        <v>0</v>
      </c>
      <c r="AI138">
        <v>1.5338639462436344E-7</v>
      </c>
      <c r="AJ138">
        <v>2.2658467855019371E-6</v>
      </c>
      <c r="AK138">
        <v>0</v>
      </c>
      <c r="AL138">
        <v>9.2498356272136323E-9</v>
      </c>
      <c r="AM138">
        <v>0</v>
      </c>
      <c r="AN138">
        <v>4.1722060692911617E-8</v>
      </c>
      <c r="AO138">
        <v>6.2983674949472811E-7</v>
      </c>
      <c r="AP138">
        <v>3.7918305711885613E-6</v>
      </c>
      <c r="AQ138">
        <v>7.3542357479571666E-9</v>
      </c>
      <c r="AR138">
        <v>1.3180860938169626E-9</v>
      </c>
      <c r="AS138">
        <v>2.5066144021380681E-5</v>
      </c>
      <c r="AT138">
        <v>3.653570523450966E-8</v>
      </c>
      <c r="AU138">
        <v>5.3723919416586536E-7</v>
      </c>
      <c r="AV138">
        <v>3.3705013413902323E-7</v>
      </c>
      <c r="AW138">
        <v>6.4284073430498337E-6</v>
      </c>
      <c r="AX138">
        <v>9.1945244077754527E-6</v>
      </c>
      <c r="AY138">
        <v>9.4683736077247488E-6</v>
      </c>
      <c r="AZ138">
        <v>2.4930436253082589E-5</v>
      </c>
      <c r="BA138">
        <v>7.4929228115625439E-6</v>
      </c>
      <c r="BB138">
        <v>6.6915271218154079E-6</v>
      </c>
      <c r="BC138">
        <v>4.1373327080007376E-6</v>
      </c>
      <c r="BD138">
        <v>5.9731923526462125E-6</v>
      </c>
      <c r="BE138">
        <v>7.1603961507591218E-8</v>
      </c>
      <c r="BF138">
        <v>2.7572754259657308E-5</v>
      </c>
      <c r="BG138">
        <v>5.6649609100717376E-6</v>
      </c>
      <c r="BH138">
        <v>6.4055285131139119E-6</v>
      </c>
      <c r="BI138">
        <v>3.2246324715168412E-5</v>
      </c>
      <c r="BJ138">
        <v>0</v>
      </c>
      <c r="BK138">
        <v>1.7591748493465002E-4</v>
      </c>
      <c r="BL138">
        <v>0</v>
      </c>
      <c r="BM138">
        <v>2.9078854364746978E-5</v>
      </c>
      <c r="BN138">
        <v>7.6985900648239554E-6</v>
      </c>
      <c r="BO138">
        <v>2.1612680592419074E-4</v>
      </c>
      <c r="BP138">
        <v>0</v>
      </c>
      <c r="BQ138">
        <v>2.1612680592419077E-4</v>
      </c>
      <c r="BR138">
        <v>1.8692151353262568E-5</v>
      </c>
      <c r="BS138">
        <v>0</v>
      </c>
      <c r="BT138">
        <v>0</v>
      </c>
      <c r="BU138">
        <v>1.8692151353262565E-5</v>
      </c>
      <c r="BV138">
        <v>1.8692151353262568E-5</v>
      </c>
      <c r="BW138">
        <v>1.8692151353262568E-5</v>
      </c>
      <c r="BX138">
        <v>1.8692151353262568E-5</v>
      </c>
      <c r="BY138">
        <v>1.8692151353262568E-5</v>
      </c>
      <c r="BZ138">
        <v>1.8692151353262568E-5</v>
      </c>
      <c r="CA138">
        <v>1.8692151353262568E-5</v>
      </c>
      <c r="CB138">
        <v>0</v>
      </c>
      <c r="CC138">
        <v>1.8692151353262568E-5</v>
      </c>
      <c r="CD138">
        <v>1.8692151353262565E-5</v>
      </c>
      <c r="CE138">
        <v>1.8692151353262568E-5</v>
      </c>
      <c r="CF138">
        <v>1.8692151353262568E-5</v>
      </c>
      <c r="CG138">
        <v>1.8692151353262568E-5</v>
      </c>
      <c r="CH138">
        <v>1.8692151353262568E-5</v>
      </c>
      <c r="CI138">
        <v>1.8692151353262568E-5</v>
      </c>
      <c r="CJ138">
        <v>0</v>
      </c>
      <c r="CK138">
        <v>2.0454153259156214E-6</v>
      </c>
      <c r="CL138">
        <v>0</v>
      </c>
      <c r="CM138">
        <v>4.2647449445030584E-5</v>
      </c>
      <c r="CN138">
        <v>1.9508912094448167E-5</v>
      </c>
      <c r="CO138">
        <v>1.3058893474845612E-5</v>
      </c>
      <c r="CP138">
        <v>0</v>
      </c>
      <c r="CQ138">
        <v>1.3058893474845612E-5</v>
      </c>
      <c r="CR138">
        <v>0</v>
      </c>
      <c r="CS138">
        <v>1.3058893474845614E-5</v>
      </c>
      <c r="CT138">
        <v>0</v>
      </c>
      <c r="CU138">
        <v>1.1910263147794937E-5</v>
      </c>
      <c r="CV138">
        <v>8.9922772234340819E-6</v>
      </c>
      <c r="CW138">
        <v>0</v>
      </c>
      <c r="CX138">
        <v>2.0292573353743922E-5</v>
      </c>
      <c r="CY138">
        <v>6.0030823194299244E-6</v>
      </c>
      <c r="CZ138">
        <v>5.6992568009370774E-6</v>
      </c>
      <c r="DA138">
        <v>0</v>
      </c>
      <c r="DB138">
        <v>1.690854908899289E-5</v>
      </c>
      <c r="DC138">
        <v>1.6848073492743143E-5</v>
      </c>
      <c r="DD138">
        <v>0</v>
      </c>
      <c r="DE138">
        <v>1.0002300714158788E-5</v>
      </c>
      <c r="DF138">
        <v>0</v>
      </c>
      <c r="DG138">
        <v>1.9783576582266588E-4</v>
      </c>
      <c r="DH138">
        <v>0</v>
      </c>
      <c r="DI138">
        <v>1.0837264730348392E-9</v>
      </c>
      <c r="DJ138">
        <v>0</v>
      </c>
      <c r="DK138">
        <v>9.7317316950105335E-6</v>
      </c>
      <c r="DL138">
        <v>0</v>
      </c>
      <c r="DM138">
        <v>3.5435613136948387E-5</v>
      </c>
      <c r="DN138">
        <v>0</v>
      </c>
      <c r="DO138">
        <v>5.5041031089132186E-6</v>
      </c>
      <c r="DP138">
        <v>1.0557623466275752E-5</v>
      </c>
      <c r="DQ138">
        <v>4.659026796624259E-6</v>
      </c>
      <c r="DR138">
        <v>7.3967793050501916E-6</v>
      </c>
      <c r="DS138">
        <v>3.7580771446487308E-6</v>
      </c>
      <c r="DT138">
        <v>9.669123071568685E-6</v>
      </c>
      <c r="DU138">
        <v>4.2559296466789142E-6</v>
      </c>
      <c r="DV138">
        <v>3.9971565954407568E-6</v>
      </c>
      <c r="DW138">
        <v>3.7807764161675642E-6</v>
      </c>
      <c r="DX138">
        <v>4.613527174632092E-6</v>
      </c>
      <c r="DY138">
        <v>5.2654329517574273E-9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6.0818619158567003E-6</v>
      </c>
      <c r="EN138">
        <v>6.0744967212204737E-6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3.5025715321952636E-5</v>
      </c>
      <c r="EW138">
        <v>2.440148688237947E-6</v>
      </c>
      <c r="EX138">
        <v>0</v>
      </c>
      <c r="EY138">
        <v>1.043119878618654E-9</v>
      </c>
      <c r="EZ138">
        <v>1.5016013261994518E-8</v>
      </c>
      <c r="FA138">
        <v>1.198273976668649E-10</v>
      </c>
      <c r="FB138">
        <v>2.2999551021845991E-10</v>
      </c>
      <c r="FC138">
        <v>5.0005796754070011E-6</v>
      </c>
      <c r="FD138">
        <v>1.1935160820003106E-6</v>
      </c>
      <c r="FE138">
        <v>2.363488740305295E-6</v>
      </c>
      <c r="FF138">
        <v>1.662483714356496E-8</v>
      </c>
      <c r="FG138">
        <v>1.0724128928898856E-9</v>
      </c>
      <c r="FH138">
        <v>1.4999071060906088E-7</v>
      </c>
      <c r="FI138">
        <v>3.0826475096164514E-9</v>
      </c>
      <c r="FJ138">
        <v>3.969261131367389E-9</v>
      </c>
      <c r="FK138">
        <v>1.5121708440198007E-10</v>
      </c>
      <c r="FL138">
        <v>2.5222774650016194E-6</v>
      </c>
      <c r="FM138">
        <v>6.2785325097488163E-6</v>
      </c>
      <c r="FN138">
        <v>1.4110759269922342E-7</v>
      </c>
      <c r="FO138">
        <v>1.3431997479859402E-5</v>
      </c>
      <c r="FP138">
        <v>1.8332492498084751E-6</v>
      </c>
      <c r="FQ138">
        <v>1.73526193231509E-6</v>
      </c>
      <c r="FR138">
        <v>1.5765316468793861E-5</v>
      </c>
      <c r="FS138">
        <v>1.580594149530418E-6</v>
      </c>
      <c r="FT138">
        <v>7.8799524608940855E-6</v>
      </c>
      <c r="FU138">
        <v>2.2259398030566963E-5</v>
      </c>
      <c r="FV138">
        <v>1.3278593735111427E-5</v>
      </c>
      <c r="FW138">
        <v>3.3143983500290212E-5</v>
      </c>
      <c r="FX138">
        <v>3.3191630128757625E-5</v>
      </c>
      <c r="FY138">
        <v>3.2332375572892157E-5</v>
      </c>
      <c r="FZ138">
        <v>3.1120435324544221E-5</v>
      </c>
      <c r="GA138">
        <v>3.3343941905012573E-5</v>
      </c>
      <c r="GB138">
        <v>3.323562897559628E-5</v>
      </c>
      <c r="GC138">
        <v>3.3033469568503649E-5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2.8795583677537337E-5</v>
      </c>
      <c r="GJ138">
        <v>2.9923700143444077E-5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8.4538093593989017E-6</v>
      </c>
      <c r="GR138">
        <v>1.0328243137439102E-5</v>
      </c>
      <c r="GS138">
        <v>2.6110985855215378E-6</v>
      </c>
      <c r="GT138">
        <v>5.6596613355837208E-5</v>
      </c>
      <c r="GU138">
        <v>0</v>
      </c>
    </row>
    <row r="139" spans="1:203">
      <c r="A139" t="s">
        <v>277</v>
      </c>
      <c r="B139">
        <v>136</v>
      </c>
      <c r="C139" t="s">
        <v>136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</row>
    <row r="140" spans="1:203">
      <c r="A140" t="s">
        <v>278</v>
      </c>
      <c r="B140">
        <v>137</v>
      </c>
      <c r="C140" t="s">
        <v>136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</row>
    <row r="141" spans="1:203">
      <c r="A141" t="s">
        <v>279</v>
      </c>
      <c r="B141">
        <v>138</v>
      </c>
      <c r="C141" t="s">
        <v>136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</row>
    <row r="142" spans="1:203">
      <c r="A142" t="s">
        <v>280</v>
      </c>
      <c r="B142">
        <v>139</v>
      </c>
      <c r="C142" t="s">
        <v>136</v>
      </c>
      <c r="D142">
        <v>5.7673519735788066E-5</v>
      </c>
      <c r="E142">
        <v>3.6800413604012869E-5</v>
      </c>
      <c r="F142">
        <v>3.8364070733654239E-5</v>
      </c>
      <c r="G142">
        <v>5.7245145342675881E-5</v>
      </c>
      <c r="H142">
        <v>4.4852594315667809E-5</v>
      </c>
      <c r="I142">
        <v>0</v>
      </c>
      <c r="J142">
        <v>0</v>
      </c>
      <c r="K142">
        <v>1.5655212804607322E-4</v>
      </c>
      <c r="L142">
        <v>7.478559663174238E-5</v>
      </c>
      <c r="M142">
        <v>7.6016881303373553E-5</v>
      </c>
      <c r="N142">
        <v>7.8833954543031635E-5</v>
      </c>
      <c r="O142">
        <v>3.576588500300417E-5</v>
      </c>
      <c r="P142">
        <v>1.4090538700755784E-4</v>
      </c>
      <c r="Q142">
        <v>6.1278376804048743E-4</v>
      </c>
      <c r="R142">
        <v>0</v>
      </c>
      <c r="S142">
        <v>0</v>
      </c>
      <c r="T142">
        <v>0</v>
      </c>
      <c r="U142">
        <v>2.631333202028211E-4</v>
      </c>
      <c r="V142">
        <v>2.292839068019631E-4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1.5212514233917373E-6</v>
      </c>
      <c r="AF142">
        <v>3.5678982525568524E-8</v>
      </c>
      <c r="AG142">
        <v>0</v>
      </c>
      <c r="AH142">
        <v>0</v>
      </c>
      <c r="AI142">
        <v>1.8330430021165171E-7</v>
      </c>
      <c r="AJ142">
        <v>3.3281398264498849E-5</v>
      </c>
      <c r="AK142">
        <v>0</v>
      </c>
      <c r="AL142">
        <v>8.9990614092972501E-9</v>
      </c>
      <c r="AM142">
        <v>0</v>
      </c>
      <c r="AN142">
        <v>4.1122094866324605E-8</v>
      </c>
      <c r="AO142">
        <v>7.4202392678434216E-7</v>
      </c>
      <c r="AP142">
        <v>4.9337498005858276E-6</v>
      </c>
      <c r="AQ142">
        <v>6.7120887504662926E-9</v>
      </c>
      <c r="AR142">
        <v>1.2877266279144417E-9</v>
      </c>
      <c r="AS142">
        <v>4.323553196364976E-4</v>
      </c>
      <c r="AT142">
        <v>7.7287625851246301E-8</v>
      </c>
      <c r="AU142">
        <v>9.7631613879855539E-6</v>
      </c>
      <c r="AV142">
        <v>5.2798219320283953E-6</v>
      </c>
      <c r="AW142">
        <v>1.2227366091306291E-4</v>
      </c>
      <c r="AX142">
        <v>1.607222948754576E-4</v>
      </c>
      <c r="AY142">
        <v>1.8016960295096635E-4</v>
      </c>
      <c r="AZ142">
        <v>4.6910890481793903E-4</v>
      </c>
      <c r="BA142">
        <v>1.3688805992547739E-4</v>
      </c>
      <c r="BB142">
        <v>1.1219436663358347E-4</v>
      </c>
      <c r="BC142">
        <v>6.8371405548320227E-5</v>
      </c>
      <c r="BD142">
        <v>1.0988655317798427E-4</v>
      </c>
      <c r="BE142">
        <v>4.0325339481461995E-8</v>
      </c>
      <c r="BF142">
        <v>4.9349566114457479E-4</v>
      </c>
      <c r="BG142">
        <v>1.0595245797717527E-4</v>
      </c>
      <c r="BH142">
        <v>1.190486051585318E-4</v>
      </c>
      <c r="BI142">
        <v>5.7756408265540067E-4</v>
      </c>
      <c r="BJ142">
        <v>0</v>
      </c>
      <c r="BK142">
        <v>3.2137538111410733E-3</v>
      </c>
      <c r="BL142">
        <v>0</v>
      </c>
      <c r="BM142">
        <v>5.0155538907504485E-4</v>
      </c>
      <c r="BN142">
        <v>1.1934820082795303E-4</v>
      </c>
      <c r="BO142">
        <v>4.3317356784198843E-3</v>
      </c>
      <c r="BP142">
        <v>0</v>
      </c>
      <c r="BQ142">
        <v>4.3317356784198843E-3</v>
      </c>
      <c r="BR142">
        <v>3.6022011270631077E-4</v>
      </c>
      <c r="BS142">
        <v>0</v>
      </c>
      <c r="BT142">
        <v>0</v>
      </c>
      <c r="BU142">
        <v>3.6022011270631072E-4</v>
      </c>
      <c r="BV142">
        <v>3.6022011270631077E-4</v>
      </c>
      <c r="BW142">
        <v>3.6022011270631077E-4</v>
      </c>
      <c r="BX142">
        <v>3.6022011270631077E-4</v>
      </c>
      <c r="BY142">
        <v>3.6022011270631083E-4</v>
      </c>
      <c r="BZ142">
        <v>3.6022011270631077E-4</v>
      </c>
      <c r="CA142">
        <v>3.6022011270631077E-4</v>
      </c>
      <c r="CB142">
        <v>0</v>
      </c>
      <c r="CC142">
        <v>3.6022011270631077E-4</v>
      </c>
      <c r="CD142">
        <v>3.6022011270631072E-4</v>
      </c>
      <c r="CE142">
        <v>3.6022011270631077E-4</v>
      </c>
      <c r="CF142">
        <v>3.6022011270631077E-4</v>
      </c>
      <c r="CG142">
        <v>3.6022011270631077E-4</v>
      </c>
      <c r="CH142">
        <v>3.6022011270631077E-4</v>
      </c>
      <c r="CI142">
        <v>3.6022011270631077E-4</v>
      </c>
      <c r="CJ142">
        <v>0</v>
      </c>
      <c r="CK142">
        <v>4.001905010532045E-5</v>
      </c>
      <c r="CL142">
        <v>0</v>
      </c>
      <c r="CM142">
        <v>3.1754666989781516E-4</v>
      </c>
      <c r="CN142">
        <v>3.564839240407661E-4</v>
      </c>
      <c r="CO142">
        <v>2.5156377681301046E-4</v>
      </c>
      <c r="CP142">
        <v>0</v>
      </c>
      <c r="CQ142">
        <v>2.5156377681301046E-4</v>
      </c>
      <c r="CR142">
        <v>0</v>
      </c>
      <c r="CS142">
        <v>2.5156377681301051E-4</v>
      </c>
      <c r="CT142">
        <v>0</v>
      </c>
      <c r="CU142">
        <v>2.2177155208505397E-4</v>
      </c>
      <c r="CV142">
        <v>1.6501022252180157E-4</v>
      </c>
      <c r="CW142">
        <v>0</v>
      </c>
      <c r="CX142">
        <v>3.2236892193651526E-4</v>
      </c>
      <c r="CY142">
        <v>9.1916891843905332E-5</v>
      </c>
      <c r="CZ142">
        <v>6.2904677951874171E-5</v>
      </c>
      <c r="DA142">
        <v>0</v>
      </c>
      <c r="DB142">
        <v>2.8365813923579699E-4</v>
      </c>
      <c r="DC142">
        <v>3.2006151558787953E-4</v>
      </c>
      <c r="DD142">
        <v>0</v>
      </c>
      <c r="DE142">
        <v>1.9553623666003695E-4</v>
      </c>
      <c r="DF142">
        <v>0</v>
      </c>
      <c r="DG142">
        <v>3.7611957185643492E-3</v>
      </c>
      <c r="DH142">
        <v>0</v>
      </c>
      <c r="DI142">
        <v>1.0652514966151148E-9</v>
      </c>
      <c r="DJ142">
        <v>0</v>
      </c>
      <c r="DK142">
        <v>1.7912758950946461E-4</v>
      </c>
      <c r="DL142">
        <v>0</v>
      </c>
      <c r="DM142">
        <v>6.8348720086135943E-4</v>
      </c>
      <c r="DN142">
        <v>0</v>
      </c>
      <c r="DO142">
        <v>1.0387915486558276E-4</v>
      </c>
      <c r="DP142">
        <v>1.9474684776988826E-4</v>
      </c>
      <c r="DQ142">
        <v>8.6143090973167359E-5</v>
      </c>
      <c r="DR142">
        <v>1.3727320336137945E-4</v>
      </c>
      <c r="DS142">
        <v>6.9731985790183302E-5</v>
      </c>
      <c r="DT142">
        <v>1.7671075929758122E-4</v>
      </c>
      <c r="DU142">
        <v>8.0602170444360122E-5</v>
      </c>
      <c r="DV142">
        <v>6.9922641963022982E-5</v>
      </c>
      <c r="DW142">
        <v>5.5296364707284244E-5</v>
      </c>
      <c r="DX142">
        <v>8.2394552376980227E-5</v>
      </c>
      <c r="DY142">
        <v>1.3480689112802872E-8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1.1406483791697853E-4</v>
      </c>
      <c r="EN142">
        <v>1.1441746349699633E-4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6.5893869727980841E-4</v>
      </c>
      <c r="EW142">
        <v>4.4769375486739484E-5</v>
      </c>
      <c r="EX142">
        <v>0</v>
      </c>
      <c r="EY142">
        <v>1.0402422268466387E-9</v>
      </c>
      <c r="EZ142">
        <v>1.4836081805413877E-8</v>
      </c>
      <c r="FA142">
        <v>1.1794277640008289E-10</v>
      </c>
      <c r="FB142">
        <v>2.2663843805812063E-10</v>
      </c>
      <c r="FC142">
        <v>8.5832153294937617E-5</v>
      </c>
      <c r="FD142">
        <v>1.1088769557395498E-5</v>
      </c>
      <c r="FE142">
        <v>3.3237170404941636E-5</v>
      </c>
      <c r="FF142">
        <v>1.5757397327960418E-8</v>
      </c>
      <c r="FG142">
        <v>1.0525298817498344E-9</v>
      </c>
      <c r="FH142">
        <v>2.3792465252019506E-6</v>
      </c>
      <c r="FI142">
        <v>2.8571597613767841E-9</v>
      </c>
      <c r="FJ142">
        <v>3.1960657758938795E-9</v>
      </c>
      <c r="FK142">
        <v>1.4479606478785837E-10</v>
      </c>
      <c r="FL142">
        <v>3.8518514159377542E-5</v>
      </c>
      <c r="FM142">
        <v>1.0120537447139038E-4</v>
      </c>
      <c r="FN142">
        <v>2.1709548391060704E-6</v>
      </c>
      <c r="FO142">
        <v>1.9447280966597202E-4</v>
      </c>
      <c r="FP142">
        <v>3.402318464180322E-5</v>
      </c>
      <c r="FQ142">
        <v>1.3994836653034564E-5</v>
      </c>
      <c r="FR142">
        <v>2.9181030212684854E-4</v>
      </c>
      <c r="FS142">
        <v>2.2313878756294051E-5</v>
      </c>
      <c r="FT142">
        <v>1.514134597148726E-4</v>
      </c>
      <c r="FU142">
        <v>4.2334002558085007E-4</v>
      </c>
      <c r="FV142">
        <v>2.583349972655079E-4</v>
      </c>
      <c r="FW142">
        <v>6.2193873879895652E-4</v>
      </c>
      <c r="FX142">
        <v>6.2250469089698661E-4</v>
      </c>
      <c r="FY142">
        <v>6.0242750685756275E-4</v>
      </c>
      <c r="FZ142">
        <v>5.7655599210839758E-4</v>
      </c>
      <c r="GA142">
        <v>6.241264476972918E-4</v>
      </c>
      <c r="GB142">
        <v>6.2205824574260138E-4</v>
      </c>
      <c r="GC142">
        <v>6.180970851139355E-4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5.3741211517349099E-4</v>
      </c>
      <c r="GJ142">
        <v>5.6004718872629711E-4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1.6120942848444703E-4</v>
      </c>
      <c r="GR142">
        <v>1.7987111215250098E-4</v>
      </c>
      <c r="GS142">
        <v>4.839675611925136E-5</v>
      </c>
      <c r="GT142">
        <v>9.5730579535721399E-4</v>
      </c>
      <c r="GU142">
        <v>0</v>
      </c>
    </row>
    <row r="143" spans="1:203">
      <c r="A143" t="s">
        <v>281</v>
      </c>
      <c r="B143">
        <v>140</v>
      </c>
      <c r="C143" t="s">
        <v>136</v>
      </c>
      <c r="D143">
        <v>2.3621334734456911E-4</v>
      </c>
      <c r="E143">
        <v>1.3914654339424872E-4</v>
      </c>
      <c r="F143">
        <v>1.4762157104759692E-4</v>
      </c>
      <c r="G143">
        <v>2.2209396289451605E-4</v>
      </c>
      <c r="H143">
        <v>1.7434216394224896E-4</v>
      </c>
      <c r="I143">
        <v>0</v>
      </c>
      <c r="J143">
        <v>0</v>
      </c>
      <c r="K143">
        <v>5.9671461486547107E-4</v>
      </c>
      <c r="L143">
        <v>2.965888967836793E-4</v>
      </c>
      <c r="M143">
        <v>2.9492386039895119E-4</v>
      </c>
      <c r="N143">
        <v>3.1126683430826336E-4</v>
      </c>
      <c r="O143">
        <v>1.3651778231786282E-4</v>
      </c>
      <c r="P143">
        <v>5.3888688521946514E-4</v>
      </c>
      <c r="Q143">
        <v>2.3479329994951065E-3</v>
      </c>
      <c r="R143">
        <v>0</v>
      </c>
      <c r="S143">
        <v>0</v>
      </c>
      <c r="T143">
        <v>0</v>
      </c>
      <c r="U143">
        <v>1.0090693376286297E-3</v>
      </c>
      <c r="V143">
        <v>8.7988195939823338E-4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7.4271470771659007E-6</v>
      </c>
      <c r="AF143">
        <v>3.6318356544603786E-8</v>
      </c>
      <c r="AG143">
        <v>0</v>
      </c>
      <c r="AH143">
        <v>0</v>
      </c>
      <c r="AI143">
        <v>2.9088710243797829E-7</v>
      </c>
      <c r="AJ143">
        <v>1.2808696918675946E-4</v>
      </c>
      <c r="AK143">
        <v>0</v>
      </c>
      <c r="AL143">
        <v>9.0382347020778859E-9</v>
      </c>
      <c r="AM143">
        <v>0</v>
      </c>
      <c r="AN143">
        <v>4.1337199014863637E-8</v>
      </c>
      <c r="AO143">
        <v>7.5469803007933586E-7</v>
      </c>
      <c r="AP143">
        <v>1.5103775801971851E-5</v>
      </c>
      <c r="AQ143">
        <v>6.8146789960254736E-9</v>
      </c>
      <c r="AR143">
        <v>1.2923896066610187E-9</v>
      </c>
      <c r="AS143">
        <v>1.6857078952613744E-3</v>
      </c>
      <c r="AT143">
        <v>7.752748706066034E-8</v>
      </c>
      <c r="AU143">
        <v>3.7637483664600523E-5</v>
      </c>
      <c r="AV143">
        <v>2.0698611670750387E-5</v>
      </c>
      <c r="AW143">
        <v>4.6568936009339226E-4</v>
      </c>
      <c r="AX143">
        <v>6.2363695644393024E-4</v>
      </c>
      <c r="AY143">
        <v>6.9079454355016202E-4</v>
      </c>
      <c r="AZ143">
        <v>1.7998100702357423E-3</v>
      </c>
      <c r="BA143">
        <v>5.2773485214760722E-4</v>
      </c>
      <c r="BB143">
        <v>4.3980684270047418E-4</v>
      </c>
      <c r="BC143">
        <v>2.6865472165614343E-4</v>
      </c>
      <c r="BD143">
        <v>4.2368102009067952E-4</v>
      </c>
      <c r="BE143">
        <v>4.409473444273004E-8</v>
      </c>
      <c r="BF143">
        <v>1.9120907684239221E-3</v>
      </c>
      <c r="BG143">
        <v>4.0737289921597314E-4</v>
      </c>
      <c r="BH143">
        <v>4.5822879417521277E-4</v>
      </c>
      <c r="BI143">
        <v>2.2374620017833412E-3</v>
      </c>
      <c r="BJ143">
        <v>0</v>
      </c>
      <c r="BK143">
        <v>1.2407415475160282E-2</v>
      </c>
      <c r="BL143">
        <v>0</v>
      </c>
      <c r="BM143">
        <v>1.9560625174310999E-3</v>
      </c>
      <c r="BN143">
        <v>4.7476152054651239E-4</v>
      </c>
      <c r="BO143">
        <v>1.6470536582410693E-2</v>
      </c>
      <c r="BP143">
        <v>0</v>
      </c>
      <c r="BQ143">
        <v>1.647053658241069E-2</v>
      </c>
      <c r="BR143">
        <v>1.3783671238765814E-3</v>
      </c>
      <c r="BS143">
        <v>0</v>
      </c>
      <c r="BT143">
        <v>0</v>
      </c>
      <c r="BU143">
        <v>1.3783671238765812E-3</v>
      </c>
      <c r="BV143">
        <v>1.3783671238765814E-3</v>
      </c>
      <c r="BW143">
        <v>1.3783671238765814E-3</v>
      </c>
      <c r="BX143">
        <v>1.3783671238765814E-3</v>
      </c>
      <c r="BY143">
        <v>1.3783671238765814E-3</v>
      </c>
      <c r="BZ143">
        <v>1.3783671238765812E-3</v>
      </c>
      <c r="CA143">
        <v>1.3783671238765814E-3</v>
      </c>
      <c r="CB143">
        <v>0</v>
      </c>
      <c r="CC143">
        <v>1.3783671238765812E-3</v>
      </c>
      <c r="CD143">
        <v>1.3783671238765812E-3</v>
      </c>
      <c r="CE143">
        <v>1.3783671238765812E-3</v>
      </c>
      <c r="CF143">
        <v>1.3783671238765814E-3</v>
      </c>
      <c r="CG143">
        <v>1.3783671238765814E-3</v>
      </c>
      <c r="CH143">
        <v>1.3783671238765814E-3</v>
      </c>
      <c r="CI143">
        <v>1.3783671238765812E-3</v>
      </c>
      <c r="CJ143">
        <v>0</v>
      </c>
      <c r="CK143">
        <v>1.5273932925416404E-4</v>
      </c>
      <c r="CL143">
        <v>0</v>
      </c>
      <c r="CM143">
        <v>1.2116118918118481E-3</v>
      </c>
      <c r="CN143">
        <v>1.3761732972250344E-3</v>
      </c>
      <c r="CO143">
        <v>9.6266098110533147E-4</v>
      </c>
      <c r="CP143">
        <v>0</v>
      </c>
      <c r="CQ143">
        <v>9.6266098110533147E-4</v>
      </c>
      <c r="CR143">
        <v>0</v>
      </c>
      <c r="CS143">
        <v>9.6266098110533158E-4</v>
      </c>
      <c r="CT143">
        <v>0</v>
      </c>
      <c r="CU143">
        <v>8.5345987679459644E-4</v>
      </c>
      <c r="CV143">
        <v>6.365619849776176E-4</v>
      </c>
      <c r="CW143">
        <v>0</v>
      </c>
      <c r="CX143">
        <v>1.2762445239512157E-3</v>
      </c>
      <c r="CY143">
        <v>3.5936138962885299E-4</v>
      </c>
      <c r="CZ143">
        <v>2.6995450683483575E-4</v>
      </c>
      <c r="DA143">
        <v>0</v>
      </c>
      <c r="DB143">
        <v>1.1118118310795109E-3</v>
      </c>
      <c r="DC143">
        <v>1.2276043640351607E-3</v>
      </c>
      <c r="DD143">
        <v>0</v>
      </c>
      <c r="DE143">
        <v>7.4641898219627971E-4</v>
      </c>
      <c r="DF143">
        <v>0</v>
      </c>
      <c r="DG143">
        <v>1.4424279577533835E-2</v>
      </c>
      <c r="DH143">
        <v>0</v>
      </c>
      <c r="DI143">
        <v>1.0682925496030727E-9</v>
      </c>
      <c r="DJ143">
        <v>0</v>
      </c>
      <c r="DK143">
        <v>6.9068044740384351E-4</v>
      </c>
      <c r="DL143">
        <v>0</v>
      </c>
      <c r="DM143">
        <v>2.614811267325916E-3</v>
      </c>
      <c r="DN143">
        <v>0</v>
      </c>
      <c r="DO143">
        <v>3.9875393134493174E-4</v>
      </c>
      <c r="DP143">
        <v>7.5065245799238553E-4</v>
      </c>
      <c r="DQ143">
        <v>3.319054537486668E-4</v>
      </c>
      <c r="DR143">
        <v>5.2855143184117972E-4</v>
      </c>
      <c r="DS143">
        <v>2.6850978252337401E-4</v>
      </c>
      <c r="DT143">
        <v>6.8221540370230641E-4</v>
      </c>
      <c r="DU143">
        <v>3.0929330906377163E-4</v>
      </c>
      <c r="DV143">
        <v>2.720121293010618E-4</v>
      </c>
      <c r="DW143">
        <v>2.2257454692460024E-4</v>
      </c>
      <c r="DX143">
        <v>3.1933892836007817E-4</v>
      </c>
      <c r="DY143">
        <v>1.3861222643563542E-8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4.6355514186055519E-4</v>
      </c>
      <c r="EN143">
        <v>4.6478806726952702E-4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2.6775728238609569E-3</v>
      </c>
      <c r="EW143">
        <v>1.7272024738188634E-4</v>
      </c>
      <c r="EX143">
        <v>0</v>
      </c>
      <c r="EY143">
        <v>1.0406904332063949E-9</v>
      </c>
      <c r="EZ143">
        <v>1.4868354693579259E-8</v>
      </c>
      <c r="FA143">
        <v>1.1823493060233566E-10</v>
      </c>
      <c r="FB143">
        <v>2.2715553800086465E-10</v>
      </c>
      <c r="FC143">
        <v>3.5438000738093723E-4</v>
      </c>
      <c r="FD143">
        <v>5.2584469702568239E-5</v>
      </c>
      <c r="FE143">
        <v>1.4264676462377298E-4</v>
      </c>
      <c r="FF143">
        <v>1.5969636814506779E-8</v>
      </c>
      <c r="FG143">
        <v>1.0595274366372427E-9</v>
      </c>
      <c r="FH143">
        <v>9.7886823066358329E-6</v>
      </c>
      <c r="FI143">
        <v>2.9223348339129187E-9</v>
      </c>
      <c r="FJ143">
        <v>3.3050747520765955E-9</v>
      </c>
      <c r="FK143">
        <v>1.4576604165875789E-10</v>
      </c>
      <c r="FL143">
        <v>1.6257394457094371E-4</v>
      </c>
      <c r="FM143">
        <v>4.2271945053999643E-4</v>
      </c>
      <c r="FN143">
        <v>9.0870084629283845E-6</v>
      </c>
      <c r="FO143">
        <v>8.298137552828599E-4</v>
      </c>
      <c r="FP143">
        <v>1.3852398642458813E-4</v>
      </c>
      <c r="FQ143">
        <v>6.9367055153937558E-5</v>
      </c>
      <c r="FR143">
        <v>1.189021409292451E-3</v>
      </c>
      <c r="FS143">
        <v>9.5694174754721133E-5</v>
      </c>
      <c r="FT143">
        <v>6.1312045898934066E-4</v>
      </c>
      <c r="FU143">
        <v>1.7171518717877705E-3</v>
      </c>
      <c r="FV143">
        <v>1.0439602059100271E-3</v>
      </c>
      <c r="FW143">
        <v>2.5281224917564076E-3</v>
      </c>
      <c r="FX143">
        <v>2.5306460010514503E-3</v>
      </c>
      <c r="FY143">
        <v>2.4508302971549567E-3</v>
      </c>
      <c r="FZ143">
        <v>2.3471084278868289E-3</v>
      </c>
      <c r="GA143">
        <v>2.5372548158256948E-3</v>
      </c>
      <c r="GB143">
        <v>2.5290191755992044E-3</v>
      </c>
      <c r="GC143">
        <v>2.5129936054570021E-3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2.1862866984017387E-3</v>
      </c>
      <c r="GJ143">
        <v>2.2775592872021199E-3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6.535786640104634E-4</v>
      </c>
      <c r="GR143">
        <v>7.4071047153582753E-4</v>
      </c>
      <c r="GS143">
        <v>1.9714784224771098E-4</v>
      </c>
      <c r="GT143">
        <v>3.9627530980867569E-3</v>
      </c>
      <c r="GU143">
        <v>0</v>
      </c>
    </row>
    <row r="144" spans="1:203">
      <c r="A144" t="s">
        <v>282</v>
      </c>
      <c r="B144">
        <v>141</v>
      </c>
      <c r="C144" t="s">
        <v>136</v>
      </c>
      <c r="D144">
        <v>2.5149772367877559E-4</v>
      </c>
      <c r="E144">
        <v>1.8454309356405349E-4</v>
      </c>
      <c r="F144">
        <v>1.995907401997018E-4</v>
      </c>
      <c r="G144">
        <v>2.9724739239648948E-4</v>
      </c>
      <c r="H144">
        <v>2.3046030768237514E-4</v>
      </c>
      <c r="I144">
        <v>0</v>
      </c>
      <c r="J144">
        <v>0</v>
      </c>
      <c r="K144">
        <v>8.5348282756001609E-4</v>
      </c>
      <c r="L144">
        <v>3.6341976753847687E-4</v>
      </c>
      <c r="M144">
        <v>3.9463774405608696E-4</v>
      </c>
      <c r="N144">
        <v>3.8822965591544742E-4</v>
      </c>
      <c r="O144">
        <v>1.8950462745254086E-4</v>
      </c>
      <c r="P144">
        <v>7.6118470155662132E-4</v>
      </c>
      <c r="Q144">
        <v>3.2956327197570219E-3</v>
      </c>
      <c r="R144">
        <v>0</v>
      </c>
      <c r="S144">
        <v>0</v>
      </c>
      <c r="T144">
        <v>0</v>
      </c>
      <c r="U144">
        <v>1.4113889708893825E-3</v>
      </c>
      <c r="V144">
        <v>1.2277963454628105E-3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9.3533666229804317E-6</v>
      </c>
      <c r="AF144">
        <v>3.5450351236978655E-8</v>
      </c>
      <c r="AG144">
        <v>0</v>
      </c>
      <c r="AH144">
        <v>0</v>
      </c>
      <c r="AI144">
        <v>2.6631998089482678E-7</v>
      </c>
      <c r="AJ144">
        <v>1.7291502964695939E-4</v>
      </c>
      <c r="AK144">
        <v>0</v>
      </c>
      <c r="AL144">
        <v>8.9010641156702422E-9</v>
      </c>
      <c r="AM144">
        <v>0</v>
      </c>
      <c r="AN144">
        <v>4.068072068034257E-8</v>
      </c>
      <c r="AO144">
        <v>7.4007612833593573E-7</v>
      </c>
      <c r="AP144">
        <v>1.2981469247193782E-5</v>
      </c>
      <c r="AQ144">
        <v>6.4699067589028128E-9</v>
      </c>
      <c r="AR144">
        <v>1.2759644102793867E-9</v>
      </c>
      <c r="AS144">
        <v>2.2129871852242591E-3</v>
      </c>
      <c r="AT144">
        <v>6.5848416094020666E-8</v>
      </c>
      <c r="AU144">
        <v>5.1521633016485736E-5</v>
      </c>
      <c r="AV144">
        <v>2.6267704125213906E-5</v>
      </c>
      <c r="AW144">
        <v>6.6765416082125101E-4</v>
      </c>
      <c r="AX144">
        <v>8.3234046307914999E-4</v>
      </c>
      <c r="AY144">
        <v>9.6719033995151175E-4</v>
      </c>
      <c r="AZ144">
        <v>2.5111328935361467E-3</v>
      </c>
      <c r="BA144">
        <v>7.2286540864224249E-4</v>
      </c>
      <c r="BB144">
        <v>5.6529393678612385E-4</v>
      </c>
      <c r="BC144">
        <v>3.4193677574446355E-4</v>
      </c>
      <c r="BD144">
        <v>5.8078101835911517E-4</v>
      </c>
      <c r="BE144">
        <v>3.5814321469065854E-8</v>
      </c>
      <c r="BF144">
        <v>2.5727177980034467E-3</v>
      </c>
      <c r="BG144">
        <v>5.6436786414280275E-4</v>
      </c>
      <c r="BH144">
        <v>6.322124354935626E-4</v>
      </c>
      <c r="BI144">
        <v>3.012274740227252E-3</v>
      </c>
      <c r="BJ144">
        <v>0</v>
      </c>
      <c r="BK144">
        <v>1.6924563948186467E-2</v>
      </c>
      <c r="BL144">
        <v>0</v>
      </c>
      <c r="BM144">
        <v>2.5657699923669862E-3</v>
      </c>
      <c r="BN144">
        <v>5.7464778936414161E-4</v>
      </c>
      <c r="BO144">
        <v>2.3784928626257869E-2</v>
      </c>
      <c r="BP144">
        <v>0</v>
      </c>
      <c r="BQ144">
        <v>2.3784928626257865E-2</v>
      </c>
      <c r="BR144">
        <v>1.9444978148530122E-3</v>
      </c>
      <c r="BS144">
        <v>0</v>
      </c>
      <c r="BT144">
        <v>0</v>
      </c>
      <c r="BU144">
        <v>1.9444978148530122E-3</v>
      </c>
      <c r="BV144">
        <v>1.9444978148530122E-3</v>
      </c>
      <c r="BW144">
        <v>1.9444978148530124E-3</v>
      </c>
      <c r="BX144">
        <v>1.9444978148530124E-3</v>
      </c>
      <c r="BY144">
        <v>1.9444978148530122E-3</v>
      </c>
      <c r="BZ144">
        <v>1.944497814853012E-3</v>
      </c>
      <c r="CA144">
        <v>1.9444978148530124E-3</v>
      </c>
      <c r="CB144">
        <v>0</v>
      </c>
      <c r="CC144">
        <v>1.944497814853012E-3</v>
      </c>
      <c r="CD144">
        <v>1.9444978148530122E-3</v>
      </c>
      <c r="CE144">
        <v>1.9444978148530122E-3</v>
      </c>
      <c r="CF144">
        <v>1.9444978148530122E-3</v>
      </c>
      <c r="CG144">
        <v>1.9444978148530122E-3</v>
      </c>
      <c r="CH144">
        <v>1.9444978148530122E-3</v>
      </c>
      <c r="CI144">
        <v>1.9444978148530122E-3</v>
      </c>
      <c r="CJ144">
        <v>0</v>
      </c>
      <c r="CK144">
        <v>2.1751426341990384E-4</v>
      </c>
      <c r="CL144">
        <v>0</v>
      </c>
      <c r="CM144">
        <v>1.7086957939789799E-3</v>
      </c>
      <c r="CN144">
        <v>1.8777115854081111E-3</v>
      </c>
      <c r="CO144">
        <v>1.3577233535407701E-3</v>
      </c>
      <c r="CP144">
        <v>0</v>
      </c>
      <c r="CQ144">
        <v>1.3577233535407701E-3</v>
      </c>
      <c r="CR144">
        <v>0</v>
      </c>
      <c r="CS144">
        <v>1.3577233535407704E-3</v>
      </c>
      <c r="CT144">
        <v>0</v>
      </c>
      <c r="CU144">
        <v>1.17847156154438E-3</v>
      </c>
      <c r="CV144">
        <v>8.7088710209384758E-4</v>
      </c>
      <c r="CW144">
        <v>0</v>
      </c>
      <c r="CX144">
        <v>1.5756169528686609E-3</v>
      </c>
      <c r="CY144">
        <v>4.5647592842161923E-4</v>
      </c>
      <c r="CZ144">
        <v>2.2689203050813529E-4</v>
      </c>
      <c r="DA144">
        <v>0</v>
      </c>
      <c r="DB144">
        <v>1.4297238645120649E-3</v>
      </c>
      <c r="DC144">
        <v>1.7165763221483777E-3</v>
      </c>
      <c r="DD144">
        <v>0</v>
      </c>
      <c r="DE144">
        <v>1.0623478149112391E-3</v>
      </c>
      <c r="DF144">
        <v>0</v>
      </c>
      <c r="DG144">
        <v>2.0179521423272739E-2</v>
      </c>
      <c r="DH144">
        <v>0</v>
      </c>
      <c r="DI144">
        <v>1.0576963374214954E-9</v>
      </c>
      <c r="DJ144">
        <v>0</v>
      </c>
      <c r="DK144">
        <v>9.46732896900862E-4</v>
      </c>
      <c r="DL144">
        <v>0</v>
      </c>
      <c r="DM144">
        <v>3.6913609027382208E-3</v>
      </c>
      <c r="DN144">
        <v>0</v>
      </c>
      <c r="DO144">
        <v>5.5575874667769087E-4</v>
      </c>
      <c r="DP144">
        <v>1.0302808940958112E-3</v>
      </c>
      <c r="DQ144">
        <v>4.5623929228699343E-4</v>
      </c>
      <c r="DR144">
        <v>7.2838010789445329E-4</v>
      </c>
      <c r="DS144">
        <v>3.69949181162428E-4</v>
      </c>
      <c r="DT144">
        <v>9.3070861811058911E-4</v>
      </c>
      <c r="DU144">
        <v>4.3172888073979185E-4</v>
      </c>
      <c r="DV144">
        <v>3.603322477851136E-4</v>
      </c>
      <c r="DW144">
        <v>2.5625921384463617E-4</v>
      </c>
      <c r="DX144">
        <v>4.2914939670687946E-4</v>
      </c>
      <c r="DY144">
        <v>1.1657180331527413E-8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2.4456152194175496E-3</v>
      </c>
      <c r="EN144">
        <v>2.4567601290620489E-3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1.4138013996242805E-2</v>
      </c>
      <c r="EW144">
        <v>2.3624264649822928E-4</v>
      </c>
      <c r="EX144">
        <v>0</v>
      </c>
      <c r="EY144">
        <v>1.0390976686975727E-9</v>
      </c>
      <c r="EZ144">
        <v>1.4757661544498221E-8</v>
      </c>
      <c r="FA144">
        <v>1.1720359911448638E-10</v>
      </c>
      <c r="FB144">
        <v>2.2532634301538228E-10</v>
      </c>
      <c r="FC144">
        <v>1.7598334730067253E-3</v>
      </c>
      <c r="FD144">
        <v>1.2652943089179217E-4</v>
      </c>
      <c r="FE144">
        <v>6.0215098975233638E-4</v>
      </c>
      <c r="FF144">
        <v>1.5312270319575332E-8</v>
      </c>
      <c r="FG144">
        <v>1.0384887903101491E-9</v>
      </c>
      <c r="FH144">
        <v>3.8259529479936492E-5</v>
      </c>
      <c r="FI144">
        <v>2.7462904604095268E-9</v>
      </c>
      <c r="FJ144">
        <v>2.9530496266752456E-9</v>
      </c>
      <c r="FK144">
        <v>1.4237613183895015E-10</v>
      </c>
      <c r="FL144">
        <v>7.3800370430525972E-4</v>
      </c>
      <c r="FM144">
        <v>2.0039072017881401E-3</v>
      </c>
      <c r="FN144">
        <v>4.2376218946464571E-5</v>
      </c>
      <c r="FO144">
        <v>3.5951269175269075E-3</v>
      </c>
      <c r="FP144">
        <v>7.2580345711402568E-4</v>
      </c>
      <c r="FQ144">
        <v>1.1633216631087005E-4</v>
      </c>
      <c r="FR144">
        <v>6.2134764292571245E-3</v>
      </c>
      <c r="FS144">
        <v>4.0534879060994972E-4</v>
      </c>
      <c r="FT144">
        <v>3.2799950783744748E-3</v>
      </c>
      <c r="FU144">
        <v>9.1280892645459587E-3</v>
      </c>
      <c r="FV144">
        <v>5.6271050881433662E-3</v>
      </c>
      <c r="FW144">
        <v>1.3330145207581844E-2</v>
      </c>
      <c r="FX144">
        <v>1.333901892649992E-2</v>
      </c>
      <c r="FY144">
        <v>1.28780384671542E-2</v>
      </c>
      <c r="FZ144">
        <v>1.2299035984168302E-2</v>
      </c>
      <c r="GA144">
        <v>1.3369456864773888E-2</v>
      </c>
      <c r="GB144">
        <v>1.3323356634379859E-2</v>
      </c>
      <c r="GC144">
        <v>1.3237154691246013E-2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1.149165247774535E-2</v>
      </c>
      <c r="GJ144">
        <v>1.1988835851738129E-2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3.4805257439296834E-3</v>
      </c>
      <c r="GR144">
        <v>3.7161304571405262E-3</v>
      </c>
      <c r="GS144">
        <v>1.0312284797403693E-3</v>
      </c>
      <c r="GT144">
        <v>1.9476587564998479E-2</v>
      </c>
      <c r="GU144">
        <v>0</v>
      </c>
    </row>
    <row r="145" spans="1:203">
      <c r="A145" t="s">
        <v>283</v>
      </c>
      <c r="B145">
        <v>142</v>
      </c>
      <c r="C145" t="s">
        <v>137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6.1714996525656369E-6</v>
      </c>
      <c r="X145">
        <v>0</v>
      </c>
      <c r="Y145">
        <v>0</v>
      </c>
      <c r="Z145">
        <v>0</v>
      </c>
      <c r="AA145">
        <v>6.171499652565636E-6</v>
      </c>
      <c r="AB145">
        <v>0</v>
      </c>
      <c r="AC145">
        <v>0</v>
      </c>
      <c r="AD145">
        <v>0</v>
      </c>
      <c r="AE145">
        <v>7.1015921546811028E-7</v>
      </c>
      <c r="AF145">
        <v>3.2919149160558354E-8</v>
      </c>
      <c r="AG145">
        <v>0</v>
      </c>
      <c r="AH145">
        <v>0</v>
      </c>
      <c r="AI145">
        <v>3.3931547587290786E-10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5.8386638733553467E-9</v>
      </c>
      <c r="AR145">
        <v>1.2435647174334438E-9</v>
      </c>
      <c r="AS145">
        <v>8.7643949490780411E-6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1.5214554970455302E-4</v>
      </c>
      <c r="BP145">
        <v>0</v>
      </c>
      <c r="BQ145">
        <v>1.52145549704553E-4</v>
      </c>
      <c r="BR145">
        <v>4.8738169584247246E-5</v>
      </c>
      <c r="BS145">
        <v>0</v>
      </c>
      <c r="BT145">
        <v>0</v>
      </c>
      <c r="BU145">
        <v>4.8738169584247246E-5</v>
      </c>
      <c r="BV145">
        <v>4.8738169584247246E-5</v>
      </c>
      <c r="BW145">
        <v>4.8738169584247246E-5</v>
      </c>
      <c r="BX145">
        <v>4.8738169584247252E-5</v>
      </c>
      <c r="BY145">
        <v>4.8738169584247252E-5</v>
      </c>
      <c r="BZ145">
        <v>4.8738169584247246E-5</v>
      </c>
      <c r="CA145">
        <v>4.8738169584247252E-5</v>
      </c>
      <c r="CB145">
        <v>0</v>
      </c>
      <c r="CC145">
        <v>4.8738169584247246E-5</v>
      </c>
      <c r="CD145">
        <v>4.8738169584247239E-5</v>
      </c>
      <c r="CE145">
        <v>4.8738169584247246E-5</v>
      </c>
      <c r="CF145">
        <v>4.8738169584247252E-5</v>
      </c>
      <c r="CG145">
        <v>4.8738169584247252E-5</v>
      </c>
      <c r="CH145">
        <v>4.8738169584247252E-5</v>
      </c>
      <c r="CI145">
        <v>4.8738169584247252E-5</v>
      </c>
      <c r="CJ145">
        <v>6.3143575087538166E-6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4.5534772257358955E-4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1.5824107598034216E-3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8.538740854135976E-5</v>
      </c>
      <c r="EB145">
        <v>6.1304606112354122E-5</v>
      </c>
      <c r="EC145">
        <v>1.2960672091856938E-5</v>
      </c>
      <c r="ED145">
        <v>3.4255975374728761E-4</v>
      </c>
      <c r="EE145">
        <v>3.8694131235560055E-4</v>
      </c>
      <c r="EF145">
        <v>2.0147476631996375E-5</v>
      </c>
      <c r="EG145">
        <v>1.1039374517630567E-4</v>
      </c>
      <c r="EH145">
        <v>3.7963156015480395E-4</v>
      </c>
      <c r="EI145">
        <v>0</v>
      </c>
      <c r="EJ145">
        <v>0</v>
      </c>
      <c r="EK145">
        <v>0</v>
      </c>
      <c r="EL145">
        <v>6.6010902142080478E-4</v>
      </c>
      <c r="EM145">
        <v>0</v>
      </c>
      <c r="EN145">
        <v>0</v>
      </c>
      <c r="EO145">
        <v>1.0998735214267405E-2</v>
      </c>
      <c r="EP145">
        <v>1.0998735214267405E-2</v>
      </c>
      <c r="EQ145">
        <v>1.0998735214267407E-2</v>
      </c>
      <c r="ER145">
        <v>0</v>
      </c>
      <c r="ES145">
        <v>1.0998735214267407E-2</v>
      </c>
      <c r="ET145">
        <v>1.0998735214267407E-2</v>
      </c>
      <c r="EU145">
        <v>4.9213847420520617E-4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</row>
    <row r="146" spans="1:203">
      <c r="A146" t="s">
        <v>284</v>
      </c>
      <c r="B146">
        <v>143</v>
      </c>
      <c r="C146" t="s">
        <v>137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2.4613277718612358E-5</v>
      </c>
      <c r="X146">
        <v>0</v>
      </c>
      <c r="Y146">
        <v>0</v>
      </c>
      <c r="Z146">
        <v>0</v>
      </c>
      <c r="AA146">
        <v>2.4613277718612358E-5</v>
      </c>
      <c r="AB146">
        <v>0</v>
      </c>
      <c r="AC146">
        <v>0</v>
      </c>
      <c r="AD146">
        <v>0</v>
      </c>
      <c r="AE146">
        <v>3.2703488666830972E-6</v>
      </c>
      <c r="AF146">
        <v>3.3294238622748711E-8</v>
      </c>
      <c r="AG146">
        <v>0</v>
      </c>
      <c r="AH146">
        <v>0</v>
      </c>
      <c r="AI146">
        <v>3.3790905712336829E-10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5.6433903333126039E-9</v>
      </c>
      <c r="AR146">
        <v>1.2384103025622537E-9</v>
      </c>
      <c r="AS146">
        <v>1.1035669865133115E-6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5.1343700925870605E-4</v>
      </c>
      <c r="BP146">
        <v>0</v>
      </c>
      <c r="BQ146">
        <v>5.1343700925870605E-4</v>
      </c>
      <c r="BR146">
        <v>2.0169085112279654E-4</v>
      </c>
      <c r="BS146">
        <v>0</v>
      </c>
      <c r="BT146">
        <v>0</v>
      </c>
      <c r="BU146">
        <v>2.0169085112279648E-4</v>
      </c>
      <c r="BV146">
        <v>2.0169085112279651E-4</v>
      </c>
      <c r="BW146">
        <v>2.0169085112279648E-4</v>
      </c>
      <c r="BX146">
        <v>2.0169085112279651E-4</v>
      </c>
      <c r="BY146">
        <v>2.0169085112279651E-4</v>
      </c>
      <c r="BZ146">
        <v>2.0169085112279648E-4</v>
      </c>
      <c r="CA146">
        <v>2.0169085112279654E-4</v>
      </c>
      <c r="CB146">
        <v>0</v>
      </c>
      <c r="CC146">
        <v>2.0169085112279651E-4</v>
      </c>
      <c r="CD146">
        <v>2.0169085112279651E-4</v>
      </c>
      <c r="CE146">
        <v>2.0169085112279651E-4</v>
      </c>
      <c r="CF146">
        <v>2.0169085112279651E-4</v>
      </c>
      <c r="CG146">
        <v>2.0169085112279651E-4</v>
      </c>
      <c r="CH146">
        <v>2.0169085112279651E-4</v>
      </c>
      <c r="CI146">
        <v>2.0169085112279651E-4</v>
      </c>
      <c r="CJ146">
        <v>6.4186521707472719E-6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5.6050977766261335E-5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1.9452346537974301E-4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2.27143054915477E-4</v>
      </c>
      <c r="EB146">
        <v>1.6323649463051494E-4</v>
      </c>
      <c r="EC146">
        <v>3.3766946706893158E-5</v>
      </c>
      <c r="ED146">
        <v>9.0210049251250818E-4</v>
      </c>
      <c r="EE146">
        <v>1.0191795145048095E-3</v>
      </c>
      <c r="EF146">
        <v>5.2604630785534062E-5</v>
      </c>
      <c r="EG146">
        <v>2.889680349545473E-4</v>
      </c>
      <c r="EH146">
        <v>9.9982937660640192E-4</v>
      </c>
      <c r="EI146">
        <v>0</v>
      </c>
      <c r="EJ146">
        <v>0</v>
      </c>
      <c r="EK146">
        <v>0</v>
      </c>
      <c r="EL146">
        <v>1.7575875701854008E-3</v>
      </c>
      <c r="EM146">
        <v>0</v>
      </c>
      <c r="EN146">
        <v>0</v>
      </c>
      <c r="EO146">
        <v>4.115803935047422E-2</v>
      </c>
      <c r="EP146">
        <v>4.1158039350474213E-2</v>
      </c>
      <c r="EQ146">
        <v>4.115803935047422E-2</v>
      </c>
      <c r="ER146">
        <v>0</v>
      </c>
      <c r="ES146">
        <v>4.115803935047422E-2</v>
      </c>
      <c r="ET146">
        <v>4.1158039350474213E-2</v>
      </c>
      <c r="EU146">
        <v>3.1650022934098395E-3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</row>
    <row r="147" spans="1:203">
      <c r="A147" t="s">
        <v>285</v>
      </c>
      <c r="B147">
        <v>144</v>
      </c>
      <c r="C147" t="s">
        <v>137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2.7776455268028929E-6</v>
      </c>
      <c r="X147">
        <v>0</v>
      </c>
      <c r="Y147">
        <v>0</v>
      </c>
      <c r="Z147">
        <v>0</v>
      </c>
      <c r="AA147">
        <v>2.7776455268028929E-6</v>
      </c>
      <c r="AB147">
        <v>0</v>
      </c>
      <c r="AC147">
        <v>0</v>
      </c>
      <c r="AD147">
        <v>0</v>
      </c>
      <c r="AE147">
        <v>9.2533764871076699E-7</v>
      </c>
      <c r="AF147">
        <v>3.5478327570331421E-8</v>
      </c>
      <c r="AG147">
        <v>0</v>
      </c>
      <c r="AH147">
        <v>0</v>
      </c>
      <c r="AI147">
        <v>3.5703167753222043E-10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6.9664807109104903E-9</v>
      </c>
      <c r="AR147">
        <v>1.3084932128219326E-9</v>
      </c>
      <c r="AS147">
        <v>1.9701399616490415E-6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1.7022418766919738E-5</v>
      </c>
      <c r="BS147">
        <v>0</v>
      </c>
      <c r="BT147">
        <v>0</v>
      </c>
      <c r="BU147">
        <v>1.7022418766919735E-5</v>
      </c>
      <c r="BV147">
        <v>1.7022418766919738E-5</v>
      </c>
      <c r="BW147">
        <v>1.7022418766919735E-5</v>
      </c>
      <c r="BX147">
        <v>1.7022418766919735E-5</v>
      </c>
      <c r="BY147">
        <v>1.7022418766919735E-5</v>
      </c>
      <c r="BZ147">
        <v>1.7022418766919735E-5</v>
      </c>
      <c r="CA147">
        <v>1.7022418766919738E-5</v>
      </c>
      <c r="CB147">
        <v>0</v>
      </c>
      <c r="CC147">
        <v>1.7022418766919735E-5</v>
      </c>
      <c r="CD147">
        <v>1.7022418766919735E-5</v>
      </c>
      <c r="CE147">
        <v>1.7022418766919738E-5</v>
      </c>
      <c r="CF147">
        <v>1.7022418766919735E-5</v>
      </c>
      <c r="CG147">
        <v>1.7022418766919738E-5</v>
      </c>
      <c r="CH147">
        <v>1.7022418766919735E-5</v>
      </c>
      <c r="CI147">
        <v>1.7022418766919735E-5</v>
      </c>
      <c r="CJ147">
        <v>9.23012327947293E-6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7.5492165585291235E-5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2.6614860850405608E-4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1.0482414246180077E-5</v>
      </c>
      <c r="EB147">
        <v>7.4528692487136012E-6</v>
      </c>
      <c r="EC147">
        <v>1.9139778136301486E-6</v>
      </c>
      <c r="ED147">
        <v>4.6194557091274687E-5</v>
      </c>
      <c r="EE147">
        <v>5.1933875347894943E-5</v>
      </c>
      <c r="EF147">
        <v>2.9114208805639941E-6</v>
      </c>
      <c r="EG147">
        <v>1.5537339976112306E-5</v>
      </c>
      <c r="EH147">
        <v>5.1002796072702967E-5</v>
      </c>
      <c r="EI147">
        <v>0</v>
      </c>
      <c r="EJ147">
        <v>0</v>
      </c>
      <c r="EK147">
        <v>0</v>
      </c>
      <c r="EL147">
        <v>8.0300361976861368E-5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6.490231140447388E-4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</row>
    <row r="148" spans="1:203">
      <c r="A148" t="s">
        <v>286</v>
      </c>
      <c r="B148">
        <v>145</v>
      </c>
      <c r="C148" t="s">
        <v>137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</row>
    <row r="149" spans="1:203">
      <c r="A149" t="s">
        <v>287</v>
      </c>
      <c r="B149">
        <v>146</v>
      </c>
      <c r="C149" t="s">
        <v>137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3.4170134997239459E-6</v>
      </c>
      <c r="X149">
        <v>0</v>
      </c>
      <c r="Y149">
        <v>0</v>
      </c>
      <c r="Z149">
        <v>0</v>
      </c>
      <c r="AA149">
        <v>3.4170134997239459E-6</v>
      </c>
      <c r="AB149">
        <v>0</v>
      </c>
      <c r="AC149">
        <v>0</v>
      </c>
      <c r="AD149">
        <v>0</v>
      </c>
      <c r="AE149">
        <v>7.1516421774445064E-7</v>
      </c>
      <c r="AF149">
        <v>3.3735083593942997E-8</v>
      </c>
      <c r="AG149">
        <v>0</v>
      </c>
      <c r="AH149">
        <v>0</v>
      </c>
      <c r="AI149">
        <v>3.4645317922117877E-10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6.0757916951012634E-9</v>
      </c>
      <c r="AR149">
        <v>1.269723842727042E-9</v>
      </c>
      <c r="AS149">
        <v>5.7973851746053223E-7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1.9927752399276733E-5</v>
      </c>
      <c r="BL149">
        <v>0</v>
      </c>
      <c r="BM149">
        <v>3.2673741092199276E-5</v>
      </c>
      <c r="BN149">
        <v>6.4895644107030636E-6</v>
      </c>
      <c r="BO149">
        <v>0</v>
      </c>
      <c r="BP149">
        <v>0</v>
      </c>
      <c r="BQ149">
        <v>0</v>
      </c>
      <c r="BR149">
        <v>2.3539834319641236E-5</v>
      </c>
      <c r="BS149">
        <v>0</v>
      </c>
      <c r="BT149">
        <v>0</v>
      </c>
      <c r="BU149">
        <v>2.3539834319641233E-5</v>
      </c>
      <c r="BV149">
        <v>2.3539834319641236E-5</v>
      </c>
      <c r="BW149">
        <v>2.3539834319641236E-5</v>
      </c>
      <c r="BX149">
        <v>2.3539834319641236E-5</v>
      </c>
      <c r="BY149">
        <v>2.3539834319641236E-5</v>
      </c>
      <c r="BZ149">
        <v>2.3539834319641233E-5</v>
      </c>
      <c r="CA149">
        <v>2.3539834319641236E-5</v>
      </c>
      <c r="CB149">
        <v>0</v>
      </c>
      <c r="CC149">
        <v>2.3539834319641233E-5</v>
      </c>
      <c r="CD149">
        <v>2.3539834319641233E-5</v>
      </c>
      <c r="CE149">
        <v>2.3539834319641236E-5</v>
      </c>
      <c r="CF149">
        <v>2.3539834319641236E-5</v>
      </c>
      <c r="CG149">
        <v>2.3539834319641233E-5</v>
      </c>
      <c r="CH149">
        <v>2.3539834319641236E-5</v>
      </c>
      <c r="CI149">
        <v>2.3539834319641236E-5</v>
      </c>
      <c r="CJ149">
        <v>7.3281147742540419E-6</v>
      </c>
      <c r="CK149">
        <v>5.3668292252584929E-8</v>
      </c>
      <c r="CL149">
        <v>0</v>
      </c>
      <c r="CM149">
        <v>0</v>
      </c>
      <c r="CN149">
        <v>4.7551538770897218E-8</v>
      </c>
      <c r="CO149">
        <v>2.4203290413791878E-8</v>
      </c>
      <c r="CP149">
        <v>0</v>
      </c>
      <c r="CQ149">
        <v>2.4203290413791882E-8</v>
      </c>
      <c r="CR149">
        <v>0</v>
      </c>
      <c r="CS149">
        <v>2.4203290413791882E-8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1.3687667656224107E-4</v>
      </c>
      <c r="EB149">
        <v>9.7749529239371744E-5</v>
      </c>
      <c r="EC149">
        <v>2.2889363557618723E-5</v>
      </c>
      <c r="ED149">
        <v>5.7548711161782779E-4</v>
      </c>
      <c r="EE149">
        <v>6.4162794321884643E-4</v>
      </c>
      <c r="EF149">
        <v>3.4829860915953085E-5</v>
      </c>
      <c r="EG149">
        <v>1.8577087087822574E-4</v>
      </c>
      <c r="EH149">
        <v>6.3016002886666139E-4</v>
      </c>
      <c r="EI149">
        <v>0</v>
      </c>
      <c r="EJ149">
        <v>0</v>
      </c>
      <c r="EK149">
        <v>0</v>
      </c>
      <c r="EL149">
        <v>1.0531349683737818E-3</v>
      </c>
      <c r="EM149">
        <v>2.4568015630821952E-3</v>
      </c>
      <c r="EN149">
        <v>2.4695976667993011E-3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2.6580446174014475E-5</v>
      </c>
      <c r="EV149">
        <v>2.975664870040754E-5</v>
      </c>
      <c r="EW149">
        <v>0</v>
      </c>
      <c r="EX149">
        <v>0</v>
      </c>
      <c r="EY149">
        <v>1.0386666598429799E-9</v>
      </c>
      <c r="EZ149">
        <v>1.4301670934506439E-8</v>
      </c>
      <c r="FA149">
        <v>1.1690352431272915E-10</v>
      </c>
      <c r="FB149">
        <v>2.2483464850815663E-10</v>
      </c>
      <c r="FC149">
        <v>2.87210487730659E-5</v>
      </c>
      <c r="FD149">
        <v>3.0844834304742501E-7</v>
      </c>
      <c r="FE149">
        <v>2.7450297020041805E-6</v>
      </c>
      <c r="FF149">
        <v>1.5091169275452269E-8</v>
      </c>
      <c r="FG149">
        <v>1.0118034938269397E-9</v>
      </c>
      <c r="FH149">
        <v>9.129727758145151E-8</v>
      </c>
      <c r="FI149">
        <v>2.5730423851591775E-9</v>
      </c>
      <c r="FJ149">
        <v>2.7803352263437666E-9</v>
      </c>
      <c r="FK149">
        <v>1.4144028155627245E-10</v>
      </c>
      <c r="FL149">
        <v>1.1921760812408324E-6</v>
      </c>
      <c r="FM149">
        <v>3.1326168530266971E-6</v>
      </c>
      <c r="FN149">
        <v>2.2431676199466482E-6</v>
      </c>
      <c r="FO149">
        <v>3.291444253881438E-6</v>
      </c>
      <c r="FP149">
        <v>4.1711405147906663E-6</v>
      </c>
      <c r="FQ149">
        <v>1.1948042642277486E-7</v>
      </c>
      <c r="FR149">
        <v>1.4329931003515927E-5</v>
      </c>
      <c r="FS149">
        <v>8.1223565335686756E-7</v>
      </c>
      <c r="FT149">
        <v>7.1680412912103469E-6</v>
      </c>
      <c r="FU149">
        <v>2.601451885491802E-5</v>
      </c>
      <c r="FV149">
        <v>4.4670558586545153E-5</v>
      </c>
      <c r="FW149">
        <v>2.2231186147868563E-6</v>
      </c>
      <c r="FX149">
        <v>2.4781077609153002E-6</v>
      </c>
      <c r="FY149">
        <v>2.6116310076331161E-6</v>
      </c>
      <c r="FZ149">
        <v>2.5302273545078456E-6</v>
      </c>
      <c r="GA149">
        <v>3.1026868384510114E-6</v>
      </c>
      <c r="GB149">
        <v>2.9965768624787811E-6</v>
      </c>
      <c r="GC149">
        <v>2.9733462692210421E-6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1.5958223709748302E-5</v>
      </c>
      <c r="GJ149">
        <v>1.2919550200905521E-5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2.0124403994947222E-5</v>
      </c>
      <c r="GR149">
        <v>2.7092487437966581E-5</v>
      </c>
      <c r="GS149">
        <v>1.2408513216539277E-5</v>
      </c>
      <c r="GT149">
        <v>0</v>
      </c>
      <c r="GU149">
        <v>0</v>
      </c>
    </row>
    <row r="150" spans="1:203">
      <c r="A150" t="s">
        <v>288</v>
      </c>
      <c r="B150">
        <v>147</v>
      </c>
      <c r="C150" t="s">
        <v>137</v>
      </c>
      <c r="D150">
        <v>7.6271272824220814E-9</v>
      </c>
      <c r="E150">
        <v>0</v>
      </c>
      <c r="F150">
        <v>0</v>
      </c>
      <c r="G150">
        <v>7.4288784375744202E-6</v>
      </c>
      <c r="H150">
        <v>2.3275862496577545E-6</v>
      </c>
      <c r="I150">
        <v>0</v>
      </c>
      <c r="J150">
        <v>0</v>
      </c>
      <c r="K150">
        <v>1.7171348153949324E-4</v>
      </c>
      <c r="L150">
        <v>2.717086345385125E-8</v>
      </c>
      <c r="M150">
        <v>8.0013236223693867E-7</v>
      </c>
      <c r="N150">
        <v>1.3157315050190085E-8</v>
      </c>
      <c r="O150">
        <v>0</v>
      </c>
      <c r="P150">
        <v>0</v>
      </c>
      <c r="Q150">
        <v>4.1900662682829022E-6</v>
      </c>
      <c r="R150">
        <v>0</v>
      </c>
      <c r="S150">
        <v>0</v>
      </c>
      <c r="T150">
        <v>0</v>
      </c>
      <c r="U150">
        <v>1.0021857370515624E-5</v>
      </c>
      <c r="V150">
        <v>0</v>
      </c>
      <c r="W150">
        <v>1.4969483220054407E-4</v>
      </c>
      <c r="X150">
        <v>0</v>
      </c>
      <c r="Y150">
        <v>0</v>
      </c>
      <c r="Z150">
        <v>0</v>
      </c>
      <c r="AA150">
        <v>1.4969483220054407E-4</v>
      </c>
      <c r="AB150">
        <v>0</v>
      </c>
      <c r="AC150">
        <v>0</v>
      </c>
      <c r="AD150">
        <v>0</v>
      </c>
      <c r="AE150">
        <v>2.3044510833081627E-6</v>
      </c>
      <c r="AF150">
        <v>2.9610116668017959E-8</v>
      </c>
      <c r="AG150">
        <v>0</v>
      </c>
      <c r="AH150">
        <v>0</v>
      </c>
      <c r="AI150">
        <v>3.1646155614697211E-10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4.6247665275131597E-9</v>
      </c>
      <c r="AR150">
        <v>1.1598068866032498E-9</v>
      </c>
      <c r="AS150">
        <v>1.3377786348529873E-6</v>
      </c>
      <c r="AT150">
        <v>3.2028183159293793E-8</v>
      </c>
      <c r="AU150">
        <v>1.6670904624053334E-5</v>
      </c>
      <c r="AV150">
        <v>7.2784442378997719E-8</v>
      </c>
      <c r="AW150">
        <v>4.6041592694216933E-4</v>
      </c>
      <c r="AX150">
        <v>4.1585960791825136E-4</v>
      </c>
      <c r="AY150">
        <v>2.397617929051858E-4</v>
      </c>
      <c r="AZ150">
        <v>4.0786193890638457E-3</v>
      </c>
      <c r="BA150">
        <v>2.140821890149584E-3</v>
      </c>
      <c r="BB150">
        <v>7.0043721252286808E-9</v>
      </c>
      <c r="BC150">
        <v>2.9303655211926037E-8</v>
      </c>
      <c r="BD150">
        <v>1.3312718810421366E-5</v>
      </c>
      <c r="BE150">
        <v>1.4146279203008614E-8</v>
      </c>
      <c r="BF150">
        <v>6.7241516659433695E-4</v>
      </c>
      <c r="BG150">
        <v>4.8158345230540622E-5</v>
      </c>
      <c r="BH150">
        <v>1.6729063082387993E-4</v>
      </c>
      <c r="BI150">
        <v>2.1084413502534094E-4</v>
      </c>
      <c r="BJ150">
        <v>0</v>
      </c>
      <c r="BK150">
        <v>4.2416135770310086E-4</v>
      </c>
      <c r="BL150">
        <v>0</v>
      </c>
      <c r="BM150">
        <v>7.4011391802628849E-8</v>
      </c>
      <c r="BN150">
        <v>1.6771387081088889E-8</v>
      </c>
      <c r="BO150">
        <v>0</v>
      </c>
      <c r="BP150">
        <v>0</v>
      </c>
      <c r="BQ150">
        <v>0</v>
      </c>
      <c r="BR150">
        <v>5.1479675119828188E-3</v>
      </c>
      <c r="BS150">
        <v>0</v>
      </c>
      <c r="BT150">
        <v>0</v>
      </c>
      <c r="BU150">
        <v>5.1479675119828188E-3</v>
      </c>
      <c r="BV150">
        <v>5.1479675119828197E-3</v>
      </c>
      <c r="BW150">
        <v>5.1479675119828188E-3</v>
      </c>
      <c r="BX150">
        <v>5.1479675119828197E-3</v>
      </c>
      <c r="BY150">
        <v>5.1479675119828188E-3</v>
      </c>
      <c r="BZ150">
        <v>5.1479675119828188E-3</v>
      </c>
      <c r="CA150">
        <v>5.1479675119828197E-3</v>
      </c>
      <c r="CB150">
        <v>0</v>
      </c>
      <c r="CC150">
        <v>5.1479675119828188E-3</v>
      </c>
      <c r="CD150">
        <v>5.1479675119828188E-3</v>
      </c>
      <c r="CE150">
        <v>5.1479675119828197E-3</v>
      </c>
      <c r="CF150">
        <v>5.1479675119828197E-3</v>
      </c>
      <c r="CG150">
        <v>5.1479675119828188E-3</v>
      </c>
      <c r="CH150">
        <v>5.1479675119828188E-3</v>
      </c>
      <c r="CI150">
        <v>5.1479675119828188E-3</v>
      </c>
      <c r="CJ150">
        <v>1.5190426775448767E-5</v>
      </c>
      <c r="CK150">
        <v>4.5429747552147769E-5</v>
      </c>
      <c r="CL150">
        <v>0</v>
      </c>
      <c r="CM150">
        <v>2.4153514869008811E-5</v>
      </c>
      <c r="CN150">
        <v>2.6043411288933379E-5</v>
      </c>
      <c r="CO150">
        <v>4.3241495098740368E-5</v>
      </c>
      <c r="CP150">
        <v>0</v>
      </c>
      <c r="CQ150">
        <v>4.3241495098740374E-5</v>
      </c>
      <c r="CR150">
        <v>0</v>
      </c>
      <c r="CS150">
        <v>4.3241495098740374E-5</v>
      </c>
      <c r="CT150">
        <v>0</v>
      </c>
      <c r="CU150">
        <v>1.1297942770623964E-3</v>
      </c>
      <c r="CV150">
        <v>3.6208341033731996E-3</v>
      </c>
      <c r="CW150">
        <v>0</v>
      </c>
      <c r="CX150">
        <v>6.7408892545335637E-8</v>
      </c>
      <c r="CY150">
        <v>2.4115405748981142E-6</v>
      </c>
      <c r="CZ150">
        <v>7.0095264270434765E-9</v>
      </c>
      <c r="DA150">
        <v>0</v>
      </c>
      <c r="DB150">
        <v>2.9116930503484599E-8</v>
      </c>
      <c r="DC150">
        <v>3.2813972539097805E-3</v>
      </c>
      <c r="DD150">
        <v>0</v>
      </c>
      <c r="DE150">
        <v>4.8792602470419822E-3</v>
      </c>
      <c r="DF150">
        <v>0</v>
      </c>
      <c r="DG150">
        <v>3.8586947717343324E-3</v>
      </c>
      <c r="DH150">
        <v>0</v>
      </c>
      <c r="DI150">
        <v>9.8099143491933461E-10</v>
      </c>
      <c r="DJ150">
        <v>0</v>
      </c>
      <c r="DK150">
        <v>1.3560324938167812E-3</v>
      </c>
      <c r="DL150">
        <v>0</v>
      </c>
      <c r="DM150">
        <v>1.7043675034097059E-3</v>
      </c>
      <c r="DN150">
        <v>0</v>
      </c>
      <c r="DO150">
        <v>1.0878890891130267E-2</v>
      </c>
      <c r="DP150">
        <v>1.5416906611145733E-3</v>
      </c>
      <c r="DQ150">
        <v>5.0853396523559916E-4</v>
      </c>
      <c r="DR150">
        <v>8.7896039936538451E-5</v>
      </c>
      <c r="DS150">
        <v>1.4147319830903188E-3</v>
      </c>
      <c r="DT150">
        <v>6.1304784001547897E-4</v>
      </c>
      <c r="DU150">
        <v>1.064390524485417E-3</v>
      </c>
      <c r="DV150">
        <v>4.4061764975839696E-5</v>
      </c>
      <c r="DW150">
        <v>3.1255331553107847E-9</v>
      </c>
      <c r="DX150">
        <v>7.286270649625769E-5</v>
      </c>
      <c r="DY150">
        <v>5.4807397829856816E-9</v>
      </c>
      <c r="DZ150">
        <v>0</v>
      </c>
      <c r="EA150">
        <v>2.477768917956821E-2</v>
      </c>
      <c r="EB150">
        <v>1.8469206717177455E-2</v>
      </c>
      <c r="EC150">
        <v>9.5622206287636282E-4</v>
      </c>
      <c r="ED150">
        <v>6.4254979368139509E-2</v>
      </c>
      <c r="EE150">
        <v>8.192750219437582E-2</v>
      </c>
      <c r="EF150">
        <v>2.3889389524577608E-3</v>
      </c>
      <c r="EG150">
        <v>1.9143068235396084E-2</v>
      </c>
      <c r="EH150">
        <v>7.9597525513795175E-2</v>
      </c>
      <c r="EI150">
        <v>0</v>
      </c>
      <c r="EJ150">
        <v>0</v>
      </c>
      <c r="EK150">
        <v>0</v>
      </c>
      <c r="EL150">
        <v>0.19815015986304965</v>
      </c>
      <c r="EM150">
        <v>0.22141619763372519</v>
      </c>
      <c r="EN150">
        <v>0.23020058384592854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6.358545785103949E-3</v>
      </c>
      <c r="EV150">
        <v>2.720987012694724E-3</v>
      </c>
      <c r="EW150">
        <v>1.2486305476471337E-4</v>
      </c>
      <c r="EX150">
        <v>0</v>
      </c>
      <c r="EY150">
        <v>1.0267148408465955E-9</v>
      </c>
      <c r="EZ150">
        <v>1.3936473381005334E-8</v>
      </c>
      <c r="FA150">
        <v>1.096646367915424E-10</v>
      </c>
      <c r="FB150">
        <v>2.1188119381949309E-10</v>
      </c>
      <c r="FC150">
        <v>8.9063335624319523E-9</v>
      </c>
      <c r="FD150">
        <v>5.2440782840123233E-9</v>
      </c>
      <c r="FE150">
        <v>3.2523893785259872E-9</v>
      </c>
      <c r="FF150">
        <v>1.153690369466049E-8</v>
      </c>
      <c r="FG150">
        <v>8.9635946561447131E-10</v>
      </c>
      <c r="FH150">
        <v>8.6129385419036844E-8</v>
      </c>
      <c r="FI150">
        <v>1.8491129238143792E-9</v>
      </c>
      <c r="FJ150">
        <v>1.6043313110597236E-9</v>
      </c>
      <c r="FK150">
        <v>1.2032366595268546E-10</v>
      </c>
      <c r="FL150">
        <v>2.2985763654851534E-9</v>
      </c>
      <c r="FM150">
        <v>5.8301960813468592E-9</v>
      </c>
      <c r="FN150">
        <v>9.4782755755513327E-9</v>
      </c>
      <c r="FO150">
        <v>1.2557918361674015E-9</v>
      </c>
      <c r="FP150">
        <v>3.2787257119717815E-4</v>
      </c>
      <c r="FQ150">
        <v>3.8827275726040717E-9</v>
      </c>
      <c r="FR150">
        <v>1.0633947119030481E-3</v>
      </c>
      <c r="FS150">
        <v>1.7570629434591639E-9</v>
      </c>
      <c r="FT150">
        <v>8.0861119938344279E-4</v>
      </c>
      <c r="FU150">
        <v>2.6665101230226294E-3</v>
      </c>
      <c r="FV150">
        <v>5.5804287122091165E-3</v>
      </c>
      <c r="FW150">
        <v>1.9654891444765085E-4</v>
      </c>
      <c r="FX150">
        <v>2.1792708189801539E-4</v>
      </c>
      <c r="FY150">
        <v>2.1037966850417878E-4</v>
      </c>
      <c r="FZ150">
        <v>1.8566152830027242E-4</v>
      </c>
      <c r="GA150">
        <v>2.6581893277164738E-4</v>
      </c>
      <c r="GB150">
        <v>2.56534450073885E-4</v>
      </c>
      <c r="GC150">
        <v>2.5359128902134798E-4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1.3369887473367295E-3</v>
      </c>
      <c r="GJ150">
        <v>1.1144589545988251E-3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2.1212379597287359E-3</v>
      </c>
      <c r="GR150">
        <v>9.8453152634470805E-5</v>
      </c>
      <c r="GS150">
        <v>9.4088168880548733E-4</v>
      </c>
      <c r="GT150">
        <v>1.8542548163308363E-7</v>
      </c>
      <c r="GU150">
        <v>0</v>
      </c>
    </row>
    <row r="151" spans="1:203">
      <c r="A151" t="s">
        <v>289</v>
      </c>
      <c r="B151">
        <v>148</v>
      </c>
      <c r="C151" t="s">
        <v>138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8.5279660123035555E-7</v>
      </c>
      <c r="X151">
        <v>0</v>
      </c>
      <c r="Y151">
        <v>0</v>
      </c>
      <c r="Z151">
        <v>0</v>
      </c>
      <c r="AA151">
        <v>8.5279660123035555E-7</v>
      </c>
      <c r="AB151">
        <v>0</v>
      </c>
      <c r="AC151">
        <v>0</v>
      </c>
      <c r="AD151">
        <v>0</v>
      </c>
      <c r="AE151">
        <v>0</v>
      </c>
      <c r="AF151">
        <v>2.9531340519387445E-8</v>
      </c>
      <c r="AG151">
        <v>0</v>
      </c>
      <c r="AH151">
        <v>0</v>
      </c>
      <c r="AI151">
        <v>3.2511039059390509E-10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5.0448907934337003E-9</v>
      </c>
      <c r="AR151">
        <v>1.1915041893491974E-9</v>
      </c>
      <c r="AS151">
        <v>8.8215675030518077E-5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3.3737358548376815E-4</v>
      </c>
      <c r="BG151">
        <v>1.4440142672613099E-5</v>
      </c>
      <c r="BH151">
        <v>5.2300746252123231E-5</v>
      </c>
      <c r="BI151">
        <v>0</v>
      </c>
      <c r="BJ151">
        <v>0</v>
      </c>
      <c r="BK151">
        <v>9.1215148386985547E-5</v>
      </c>
      <c r="BL151">
        <v>0</v>
      </c>
      <c r="BM151">
        <v>7.8807793040869606E-5</v>
      </c>
      <c r="BN151">
        <v>4.7301896317994587E-8</v>
      </c>
      <c r="BO151">
        <v>0</v>
      </c>
      <c r="BP151">
        <v>0</v>
      </c>
      <c r="BQ151">
        <v>0</v>
      </c>
      <c r="BR151">
        <v>8.8821083107627488E-6</v>
      </c>
      <c r="BS151">
        <v>0</v>
      </c>
      <c r="BT151">
        <v>0</v>
      </c>
      <c r="BU151">
        <v>8.8821083107627472E-6</v>
      </c>
      <c r="BV151">
        <v>8.8821083107627488E-6</v>
      </c>
      <c r="BW151">
        <v>8.8821083107627488E-6</v>
      </c>
      <c r="BX151">
        <v>8.8821083107627488E-6</v>
      </c>
      <c r="BY151">
        <v>8.8821083107627488E-6</v>
      </c>
      <c r="BZ151">
        <v>8.8821083107627488E-6</v>
      </c>
      <c r="CA151">
        <v>8.8821083107627488E-6</v>
      </c>
      <c r="CB151">
        <v>0</v>
      </c>
      <c r="CC151">
        <v>8.8821083107627488E-6</v>
      </c>
      <c r="CD151">
        <v>8.8821083107627472E-6</v>
      </c>
      <c r="CE151">
        <v>8.8821083107627488E-6</v>
      </c>
      <c r="CF151">
        <v>8.8821083107627488E-6</v>
      </c>
      <c r="CG151">
        <v>8.8821083107627488E-6</v>
      </c>
      <c r="CH151">
        <v>8.8821083107627488E-6</v>
      </c>
      <c r="CI151">
        <v>8.8821083107627488E-6</v>
      </c>
      <c r="CJ151">
        <v>0</v>
      </c>
      <c r="CK151">
        <v>1.8774144533732135E-3</v>
      </c>
      <c r="CL151">
        <v>0</v>
      </c>
      <c r="CM151">
        <v>1.1663194615988794E-3</v>
      </c>
      <c r="CN151">
        <v>1.5659749231811007E-3</v>
      </c>
      <c r="CO151">
        <v>1.8813761198691525E-3</v>
      </c>
      <c r="CP151">
        <v>0</v>
      </c>
      <c r="CQ151">
        <v>1.8813761198691525E-3</v>
      </c>
      <c r="CR151">
        <v>0</v>
      </c>
      <c r="CS151">
        <v>1.8813761198691527E-3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1.1131245221999858E-3</v>
      </c>
      <c r="DF151">
        <v>0</v>
      </c>
      <c r="DG151">
        <v>9.7461237126771842E-4</v>
      </c>
      <c r="DH151">
        <v>0</v>
      </c>
      <c r="DI151">
        <v>1.0022214111902814E-9</v>
      </c>
      <c r="DJ151">
        <v>0</v>
      </c>
      <c r="DK151">
        <v>4.1956757867526518E-4</v>
      </c>
      <c r="DL151">
        <v>0</v>
      </c>
      <c r="DM151">
        <v>4.0597086818201246E-4</v>
      </c>
      <c r="DN151">
        <v>0</v>
      </c>
      <c r="DO151">
        <v>0</v>
      </c>
      <c r="DP151">
        <v>3.1461249526041352E-5</v>
      </c>
      <c r="DQ151">
        <v>1.0179236843368084E-5</v>
      </c>
      <c r="DR151">
        <v>1.7115673841968097E-6</v>
      </c>
      <c r="DS151">
        <v>2.7551765106537063E-5</v>
      </c>
      <c r="DT151">
        <v>1.3668697422006029E-5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4.1781668022977661E-3</v>
      </c>
      <c r="EN151">
        <v>4.2741267765567491E-3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4.0095866250504773E-5</v>
      </c>
      <c r="EV151">
        <v>5.0990364100763162E-5</v>
      </c>
      <c r="EW151">
        <v>0</v>
      </c>
      <c r="EX151">
        <v>0</v>
      </c>
      <c r="EY151">
        <v>1.0303002754006939E-9</v>
      </c>
      <c r="EZ151">
        <v>1.4067364330389596E-8</v>
      </c>
      <c r="FA151">
        <v>1.117563494655381E-10</v>
      </c>
      <c r="FB151">
        <v>2.1563844661991256E-10</v>
      </c>
      <c r="FC151">
        <v>1.9541869598535526E-5</v>
      </c>
      <c r="FD151">
        <v>7.4689149843721776E-9</v>
      </c>
      <c r="FE151">
        <v>5.9529206119702125E-9</v>
      </c>
      <c r="FF151">
        <v>1.2421117858601881E-8</v>
      </c>
      <c r="FG151">
        <v>9.2685978660503574E-10</v>
      </c>
      <c r="FH151">
        <v>1.2963830016470716E-7</v>
      </c>
      <c r="FI151">
        <v>2.0076641300393412E-9</v>
      </c>
      <c r="FJ151">
        <v>1.8384704532619068E-9</v>
      </c>
      <c r="FK151">
        <v>1.2601250332032E-10</v>
      </c>
      <c r="FL151">
        <v>5.6250141530574766E-9</v>
      </c>
      <c r="FM151">
        <v>4.8588056837134311E-8</v>
      </c>
      <c r="FN151">
        <v>3.7038373166898591E-8</v>
      </c>
      <c r="FO151">
        <v>2.4916488431436002E-9</v>
      </c>
      <c r="FP151">
        <v>6.6296914156824724E-6</v>
      </c>
      <c r="FQ151">
        <v>5.387618455400816E-9</v>
      </c>
      <c r="FR151">
        <v>2.2153589052288696E-5</v>
      </c>
      <c r="FS151">
        <v>3.1963949715921771E-9</v>
      </c>
      <c r="FT151">
        <v>1.3771607515665486E-5</v>
      </c>
      <c r="FU151">
        <v>4.7372807625522651E-5</v>
      </c>
      <c r="FV151">
        <v>9.1085758660346594E-5</v>
      </c>
      <c r="FW151">
        <v>3.7579777108425776E-6</v>
      </c>
      <c r="FX151">
        <v>4.1761568988527369E-6</v>
      </c>
      <c r="FY151">
        <v>4.2748623619106295E-6</v>
      </c>
      <c r="FZ151">
        <v>3.996726868928962E-6</v>
      </c>
      <c r="GA151">
        <v>5.2096476316935774E-6</v>
      </c>
      <c r="GB151">
        <v>5.022580631793313E-6</v>
      </c>
      <c r="GC151">
        <v>4.9774103971603589E-6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2.6183122532413642E-5</v>
      </c>
      <c r="GJ151">
        <v>2.1498420989939042E-5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3.7216709775504359E-5</v>
      </c>
      <c r="GR151">
        <v>2.3293112960941472E-5</v>
      </c>
      <c r="GS151">
        <v>1.9377852807405414E-5</v>
      </c>
      <c r="GT151">
        <v>3.5910032413516011E-8</v>
      </c>
      <c r="GU151">
        <v>0</v>
      </c>
    </row>
    <row r="152" spans="1:203">
      <c r="A152" t="s">
        <v>290</v>
      </c>
      <c r="B152">
        <v>149</v>
      </c>
      <c r="C152" t="s">
        <v>138</v>
      </c>
      <c r="D152">
        <v>6.9934324744070681E-9</v>
      </c>
      <c r="E152">
        <v>0</v>
      </c>
      <c r="F152">
        <v>3.1729058053026236E-7</v>
      </c>
      <c r="G152">
        <v>2.3177546487782336E-5</v>
      </c>
      <c r="H152">
        <v>1.5086591633240526E-6</v>
      </c>
      <c r="I152">
        <v>0</v>
      </c>
      <c r="J152">
        <v>0</v>
      </c>
      <c r="K152">
        <v>4.2092572052265255E-4</v>
      </c>
      <c r="L152">
        <v>2.3357595484770481E-8</v>
      </c>
      <c r="M152">
        <v>3.9604496439554395E-7</v>
      </c>
      <c r="N152">
        <v>4.7565065287031904E-8</v>
      </c>
      <c r="O152">
        <v>3.8374864370270382E-5</v>
      </c>
      <c r="P152">
        <v>1.174523305931753E-5</v>
      </c>
      <c r="Q152">
        <v>1.1071355067084065E-5</v>
      </c>
      <c r="R152">
        <v>0</v>
      </c>
      <c r="S152">
        <v>0</v>
      </c>
      <c r="T152">
        <v>0</v>
      </c>
      <c r="U152">
        <v>1.2063565270992518E-5</v>
      </c>
      <c r="V152">
        <v>2.9704726983120587E-4</v>
      </c>
      <c r="W152">
        <v>2.6901721700311954E-5</v>
      </c>
      <c r="X152">
        <v>0</v>
      </c>
      <c r="Y152">
        <v>0</v>
      </c>
      <c r="Z152">
        <v>0</v>
      </c>
      <c r="AA152">
        <v>2.6901721700311954E-5</v>
      </c>
      <c r="AB152">
        <v>0</v>
      </c>
      <c r="AC152">
        <v>0</v>
      </c>
      <c r="AD152">
        <v>0</v>
      </c>
      <c r="AE152">
        <v>1.1142181210853736E-6</v>
      </c>
      <c r="AF152">
        <v>2.908148757245031E-8</v>
      </c>
      <c r="AG152">
        <v>0</v>
      </c>
      <c r="AH152">
        <v>0</v>
      </c>
      <c r="AI152">
        <v>3.1419146740795289E-10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4.5221102497252647E-9</v>
      </c>
      <c r="AR152">
        <v>1.151487188676048E-9</v>
      </c>
      <c r="AS152">
        <v>3.7609326921100721E-7</v>
      </c>
      <c r="AT152">
        <v>3.0889281330479188E-8</v>
      </c>
      <c r="AU152">
        <v>1.829521536017197E-5</v>
      </c>
      <c r="AV152">
        <v>5.4527231450752864E-8</v>
      </c>
      <c r="AW152">
        <v>5.3460195064070884E-4</v>
      </c>
      <c r="AX152">
        <v>1.9829020405840913E-5</v>
      </c>
      <c r="AY152">
        <v>8.380083452668532E-4</v>
      </c>
      <c r="AZ152">
        <v>1.8738642654061459E-4</v>
      </c>
      <c r="BA152">
        <v>9.3532572401634653E-4</v>
      </c>
      <c r="BB152">
        <v>4.9045118432885491E-9</v>
      </c>
      <c r="BC152">
        <v>2.2076013609379771E-8</v>
      </c>
      <c r="BD152">
        <v>5.9573468816578922E-5</v>
      </c>
      <c r="BE152">
        <v>1.3485793228335291E-8</v>
      </c>
      <c r="BF152">
        <v>1.7754625837089805E-4</v>
      </c>
      <c r="BG152">
        <v>7.7314450753848891E-5</v>
      </c>
      <c r="BH152">
        <v>2.5107231882251946E-4</v>
      </c>
      <c r="BI152">
        <v>2.2555653623197501E-5</v>
      </c>
      <c r="BJ152">
        <v>0</v>
      </c>
      <c r="BK152">
        <v>9.0986117954878988E-4</v>
      </c>
      <c r="BL152">
        <v>0</v>
      </c>
      <c r="BM152">
        <v>2.5649866654327521E-8</v>
      </c>
      <c r="BN152">
        <v>1.4227740329425135E-8</v>
      </c>
      <c r="BO152">
        <v>2.1655504846737173E-6</v>
      </c>
      <c r="BP152">
        <v>0</v>
      </c>
      <c r="BQ152">
        <v>2.1655504846737173E-6</v>
      </c>
      <c r="BR152">
        <v>1.9519054652228043E-4</v>
      </c>
      <c r="BS152">
        <v>0</v>
      </c>
      <c r="BT152">
        <v>0</v>
      </c>
      <c r="BU152">
        <v>1.951905465222804E-4</v>
      </c>
      <c r="BV152">
        <v>1.951905465222804E-4</v>
      </c>
      <c r="BW152">
        <v>1.951905465222804E-4</v>
      </c>
      <c r="BX152">
        <v>1.951905465222804E-4</v>
      </c>
      <c r="BY152">
        <v>1.951905465222804E-4</v>
      </c>
      <c r="BZ152">
        <v>1.9519054652228037E-4</v>
      </c>
      <c r="CA152">
        <v>1.9519054652228043E-4</v>
      </c>
      <c r="CB152">
        <v>0</v>
      </c>
      <c r="CC152">
        <v>1.951905465222804E-4</v>
      </c>
      <c r="CD152">
        <v>1.951905465222804E-4</v>
      </c>
      <c r="CE152">
        <v>1.951905465222804E-4</v>
      </c>
      <c r="CF152">
        <v>1.951905465222804E-4</v>
      </c>
      <c r="CG152">
        <v>1.951905465222804E-4</v>
      </c>
      <c r="CH152">
        <v>1.9519054652228043E-4</v>
      </c>
      <c r="CI152">
        <v>1.951905465222804E-4</v>
      </c>
      <c r="CJ152">
        <v>1.379237903086946E-5</v>
      </c>
      <c r="CK152">
        <v>1.5027005245182156E-3</v>
      </c>
      <c r="CL152">
        <v>0</v>
      </c>
      <c r="CM152">
        <v>1.2435683703915267E-3</v>
      </c>
      <c r="CN152">
        <v>6.1148068062272633E-4</v>
      </c>
      <c r="CO152">
        <v>2.4612154386332032E-3</v>
      </c>
      <c r="CP152">
        <v>0</v>
      </c>
      <c r="CQ152">
        <v>2.4612154386332036E-3</v>
      </c>
      <c r="CR152">
        <v>0</v>
      </c>
      <c r="CS152">
        <v>2.4612154386332036E-3</v>
      </c>
      <c r="CT152">
        <v>0</v>
      </c>
      <c r="CU152">
        <v>1.9392156053456443E-4</v>
      </c>
      <c r="CV152">
        <v>7.9033099812153508E-4</v>
      </c>
      <c r="CW152">
        <v>0</v>
      </c>
      <c r="CX152">
        <v>5.5596663467705044E-8</v>
      </c>
      <c r="CY152">
        <v>1.8270714647255084E-6</v>
      </c>
      <c r="CZ152">
        <v>6.3893365590902094E-9</v>
      </c>
      <c r="DA152">
        <v>0</v>
      </c>
      <c r="DB152">
        <v>2.0340987919207744E-8</v>
      </c>
      <c r="DC152">
        <v>6.4604149607568084E-4</v>
      </c>
      <c r="DD152">
        <v>0</v>
      </c>
      <c r="DE152">
        <v>8.3379669793038329E-3</v>
      </c>
      <c r="DF152">
        <v>0</v>
      </c>
      <c r="DG152">
        <v>3.850738368341833E-3</v>
      </c>
      <c r="DH152">
        <v>0</v>
      </c>
      <c r="DI152">
        <v>9.7537822185402642E-10</v>
      </c>
      <c r="DJ152">
        <v>0</v>
      </c>
      <c r="DK152">
        <v>1.0030804371471309E-3</v>
      </c>
      <c r="DL152">
        <v>0</v>
      </c>
      <c r="DM152">
        <v>1.0870063594821705E-2</v>
      </c>
      <c r="DN152">
        <v>0</v>
      </c>
      <c r="DO152">
        <v>1.3417480326640563E-2</v>
      </c>
      <c r="DP152">
        <v>4.543522719139854E-4</v>
      </c>
      <c r="DQ152">
        <v>1.7435704733729577E-4</v>
      </c>
      <c r="DR152">
        <v>2.1636458256689381E-5</v>
      </c>
      <c r="DS152">
        <v>3.7202044824241083E-4</v>
      </c>
      <c r="DT152">
        <v>1.4886326574024161E-4</v>
      </c>
      <c r="DU152">
        <v>2.6478994695943705E-4</v>
      </c>
      <c r="DV152">
        <v>1.1707165202303147E-8</v>
      </c>
      <c r="DW152">
        <v>2.7360613676643656E-9</v>
      </c>
      <c r="DX152">
        <v>2.5698989690821467E-5</v>
      </c>
      <c r="DY152">
        <v>5.4132297679330696E-9</v>
      </c>
      <c r="DZ152">
        <v>0</v>
      </c>
      <c r="EA152">
        <v>5.4468746373511748E-2</v>
      </c>
      <c r="EB152">
        <v>4.0947234762136596E-2</v>
      </c>
      <c r="EC152">
        <v>3.3812859477078427E-3</v>
      </c>
      <c r="ED152">
        <v>2.6377822357566347E-2</v>
      </c>
      <c r="EE152">
        <v>3.5928445660652127E-2</v>
      </c>
      <c r="EF152">
        <v>3.5075637387242909E-3</v>
      </c>
      <c r="EG152">
        <v>3.5670005784990487E-2</v>
      </c>
      <c r="EH152">
        <v>3.4125987129483344E-2</v>
      </c>
      <c r="EI152">
        <v>0</v>
      </c>
      <c r="EJ152">
        <v>0</v>
      </c>
      <c r="EK152">
        <v>0</v>
      </c>
      <c r="EL152">
        <v>9.379693983978106E-2</v>
      </c>
      <c r="EM152">
        <v>0.10633019087672649</v>
      </c>
      <c r="EN152">
        <v>0.11127042776107991</v>
      </c>
      <c r="EO152">
        <v>2.4549327881206296E-4</v>
      </c>
      <c r="EP152">
        <v>2.4549327881206296E-4</v>
      </c>
      <c r="EQ152">
        <v>2.4549327881206296E-4</v>
      </c>
      <c r="ER152">
        <v>0</v>
      </c>
      <c r="ES152">
        <v>2.4549327881206296E-4</v>
      </c>
      <c r="ET152">
        <v>2.4549327881206296E-4</v>
      </c>
      <c r="EU152">
        <v>3.8929839502481941E-5</v>
      </c>
      <c r="EV152">
        <v>1.1598137320393057E-2</v>
      </c>
      <c r="EW152">
        <v>1.4420067087719804E-4</v>
      </c>
      <c r="EX152">
        <v>0</v>
      </c>
      <c r="EY152">
        <v>1.0257448009287035E-9</v>
      </c>
      <c r="EZ152">
        <v>1.387504845825221E-8</v>
      </c>
      <c r="FA152">
        <v>1.0910764839840941E-10</v>
      </c>
      <c r="FB152">
        <v>2.1088250185378909E-10</v>
      </c>
      <c r="FC152">
        <v>4.1199831002094258E-9</v>
      </c>
      <c r="FD152">
        <v>4.8234470575317969E-9</v>
      </c>
      <c r="FE152">
        <v>2.8853504024511044E-9</v>
      </c>
      <c r="FF152">
        <v>1.1124395534159287E-8</v>
      </c>
      <c r="FG152">
        <v>8.8677790733367512E-10</v>
      </c>
      <c r="FH152">
        <v>7.8247773264327044E-8</v>
      </c>
      <c r="FI152">
        <v>1.8024292870284323E-9</v>
      </c>
      <c r="FJ152">
        <v>1.5481679154732825E-9</v>
      </c>
      <c r="FK152">
        <v>1.1886238428703653E-10</v>
      </c>
      <c r="FL152">
        <v>1.9710415739508996E-9</v>
      </c>
      <c r="FM152">
        <v>4.7049742855956446E-9</v>
      </c>
      <c r="FN152">
        <v>7.8914068998588433E-9</v>
      </c>
      <c r="FO152">
        <v>1.1047708063385882E-9</v>
      </c>
      <c r="FP152">
        <v>1.9335890673252495E-4</v>
      </c>
      <c r="FQ152">
        <v>3.5810550194368412E-9</v>
      </c>
      <c r="FR152">
        <v>2.6590741876672135E-4</v>
      </c>
      <c r="FS152">
        <v>1.5570140314570776E-9</v>
      </c>
      <c r="FT152">
        <v>6.4025836640420699E-4</v>
      </c>
      <c r="FU152">
        <v>1.7982898668536874E-3</v>
      </c>
      <c r="FV152">
        <v>3.1878107220535954E-3</v>
      </c>
      <c r="FW152">
        <v>1.1793984195151083E-3</v>
      </c>
      <c r="FX152">
        <v>1.1714474747833077E-3</v>
      </c>
      <c r="FY152">
        <v>1.0515446470730251E-3</v>
      </c>
      <c r="FZ152">
        <v>9.36685432899322E-4</v>
      </c>
      <c r="GA152">
        <v>1.1660474924050247E-3</v>
      </c>
      <c r="GB152">
        <v>1.1565085206806916E-3</v>
      </c>
      <c r="GC152">
        <v>1.1454981177516537E-3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9.4497312335024158E-4</v>
      </c>
      <c r="GJ152">
        <v>1.0204818858550813E-3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8.3654510263743963E-4</v>
      </c>
      <c r="GR152">
        <v>2.4765796130409642E-8</v>
      </c>
      <c r="GS152">
        <v>8.7889949376236947E-4</v>
      </c>
      <c r="GT152">
        <v>9.8931768309476889E-8</v>
      </c>
      <c r="GU152">
        <v>0</v>
      </c>
    </row>
    <row r="153" spans="1:203">
      <c r="A153" t="s">
        <v>291</v>
      </c>
      <c r="B153">
        <v>150</v>
      </c>
      <c r="C153" t="s">
        <v>20</v>
      </c>
      <c r="D153">
        <v>3.2289752179684791E-5</v>
      </c>
      <c r="E153">
        <v>1.1303358421880486E-5</v>
      </c>
      <c r="F153">
        <v>8.23001241857445E-6</v>
      </c>
      <c r="G153">
        <v>4.5687839371636899E-4</v>
      </c>
      <c r="H153">
        <v>4.3484519746709319E-6</v>
      </c>
      <c r="I153">
        <v>0</v>
      </c>
      <c r="J153">
        <v>0</v>
      </c>
      <c r="K153">
        <v>5.2644101561476284E-4</v>
      </c>
      <c r="L153">
        <v>9.7876348315589005E-8</v>
      </c>
      <c r="M153">
        <v>3.4403301359283439E-6</v>
      </c>
      <c r="N153">
        <v>7.0673689000553164E-5</v>
      </c>
      <c r="O153">
        <v>3.3647927509233105E-5</v>
      </c>
      <c r="P153">
        <v>1.9836528714969342E-4</v>
      </c>
      <c r="Q153">
        <v>3.6465069814509653E-5</v>
      </c>
      <c r="R153">
        <v>0</v>
      </c>
      <c r="S153">
        <v>0</v>
      </c>
      <c r="T153">
        <v>0</v>
      </c>
      <c r="U153">
        <v>1.3980494365106947E-4</v>
      </c>
      <c r="V153">
        <v>9.6019044859322906E-4</v>
      </c>
      <c r="W153">
        <v>6.6662540943411165E-5</v>
      </c>
      <c r="X153">
        <v>0</v>
      </c>
      <c r="Y153">
        <v>0</v>
      </c>
      <c r="Z153">
        <v>0</v>
      </c>
      <c r="AA153">
        <v>6.6662540943411165E-5</v>
      </c>
      <c r="AB153">
        <v>0</v>
      </c>
      <c r="AC153">
        <v>0</v>
      </c>
      <c r="AD153">
        <v>0</v>
      </c>
      <c r="AE153">
        <v>6.6232740214470634E-7</v>
      </c>
      <c r="AF153">
        <v>2.5374892695816724E-8</v>
      </c>
      <c r="AG153">
        <v>0</v>
      </c>
      <c r="AH153">
        <v>0</v>
      </c>
      <c r="AI153">
        <v>1.5441047969786908E-7</v>
      </c>
      <c r="AJ153">
        <v>7.7852734857507326E-7</v>
      </c>
      <c r="AK153">
        <v>0</v>
      </c>
      <c r="AL153">
        <v>7.4112327998744182E-9</v>
      </c>
      <c r="AM153">
        <v>0</v>
      </c>
      <c r="AN153">
        <v>3.2534640956324984E-8</v>
      </c>
      <c r="AO153">
        <v>0</v>
      </c>
      <c r="AP153">
        <v>1.4020099684891597E-5</v>
      </c>
      <c r="AQ153">
        <v>4.8174226728181917E-9</v>
      </c>
      <c r="AR153">
        <v>1.1059754853366379E-9</v>
      </c>
      <c r="AS153">
        <v>1.8731881588689785E-4</v>
      </c>
      <c r="AT153">
        <v>2.4077244828279846E-8</v>
      </c>
      <c r="AU153">
        <v>3.9755250437884646E-6</v>
      </c>
      <c r="AV153">
        <v>5.2185921913051392E-7</v>
      </c>
      <c r="AW153">
        <v>1.8818125604152603E-5</v>
      </c>
      <c r="AX153">
        <v>4.6083414716847934E-7</v>
      </c>
      <c r="AY153">
        <v>1.8201007684518714E-4</v>
      </c>
      <c r="AZ153">
        <v>2.0157528503022443E-6</v>
      </c>
      <c r="BA153">
        <v>2.4200133648904696E-5</v>
      </c>
      <c r="BB153">
        <v>1.3687034586020507E-4</v>
      </c>
      <c r="BC153">
        <v>5.8485733189150607E-5</v>
      </c>
      <c r="BD153">
        <v>1.1254183083162438E-4</v>
      </c>
      <c r="BE153">
        <v>1.6485626743633034E-8</v>
      </c>
      <c r="BF153">
        <v>2.2625145186850606E-4</v>
      </c>
      <c r="BG153">
        <v>3.7921982330228011E-4</v>
      </c>
      <c r="BH153">
        <v>1.1229407281579456E-4</v>
      </c>
      <c r="BI153">
        <v>1.5074807546435368E-4</v>
      </c>
      <c r="BJ153">
        <v>0</v>
      </c>
      <c r="BK153">
        <v>1.1197220922617886E-6</v>
      </c>
      <c r="BL153">
        <v>0</v>
      </c>
      <c r="BM153">
        <v>1.5351782655784904E-4</v>
      </c>
      <c r="BN153">
        <v>1.4158443574209001E-5</v>
      </c>
      <c r="BO153">
        <v>1.6278350163757354E-3</v>
      </c>
      <c r="BP153">
        <v>0</v>
      </c>
      <c r="BQ153">
        <v>1.6278350163757354E-3</v>
      </c>
      <c r="BR153">
        <v>2.0478437037202158E-4</v>
      </c>
      <c r="BS153">
        <v>0</v>
      </c>
      <c r="BT153">
        <v>0</v>
      </c>
      <c r="BU153">
        <v>2.0478437037202155E-4</v>
      </c>
      <c r="BV153">
        <v>2.0478437037202158E-4</v>
      </c>
      <c r="BW153">
        <v>2.0478437037202158E-4</v>
      </c>
      <c r="BX153">
        <v>2.0478437037202158E-4</v>
      </c>
      <c r="BY153">
        <v>2.0478437037202158E-4</v>
      </c>
      <c r="BZ153">
        <v>2.0478437037202158E-4</v>
      </c>
      <c r="CA153">
        <v>2.0478437037202161E-4</v>
      </c>
      <c r="CB153">
        <v>0</v>
      </c>
      <c r="CC153">
        <v>2.0478437037202158E-4</v>
      </c>
      <c r="CD153">
        <v>2.0478437037202155E-4</v>
      </c>
      <c r="CE153">
        <v>2.0478437037202158E-4</v>
      </c>
      <c r="CF153">
        <v>2.0478437037202158E-4</v>
      </c>
      <c r="CG153">
        <v>2.0478437037202158E-4</v>
      </c>
      <c r="CH153">
        <v>2.0478437037202161E-4</v>
      </c>
      <c r="CI153">
        <v>2.0478437037202155E-4</v>
      </c>
      <c r="CJ153">
        <v>7.7272355626346457E-6</v>
      </c>
      <c r="CK153">
        <v>1.2902360311571357E-6</v>
      </c>
      <c r="CL153">
        <v>0</v>
      </c>
      <c r="CM153">
        <v>3.1570502370826089E-4</v>
      </c>
      <c r="CN153">
        <v>2.4425911483220048E-4</v>
      </c>
      <c r="CO153">
        <v>1.5131401837874522E-4</v>
      </c>
      <c r="CP153">
        <v>0</v>
      </c>
      <c r="CQ153">
        <v>1.5131401837874524E-4</v>
      </c>
      <c r="CR153">
        <v>0</v>
      </c>
      <c r="CS153">
        <v>1.5131401837874524E-4</v>
      </c>
      <c r="CT153">
        <v>0</v>
      </c>
      <c r="CU153">
        <v>2.5234839862394874E-4</v>
      </c>
      <c r="CV153">
        <v>2.9983786856441777E-4</v>
      </c>
      <c r="CW153">
        <v>0</v>
      </c>
      <c r="CX153">
        <v>2.0120611461280752E-4</v>
      </c>
      <c r="CY153">
        <v>7.2630152365334812E-7</v>
      </c>
      <c r="CZ153">
        <v>6.1008113783873478E-6</v>
      </c>
      <c r="DA153">
        <v>0</v>
      </c>
      <c r="DB153">
        <v>1.1815166772606404E-4</v>
      </c>
      <c r="DC153">
        <v>1.1600205304964358E-4</v>
      </c>
      <c r="DD153">
        <v>0</v>
      </c>
      <c r="DE153">
        <v>5.2271110077135939E-4</v>
      </c>
      <c r="DF153">
        <v>0</v>
      </c>
      <c r="DG153">
        <v>8.4021324389800566E-4</v>
      </c>
      <c r="DH153">
        <v>0</v>
      </c>
      <c r="DI153">
        <v>9.2309329358209141E-10</v>
      </c>
      <c r="DJ153">
        <v>0</v>
      </c>
      <c r="DK153">
        <v>3.0359942350080402E-4</v>
      </c>
      <c r="DL153">
        <v>0</v>
      </c>
      <c r="DM153">
        <v>7.5887888990673006E-4</v>
      </c>
      <c r="DN153">
        <v>0</v>
      </c>
      <c r="DO153">
        <v>1.1867769513603597E-3</v>
      </c>
      <c r="DP153">
        <v>2.057668717196343E-4</v>
      </c>
      <c r="DQ153">
        <v>1.8645210185105104E-4</v>
      </c>
      <c r="DR153">
        <v>3.4185003467900763E-5</v>
      </c>
      <c r="DS153">
        <v>2.0275031460815254E-4</v>
      </c>
      <c r="DT153">
        <v>1.2596015723634731E-4</v>
      </c>
      <c r="DU153">
        <v>6.1562109240384321E-5</v>
      </c>
      <c r="DV153">
        <v>2.5486294149683475E-5</v>
      </c>
      <c r="DW153">
        <v>1.1296913799285032E-5</v>
      </c>
      <c r="DX153">
        <v>1.1119651093501515E-4</v>
      </c>
      <c r="DY153">
        <v>1.1606064811294154E-8</v>
      </c>
      <c r="DZ153">
        <v>0</v>
      </c>
      <c r="EA153">
        <v>6.2011525699130115E-4</v>
      </c>
      <c r="EB153">
        <v>4.317097791612743E-4</v>
      </c>
      <c r="EC153">
        <v>5.9625194834655537E-4</v>
      </c>
      <c r="ED153">
        <v>1.2716564567110281E-4</v>
      </c>
      <c r="EE153">
        <v>3.4271333686586762E-5</v>
      </c>
      <c r="EF153">
        <v>2.2958018072777054E-7</v>
      </c>
      <c r="EG153">
        <v>2.3825873685603153E-5</v>
      </c>
      <c r="EH153">
        <v>3.8087293047655555E-5</v>
      </c>
      <c r="EI153">
        <v>0</v>
      </c>
      <c r="EJ153">
        <v>0</v>
      </c>
      <c r="EK153">
        <v>0</v>
      </c>
      <c r="EL153">
        <v>9.586778720016443E-4</v>
      </c>
      <c r="EM153">
        <v>1.3636351203918842E-3</v>
      </c>
      <c r="EN153">
        <v>1.3733306923765065E-3</v>
      </c>
      <c r="EO153">
        <v>3.2874944769028181E-7</v>
      </c>
      <c r="EP153">
        <v>3.2874944769028175E-7</v>
      </c>
      <c r="EQ153">
        <v>3.2874944769028175E-7</v>
      </c>
      <c r="ER153">
        <v>0</v>
      </c>
      <c r="ES153">
        <v>3.2874944769028181E-7</v>
      </c>
      <c r="ET153">
        <v>3.2874944769028175E-7</v>
      </c>
      <c r="EU153">
        <v>5.1271589237138844E-6</v>
      </c>
      <c r="EV153">
        <v>6.1693399051851406E-4</v>
      </c>
      <c r="EW153">
        <v>8.8262566474915915E-5</v>
      </c>
      <c r="EX153">
        <v>0</v>
      </c>
      <c r="EY153">
        <v>1.0203513493856556E-9</v>
      </c>
      <c r="EZ153">
        <v>1.3292203823939227E-8</v>
      </c>
      <c r="FA153">
        <v>1.0606697971502187E-10</v>
      </c>
      <c r="FB153">
        <v>2.0536460093115892E-10</v>
      </c>
      <c r="FC153">
        <v>7.2943063892173831E-4</v>
      </c>
      <c r="FD153">
        <v>4.3514868134020771E-9</v>
      </c>
      <c r="FE153">
        <v>4.1411310988542155E-8</v>
      </c>
      <c r="FF153">
        <v>1.4686581930882558E-8</v>
      </c>
      <c r="FG153">
        <v>7.9705212232689069E-10</v>
      </c>
      <c r="FH153">
        <v>3.1508947207674853E-7</v>
      </c>
      <c r="FI153">
        <v>1.5089639469734296E-9</v>
      </c>
      <c r="FJ153">
        <v>1.7096861906386886E-9</v>
      </c>
      <c r="FK153">
        <v>1.1985958237471751E-10</v>
      </c>
      <c r="FL153">
        <v>6.9377970859348478E-5</v>
      </c>
      <c r="FM153">
        <v>2.3257907329125052E-4</v>
      </c>
      <c r="FN153">
        <v>8.1492841820524799E-5</v>
      </c>
      <c r="FO153">
        <v>9.2340876706659917E-3</v>
      </c>
      <c r="FP153">
        <v>1.8370037936267958E-4</v>
      </c>
      <c r="FQ153">
        <v>7.4859189090728604E-8</v>
      </c>
      <c r="FR153">
        <v>1.0335933707849097E-3</v>
      </c>
      <c r="FS153">
        <v>5.2064692504524924E-5</v>
      </c>
      <c r="FT153">
        <v>1.7087025330818406E-2</v>
      </c>
      <c r="FU153">
        <v>2.8270791157158914E-3</v>
      </c>
      <c r="FV153">
        <v>2.7481998311667554E-3</v>
      </c>
      <c r="FW153">
        <v>8.8151852047695589E-4</v>
      </c>
      <c r="FX153">
        <v>8.8243441300202361E-4</v>
      </c>
      <c r="FY153">
        <v>4.7402717777196123E-4</v>
      </c>
      <c r="FZ153">
        <v>3.3611358742912701E-4</v>
      </c>
      <c r="GA153">
        <v>5.138079362428103E-4</v>
      </c>
      <c r="GB153">
        <v>5.5500606708460342E-4</v>
      </c>
      <c r="GC153">
        <v>5.3997144414307397E-4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6.258363730461382E-4</v>
      </c>
      <c r="GJ153">
        <v>8.131935622026742E-4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1.3675514753627477E-3</v>
      </c>
      <c r="GR153">
        <v>1.2814544269158944E-3</v>
      </c>
      <c r="GS153">
        <v>1.0706108083729435E-4</v>
      </c>
      <c r="GT153">
        <v>1.7988494029729839E-7</v>
      </c>
      <c r="GU153">
        <v>0</v>
      </c>
    </row>
    <row r="154" spans="1:203">
      <c r="A154" t="s">
        <v>292</v>
      </c>
      <c r="B154">
        <v>151</v>
      </c>
      <c r="C154" t="s">
        <v>20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</row>
    <row r="155" spans="1:203">
      <c r="A155" t="s">
        <v>293</v>
      </c>
      <c r="B155">
        <v>152</v>
      </c>
      <c r="C155" t="s">
        <v>21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1.6523036588282167E-2</v>
      </c>
      <c r="EZ155">
        <v>2.3056354117836571E-2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3.6021493007593166E-3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</row>
    <row r="156" spans="1:203">
      <c r="A156" t="s">
        <v>294</v>
      </c>
      <c r="B156">
        <v>153</v>
      </c>
      <c r="C156" t="s">
        <v>21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1.333571678739616E-9</v>
      </c>
      <c r="EZ156">
        <v>1.3414842047209665E-4</v>
      </c>
      <c r="FA156">
        <v>1.2999914480899973E-4</v>
      </c>
      <c r="FB156">
        <v>6.6778144406089561E-5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2.7547193202527801E-3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</row>
    <row r="157" spans="1:203">
      <c r="A157" t="s">
        <v>295</v>
      </c>
      <c r="B157">
        <v>154</v>
      </c>
      <c r="C157" t="s">
        <v>21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1.2748905579620565E-9</v>
      </c>
      <c r="EZ157">
        <v>9.4402757881926089E-5</v>
      </c>
      <c r="FA157">
        <v>1.3578500717170778E-2</v>
      </c>
      <c r="FB157">
        <v>5.2273846964777746E-3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0.43382801545908045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</row>
    <row r="158" spans="1:203">
      <c r="A158" t="s">
        <v>296</v>
      </c>
      <c r="B158">
        <v>155</v>
      </c>
      <c r="C158" t="s">
        <v>21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1.3035713211368561E-9</v>
      </c>
      <c r="EZ158">
        <v>1.2908453667850575E-3</v>
      </c>
      <c r="FA158">
        <v>1.9874476571743616E-3</v>
      </c>
      <c r="FB158">
        <v>6.832251270461968E-3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0.20579368147311683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</row>
    <row r="159" spans="1:203">
      <c r="A159" t="s">
        <v>297</v>
      </c>
      <c r="B159">
        <v>156</v>
      </c>
      <c r="C159" t="s">
        <v>23</v>
      </c>
      <c r="D159">
        <v>1.6469812864601175E-5</v>
      </c>
      <c r="E159">
        <v>0.26565326910927556</v>
      </c>
      <c r="F159">
        <v>0.10336528532068043</v>
      </c>
      <c r="G159">
        <v>2.0959885550613806E-3</v>
      </c>
      <c r="H159">
        <v>4.7890334519394909E-3</v>
      </c>
      <c r="I159">
        <v>0</v>
      </c>
      <c r="J159">
        <v>6.9623074080964003E-4</v>
      </c>
      <c r="K159">
        <v>2.4341815878444698E-2</v>
      </c>
      <c r="L159">
        <v>5.6862604748955637E-4</v>
      </c>
      <c r="M159">
        <v>1.1551060096049433E-3</v>
      </c>
      <c r="N159">
        <v>1.7658854089971452E-3</v>
      </c>
      <c r="O159">
        <v>3.2604980579033487E-2</v>
      </c>
      <c r="P159">
        <v>3.2605599318353972E-3</v>
      </c>
      <c r="Q159">
        <v>7.5070732670484029E-3</v>
      </c>
      <c r="R159">
        <v>0.77194791512498795</v>
      </c>
      <c r="S159">
        <v>0</v>
      </c>
      <c r="T159">
        <v>0</v>
      </c>
      <c r="U159">
        <v>2.8602293219683175E-2</v>
      </c>
      <c r="V159">
        <v>5.8128061022098606E-3</v>
      </c>
      <c r="W159">
        <v>0.12424899453489445</v>
      </c>
      <c r="X159">
        <v>0</v>
      </c>
      <c r="Y159">
        <v>0</v>
      </c>
      <c r="Z159">
        <v>0</v>
      </c>
      <c r="AA159">
        <v>0.12424899453489446</v>
      </c>
      <c r="AB159">
        <v>0</v>
      </c>
      <c r="AC159">
        <v>0</v>
      </c>
      <c r="AD159">
        <v>0</v>
      </c>
      <c r="AE159">
        <v>0.36320608235008278</v>
      </c>
      <c r="AF159">
        <v>3.5775624804866246E-8</v>
      </c>
      <c r="AG159">
        <v>0</v>
      </c>
      <c r="AH159">
        <v>0</v>
      </c>
      <c r="AI159">
        <v>2.7313193870597406E-7</v>
      </c>
      <c r="AJ159">
        <v>0.1077517900575031</v>
      </c>
      <c r="AK159">
        <v>6.9129766610148571E-4</v>
      </c>
      <c r="AL159">
        <v>8.9330093783192117E-9</v>
      </c>
      <c r="AM159">
        <v>0</v>
      </c>
      <c r="AN159">
        <v>4.0841401890012862E-8</v>
      </c>
      <c r="AO159">
        <v>7.4616072877581431E-7</v>
      </c>
      <c r="AP159">
        <v>1.3538652513540648E-5</v>
      </c>
      <c r="AQ159">
        <v>6.5480348871540014E-9</v>
      </c>
      <c r="AR159">
        <v>1.2798017237248593E-9</v>
      </c>
      <c r="AS159">
        <v>1.3926630363277522E-2</v>
      </c>
      <c r="AT159">
        <v>7.195167253406802E-8</v>
      </c>
      <c r="AU159">
        <v>4.3732877149553692E-3</v>
      </c>
      <c r="AV159">
        <v>3.9055277493991289E-3</v>
      </c>
      <c r="AW159">
        <v>0.22815792668871529</v>
      </c>
      <c r="AX159">
        <v>1.6287135402904589E-2</v>
      </c>
      <c r="AY159">
        <v>1.2834108567783291E-2</v>
      </c>
      <c r="AZ159">
        <v>4.4326466962169214E-2</v>
      </c>
      <c r="BA159">
        <v>1.1913918931589404E-2</v>
      </c>
      <c r="BB159">
        <v>4.6677514849879677E-3</v>
      </c>
      <c r="BC159">
        <v>5.8309971742403904E-3</v>
      </c>
      <c r="BD159">
        <v>2.5642275061711194E-2</v>
      </c>
      <c r="BE159">
        <v>3.8224268371173164E-8</v>
      </c>
      <c r="BF159">
        <v>2.9234766284624634E-3</v>
      </c>
      <c r="BG159">
        <v>3.6465238951967911E-2</v>
      </c>
      <c r="BH159">
        <v>1.60115869913478E-2</v>
      </c>
      <c r="BI159">
        <v>9.2555191147537484E-3</v>
      </c>
      <c r="BJ159">
        <v>0</v>
      </c>
      <c r="BK159">
        <v>1.58178402884415E-2</v>
      </c>
      <c r="BL159">
        <v>0</v>
      </c>
      <c r="BM159">
        <v>3.9544807810239077E-3</v>
      </c>
      <c r="BN159">
        <v>1.053109655331835E-2</v>
      </c>
      <c r="BO159">
        <v>6.56413652631119E-2</v>
      </c>
      <c r="BP159">
        <v>0</v>
      </c>
      <c r="BQ159">
        <v>6.56413652631119E-2</v>
      </c>
      <c r="BR159">
        <v>1.1674400763805895E-2</v>
      </c>
      <c r="BS159">
        <v>0</v>
      </c>
      <c r="BT159">
        <v>0</v>
      </c>
      <c r="BU159">
        <v>1.1674400763805893E-2</v>
      </c>
      <c r="BV159">
        <v>1.1674400763805895E-2</v>
      </c>
      <c r="BW159">
        <v>1.1674400763805895E-2</v>
      </c>
      <c r="BX159">
        <v>1.1674400763805895E-2</v>
      </c>
      <c r="BY159">
        <v>1.1674400763805895E-2</v>
      </c>
      <c r="BZ159">
        <v>1.1674400763805895E-2</v>
      </c>
      <c r="CA159">
        <v>1.1674400763805895E-2</v>
      </c>
      <c r="CB159">
        <v>0</v>
      </c>
      <c r="CC159">
        <v>1.1674400763805893E-2</v>
      </c>
      <c r="CD159">
        <v>1.1674400763805893E-2</v>
      </c>
      <c r="CE159">
        <v>1.1674400763805893E-2</v>
      </c>
      <c r="CF159">
        <v>1.1674400763805895E-2</v>
      </c>
      <c r="CG159">
        <v>1.1674400763805895E-2</v>
      </c>
      <c r="CH159">
        <v>1.1674400763805895E-2</v>
      </c>
      <c r="CI159">
        <v>1.1674400763805893E-2</v>
      </c>
      <c r="CJ159">
        <v>0.10598929037624798</v>
      </c>
      <c r="CK159">
        <v>6.9064086135325791E-3</v>
      </c>
      <c r="CL159">
        <v>0</v>
      </c>
      <c r="CM159">
        <v>0.1052289764972414</v>
      </c>
      <c r="CN159">
        <v>2.2992390156136864E-3</v>
      </c>
      <c r="CO159">
        <v>7.593813458347279E-3</v>
      </c>
      <c r="CP159">
        <v>0</v>
      </c>
      <c r="CQ159">
        <v>7.593813458347279E-3</v>
      </c>
      <c r="CR159">
        <v>0</v>
      </c>
      <c r="CS159">
        <v>7.593813458347279E-3</v>
      </c>
      <c r="CT159">
        <v>0</v>
      </c>
      <c r="CU159">
        <v>5.5315652621019422E-3</v>
      </c>
      <c r="CV159">
        <v>7.7462234658548625E-3</v>
      </c>
      <c r="CW159">
        <v>0</v>
      </c>
      <c r="CX159">
        <v>2.0829939181884437E-2</v>
      </c>
      <c r="CY159">
        <v>2.6026343049145136E-2</v>
      </c>
      <c r="CZ159">
        <v>1.1117217855409803E-3</v>
      </c>
      <c r="DA159">
        <v>0</v>
      </c>
      <c r="DB159">
        <v>5.3475144330249295E-3</v>
      </c>
      <c r="DC159">
        <v>2.2906925351627596E-3</v>
      </c>
      <c r="DD159">
        <v>0</v>
      </c>
      <c r="DE159">
        <v>5.5484108956106648E-3</v>
      </c>
      <c r="DF159">
        <v>0</v>
      </c>
      <c r="DG159">
        <v>1.2747618375276198E-2</v>
      </c>
      <c r="DH159">
        <v>0</v>
      </c>
      <c r="DI159">
        <v>1.0601807689829879E-9</v>
      </c>
      <c r="DJ159">
        <v>0</v>
      </c>
      <c r="DK159">
        <v>1.7032936320102142E-3</v>
      </c>
      <c r="DL159">
        <v>0</v>
      </c>
      <c r="DM159">
        <v>6.269355406916087E-2</v>
      </c>
      <c r="DN159">
        <v>0</v>
      </c>
      <c r="DO159">
        <v>2.7557684052299188E-2</v>
      </c>
      <c r="DP159">
        <v>1.0276196547814186E-2</v>
      </c>
      <c r="DQ159">
        <v>7.9741870910949048E-3</v>
      </c>
      <c r="DR159">
        <v>9.8660936233938828E-3</v>
      </c>
      <c r="DS159">
        <v>5.0869032815401638E-3</v>
      </c>
      <c r="DT159">
        <v>1.0265566589157601E-3</v>
      </c>
      <c r="DU159">
        <v>1.1611185405718403E-2</v>
      </c>
      <c r="DV159">
        <v>1.6116708574514867E-3</v>
      </c>
      <c r="DW159">
        <v>2.7490260836559926E-3</v>
      </c>
      <c r="DX159">
        <v>1.4433162198728047E-2</v>
      </c>
      <c r="DY159">
        <v>1.2750657683443225E-8</v>
      </c>
      <c r="DZ159">
        <v>0</v>
      </c>
      <c r="EA159">
        <v>1.8219907732681825E-2</v>
      </c>
      <c r="EB159">
        <v>7.6166548945278594E-3</v>
      </c>
      <c r="EC159">
        <v>7.473549562589082E-4</v>
      </c>
      <c r="ED159">
        <v>4.7729599616062962E-2</v>
      </c>
      <c r="EE159">
        <v>3.4532885005235617E-2</v>
      </c>
      <c r="EF159">
        <v>4.7379417916872434E-3</v>
      </c>
      <c r="EG159">
        <v>6.4804265542131159E-2</v>
      </c>
      <c r="EH159">
        <v>2.5985071286541487E-2</v>
      </c>
      <c r="EI159">
        <v>0</v>
      </c>
      <c r="EJ159">
        <v>0</v>
      </c>
      <c r="EK159">
        <v>0</v>
      </c>
      <c r="EL159">
        <v>4.7819106636973223E-3</v>
      </c>
      <c r="EM159">
        <v>7.6264399424356907E-3</v>
      </c>
      <c r="EN159">
        <v>1.2548748933001974E-2</v>
      </c>
      <c r="EO159">
        <v>1.28524040963815E-2</v>
      </c>
      <c r="EP159">
        <v>1.28524040963815E-2</v>
      </c>
      <c r="EQ159">
        <v>1.2852404096381501E-2</v>
      </c>
      <c r="ER159">
        <v>0</v>
      </c>
      <c r="ES159">
        <v>1.2852404096381501E-2</v>
      </c>
      <c r="ET159">
        <v>1.28524040963815E-2</v>
      </c>
      <c r="EU159">
        <v>9.5314629951548137E-3</v>
      </c>
      <c r="EV159">
        <v>2.6287580207910465E-3</v>
      </c>
      <c r="EW159">
        <v>1.910082386174998E-2</v>
      </c>
      <c r="EX159">
        <v>0</v>
      </c>
      <c r="EY159">
        <v>1.0394729910731192E-9</v>
      </c>
      <c r="EZ159">
        <v>1.478367315269639E-8</v>
      </c>
      <c r="FA159">
        <v>1.1744533965213154E-10</v>
      </c>
      <c r="FB159">
        <v>2.2575518749796291E-10</v>
      </c>
      <c r="FC159">
        <v>3.3302280025704479E-3</v>
      </c>
      <c r="FD159">
        <v>2.4702678962258137E-4</v>
      </c>
      <c r="FE159">
        <v>4.2807493978214073E-3</v>
      </c>
      <c r="FF159">
        <v>1.5464517616950487E-8</v>
      </c>
      <c r="FG159">
        <v>1.043497290720827E-9</v>
      </c>
      <c r="FH159">
        <v>1.8005485615979154E-3</v>
      </c>
      <c r="FI159">
        <v>2.787550830612692E-9</v>
      </c>
      <c r="FJ159">
        <v>3.0293466671461611E-9</v>
      </c>
      <c r="FK159">
        <v>1.4316169126629257E-10</v>
      </c>
      <c r="FL159">
        <v>1.1417576342448344E-2</v>
      </c>
      <c r="FM159">
        <v>1.2191875152645547E-2</v>
      </c>
      <c r="FN159">
        <v>3.2054340605945926E-2</v>
      </c>
      <c r="FO159">
        <v>3.4141855257688526E-3</v>
      </c>
      <c r="FP159">
        <v>3.8817088869027398E-2</v>
      </c>
      <c r="FQ159">
        <v>3.5753664597698814E-3</v>
      </c>
      <c r="FR159">
        <v>1.1504761856013394E-2</v>
      </c>
      <c r="FS159">
        <v>2.5259437379829087E-2</v>
      </c>
      <c r="FT159">
        <v>8.9079872186633019E-2</v>
      </c>
      <c r="FU159">
        <v>2.3855830250675121E-2</v>
      </c>
      <c r="FV159">
        <v>6.9979264333227154E-2</v>
      </c>
      <c r="FW159">
        <v>5.5099847428730642E-3</v>
      </c>
      <c r="FX159">
        <v>6.6200185480331944E-3</v>
      </c>
      <c r="FY159">
        <v>2.6217366203157941E-2</v>
      </c>
      <c r="FZ159">
        <v>3.1147198964967322E-2</v>
      </c>
      <c r="GA159">
        <v>6.8783745485019605E-3</v>
      </c>
      <c r="GB159">
        <v>7.9068211716027646E-3</v>
      </c>
      <c r="GC159">
        <v>7.9616820503029609E-3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3.1715183801860364E-2</v>
      </c>
      <c r="GJ159">
        <v>2.5833980920984198E-2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0.11194046920045581</v>
      </c>
      <c r="GR159">
        <v>1.4379581709771409E-2</v>
      </c>
      <c r="GS159">
        <v>0.44204044216794319</v>
      </c>
      <c r="GT159">
        <v>5.1415425212566535E-4</v>
      </c>
      <c r="GU159">
        <v>0</v>
      </c>
    </row>
    <row r="160" spans="1:203">
      <c r="A160" t="s">
        <v>298</v>
      </c>
      <c r="B160">
        <v>157</v>
      </c>
      <c r="C160" t="s">
        <v>22</v>
      </c>
      <c r="D160">
        <v>6.4650232051409253E-6</v>
      </c>
      <c r="E160">
        <v>0</v>
      </c>
      <c r="F160">
        <v>9.4567888497730763E-6</v>
      </c>
      <c r="G160">
        <v>1.2919293706612303E-4</v>
      </c>
      <c r="H160">
        <v>1.5041452424752251E-5</v>
      </c>
      <c r="I160">
        <v>0</v>
      </c>
      <c r="J160">
        <v>0</v>
      </c>
      <c r="K160">
        <v>1.591983385620085E-4</v>
      </c>
      <c r="L160">
        <v>3.8697554899167249E-7</v>
      </c>
      <c r="M160">
        <v>6.0133825452239129E-7</v>
      </c>
      <c r="N160">
        <v>3.4966310876726156E-6</v>
      </c>
      <c r="O160">
        <v>1.3732804020430778E-5</v>
      </c>
      <c r="P160">
        <v>2.907618672169326E-6</v>
      </c>
      <c r="Q160">
        <v>2.0800362903118345E-6</v>
      </c>
      <c r="R160">
        <v>0</v>
      </c>
      <c r="S160">
        <v>0</v>
      </c>
      <c r="T160">
        <v>0</v>
      </c>
      <c r="U160">
        <v>4.6491297322544684E-4</v>
      </c>
      <c r="V160">
        <v>3.6686151608802286E-4</v>
      </c>
      <c r="W160">
        <v>1.9340573583390365E-3</v>
      </c>
      <c r="X160">
        <v>0</v>
      </c>
      <c r="Y160">
        <v>0</v>
      </c>
      <c r="Z160">
        <v>0</v>
      </c>
      <c r="AA160">
        <v>1.9340573583390365E-3</v>
      </c>
      <c r="AB160">
        <v>0</v>
      </c>
      <c r="AC160">
        <v>0</v>
      </c>
      <c r="AD160">
        <v>0</v>
      </c>
      <c r="AE160">
        <v>8.8658294216373978E-5</v>
      </c>
      <c r="AF160">
        <v>5.6423439012462289E-8</v>
      </c>
      <c r="AG160">
        <v>0</v>
      </c>
      <c r="AH160">
        <v>0</v>
      </c>
      <c r="AI160">
        <v>2.9161729197722894E-4</v>
      </c>
      <c r="AJ160">
        <v>3.5637970943541215E-2</v>
      </c>
      <c r="AK160">
        <v>9.0439319556343727E-4</v>
      </c>
      <c r="AL160">
        <v>1.1469911849031187E-8</v>
      </c>
      <c r="AM160">
        <v>0</v>
      </c>
      <c r="AN160">
        <v>5.3227021767473512E-8</v>
      </c>
      <c r="AO160">
        <v>1.0755207252796744E-6</v>
      </c>
      <c r="AP160">
        <v>2.8103280564972858E-2</v>
      </c>
      <c r="AQ160">
        <v>2.5575578430782727E-8</v>
      </c>
      <c r="AR160">
        <v>1.5704562426444159E-9</v>
      </c>
      <c r="AS160">
        <v>2.1973051572314804E-2</v>
      </c>
      <c r="AT160">
        <v>5.6849489005606648E-5</v>
      </c>
      <c r="AU160">
        <v>2.4271771244063187E-4</v>
      </c>
      <c r="AV160">
        <v>1.9275414569880527E-4</v>
      </c>
      <c r="AW160">
        <v>1.6574865237013372E-3</v>
      </c>
      <c r="AX160">
        <v>0</v>
      </c>
      <c r="AY160">
        <v>0</v>
      </c>
      <c r="AZ160">
        <v>3.385908097957025E-4</v>
      </c>
      <c r="BA160">
        <v>2.3628601421884017E-3</v>
      </c>
      <c r="BB160">
        <v>1.431207983256897E-3</v>
      </c>
      <c r="BC160">
        <v>7.0790461247657031E-4</v>
      </c>
      <c r="BD160">
        <v>0</v>
      </c>
      <c r="BE160">
        <v>0</v>
      </c>
      <c r="BF160">
        <v>4.6526230967735969E-4</v>
      </c>
      <c r="BG160">
        <v>1.0525132951751562E-3</v>
      </c>
      <c r="BH160">
        <v>0</v>
      </c>
      <c r="BI160">
        <v>4.5610889656318534E-4</v>
      </c>
      <c r="BJ160">
        <v>0</v>
      </c>
      <c r="BK160">
        <v>2.794507165980582E-3</v>
      </c>
      <c r="BL160">
        <v>0</v>
      </c>
      <c r="BM160">
        <v>2.3240025996596443E-3</v>
      </c>
      <c r="BN160">
        <v>4.9319146944594276E-4</v>
      </c>
      <c r="BO160">
        <v>8.168947867842849E-3</v>
      </c>
      <c r="BP160">
        <v>0</v>
      </c>
      <c r="BQ160">
        <v>8.168947867842849E-3</v>
      </c>
      <c r="BR160">
        <v>1.2334362801257376E-4</v>
      </c>
      <c r="BS160">
        <v>0</v>
      </c>
      <c r="BT160">
        <v>0</v>
      </c>
      <c r="BU160">
        <v>1.2334362801257376E-4</v>
      </c>
      <c r="BV160">
        <v>1.2334362801257376E-4</v>
      </c>
      <c r="BW160">
        <v>1.2334362801257376E-4</v>
      </c>
      <c r="BX160">
        <v>1.2334362801257376E-4</v>
      </c>
      <c r="BY160">
        <v>1.2334362801257376E-4</v>
      </c>
      <c r="BZ160">
        <v>1.2334362801257374E-4</v>
      </c>
      <c r="CA160">
        <v>1.2334362801257376E-4</v>
      </c>
      <c r="CB160">
        <v>0</v>
      </c>
      <c r="CC160">
        <v>1.2334362801257376E-4</v>
      </c>
      <c r="CD160">
        <v>1.2334362801257376E-4</v>
      </c>
      <c r="CE160">
        <v>1.2334362801257376E-4</v>
      </c>
      <c r="CF160">
        <v>1.2334362801257376E-4</v>
      </c>
      <c r="CG160">
        <v>1.2334362801257376E-4</v>
      </c>
      <c r="CH160">
        <v>1.2334362801257376E-4</v>
      </c>
      <c r="CI160">
        <v>1.2334362801257376E-4</v>
      </c>
      <c r="CJ160">
        <v>2.0607040138328572E-4</v>
      </c>
      <c r="CK160">
        <v>1.2787161138801207E-3</v>
      </c>
      <c r="CL160">
        <v>0</v>
      </c>
      <c r="CM160">
        <v>3.1537226773164367E-3</v>
      </c>
      <c r="CN160">
        <v>4.4806151153882687E-3</v>
      </c>
      <c r="CO160">
        <v>1.3942295805084399E-2</v>
      </c>
      <c r="CP160">
        <v>0</v>
      </c>
      <c r="CQ160">
        <v>1.3942295805084399E-2</v>
      </c>
      <c r="CR160">
        <v>0</v>
      </c>
      <c r="CS160">
        <v>1.3942295805084401E-2</v>
      </c>
      <c r="CT160">
        <v>0</v>
      </c>
      <c r="CU160">
        <v>8.9255841154285904E-4</v>
      </c>
      <c r="CV160">
        <v>0</v>
      </c>
      <c r="CW160">
        <v>0</v>
      </c>
      <c r="CX160">
        <v>1.5087065165480065E-3</v>
      </c>
      <c r="CY160">
        <v>2.172926578956752E-2</v>
      </c>
      <c r="CZ160">
        <v>3.1564944380381593E-3</v>
      </c>
      <c r="DA160">
        <v>0</v>
      </c>
      <c r="DB160">
        <v>2.5210133267311006E-2</v>
      </c>
      <c r="DC160">
        <v>1.0133872541848181E-2</v>
      </c>
      <c r="DD160">
        <v>0</v>
      </c>
      <c r="DE160">
        <v>5.030324571028284E-4</v>
      </c>
      <c r="DF160">
        <v>0</v>
      </c>
      <c r="DG160">
        <v>9.6658190312760861E-4</v>
      </c>
      <c r="DH160">
        <v>0</v>
      </c>
      <c r="DI160">
        <v>1.2389580368646598E-9</v>
      </c>
      <c r="DJ160">
        <v>0</v>
      </c>
      <c r="DK160">
        <v>4.3162825553924459E-4</v>
      </c>
      <c r="DL160">
        <v>0</v>
      </c>
      <c r="DM160">
        <v>8.8203240471994261E-4</v>
      </c>
      <c r="DN160">
        <v>0</v>
      </c>
      <c r="DO160">
        <v>0</v>
      </c>
      <c r="DP160">
        <v>2.4584077698441794E-3</v>
      </c>
      <c r="DQ160">
        <v>6.7834288228553442E-4</v>
      </c>
      <c r="DR160">
        <v>2.2746365043949164E-4</v>
      </c>
      <c r="DS160">
        <v>4.6644119098051613E-4</v>
      </c>
      <c r="DT160">
        <v>1.5019999870651197E-4</v>
      </c>
      <c r="DU160">
        <v>2.8824143552219042E-4</v>
      </c>
      <c r="DV160">
        <v>1.5085239550320102E-3</v>
      </c>
      <c r="DW160">
        <v>1.3390640250057496E-4</v>
      </c>
      <c r="DX160">
        <v>5.0973585912875212E-5</v>
      </c>
      <c r="DY160">
        <v>9.9041835930072509E-13</v>
      </c>
      <c r="DZ160">
        <v>0</v>
      </c>
      <c r="EA160">
        <v>7.0621684795672384E-5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3.7739567398541412E-5</v>
      </c>
      <c r="EV160">
        <v>2.8453225294297358E-5</v>
      </c>
      <c r="EW160">
        <v>3.9222180999699561E-5</v>
      </c>
      <c r="EX160">
        <v>0</v>
      </c>
      <c r="EY160">
        <v>1.0631042073278556E-9</v>
      </c>
      <c r="EZ160">
        <v>1.657861413987672E-8</v>
      </c>
      <c r="FA160">
        <v>1.3451791731989302E-10</v>
      </c>
      <c r="FB160">
        <v>2.5570717991606664E-10</v>
      </c>
      <c r="FC160">
        <v>2.0415377448865989E-4</v>
      </c>
      <c r="FD160">
        <v>1.5038850949712281E-3</v>
      </c>
      <c r="FE160">
        <v>2.1240307665824139E-5</v>
      </c>
      <c r="FF160">
        <v>3.7708940534676265E-8</v>
      </c>
      <c r="FG160">
        <v>1.4766870134143126E-9</v>
      </c>
      <c r="FH160">
        <v>6.3331663698665622E-4</v>
      </c>
      <c r="FI160">
        <v>0</v>
      </c>
      <c r="FJ160">
        <v>6.1157577472109581E-4</v>
      </c>
      <c r="FK160">
        <v>2.1675489548379436E-10</v>
      </c>
      <c r="FL160">
        <v>1.3140162577353082E-3</v>
      </c>
      <c r="FM160">
        <v>4.2310788335454584E-3</v>
      </c>
      <c r="FN160">
        <v>3.9421611541168508E-3</v>
      </c>
      <c r="FO160">
        <v>5.4701501560608325E-4</v>
      </c>
      <c r="FP160">
        <v>0</v>
      </c>
      <c r="FQ160">
        <v>3.7225097635722008E-3</v>
      </c>
      <c r="FR160">
        <v>3.206354815119218E-3</v>
      </c>
      <c r="FS160">
        <v>2.3957752463665883E-3</v>
      </c>
      <c r="FT160">
        <v>3.2956389581148418E-3</v>
      </c>
      <c r="FU160">
        <v>2.1547570724601305E-3</v>
      </c>
      <c r="FV160">
        <v>7.9117192508767217E-4</v>
      </c>
      <c r="FW160">
        <v>1.3659124491995077E-2</v>
      </c>
      <c r="FX160">
        <v>1.3705504875663254E-2</v>
      </c>
      <c r="FY160">
        <v>1.3552541596361285E-2</v>
      </c>
      <c r="FZ160">
        <v>1.3206543513924435E-2</v>
      </c>
      <c r="GA160">
        <v>1.3769619482072526E-2</v>
      </c>
      <c r="GB160">
        <v>1.3743974039109638E-2</v>
      </c>
      <c r="GC160">
        <v>1.3668621815270168E-2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1.2060179626964077E-2</v>
      </c>
      <c r="GJ160">
        <v>1.244373649273622E-2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5.3426827619586928E-3</v>
      </c>
      <c r="GR160">
        <v>5.9283419564273312E-4</v>
      </c>
      <c r="GS160">
        <v>8.1697271705411439E-5</v>
      </c>
      <c r="GT160">
        <v>0</v>
      </c>
      <c r="GU160">
        <v>0</v>
      </c>
    </row>
    <row r="161" spans="1:203">
      <c r="A161" t="s">
        <v>299</v>
      </c>
      <c r="B161">
        <v>158</v>
      </c>
      <c r="C161" t="s">
        <v>22</v>
      </c>
      <c r="D161">
        <v>1.0276106949377161E-3</v>
      </c>
      <c r="E161">
        <v>7.7565292938938483E-4</v>
      </c>
      <c r="F161">
        <v>1.0730883929683049E-3</v>
      </c>
      <c r="G161">
        <v>1.1698996273290215E-3</v>
      </c>
      <c r="H161">
        <v>1.1748755009229771E-3</v>
      </c>
      <c r="I161">
        <v>0</v>
      </c>
      <c r="J161">
        <v>0</v>
      </c>
      <c r="K161">
        <v>1.6966874542881129E-3</v>
      </c>
      <c r="L161">
        <v>1.6076426466834067E-3</v>
      </c>
      <c r="M161">
        <v>1.5517732188434408E-3</v>
      </c>
      <c r="N161">
        <v>1.857270990367084E-3</v>
      </c>
      <c r="O161">
        <v>1.1109507261679685E-3</v>
      </c>
      <c r="P161">
        <v>1.5675655278651012E-3</v>
      </c>
      <c r="Q161">
        <v>1.1252889931545628E-3</v>
      </c>
      <c r="R161">
        <v>0</v>
      </c>
      <c r="S161">
        <v>0</v>
      </c>
      <c r="T161">
        <v>0</v>
      </c>
      <c r="U161">
        <v>4.6189701364208243E-3</v>
      </c>
      <c r="V161">
        <v>4.0622727483013189E-3</v>
      </c>
      <c r="W161">
        <v>1.8183477001347314E-4</v>
      </c>
      <c r="X161">
        <v>0</v>
      </c>
      <c r="Y161">
        <v>0</v>
      </c>
      <c r="Z161">
        <v>0</v>
      </c>
      <c r="AA161">
        <v>1.8183477001347312E-4</v>
      </c>
      <c r="AB161">
        <v>0</v>
      </c>
      <c r="AC161">
        <v>0</v>
      </c>
      <c r="AD161">
        <v>0</v>
      </c>
      <c r="AE161">
        <v>3.2002471969567252E-5</v>
      </c>
      <c r="AF161">
        <v>5.1917628918183181E-8</v>
      </c>
      <c r="AG161">
        <v>0</v>
      </c>
      <c r="AH161">
        <v>0</v>
      </c>
      <c r="AI161">
        <v>1.7162295363107798E-5</v>
      </c>
      <c r="AJ161">
        <v>8.1126684395225451E-3</v>
      </c>
      <c r="AK161">
        <v>7.1177960113505824E-4</v>
      </c>
      <c r="AL161">
        <v>1.1029122960152933E-8</v>
      </c>
      <c r="AM161">
        <v>0</v>
      </c>
      <c r="AN161">
        <v>5.1046873350260203E-8</v>
      </c>
      <c r="AO161">
        <v>1.0108483974469694E-6</v>
      </c>
      <c r="AP161">
        <v>1.6377916795464814E-3</v>
      </c>
      <c r="AQ161">
        <v>1.8155388465296556E-8</v>
      </c>
      <c r="AR161">
        <v>1.5218176854051964E-9</v>
      </c>
      <c r="AS161">
        <v>1.8805923302336793E-2</v>
      </c>
      <c r="AT161">
        <v>1.165723508049455E-3</v>
      </c>
      <c r="AU161">
        <v>6.2359132112115977E-3</v>
      </c>
      <c r="AV161">
        <v>4.8341067906785707E-3</v>
      </c>
      <c r="AW161">
        <v>3.7780903293930523E-2</v>
      </c>
      <c r="AX161">
        <v>2.6232053604038189E-2</v>
      </c>
      <c r="AY161">
        <v>3.8321072455358388E-2</v>
      </c>
      <c r="AZ161">
        <v>2.7154640233257869E-2</v>
      </c>
      <c r="BA161">
        <v>4.1128568923855031E-2</v>
      </c>
      <c r="BB161">
        <v>3.7322617862886306E-2</v>
      </c>
      <c r="BC161">
        <v>5.0354885595084414E-2</v>
      </c>
      <c r="BD161">
        <v>4.2634616235164097E-2</v>
      </c>
      <c r="BE161">
        <v>1.3194679708880984E-2</v>
      </c>
      <c r="BF161">
        <v>1.2154020120549945E-2</v>
      </c>
      <c r="BG161">
        <v>1.1005709047387702E-2</v>
      </c>
      <c r="BH161">
        <v>1.4103210639321228E-2</v>
      </c>
      <c r="BI161">
        <v>3.8250748766063658E-2</v>
      </c>
      <c r="BJ161">
        <v>0</v>
      </c>
      <c r="BK161">
        <v>0.13222887399789013</v>
      </c>
      <c r="BL161">
        <v>0</v>
      </c>
      <c r="BM161">
        <v>3.2109849086943656E-2</v>
      </c>
      <c r="BN161">
        <v>2.6213073708288705E-2</v>
      </c>
      <c r="BO161">
        <v>1.1953331697666604E-2</v>
      </c>
      <c r="BP161">
        <v>0</v>
      </c>
      <c r="BQ161">
        <v>1.1953331697666604E-2</v>
      </c>
      <c r="BR161">
        <v>2.7191967518337399E-3</v>
      </c>
      <c r="BS161">
        <v>0</v>
      </c>
      <c r="BT161">
        <v>0</v>
      </c>
      <c r="BU161">
        <v>2.7191967518337399E-3</v>
      </c>
      <c r="BV161">
        <v>2.7191967518337403E-3</v>
      </c>
      <c r="BW161">
        <v>2.7191967518337403E-3</v>
      </c>
      <c r="BX161">
        <v>2.7191967518337399E-3</v>
      </c>
      <c r="BY161">
        <v>2.7191967518337403E-3</v>
      </c>
      <c r="BZ161">
        <v>2.7191967518337403E-3</v>
      </c>
      <c r="CA161">
        <v>2.7191967518337403E-3</v>
      </c>
      <c r="CB161">
        <v>0</v>
      </c>
      <c r="CC161">
        <v>2.7191967518337403E-3</v>
      </c>
      <c r="CD161">
        <v>2.7191967518337399E-3</v>
      </c>
      <c r="CE161">
        <v>2.7191967518337403E-3</v>
      </c>
      <c r="CF161">
        <v>2.7191967518337399E-3</v>
      </c>
      <c r="CG161">
        <v>2.7191967518337403E-3</v>
      </c>
      <c r="CH161">
        <v>2.7191967518337403E-3</v>
      </c>
      <c r="CI161">
        <v>2.7191967518337399E-3</v>
      </c>
      <c r="CJ161">
        <v>1.9284128986457475E-4</v>
      </c>
      <c r="CK161">
        <v>2.8441683330575201E-3</v>
      </c>
      <c r="CL161">
        <v>0</v>
      </c>
      <c r="CM161">
        <v>6.6669258551028676E-2</v>
      </c>
      <c r="CN161">
        <v>9.2927825175206646E-2</v>
      </c>
      <c r="CO161">
        <v>6.4248000501632473E-3</v>
      </c>
      <c r="CP161">
        <v>0</v>
      </c>
      <c r="CQ161">
        <v>6.4248000501632473E-3</v>
      </c>
      <c r="CR161">
        <v>0</v>
      </c>
      <c r="CS161">
        <v>6.4248000501632473E-3</v>
      </c>
      <c r="CT161">
        <v>0</v>
      </c>
      <c r="CU161">
        <v>2.2717684844812035E-2</v>
      </c>
      <c r="CV161">
        <v>1.294194399926603E-2</v>
      </c>
      <c r="CW161">
        <v>0</v>
      </c>
      <c r="CX161">
        <v>1.3934098995478631E-2</v>
      </c>
      <c r="CY161">
        <v>7.7698792318536519E-2</v>
      </c>
      <c r="CZ161">
        <v>0.14866848908657221</v>
      </c>
      <c r="DA161">
        <v>0</v>
      </c>
      <c r="DB161">
        <v>8.0016909632668207E-2</v>
      </c>
      <c r="DC161">
        <v>8.5334275170705146E-3</v>
      </c>
      <c r="DD161">
        <v>0</v>
      </c>
      <c r="DE161">
        <v>3.0696086376222746E-3</v>
      </c>
      <c r="DF161">
        <v>0</v>
      </c>
      <c r="DG161">
        <v>1.2412117097500988E-2</v>
      </c>
      <c r="DH161">
        <v>0</v>
      </c>
      <c r="DI161">
        <v>1.2103779251387385E-9</v>
      </c>
      <c r="DJ161">
        <v>0</v>
      </c>
      <c r="DK161">
        <v>7.2512493537526023E-3</v>
      </c>
      <c r="DL161">
        <v>0</v>
      </c>
      <c r="DM161">
        <v>1.5200956171088202E-3</v>
      </c>
      <c r="DN161">
        <v>0</v>
      </c>
      <c r="DO161">
        <v>1.0823099809287187E-2</v>
      </c>
      <c r="DP161">
        <v>1.6349745926484641E-2</v>
      </c>
      <c r="DQ161">
        <v>1.2993285467561358E-2</v>
      </c>
      <c r="DR161">
        <v>2.17647832038642E-3</v>
      </c>
      <c r="DS161">
        <v>7.6558473768159781E-3</v>
      </c>
      <c r="DT161">
        <v>2.5039656519205856E-3</v>
      </c>
      <c r="DU161">
        <v>1.0041463352580337E-2</v>
      </c>
      <c r="DV161">
        <v>2.9291756422648073E-3</v>
      </c>
      <c r="DW161">
        <v>2.9915806439564678E-3</v>
      </c>
      <c r="DX161">
        <v>1.3603083570055661E-2</v>
      </c>
      <c r="DY161">
        <v>1.8982620756771061E-6</v>
      </c>
      <c r="DZ161">
        <v>0</v>
      </c>
      <c r="EA161">
        <v>1.1323995954467887E-3</v>
      </c>
      <c r="EB161">
        <v>7.9464906241570642E-4</v>
      </c>
      <c r="EC161">
        <v>4.3575231770076606E-4</v>
      </c>
      <c r="ED161">
        <v>4.0750240565032509E-4</v>
      </c>
      <c r="EE161">
        <v>4.4859832453301979E-4</v>
      </c>
      <c r="EF161">
        <v>3.580119550560594E-4</v>
      </c>
      <c r="EG161">
        <v>1.7895797694603068E-3</v>
      </c>
      <c r="EH161">
        <v>4.3340200752259485E-4</v>
      </c>
      <c r="EI161">
        <v>0</v>
      </c>
      <c r="EJ161">
        <v>0</v>
      </c>
      <c r="EK161">
        <v>0</v>
      </c>
      <c r="EL161">
        <v>6.3787663366925086E-4</v>
      </c>
      <c r="EM161">
        <v>7.3791842384730822E-4</v>
      </c>
      <c r="EN161">
        <v>7.3135510103748875E-4</v>
      </c>
      <c r="EO161">
        <v>4.5778975274825788E-4</v>
      </c>
      <c r="EP161">
        <v>4.5778975274825777E-4</v>
      </c>
      <c r="EQ161">
        <v>4.5778975274825783E-4</v>
      </c>
      <c r="ER161">
        <v>0</v>
      </c>
      <c r="ES161">
        <v>4.5778975274825788E-4</v>
      </c>
      <c r="ET161">
        <v>4.5778975274825783E-4</v>
      </c>
      <c r="EU161">
        <v>2.4011363053681076E-5</v>
      </c>
      <c r="EV161">
        <v>1.283997080747835E-4</v>
      </c>
      <c r="EW161">
        <v>5.6899346162901602E-3</v>
      </c>
      <c r="EX161">
        <v>0</v>
      </c>
      <c r="EY161">
        <v>1.0597138184312794E-9</v>
      </c>
      <c r="EZ161">
        <v>1.6304163462741088E-8</v>
      </c>
      <c r="FA161">
        <v>1.3182115996979086E-10</v>
      </c>
      <c r="FB161">
        <v>2.510203021248743E-10</v>
      </c>
      <c r="FC161">
        <v>8.8191552330209549E-4</v>
      </c>
      <c r="FD161">
        <v>4.0973561426131383E-5</v>
      </c>
      <c r="FE161">
        <v>1.0831959012469686E-4</v>
      </c>
      <c r="FF161">
        <v>3.2250704461314816E-8</v>
      </c>
      <c r="FG161">
        <v>1.3952004805435674E-9</v>
      </c>
      <c r="FH161">
        <v>3.2829625243060798E-3</v>
      </c>
      <c r="FI161">
        <v>1.2621965700456808E-8</v>
      </c>
      <c r="FJ161">
        <v>8.0276826806054667E-4</v>
      </c>
      <c r="FK161">
        <v>2.0213142226568337E-10</v>
      </c>
      <c r="FL161">
        <v>6.5530397021504238E-3</v>
      </c>
      <c r="FM161">
        <v>1.4802942433053599E-2</v>
      </c>
      <c r="FN161">
        <v>2.9958936977892927E-4</v>
      </c>
      <c r="FO161">
        <v>2.3676921513745655E-3</v>
      </c>
      <c r="FP161">
        <v>1.4281822459077359E-2</v>
      </c>
      <c r="FQ161">
        <v>1.1315406986928091E-2</v>
      </c>
      <c r="FR161">
        <v>6.904788399716936E-3</v>
      </c>
      <c r="FS161">
        <v>7.0351710813490575E-3</v>
      </c>
      <c r="FT161">
        <v>1.1350434781542339E-2</v>
      </c>
      <c r="FU161">
        <v>3.4584616482293091E-3</v>
      </c>
      <c r="FV161">
        <v>6.680827972513668E-3</v>
      </c>
      <c r="FW161">
        <v>3.1181338887136024E-2</v>
      </c>
      <c r="FX161">
        <v>3.1275172914106364E-2</v>
      </c>
      <c r="FY161">
        <v>3.0865109033483759E-2</v>
      </c>
      <c r="FZ161">
        <v>3.0051314944423237E-2</v>
      </c>
      <c r="GA161">
        <v>3.1415843250387938E-2</v>
      </c>
      <c r="GB161">
        <v>3.1353917915908934E-2</v>
      </c>
      <c r="GC161">
        <v>3.1181038332210302E-2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2.7487405638813991E-2</v>
      </c>
      <c r="GJ161">
        <v>2.83838965141269E-2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1.3280009308832458E-2</v>
      </c>
      <c r="GR161">
        <v>5.6250226025597325E-3</v>
      </c>
      <c r="GS161">
        <v>5.4764369100864993E-4</v>
      </c>
      <c r="GT161">
        <v>7.7808266822493535E-7</v>
      </c>
      <c r="GU161">
        <v>0</v>
      </c>
    </row>
    <row r="162" spans="1:203">
      <c r="A162" t="s">
        <v>300</v>
      </c>
      <c r="B162">
        <v>159</v>
      </c>
      <c r="C162" t="s">
        <v>22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1.7697852784337425E-2</v>
      </c>
      <c r="X162">
        <v>0</v>
      </c>
      <c r="Y162">
        <v>0</v>
      </c>
      <c r="Z162">
        <v>0</v>
      </c>
      <c r="AA162">
        <v>1.7697852784337425E-2</v>
      </c>
      <c r="AB162">
        <v>0</v>
      </c>
      <c r="AC162">
        <v>0</v>
      </c>
      <c r="AD162">
        <v>0</v>
      </c>
      <c r="AE162">
        <v>1.4854446653829591E-2</v>
      </c>
      <c r="AF162">
        <v>1.6018941949108392E-3</v>
      </c>
      <c r="AG162">
        <v>0</v>
      </c>
      <c r="AH162">
        <v>0</v>
      </c>
      <c r="AI162">
        <v>7.2274450457778525E-4</v>
      </c>
      <c r="AJ162">
        <v>0.14547308898607106</v>
      </c>
      <c r="AK162">
        <v>4.1877405605653215E-2</v>
      </c>
      <c r="AL162">
        <v>2.3837041737182515E-8</v>
      </c>
      <c r="AM162">
        <v>0</v>
      </c>
      <c r="AN162">
        <v>1.19358329244195E-7</v>
      </c>
      <c r="AO162">
        <v>5.5649009615511146E-6</v>
      </c>
      <c r="AP162">
        <v>6.9606119800230154E-2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2.1294469078075022E-2</v>
      </c>
      <c r="BS162">
        <v>0</v>
      </c>
      <c r="BT162">
        <v>0</v>
      </c>
      <c r="BU162">
        <v>2.1294469078075019E-2</v>
      </c>
      <c r="BV162">
        <v>2.1294469078075022E-2</v>
      </c>
      <c r="BW162">
        <v>2.1294469078075022E-2</v>
      </c>
      <c r="BX162">
        <v>2.1294469078075022E-2</v>
      </c>
      <c r="BY162">
        <v>2.1294469078075026E-2</v>
      </c>
      <c r="BZ162">
        <v>2.1294469078075022E-2</v>
      </c>
      <c r="CA162">
        <v>2.1294469078075026E-2</v>
      </c>
      <c r="CB162">
        <v>0</v>
      </c>
      <c r="CC162">
        <v>2.1294469078075022E-2</v>
      </c>
      <c r="CD162">
        <v>2.1294469078075019E-2</v>
      </c>
      <c r="CE162">
        <v>2.1294469078075022E-2</v>
      </c>
      <c r="CF162">
        <v>2.1294469078075022E-2</v>
      </c>
      <c r="CG162">
        <v>2.1294469078075022E-2</v>
      </c>
      <c r="CH162">
        <v>2.1294469078075022E-2</v>
      </c>
      <c r="CI162">
        <v>2.1294469078075019E-2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3.9722448714050105E-5</v>
      </c>
      <c r="EC162">
        <v>0</v>
      </c>
      <c r="ED162">
        <v>0</v>
      </c>
      <c r="EE162">
        <v>0</v>
      </c>
      <c r="EF162">
        <v>5.3196066069006369E-6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1.9040676121569386E-4</v>
      </c>
      <c r="EP162">
        <v>1.9040676121569384E-4</v>
      </c>
      <c r="EQ162">
        <v>1.9040676121569386E-4</v>
      </c>
      <c r="ER162">
        <v>0</v>
      </c>
      <c r="ES162">
        <v>1.9040676121569386E-4</v>
      </c>
      <c r="ET162">
        <v>1.9040676121569386E-4</v>
      </c>
      <c r="EU162">
        <v>0</v>
      </c>
      <c r="EV162">
        <v>3.4156031413684697E-6</v>
      </c>
      <c r="EW162">
        <v>0</v>
      </c>
      <c r="EX162">
        <v>0</v>
      </c>
      <c r="EY162">
        <v>0</v>
      </c>
      <c r="EZ162">
        <v>2.1327399302163543E-8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4.061167649658088E-2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4.0429486747318187E-2</v>
      </c>
      <c r="GJ162">
        <v>2.7020743188873278E-2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1.2157028628517967E-3</v>
      </c>
      <c r="GR162">
        <v>0</v>
      </c>
      <c r="GS162">
        <v>0</v>
      </c>
      <c r="GT162">
        <v>5.0687359459678065E-5</v>
      </c>
      <c r="GU162">
        <v>0</v>
      </c>
    </row>
    <row r="163" spans="1:203">
      <c r="A163" t="s">
        <v>301</v>
      </c>
      <c r="B163">
        <v>160</v>
      </c>
      <c r="C163" t="s">
        <v>22</v>
      </c>
      <c r="D163">
        <v>4.9305966390433744E-4</v>
      </c>
      <c r="E163">
        <v>4.3856940246726273E-4</v>
      </c>
      <c r="F163">
        <v>5.4598342980440842E-4</v>
      </c>
      <c r="G163">
        <v>3.7039734333784829E-4</v>
      </c>
      <c r="H163">
        <v>3.8777687126263061E-4</v>
      </c>
      <c r="I163">
        <v>0</v>
      </c>
      <c r="J163">
        <v>0</v>
      </c>
      <c r="K163">
        <v>4.3613285879986135E-4</v>
      </c>
      <c r="L163">
        <v>4.0798310589926917E-4</v>
      </c>
      <c r="M163">
        <v>3.3767094154386158E-4</v>
      </c>
      <c r="N163">
        <v>4.7406785235105806E-4</v>
      </c>
      <c r="O163">
        <v>1.9449964913505601E-4</v>
      </c>
      <c r="P163">
        <v>2.6345583296520376E-4</v>
      </c>
      <c r="Q163">
        <v>1.9781381507993654E-4</v>
      </c>
      <c r="R163">
        <v>0</v>
      </c>
      <c r="S163">
        <v>0</v>
      </c>
      <c r="T163">
        <v>0</v>
      </c>
      <c r="U163">
        <v>5.4784509644538054E-5</v>
      </c>
      <c r="V163">
        <v>6.5518795963863379E-3</v>
      </c>
      <c r="W163">
        <v>6.3849098005745505E-6</v>
      </c>
      <c r="X163">
        <v>0</v>
      </c>
      <c r="Y163">
        <v>0</v>
      </c>
      <c r="Z163">
        <v>0</v>
      </c>
      <c r="AA163">
        <v>6.3849098005745505E-6</v>
      </c>
      <c r="AB163">
        <v>0</v>
      </c>
      <c r="AC163">
        <v>0</v>
      </c>
      <c r="AD163">
        <v>0</v>
      </c>
      <c r="AE163">
        <v>4.2865887382440834E-5</v>
      </c>
      <c r="AF163">
        <v>4.426662535890172E-6</v>
      </c>
      <c r="AG163">
        <v>0</v>
      </c>
      <c r="AH163">
        <v>0</v>
      </c>
      <c r="AI163">
        <v>4.0209324277751338E-4</v>
      </c>
      <c r="AJ163">
        <v>1.5896352508111872E-3</v>
      </c>
      <c r="AK163">
        <v>0</v>
      </c>
      <c r="AL163">
        <v>1.1701076143570785E-3</v>
      </c>
      <c r="AM163">
        <v>0</v>
      </c>
      <c r="AN163">
        <v>5.8465028263738966E-4</v>
      </c>
      <c r="AO163">
        <v>0</v>
      </c>
      <c r="AP163">
        <v>8.9190651605213205E-4</v>
      </c>
      <c r="AQ163">
        <v>2.4878061657195483E-4</v>
      </c>
      <c r="AR163">
        <v>1.1281765191412495E-8</v>
      </c>
      <c r="AS163">
        <v>1.7613002780744666E-3</v>
      </c>
      <c r="AT163">
        <v>1.5077282297153857E-4</v>
      </c>
      <c r="AU163">
        <v>2.4662890215849015E-4</v>
      </c>
      <c r="AV163">
        <v>2.3318722390923465E-4</v>
      </c>
      <c r="AW163">
        <v>1.1053093148152356E-3</v>
      </c>
      <c r="AX163">
        <v>1.039810671134643E-2</v>
      </c>
      <c r="AY163">
        <v>6.2811842590844934E-4</v>
      </c>
      <c r="AZ163">
        <v>5.2536879008694519E-2</v>
      </c>
      <c r="BA163">
        <v>5.3008009400644304E-3</v>
      </c>
      <c r="BB163">
        <v>3.8362023662693655E-3</v>
      </c>
      <c r="BC163">
        <v>2.687836359748827E-3</v>
      </c>
      <c r="BD163">
        <v>3.4738555502275164E-3</v>
      </c>
      <c r="BE163">
        <v>3.3355947552225927E-3</v>
      </c>
      <c r="BF163">
        <v>2.341968521805658E-3</v>
      </c>
      <c r="BG163">
        <v>9.9810108496336722E-4</v>
      </c>
      <c r="BH163">
        <v>1.7609425383001624E-3</v>
      </c>
      <c r="BI163">
        <v>8.1261184742229212E-3</v>
      </c>
      <c r="BJ163">
        <v>0</v>
      </c>
      <c r="BK163">
        <v>1.0572303018614854E-2</v>
      </c>
      <c r="BL163">
        <v>0</v>
      </c>
      <c r="BM163">
        <v>1.9475770257558484E-3</v>
      </c>
      <c r="BN163">
        <v>1.6452623080050685E-3</v>
      </c>
      <c r="BO163">
        <v>2.2955112780031619E-2</v>
      </c>
      <c r="BP163">
        <v>0</v>
      </c>
      <c r="BQ163">
        <v>2.2955112780031615E-2</v>
      </c>
      <c r="BR163">
        <v>3.9702245399781009E-3</v>
      </c>
      <c r="BS163">
        <v>0</v>
      </c>
      <c r="BT163">
        <v>0</v>
      </c>
      <c r="BU163">
        <v>3.9702245399781009E-3</v>
      </c>
      <c r="BV163">
        <v>3.9702245399781009E-3</v>
      </c>
      <c r="BW163">
        <v>3.9702245399781009E-3</v>
      </c>
      <c r="BX163">
        <v>3.9702245399781009E-3</v>
      </c>
      <c r="BY163">
        <v>3.9702245399781018E-3</v>
      </c>
      <c r="BZ163">
        <v>3.9702245399781009E-3</v>
      </c>
      <c r="CA163">
        <v>3.9702245399781009E-3</v>
      </c>
      <c r="CB163">
        <v>0</v>
      </c>
      <c r="CC163">
        <v>3.9702245399781009E-3</v>
      </c>
      <c r="CD163">
        <v>3.9702245399781009E-3</v>
      </c>
      <c r="CE163">
        <v>3.9702245399781009E-3</v>
      </c>
      <c r="CF163">
        <v>3.9702245399781009E-3</v>
      </c>
      <c r="CG163">
        <v>3.9702245399781009E-3</v>
      </c>
      <c r="CH163">
        <v>3.9702245399781009E-3</v>
      </c>
      <c r="CI163">
        <v>3.9702245399781009E-3</v>
      </c>
      <c r="CJ163">
        <v>6.7842955516473713E-4</v>
      </c>
      <c r="CK163">
        <v>3.7636178932002337E-4</v>
      </c>
      <c r="CL163">
        <v>0</v>
      </c>
      <c r="CM163">
        <v>5.5367497956939566E-3</v>
      </c>
      <c r="CN163">
        <v>9.2940337105560308E-3</v>
      </c>
      <c r="CO163">
        <v>9.9188447090309902E-4</v>
      </c>
      <c r="CP163">
        <v>0</v>
      </c>
      <c r="CQ163">
        <v>9.9188447090309902E-4</v>
      </c>
      <c r="CR163">
        <v>0</v>
      </c>
      <c r="CS163">
        <v>9.9188447090309924E-4</v>
      </c>
      <c r="CT163">
        <v>0</v>
      </c>
      <c r="CU163">
        <v>1.8123621538805481E-3</v>
      </c>
      <c r="CV163">
        <v>5.3841411549088412E-3</v>
      </c>
      <c r="CW163">
        <v>0</v>
      </c>
      <c r="CX163">
        <v>6.8843113095497788E-3</v>
      </c>
      <c r="CY163">
        <v>6.9074374014662897E-3</v>
      </c>
      <c r="CZ163">
        <v>1.8852831642990661E-2</v>
      </c>
      <c r="DA163">
        <v>0</v>
      </c>
      <c r="DB163">
        <v>1.032785537112622E-2</v>
      </c>
      <c r="DC163">
        <v>2.3006151173934268E-3</v>
      </c>
      <c r="DD163">
        <v>0</v>
      </c>
      <c r="DE163">
        <v>1.9993800552951038E-3</v>
      </c>
      <c r="DF163">
        <v>0</v>
      </c>
      <c r="DG163">
        <v>6.527332811327131E-4</v>
      </c>
      <c r="DH163">
        <v>0</v>
      </c>
      <c r="DI163">
        <v>3.4262450492132448E-9</v>
      </c>
      <c r="DJ163">
        <v>0</v>
      </c>
      <c r="DK163">
        <v>3.5514185997753914E-3</v>
      </c>
      <c r="DL163">
        <v>0</v>
      </c>
      <c r="DM163">
        <v>3.1316118822092393E-4</v>
      </c>
      <c r="DN163">
        <v>0</v>
      </c>
      <c r="DO163">
        <v>1.2908034495679894E-4</v>
      </c>
      <c r="DP163">
        <v>1.4790643841718976E-3</v>
      </c>
      <c r="DQ163">
        <v>2.7900367726611214E-3</v>
      </c>
      <c r="DR163">
        <v>1.3551179924288902E-3</v>
      </c>
      <c r="DS163">
        <v>2.0299011566456012E-3</v>
      </c>
      <c r="DT163">
        <v>8.4267176646204793E-4</v>
      </c>
      <c r="DU163">
        <v>1.3500392840247294E-3</v>
      </c>
      <c r="DV163">
        <v>1.8126477936371756E-3</v>
      </c>
      <c r="DW163">
        <v>1.3177146229770011E-3</v>
      </c>
      <c r="DX163">
        <v>4.0664156672555045E-4</v>
      </c>
      <c r="DY163">
        <v>7.9010582859164375E-12</v>
      </c>
      <c r="DZ163">
        <v>0</v>
      </c>
      <c r="EA163">
        <v>3.1269964713717137E-3</v>
      </c>
      <c r="EB163">
        <v>2.1689540388172587E-3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1.1466515109743802E-5</v>
      </c>
      <c r="EV163">
        <v>8.2261575338141146E-7</v>
      </c>
      <c r="EW163">
        <v>9.3614896583865822E-4</v>
      </c>
      <c r="EX163">
        <v>0</v>
      </c>
      <c r="EY163">
        <v>1.1633609956363298E-9</v>
      </c>
      <c r="EZ163">
        <v>3.07226946540555E-8</v>
      </c>
      <c r="FA163">
        <v>2.9961860993902692E-10</v>
      </c>
      <c r="FB163">
        <v>5.14433209000635E-10</v>
      </c>
      <c r="FC163">
        <v>7.7753213790784771E-5</v>
      </c>
      <c r="FD163">
        <v>4.2047555499976778E-4</v>
      </c>
      <c r="FE163">
        <v>8.8652211560865772E-3</v>
      </c>
      <c r="FF163">
        <v>2.2729031466786315E-2</v>
      </c>
      <c r="FG163">
        <v>0.43842601954234939</v>
      </c>
      <c r="FH163">
        <v>6.5958774676482153E-3</v>
      </c>
      <c r="FI163">
        <v>3.856010908444361E-3</v>
      </c>
      <c r="FJ163">
        <v>5.5714732390588154E-5</v>
      </c>
      <c r="FK163">
        <v>2.6646775799715132E-4</v>
      </c>
      <c r="FL163">
        <v>5.5983679932284719E-5</v>
      </c>
      <c r="FM163">
        <v>1.7947709387452384E-4</v>
      </c>
      <c r="FN163">
        <v>0</v>
      </c>
      <c r="FO163">
        <v>3.0316116440085793E-5</v>
      </c>
      <c r="FP163">
        <v>4.2605629030021276E-4</v>
      </c>
      <c r="FQ163">
        <v>6.6727243326958308E-4</v>
      </c>
      <c r="FR163">
        <v>4.6107668094029589E-4</v>
      </c>
      <c r="FS163">
        <v>7.4183731095676855E-4</v>
      </c>
      <c r="FT163">
        <v>5.0841610772857392E-4</v>
      </c>
      <c r="FU163">
        <v>3.0282319251748608E-4</v>
      </c>
      <c r="FV163">
        <v>3.6644495309813839E-4</v>
      </c>
      <c r="FW163">
        <v>4.9855310168319952E-5</v>
      </c>
      <c r="FX163">
        <v>5.0102154495887447E-5</v>
      </c>
      <c r="FY163">
        <v>5.0267267196104711E-5</v>
      </c>
      <c r="FZ163">
        <v>4.9603087423892269E-5</v>
      </c>
      <c r="GA163">
        <v>5.0415089678716145E-5</v>
      </c>
      <c r="GB163">
        <v>5.0370021261258522E-5</v>
      </c>
      <c r="GC163">
        <v>5.0127347908033237E-5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4.4678273922011655E-5</v>
      </c>
      <c r="GJ163">
        <v>4.5788679500101337E-5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7.2624218981671407E-5</v>
      </c>
      <c r="GR163">
        <v>6.8250222753999778E-4</v>
      </c>
      <c r="GS163">
        <v>2.3162082002473652E-4</v>
      </c>
      <c r="GT163">
        <v>2.0786039803430826E-6</v>
      </c>
      <c r="GU163">
        <v>0</v>
      </c>
    </row>
    <row r="164" spans="1:203">
      <c r="A164" t="s">
        <v>302</v>
      </c>
      <c r="B164">
        <v>161</v>
      </c>
      <c r="C164" t="s">
        <v>22</v>
      </c>
      <c r="D164">
        <v>1.3082541577491952E-5</v>
      </c>
      <c r="E164">
        <v>0</v>
      </c>
      <c r="F164">
        <v>2.80284027678873E-5</v>
      </c>
      <c r="G164">
        <v>3.0112689516432543E-5</v>
      </c>
      <c r="H164">
        <v>1.2056023065809448E-5</v>
      </c>
      <c r="I164">
        <v>0</v>
      </c>
      <c r="J164">
        <v>0</v>
      </c>
      <c r="K164">
        <v>7.899102241678802E-5</v>
      </c>
      <c r="L164">
        <v>5.9913398937965576E-5</v>
      </c>
      <c r="M164">
        <v>6.2587067532878529E-5</v>
      </c>
      <c r="N164">
        <v>7.7823687205753908E-5</v>
      </c>
      <c r="O164">
        <v>3.2580475161901548E-5</v>
      </c>
      <c r="P164">
        <v>6.322503034438875E-5</v>
      </c>
      <c r="Q164">
        <v>4.2027117450940354E-5</v>
      </c>
      <c r="R164">
        <v>0</v>
      </c>
      <c r="S164">
        <v>0</v>
      </c>
      <c r="T164">
        <v>0</v>
      </c>
      <c r="U164">
        <v>9.9534643094429894E-6</v>
      </c>
      <c r="V164">
        <v>2.8935562837788882E-3</v>
      </c>
      <c r="W164">
        <v>1.8857751321856849E-6</v>
      </c>
      <c r="X164">
        <v>0</v>
      </c>
      <c r="Y164">
        <v>0</v>
      </c>
      <c r="Z164">
        <v>0</v>
      </c>
      <c r="AA164">
        <v>1.8857751321856849E-6</v>
      </c>
      <c r="AB164">
        <v>0</v>
      </c>
      <c r="AC164">
        <v>0</v>
      </c>
      <c r="AD164">
        <v>0</v>
      </c>
      <c r="AE164">
        <v>5.7221447541218323E-6</v>
      </c>
      <c r="AF164">
        <v>5.0694630040933065E-8</v>
      </c>
      <c r="AG164">
        <v>0</v>
      </c>
      <c r="AH164">
        <v>0</v>
      </c>
      <c r="AI164">
        <v>1.5397143650775973E-6</v>
      </c>
      <c r="AJ164">
        <v>7.5298071148494452E-4</v>
      </c>
      <c r="AK164">
        <v>0</v>
      </c>
      <c r="AL164">
        <v>1.1122176892146961E-8</v>
      </c>
      <c r="AM164">
        <v>0</v>
      </c>
      <c r="AN164">
        <v>5.148067214907456E-8</v>
      </c>
      <c r="AO164">
        <v>0</v>
      </c>
      <c r="AP164">
        <v>1.4712159632070427E-4</v>
      </c>
      <c r="AQ164">
        <v>1.9106050549380804E-8</v>
      </c>
      <c r="AR164">
        <v>1.5321358332450139E-9</v>
      </c>
      <c r="AS164">
        <v>1.4433308087629802E-4</v>
      </c>
      <c r="AT164">
        <v>2.8146593169181153E-6</v>
      </c>
      <c r="AU164">
        <v>1.4312457705026623E-5</v>
      </c>
      <c r="AV164">
        <v>1.1141898934098272E-5</v>
      </c>
      <c r="AW164">
        <v>1.0348505389797063E-4</v>
      </c>
      <c r="AX164">
        <v>3.1165557356115564E-4</v>
      </c>
      <c r="AY164">
        <v>1.8408403927813418E-4</v>
      </c>
      <c r="AZ164">
        <v>1.2054493024960596E-2</v>
      </c>
      <c r="BA164">
        <v>1.4287741054947083E-3</v>
      </c>
      <c r="BB164">
        <v>3.5210324699054584E-4</v>
      </c>
      <c r="BC164">
        <v>4.101895513143982E-4</v>
      </c>
      <c r="BD164">
        <v>3.1849171951168971E-4</v>
      </c>
      <c r="BE164">
        <v>6.6960828501542853E-5</v>
      </c>
      <c r="BF164">
        <v>9.2190519856446087E-4</v>
      </c>
      <c r="BG164">
        <v>3.6395313296310312E-4</v>
      </c>
      <c r="BH164">
        <v>4.6751395932049437E-4</v>
      </c>
      <c r="BI164">
        <v>4.1816340637085378E-4</v>
      </c>
      <c r="BJ164">
        <v>0</v>
      </c>
      <c r="BK164">
        <v>7.2100819952903498E-4</v>
      </c>
      <c r="BL164">
        <v>0</v>
      </c>
      <c r="BM164">
        <v>1.3488511698115299E-4</v>
      </c>
      <c r="BN164">
        <v>1.507834571250225E-4</v>
      </c>
      <c r="BO164">
        <v>5.8221375188224401E-4</v>
      </c>
      <c r="BP164">
        <v>0</v>
      </c>
      <c r="BQ164">
        <v>5.822137518822439E-4</v>
      </c>
      <c r="BR164">
        <v>1.0554562390334412E-3</v>
      </c>
      <c r="BS164">
        <v>0</v>
      </c>
      <c r="BT164">
        <v>0</v>
      </c>
      <c r="BU164">
        <v>1.0554562390334412E-3</v>
      </c>
      <c r="BV164">
        <v>1.0554562390334412E-3</v>
      </c>
      <c r="BW164">
        <v>1.0554562390334412E-3</v>
      </c>
      <c r="BX164">
        <v>1.0554562390334412E-3</v>
      </c>
      <c r="BY164">
        <v>1.0554562390334412E-3</v>
      </c>
      <c r="BZ164">
        <v>1.055456239033441E-3</v>
      </c>
      <c r="CA164">
        <v>1.0554562390334412E-3</v>
      </c>
      <c r="CB164">
        <v>0</v>
      </c>
      <c r="CC164">
        <v>1.0554562390334412E-3</v>
      </c>
      <c r="CD164">
        <v>1.0554562390334412E-3</v>
      </c>
      <c r="CE164">
        <v>1.0554562390334412E-3</v>
      </c>
      <c r="CF164">
        <v>1.0554562390334412E-3</v>
      </c>
      <c r="CG164">
        <v>1.0554562390334412E-3</v>
      </c>
      <c r="CH164">
        <v>1.0554562390334412E-3</v>
      </c>
      <c r="CI164">
        <v>1.0554562390334412E-3</v>
      </c>
      <c r="CJ164">
        <v>0</v>
      </c>
      <c r="CK164">
        <v>1.709492696019462E-4</v>
      </c>
      <c r="CL164">
        <v>0</v>
      </c>
      <c r="CM164">
        <v>1.4993535056337809E-3</v>
      </c>
      <c r="CN164">
        <v>2.1698870454331873E-3</v>
      </c>
      <c r="CO164">
        <v>3.0955826884755818E-4</v>
      </c>
      <c r="CP164">
        <v>0</v>
      </c>
      <c r="CQ164">
        <v>3.0955826884755824E-4</v>
      </c>
      <c r="CR164">
        <v>0</v>
      </c>
      <c r="CS164">
        <v>3.0955826884755824E-4</v>
      </c>
      <c r="CT164">
        <v>0</v>
      </c>
      <c r="CU164">
        <v>3.8568611071804041E-4</v>
      </c>
      <c r="CV164">
        <v>1.7232864579596161E-3</v>
      </c>
      <c r="CW164">
        <v>0</v>
      </c>
      <c r="CX164">
        <v>1.3892744956777656E-3</v>
      </c>
      <c r="CY164">
        <v>1.1678723756514612E-3</v>
      </c>
      <c r="CZ164">
        <v>2.8708344767360765E-3</v>
      </c>
      <c r="DA164">
        <v>0</v>
      </c>
      <c r="DB164">
        <v>2.8108851850831996E-3</v>
      </c>
      <c r="DC164">
        <v>2.1454249857525952E-4</v>
      </c>
      <c r="DD164">
        <v>0</v>
      </c>
      <c r="DE164">
        <v>8.8762351263604942E-6</v>
      </c>
      <c r="DF164">
        <v>0</v>
      </c>
      <c r="DG164">
        <v>4.2628448118624909E-5</v>
      </c>
      <c r="DH164">
        <v>0</v>
      </c>
      <c r="DI164">
        <v>1.2125803040169525E-9</v>
      </c>
      <c r="DJ164">
        <v>0</v>
      </c>
      <c r="DK164">
        <v>1.7071245549981169E-5</v>
      </c>
      <c r="DL164">
        <v>0</v>
      </c>
      <c r="DM164">
        <v>1.9433098885340093E-6</v>
      </c>
      <c r="DN164">
        <v>0</v>
      </c>
      <c r="DO164">
        <v>2.2360038611400057E-5</v>
      </c>
      <c r="DP164">
        <v>1.4050114836471999E-4</v>
      </c>
      <c r="DQ164">
        <v>3.244676000157928E-4</v>
      </c>
      <c r="DR164">
        <v>3.0143269868651351E-4</v>
      </c>
      <c r="DS164">
        <v>2.3438200169574049E-4</v>
      </c>
      <c r="DT164">
        <v>1.832240943826129E-4</v>
      </c>
      <c r="DU164">
        <v>2.1179930460062595E-4</v>
      </c>
      <c r="DV164">
        <v>1.0377828150835926E-4</v>
      </c>
      <c r="DW164">
        <v>8.5339550765333477E-5</v>
      </c>
      <c r="DX164">
        <v>5.5327708113625916E-5</v>
      </c>
      <c r="DY164">
        <v>1.0750190890518792E-12</v>
      </c>
      <c r="DZ164">
        <v>0</v>
      </c>
      <c r="EA164">
        <v>3.5156948248703045E-4</v>
      </c>
      <c r="EB164">
        <v>2.4667734296044156E-4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2.5314053440204714E-6</v>
      </c>
      <c r="EV164">
        <v>2.4139175259816188E-7</v>
      </c>
      <c r="EW164">
        <v>1.4789505322480203E-4</v>
      </c>
      <c r="EX164">
        <v>0</v>
      </c>
      <c r="EY164">
        <v>1.0604515815700837E-9</v>
      </c>
      <c r="EZ164">
        <v>1.6343023820248634E-8</v>
      </c>
      <c r="FA164">
        <v>1.3240007401646731E-10</v>
      </c>
      <c r="FB164">
        <v>2.5202778385648196E-10</v>
      </c>
      <c r="FC164">
        <v>1.840982908011112E-5</v>
      </c>
      <c r="FD164">
        <v>6.9469671313894687E-5</v>
      </c>
      <c r="FE164">
        <v>2.9603336338295378E-3</v>
      </c>
      <c r="FF164">
        <v>3.3752277210399347E-8</v>
      </c>
      <c r="FG164">
        <v>1.412237454307667E-9</v>
      </c>
      <c r="FH164">
        <v>5.69844370463097E-3</v>
      </c>
      <c r="FI164">
        <v>1.4445603899209178E-8</v>
      </c>
      <c r="FJ164">
        <v>3.0696331350017871E-6</v>
      </c>
      <c r="FK164">
        <v>2.0509336263145469E-10</v>
      </c>
      <c r="FL164">
        <v>8.6685312168916179E-5</v>
      </c>
      <c r="FM164">
        <v>5.1051669022942649E-4</v>
      </c>
      <c r="FN164">
        <v>0</v>
      </c>
      <c r="FO164">
        <v>5.9504537137347597E-6</v>
      </c>
      <c r="FP164">
        <v>2.3720752993506363E-4</v>
      </c>
      <c r="FQ164">
        <v>4.6134649179655542E-4</v>
      </c>
      <c r="FR164">
        <v>4.9585524058676418E-4</v>
      </c>
      <c r="FS164">
        <v>1.5118388881078993E-4</v>
      </c>
      <c r="FT164">
        <v>5.6574476745369605E-4</v>
      </c>
      <c r="FU164">
        <v>2.5021918874936541E-4</v>
      </c>
      <c r="FV164">
        <v>1.014388346836354E-4</v>
      </c>
      <c r="FW164">
        <v>2.6476717591017822E-5</v>
      </c>
      <c r="FX164">
        <v>2.6559996789230083E-5</v>
      </c>
      <c r="FY164">
        <v>2.5515809670146988E-5</v>
      </c>
      <c r="FZ164">
        <v>2.4557189545250662E-5</v>
      </c>
      <c r="GA164">
        <v>2.6009858416662142E-5</v>
      </c>
      <c r="GB164">
        <v>2.6055396041862923E-5</v>
      </c>
      <c r="GC164">
        <v>2.5891852858868109E-5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2.3182795880437522E-5</v>
      </c>
      <c r="GJ164">
        <v>2.4160622085039754E-5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1.7107273385793171E-5</v>
      </c>
      <c r="GR164">
        <v>2.5660474576705712E-4</v>
      </c>
      <c r="GS164">
        <v>2.0043098005222587E-4</v>
      </c>
      <c r="GT164">
        <v>1.0541698893053752E-6</v>
      </c>
      <c r="GU164">
        <v>0</v>
      </c>
    </row>
    <row r="165" spans="1:203">
      <c r="A165" t="s">
        <v>303</v>
      </c>
      <c r="B165">
        <v>162</v>
      </c>
      <c r="C165" t="s">
        <v>22</v>
      </c>
      <c r="D165">
        <v>1.657797358248011E-7</v>
      </c>
      <c r="E165">
        <v>0</v>
      </c>
      <c r="F165">
        <v>0</v>
      </c>
      <c r="G165">
        <v>1.1062483838464323E-4</v>
      </c>
      <c r="H165">
        <v>1.8739644402234022E-5</v>
      </c>
      <c r="I165">
        <v>0</v>
      </c>
      <c r="J165">
        <v>0</v>
      </c>
      <c r="K165">
        <v>6.7698698227284152E-5</v>
      </c>
      <c r="L165">
        <v>4.6239446228743585E-7</v>
      </c>
      <c r="M165">
        <v>6.6746543123664028E-7</v>
      </c>
      <c r="N165">
        <v>0</v>
      </c>
      <c r="O165">
        <v>0</v>
      </c>
      <c r="P165">
        <v>0</v>
      </c>
      <c r="Q165">
        <v>1.893796511519024E-6</v>
      </c>
      <c r="R165">
        <v>0</v>
      </c>
      <c r="S165">
        <v>0</v>
      </c>
      <c r="T165">
        <v>0</v>
      </c>
      <c r="U165">
        <v>4.6291971575219841E-5</v>
      </c>
      <c r="V165">
        <v>4.1763561248206113E-3</v>
      </c>
      <c r="W165">
        <v>6.193176641066651E-6</v>
      </c>
      <c r="X165">
        <v>0</v>
      </c>
      <c r="Y165">
        <v>0</v>
      </c>
      <c r="Z165">
        <v>0</v>
      </c>
      <c r="AA165">
        <v>6.1931766410666502E-6</v>
      </c>
      <c r="AB165">
        <v>0</v>
      </c>
      <c r="AC165">
        <v>0</v>
      </c>
      <c r="AD165">
        <v>0</v>
      </c>
      <c r="AE165">
        <v>2.0322288028826721E-5</v>
      </c>
      <c r="AF165">
        <v>0</v>
      </c>
      <c r="AG165">
        <v>0</v>
      </c>
      <c r="AH165">
        <v>0</v>
      </c>
      <c r="AI165">
        <v>3.0037490860596427E-6</v>
      </c>
      <c r="AJ165">
        <v>1.2854132036869282E-3</v>
      </c>
      <c r="AK165">
        <v>0</v>
      </c>
      <c r="AL165">
        <v>1.3923768877863277E-8</v>
      </c>
      <c r="AM165">
        <v>0</v>
      </c>
      <c r="AN165">
        <v>6.4904883783792009E-8</v>
      </c>
      <c r="AO165">
        <v>1.4865031312696321E-6</v>
      </c>
      <c r="AP165">
        <v>2.6460839214190868E-4</v>
      </c>
      <c r="AQ165">
        <v>5.1134343487134557E-4</v>
      </c>
      <c r="AR165">
        <v>1.7892556271401281E-9</v>
      </c>
      <c r="AS165">
        <v>3.6840850562110208E-3</v>
      </c>
      <c r="AT165">
        <v>2.8460559139643476E-5</v>
      </c>
      <c r="AU165">
        <v>6.4624989023611621E-5</v>
      </c>
      <c r="AV165">
        <v>5.6945238453936743E-5</v>
      </c>
      <c r="AW165">
        <v>2.8454467889653406E-4</v>
      </c>
      <c r="AX165">
        <v>3.4803796230710985E-4</v>
      </c>
      <c r="AY165">
        <v>1.7388767040309131E-4</v>
      </c>
      <c r="AZ165">
        <v>8.1137705468766649E-5</v>
      </c>
      <c r="BA165">
        <v>4.9903810995501519E-4</v>
      </c>
      <c r="BB165">
        <v>1.7086307972907666E-4</v>
      </c>
      <c r="BC165">
        <v>2.2863887085327545E-3</v>
      </c>
      <c r="BD165">
        <v>8.5664403780218671E-3</v>
      </c>
      <c r="BE165">
        <v>8.0207421533056034E-3</v>
      </c>
      <c r="BF165">
        <v>3.3094207698740451E-3</v>
      </c>
      <c r="BG165">
        <v>2.8262083014508371E-3</v>
      </c>
      <c r="BH165">
        <v>5.4605691224545293E-3</v>
      </c>
      <c r="BI165">
        <v>1.0240057192055015E-3</v>
      </c>
      <c r="BJ165">
        <v>0</v>
      </c>
      <c r="BK165">
        <v>9.1255682543311153E-4</v>
      </c>
      <c r="BL165">
        <v>0</v>
      </c>
      <c r="BM165">
        <v>1.1840214031764466E-3</v>
      </c>
      <c r="BN165">
        <v>3.4651791546814192E-3</v>
      </c>
      <c r="BO165">
        <v>1.5273672185950882E-4</v>
      </c>
      <c r="BP165">
        <v>0</v>
      </c>
      <c r="BQ165">
        <v>1.5273672185950882E-4</v>
      </c>
      <c r="BR165">
        <v>6.4342420014466541E-5</v>
      </c>
      <c r="BS165">
        <v>0</v>
      </c>
      <c r="BT165">
        <v>0</v>
      </c>
      <c r="BU165">
        <v>6.4342420014466527E-5</v>
      </c>
      <c r="BV165">
        <v>6.4342420014466541E-5</v>
      </c>
      <c r="BW165">
        <v>6.4342420014466541E-5</v>
      </c>
      <c r="BX165">
        <v>6.4342420014466541E-5</v>
      </c>
      <c r="BY165">
        <v>6.4342420014466541E-5</v>
      </c>
      <c r="BZ165">
        <v>6.4342420014466527E-5</v>
      </c>
      <c r="CA165">
        <v>6.4342420014466541E-5</v>
      </c>
      <c r="CB165">
        <v>0</v>
      </c>
      <c r="CC165">
        <v>6.4342420014466527E-5</v>
      </c>
      <c r="CD165">
        <v>6.4342420014466527E-5</v>
      </c>
      <c r="CE165">
        <v>6.4342420014466541E-5</v>
      </c>
      <c r="CF165">
        <v>6.4342420014466541E-5</v>
      </c>
      <c r="CG165">
        <v>6.4342420014466541E-5</v>
      </c>
      <c r="CH165">
        <v>6.4342420014466541E-5</v>
      </c>
      <c r="CI165">
        <v>6.4342420014466541E-5</v>
      </c>
      <c r="CJ165">
        <v>3.0387267110403926E-4</v>
      </c>
      <c r="CK165">
        <v>1.8940824930173668E-4</v>
      </c>
      <c r="CL165">
        <v>0</v>
      </c>
      <c r="CM165">
        <v>2.1770015787645576E-4</v>
      </c>
      <c r="CN165">
        <v>8.7563904271371917E-4</v>
      </c>
      <c r="CO165">
        <v>2.7707491208087058E-3</v>
      </c>
      <c r="CP165">
        <v>0</v>
      </c>
      <c r="CQ165">
        <v>2.7707491208087058E-3</v>
      </c>
      <c r="CR165">
        <v>0</v>
      </c>
      <c r="CS165">
        <v>2.7707491208087058E-3</v>
      </c>
      <c r="CT165">
        <v>0</v>
      </c>
      <c r="CU165">
        <v>4.9922828912659619E-3</v>
      </c>
      <c r="CV165">
        <v>3.7748632296785243E-3</v>
      </c>
      <c r="CW165">
        <v>0</v>
      </c>
      <c r="CX165">
        <v>1.8310206488913992E-3</v>
      </c>
      <c r="CY165">
        <v>3.0323190516835115E-3</v>
      </c>
      <c r="CZ165">
        <v>7.1716766658444996E-4</v>
      </c>
      <c r="DA165">
        <v>0</v>
      </c>
      <c r="DB165">
        <v>1.7214367754407234E-3</v>
      </c>
      <c r="DC165">
        <v>4.9293596192872906E-4</v>
      </c>
      <c r="DD165">
        <v>0</v>
      </c>
      <c r="DE165">
        <v>1.0568092801530474E-4</v>
      </c>
      <c r="DF165">
        <v>0</v>
      </c>
      <c r="DG165">
        <v>8.0119424032974637E-5</v>
      </c>
      <c r="DH165">
        <v>0</v>
      </c>
      <c r="DI165">
        <v>1.341618953171345E-9</v>
      </c>
      <c r="DJ165">
        <v>0</v>
      </c>
      <c r="DK165">
        <v>4.2346147031345274E-5</v>
      </c>
      <c r="DL165">
        <v>0</v>
      </c>
      <c r="DM165">
        <v>1.6263546204776637E-4</v>
      </c>
      <c r="DN165">
        <v>0</v>
      </c>
      <c r="DO165">
        <v>4.3825042985423034E-4</v>
      </c>
      <c r="DP165">
        <v>4.0032416614714074E-3</v>
      </c>
      <c r="DQ165">
        <v>6.3086912519219494E-3</v>
      </c>
      <c r="DR165">
        <v>7.1008339347016468E-3</v>
      </c>
      <c r="DS165">
        <v>2.252382590076566E-3</v>
      </c>
      <c r="DT165">
        <v>2.0982472291284347E-3</v>
      </c>
      <c r="DU165">
        <v>3.6965987041368076E-3</v>
      </c>
      <c r="DV165">
        <v>6.0446713730926023E-4</v>
      </c>
      <c r="DW165">
        <v>1.9803185661046337E-3</v>
      </c>
      <c r="DX165">
        <v>2.3836217422052329E-3</v>
      </c>
      <c r="DY165">
        <v>3.0682308076429381E-7</v>
      </c>
      <c r="DZ165">
        <v>0</v>
      </c>
      <c r="EA165">
        <v>4.9313181865652936E-5</v>
      </c>
      <c r="EB165">
        <v>3.2669211806071253E-5</v>
      </c>
      <c r="EC165">
        <v>4.6892268636277337E-5</v>
      </c>
      <c r="ED165">
        <v>1.8435879169689722E-5</v>
      </c>
      <c r="EE165">
        <v>9.0158326872927312E-5</v>
      </c>
      <c r="EF165">
        <v>1.5351833263175093E-5</v>
      </c>
      <c r="EG165">
        <v>5.5612962581906079E-5</v>
      </c>
      <c r="EH165">
        <v>0</v>
      </c>
      <c r="EI165">
        <v>0</v>
      </c>
      <c r="EJ165">
        <v>0</v>
      </c>
      <c r="EK165">
        <v>0</v>
      </c>
      <c r="EL165">
        <v>2.1778726028761444E-5</v>
      </c>
      <c r="EM165">
        <v>3.1258398067478229E-5</v>
      </c>
      <c r="EN165">
        <v>3.3894006891654562E-5</v>
      </c>
      <c r="EO165">
        <v>6.6038917170166089E-5</v>
      </c>
      <c r="EP165">
        <v>6.6038917170166075E-5</v>
      </c>
      <c r="EQ165">
        <v>6.6038917170166075E-5</v>
      </c>
      <c r="ER165">
        <v>0</v>
      </c>
      <c r="ES165">
        <v>6.6038917170166075E-5</v>
      </c>
      <c r="ET165">
        <v>6.6038917170166075E-5</v>
      </c>
      <c r="EU165">
        <v>6.0676889799420932E-6</v>
      </c>
      <c r="EV165">
        <v>2.5685947061648918E-6</v>
      </c>
      <c r="EW165">
        <v>9.42092101905081E-4</v>
      </c>
      <c r="EX165">
        <v>0</v>
      </c>
      <c r="EY165">
        <v>1.0781503259465411E-9</v>
      </c>
      <c r="EZ165">
        <v>1.7663948998933435E-8</v>
      </c>
      <c r="FA165">
        <v>1.4526608340749502E-10</v>
      </c>
      <c r="FB165">
        <v>2.7406672286063632E-10</v>
      </c>
      <c r="FC165">
        <v>1.0677864604726098E-4</v>
      </c>
      <c r="FD165">
        <v>1.0393808436698221E-3</v>
      </c>
      <c r="FE165">
        <v>9.2710748397497841E-4</v>
      </c>
      <c r="FF165">
        <v>9.8581208782213279E-4</v>
      </c>
      <c r="FG165">
        <v>2.2033663579637249E-9</v>
      </c>
      <c r="FH165">
        <v>2.8611516603331564E-3</v>
      </c>
      <c r="FI165">
        <v>9.4981254801142917E-2</v>
      </c>
      <c r="FJ165">
        <v>2.2549946395266822E-3</v>
      </c>
      <c r="FK165">
        <v>1.0830675978688009E-9</v>
      </c>
      <c r="FL165">
        <v>6.2058496748152248E-3</v>
      </c>
      <c r="FM165">
        <v>7.9466345392919611E-3</v>
      </c>
      <c r="FN165">
        <v>7.5134206923043092E-3</v>
      </c>
      <c r="FO165">
        <v>3.6181597684896514E-4</v>
      </c>
      <c r="FP165">
        <v>1.2246263139512149E-2</v>
      </c>
      <c r="FQ165">
        <v>1.1518525650730204E-2</v>
      </c>
      <c r="FR165">
        <v>5.2179344867976044E-3</v>
      </c>
      <c r="FS165">
        <v>1.2762511742371538E-2</v>
      </c>
      <c r="FT165">
        <v>8.6991296031602248E-3</v>
      </c>
      <c r="FU165">
        <v>1.5935087053082276E-3</v>
      </c>
      <c r="FV165">
        <v>6.9408149268549389E-4</v>
      </c>
      <c r="FW165">
        <v>9.6991020970473859E-5</v>
      </c>
      <c r="FX165">
        <v>9.7213573101123855E-5</v>
      </c>
      <c r="FY165">
        <v>7.1181131788392436E-5</v>
      </c>
      <c r="FZ165">
        <v>6.3080275707590587E-5</v>
      </c>
      <c r="GA165">
        <v>7.4147589944697009E-5</v>
      </c>
      <c r="GB165">
        <v>7.6693075890499213E-5</v>
      </c>
      <c r="GC165">
        <v>7.5825906599058927E-5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7.9771977028221652E-5</v>
      </c>
      <c r="GJ165">
        <v>9.1961785329713094E-5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1.5920275295926652E-2</v>
      </c>
      <c r="GR165">
        <v>7.6809346201953859E-3</v>
      </c>
      <c r="GS165">
        <v>8.9588048503394871E-4</v>
      </c>
      <c r="GT165">
        <v>1.1728543472825263E-6</v>
      </c>
      <c r="GU165">
        <v>0</v>
      </c>
    </row>
    <row r="166" spans="1:203">
      <c r="A166" t="s">
        <v>304</v>
      </c>
      <c r="B166">
        <v>163</v>
      </c>
      <c r="C166" t="s">
        <v>22</v>
      </c>
      <c r="D166">
        <v>1.0420086782760586E-4</v>
      </c>
      <c r="E166">
        <v>1.7483857214690645E-3</v>
      </c>
      <c r="F166">
        <v>1.7748762546055401E-3</v>
      </c>
      <c r="G166">
        <v>6.0853178544802997E-3</v>
      </c>
      <c r="H166">
        <v>1.2055148724956584E-3</v>
      </c>
      <c r="I166">
        <v>0</v>
      </c>
      <c r="J166">
        <v>0</v>
      </c>
      <c r="K166">
        <v>5.7920371683338676E-3</v>
      </c>
      <c r="L166">
        <v>4.5162127143170801E-5</v>
      </c>
      <c r="M166">
        <v>8.4212138139816913E-5</v>
      </c>
      <c r="N166">
        <v>5.7489840858702766E-3</v>
      </c>
      <c r="O166">
        <v>3.8245299722715533E-3</v>
      </c>
      <c r="P166">
        <v>3.672264438698562E-3</v>
      </c>
      <c r="Q166">
        <v>2.9489974706447674E-4</v>
      </c>
      <c r="R166">
        <v>0</v>
      </c>
      <c r="S166">
        <v>0</v>
      </c>
      <c r="T166">
        <v>0</v>
      </c>
      <c r="U166">
        <v>2.232725868289358E-3</v>
      </c>
      <c r="V166">
        <v>4.0357598173739302E-2</v>
      </c>
      <c r="W166">
        <v>8.8203544685580961E-4</v>
      </c>
      <c r="X166">
        <v>0</v>
      </c>
      <c r="Y166">
        <v>0</v>
      </c>
      <c r="Z166">
        <v>0</v>
      </c>
      <c r="AA166">
        <v>8.8203544685580961E-4</v>
      </c>
      <c r="AB166">
        <v>0</v>
      </c>
      <c r="AC166">
        <v>0</v>
      </c>
      <c r="AD166">
        <v>0</v>
      </c>
      <c r="AE166">
        <v>1.8117646009244118E-5</v>
      </c>
      <c r="AF166">
        <v>7.2725761295033717E-8</v>
      </c>
      <c r="AG166">
        <v>0</v>
      </c>
      <c r="AH166">
        <v>0</v>
      </c>
      <c r="AI166">
        <v>2.2150137136816893E-5</v>
      </c>
      <c r="AJ166">
        <v>2.123296467991081E-3</v>
      </c>
      <c r="AK166">
        <v>0</v>
      </c>
      <c r="AL166">
        <v>1.2984399755713995E-8</v>
      </c>
      <c r="AM166">
        <v>0</v>
      </c>
      <c r="AN166">
        <v>6.0789662998007764E-8</v>
      </c>
      <c r="AO166">
        <v>1.3046690750611563E-6</v>
      </c>
      <c r="AP166">
        <v>2.1139187431556219E-3</v>
      </c>
      <c r="AQ166">
        <v>9.8545503740668288E-4</v>
      </c>
      <c r="AR166">
        <v>1.732037000698326E-9</v>
      </c>
      <c r="AS166">
        <v>7.1007357636121343E-2</v>
      </c>
      <c r="AT166">
        <v>8.662288059704665E-4</v>
      </c>
      <c r="AU166">
        <v>2.4646839317416075E-3</v>
      </c>
      <c r="AV166">
        <v>2.1175236383926288E-3</v>
      </c>
      <c r="AW166">
        <v>1.4098906060924375E-2</v>
      </c>
      <c r="AX166">
        <v>9.4111104902898871E-3</v>
      </c>
      <c r="AY166">
        <v>2.0174461672481922E-2</v>
      </c>
      <c r="AZ166">
        <v>5.3506362224715331E-3</v>
      </c>
      <c r="BA166">
        <v>9.8161628457873185E-3</v>
      </c>
      <c r="BB166">
        <v>1.2894503146221833E-2</v>
      </c>
      <c r="BC166">
        <v>1.3429247948003447E-2</v>
      </c>
      <c r="BD166">
        <v>4.6630536259519441E-2</v>
      </c>
      <c r="BE166">
        <v>9.2256044898021781E-3</v>
      </c>
      <c r="BF166">
        <v>7.0738779629554733E-3</v>
      </c>
      <c r="BG166">
        <v>6.6961855314499451E-3</v>
      </c>
      <c r="BH166">
        <v>5.9042703205675765E-3</v>
      </c>
      <c r="BI166">
        <v>1.1614578826264918E-2</v>
      </c>
      <c r="BJ166">
        <v>0</v>
      </c>
      <c r="BK166">
        <v>1.7111038258068607E-2</v>
      </c>
      <c r="BL166">
        <v>0</v>
      </c>
      <c r="BM166">
        <v>9.8406046050774163E-3</v>
      </c>
      <c r="BN166">
        <v>8.1217190740033775E-3</v>
      </c>
      <c r="BO166">
        <v>1.2925356072283432E-2</v>
      </c>
      <c r="BP166">
        <v>0</v>
      </c>
      <c r="BQ166">
        <v>1.2925356072283432E-2</v>
      </c>
      <c r="BR166">
        <v>1.1780096572123845E-2</v>
      </c>
      <c r="BS166">
        <v>0</v>
      </c>
      <c r="BT166">
        <v>0</v>
      </c>
      <c r="BU166">
        <v>1.1780096572123845E-2</v>
      </c>
      <c r="BV166">
        <v>1.1780096572123845E-2</v>
      </c>
      <c r="BW166">
        <v>1.1780096572123847E-2</v>
      </c>
      <c r="BX166">
        <v>1.1780096572123845E-2</v>
      </c>
      <c r="BY166">
        <v>1.1780096572123845E-2</v>
      </c>
      <c r="BZ166">
        <v>1.1780096572123845E-2</v>
      </c>
      <c r="CA166">
        <v>1.1780096572123845E-2</v>
      </c>
      <c r="CB166">
        <v>0</v>
      </c>
      <c r="CC166">
        <v>1.1780096572123845E-2</v>
      </c>
      <c r="CD166">
        <v>1.1780096572123845E-2</v>
      </c>
      <c r="CE166">
        <v>1.1780096572123847E-2</v>
      </c>
      <c r="CF166">
        <v>1.1780096572123847E-2</v>
      </c>
      <c r="CG166">
        <v>1.1780096572123845E-2</v>
      </c>
      <c r="CH166">
        <v>1.1780096572123845E-2</v>
      </c>
      <c r="CI166">
        <v>1.1780096572123847E-2</v>
      </c>
      <c r="CJ166">
        <v>1.5090514000731001E-2</v>
      </c>
      <c r="CK166">
        <v>3.197916457132789E-4</v>
      </c>
      <c r="CL166">
        <v>0</v>
      </c>
      <c r="CM166">
        <v>1.452122831248439E-2</v>
      </c>
      <c r="CN166">
        <v>2.1437997667396576E-2</v>
      </c>
      <c r="CO166">
        <v>6.6224884069625602E-3</v>
      </c>
      <c r="CP166">
        <v>0</v>
      </c>
      <c r="CQ166">
        <v>6.6224884069625593E-3</v>
      </c>
      <c r="CR166">
        <v>0</v>
      </c>
      <c r="CS166">
        <v>6.622488406962561E-3</v>
      </c>
      <c r="CT166">
        <v>0</v>
      </c>
      <c r="CU166">
        <v>6.7433679990878959E-3</v>
      </c>
      <c r="CV166">
        <v>6.5447641877437986E-3</v>
      </c>
      <c r="CW166">
        <v>0</v>
      </c>
      <c r="CX166">
        <v>8.1139342629406429E-3</v>
      </c>
      <c r="CY166">
        <v>2.6354870454153956E-2</v>
      </c>
      <c r="CZ166">
        <v>2.5306787973877587E-2</v>
      </c>
      <c r="DA166">
        <v>0</v>
      </c>
      <c r="DB166">
        <v>3.3775879281210841E-2</v>
      </c>
      <c r="DC166">
        <v>5.0228064211297972E-3</v>
      </c>
      <c r="DD166">
        <v>0</v>
      </c>
      <c r="DE166">
        <v>7.1360465581989021E-3</v>
      </c>
      <c r="DF166">
        <v>0</v>
      </c>
      <c r="DG166">
        <v>5.4051334225157059E-3</v>
      </c>
      <c r="DH166">
        <v>0</v>
      </c>
      <c r="DI166">
        <v>1.331406401718221E-9</v>
      </c>
      <c r="DJ166">
        <v>0</v>
      </c>
      <c r="DK166">
        <v>2.8034470434112608E-3</v>
      </c>
      <c r="DL166">
        <v>0</v>
      </c>
      <c r="DM166">
        <v>1.1560927023690576E-2</v>
      </c>
      <c r="DN166">
        <v>0</v>
      </c>
      <c r="DO166">
        <v>2.3786181620101009E-2</v>
      </c>
      <c r="DP166">
        <v>5.7856554763486391E-3</v>
      </c>
      <c r="DQ166">
        <v>5.3264786984392187E-3</v>
      </c>
      <c r="DR166">
        <v>5.2470812271978931E-3</v>
      </c>
      <c r="DS166">
        <v>4.6690599129255066E-3</v>
      </c>
      <c r="DT166">
        <v>5.066405538750607E-3</v>
      </c>
      <c r="DU166">
        <v>5.5599157112898069E-3</v>
      </c>
      <c r="DV166">
        <v>3.2836864294837126E-3</v>
      </c>
      <c r="DW166">
        <v>2.9976380281624962E-3</v>
      </c>
      <c r="DX166">
        <v>5.3500674216549566E-3</v>
      </c>
      <c r="DY166">
        <v>7.1401654911746405E-6</v>
      </c>
      <c r="DZ166">
        <v>0</v>
      </c>
      <c r="EA166">
        <v>1.1611114502764924E-3</v>
      </c>
      <c r="EB166">
        <v>8.011726096517624E-4</v>
      </c>
      <c r="EC166">
        <v>5.2003514824869039E-5</v>
      </c>
      <c r="ED166">
        <v>2.5254669596957128E-4</v>
      </c>
      <c r="EE166">
        <v>2.7601898218454886E-4</v>
      </c>
      <c r="EF166">
        <v>4.0286497067739763E-4</v>
      </c>
      <c r="EG166">
        <v>1.984545904993315E-3</v>
      </c>
      <c r="EH166">
        <v>2.6606315993486383E-4</v>
      </c>
      <c r="EI166">
        <v>0</v>
      </c>
      <c r="EJ166">
        <v>0</v>
      </c>
      <c r="EK166">
        <v>0</v>
      </c>
      <c r="EL166">
        <v>3.7066313748721467E-4</v>
      </c>
      <c r="EM166">
        <v>4.3044860785828139E-4</v>
      </c>
      <c r="EN166">
        <v>4.2458114791937032E-4</v>
      </c>
      <c r="EO166">
        <v>1.8699884364163527E-4</v>
      </c>
      <c r="EP166">
        <v>1.8699884364163524E-4</v>
      </c>
      <c r="EQ166">
        <v>1.8699884364163522E-4</v>
      </c>
      <c r="ER166">
        <v>0</v>
      </c>
      <c r="ES166">
        <v>1.8699884364163524E-4</v>
      </c>
      <c r="ET166">
        <v>1.8699884364163522E-4</v>
      </c>
      <c r="EU166">
        <v>1.2026547568256235E-5</v>
      </c>
      <c r="EV166">
        <v>3.7123443413408249E-4</v>
      </c>
      <c r="EW166">
        <v>2.4175663051784983E-3</v>
      </c>
      <c r="EX166">
        <v>0</v>
      </c>
      <c r="EY166">
        <v>1.0731254370382872E-9</v>
      </c>
      <c r="EZ166">
        <v>1.745647808270487E-8</v>
      </c>
      <c r="FA166">
        <v>1.4306034840181445E-10</v>
      </c>
      <c r="FB166">
        <v>2.7044623039097807E-10</v>
      </c>
      <c r="FC166">
        <v>5.8937940080659289E-4</v>
      </c>
      <c r="FD166">
        <v>8.5029758998579744E-2</v>
      </c>
      <c r="FE166">
        <v>5.5959245199296979E-2</v>
      </c>
      <c r="FF166">
        <v>1.0957801542443419E-7</v>
      </c>
      <c r="FG166">
        <v>1.7804706698818836E-9</v>
      </c>
      <c r="FH166">
        <v>0.1594084006263923</v>
      </c>
      <c r="FI166">
        <v>0.11066017599809165</v>
      </c>
      <c r="FJ166">
        <v>2.3955450052003453E-2</v>
      </c>
      <c r="FK166">
        <v>2.7477887438085227E-10</v>
      </c>
      <c r="FL166">
        <v>1.3266804495726606E-3</v>
      </c>
      <c r="FM166">
        <v>2.7908825971420014E-3</v>
      </c>
      <c r="FN166">
        <v>2.6647054225392834E-3</v>
      </c>
      <c r="FO166">
        <v>4.5484254235766118E-4</v>
      </c>
      <c r="FP166">
        <v>1.4758531348413099E-2</v>
      </c>
      <c r="FQ166">
        <v>3.2182054367772095E-3</v>
      </c>
      <c r="FR166">
        <v>2.0407632188434526E-3</v>
      </c>
      <c r="FS166">
        <v>3.5865308658132641E-3</v>
      </c>
      <c r="FT166">
        <v>1.1426998725686428E-3</v>
      </c>
      <c r="FU166">
        <v>8.9858978467527916E-4</v>
      </c>
      <c r="FV166">
        <v>1.1235840169490697E-3</v>
      </c>
      <c r="FW166">
        <v>1.0860479384986578E-2</v>
      </c>
      <c r="FX166">
        <v>1.0771040130917401E-2</v>
      </c>
      <c r="FY166">
        <v>1.0540947553897373E-2</v>
      </c>
      <c r="FZ166">
        <v>1.0703287862587441E-2</v>
      </c>
      <c r="GA166">
        <v>1.0823295357043542E-2</v>
      </c>
      <c r="GB166">
        <v>1.0813130639042681E-2</v>
      </c>
      <c r="GC166">
        <v>1.078387942788247E-2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9.72747023935824E-3</v>
      </c>
      <c r="GJ166">
        <v>1.0005908304636974E-2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3.2104646362726727E-3</v>
      </c>
      <c r="GR166">
        <v>1.8866394765855786E-3</v>
      </c>
      <c r="GS166">
        <v>7.3933172548361413E-4</v>
      </c>
      <c r="GT166">
        <v>1.2662722545646571E-6</v>
      </c>
      <c r="GU166">
        <v>0</v>
      </c>
    </row>
    <row r="167" spans="1:203">
      <c r="A167" t="s">
        <v>305</v>
      </c>
      <c r="B167">
        <v>164</v>
      </c>
      <c r="C167" t="s">
        <v>25</v>
      </c>
      <c r="D167">
        <v>6.2364658708843066E-4</v>
      </c>
      <c r="E167">
        <v>3.6135334479248939E-4</v>
      </c>
      <c r="F167">
        <v>4.6845473800648664E-4</v>
      </c>
      <c r="G167">
        <v>2.7077137331519757E-2</v>
      </c>
      <c r="H167">
        <v>5.4023147615509266E-3</v>
      </c>
      <c r="I167">
        <v>0</v>
      </c>
      <c r="J167">
        <v>0</v>
      </c>
      <c r="K167">
        <v>2.1986288070627299E-2</v>
      </c>
      <c r="L167">
        <v>3.1727396164106269E-3</v>
      </c>
      <c r="M167">
        <v>6.0805435507701238E-3</v>
      </c>
      <c r="N167">
        <v>1.0784251276216104E-2</v>
      </c>
      <c r="O167">
        <v>2.3641279269571948E-3</v>
      </c>
      <c r="P167">
        <v>6.0327548026479242E-3</v>
      </c>
      <c r="Q167">
        <v>2.0142143901716657E-2</v>
      </c>
      <c r="R167">
        <v>0</v>
      </c>
      <c r="S167">
        <v>0</v>
      </c>
      <c r="T167">
        <v>0</v>
      </c>
      <c r="U167">
        <v>1.0419175383598885E-2</v>
      </c>
      <c r="V167">
        <v>1.7293409893942506E-2</v>
      </c>
      <c r="W167">
        <v>2.3889739446818142E-2</v>
      </c>
      <c r="X167">
        <v>0</v>
      </c>
      <c r="Y167">
        <v>0</v>
      </c>
      <c r="Z167">
        <v>0</v>
      </c>
      <c r="AA167">
        <v>2.3889739446818142E-2</v>
      </c>
      <c r="AB167">
        <v>0</v>
      </c>
      <c r="AC167">
        <v>0</v>
      </c>
      <c r="AD167">
        <v>0</v>
      </c>
      <c r="AE167">
        <v>1.1609179348126102E-3</v>
      </c>
      <c r="AF167">
        <v>1.2470646104967514E-3</v>
      </c>
      <c r="AG167">
        <v>0</v>
      </c>
      <c r="AH167">
        <v>0</v>
      </c>
      <c r="AI167">
        <v>1.5424277391849685E-4</v>
      </c>
      <c r="AJ167">
        <v>3.7494058564707528E-3</v>
      </c>
      <c r="AK167">
        <v>0</v>
      </c>
      <c r="AL167">
        <v>3.8517352430906981E-8</v>
      </c>
      <c r="AM167">
        <v>0</v>
      </c>
      <c r="AN167">
        <v>2.1233098449776285E-7</v>
      </c>
      <c r="AO167">
        <v>6.2053313815477944E-4</v>
      </c>
      <c r="AP167">
        <v>5.1228686669047702E-3</v>
      </c>
      <c r="AQ167">
        <v>1.8171643555144606E-3</v>
      </c>
      <c r="AR167">
        <v>3.5822122813995408E-9</v>
      </c>
      <c r="AS167">
        <v>8.7609282838732819E-3</v>
      </c>
      <c r="AT167">
        <v>1.2761261548728113E-4</v>
      </c>
      <c r="AU167">
        <v>2.2841973280667431E-4</v>
      </c>
      <c r="AV167">
        <v>2.1106692976044129E-4</v>
      </c>
      <c r="AW167">
        <v>1.1780599635803492E-3</v>
      </c>
      <c r="AX167">
        <v>3.9746256366062917E-2</v>
      </c>
      <c r="AY167">
        <v>8.355573039301515E-3</v>
      </c>
      <c r="AZ167">
        <v>1.1441626322771866E-2</v>
      </c>
      <c r="BA167">
        <v>8.0961737088256353E-3</v>
      </c>
      <c r="BB167">
        <v>8.5471911488301192E-3</v>
      </c>
      <c r="BC167">
        <v>1.2682574157639048E-2</v>
      </c>
      <c r="BD167">
        <v>8.0228603810797335E-3</v>
      </c>
      <c r="BE167">
        <v>3.2463751370321862E-2</v>
      </c>
      <c r="BF167">
        <v>1.8537877805324052E-2</v>
      </c>
      <c r="BG167">
        <v>1.9002012634915657E-2</v>
      </c>
      <c r="BH167">
        <v>1.483425692938853E-2</v>
      </c>
      <c r="BI167">
        <v>8.8785814903055739E-3</v>
      </c>
      <c r="BJ167">
        <v>0</v>
      </c>
      <c r="BK167">
        <v>7.8041159530121322E-3</v>
      </c>
      <c r="BL167">
        <v>0</v>
      </c>
      <c r="BM167">
        <v>1.3137124269525487E-2</v>
      </c>
      <c r="BN167">
        <v>4.4690567103732225E-2</v>
      </c>
      <c r="BO167">
        <v>1.9378613405410503E-2</v>
      </c>
      <c r="BP167">
        <v>0</v>
      </c>
      <c r="BQ167">
        <v>1.9378613405410503E-2</v>
      </c>
      <c r="BR167">
        <v>1.0801960993051861E-2</v>
      </c>
      <c r="BS167">
        <v>0</v>
      </c>
      <c r="BT167">
        <v>0</v>
      </c>
      <c r="BU167">
        <v>1.0801960993051861E-2</v>
      </c>
      <c r="BV167">
        <v>1.0801960993051861E-2</v>
      </c>
      <c r="BW167">
        <v>1.0801960993051861E-2</v>
      </c>
      <c r="BX167">
        <v>1.0801960993051861E-2</v>
      </c>
      <c r="BY167">
        <v>1.0801960993051861E-2</v>
      </c>
      <c r="BZ167">
        <v>1.0801960993051861E-2</v>
      </c>
      <c r="CA167">
        <v>1.0801960993051862E-2</v>
      </c>
      <c r="CB167">
        <v>0</v>
      </c>
      <c r="CC167">
        <v>1.0801960993051861E-2</v>
      </c>
      <c r="CD167">
        <v>1.0801960993051861E-2</v>
      </c>
      <c r="CE167">
        <v>1.0801960993051861E-2</v>
      </c>
      <c r="CF167">
        <v>1.0801960993051861E-2</v>
      </c>
      <c r="CG167">
        <v>1.0801960993051862E-2</v>
      </c>
      <c r="CH167">
        <v>1.0801960993051861E-2</v>
      </c>
      <c r="CI167">
        <v>1.0801960993051861E-2</v>
      </c>
      <c r="CJ167">
        <v>2.2690262825949707E-2</v>
      </c>
      <c r="CK167">
        <v>1.4263547796697053E-4</v>
      </c>
      <c r="CL167">
        <v>0</v>
      </c>
      <c r="CM167">
        <v>7.98112500831674E-3</v>
      </c>
      <c r="CN167">
        <v>1.3188433142512246E-2</v>
      </c>
      <c r="CO167">
        <v>5.9685701567984382E-3</v>
      </c>
      <c r="CP167">
        <v>0</v>
      </c>
      <c r="CQ167">
        <v>5.9685701567984374E-3</v>
      </c>
      <c r="CR167">
        <v>0</v>
      </c>
      <c r="CS167">
        <v>5.9685701567984391E-3</v>
      </c>
      <c r="CT167">
        <v>0</v>
      </c>
      <c r="CU167">
        <v>1.1736235853763561E-2</v>
      </c>
      <c r="CV167">
        <v>1.5883978391898441E-2</v>
      </c>
      <c r="CW167">
        <v>0</v>
      </c>
      <c r="CX167">
        <v>2.6322003747691433E-2</v>
      </c>
      <c r="CY167">
        <v>2.2924215218902786E-2</v>
      </c>
      <c r="CZ167">
        <v>1.6636792503159286E-2</v>
      </c>
      <c r="DA167">
        <v>0</v>
      </c>
      <c r="DB167">
        <v>2.1902502397177746E-2</v>
      </c>
      <c r="DC167">
        <v>3.3201664226927201E-3</v>
      </c>
      <c r="DD167">
        <v>0</v>
      </c>
      <c r="DE167">
        <v>5.5116331507126456E-3</v>
      </c>
      <c r="DF167">
        <v>0</v>
      </c>
      <c r="DG167">
        <v>4.3387235715681306E-3</v>
      </c>
      <c r="DH167">
        <v>0</v>
      </c>
      <c r="DI167">
        <v>2.1265204191713884E-9</v>
      </c>
      <c r="DJ167">
        <v>0</v>
      </c>
      <c r="DK167">
        <v>2.3561202452711074E-3</v>
      </c>
      <c r="DL167">
        <v>0</v>
      </c>
      <c r="DM167">
        <v>9.2121785333716261E-3</v>
      </c>
      <c r="DN167">
        <v>0</v>
      </c>
      <c r="DO167">
        <v>1.5422766534265584E-2</v>
      </c>
      <c r="DP167">
        <v>7.6224617182696595E-3</v>
      </c>
      <c r="DQ167">
        <v>9.339055462409181E-3</v>
      </c>
      <c r="DR167">
        <v>3.5398196482223821E-3</v>
      </c>
      <c r="DS167">
        <v>9.6410840777800769E-3</v>
      </c>
      <c r="DT167">
        <v>8.1907615056434693E-3</v>
      </c>
      <c r="DU167">
        <v>1.269002313232593E-2</v>
      </c>
      <c r="DV167">
        <v>4.0479760679079544E-3</v>
      </c>
      <c r="DW167">
        <v>6.6506677736606788E-3</v>
      </c>
      <c r="DX167">
        <v>1.1805435587996269E-2</v>
      </c>
      <c r="DY167">
        <v>2.8872282640041853E-6</v>
      </c>
      <c r="DZ167">
        <v>0</v>
      </c>
      <c r="EA167">
        <v>1.4040274497228052E-2</v>
      </c>
      <c r="EB167">
        <v>9.7445571205170226E-3</v>
      </c>
      <c r="EC167">
        <v>1.3585344091164747E-2</v>
      </c>
      <c r="ED167">
        <v>5.0096219342561973E-3</v>
      </c>
      <c r="EE167">
        <v>5.4202547300458738E-3</v>
      </c>
      <c r="EF167">
        <v>4.9830508558488884E-3</v>
      </c>
      <c r="EG167">
        <v>2.4186140806487337E-2</v>
      </c>
      <c r="EH167">
        <v>5.2443607214947216E-3</v>
      </c>
      <c r="EI167">
        <v>0</v>
      </c>
      <c r="EJ167">
        <v>0</v>
      </c>
      <c r="EK167">
        <v>0</v>
      </c>
      <c r="EL167">
        <v>7.1780444556635743E-3</v>
      </c>
      <c r="EM167">
        <v>8.3317495681329776E-3</v>
      </c>
      <c r="EN167">
        <v>8.1830173717821232E-3</v>
      </c>
      <c r="EO167">
        <v>4.1287191605265846E-4</v>
      </c>
      <c r="EP167">
        <v>4.1287191605265846E-4</v>
      </c>
      <c r="EQ167">
        <v>4.1287191605265846E-4</v>
      </c>
      <c r="ER167">
        <v>0</v>
      </c>
      <c r="ES167">
        <v>4.1287191605265857E-4</v>
      </c>
      <c r="ET167">
        <v>4.1287191605265852E-4</v>
      </c>
      <c r="EU167">
        <v>1.1774404933868306E-5</v>
      </c>
      <c r="EV167">
        <v>3.258682686704992E-4</v>
      </c>
      <c r="EW167">
        <v>1.0913867894051538E-2</v>
      </c>
      <c r="EX167">
        <v>0</v>
      </c>
      <c r="EY167">
        <v>1.126430838010476E-9</v>
      </c>
      <c r="EZ167">
        <v>2.3727052956917669E-8</v>
      </c>
      <c r="FA167">
        <v>2.1001259115100723E-10</v>
      </c>
      <c r="FB167">
        <v>3.8056906024211288E-10</v>
      </c>
      <c r="FC167">
        <v>9.0255250031315848E-3</v>
      </c>
      <c r="FD167">
        <v>5.0425325384694745E-3</v>
      </c>
      <c r="FE167">
        <v>1.5037320436390549E-2</v>
      </c>
      <c r="FF167">
        <v>0.10729837792224747</v>
      </c>
      <c r="FG167">
        <v>1.2888797702862427E-4</v>
      </c>
      <c r="FH167">
        <v>2.1834623753441713E-2</v>
      </c>
      <c r="FI167">
        <v>1.6310201314496203E-2</v>
      </c>
      <c r="FJ167">
        <v>3.176034762082202E-2</v>
      </c>
      <c r="FK167">
        <v>5.8046439084707878E-2</v>
      </c>
      <c r="FL167">
        <v>8.1720245307658007E-2</v>
      </c>
      <c r="FM167">
        <v>0.10877776759303254</v>
      </c>
      <c r="FN167">
        <v>0.20905863618847192</v>
      </c>
      <c r="FO167">
        <v>1.6432211243747448E-2</v>
      </c>
      <c r="FP167">
        <v>8.3906597510031961E-2</v>
      </c>
      <c r="FQ167">
        <v>0.113236994830925</v>
      </c>
      <c r="FR167">
        <v>4.1716255612938964E-2</v>
      </c>
      <c r="FS167">
        <v>9.7441734114785003E-2</v>
      </c>
      <c r="FT167">
        <v>2.2318790133001226E-2</v>
      </c>
      <c r="FU167">
        <v>3.451039907197876E-2</v>
      </c>
      <c r="FV167">
        <v>1.5274287682638636E-2</v>
      </c>
      <c r="FW167">
        <v>1.3605277416650966E-2</v>
      </c>
      <c r="FX167">
        <v>1.3665683693934619E-2</v>
      </c>
      <c r="FY167">
        <v>1.367566989212889E-2</v>
      </c>
      <c r="FZ167">
        <v>1.3479621088334367E-2</v>
      </c>
      <c r="GA167">
        <v>1.3746556526449977E-2</v>
      </c>
      <c r="GB167">
        <v>1.3732776445919293E-2</v>
      </c>
      <c r="GC167">
        <v>1.3665894496904798E-2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1.2167950305756162E-2</v>
      </c>
      <c r="GJ167">
        <v>1.2482920810600612E-2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3.7274479252051754E-2</v>
      </c>
      <c r="GR167">
        <v>8.977529061345299E-2</v>
      </c>
      <c r="GS167">
        <v>5.9682974477558133E-3</v>
      </c>
      <c r="GT167">
        <v>1.8774735247636492E-6</v>
      </c>
      <c r="GU167">
        <v>0</v>
      </c>
    </row>
    <row r="168" spans="1:203">
      <c r="A168" t="s">
        <v>306</v>
      </c>
      <c r="B168">
        <v>165</v>
      </c>
      <c r="C168" t="s">
        <v>27</v>
      </c>
      <c r="D168">
        <v>1.5573152445347163E-3</v>
      </c>
      <c r="E168">
        <v>6.6480839064778302E-4</v>
      </c>
      <c r="F168">
        <v>2.8885642859429505E-3</v>
      </c>
      <c r="G168">
        <v>2.1906975085828986E-3</v>
      </c>
      <c r="H168">
        <v>2.5056801768196103E-3</v>
      </c>
      <c r="I168">
        <v>0</v>
      </c>
      <c r="J168">
        <v>6.7798377647744143E-4</v>
      </c>
      <c r="K168">
        <v>7.2609504135854605E-3</v>
      </c>
      <c r="L168">
        <v>2.9664091022653951E-3</v>
      </c>
      <c r="M168">
        <v>1.4776733769125893E-3</v>
      </c>
      <c r="N168">
        <v>5.3546282592005251E-4</v>
      </c>
      <c r="O168">
        <v>6.0907819812804952E-3</v>
      </c>
      <c r="P168">
        <v>1.3876432349510406E-3</v>
      </c>
      <c r="Q168">
        <v>2.9879897522952109E-3</v>
      </c>
      <c r="R168">
        <v>9.7571814363323441E-4</v>
      </c>
      <c r="S168">
        <v>0</v>
      </c>
      <c r="T168">
        <v>0</v>
      </c>
      <c r="U168">
        <v>6.6095191727438274E-3</v>
      </c>
      <c r="V168">
        <v>1.0787283454484793E-2</v>
      </c>
      <c r="W168">
        <v>1.6104726622567778E-3</v>
      </c>
      <c r="X168">
        <v>0</v>
      </c>
      <c r="Y168">
        <v>0</v>
      </c>
      <c r="Z168">
        <v>0</v>
      </c>
      <c r="AA168">
        <v>1.6104726622567778E-3</v>
      </c>
      <c r="AB168">
        <v>0</v>
      </c>
      <c r="AC168">
        <v>0</v>
      </c>
      <c r="AD168">
        <v>0</v>
      </c>
      <c r="AE168">
        <v>6.5665368121429948E-4</v>
      </c>
      <c r="AF168">
        <v>4.5166972082391902E-8</v>
      </c>
      <c r="AG168">
        <v>0</v>
      </c>
      <c r="AH168">
        <v>0</v>
      </c>
      <c r="AI168">
        <v>1.8791013205251231E-5</v>
      </c>
      <c r="AJ168">
        <v>1.4771873781267356E-2</v>
      </c>
      <c r="AK168">
        <v>5.9769729032853965E-4</v>
      </c>
      <c r="AL168">
        <v>1.0195145061700665E-8</v>
      </c>
      <c r="AM168">
        <v>0</v>
      </c>
      <c r="AN168">
        <v>4.6956571309691042E-8</v>
      </c>
      <c r="AO168">
        <v>8.9999410824864141E-7</v>
      </c>
      <c r="AP168">
        <v>1.7967011907552815E-3</v>
      </c>
      <c r="AQ168">
        <v>1.1221071455805726E-8</v>
      </c>
      <c r="AR168">
        <v>1.4276919426147771E-9</v>
      </c>
      <c r="AS168">
        <v>1.717188254500672E-3</v>
      </c>
      <c r="AT168">
        <v>5.2405433871048068E-5</v>
      </c>
      <c r="AU168">
        <v>1.303243346957217E-3</v>
      </c>
      <c r="AV168">
        <v>9.5000522747425013E-4</v>
      </c>
      <c r="AW168">
        <v>9.0215609582033687E-3</v>
      </c>
      <c r="AX168">
        <v>1.1798365227737665E-2</v>
      </c>
      <c r="AY168">
        <v>1.1727802857217055E-2</v>
      </c>
      <c r="AZ168">
        <v>4.0590058084992034E-3</v>
      </c>
      <c r="BA168">
        <v>1.7346591250312401E-2</v>
      </c>
      <c r="BB168">
        <v>8.9947315568491611E-3</v>
      </c>
      <c r="BC168">
        <v>8.2635804760646716E-3</v>
      </c>
      <c r="BD168">
        <v>1.1080901347550208E-2</v>
      </c>
      <c r="BE168">
        <v>2.3528414502451559E-3</v>
      </c>
      <c r="BF168">
        <v>1.696092305934661E-2</v>
      </c>
      <c r="BG168">
        <v>1.4096435337268206E-2</v>
      </c>
      <c r="BH168">
        <v>1.5667315349405037E-2</v>
      </c>
      <c r="BI168">
        <v>1.0395622108596134E-2</v>
      </c>
      <c r="BJ168">
        <v>0</v>
      </c>
      <c r="BK168">
        <v>2.9937248006150368E-2</v>
      </c>
      <c r="BL168">
        <v>0</v>
      </c>
      <c r="BM168">
        <v>7.8970094004249623E-3</v>
      </c>
      <c r="BN168">
        <v>1.301695748267875E-2</v>
      </c>
      <c r="BO168">
        <v>4.3182406553763222E-2</v>
      </c>
      <c r="BP168">
        <v>0</v>
      </c>
      <c r="BQ168">
        <v>4.3182406553763222E-2</v>
      </c>
      <c r="BR168">
        <v>4.3649885664859287E-3</v>
      </c>
      <c r="BS168">
        <v>0</v>
      </c>
      <c r="BT168">
        <v>0</v>
      </c>
      <c r="BU168">
        <v>4.3649885664859287E-3</v>
      </c>
      <c r="BV168">
        <v>4.3649885664859287E-3</v>
      </c>
      <c r="BW168">
        <v>4.3649885664859295E-3</v>
      </c>
      <c r="BX168">
        <v>4.3649885664859287E-3</v>
      </c>
      <c r="BY168">
        <v>4.3649885664859287E-3</v>
      </c>
      <c r="BZ168">
        <v>4.3649885664859287E-3</v>
      </c>
      <c r="CA168">
        <v>4.3649885664859287E-3</v>
      </c>
      <c r="CB168">
        <v>0</v>
      </c>
      <c r="CC168">
        <v>4.3649885664859287E-3</v>
      </c>
      <c r="CD168">
        <v>4.3649885664859287E-3</v>
      </c>
      <c r="CE168">
        <v>4.3649885664859295E-3</v>
      </c>
      <c r="CF168">
        <v>4.3649885664859287E-3</v>
      </c>
      <c r="CG168">
        <v>4.3649885664859287E-3</v>
      </c>
      <c r="CH168">
        <v>4.3649885664859287E-3</v>
      </c>
      <c r="CI168">
        <v>4.3649885664859287E-3</v>
      </c>
      <c r="CJ168">
        <v>7.0775822897103404E-4</v>
      </c>
      <c r="CK168">
        <v>2.5225042381263204E-3</v>
      </c>
      <c r="CL168">
        <v>0</v>
      </c>
      <c r="CM168">
        <v>5.3756557051184853E-3</v>
      </c>
      <c r="CN168">
        <v>7.1157138549543843E-3</v>
      </c>
      <c r="CO168">
        <v>3.2626184967049481E-3</v>
      </c>
      <c r="CP168">
        <v>0</v>
      </c>
      <c r="CQ168">
        <v>3.2626184967049486E-3</v>
      </c>
      <c r="CR168">
        <v>0</v>
      </c>
      <c r="CS168">
        <v>3.262618496704949E-3</v>
      </c>
      <c r="CT168">
        <v>0</v>
      </c>
      <c r="CU168">
        <v>1.0064098625124312E-2</v>
      </c>
      <c r="CV168">
        <v>6.3523427724490825E-3</v>
      </c>
      <c r="CW168">
        <v>0</v>
      </c>
      <c r="CX168">
        <v>7.7641146818889853E-3</v>
      </c>
      <c r="CY168">
        <v>8.1095594086895741E-3</v>
      </c>
      <c r="CZ168">
        <v>8.128396551798556E-3</v>
      </c>
      <c r="DA168">
        <v>0</v>
      </c>
      <c r="DB168">
        <v>9.3881110387156914E-3</v>
      </c>
      <c r="DC168">
        <v>8.2234305043697373E-3</v>
      </c>
      <c r="DD168">
        <v>0</v>
      </c>
      <c r="DE168">
        <v>8.6257003591314243E-3</v>
      </c>
      <c r="DF168">
        <v>0</v>
      </c>
      <c r="DG168">
        <v>3.7923105978865404E-2</v>
      </c>
      <c r="DH168">
        <v>0</v>
      </c>
      <c r="DI168">
        <v>1.1534074415127649E-9</v>
      </c>
      <c r="DJ168">
        <v>0</v>
      </c>
      <c r="DK168">
        <v>1.3418735771989012E-2</v>
      </c>
      <c r="DL168">
        <v>0</v>
      </c>
      <c r="DM168">
        <v>2.3161904879610657E-3</v>
      </c>
      <c r="DN168">
        <v>0</v>
      </c>
      <c r="DO168">
        <v>4.7613532939172623E-3</v>
      </c>
      <c r="DP168">
        <v>7.1127221485317435E-3</v>
      </c>
      <c r="DQ168">
        <v>9.7101052476603264E-3</v>
      </c>
      <c r="DR168">
        <v>4.1337328605611009E-3</v>
      </c>
      <c r="DS168">
        <v>7.0072735588896087E-3</v>
      </c>
      <c r="DT168">
        <v>6.6147906708530248E-3</v>
      </c>
      <c r="DU168">
        <v>7.8350435578008713E-3</v>
      </c>
      <c r="DV168">
        <v>2.5619632647901451E-3</v>
      </c>
      <c r="DW168">
        <v>1.0458064776765227E-3</v>
      </c>
      <c r="DX168">
        <v>9.6782393902962761E-3</v>
      </c>
      <c r="DY168">
        <v>1.5343208450611972E-7</v>
      </c>
      <c r="DZ168">
        <v>0</v>
      </c>
      <c r="EA168">
        <v>3.2535509886312498E-3</v>
      </c>
      <c r="EB168">
        <v>2.2855839772742961E-3</v>
      </c>
      <c r="EC168">
        <v>2.6114319887017567E-3</v>
      </c>
      <c r="ED168">
        <v>2.1525323624574776E-3</v>
      </c>
      <c r="EE168">
        <v>2.377645390485746E-3</v>
      </c>
      <c r="EF168">
        <v>1.0042393160865466E-3</v>
      </c>
      <c r="EG168">
        <v>5.0494808775551825E-3</v>
      </c>
      <c r="EH168">
        <v>2.294682546112147E-3</v>
      </c>
      <c r="EI168">
        <v>0</v>
      </c>
      <c r="EJ168">
        <v>0</v>
      </c>
      <c r="EK168">
        <v>0</v>
      </c>
      <c r="EL168">
        <v>3.4509031984043164E-3</v>
      </c>
      <c r="EM168">
        <v>3.9901463366383786E-3</v>
      </c>
      <c r="EN168">
        <v>3.9653234945758245E-3</v>
      </c>
      <c r="EO168">
        <v>2.3583523514148601E-3</v>
      </c>
      <c r="EP168">
        <v>2.3583523514148596E-3</v>
      </c>
      <c r="EQ168">
        <v>2.3583523514148596E-3</v>
      </c>
      <c r="ER168">
        <v>0</v>
      </c>
      <c r="ES168">
        <v>2.3583523514148601E-3</v>
      </c>
      <c r="ET168">
        <v>2.3583523514148596E-3</v>
      </c>
      <c r="EU168">
        <v>1.2587907552524776E-3</v>
      </c>
      <c r="EV168">
        <v>2.078850483528539E-3</v>
      </c>
      <c r="EW168">
        <v>1.4255414746819517E-2</v>
      </c>
      <c r="EX168">
        <v>0</v>
      </c>
      <c r="EY168">
        <v>1.0525682818985832E-9</v>
      </c>
      <c r="EZ168">
        <v>1.5739804440888796E-8</v>
      </c>
      <c r="FA168">
        <v>1.264260217640302E-10</v>
      </c>
      <c r="FB168">
        <v>2.415940667430065E-10</v>
      </c>
      <c r="FC168">
        <v>7.0499548325442659E-3</v>
      </c>
      <c r="FD168">
        <v>3.8088005768747428E-2</v>
      </c>
      <c r="FE168">
        <v>3.229985933598523E-3</v>
      </c>
      <c r="FF168">
        <v>2.3462708015011858E-8</v>
      </c>
      <c r="FG168">
        <v>1.2485253036016542E-9</v>
      </c>
      <c r="FH168">
        <v>9.0313149797910594E-2</v>
      </c>
      <c r="FI168">
        <v>5.6621103422062787E-9</v>
      </c>
      <c r="FJ168">
        <v>2.7303090195937615E-8</v>
      </c>
      <c r="FK168">
        <v>1.767502122345518E-10</v>
      </c>
      <c r="FL168">
        <v>0.17964990418272944</v>
      </c>
      <c r="FM168">
        <v>5.5815226755885003E-2</v>
      </c>
      <c r="FN168">
        <v>3.8611363376587743E-2</v>
      </c>
      <c r="FO168">
        <v>0.11127353631638226</v>
      </c>
      <c r="FP168">
        <v>3.6905340535387146E-2</v>
      </c>
      <c r="FQ168">
        <v>2.1796552410613783E-3</v>
      </c>
      <c r="FR168">
        <v>1.2358597364778994E-2</v>
      </c>
      <c r="FS168">
        <v>9.6790164736358965E-3</v>
      </c>
      <c r="FT168">
        <v>2.5463371361454625E-2</v>
      </c>
      <c r="FU168">
        <v>1.910855744280765E-2</v>
      </c>
      <c r="FV168">
        <v>5.4239023140983618E-2</v>
      </c>
      <c r="FW168">
        <v>3.2759389040589629E-2</v>
      </c>
      <c r="FX168">
        <v>3.2844729763874043E-2</v>
      </c>
      <c r="FY168">
        <v>3.2284873579265447E-2</v>
      </c>
      <c r="FZ168">
        <v>3.1305207368497852E-2</v>
      </c>
      <c r="GA168">
        <v>3.2987214333098036E-2</v>
      </c>
      <c r="GB168">
        <v>3.2910967727860868E-2</v>
      </c>
      <c r="GC168">
        <v>3.2722188912377562E-2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2.8747741324922627E-2</v>
      </c>
      <c r="GJ168">
        <v>2.9744325880295627E-2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4.2671988548563876E-2</v>
      </c>
      <c r="GR168">
        <v>2.4388187982330996E-2</v>
      </c>
      <c r="GS168">
        <v>7.0999370699914403E-3</v>
      </c>
      <c r="GT168">
        <v>0</v>
      </c>
      <c r="GU168">
        <v>0</v>
      </c>
    </row>
    <row r="169" spans="1:203">
      <c r="A169" t="s">
        <v>307</v>
      </c>
      <c r="B169">
        <v>166</v>
      </c>
      <c r="C169" t="s">
        <v>27</v>
      </c>
      <c r="D169">
        <v>4.8549635559914033E-4</v>
      </c>
      <c r="E169">
        <v>8.5971412674921022E-3</v>
      </c>
      <c r="F169">
        <v>4.8618242020061998E-3</v>
      </c>
      <c r="G169">
        <v>2.3519574016442569E-3</v>
      </c>
      <c r="H169">
        <v>8.1477748667705858E-3</v>
      </c>
      <c r="I169">
        <v>0</v>
      </c>
      <c r="J169">
        <v>0</v>
      </c>
      <c r="K169">
        <v>3.7952760145682292E-3</v>
      </c>
      <c r="L169">
        <v>3.4043726859545403E-3</v>
      </c>
      <c r="M169">
        <v>9.7826813477511058E-4</v>
      </c>
      <c r="N169">
        <v>3.492489641416274E-5</v>
      </c>
      <c r="O169">
        <v>2.9688023027351039E-3</v>
      </c>
      <c r="P169">
        <v>1.3796181876815332E-4</v>
      </c>
      <c r="Q169">
        <v>5.5856346158844068E-3</v>
      </c>
      <c r="R169">
        <v>0</v>
      </c>
      <c r="S169">
        <v>0</v>
      </c>
      <c r="T169">
        <v>0</v>
      </c>
      <c r="U169">
        <v>2.7762281162566215E-3</v>
      </c>
      <c r="V169">
        <v>3.6710161031268491E-3</v>
      </c>
      <c r="W169">
        <v>4.1445625192736797E-4</v>
      </c>
      <c r="X169">
        <v>0</v>
      </c>
      <c r="Y169">
        <v>0</v>
      </c>
      <c r="Z169">
        <v>0</v>
      </c>
      <c r="AA169">
        <v>4.1445625192736797E-4</v>
      </c>
      <c r="AB169">
        <v>0</v>
      </c>
      <c r="AC169">
        <v>0</v>
      </c>
      <c r="AD169">
        <v>0</v>
      </c>
      <c r="AE169">
        <v>6.930052489636024E-5</v>
      </c>
      <c r="AF169">
        <v>4.3351645956584237E-8</v>
      </c>
      <c r="AG169">
        <v>0</v>
      </c>
      <c r="AH169">
        <v>0</v>
      </c>
      <c r="AI169">
        <v>2.9789439089807744E-6</v>
      </c>
      <c r="AJ169">
        <v>1.9458494837679347E-3</v>
      </c>
      <c r="AK169">
        <v>5.2337519587687686E-4</v>
      </c>
      <c r="AL169">
        <v>9.9782249456291328E-9</v>
      </c>
      <c r="AM169">
        <v>0</v>
      </c>
      <c r="AN169">
        <v>4.5897561586501806E-8</v>
      </c>
      <c r="AO169">
        <v>6.2559930697284435E-7</v>
      </c>
      <c r="AP169">
        <v>2.7623136370514867E-4</v>
      </c>
      <c r="AQ169">
        <v>1.0107110528135663E-8</v>
      </c>
      <c r="AR169">
        <v>1.3708483327183639E-9</v>
      </c>
      <c r="AS169">
        <v>9.9868567275406906E-4</v>
      </c>
      <c r="AT169">
        <v>2.4647914121193714E-6</v>
      </c>
      <c r="AU169">
        <v>1.6780859236259583E-4</v>
      </c>
      <c r="AV169">
        <v>1.1784438882730696E-4</v>
      </c>
      <c r="AW169">
        <v>1.2170731568371853E-3</v>
      </c>
      <c r="AX169">
        <v>1.6293544293109496E-3</v>
      </c>
      <c r="AY169">
        <v>4.8769764254977808E-4</v>
      </c>
      <c r="AZ169">
        <v>1.1687653734276112E-4</v>
      </c>
      <c r="BA169">
        <v>8.5529321909312008E-4</v>
      </c>
      <c r="BB169">
        <v>1.0830408320320127E-3</v>
      </c>
      <c r="BC169">
        <v>7.7896948548893705E-4</v>
      </c>
      <c r="BD169">
        <v>1.5822636011984283E-3</v>
      </c>
      <c r="BE169">
        <v>4.2606951101835884E-5</v>
      </c>
      <c r="BF169">
        <v>1.228917838131073E-3</v>
      </c>
      <c r="BG169">
        <v>1.1586722062984149E-3</v>
      </c>
      <c r="BH169">
        <v>1.7476931583011778E-3</v>
      </c>
      <c r="BI169">
        <v>1.4731159701405119E-3</v>
      </c>
      <c r="BJ169">
        <v>0</v>
      </c>
      <c r="BK169">
        <v>2.4569754237141676E-3</v>
      </c>
      <c r="BL169">
        <v>0</v>
      </c>
      <c r="BM169">
        <v>5.1848517695612126E-4</v>
      </c>
      <c r="BN169">
        <v>4.903248144910023E-4</v>
      </c>
      <c r="BO169">
        <v>9.5046854682842904E-3</v>
      </c>
      <c r="BP169">
        <v>0</v>
      </c>
      <c r="BQ169">
        <v>9.5046854682842904E-3</v>
      </c>
      <c r="BR169">
        <v>6.225686912246388E-3</v>
      </c>
      <c r="BS169">
        <v>0</v>
      </c>
      <c r="BT169">
        <v>0</v>
      </c>
      <c r="BU169">
        <v>6.2256869122463872E-3</v>
      </c>
      <c r="BV169">
        <v>6.2256869122463872E-3</v>
      </c>
      <c r="BW169">
        <v>6.2256869122463872E-3</v>
      </c>
      <c r="BX169">
        <v>6.2256869122463872E-3</v>
      </c>
      <c r="BY169">
        <v>6.2256869122463872E-3</v>
      </c>
      <c r="BZ169">
        <v>6.2256869122463872E-3</v>
      </c>
      <c r="CA169">
        <v>6.225686912246388E-3</v>
      </c>
      <c r="CB169">
        <v>0</v>
      </c>
      <c r="CC169">
        <v>6.2256869122463872E-3</v>
      </c>
      <c r="CD169">
        <v>6.2256869122463872E-3</v>
      </c>
      <c r="CE169">
        <v>6.225686912246388E-3</v>
      </c>
      <c r="CF169">
        <v>6.225686912246388E-3</v>
      </c>
      <c r="CG169">
        <v>6.2256869122463872E-3</v>
      </c>
      <c r="CH169">
        <v>6.2256869122463872E-3</v>
      </c>
      <c r="CI169">
        <v>6.2256869122463872E-3</v>
      </c>
      <c r="CJ169">
        <v>2.0446986093956363E-4</v>
      </c>
      <c r="CK169">
        <v>7.3607986937783215E-4</v>
      </c>
      <c r="CL169">
        <v>0</v>
      </c>
      <c r="CM169">
        <v>2.8787417130014151E-3</v>
      </c>
      <c r="CN169">
        <v>3.5658405734233412E-3</v>
      </c>
      <c r="CO169">
        <v>4.4641976998635672E-4</v>
      </c>
      <c r="CP169">
        <v>0</v>
      </c>
      <c r="CQ169">
        <v>4.4641976998635678E-4</v>
      </c>
      <c r="CR169">
        <v>0</v>
      </c>
      <c r="CS169">
        <v>4.4641976998635683E-4</v>
      </c>
      <c r="CT169">
        <v>0</v>
      </c>
      <c r="CU169">
        <v>7.3907369379249625E-4</v>
      </c>
      <c r="CV169">
        <v>2.6096952367798769E-4</v>
      </c>
      <c r="CW169">
        <v>0</v>
      </c>
      <c r="CX169">
        <v>5.4269150310080265E-4</v>
      </c>
      <c r="CY169">
        <v>1.6270677022346483E-4</v>
      </c>
      <c r="CZ169">
        <v>1.5402843609233033E-4</v>
      </c>
      <c r="DA169">
        <v>0</v>
      </c>
      <c r="DB169">
        <v>9.9361512099064696E-4</v>
      </c>
      <c r="DC169">
        <v>8.5407951442472883E-4</v>
      </c>
      <c r="DD169">
        <v>0</v>
      </c>
      <c r="DE169">
        <v>1.5249319717343548E-4</v>
      </c>
      <c r="DF169">
        <v>0</v>
      </c>
      <c r="DG169">
        <v>2.3382722986821222E-3</v>
      </c>
      <c r="DH169">
        <v>0</v>
      </c>
      <c r="DI169">
        <v>1.1380049420218361E-9</v>
      </c>
      <c r="DJ169">
        <v>0</v>
      </c>
      <c r="DK169">
        <v>1.3153894803216125E-3</v>
      </c>
      <c r="DL169">
        <v>0</v>
      </c>
      <c r="DM169">
        <v>9.2254252593687708E-5</v>
      </c>
      <c r="DN169">
        <v>0</v>
      </c>
      <c r="DO169">
        <v>1.1301771889832099E-3</v>
      </c>
      <c r="DP169">
        <v>2.1525754295232882E-4</v>
      </c>
      <c r="DQ169">
        <v>7.0809528630574924E-4</v>
      </c>
      <c r="DR169">
        <v>3.1556224725107327E-4</v>
      </c>
      <c r="DS169">
        <v>7.3027027436122914E-4</v>
      </c>
      <c r="DT169">
        <v>4.6793675053869924E-4</v>
      </c>
      <c r="DU169">
        <v>4.9704205953395139E-4</v>
      </c>
      <c r="DV169">
        <v>3.0449377916496738E-4</v>
      </c>
      <c r="DW169">
        <v>8.4504092487804581E-5</v>
      </c>
      <c r="DX169">
        <v>3.2926311745264044E-4</v>
      </c>
      <c r="DY169">
        <v>4.7923197480496312E-8</v>
      </c>
      <c r="DZ169">
        <v>0</v>
      </c>
      <c r="EA169">
        <v>1.7759747469764836E-5</v>
      </c>
      <c r="EB169">
        <v>1.2528666512561413E-5</v>
      </c>
      <c r="EC169">
        <v>9.3218576310632572E-5</v>
      </c>
      <c r="ED169">
        <v>3.7829301277883514E-5</v>
      </c>
      <c r="EE169">
        <v>4.3975220274899962E-5</v>
      </c>
      <c r="EF169">
        <v>5.3425291708369073E-6</v>
      </c>
      <c r="EG169">
        <v>2.738991193171303E-5</v>
      </c>
      <c r="EH169">
        <v>4.2050288675494207E-5</v>
      </c>
      <c r="EI169">
        <v>0</v>
      </c>
      <c r="EJ169">
        <v>0</v>
      </c>
      <c r="EK169">
        <v>0</v>
      </c>
      <c r="EL169">
        <v>6.1551109350759114E-5</v>
      </c>
      <c r="EM169">
        <v>7.1066044468242199E-5</v>
      </c>
      <c r="EN169">
        <v>7.0711969760076476E-5</v>
      </c>
      <c r="EO169">
        <v>7.5595792886375409E-5</v>
      </c>
      <c r="EP169">
        <v>7.5595792886375409E-5</v>
      </c>
      <c r="EQ169">
        <v>7.5595792886375409E-5</v>
      </c>
      <c r="ER169">
        <v>0</v>
      </c>
      <c r="ES169">
        <v>7.5595792886375409E-5</v>
      </c>
      <c r="ET169">
        <v>7.5595792886375409E-5</v>
      </c>
      <c r="EU169">
        <v>1.7379383328747885E-5</v>
      </c>
      <c r="EV169">
        <v>2.0068816855351777E-5</v>
      </c>
      <c r="EW169">
        <v>9.8153539711539088E-4</v>
      </c>
      <c r="EX169">
        <v>0</v>
      </c>
      <c r="EY169">
        <v>1.0505318095678615E-9</v>
      </c>
      <c r="EZ169">
        <v>1.558471816185708E-8</v>
      </c>
      <c r="FA169">
        <v>1.232202263934237E-10</v>
      </c>
      <c r="FB169">
        <v>2.3901326189064483E-10</v>
      </c>
      <c r="FC169">
        <v>1.9688615448343715E-4</v>
      </c>
      <c r="FD169">
        <v>5.6340787810709944E-5</v>
      </c>
      <c r="FE169">
        <v>1.5825883811792014E-2</v>
      </c>
      <c r="FF169">
        <v>2.1733080998341655E-8</v>
      </c>
      <c r="FG169">
        <v>1.1794284114233734E-9</v>
      </c>
      <c r="FH169">
        <v>1.6118254260832608E-2</v>
      </c>
      <c r="FI169">
        <v>4.666976385605511E-9</v>
      </c>
      <c r="FJ169">
        <v>1.2217298886030382E-8</v>
      </c>
      <c r="FK169">
        <v>1.6757333265928516E-10</v>
      </c>
      <c r="FL169">
        <v>7.6538297791845552E-4</v>
      </c>
      <c r="FM169">
        <v>5.6004069338229127E-3</v>
      </c>
      <c r="FN169">
        <v>1.6533519412081062E-3</v>
      </c>
      <c r="FO169">
        <v>3.1636266790509822E-3</v>
      </c>
      <c r="FP169">
        <v>4.5675479195303103E-3</v>
      </c>
      <c r="FQ169">
        <v>1.5822899925945687E-4</v>
      </c>
      <c r="FR169">
        <v>2.4067532384576518E-3</v>
      </c>
      <c r="FS169">
        <v>4.3031356709288837E-4</v>
      </c>
      <c r="FT169">
        <v>3.6522922359623973E-4</v>
      </c>
      <c r="FU169">
        <v>3.4137832614507956E-3</v>
      </c>
      <c r="FV169">
        <v>2.3801860333053522E-3</v>
      </c>
      <c r="FW169">
        <v>2.8771591025034734E-3</v>
      </c>
      <c r="FX169">
        <v>2.8835599983098731E-3</v>
      </c>
      <c r="FY169">
        <v>2.8272299830564285E-3</v>
      </c>
      <c r="FZ169">
        <v>2.7382928153613655E-3</v>
      </c>
      <c r="GA169">
        <v>2.8946320612064278E-3</v>
      </c>
      <c r="GB169">
        <v>2.887684378395356E-3</v>
      </c>
      <c r="GC169">
        <v>2.8710139434505637E-3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2.5200248020948936E-3</v>
      </c>
      <c r="GJ169">
        <v>2.6099767525166171E-3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3.1666720810397688E-3</v>
      </c>
      <c r="GR169">
        <v>2.100572729180618E-3</v>
      </c>
      <c r="GS169">
        <v>4.1134255709424727E-5</v>
      </c>
      <c r="GT169">
        <v>0</v>
      </c>
      <c r="GU169">
        <v>0</v>
      </c>
    </row>
    <row r="170" spans="1:203">
      <c r="A170" t="s">
        <v>308</v>
      </c>
      <c r="B170">
        <v>167</v>
      </c>
      <c r="C170" t="s">
        <v>27</v>
      </c>
      <c r="D170">
        <v>1.8800823270108082E-4</v>
      </c>
      <c r="E170">
        <v>1.2729336957039881E-4</v>
      </c>
      <c r="F170">
        <v>2.3203729157814722E-4</v>
      </c>
      <c r="G170">
        <v>1.176755001502933E-3</v>
      </c>
      <c r="H170">
        <v>3.6821412280513142E-4</v>
      </c>
      <c r="I170">
        <v>0</v>
      </c>
      <c r="J170">
        <v>0</v>
      </c>
      <c r="K170">
        <v>2.5460733863002329E-3</v>
      </c>
      <c r="L170">
        <v>5.8399831129314603E-5</v>
      </c>
      <c r="M170">
        <v>4.6579253409389395E-5</v>
      </c>
      <c r="N170">
        <v>1.1401047762835301E-4</v>
      </c>
      <c r="O170">
        <v>1.6045639071913037E-4</v>
      </c>
      <c r="P170">
        <v>1.3214691448813813E-4</v>
      </c>
      <c r="Q170">
        <v>8.767562802796331E-5</v>
      </c>
      <c r="R170">
        <v>0</v>
      </c>
      <c r="S170">
        <v>0</v>
      </c>
      <c r="T170">
        <v>0</v>
      </c>
      <c r="U170">
        <v>5.3397910091659416E-4</v>
      </c>
      <c r="V170">
        <v>7.320253503984819E-4</v>
      </c>
      <c r="W170">
        <v>1.116240715987062E-4</v>
      </c>
      <c r="X170">
        <v>0</v>
      </c>
      <c r="Y170">
        <v>0</v>
      </c>
      <c r="Z170">
        <v>0</v>
      </c>
      <c r="AA170">
        <v>1.1162407159870619E-4</v>
      </c>
      <c r="AB170">
        <v>0</v>
      </c>
      <c r="AC170">
        <v>0</v>
      </c>
      <c r="AD170">
        <v>0</v>
      </c>
      <c r="AE170">
        <v>3.2960533433693749E-6</v>
      </c>
      <c r="AF170">
        <v>4.0944811632737691E-8</v>
      </c>
      <c r="AG170">
        <v>0</v>
      </c>
      <c r="AH170">
        <v>0</v>
      </c>
      <c r="AI170">
        <v>2.9194347681555422E-6</v>
      </c>
      <c r="AJ170">
        <v>1.5345113162284697E-3</v>
      </c>
      <c r="AK170">
        <v>4.9812350015927614E-4</v>
      </c>
      <c r="AL170">
        <v>9.8313602309641276E-9</v>
      </c>
      <c r="AM170">
        <v>0</v>
      </c>
      <c r="AN170">
        <v>4.5181405543591394E-8</v>
      </c>
      <c r="AO170">
        <v>8.5194600392737144E-7</v>
      </c>
      <c r="AP170">
        <v>2.669555513921646E-4</v>
      </c>
      <c r="AQ170">
        <v>9.4246706380320168E-9</v>
      </c>
      <c r="AR170">
        <v>1.3857135373303294E-9</v>
      </c>
      <c r="AS170">
        <v>4.6943268496755646E-4</v>
      </c>
      <c r="AT170">
        <v>6.1152508847265936E-7</v>
      </c>
      <c r="AU170">
        <v>1.3709820716922011E-4</v>
      </c>
      <c r="AV170">
        <v>8.316336767240995E-5</v>
      </c>
      <c r="AW170">
        <v>6.8180926443598983E-4</v>
      </c>
      <c r="AX170">
        <v>9.0844759972574254E-4</v>
      </c>
      <c r="AY170">
        <v>9.703056871610766E-4</v>
      </c>
      <c r="AZ170">
        <v>2.4022018390515976E-4</v>
      </c>
      <c r="BA170">
        <v>8.2622102697772065E-4</v>
      </c>
      <c r="BB170">
        <v>6.7560693753737091E-4</v>
      </c>
      <c r="BC170">
        <v>3.6419597764241775E-4</v>
      </c>
      <c r="BD170">
        <v>6.2528347426167011E-4</v>
      </c>
      <c r="BE170">
        <v>1.3232964875745649E-4</v>
      </c>
      <c r="BF170">
        <v>3.1726591331337545E-4</v>
      </c>
      <c r="BG170">
        <v>3.541899535303528E-4</v>
      </c>
      <c r="BH170">
        <v>9.0179491317764486E-4</v>
      </c>
      <c r="BI170">
        <v>4.4835891577530259E-4</v>
      </c>
      <c r="BJ170">
        <v>0</v>
      </c>
      <c r="BK170">
        <v>9.5442480758579332E-4</v>
      </c>
      <c r="BL170">
        <v>0</v>
      </c>
      <c r="BM170">
        <v>7.7812381481801669E-4</v>
      </c>
      <c r="BN170">
        <v>1.1335517356573497E-3</v>
      </c>
      <c r="BO170">
        <v>6.7196911205097487E-3</v>
      </c>
      <c r="BP170">
        <v>0</v>
      </c>
      <c r="BQ170">
        <v>6.7196911205097487E-3</v>
      </c>
      <c r="BR170">
        <v>7.7160081909315311E-4</v>
      </c>
      <c r="BS170">
        <v>0</v>
      </c>
      <c r="BT170">
        <v>0</v>
      </c>
      <c r="BU170">
        <v>7.7160081909315311E-4</v>
      </c>
      <c r="BV170">
        <v>7.7160081909315311E-4</v>
      </c>
      <c r="BW170">
        <v>7.7160081909315322E-4</v>
      </c>
      <c r="BX170">
        <v>7.7160081909315322E-4</v>
      </c>
      <c r="BY170">
        <v>7.7160081909315322E-4</v>
      </c>
      <c r="BZ170">
        <v>7.7160081909315311E-4</v>
      </c>
      <c r="CA170">
        <v>7.7160081909315322E-4</v>
      </c>
      <c r="CB170">
        <v>0</v>
      </c>
      <c r="CC170">
        <v>7.7160081909315311E-4</v>
      </c>
      <c r="CD170">
        <v>7.7160081909315322E-4</v>
      </c>
      <c r="CE170">
        <v>7.7160081909315311E-4</v>
      </c>
      <c r="CF170">
        <v>7.7160081909315322E-4</v>
      </c>
      <c r="CG170">
        <v>7.7160081909315311E-4</v>
      </c>
      <c r="CH170">
        <v>7.7160081909315322E-4</v>
      </c>
      <c r="CI170">
        <v>7.7160081909315322E-4</v>
      </c>
      <c r="CJ170">
        <v>3.8225338562206408E-5</v>
      </c>
      <c r="CK170">
        <v>1.2842748485864796E-4</v>
      </c>
      <c r="CL170">
        <v>0</v>
      </c>
      <c r="CM170">
        <v>2.4776054822838128E-4</v>
      </c>
      <c r="CN170">
        <v>3.17793125617477E-4</v>
      </c>
      <c r="CO170">
        <v>1.8874848281673999E-3</v>
      </c>
      <c r="CP170">
        <v>0</v>
      </c>
      <c r="CQ170">
        <v>1.8874848281674004E-3</v>
      </c>
      <c r="CR170">
        <v>0</v>
      </c>
      <c r="CS170">
        <v>1.8874848281674004E-3</v>
      </c>
      <c r="CT170">
        <v>0</v>
      </c>
      <c r="CU170">
        <v>9.2851265812111158E-4</v>
      </c>
      <c r="CV170">
        <v>1.7070621252438073E-4</v>
      </c>
      <c r="CW170">
        <v>0</v>
      </c>
      <c r="CX170">
        <v>1.7732808216842539E-4</v>
      </c>
      <c r="CY170">
        <v>2.895664127752105E-4</v>
      </c>
      <c r="CZ170">
        <v>1.7556208843351001E-4</v>
      </c>
      <c r="DA170">
        <v>0</v>
      </c>
      <c r="DB170">
        <v>2.7270050522024733E-4</v>
      </c>
      <c r="DC170">
        <v>5.8492375557848053E-4</v>
      </c>
      <c r="DD170">
        <v>0</v>
      </c>
      <c r="DE170">
        <v>7.891921468610579E-4</v>
      </c>
      <c r="DF170">
        <v>0</v>
      </c>
      <c r="DG170">
        <v>7.1755242420075665E-4</v>
      </c>
      <c r="DH170">
        <v>0</v>
      </c>
      <c r="DI170">
        <v>1.1274012566534041E-9</v>
      </c>
      <c r="DJ170">
        <v>0</v>
      </c>
      <c r="DK170">
        <v>5.0902394682187573E-4</v>
      </c>
      <c r="DL170">
        <v>0</v>
      </c>
      <c r="DM170">
        <v>7.6100635900294277E-4</v>
      </c>
      <c r="DN170">
        <v>0</v>
      </c>
      <c r="DO170">
        <v>1.4076458442394541E-3</v>
      </c>
      <c r="DP170">
        <v>1.8869396888515958E-3</v>
      </c>
      <c r="DQ170">
        <v>4.8516013204774757E-4</v>
      </c>
      <c r="DR170">
        <v>5.6294792692834219E-4</v>
      </c>
      <c r="DS170">
        <v>6.7832211955620497E-4</v>
      </c>
      <c r="DT170">
        <v>4.4778458330705853E-4</v>
      </c>
      <c r="DU170">
        <v>2.1052756214898571E-4</v>
      </c>
      <c r="DV170">
        <v>5.8731981520448843E-4</v>
      </c>
      <c r="DW170">
        <v>1.6823405352634472E-4</v>
      </c>
      <c r="DX170">
        <v>3.5850447800132911E-4</v>
      </c>
      <c r="DY170">
        <v>4.7965344222280547E-8</v>
      </c>
      <c r="DZ170">
        <v>0</v>
      </c>
      <c r="EA170">
        <v>5.2825373498958219E-5</v>
      </c>
      <c r="EB170">
        <v>4.0513079756636127E-5</v>
      </c>
      <c r="EC170">
        <v>6.7160471862501005E-5</v>
      </c>
      <c r="ED170">
        <v>3.5647645679287149E-5</v>
      </c>
      <c r="EE170">
        <v>4.067060371407625E-5</v>
      </c>
      <c r="EF170">
        <v>1.6210719519797681E-5</v>
      </c>
      <c r="EG170">
        <v>8.0597487520333769E-5</v>
      </c>
      <c r="EH170">
        <v>3.9067095674779775E-5</v>
      </c>
      <c r="EI170">
        <v>0</v>
      </c>
      <c r="EJ170">
        <v>0</v>
      </c>
      <c r="EK170">
        <v>0</v>
      </c>
      <c r="EL170">
        <v>5.7841815837132169E-5</v>
      </c>
      <c r="EM170">
        <v>6.6799103271346195E-5</v>
      </c>
      <c r="EN170">
        <v>6.6450870729946427E-5</v>
      </c>
      <c r="EO170">
        <v>1.3160457468975161E-4</v>
      </c>
      <c r="EP170">
        <v>1.3160457468975158E-4</v>
      </c>
      <c r="EQ170">
        <v>1.3160457468975161E-4</v>
      </c>
      <c r="ER170">
        <v>0</v>
      </c>
      <c r="ES170">
        <v>1.3160457468975161E-4</v>
      </c>
      <c r="ET170">
        <v>1.3160457468975158E-4</v>
      </c>
      <c r="EU170">
        <v>1.1071970538692258E-5</v>
      </c>
      <c r="EV170">
        <v>2.5192444472716384E-4</v>
      </c>
      <c r="EW170">
        <v>1.8993959980243898E-3</v>
      </c>
      <c r="EX170">
        <v>0</v>
      </c>
      <c r="EY170">
        <v>1.0491070947902157E-9</v>
      </c>
      <c r="EZ170">
        <v>1.5476264390014008E-8</v>
      </c>
      <c r="FA170">
        <v>1.2394388960460156E-10</v>
      </c>
      <c r="FB170">
        <v>2.3723509772959952E-10</v>
      </c>
      <c r="FC170">
        <v>3.3231548536137465E-4</v>
      </c>
      <c r="FD170">
        <v>1.5534186996310774E-4</v>
      </c>
      <c r="FE170">
        <v>4.3260727223125783E-4</v>
      </c>
      <c r="FF170">
        <v>2.0649326174324648E-8</v>
      </c>
      <c r="FG170">
        <v>1.1873923626264138E-9</v>
      </c>
      <c r="FH170">
        <v>8.0637806702825454E-4</v>
      </c>
      <c r="FI170">
        <v>4.4574794770451206E-9</v>
      </c>
      <c r="FJ170">
        <v>8.7964297360622155E-9</v>
      </c>
      <c r="FK170">
        <v>1.6651852590539636E-10</v>
      </c>
      <c r="FL170">
        <v>5.4280493018411806E-2</v>
      </c>
      <c r="FM170">
        <v>0.20621860232534656</v>
      </c>
      <c r="FN170">
        <v>0.17338607947837265</v>
      </c>
      <c r="FO170">
        <v>4.5427447036933705E-3</v>
      </c>
      <c r="FP170">
        <v>1.0300225264889768E-3</v>
      </c>
      <c r="FQ170">
        <v>4.0752847341191643E-4</v>
      </c>
      <c r="FR170">
        <v>7.4829161821537808E-4</v>
      </c>
      <c r="FS170">
        <v>4.9711053648944688E-4</v>
      </c>
      <c r="FT170">
        <v>9.6032598589333249E-3</v>
      </c>
      <c r="FU170">
        <v>2.0853275590660583E-3</v>
      </c>
      <c r="FV170">
        <v>1.2801938659146399E-3</v>
      </c>
      <c r="FW170">
        <v>2.8195609870680744E-3</v>
      </c>
      <c r="FX170">
        <v>2.8249590068511817E-3</v>
      </c>
      <c r="FY170">
        <v>2.771563508250851E-3</v>
      </c>
      <c r="FZ170">
        <v>2.6853889522832999E-3</v>
      </c>
      <c r="GA170">
        <v>2.8386995151595501E-3</v>
      </c>
      <c r="GB170">
        <v>2.83149019343539E-3</v>
      </c>
      <c r="GC170">
        <v>2.8151287088392166E-3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2.4714789714421225E-3</v>
      </c>
      <c r="GJ170">
        <v>2.5592288133030397E-3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9.9124832284604782E-5</v>
      </c>
      <c r="GR170">
        <v>1.0839826522939671E-3</v>
      </c>
      <c r="GS170">
        <v>8.2317258160230408E-5</v>
      </c>
      <c r="GT170">
        <v>5.582070762210752E-5</v>
      </c>
      <c r="GU170">
        <v>0</v>
      </c>
    </row>
    <row r="171" spans="1:203">
      <c r="A171" t="s">
        <v>309</v>
      </c>
      <c r="B171">
        <v>168</v>
      </c>
      <c r="C171" t="s">
        <v>28</v>
      </c>
      <c r="D171">
        <v>1.0854630757234068E-5</v>
      </c>
      <c r="E171">
        <v>0</v>
      </c>
      <c r="F171">
        <v>4.973954898596649E-6</v>
      </c>
      <c r="G171">
        <v>6.5270607955485666E-3</v>
      </c>
      <c r="H171">
        <v>1.2459697542866008E-3</v>
      </c>
      <c r="I171">
        <v>0</v>
      </c>
      <c r="J171">
        <v>0</v>
      </c>
      <c r="K171">
        <v>8.0271842044925823E-3</v>
      </c>
      <c r="L171">
        <v>2.1252071863810842E-4</v>
      </c>
      <c r="M171">
        <v>5.10076215190881E-4</v>
      </c>
      <c r="N171">
        <v>1.1709783549245587E-4</v>
      </c>
      <c r="O171">
        <v>9.7009982398741761E-6</v>
      </c>
      <c r="P171">
        <v>3.5454149344376048E-5</v>
      </c>
      <c r="Q171">
        <v>2.1747385463943597E-3</v>
      </c>
      <c r="R171">
        <v>0</v>
      </c>
      <c r="S171">
        <v>0</v>
      </c>
      <c r="T171">
        <v>0</v>
      </c>
      <c r="U171">
        <v>1.5699080678867464E-3</v>
      </c>
      <c r="V171">
        <v>4.7647636792451219E-3</v>
      </c>
      <c r="W171">
        <v>2.5986085731062982E-4</v>
      </c>
      <c r="X171">
        <v>0</v>
      </c>
      <c r="Y171">
        <v>0</v>
      </c>
      <c r="Z171">
        <v>0</v>
      </c>
      <c r="AA171">
        <v>2.5986085731062982E-4</v>
      </c>
      <c r="AB171">
        <v>0</v>
      </c>
      <c r="AC171">
        <v>0</v>
      </c>
      <c r="AD171">
        <v>0</v>
      </c>
      <c r="AE171">
        <v>3.482297335681758E-6</v>
      </c>
      <c r="AF171">
        <v>3.1993598272204559E-8</v>
      </c>
      <c r="AG171">
        <v>0</v>
      </c>
      <c r="AH171">
        <v>0</v>
      </c>
      <c r="AI171">
        <v>2.4775974028261609E-7</v>
      </c>
      <c r="AJ171">
        <v>6.5547208519894777E-4</v>
      </c>
      <c r="AK171">
        <v>0</v>
      </c>
      <c r="AL171">
        <v>9.4033020418985826E-9</v>
      </c>
      <c r="AM171">
        <v>0</v>
      </c>
      <c r="AN171">
        <v>4.2529349416889591E-8</v>
      </c>
      <c r="AO171">
        <v>7.1258840629010703E-7</v>
      </c>
      <c r="AP171">
        <v>1.1572776789597113E-5</v>
      </c>
      <c r="AQ171">
        <v>1.365098756092734E-8</v>
      </c>
      <c r="AR171">
        <v>1.3143616342559466E-9</v>
      </c>
      <c r="AS171">
        <v>5.3385841891524927E-3</v>
      </c>
      <c r="AT171">
        <v>5.0466509407429551E-7</v>
      </c>
      <c r="AU171">
        <v>7.1477299327973358E-5</v>
      </c>
      <c r="AV171">
        <v>5.2221929591144661E-5</v>
      </c>
      <c r="AW171">
        <v>4.8068321269195284E-4</v>
      </c>
      <c r="AX171">
        <v>9.3286269517886666E-3</v>
      </c>
      <c r="AY171">
        <v>3.6250966143575418E-3</v>
      </c>
      <c r="AZ171">
        <v>4.2744634215205789E-3</v>
      </c>
      <c r="BA171">
        <v>3.0579506506262996E-3</v>
      </c>
      <c r="BB171">
        <v>2.8028847800155503E-3</v>
      </c>
      <c r="BC171">
        <v>2.5102889286879844E-3</v>
      </c>
      <c r="BD171">
        <v>1.9932601340048642E-3</v>
      </c>
      <c r="BE171">
        <v>2.0993914611143927E-4</v>
      </c>
      <c r="BF171">
        <v>3.61264354389203E-3</v>
      </c>
      <c r="BG171">
        <v>5.066718612424981E-3</v>
      </c>
      <c r="BH171">
        <v>3.647117035242381E-2</v>
      </c>
      <c r="BI171">
        <v>2.769968985122437E-3</v>
      </c>
      <c r="BJ171">
        <v>0</v>
      </c>
      <c r="BK171">
        <v>2.2565890063180774E-3</v>
      </c>
      <c r="BL171">
        <v>0</v>
      </c>
      <c r="BM171">
        <v>3.6660839850284374E-3</v>
      </c>
      <c r="BN171">
        <v>9.0130444055044143E-3</v>
      </c>
      <c r="BO171">
        <v>2.6127558463779513E-3</v>
      </c>
      <c r="BP171">
        <v>0</v>
      </c>
      <c r="BQ171">
        <v>2.6127558463779513E-3</v>
      </c>
      <c r="BR171">
        <v>3.1585493884276625E-3</v>
      </c>
      <c r="BS171">
        <v>0</v>
      </c>
      <c r="BT171">
        <v>0</v>
      </c>
      <c r="BU171">
        <v>3.1585493884276625E-3</v>
      </c>
      <c r="BV171">
        <v>3.1585493884276625E-3</v>
      </c>
      <c r="BW171">
        <v>3.1585493884276629E-3</v>
      </c>
      <c r="BX171">
        <v>3.1585493884276629E-3</v>
      </c>
      <c r="BY171">
        <v>3.1585493884276625E-3</v>
      </c>
      <c r="BZ171">
        <v>3.1585493884276625E-3</v>
      </c>
      <c r="CA171">
        <v>3.1585493884276629E-3</v>
      </c>
      <c r="CB171">
        <v>0</v>
      </c>
      <c r="CC171">
        <v>3.1585493884276621E-3</v>
      </c>
      <c r="CD171">
        <v>3.1585493884276629E-3</v>
      </c>
      <c r="CE171">
        <v>3.1585493884276629E-3</v>
      </c>
      <c r="CF171">
        <v>3.1585493884276629E-3</v>
      </c>
      <c r="CG171">
        <v>3.1585493884276625E-3</v>
      </c>
      <c r="CH171">
        <v>3.1585493884276625E-3</v>
      </c>
      <c r="CI171">
        <v>3.1585493884276629E-3</v>
      </c>
      <c r="CJ171">
        <v>5.0167228460769172E-5</v>
      </c>
      <c r="CK171">
        <v>6.6833444408016492E-5</v>
      </c>
      <c r="CL171">
        <v>0</v>
      </c>
      <c r="CM171">
        <v>2.0307814262300089E-3</v>
      </c>
      <c r="CN171">
        <v>2.9135950118428446E-3</v>
      </c>
      <c r="CO171">
        <v>1.4160648683646476E-3</v>
      </c>
      <c r="CP171">
        <v>0</v>
      </c>
      <c r="CQ171">
        <v>1.4160648683646474E-3</v>
      </c>
      <c r="CR171">
        <v>0</v>
      </c>
      <c r="CS171">
        <v>1.4160648683646476E-3</v>
      </c>
      <c r="CT171">
        <v>0</v>
      </c>
      <c r="CU171">
        <v>2.7419924222884611E-3</v>
      </c>
      <c r="CV171">
        <v>2.2474291410541848E-3</v>
      </c>
      <c r="CW171">
        <v>0</v>
      </c>
      <c r="CX171">
        <v>4.961527531187504E-3</v>
      </c>
      <c r="CY171">
        <v>2.1551752024404494E-3</v>
      </c>
      <c r="CZ171">
        <v>2.3074794204918786E-3</v>
      </c>
      <c r="DA171">
        <v>0</v>
      </c>
      <c r="DB171">
        <v>2.6842175452611436E-3</v>
      </c>
      <c r="DC171">
        <v>6.5445895909355741E-4</v>
      </c>
      <c r="DD171">
        <v>0</v>
      </c>
      <c r="DE171">
        <v>1.56773181608384E-3</v>
      </c>
      <c r="DF171">
        <v>0</v>
      </c>
      <c r="DG171">
        <v>1.0509073858054406E-3</v>
      </c>
      <c r="DH171">
        <v>0</v>
      </c>
      <c r="DI171">
        <v>1.0254359428345813E-9</v>
      </c>
      <c r="DJ171">
        <v>0</v>
      </c>
      <c r="DK171">
        <v>4.988287484987738E-4</v>
      </c>
      <c r="DL171">
        <v>0</v>
      </c>
      <c r="DM171">
        <v>2.3980583735116411E-3</v>
      </c>
      <c r="DN171">
        <v>0</v>
      </c>
      <c r="DO171">
        <v>1.7293013228042195E-3</v>
      </c>
      <c r="DP171">
        <v>2.3133682330711471E-3</v>
      </c>
      <c r="DQ171">
        <v>1.5230841215917196E-3</v>
      </c>
      <c r="DR171">
        <v>1.5220752745289221E-3</v>
      </c>
      <c r="DS171">
        <v>2.7880171936854733E-3</v>
      </c>
      <c r="DT171">
        <v>8.2933912351860052E-4</v>
      </c>
      <c r="DU171">
        <v>2.012045240921142E-3</v>
      </c>
      <c r="DV171">
        <v>6.7345740556353623E-4</v>
      </c>
      <c r="DW171">
        <v>9.0511460053927309E-4</v>
      </c>
      <c r="DX171">
        <v>2.2987594572975831E-3</v>
      </c>
      <c r="DY171">
        <v>1.0320493280652625E-7</v>
      </c>
      <c r="DZ171">
        <v>0</v>
      </c>
      <c r="EA171">
        <v>3.1142393202372161E-3</v>
      </c>
      <c r="EB171">
        <v>2.2092424612502903E-3</v>
      </c>
      <c r="EC171">
        <v>3.1393483378918956E-3</v>
      </c>
      <c r="ED171">
        <v>2.3431690951561859E-3</v>
      </c>
      <c r="EE171">
        <v>2.5797557312391673E-3</v>
      </c>
      <c r="EF171">
        <v>8.9328507878406332E-4</v>
      </c>
      <c r="EG171">
        <v>4.639578550050978E-3</v>
      </c>
      <c r="EH171">
        <v>2.5027415053333487E-3</v>
      </c>
      <c r="EI171">
        <v>0</v>
      </c>
      <c r="EJ171">
        <v>0</v>
      </c>
      <c r="EK171">
        <v>0</v>
      </c>
      <c r="EL171">
        <v>3.8112234561549002E-3</v>
      </c>
      <c r="EM171">
        <v>4.3983810194511263E-3</v>
      </c>
      <c r="EN171">
        <v>4.3689910649351207E-3</v>
      </c>
      <c r="EO171">
        <v>2.8525383504153712E-5</v>
      </c>
      <c r="EP171">
        <v>2.8525383504153708E-5</v>
      </c>
      <c r="EQ171">
        <v>2.8525383504153712E-5</v>
      </c>
      <c r="ER171">
        <v>0</v>
      </c>
      <c r="ES171">
        <v>2.8525383504153708E-5</v>
      </c>
      <c r="ET171">
        <v>2.8525383504153708E-5</v>
      </c>
      <c r="EU171">
        <v>2.0649369655360766E-6</v>
      </c>
      <c r="EV171">
        <v>3.6703996948632857E-5</v>
      </c>
      <c r="EW171">
        <v>2.4512694754060859E-3</v>
      </c>
      <c r="EX171">
        <v>0</v>
      </c>
      <c r="EY171">
        <v>1.0563979683411772E-9</v>
      </c>
      <c r="EZ171">
        <v>1.4917270550857975E-8</v>
      </c>
      <c r="FA171">
        <v>1.2094772783125258E-10</v>
      </c>
      <c r="FB171">
        <v>2.3180194174582923E-10</v>
      </c>
      <c r="FC171">
        <v>4.3158647313553955E-3</v>
      </c>
      <c r="FD171">
        <v>2.206082200443979E-3</v>
      </c>
      <c r="FE171">
        <v>2.7836268583918745E-3</v>
      </c>
      <c r="FF171">
        <v>2.7564785677145521E-8</v>
      </c>
      <c r="FG171">
        <v>9.8987934062630875E-10</v>
      </c>
      <c r="FH171">
        <v>4.1409161035152963E-4</v>
      </c>
      <c r="FI171">
        <v>6.5039573401406328E-9</v>
      </c>
      <c r="FJ171">
        <v>6.3441600099491742E-4</v>
      </c>
      <c r="FK171">
        <v>1.8014144963185842E-10</v>
      </c>
      <c r="FL171">
        <v>1.209997781578393E-2</v>
      </c>
      <c r="FM171">
        <v>2.7385008823381456E-2</v>
      </c>
      <c r="FN171">
        <v>1.7840341353383193E-2</v>
      </c>
      <c r="FO171">
        <v>3.4470737618519263E-3</v>
      </c>
      <c r="FP171">
        <v>4.1126797037413065E-2</v>
      </c>
      <c r="FQ171">
        <v>2.4397344665371985E-2</v>
      </c>
      <c r="FR171">
        <v>9.2652364583594663E-3</v>
      </c>
      <c r="FS171">
        <v>3.1571300416457733E-2</v>
      </c>
      <c r="FT171">
        <v>4.5519382764405E-3</v>
      </c>
      <c r="FU171">
        <v>1.7861788772053511E-2</v>
      </c>
      <c r="FV171">
        <v>3.144938023454847E-2</v>
      </c>
      <c r="FW171">
        <v>2.3930555982160347E-3</v>
      </c>
      <c r="FX171">
        <v>2.3914141827551796E-3</v>
      </c>
      <c r="FY171">
        <v>2.3358578790382768E-3</v>
      </c>
      <c r="FZ171">
        <v>2.290608749212217E-3</v>
      </c>
      <c r="GA171">
        <v>2.3958906128654215E-3</v>
      </c>
      <c r="GB171">
        <v>2.3916185555381349E-3</v>
      </c>
      <c r="GC171">
        <v>2.3799256391804592E-3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2.1066480730343403E-3</v>
      </c>
      <c r="GJ171">
        <v>2.1799387517925936E-3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1.6361143490772247E-2</v>
      </c>
      <c r="GR171">
        <v>3.032662914164401E-2</v>
      </c>
      <c r="GS171">
        <v>1.2308257929690905E-2</v>
      </c>
      <c r="GT171">
        <v>6.9840677652785159E-6</v>
      </c>
      <c r="GU171">
        <v>0</v>
      </c>
    </row>
    <row r="172" spans="1:203">
      <c r="A172" t="s">
        <v>310</v>
      </c>
      <c r="B172">
        <v>169</v>
      </c>
      <c r="C172" t="s">
        <v>29</v>
      </c>
      <c r="D172">
        <v>2.7828623502783398E-8</v>
      </c>
      <c r="E172">
        <v>2.2637949221787855E-5</v>
      </c>
      <c r="F172">
        <v>2.7905124271031953E-5</v>
      </c>
      <c r="G172">
        <v>4.1488168230727169E-4</v>
      </c>
      <c r="H172">
        <v>6.5971650659258808E-5</v>
      </c>
      <c r="I172">
        <v>0</v>
      </c>
      <c r="J172">
        <v>0</v>
      </c>
      <c r="K172">
        <v>1.1969390203120623E-3</v>
      </c>
      <c r="L172">
        <v>1.6591780429925284E-7</v>
      </c>
      <c r="M172">
        <v>3.2382739450276675E-5</v>
      </c>
      <c r="N172">
        <v>1.47239756556245E-6</v>
      </c>
      <c r="O172">
        <v>1.338765734441733E-6</v>
      </c>
      <c r="P172">
        <v>9.0004202345539407E-6</v>
      </c>
      <c r="Q172">
        <v>2.6552102168462584E-4</v>
      </c>
      <c r="R172">
        <v>0</v>
      </c>
      <c r="S172">
        <v>0</v>
      </c>
      <c r="T172">
        <v>0</v>
      </c>
      <c r="U172">
        <v>4.7188424623486062E-4</v>
      </c>
      <c r="V172">
        <v>6.4845486520382278E-4</v>
      </c>
      <c r="W172">
        <v>6.6687958743401939E-3</v>
      </c>
      <c r="X172">
        <v>0</v>
      </c>
      <c r="Y172">
        <v>0</v>
      </c>
      <c r="Z172">
        <v>0</v>
      </c>
      <c r="AA172">
        <v>6.6687958743401931E-3</v>
      </c>
      <c r="AB172">
        <v>0</v>
      </c>
      <c r="AC172">
        <v>0</v>
      </c>
      <c r="AD172">
        <v>0</v>
      </c>
      <c r="AE172">
        <v>1.0383949111212817E-4</v>
      </c>
      <c r="AF172">
        <v>3.2233579761592864E-8</v>
      </c>
      <c r="AG172">
        <v>0</v>
      </c>
      <c r="AH172">
        <v>0</v>
      </c>
      <c r="AI172">
        <v>1.9025185921416722E-7</v>
      </c>
      <c r="AJ172">
        <v>2.6688173581098784E-5</v>
      </c>
      <c r="AK172">
        <v>0</v>
      </c>
      <c r="AL172">
        <v>8.3858122345871886E-9</v>
      </c>
      <c r="AM172">
        <v>0</v>
      </c>
      <c r="AN172">
        <v>3.8214488008664906E-8</v>
      </c>
      <c r="AO172">
        <v>6.8260064672145031E-7</v>
      </c>
      <c r="AP172">
        <v>6.6130490392235106E-6</v>
      </c>
      <c r="AQ172">
        <v>5.3576963449588213E-9</v>
      </c>
      <c r="AR172">
        <v>1.213517953223486E-9</v>
      </c>
      <c r="AS172">
        <v>2.5307516234894506E-4</v>
      </c>
      <c r="AT172">
        <v>4.1986831786562636E-8</v>
      </c>
      <c r="AU172">
        <v>7.6635667072354129E-5</v>
      </c>
      <c r="AV172">
        <v>1.2774454460276669E-5</v>
      </c>
      <c r="AW172">
        <v>1.2743492710168209E-3</v>
      </c>
      <c r="AX172">
        <v>7.6976700007989152E-6</v>
      </c>
      <c r="AY172">
        <v>2.527509455048755E-3</v>
      </c>
      <c r="AZ172">
        <v>3.6907401844310862E-5</v>
      </c>
      <c r="BA172">
        <v>4.5844552484397441E-4</v>
      </c>
      <c r="BB172">
        <v>8.8791400049584984E-4</v>
      </c>
      <c r="BC172">
        <v>3.8051409831227809E-3</v>
      </c>
      <c r="BD172">
        <v>1.2534889218974964E-3</v>
      </c>
      <c r="BE172">
        <v>1.9073384395399991E-8</v>
      </c>
      <c r="BF172">
        <v>4.422269678331976E-3</v>
      </c>
      <c r="BG172">
        <v>6.7239299309020204E-3</v>
      </c>
      <c r="BH172">
        <v>5.1862810646267623E-3</v>
      </c>
      <c r="BI172">
        <v>2.6934142193310016E-3</v>
      </c>
      <c r="BJ172">
        <v>0</v>
      </c>
      <c r="BK172">
        <v>9.0149630507486777E-5</v>
      </c>
      <c r="BL172">
        <v>0</v>
      </c>
      <c r="BM172">
        <v>1.7417049609321478E-3</v>
      </c>
      <c r="BN172">
        <v>1.964115572382564E-7</v>
      </c>
      <c r="BO172">
        <v>1.0605861061785109E-2</v>
      </c>
      <c r="BP172">
        <v>0</v>
      </c>
      <c r="BQ172">
        <v>1.0605861061785109E-2</v>
      </c>
      <c r="BR172">
        <v>5.7924925565648105E-3</v>
      </c>
      <c r="BS172">
        <v>0</v>
      </c>
      <c r="BT172">
        <v>0</v>
      </c>
      <c r="BU172">
        <v>5.7924925565648088E-3</v>
      </c>
      <c r="BV172">
        <v>5.7924925565648096E-3</v>
      </c>
      <c r="BW172">
        <v>5.7924925565648096E-3</v>
      </c>
      <c r="BX172">
        <v>5.7924925565648096E-3</v>
      </c>
      <c r="BY172">
        <v>5.7924925565648096E-3</v>
      </c>
      <c r="BZ172">
        <v>5.7924925565648096E-3</v>
      </c>
      <c r="CA172">
        <v>5.7924925565648105E-3</v>
      </c>
      <c r="CB172">
        <v>0</v>
      </c>
      <c r="CC172">
        <v>5.7924925565648096E-3</v>
      </c>
      <c r="CD172">
        <v>5.7924925565648088E-3</v>
      </c>
      <c r="CE172">
        <v>5.7924925565648096E-3</v>
      </c>
      <c r="CF172">
        <v>5.7924925565648096E-3</v>
      </c>
      <c r="CG172">
        <v>5.7924925565648105E-3</v>
      </c>
      <c r="CH172">
        <v>5.7924925565648105E-3</v>
      </c>
      <c r="CI172">
        <v>5.7924925565648096E-3</v>
      </c>
      <c r="CJ172">
        <v>6.4570783692783195E-5</v>
      </c>
      <c r="CK172">
        <v>4.1851200356078671E-4</v>
      </c>
      <c r="CL172">
        <v>0</v>
      </c>
      <c r="CM172">
        <v>1.6430228519297176E-3</v>
      </c>
      <c r="CN172">
        <v>1.5209795328223624E-3</v>
      </c>
      <c r="CO172">
        <v>1.0743894461558977E-2</v>
      </c>
      <c r="CP172">
        <v>0</v>
      </c>
      <c r="CQ172">
        <v>1.0743894461558979E-2</v>
      </c>
      <c r="CR172">
        <v>0</v>
      </c>
      <c r="CS172">
        <v>1.0743894461558981E-2</v>
      </c>
      <c r="CT172">
        <v>0</v>
      </c>
      <c r="CU172">
        <v>4.7816536230843075E-3</v>
      </c>
      <c r="CV172">
        <v>2.279633948367605E-3</v>
      </c>
      <c r="CW172">
        <v>0</v>
      </c>
      <c r="CX172">
        <v>4.3633985159502112E-4</v>
      </c>
      <c r="CY172">
        <v>1.3171476403114369E-5</v>
      </c>
      <c r="CZ172">
        <v>1.6797701455045872E-8</v>
      </c>
      <c r="DA172">
        <v>0</v>
      </c>
      <c r="DB172">
        <v>1.0312959093357391E-3</v>
      </c>
      <c r="DC172">
        <v>3.5165166964488195E-3</v>
      </c>
      <c r="DD172">
        <v>0</v>
      </c>
      <c r="DE172">
        <v>2.1993036652741466E-2</v>
      </c>
      <c r="DF172">
        <v>0</v>
      </c>
      <c r="DG172">
        <v>1.2074726708968343E-2</v>
      </c>
      <c r="DH172">
        <v>0</v>
      </c>
      <c r="DI172">
        <v>1.0168573941754798E-9</v>
      </c>
      <c r="DJ172">
        <v>0</v>
      </c>
      <c r="DK172">
        <v>4.4282974217385376E-3</v>
      </c>
      <c r="DL172">
        <v>0</v>
      </c>
      <c r="DM172">
        <v>3.0690180384605869E-2</v>
      </c>
      <c r="DN172">
        <v>0</v>
      </c>
      <c r="DO172">
        <v>2.3552503766927843E-2</v>
      </c>
      <c r="DP172">
        <v>6.5486396302832598E-3</v>
      </c>
      <c r="DQ172">
        <v>4.5242222293171604E-3</v>
      </c>
      <c r="DR172">
        <v>1.6439692446375122E-3</v>
      </c>
      <c r="DS172">
        <v>3.6788837982110792E-3</v>
      </c>
      <c r="DT172">
        <v>3.1545589533273997E-3</v>
      </c>
      <c r="DU172">
        <v>3.5304112962389182E-3</v>
      </c>
      <c r="DV172">
        <v>2.3633743675743042E-4</v>
      </c>
      <c r="DW172">
        <v>2.3130233184412374E-8</v>
      </c>
      <c r="DX172">
        <v>2.8017572124947494E-3</v>
      </c>
      <c r="DY172">
        <v>7.3858320494260807E-9</v>
      </c>
      <c r="DZ172">
        <v>0</v>
      </c>
      <c r="EA172">
        <v>6.1775919798134661E-3</v>
      </c>
      <c r="EB172">
        <v>4.5380462259863993E-3</v>
      </c>
      <c r="EC172">
        <v>3.7344485703416017E-3</v>
      </c>
      <c r="ED172">
        <v>2.7548256985019215E-3</v>
      </c>
      <c r="EE172">
        <v>3.2285850361374433E-3</v>
      </c>
      <c r="EF172">
        <v>2.9332453533872417E-6</v>
      </c>
      <c r="EG172">
        <v>8.2589095245807367E-5</v>
      </c>
      <c r="EH172">
        <v>3.2122209354561401E-3</v>
      </c>
      <c r="EI172">
        <v>0</v>
      </c>
      <c r="EJ172">
        <v>0</v>
      </c>
      <c r="EK172">
        <v>0</v>
      </c>
      <c r="EL172">
        <v>6.6007236904050918E-3</v>
      </c>
      <c r="EM172">
        <v>7.5370961985174421E-3</v>
      </c>
      <c r="EN172">
        <v>7.6728824969552545E-3</v>
      </c>
      <c r="EO172">
        <v>4.4012561590776699E-4</v>
      </c>
      <c r="EP172">
        <v>4.4012561590776693E-4</v>
      </c>
      <c r="EQ172">
        <v>4.4012561590776699E-4</v>
      </c>
      <c r="ER172">
        <v>0</v>
      </c>
      <c r="ES172">
        <v>4.4012561590776699E-4</v>
      </c>
      <c r="ET172">
        <v>4.4012561590776699E-4</v>
      </c>
      <c r="EU172">
        <v>3.0386929353305335E-5</v>
      </c>
      <c r="EV172">
        <v>8.1513601730829179E-4</v>
      </c>
      <c r="EW172">
        <v>8.3196279486277853E-3</v>
      </c>
      <c r="EX172">
        <v>0</v>
      </c>
      <c r="EY172">
        <v>1.0326998911270734E-9</v>
      </c>
      <c r="EZ172">
        <v>1.4324848503033651E-8</v>
      </c>
      <c r="FA172">
        <v>1.1320607032751387E-10</v>
      </c>
      <c r="FB172">
        <v>2.1821356016779951E-10</v>
      </c>
      <c r="FC172">
        <v>1.5133330060131795E-4</v>
      </c>
      <c r="FD172">
        <v>1.1385452787976248E-8</v>
      </c>
      <c r="FE172">
        <v>1.2139018183968204E-8</v>
      </c>
      <c r="FF172">
        <v>1.2634377920910987E-8</v>
      </c>
      <c r="FG172">
        <v>9.6035888399446899E-10</v>
      </c>
      <c r="FH172">
        <v>2.5357720054970832E-7</v>
      </c>
      <c r="FI172">
        <v>2.199007430270262E-9</v>
      </c>
      <c r="FJ172">
        <v>1.9634284074950869E-9</v>
      </c>
      <c r="FK172">
        <v>1.3012569397024417E-10</v>
      </c>
      <c r="FL172">
        <v>5.6646355947444167E-6</v>
      </c>
      <c r="FM172">
        <v>3.255711801913359E-4</v>
      </c>
      <c r="FN172">
        <v>3.1758777193160271E-4</v>
      </c>
      <c r="FO172">
        <v>7.6088040933062585E-9</v>
      </c>
      <c r="FP172">
        <v>4.4519492763310957E-2</v>
      </c>
      <c r="FQ172">
        <v>8.0411089555698354E-9</v>
      </c>
      <c r="FR172">
        <v>1.2734739671843491E-3</v>
      </c>
      <c r="FS172">
        <v>8.0774418586076708E-9</v>
      </c>
      <c r="FT172">
        <v>2.0332003121904989E-3</v>
      </c>
      <c r="FU172">
        <v>3.0689886300616941E-3</v>
      </c>
      <c r="FV172">
        <v>1.7695291816472376E-3</v>
      </c>
      <c r="FW172">
        <v>1.8511703372349434E-3</v>
      </c>
      <c r="FX172">
        <v>1.8469989488998939E-3</v>
      </c>
      <c r="FY172">
        <v>1.7318607743034111E-3</v>
      </c>
      <c r="FZ172">
        <v>1.6229662741194756E-3</v>
      </c>
      <c r="GA172">
        <v>1.838983418083705E-3</v>
      </c>
      <c r="GB172">
        <v>1.8309507465290467E-3</v>
      </c>
      <c r="GC172">
        <v>1.817861335251788E-3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1.5594381470009206E-3</v>
      </c>
      <c r="GJ172">
        <v>1.6464865095878736E-3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1.4314112097050362E-3</v>
      </c>
      <c r="GR172">
        <v>4.0640539244722789E-3</v>
      </c>
      <c r="GS172">
        <v>1.0223930062559046E-3</v>
      </c>
      <c r="GT172">
        <v>1.3616994835874025E-6</v>
      </c>
      <c r="GU172">
        <v>0</v>
      </c>
    </row>
    <row r="173" spans="1:203">
      <c r="A173" t="s">
        <v>311</v>
      </c>
      <c r="B173">
        <v>170</v>
      </c>
      <c r="C173" t="s">
        <v>26</v>
      </c>
      <c r="D173">
        <v>7.0401911830383823E-6</v>
      </c>
      <c r="E173">
        <v>1.8855263585967988E-5</v>
      </c>
      <c r="F173">
        <v>5.7177827808554791E-6</v>
      </c>
      <c r="G173">
        <v>9.5156193496101159E-6</v>
      </c>
      <c r="H173">
        <v>1.5947875338290252E-6</v>
      </c>
      <c r="I173">
        <v>0</v>
      </c>
      <c r="J173">
        <v>0</v>
      </c>
      <c r="K173">
        <v>4.1130667294685875E-6</v>
      </c>
      <c r="L173">
        <v>2.4907806425479156E-7</v>
      </c>
      <c r="M173">
        <v>8.8259380542205301E-7</v>
      </c>
      <c r="N173">
        <v>2.2957531736324826E-5</v>
      </c>
      <c r="O173">
        <v>1.1729198342463416E-5</v>
      </c>
      <c r="P173">
        <v>7.3014988844680053E-6</v>
      </c>
      <c r="Q173">
        <v>2.5931693417425773E-6</v>
      </c>
      <c r="R173">
        <v>0</v>
      </c>
      <c r="S173">
        <v>0</v>
      </c>
      <c r="T173">
        <v>0</v>
      </c>
      <c r="U173">
        <v>1.2538732362906496E-5</v>
      </c>
      <c r="V173">
        <v>1.7931553701526465E-4</v>
      </c>
      <c r="W173">
        <v>8.8660871889790485E-4</v>
      </c>
      <c r="X173">
        <v>0</v>
      </c>
      <c r="Y173">
        <v>0</v>
      </c>
      <c r="Z173">
        <v>0</v>
      </c>
      <c r="AA173">
        <v>8.8660871889790485E-4</v>
      </c>
      <c r="AB173">
        <v>0</v>
      </c>
      <c r="AC173">
        <v>0</v>
      </c>
      <c r="AD173">
        <v>0</v>
      </c>
      <c r="AE173">
        <v>6.5700918629406482E-6</v>
      </c>
      <c r="AF173">
        <v>5.6629008513767682E-8</v>
      </c>
      <c r="AG173">
        <v>0</v>
      </c>
      <c r="AH173">
        <v>0</v>
      </c>
      <c r="AI173">
        <v>1.1504820539898385E-6</v>
      </c>
      <c r="AJ173">
        <v>9.5991217595513066E-6</v>
      </c>
      <c r="AK173">
        <v>0</v>
      </c>
      <c r="AL173">
        <v>1.1459280728812873E-8</v>
      </c>
      <c r="AM173">
        <v>0</v>
      </c>
      <c r="AN173">
        <v>5.3097616213142706E-8</v>
      </c>
      <c r="AO173">
        <v>1.0359226035817071E-6</v>
      </c>
      <c r="AP173">
        <v>9.3274779717862828E-5</v>
      </c>
      <c r="AQ173">
        <v>2.4042390767274088E-8</v>
      </c>
      <c r="AR173">
        <v>1.5684323317006649E-9</v>
      </c>
      <c r="AS173">
        <v>1.6714042951840756E-5</v>
      </c>
      <c r="AT173">
        <v>2.6176490115560236E-5</v>
      </c>
      <c r="AU173">
        <v>8.7214725574122535E-5</v>
      </c>
      <c r="AV173">
        <v>6.0143517330476217E-5</v>
      </c>
      <c r="AW173">
        <v>2.1683195062641514E-4</v>
      </c>
      <c r="AX173">
        <v>4.6126004590219449E-4</v>
      </c>
      <c r="AY173">
        <v>1.3207552546529108E-3</v>
      </c>
      <c r="AZ173">
        <v>8.8878029038048088E-5</v>
      </c>
      <c r="BA173">
        <v>1.3266948688032216E-3</v>
      </c>
      <c r="BB173">
        <v>9.6791271675609331E-4</v>
      </c>
      <c r="BC173">
        <v>7.9506910844719739E-3</v>
      </c>
      <c r="BD173">
        <v>6.7214736715826256E-4</v>
      </c>
      <c r="BE173">
        <v>1.8017179708653978E-3</v>
      </c>
      <c r="BF173">
        <v>2.813258134965919E-3</v>
      </c>
      <c r="BG173">
        <v>3.3658653392648207E-3</v>
      </c>
      <c r="BH173">
        <v>1.4432078015898689E-3</v>
      </c>
      <c r="BI173">
        <v>9.5212278896887636E-4</v>
      </c>
      <c r="BJ173">
        <v>0</v>
      </c>
      <c r="BK173">
        <v>3.7149237414790928E-4</v>
      </c>
      <c r="BL173">
        <v>0</v>
      </c>
      <c r="BM173">
        <v>1.9232008307095995E-3</v>
      </c>
      <c r="BN173">
        <v>3.9438335702379488E-3</v>
      </c>
      <c r="BO173">
        <v>6.2823148464098691E-3</v>
      </c>
      <c r="BP173">
        <v>0</v>
      </c>
      <c r="BQ173">
        <v>6.2823148464098699E-3</v>
      </c>
      <c r="BR173">
        <v>5.0924831721529768E-3</v>
      </c>
      <c r="BS173">
        <v>0</v>
      </c>
      <c r="BT173">
        <v>0</v>
      </c>
      <c r="BU173">
        <v>5.092483172152976E-3</v>
      </c>
      <c r="BV173">
        <v>5.092483172152976E-3</v>
      </c>
      <c r="BW173">
        <v>5.0924831721529768E-3</v>
      </c>
      <c r="BX173">
        <v>5.0924831721529768E-3</v>
      </c>
      <c r="BY173">
        <v>5.0924831721529768E-3</v>
      </c>
      <c r="BZ173">
        <v>5.092483172152976E-3</v>
      </c>
      <c r="CA173">
        <v>5.0924831721529768E-3</v>
      </c>
      <c r="CB173">
        <v>0</v>
      </c>
      <c r="CC173">
        <v>5.0924831721529768E-3</v>
      </c>
      <c r="CD173">
        <v>5.092483172152976E-3</v>
      </c>
      <c r="CE173">
        <v>5.0924831721529768E-3</v>
      </c>
      <c r="CF173">
        <v>5.0924831721529768E-3</v>
      </c>
      <c r="CG173">
        <v>5.0924831721529768E-3</v>
      </c>
      <c r="CH173">
        <v>5.0924831721529768E-3</v>
      </c>
      <c r="CI173">
        <v>5.0924831721529768E-3</v>
      </c>
      <c r="CJ173">
        <v>4.0955729516788074E-3</v>
      </c>
      <c r="CK173">
        <v>6.7352189361576077E-5</v>
      </c>
      <c r="CL173">
        <v>0</v>
      </c>
      <c r="CM173">
        <v>2.9856317311742278E-3</v>
      </c>
      <c r="CN173">
        <v>5.1251572297339384E-3</v>
      </c>
      <c r="CO173">
        <v>5.3545649343978057E-3</v>
      </c>
      <c r="CP173">
        <v>0</v>
      </c>
      <c r="CQ173">
        <v>5.3545649343978057E-3</v>
      </c>
      <c r="CR173">
        <v>0</v>
      </c>
      <c r="CS173">
        <v>5.3545649343978065E-3</v>
      </c>
      <c r="CT173">
        <v>0</v>
      </c>
      <c r="CU173">
        <v>1.4094403785281024E-3</v>
      </c>
      <c r="CV173">
        <v>2.4158217334354524E-3</v>
      </c>
      <c r="CW173">
        <v>0</v>
      </c>
      <c r="CX173">
        <v>2.8478472685856278E-3</v>
      </c>
      <c r="CY173">
        <v>2.1691584287416023E-4</v>
      </c>
      <c r="CZ173">
        <v>2.0816240994785576E-4</v>
      </c>
      <c r="DA173">
        <v>0</v>
      </c>
      <c r="DB173">
        <v>9.0898046070063843E-4</v>
      </c>
      <c r="DC173">
        <v>1.4230446239619299E-3</v>
      </c>
      <c r="DD173">
        <v>0</v>
      </c>
      <c r="DE173">
        <v>3.6750737605106038E-3</v>
      </c>
      <c r="DF173">
        <v>0</v>
      </c>
      <c r="DG173">
        <v>2.5604095040825353E-3</v>
      </c>
      <c r="DH173">
        <v>0</v>
      </c>
      <c r="DI173">
        <v>1.2384579695577629E-9</v>
      </c>
      <c r="DJ173">
        <v>0</v>
      </c>
      <c r="DK173">
        <v>1.3185654319420215E-3</v>
      </c>
      <c r="DL173">
        <v>0</v>
      </c>
      <c r="DM173">
        <v>5.361607311566101E-3</v>
      </c>
      <c r="DN173">
        <v>0</v>
      </c>
      <c r="DO173">
        <v>8.9340865156534062E-3</v>
      </c>
      <c r="DP173">
        <v>2.6759369075768738E-3</v>
      </c>
      <c r="DQ173">
        <v>2.7917341752756028E-3</v>
      </c>
      <c r="DR173">
        <v>3.1144751130994467E-3</v>
      </c>
      <c r="DS173">
        <v>2.6283567478096433E-3</v>
      </c>
      <c r="DT173">
        <v>3.9453441254873279E-3</v>
      </c>
      <c r="DU173">
        <v>1.8276283849998866E-3</v>
      </c>
      <c r="DV173">
        <v>3.8483076701231403E-4</v>
      </c>
      <c r="DW173">
        <v>5.6882732794704544E-3</v>
      </c>
      <c r="DX173">
        <v>3.0925365148251195E-3</v>
      </c>
      <c r="DY173">
        <v>4.9104991750088696E-7</v>
      </c>
      <c r="DZ173">
        <v>0</v>
      </c>
      <c r="EA173">
        <v>4.8985967521439832E-3</v>
      </c>
      <c r="EB173">
        <v>3.481305884131901E-3</v>
      </c>
      <c r="EC173">
        <v>5.4492111249170713E-3</v>
      </c>
      <c r="ED173">
        <v>1.7172514997203896E-3</v>
      </c>
      <c r="EE173">
        <v>2.5208810795785139E-3</v>
      </c>
      <c r="EF173">
        <v>1.549711807162249E-3</v>
      </c>
      <c r="EG173">
        <v>7.4088144196832531E-3</v>
      </c>
      <c r="EH173">
        <v>3.1989295640080812E-3</v>
      </c>
      <c r="EI173">
        <v>0</v>
      </c>
      <c r="EJ173">
        <v>0</v>
      </c>
      <c r="EK173">
        <v>0</v>
      </c>
      <c r="EL173">
        <v>4.6888133599813078E-3</v>
      </c>
      <c r="EM173">
        <v>5.3233162864214411E-3</v>
      </c>
      <c r="EN173">
        <v>5.2031847795657102E-3</v>
      </c>
      <c r="EO173">
        <v>1.4620479649020345E-4</v>
      </c>
      <c r="EP173">
        <v>1.4620479649020342E-4</v>
      </c>
      <c r="EQ173">
        <v>1.4620479649020345E-4</v>
      </c>
      <c r="ER173">
        <v>0</v>
      </c>
      <c r="ES173">
        <v>1.4620479649020345E-4</v>
      </c>
      <c r="ET173">
        <v>1.4620479649020345E-4</v>
      </c>
      <c r="EU173">
        <v>3.9222961100548405E-6</v>
      </c>
      <c r="EV173">
        <v>2.8083669721203823E-4</v>
      </c>
      <c r="EW173">
        <v>1.5421979929436406E-3</v>
      </c>
      <c r="EX173">
        <v>0</v>
      </c>
      <c r="EY173">
        <v>1.0630326684004845E-9</v>
      </c>
      <c r="EZ173">
        <v>1.6576715629388743E-8</v>
      </c>
      <c r="FA173">
        <v>1.3446012072729707E-10</v>
      </c>
      <c r="FB173">
        <v>2.5560696853039815E-10</v>
      </c>
      <c r="FC173">
        <v>2.452455399742063E-4</v>
      </c>
      <c r="FD173">
        <v>1.9753339855871818E-4</v>
      </c>
      <c r="FE173">
        <v>2.7243792034831307E-4</v>
      </c>
      <c r="FF173">
        <v>3.918114689378213E-8</v>
      </c>
      <c r="FG173">
        <v>1.474951168946564E-9</v>
      </c>
      <c r="FH173">
        <v>1.7409480744949315E-3</v>
      </c>
      <c r="FI173">
        <v>2.9141339442523603E-8</v>
      </c>
      <c r="FJ173">
        <v>7.4664826652539999E-4</v>
      </c>
      <c r="FK173">
        <v>2.1642832377361466E-10</v>
      </c>
      <c r="FL173">
        <v>6.9067896046862785E-3</v>
      </c>
      <c r="FM173">
        <v>6.0677734718862638E-3</v>
      </c>
      <c r="FN173">
        <v>1.0787875592485983E-2</v>
      </c>
      <c r="FO173">
        <v>1.3431494332470535E-3</v>
      </c>
      <c r="FP173">
        <v>3.3102069562153101E-3</v>
      </c>
      <c r="FQ173">
        <v>2.1887209528126495E-2</v>
      </c>
      <c r="FR173">
        <v>3.6019723214332157E-3</v>
      </c>
      <c r="FS173">
        <v>3.2014576112505194E-3</v>
      </c>
      <c r="FT173">
        <v>3.2198629205404407E-3</v>
      </c>
      <c r="FU173">
        <v>3.6145243747963893E-3</v>
      </c>
      <c r="FV173">
        <v>8.4487535754101798E-4</v>
      </c>
      <c r="FW173">
        <v>3.9998201460746015E-3</v>
      </c>
      <c r="FX173">
        <v>3.9874932292801452E-3</v>
      </c>
      <c r="FY173">
        <v>3.6083351405859273E-3</v>
      </c>
      <c r="FZ173">
        <v>3.1768015304981727E-3</v>
      </c>
      <c r="GA173">
        <v>4.0234550863149218E-3</v>
      </c>
      <c r="GB173">
        <v>3.9120494375551691E-3</v>
      </c>
      <c r="GC173">
        <v>3.7387628595800648E-3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3.5175659390992249E-3</v>
      </c>
      <c r="GJ173">
        <v>3.6977355732681753E-3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6.2244150740675967E-4</v>
      </c>
      <c r="GR173">
        <v>5.9342074431835605E-3</v>
      </c>
      <c r="GS173">
        <v>6.0540523569876752E-4</v>
      </c>
      <c r="GT173">
        <v>3.1572988549734184E-7</v>
      </c>
      <c r="GU173">
        <v>0</v>
      </c>
    </row>
    <row r="174" spans="1:203">
      <c r="A174" t="s">
        <v>312</v>
      </c>
      <c r="B174">
        <v>171</v>
      </c>
      <c r="C174" t="s">
        <v>29</v>
      </c>
      <c r="D174">
        <v>4.2687211292164738E-9</v>
      </c>
      <c r="E174">
        <v>0</v>
      </c>
      <c r="F174">
        <v>0</v>
      </c>
      <c r="G174">
        <v>2.5375365703924361E-5</v>
      </c>
      <c r="H174">
        <v>7.214977131845043E-6</v>
      </c>
      <c r="I174">
        <v>0</v>
      </c>
      <c r="J174">
        <v>0</v>
      </c>
      <c r="K174">
        <v>8.9751826377169034E-5</v>
      </c>
      <c r="L174">
        <v>1.1894053625118978E-6</v>
      </c>
      <c r="M174">
        <v>1.9056983059214981E-6</v>
      </c>
      <c r="N174">
        <v>0</v>
      </c>
      <c r="O174">
        <v>5.7330613059824553E-5</v>
      </c>
      <c r="P174">
        <v>2.7817194541813049E-6</v>
      </c>
      <c r="Q174">
        <v>5.1230455985889805E-6</v>
      </c>
      <c r="R174">
        <v>0</v>
      </c>
      <c r="S174">
        <v>0</v>
      </c>
      <c r="T174">
        <v>0</v>
      </c>
      <c r="U174">
        <v>1.8128177282712178E-5</v>
      </c>
      <c r="V174">
        <v>1.9394332546473663E-3</v>
      </c>
      <c r="W174">
        <v>5.7901834818686296E-4</v>
      </c>
      <c r="X174">
        <v>0</v>
      </c>
      <c r="Y174">
        <v>0</v>
      </c>
      <c r="Z174">
        <v>0</v>
      </c>
      <c r="AA174">
        <v>5.7901834818686285E-4</v>
      </c>
      <c r="AB174">
        <v>0</v>
      </c>
      <c r="AC174">
        <v>0</v>
      </c>
      <c r="AD174">
        <v>0</v>
      </c>
      <c r="AE174">
        <v>1.9435917858224161E-5</v>
      </c>
      <c r="AF174">
        <v>3.36647294707907E-8</v>
      </c>
      <c r="AG174">
        <v>0</v>
      </c>
      <c r="AH174">
        <v>0</v>
      </c>
      <c r="AI174">
        <v>3.3877052884602514E-10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5.6858026599248873E-9</v>
      </c>
      <c r="AR174">
        <v>1.2415675291420514E-9</v>
      </c>
      <c r="AS174">
        <v>8.7244778782288146E-6</v>
      </c>
      <c r="AT174">
        <v>5.3071935993345616E-8</v>
      </c>
      <c r="AU174">
        <v>1.3852179078953119E-3</v>
      </c>
      <c r="AV174">
        <v>5.9269409350874117E-4</v>
      </c>
      <c r="AW174">
        <v>1.3849651475961254E-2</v>
      </c>
      <c r="AX174">
        <v>0</v>
      </c>
      <c r="AY174">
        <v>3.7920313190048006E-6</v>
      </c>
      <c r="AZ174">
        <v>0</v>
      </c>
      <c r="BA174">
        <v>1.1586764023264395E-3</v>
      </c>
      <c r="BB174">
        <v>9.2835036242929837E-4</v>
      </c>
      <c r="BC174">
        <v>4.29666235460269E-4</v>
      </c>
      <c r="BD174">
        <v>4.4496740908045126E-4</v>
      </c>
      <c r="BE174">
        <v>2.5436352907852087E-8</v>
      </c>
      <c r="BF174">
        <v>6.0778934723339944E-4</v>
      </c>
      <c r="BG174">
        <v>2.1560499873152507E-4</v>
      </c>
      <c r="BH174">
        <v>1.2244033672128129E-3</v>
      </c>
      <c r="BI174">
        <v>6.2406473783466231E-4</v>
      </c>
      <c r="BJ174">
        <v>0</v>
      </c>
      <c r="BK174">
        <v>4.1079530633742036E-3</v>
      </c>
      <c r="BL174">
        <v>0</v>
      </c>
      <c r="BM174">
        <v>1.2257506895413048E-3</v>
      </c>
      <c r="BN174">
        <v>9.51777763868394E-4</v>
      </c>
      <c r="BO174">
        <v>5.5090591693493375E-2</v>
      </c>
      <c r="BP174">
        <v>0</v>
      </c>
      <c r="BQ174">
        <v>5.5090591693493375E-2</v>
      </c>
      <c r="BR174">
        <v>2.623064577720258E-3</v>
      </c>
      <c r="BS174">
        <v>0</v>
      </c>
      <c r="BT174">
        <v>0</v>
      </c>
      <c r="BU174">
        <v>2.623064577720258E-3</v>
      </c>
      <c r="BV174">
        <v>2.623064577720258E-3</v>
      </c>
      <c r="BW174">
        <v>2.623064577720258E-3</v>
      </c>
      <c r="BX174">
        <v>2.623064577720258E-3</v>
      </c>
      <c r="BY174">
        <v>2.6230645777202584E-3</v>
      </c>
      <c r="BZ174">
        <v>2.623064577720258E-3</v>
      </c>
      <c r="CA174">
        <v>2.6230645777202584E-3</v>
      </c>
      <c r="CB174">
        <v>0</v>
      </c>
      <c r="CC174">
        <v>2.623064577720258E-3</v>
      </c>
      <c r="CD174">
        <v>2.623064577720258E-3</v>
      </c>
      <c r="CE174">
        <v>2.623064577720258E-3</v>
      </c>
      <c r="CF174">
        <v>2.623064577720258E-3</v>
      </c>
      <c r="CG174">
        <v>2.623064577720258E-3</v>
      </c>
      <c r="CH174">
        <v>2.623064577720258E-3</v>
      </c>
      <c r="CI174">
        <v>2.623064577720258E-3</v>
      </c>
      <c r="CJ174">
        <v>5.1152108775288446E-5</v>
      </c>
      <c r="CK174">
        <v>5.0678335938558229E-4</v>
      </c>
      <c r="CL174">
        <v>0</v>
      </c>
      <c r="CM174">
        <v>1.4739541137768658E-2</v>
      </c>
      <c r="CN174">
        <v>1.4635848155241448E-2</v>
      </c>
      <c r="CO174">
        <v>2.2426702538916109E-2</v>
      </c>
      <c r="CP174">
        <v>0</v>
      </c>
      <c r="CQ174">
        <v>2.2426702538916113E-2</v>
      </c>
      <c r="CR174">
        <v>0</v>
      </c>
      <c r="CS174">
        <v>2.2426702538916113E-2</v>
      </c>
      <c r="CT174">
        <v>0</v>
      </c>
      <c r="CU174">
        <v>1.5432106391089517E-3</v>
      </c>
      <c r="CV174">
        <v>8.5299114422896505E-3</v>
      </c>
      <c r="CW174">
        <v>0</v>
      </c>
      <c r="CX174">
        <v>1.8920796839793166E-3</v>
      </c>
      <c r="CY174">
        <v>1.6769658231658151E-3</v>
      </c>
      <c r="CZ174">
        <v>5.4283031790538077E-8</v>
      </c>
      <c r="DA174">
        <v>0</v>
      </c>
      <c r="DB174">
        <v>2.4522235508965952E-3</v>
      </c>
      <c r="DC174">
        <v>9.0050298756155344E-3</v>
      </c>
      <c r="DD174">
        <v>0</v>
      </c>
      <c r="DE174">
        <v>3.2405540556470743E-3</v>
      </c>
      <c r="DF174">
        <v>0</v>
      </c>
      <c r="DG174">
        <v>2.0134474508174418E-3</v>
      </c>
      <c r="DH174">
        <v>0</v>
      </c>
      <c r="DI174">
        <v>1.0356512674600407E-9</v>
      </c>
      <c r="DJ174">
        <v>0</v>
      </c>
      <c r="DK174">
        <v>8.1832216138594109E-4</v>
      </c>
      <c r="DL174">
        <v>0</v>
      </c>
      <c r="DM174">
        <v>4.6278030592675386E-3</v>
      </c>
      <c r="DN174">
        <v>0</v>
      </c>
      <c r="DO174">
        <v>2.0979159184495192E-4</v>
      </c>
      <c r="DP174">
        <v>4.7520166701416171E-3</v>
      </c>
      <c r="DQ174">
        <v>1.5959662163008804E-2</v>
      </c>
      <c r="DR174">
        <v>1.1339983852666826E-2</v>
      </c>
      <c r="DS174">
        <v>1.4651774579688422E-2</v>
      </c>
      <c r="DT174">
        <v>4.0523121708329869E-2</v>
      </c>
      <c r="DU174">
        <v>4.7282399697134256E-2</v>
      </c>
      <c r="DV174">
        <v>1.2868621120199025E-2</v>
      </c>
      <c r="DW174">
        <v>8.230879686106367E-4</v>
      </c>
      <c r="DX174">
        <v>2.8498912482437604E-3</v>
      </c>
      <c r="DY174">
        <v>9.1460557448523773E-9</v>
      </c>
      <c r="DZ174">
        <v>0</v>
      </c>
      <c r="EA174">
        <v>1.6678401183121604E-2</v>
      </c>
      <c r="EB174">
        <v>1.1913067866256039E-2</v>
      </c>
      <c r="EC174">
        <v>1.9167700733327069E-2</v>
      </c>
      <c r="ED174">
        <v>1.2882604780816816E-2</v>
      </c>
      <c r="EE174">
        <v>1.4780208835878062E-2</v>
      </c>
      <c r="EF174">
        <v>3.0713772386751774E-3</v>
      </c>
      <c r="EG174">
        <v>2.2317820287113946E-2</v>
      </c>
      <c r="EH174">
        <v>1.4166564209163445E-2</v>
      </c>
      <c r="EI174">
        <v>0</v>
      </c>
      <c r="EJ174">
        <v>0</v>
      </c>
      <c r="EK174">
        <v>0</v>
      </c>
      <c r="EL174">
        <v>2.4287040369006137E-2</v>
      </c>
      <c r="EM174">
        <v>2.7940444559689671E-2</v>
      </c>
      <c r="EN174">
        <v>2.8194485193260597E-2</v>
      </c>
      <c r="EO174">
        <v>8.732544390813859E-4</v>
      </c>
      <c r="EP174">
        <v>8.7325443908138579E-4</v>
      </c>
      <c r="EQ174">
        <v>8.732544390813859E-4</v>
      </c>
      <c r="ER174">
        <v>0</v>
      </c>
      <c r="ES174">
        <v>8.7325443908138601E-4</v>
      </c>
      <c r="ET174">
        <v>8.732544390813859E-4</v>
      </c>
      <c r="EU174">
        <v>9.9489796351875768E-5</v>
      </c>
      <c r="EV174">
        <v>9.2083582584282886E-4</v>
      </c>
      <c r="EW174">
        <v>4.6245040162697067E-3</v>
      </c>
      <c r="EX174">
        <v>0</v>
      </c>
      <c r="EY174">
        <v>1.0356988723034072E-9</v>
      </c>
      <c r="EZ174">
        <v>1.4522735036366711E-8</v>
      </c>
      <c r="FA174">
        <v>1.1505156906301444E-10</v>
      </c>
      <c r="FB174">
        <v>2.215017588451066E-10</v>
      </c>
      <c r="FC174">
        <v>2.6953963386740697E-5</v>
      </c>
      <c r="FD174">
        <v>2.6286477802786955E-8</v>
      </c>
      <c r="FE174">
        <v>3.8088023363132052E-5</v>
      </c>
      <c r="FF174">
        <v>1.4041202752821878E-8</v>
      </c>
      <c r="FG174">
        <v>9.9552356851759191E-10</v>
      </c>
      <c r="FH174">
        <v>5.7657036871396622E-6</v>
      </c>
      <c r="FI174">
        <v>2.4261125128639539E-9</v>
      </c>
      <c r="FJ174">
        <v>2.403312678010253E-9</v>
      </c>
      <c r="FK174">
        <v>1.3561351107359475E-10</v>
      </c>
      <c r="FL174">
        <v>3.4840282245777744E-4</v>
      </c>
      <c r="FM174">
        <v>4.4976735378471269E-4</v>
      </c>
      <c r="FN174">
        <v>4.8230418673042807E-4</v>
      </c>
      <c r="FO174">
        <v>1.9908674242939245E-6</v>
      </c>
      <c r="FP174">
        <v>5.6438995563470587E-3</v>
      </c>
      <c r="FQ174">
        <v>1.6817933435572486E-8</v>
      </c>
      <c r="FR174">
        <v>2.6172340925831026E-3</v>
      </c>
      <c r="FS174">
        <v>5.0202446028999102E-4</v>
      </c>
      <c r="FT174">
        <v>1.242526420602507E-2</v>
      </c>
      <c r="FU174">
        <v>8.2855219413634912E-4</v>
      </c>
      <c r="FV174">
        <v>2.4355024246625141E-4</v>
      </c>
      <c r="FW174">
        <v>4.3533046326717153E-4</v>
      </c>
      <c r="FX174">
        <v>3.057288944209227E-4</v>
      </c>
      <c r="FY174">
        <v>1.096007726055198E-4</v>
      </c>
      <c r="FZ174">
        <v>4.5351222106540691E-4</v>
      </c>
      <c r="GA174">
        <v>2.8094487708970809E-4</v>
      </c>
      <c r="GB174">
        <v>2.8818098320330845E-4</v>
      </c>
      <c r="GC174">
        <v>3.1352086840596792E-4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4.487157588869223E-4</v>
      </c>
      <c r="GJ174">
        <v>4.7091324319120426E-4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3.3836294357999721E-4</v>
      </c>
      <c r="GR174">
        <v>2.7853993818631727E-4</v>
      </c>
      <c r="GS174">
        <v>1.1443309767577434E-4</v>
      </c>
      <c r="GT174">
        <v>0</v>
      </c>
      <c r="GU174">
        <v>0</v>
      </c>
    </row>
    <row r="175" spans="1:203">
      <c r="A175" t="s">
        <v>313</v>
      </c>
      <c r="B175">
        <v>172</v>
      </c>
      <c r="C175" t="s">
        <v>29</v>
      </c>
      <c r="D175">
        <v>5.4957487090861874E-6</v>
      </c>
      <c r="E175">
        <v>1.5659662857807801E-5</v>
      </c>
      <c r="F175">
        <v>7.0643355690250265E-6</v>
      </c>
      <c r="G175">
        <v>9.75547125484545E-6</v>
      </c>
      <c r="H175">
        <v>5.9713717842492278E-6</v>
      </c>
      <c r="I175">
        <v>0</v>
      </c>
      <c r="J175">
        <v>0</v>
      </c>
      <c r="K175">
        <v>7.1379442504900041E-5</v>
      </c>
      <c r="L175">
        <v>5.7729057741314797E-5</v>
      </c>
      <c r="M175">
        <v>2.0564077821568747E-5</v>
      </c>
      <c r="N175">
        <v>1.308669355867121E-4</v>
      </c>
      <c r="O175">
        <v>3.3289641361100515E-4</v>
      </c>
      <c r="P175">
        <v>2.2379483037425791E-4</v>
      </c>
      <c r="Q175">
        <v>6.4747621169428742E-5</v>
      </c>
      <c r="R175">
        <v>0</v>
      </c>
      <c r="S175">
        <v>0</v>
      </c>
      <c r="T175">
        <v>0</v>
      </c>
      <c r="U175">
        <v>4.8509137657005956E-6</v>
      </c>
      <c r="V175">
        <v>2.4514626437059307E-3</v>
      </c>
      <c r="W175">
        <v>8.5398379497806168E-3</v>
      </c>
      <c r="X175">
        <v>0</v>
      </c>
      <c r="Y175">
        <v>0</v>
      </c>
      <c r="Z175">
        <v>0</v>
      </c>
      <c r="AA175">
        <v>8.5398379497806168E-3</v>
      </c>
      <c r="AB175">
        <v>0</v>
      </c>
      <c r="AC175">
        <v>0</v>
      </c>
      <c r="AD175">
        <v>0</v>
      </c>
      <c r="AE175">
        <v>2.4059310583281648E-3</v>
      </c>
      <c r="AF175">
        <v>4.8187253400410194E-8</v>
      </c>
      <c r="AG175">
        <v>0</v>
      </c>
      <c r="AH175">
        <v>0</v>
      </c>
      <c r="AI175">
        <v>4.1721100299071817E-6</v>
      </c>
      <c r="AJ175">
        <v>1.8531051717834539E-3</v>
      </c>
      <c r="AK175">
        <v>6.0375462141011008E-4</v>
      </c>
      <c r="AL175">
        <v>1.0548608592817334E-8</v>
      </c>
      <c r="AM175">
        <v>0</v>
      </c>
      <c r="AN175">
        <v>4.8683300139796385E-8</v>
      </c>
      <c r="AO175">
        <v>9.4380636766508263E-7</v>
      </c>
      <c r="AP175">
        <v>3.8622132416052201E-4</v>
      </c>
      <c r="AQ175">
        <v>1.3296252245070854E-8</v>
      </c>
      <c r="AR175">
        <v>1.4678795455474919E-9</v>
      </c>
      <c r="AS175">
        <v>2.5785413103782877E-4</v>
      </c>
      <c r="AT175">
        <v>1.1851511630823164E-4</v>
      </c>
      <c r="AU175">
        <v>2.121567633137486E-3</v>
      </c>
      <c r="AV175">
        <v>1.576658850879168E-3</v>
      </c>
      <c r="AW175">
        <v>1.3454965944254575E-2</v>
      </c>
      <c r="AX175">
        <v>1.9661033710107804E-2</v>
      </c>
      <c r="AY175">
        <v>1.7104570018883793E-2</v>
      </c>
      <c r="AZ175">
        <v>4.9942971076577733E-2</v>
      </c>
      <c r="BA175">
        <v>6.2910719789634958E-3</v>
      </c>
      <c r="BB175">
        <v>1.9275030627696164E-2</v>
      </c>
      <c r="BC175">
        <v>6.2034632641851079E-2</v>
      </c>
      <c r="BD175">
        <v>8.492980902967677E-3</v>
      </c>
      <c r="BE175">
        <v>1.6478029802000835E-2</v>
      </c>
      <c r="BF175">
        <v>2.4404195563281779E-2</v>
      </c>
      <c r="BG175">
        <v>6.1394371076880165E-2</v>
      </c>
      <c r="BH175">
        <v>3.1732190311268026E-2</v>
      </c>
      <c r="BI175">
        <v>6.2629988728473808E-3</v>
      </c>
      <c r="BJ175">
        <v>0</v>
      </c>
      <c r="BK175">
        <v>1.1517584834504119E-2</v>
      </c>
      <c r="BL175">
        <v>0</v>
      </c>
      <c r="BM175">
        <v>1.0534458020717487E-2</v>
      </c>
      <c r="BN175">
        <v>2.032453851794546E-2</v>
      </c>
      <c r="BO175">
        <v>2.3510842748692289E-2</v>
      </c>
      <c r="BP175">
        <v>0</v>
      </c>
      <c r="BQ175">
        <v>2.3510842748692286E-2</v>
      </c>
      <c r="BR175">
        <v>1.1450599801433684E-2</v>
      </c>
      <c r="BS175">
        <v>0</v>
      </c>
      <c r="BT175">
        <v>0</v>
      </c>
      <c r="BU175">
        <v>1.1450599801433682E-2</v>
      </c>
      <c r="BV175">
        <v>1.1450599801433682E-2</v>
      </c>
      <c r="BW175">
        <v>1.1450599801433682E-2</v>
      </c>
      <c r="BX175">
        <v>1.1450599801433682E-2</v>
      </c>
      <c r="BY175">
        <v>1.1450599801433682E-2</v>
      </c>
      <c r="BZ175">
        <v>1.1450599801433682E-2</v>
      </c>
      <c r="CA175">
        <v>1.1450599801433684E-2</v>
      </c>
      <c r="CB175">
        <v>0</v>
      </c>
      <c r="CC175">
        <v>1.1450599801433682E-2</v>
      </c>
      <c r="CD175">
        <v>1.1450599801433682E-2</v>
      </c>
      <c r="CE175">
        <v>1.1450599801433682E-2</v>
      </c>
      <c r="CF175">
        <v>1.1450599801433682E-2</v>
      </c>
      <c r="CG175">
        <v>1.1450599801433682E-2</v>
      </c>
      <c r="CH175">
        <v>1.1450599801433684E-2</v>
      </c>
      <c r="CI175">
        <v>1.1450599801433684E-2</v>
      </c>
      <c r="CJ175">
        <v>0</v>
      </c>
      <c r="CK175">
        <v>1.6122866878139415E-3</v>
      </c>
      <c r="CL175">
        <v>0</v>
      </c>
      <c r="CM175">
        <v>1.6974449040626748E-2</v>
      </c>
      <c r="CN175">
        <v>2.3066198136551648E-2</v>
      </c>
      <c r="CO175">
        <v>1.0727926433743122E-2</v>
      </c>
      <c r="CP175">
        <v>0</v>
      </c>
      <c r="CQ175">
        <v>1.0727926433743122E-2</v>
      </c>
      <c r="CR175">
        <v>0</v>
      </c>
      <c r="CS175">
        <v>1.0727926433743123E-2</v>
      </c>
      <c r="CT175">
        <v>0</v>
      </c>
      <c r="CU175">
        <v>9.8723211106916085E-3</v>
      </c>
      <c r="CV175">
        <v>3.4389887419793895E-2</v>
      </c>
      <c r="CW175">
        <v>0</v>
      </c>
      <c r="CX175">
        <v>8.9381340636126832E-3</v>
      </c>
      <c r="CY175">
        <v>3.4286228524739544E-3</v>
      </c>
      <c r="CZ175">
        <v>3.7682078511009224E-3</v>
      </c>
      <c r="DA175">
        <v>0</v>
      </c>
      <c r="DB175">
        <v>6.1011128644968479E-3</v>
      </c>
      <c r="DC175">
        <v>5.8025152294277054E-3</v>
      </c>
      <c r="DD175">
        <v>0</v>
      </c>
      <c r="DE175">
        <v>1.1688368697605835E-2</v>
      </c>
      <c r="DF175">
        <v>0</v>
      </c>
      <c r="DG175">
        <v>2.8401117575211236E-2</v>
      </c>
      <c r="DH175">
        <v>0</v>
      </c>
      <c r="DI175">
        <v>1.1779798362798656E-9</v>
      </c>
      <c r="DJ175">
        <v>0</v>
      </c>
      <c r="DK175">
        <v>4.2934313747897456E-3</v>
      </c>
      <c r="DL175">
        <v>0</v>
      </c>
      <c r="DM175">
        <v>4.641347320986729E-3</v>
      </c>
      <c r="DN175">
        <v>0</v>
      </c>
      <c r="DO175">
        <v>2.2171242360498798E-2</v>
      </c>
      <c r="DP175">
        <v>3.7963816897832901E-3</v>
      </c>
      <c r="DQ175">
        <v>1.2950287091060705E-2</v>
      </c>
      <c r="DR175">
        <v>1.4738150649021418E-2</v>
      </c>
      <c r="DS175">
        <v>2.3709325747775359E-2</v>
      </c>
      <c r="DT175">
        <v>2.4692710715077358E-2</v>
      </c>
      <c r="DU175">
        <v>2.5822868526882446E-2</v>
      </c>
      <c r="DV175">
        <v>4.0367494563057641E-3</v>
      </c>
      <c r="DW175">
        <v>5.3992646162926037E-3</v>
      </c>
      <c r="DX175">
        <v>4.2825819790307598E-3</v>
      </c>
      <c r="DY175">
        <v>5.3660213936180462E-7</v>
      </c>
      <c r="DZ175">
        <v>0</v>
      </c>
      <c r="EA175">
        <v>2.3749472605401101E-2</v>
      </c>
      <c r="EB175">
        <v>1.6736967875701395E-2</v>
      </c>
      <c r="EC175">
        <v>2.8202920742465533E-2</v>
      </c>
      <c r="ED175">
        <v>1.3121438240438078E-2</v>
      </c>
      <c r="EE175">
        <v>1.447088374032829E-2</v>
      </c>
      <c r="EF175">
        <v>7.196489232417373E-3</v>
      </c>
      <c r="EG175">
        <v>3.6504443773237069E-2</v>
      </c>
      <c r="EH175">
        <v>1.3988320062730188E-2</v>
      </c>
      <c r="EI175">
        <v>0</v>
      </c>
      <c r="EJ175">
        <v>0</v>
      </c>
      <c r="EK175">
        <v>0</v>
      </c>
      <c r="EL175">
        <v>2.1007160503819476E-2</v>
      </c>
      <c r="EM175">
        <v>2.4276785164016039E-2</v>
      </c>
      <c r="EN175">
        <v>2.4103719462270339E-2</v>
      </c>
      <c r="EO175">
        <v>1.9570395245180005E-3</v>
      </c>
      <c r="EP175">
        <v>1.957039524518E-3</v>
      </c>
      <c r="EQ175">
        <v>1.9570395245180005E-3</v>
      </c>
      <c r="ER175">
        <v>0</v>
      </c>
      <c r="ES175">
        <v>1.957039524518E-3</v>
      </c>
      <c r="ET175">
        <v>1.957039524518E-3</v>
      </c>
      <c r="EU175">
        <v>4.166141666353076E-4</v>
      </c>
      <c r="EV175">
        <v>3.7578140585085265E-3</v>
      </c>
      <c r="EW175">
        <v>3.874250941953479E-2</v>
      </c>
      <c r="EX175">
        <v>0</v>
      </c>
      <c r="EY175">
        <v>1.05572291142689E-9</v>
      </c>
      <c r="EZ175">
        <v>1.5985083749041777E-8</v>
      </c>
      <c r="FA175">
        <v>1.2876139186375379E-10</v>
      </c>
      <c r="FB175">
        <v>2.4568249265425167E-10</v>
      </c>
      <c r="FC175">
        <v>2.3306463313733962E-3</v>
      </c>
      <c r="FD175">
        <v>1.8981579658899654E-3</v>
      </c>
      <c r="FE175">
        <v>2.3501471604920514E-3</v>
      </c>
      <c r="FF175">
        <v>2.674245346916887E-8</v>
      </c>
      <c r="FG175">
        <v>1.3095495859625531E-9</v>
      </c>
      <c r="FH175">
        <v>2.5948417843012304E-2</v>
      </c>
      <c r="FI175">
        <v>7.4954318677134043E-9</v>
      </c>
      <c r="FJ175">
        <v>1.8150272414173543E-3</v>
      </c>
      <c r="FK175">
        <v>1.8716600188051693E-10</v>
      </c>
      <c r="FL175">
        <v>3.5689987954295274E-2</v>
      </c>
      <c r="FM175">
        <v>5.6865529670594057E-2</v>
      </c>
      <c r="FN175">
        <v>9.2704578079000316E-2</v>
      </c>
      <c r="FO175">
        <v>9.1141186009762402E-3</v>
      </c>
      <c r="FP175">
        <v>4.6853473836561153E-2</v>
      </c>
      <c r="FQ175">
        <v>8.3440180027139405E-2</v>
      </c>
      <c r="FR175">
        <v>1.7315066258481424E-2</v>
      </c>
      <c r="FS175">
        <v>3.7218376898282293E-2</v>
      </c>
      <c r="FT175">
        <v>2.2944245700567099E-2</v>
      </c>
      <c r="FU175">
        <v>1.962569422445791E-2</v>
      </c>
      <c r="FV175">
        <v>1.1470109740858051E-2</v>
      </c>
      <c r="FW175">
        <v>2.1034683951272139E-2</v>
      </c>
      <c r="FX175">
        <v>2.10950235389584E-2</v>
      </c>
      <c r="FY175">
        <v>2.0754921354412557E-2</v>
      </c>
      <c r="FZ175">
        <v>2.0150933159121923E-2</v>
      </c>
      <c r="GA175">
        <v>2.117566090287059E-2</v>
      </c>
      <c r="GB175">
        <v>2.1130850567767888E-2</v>
      </c>
      <c r="GC175">
        <v>2.1011435352696724E-2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1.8487491661112347E-2</v>
      </c>
      <c r="GJ175">
        <v>1.9117527412457449E-2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2.1546053000145858E-2</v>
      </c>
      <c r="GR175">
        <v>6.8599144467989814E-2</v>
      </c>
      <c r="GS175">
        <v>5.573336592990241E-3</v>
      </c>
      <c r="GT175">
        <v>7.2369507384267461E-7</v>
      </c>
      <c r="GU175">
        <v>0</v>
      </c>
    </row>
    <row r="176" spans="1:203">
      <c r="A176" t="s">
        <v>314</v>
      </c>
      <c r="B176">
        <v>173</v>
      </c>
      <c r="C176" t="s">
        <v>30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1.9180020539905946E-3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2.9481972786182189E-9</v>
      </c>
      <c r="FE176">
        <v>1.575445175638872E-9</v>
      </c>
      <c r="FF176">
        <v>9.6325219049513021E-9</v>
      </c>
      <c r="FG176">
        <v>8.0832485323496912E-10</v>
      </c>
      <c r="FH176">
        <v>2.1951965578210755E-8</v>
      </c>
      <c r="FI176">
        <v>1.4512193399603601E-9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1.0243857561078034E-8</v>
      </c>
      <c r="GT176">
        <v>0</v>
      </c>
      <c r="GU176">
        <v>0</v>
      </c>
    </row>
    <row r="177" spans="1:203">
      <c r="A177" t="s">
        <v>315</v>
      </c>
      <c r="B177">
        <v>174</v>
      </c>
      <c r="C177" t="s">
        <v>31</v>
      </c>
      <c r="D177">
        <v>2.7806425074009061E-9</v>
      </c>
      <c r="E177">
        <v>0</v>
      </c>
      <c r="F177">
        <v>0</v>
      </c>
      <c r="G177">
        <v>7.8375337836524442E-6</v>
      </c>
      <c r="H177">
        <v>1.0666649919243023E-6</v>
      </c>
      <c r="I177">
        <v>0</v>
      </c>
      <c r="J177">
        <v>0</v>
      </c>
      <c r="K177">
        <v>6.3737670156208958E-5</v>
      </c>
      <c r="L177">
        <v>2.73827567576146E-8</v>
      </c>
      <c r="M177">
        <v>2.0702576213898715E-7</v>
      </c>
      <c r="N177">
        <v>1.2069623858543849E-8</v>
      </c>
      <c r="O177">
        <v>0</v>
      </c>
      <c r="P177">
        <v>0</v>
      </c>
      <c r="Q177">
        <v>3.8435646796107618E-6</v>
      </c>
      <c r="R177">
        <v>0</v>
      </c>
      <c r="S177">
        <v>0</v>
      </c>
      <c r="T177">
        <v>0</v>
      </c>
      <c r="U177">
        <v>6.8339800118433501E-5</v>
      </c>
      <c r="V177">
        <v>5.0947076217794068E-6</v>
      </c>
      <c r="W177">
        <v>6.2346702130672964E-7</v>
      </c>
      <c r="X177">
        <v>0</v>
      </c>
      <c r="Y177">
        <v>0</v>
      </c>
      <c r="Z177">
        <v>0</v>
      </c>
      <c r="AA177">
        <v>6.2346702130672964E-7</v>
      </c>
      <c r="AB177">
        <v>0</v>
      </c>
      <c r="AC177">
        <v>0</v>
      </c>
      <c r="AD177">
        <v>0</v>
      </c>
      <c r="AE177">
        <v>3.1377571590120363E-7</v>
      </c>
      <c r="AF177">
        <v>2.3984637874668535E-8</v>
      </c>
      <c r="AG177">
        <v>0</v>
      </c>
      <c r="AH177">
        <v>0</v>
      </c>
      <c r="AI177">
        <v>3.1678698740450016E-10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4.5177607637393138E-9</v>
      </c>
      <c r="AR177">
        <v>1.1609995667448515E-9</v>
      </c>
      <c r="AS177">
        <v>6.5106389314017558E-7</v>
      </c>
      <c r="AT177">
        <v>3.2391278878318881E-8</v>
      </c>
      <c r="AU177">
        <v>5.3741728129874753E-5</v>
      </c>
      <c r="AV177">
        <v>7.941288932578096E-8</v>
      </c>
      <c r="AW177">
        <v>1.015370236189479E-3</v>
      </c>
      <c r="AX177">
        <v>1.823508819776444E-7</v>
      </c>
      <c r="AY177">
        <v>4.1527962712451381E-6</v>
      </c>
      <c r="AZ177">
        <v>0</v>
      </c>
      <c r="BA177">
        <v>8.1263047057556905E-5</v>
      </c>
      <c r="BB177">
        <v>7.5793689691359323E-9</v>
      </c>
      <c r="BC177">
        <v>3.0608398994293893E-8</v>
      </c>
      <c r="BD177">
        <v>5.6423650636457283E-6</v>
      </c>
      <c r="BE177">
        <v>1.4150015611181918E-8</v>
      </c>
      <c r="BF177">
        <v>5.231514896479627E-6</v>
      </c>
      <c r="BG177">
        <v>9.2443150365270659E-5</v>
      </c>
      <c r="BH177">
        <v>1.1715552523004901E-4</v>
      </c>
      <c r="BI177">
        <v>2.4932047940312095E-5</v>
      </c>
      <c r="BJ177">
        <v>0</v>
      </c>
      <c r="BK177">
        <v>3.0297141223188601E-5</v>
      </c>
      <c r="BL177">
        <v>0</v>
      </c>
      <c r="BM177">
        <v>9.9466526101145807E-8</v>
      </c>
      <c r="BN177">
        <v>1.6552004871099939E-8</v>
      </c>
      <c r="BO177">
        <v>1.156324214518217E-3</v>
      </c>
      <c r="BP177">
        <v>0</v>
      </c>
      <c r="BQ177">
        <v>1.156324214518217E-3</v>
      </c>
      <c r="BR177">
        <v>5.5924663522619468E-4</v>
      </c>
      <c r="BS177">
        <v>0</v>
      </c>
      <c r="BT177">
        <v>0</v>
      </c>
      <c r="BU177">
        <v>5.5924663522619457E-4</v>
      </c>
      <c r="BV177">
        <v>5.5924663522619457E-4</v>
      </c>
      <c r="BW177">
        <v>5.5924663522619468E-4</v>
      </c>
      <c r="BX177">
        <v>5.5924663522619468E-4</v>
      </c>
      <c r="BY177">
        <v>5.5924663522619468E-4</v>
      </c>
      <c r="BZ177">
        <v>5.5924663522619468E-4</v>
      </c>
      <c r="CA177">
        <v>5.5924663522619468E-4</v>
      </c>
      <c r="CB177">
        <v>0</v>
      </c>
      <c r="CC177">
        <v>5.5924663522619457E-4</v>
      </c>
      <c r="CD177">
        <v>5.5924663522619457E-4</v>
      </c>
      <c r="CE177">
        <v>5.5924663522619468E-4</v>
      </c>
      <c r="CF177">
        <v>5.5924663522619468E-4</v>
      </c>
      <c r="CG177">
        <v>5.5924663522619468E-4</v>
      </c>
      <c r="CH177">
        <v>5.5924663522619468E-4</v>
      </c>
      <c r="CI177">
        <v>5.5924663522619468E-4</v>
      </c>
      <c r="CJ177">
        <v>1.5947572300441343E-5</v>
      </c>
      <c r="CK177">
        <v>1.0150337709182871E-5</v>
      </c>
      <c r="CL177">
        <v>0</v>
      </c>
      <c r="CM177">
        <v>2.7250511028704035E-5</v>
      </c>
      <c r="CN177">
        <v>3.3591381189842696E-5</v>
      </c>
      <c r="CO177">
        <v>1.9673466888146796E-4</v>
      </c>
      <c r="CP177">
        <v>0</v>
      </c>
      <c r="CQ177">
        <v>1.9673466888146799E-4</v>
      </c>
      <c r="CR177">
        <v>0</v>
      </c>
      <c r="CS177">
        <v>1.9673466888146799E-4</v>
      </c>
      <c r="CT177">
        <v>0</v>
      </c>
      <c r="CU177">
        <v>9.7285235795811209E-5</v>
      </c>
      <c r="CV177">
        <v>1.3418576641391504E-4</v>
      </c>
      <c r="CW177">
        <v>0</v>
      </c>
      <c r="CX177">
        <v>6.7211735986020226E-8</v>
      </c>
      <c r="CY177">
        <v>2.5888802104094903E-6</v>
      </c>
      <c r="CZ177">
        <v>6.9372989965474562E-9</v>
      </c>
      <c r="DA177">
        <v>0</v>
      </c>
      <c r="DB177">
        <v>3.1896132039171269E-8</v>
      </c>
      <c r="DC177">
        <v>1.0814920277750617E-4</v>
      </c>
      <c r="DD177">
        <v>0</v>
      </c>
      <c r="DE177">
        <v>2.4173539124975636E-4</v>
      </c>
      <c r="DF177">
        <v>0</v>
      </c>
      <c r="DG177">
        <v>1.1626110512939762E-4</v>
      </c>
      <c r="DH177">
        <v>0</v>
      </c>
      <c r="DI177">
        <v>9.8205461773216652E-10</v>
      </c>
      <c r="DJ177">
        <v>0</v>
      </c>
      <c r="DK177">
        <v>3.3452528624219116E-5</v>
      </c>
      <c r="DL177">
        <v>0</v>
      </c>
      <c r="DM177">
        <v>3.2047576813119019E-4</v>
      </c>
      <c r="DN177">
        <v>0</v>
      </c>
      <c r="DO177">
        <v>2.117787839948178E-4</v>
      </c>
      <c r="DP177">
        <v>9.6817485899331978E-5</v>
      </c>
      <c r="DQ177">
        <v>1.2121166108263097E-4</v>
      </c>
      <c r="DR177">
        <v>2.0714562662139305E-5</v>
      </c>
      <c r="DS177">
        <v>1.1094483712615323E-4</v>
      </c>
      <c r="DT177">
        <v>5.7560440979538731E-5</v>
      </c>
      <c r="DU177">
        <v>1.1539643585913545E-4</v>
      </c>
      <c r="DV177">
        <v>1.4059726234926299E-7</v>
      </c>
      <c r="DW177">
        <v>3.0985214370853501E-9</v>
      </c>
      <c r="DX177">
        <v>2.2020906848053877E-5</v>
      </c>
      <c r="DY177">
        <v>4.2786690479342451E-13</v>
      </c>
      <c r="DZ177">
        <v>0</v>
      </c>
      <c r="EA177">
        <v>6.4554664517529184E-5</v>
      </c>
      <c r="EB177">
        <v>4.8091278457559715E-5</v>
      </c>
      <c r="EC177">
        <v>2.0023895680882142E-6</v>
      </c>
      <c r="ED177">
        <v>2.0371693715237403E-5</v>
      </c>
      <c r="EE177">
        <v>2.6944693478855644E-5</v>
      </c>
      <c r="EF177">
        <v>2.6323250177678847E-6</v>
      </c>
      <c r="EG177">
        <v>2.3584044213224834E-5</v>
      </c>
      <c r="EH177">
        <v>2.7190571980606324E-5</v>
      </c>
      <c r="EI177">
        <v>0</v>
      </c>
      <c r="EJ177">
        <v>0</v>
      </c>
      <c r="EK177">
        <v>0</v>
      </c>
      <c r="EL177">
        <v>8.9426040358968006E-5</v>
      </c>
      <c r="EM177">
        <v>1.0219781213311309E-4</v>
      </c>
      <c r="EN177">
        <v>1.0612666657345967E-4</v>
      </c>
      <c r="EO177">
        <v>2.8124572370641559E-6</v>
      </c>
      <c r="EP177">
        <v>2.8124572370641555E-6</v>
      </c>
      <c r="EQ177">
        <v>2.8124572370641563E-6</v>
      </c>
      <c r="ER177">
        <v>0</v>
      </c>
      <c r="ES177">
        <v>2.8124572370641559E-6</v>
      </c>
      <c r="ET177">
        <v>2.8124572370641559E-6</v>
      </c>
      <c r="EU177">
        <v>2.0666498656785846E-7</v>
      </c>
      <c r="EV177">
        <v>3.0464269843901741E-6</v>
      </c>
      <c r="EW177">
        <v>6.3342385905385166E-5</v>
      </c>
      <c r="EX177">
        <v>0</v>
      </c>
      <c r="EY177">
        <v>1.0269074644136819E-9</v>
      </c>
      <c r="EZ177">
        <v>1.3950904322777065E-8</v>
      </c>
      <c r="FA177">
        <v>1.0978657052450062E-10</v>
      </c>
      <c r="FB177">
        <v>2.1209957149798789E-10</v>
      </c>
      <c r="FC177">
        <v>1.1336750993521522E-8</v>
      </c>
      <c r="FD177">
        <v>5.1398684000449824E-9</v>
      </c>
      <c r="FE177">
        <v>3.1668682346372275E-9</v>
      </c>
      <c r="FF177">
        <v>1.1534221000882746E-8</v>
      </c>
      <c r="FG177">
        <v>8.9325880364293144E-10</v>
      </c>
      <c r="FH177">
        <v>0</v>
      </c>
      <c r="FI177">
        <v>1.8579612686021811E-9</v>
      </c>
      <c r="FJ177">
        <v>1.6088502453047379E-9</v>
      </c>
      <c r="FK177">
        <v>1.2064479154082773E-10</v>
      </c>
      <c r="FL177">
        <v>2.2650607974701912E-9</v>
      </c>
      <c r="FM177">
        <v>5.8225001711585775E-9</v>
      </c>
      <c r="FN177">
        <v>9.3931666609511462E-9</v>
      </c>
      <c r="FO177">
        <v>1.2360384677399662E-9</v>
      </c>
      <c r="FP177">
        <v>7.8222273193261996E-5</v>
      </c>
      <c r="FQ177">
        <v>3.8364696662124608E-9</v>
      </c>
      <c r="FR177">
        <v>8.9034812138301069E-5</v>
      </c>
      <c r="FS177">
        <v>1.7282777531003133E-9</v>
      </c>
      <c r="FT177">
        <v>1.1829690584246834E-3</v>
      </c>
      <c r="FU177">
        <v>8.4150659521037459E-5</v>
      </c>
      <c r="FV177">
        <v>9.1250611576293387E-5</v>
      </c>
      <c r="FW177">
        <v>8.5280561190326817E-5</v>
      </c>
      <c r="FX177">
        <v>8.4484051993365111E-5</v>
      </c>
      <c r="FY177">
        <v>7.4866561313257022E-5</v>
      </c>
      <c r="FZ177">
        <v>6.7415222250300077E-5</v>
      </c>
      <c r="GA177">
        <v>8.2596888248240348E-5</v>
      </c>
      <c r="GB177">
        <v>8.2298010966934084E-5</v>
      </c>
      <c r="GC177">
        <v>8.1569400121465912E-5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6.9142541690984314E-5</v>
      </c>
      <c r="GJ177">
        <v>7.4603983242204524E-5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5.9465603125381886E-5</v>
      </c>
      <c r="GR177">
        <v>5.5199200703009326E-7</v>
      </c>
      <c r="GS177">
        <v>2.3367714216933254E-5</v>
      </c>
      <c r="GT177">
        <v>0</v>
      </c>
      <c r="GU177">
        <v>0</v>
      </c>
    </row>
    <row r="178" spans="1:203">
      <c r="A178" t="s">
        <v>316</v>
      </c>
      <c r="B178">
        <v>175</v>
      </c>
      <c r="C178" t="s">
        <v>32</v>
      </c>
      <c r="D178">
        <v>3.3658684263478031E-9</v>
      </c>
      <c r="E178">
        <v>1.777791588400817E-6</v>
      </c>
      <c r="F178">
        <v>6.3016008496281755E-7</v>
      </c>
      <c r="G178">
        <v>6.3470688281041414E-9</v>
      </c>
      <c r="H178">
        <v>9.9328294502501855E-8</v>
      </c>
      <c r="I178">
        <v>0</v>
      </c>
      <c r="J178">
        <v>0</v>
      </c>
      <c r="K178">
        <v>3.4246064576449824E-4</v>
      </c>
      <c r="L178">
        <v>8.3617540149461727E-9</v>
      </c>
      <c r="M178">
        <v>1.6177110974512215E-8</v>
      </c>
      <c r="N178">
        <v>1.5905706299856555E-8</v>
      </c>
      <c r="O178">
        <v>5.3540781036641348E-6</v>
      </c>
      <c r="P178">
        <v>1.8364051329442771E-4</v>
      </c>
      <c r="Q178">
        <v>6.3536980252408949E-4</v>
      </c>
      <c r="R178">
        <v>0</v>
      </c>
      <c r="S178">
        <v>0</v>
      </c>
      <c r="T178">
        <v>0</v>
      </c>
      <c r="U178">
        <v>9.6052990683209084E-6</v>
      </c>
      <c r="V178">
        <v>6.4229379911360227E-6</v>
      </c>
      <c r="W178">
        <v>9.1605142885964717E-8</v>
      </c>
      <c r="X178">
        <v>0</v>
      </c>
      <c r="Y178">
        <v>0</v>
      </c>
      <c r="Z178">
        <v>0</v>
      </c>
      <c r="AA178">
        <v>9.1605142885964717E-8</v>
      </c>
      <c r="AB178">
        <v>0</v>
      </c>
      <c r="AC178">
        <v>0</v>
      </c>
      <c r="AD178">
        <v>0</v>
      </c>
      <c r="AE178">
        <v>4.9665299348049796E-7</v>
      </c>
      <c r="AF178">
        <v>2.5579389420057633E-8</v>
      </c>
      <c r="AG178">
        <v>0</v>
      </c>
      <c r="AH178">
        <v>0</v>
      </c>
      <c r="AI178">
        <v>1.287548340584611E-7</v>
      </c>
      <c r="AJ178">
        <v>5.2060148109302689E-7</v>
      </c>
      <c r="AK178">
        <v>0</v>
      </c>
      <c r="AL178">
        <v>7.2281202509406513E-9</v>
      </c>
      <c r="AM178">
        <v>0</v>
      </c>
      <c r="AN178">
        <v>3.2719517758529439E-8</v>
      </c>
      <c r="AO178">
        <v>5.6166444967297028E-7</v>
      </c>
      <c r="AP178">
        <v>2.7258783423910942E-6</v>
      </c>
      <c r="AQ178">
        <v>3.6506135426555539E-9</v>
      </c>
      <c r="AR178">
        <v>1.0688304503882009E-9</v>
      </c>
      <c r="AS178">
        <v>4.5304540698287993E-8</v>
      </c>
      <c r="AT178">
        <v>0</v>
      </c>
      <c r="AU178">
        <v>7.0220910149968879E-9</v>
      </c>
      <c r="AV178">
        <v>7.1662233199860157E-9</v>
      </c>
      <c r="AW178">
        <v>6.2335245392430971E-7</v>
      </c>
      <c r="AX178">
        <v>2.0610464284565284E-7</v>
      </c>
      <c r="AY178">
        <v>5.6244965221912676E-5</v>
      </c>
      <c r="AZ178">
        <v>1.0865294569760745E-5</v>
      </c>
      <c r="BA178">
        <v>2.2283008161469519E-7</v>
      </c>
      <c r="BB178">
        <v>1.1366246661908724E-9</v>
      </c>
      <c r="BC178">
        <v>5.8936793687208071E-9</v>
      </c>
      <c r="BD178">
        <v>2.2038823417891943E-8</v>
      </c>
      <c r="BE178">
        <v>9.0057686611350897E-9</v>
      </c>
      <c r="BF178">
        <v>2.0150497587357642E-9</v>
      </c>
      <c r="BG178">
        <v>5.9149638171409724E-8</v>
      </c>
      <c r="BH178">
        <v>3.0970954381674844E-8</v>
      </c>
      <c r="BI178">
        <v>1.3297602300551959E-8</v>
      </c>
      <c r="BJ178">
        <v>0</v>
      </c>
      <c r="BK178">
        <v>1.3538226663255748E-7</v>
      </c>
      <c r="BL178">
        <v>0</v>
      </c>
      <c r="BM178">
        <v>3.105063314327194E-9</v>
      </c>
      <c r="BN178">
        <v>5.3334275601554315E-9</v>
      </c>
      <c r="BO178">
        <v>3.1980665760353621E-5</v>
      </c>
      <c r="BP178">
        <v>0</v>
      </c>
      <c r="BQ178">
        <v>3.1980665760353614E-5</v>
      </c>
      <c r="BR178">
        <v>3.9615668790801603E-4</v>
      </c>
      <c r="BS178">
        <v>0</v>
      </c>
      <c r="BT178">
        <v>0</v>
      </c>
      <c r="BU178">
        <v>3.9615668790801597E-4</v>
      </c>
      <c r="BV178">
        <v>3.9615668790801597E-4</v>
      </c>
      <c r="BW178">
        <v>3.9615668790801603E-4</v>
      </c>
      <c r="BX178">
        <v>3.9615668790801597E-4</v>
      </c>
      <c r="BY178">
        <v>3.9615668790801603E-4</v>
      </c>
      <c r="BZ178">
        <v>3.9615668790801597E-4</v>
      </c>
      <c r="CA178">
        <v>3.9615668790801603E-4</v>
      </c>
      <c r="CB178">
        <v>0</v>
      </c>
      <c r="CC178">
        <v>3.9615668790801603E-4</v>
      </c>
      <c r="CD178">
        <v>3.9615668790801597E-4</v>
      </c>
      <c r="CE178">
        <v>3.9615668790801597E-4</v>
      </c>
      <c r="CF178">
        <v>3.9615668790801603E-4</v>
      </c>
      <c r="CG178">
        <v>3.9615668790801603E-4</v>
      </c>
      <c r="CH178">
        <v>3.9615668790801603E-4</v>
      </c>
      <c r="CI178">
        <v>3.9615668790801597E-4</v>
      </c>
      <c r="CJ178">
        <v>5.9108777434118485E-6</v>
      </c>
      <c r="CK178">
        <v>4.1084931967444488E-6</v>
      </c>
      <c r="CL178">
        <v>0</v>
      </c>
      <c r="CM178">
        <v>3.5099708865027621E-5</v>
      </c>
      <c r="CN178">
        <v>2.8215784811425704E-8</v>
      </c>
      <c r="CO178">
        <v>3.3505448031785146E-5</v>
      </c>
      <c r="CP178">
        <v>0</v>
      </c>
      <c r="CQ178">
        <v>3.3505448031785146E-5</v>
      </c>
      <c r="CR178">
        <v>0</v>
      </c>
      <c r="CS178">
        <v>3.3505448031785153E-5</v>
      </c>
      <c r="CT178">
        <v>0</v>
      </c>
      <c r="CU178">
        <v>4.137068963769637E-9</v>
      </c>
      <c r="CV178">
        <v>1.0906655644100417E-8</v>
      </c>
      <c r="CW178">
        <v>0</v>
      </c>
      <c r="CX178">
        <v>1.90160531413741E-8</v>
      </c>
      <c r="CY178">
        <v>4.8014484216271831E-7</v>
      </c>
      <c r="CZ178">
        <v>3.2914816313959168E-9</v>
      </c>
      <c r="DA178">
        <v>0</v>
      </c>
      <c r="DB178">
        <v>4.6674234260023405E-9</v>
      </c>
      <c r="DC178">
        <v>2.6288946814273359E-5</v>
      </c>
      <c r="DD178">
        <v>0</v>
      </c>
      <c r="DE178">
        <v>1.4469245668626526E-3</v>
      </c>
      <c r="DF178">
        <v>0</v>
      </c>
      <c r="DG178">
        <v>9.9528418676232826E-6</v>
      </c>
      <c r="DH178">
        <v>0</v>
      </c>
      <c r="DI178">
        <v>9.1866143197249289E-10</v>
      </c>
      <c r="DJ178">
        <v>0</v>
      </c>
      <c r="DK178">
        <v>7.5336877559921149E-9</v>
      </c>
      <c r="DL178">
        <v>0</v>
      </c>
      <c r="DM178">
        <v>8.5695580761700299E-5</v>
      </c>
      <c r="DN178">
        <v>0</v>
      </c>
      <c r="DO178">
        <v>2.3430181835462967E-6</v>
      </c>
      <c r="DP178">
        <v>2.1706062103591152E-9</v>
      </c>
      <c r="DQ178">
        <v>1.3484571047307576E-9</v>
      </c>
      <c r="DR178">
        <v>1.2308020682670836E-8</v>
      </c>
      <c r="DS178">
        <v>2.5021769115729503E-9</v>
      </c>
      <c r="DT178">
        <v>5.8185414219374197E-10</v>
      </c>
      <c r="DU178">
        <v>3.2979600948026344E-5</v>
      </c>
      <c r="DV178">
        <v>4.3238522181497504E-10</v>
      </c>
      <c r="DW178">
        <v>1.1658135087813074E-9</v>
      </c>
      <c r="DX178">
        <v>3.961958809417588E-9</v>
      </c>
      <c r="DY178">
        <v>3.7002602609953085E-9</v>
      </c>
      <c r="DZ178">
        <v>0</v>
      </c>
      <c r="EA178">
        <v>6.8578543091447177E-8</v>
      </c>
      <c r="EB178">
        <v>2.2963261395614922E-7</v>
      </c>
      <c r="EC178">
        <v>1.3501855787300916E-8</v>
      </c>
      <c r="ED178">
        <v>7.0987844863365596E-7</v>
      </c>
      <c r="EE178">
        <v>4.0021272330605012E-6</v>
      </c>
      <c r="EF178">
        <v>1.2131527271114274E-7</v>
      </c>
      <c r="EG178">
        <v>1.8233735067440649E-6</v>
      </c>
      <c r="EH178">
        <v>3.759992783643835E-6</v>
      </c>
      <c r="EI178">
        <v>0</v>
      </c>
      <c r="EJ178">
        <v>0</v>
      </c>
      <c r="EK178">
        <v>0</v>
      </c>
      <c r="EL178">
        <v>1.2037745873946598E-6</v>
      </c>
      <c r="EM178">
        <v>2.6189286291989443E-7</v>
      </c>
      <c r="EN178">
        <v>1.6347055527842687E-7</v>
      </c>
      <c r="EO178">
        <v>2.8347561950433969E-5</v>
      </c>
      <c r="EP178">
        <v>2.8347561950433962E-5</v>
      </c>
      <c r="EQ178">
        <v>2.8347561950433965E-5</v>
      </c>
      <c r="ER178">
        <v>0</v>
      </c>
      <c r="ES178">
        <v>2.8347561950433969E-5</v>
      </c>
      <c r="ET178">
        <v>2.8347561950433965E-5</v>
      </c>
      <c r="EU178">
        <v>5.7279097476392125E-7</v>
      </c>
      <c r="EV178">
        <v>9.7706151728554895E-8</v>
      </c>
      <c r="EW178">
        <v>9.2511080232678934E-10</v>
      </c>
      <c r="EX178">
        <v>0</v>
      </c>
      <c r="EY178">
        <v>1.0153893237897108E-9</v>
      </c>
      <c r="EZ178">
        <v>1.3168290296935429E-8</v>
      </c>
      <c r="FA178">
        <v>1.0344364340339817E-10</v>
      </c>
      <c r="FB178">
        <v>2.006851187399451E-10</v>
      </c>
      <c r="FC178">
        <v>5.9243079161246018E-10</v>
      </c>
      <c r="FD178">
        <v>2.5797834441660575E-9</v>
      </c>
      <c r="FE178">
        <v>1.2658175712170298E-9</v>
      </c>
      <c r="FF178">
        <v>9.0924960185098741E-9</v>
      </c>
      <c r="FG178">
        <v>7.9433219519662842E-10</v>
      </c>
      <c r="FH178">
        <v>3.8161992097145572E-8</v>
      </c>
      <c r="FI178">
        <v>1.4166467976265736E-9</v>
      </c>
      <c r="FJ178">
        <v>1.124296554198194E-9</v>
      </c>
      <c r="FK178">
        <v>1.0510254468492748E-10</v>
      </c>
      <c r="FL178">
        <v>7.6896254662988274E-10</v>
      </c>
      <c r="FM178">
        <v>1.5095307842734243E-9</v>
      </c>
      <c r="FN178">
        <v>2.7776035896374989E-9</v>
      </c>
      <c r="FO178">
        <v>4.7590575795113773E-10</v>
      </c>
      <c r="FP178">
        <v>2.1076372870886241E-8</v>
      </c>
      <c r="FQ178">
        <v>1.9515983367234783E-9</v>
      </c>
      <c r="FR178">
        <v>5.8485113059651333E-9</v>
      </c>
      <c r="FS178">
        <v>6.9474682272094218E-10</v>
      </c>
      <c r="FT178">
        <v>1.2812044777167278E-4</v>
      </c>
      <c r="FU178">
        <v>1.0073153243070502E-4</v>
      </c>
      <c r="FV178">
        <v>4.7541801343036249E-3</v>
      </c>
      <c r="FW178">
        <v>2.7817082208727459E-7</v>
      </c>
      <c r="FX178">
        <v>2.584932448705533E-7</v>
      </c>
      <c r="FY178">
        <v>7.2918299119029576E-7</v>
      </c>
      <c r="FZ178">
        <v>8.4142272689697196E-7</v>
      </c>
      <c r="GA178">
        <v>1.0836078437181841E-6</v>
      </c>
      <c r="GB178">
        <v>8.928413556184964E-7</v>
      </c>
      <c r="GC178">
        <v>9.0433833381308831E-7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2.9127884942936032E-7</v>
      </c>
      <c r="GJ178">
        <v>1.5855635160427239E-7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1.4401001814121202E-6</v>
      </c>
      <c r="GR178">
        <v>1.6164705835700243E-9</v>
      </c>
      <c r="GS178">
        <v>3.1360174960793319E-9</v>
      </c>
      <c r="GT178">
        <v>2.4123339116620495E-8</v>
      </c>
      <c r="GU178">
        <v>0</v>
      </c>
    </row>
    <row r="179" spans="1:203">
      <c r="A179" t="s">
        <v>317</v>
      </c>
      <c r="B179">
        <v>176</v>
      </c>
      <c r="C179" t="s">
        <v>138</v>
      </c>
      <c r="D179">
        <v>2.7756635057197446E-8</v>
      </c>
      <c r="E179">
        <v>1.8732289520701934E-5</v>
      </c>
      <c r="F179">
        <v>1.9911650768662692E-5</v>
      </c>
      <c r="G179">
        <v>1.1300995614438324E-5</v>
      </c>
      <c r="H179">
        <v>1.4566233816210518E-5</v>
      </c>
      <c r="I179">
        <v>0</v>
      </c>
      <c r="J179">
        <v>0</v>
      </c>
      <c r="K179">
        <v>5.7968652083845203E-6</v>
      </c>
      <c r="L179">
        <v>4.9069135722097653E-6</v>
      </c>
      <c r="M179">
        <v>5.8944530536978055E-5</v>
      </c>
      <c r="N179">
        <v>5.7934592813114337E-5</v>
      </c>
      <c r="O179">
        <v>1.2967532849350366E-4</v>
      </c>
      <c r="P179">
        <v>1.3225198041702665E-4</v>
      </c>
      <c r="Q179">
        <v>1.4061618205916341E-3</v>
      </c>
      <c r="R179">
        <v>0</v>
      </c>
      <c r="S179">
        <v>0</v>
      </c>
      <c r="T179">
        <v>0</v>
      </c>
      <c r="U179">
        <v>1.3585884632360806E-6</v>
      </c>
      <c r="V179">
        <v>1.9934573476257391E-4</v>
      </c>
      <c r="W179">
        <v>1.580379884352142E-5</v>
      </c>
      <c r="X179">
        <v>0</v>
      </c>
      <c r="Y179">
        <v>0</v>
      </c>
      <c r="Z179">
        <v>0</v>
      </c>
      <c r="AA179">
        <v>1.580379884352142E-5</v>
      </c>
      <c r="AB179">
        <v>0</v>
      </c>
      <c r="AC179">
        <v>0</v>
      </c>
      <c r="AD179">
        <v>0</v>
      </c>
      <c r="AE179">
        <v>6.2370158763963481E-7</v>
      </c>
      <c r="AF179">
        <v>3.1398504321900839E-8</v>
      </c>
      <c r="AG179">
        <v>0</v>
      </c>
      <c r="AH179">
        <v>0</v>
      </c>
      <c r="AI179">
        <v>5.7772203813100746E-8</v>
      </c>
      <c r="AJ179">
        <v>8.7325713428507455E-5</v>
      </c>
      <c r="AK179">
        <v>0</v>
      </c>
      <c r="AL179">
        <v>8.3906678719418654E-9</v>
      </c>
      <c r="AM179">
        <v>0</v>
      </c>
      <c r="AN179">
        <v>3.8220010147833935E-8</v>
      </c>
      <c r="AO179">
        <v>0</v>
      </c>
      <c r="AP179">
        <v>4.5580765054769899E-6</v>
      </c>
      <c r="AQ179">
        <v>5.3690627737697075E-9</v>
      </c>
      <c r="AR179">
        <v>1.2139811312982158E-9</v>
      </c>
      <c r="AS179">
        <v>8.7680898523845386E-6</v>
      </c>
      <c r="AT179">
        <v>4.2771641651910135E-8</v>
      </c>
      <c r="AU179">
        <v>8.0217235886780033E-5</v>
      </c>
      <c r="AV179">
        <v>1.9740783700458029E-5</v>
      </c>
      <c r="AW179">
        <v>9.4926739909987408E-4</v>
      </c>
      <c r="AX179">
        <v>1.1448715034463067E-4</v>
      </c>
      <c r="AY179">
        <v>2.5869577868914347E-4</v>
      </c>
      <c r="AZ179">
        <v>2.6868543259701495E-6</v>
      </c>
      <c r="BA179">
        <v>4.1115369553652696E-4</v>
      </c>
      <c r="BB179">
        <v>9.046913591162999E-5</v>
      </c>
      <c r="BC179">
        <v>1.5035074614139517E-4</v>
      </c>
      <c r="BD179">
        <v>1.6021675522550597E-4</v>
      </c>
      <c r="BE179">
        <v>2.0114481140316482E-8</v>
      </c>
      <c r="BF179">
        <v>1.9573120350024873E-4</v>
      </c>
      <c r="BG179">
        <v>2.8158997740460691E-6</v>
      </c>
      <c r="BH179">
        <v>1.2215866943891514E-4</v>
      </c>
      <c r="BI179">
        <v>7.4296387687650247E-5</v>
      </c>
      <c r="BJ179">
        <v>0</v>
      </c>
      <c r="BK179">
        <v>3.2346769179574533E-4</v>
      </c>
      <c r="BL179">
        <v>0</v>
      </c>
      <c r="BM179">
        <v>1.0291275969057846E-4</v>
      </c>
      <c r="BN179">
        <v>1.0876247553976918E-5</v>
      </c>
      <c r="BO179">
        <v>1.5622963485896317E-4</v>
      </c>
      <c r="BP179">
        <v>0</v>
      </c>
      <c r="BQ179">
        <v>1.5622963485896314E-4</v>
      </c>
      <c r="BR179">
        <v>4.8143889156958453E-5</v>
      </c>
      <c r="BS179">
        <v>0</v>
      </c>
      <c r="BT179">
        <v>0</v>
      </c>
      <c r="BU179">
        <v>4.8143889156958453E-5</v>
      </c>
      <c r="BV179">
        <v>4.8143889156958453E-5</v>
      </c>
      <c r="BW179">
        <v>4.8143889156958453E-5</v>
      </c>
      <c r="BX179">
        <v>4.8143889156958453E-5</v>
      </c>
      <c r="BY179">
        <v>4.8143889156958453E-5</v>
      </c>
      <c r="BZ179">
        <v>4.8143889156958453E-5</v>
      </c>
      <c r="CA179">
        <v>4.8143889156958453E-5</v>
      </c>
      <c r="CB179">
        <v>0</v>
      </c>
      <c r="CC179">
        <v>4.8143889156958453E-5</v>
      </c>
      <c r="CD179">
        <v>4.8143889156958453E-5</v>
      </c>
      <c r="CE179">
        <v>4.8143889156958459E-5</v>
      </c>
      <c r="CF179">
        <v>4.8143889156958453E-5</v>
      </c>
      <c r="CG179">
        <v>4.8143889156958453E-5</v>
      </c>
      <c r="CH179">
        <v>4.8143889156958459E-5</v>
      </c>
      <c r="CI179">
        <v>4.8143889156958453E-5</v>
      </c>
      <c r="CJ179">
        <v>0</v>
      </c>
      <c r="CK179">
        <v>1.5733586473154759E-3</v>
      </c>
      <c r="CL179">
        <v>0</v>
      </c>
      <c r="CM179">
        <v>1.0183745133929764E-4</v>
      </c>
      <c r="CN179">
        <v>1.0173196720284628E-4</v>
      </c>
      <c r="CO179">
        <v>6.1829138669907552E-4</v>
      </c>
      <c r="CP179">
        <v>0</v>
      </c>
      <c r="CQ179">
        <v>6.1829138669907563E-4</v>
      </c>
      <c r="CR179">
        <v>0</v>
      </c>
      <c r="CS179">
        <v>6.1829138669907563E-4</v>
      </c>
      <c r="CT179">
        <v>0</v>
      </c>
      <c r="CU179">
        <v>3.1680186757092072E-4</v>
      </c>
      <c r="CV179">
        <v>3.8646657683128475E-4</v>
      </c>
      <c r="CW179">
        <v>0</v>
      </c>
      <c r="CX179">
        <v>5.2246169984498077E-5</v>
      </c>
      <c r="CY179">
        <v>1.4367150854612757E-5</v>
      </c>
      <c r="CZ179">
        <v>1.6478973308566515E-8</v>
      </c>
      <c r="DA179">
        <v>0</v>
      </c>
      <c r="DB179">
        <v>8.0405990378774379E-5</v>
      </c>
      <c r="DC179">
        <v>1.2022536242170084E-4</v>
      </c>
      <c r="DD179">
        <v>0</v>
      </c>
      <c r="DE179">
        <v>9.2874565191616908E-4</v>
      </c>
      <c r="DF179">
        <v>0</v>
      </c>
      <c r="DG179">
        <v>9.3308653889046176E-5</v>
      </c>
      <c r="DH179">
        <v>0</v>
      </c>
      <c r="DI179">
        <v>1.0171769098321122E-9</v>
      </c>
      <c r="DJ179">
        <v>0</v>
      </c>
      <c r="DK179">
        <v>2.9692772545550914E-4</v>
      </c>
      <c r="DL179">
        <v>0</v>
      </c>
      <c r="DM179">
        <v>2.2318592983598855E-4</v>
      </c>
      <c r="DN179">
        <v>0</v>
      </c>
      <c r="DO179">
        <v>1.3842363764572287E-3</v>
      </c>
      <c r="DP179">
        <v>3.0020082915795142E-4</v>
      </c>
      <c r="DQ179">
        <v>9.4924829042294465E-5</v>
      </c>
      <c r="DR179">
        <v>3.4398267820357659E-5</v>
      </c>
      <c r="DS179">
        <v>1.2801772930440912E-4</v>
      </c>
      <c r="DT179">
        <v>4.210930846367113E-5</v>
      </c>
      <c r="DU179">
        <v>3.4589924396318179E-4</v>
      </c>
      <c r="DV179">
        <v>3.9256189480075847E-5</v>
      </c>
      <c r="DW179">
        <v>2.3674557726834197E-8</v>
      </c>
      <c r="DX179">
        <v>1.9686951134163127E-4</v>
      </c>
      <c r="DY179">
        <v>7.7635728383767421E-9</v>
      </c>
      <c r="DZ179">
        <v>0</v>
      </c>
      <c r="EA179">
        <v>4.8761916276700642E-4</v>
      </c>
      <c r="EB179">
        <v>3.5252734975517973E-4</v>
      </c>
      <c r="EC179">
        <v>4.7827504427740326E-4</v>
      </c>
      <c r="ED179">
        <v>1.6920827148025232E-4</v>
      </c>
      <c r="EE179">
        <v>1.9664832828674355E-4</v>
      </c>
      <c r="EF179">
        <v>5.0198108301290465E-5</v>
      </c>
      <c r="EG179">
        <v>5.1728664997152565E-4</v>
      </c>
      <c r="EH179">
        <v>1.8954702699666812E-4</v>
      </c>
      <c r="EI179">
        <v>0</v>
      </c>
      <c r="EJ179">
        <v>0</v>
      </c>
      <c r="EK179">
        <v>0</v>
      </c>
      <c r="EL179">
        <v>3.5516926714974407E-4</v>
      </c>
      <c r="EM179">
        <v>4.0730917946347816E-4</v>
      </c>
      <c r="EN179">
        <v>4.1373354276213526E-4</v>
      </c>
      <c r="EO179">
        <v>6.3583704089445022E-5</v>
      </c>
      <c r="EP179">
        <v>6.3583704089445009E-5</v>
      </c>
      <c r="EQ179">
        <v>6.3583704089445009E-5</v>
      </c>
      <c r="ER179">
        <v>0</v>
      </c>
      <c r="ES179">
        <v>6.3583704089445009E-5</v>
      </c>
      <c r="ET179">
        <v>6.3583704089445009E-5</v>
      </c>
      <c r="EU179">
        <v>1.9948756034058965E-5</v>
      </c>
      <c r="EV179">
        <v>5.799494151421431E-5</v>
      </c>
      <c r="EW179">
        <v>2.479994920516672E-4</v>
      </c>
      <c r="EX179">
        <v>0</v>
      </c>
      <c r="EY179">
        <v>1.0327644266191583E-9</v>
      </c>
      <c r="EZ179">
        <v>1.3553858254544766E-8</v>
      </c>
      <c r="FA179">
        <v>1.1324382565185911E-10</v>
      </c>
      <c r="FB179">
        <v>2.1828325242239105E-10</v>
      </c>
      <c r="FC179">
        <v>3.5619445609178006E-4</v>
      </c>
      <c r="FD179">
        <v>1.1451008819109003E-8</v>
      </c>
      <c r="FE179">
        <v>1.4903145752567351E-8</v>
      </c>
      <c r="FF179">
        <v>1.3032768810295443E-8</v>
      </c>
      <c r="FG179">
        <v>9.5939193291668376E-10</v>
      </c>
      <c r="FH179">
        <v>3.02356354626174E-7</v>
      </c>
      <c r="FI179">
        <v>2.174024856197694E-9</v>
      </c>
      <c r="FJ179">
        <v>2.0684001062315544E-9</v>
      </c>
      <c r="FK179">
        <v>1.3023882531027469E-10</v>
      </c>
      <c r="FL179">
        <v>1.3917615784033983E-6</v>
      </c>
      <c r="FM179">
        <v>4.2825567909538275E-5</v>
      </c>
      <c r="FN179">
        <v>9.0346701496843701E-8</v>
      </c>
      <c r="FO179">
        <v>8.1833657605987607E-9</v>
      </c>
      <c r="FP179">
        <v>1.0159265596966848E-4</v>
      </c>
      <c r="FQ179">
        <v>8.0187569422075417E-9</v>
      </c>
      <c r="FR179">
        <v>1.2217149536094418E-4</v>
      </c>
      <c r="FS179">
        <v>8.2872139336677469E-9</v>
      </c>
      <c r="FT179">
        <v>3.8249070689713678E-4</v>
      </c>
      <c r="FU179">
        <v>7.6787060677462168E-4</v>
      </c>
      <c r="FV179">
        <v>2.3032997521731137E-3</v>
      </c>
      <c r="FW179">
        <v>8.7694801188892176E-3</v>
      </c>
      <c r="FX179">
        <v>8.7589275684476046E-3</v>
      </c>
      <c r="FY179">
        <v>8.304166669305009E-3</v>
      </c>
      <c r="FZ179">
        <v>7.7966143348145184E-3</v>
      </c>
      <c r="GA179">
        <v>8.7645343208242431E-3</v>
      </c>
      <c r="GB179">
        <v>8.7234509803681085E-3</v>
      </c>
      <c r="GC179">
        <v>8.6598982808173512E-3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7.4201305466771372E-3</v>
      </c>
      <c r="GJ179">
        <v>7.8081744200534453E-3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8.9302481261820756E-6</v>
      </c>
      <c r="GR179">
        <v>1.6280037168465883E-4</v>
      </c>
      <c r="GS179">
        <v>2.6321838676284925E-4</v>
      </c>
      <c r="GT179">
        <v>3.5125283170083932E-7</v>
      </c>
      <c r="GU179">
        <v>0</v>
      </c>
    </row>
    <row r="180" spans="1:203">
      <c r="A180" t="s">
        <v>318</v>
      </c>
      <c r="B180">
        <v>177</v>
      </c>
      <c r="C180" t="s">
        <v>138</v>
      </c>
      <c r="D180">
        <v>2.8508635091057392E-8</v>
      </c>
      <c r="E180">
        <v>1.883615993871048E-5</v>
      </c>
      <c r="F180">
        <v>2.0002442160198327E-5</v>
      </c>
      <c r="G180">
        <v>1.1369142736397611E-5</v>
      </c>
      <c r="H180">
        <v>1.4677654929656389E-5</v>
      </c>
      <c r="I180">
        <v>0</v>
      </c>
      <c r="J180">
        <v>0</v>
      </c>
      <c r="K180">
        <v>5.7990817747803412E-6</v>
      </c>
      <c r="L180">
        <v>5.1818132857571093E-6</v>
      </c>
      <c r="M180">
        <v>5.9300798672487308E-5</v>
      </c>
      <c r="N180">
        <v>5.9609046008251243E-5</v>
      </c>
      <c r="O180">
        <v>1.3012973788235517E-4</v>
      </c>
      <c r="P180">
        <v>1.3240753439638434E-4</v>
      </c>
      <c r="Q180">
        <v>1.408388258646281E-3</v>
      </c>
      <c r="R180">
        <v>0</v>
      </c>
      <c r="S180">
        <v>0</v>
      </c>
      <c r="T180">
        <v>0</v>
      </c>
      <c r="U180">
        <v>1.3607674263567224E-6</v>
      </c>
      <c r="V180">
        <v>1.9974246571869406E-4</v>
      </c>
      <c r="W180">
        <v>1.5903123796886781E-5</v>
      </c>
      <c r="X180">
        <v>0</v>
      </c>
      <c r="Y180">
        <v>0</v>
      </c>
      <c r="Z180">
        <v>0</v>
      </c>
      <c r="AA180">
        <v>1.5903123796886781E-5</v>
      </c>
      <c r="AB180">
        <v>0</v>
      </c>
      <c r="AC180">
        <v>0</v>
      </c>
      <c r="AD180">
        <v>0</v>
      </c>
      <c r="AE180">
        <v>6.2624827670209008E-7</v>
      </c>
      <c r="AF180">
        <v>3.1423544797950291E-8</v>
      </c>
      <c r="AG180">
        <v>0</v>
      </c>
      <c r="AH180">
        <v>0</v>
      </c>
      <c r="AI180">
        <v>5.7864411193651303E-8</v>
      </c>
      <c r="AJ180">
        <v>8.7987969045348274E-5</v>
      </c>
      <c r="AK180">
        <v>0</v>
      </c>
      <c r="AL180">
        <v>8.395148891866632E-9</v>
      </c>
      <c r="AM180">
        <v>0</v>
      </c>
      <c r="AN180">
        <v>3.82413670027891E-8</v>
      </c>
      <c r="AO180">
        <v>0</v>
      </c>
      <c r="AP180">
        <v>4.566410256074311E-6</v>
      </c>
      <c r="AQ180">
        <v>5.3774642133356237E-9</v>
      </c>
      <c r="AR180">
        <v>1.2145287541093565E-9</v>
      </c>
      <c r="AS180">
        <v>8.8456626755624147E-6</v>
      </c>
      <c r="AT180">
        <v>4.2914772072115721E-8</v>
      </c>
      <c r="AU180">
        <v>8.0501665423706419E-5</v>
      </c>
      <c r="AV180">
        <v>2.0107978999262435E-5</v>
      </c>
      <c r="AW180">
        <v>9.4958415091268497E-4</v>
      </c>
      <c r="AX180">
        <v>1.1567268733223193E-4</v>
      </c>
      <c r="AY180">
        <v>2.5914969163046516E-4</v>
      </c>
      <c r="AZ180">
        <v>2.6969833721218131E-6</v>
      </c>
      <c r="BA180">
        <v>4.1258469448459778E-4</v>
      </c>
      <c r="BB180">
        <v>9.1739304676162822E-5</v>
      </c>
      <c r="BC180">
        <v>1.5297185986187458E-4</v>
      </c>
      <c r="BD180">
        <v>1.6076522567356501E-4</v>
      </c>
      <c r="BE180">
        <v>2.0197036333508288E-8</v>
      </c>
      <c r="BF180">
        <v>1.9677185285379051E-4</v>
      </c>
      <c r="BG180">
        <v>2.8229675514185063E-6</v>
      </c>
      <c r="BH180">
        <v>1.225070483920053E-4</v>
      </c>
      <c r="BI180">
        <v>7.4688706349741393E-5</v>
      </c>
      <c r="BJ180">
        <v>0</v>
      </c>
      <c r="BK180">
        <v>3.2567695841935674E-4</v>
      </c>
      <c r="BL180">
        <v>0</v>
      </c>
      <c r="BM180">
        <v>1.0385580009823714E-4</v>
      </c>
      <c r="BN180">
        <v>1.1860947129308021E-5</v>
      </c>
      <c r="BO180">
        <v>1.5622554647747272E-4</v>
      </c>
      <c r="BP180">
        <v>0</v>
      </c>
      <c r="BQ180">
        <v>1.5622554647747272E-4</v>
      </c>
      <c r="BR180">
        <v>4.8204389445344423E-5</v>
      </c>
      <c r="BS180">
        <v>0</v>
      </c>
      <c r="BT180">
        <v>0</v>
      </c>
      <c r="BU180">
        <v>4.8204389445344417E-5</v>
      </c>
      <c r="BV180">
        <v>4.8204389445344423E-5</v>
      </c>
      <c r="BW180">
        <v>4.8204389445344423E-5</v>
      </c>
      <c r="BX180">
        <v>4.8204389445344423E-5</v>
      </c>
      <c r="BY180">
        <v>4.8204389445344423E-5</v>
      </c>
      <c r="BZ180">
        <v>4.8204389445344423E-5</v>
      </c>
      <c r="CA180">
        <v>4.8204389445344423E-5</v>
      </c>
      <c r="CB180">
        <v>0</v>
      </c>
      <c r="CC180">
        <v>4.8204389445344417E-5</v>
      </c>
      <c r="CD180">
        <v>4.8204389445344417E-5</v>
      </c>
      <c r="CE180">
        <v>4.8204389445344423E-5</v>
      </c>
      <c r="CF180">
        <v>4.8204389445344423E-5</v>
      </c>
      <c r="CG180">
        <v>4.8204389445344423E-5</v>
      </c>
      <c r="CH180">
        <v>4.8204389445344423E-5</v>
      </c>
      <c r="CI180">
        <v>4.8204389445344423E-5</v>
      </c>
      <c r="CJ180">
        <v>0</v>
      </c>
      <c r="CK180">
        <v>1.5744469928615928E-3</v>
      </c>
      <c r="CL180">
        <v>0</v>
      </c>
      <c r="CM180">
        <v>1.0197259633080041E-4</v>
      </c>
      <c r="CN180">
        <v>1.0212286139686892E-4</v>
      </c>
      <c r="CO180">
        <v>6.1907721230126901E-4</v>
      </c>
      <c r="CP180">
        <v>0</v>
      </c>
      <c r="CQ180">
        <v>6.1907721230126901E-4</v>
      </c>
      <c r="CR180">
        <v>0</v>
      </c>
      <c r="CS180">
        <v>6.1907721230126912E-4</v>
      </c>
      <c r="CT180">
        <v>0</v>
      </c>
      <c r="CU180">
        <v>3.1768319449634625E-4</v>
      </c>
      <c r="CV180">
        <v>3.8785054114854142E-4</v>
      </c>
      <c r="CW180">
        <v>0</v>
      </c>
      <c r="CX180">
        <v>5.4277495103534948E-5</v>
      </c>
      <c r="CY180">
        <v>1.4567702043594517E-5</v>
      </c>
      <c r="CZ180">
        <v>1.6700132753853317E-8</v>
      </c>
      <c r="DA180">
        <v>0</v>
      </c>
      <c r="DB180">
        <v>8.1523781656745161E-5</v>
      </c>
      <c r="DC180">
        <v>1.2044715439913907E-4</v>
      </c>
      <c r="DD180">
        <v>0</v>
      </c>
      <c r="DE180">
        <v>9.2943053708461308E-4</v>
      </c>
      <c r="DF180">
        <v>0</v>
      </c>
      <c r="DG180">
        <v>9.3477371799987241E-5</v>
      </c>
      <c r="DH180">
        <v>0</v>
      </c>
      <c r="DI180">
        <v>1.0175390384732287E-9</v>
      </c>
      <c r="DJ180">
        <v>0</v>
      </c>
      <c r="DK180">
        <v>2.9794167333630801E-4</v>
      </c>
      <c r="DL180">
        <v>0</v>
      </c>
      <c r="DM180">
        <v>2.2345755432233379E-4</v>
      </c>
      <c r="DN180">
        <v>0</v>
      </c>
      <c r="DO180">
        <v>1.3871136577909356E-3</v>
      </c>
      <c r="DP180">
        <v>3.0119355517522854E-4</v>
      </c>
      <c r="DQ180">
        <v>9.5225845711887101E-5</v>
      </c>
      <c r="DR180">
        <v>3.4499846113505427E-5</v>
      </c>
      <c r="DS180">
        <v>1.2839837208516064E-4</v>
      </c>
      <c r="DT180">
        <v>4.2271602914796771E-5</v>
      </c>
      <c r="DU180">
        <v>3.4658092493498703E-4</v>
      </c>
      <c r="DV180">
        <v>3.9548890379544984E-5</v>
      </c>
      <c r="DW180">
        <v>2.5411184217128632E-8</v>
      </c>
      <c r="DX180">
        <v>1.9794891809232811E-4</v>
      </c>
      <c r="DY180">
        <v>7.7906658893806233E-9</v>
      </c>
      <c r="DZ180">
        <v>0</v>
      </c>
      <c r="EA180">
        <v>4.888145981127457E-4</v>
      </c>
      <c r="EB180">
        <v>3.5333232768036351E-4</v>
      </c>
      <c r="EC180">
        <v>4.8138891626170477E-4</v>
      </c>
      <c r="ED180">
        <v>1.6993914924416065E-4</v>
      </c>
      <c r="EE180">
        <v>1.9738666173948037E-4</v>
      </c>
      <c r="EF180">
        <v>5.0677286158789043E-5</v>
      </c>
      <c r="EG180">
        <v>5.2239261681203905E-4</v>
      </c>
      <c r="EH180">
        <v>1.902589527165352E-4</v>
      </c>
      <c r="EI180">
        <v>0</v>
      </c>
      <c r="EJ180">
        <v>0</v>
      </c>
      <c r="EK180">
        <v>0</v>
      </c>
      <c r="EL180">
        <v>3.5598303660526481E-4</v>
      </c>
      <c r="EM180">
        <v>4.0826309276501124E-4</v>
      </c>
      <c r="EN180">
        <v>4.146446817309906E-4</v>
      </c>
      <c r="EO180">
        <v>6.3637808551494368E-5</v>
      </c>
      <c r="EP180">
        <v>6.3637808551494354E-5</v>
      </c>
      <c r="EQ180">
        <v>6.3637808551494368E-5</v>
      </c>
      <c r="ER180">
        <v>0</v>
      </c>
      <c r="ES180">
        <v>6.3637808551494368E-5</v>
      </c>
      <c r="ET180">
        <v>6.3637808551494368E-5</v>
      </c>
      <c r="EU180">
        <v>1.9999329241348306E-5</v>
      </c>
      <c r="EV180">
        <v>5.8127811463151842E-5</v>
      </c>
      <c r="EW180">
        <v>2.488995100942049E-4</v>
      </c>
      <c r="EX180">
        <v>0</v>
      </c>
      <c r="EY180">
        <v>1.0328230370943402E-9</v>
      </c>
      <c r="EZ180">
        <v>1.3555987335976831E-8</v>
      </c>
      <c r="FA180">
        <v>1.132794427347923E-10</v>
      </c>
      <c r="FB180">
        <v>2.1834679289269227E-10</v>
      </c>
      <c r="FC180">
        <v>3.5971708012209685E-4</v>
      </c>
      <c r="FD180">
        <v>1.1582974883685684E-8</v>
      </c>
      <c r="FE180">
        <v>1.543747435390136E-8</v>
      </c>
      <c r="FF180">
        <v>1.3050415415234231E-8</v>
      </c>
      <c r="FG180">
        <v>9.6005310282990085E-10</v>
      </c>
      <c r="FH180">
        <v>3.090998451858673E-7</v>
      </c>
      <c r="FI180">
        <v>2.1780503341666162E-9</v>
      </c>
      <c r="FJ180">
        <v>2.074180180388556E-9</v>
      </c>
      <c r="FK180">
        <v>1.3034227350945534E-10</v>
      </c>
      <c r="FL180">
        <v>1.8046143568288665E-6</v>
      </c>
      <c r="FM180">
        <v>4.4041997110699713E-5</v>
      </c>
      <c r="FN180">
        <v>9.2381672719857291E-8</v>
      </c>
      <c r="FO180">
        <v>8.6412253432098837E-9</v>
      </c>
      <c r="FP180">
        <v>1.0188599014430275E-4</v>
      </c>
      <c r="FQ180">
        <v>8.1020915065700968E-9</v>
      </c>
      <c r="FR180">
        <v>1.2255113985469479E-4</v>
      </c>
      <c r="FS180">
        <v>8.596711873416847E-9</v>
      </c>
      <c r="FT180">
        <v>3.8301734714607603E-4</v>
      </c>
      <c r="FU180">
        <v>7.6925049977835593E-4</v>
      </c>
      <c r="FV180">
        <v>2.3054052237908023E-3</v>
      </c>
      <c r="FW180">
        <v>8.7903743023704309E-3</v>
      </c>
      <c r="FX180">
        <v>8.7800192268601279E-3</v>
      </c>
      <c r="FY180">
        <v>8.3261343810175324E-3</v>
      </c>
      <c r="FZ180">
        <v>7.8189715028997055E-3</v>
      </c>
      <c r="GA180">
        <v>8.7858165563525475E-3</v>
      </c>
      <c r="GB180">
        <v>8.7447758864840335E-3</v>
      </c>
      <c r="GC180">
        <v>8.6811577129247246E-3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7.4396102586593614E-3</v>
      </c>
      <c r="GJ180">
        <v>7.8277926040392094E-3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8.9463319027315545E-6</v>
      </c>
      <c r="GR180">
        <v>1.6409635446412745E-4</v>
      </c>
      <c r="GS180">
        <v>2.6401521424460701E-4</v>
      </c>
      <c r="GT180">
        <v>3.5396391143631046E-7</v>
      </c>
      <c r="GU180">
        <v>0</v>
      </c>
    </row>
    <row r="181" spans="1:203">
      <c r="A181" t="s">
        <v>319</v>
      </c>
      <c r="B181">
        <v>178</v>
      </c>
      <c r="C181" t="s">
        <v>138</v>
      </c>
      <c r="D181">
        <v>4.0577710647361918E-8</v>
      </c>
      <c r="E181">
        <v>0</v>
      </c>
      <c r="F181">
        <v>4.5197599971090233E-6</v>
      </c>
      <c r="G181">
        <v>2.6310421660552212E-6</v>
      </c>
      <c r="H181">
        <v>3.4956366733226611E-6</v>
      </c>
      <c r="I181">
        <v>0</v>
      </c>
      <c r="J181">
        <v>0</v>
      </c>
      <c r="K181">
        <v>1.9070031719059124E-6</v>
      </c>
      <c r="L181">
        <v>2.189646220436466E-6</v>
      </c>
      <c r="M181">
        <v>1.3726546756557886E-5</v>
      </c>
      <c r="N181">
        <v>1.6632011535933019E-5</v>
      </c>
      <c r="O181">
        <v>2.8210646059176567E-5</v>
      </c>
      <c r="P181">
        <v>2.9117060012635838E-5</v>
      </c>
      <c r="Q181">
        <v>3.1289054427921368E-4</v>
      </c>
      <c r="R181">
        <v>0</v>
      </c>
      <c r="S181">
        <v>0</v>
      </c>
      <c r="T181">
        <v>0</v>
      </c>
      <c r="U181">
        <v>3.6752709726286277E-7</v>
      </c>
      <c r="V181">
        <v>4.452029471618173E-5</v>
      </c>
      <c r="W181">
        <v>3.7204840917753852E-6</v>
      </c>
      <c r="X181">
        <v>0</v>
      </c>
      <c r="Y181">
        <v>0</v>
      </c>
      <c r="Z181">
        <v>0</v>
      </c>
      <c r="AA181">
        <v>3.7204840917753852E-6</v>
      </c>
      <c r="AB181">
        <v>0</v>
      </c>
      <c r="AC181">
        <v>0</v>
      </c>
      <c r="AD181">
        <v>0</v>
      </c>
      <c r="AE181">
        <v>0</v>
      </c>
      <c r="AF181">
        <v>3.0675393725773886E-8</v>
      </c>
      <c r="AG181">
        <v>0</v>
      </c>
      <c r="AH181">
        <v>0</v>
      </c>
      <c r="AI181">
        <v>2.2540628894595978E-9</v>
      </c>
      <c r="AJ181">
        <v>2.2110909739632463E-5</v>
      </c>
      <c r="AK181">
        <v>0</v>
      </c>
      <c r="AL181">
        <v>8.4382499900090688E-9</v>
      </c>
      <c r="AM181">
        <v>0</v>
      </c>
      <c r="AN181">
        <v>0</v>
      </c>
      <c r="AO181">
        <v>0</v>
      </c>
      <c r="AP181">
        <v>0</v>
      </c>
      <c r="AQ181">
        <v>5.4238715341528869E-9</v>
      </c>
      <c r="AR181">
        <v>1.2192816720106343E-9</v>
      </c>
      <c r="AS181">
        <v>2.1175533027199942E-6</v>
      </c>
      <c r="AT181">
        <v>4.3560656255293757E-8</v>
      </c>
      <c r="AU181">
        <v>1.8211965845634938E-5</v>
      </c>
      <c r="AV181">
        <v>5.1941443758092185E-6</v>
      </c>
      <c r="AW181">
        <v>2.0751236319865971E-4</v>
      </c>
      <c r="AX181">
        <v>3.6094533048651331E-5</v>
      </c>
      <c r="AY181">
        <v>5.765323253117821E-5</v>
      </c>
      <c r="AZ181">
        <v>0</v>
      </c>
      <c r="BA181">
        <v>9.3151561366790363E-5</v>
      </c>
      <c r="BB181">
        <v>2.2855131079011009E-5</v>
      </c>
      <c r="BC181">
        <v>3.9160562926248466E-5</v>
      </c>
      <c r="BD181">
        <v>3.634951139776274E-5</v>
      </c>
      <c r="BE181">
        <v>2.0641010253557747E-8</v>
      </c>
      <c r="BF181">
        <v>4.5403299059608863E-5</v>
      </c>
      <c r="BG181">
        <v>6.1696911741084875E-7</v>
      </c>
      <c r="BH181">
        <v>2.7547739204111237E-5</v>
      </c>
      <c r="BI181">
        <v>1.7162889365187872E-5</v>
      </c>
      <c r="BJ181">
        <v>0</v>
      </c>
      <c r="BK181">
        <v>7.5526129325965852E-5</v>
      </c>
      <c r="BL181">
        <v>0</v>
      </c>
      <c r="BM181">
        <v>2.4797482546586907E-5</v>
      </c>
      <c r="BN181">
        <v>4.745921391006722E-6</v>
      </c>
      <c r="BO181">
        <v>3.403348584118238E-5</v>
      </c>
      <c r="BP181">
        <v>0</v>
      </c>
      <c r="BQ181">
        <v>3.403348584118238E-5</v>
      </c>
      <c r="BR181">
        <v>1.0676127686637265E-5</v>
      </c>
      <c r="BS181">
        <v>0</v>
      </c>
      <c r="BT181">
        <v>0</v>
      </c>
      <c r="BU181">
        <v>1.0676127686637264E-5</v>
      </c>
      <c r="BV181">
        <v>1.0676127686637265E-5</v>
      </c>
      <c r="BW181">
        <v>1.0676127686637265E-5</v>
      </c>
      <c r="BX181">
        <v>1.0676127686637265E-5</v>
      </c>
      <c r="BY181">
        <v>1.0676127686637264E-5</v>
      </c>
      <c r="BZ181">
        <v>1.0676127686637264E-5</v>
      </c>
      <c r="CA181">
        <v>1.0676127686637265E-5</v>
      </c>
      <c r="CB181">
        <v>0</v>
      </c>
      <c r="CC181">
        <v>1.0676127686637264E-5</v>
      </c>
      <c r="CD181">
        <v>1.0676127686637264E-5</v>
      </c>
      <c r="CE181">
        <v>1.0676127686637264E-5</v>
      </c>
      <c r="CF181">
        <v>1.0676127686637264E-5</v>
      </c>
      <c r="CG181">
        <v>1.0676127686637264E-5</v>
      </c>
      <c r="CH181">
        <v>1.0676127686637265E-5</v>
      </c>
      <c r="CI181">
        <v>1.0676127686637265E-5</v>
      </c>
      <c r="CJ181">
        <v>0</v>
      </c>
      <c r="CK181">
        <v>3.4684981878344077E-4</v>
      </c>
      <c r="CL181">
        <v>0</v>
      </c>
      <c r="CM181">
        <v>2.5539514308168377E-5</v>
      </c>
      <c r="CN181">
        <v>2.3162594009432628E-5</v>
      </c>
      <c r="CO181">
        <v>1.3714699043848567E-4</v>
      </c>
      <c r="CP181">
        <v>0</v>
      </c>
      <c r="CQ181">
        <v>1.3714699043848567E-4</v>
      </c>
      <c r="CR181">
        <v>0</v>
      </c>
      <c r="CS181">
        <v>1.3714699043848569E-4</v>
      </c>
      <c r="CT181">
        <v>0</v>
      </c>
      <c r="CU181">
        <v>7.1489884497259946E-5</v>
      </c>
      <c r="CV181">
        <v>8.7957859235910217E-5</v>
      </c>
      <c r="CW181">
        <v>0</v>
      </c>
      <c r="CX181">
        <v>1.6286895360591525E-5</v>
      </c>
      <c r="CY181">
        <v>4.6708749662699948E-6</v>
      </c>
      <c r="CZ181">
        <v>1.9204883744398307E-8</v>
      </c>
      <c r="DA181">
        <v>0</v>
      </c>
      <c r="DB181">
        <v>2.0262420590662548E-5</v>
      </c>
      <c r="DC181">
        <v>2.6827003497679349E-5</v>
      </c>
      <c r="DD181">
        <v>0</v>
      </c>
      <c r="DE181">
        <v>2.0460370694387413E-4</v>
      </c>
      <c r="DF181">
        <v>0</v>
      </c>
      <c r="DG181">
        <v>2.0798702027842393E-5</v>
      </c>
      <c r="DH181">
        <v>0</v>
      </c>
      <c r="DI181">
        <v>1.0207514104447062E-9</v>
      </c>
      <c r="DJ181">
        <v>0</v>
      </c>
      <c r="DK181">
        <v>6.7440243644268584E-5</v>
      </c>
      <c r="DL181">
        <v>0</v>
      </c>
      <c r="DM181">
        <v>4.9412223441255529E-5</v>
      </c>
      <c r="DN181">
        <v>0</v>
      </c>
      <c r="DO181">
        <v>3.0963000434184077E-4</v>
      </c>
      <c r="DP181">
        <v>6.8087846432507405E-5</v>
      </c>
      <c r="DQ181">
        <v>2.1499467317083507E-5</v>
      </c>
      <c r="DR181">
        <v>7.7620020867997691E-6</v>
      </c>
      <c r="DS181">
        <v>2.8931540425015334E-5</v>
      </c>
      <c r="DT181">
        <v>9.6125031057369674E-6</v>
      </c>
      <c r="DU181">
        <v>7.7277073682382988E-5</v>
      </c>
      <c r="DV181">
        <v>9.3055323438833641E-6</v>
      </c>
      <c r="DW181">
        <v>8.6360214482793172E-8</v>
      </c>
      <c r="DX181">
        <v>4.571004370447518E-5</v>
      </c>
      <c r="DY181">
        <v>4.5502745518247828E-9</v>
      </c>
      <c r="DZ181">
        <v>0</v>
      </c>
      <c r="EA181">
        <v>1.0951240198181175E-4</v>
      </c>
      <c r="EB181">
        <v>7.8965431660160836E-5</v>
      </c>
      <c r="EC181">
        <v>1.1231691080288579E-4</v>
      </c>
      <c r="ED181">
        <v>3.8655989725382991E-5</v>
      </c>
      <c r="EE181">
        <v>4.4202425518479049E-5</v>
      </c>
      <c r="EF181">
        <v>1.4886351591015558E-5</v>
      </c>
      <c r="EG181">
        <v>1.2565337612648582E-4</v>
      </c>
      <c r="EH181">
        <v>4.2734763862886302E-5</v>
      </c>
      <c r="EI181">
        <v>0</v>
      </c>
      <c r="EJ181">
        <v>0</v>
      </c>
      <c r="EK181">
        <v>0</v>
      </c>
      <c r="EL181">
        <v>7.9568615073711697E-5</v>
      </c>
      <c r="EM181">
        <v>9.1359317186851427E-5</v>
      </c>
      <c r="EN181">
        <v>9.2673729073814204E-5</v>
      </c>
      <c r="EO181">
        <v>1.4018223075194346E-5</v>
      </c>
      <c r="EP181">
        <v>1.4018223075194344E-5</v>
      </c>
      <c r="EQ181">
        <v>1.4018223075194346E-5</v>
      </c>
      <c r="ER181">
        <v>0</v>
      </c>
      <c r="ES181">
        <v>1.4018223075194347E-5</v>
      </c>
      <c r="ET181">
        <v>1.4018223075194346E-5</v>
      </c>
      <c r="EU181">
        <v>4.3062575702098725E-6</v>
      </c>
      <c r="EV181">
        <v>1.2985259979276861E-5</v>
      </c>
      <c r="EW181">
        <v>5.6417615922067735E-5</v>
      </c>
      <c r="EX181">
        <v>0</v>
      </c>
      <c r="EY181">
        <v>1.0333895382564574E-9</v>
      </c>
      <c r="EZ181">
        <v>1.3056301534190074E-8</v>
      </c>
      <c r="FA181">
        <v>1.1361942916963948E-10</v>
      </c>
      <c r="FB181">
        <v>2.1896167870414151E-10</v>
      </c>
      <c r="FC181">
        <v>8.6393778654373493E-5</v>
      </c>
      <c r="FD181">
        <v>1.2939609874808478E-8</v>
      </c>
      <c r="FE181">
        <v>2.4893089006161366E-8</v>
      </c>
      <c r="FF181">
        <v>1.302145496866311E-8</v>
      </c>
      <c r="FG181">
        <v>9.6114484971339882E-10</v>
      </c>
      <c r="FH181">
        <v>3.2271686997134667E-7</v>
      </c>
      <c r="FI181">
        <v>2.1639312216742785E-9</v>
      </c>
      <c r="FJ181">
        <v>2.1297169336675167E-9</v>
      </c>
      <c r="FK181">
        <v>1.3134765942622266E-10</v>
      </c>
      <c r="FL181">
        <v>1.3186865971980047E-6</v>
      </c>
      <c r="FM181">
        <v>1.2264635458925548E-5</v>
      </c>
      <c r="FN181">
        <v>3.5049264272577707E-8</v>
      </c>
      <c r="FO181">
        <v>1.8651678803590266E-8</v>
      </c>
      <c r="FP181">
        <v>2.2919362080293389E-5</v>
      </c>
      <c r="FQ181">
        <v>8.8316027463210903E-9</v>
      </c>
      <c r="FR181">
        <v>2.7648779797934037E-5</v>
      </c>
      <c r="FS181">
        <v>1.4385829309852005E-8</v>
      </c>
      <c r="FT181">
        <v>8.4882960000543176E-5</v>
      </c>
      <c r="FU181">
        <v>1.7123731419431594E-4</v>
      </c>
      <c r="FV181">
        <v>5.0853933511554113E-4</v>
      </c>
      <c r="FW181">
        <v>1.969138746813461E-3</v>
      </c>
      <c r="FX181">
        <v>1.9673252386277255E-3</v>
      </c>
      <c r="FY181">
        <v>1.8701188587996894E-3</v>
      </c>
      <c r="FZ181">
        <v>1.7597123818204445E-3</v>
      </c>
      <c r="GA181">
        <v>1.9690032776478166E-3</v>
      </c>
      <c r="GB181">
        <v>1.9601682302986009E-3</v>
      </c>
      <c r="GC181">
        <v>1.9460770964326013E-3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1.6706405936345297E-3</v>
      </c>
      <c r="GJ181">
        <v>1.7557980487201649E-3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1.9824270620105599E-6</v>
      </c>
      <c r="GR181">
        <v>3.8781447348312284E-5</v>
      </c>
      <c r="GS181">
        <v>5.9525233622198698E-5</v>
      </c>
      <c r="GT181">
        <v>0</v>
      </c>
      <c r="GU181">
        <v>0</v>
      </c>
    </row>
    <row r="182" spans="1:203">
      <c r="A182" t="s">
        <v>320</v>
      </c>
      <c r="B182">
        <v>179</v>
      </c>
      <c r="C182" t="s">
        <v>138</v>
      </c>
      <c r="D182">
        <v>4.7907475515362252E-9</v>
      </c>
      <c r="E182">
        <v>0</v>
      </c>
      <c r="F182">
        <v>3.6978273388101991E-6</v>
      </c>
      <c r="G182">
        <v>4.5521797175672374E-7</v>
      </c>
      <c r="H182">
        <v>1.0855926935865857E-7</v>
      </c>
      <c r="I182">
        <v>0</v>
      </c>
      <c r="J182">
        <v>0</v>
      </c>
      <c r="K182">
        <v>1.9304761301794283E-6</v>
      </c>
      <c r="L182">
        <v>6.1754932041667249E-8</v>
      </c>
      <c r="M182">
        <v>3.1829617113489919E-6</v>
      </c>
      <c r="N182">
        <v>3.5693284812627621E-6</v>
      </c>
      <c r="O182">
        <v>1.5746380995309772E-6</v>
      </c>
      <c r="P182">
        <v>2.3794480919314213E-6</v>
      </c>
      <c r="Q182">
        <v>1.7808584140578988E-4</v>
      </c>
      <c r="R182">
        <v>0</v>
      </c>
      <c r="S182">
        <v>0</v>
      </c>
      <c r="T182">
        <v>0</v>
      </c>
      <c r="U182">
        <v>4.0087544076034024E-7</v>
      </c>
      <c r="V182">
        <v>1.5056328037634504E-5</v>
      </c>
      <c r="W182">
        <v>1.0712743878303239E-7</v>
      </c>
      <c r="X182">
        <v>0</v>
      </c>
      <c r="Y182">
        <v>0</v>
      </c>
      <c r="Z182">
        <v>0</v>
      </c>
      <c r="AA182">
        <v>1.0712743878303239E-7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1.9127757767213182E-9</v>
      </c>
      <c r="AJ182">
        <v>4.5753762363165837E-7</v>
      </c>
      <c r="AK182">
        <v>0</v>
      </c>
      <c r="AL182">
        <v>7.1658000563999223E-9</v>
      </c>
      <c r="AM182">
        <v>0</v>
      </c>
      <c r="AN182">
        <v>0</v>
      </c>
      <c r="AO182">
        <v>0</v>
      </c>
      <c r="AP182">
        <v>0</v>
      </c>
      <c r="AQ182">
        <v>3.4393393759143576E-9</v>
      </c>
      <c r="AR182">
        <v>1.0303449724760909E-9</v>
      </c>
      <c r="AS182">
        <v>5.4815485655883079E-8</v>
      </c>
      <c r="AT182">
        <v>2.0443903554339154E-8</v>
      </c>
      <c r="AU182">
        <v>5.5827458527796352E-6</v>
      </c>
      <c r="AV182">
        <v>5.5359765803181388E-7</v>
      </c>
      <c r="AW182">
        <v>3.9365976348498523E-5</v>
      </c>
      <c r="AX182">
        <v>2.1029101423294826E-7</v>
      </c>
      <c r="AY182">
        <v>2.7729257165897957E-5</v>
      </c>
      <c r="AZ182">
        <v>0</v>
      </c>
      <c r="BA182">
        <v>1.5672097305983483E-5</v>
      </c>
      <c r="BB182">
        <v>1.4313397379550006E-5</v>
      </c>
      <c r="BC182">
        <v>1.7256768674877319E-5</v>
      </c>
      <c r="BD182">
        <v>1.6699485965446941E-5</v>
      </c>
      <c r="BE182">
        <v>9.4983798195987778E-9</v>
      </c>
      <c r="BF182">
        <v>2.7547926920601068E-5</v>
      </c>
      <c r="BG182">
        <v>2.6133290032114251E-8</v>
      </c>
      <c r="BH182">
        <v>1.0398576530711039E-5</v>
      </c>
      <c r="BI182">
        <v>4.0890683039552993E-6</v>
      </c>
      <c r="BJ182">
        <v>0</v>
      </c>
      <c r="BK182">
        <v>3.7986388458909254E-7</v>
      </c>
      <c r="BL182">
        <v>0</v>
      </c>
      <c r="BM182">
        <v>1.3454640107209972E-5</v>
      </c>
      <c r="BN182">
        <v>1.3550387472827006E-6</v>
      </c>
      <c r="BO182">
        <v>9.6061132281491866E-6</v>
      </c>
      <c r="BP182">
        <v>0</v>
      </c>
      <c r="BQ182">
        <v>9.6061132281491849E-6</v>
      </c>
      <c r="BR182">
        <v>6.5469743929099934E-6</v>
      </c>
      <c r="BS182">
        <v>0</v>
      </c>
      <c r="BT182">
        <v>0</v>
      </c>
      <c r="BU182">
        <v>6.5469743929099917E-6</v>
      </c>
      <c r="BV182">
        <v>6.5469743929099925E-6</v>
      </c>
      <c r="BW182">
        <v>6.5469743929099917E-6</v>
      </c>
      <c r="BX182">
        <v>6.5469743929099934E-6</v>
      </c>
      <c r="BY182">
        <v>6.5469743929099934E-6</v>
      </c>
      <c r="BZ182">
        <v>6.5469743929099925E-6</v>
      </c>
      <c r="CA182">
        <v>6.5469743929099925E-6</v>
      </c>
      <c r="CB182">
        <v>0</v>
      </c>
      <c r="CC182">
        <v>6.5469743929099917E-6</v>
      </c>
      <c r="CD182">
        <v>6.5469743929099917E-6</v>
      </c>
      <c r="CE182">
        <v>6.5469743929099934E-6</v>
      </c>
      <c r="CF182">
        <v>6.5469743929099934E-6</v>
      </c>
      <c r="CG182">
        <v>6.5469743929099925E-6</v>
      </c>
      <c r="CH182">
        <v>6.5469743929099934E-6</v>
      </c>
      <c r="CI182">
        <v>6.5469743929099925E-6</v>
      </c>
      <c r="CJ182">
        <v>0</v>
      </c>
      <c r="CK182">
        <v>2.1791290616250924E-4</v>
      </c>
      <c r="CL182">
        <v>0</v>
      </c>
      <c r="CM182">
        <v>2.7574143003775953E-5</v>
      </c>
      <c r="CN182">
        <v>5.9249143646284195E-6</v>
      </c>
      <c r="CO182">
        <v>8.6819295873238951E-5</v>
      </c>
      <c r="CP182">
        <v>0</v>
      </c>
      <c r="CQ182">
        <v>8.6819295873238951E-5</v>
      </c>
      <c r="CR182">
        <v>0</v>
      </c>
      <c r="CS182">
        <v>8.6819295873238965E-5</v>
      </c>
      <c r="CT182">
        <v>0</v>
      </c>
      <c r="CU182">
        <v>4.0016255546135974E-5</v>
      </c>
      <c r="CV182">
        <v>5.2775353114275411E-5</v>
      </c>
      <c r="CW182">
        <v>0</v>
      </c>
      <c r="CX182">
        <v>4.8499670485425645E-6</v>
      </c>
      <c r="CY182">
        <v>4.5610647303615072E-7</v>
      </c>
      <c r="CZ182">
        <v>2.504691644072127E-8</v>
      </c>
      <c r="DA182">
        <v>0</v>
      </c>
      <c r="DB182">
        <v>1.0532918674061658E-5</v>
      </c>
      <c r="DC182">
        <v>1.7139993450318008E-5</v>
      </c>
      <c r="DD182">
        <v>0</v>
      </c>
      <c r="DE182">
        <v>1.2276175898411569E-4</v>
      </c>
      <c r="DF182">
        <v>0</v>
      </c>
      <c r="DG182">
        <v>7.0710876670144269E-6</v>
      </c>
      <c r="DH182">
        <v>0</v>
      </c>
      <c r="DI182">
        <v>8.9416572429615213E-10</v>
      </c>
      <c r="DJ182">
        <v>0</v>
      </c>
      <c r="DK182">
        <v>4.1273549331787167E-5</v>
      </c>
      <c r="DL182">
        <v>0</v>
      </c>
      <c r="DM182">
        <v>1.3643468150728574E-5</v>
      </c>
      <c r="DN182">
        <v>0</v>
      </c>
      <c r="DO182">
        <v>1.8832212429087481E-4</v>
      </c>
      <c r="DP182">
        <v>4.32102276763914E-5</v>
      </c>
      <c r="DQ182">
        <v>1.3605489318908837E-5</v>
      </c>
      <c r="DR182">
        <v>2.4351073847485826E-6</v>
      </c>
      <c r="DS182">
        <v>1.8314315184500516E-5</v>
      </c>
      <c r="DT182">
        <v>5.9910383500398286E-6</v>
      </c>
      <c r="DU182">
        <v>4.9222751873000814E-5</v>
      </c>
      <c r="DV182">
        <v>5.688246210345446E-6</v>
      </c>
      <c r="DW182">
        <v>4.2859346454725964E-7</v>
      </c>
      <c r="DX182">
        <v>2.8159534510590614E-5</v>
      </c>
      <c r="DY182">
        <v>5.4714063115592496E-13</v>
      </c>
      <c r="DZ182">
        <v>0</v>
      </c>
      <c r="EA182">
        <v>6.7721097422812843E-5</v>
      </c>
      <c r="EB182">
        <v>4.5326806830848686E-5</v>
      </c>
      <c r="EC182">
        <v>6.4416505965669835E-5</v>
      </c>
      <c r="ED182">
        <v>1.0906762369726034E-6</v>
      </c>
      <c r="EE182">
        <v>3.3654512137137288E-6</v>
      </c>
      <c r="EF182">
        <v>1.1616453439183569E-7</v>
      </c>
      <c r="EG182">
        <v>1.8944209919175822E-6</v>
      </c>
      <c r="EH182">
        <v>3.1552233125177499E-6</v>
      </c>
      <c r="EI182">
        <v>0</v>
      </c>
      <c r="EJ182">
        <v>0</v>
      </c>
      <c r="EK182">
        <v>0</v>
      </c>
      <c r="EL182">
        <v>2.1015941478343746E-5</v>
      </c>
      <c r="EM182">
        <v>4.5429680384018733E-5</v>
      </c>
      <c r="EN182">
        <v>5.6763663552877906E-5</v>
      </c>
      <c r="EO182">
        <v>6.9432949716805602E-6</v>
      </c>
      <c r="EP182">
        <v>6.9432949716805594E-6</v>
      </c>
      <c r="EQ182">
        <v>6.9432949716805594E-6</v>
      </c>
      <c r="ER182">
        <v>0</v>
      </c>
      <c r="ES182">
        <v>6.9432949716805602E-6</v>
      </c>
      <c r="ET182">
        <v>6.9432949716805594E-6</v>
      </c>
      <c r="EU182">
        <v>3.7673567745590787E-7</v>
      </c>
      <c r="EV182">
        <v>3.5749576017180238E-6</v>
      </c>
      <c r="EW182">
        <v>3.6241507935701421E-5</v>
      </c>
      <c r="EX182">
        <v>0</v>
      </c>
      <c r="EY182">
        <v>1.0143129817332356E-9</v>
      </c>
      <c r="EZ182">
        <v>1.3185272263476058E-8</v>
      </c>
      <c r="FA182">
        <v>1.0191497329897351E-10</v>
      </c>
      <c r="FB182">
        <v>2.0071354159522541E-10</v>
      </c>
      <c r="FC182">
        <v>5.370311001111637E-5</v>
      </c>
      <c r="FD182">
        <v>1.4128990425805104E-8</v>
      </c>
      <c r="FE182">
        <v>1.3825471645925269E-8</v>
      </c>
      <c r="FF182">
        <v>8.7331528950524461E-9</v>
      </c>
      <c r="FG182">
        <v>7.4921633861781806E-10</v>
      </c>
      <c r="FH182">
        <v>3.696744448657337E-8</v>
      </c>
      <c r="FI182">
        <v>1.3075416904324731E-9</v>
      </c>
      <c r="FJ182">
        <v>2.2290424089173419E-9</v>
      </c>
      <c r="FK182">
        <v>1.1307284761045298E-10</v>
      </c>
      <c r="FL182">
        <v>1.2395316086118071E-6</v>
      </c>
      <c r="FM182">
        <v>8.503793871837127E-6</v>
      </c>
      <c r="FN182">
        <v>2.6281055852951914E-9</v>
      </c>
      <c r="FO182">
        <v>3.253314259621496E-6</v>
      </c>
      <c r="FP182">
        <v>1.0219829773529635E-5</v>
      </c>
      <c r="FQ182">
        <v>1.0670449027241698E-8</v>
      </c>
      <c r="FR182">
        <v>1.6375594943492002E-5</v>
      </c>
      <c r="FS182">
        <v>5.9367711517605902E-8</v>
      </c>
      <c r="FT182">
        <v>4.9646282172954306E-5</v>
      </c>
      <c r="FU182">
        <v>1.0969272908787504E-4</v>
      </c>
      <c r="FV182">
        <v>3.2712792706163685E-4</v>
      </c>
      <c r="FW182">
        <v>1.1599977032567973E-3</v>
      </c>
      <c r="FX182">
        <v>1.1584273912879147E-3</v>
      </c>
      <c r="FY182">
        <v>1.0698787561107522E-3</v>
      </c>
      <c r="FZ182">
        <v>9.1292129567416692E-4</v>
      </c>
      <c r="GA182">
        <v>1.1392564811979313E-3</v>
      </c>
      <c r="GB182">
        <v>1.1432790109957792E-3</v>
      </c>
      <c r="GC182">
        <v>1.1352347275767698E-3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9.7719314161423781E-4</v>
      </c>
      <c r="GJ182">
        <v>1.0327957476214526E-3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9.4197010405431397E-8</v>
      </c>
      <c r="GR182">
        <v>2.4165649881452631E-5</v>
      </c>
      <c r="GS182">
        <v>3.4778585139247607E-5</v>
      </c>
      <c r="GT182">
        <v>0</v>
      </c>
      <c r="GU182">
        <v>0</v>
      </c>
    </row>
    <row r="183" spans="1:203">
      <c r="A183" t="s">
        <v>321</v>
      </c>
      <c r="B183">
        <v>180</v>
      </c>
      <c r="C183" t="s">
        <v>138</v>
      </c>
      <c r="D183">
        <v>3.0702515598564893E-8</v>
      </c>
      <c r="E183">
        <v>0</v>
      </c>
      <c r="F183">
        <v>4.4651420395540912E-6</v>
      </c>
      <c r="G183">
        <v>2.5793158373552979E-6</v>
      </c>
      <c r="H183">
        <v>3.3800995631509843E-6</v>
      </c>
      <c r="I183">
        <v>0</v>
      </c>
      <c r="J183">
        <v>0</v>
      </c>
      <c r="K183">
        <v>1.8833965969573981E-6</v>
      </c>
      <c r="L183">
        <v>1.5364259008656282E-6</v>
      </c>
      <c r="M183">
        <v>1.3421804831302839E-5</v>
      </c>
      <c r="N183">
        <v>1.3786469704783247E-5</v>
      </c>
      <c r="O183">
        <v>2.8042372748138813E-5</v>
      </c>
      <c r="P183">
        <v>2.9670704925169068E-5</v>
      </c>
      <c r="Q183">
        <v>3.1813526667857662E-4</v>
      </c>
      <c r="R183">
        <v>0</v>
      </c>
      <c r="S183">
        <v>0</v>
      </c>
      <c r="T183">
        <v>0</v>
      </c>
      <c r="U183">
        <v>3.512990031985124E-7</v>
      </c>
      <c r="V183">
        <v>4.5108246958318991E-5</v>
      </c>
      <c r="W183">
        <v>3.6321918224162484E-6</v>
      </c>
      <c r="X183">
        <v>0</v>
      </c>
      <c r="Y183">
        <v>0</v>
      </c>
      <c r="Z183">
        <v>0</v>
      </c>
      <c r="AA183">
        <v>3.632191822416248E-6</v>
      </c>
      <c r="AB183">
        <v>0</v>
      </c>
      <c r="AC183">
        <v>0</v>
      </c>
      <c r="AD183">
        <v>0</v>
      </c>
      <c r="AE183">
        <v>0</v>
      </c>
      <c r="AF183">
        <v>3.0518876414236537E-8</v>
      </c>
      <c r="AG183">
        <v>0</v>
      </c>
      <c r="AH183">
        <v>0</v>
      </c>
      <c r="AI183">
        <v>2.2435753922970315E-9</v>
      </c>
      <c r="AJ183">
        <v>2.1228623730792785E-5</v>
      </c>
      <c r="AK183">
        <v>0</v>
      </c>
      <c r="AL183">
        <v>8.3980540552466561E-9</v>
      </c>
      <c r="AM183">
        <v>0</v>
      </c>
      <c r="AN183">
        <v>0</v>
      </c>
      <c r="AO183">
        <v>0</v>
      </c>
      <c r="AP183">
        <v>0</v>
      </c>
      <c r="AQ183">
        <v>5.3513982222288475E-9</v>
      </c>
      <c r="AR183">
        <v>1.2143891460476811E-9</v>
      </c>
      <c r="AS183">
        <v>2.0294384576399119E-6</v>
      </c>
      <c r="AT183">
        <v>4.2200571061165679E-8</v>
      </c>
      <c r="AU183">
        <v>1.8199728796623558E-5</v>
      </c>
      <c r="AV183">
        <v>4.6409535193052747E-6</v>
      </c>
      <c r="AW183">
        <v>2.1321401058651103E-4</v>
      </c>
      <c r="AX183">
        <v>3.6108831299698316E-5</v>
      </c>
      <c r="AY183">
        <v>5.853561576355208E-5</v>
      </c>
      <c r="AZ183">
        <v>0</v>
      </c>
      <c r="BA183">
        <v>9.3215056949082177E-5</v>
      </c>
      <c r="BB183">
        <v>2.0945857910256657E-5</v>
      </c>
      <c r="BC183">
        <v>3.5016022793089164E-5</v>
      </c>
      <c r="BD183">
        <v>3.6361655013276724E-5</v>
      </c>
      <c r="BE183">
        <v>1.9892868606488166E-8</v>
      </c>
      <c r="BF183">
        <v>4.4583019881973173E-5</v>
      </c>
      <c r="BG183">
        <v>6.1959132815422909E-7</v>
      </c>
      <c r="BH183">
        <v>2.7679224631485447E-5</v>
      </c>
      <c r="BI183">
        <v>1.6886449248618436E-5</v>
      </c>
      <c r="BJ183">
        <v>0</v>
      </c>
      <c r="BK183">
        <v>7.3847874802246741E-5</v>
      </c>
      <c r="BL183">
        <v>0</v>
      </c>
      <c r="BM183">
        <v>2.3591558100353544E-5</v>
      </c>
      <c r="BN183">
        <v>2.9579653944153523E-6</v>
      </c>
      <c r="BO183">
        <v>3.5067393315943008E-5</v>
      </c>
      <c r="BP183">
        <v>0</v>
      </c>
      <c r="BQ183">
        <v>3.5067393315943008E-5</v>
      </c>
      <c r="BR183">
        <v>1.0886811428739329E-5</v>
      </c>
      <c r="BS183">
        <v>0</v>
      </c>
      <c r="BT183">
        <v>0</v>
      </c>
      <c r="BU183">
        <v>1.0886811428739329E-5</v>
      </c>
      <c r="BV183">
        <v>1.0886811428739329E-5</v>
      </c>
      <c r="BW183">
        <v>1.0886811428739329E-5</v>
      </c>
      <c r="BX183">
        <v>1.0886811428739329E-5</v>
      </c>
      <c r="BY183">
        <v>1.0886811428739329E-5</v>
      </c>
      <c r="BZ183">
        <v>1.0886811428739329E-5</v>
      </c>
      <c r="CA183">
        <v>1.0886811428739329E-5</v>
      </c>
      <c r="CB183">
        <v>0</v>
      </c>
      <c r="CC183">
        <v>1.0886811428739329E-5</v>
      </c>
      <c r="CD183">
        <v>1.0886811428739327E-5</v>
      </c>
      <c r="CE183">
        <v>1.0886811428739329E-5</v>
      </c>
      <c r="CF183">
        <v>1.0886811428739329E-5</v>
      </c>
      <c r="CG183">
        <v>1.0886811428739329E-5</v>
      </c>
      <c r="CH183">
        <v>1.0886811428739329E-5</v>
      </c>
      <c r="CI183">
        <v>1.0886811428739329E-5</v>
      </c>
      <c r="CJ183">
        <v>0</v>
      </c>
      <c r="CK183">
        <v>3.5541922644412289E-4</v>
      </c>
      <c r="CL183">
        <v>0</v>
      </c>
      <c r="CM183">
        <v>2.4720808619160448E-5</v>
      </c>
      <c r="CN183">
        <v>2.3070830032600148E-5</v>
      </c>
      <c r="CO183">
        <v>1.3982840395633498E-4</v>
      </c>
      <c r="CP183">
        <v>0</v>
      </c>
      <c r="CQ183">
        <v>1.3982840395633495E-4</v>
      </c>
      <c r="CR183">
        <v>0</v>
      </c>
      <c r="CS183">
        <v>1.3982840395633498E-4</v>
      </c>
      <c r="CT183">
        <v>0</v>
      </c>
      <c r="CU183">
        <v>7.1858023079067034E-5</v>
      </c>
      <c r="CV183">
        <v>8.7753388101139481E-5</v>
      </c>
      <c r="CW183">
        <v>0</v>
      </c>
      <c r="CX183">
        <v>1.2750285641989721E-5</v>
      </c>
      <c r="CY183">
        <v>4.4136656076398284E-6</v>
      </c>
      <c r="CZ183">
        <v>1.6653747757758236E-8</v>
      </c>
      <c r="DA183">
        <v>0</v>
      </c>
      <c r="DB183">
        <v>1.8596998769211896E-5</v>
      </c>
      <c r="DC183">
        <v>2.7217859030621342E-5</v>
      </c>
      <c r="DD183">
        <v>0</v>
      </c>
      <c r="DE183">
        <v>2.0978200876770259E-4</v>
      </c>
      <c r="DF183">
        <v>0</v>
      </c>
      <c r="DG183">
        <v>2.1105862000346846E-5</v>
      </c>
      <c r="DH183">
        <v>0</v>
      </c>
      <c r="DI183">
        <v>1.0175152277861879E-9</v>
      </c>
      <c r="DJ183">
        <v>0</v>
      </c>
      <c r="DK183">
        <v>6.7411887914881684E-5</v>
      </c>
      <c r="DL183">
        <v>0</v>
      </c>
      <c r="DM183">
        <v>5.0421947664712969E-5</v>
      </c>
      <c r="DN183">
        <v>0</v>
      </c>
      <c r="DO183">
        <v>3.1349420071653144E-4</v>
      </c>
      <c r="DP183">
        <v>6.8160706872144272E-5</v>
      </c>
      <c r="DQ183">
        <v>2.154603883540818E-5</v>
      </c>
      <c r="DR183">
        <v>7.7939281187579291E-6</v>
      </c>
      <c r="DS183">
        <v>2.9045730322805724E-5</v>
      </c>
      <c r="DT183">
        <v>9.5692575317880339E-6</v>
      </c>
      <c r="DU183">
        <v>7.8324516385954522E-5</v>
      </c>
      <c r="DV183">
        <v>8.9766382961532102E-6</v>
      </c>
      <c r="DW183">
        <v>2.8609868862084968E-8</v>
      </c>
      <c r="DX183">
        <v>4.4855148930912406E-5</v>
      </c>
      <c r="DY183">
        <v>4.4834015074358294E-9</v>
      </c>
      <c r="DZ183">
        <v>0</v>
      </c>
      <c r="EA183">
        <v>1.1051649557343176E-4</v>
      </c>
      <c r="EB183">
        <v>7.9868936771815109E-5</v>
      </c>
      <c r="EC183">
        <v>1.0913700108755971E-4</v>
      </c>
      <c r="ED183">
        <v>3.8338480157007834E-5</v>
      </c>
      <c r="EE183">
        <v>4.3897748076549033E-5</v>
      </c>
      <c r="EF183">
        <v>1.5470838438960752E-5</v>
      </c>
      <c r="EG183">
        <v>1.2322199264836657E-4</v>
      </c>
      <c r="EH183">
        <v>4.2464167707558444E-5</v>
      </c>
      <c r="EI183">
        <v>0</v>
      </c>
      <c r="EJ183">
        <v>0</v>
      </c>
      <c r="EK183">
        <v>0</v>
      </c>
      <c r="EL183">
        <v>8.0446689939389876E-5</v>
      </c>
      <c r="EM183">
        <v>9.2274249683026578E-5</v>
      </c>
      <c r="EN183">
        <v>9.3725039344565435E-5</v>
      </c>
      <c r="EO183">
        <v>1.4365477355108463E-5</v>
      </c>
      <c r="EP183">
        <v>1.4365477355108458E-5</v>
      </c>
      <c r="EQ183">
        <v>1.4365477355108462E-5</v>
      </c>
      <c r="ER183">
        <v>0</v>
      </c>
      <c r="ES183">
        <v>1.436547735510846E-5</v>
      </c>
      <c r="ET183">
        <v>1.436547735510846E-5</v>
      </c>
      <c r="EU183">
        <v>4.3480851074138275E-6</v>
      </c>
      <c r="EV183">
        <v>1.3125530146067481E-5</v>
      </c>
      <c r="EW183">
        <v>5.6341979580775126E-5</v>
      </c>
      <c r="EX183">
        <v>0</v>
      </c>
      <c r="EY183">
        <v>1.0328666525483767E-9</v>
      </c>
      <c r="EZ183">
        <v>1.3028687875290664E-8</v>
      </c>
      <c r="FA183">
        <v>1.1330074239425274E-10</v>
      </c>
      <c r="FB183">
        <v>2.1839323768776512E-10</v>
      </c>
      <c r="FC183">
        <v>8.1894306550186628E-5</v>
      </c>
      <c r="FD183">
        <v>1.1612254837422827E-8</v>
      </c>
      <c r="FE183">
        <v>1.5811836007482064E-8</v>
      </c>
      <c r="FF183">
        <v>1.2875430956019031E-8</v>
      </c>
      <c r="FG183">
        <v>9.5548592178074139E-10</v>
      </c>
      <c r="FH183">
        <v>2.8067340665095091E-7</v>
      </c>
      <c r="FI183">
        <v>2.1318636460670606E-9</v>
      </c>
      <c r="FJ183">
        <v>2.0766138516144447E-9</v>
      </c>
      <c r="FK183">
        <v>1.3041698324272284E-10</v>
      </c>
      <c r="FL183">
        <v>5.2831038205215378E-7</v>
      </c>
      <c r="FM183">
        <v>1.0183131061362245E-5</v>
      </c>
      <c r="FN183">
        <v>3.2307525730972848E-8</v>
      </c>
      <c r="FO183">
        <v>8.938110045920226E-9</v>
      </c>
      <c r="FP183">
        <v>2.3032384214005222E-5</v>
      </c>
      <c r="FQ183">
        <v>8.013507211899266E-9</v>
      </c>
      <c r="FR183">
        <v>2.7720111629073375E-5</v>
      </c>
      <c r="FS183">
        <v>8.8716809452969571E-9</v>
      </c>
      <c r="FT183">
        <v>8.6510668667851175E-5</v>
      </c>
      <c r="FU183">
        <v>1.7382453862346511E-4</v>
      </c>
      <c r="FV183">
        <v>5.2047872873479646E-4</v>
      </c>
      <c r="FW183">
        <v>1.9875116885451514E-3</v>
      </c>
      <c r="FX183">
        <v>1.9852193626788794E-3</v>
      </c>
      <c r="FY183">
        <v>1.8824050916702382E-3</v>
      </c>
      <c r="FZ183">
        <v>1.7676716267147165E-3</v>
      </c>
      <c r="GA183">
        <v>1.986053001993521E-3</v>
      </c>
      <c r="GB183">
        <v>1.9768994669277463E-3</v>
      </c>
      <c r="GC183">
        <v>1.9625128861430188E-3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1.6823599767461235E-3</v>
      </c>
      <c r="GJ183">
        <v>1.7701045169700187E-3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2.0100915992779138E-6</v>
      </c>
      <c r="GR183">
        <v>3.7269339815987488E-5</v>
      </c>
      <c r="GS183">
        <v>5.9730897962041847E-5</v>
      </c>
      <c r="GT183">
        <v>0</v>
      </c>
      <c r="GU183">
        <v>0</v>
      </c>
    </row>
    <row r="184" spans="1:203">
      <c r="A184" t="s">
        <v>322</v>
      </c>
      <c r="B184">
        <v>181</v>
      </c>
      <c r="C184" t="s">
        <v>138</v>
      </c>
      <c r="D184">
        <v>3.1471493588325268E-8</v>
      </c>
      <c r="E184">
        <v>0</v>
      </c>
      <c r="F184">
        <v>5.2407994092460772E-6</v>
      </c>
      <c r="G184">
        <v>3.0187922843599523E-6</v>
      </c>
      <c r="H184">
        <v>3.960250443620095E-6</v>
      </c>
      <c r="I184">
        <v>0</v>
      </c>
      <c r="J184">
        <v>0</v>
      </c>
      <c r="K184">
        <v>2.004877858076958E-6</v>
      </c>
      <c r="L184">
        <v>1.8079406082995807E-6</v>
      </c>
      <c r="M184">
        <v>1.5738530977854561E-5</v>
      </c>
      <c r="N184">
        <v>1.6502348804653233E-5</v>
      </c>
      <c r="O184">
        <v>3.312798146085147E-5</v>
      </c>
      <c r="P184">
        <v>3.4678285363337563E-5</v>
      </c>
      <c r="Q184">
        <v>3.7115019905406191E-4</v>
      </c>
      <c r="R184">
        <v>0</v>
      </c>
      <c r="S184">
        <v>0</v>
      </c>
      <c r="T184">
        <v>0</v>
      </c>
      <c r="U184">
        <v>3.845612389294755E-7</v>
      </c>
      <c r="V184">
        <v>5.2651320295825901E-5</v>
      </c>
      <c r="W184">
        <v>4.2554008919450896E-6</v>
      </c>
      <c r="X184">
        <v>0</v>
      </c>
      <c r="Y184">
        <v>0</v>
      </c>
      <c r="Z184">
        <v>0</v>
      </c>
      <c r="AA184">
        <v>4.2554008919450896E-6</v>
      </c>
      <c r="AB184">
        <v>0</v>
      </c>
      <c r="AC184">
        <v>0</v>
      </c>
      <c r="AD184">
        <v>0</v>
      </c>
      <c r="AE184">
        <v>0</v>
      </c>
      <c r="AF184">
        <v>3.0630256486036636E-8</v>
      </c>
      <c r="AG184">
        <v>0</v>
      </c>
      <c r="AH184">
        <v>0</v>
      </c>
      <c r="AI184">
        <v>1.0509363087158865E-8</v>
      </c>
      <c r="AJ184">
        <v>2.4953484541415119E-5</v>
      </c>
      <c r="AK184">
        <v>0</v>
      </c>
      <c r="AL184">
        <v>8.402740067844036E-9</v>
      </c>
      <c r="AM184">
        <v>0</v>
      </c>
      <c r="AN184">
        <v>3.8223761121085483E-8</v>
      </c>
      <c r="AO184">
        <v>0</v>
      </c>
      <c r="AP184">
        <v>0</v>
      </c>
      <c r="AQ184">
        <v>5.3638251577645349E-9</v>
      </c>
      <c r="AR184">
        <v>1.2150608441045111E-9</v>
      </c>
      <c r="AS184">
        <v>2.3824878681112041E-6</v>
      </c>
      <c r="AT184">
        <v>4.2327379581660752E-8</v>
      </c>
      <c r="AU184">
        <v>2.1280338567151798E-5</v>
      </c>
      <c r="AV184">
        <v>5.4812458269335838E-6</v>
      </c>
      <c r="AW184">
        <v>2.4876494618046081E-4</v>
      </c>
      <c r="AX184">
        <v>3.9990562715016763E-5</v>
      </c>
      <c r="AY184">
        <v>6.8303092152819514E-5</v>
      </c>
      <c r="AZ184">
        <v>0</v>
      </c>
      <c r="BA184">
        <v>1.0889338483694183E-4</v>
      </c>
      <c r="BB184">
        <v>2.4765969887672021E-5</v>
      </c>
      <c r="BC184">
        <v>4.1530355273641239E-5</v>
      </c>
      <c r="BD184">
        <v>4.2509181681333676E-5</v>
      </c>
      <c r="BE184">
        <v>2.0038510298437167E-8</v>
      </c>
      <c r="BF184">
        <v>5.2267169024457082E-5</v>
      </c>
      <c r="BG184">
        <v>7.2857822660693331E-7</v>
      </c>
      <c r="BH184">
        <v>3.2347784853696622E-5</v>
      </c>
      <c r="BI184">
        <v>1.9788470043803882E-5</v>
      </c>
      <c r="BJ184">
        <v>0</v>
      </c>
      <c r="BK184">
        <v>8.701349259280883E-5</v>
      </c>
      <c r="BL184">
        <v>0</v>
      </c>
      <c r="BM184">
        <v>2.7768666513873667E-5</v>
      </c>
      <c r="BN184">
        <v>3.6799156184477321E-6</v>
      </c>
      <c r="BO184">
        <v>4.0911527108683689E-5</v>
      </c>
      <c r="BP184">
        <v>0</v>
      </c>
      <c r="BQ184">
        <v>4.0911527108683682E-5</v>
      </c>
      <c r="BR184">
        <v>1.2696186598750616E-5</v>
      </c>
      <c r="BS184">
        <v>0</v>
      </c>
      <c r="BT184">
        <v>0</v>
      </c>
      <c r="BU184">
        <v>1.2696186598750615E-5</v>
      </c>
      <c r="BV184">
        <v>1.2696186598750615E-5</v>
      </c>
      <c r="BW184">
        <v>1.2696186598750618E-5</v>
      </c>
      <c r="BX184">
        <v>1.2696186598750616E-5</v>
      </c>
      <c r="BY184">
        <v>1.2696186598750618E-5</v>
      </c>
      <c r="BZ184">
        <v>1.2696186598750616E-5</v>
      </c>
      <c r="CA184">
        <v>1.2696186598750618E-5</v>
      </c>
      <c r="CB184">
        <v>0</v>
      </c>
      <c r="CC184">
        <v>1.2696186598750615E-5</v>
      </c>
      <c r="CD184">
        <v>1.2696186598750616E-5</v>
      </c>
      <c r="CE184">
        <v>1.2696186598750618E-5</v>
      </c>
      <c r="CF184">
        <v>1.2696186598750616E-5</v>
      </c>
      <c r="CG184">
        <v>1.2696186598750616E-5</v>
      </c>
      <c r="CH184">
        <v>1.2696186598750616E-5</v>
      </c>
      <c r="CI184">
        <v>1.2696186598750616E-5</v>
      </c>
      <c r="CJ184">
        <v>0</v>
      </c>
      <c r="CK184">
        <v>4.1426178686802909E-4</v>
      </c>
      <c r="CL184">
        <v>0</v>
      </c>
      <c r="CM184">
        <v>2.7604507953878048E-5</v>
      </c>
      <c r="CN184">
        <v>2.6993999725430861E-5</v>
      </c>
      <c r="CO184">
        <v>1.6307119825160536E-4</v>
      </c>
      <c r="CP184">
        <v>0</v>
      </c>
      <c r="CQ184">
        <v>1.6307119825160536E-4</v>
      </c>
      <c r="CR184">
        <v>0</v>
      </c>
      <c r="CS184">
        <v>1.6307119825160536E-4</v>
      </c>
      <c r="CT184">
        <v>0</v>
      </c>
      <c r="CU184">
        <v>8.396490044787067E-5</v>
      </c>
      <c r="CV184">
        <v>1.026514765230389E-4</v>
      </c>
      <c r="CW184">
        <v>0</v>
      </c>
      <c r="CX184">
        <v>1.5365294997966792E-5</v>
      </c>
      <c r="CY184">
        <v>5.0242822634483481E-6</v>
      </c>
      <c r="CZ184">
        <v>1.6863842804702827E-8</v>
      </c>
      <c r="DA184">
        <v>0</v>
      </c>
      <c r="DB184">
        <v>2.1983763853770037E-5</v>
      </c>
      <c r="DC184">
        <v>3.1759607071220657E-5</v>
      </c>
      <c r="DD184">
        <v>0</v>
      </c>
      <c r="DE184">
        <v>2.4444468463066685E-4</v>
      </c>
      <c r="DF184">
        <v>0</v>
      </c>
      <c r="DG184">
        <v>2.4631206988995793E-5</v>
      </c>
      <c r="DH184">
        <v>0</v>
      </c>
      <c r="DI184">
        <v>1.0179465153448345E-9</v>
      </c>
      <c r="DJ184">
        <v>0</v>
      </c>
      <c r="DK184">
        <v>7.8827588197734262E-5</v>
      </c>
      <c r="DL184">
        <v>0</v>
      </c>
      <c r="DM184">
        <v>5.8802621150226832E-5</v>
      </c>
      <c r="DN184">
        <v>0</v>
      </c>
      <c r="DO184">
        <v>3.6590260991562786E-4</v>
      </c>
      <c r="DP184">
        <v>7.967411167774352E-5</v>
      </c>
      <c r="DQ184">
        <v>2.5182869371572755E-5</v>
      </c>
      <c r="DR184">
        <v>9.108940674859448E-6</v>
      </c>
      <c r="DS184">
        <v>3.394080636986509E-5</v>
      </c>
      <c r="DT184">
        <v>1.1195928937796933E-5</v>
      </c>
      <c r="DU184">
        <v>9.1403378108870825E-5</v>
      </c>
      <c r="DV184">
        <v>1.0546885468028631E-5</v>
      </c>
      <c r="DW184">
        <v>3.0988403451126074E-8</v>
      </c>
      <c r="DX184">
        <v>5.2581776550378549E-5</v>
      </c>
      <c r="DY184">
        <v>4.8470211097391596E-9</v>
      </c>
      <c r="DZ184">
        <v>0</v>
      </c>
      <c r="EA184">
        <v>1.2904219486512748E-4</v>
      </c>
      <c r="EB184">
        <v>9.3215127124027635E-5</v>
      </c>
      <c r="EC184">
        <v>1.2813413260293559E-4</v>
      </c>
      <c r="ED184">
        <v>4.4918665155237841E-5</v>
      </c>
      <c r="EE184">
        <v>5.1546341747164331E-5</v>
      </c>
      <c r="EF184">
        <v>1.6654297753601275E-5</v>
      </c>
      <c r="EG184">
        <v>1.4428369747372836E-4</v>
      </c>
      <c r="EH184">
        <v>4.9835988106556842E-5</v>
      </c>
      <c r="EI184">
        <v>0</v>
      </c>
      <c r="EJ184">
        <v>0</v>
      </c>
      <c r="EK184">
        <v>0</v>
      </c>
      <c r="EL184">
        <v>9.3893633751911671E-5</v>
      </c>
      <c r="EM184">
        <v>1.0773895444312533E-4</v>
      </c>
      <c r="EN184">
        <v>1.0940868898997038E-4</v>
      </c>
      <c r="EO184">
        <v>1.6738149681688222E-5</v>
      </c>
      <c r="EP184">
        <v>1.6738149681688222E-5</v>
      </c>
      <c r="EQ184">
        <v>1.6738149681688222E-5</v>
      </c>
      <c r="ER184">
        <v>0</v>
      </c>
      <c r="ES184">
        <v>1.6738149681688222E-5</v>
      </c>
      <c r="ET184">
        <v>1.6738149681688225E-5</v>
      </c>
      <c r="EU184">
        <v>5.1132856581463089E-6</v>
      </c>
      <c r="EV184">
        <v>1.5327719122595904E-5</v>
      </c>
      <c r="EW184">
        <v>6.5872428025557105E-5</v>
      </c>
      <c r="EX184">
        <v>0</v>
      </c>
      <c r="EY184">
        <v>1.0329265652951657E-9</v>
      </c>
      <c r="EZ184">
        <v>1.3057445599679671E-8</v>
      </c>
      <c r="FA184">
        <v>1.1333833771582733E-10</v>
      </c>
      <c r="FB184">
        <v>2.1845846219613214E-10</v>
      </c>
      <c r="FC184">
        <v>9.6373098862443928E-5</v>
      </c>
      <c r="FD184">
        <v>1.1761657603462652E-8</v>
      </c>
      <c r="FE184">
        <v>1.6414042238022324E-8</v>
      </c>
      <c r="FF184">
        <v>1.2921831841902914E-8</v>
      </c>
      <c r="FG184">
        <v>9.5707036114990206E-10</v>
      </c>
      <c r="FH184">
        <v>2.9239881510811882E-7</v>
      </c>
      <c r="FI184">
        <v>2.1424789424629001E-9</v>
      </c>
      <c r="FJ184">
        <v>2.0829220881576186E-9</v>
      </c>
      <c r="FK184">
        <v>1.3052343158132721E-10</v>
      </c>
      <c r="FL184">
        <v>7.1318719143041495E-7</v>
      </c>
      <c r="FM184">
        <v>1.2194460747142249E-5</v>
      </c>
      <c r="FN184">
        <v>3.6334664841919826E-8</v>
      </c>
      <c r="FO184">
        <v>9.5085243131900267E-9</v>
      </c>
      <c r="FP184">
        <v>2.6911985965382361E-5</v>
      </c>
      <c r="FQ184">
        <v>8.1201016285848062E-9</v>
      </c>
      <c r="FR184">
        <v>3.2399967669882869E-5</v>
      </c>
      <c r="FS184">
        <v>9.2265027493191642E-9</v>
      </c>
      <c r="FT184">
        <v>1.0088269334328024E-4</v>
      </c>
      <c r="FU184">
        <v>2.0281127652282759E-4</v>
      </c>
      <c r="FV184">
        <v>6.0662954142738981E-4</v>
      </c>
      <c r="FW184">
        <v>2.3208392185498938E-3</v>
      </c>
      <c r="FX184">
        <v>2.318232852750519E-3</v>
      </c>
      <c r="FY184">
        <v>2.1991934542385694E-3</v>
      </c>
      <c r="FZ184">
        <v>2.0657844712051541E-3</v>
      </c>
      <c r="GA184">
        <v>2.3195828957980674E-3</v>
      </c>
      <c r="GB184">
        <v>2.3088956860991628E-3</v>
      </c>
      <c r="GC184">
        <v>2.2921215797585192E-3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1.9651660017939981E-3</v>
      </c>
      <c r="GJ184">
        <v>2.0672770337294378E-3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2.3501635908924498E-6</v>
      </c>
      <c r="GR184">
        <v>4.3805184351940958E-5</v>
      </c>
      <c r="GS184">
        <v>6.9801168498387191E-5</v>
      </c>
      <c r="GT184">
        <v>0</v>
      </c>
      <c r="GU184">
        <v>0</v>
      </c>
    </row>
    <row r="185" spans="1:203">
      <c r="A185" t="s">
        <v>323</v>
      </c>
      <c r="B185">
        <v>182</v>
      </c>
      <c r="C185" t="s">
        <v>138</v>
      </c>
      <c r="D185">
        <v>2.2116257327571563E-8</v>
      </c>
      <c r="E185">
        <v>0</v>
      </c>
      <c r="F185">
        <v>5.3774062731355248E-7</v>
      </c>
      <c r="G185">
        <v>2.2335552128240896E-6</v>
      </c>
      <c r="H185">
        <v>8.9536741307753326E-7</v>
      </c>
      <c r="I185">
        <v>0</v>
      </c>
      <c r="J185">
        <v>0</v>
      </c>
      <c r="K185">
        <v>2.2432939100944653E-6</v>
      </c>
      <c r="L185">
        <v>1.6571313906156839E-7</v>
      </c>
      <c r="M185">
        <v>1.2607216067798256E-5</v>
      </c>
      <c r="N185">
        <v>1.1177456415853587E-5</v>
      </c>
      <c r="O185">
        <v>2.0253467353115804E-6</v>
      </c>
      <c r="P185">
        <v>1.9677461826655739E-5</v>
      </c>
      <c r="Q185">
        <v>3.526712606259564E-4</v>
      </c>
      <c r="R185">
        <v>0</v>
      </c>
      <c r="S185">
        <v>0</v>
      </c>
      <c r="T185">
        <v>0</v>
      </c>
      <c r="U185">
        <v>4.7574493364793399E-7</v>
      </c>
      <c r="V185">
        <v>4.6439498785445123E-5</v>
      </c>
      <c r="W185">
        <v>1.0535013405359389E-6</v>
      </c>
      <c r="X185">
        <v>0</v>
      </c>
      <c r="Y185">
        <v>0</v>
      </c>
      <c r="Z185">
        <v>0</v>
      </c>
      <c r="AA185">
        <v>1.0535013405359389E-6</v>
      </c>
      <c r="AB185">
        <v>0</v>
      </c>
      <c r="AC185">
        <v>0</v>
      </c>
      <c r="AD185">
        <v>0</v>
      </c>
      <c r="AE185">
        <v>0</v>
      </c>
      <c r="AF185">
        <v>2.3547488022242826E-8</v>
      </c>
      <c r="AG185">
        <v>0</v>
      </c>
      <c r="AH185">
        <v>0</v>
      </c>
      <c r="AI185">
        <v>8.9519603165495186E-9</v>
      </c>
      <c r="AJ185">
        <v>5.658394527979582E-7</v>
      </c>
      <c r="AK185">
        <v>0</v>
      </c>
      <c r="AL185">
        <v>8.2520353350060616E-9</v>
      </c>
      <c r="AM185">
        <v>0</v>
      </c>
      <c r="AN185">
        <v>3.1371490366563064E-8</v>
      </c>
      <c r="AO185">
        <v>0</v>
      </c>
      <c r="AP185">
        <v>0</v>
      </c>
      <c r="AQ185">
        <v>4.5899574971243461E-9</v>
      </c>
      <c r="AR185">
        <v>1.0628704928711753E-9</v>
      </c>
      <c r="AS185">
        <v>6.0282228903667275E-7</v>
      </c>
      <c r="AT185">
        <v>2.0781903877040915E-8</v>
      </c>
      <c r="AU185">
        <v>1.8349704497189515E-5</v>
      </c>
      <c r="AV185">
        <v>2.9749013097310272E-6</v>
      </c>
      <c r="AW185">
        <v>1.9391351596024454E-4</v>
      </c>
      <c r="AX185">
        <v>8.9416367713381925E-7</v>
      </c>
      <c r="AY185">
        <v>6.3587167891929539E-5</v>
      </c>
      <c r="AZ185">
        <v>0</v>
      </c>
      <c r="BA185">
        <v>8.0662643302006941E-5</v>
      </c>
      <c r="BB185">
        <v>2.2757550562665471E-5</v>
      </c>
      <c r="BC185">
        <v>3.4265082404135515E-5</v>
      </c>
      <c r="BD185">
        <v>3.9186585600577613E-5</v>
      </c>
      <c r="BE185">
        <v>2.0600807779905684E-8</v>
      </c>
      <c r="BF185">
        <v>4.8800664933643045E-5</v>
      </c>
      <c r="BG185">
        <v>1.1834682189155735E-7</v>
      </c>
      <c r="BH185">
        <v>2.8971495195204565E-5</v>
      </c>
      <c r="BI185">
        <v>1.6003467700765475E-5</v>
      </c>
      <c r="BJ185">
        <v>0</v>
      </c>
      <c r="BK185">
        <v>4.0983183832326534E-6</v>
      </c>
      <c r="BL185">
        <v>0</v>
      </c>
      <c r="BM185">
        <v>2.5372958644408105E-5</v>
      </c>
      <c r="BN185">
        <v>2.3818641180678855E-6</v>
      </c>
      <c r="BO185">
        <v>3.5018141884105175E-5</v>
      </c>
      <c r="BP185">
        <v>0</v>
      </c>
      <c r="BQ185">
        <v>3.5018141884105175E-5</v>
      </c>
      <c r="BR185">
        <v>1.2146123716709459E-5</v>
      </c>
      <c r="BS185">
        <v>0</v>
      </c>
      <c r="BT185">
        <v>0</v>
      </c>
      <c r="BU185">
        <v>1.2146123716709458E-5</v>
      </c>
      <c r="BV185">
        <v>1.2146123716709459E-5</v>
      </c>
      <c r="BW185">
        <v>1.2146123716709459E-5</v>
      </c>
      <c r="BX185">
        <v>1.2146123716709459E-5</v>
      </c>
      <c r="BY185">
        <v>1.2146123716709459E-5</v>
      </c>
      <c r="BZ185">
        <v>1.2146123716709459E-5</v>
      </c>
      <c r="CA185">
        <v>1.2146123716709461E-5</v>
      </c>
      <c r="CB185">
        <v>0</v>
      </c>
      <c r="CC185">
        <v>1.2146123716709459E-5</v>
      </c>
      <c r="CD185">
        <v>1.2146123716709458E-5</v>
      </c>
      <c r="CE185">
        <v>1.2146123716709459E-5</v>
      </c>
      <c r="CF185">
        <v>1.2146123716709461E-5</v>
      </c>
      <c r="CG185">
        <v>1.2146123716709459E-5</v>
      </c>
      <c r="CH185">
        <v>1.2146123716709459E-5</v>
      </c>
      <c r="CI185">
        <v>1.2146123716709459E-5</v>
      </c>
      <c r="CJ185">
        <v>0</v>
      </c>
      <c r="CK185">
        <v>3.9614484556853188E-4</v>
      </c>
      <c r="CL185">
        <v>0</v>
      </c>
      <c r="CM185">
        <v>3.4873770980817989E-5</v>
      </c>
      <c r="CN185">
        <v>2.23376307901744E-5</v>
      </c>
      <c r="CO185">
        <v>1.5592043291258025E-4</v>
      </c>
      <c r="CP185">
        <v>0</v>
      </c>
      <c r="CQ185">
        <v>1.5592043291258028E-4</v>
      </c>
      <c r="CR185">
        <v>0</v>
      </c>
      <c r="CS185">
        <v>1.5592043291258028E-4</v>
      </c>
      <c r="CT185">
        <v>0</v>
      </c>
      <c r="CU185">
        <v>7.7782242833493678E-5</v>
      </c>
      <c r="CV185">
        <v>9.6918185065091692E-5</v>
      </c>
      <c r="CW185">
        <v>0</v>
      </c>
      <c r="CX185">
        <v>1.1948427187369566E-5</v>
      </c>
      <c r="CY185">
        <v>4.487152178870233E-7</v>
      </c>
      <c r="CZ185">
        <v>1.7433173825326044E-8</v>
      </c>
      <c r="DA185">
        <v>0</v>
      </c>
      <c r="DB185">
        <v>2.0131224616681192E-5</v>
      </c>
      <c r="DC185">
        <v>3.0378397324992222E-5</v>
      </c>
      <c r="DD185">
        <v>0</v>
      </c>
      <c r="DE185">
        <v>2.342201267420178E-4</v>
      </c>
      <c r="DF185">
        <v>0</v>
      </c>
      <c r="DG185">
        <v>2.175443579272183E-5</v>
      </c>
      <c r="DH185">
        <v>0</v>
      </c>
      <c r="DI185">
        <v>9.1978612190954145E-10</v>
      </c>
      <c r="DJ185">
        <v>0</v>
      </c>
      <c r="DK185">
        <v>7.4673255832333055E-5</v>
      </c>
      <c r="DL185">
        <v>0</v>
      </c>
      <c r="DM185">
        <v>4.9997039276452522E-5</v>
      </c>
      <c r="DN185">
        <v>0</v>
      </c>
      <c r="DO185">
        <v>3.4992758913530666E-4</v>
      </c>
      <c r="DP185">
        <v>7.572787367390708E-5</v>
      </c>
      <c r="DQ185">
        <v>2.3930071154697517E-5</v>
      </c>
      <c r="DR185">
        <v>7.8982186574658633E-6</v>
      </c>
      <c r="DS185">
        <v>3.2275772439154677E-5</v>
      </c>
      <c r="DT185">
        <v>1.057546372969165E-5</v>
      </c>
      <c r="DU185">
        <v>8.7478891379604045E-5</v>
      </c>
      <c r="DV185">
        <v>9.8034515081163231E-6</v>
      </c>
      <c r="DW185">
        <v>3.1068519172200641E-8</v>
      </c>
      <c r="DX185">
        <v>4.9376725172331543E-5</v>
      </c>
      <c r="DY185">
        <v>6.7610058831524232E-9</v>
      </c>
      <c r="DZ185">
        <v>0</v>
      </c>
      <c r="EA185">
        <v>1.2333438728375065E-4</v>
      </c>
      <c r="EB185">
        <v>8.8648809324818503E-5</v>
      </c>
      <c r="EC185">
        <v>1.1744191741660547E-4</v>
      </c>
      <c r="ED185">
        <v>1.3511998946510575E-5</v>
      </c>
      <c r="EE185">
        <v>4.703607925685353E-6</v>
      </c>
      <c r="EF185">
        <v>3.5380573877642948E-7</v>
      </c>
      <c r="EG185">
        <v>1.3836598157874529E-5</v>
      </c>
      <c r="EH185">
        <v>4.8171023860452392E-6</v>
      </c>
      <c r="EI185">
        <v>0</v>
      </c>
      <c r="EJ185">
        <v>0</v>
      </c>
      <c r="EK185">
        <v>0</v>
      </c>
      <c r="EL185">
        <v>7.8839996042909157E-5</v>
      </c>
      <c r="EM185">
        <v>1.0060505133869311E-4</v>
      </c>
      <c r="EN185">
        <v>1.0458738300241088E-4</v>
      </c>
      <c r="EO185">
        <v>1.5670529556630213E-5</v>
      </c>
      <c r="EP185">
        <v>1.567052955663021E-5</v>
      </c>
      <c r="EQ185">
        <v>1.5670529556630213E-5</v>
      </c>
      <c r="ER185">
        <v>0</v>
      </c>
      <c r="ES185">
        <v>1.5670529556630213E-5</v>
      </c>
      <c r="ET185">
        <v>1.5670529556630213E-5</v>
      </c>
      <c r="EU185">
        <v>2.0217407248812416E-6</v>
      </c>
      <c r="EV185">
        <v>1.2981489385127051E-5</v>
      </c>
      <c r="EW185">
        <v>6.2734162139326623E-5</v>
      </c>
      <c r="EX185">
        <v>0</v>
      </c>
      <c r="EY185">
        <v>1.0323474068370858E-9</v>
      </c>
      <c r="EZ185">
        <v>1.3278897279856689E-8</v>
      </c>
      <c r="FA185">
        <v>1.1178473709957529E-10</v>
      </c>
      <c r="FB185">
        <v>2.1636181624704732E-10</v>
      </c>
      <c r="FC185">
        <v>8.9600286295670787E-5</v>
      </c>
      <c r="FD185">
        <v>1.192996450823864E-8</v>
      </c>
      <c r="FE185">
        <v>1.5428373183335355E-8</v>
      </c>
      <c r="FF185">
        <v>9.5131204484181627E-9</v>
      </c>
      <c r="FG185">
        <v>7.4882555280625936E-10</v>
      </c>
      <c r="FH185">
        <v>4.6032961079332706E-8</v>
      </c>
      <c r="FI185">
        <v>1.32673251228982E-9</v>
      </c>
      <c r="FJ185">
        <v>1.9737975233020058E-9</v>
      </c>
      <c r="FK185">
        <v>1.2686981636710908E-10</v>
      </c>
      <c r="FL185">
        <v>6.3860397174742634E-7</v>
      </c>
      <c r="FM185">
        <v>1.1183430390227463E-5</v>
      </c>
      <c r="FN185">
        <v>3.5857256069812423E-9</v>
      </c>
      <c r="FO185">
        <v>9.505190485262473E-9</v>
      </c>
      <c r="FP185">
        <v>2.4731554614880125E-5</v>
      </c>
      <c r="FQ185">
        <v>8.2017298950701255E-9</v>
      </c>
      <c r="FR185">
        <v>3.0776877661568067E-5</v>
      </c>
      <c r="FS185">
        <v>9.2870768323461008E-9</v>
      </c>
      <c r="FT185">
        <v>9.4930412676466893E-5</v>
      </c>
      <c r="FU185">
        <v>1.9413704386030028E-4</v>
      </c>
      <c r="FV185">
        <v>5.8288993761539153E-4</v>
      </c>
      <c r="FW185">
        <v>2.178624949117268E-3</v>
      </c>
      <c r="FX185">
        <v>2.1757805293037558E-3</v>
      </c>
      <c r="FY185">
        <v>2.0540908460172083E-3</v>
      </c>
      <c r="FZ185">
        <v>1.9264132739515846E-3</v>
      </c>
      <c r="GA185">
        <v>2.1719970362459469E-3</v>
      </c>
      <c r="GB185">
        <v>2.1622203057892518E-3</v>
      </c>
      <c r="GC185">
        <v>2.1465421167710902E-3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1.8403321232657865E-3</v>
      </c>
      <c r="GJ185">
        <v>1.9391157401147012E-3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9.6078195981450547E-7</v>
      </c>
      <c r="GR185">
        <v>4.0857475894978419E-5</v>
      </c>
      <c r="GS185">
        <v>6.5261123393613995E-5</v>
      </c>
      <c r="GT185">
        <v>0</v>
      </c>
      <c r="GU185">
        <v>0</v>
      </c>
    </row>
    <row r="186" spans="1:203">
      <c r="A186" t="s">
        <v>324</v>
      </c>
      <c r="B186">
        <v>183</v>
      </c>
      <c r="C186" t="s">
        <v>138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</row>
    <row r="187" spans="1:203">
      <c r="A187" t="s">
        <v>325</v>
      </c>
      <c r="B187">
        <v>184</v>
      </c>
      <c r="C187" t="s">
        <v>138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</row>
    <row r="188" spans="1:203">
      <c r="A188" t="s">
        <v>326</v>
      </c>
      <c r="B188">
        <v>185</v>
      </c>
      <c r="C188" t="s">
        <v>138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</row>
    <row r="189" spans="1:203">
      <c r="A189" t="s">
        <v>327</v>
      </c>
      <c r="B189">
        <v>186</v>
      </c>
      <c r="C189" t="s">
        <v>138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</row>
    <row r="190" spans="1:203">
      <c r="A190" t="s">
        <v>328</v>
      </c>
      <c r="B190">
        <v>187</v>
      </c>
      <c r="C190" t="s">
        <v>138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</row>
    <row r="191" spans="1:203">
      <c r="A191" t="s">
        <v>329</v>
      </c>
      <c r="B191">
        <v>188</v>
      </c>
      <c r="C191" t="s">
        <v>138</v>
      </c>
      <c r="D191">
        <v>3.5767302711898504E-8</v>
      </c>
      <c r="E191">
        <v>1.493249988643153E-6</v>
      </c>
      <c r="F191">
        <v>2.7283902106813468E-6</v>
      </c>
      <c r="G191">
        <v>6.351321781579461E-6</v>
      </c>
      <c r="H191">
        <v>5.1455982536088081E-6</v>
      </c>
      <c r="I191">
        <v>0</v>
      </c>
      <c r="J191">
        <v>0</v>
      </c>
      <c r="K191">
        <v>1.7155081214691803E-6</v>
      </c>
      <c r="L191">
        <v>6.5947993121568576E-7</v>
      </c>
      <c r="M191">
        <v>3.3661639687923124E-5</v>
      </c>
      <c r="N191">
        <v>3.6854286754379583E-5</v>
      </c>
      <c r="O191">
        <v>1.1932300190721217E-5</v>
      </c>
      <c r="P191">
        <v>6.6241513993614982E-5</v>
      </c>
      <c r="Q191">
        <v>7.9315157839254954E-4</v>
      </c>
      <c r="R191">
        <v>0</v>
      </c>
      <c r="S191">
        <v>0</v>
      </c>
      <c r="T191">
        <v>0</v>
      </c>
      <c r="U191">
        <v>2.824672388632423E-7</v>
      </c>
      <c r="V191">
        <v>1.1193181049096618E-4</v>
      </c>
      <c r="W191">
        <v>5.9597849450613345E-6</v>
      </c>
      <c r="X191">
        <v>0</v>
      </c>
      <c r="Y191">
        <v>0</v>
      </c>
      <c r="Z191">
        <v>0</v>
      </c>
      <c r="AA191">
        <v>5.9597849450613337E-6</v>
      </c>
      <c r="AB191">
        <v>0</v>
      </c>
      <c r="AC191">
        <v>0</v>
      </c>
      <c r="AD191">
        <v>0</v>
      </c>
      <c r="AE191">
        <v>6.0094958660956856E-7</v>
      </c>
      <c r="AF191">
        <v>2.3925509495988418E-8</v>
      </c>
      <c r="AG191">
        <v>0</v>
      </c>
      <c r="AH191">
        <v>0</v>
      </c>
      <c r="AI191">
        <v>1.0367526056132129E-8</v>
      </c>
      <c r="AJ191">
        <v>3.3972371462973294E-6</v>
      </c>
      <c r="AK191">
        <v>0</v>
      </c>
      <c r="AL191">
        <v>8.3748526054524155E-9</v>
      </c>
      <c r="AM191">
        <v>0</v>
      </c>
      <c r="AN191">
        <v>3.7598256701556355E-8</v>
      </c>
      <c r="AO191">
        <v>0</v>
      </c>
      <c r="AP191">
        <v>0</v>
      </c>
      <c r="AQ191">
        <v>5.1854850561630801E-9</v>
      </c>
      <c r="AR191">
        <v>1.214167021449965E-9</v>
      </c>
      <c r="AS191">
        <v>3.3567452609337829E-6</v>
      </c>
      <c r="AT191">
        <v>3.2976407930040122E-8</v>
      </c>
      <c r="AU191">
        <v>4.548508371732714E-5</v>
      </c>
      <c r="AV191">
        <v>1.1426060248423774E-5</v>
      </c>
      <c r="AW191">
        <v>5.1032423198150013E-4</v>
      </c>
      <c r="AX191">
        <v>4.9406877054064781E-6</v>
      </c>
      <c r="AY191">
        <v>1.4620090258959416E-4</v>
      </c>
      <c r="AZ191">
        <v>2.5505160350129403E-6</v>
      </c>
      <c r="BA191">
        <v>2.2567588637973664E-4</v>
      </c>
      <c r="BB191">
        <v>5.5340014667953825E-5</v>
      </c>
      <c r="BC191">
        <v>8.6621497268710986E-5</v>
      </c>
      <c r="BD191">
        <v>9.1684643437226146E-5</v>
      </c>
      <c r="BE191">
        <v>2.0219030102496787E-8</v>
      </c>
      <c r="BF191">
        <v>1.1223761933592557E-4</v>
      </c>
      <c r="BG191">
        <v>8.1996422266417199E-7</v>
      </c>
      <c r="BH191">
        <v>6.9299931286341475E-5</v>
      </c>
      <c r="BI191">
        <v>4.221215802527953E-5</v>
      </c>
      <c r="BJ191">
        <v>0</v>
      </c>
      <c r="BK191">
        <v>2.7950792590855827E-5</v>
      </c>
      <c r="BL191">
        <v>0</v>
      </c>
      <c r="BM191">
        <v>6.0034844160860871E-5</v>
      </c>
      <c r="BN191">
        <v>9.3155216278564433E-6</v>
      </c>
      <c r="BO191">
        <v>8.5392141021930487E-5</v>
      </c>
      <c r="BP191">
        <v>0</v>
      </c>
      <c r="BQ191">
        <v>8.5392141021930487E-5</v>
      </c>
      <c r="BR191">
        <v>2.7081624934697538E-5</v>
      </c>
      <c r="BS191">
        <v>0</v>
      </c>
      <c r="BT191">
        <v>0</v>
      </c>
      <c r="BU191">
        <v>2.7081624934697534E-5</v>
      </c>
      <c r="BV191">
        <v>2.7081624934697538E-5</v>
      </c>
      <c r="BW191">
        <v>2.7081624934697534E-5</v>
      </c>
      <c r="BX191">
        <v>2.7081624934697538E-5</v>
      </c>
      <c r="BY191">
        <v>2.7081624934697541E-5</v>
      </c>
      <c r="BZ191">
        <v>2.7081624934697534E-5</v>
      </c>
      <c r="CA191">
        <v>2.7081624934697541E-5</v>
      </c>
      <c r="CB191">
        <v>0</v>
      </c>
      <c r="CC191">
        <v>2.7081624934697534E-5</v>
      </c>
      <c r="CD191">
        <v>2.7081624934697534E-5</v>
      </c>
      <c r="CE191">
        <v>2.7081624934697538E-5</v>
      </c>
      <c r="CF191">
        <v>2.7081624934697538E-5</v>
      </c>
      <c r="CG191">
        <v>2.7081624934697538E-5</v>
      </c>
      <c r="CH191">
        <v>2.7081624934697538E-5</v>
      </c>
      <c r="CI191">
        <v>2.7081624934697538E-5</v>
      </c>
      <c r="CJ191">
        <v>0</v>
      </c>
      <c r="CK191">
        <v>8.800114298813344E-4</v>
      </c>
      <c r="CL191">
        <v>0</v>
      </c>
      <c r="CM191">
        <v>1.8286261035924674E-5</v>
      </c>
      <c r="CN191">
        <v>5.7326399344170389E-5</v>
      </c>
      <c r="CO191">
        <v>3.4771889788878444E-4</v>
      </c>
      <c r="CP191">
        <v>0</v>
      </c>
      <c r="CQ191">
        <v>3.4771889788878444E-4</v>
      </c>
      <c r="CR191">
        <v>0</v>
      </c>
      <c r="CS191">
        <v>3.4771889788878449E-4</v>
      </c>
      <c r="CT191">
        <v>0</v>
      </c>
      <c r="CU191">
        <v>1.7615180032304136E-4</v>
      </c>
      <c r="CV191">
        <v>2.1996341736228736E-4</v>
      </c>
      <c r="CW191">
        <v>0</v>
      </c>
      <c r="CX191">
        <v>3.7794949775226936E-5</v>
      </c>
      <c r="CY191">
        <v>7.7327566100856137E-7</v>
      </c>
      <c r="CZ191">
        <v>1.8696378705310087E-8</v>
      </c>
      <c r="DA191">
        <v>0</v>
      </c>
      <c r="DB191">
        <v>4.9129620220259547E-5</v>
      </c>
      <c r="DC191">
        <v>6.8001365884411393E-5</v>
      </c>
      <c r="DD191">
        <v>0</v>
      </c>
      <c r="DE191">
        <v>5.2219977169391698E-4</v>
      </c>
      <c r="DF191">
        <v>0</v>
      </c>
      <c r="DG191">
        <v>5.2314870094836391E-5</v>
      </c>
      <c r="DH191">
        <v>0</v>
      </c>
      <c r="DI191">
        <v>1.0143016677644605E-9</v>
      </c>
      <c r="DJ191">
        <v>0</v>
      </c>
      <c r="DK191">
        <v>1.6918444237270245E-4</v>
      </c>
      <c r="DL191">
        <v>0</v>
      </c>
      <c r="DM191">
        <v>1.234853072148764E-4</v>
      </c>
      <c r="DN191">
        <v>0</v>
      </c>
      <c r="DO191">
        <v>7.8454252166496909E-4</v>
      </c>
      <c r="DP191">
        <v>1.7134145438913809E-4</v>
      </c>
      <c r="DQ191">
        <v>5.4098837623024641E-5</v>
      </c>
      <c r="DR191">
        <v>1.9413854003442848E-5</v>
      </c>
      <c r="DS191">
        <v>7.2862649141419689E-5</v>
      </c>
      <c r="DT191">
        <v>2.4040928105557705E-5</v>
      </c>
      <c r="DU191">
        <v>1.9596230561515571E-4</v>
      </c>
      <c r="DV191">
        <v>2.2871867216493229E-5</v>
      </c>
      <c r="DW191">
        <v>7.3617347521583094E-8</v>
      </c>
      <c r="DX191">
        <v>1.1355619741035103E-4</v>
      </c>
      <c r="DY191">
        <v>3.5709669140614165E-9</v>
      </c>
      <c r="DZ191">
        <v>0</v>
      </c>
      <c r="EA191">
        <v>2.7722206042429072E-4</v>
      </c>
      <c r="EB191">
        <v>2.0090031239824972E-4</v>
      </c>
      <c r="EC191">
        <v>2.7319086926006907E-4</v>
      </c>
      <c r="ED191">
        <v>7.0246276708450279E-5</v>
      </c>
      <c r="EE191">
        <v>4.0751952000883964E-5</v>
      </c>
      <c r="EF191">
        <v>2.2578771115434255E-6</v>
      </c>
      <c r="EG191">
        <v>8.8724267826406533E-5</v>
      </c>
      <c r="EH191">
        <v>4.3307592926634308E-5</v>
      </c>
      <c r="EI191">
        <v>0</v>
      </c>
      <c r="EJ191">
        <v>0</v>
      </c>
      <c r="EK191">
        <v>0</v>
      </c>
      <c r="EL191">
        <v>1.9803761937170554E-4</v>
      </c>
      <c r="EM191">
        <v>2.312609773122074E-4</v>
      </c>
      <c r="EN191">
        <v>2.3469222836635013E-4</v>
      </c>
      <c r="EO191">
        <v>3.5760642599314373E-5</v>
      </c>
      <c r="EP191">
        <v>3.5760642599314366E-5</v>
      </c>
      <c r="EQ191">
        <v>3.5760642599314366E-5</v>
      </c>
      <c r="ER191">
        <v>0</v>
      </c>
      <c r="ES191">
        <v>3.5760642599314366E-5</v>
      </c>
      <c r="ET191">
        <v>3.5760642599314366E-5</v>
      </c>
      <c r="EU191">
        <v>8.7500130324399641E-6</v>
      </c>
      <c r="EV191">
        <v>3.2387480533094795E-5</v>
      </c>
      <c r="EW191">
        <v>1.4218809725722722E-4</v>
      </c>
      <c r="EX191">
        <v>0</v>
      </c>
      <c r="EY191">
        <v>1.0333352268590084E-9</v>
      </c>
      <c r="EZ191">
        <v>1.377262999674829E-8</v>
      </c>
      <c r="FA191">
        <v>1.1313523254112745E-10</v>
      </c>
      <c r="FB191">
        <v>2.1827251562903019E-10</v>
      </c>
      <c r="FC191">
        <v>2.1206701845799297E-4</v>
      </c>
      <c r="FD191">
        <v>1.2963703018038034E-8</v>
      </c>
      <c r="FE191">
        <v>2.004525771963424E-8</v>
      </c>
      <c r="FF191">
        <v>1.2592738301518111E-8</v>
      </c>
      <c r="FG191">
        <v>8.4229616630447753E-10</v>
      </c>
      <c r="FH191">
        <v>2.1344275919092288E-7</v>
      </c>
      <c r="FI191">
        <v>1.836927566500584E-9</v>
      </c>
      <c r="FJ191">
        <v>2.0131750226739912E-9</v>
      </c>
      <c r="FK191">
        <v>1.2866516813427277E-10</v>
      </c>
      <c r="FL191">
        <v>2.8955882950615601E-6</v>
      </c>
      <c r="FM191">
        <v>2.9346412530171525E-5</v>
      </c>
      <c r="FN191">
        <v>2.7982762420985384E-8</v>
      </c>
      <c r="FO191">
        <v>1.6765682267906242E-8</v>
      </c>
      <c r="FP191">
        <v>5.7861300748756825E-5</v>
      </c>
      <c r="FQ191">
        <v>8.7932671467151381E-9</v>
      </c>
      <c r="FR191">
        <v>6.9555394512046763E-5</v>
      </c>
      <c r="FS191">
        <v>1.3034358898427361E-8</v>
      </c>
      <c r="FT191">
        <v>2.1225864913897578E-4</v>
      </c>
      <c r="FU191">
        <v>4.343750208527114E-4</v>
      </c>
      <c r="FV191">
        <v>1.2956844930756798E-3</v>
      </c>
      <c r="FW191">
        <v>4.9090621357773872E-3</v>
      </c>
      <c r="FX191">
        <v>4.9036433653450139E-3</v>
      </c>
      <c r="FY191">
        <v>4.6411384354245258E-3</v>
      </c>
      <c r="FZ191">
        <v>4.3604957848923662E-3</v>
      </c>
      <c r="GA191">
        <v>4.8981253496342275E-3</v>
      </c>
      <c r="GB191">
        <v>4.8764663304981292E-3</v>
      </c>
      <c r="GC191">
        <v>4.841431127598079E-3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4.1553497552903763E-3</v>
      </c>
      <c r="GJ191">
        <v>4.373746286908899E-3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4.0965639523331173E-6</v>
      </c>
      <c r="GR191">
        <v>9.5548559935982875E-5</v>
      </c>
      <c r="GS191">
        <v>1.4778813839984276E-4</v>
      </c>
      <c r="GT191">
        <v>3.8419227508244952E-8</v>
      </c>
      <c r="GU191">
        <v>0</v>
      </c>
    </row>
    <row r="192" spans="1:203">
      <c r="A192" t="s">
        <v>330</v>
      </c>
      <c r="B192">
        <v>189</v>
      </c>
      <c r="C192" t="s">
        <v>138</v>
      </c>
      <c r="D192">
        <v>3.347003881767599E-8</v>
      </c>
      <c r="E192">
        <v>1.7235545923285642E-6</v>
      </c>
      <c r="F192">
        <v>1.3668757426745906E-5</v>
      </c>
      <c r="G192">
        <v>1.4536109092580074E-5</v>
      </c>
      <c r="H192">
        <v>1.609338603083332E-5</v>
      </c>
      <c r="I192">
        <v>0</v>
      </c>
      <c r="J192">
        <v>0</v>
      </c>
      <c r="K192">
        <v>3.7423348424428395E-6</v>
      </c>
      <c r="L192">
        <v>1.0219547588263777E-6</v>
      </c>
      <c r="M192">
        <v>7.5788104585460138E-5</v>
      </c>
      <c r="N192">
        <v>7.5874706317440583E-5</v>
      </c>
      <c r="O192">
        <v>5.1885935066946157E-5</v>
      </c>
      <c r="P192">
        <v>1.629618122641484E-4</v>
      </c>
      <c r="Q192">
        <v>1.7858448047966924E-3</v>
      </c>
      <c r="R192">
        <v>0</v>
      </c>
      <c r="S192">
        <v>0</v>
      </c>
      <c r="T192">
        <v>0</v>
      </c>
      <c r="U192">
        <v>6.0238309219276566E-7</v>
      </c>
      <c r="V192">
        <v>2.5370461291676015E-4</v>
      </c>
      <c r="W192">
        <v>1.7874406376717279E-5</v>
      </c>
      <c r="X192">
        <v>0</v>
      </c>
      <c r="Y192">
        <v>0</v>
      </c>
      <c r="Z192">
        <v>0</v>
      </c>
      <c r="AA192">
        <v>1.7874406376717279E-5</v>
      </c>
      <c r="AB192">
        <v>0</v>
      </c>
      <c r="AC192">
        <v>0</v>
      </c>
      <c r="AD192">
        <v>0</v>
      </c>
      <c r="AE192">
        <v>4.4361524184040533E-7</v>
      </c>
      <c r="AF192">
        <v>3.0898427558731887E-8</v>
      </c>
      <c r="AG192">
        <v>0</v>
      </c>
      <c r="AH192">
        <v>0</v>
      </c>
      <c r="AI192">
        <v>3.786759639948003E-8</v>
      </c>
      <c r="AJ192">
        <v>1.114211406665528E-5</v>
      </c>
      <c r="AK192">
        <v>0</v>
      </c>
      <c r="AL192">
        <v>8.4134312693783469E-9</v>
      </c>
      <c r="AM192">
        <v>0</v>
      </c>
      <c r="AN192">
        <v>3.8311225833128789E-8</v>
      </c>
      <c r="AO192">
        <v>0</v>
      </c>
      <c r="AP192">
        <v>2.6361399030144517E-6</v>
      </c>
      <c r="AQ192">
        <v>5.2996427770119392E-9</v>
      </c>
      <c r="AR192">
        <v>1.216672786624276E-9</v>
      </c>
      <c r="AS192">
        <v>1.0017032084446168E-5</v>
      </c>
      <c r="AT192">
        <v>4.4353434445154889E-8</v>
      </c>
      <c r="AU192">
        <v>1.0264383344536082E-4</v>
      </c>
      <c r="AV192">
        <v>2.6219396701115504E-5</v>
      </c>
      <c r="AW192">
        <v>1.1910171833494816E-3</v>
      </c>
      <c r="AX192">
        <v>1.6723411344460615E-5</v>
      </c>
      <c r="AY192">
        <v>3.2890896546270462E-4</v>
      </c>
      <c r="AZ192">
        <v>1.0946016958858518E-6</v>
      </c>
      <c r="BA192">
        <v>5.220105951391187E-4</v>
      </c>
      <c r="BB192">
        <v>1.1939781370015947E-4</v>
      </c>
      <c r="BC192">
        <v>1.8928653603460759E-4</v>
      </c>
      <c r="BD192">
        <v>2.0494431637247884E-4</v>
      </c>
      <c r="BE192">
        <v>1.957992929921258E-8</v>
      </c>
      <c r="BF192">
        <v>2.4983606057805068E-4</v>
      </c>
      <c r="BG192">
        <v>2.8847275240521505E-6</v>
      </c>
      <c r="BH192">
        <v>1.5554148509324932E-4</v>
      </c>
      <c r="BI192">
        <v>9.5193642934919518E-5</v>
      </c>
      <c r="BJ192">
        <v>0</v>
      </c>
      <c r="BK192">
        <v>9.9205310282761476E-5</v>
      </c>
      <c r="BL192">
        <v>0</v>
      </c>
      <c r="BM192">
        <v>1.3215777098373282E-4</v>
      </c>
      <c r="BN192">
        <v>1.5634209927159636E-5</v>
      </c>
      <c r="BO192">
        <v>1.9678787002814195E-4</v>
      </c>
      <c r="BP192">
        <v>0</v>
      </c>
      <c r="BQ192">
        <v>1.9678787002814198E-4</v>
      </c>
      <c r="BR192">
        <v>6.1058199295224594E-5</v>
      </c>
      <c r="BS192">
        <v>0</v>
      </c>
      <c r="BT192">
        <v>0</v>
      </c>
      <c r="BU192">
        <v>6.105819929522458E-5</v>
      </c>
      <c r="BV192">
        <v>6.1058199295224594E-5</v>
      </c>
      <c r="BW192">
        <v>6.1058199295224594E-5</v>
      </c>
      <c r="BX192">
        <v>6.1058199295224594E-5</v>
      </c>
      <c r="BY192">
        <v>6.1058199295224594E-5</v>
      </c>
      <c r="BZ192">
        <v>6.105819929522458E-5</v>
      </c>
      <c r="CA192">
        <v>6.1058199295224594E-5</v>
      </c>
      <c r="CB192">
        <v>0</v>
      </c>
      <c r="CC192">
        <v>6.1058199295224594E-5</v>
      </c>
      <c r="CD192">
        <v>6.105819929522458E-5</v>
      </c>
      <c r="CE192">
        <v>6.1058199295224594E-5</v>
      </c>
      <c r="CF192">
        <v>6.1058199295224594E-5</v>
      </c>
      <c r="CG192">
        <v>6.1058199295224594E-5</v>
      </c>
      <c r="CH192">
        <v>6.1058199295224594E-5</v>
      </c>
      <c r="CI192">
        <v>6.1058199295224594E-5</v>
      </c>
      <c r="CJ192">
        <v>0</v>
      </c>
      <c r="CK192">
        <v>1.9892500799501183E-3</v>
      </c>
      <c r="CL192">
        <v>0</v>
      </c>
      <c r="CM192">
        <v>3.9484247557158932E-5</v>
      </c>
      <c r="CN192">
        <v>1.2976994929284809E-4</v>
      </c>
      <c r="CO192">
        <v>7.8399617345913304E-4</v>
      </c>
      <c r="CP192">
        <v>0</v>
      </c>
      <c r="CQ192">
        <v>7.8399617345913304E-4</v>
      </c>
      <c r="CR192">
        <v>0</v>
      </c>
      <c r="CS192">
        <v>7.8399617345913314E-4</v>
      </c>
      <c r="CT192">
        <v>0</v>
      </c>
      <c r="CU192">
        <v>3.9764127539128298E-4</v>
      </c>
      <c r="CV192">
        <v>4.9222015708700207E-4</v>
      </c>
      <c r="CW192">
        <v>0</v>
      </c>
      <c r="CX192">
        <v>7.5577410410745737E-5</v>
      </c>
      <c r="CY192">
        <v>3.9416380870846087E-6</v>
      </c>
      <c r="CZ192">
        <v>1.7686668528942702E-8</v>
      </c>
      <c r="DA192">
        <v>0</v>
      </c>
      <c r="DB192">
        <v>1.0606415805076183E-4</v>
      </c>
      <c r="DC192">
        <v>1.5292176398274172E-4</v>
      </c>
      <c r="DD192">
        <v>0</v>
      </c>
      <c r="DE192">
        <v>1.1786197289625593E-3</v>
      </c>
      <c r="DF192">
        <v>0</v>
      </c>
      <c r="DG192">
        <v>1.1863416549117293E-4</v>
      </c>
      <c r="DH192">
        <v>0</v>
      </c>
      <c r="DI192">
        <v>1.018795876132897E-9</v>
      </c>
      <c r="DJ192">
        <v>0</v>
      </c>
      <c r="DK192">
        <v>3.7860691495797421E-4</v>
      </c>
      <c r="DL192">
        <v>0</v>
      </c>
      <c r="DM192">
        <v>2.8282842239203459E-4</v>
      </c>
      <c r="DN192">
        <v>0</v>
      </c>
      <c r="DO192">
        <v>1.7625533607179629E-3</v>
      </c>
      <c r="DP192">
        <v>3.8334119148532547E-4</v>
      </c>
      <c r="DQ192">
        <v>1.2111273071419731E-4</v>
      </c>
      <c r="DR192">
        <v>4.3844548765163962E-5</v>
      </c>
      <c r="DS192">
        <v>1.6323717992583776E-4</v>
      </c>
      <c r="DT192">
        <v>5.3726136332028803E-5</v>
      </c>
      <c r="DU192">
        <v>4.4038608123667632E-4</v>
      </c>
      <c r="DV192">
        <v>5.0509788392394941E-5</v>
      </c>
      <c r="DW192">
        <v>3.6732396425509041E-8</v>
      </c>
      <c r="DX192">
        <v>2.5233334892540098E-4</v>
      </c>
      <c r="DY192">
        <v>3.761203377861511E-9</v>
      </c>
      <c r="DZ192">
        <v>0</v>
      </c>
      <c r="EA192">
        <v>6.2185931045553085E-4</v>
      </c>
      <c r="EB192">
        <v>4.5048976273013653E-4</v>
      </c>
      <c r="EC192">
        <v>6.0744545396777762E-4</v>
      </c>
      <c r="ED192">
        <v>1.9777910272553484E-4</v>
      </c>
      <c r="EE192">
        <v>1.6821874887577325E-4</v>
      </c>
      <c r="EF192">
        <v>7.4796541427034969E-6</v>
      </c>
      <c r="EG192">
        <v>2.8211313044852607E-4</v>
      </c>
      <c r="EH192">
        <v>1.7149262295937373E-4</v>
      </c>
      <c r="EI192">
        <v>0</v>
      </c>
      <c r="EJ192">
        <v>0</v>
      </c>
      <c r="EK192">
        <v>0</v>
      </c>
      <c r="EL192">
        <v>4.520930732940241E-4</v>
      </c>
      <c r="EM192">
        <v>5.1904549192618272E-4</v>
      </c>
      <c r="EN192">
        <v>5.270154320418805E-4</v>
      </c>
      <c r="EO192">
        <v>8.0866128679150663E-5</v>
      </c>
      <c r="EP192">
        <v>8.0866128679150649E-5</v>
      </c>
      <c r="EQ192">
        <v>8.0866128679150649E-5</v>
      </c>
      <c r="ER192">
        <v>0</v>
      </c>
      <c r="ES192">
        <v>8.0866128679150663E-5</v>
      </c>
      <c r="ET192">
        <v>8.0866128679150663E-5</v>
      </c>
      <c r="EU192">
        <v>2.3703904004609468E-5</v>
      </c>
      <c r="EV192">
        <v>7.3887138669309684E-5</v>
      </c>
      <c r="EW192">
        <v>3.1755076899289242E-4</v>
      </c>
      <c r="EX192">
        <v>0</v>
      </c>
      <c r="EY192">
        <v>1.0330682530533012E-9</v>
      </c>
      <c r="EZ192">
        <v>1.3269411331406744E-8</v>
      </c>
      <c r="FA192">
        <v>1.1342322219170652E-10</v>
      </c>
      <c r="FB192">
        <v>2.1861199315789964E-10</v>
      </c>
      <c r="FC192">
        <v>4.6417232302597804E-4</v>
      </c>
      <c r="FD192">
        <v>1.2061415327946249E-8</v>
      </c>
      <c r="FE192">
        <v>1.8310465355235013E-8</v>
      </c>
      <c r="FF192">
        <v>1.2724002561267861E-8</v>
      </c>
      <c r="FG192">
        <v>9.4498255123504245E-10</v>
      </c>
      <c r="FH192">
        <v>2.8746794573872023E-7</v>
      </c>
      <c r="FI192">
        <v>2.1092719967894154E-9</v>
      </c>
      <c r="FJ192">
        <v>2.0054923720768436E-9</v>
      </c>
      <c r="FK192">
        <v>1.294753519216896E-10</v>
      </c>
      <c r="FL192">
        <v>4.2838744985774903E-6</v>
      </c>
      <c r="FM192">
        <v>6.0322848895345859E-5</v>
      </c>
      <c r="FN192">
        <v>7.7275701752914587E-8</v>
      </c>
      <c r="FO192">
        <v>1.1286717680514645E-8</v>
      </c>
      <c r="FP192">
        <v>1.2963005448357311E-4</v>
      </c>
      <c r="FQ192">
        <v>8.1914821546921301E-9</v>
      </c>
      <c r="FR192">
        <v>1.5577754901700635E-4</v>
      </c>
      <c r="FS192">
        <v>1.0214919442956753E-8</v>
      </c>
      <c r="FT192">
        <v>4.8046281213078262E-4</v>
      </c>
      <c r="FU192">
        <v>9.7687545460405935E-4</v>
      </c>
      <c r="FV192">
        <v>2.9230737475460801E-3</v>
      </c>
      <c r="FW192">
        <v>1.1065928765059269E-2</v>
      </c>
      <c r="FX192">
        <v>1.1052943953300408E-2</v>
      </c>
      <c r="FY192">
        <v>1.0462671864398516E-2</v>
      </c>
      <c r="FZ192">
        <v>9.8246683838955923E-3</v>
      </c>
      <c r="GA192">
        <v>1.1046030846931438E-2</v>
      </c>
      <c r="GB192">
        <v>1.099600873549814E-2</v>
      </c>
      <c r="GC192">
        <v>1.0916506835091202E-2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9.3622534146626107E-3</v>
      </c>
      <c r="GJ192">
        <v>9.8553252078838922E-3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1.074115853262034E-5</v>
      </c>
      <c r="GR192">
        <v>2.1042091514161395E-4</v>
      </c>
      <c r="GS192">
        <v>3.3250708889822679E-4</v>
      </c>
      <c r="GT192">
        <v>2.4973110005542049E-7</v>
      </c>
      <c r="GU192">
        <v>0</v>
      </c>
    </row>
    <row r="193" spans="1:203">
      <c r="A193" t="s">
        <v>331</v>
      </c>
      <c r="B193">
        <v>190</v>
      </c>
      <c r="C193" t="s">
        <v>138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</row>
    <row r="194" spans="1:203">
      <c r="A194" t="s">
        <v>332</v>
      </c>
      <c r="B194">
        <v>191</v>
      </c>
      <c r="C194" t="s">
        <v>138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</row>
    <row r="195" spans="1:203">
      <c r="A195" t="s">
        <v>333</v>
      </c>
      <c r="B195">
        <v>192</v>
      </c>
      <c r="C195" t="s">
        <v>138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</row>
    <row r="196" spans="1:203">
      <c r="A196" t="s">
        <v>334</v>
      </c>
      <c r="B196">
        <v>193</v>
      </c>
      <c r="C196" t="s">
        <v>138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</row>
    <row r="197" spans="1:203">
      <c r="A197" t="s">
        <v>335</v>
      </c>
      <c r="B197">
        <v>194</v>
      </c>
      <c r="C197" t="s">
        <v>138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</row>
    <row r="198" spans="1:203">
      <c r="A198" t="s">
        <v>336</v>
      </c>
      <c r="B198">
        <v>195</v>
      </c>
      <c r="C198" t="s">
        <v>138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</row>
    <row r="199" spans="1:203">
      <c r="A199" t="s">
        <v>337</v>
      </c>
      <c r="B199">
        <v>196</v>
      </c>
      <c r="C199" t="s">
        <v>33</v>
      </c>
      <c r="D199">
        <v>4.7629968090247771E-9</v>
      </c>
      <c r="E199">
        <v>3.8930455951747922E-6</v>
      </c>
      <c r="F199">
        <v>2.3841537095987846E-6</v>
      </c>
      <c r="G199">
        <v>1.673762595580335E-8</v>
      </c>
      <c r="H199">
        <v>2.0590889567964313E-7</v>
      </c>
      <c r="I199">
        <v>0</v>
      </c>
      <c r="J199">
        <v>0</v>
      </c>
      <c r="K199">
        <v>4.3161091165898894E-4</v>
      </c>
      <c r="L199">
        <v>1.2952179733579849E-8</v>
      </c>
      <c r="M199">
        <v>4.1547667690115963E-8</v>
      </c>
      <c r="N199">
        <v>2.5700678843741506E-8</v>
      </c>
      <c r="O199">
        <v>4.8205720089998199E-5</v>
      </c>
      <c r="P199">
        <v>8.9371274619957642E-5</v>
      </c>
      <c r="Q199">
        <v>1.015411348228707E-4</v>
      </c>
      <c r="R199">
        <v>0</v>
      </c>
      <c r="S199">
        <v>0</v>
      </c>
      <c r="T199">
        <v>0</v>
      </c>
      <c r="U199">
        <v>8.4602018827916101E-5</v>
      </c>
      <c r="V199">
        <v>2.6826975355267557E-4</v>
      </c>
      <c r="W199">
        <v>2.2140437902789408E-7</v>
      </c>
      <c r="X199">
        <v>0</v>
      </c>
      <c r="Y199">
        <v>0</v>
      </c>
      <c r="Z199">
        <v>0</v>
      </c>
      <c r="AA199">
        <v>2.2140437902789405E-7</v>
      </c>
      <c r="AB199">
        <v>0</v>
      </c>
      <c r="AC199">
        <v>0</v>
      </c>
      <c r="AD199">
        <v>0</v>
      </c>
      <c r="AE199">
        <v>8.2307053711104969E-7</v>
      </c>
      <c r="AF199">
        <v>2.7412066572858277E-8</v>
      </c>
      <c r="AG199">
        <v>0</v>
      </c>
      <c r="AH199">
        <v>0</v>
      </c>
      <c r="AI199">
        <v>4.4988626249857335E-8</v>
      </c>
      <c r="AJ199">
        <v>1.8921836128407314E-6</v>
      </c>
      <c r="AK199">
        <v>0</v>
      </c>
      <c r="AL199">
        <v>7.5732806360018495E-9</v>
      </c>
      <c r="AM199">
        <v>0</v>
      </c>
      <c r="AN199">
        <v>3.434456696784989E-8</v>
      </c>
      <c r="AO199">
        <v>0</v>
      </c>
      <c r="AP199">
        <v>3.426734387882951E-6</v>
      </c>
      <c r="AQ199">
        <v>4.0824598902062162E-9</v>
      </c>
      <c r="AR199">
        <v>1.1126341746531231E-9</v>
      </c>
      <c r="AS199">
        <v>8.8575591154063313E-8</v>
      </c>
      <c r="AT199">
        <v>2.6009069568555103E-8</v>
      </c>
      <c r="AU199">
        <v>2.482705962689956E-6</v>
      </c>
      <c r="AV199">
        <v>2.6124534174666867E-8</v>
      </c>
      <c r="AW199">
        <v>4.1010912460812262E-4</v>
      </c>
      <c r="AX199">
        <v>4.7647663115370784E-7</v>
      </c>
      <c r="AY199">
        <v>2.3880014644155032E-4</v>
      </c>
      <c r="AZ199">
        <v>4.9365474830254338E-5</v>
      </c>
      <c r="BA199">
        <v>1.8808574655086869E-5</v>
      </c>
      <c r="BB199">
        <v>1.990952751925588E-9</v>
      </c>
      <c r="BC199">
        <v>9.9963694063523146E-9</v>
      </c>
      <c r="BD199">
        <v>9.9799781835188385E-6</v>
      </c>
      <c r="BE199">
        <v>1.1003998602516436E-8</v>
      </c>
      <c r="BF199">
        <v>6.096903462995348E-9</v>
      </c>
      <c r="BG199">
        <v>7.3933106271400369E-5</v>
      </c>
      <c r="BH199">
        <v>7.5175810630468009E-5</v>
      </c>
      <c r="BI199">
        <v>4.0396282675877093E-8</v>
      </c>
      <c r="BJ199">
        <v>0</v>
      </c>
      <c r="BK199">
        <v>1.9515999949770943E-6</v>
      </c>
      <c r="BL199">
        <v>0</v>
      </c>
      <c r="BM199">
        <v>6.1133756659762504E-9</v>
      </c>
      <c r="BN199">
        <v>8.1651025753469492E-9</v>
      </c>
      <c r="BO199">
        <v>8.2386675952303846E-4</v>
      </c>
      <c r="BP199">
        <v>0</v>
      </c>
      <c r="BQ199">
        <v>8.2386675952303846E-4</v>
      </c>
      <c r="BR199">
        <v>4.2255326066445187E-4</v>
      </c>
      <c r="BS199">
        <v>0</v>
      </c>
      <c r="BT199">
        <v>0</v>
      </c>
      <c r="BU199">
        <v>4.2255326066445187E-4</v>
      </c>
      <c r="BV199">
        <v>4.2255326066445193E-4</v>
      </c>
      <c r="BW199">
        <v>4.2255326066445187E-4</v>
      </c>
      <c r="BX199">
        <v>4.2255326066445187E-4</v>
      </c>
      <c r="BY199">
        <v>4.2255326066445193E-4</v>
      </c>
      <c r="BZ199">
        <v>4.2255326066445187E-4</v>
      </c>
      <c r="CA199">
        <v>4.2255326066445187E-4</v>
      </c>
      <c r="CB199">
        <v>0</v>
      </c>
      <c r="CC199">
        <v>4.2255326066445187E-4</v>
      </c>
      <c r="CD199">
        <v>4.2255326066445187E-4</v>
      </c>
      <c r="CE199">
        <v>4.2255326066445193E-4</v>
      </c>
      <c r="CF199">
        <v>4.2255326066445193E-4</v>
      </c>
      <c r="CG199">
        <v>4.2255326066445187E-4</v>
      </c>
      <c r="CH199">
        <v>4.2255326066445187E-4</v>
      </c>
      <c r="CI199">
        <v>4.2255326066445193E-4</v>
      </c>
      <c r="CJ199">
        <v>4.720839121716288E-6</v>
      </c>
      <c r="CK199">
        <v>1.8436614496234263E-4</v>
      </c>
      <c r="CL199">
        <v>0</v>
      </c>
      <c r="CM199">
        <v>3.1066991811733912E-4</v>
      </c>
      <c r="CN199">
        <v>4.6511134079553679E-7</v>
      </c>
      <c r="CO199">
        <v>3.8730373980304779E-4</v>
      </c>
      <c r="CP199">
        <v>0</v>
      </c>
      <c r="CQ199">
        <v>3.8730373980304779E-4</v>
      </c>
      <c r="CR199">
        <v>0</v>
      </c>
      <c r="CS199">
        <v>3.8730373980304784E-4</v>
      </c>
      <c r="CT199">
        <v>0</v>
      </c>
      <c r="CU199">
        <v>7.1207665594929769E-5</v>
      </c>
      <c r="CV199">
        <v>6.9485838895538835E-6</v>
      </c>
      <c r="CW199">
        <v>0</v>
      </c>
      <c r="CX199">
        <v>3.0066731185763303E-8</v>
      </c>
      <c r="CY199">
        <v>8.0627274348018449E-7</v>
      </c>
      <c r="CZ199">
        <v>4.5037193947549214E-9</v>
      </c>
      <c r="DA199">
        <v>0</v>
      </c>
      <c r="DB199">
        <v>8.2008960735583959E-9</v>
      </c>
      <c r="DC199">
        <v>1.9344263861578633E-4</v>
      </c>
      <c r="DD199">
        <v>0</v>
      </c>
      <c r="DE199">
        <v>4.2680399408004898E-4</v>
      </c>
      <c r="DF199">
        <v>0</v>
      </c>
      <c r="DG199">
        <v>2.0415195210624827E-4</v>
      </c>
      <c r="DH199">
        <v>0</v>
      </c>
      <c r="DI199">
        <v>9.4892083488687846E-10</v>
      </c>
      <c r="DJ199">
        <v>0</v>
      </c>
      <c r="DK199">
        <v>1.5949271679924193E-5</v>
      </c>
      <c r="DL199">
        <v>0</v>
      </c>
      <c r="DM199">
        <v>3.1496621516245797E-4</v>
      </c>
      <c r="DN199">
        <v>0</v>
      </c>
      <c r="DO199">
        <v>2.8550040272047833E-4</v>
      </c>
      <c r="DP199">
        <v>4.4209212100676178E-5</v>
      </c>
      <c r="DQ199">
        <v>4.6414333424513029E-5</v>
      </c>
      <c r="DR199">
        <v>1.7275966384490385E-5</v>
      </c>
      <c r="DS199">
        <v>7.3312656006232902E-5</v>
      </c>
      <c r="DT199">
        <v>8.4583272919540941E-9</v>
      </c>
      <c r="DU199">
        <v>1.2060962718949097E-4</v>
      </c>
      <c r="DV199">
        <v>9.4284179533979986E-10</v>
      </c>
      <c r="DW199">
        <v>1.7143048703730665E-9</v>
      </c>
      <c r="DX199">
        <v>1.1479240018785308E-8</v>
      </c>
      <c r="DY199">
        <v>4.412662564758489E-9</v>
      </c>
      <c r="DZ199">
        <v>0</v>
      </c>
      <c r="EA199">
        <v>6.4650554639571493E-5</v>
      </c>
      <c r="EB199">
        <v>5.8670353926134737E-5</v>
      </c>
      <c r="EC199">
        <v>3.2578943647478306E-8</v>
      </c>
      <c r="ED199">
        <v>3.9087731565058474E-6</v>
      </c>
      <c r="EE199">
        <v>2.0296851584179929E-5</v>
      </c>
      <c r="EF199">
        <v>3.3348894066595236E-7</v>
      </c>
      <c r="EG199">
        <v>8.083306636304483E-6</v>
      </c>
      <c r="EH199">
        <v>1.8872839030587556E-5</v>
      </c>
      <c r="EI199">
        <v>0</v>
      </c>
      <c r="EJ199">
        <v>0</v>
      </c>
      <c r="EK199">
        <v>0</v>
      </c>
      <c r="EL199">
        <v>8.2045406142660835E-5</v>
      </c>
      <c r="EM199">
        <v>9.0125891125217205E-5</v>
      </c>
      <c r="EN199">
        <v>1.0105160659854447E-4</v>
      </c>
      <c r="EO199">
        <v>6.0877147880590762E-5</v>
      </c>
      <c r="EP199">
        <v>6.0877147880590755E-5</v>
      </c>
      <c r="EQ199">
        <v>6.0877147880590755E-5</v>
      </c>
      <c r="ER199">
        <v>0</v>
      </c>
      <c r="ES199">
        <v>6.0877147880590762E-5</v>
      </c>
      <c r="ET199">
        <v>6.0877147880590762E-5</v>
      </c>
      <c r="EU199">
        <v>6.1249700232308563E-6</v>
      </c>
      <c r="EV199">
        <v>4.0326769724450254E-5</v>
      </c>
      <c r="EW199">
        <v>8.2405568992991627E-6</v>
      </c>
      <c r="EX199">
        <v>0</v>
      </c>
      <c r="EY199">
        <v>1.0210482725659677E-9</v>
      </c>
      <c r="EZ199">
        <v>1.3586179217697117E-8</v>
      </c>
      <c r="FA199">
        <v>1.0647518726016466E-10</v>
      </c>
      <c r="FB199">
        <v>2.0615248711244952E-10</v>
      </c>
      <c r="FC199">
        <v>1.1393857543696155E-9</v>
      </c>
      <c r="FD199">
        <v>3.4639386338919338E-9</v>
      </c>
      <c r="FE199">
        <v>1.8612147544002633E-9</v>
      </c>
      <c r="FF199">
        <v>1.0347475340691498E-8</v>
      </c>
      <c r="FG199">
        <v>8.4275628886509983E-10</v>
      </c>
      <c r="FH199">
        <v>5.4392065314731297E-8</v>
      </c>
      <c r="FI199">
        <v>1.605336347151142E-9</v>
      </c>
      <c r="FJ199">
        <v>1.3230535114527554E-9</v>
      </c>
      <c r="FK199">
        <v>1.12227796534882E-10</v>
      </c>
      <c r="FL199">
        <v>1.1643064148491712E-9</v>
      </c>
      <c r="FM199">
        <v>2.4320811140404877E-9</v>
      </c>
      <c r="FN199">
        <v>4.3497093776313505E-9</v>
      </c>
      <c r="FO199">
        <v>6.9655244229057515E-10</v>
      </c>
      <c r="FP199">
        <v>1.7797981294214593E-4</v>
      </c>
      <c r="FQ199">
        <v>2.6034997839147884E-9</v>
      </c>
      <c r="FR199">
        <v>6.0124947374385079E-5</v>
      </c>
      <c r="FS199">
        <v>1.0021303389027662E-9</v>
      </c>
      <c r="FT199">
        <v>2.2722659912471723E-4</v>
      </c>
      <c r="FU199">
        <v>1.1605158789628474E-3</v>
      </c>
      <c r="FV199">
        <v>7.9157629250438703E-4</v>
      </c>
      <c r="FW199">
        <v>1.5881055278559343E-4</v>
      </c>
      <c r="FX199">
        <v>1.5543815094768749E-4</v>
      </c>
      <c r="FY199">
        <v>1.1958405312951106E-4</v>
      </c>
      <c r="FZ199">
        <v>8.8878048689468783E-5</v>
      </c>
      <c r="GA199">
        <v>1.5288607461523567E-4</v>
      </c>
      <c r="GB199">
        <v>1.5019327394532028E-4</v>
      </c>
      <c r="GC199">
        <v>1.478922183622494E-4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1.0935701825343517E-4</v>
      </c>
      <c r="GJ199">
        <v>1.2740234718969481E-4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2.4554594165527232E-4</v>
      </c>
      <c r="GR199">
        <v>3.400116117930235E-9</v>
      </c>
      <c r="GS199">
        <v>2.5083305069566719E-5</v>
      </c>
      <c r="GT199">
        <v>4.3201214825597785E-8</v>
      </c>
      <c r="GU199">
        <v>0</v>
      </c>
    </row>
    <row r="200" spans="1:203">
      <c r="A200" t="s">
        <v>338</v>
      </c>
      <c r="B200">
        <v>197</v>
      </c>
      <c r="C200" t="s">
        <v>33</v>
      </c>
      <c r="D200">
        <v>6.7334386476570524E-8</v>
      </c>
      <c r="E200">
        <v>0</v>
      </c>
      <c r="F200">
        <v>0</v>
      </c>
      <c r="G200">
        <v>7.2507813828533022E-4</v>
      </c>
      <c r="H200">
        <v>2.2215423486340868E-4</v>
      </c>
      <c r="I200">
        <v>0</v>
      </c>
      <c r="J200">
        <v>0</v>
      </c>
      <c r="K200">
        <v>1.778479040270918E-3</v>
      </c>
      <c r="L200">
        <v>1.5255420183709733E-4</v>
      </c>
      <c r="M200">
        <v>1.4021683082432877E-4</v>
      </c>
      <c r="N200">
        <v>8.9478714174878698E-8</v>
      </c>
      <c r="O200">
        <v>0</v>
      </c>
      <c r="P200">
        <v>1.166362918336801E-6</v>
      </c>
      <c r="Q200">
        <v>2.904242846317457E-4</v>
      </c>
      <c r="R200">
        <v>0</v>
      </c>
      <c r="S200">
        <v>0</v>
      </c>
      <c r="T200">
        <v>0</v>
      </c>
      <c r="U200">
        <v>4.8744065453150003E-4</v>
      </c>
      <c r="V200">
        <v>8.7866546182666842E-4</v>
      </c>
      <c r="W200">
        <v>1.1426984751145133E-4</v>
      </c>
      <c r="X200">
        <v>0</v>
      </c>
      <c r="Y200">
        <v>0</v>
      </c>
      <c r="Z200">
        <v>0</v>
      </c>
      <c r="AA200">
        <v>1.1426984751145133E-4</v>
      </c>
      <c r="AB200">
        <v>0</v>
      </c>
      <c r="AC200">
        <v>0</v>
      </c>
      <c r="AD200">
        <v>0</v>
      </c>
      <c r="AE200">
        <v>1.8736355442659766E-5</v>
      </c>
      <c r="AF200">
        <v>3.9265913092448906E-8</v>
      </c>
      <c r="AG200">
        <v>0</v>
      </c>
      <c r="AH200">
        <v>0</v>
      </c>
      <c r="AI200">
        <v>5.2768691790767301E-7</v>
      </c>
      <c r="AJ200">
        <v>3.1413390723968184E-4</v>
      </c>
      <c r="AK200">
        <v>0</v>
      </c>
      <c r="AL200">
        <v>9.4552779612964162E-9</v>
      </c>
      <c r="AM200">
        <v>0</v>
      </c>
      <c r="AN200">
        <v>4.3348518281242274E-8</v>
      </c>
      <c r="AO200">
        <v>8.0053877822254103E-7</v>
      </c>
      <c r="AP200">
        <v>3.7166775715561436E-5</v>
      </c>
      <c r="AQ200">
        <v>8.0105218676019472E-9</v>
      </c>
      <c r="AR200">
        <v>1.341806285286948E-9</v>
      </c>
      <c r="AS200">
        <v>4.9195199522812812E-4</v>
      </c>
      <c r="AT200">
        <v>1.4912493433696835E-7</v>
      </c>
      <c r="AU200">
        <v>2.1512702561376137E-4</v>
      </c>
      <c r="AV200">
        <v>1.367212024458876E-4</v>
      </c>
      <c r="AW200">
        <v>1.5220270845786746E-3</v>
      </c>
      <c r="AX200">
        <v>0</v>
      </c>
      <c r="AY200">
        <v>1.3707197155053143E-4</v>
      </c>
      <c r="AZ200">
        <v>0</v>
      </c>
      <c r="BA200">
        <v>1.7467406561086809E-5</v>
      </c>
      <c r="BB200">
        <v>4.1309639507949842E-4</v>
      </c>
      <c r="BC200">
        <v>5.5827929477829418E-4</v>
      </c>
      <c r="BD200">
        <v>3.2792495172882281E-4</v>
      </c>
      <c r="BE200">
        <v>1.5173783965678834E-7</v>
      </c>
      <c r="BF200">
        <v>8.0684816717282862E-4</v>
      </c>
      <c r="BG200">
        <v>1.9454297824464898E-3</v>
      </c>
      <c r="BH200">
        <v>9.9949668746814415E-4</v>
      </c>
      <c r="BI200">
        <v>4.9411975661797119E-4</v>
      </c>
      <c r="BJ200">
        <v>0</v>
      </c>
      <c r="BK200">
        <v>8.3341491591200606E-4</v>
      </c>
      <c r="BL200">
        <v>0</v>
      </c>
      <c r="BM200">
        <v>6.6883106048828619E-4</v>
      </c>
      <c r="BN200">
        <v>1.3905543580751993E-2</v>
      </c>
      <c r="BO200">
        <v>9.3381423725936107E-4</v>
      </c>
      <c r="BP200">
        <v>0</v>
      </c>
      <c r="BQ200">
        <v>9.3381423725936107E-4</v>
      </c>
      <c r="BR200">
        <v>1.1894280608039517E-3</v>
      </c>
      <c r="BS200">
        <v>0</v>
      </c>
      <c r="BT200">
        <v>0</v>
      </c>
      <c r="BU200">
        <v>1.1894280608039517E-3</v>
      </c>
      <c r="BV200">
        <v>1.1894280608039517E-3</v>
      </c>
      <c r="BW200">
        <v>1.1894280608039517E-3</v>
      </c>
      <c r="BX200">
        <v>1.1894280608039517E-3</v>
      </c>
      <c r="BY200">
        <v>1.1894280608039517E-3</v>
      </c>
      <c r="BZ200">
        <v>1.1894280608039517E-3</v>
      </c>
      <c r="CA200">
        <v>1.1894280608039517E-3</v>
      </c>
      <c r="CB200">
        <v>0</v>
      </c>
      <c r="CC200">
        <v>1.1894280608039517E-3</v>
      </c>
      <c r="CD200">
        <v>1.1894280608039515E-3</v>
      </c>
      <c r="CE200">
        <v>1.1894280608039517E-3</v>
      </c>
      <c r="CF200">
        <v>1.1894280608039517E-3</v>
      </c>
      <c r="CG200">
        <v>1.1894280608039517E-3</v>
      </c>
      <c r="CH200">
        <v>1.1894280608039517E-3</v>
      </c>
      <c r="CI200">
        <v>1.1894280608039517E-3</v>
      </c>
      <c r="CJ200">
        <v>3.1029066587388182E-5</v>
      </c>
      <c r="CK200">
        <v>1.4550354110677854E-5</v>
      </c>
      <c r="CL200">
        <v>0</v>
      </c>
      <c r="CM200">
        <v>3.4681814622735145E-4</v>
      </c>
      <c r="CN200">
        <v>4.8369049017790754E-4</v>
      </c>
      <c r="CO200">
        <v>5.1020102748755157E-4</v>
      </c>
      <c r="CP200">
        <v>0</v>
      </c>
      <c r="CQ200">
        <v>5.1020102748755146E-4</v>
      </c>
      <c r="CR200">
        <v>0</v>
      </c>
      <c r="CS200">
        <v>5.1020102748755157E-4</v>
      </c>
      <c r="CT200">
        <v>0</v>
      </c>
      <c r="CU200">
        <v>6.6112386703364302E-4</v>
      </c>
      <c r="CV200">
        <v>6.6048581875250518E-4</v>
      </c>
      <c r="CW200">
        <v>0</v>
      </c>
      <c r="CX200">
        <v>3.9862778136877858E-4</v>
      </c>
      <c r="CY200">
        <v>3.5932491792802895E-4</v>
      </c>
      <c r="CZ200">
        <v>1.3148810453172578E-4</v>
      </c>
      <c r="DA200">
        <v>0</v>
      </c>
      <c r="DB200">
        <v>4.6653167749228597E-4</v>
      </c>
      <c r="DC200">
        <v>7.4674483560599952E-5</v>
      </c>
      <c r="DD200">
        <v>0</v>
      </c>
      <c r="DE200">
        <v>1.3795996306495259E-3</v>
      </c>
      <c r="DF200">
        <v>0</v>
      </c>
      <c r="DG200">
        <v>1.1407240718915941E-4</v>
      </c>
      <c r="DH200">
        <v>0</v>
      </c>
      <c r="DI200">
        <v>1.0996670458721517E-9</v>
      </c>
      <c r="DJ200">
        <v>0</v>
      </c>
      <c r="DK200">
        <v>8.2754719316769114E-5</v>
      </c>
      <c r="DL200">
        <v>0</v>
      </c>
      <c r="DM200">
        <v>1.3735767057197296E-4</v>
      </c>
      <c r="DN200">
        <v>0</v>
      </c>
      <c r="DO200">
        <v>2.2443916273480303E-4</v>
      </c>
      <c r="DP200">
        <v>5.2314471907291083E-4</v>
      </c>
      <c r="DQ200">
        <v>4.4534046027431309E-4</v>
      </c>
      <c r="DR200">
        <v>1.3281220044056399E-3</v>
      </c>
      <c r="DS200">
        <v>7.0996748954407448E-4</v>
      </c>
      <c r="DT200">
        <v>3.9016467563060769E-4</v>
      </c>
      <c r="DU200">
        <v>6.9477699634134746E-4</v>
      </c>
      <c r="DV200">
        <v>1.1206660673533383E-4</v>
      </c>
      <c r="DW200">
        <v>2.0537400560683301E-4</v>
      </c>
      <c r="DX200">
        <v>6.8892647891347439E-4</v>
      </c>
      <c r="DY200">
        <v>2.5381012409057536E-8</v>
      </c>
      <c r="DZ200">
        <v>0</v>
      </c>
      <c r="EA200">
        <v>1.2392935431466767E-4</v>
      </c>
      <c r="EB200">
        <v>8.7789491615771417E-5</v>
      </c>
      <c r="EC200">
        <v>3.9306337556940714E-4</v>
      </c>
      <c r="ED200">
        <v>5.7909300756922294E-5</v>
      </c>
      <c r="EE200">
        <v>4.8900491912132931E-5</v>
      </c>
      <c r="EF200">
        <v>3.4864307569489168E-5</v>
      </c>
      <c r="EG200">
        <v>1.7759794918948123E-4</v>
      </c>
      <c r="EH200">
        <v>4.6850846669880222E-5</v>
      </c>
      <c r="EI200">
        <v>0</v>
      </c>
      <c r="EJ200">
        <v>0</v>
      </c>
      <c r="EK200">
        <v>0</v>
      </c>
      <c r="EL200">
        <v>1.0039626236887274E-4</v>
      </c>
      <c r="EM200">
        <v>1.164356557611789E-4</v>
      </c>
      <c r="EN200">
        <v>1.1626923068631085E-4</v>
      </c>
      <c r="EO200">
        <v>5.7371443836395796E-6</v>
      </c>
      <c r="EP200">
        <v>5.7371443836395796E-6</v>
      </c>
      <c r="EQ200">
        <v>5.7371443836395787E-6</v>
      </c>
      <c r="ER200">
        <v>0</v>
      </c>
      <c r="ES200">
        <v>5.7371443836395796E-6</v>
      </c>
      <c r="ET200">
        <v>5.7371443836395796E-6</v>
      </c>
      <c r="EU200">
        <v>1.0433256041668904E-6</v>
      </c>
      <c r="EV200">
        <v>9.5188322453728921E-6</v>
      </c>
      <c r="EW200">
        <v>4.7478184650720002E-4</v>
      </c>
      <c r="EX200">
        <v>0</v>
      </c>
      <c r="EY200">
        <v>1.0452769012061625E-9</v>
      </c>
      <c r="EZ200">
        <v>1.5195430626450913E-8</v>
      </c>
      <c r="FA200">
        <v>1.2129056708618966E-10</v>
      </c>
      <c r="FB200">
        <v>2.3255973509858693E-10</v>
      </c>
      <c r="FC200">
        <v>2.9416985769480677E-4</v>
      </c>
      <c r="FD200">
        <v>1.7252035546786151E-4</v>
      </c>
      <c r="FE200">
        <v>2.8909848413715723E-4</v>
      </c>
      <c r="FF200">
        <v>1.8223665780011939E-8</v>
      </c>
      <c r="FG200">
        <v>1.1259267377422529E-9</v>
      </c>
      <c r="FH200">
        <v>1.3621075758421502E-3</v>
      </c>
      <c r="FI200">
        <v>3.6037423392424642E-9</v>
      </c>
      <c r="FJ200">
        <v>4.9793071726075019E-9</v>
      </c>
      <c r="FK200">
        <v>1.5642834470832083E-10</v>
      </c>
      <c r="FL200">
        <v>1.1980269399317397E-3</v>
      </c>
      <c r="FM200">
        <v>1.5224577663418182E-3</v>
      </c>
      <c r="FN200">
        <v>1.0510824122783253E-3</v>
      </c>
      <c r="FO200">
        <v>3.4763844124065778E-4</v>
      </c>
      <c r="FP200">
        <v>1.1675073057093414E-2</v>
      </c>
      <c r="FQ200">
        <v>6.1982964774269095E-3</v>
      </c>
      <c r="FR200">
        <v>9.1314734977781548E-3</v>
      </c>
      <c r="FS200">
        <v>3.8316421811047469E-2</v>
      </c>
      <c r="FT200">
        <v>1.6142424908086382E-3</v>
      </c>
      <c r="FU200">
        <v>7.2682452445073775E-3</v>
      </c>
      <c r="FV200">
        <v>1.7886379914563118E-3</v>
      </c>
      <c r="FW200">
        <v>4.5760642790829928E-4</v>
      </c>
      <c r="FX200">
        <v>4.5824676486014504E-4</v>
      </c>
      <c r="FY200">
        <v>4.4608036427684492E-4</v>
      </c>
      <c r="FZ200">
        <v>4.294586466987111E-4</v>
      </c>
      <c r="GA200">
        <v>4.5917877201402457E-4</v>
      </c>
      <c r="GB200">
        <v>4.5813498072470415E-4</v>
      </c>
      <c r="GC200">
        <v>4.5533227307173474E-4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3.9858328282392665E-4</v>
      </c>
      <c r="GJ200">
        <v>4.1390784882036483E-4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1.2147656948785524E-2</v>
      </c>
      <c r="GR200">
        <v>0.10302691347382534</v>
      </c>
      <c r="GS200">
        <v>9.2948381282600509E-2</v>
      </c>
      <c r="GT200">
        <v>1.0253987062166492E-5</v>
      </c>
      <c r="GU200">
        <v>0</v>
      </c>
    </row>
    <row r="201" spans="1:203">
      <c r="A201" t="s">
        <v>339</v>
      </c>
      <c r="B201">
        <v>198</v>
      </c>
      <c r="C201" t="s">
        <v>33</v>
      </c>
      <c r="D201">
        <v>2.4417587259748835E-3</v>
      </c>
      <c r="E201">
        <v>6.655630184562453E-3</v>
      </c>
      <c r="F201">
        <v>4.8646203110858093E-2</v>
      </c>
      <c r="G201">
        <v>8.0108080871253325E-3</v>
      </c>
      <c r="H201">
        <v>1.4466423565547126E-3</v>
      </c>
      <c r="I201">
        <v>0</v>
      </c>
      <c r="J201">
        <v>0</v>
      </c>
      <c r="K201">
        <v>1.4413516734739531E-2</v>
      </c>
      <c r="L201">
        <v>4.6976918634230729E-5</v>
      </c>
      <c r="M201">
        <v>1.5691472883204308E-4</v>
      </c>
      <c r="N201">
        <v>1.2772488539889406E-2</v>
      </c>
      <c r="O201">
        <v>7.9705511107007146E-2</v>
      </c>
      <c r="P201">
        <v>1.1090580742569144E-2</v>
      </c>
      <c r="Q201">
        <v>8.5777877311739976E-4</v>
      </c>
      <c r="R201">
        <v>3.0510105587879073E-3</v>
      </c>
      <c r="S201">
        <v>0</v>
      </c>
      <c r="T201">
        <v>0</v>
      </c>
      <c r="U201">
        <v>1.9690690092401091E-2</v>
      </c>
      <c r="V201">
        <v>4.9275169667414818E-2</v>
      </c>
      <c r="W201">
        <v>1.4768224896104593E-2</v>
      </c>
      <c r="X201">
        <v>0</v>
      </c>
      <c r="Y201">
        <v>0</v>
      </c>
      <c r="Z201">
        <v>0</v>
      </c>
      <c r="AA201">
        <v>1.4768224896104593E-2</v>
      </c>
      <c r="AB201">
        <v>0</v>
      </c>
      <c r="AC201">
        <v>0</v>
      </c>
      <c r="AD201">
        <v>0</v>
      </c>
      <c r="AE201">
        <v>3.7636531567152433E-4</v>
      </c>
      <c r="AF201">
        <v>3.5603924636101297E-8</v>
      </c>
      <c r="AG201">
        <v>0</v>
      </c>
      <c r="AH201">
        <v>0</v>
      </c>
      <c r="AI201">
        <v>2.6548254126443609E-7</v>
      </c>
      <c r="AJ201">
        <v>2.1462936426562149E-2</v>
      </c>
      <c r="AK201">
        <v>5.0180868340418455E-4</v>
      </c>
      <c r="AL201">
        <v>8.9079412712300418E-9</v>
      </c>
      <c r="AM201">
        <v>0</v>
      </c>
      <c r="AN201">
        <v>4.0720394904042165E-8</v>
      </c>
      <c r="AO201">
        <v>7.4322628669818924E-7</v>
      </c>
      <c r="AP201">
        <v>1.2850237171786443E-5</v>
      </c>
      <c r="AQ201">
        <v>6.4868926610098634E-9</v>
      </c>
      <c r="AR201">
        <v>1.2767851518942806E-9</v>
      </c>
      <c r="AS201">
        <v>4.3370569783528289E-2</v>
      </c>
      <c r="AT201">
        <v>6.9805015231086758E-8</v>
      </c>
      <c r="AU201">
        <v>1.9032456903472551E-3</v>
      </c>
      <c r="AV201">
        <v>9.7412013544019983E-4</v>
      </c>
      <c r="AW201">
        <v>1.7575654516455545E-2</v>
      </c>
      <c r="AX201">
        <v>8.5450734160184892E-4</v>
      </c>
      <c r="AY201">
        <v>5.9925892466182011E-3</v>
      </c>
      <c r="AZ201">
        <v>4.9940865052870893E-4</v>
      </c>
      <c r="BA201">
        <v>1.6375758777498729E-2</v>
      </c>
      <c r="BB201">
        <v>4.3856248635344881E-3</v>
      </c>
      <c r="BC201">
        <v>9.7127462213766561E-3</v>
      </c>
      <c r="BD201">
        <v>8.7432201199716501E-3</v>
      </c>
      <c r="BE201">
        <v>3.6798566602598957E-8</v>
      </c>
      <c r="BF201">
        <v>1.6980625265678107E-2</v>
      </c>
      <c r="BG201">
        <v>1.6930626982977825E-2</v>
      </c>
      <c r="BH201">
        <v>1.3777252775051837E-2</v>
      </c>
      <c r="BI201">
        <v>1.5531318745152156E-2</v>
      </c>
      <c r="BJ201">
        <v>0</v>
      </c>
      <c r="BK201">
        <v>6.395087091073573E-3</v>
      </c>
      <c r="BL201">
        <v>0</v>
      </c>
      <c r="BM201">
        <v>8.0974156635872617E-3</v>
      </c>
      <c r="BN201">
        <v>1.5129613580749964E-2</v>
      </c>
      <c r="BO201">
        <v>4.5372357179690348E-2</v>
      </c>
      <c r="BP201">
        <v>0</v>
      </c>
      <c r="BQ201">
        <v>4.5372357179690348E-2</v>
      </c>
      <c r="BR201">
        <v>6.8898860084040817E-3</v>
      </c>
      <c r="BS201">
        <v>0</v>
      </c>
      <c r="BT201">
        <v>0</v>
      </c>
      <c r="BU201">
        <v>6.8898860084040808E-3</v>
      </c>
      <c r="BV201">
        <v>6.8898860084040817E-3</v>
      </c>
      <c r="BW201">
        <v>6.8898860084040826E-3</v>
      </c>
      <c r="BX201">
        <v>6.8898860084040808E-3</v>
      </c>
      <c r="BY201">
        <v>6.8898860084040817E-3</v>
      </c>
      <c r="BZ201">
        <v>6.8898860084040808E-3</v>
      </c>
      <c r="CA201">
        <v>6.8898860084040826E-3</v>
      </c>
      <c r="CB201">
        <v>0</v>
      </c>
      <c r="CC201">
        <v>6.8898860084040817E-3</v>
      </c>
      <c r="CD201">
        <v>6.8898860084040808E-3</v>
      </c>
      <c r="CE201">
        <v>6.8898860084040817E-3</v>
      </c>
      <c r="CF201">
        <v>6.8898860084040808E-3</v>
      </c>
      <c r="CG201">
        <v>6.8898860084040817E-3</v>
      </c>
      <c r="CH201">
        <v>6.8898860084040817E-3</v>
      </c>
      <c r="CI201">
        <v>6.8898860084040817E-3</v>
      </c>
      <c r="CJ201">
        <v>2.7982066441404282E-3</v>
      </c>
      <c r="CK201">
        <v>5.1054179960836334E-4</v>
      </c>
      <c r="CL201">
        <v>0</v>
      </c>
      <c r="CM201">
        <v>1.0088313936507491E-2</v>
      </c>
      <c r="CN201">
        <v>1.1086482731021858E-2</v>
      </c>
      <c r="CO201">
        <v>1.3266721688148941E-2</v>
      </c>
      <c r="CP201">
        <v>0</v>
      </c>
      <c r="CQ201">
        <v>1.3266721688148943E-2</v>
      </c>
      <c r="CR201">
        <v>0</v>
      </c>
      <c r="CS201">
        <v>1.3266721688148943E-2</v>
      </c>
      <c r="CT201">
        <v>0</v>
      </c>
      <c r="CU201">
        <v>1.2965554724728443E-2</v>
      </c>
      <c r="CV201">
        <v>1.1094638834180937E-2</v>
      </c>
      <c r="CW201">
        <v>0</v>
      </c>
      <c r="CX201">
        <v>1.4665218660720949E-2</v>
      </c>
      <c r="CY201">
        <v>1.1490706195432288E-2</v>
      </c>
      <c r="CZ201">
        <v>2.2592744406584086E-3</v>
      </c>
      <c r="DA201">
        <v>0</v>
      </c>
      <c r="DB201">
        <v>9.1244889482620176E-3</v>
      </c>
      <c r="DC201">
        <v>5.8286013220373275E-3</v>
      </c>
      <c r="DD201">
        <v>0</v>
      </c>
      <c r="DE201">
        <v>2.7351721893819281E-2</v>
      </c>
      <c r="DF201">
        <v>0</v>
      </c>
      <c r="DG201">
        <v>1.6808041419900964E-2</v>
      </c>
      <c r="DH201">
        <v>0</v>
      </c>
      <c r="DI201">
        <v>1.0582351840921838E-9</v>
      </c>
      <c r="DJ201">
        <v>0</v>
      </c>
      <c r="DK201">
        <v>7.1999404668924337E-3</v>
      </c>
      <c r="DL201">
        <v>0</v>
      </c>
      <c r="DM201">
        <v>4.0274859459195067E-2</v>
      </c>
      <c r="DN201">
        <v>0</v>
      </c>
      <c r="DO201">
        <v>4.6629463309353886E-2</v>
      </c>
      <c r="DP201">
        <v>1.7714625423050551E-2</v>
      </c>
      <c r="DQ201">
        <v>1.2528384629467757E-2</v>
      </c>
      <c r="DR201">
        <v>3.1486223191830773E-3</v>
      </c>
      <c r="DS201">
        <v>9.2039226676786465E-3</v>
      </c>
      <c r="DT201">
        <v>4.4402884513944909E-3</v>
      </c>
      <c r="DU201">
        <v>1.2682578903840079E-2</v>
      </c>
      <c r="DV201">
        <v>2.6728901368598158E-3</v>
      </c>
      <c r="DW201">
        <v>2.3193047364383837E-3</v>
      </c>
      <c r="DX201">
        <v>6.4282164850789445E-3</v>
      </c>
      <c r="DY201">
        <v>1.1730887348857457E-8</v>
      </c>
      <c r="DZ201">
        <v>0</v>
      </c>
      <c r="EA201">
        <v>5.4232153985848078E-3</v>
      </c>
      <c r="EB201">
        <v>3.8684961688095249E-3</v>
      </c>
      <c r="EC201">
        <v>7.7818402677775752E-3</v>
      </c>
      <c r="ED201">
        <v>2.544742059532082E-3</v>
      </c>
      <c r="EE201">
        <v>2.8829867573304936E-3</v>
      </c>
      <c r="EF201">
        <v>1.3929546581790812E-3</v>
      </c>
      <c r="EG201">
        <v>7.3897580491324565E-3</v>
      </c>
      <c r="EH201">
        <v>2.7782357065716792E-3</v>
      </c>
      <c r="EI201">
        <v>0</v>
      </c>
      <c r="EJ201">
        <v>0</v>
      </c>
      <c r="EK201">
        <v>0</v>
      </c>
      <c r="EL201">
        <v>4.621259478575143E-3</v>
      </c>
      <c r="EM201">
        <v>5.3200001362946822E-3</v>
      </c>
      <c r="EN201">
        <v>5.3441912744333969E-3</v>
      </c>
      <c r="EO201">
        <v>4.8009061624349376E-3</v>
      </c>
      <c r="EP201">
        <v>4.8009061624349368E-3</v>
      </c>
      <c r="EQ201">
        <v>4.8009061624349376E-3</v>
      </c>
      <c r="ER201">
        <v>0</v>
      </c>
      <c r="ES201">
        <v>4.8009061624349376E-3</v>
      </c>
      <c r="ET201">
        <v>4.8009061624349368E-3</v>
      </c>
      <c r="EU201">
        <v>8.0127276682725193E-5</v>
      </c>
      <c r="EV201">
        <v>7.42782363649936E-4</v>
      </c>
      <c r="EW201">
        <v>1.1723843465567697E-2</v>
      </c>
      <c r="EX201">
        <v>0</v>
      </c>
      <c r="EY201">
        <v>1.0391780126647722E-9</v>
      </c>
      <c r="EZ201">
        <v>1.4763209327272034E-8</v>
      </c>
      <c r="FA201">
        <v>1.1725530179696589E-10</v>
      </c>
      <c r="FB201">
        <v>2.2541804404017515E-10</v>
      </c>
      <c r="FC201">
        <v>2.750139141182275E-3</v>
      </c>
      <c r="FD201">
        <v>4.1761410377701917E-4</v>
      </c>
      <c r="FE201">
        <v>7.3657758522968101E-3</v>
      </c>
      <c r="FF201">
        <v>1.5053769911057729E-8</v>
      </c>
      <c r="FG201">
        <v>1.0396019518074788E-9</v>
      </c>
      <c r="FH201">
        <v>1.6636094575667847E-3</v>
      </c>
      <c r="FI201">
        <v>2.7556005889686561E-9</v>
      </c>
      <c r="FJ201">
        <v>2.9691091917897337E-9</v>
      </c>
      <c r="FK201">
        <v>1.4254364833797873E-10</v>
      </c>
      <c r="FL201">
        <v>8.3508730516267012E-3</v>
      </c>
      <c r="FM201">
        <v>1.1603872510540781E-2</v>
      </c>
      <c r="FN201">
        <v>7.2817335719705181E-3</v>
      </c>
      <c r="FO201">
        <v>5.5178262491878561E-3</v>
      </c>
      <c r="FP201">
        <v>4.726919298083225E-2</v>
      </c>
      <c r="FQ201">
        <v>1.2039139143777656E-3</v>
      </c>
      <c r="FR201">
        <v>0.11936111015548651</v>
      </c>
      <c r="FS201">
        <v>1.4246387374719477E-2</v>
      </c>
      <c r="FT201">
        <v>5.9304040996758838E-2</v>
      </c>
      <c r="FU201">
        <v>6.1041442085486557E-2</v>
      </c>
      <c r="FV201">
        <v>5.2050874212225332E-2</v>
      </c>
      <c r="FW201">
        <v>5.7694372380114801E-2</v>
      </c>
      <c r="FX201">
        <v>5.7740392817804707E-2</v>
      </c>
      <c r="FY201">
        <v>5.576681986966732E-2</v>
      </c>
      <c r="FZ201">
        <v>5.3250590873100065E-2</v>
      </c>
      <c r="GA201">
        <v>5.7876098358416096E-2</v>
      </c>
      <c r="GB201">
        <v>5.7676678550858215E-2</v>
      </c>
      <c r="GC201">
        <v>5.7302541618053544E-2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4.9743202104628417E-2</v>
      </c>
      <c r="GJ201">
        <v>5.1890163028463825E-2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0.24380205373041652</v>
      </c>
      <c r="GR201">
        <v>2.9940119783488144E-2</v>
      </c>
      <c r="GS201">
        <v>3.0244600309545448E-2</v>
      </c>
      <c r="GT201">
        <v>5.1621765379370711E-6</v>
      </c>
      <c r="GU201">
        <v>0</v>
      </c>
    </row>
    <row r="202" spans="1:203">
      <c r="A202" t="s">
        <v>340</v>
      </c>
      <c r="B202">
        <v>199</v>
      </c>
      <c r="C202" t="s">
        <v>34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7.3509291261871504E-5</v>
      </c>
      <c r="X202">
        <v>0</v>
      </c>
      <c r="Y202">
        <v>0</v>
      </c>
      <c r="Z202">
        <v>0</v>
      </c>
      <c r="AA202">
        <v>7.3509291261871491E-5</v>
      </c>
      <c r="AB202">
        <v>0</v>
      </c>
      <c r="AC202">
        <v>0</v>
      </c>
      <c r="AD202">
        <v>0</v>
      </c>
      <c r="AE202">
        <v>1.6257889302101614E-5</v>
      </c>
      <c r="AF202">
        <v>4.2901996783461333E-8</v>
      </c>
      <c r="AG202">
        <v>0</v>
      </c>
      <c r="AH202">
        <v>0</v>
      </c>
      <c r="AI202">
        <v>1.2157294331042085E-8</v>
      </c>
      <c r="AJ202">
        <v>5.8311817376588675E-4</v>
      </c>
      <c r="AK202">
        <v>0</v>
      </c>
      <c r="AL202">
        <v>9.9491828454379118E-9</v>
      </c>
      <c r="AM202">
        <v>0</v>
      </c>
      <c r="AN202">
        <v>4.5750296194098061E-8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2.3692870414721533E-6</v>
      </c>
      <c r="GU202">
        <v>0</v>
      </c>
    </row>
    <row r="203" spans="1:203">
      <c r="A203" t="s">
        <v>341</v>
      </c>
      <c r="B203">
        <v>200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</row>
    <row r="205" spans="1:203">
      <c r="A205" s="16"/>
      <c r="B205" s="16"/>
      <c r="C205" s="16"/>
      <c r="D205" s="16"/>
      <c r="E205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7C0DC-685D-46B6-99C8-5ADDF0731204}">
  <dimension ref="A1:AQ90"/>
  <sheetViews>
    <sheetView topLeftCell="A61" workbookViewId="0">
      <selection activeCell="P14" sqref="P14"/>
    </sheetView>
  </sheetViews>
  <sheetFormatPr defaultRowHeight="14.5"/>
  <sheetData>
    <row r="1" spans="1:43">
      <c r="A1" s="20" t="s">
        <v>556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</row>
    <row r="2" spans="1:43">
      <c r="B2" t="s">
        <v>4</v>
      </c>
      <c r="C2" t="s">
        <v>120</v>
      </c>
      <c r="D2" t="s">
        <v>119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58</v>
      </c>
      <c r="M2" t="s">
        <v>59</v>
      </c>
      <c r="N2" t="s">
        <v>12</v>
      </c>
      <c r="O2" t="s">
        <v>132</v>
      </c>
      <c r="P2" t="s">
        <v>133</v>
      </c>
      <c r="Q2" t="s">
        <v>134</v>
      </c>
      <c r="R2" t="s">
        <v>135</v>
      </c>
      <c r="S2" t="s">
        <v>13</v>
      </c>
      <c r="T2" t="s">
        <v>14</v>
      </c>
      <c r="U2" t="s">
        <v>15</v>
      </c>
      <c r="V2" t="s">
        <v>16</v>
      </c>
      <c r="W2" t="s">
        <v>17</v>
      </c>
      <c r="X2" t="s">
        <v>18</v>
      </c>
      <c r="Y2" t="s">
        <v>19</v>
      </c>
      <c r="Z2" t="s">
        <v>136</v>
      </c>
      <c r="AA2" t="s">
        <v>137</v>
      </c>
      <c r="AB2" t="s">
        <v>138</v>
      </c>
      <c r="AC2" t="s">
        <v>20</v>
      </c>
      <c r="AD2" t="s">
        <v>21</v>
      </c>
      <c r="AE2" t="s">
        <v>22</v>
      </c>
      <c r="AF2" t="s">
        <v>23</v>
      </c>
      <c r="AG2" t="s">
        <v>24</v>
      </c>
      <c r="AH2" t="s">
        <v>25</v>
      </c>
      <c r="AI2" t="s">
        <v>26</v>
      </c>
      <c r="AJ2" t="s">
        <v>27</v>
      </c>
      <c r="AK2" t="s">
        <v>28</v>
      </c>
      <c r="AL2" t="s">
        <v>29</v>
      </c>
      <c r="AM2" t="s">
        <v>30</v>
      </c>
      <c r="AN2" t="s">
        <v>31</v>
      </c>
      <c r="AO2" t="s">
        <v>32</v>
      </c>
      <c r="AP2" t="s">
        <v>33</v>
      </c>
      <c r="AQ2" t="s">
        <v>34</v>
      </c>
    </row>
    <row r="3" spans="1:43">
      <c r="A3" t="s">
        <v>4</v>
      </c>
      <c r="B3">
        <f t="array" ref="B3">SUMPRODUCT(IF('Exiobase A Matrix'!$C$4:$C$203='Cement and Glass Split'!$A3,IF('Exiobase A Matrix'!$D$3:$GU$3='Cement and Glass Split'!B$2,'Exiobase A Matrix'!$D$4:$GU$203)))</f>
        <v>0.78530571173444719</v>
      </c>
      <c r="C3">
        <f t="array" ref="C3">SUMPRODUCT(IF('Exiobase A Matrix'!$C$4:$C$203='Cement and Glass Split'!$A3,IF('Exiobase A Matrix'!$D$3:$GU$3='Cement and Glass Split'!C$2,'Exiobase A Matrix'!$D$4:$GU$203)))</f>
        <v>5.2267150480790094E-4</v>
      </c>
      <c r="D3">
        <f t="array" ref="D3">SUMPRODUCT(IF('Exiobase A Matrix'!$C$4:$C$203='Cement and Glass Split'!$A3,IF('Exiobase A Matrix'!$D$3:$GU$3='Cement and Glass Split'!D$2,'Exiobase A Matrix'!$D$4:$GU$203)))</f>
        <v>1.7164466822184957E-6</v>
      </c>
      <c r="E3">
        <f t="array" ref="E3">SUMPRODUCT(IF('Exiobase A Matrix'!$C$4:$C$203='Cement and Glass Split'!$A3,IF('Exiobase A Matrix'!$D$3:$GU$3='Cement and Glass Split'!E$2,'Exiobase A Matrix'!$D$4:$GU$203)))</f>
        <v>6.215842088787926E-5</v>
      </c>
      <c r="F3">
        <f t="array" ref="F3">SUMPRODUCT(IF('Exiobase A Matrix'!$C$4:$C$203='Cement and Glass Split'!$A3,IF('Exiobase A Matrix'!$D$3:$GU$3='Cement and Glass Split'!F$2,'Exiobase A Matrix'!$D$4:$GU$203)))</f>
        <v>0</v>
      </c>
      <c r="G3">
        <f t="array" ref="G3">SUMPRODUCT(IF('Exiobase A Matrix'!$C$4:$C$203='Cement and Glass Split'!$A3,IF('Exiobase A Matrix'!$D$3:$GU$3='Cement and Glass Split'!G$2,'Exiobase A Matrix'!$D$4:$GU$203)))</f>
        <v>4.0740885976410075</v>
      </c>
      <c r="H3">
        <f t="array" ref="H3">SUMPRODUCT(IF('Exiobase A Matrix'!$C$4:$C$203='Cement and Glass Split'!$A3,IF('Exiobase A Matrix'!$D$3:$GU$3='Cement and Glass Split'!H$2,'Exiobase A Matrix'!$D$4:$GU$203)))</f>
        <v>1.4309994133079002E-2</v>
      </c>
      <c r="I3">
        <f t="array" ref="I3">SUMPRODUCT(IF('Exiobase A Matrix'!$C$4:$C$203='Cement and Glass Split'!$A3,IF('Exiobase A Matrix'!$D$3:$GU$3='Cement and Glass Split'!I$2,'Exiobase A Matrix'!$D$4:$GU$203)))</f>
        <v>3.0604381700313286E-2</v>
      </c>
      <c r="J3">
        <f t="array" ref="J3">SUMPRODUCT(IF('Exiobase A Matrix'!$C$4:$C$203='Cement and Glass Split'!$A3,IF('Exiobase A Matrix'!$D$3:$GU$3='Cement and Glass Split'!J$2,'Exiobase A Matrix'!$D$4:$GU$203)))</f>
        <v>8.7686317098243612E-6</v>
      </c>
      <c r="K3">
        <f t="array" ref="K3">SUMPRODUCT(IF('Exiobase A Matrix'!$C$4:$C$203='Cement and Glass Split'!$A3,IF('Exiobase A Matrix'!$D$3:$GU$3='Cement and Glass Split'!K$2,'Exiobase A Matrix'!$D$4:$GU$203)))</f>
        <v>4.7346092491034556E-3</v>
      </c>
      <c r="L3">
        <f t="array" ref="L3">SUMPRODUCT(IF('Exiobase A Matrix'!$C$4:$C$203='Cement and Glass Split'!$A3,IF('Exiobase A Matrix'!$D$3:$GU$3='Cement and Glass Split'!L$2,'Exiobase A Matrix'!$D$4:$GU$203)))</f>
        <v>1.0747847034905427E-2</v>
      </c>
      <c r="M3">
        <f t="array" ref="M3">SUMPRODUCT(IF('Exiobase A Matrix'!$C$4:$C$203='Cement and Glass Split'!$A3,IF('Exiobase A Matrix'!$D$3:$GU$3='Cement and Glass Split'!M$2,'Exiobase A Matrix'!$D$4:$GU$203)))</f>
        <v>0</v>
      </c>
      <c r="N3">
        <f t="array" ref="N3">SUMPRODUCT(IF('Exiobase A Matrix'!$C$4:$C$203='Cement and Glass Split'!$A3,IF('Exiobase A Matrix'!$D$3:$GU$3='Cement and Glass Split'!N$2,'Exiobase A Matrix'!$D$4:$GU$203)))</f>
        <v>0</v>
      </c>
      <c r="O3">
        <f t="array" ref="O3">SUMPRODUCT(IF('Exiobase A Matrix'!$C$4:$C$203='Cement and Glass Split'!$A3,IF('Exiobase A Matrix'!$D$3:$GU$3='Cement and Glass Split'!O$2,'Exiobase A Matrix'!$D$4:$GU$203)))</f>
        <v>0</v>
      </c>
      <c r="P3">
        <f t="array" ref="P3">SUMPRODUCT(IF('Exiobase A Matrix'!$C$4:$C$203='Cement and Glass Split'!$A3,IF('Exiobase A Matrix'!$D$3:$GU$3='Cement and Glass Split'!P$2,'Exiobase A Matrix'!$D$4:$GU$203)))</f>
        <v>0</v>
      </c>
      <c r="Q3">
        <f t="array" ref="Q3">SUMPRODUCT(IF('Exiobase A Matrix'!$C$4:$C$203='Cement and Glass Split'!$A3,IF('Exiobase A Matrix'!$D$3:$GU$3='Cement and Glass Split'!Q$2,'Exiobase A Matrix'!$D$4:$GU$203)))</f>
        <v>0</v>
      </c>
      <c r="R3">
        <f t="array" ref="R3">SUMPRODUCT(IF('Exiobase A Matrix'!$C$4:$C$203='Cement and Glass Split'!$A3,IF('Exiobase A Matrix'!$D$3:$GU$3='Cement and Glass Split'!R$2,'Exiobase A Matrix'!$D$4:$GU$203)))</f>
        <v>2.9435708553249679E-6</v>
      </c>
      <c r="S3">
        <f t="array" ref="S3">SUMPRODUCT(IF('Exiobase A Matrix'!$C$4:$C$203='Cement and Glass Split'!$A3,IF('Exiobase A Matrix'!$D$3:$GU$3='Cement and Glass Split'!S$2,'Exiobase A Matrix'!$D$4:$GU$203)))</f>
        <v>0</v>
      </c>
      <c r="T3">
        <f t="array" ref="T3">SUMPRODUCT(IF('Exiobase A Matrix'!$C$4:$C$203='Cement and Glass Split'!$A3,IF('Exiobase A Matrix'!$D$3:$GU$3='Cement and Glass Split'!T$2,'Exiobase A Matrix'!$D$4:$GU$203)))</f>
        <v>0</v>
      </c>
      <c r="U3">
        <f t="array" ref="U3">SUMPRODUCT(IF('Exiobase A Matrix'!$C$4:$C$203='Cement and Glass Split'!$A3,IF('Exiobase A Matrix'!$D$3:$GU$3='Cement and Glass Split'!U$2,'Exiobase A Matrix'!$D$4:$GU$203)))</f>
        <v>0</v>
      </c>
      <c r="V3">
        <f t="array" ref="V3">SUMPRODUCT(IF('Exiobase A Matrix'!$C$4:$C$203='Cement and Glass Split'!$A3,IF('Exiobase A Matrix'!$D$3:$GU$3='Cement and Glass Split'!V$2,'Exiobase A Matrix'!$D$4:$GU$203)))</f>
        <v>0</v>
      </c>
      <c r="W3">
        <f t="array" ref="W3">SUMPRODUCT(IF('Exiobase A Matrix'!$C$4:$C$203='Cement and Glass Split'!$A3,IF('Exiobase A Matrix'!$D$3:$GU$3='Cement and Glass Split'!W$2,'Exiobase A Matrix'!$D$4:$GU$203)))</f>
        <v>3.2588116056811019E-5</v>
      </c>
      <c r="X3">
        <f t="array" ref="X3">SUMPRODUCT(IF('Exiobase A Matrix'!$C$4:$C$203='Cement and Glass Split'!$A3,IF('Exiobase A Matrix'!$D$3:$GU$3='Cement and Glass Split'!X$2,'Exiobase A Matrix'!$D$4:$GU$203)))</f>
        <v>0</v>
      </c>
      <c r="Y3">
        <f t="array" ref="Y3">SUMPRODUCT(IF('Exiobase A Matrix'!$C$4:$C$203='Cement and Glass Split'!$A3,IF('Exiobase A Matrix'!$D$3:$GU$3='Cement and Glass Split'!Y$2,'Exiobase A Matrix'!$D$4:$GU$203)))</f>
        <v>1.6465850533109351E-5</v>
      </c>
      <c r="Z3">
        <f t="array" ref="Z3">SUMPRODUCT(IF('Exiobase A Matrix'!$C$4:$C$203='Cement and Glass Split'!$A3,IF('Exiobase A Matrix'!$D$3:$GU$3='Cement and Glass Split'!Z$2,'Exiobase A Matrix'!$D$4:$GU$203)))</f>
        <v>0</v>
      </c>
      <c r="AA3">
        <f t="array" ref="AA3">SUMPRODUCT(IF('Exiobase A Matrix'!$C$4:$C$203='Cement and Glass Split'!$A3,IF('Exiobase A Matrix'!$D$3:$GU$3='Cement and Glass Split'!AA$2,'Exiobase A Matrix'!$D$4:$GU$203)))</f>
        <v>0</v>
      </c>
      <c r="AB3">
        <f t="array" ref="AB3">SUMPRODUCT(IF('Exiobase A Matrix'!$C$4:$C$203='Cement and Glass Split'!$A3,IF('Exiobase A Matrix'!$D$3:$GU$3='Cement and Glass Split'!AB$2,'Exiobase A Matrix'!$D$4:$GU$203)))</f>
        <v>1.5631515732573942E-6</v>
      </c>
      <c r="AC3">
        <f t="array" ref="AC3">SUMPRODUCT(IF('Exiobase A Matrix'!$C$4:$C$203='Cement and Glass Split'!$A3,IF('Exiobase A Matrix'!$D$3:$GU$3='Cement and Glass Split'!AC$2,'Exiobase A Matrix'!$D$4:$GU$203)))</f>
        <v>1.4074227364623006E-3</v>
      </c>
      <c r="AD3">
        <f t="array" ref="AD3">SUMPRODUCT(IF('Exiobase A Matrix'!$C$4:$C$203='Cement and Glass Split'!$A3,IF('Exiobase A Matrix'!$D$3:$GU$3='Cement and Glass Split'!AD$2,'Exiobase A Matrix'!$D$4:$GU$203)))</f>
        <v>0</v>
      </c>
      <c r="AE3">
        <f t="array" ref="AE3">SUMPRODUCT(IF('Exiobase A Matrix'!$C$4:$C$203='Cement and Glass Split'!$A3,IF('Exiobase A Matrix'!$D$3:$GU$3='Cement and Glass Split'!AE$2,'Exiobase A Matrix'!$D$4:$GU$203)))</f>
        <v>0</v>
      </c>
      <c r="AF3">
        <f t="array" ref="AF3">SUMPRODUCT(IF('Exiobase A Matrix'!$C$4:$C$203='Cement and Glass Split'!$A3,IF('Exiobase A Matrix'!$D$3:$GU$3='Cement and Glass Split'!AF$2,'Exiobase A Matrix'!$D$4:$GU$203)))</f>
        <v>1.9398140643351883E-2</v>
      </c>
      <c r="AG3">
        <f t="array" ref="AG3">SUMPRODUCT(IF('Exiobase A Matrix'!$C$4:$C$203='Cement and Glass Split'!$A3,IF('Exiobase A Matrix'!$D$3:$GU$3='Cement and Glass Split'!AG$2,'Exiobase A Matrix'!$D$4:$GU$203)))</f>
        <v>0</v>
      </c>
      <c r="AH3">
        <f t="array" ref="AH3">SUMPRODUCT(IF('Exiobase A Matrix'!$C$4:$C$203='Cement and Glass Split'!$A3,IF('Exiobase A Matrix'!$D$3:$GU$3='Cement and Glass Split'!AH$2,'Exiobase A Matrix'!$D$4:$GU$203)))</f>
        <v>0</v>
      </c>
      <c r="AI3">
        <f t="array" ref="AI3">SUMPRODUCT(IF('Exiobase A Matrix'!$C$4:$C$203='Cement and Glass Split'!$A3,IF('Exiobase A Matrix'!$D$3:$GU$3='Cement and Glass Split'!AI$2,'Exiobase A Matrix'!$D$4:$GU$203)))</f>
        <v>0</v>
      </c>
      <c r="AJ3">
        <f t="array" ref="AJ3">SUMPRODUCT(IF('Exiobase A Matrix'!$C$4:$C$203='Cement and Glass Split'!$A3,IF('Exiobase A Matrix'!$D$3:$GU$3='Cement and Glass Split'!AJ$2,'Exiobase A Matrix'!$D$4:$GU$203)))</f>
        <v>0</v>
      </c>
      <c r="AK3">
        <f t="array" ref="AK3">SUMPRODUCT(IF('Exiobase A Matrix'!$C$4:$C$203='Cement and Glass Split'!$A3,IF('Exiobase A Matrix'!$D$3:$GU$3='Cement and Glass Split'!AK$2,'Exiobase A Matrix'!$D$4:$GU$203)))</f>
        <v>0</v>
      </c>
      <c r="AL3">
        <f t="array" ref="AL3">SUMPRODUCT(IF('Exiobase A Matrix'!$C$4:$C$203='Cement and Glass Split'!$A3,IF('Exiobase A Matrix'!$D$3:$GU$3='Cement and Glass Split'!AL$2,'Exiobase A Matrix'!$D$4:$GU$203)))</f>
        <v>3.0594735352914491E-4</v>
      </c>
      <c r="AM3">
        <f t="array" ref="AM3">SUMPRODUCT(IF('Exiobase A Matrix'!$C$4:$C$203='Cement and Glass Split'!$A3,IF('Exiobase A Matrix'!$D$3:$GU$3='Cement and Glass Split'!AM$2,'Exiobase A Matrix'!$D$4:$GU$203)))</f>
        <v>1.9044634929171048E-3</v>
      </c>
      <c r="AN3">
        <f t="array" ref="AN3">SUMPRODUCT(IF('Exiobase A Matrix'!$C$4:$C$203='Cement and Glass Split'!$A3,IF('Exiobase A Matrix'!$D$3:$GU$3='Cement and Glass Split'!AN$2,'Exiobase A Matrix'!$D$4:$GU$203)))</f>
        <v>2.0818491498826213E-5</v>
      </c>
      <c r="AO3">
        <f t="array" ref="AO3">SUMPRODUCT(IF('Exiobase A Matrix'!$C$4:$C$203='Cement and Glass Split'!$A3,IF('Exiobase A Matrix'!$D$3:$GU$3='Cement and Glass Split'!AO$2,'Exiobase A Matrix'!$D$4:$GU$203)))</f>
        <v>5.6165076384065617E-3</v>
      </c>
      <c r="AP3">
        <f t="array" ref="AP3">SUMPRODUCT(IF('Exiobase A Matrix'!$C$4:$C$203='Cement and Glass Split'!$A3,IF('Exiobase A Matrix'!$D$3:$GU$3='Cement and Glass Split'!AP$2,'Exiobase A Matrix'!$D$4:$GU$203)))</f>
        <v>9.5520079266452149E-3</v>
      </c>
      <c r="AQ3">
        <f t="array" ref="AQ3">SUMPRODUCT(IF('Exiobase A Matrix'!$C$4:$C$203='Cement and Glass Split'!$A3,IF('Exiobase A Matrix'!$D$3:$GU$3='Cement and Glass Split'!AQ$2,'Exiobase A Matrix'!$D$4:$GU$203)))</f>
        <v>1.2181489631469186E-3</v>
      </c>
    </row>
    <row r="4" spans="1:43">
      <c r="A4" t="s">
        <v>120</v>
      </c>
      <c r="B4">
        <f t="array" ref="B4">SUMPRODUCT(IF('Exiobase A Matrix'!$C$4:$C$203='Cement and Glass Split'!$A4,IF('Exiobase A Matrix'!$D$3:$GU$3='Cement and Glass Split'!B$2,'Exiobase A Matrix'!$D$4:$GU$203)))</f>
        <v>0</v>
      </c>
      <c r="C4">
        <f t="array" ref="C4">SUMPRODUCT(IF('Exiobase A Matrix'!$C$4:$C$203='Cement and Glass Split'!$A4,IF('Exiobase A Matrix'!$D$3:$GU$3='Cement and Glass Split'!C$2,'Exiobase A Matrix'!$D$4:$GU$203)))</f>
        <v>0</v>
      </c>
      <c r="D4">
        <f t="array" ref="D4">SUMPRODUCT(IF('Exiobase A Matrix'!$C$4:$C$203='Cement and Glass Split'!$A4,IF('Exiobase A Matrix'!$D$3:$GU$3='Cement and Glass Split'!D$2,'Exiobase A Matrix'!$D$4:$GU$203)))</f>
        <v>0</v>
      </c>
      <c r="E4">
        <f t="array" ref="E4">SUMPRODUCT(IF('Exiobase A Matrix'!$C$4:$C$203='Cement and Glass Split'!$A4,IF('Exiobase A Matrix'!$D$3:$GU$3='Cement and Glass Split'!E$2,'Exiobase A Matrix'!$D$4:$GU$203)))</f>
        <v>0</v>
      </c>
      <c r="F4">
        <f t="array" ref="F4">SUMPRODUCT(IF('Exiobase A Matrix'!$C$4:$C$203='Cement and Glass Split'!$A4,IF('Exiobase A Matrix'!$D$3:$GU$3='Cement and Glass Split'!F$2,'Exiobase A Matrix'!$D$4:$GU$203)))</f>
        <v>0</v>
      </c>
      <c r="G4">
        <f t="array" ref="G4">SUMPRODUCT(IF('Exiobase A Matrix'!$C$4:$C$203='Cement and Glass Split'!$A4,IF('Exiobase A Matrix'!$D$3:$GU$3='Cement and Glass Split'!G$2,'Exiobase A Matrix'!$D$4:$GU$203)))</f>
        <v>0</v>
      </c>
      <c r="H4">
        <f t="array" ref="H4">SUMPRODUCT(IF('Exiobase A Matrix'!$C$4:$C$203='Cement and Glass Split'!$A4,IF('Exiobase A Matrix'!$D$3:$GU$3='Cement and Glass Split'!H$2,'Exiobase A Matrix'!$D$4:$GU$203)))</f>
        <v>0</v>
      </c>
      <c r="I4">
        <f t="array" ref="I4">SUMPRODUCT(IF('Exiobase A Matrix'!$C$4:$C$203='Cement and Glass Split'!$A4,IF('Exiobase A Matrix'!$D$3:$GU$3='Cement and Glass Split'!I$2,'Exiobase A Matrix'!$D$4:$GU$203)))</f>
        <v>0</v>
      </c>
      <c r="J4">
        <f t="array" ref="J4">SUMPRODUCT(IF('Exiobase A Matrix'!$C$4:$C$203='Cement and Glass Split'!$A4,IF('Exiobase A Matrix'!$D$3:$GU$3='Cement and Glass Split'!J$2,'Exiobase A Matrix'!$D$4:$GU$203)))</f>
        <v>0</v>
      </c>
      <c r="K4">
        <f t="array" ref="K4">SUMPRODUCT(IF('Exiobase A Matrix'!$C$4:$C$203='Cement and Glass Split'!$A4,IF('Exiobase A Matrix'!$D$3:$GU$3='Cement and Glass Split'!K$2,'Exiobase A Matrix'!$D$4:$GU$203)))</f>
        <v>0</v>
      </c>
      <c r="L4">
        <f t="array" ref="L4">SUMPRODUCT(IF('Exiobase A Matrix'!$C$4:$C$203='Cement and Glass Split'!$A4,IF('Exiobase A Matrix'!$D$3:$GU$3='Cement and Glass Split'!L$2,'Exiobase A Matrix'!$D$4:$GU$203)))</f>
        <v>0</v>
      </c>
      <c r="M4">
        <f t="array" ref="M4">SUMPRODUCT(IF('Exiobase A Matrix'!$C$4:$C$203='Cement and Glass Split'!$A4,IF('Exiobase A Matrix'!$D$3:$GU$3='Cement and Glass Split'!M$2,'Exiobase A Matrix'!$D$4:$GU$203)))</f>
        <v>0</v>
      </c>
      <c r="N4">
        <f t="array" ref="N4">SUMPRODUCT(IF('Exiobase A Matrix'!$C$4:$C$203='Cement and Glass Split'!$A4,IF('Exiobase A Matrix'!$D$3:$GU$3='Cement and Glass Split'!N$2,'Exiobase A Matrix'!$D$4:$GU$203)))</f>
        <v>0</v>
      </c>
      <c r="O4">
        <f t="array" ref="O4">SUMPRODUCT(IF('Exiobase A Matrix'!$C$4:$C$203='Cement and Glass Split'!$A4,IF('Exiobase A Matrix'!$D$3:$GU$3='Cement and Glass Split'!O$2,'Exiobase A Matrix'!$D$4:$GU$203)))</f>
        <v>0</v>
      </c>
      <c r="P4">
        <f t="array" ref="P4">SUMPRODUCT(IF('Exiobase A Matrix'!$C$4:$C$203='Cement and Glass Split'!$A4,IF('Exiobase A Matrix'!$D$3:$GU$3='Cement and Glass Split'!P$2,'Exiobase A Matrix'!$D$4:$GU$203)))</f>
        <v>0</v>
      </c>
      <c r="Q4">
        <f t="array" ref="Q4">SUMPRODUCT(IF('Exiobase A Matrix'!$C$4:$C$203='Cement and Glass Split'!$A4,IF('Exiobase A Matrix'!$D$3:$GU$3='Cement and Glass Split'!Q$2,'Exiobase A Matrix'!$D$4:$GU$203)))</f>
        <v>4.7719842044263057E-3</v>
      </c>
      <c r="R4">
        <f t="array" ref="R4">SUMPRODUCT(IF('Exiobase A Matrix'!$C$4:$C$203='Cement and Glass Split'!$A4,IF('Exiobase A Matrix'!$D$3:$GU$3='Cement and Glass Split'!R$2,'Exiobase A Matrix'!$D$4:$GU$203)))</f>
        <v>4.3586903182194685E-4</v>
      </c>
      <c r="S4">
        <f t="array" ref="S4">SUMPRODUCT(IF('Exiobase A Matrix'!$C$4:$C$203='Cement and Glass Split'!$A4,IF('Exiobase A Matrix'!$D$3:$GU$3='Cement and Glass Split'!S$2,'Exiobase A Matrix'!$D$4:$GU$203)))</f>
        <v>0</v>
      </c>
      <c r="T4">
        <f t="array" ref="T4">SUMPRODUCT(IF('Exiobase A Matrix'!$C$4:$C$203='Cement and Glass Split'!$A4,IF('Exiobase A Matrix'!$D$3:$GU$3='Cement and Glass Split'!T$2,'Exiobase A Matrix'!$D$4:$GU$203)))</f>
        <v>0</v>
      </c>
      <c r="U4">
        <f t="array" ref="U4">SUMPRODUCT(IF('Exiobase A Matrix'!$C$4:$C$203='Cement and Glass Split'!$A4,IF('Exiobase A Matrix'!$D$3:$GU$3='Cement and Glass Split'!U$2,'Exiobase A Matrix'!$D$4:$GU$203)))</f>
        <v>0</v>
      </c>
      <c r="V4">
        <f t="array" ref="V4">SUMPRODUCT(IF('Exiobase A Matrix'!$C$4:$C$203='Cement and Glass Split'!$A4,IF('Exiobase A Matrix'!$D$3:$GU$3='Cement and Glass Split'!V$2,'Exiobase A Matrix'!$D$4:$GU$203)))</f>
        <v>0</v>
      </c>
      <c r="W4">
        <f t="array" ref="W4">SUMPRODUCT(IF('Exiobase A Matrix'!$C$4:$C$203='Cement and Glass Split'!$A4,IF('Exiobase A Matrix'!$D$3:$GU$3='Cement and Glass Split'!W$2,'Exiobase A Matrix'!$D$4:$GU$203)))</f>
        <v>0</v>
      </c>
      <c r="X4">
        <f t="array" ref="X4">SUMPRODUCT(IF('Exiobase A Matrix'!$C$4:$C$203='Cement and Glass Split'!$A4,IF('Exiobase A Matrix'!$D$3:$GU$3='Cement and Glass Split'!X$2,'Exiobase A Matrix'!$D$4:$GU$203)))</f>
        <v>0</v>
      </c>
      <c r="Y4">
        <f t="array" ref="Y4">SUMPRODUCT(IF('Exiobase A Matrix'!$C$4:$C$203='Cement and Glass Split'!$A4,IF('Exiobase A Matrix'!$D$3:$GU$3='Cement and Glass Split'!Y$2,'Exiobase A Matrix'!$D$4:$GU$203)))</f>
        <v>0</v>
      </c>
      <c r="Z4">
        <f t="array" ref="Z4">SUMPRODUCT(IF('Exiobase A Matrix'!$C$4:$C$203='Cement and Glass Split'!$A4,IF('Exiobase A Matrix'!$D$3:$GU$3='Cement and Glass Split'!Z$2,'Exiobase A Matrix'!$D$4:$GU$203)))</f>
        <v>1.2595704226646255E-2</v>
      </c>
      <c r="AA4">
        <f t="array" ref="AA4">SUMPRODUCT(IF('Exiobase A Matrix'!$C$4:$C$203='Cement and Glass Split'!$A4,IF('Exiobase A Matrix'!$D$3:$GU$3='Cement and Glass Split'!AA$2,'Exiobase A Matrix'!$D$4:$GU$203)))</f>
        <v>0</v>
      </c>
      <c r="AB4">
        <f t="array" ref="AB4">SUMPRODUCT(IF('Exiobase A Matrix'!$C$4:$C$203='Cement and Glass Split'!$A4,IF('Exiobase A Matrix'!$D$3:$GU$3='Cement and Glass Split'!AB$2,'Exiobase A Matrix'!$D$4:$GU$203)))</f>
        <v>1.1258944981226584E-2</v>
      </c>
      <c r="AC4">
        <f t="array" ref="AC4">SUMPRODUCT(IF('Exiobase A Matrix'!$C$4:$C$203='Cement and Glass Split'!$A4,IF('Exiobase A Matrix'!$D$3:$GU$3='Cement and Glass Split'!AC$2,'Exiobase A Matrix'!$D$4:$GU$203)))</f>
        <v>0</v>
      </c>
      <c r="AD4">
        <f t="array" ref="AD4">SUMPRODUCT(IF('Exiobase A Matrix'!$C$4:$C$203='Cement and Glass Split'!$A4,IF('Exiobase A Matrix'!$D$3:$GU$3='Cement and Glass Split'!AD$2,'Exiobase A Matrix'!$D$4:$GU$203)))</f>
        <v>0</v>
      </c>
      <c r="AE4">
        <f t="array" ref="AE4">SUMPRODUCT(IF('Exiobase A Matrix'!$C$4:$C$203='Cement and Glass Split'!$A4,IF('Exiobase A Matrix'!$D$3:$GU$3='Cement and Glass Split'!AE$2,'Exiobase A Matrix'!$D$4:$GU$203)))</f>
        <v>0</v>
      </c>
      <c r="AF4">
        <f t="array" ref="AF4">SUMPRODUCT(IF('Exiobase A Matrix'!$C$4:$C$203='Cement and Glass Split'!$A4,IF('Exiobase A Matrix'!$D$3:$GU$3='Cement and Glass Split'!AF$2,'Exiobase A Matrix'!$D$4:$GU$203)))</f>
        <v>0</v>
      </c>
      <c r="AG4">
        <f t="array" ref="AG4">SUMPRODUCT(IF('Exiobase A Matrix'!$C$4:$C$203='Cement and Glass Split'!$A4,IF('Exiobase A Matrix'!$D$3:$GU$3='Cement and Glass Split'!AG$2,'Exiobase A Matrix'!$D$4:$GU$203)))</f>
        <v>0</v>
      </c>
      <c r="AH4">
        <f t="array" ref="AH4">SUMPRODUCT(IF('Exiobase A Matrix'!$C$4:$C$203='Cement and Glass Split'!$A4,IF('Exiobase A Matrix'!$D$3:$GU$3='Cement and Glass Split'!AH$2,'Exiobase A Matrix'!$D$4:$GU$203)))</f>
        <v>0</v>
      </c>
      <c r="AI4">
        <f t="array" ref="AI4">SUMPRODUCT(IF('Exiobase A Matrix'!$C$4:$C$203='Cement and Glass Split'!$A4,IF('Exiobase A Matrix'!$D$3:$GU$3='Cement and Glass Split'!AI$2,'Exiobase A Matrix'!$D$4:$GU$203)))</f>
        <v>0</v>
      </c>
      <c r="AJ4">
        <f t="array" ref="AJ4">SUMPRODUCT(IF('Exiobase A Matrix'!$C$4:$C$203='Cement and Glass Split'!$A4,IF('Exiobase A Matrix'!$D$3:$GU$3='Cement and Glass Split'!AJ$2,'Exiobase A Matrix'!$D$4:$GU$203)))</f>
        <v>0</v>
      </c>
      <c r="AK4">
        <f t="array" ref="AK4">SUMPRODUCT(IF('Exiobase A Matrix'!$C$4:$C$203='Cement and Glass Split'!$A4,IF('Exiobase A Matrix'!$D$3:$GU$3='Cement and Glass Split'!AK$2,'Exiobase A Matrix'!$D$4:$GU$203)))</f>
        <v>0</v>
      </c>
      <c r="AL4">
        <f t="array" ref="AL4">SUMPRODUCT(IF('Exiobase A Matrix'!$C$4:$C$203='Cement and Glass Split'!$A4,IF('Exiobase A Matrix'!$D$3:$GU$3='Cement and Glass Split'!AL$2,'Exiobase A Matrix'!$D$4:$GU$203)))</f>
        <v>0</v>
      </c>
      <c r="AM4">
        <f t="array" ref="AM4">SUMPRODUCT(IF('Exiobase A Matrix'!$C$4:$C$203='Cement and Glass Split'!$A4,IF('Exiobase A Matrix'!$D$3:$GU$3='Cement and Glass Split'!AM$2,'Exiobase A Matrix'!$D$4:$GU$203)))</f>
        <v>0</v>
      </c>
      <c r="AN4">
        <f t="array" ref="AN4">SUMPRODUCT(IF('Exiobase A Matrix'!$C$4:$C$203='Cement and Glass Split'!$A4,IF('Exiobase A Matrix'!$D$3:$GU$3='Cement and Glass Split'!AN$2,'Exiobase A Matrix'!$D$4:$GU$203)))</f>
        <v>0</v>
      </c>
      <c r="AO4">
        <f t="array" ref="AO4">SUMPRODUCT(IF('Exiobase A Matrix'!$C$4:$C$203='Cement and Glass Split'!$A4,IF('Exiobase A Matrix'!$D$3:$GU$3='Cement and Glass Split'!AO$2,'Exiobase A Matrix'!$D$4:$GU$203)))</f>
        <v>0</v>
      </c>
      <c r="AP4">
        <f t="array" ref="AP4">SUMPRODUCT(IF('Exiobase A Matrix'!$C$4:$C$203='Cement and Glass Split'!$A4,IF('Exiobase A Matrix'!$D$3:$GU$3='Cement and Glass Split'!AP$2,'Exiobase A Matrix'!$D$4:$GU$203)))</f>
        <v>0</v>
      </c>
      <c r="AQ4">
        <f t="array" ref="AQ4">SUMPRODUCT(IF('Exiobase A Matrix'!$C$4:$C$203='Cement and Glass Split'!$A4,IF('Exiobase A Matrix'!$D$3:$GU$3='Cement and Glass Split'!AQ$2,'Exiobase A Matrix'!$D$4:$GU$203)))</f>
        <v>0</v>
      </c>
    </row>
    <row r="5" spans="1:43">
      <c r="A5" t="s">
        <v>119</v>
      </c>
      <c r="B5">
        <f t="array" ref="B5">SUMPRODUCT(IF('Exiobase A Matrix'!$C$4:$C$203='Cement and Glass Split'!$A5,IF('Exiobase A Matrix'!$D$3:$GU$3='Cement and Glass Split'!B$2,'Exiobase A Matrix'!$D$4:$GU$203)))</f>
        <v>4.3922460813146451E-4</v>
      </c>
      <c r="C5">
        <f t="array" ref="C5">SUMPRODUCT(IF('Exiobase A Matrix'!$C$4:$C$203='Cement and Glass Split'!$A5,IF('Exiobase A Matrix'!$D$3:$GU$3='Cement and Glass Split'!C$2,'Exiobase A Matrix'!$D$4:$GU$203)))</f>
        <v>2.6613566894688281E-8</v>
      </c>
      <c r="D5">
        <f t="array" ref="D5">SUMPRODUCT(IF('Exiobase A Matrix'!$C$4:$C$203='Cement and Glass Split'!$A5,IF('Exiobase A Matrix'!$D$3:$GU$3='Cement and Glass Split'!D$2,'Exiobase A Matrix'!$D$4:$GU$203)))</f>
        <v>1.1161835951669639E-7</v>
      </c>
      <c r="E5">
        <f t="array" ref="E5">SUMPRODUCT(IF('Exiobase A Matrix'!$C$4:$C$203='Cement and Glass Split'!$A5,IF('Exiobase A Matrix'!$D$3:$GU$3='Cement and Glass Split'!E$2,'Exiobase A Matrix'!$D$4:$GU$203)))</f>
        <v>8.4979220634763884E-7</v>
      </c>
      <c r="F5">
        <f t="array" ref="F5">SUMPRODUCT(IF('Exiobase A Matrix'!$C$4:$C$203='Cement and Glass Split'!$A5,IF('Exiobase A Matrix'!$D$3:$GU$3='Cement and Glass Split'!F$2,'Exiobase A Matrix'!$D$4:$GU$203)))</f>
        <v>0</v>
      </c>
      <c r="G5">
        <f t="array" ref="G5">SUMPRODUCT(IF('Exiobase A Matrix'!$C$4:$C$203='Cement and Glass Split'!$A5,IF('Exiobase A Matrix'!$D$3:$GU$3='Cement and Glass Split'!G$2,'Exiobase A Matrix'!$D$4:$GU$203)))</f>
        <v>1.7123177819306686E-7</v>
      </c>
      <c r="H5">
        <f t="array" ref="H5">SUMPRODUCT(IF('Exiobase A Matrix'!$C$4:$C$203='Cement and Glass Split'!$A5,IF('Exiobase A Matrix'!$D$3:$GU$3='Cement and Glass Split'!H$2,'Exiobase A Matrix'!$D$4:$GU$203)))</f>
        <v>8.005217268278176E-3</v>
      </c>
      <c r="I5">
        <f t="array" ref="I5">SUMPRODUCT(IF('Exiobase A Matrix'!$C$4:$C$203='Cement and Glass Split'!$A5,IF('Exiobase A Matrix'!$D$3:$GU$3='Cement and Glass Split'!I$2,'Exiobase A Matrix'!$D$4:$GU$203)))</f>
        <v>4.5377512503767693E-3</v>
      </c>
      <c r="J5">
        <f t="array" ref="J5">SUMPRODUCT(IF('Exiobase A Matrix'!$C$4:$C$203='Cement and Glass Split'!$A5,IF('Exiobase A Matrix'!$D$3:$GU$3='Cement and Glass Split'!J$2,'Exiobase A Matrix'!$D$4:$GU$203)))</f>
        <v>1.4342852376552026E-8</v>
      </c>
      <c r="K5">
        <f t="array" ref="K5">SUMPRODUCT(IF('Exiobase A Matrix'!$C$4:$C$203='Cement and Glass Split'!$A5,IF('Exiobase A Matrix'!$D$3:$GU$3='Cement and Glass Split'!K$2,'Exiobase A Matrix'!$D$4:$GU$203)))</f>
        <v>4.3384643927262343E-8</v>
      </c>
      <c r="L5">
        <f t="array" ref="L5">SUMPRODUCT(IF('Exiobase A Matrix'!$C$4:$C$203='Cement and Glass Split'!$A5,IF('Exiobase A Matrix'!$D$3:$GU$3='Cement and Glass Split'!L$2,'Exiobase A Matrix'!$D$4:$GU$203)))</f>
        <v>6.9927075465579559E-7</v>
      </c>
      <c r="M5">
        <f t="array" ref="M5">SUMPRODUCT(IF('Exiobase A Matrix'!$C$4:$C$203='Cement and Glass Split'!$A5,IF('Exiobase A Matrix'!$D$3:$GU$3='Cement and Glass Split'!M$2,'Exiobase A Matrix'!$D$4:$GU$203)))</f>
        <v>0</v>
      </c>
      <c r="N5">
        <f t="array" ref="N5">SUMPRODUCT(IF('Exiobase A Matrix'!$C$4:$C$203='Cement and Glass Split'!$A5,IF('Exiobase A Matrix'!$D$3:$GU$3='Cement and Glass Split'!N$2,'Exiobase A Matrix'!$D$4:$GU$203)))</f>
        <v>2.1365065180730553E-10</v>
      </c>
      <c r="O5">
        <f t="array" ref="O5">SUMPRODUCT(IF('Exiobase A Matrix'!$C$4:$C$203='Cement and Glass Split'!$A5,IF('Exiobase A Matrix'!$D$3:$GU$3='Cement and Glass Split'!O$2,'Exiobase A Matrix'!$D$4:$GU$203)))</f>
        <v>9.5935086971940994E-10</v>
      </c>
      <c r="P5">
        <f t="array" ref="P5">SUMPRODUCT(IF('Exiobase A Matrix'!$C$4:$C$203='Cement and Glass Split'!$A5,IF('Exiobase A Matrix'!$D$3:$GU$3='Cement and Glass Split'!P$2,'Exiobase A Matrix'!$D$4:$GU$203)))</f>
        <v>8.0872642456330488E-8</v>
      </c>
      <c r="Q5">
        <f t="array" ref="Q5">SUMPRODUCT(IF('Exiobase A Matrix'!$C$4:$C$203='Cement and Glass Split'!$A5,IF('Exiobase A Matrix'!$D$3:$GU$3='Cement and Glass Split'!Q$2,'Exiobase A Matrix'!$D$4:$GU$203)))</f>
        <v>8.5068729338248079E-11</v>
      </c>
      <c r="R5">
        <f t="array" ref="R5">SUMPRODUCT(IF('Exiobase A Matrix'!$C$4:$C$203='Cement and Glass Split'!$A5,IF('Exiobase A Matrix'!$D$3:$GU$3='Cement and Glass Split'!R$2,'Exiobase A Matrix'!$D$4:$GU$203)))</f>
        <v>1.635027164787302E-8</v>
      </c>
      <c r="S5">
        <f t="array" ref="S5">SUMPRODUCT(IF('Exiobase A Matrix'!$C$4:$C$203='Cement and Glass Split'!$A5,IF('Exiobase A Matrix'!$D$3:$GU$3='Cement and Glass Split'!S$2,'Exiobase A Matrix'!$D$4:$GU$203)))</f>
        <v>1.6427870762426748E-10</v>
      </c>
      <c r="T5">
        <f t="array" ref="T5">SUMPRODUCT(IF('Exiobase A Matrix'!$C$4:$C$203='Cement and Glass Split'!$A5,IF('Exiobase A Matrix'!$D$3:$GU$3='Cement and Glass Split'!T$2,'Exiobase A Matrix'!$D$4:$GU$203)))</f>
        <v>1.0951544517869985E-9</v>
      </c>
      <c r="U5">
        <f t="array" ref="U5">SUMPRODUCT(IF('Exiobase A Matrix'!$C$4:$C$203='Cement and Glass Split'!$A5,IF('Exiobase A Matrix'!$D$3:$GU$3='Cement and Glass Split'!U$2,'Exiobase A Matrix'!$D$4:$GU$203)))</f>
        <v>1.3778404509331315E-10</v>
      </c>
      <c r="V5">
        <f t="array" ref="V5">SUMPRODUCT(IF('Exiobase A Matrix'!$C$4:$C$203='Cement and Glass Split'!$A5,IF('Exiobase A Matrix'!$D$3:$GU$3='Cement and Glass Split'!V$2,'Exiobase A Matrix'!$D$4:$GU$203)))</f>
        <v>9.6266701862578653E-11</v>
      </c>
      <c r="W5">
        <f t="array" ref="W5">SUMPRODUCT(IF('Exiobase A Matrix'!$C$4:$C$203='Cement and Glass Split'!$A5,IF('Exiobase A Matrix'!$D$3:$GU$3='Cement and Glass Split'!W$2,'Exiobase A Matrix'!$D$4:$GU$203)))</f>
        <v>6.7141757122426492E-11</v>
      </c>
      <c r="X5">
        <f t="array" ref="X5">SUMPRODUCT(IF('Exiobase A Matrix'!$C$4:$C$203='Cement and Glass Split'!$A5,IF('Exiobase A Matrix'!$D$3:$GU$3='Cement and Glass Split'!X$2,'Exiobase A Matrix'!$D$4:$GU$203)))</f>
        <v>2.7375389357944064E-10</v>
      </c>
      <c r="Y5">
        <f t="array" ref="Y5">SUMPRODUCT(IF('Exiobase A Matrix'!$C$4:$C$203='Cement and Glass Split'!$A5,IF('Exiobase A Matrix'!$D$3:$GU$3='Cement and Glass Split'!Y$2,'Exiobase A Matrix'!$D$4:$GU$203)))</f>
        <v>4.3972612618925593E-3</v>
      </c>
      <c r="Z5">
        <f t="array" ref="Z5">SUMPRODUCT(IF('Exiobase A Matrix'!$C$4:$C$203='Cement and Glass Split'!$A5,IF('Exiobase A Matrix'!$D$3:$GU$3='Cement and Glass Split'!Z$2,'Exiobase A Matrix'!$D$4:$GU$203)))</f>
        <v>9.1937969055780593E-3</v>
      </c>
      <c r="AA5">
        <f t="array" ref="AA5">SUMPRODUCT(IF('Exiobase A Matrix'!$C$4:$C$203='Cement and Glass Split'!$A5,IF('Exiobase A Matrix'!$D$3:$GU$3='Cement and Glass Split'!AA$2,'Exiobase A Matrix'!$D$4:$GU$203)))</f>
        <v>9.048798741469652E-9</v>
      </c>
      <c r="AB5">
        <f t="array" ref="AB5">SUMPRODUCT(IF('Exiobase A Matrix'!$C$4:$C$203='Cement and Glass Split'!$A5,IF('Exiobase A Matrix'!$D$3:$GU$3='Cement and Glass Split'!AB$2,'Exiobase A Matrix'!$D$4:$GU$203)))</f>
        <v>1.7273312938752467E-7</v>
      </c>
      <c r="AC5">
        <f t="array" ref="AC5">SUMPRODUCT(IF('Exiobase A Matrix'!$C$4:$C$203='Cement and Glass Split'!$A5,IF('Exiobase A Matrix'!$D$3:$GU$3='Cement and Glass Split'!AC$2,'Exiobase A Matrix'!$D$4:$GU$203)))</f>
        <v>8.1639825964409279E-11</v>
      </c>
      <c r="AD5">
        <f t="array" ref="AD5">SUMPRODUCT(IF('Exiobase A Matrix'!$C$4:$C$203='Cement and Glass Split'!$A5,IF('Exiobase A Matrix'!$D$3:$GU$3='Cement and Glass Split'!AD$2,'Exiobase A Matrix'!$D$4:$GU$203)))</f>
        <v>1.0911271558223111E-8</v>
      </c>
      <c r="AE5">
        <f t="array" ref="AE5">SUMPRODUCT(IF('Exiobase A Matrix'!$C$4:$C$203='Cement and Glass Split'!$A5,IF('Exiobase A Matrix'!$D$3:$GU$3='Cement and Glass Split'!AE$2,'Exiobase A Matrix'!$D$4:$GU$203)))</f>
        <v>1.4775567516515401E-8</v>
      </c>
      <c r="AF5">
        <f t="array" ref="AF5">SUMPRODUCT(IF('Exiobase A Matrix'!$C$4:$C$203='Cement and Glass Split'!$A5,IF('Exiobase A Matrix'!$D$3:$GU$3='Cement and Glass Split'!AF$2,'Exiobase A Matrix'!$D$4:$GU$203)))</f>
        <v>9.9576185132842927E-11</v>
      </c>
      <c r="AG5">
        <f t="array" ref="AG5">SUMPRODUCT(IF('Exiobase A Matrix'!$C$4:$C$203='Cement and Glass Split'!$A5,IF('Exiobase A Matrix'!$D$3:$GU$3='Cement and Glass Split'!AG$2,'Exiobase A Matrix'!$D$4:$GU$203)))</f>
        <v>0</v>
      </c>
      <c r="AH5">
        <f t="array" ref="AH5">SUMPRODUCT(IF('Exiobase A Matrix'!$C$4:$C$203='Cement and Glass Split'!$A5,IF('Exiobase A Matrix'!$D$3:$GU$3='Cement and Glass Split'!AH$2,'Exiobase A Matrix'!$D$4:$GU$203)))</f>
        <v>6.2903046845094473E-11</v>
      </c>
      <c r="AI5">
        <f t="array" ref="AI5">SUMPRODUCT(IF('Exiobase A Matrix'!$C$4:$C$203='Cement and Glass Split'!$A5,IF('Exiobase A Matrix'!$D$3:$GU$3='Cement and Glass Split'!AI$2,'Exiobase A Matrix'!$D$4:$GU$203)))</f>
        <v>5.2710008164034342E-10</v>
      </c>
      <c r="AJ5">
        <f t="array" ref="AJ5">SUMPRODUCT(IF('Exiobase A Matrix'!$C$4:$C$203='Cement and Glass Split'!$A5,IF('Exiobase A Matrix'!$D$3:$GU$3='Cement and Glass Split'!AJ$2,'Exiobase A Matrix'!$D$4:$GU$203)))</f>
        <v>9.5953620314865225E-10</v>
      </c>
      <c r="AK5">
        <f t="array" ref="AK5">SUMPRODUCT(IF('Exiobase A Matrix'!$C$4:$C$203='Cement and Glass Split'!$A5,IF('Exiobase A Matrix'!$D$3:$GU$3='Cement and Glass Split'!AK$2,'Exiobase A Matrix'!$D$4:$GU$203)))</f>
        <v>8.6043061404749617E-11</v>
      </c>
      <c r="AL5">
        <f t="array" ref="AL5">SUMPRODUCT(IF('Exiobase A Matrix'!$C$4:$C$203='Cement and Glass Split'!$A5,IF('Exiobase A Matrix'!$D$3:$GU$3='Cement and Glass Split'!AL$2,'Exiobase A Matrix'!$D$4:$GU$203)))</f>
        <v>1.726875229553922E-9</v>
      </c>
      <c r="AM5">
        <f t="array" ref="AM5">SUMPRODUCT(IF('Exiobase A Matrix'!$C$4:$C$203='Cement and Glass Split'!$A5,IF('Exiobase A Matrix'!$D$3:$GU$3='Cement and Glass Split'!AM$2,'Exiobase A Matrix'!$D$4:$GU$203)))</f>
        <v>1.1759686158023538E-10</v>
      </c>
      <c r="AN5">
        <f t="array" ref="AN5">SUMPRODUCT(IF('Exiobase A Matrix'!$C$4:$C$203='Cement and Glass Split'!$A5,IF('Exiobase A Matrix'!$D$3:$GU$3='Cement and Glass Split'!AN$2,'Exiobase A Matrix'!$D$4:$GU$203)))</f>
        <v>1.4686127029141973E-10</v>
      </c>
      <c r="AO5">
        <f t="array" ref="AO5">SUMPRODUCT(IF('Exiobase A Matrix'!$C$4:$C$203='Cement and Glass Split'!$A5,IF('Exiobase A Matrix'!$D$3:$GU$3='Cement and Glass Split'!AO$2,'Exiobase A Matrix'!$D$4:$GU$203)))</f>
        <v>1.6834745327244213E-10</v>
      </c>
      <c r="AP5">
        <f t="array" ref="AP5">SUMPRODUCT(IF('Exiobase A Matrix'!$C$4:$C$203='Cement and Glass Split'!$A5,IF('Exiobase A Matrix'!$D$3:$GU$3='Cement and Glass Split'!AP$2,'Exiobase A Matrix'!$D$4:$GU$203)))</f>
        <v>1.4958494768276795E-9</v>
      </c>
      <c r="AQ5">
        <f t="array" ref="AQ5">SUMPRODUCT(IF('Exiobase A Matrix'!$C$4:$C$203='Cement and Glass Split'!$A5,IF('Exiobase A Matrix'!$D$3:$GU$3='Cement and Glass Split'!AQ$2,'Exiobase A Matrix'!$D$4:$GU$203)))</f>
        <v>4.4036202446297472E-9</v>
      </c>
    </row>
    <row r="6" spans="1:43">
      <c r="A6" t="s">
        <v>5</v>
      </c>
      <c r="B6">
        <f t="array" ref="B6">SUMPRODUCT(IF('Exiobase A Matrix'!$C$4:$C$203='Cement and Glass Split'!$A6,IF('Exiobase A Matrix'!$D$3:$GU$3='Cement and Glass Split'!B$2,'Exiobase A Matrix'!$D$4:$GU$203)))</f>
        <v>1.1069343515112491E-3</v>
      </c>
      <c r="C6">
        <f t="array" ref="C6">SUMPRODUCT(IF('Exiobase A Matrix'!$C$4:$C$203='Cement and Glass Split'!$A6,IF('Exiobase A Matrix'!$D$3:$GU$3='Cement and Glass Split'!C$2,'Exiobase A Matrix'!$D$4:$GU$203)))</f>
        <v>0</v>
      </c>
      <c r="D6">
        <f t="array" ref="D6">SUMPRODUCT(IF('Exiobase A Matrix'!$C$4:$C$203='Cement and Glass Split'!$A6,IF('Exiobase A Matrix'!$D$3:$GU$3='Cement and Glass Split'!D$2,'Exiobase A Matrix'!$D$4:$GU$203)))</f>
        <v>0</v>
      </c>
      <c r="E6">
        <f t="array" ref="E6">SUMPRODUCT(IF('Exiobase A Matrix'!$C$4:$C$203='Cement and Glass Split'!$A6,IF('Exiobase A Matrix'!$D$3:$GU$3='Cement and Glass Split'!E$2,'Exiobase A Matrix'!$D$4:$GU$203)))</f>
        <v>0</v>
      </c>
      <c r="F6">
        <f t="array" ref="F6">SUMPRODUCT(IF('Exiobase A Matrix'!$C$4:$C$203='Cement and Glass Split'!$A6,IF('Exiobase A Matrix'!$D$3:$GU$3='Cement and Glass Split'!F$2,'Exiobase A Matrix'!$D$4:$GU$203)))</f>
        <v>0</v>
      </c>
      <c r="G6">
        <f t="array" ref="G6">SUMPRODUCT(IF('Exiobase A Matrix'!$C$4:$C$203='Cement and Glass Split'!$A6,IF('Exiobase A Matrix'!$D$3:$GU$3='Cement and Glass Split'!G$2,'Exiobase A Matrix'!$D$4:$GU$203)))</f>
        <v>1.157933377163251E-3</v>
      </c>
      <c r="H6">
        <f t="array" ref="H6">SUMPRODUCT(IF('Exiobase A Matrix'!$C$4:$C$203='Cement and Glass Split'!$A6,IF('Exiobase A Matrix'!$D$3:$GU$3='Cement and Glass Split'!H$2,'Exiobase A Matrix'!$D$4:$GU$203)))</f>
        <v>3.000259074407458E-4</v>
      </c>
      <c r="I6">
        <f t="array" ref="I6">SUMPRODUCT(IF('Exiobase A Matrix'!$C$4:$C$203='Cement and Glass Split'!$A6,IF('Exiobase A Matrix'!$D$3:$GU$3='Cement and Glass Split'!I$2,'Exiobase A Matrix'!$D$4:$GU$203)))</f>
        <v>0</v>
      </c>
      <c r="J6">
        <f t="array" ref="J6">SUMPRODUCT(IF('Exiobase A Matrix'!$C$4:$C$203='Cement and Glass Split'!$A6,IF('Exiobase A Matrix'!$D$3:$GU$3='Cement and Glass Split'!J$2,'Exiobase A Matrix'!$D$4:$GU$203)))</f>
        <v>2.4228509931804886E-3</v>
      </c>
      <c r="K6">
        <f t="array" ref="K6">SUMPRODUCT(IF('Exiobase A Matrix'!$C$4:$C$203='Cement and Glass Split'!$A6,IF('Exiobase A Matrix'!$D$3:$GU$3='Cement and Glass Split'!K$2,'Exiobase A Matrix'!$D$4:$GU$203)))</f>
        <v>1.0021983990165528E-2</v>
      </c>
      <c r="L6">
        <f t="array" ref="L6">SUMPRODUCT(IF('Exiobase A Matrix'!$C$4:$C$203='Cement and Glass Split'!$A6,IF('Exiobase A Matrix'!$D$3:$GU$3='Cement and Glass Split'!L$2,'Exiobase A Matrix'!$D$4:$GU$203)))</f>
        <v>4.7262963043357094E-2</v>
      </c>
      <c r="M6">
        <f t="array" ref="M6">SUMPRODUCT(IF('Exiobase A Matrix'!$C$4:$C$203='Cement and Glass Split'!$A6,IF('Exiobase A Matrix'!$D$3:$GU$3='Cement and Glass Split'!M$2,'Exiobase A Matrix'!$D$4:$GU$203)))</f>
        <v>0</v>
      </c>
      <c r="N6">
        <f t="array" ref="N6">SUMPRODUCT(IF('Exiobase A Matrix'!$C$4:$C$203='Cement and Glass Split'!$A6,IF('Exiobase A Matrix'!$D$3:$GU$3='Cement and Glass Split'!N$2,'Exiobase A Matrix'!$D$4:$GU$203)))</f>
        <v>7.9258771948507149E-7</v>
      </c>
      <c r="O6">
        <f t="array" ref="O6">SUMPRODUCT(IF('Exiobase A Matrix'!$C$4:$C$203='Cement and Glass Split'!$A6,IF('Exiobase A Matrix'!$D$3:$GU$3='Cement and Glass Split'!O$2,'Exiobase A Matrix'!$D$4:$GU$203)))</f>
        <v>1.2140455530136903E-2</v>
      </c>
      <c r="P6">
        <f t="array" ref="P6">SUMPRODUCT(IF('Exiobase A Matrix'!$C$4:$C$203='Cement and Glass Split'!$A6,IF('Exiobase A Matrix'!$D$3:$GU$3='Cement and Glass Split'!P$2,'Exiobase A Matrix'!$D$4:$GU$203)))</f>
        <v>1.0033965446552973</v>
      </c>
      <c r="Q6">
        <f t="array" ref="Q6">SUMPRODUCT(IF('Exiobase A Matrix'!$C$4:$C$203='Cement and Glass Split'!$A6,IF('Exiobase A Matrix'!$D$3:$GU$3='Cement and Glass Split'!Q$2,'Exiobase A Matrix'!$D$4:$GU$203)))</f>
        <v>5.1433191399411554E-3</v>
      </c>
      <c r="R6">
        <f t="array" ref="R6">SUMPRODUCT(IF('Exiobase A Matrix'!$C$4:$C$203='Cement and Glass Split'!$A6,IF('Exiobase A Matrix'!$D$3:$GU$3='Cement and Glass Split'!R$2,'Exiobase A Matrix'!$D$4:$GU$203)))</f>
        <v>0.18180238482980282</v>
      </c>
      <c r="S6">
        <f t="array" ref="S6">SUMPRODUCT(IF('Exiobase A Matrix'!$C$4:$C$203='Cement and Glass Split'!$A6,IF('Exiobase A Matrix'!$D$3:$GU$3='Cement and Glass Split'!S$2,'Exiobase A Matrix'!$D$4:$GU$203)))</f>
        <v>2.6071955073288591E-4</v>
      </c>
      <c r="T6">
        <f t="array" ref="T6">SUMPRODUCT(IF('Exiobase A Matrix'!$C$4:$C$203='Cement and Glass Split'!$A6,IF('Exiobase A Matrix'!$D$3:$GU$3='Cement and Glass Split'!T$2,'Exiobase A Matrix'!$D$4:$GU$203)))</f>
        <v>1.7528191149723254E-4</v>
      </c>
      <c r="U6">
        <f t="array" ref="U6">SUMPRODUCT(IF('Exiobase A Matrix'!$C$4:$C$203='Cement and Glass Split'!$A6,IF('Exiobase A Matrix'!$D$3:$GU$3='Cement and Glass Split'!U$2,'Exiobase A Matrix'!$D$4:$GU$203)))</f>
        <v>9.5304715639624739E-7</v>
      </c>
      <c r="V6">
        <f t="array" ref="V6">SUMPRODUCT(IF('Exiobase A Matrix'!$C$4:$C$203='Cement and Glass Split'!$A6,IF('Exiobase A Matrix'!$D$3:$GU$3='Cement and Glass Split'!V$2,'Exiobase A Matrix'!$D$4:$GU$203)))</f>
        <v>1.4623330506924279E-5</v>
      </c>
      <c r="W6">
        <f t="array" ref="W6">SUMPRODUCT(IF('Exiobase A Matrix'!$C$4:$C$203='Cement and Glass Split'!$A6,IF('Exiobase A Matrix'!$D$3:$GU$3='Cement and Glass Split'!W$2,'Exiobase A Matrix'!$D$4:$GU$203)))</f>
        <v>8.65348821037522E-6</v>
      </c>
      <c r="X6">
        <f t="array" ref="X6">SUMPRODUCT(IF('Exiobase A Matrix'!$C$4:$C$203='Cement and Glass Split'!$A6,IF('Exiobase A Matrix'!$D$3:$GU$3='Cement and Glass Split'!X$2,'Exiobase A Matrix'!$D$4:$GU$203)))</f>
        <v>3.0226306283587034E-6</v>
      </c>
      <c r="Y6">
        <f t="array" ref="Y6">SUMPRODUCT(IF('Exiobase A Matrix'!$C$4:$C$203='Cement and Glass Split'!$A6,IF('Exiobase A Matrix'!$D$3:$GU$3='Cement and Glass Split'!Y$2,'Exiobase A Matrix'!$D$4:$GU$203)))</f>
        <v>5.870828283242381E-6</v>
      </c>
      <c r="Z6">
        <f t="array" ref="Z6">SUMPRODUCT(IF('Exiobase A Matrix'!$C$4:$C$203='Cement and Glass Split'!$A6,IF('Exiobase A Matrix'!$D$3:$GU$3='Cement and Glass Split'!Z$2,'Exiobase A Matrix'!$D$4:$GU$203)))</f>
        <v>3.0656159181144702E-4</v>
      </c>
      <c r="AA6">
        <f t="array" ref="AA6">SUMPRODUCT(IF('Exiobase A Matrix'!$C$4:$C$203='Cement and Glass Split'!$A6,IF('Exiobase A Matrix'!$D$3:$GU$3='Cement and Glass Split'!AA$2,'Exiobase A Matrix'!$D$4:$GU$203)))</f>
        <v>7.3312315162312228E-6</v>
      </c>
      <c r="AB6">
        <f t="array" ref="AB6">SUMPRODUCT(IF('Exiobase A Matrix'!$C$4:$C$203='Cement and Glass Split'!$A6,IF('Exiobase A Matrix'!$D$3:$GU$3='Cement and Glass Split'!AB$2,'Exiobase A Matrix'!$D$4:$GU$203)))</f>
        <v>1.6566492306299636E-4</v>
      </c>
      <c r="AC6">
        <f t="array" ref="AC6">SUMPRODUCT(IF('Exiobase A Matrix'!$C$4:$C$203='Cement and Glass Split'!$A6,IF('Exiobase A Matrix'!$D$3:$GU$3='Cement and Glass Split'!AC$2,'Exiobase A Matrix'!$D$4:$GU$203)))</f>
        <v>3.3543033778228874E-3</v>
      </c>
      <c r="AD6">
        <f t="array" ref="AD6">SUMPRODUCT(IF('Exiobase A Matrix'!$C$4:$C$203='Cement and Glass Split'!$A6,IF('Exiobase A Matrix'!$D$3:$GU$3='Cement and Glass Split'!AD$2,'Exiobase A Matrix'!$D$4:$GU$203)))</f>
        <v>0</v>
      </c>
      <c r="AE6">
        <f t="array" ref="AE6">SUMPRODUCT(IF('Exiobase A Matrix'!$C$4:$C$203='Cement and Glass Split'!$A6,IF('Exiobase A Matrix'!$D$3:$GU$3='Cement and Glass Split'!AE$2,'Exiobase A Matrix'!$D$4:$GU$203)))</f>
        <v>0</v>
      </c>
      <c r="AF6">
        <f t="array" ref="AF6">SUMPRODUCT(IF('Exiobase A Matrix'!$C$4:$C$203='Cement and Glass Split'!$A6,IF('Exiobase A Matrix'!$D$3:$GU$3='Cement and Glass Split'!AF$2,'Exiobase A Matrix'!$D$4:$GU$203)))</f>
        <v>1.6358073412114292E-4</v>
      </c>
      <c r="AG6">
        <f t="array" ref="AG6">SUMPRODUCT(IF('Exiobase A Matrix'!$C$4:$C$203='Cement and Glass Split'!$A6,IF('Exiobase A Matrix'!$D$3:$GU$3='Cement and Glass Split'!AG$2,'Exiobase A Matrix'!$D$4:$GU$203)))</f>
        <v>0</v>
      </c>
      <c r="AH6">
        <f t="array" ref="AH6">SUMPRODUCT(IF('Exiobase A Matrix'!$C$4:$C$203='Cement and Glass Split'!$A6,IF('Exiobase A Matrix'!$D$3:$GU$3='Cement and Glass Split'!AH$2,'Exiobase A Matrix'!$D$4:$GU$203)))</f>
        <v>0</v>
      </c>
      <c r="AI6">
        <f t="array" ref="AI6">SUMPRODUCT(IF('Exiobase A Matrix'!$C$4:$C$203='Cement and Glass Split'!$A6,IF('Exiobase A Matrix'!$D$3:$GU$3='Cement and Glass Split'!AI$2,'Exiobase A Matrix'!$D$4:$GU$203)))</f>
        <v>2.9773852764496487E-6</v>
      </c>
      <c r="AJ6">
        <f t="array" ref="AJ6">SUMPRODUCT(IF('Exiobase A Matrix'!$C$4:$C$203='Cement and Glass Split'!$A6,IF('Exiobase A Matrix'!$D$3:$GU$3='Cement and Glass Split'!AJ$2,'Exiobase A Matrix'!$D$4:$GU$203)))</f>
        <v>0</v>
      </c>
      <c r="AK6">
        <f t="array" ref="AK6">SUMPRODUCT(IF('Exiobase A Matrix'!$C$4:$C$203='Cement and Glass Split'!$A6,IF('Exiobase A Matrix'!$D$3:$GU$3='Cement and Glass Split'!AK$2,'Exiobase A Matrix'!$D$4:$GU$203)))</f>
        <v>7.5144446980696529E-7</v>
      </c>
      <c r="AL6">
        <f t="array" ref="AL6">SUMPRODUCT(IF('Exiobase A Matrix'!$C$4:$C$203='Cement and Glass Split'!$A6,IF('Exiobase A Matrix'!$D$3:$GU$3='Cement and Glass Split'!AL$2,'Exiobase A Matrix'!$D$4:$GU$203)))</f>
        <v>3.2653007458857466E-5</v>
      </c>
      <c r="AM6">
        <f t="array" ref="AM6">SUMPRODUCT(IF('Exiobase A Matrix'!$C$4:$C$203='Cement and Glass Split'!$A6,IF('Exiobase A Matrix'!$D$3:$GU$3='Cement and Glass Split'!AM$2,'Exiobase A Matrix'!$D$4:$GU$203)))</f>
        <v>6.6776654347336487E-5</v>
      </c>
      <c r="AN6">
        <f t="array" ref="AN6">SUMPRODUCT(IF('Exiobase A Matrix'!$C$4:$C$203='Cement and Glass Split'!$A6,IF('Exiobase A Matrix'!$D$3:$GU$3='Cement and Glass Split'!AN$2,'Exiobase A Matrix'!$D$4:$GU$203)))</f>
        <v>0</v>
      </c>
      <c r="AO6">
        <f t="array" ref="AO6">SUMPRODUCT(IF('Exiobase A Matrix'!$C$4:$C$203='Cement and Glass Split'!$A6,IF('Exiobase A Matrix'!$D$3:$GU$3='Cement and Glass Split'!AO$2,'Exiobase A Matrix'!$D$4:$GU$203)))</f>
        <v>7.917495974017443E-5</v>
      </c>
      <c r="AP6">
        <f t="array" ref="AP6">SUMPRODUCT(IF('Exiobase A Matrix'!$C$4:$C$203='Cement and Glass Split'!$A6,IF('Exiobase A Matrix'!$D$3:$GU$3='Cement and Glass Split'!AP$2,'Exiobase A Matrix'!$D$4:$GU$203)))</f>
        <v>2.0299634724148485E-4</v>
      </c>
      <c r="AQ6">
        <f t="array" ref="AQ6">SUMPRODUCT(IF('Exiobase A Matrix'!$C$4:$C$203='Cement and Glass Split'!$A6,IF('Exiobase A Matrix'!$D$3:$GU$3='Cement and Glass Split'!AQ$2,'Exiobase A Matrix'!$D$4:$GU$203)))</f>
        <v>0</v>
      </c>
    </row>
    <row r="7" spans="1:43">
      <c r="A7" t="s">
        <v>6</v>
      </c>
      <c r="B7">
        <f t="array" ref="B7">SUMPRODUCT(IF('Exiobase A Matrix'!$C$4:$C$203='Cement and Glass Split'!$A7,IF('Exiobase A Matrix'!$D$3:$GU$3='Cement and Glass Split'!B$2,'Exiobase A Matrix'!$D$4:$GU$203)))</f>
        <v>0</v>
      </c>
      <c r="C7">
        <f t="array" ref="C7">SUMPRODUCT(IF('Exiobase A Matrix'!$C$4:$C$203='Cement and Glass Split'!$A7,IF('Exiobase A Matrix'!$D$3:$GU$3='Cement and Glass Split'!C$2,'Exiobase A Matrix'!$D$4:$GU$203)))</f>
        <v>0</v>
      </c>
      <c r="D7">
        <f t="array" ref="D7">SUMPRODUCT(IF('Exiobase A Matrix'!$C$4:$C$203='Cement and Glass Split'!$A7,IF('Exiobase A Matrix'!$D$3:$GU$3='Cement and Glass Split'!D$2,'Exiobase A Matrix'!$D$4:$GU$203)))</f>
        <v>0</v>
      </c>
      <c r="E7">
        <f t="array" ref="E7">SUMPRODUCT(IF('Exiobase A Matrix'!$C$4:$C$203='Cement and Glass Split'!$A7,IF('Exiobase A Matrix'!$D$3:$GU$3='Cement and Glass Split'!E$2,'Exiobase A Matrix'!$D$4:$GU$203)))</f>
        <v>0</v>
      </c>
      <c r="F7">
        <f t="array" ref="F7">SUMPRODUCT(IF('Exiobase A Matrix'!$C$4:$C$203='Cement and Glass Split'!$A7,IF('Exiobase A Matrix'!$D$3:$GU$3='Cement and Glass Split'!F$2,'Exiobase A Matrix'!$D$4:$GU$203)))</f>
        <v>0</v>
      </c>
      <c r="G7">
        <f t="array" ref="G7">SUMPRODUCT(IF('Exiobase A Matrix'!$C$4:$C$203='Cement and Glass Split'!$A7,IF('Exiobase A Matrix'!$D$3:$GU$3='Cement and Glass Split'!G$2,'Exiobase A Matrix'!$D$4:$GU$203)))</f>
        <v>0</v>
      </c>
      <c r="H7">
        <f t="array" ref="H7">SUMPRODUCT(IF('Exiobase A Matrix'!$C$4:$C$203='Cement and Glass Split'!$A7,IF('Exiobase A Matrix'!$D$3:$GU$3='Cement and Glass Split'!H$2,'Exiobase A Matrix'!$D$4:$GU$203)))</f>
        <v>0</v>
      </c>
      <c r="I7">
        <f t="array" ref="I7">SUMPRODUCT(IF('Exiobase A Matrix'!$C$4:$C$203='Cement and Glass Split'!$A7,IF('Exiobase A Matrix'!$D$3:$GU$3='Cement and Glass Split'!I$2,'Exiobase A Matrix'!$D$4:$GU$203)))</f>
        <v>0</v>
      </c>
      <c r="J7">
        <f t="array" ref="J7">SUMPRODUCT(IF('Exiobase A Matrix'!$C$4:$C$203='Cement and Glass Split'!$A7,IF('Exiobase A Matrix'!$D$3:$GU$3='Cement and Glass Split'!J$2,'Exiobase A Matrix'!$D$4:$GU$203)))</f>
        <v>0</v>
      </c>
      <c r="K7">
        <f t="array" ref="K7">SUMPRODUCT(IF('Exiobase A Matrix'!$C$4:$C$203='Cement and Glass Split'!$A7,IF('Exiobase A Matrix'!$D$3:$GU$3='Cement and Glass Split'!K$2,'Exiobase A Matrix'!$D$4:$GU$203)))</f>
        <v>0</v>
      </c>
      <c r="L7">
        <f t="array" ref="L7">SUMPRODUCT(IF('Exiobase A Matrix'!$C$4:$C$203='Cement and Glass Split'!$A7,IF('Exiobase A Matrix'!$D$3:$GU$3='Cement and Glass Split'!L$2,'Exiobase A Matrix'!$D$4:$GU$203)))</f>
        <v>0</v>
      </c>
      <c r="M7">
        <f t="array" ref="M7">SUMPRODUCT(IF('Exiobase A Matrix'!$C$4:$C$203='Cement and Glass Split'!$A7,IF('Exiobase A Matrix'!$D$3:$GU$3='Cement and Glass Split'!M$2,'Exiobase A Matrix'!$D$4:$GU$203)))</f>
        <v>0</v>
      </c>
      <c r="N7">
        <f t="array" ref="N7">SUMPRODUCT(IF('Exiobase A Matrix'!$C$4:$C$203='Cement and Glass Split'!$A7,IF('Exiobase A Matrix'!$D$3:$GU$3='Cement and Glass Split'!N$2,'Exiobase A Matrix'!$D$4:$GU$203)))</f>
        <v>0</v>
      </c>
      <c r="O7">
        <f t="array" ref="O7">SUMPRODUCT(IF('Exiobase A Matrix'!$C$4:$C$203='Cement and Glass Split'!$A7,IF('Exiobase A Matrix'!$D$3:$GU$3='Cement and Glass Split'!O$2,'Exiobase A Matrix'!$D$4:$GU$203)))</f>
        <v>0</v>
      </c>
      <c r="P7">
        <f t="array" ref="P7">SUMPRODUCT(IF('Exiobase A Matrix'!$C$4:$C$203='Cement and Glass Split'!$A7,IF('Exiobase A Matrix'!$D$3:$GU$3='Cement and Glass Split'!P$2,'Exiobase A Matrix'!$D$4:$GU$203)))</f>
        <v>0</v>
      </c>
      <c r="Q7">
        <f t="array" ref="Q7">SUMPRODUCT(IF('Exiobase A Matrix'!$C$4:$C$203='Cement and Glass Split'!$A7,IF('Exiobase A Matrix'!$D$3:$GU$3='Cement and Glass Split'!Q$2,'Exiobase A Matrix'!$D$4:$GU$203)))</f>
        <v>0</v>
      </c>
      <c r="R7">
        <f t="array" ref="R7">SUMPRODUCT(IF('Exiobase A Matrix'!$C$4:$C$203='Cement and Glass Split'!$A7,IF('Exiobase A Matrix'!$D$3:$GU$3='Cement and Glass Split'!R$2,'Exiobase A Matrix'!$D$4:$GU$203)))</f>
        <v>0</v>
      </c>
      <c r="S7">
        <f t="array" ref="S7">SUMPRODUCT(IF('Exiobase A Matrix'!$C$4:$C$203='Cement and Glass Split'!$A7,IF('Exiobase A Matrix'!$D$3:$GU$3='Cement and Glass Split'!S$2,'Exiobase A Matrix'!$D$4:$GU$203)))</f>
        <v>0</v>
      </c>
      <c r="T7">
        <f t="array" ref="T7">SUMPRODUCT(IF('Exiobase A Matrix'!$C$4:$C$203='Cement and Glass Split'!$A7,IF('Exiobase A Matrix'!$D$3:$GU$3='Cement and Glass Split'!T$2,'Exiobase A Matrix'!$D$4:$GU$203)))</f>
        <v>0</v>
      </c>
      <c r="U7">
        <f t="array" ref="U7">SUMPRODUCT(IF('Exiobase A Matrix'!$C$4:$C$203='Cement and Glass Split'!$A7,IF('Exiobase A Matrix'!$D$3:$GU$3='Cement and Glass Split'!U$2,'Exiobase A Matrix'!$D$4:$GU$203)))</f>
        <v>0</v>
      </c>
      <c r="V7">
        <f t="array" ref="V7">SUMPRODUCT(IF('Exiobase A Matrix'!$C$4:$C$203='Cement and Glass Split'!$A7,IF('Exiobase A Matrix'!$D$3:$GU$3='Cement and Glass Split'!V$2,'Exiobase A Matrix'!$D$4:$GU$203)))</f>
        <v>0</v>
      </c>
      <c r="W7">
        <f t="array" ref="W7">SUMPRODUCT(IF('Exiobase A Matrix'!$C$4:$C$203='Cement and Glass Split'!$A7,IF('Exiobase A Matrix'!$D$3:$GU$3='Cement and Glass Split'!W$2,'Exiobase A Matrix'!$D$4:$GU$203)))</f>
        <v>0</v>
      </c>
      <c r="X7">
        <f t="array" ref="X7">SUMPRODUCT(IF('Exiobase A Matrix'!$C$4:$C$203='Cement and Glass Split'!$A7,IF('Exiobase A Matrix'!$D$3:$GU$3='Cement and Glass Split'!X$2,'Exiobase A Matrix'!$D$4:$GU$203)))</f>
        <v>0</v>
      </c>
      <c r="Y7">
        <f t="array" ref="Y7">SUMPRODUCT(IF('Exiobase A Matrix'!$C$4:$C$203='Cement and Glass Split'!$A7,IF('Exiobase A Matrix'!$D$3:$GU$3='Cement and Glass Split'!Y$2,'Exiobase A Matrix'!$D$4:$GU$203)))</f>
        <v>0</v>
      </c>
      <c r="Z7">
        <f t="array" ref="Z7">SUMPRODUCT(IF('Exiobase A Matrix'!$C$4:$C$203='Cement and Glass Split'!$A7,IF('Exiobase A Matrix'!$D$3:$GU$3='Cement and Glass Split'!Z$2,'Exiobase A Matrix'!$D$4:$GU$203)))</f>
        <v>0</v>
      </c>
      <c r="AA7">
        <f t="array" ref="AA7">SUMPRODUCT(IF('Exiobase A Matrix'!$C$4:$C$203='Cement and Glass Split'!$A7,IF('Exiobase A Matrix'!$D$3:$GU$3='Cement and Glass Split'!AA$2,'Exiobase A Matrix'!$D$4:$GU$203)))</f>
        <v>0</v>
      </c>
      <c r="AB7">
        <f t="array" ref="AB7">SUMPRODUCT(IF('Exiobase A Matrix'!$C$4:$C$203='Cement and Glass Split'!$A7,IF('Exiobase A Matrix'!$D$3:$GU$3='Cement and Glass Split'!AB$2,'Exiobase A Matrix'!$D$4:$GU$203)))</f>
        <v>0</v>
      </c>
      <c r="AC7">
        <f t="array" ref="AC7">SUMPRODUCT(IF('Exiobase A Matrix'!$C$4:$C$203='Cement and Glass Split'!$A7,IF('Exiobase A Matrix'!$D$3:$GU$3='Cement and Glass Split'!AC$2,'Exiobase A Matrix'!$D$4:$GU$203)))</f>
        <v>0</v>
      </c>
      <c r="AD7">
        <f t="array" ref="AD7">SUMPRODUCT(IF('Exiobase A Matrix'!$C$4:$C$203='Cement and Glass Split'!$A7,IF('Exiobase A Matrix'!$D$3:$GU$3='Cement and Glass Split'!AD$2,'Exiobase A Matrix'!$D$4:$GU$203)))</f>
        <v>0</v>
      </c>
      <c r="AE7">
        <f t="array" ref="AE7">SUMPRODUCT(IF('Exiobase A Matrix'!$C$4:$C$203='Cement and Glass Split'!$A7,IF('Exiobase A Matrix'!$D$3:$GU$3='Cement and Glass Split'!AE$2,'Exiobase A Matrix'!$D$4:$GU$203)))</f>
        <v>0</v>
      </c>
      <c r="AF7">
        <f t="array" ref="AF7">SUMPRODUCT(IF('Exiobase A Matrix'!$C$4:$C$203='Cement and Glass Split'!$A7,IF('Exiobase A Matrix'!$D$3:$GU$3='Cement and Glass Split'!AF$2,'Exiobase A Matrix'!$D$4:$GU$203)))</f>
        <v>0</v>
      </c>
      <c r="AG7">
        <f t="array" ref="AG7">SUMPRODUCT(IF('Exiobase A Matrix'!$C$4:$C$203='Cement and Glass Split'!$A7,IF('Exiobase A Matrix'!$D$3:$GU$3='Cement and Glass Split'!AG$2,'Exiobase A Matrix'!$D$4:$GU$203)))</f>
        <v>0</v>
      </c>
      <c r="AH7">
        <f t="array" ref="AH7">SUMPRODUCT(IF('Exiobase A Matrix'!$C$4:$C$203='Cement and Glass Split'!$A7,IF('Exiobase A Matrix'!$D$3:$GU$3='Cement and Glass Split'!AH$2,'Exiobase A Matrix'!$D$4:$GU$203)))</f>
        <v>0</v>
      </c>
      <c r="AI7">
        <f t="array" ref="AI7">SUMPRODUCT(IF('Exiobase A Matrix'!$C$4:$C$203='Cement and Glass Split'!$A7,IF('Exiobase A Matrix'!$D$3:$GU$3='Cement and Glass Split'!AI$2,'Exiobase A Matrix'!$D$4:$GU$203)))</f>
        <v>0</v>
      </c>
      <c r="AJ7">
        <f t="array" ref="AJ7">SUMPRODUCT(IF('Exiobase A Matrix'!$C$4:$C$203='Cement and Glass Split'!$A7,IF('Exiobase A Matrix'!$D$3:$GU$3='Cement and Glass Split'!AJ$2,'Exiobase A Matrix'!$D$4:$GU$203)))</f>
        <v>0</v>
      </c>
      <c r="AK7">
        <f t="array" ref="AK7">SUMPRODUCT(IF('Exiobase A Matrix'!$C$4:$C$203='Cement and Glass Split'!$A7,IF('Exiobase A Matrix'!$D$3:$GU$3='Cement and Glass Split'!AK$2,'Exiobase A Matrix'!$D$4:$GU$203)))</f>
        <v>0</v>
      </c>
      <c r="AL7">
        <f t="array" ref="AL7">SUMPRODUCT(IF('Exiobase A Matrix'!$C$4:$C$203='Cement and Glass Split'!$A7,IF('Exiobase A Matrix'!$D$3:$GU$3='Cement and Glass Split'!AL$2,'Exiobase A Matrix'!$D$4:$GU$203)))</f>
        <v>0</v>
      </c>
      <c r="AM7">
        <f t="array" ref="AM7">SUMPRODUCT(IF('Exiobase A Matrix'!$C$4:$C$203='Cement and Glass Split'!$A7,IF('Exiobase A Matrix'!$D$3:$GU$3='Cement and Glass Split'!AM$2,'Exiobase A Matrix'!$D$4:$GU$203)))</f>
        <v>0</v>
      </c>
      <c r="AN7">
        <f t="array" ref="AN7">SUMPRODUCT(IF('Exiobase A Matrix'!$C$4:$C$203='Cement and Glass Split'!$A7,IF('Exiobase A Matrix'!$D$3:$GU$3='Cement and Glass Split'!AN$2,'Exiobase A Matrix'!$D$4:$GU$203)))</f>
        <v>0</v>
      </c>
      <c r="AO7">
        <f t="array" ref="AO7">SUMPRODUCT(IF('Exiobase A Matrix'!$C$4:$C$203='Cement and Glass Split'!$A7,IF('Exiobase A Matrix'!$D$3:$GU$3='Cement and Glass Split'!AO$2,'Exiobase A Matrix'!$D$4:$GU$203)))</f>
        <v>0</v>
      </c>
      <c r="AP7">
        <f t="array" ref="AP7">SUMPRODUCT(IF('Exiobase A Matrix'!$C$4:$C$203='Cement and Glass Split'!$A7,IF('Exiobase A Matrix'!$D$3:$GU$3='Cement and Glass Split'!AP$2,'Exiobase A Matrix'!$D$4:$GU$203)))</f>
        <v>0</v>
      </c>
      <c r="AQ7">
        <f t="array" ref="AQ7">SUMPRODUCT(IF('Exiobase A Matrix'!$C$4:$C$203='Cement and Glass Split'!$A7,IF('Exiobase A Matrix'!$D$3:$GU$3='Cement and Glass Split'!AQ$2,'Exiobase A Matrix'!$D$4:$GU$203)))</f>
        <v>0</v>
      </c>
    </row>
    <row r="8" spans="1:43">
      <c r="A8" t="s">
        <v>7</v>
      </c>
      <c r="B8">
        <f t="array" ref="B8">SUMPRODUCT(IF('Exiobase A Matrix'!$C$4:$C$203='Cement and Glass Split'!$A8,IF('Exiobase A Matrix'!$D$3:$GU$3='Cement and Glass Split'!B$2,'Exiobase A Matrix'!$D$4:$GU$203)))</f>
        <v>2.9516590035324644</v>
      </c>
      <c r="C8">
        <f t="array" ref="C8">SUMPRODUCT(IF('Exiobase A Matrix'!$C$4:$C$203='Cement and Glass Split'!$A8,IF('Exiobase A Matrix'!$D$3:$GU$3='Cement and Glass Split'!C$2,'Exiobase A Matrix'!$D$4:$GU$203)))</f>
        <v>0</v>
      </c>
      <c r="D8">
        <f t="array" ref="D8">SUMPRODUCT(IF('Exiobase A Matrix'!$C$4:$C$203='Cement and Glass Split'!$A8,IF('Exiobase A Matrix'!$D$3:$GU$3='Cement and Glass Split'!D$2,'Exiobase A Matrix'!$D$4:$GU$203)))</f>
        <v>0</v>
      </c>
      <c r="E8">
        <f t="array" ref="E8">SUMPRODUCT(IF('Exiobase A Matrix'!$C$4:$C$203='Cement and Glass Split'!$A8,IF('Exiobase A Matrix'!$D$3:$GU$3='Cement and Glass Split'!E$2,'Exiobase A Matrix'!$D$4:$GU$203)))</f>
        <v>0</v>
      </c>
      <c r="F8">
        <f t="array" ref="F8">SUMPRODUCT(IF('Exiobase A Matrix'!$C$4:$C$203='Cement and Glass Split'!$A8,IF('Exiobase A Matrix'!$D$3:$GU$3='Cement and Glass Split'!F$2,'Exiobase A Matrix'!$D$4:$GU$203)))</f>
        <v>0</v>
      </c>
      <c r="G8">
        <f t="array" ref="G8">SUMPRODUCT(IF('Exiobase A Matrix'!$C$4:$C$203='Cement and Glass Split'!$A8,IF('Exiobase A Matrix'!$D$3:$GU$3='Cement and Glass Split'!G$2,'Exiobase A Matrix'!$D$4:$GU$203)))</f>
        <v>1.3405577972675307</v>
      </c>
      <c r="H8">
        <f t="array" ref="H8">SUMPRODUCT(IF('Exiobase A Matrix'!$C$4:$C$203='Cement and Glass Split'!$A8,IF('Exiobase A Matrix'!$D$3:$GU$3='Cement and Glass Split'!H$2,'Exiobase A Matrix'!$D$4:$GU$203)))</f>
        <v>8.9269534978634685E-2</v>
      </c>
      <c r="I8">
        <f t="array" ref="I8">SUMPRODUCT(IF('Exiobase A Matrix'!$C$4:$C$203='Cement and Glass Split'!$A8,IF('Exiobase A Matrix'!$D$3:$GU$3='Cement and Glass Split'!I$2,'Exiobase A Matrix'!$D$4:$GU$203)))</f>
        <v>0</v>
      </c>
      <c r="J8">
        <f t="array" ref="J8">SUMPRODUCT(IF('Exiobase A Matrix'!$C$4:$C$203='Cement and Glass Split'!$A8,IF('Exiobase A Matrix'!$D$3:$GU$3='Cement and Glass Split'!J$2,'Exiobase A Matrix'!$D$4:$GU$203)))</f>
        <v>4.5506009794595709E-3</v>
      </c>
      <c r="K8">
        <f t="array" ref="K8">SUMPRODUCT(IF('Exiobase A Matrix'!$C$4:$C$203='Cement and Glass Split'!$A8,IF('Exiobase A Matrix'!$D$3:$GU$3='Cement and Glass Split'!K$2,'Exiobase A Matrix'!$D$4:$GU$203)))</f>
        <v>1.7992701045553196E-3</v>
      </c>
      <c r="L8">
        <f t="array" ref="L8">SUMPRODUCT(IF('Exiobase A Matrix'!$C$4:$C$203='Cement and Glass Split'!$A8,IF('Exiobase A Matrix'!$D$3:$GU$3='Cement and Glass Split'!L$2,'Exiobase A Matrix'!$D$4:$GU$203)))</f>
        <v>2.9078174913478139E-2</v>
      </c>
      <c r="M8">
        <f t="array" ref="M8">SUMPRODUCT(IF('Exiobase A Matrix'!$C$4:$C$203='Cement and Glass Split'!$A8,IF('Exiobase A Matrix'!$D$3:$GU$3='Cement and Glass Split'!M$2,'Exiobase A Matrix'!$D$4:$GU$203)))</f>
        <v>0</v>
      </c>
      <c r="N8">
        <f t="array" ref="N8">SUMPRODUCT(IF('Exiobase A Matrix'!$C$4:$C$203='Cement and Glass Split'!$A8,IF('Exiobase A Matrix'!$D$3:$GU$3='Cement and Glass Split'!N$2,'Exiobase A Matrix'!$D$4:$GU$203)))</f>
        <v>1.5715655730393958E-4</v>
      </c>
      <c r="O8">
        <f t="array" ref="O8">SUMPRODUCT(IF('Exiobase A Matrix'!$C$4:$C$203='Cement and Glass Split'!$A8,IF('Exiobase A Matrix'!$D$3:$GU$3='Cement and Glass Split'!O$2,'Exiobase A Matrix'!$D$4:$GU$203)))</f>
        <v>0</v>
      </c>
      <c r="P8">
        <f t="array" ref="P8">SUMPRODUCT(IF('Exiobase A Matrix'!$C$4:$C$203='Cement and Glass Split'!$A8,IF('Exiobase A Matrix'!$D$3:$GU$3='Cement and Glass Split'!P$2,'Exiobase A Matrix'!$D$4:$GU$203)))</f>
        <v>1.3272283085541123E-3</v>
      </c>
      <c r="Q8">
        <f t="array" ref="Q8">SUMPRODUCT(IF('Exiobase A Matrix'!$C$4:$C$203='Cement and Glass Split'!$A8,IF('Exiobase A Matrix'!$D$3:$GU$3='Cement and Glass Split'!Q$2,'Exiobase A Matrix'!$D$4:$GU$203)))</f>
        <v>0</v>
      </c>
      <c r="R8">
        <f t="array" ref="R8">SUMPRODUCT(IF('Exiobase A Matrix'!$C$4:$C$203='Cement and Glass Split'!$A8,IF('Exiobase A Matrix'!$D$3:$GU$3='Cement and Glass Split'!R$2,'Exiobase A Matrix'!$D$4:$GU$203)))</f>
        <v>0</v>
      </c>
      <c r="S8">
        <f t="array" ref="S8">SUMPRODUCT(IF('Exiobase A Matrix'!$C$4:$C$203='Cement and Glass Split'!$A8,IF('Exiobase A Matrix'!$D$3:$GU$3='Cement and Glass Split'!S$2,'Exiobase A Matrix'!$D$4:$GU$203)))</f>
        <v>0</v>
      </c>
      <c r="T8">
        <f t="array" ref="T8">SUMPRODUCT(IF('Exiobase A Matrix'!$C$4:$C$203='Cement and Glass Split'!$A8,IF('Exiobase A Matrix'!$D$3:$GU$3='Cement and Glass Split'!T$2,'Exiobase A Matrix'!$D$4:$GU$203)))</f>
        <v>0</v>
      </c>
      <c r="U8">
        <f t="array" ref="U8">SUMPRODUCT(IF('Exiobase A Matrix'!$C$4:$C$203='Cement and Glass Split'!$A8,IF('Exiobase A Matrix'!$D$3:$GU$3='Cement and Glass Split'!U$2,'Exiobase A Matrix'!$D$4:$GU$203)))</f>
        <v>0</v>
      </c>
      <c r="V8">
        <f t="array" ref="V8">SUMPRODUCT(IF('Exiobase A Matrix'!$C$4:$C$203='Cement and Glass Split'!$A8,IF('Exiobase A Matrix'!$D$3:$GU$3='Cement and Glass Split'!V$2,'Exiobase A Matrix'!$D$4:$GU$203)))</f>
        <v>0</v>
      </c>
      <c r="W8">
        <f t="array" ref="W8">SUMPRODUCT(IF('Exiobase A Matrix'!$C$4:$C$203='Cement and Glass Split'!$A8,IF('Exiobase A Matrix'!$D$3:$GU$3='Cement and Glass Split'!W$2,'Exiobase A Matrix'!$D$4:$GU$203)))</f>
        <v>0</v>
      </c>
      <c r="X8">
        <f t="array" ref="X8">SUMPRODUCT(IF('Exiobase A Matrix'!$C$4:$C$203='Cement and Glass Split'!$A8,IF('Exiobase A Matrix'!$D$3:$GU$3='Cement and Glass Split'!X$2,'Exiobase A Matrix'!$D$4:$GU$203)))</f>
        <v>0</v>
      </c>
      <c r="Y8">
        <f t="array" ref="Y8">SUMPRODUCT(IF('Exiobase A Matrix'!$C$4:$C$203='Cement and Glass Split'!$A8,IF('Exiobase A Matrix'!$D$3:$GU$3='Cement and Glass Split'!Y$2,'Exiobase A Matrix'!$D$4:$GU$203)))</f>
        <v>4.9447866238974108E-5</v>
      </c>
      <c r="Z8">
        <f t="array" ref="Z8">SUMPRODUCT(IF('Exiobase A Matrix'!$C$4:$C$203='Cement and Glass Split'!$A8,IF('Exiobase A Matrix'!$D$3:$GU$3='Cement and Glass Split'!Z$2,'Exiobase A Matrix'!$D$4:$GU$203)))</f>
        <v>0</v>
      </c>
      <c r="AA8">
        <f t="array" ref="AA8">SUMPRODUCT(IF('Exiobase A Matrix'!$C$4:$C$203='Cement and Glass Split'!$A8,IF('Exiobase A Matrix'!$D$3:$GU$3='Cement and Glass Split'!AA$2,'Exiobase A Matrix'!$D$4:$GU$203)))</f>
        <v>0</v>
      </c>
      <c r="AB8">
        <f t="array" ref="AB8">SUMPRODUCT(IF('Exiobase A Matrix'!$C$4:$C$203='Cement and Glass Split'!$A8,IF('Exiobase A Matrix'!$D$3:$GU$3='Cement and Glass Split'!AB$2,'Exiobase A Matrix'!$D$4:$GU$203)))</f>
        <v>1.0736804033395049E-8</v>
      </c>
      <c r="AC8">
        <f t="array" ref="AC8">SUMPRODUCT(IF('Exiobase A Matrix'!$C$4:$C$203='Cement and Glass Split'!$A8,IF('Exiobase A Matrix'!$D$3:$GU$3='Cement and Glass Split'!AC$2,'Exiobase A Matrix'!$D$4:$GU$203)))</f>
        <v>0</v>
      </c>
      <c r="AD8">
        <f t="array" ref="AD8">SUMPRODUCT(IF('Exiobase A Matrix'!$C$4:$C$203='Cement and Glass Split'!$A8,IF('Exiobase A Matrix'!$D$3:$GU$3='Cement and Glass Split'!AD$2,'Exiobase A Matrix'!$D$4:$GU$203)))</f>
        <v>1.448963317906679E-8</v>
      </c>
      <c r="AE8">
        <f t="array" ref="AE8">SUMPRODUCT(IF('Exiobase A Matrix'!$C$4:$C$203='Cement and Glass Split'!$A8,IF('Exiobase A Matrix'!$D$3:$GU$3='Cement and Glass Split'!AE$2,'Exiobase A Matrix'!$D$4:$GU$203)))</f>
        <v>0</v>
      </c>
      <c r="AF8">
        <f t="array" ref="AF8">SUMPRODUCT(IF('Exiobase A Matrix'!$C$4:$C$203='Cement and Glass Split'!$A8,IF('Exiobase A Matrix'!$D$3:$GU$3='Cement and Glass Split'!AF$2,'Exiobase A Matrix'!$D$4:$GU$203)))</f>
        <v>0.1888606213828333</v>
      </c>
      <c r="AG8">
        <f t="array" ref="AG8">SUMPRODUCT(IF('Exiobase A Matrix'!$C$4:$C$203='Cement and Glass Split'!$A8,IF('Exiobase A Matrix'!$D$3:$GU$3='Cement and Glass Split'!AG$2,'Exiobase A Matrix'!$D$4:$GU$203)))</f>
        <v>0</v>
      </c>
      <c r="AH8">
        <f t="array" ref="AH8">SUMPRODUCT(IF('Exiobase A Matrix'!$C$4:$C$203='Cement and Glass Split'!$A8,IF('Exiobase A Matrix'!$D$3:$GU$3='Cement and Glass Split'!AH$2,'Exiobase A Matrix'!$D$4:$GU$203)))</f>
        <v>0</v>
      </c>
      <c r="AI8">
        <f t="array" ref="AI8">SUMPRODUCT(IF('Exiobase A Matrix'!$C$4:$C$203='Cement and Glass Split'!$A8,IF('Exiobase A Matrix'!$D$3:$GU$3='Cement and Glass Split'!AI$2,'Exiobase A Matrix'!$D$4:$GU$203)))</f>
        <v>0</v>
      </c>
      <c r="AJ8">
        <f t="array" ref="AJ8">SUMPRODUCT(IF('Exiobase A Matrix'!$C$4:$C$203='Cement and Glass Split'!$A8,IF('Exiobase A Matrix'!$D$3:$GU$3='Cement and Glass Split'!AJ$2,'Exiobase A Matrix'!$D$4:$GU$203)))</f>
        <v>0</v>
      </c>
      <c r="AK8">
        <f t="array" ref="AK8">SUMPRODUCT(IF('Exiobase A Matrix'!$C$4:$C$203='Cement and Glass Split'!$A8,IF('Exiobase A Matrix'!$D$3:$GU$3='Cement and Glass Split'!AK$2,'Exiobase A Matrix'!$D$4:$GU$203)))</f>
        <v>0</v>
      </c>
      <c r="AL8">
        <f t="array" ref="AL8">SUMPRODUCT(IF('Exiobase A Matrix'!$C$4:$C$203='Cement and Glass Split'!$A8,IF('Exiobase A Matrix'!$D$3:$GU$3='Cement and Glass Split'!AL$2,'Exiobase A Matrix'!$D$4:$GU$203)))</f>
        <v>2.1922857319696914E-3</v>
      </c>
      <c r="AM8">
        <f t="array" ref="AM8">SUMPRODUCT(IF('Exiobase A Matrix'!$C$4:$C$203='Cement and Glass Split'!$A8,IF('Exiobase A Matrix'!$D$3:$GU$3='Cement and Glass Split'!AM$2,'Exiobase A Matrix'!$D$4:$GU$203)))</f>
        <v>1.3319348056089659E-4</v>
      </c>
      <c r="AN8">
        <f t="array" ref="AN8">SUMPRODUCT(IF('Exiobase A Matrix'!$C$4:$C$203='Cement and Glass Split'!$A8,IF('Exiobase A Matrix'!$D$3:$GU$3='Cement and Glass Split'!AN$2,'Exiobase A Matrix'!$D$4:$GU$203)))</f>
        <v>0</v>
      </c>
      <c r="AO8">
        <f t="array" ref="AO8">SUMPRODUCT(IF('Exiobase A Matrix'!$C$4:$C$203='Cement and Glass Split'!$A8,IF('Exiobase A Matrix'!$D$3:$GU$3='Cement and Glass Split'!AO$2,'Exiobase A Matrix'!$D$4:$GU$203)))</f>
        <v>1.3486990839225933E-3</v>
      </c>
      <c r="AP8">
        <f t="array" ref="AP8">SUMPRODUCT(IF('Exiobase A Matrix'!$C$4:$C$203='Cement and Glass Split'!$A8,IF('Exiobase A Matrix'!$D$3:$GU$3='Cement and Glass Split'!AP$2,'Exiobase A Matrix'!$D$4:$GU$203)))</f>
        <v>5.2124373012033584E-2</v>
      </c>
      <c r="AQ8">
        <f t="array" ref="AQ8">SUMPRODUCT(IF('Exiobase A Matrix'!$C$4:$C$203='Cement and Glass Split'!$A8,IF('Exiobase A Matrix'!$D$3:$GU$3='Cement and Glass Split'!AQ$2,'Exiobase A Matrix'!$D$4:$GU$203)))</f>
        <v>0</v>
      </c>
    </row>
    <row r="9" spans="1:43">
      <c r="A9" t="s">
        <v>8</v>
      </c>
      <c r="B9">
        <f t="array" ref="B9">SUMPRODUCT(IF('Exiobase A Matrix'!$C$4:$C$203='Cement and Glass Split'!$A9,IF('Exiobase A Matrix'!$D$3:$GU$3='Cement and Glass Split'!B$2,'Exiobase A Matrix'!$D$4:$GU$203)))</f>
        <v>7.9758623396362596E-2</v>
      </c>
      <c r="C9">
        <f t="array" ref="C9">SUMPRODUCT(IF('Exiobase A Matrix'!$C$4:$C$203='Cement and Glass Split'!$A9,IF('Exiobase A Matrix'!$D$3:$GU$3='Cement and Glass Split'!C$2,'Exiobase A Matrix'!$D$4:$GU$203)))</f>
        <v>2.8549700515522625E-3</v>
      </c>
      <c r="D9">
        <f t="array" ref="D9">SUMPRODUCT(IF('Exiobase A Matrix'!$C$4:$C$203='Cement and Glass Split'!$A9,IF('Exiobase A Matrix'!$D$3:$GU$3='Cement and Glass Split'!D$2,'Exiobase A Matrix'!$D$4:$GU$203)))</f>
        <v>7.7342472625105806E-6</v>
      </c>
      <c r="E9">
        <f t="array" ref="E9">SUMPRODUCT(IF('Exiobase A Matrix'!$C$4:$C$203='Cement and Glass Split'!$A9,IF('Exiobase A Matrix'!$D$3:$GU$3='Cement and Glass Split'!E$2,'Exiobase A Matrix'!$D$4:$GU$203)))</f>
        <v>2.8623940994738366E-3</v>
      </c>
      <c r="F9">
        <f t="array" ref="F9">SUMPRODUCT(IF('Exiobase A Matrix'!$C$4:$C$203='Cement and Glass Split'!$A9,IF('Exiobase A Matrix'!$D$3:$GU$3='Cement and Glass Split'!F$2,'Exiobase A Matrix'!$D$4:$GU$203)))</f>
        <v>0</v>
      </c>
      <c r="G9">
        <f t="array" ref="G9">SUMPRODUCT(IF('Exiobase A Matrix'!$C$4:$C$203='Cement and Glass Split'!$A9,IF('Exiobase A Matrix'!$D$3:$GU$3='Cement and Glass Split'!G$2,'Exiobase A Matrix'!$D$4:$GU$203)))</f>
        <v>8.9117404243171904E-3</v>
      </c>
      <c r="H9">
        <f t="array" ref="H9">SUMPRODUCT(IF('Exiobase A Matrix'!$C$4:$C$203='Cement and Glass Split'!$A9,IF('Exiobase A Matrix'!$D$3:$GU$3='Cement and Glass Split'!H$2,'Exiobase A Matrix'!$D$4:$GU$203)))</f>
        <v>0.77643452965345017</v>
      </c>
      <c r="I9">
        <f t="array" ref="I9">SUMPRODUCT(IF('Exiobase A Matrix'!$C$4:$C$203='Cement and Glass Split'!$A9,IF('Exiobase A Matrix'!$D$3:$GU$3='Cement and Glass Split'!I$2,'Exiobase A Matrix'!$D$4:$GU$203)))</f>
        <v>2.1274967010780155E-3</v>
      </c>
      <c r="J9">
        <f t="array" ref="J9">SUMPRODUCT(IF('Exiobase A Matrix'!$C$4:$C$203='Cement and Glass Split'!$A9,IF('Exiobase A Matrix'!$D$3:$GU$3='Cement and Glass Split'!J$2,'Exiobase A Matrix'!$D$4:$GU$203)))</f>
        <v>1.443219474935188E-2</v>
      </c>
      <c r="K9">
        <f t="array" ref="K9">SUMPRODUCT(IF('Exiobase A Matrix'!$C$4:$C$203='Cement and Glass Split'!$A9,IF('Exiobase A Matrix'!$D$3:$GU$3='Cement and Glass Split'!K$2,'Exiobase A Matrix'!$D$4:$GU$203)))</f>
        <v>1.0222760108956069E-2</v>
      </c>
      <c r="L9">
        <f t="array" ref="L9">SUMPRODUCT(IF('Exiobase A Matrix'!$C$4:$C$203='Cement and Glass Split'!$A9,IF('Exiobase A Matrix'!$D$3:$GU$3='Cement and Glass Split'!L$2,'Exiobase A Matrix'!$D$4:$GU$203)))</f>
        <v>7.4659047818971466E-3</v>
      </c>
      <c r="M9">
        <f t="array" ref="M9">SUMPRODUCT(IF('Exiobase A Matrix'!$C$4:$C$203='Cement and Glass Split'!$A9,IF('Exiobase A Matrix'!$D$3:$GU$3='Cement and Glass Split'!M$2,'Exiobase A Matrix'!$D$4:$GU$203)))</f>
        <v>0</v>
      </c>
      <c r="N9">
        <f t="array" ref="N9">SUMPRODUCT(IF('Exiobase A Matrix'!$C$4:$C$203='Cement and Glass Split'!$A9,IF('Exiobase A Matrix'!$D$3:$GU$3='Cement and Glass Split'!N$2,'Exiobase A Matrix'!$D$4:$GU$203)))</f>
        <v>2.764673383963033E-2</v>
      </c>
      <c r="O9">
        <f t="array" ref="O9">SUMPRODUCT(IF('Exiobase A Matrix'!$C$4:$C$203='Cement and Glass Split'!$A9,IF('Exiobase A Matrix'!$D$3:$GU$3='Cement and Glass Split'!O$2,'Exiobase A Matrix'!$D$4:$GU$203)))</f>
        <v>1.8253916511908304E-3</v>
      </c>
      <c r="P9">
        <f t="array" ref="P9">SUMPRODUCT(IF('Exiobase A Matrix'!$C$4:$C$203='Cement and Glass Split'!$A9,IF('Exiobase A Matrix'!$D$3:$GU$3='Cement and Glass Split'!P$2,'Exiobase A Matrix'!$D$4:$GU$203)))</f>
        <v>7.8459640933042467E-3</v>
      </c>
      <c r="Q9">
        <f t="array" ref="Q9">SUMPRODUCT(IF('Exiobase A Matrix'!$C$4:$C$203='Cement and Glass Split'!$A9,IF('Exiobase A Matrix'!$D$3:$GU$3='Cement and Glass Split'!Q$2,'Exiobase A Matrix'!$D$4:$GU$203)))</f>
        <v>7.2279629231162992E-4</v>
      </c>
      <c r="R9">
        <f t="array" ref="R9">SUMPRODUCT(IF('Exiobase A Matrix'!$C$4:$C$203='Cement and Glass Split'!$A9,IF('Exiobase A Matrix'!$D$3:$GU$3='Cement and Glass Split'!R$2,'Exiobase A Matrix'!$D$4:$GU$203)))</f>
        <v>6.7369960691760229E-3</v>
      </c>
      <c r="S9">
        <f t="array" ref="S9">SUMPRODUCT(IF('Exiobase A Matrix'!$C$4:$C$203='Cement and Glass Split'!$A9,IF('Exiobase A Matrix'!$D$3:$GU$3='Cement and Glass Split'!S$2,'Exiobase A Matrix'!$D$4:$GU$203)))</f>
        <v>2.6534048385911807E-3</v>
      </c>
      <c r="T9">
        <f t="array" ref="T9">SUMPRODUCT(IF('Exiobase A Matrix'!$C$4:$C$203='Cement and Glass Split'!$A9,IF('Exiobase A Matrix'!$D$3:$GU$3='Cement and Glass Split'!T$2,'Exiobase A Matrix'!$D$4:$GU$203)))</f>
        <v>7.3970559586646924E-3</v>
      </c>
      <c r="U9">
        <f t="array" ref="U9">SUMPRODUCT(IF('Exiobase A Matrix'!$C$4:$C$203='Cement and Glass Split'!$A9,IF('Exiobase A Matrix'!$D$3:$GU$3='Cement and Glass Split'!U$2,'Exiobase A Matrix'!$D$4:$GU$203)))</f>
        <v>1.7326176649272934E-3</v>
      </c>
      <c r="V9">
        <f t="array" ref="V9">SUMPRODUCT(IF('Exiobase A Matrix'!$C$4:$C$203='Cement and Glass Split'!$A9,IF('Exiobase A Matrix'!$D$3:$GU$3='Cement and Glass Split'!V$2,'Exiobase A Matrix'!$D$4:$GU$203)))</f>
        <v>2.0393023193445541E-3</v>
      </c>
      <c r="W9">
        <f t="array" ref="W9">SUMPRODUCT(IF('Exiobase A Matrix'!$C$4:$C$203='Cement and Glass Split'!$A9,IF('Exiobase A Matrix'!$D$3:$GU$3='Cement and Glass Split'!W$2,'Exiobase A Matrix'!$D$4:$GU$203)))</f>
        <v>2.8748980349371615E-4</v>
      </c>
      <c r="X9">
        <f t="array" ref="X9">SUMPRODUCT(IF('Exiobase A Matrix'!$C$4:$C$203='Cement and Glass Split'!$A9,IF('Exiobase A Matrix'!$D$3:$GU$3='Cement and Glass Split'!X$2,'Exiobase A Matrix'!$D$4:$GU$203)))</f>
        <v>1.9187333172288122E-3</v>
      </c>
      <c r="Y9">
        <f t="array" ref="Y9">SUMPRODUCT(IF('Exiobase A Matrix'!$C$4:$C$203='Cement and Glass Split'!$A9,IF('Exiobase A Matrix'!$D$3:$GU$3='Cement and Glass Split'!Y$2,'Exiobase A Matrix'!$D$4:$GU$203)))</f>
        <v>0.10392247723503936</v>
      </c>
      <c r="Z9">
        <f t="array" ref="Z9">SUMPRODUCT(IF('Exiobase A Matrix'!$C$4:$C$203='Cement and Glass Split'!$A9,IF('Exiobase A Matrix'!$D$3:$GU$3='Cement and Glass Split'!Z$2,'Exiobase A Matrix'!$D$4:$GU$203)))</f>
        <v>9.8626565104551808E-3</v>
      </c>
      <c r="AA9">
        <f t="array" ref="AA9">SUMPRODUCT(IF('Exiobase A Matrix'!$C$4:$C$203='Cement and Glass Split'!$A9,IF('Exiobase A Matrix'!$D$3:$GU$3='Cement and Glass Split'!AA$2,'Exiobase A Matrix'!$D$4:$GU$203)))</f>
        <v>2.9048996932276827E-4</v>
      </c>
      <c r="AB9">
        <f t="array" ref="AB9">SUMPRODUCT(IF('Exiobase A Matrix'!$C$4:$C$203='Cement and Glass Split'!$A9,IF('Exiobase A Matrix'!$D$3:$GU$3='Cement and Glass Split'!AB$2,'Exiobase A Matrix'!$D$4:$GU$203)))</f>
        <v>2.9358200472055434E-2</v>
      </c>
      <c r="AC9">
        <f t="array" ref="AC9">SUMPRODUCT(IF('Exiobase A Matrix'!$C$4:$C$203='Cement and Glass Split'!$A9,IF('Exiobase A Matrix'!$D$3:$GU$3='Cement and Glass Split'!AC$2,'Exiobase A Matrix'!$D$4:$GU$203)))</f>
        <v>2.3129766989216961E-3</v>
      </c>
      <c r="AD9">
        <f t="array" ref="AD9">SUMPRODUCT(IF('Exiobase A Matrix'!$C$4:$C$203='Cement and Glass Split'!$A9,IF('Exiobase A Matrix'!$D$3:$GU$3='Cement and Glass Split'!AD$2,'Exiobase A Matrix'!$D$4:$GU$203)))</f>
        <v>4.8041345733743919E-8</v>
      </c>
      <c r="AE9">
        <f t="array" ref="AE9">SUMPRODUCT(IF('Exiobase A Matrix'!$C$4:$C$203='Cement and Glass Split'!$A9,IF('Exiobase A Matrix'!$D$3:$GU$3='Cement and Glass Split'!AE$2,'Exiobase A Matrix'!$D$4:$GU$203)))</f>
        <v>1.6368707801114489E-3</v>
      </c>
      <c r="AF9">
        <f t="array" ref="AF9">SUMPRODUCT(IF('Exiobase A Matrix'!$C$4:$C$203='Cement and Glass Split'!$A9,IF('Exiobase A Matrix'!$D$3:$GU$3='Cement and Glass Split'!AF$2,'Exiobase A Matrix'!$D$4:$GU$203)))</f>
        <v>1.507100480699702E-3</v>
      </c>
      <c r="AG9">
        <f t="array" ref="AG9">SUMPRODUCT(IF('Exiobase A Matrix'!$C$4:$C$203='Cement and Glass Split'!$A9,IF('Exiobase A Matrix'!$D$3:$GU$3='Cement and Glass Split'!AG$2,'Exiobase A Matrix'!$D$4:$GU$203)))</f>
        <v>0</v>
      </c>
      <c r="AH9">
        <f t="array" ref="AH9">SUMPRODUCT(IF('Exiobase A Matrix'!$C$4:$C$203='Cement and Glass Split'!$A9,IF('Exiobase A Matrix'!$D$3:$GU$3='Cement and Glass Split'!AH$2,'Exiobase A Matrix'!$D$4:$GU$203)))</f>
        <v>4.191074619910661E-10</v>
      </c>
      <c r="AI9">
        <f t="array" ref="AI9">SUMPRODUCT(IF('Exiobase A Matrix'!$C$4:$C$203='Cement and Glass Split'!$A9,IF('Exiobase A Matrix'!$D$3:$GU$3='Cement and Glass Split'!AI$2,'Exiobase A Matrix'!$D$4:$GU$203)))</f>
        <v>3.6252145607743345E-4</v>
      </c>
      <c r="AJ9">
        <f t="array" ref="AJ9">SUMPRODUCT(IF('Exiobase A Matrix'!$C$4:$C$203='Cement and Glass Split'!$A9,IF('Exiobase A Matrix'!$D$3:$GU$3='Cement and Glass Split'!AJ$2,'Exiobase A Matrix'!$D$4:$GU$203)))</f>
        <v>2.1093827919142056E-3</v>
      </c>
      <c r="AK9">
        <f t="array" ref="AK9">SUMPRODUCT(IF('Exiobase A Matrix'!$C$4:$C$203='Cement and Glass Split'!$A9,IF('Exiobase A Matrix'!$D$3:$GU$3='Cement and Glass Split'!AK$2,'Exiobase A Matrix'!$D$4:$GU$203)))</f>
        <v>5.8805519946104152E-4</v>
      </c>
      <c r="AL9">
        <f t="array" ref="AL9">SUMPRODUCT(IF('Exiobase A Matrix'!$C$4:$C$203='Cement and Glass Split'!$A9,IF('Exiobase A Matrix'!$D$3:$GU$3='Cement and Glass Split'!AL$2,'Exiobase A Matrix'!$D$4:$GU$203)))</f>
        <v>5.3548453308419593E-3</v>
      </c>
      <c r="AM9">
        <f t="array" ref="AM9">SUMPRODUCT(IF('Exiobase A Matrix'!$C$4:$C$203='Cement and Glass Split'!$A9,IF('Exiobase A Matrix'!$D$3:$GU$3='Cement and Glass Split'!AM$2,'Exiobase A Matrix'!$D$4:$GU$203)))</f>
        <v>3.2727507693548082E-3</v>
      </c>
      <c r="AN9">
        <f t="array" ref="AN9">SUMPRODUCT(IF('Exiobase A Matrix'!$C$4:$C$203='Cement and Glass Split'!$A9,IF('Exiobase A Matrix'!$D$3:$GU$3='Cement and Glass Split'!AN$2,'Exiobase A Matrix'!$D$4:$GU$203)))</f>
        <v>6.9402899073439173E-4</v>
      </c>
      <c r="AO9">
        <f t="array" ref="AO9">SUMPRODUCT(IF('Exiobase A Matrix'!$C$4:$C$203='Cement and Glass Split'!$A9,IF('Exiobase A Matrix'!$D$3:$GU$3='Cement and Glass Split'!AO$2,'Exiobase A Matrix'!$D$4:$GU$203)))</f>
        <v>3.4578222112914966E-3</v>
      </c>
      <c r="AP9">
        <f t="array" ref="AP9">SUMPRODUCT(IF('Exiobase A Matrix'!$C$4:$C$203='Cement and Glass Split'!$A9,IF('Exiobase A Matrix'!$D$3:$GU$3='Cement and Glass Split'!AP$2,'Exiobase A Matrix'!$D$4:$GU$203)))</f>
        <v>1.9422228762988211E-2</v>
      </c>
      <c r="AQ9">
        <f t="array" ref="AQ9">SUMPRODUCT(IF('Exiobase A Matrix'!$C$4:$C$203='Cement and Glass Split'!$A9,IF('Exiobase A Matrix'!$D$3:$GU$3='Cement and Glass Split'!AQ$2,'Exiobase A Matrix'!$D$4:$GU$203)))</f>
        <v>3.1983260774713141E-6</v>
      </c>
    </row>
    <row r="10" spans="1:43">
      <c r="A10" t="s">
        <v>9</v>
      </c>
      <c r="B10">
        <f t="array" ref="B10">SUMPRODUCT(IF('Exiobase A Matrix'!$C$4:$C$203='Cement and Glass Split'!$A10,IF('Exiobase A Matrix'!$D$3:$GU$3='Cement and Glass Split'!B$2,'Exiobase A Matrix'!$D$4:$GU$203)))</f>
        <v>7.7040739417213511E-2</v>
      </c>
      <c r="C10">
        <f t="array" ref="C10">SUMPRODUCT(IF('Exiobase A Matrix'!$C$4:$C$203='Cement and Glass Split'!$A10,IF('Exiobase A Matrix'!$D$3:$GU$3='Cement and Glass Split'!C$2,'Exiobase A Matrix'!$D$4:$GU$203)))</f>
        <v>6.4736031443662538E-3</v>
      </c>
      <c r="D10">
        <f t="array" ref="D10">SUMPRODUCT(IF('Exiobase A Matrix'!$C$4:$C$203='Cement and Glass Split'!$A10,IF('Exiobase A Matrix'!$D$3:$GU$3='Cement and Glass Split'!D$2,'Exiobase A Matrix'!$D$4:$GU$203)))</f>
        <v>3.5231124906385294E-6</v>
      </c>
      <c r="E10">
        <f t="array" ref="E10">SUMPRODUCT(IF('Exiobase A Matrix'!$C$4:$C$203='Cement and Glass Split'!$A10,IF('Exiobase A Matrix'!$D$3:$GU$3='Cement and Glass Split'!E$2,'Exiobase A Matrix'!$D$4:$GU$203)))</f>
        <v>6.4464490820714286E-3</v>
      </c>
      <c r="F10">
        <f t="array" ref="F10">SUMPRODUCT(IF('Exiobase A Matrix'!$C$4:$C$203='Cement and Glass Split'!$A10,IF('Exiobase A Matrix'!$D$3:$GU$3='Cement and Glass Split'!F$2,'Exiobase A Matrix'!$D$4:$GU$203)))</f>
        <v>0</v>
      </c>
      <c r="G10">
        <f t="array" ref="G10">SUMPRODUCT(IF('Exiobase A Matrix'!$C$4:$C$203='Cement and Glass Split'!$A10,IF('Exiobase A Matrix'!$D$3:$GU$3='Cement and Glass Split'!G$2,'Exiobase A Matrix'!$D$4:$GU$203)))</f>
        <v>2.0888400868987272E-2</v>
      </c>
      <c r="H10">
        <f t="array" ref="H10">SUMPRODUCT(IF('Exiobase A Matrix'!$C$4:$C$203='Cement and Glass Split'!$A10,IF('Exiobase A Matrix'!$D$3:$GU$3='Cement and Glass Split'!H$2,'Exiobase A Matrix'!$D$4:$GU$203)))</f>
        <v>7.2770729816534437E-4</v>
      </c>
      <c r="I10">
        <f t="array" ref="I10">SUMPRODUCT(IF('Exiobase A Matrix'!$C$4:$C$203='Cement and Glass Split'!$A10,IF('Exiobase A Matrix'!$D$3:$GU$3='Cement and Glass Split'!I$2,'Exiobase A Matrix'!$D$4:$GU$203)))</f>
        <v>0.24197373214256118</v>
      </c>
      <c r="J10">
        <f t="array" ref="J10">SUMPRODUCT(IF('Exiobase A Matrix'!$C$4:$C$203='Cement and Glass Split'!$A10,IF('Exiobase A Matrix'!$D$3:$GU$3='Cement and Glass Split'!J$2,'Exiobase A Matrix'!$D$4:$GU$203)))</f>
        <v>1.4094913827572362E-2</v>
      </c>
      <c r="K10">
        <f t="array" ref="K10">SUMPRODUCT(IF('Exiobase A Matrix'!$C$4:$C$203='Cement and Glass Split'!$A10,IF('Exiobase A Matrix'!$D$3:$GU$3='Cement and Glass Split'!K$2,'Exiobase A Matrix'!$D$4:$GU$203)))</f>
        <v>8.3509504641795483E-3</v>
      </c>
      <c r="L10">
        <f t="array" ref="L10">SUMPRODUCT(IF('Exiobase A Matrix'!$C$4:$C$203='Cement and Glass Split'!$A10,IF('Exiobase A Matrix'!$D$3:$GU$3='Cement and Glass Split'!L$2,'Exiobase A Matrix'!$D$4:$GU$203)))</f>
        <v>3.9773668095411559E-3</v>
      </c>
      <c r="M10">
        <f t="array" ref="M10">SUMPRODUCT(IF('Exiobase A Matrix'!$C$4:$C$203='Cement and Glass Split'!$A10,IF('Exiobase A Matrix'!$D$3:$GU$3='Cement and Glass Split'!M$2,'Exiobase A Matrix'!$D$4:$GU$203)))</f>
        <v>0</v>
      </c>
      <c r="N10">
        <f t="array" ref="N10">SUMPRODUCT(IF('Exiobase A Matrix'!$C$4:$C$203='Cement and Glass Split'!$A10,IF('Exiobase A Matrix'!$D$3:$GU$3='Cement and Glass Split'!N$2,'Exiobase A Matrix'!$D$4:$GU$203)))</f>
        <v>8.7315759177656823E-4</v>
      </c>
      <c r="O10">
        <f t="array" ref="O10">SUMPRODUCT(IF('Exiobase A Matrix'!$C$4:$C$203='Cement and Glass Split'!$A10,IF('Exiobase A Matrix'!$D$3:$GU$3='Cement and Glass Split'!O$2,'Exiobase A Matrix'!$D$4:$GU$203)))</f>
        <v>5.7058937116652841E-3</v>
      </c>
      <c r="P10">
        <f t="array" ref="P10">SUMPRODUCT(IF('Exiobase A Matrix'!$C$4:$C$203='Cement and Glass Split'!$A10,IF('Exiobase A Matrix'!$D$3:$GU$3='Cement and Glass Split'!P$2,'Exiobase A Matrix'!$D$4:$GU$203)))</f>
        <v>1.8394993790880134E-2</v>
      </c>
      <c r="Q10">
        <f t="array" ref="Q10">SUMPRODUCT(IF('Exiobase A Matrix'!$C$4:$C$203='Cement and Glass Split'!$A10,IF('Exiobase A Matrix'!$D$3:$GU$3='Cement and Glass Split'!Q$2,'Exiobase A Matrix'!$D$4:$GU$203)))</f>
        <v>2.4940125064456679E-4</v>
      </c>
      <c r="R10">
        <f t="array" ref="R10">SUMPRODUCT(IF('Exiobase A Matrix'!$C$4:$C$203='Cement and Glass Split'!$A10,IF('Exiobase A Matrix'!$D$3:$GU$3='Cement and Glass Split'!R$2,'Exiobase A Matrix'!$D$4:$GU$203)))</f>
        <v>2.4937803624806847E-2</v>
      </c>
      <c r="S10">
        <f t="array" ref="S10">SUMPRODUCT(IF('Exiobase A Matrix'!$C$4:$C$203='Cement and Glass Split'!$A10,IF('Exiobase A Matrix'!$D$3:$GU$3='Cement and Glass Split'!S$2,'Exiobase A Matrix'!$D$4:$GU$203)))</f>
        <v>2.9682308284054541E-3</v>
      </c>
      <c r="T10">
        <f t="array" ref="T10">SUMPRODUCT(IF('Exiobase A Matrix'!$C$4:$C$203='Cement and Glass Split'!$A10,IF('Exiobase A Matrix'!$D$3:$GU$3='Cement and Glass Split'!T$2,'Exiobase A Matrix'!$D$4:$GU$203)))</f>
        <v>2.2803961631755491E-3</v>
      </c>
      <c r="U10">
        <f t="array" ref="U10">SUMPRODUCT(IF('Exiobase A Matrix'!$C$4:$C$203='Cement and Glass Split'!$A10,IF('Exiobase A Matrix'!$D$3:$GU$3='Cement and Glass Split'!U$2,'Exiobase A Matrix'!$D$4:$GU$203)))</f>
        <v>2.6259812853788515E-3</v>
      </c>
      <c r="V10">
        <f t="array" ref="V10">SUMPRODUCT(IF('Exiobase A Matrix'!$C$4:$C$203='Cement and Glass Split'!$A10,IF('Exiobase A Matrix'!$D$3:$GU$3='Cement and Glass Split'!V$2,'Exiobase A Matrix'!$D$4:$GU$203)))</f>
        <v>2.7206156947839296E-3</v>
      </c>
      <c r="W10">
        <f t="array" ref="W10">SUMPRODUCT(IF('Exiobase A Matrix'!$C$4:$C$203='Cement and Glass Split'!$A10,IF('Exiobase A Matrix'!$D$3:$GU$3='Cement and Glass Split'!W$2,'Exiobase A Matrix'!$D$4:$GU$203)))</f>
        <v>7.8274213399845297E-4</v>
      </c>
      <c r="X10">
        <f t="array" ref="X10">SUMPRODUCT(IF('Exiobase A Matrix'!$C$4:$C$203='Cement and Glass Split'!$A10,IF('Exiobase A Matrix'!$D$3:$GU$3='Cement and Glass Split'!X$2,'Exiobase A Matrix'!$D$4:$GU$203)))</f>
        <v>1.8970627578108713E-3</v>
      </c>
      <c r="Y10">
        <f t="array" ref="Y10">SUMPRODUCT(IF('Exiobase A Matrix'!$C$4:$C$203='Cement and Glass Split'!$A10,IF('Exiobase A Matrix'!$D$3:$GU$3='Cement and Glass Split'!Y$2,'Exiobase A Matrix'!$D$4:$GU$203)))</f>
        <v>5.1934073627711519E-2</v>
      </c>
      <c r="Z10">
        <f t="array" ref="Z10">SUMPRODUCT(IF('Exiobase A Matrix'!$C$4:$C$203='Cement and Glass Split'!$A10,IF('Exiobase A Matrix'!$D$3:$GU$3='Cement and Glass Split'!Z$2,'Exiobase A Matrix'!$D$4:$GU$203)))</f>
        <v>0.1038498455039092</v>
      </c>
      <c r="AA10">
        <f t="array" ref="AA10">SUMPRODUCT(IF('Exiobase A Matrix'!$C$4:$C$203='Cement and Glass Split'!$A10,IF('Exiobase A Matrix'!$D$3:$GU$3='Cement and Glass Split'!AA$2,'Exiobase A Matrix'!$D$4:$GU$203)))</f>
        <v>0</v>
      </c>
      <c r="AB10">
        <f t="array" ref="AB10">SUMPRODUCT(IF('Exiobase A Matrix'!$C$4:$C$203='Cement and Glass Split'!$A10,IF('Exiobase A Matrix'!$D$3:$GU$3='Cement and Glass Split'!AB$2,'Exiobase A Matrix'!$D$4:$GU$203)))</f>
        <v>8.2630470493736812E-5</v>
      </c>
      <c r="AC10">
        <f t="array" ref="AC10">SUMPRODUCT(IF('Exiobase A Matrix'!$C$4:$C$203='Cement and Glass Split'!$A10,IF('Exiobase A Matrix'!$D$3:$GU$3='Cement and Glass Split'!AC$2,'Exiobase A Matrix'!$D$4:$GU$203)))</f>
        <v>1.0082507023815001E-2</v>
      </c>
      <c r="AD10">
        <f t="array" ref="AD10">SUMPRODUCT(IF('Exiobase A Matrix'!$C$4:$C$203='Cement and Glass Split'!$A10,IF('Exiobase A Matrix'!$D$3:$GU$3='Cement and Glass Split'!AD$2,'Exiobase A Matrix'!$D$4:$GU$203)))</f>
        <v>1.6662243055033552E-8</v>
      </c>
      <c r="AE10">
        <f t="array" ref="AE10">SUMPRODUCT(IF('Exiobase A Matrix'!$C$4:$C$203='Cement and Glass Split'!$A10,IF('Exiobase A Matrix'!$D$3:$GU$3='Cement and Glass Split'!AE$2,'Exiobase A Matrix'!$D$4:$GU$203)))</f>
        <v>5.3244771612391019E-4</v>
      </c>
      <c r="AF10">
        <f t="array" ref="AF10">SUMPRODUCT(IF('Exiobase A Matrix'!$C$4:$C$203='Cement and Glass Split'!$A10,IF('Exiobase A Matrix'!$D$3:$GU$3='Cement and Glass Split'!AF$2,'Exiobase A Matrix'!$D$4:$GU$203)))</f>
        <v>2.5575351840361095E-4</v>
      </c>
      <c r="AG10">
        <f t="array" ref="AG10">SUMPRODUCT(IF('Exiobase A Matrix'!$C$4:$C$203='Cement and Glass Split'!$A10,IF('Exiobase A Matrix'!$D$3:$GU$3='Cement and Glass Split'!AG$2,'Exiobase A Matrix'!$D$4:$GU$203)))</f>
        <v>0</v>
      </c>
      <c r="AH10">
        <f t="array" ref="AH10">SUMPRODUCT(IF('Exiobase A Matrix'!$C$4:$C$203='Cement and Glass Split'!$A10,IF('Exiobase A Matrix'!$D$3:$GU$3='Cement and Glass Split'!AH$2,'Exiobase A Matrix'!$D$4:$GU$203)))</f>
        <v>1.5868658514418092E-10</v>
      </c>
      <c r="AI10">
        <f t="array" ref="AI10">SUMPRODUCT(IF('Exiobase A Matrix'!$C$4:$C$203='Cement and Glass Split'!$A10,IF('Exiobase A Matrix'!$D$3:$GU$3='Cement and Glass Split'!AI$2,'Exiobase A Matrix'!$D$4:$GU$203)))</f>
        <v>2.1452845268197989E-5</v>
      </c>
      <c r="AJ10">
        <f t="array" ref="AJ10">SUMPRODUCT(IF('Exiobase A Matrix'!$C$4:$C$203='Cement and Glass Split'!$A10,IF('Exiobase A Matrix'!$D$3:$GU$3='Cement and Glass Split'!AJ$2,'Exiobase A Matrix'!$D$4:$GU$203)))</f>
        <v>3.1368908732053913E-6</v>
      </c>
      <c r="AK10">
        <f t="array" ref="AK10">SUMPRODUCT(IF('Exiobase A Matrix'!$C$4:$C$203='Cement and Glass Split'!$A10,IF('Exiobase A Matrix'!$D$3:$GU$3='Cement and Glass Split'!AK$2,'Exiobase A Matrix'!$D$4:$GU$203)))</f>
        <v>3.164248474106648E-5</v>
      </c>
      <c r="AL10">
        <f t="array" ref="AL10">SUMPRODUCT(IF('Exiobase A Matrix'!$C$4:$C$203='Cement and Glass Split'!$A10,IF('Exiobase A Matrix'!$D$3:$GU$3='Cement and Glass Split'!AL$2,'Exiobase A Matrix'!$D$4:$GU$203)))</f>
        <v>3.0972760698800596E-4</v>
      </c>
      <c r="AM10">
        <f t="array" ref="AM10">SUMPRODUCT(IF('Exiobase A Matrix'!$C$4:$C$203='Cement and Glass Split'!$A10,IF('Exiobase A Matrix'!$D$3:$GU$3='Cement and Glass Split'!AM$2,'Exiobase A Matrix'!$D$4:$GU$203)))</f>
        <v>4.1356966015841223E-6</v>
      </c>
      <c r="AN10">
        <f t="array" ref="AN10">SUMPRODUCT(IF('Exiobase A Matrix'!$C$4:$C$203='Cement and Glass Split'!$A10,IF('Exiobase A Matrix'!$D$3:$GU$3='Cement and Glass Split'!AN$2,'Exiobase A Matrix'!$D$4:$GU$203)))</f>
        <v>3.4193178211455928E-4</v>
      </c>
      <c r="AO10">
        <f t="array" ref="AO10">SUMPRODUCT(IF('Exiobase A Matrix'!$C$4:$C$203='Cement and Glass Split'!$A10,IF('Exiobase A Matrix'!$D$3:$GU$3='Cement and Glass Split'!AO$2,'Exiobase A Matrix'!$D$4:$GU$203)))</f>
        <v>3.7063121726641917E-4</v>
      </c>
      <c r="AP10">
        <f t="array" ref="AP10">SUMPRODUCT(IF('Exiobase A Matrix'!$C$4:$C$203='Cement and Glass Split'!$A10,IF('Exiobase A Matrix'!$D$3:$GU$3='Cement and Glass Split'!AP$2,'Exiobase A Matrix'!$D$4:$GU$203)))</f>
        <v>1.1528119289614133E-3</v>
      </c>
      <c r="AQ10">
        <f t="array" ref="AQ10">SUMPRODUCT(IF('Exiobase A Matrix'!$C$4:$C$203='Cement and Glass Split'!$A10,IF('Exiobase A Matrix'!$D$3:$GU$3='Cement and Glass Split'!AQ$2,'Exiobase A Matrix'!$D$4:$GU$203)))</f>
        <v>0</v>
      </c>
    </row>
    <row r="11" spans="1:43">
      <c r="A11" t="s">
        <v>10</v>
      </c>
      <c r="B11">
        <f t="array" ref="B11">SUMPRODUCT(IF('Exiobase A Matrix'!$C$4:$C$203='Cement and Glass Split'!$A11,IF('Exiobase A Matrix'!$D$3:$GU$3='Cement and Glass Split'!B$2,'Exiobase A Matrix'!$D$4:$GU$203)))</f>
        <v>3.7372673313038986E-2</v>
      </c>
      <c r="C11">
        <f t="array" ref="C11">SUMPRODUCT(IF('Exiobase A Matrix'!$C$4:$C$203='Cement and Glass Split'!$A11,IF('Exiobase A Matrix'!$D$3:$GU$3='Cement and Glass Split'!C$2,'Exiobase A Matrix'!$D$4:$GU$203)))</f>
        <v>7.6277764779333814E-4</v>
      </c>
      <c r="D11">
        <f t="array" ref="D11">SUMPRODUCT(IF('Exiobase A Matrix'!$C$4:$C$203='Cement and Glass Split'!$A11,IF('Exiobase A Matrix'!$D$3:$GU$3='Cement and Glass Split'!D$2,'Exiobase A Matrix'!$D$4:$GU$203)))</f>
        <v>3.6911328251608838E-6</v>
      </c>
      <c r="E11">
        <f t="array" ref="E11">SUMPRODUCT(IF('Exiobase A Matrix'!$C$4:$C$203='Cement and Glass Split'!$A11,IF('Exiobase A Matrix'!$D$3:$GU$3='Cement and Glass Split'!E$2,'Exiobase A Matrix'!$D$4:$GU$203)))</f>
        <v>5.038351101341234E-4</v>
      </c>
      <c r="F11">
        <f t="array" ref="F11">SUMPRODUCT(IF('Exiobase A Matrix'!$C$4:$C$203='Cement and Glass Split'!$A11,IF('Exiobase A Matrix'!$D$3:$GU$3='Cement and Glass Split'!F$2,'Exiobase A Matrix'!$D$4:$GU$203)))</f>
        <v>0</v>
      </c>
      <c r="G11">
        <f t="array" ref="G11">SUMPRODUCT(IF('Exiobase A Matrix'!$C$4:$C$203='Cement and Glass Split'!$A11,IF('Exiobase A Matrix'!$D$3:$GU$3='Cement and Glass Split'!G$2,'Exiobase A Matrix'!$D$4:$GU$203)))</f>
        <v>0.20700850834324866</v>
      </c>
      <c r="H11">
        <f t="array" ref="H11">SUMPRODUCT(IF('Exiobase A Matrix'!$C$4:$C$203='Cement and Glass Split'!$A11,IF('Exiobase A Matrix'!$D$3:$GU$3='Cement and Glass Split'!H$2,'Exiobase A Matrix'!$D$4:$GU$203)))</f>
        <v>4.7180454828540316E-2</v>
      </c>
      <c r="I11">
        <f t="array" ref="I11">SUMPRODUCT(IF('Exiobase A Matrix'!$C$4:$C$203='Cement and Glass Split'!$A11,IF('Exiobase A Matrix'!$D$3:$GU$3='Cement and Glass Split'!I$2,'Exiobase A Matrix'!$D$4:$GU$203)))</f>
        <v>9.0697457404622719E-3</v>
      </c>
      <c r="J11">
        <f t="array" ref="J11">SUMPRODUCT(IF('Exiobase A Matrix'!$C$4:$C$203='Cement and Glass Split'!$A11,IF('Exiobase A Matrix'!$D$3:$GU$3='Cement and Glass Split'!J$2,'Exiobase A Matrix'!$D$4:$GU$203)))</f>
        <v>0.52709948339575985</v>
      </c>
      <c r="K11">
        <f t="array" ref="K11">SUMPRODUCT(IF('Exiobase A Matrix'!$C$4:$C$203='Cement and Glass Split'!$A11,IF('Exiobase A Matrix'!$D$3:$GU$3='Cement and Glass Split'!K$2,'Exiobase A Matrix'!$D$4:$GU$203)))</f>
        <v>4.1183672990884282E-2</v>
      </c>
      <c r="L11">
        <f t="array" ref="L11">SUMPRODUCT(IF('Exiobase A Matrix'!$C$4:$C$203='Cement and Glass Split'!$A11,IF('Exiobase A Matrix'!$D$3:$GU$3='Cement and Glass Split'!L$2,'Exiobase A Matrix'!$D$4:$GU$203)))</f>
        <v>3.0106384438601565E-2</v>
      </c>
      <c r="M11">
        <f t="array" ref="M11">SUMPRODUCT(IF('Exiobase A Matrix'!$C$4:$C$203='Cement and Glass Split'!$A11,IF('Exiobase A Matrix'!$D$3:$GU$3='Cement and Glass Split'!M$2,'Exiobase A Matrix'!$D$4:$GU$203)))</f>
        <v>0</v>
      </c>
      <c r="N11">
        <f t="array" ref="N11">SUMPRODUCT(IF('Exiobase A Matrix'!$C$4:$C$203='Cement and Glass Split'!$A11,IF('Exiobase A Matrix'!$D$3:$GU$3='Cement and Glass Split'!N$2,'Exiobase A Matrix'!$D$4:$GU$203)))</f>
        <v>1.1648513760092192E-2</v>
      </c>
      <c r="O11">
        <f t="array" ref="O11">SUMPRODUCT(IF('Exiobase A Matrix'!$C$4:$C$203='Cement and Glass Split'!$A11,IF('Exiobase A Matrix'!$D$3:$GU$3='Cement and Glass Split'!O$2,'Exiobase A Matrix'!$D$4:$GU$203)))</f>
        <v>1.2033955340091954E-2</v>
      </c>
      <c r="P11">
        <f t="array" ref="P11">SUMPRODUCT(IF('Exiobase A Matrix'!$C$4:$C$203='Cement and Glass Split'!$A11,IF('Exiobase A Matrix'!$D$3:$GU$3='Cement and Glass Split'!P$2,'Exiobase A Matrix'!$D$4:$GU$203)))</f>
        <v>6.5627481326866063E-2</v>
      </c>
      <c r="Q11">
        <f t="array" ref="Q11">SUMPRODUCT(IF('Exiobase A Matrix'!$C$4:$C$203='Cement and Glass Split'!$A11,IF('Exiobase A Matrix'!$D$3:$GU$3='Cement and Glass Split'!Q$2,'Exiobase A Matrix'!$D$4:$GU$203)))</f>
        <v>2.0335379011809961E-4</v>
      </c>
      <c r="R11">
        <f t="array" ref="R11">SUMPRODUCT(IF('Exiobase A Matrix'!$C$4:$C$203='Cement and Glass Split'!$A11,IF('Exiobase A Matrix'!$D$3:$GU$3='Cement and Glass Split'!R$2,'Exiobase A Matrix'!$D$4:$GU$203)))</f>
        <v>6.123347100634953E-3</v>
      </c>
      <c r="S11">
        <f t="array" ref="S11">SUMPRODUCT(IF('Exiobase A Matrix'!$C$4:$C$203='Cement and Glass Split'!$A11,IF('Exiobase A Matrix'!$D$3:$GU$3='Cement and Glass Split'!S$2,'Exiobase A Matrix'!$D$4:$GU$203)))</f>
        <v>5.803335367495048E-3</v>
      </c>
      <c r="T11">
        <f t="array" ref="T11">SUMPRODUCT(IF('Exiobase A Matrix'!$C$4:$C$203='Cement and Glass Split'!$A11,IF('Exiobase A Matrix'!$D$3:$GU$3='Cement and Glass Split'!T$2,'Exiobase A Matrix'!$D$4:$GU$203)))</f>
        <v>1.5666341750405825E-2</v>
      </c>
      <c r="U11">
        <f t="array" ref="U11">SUMPRODUCT(IF('Exiobase A Matrix'!$C$4:$C$203='Cement and Glass Split'!$A11,IF('Exiobase A Matrix'!$D$3:$GU$3='Cement and Glass Split'!U$2,'Exiobase A Matrix'!$D$4:$GU$203)))</f>
        <v>1.1624539154354473E-2</v>
      </c>
      <c r="V11">
        <f t="array" ref="V11">SUMPRODUCT(IF('Exiobase A Matrix'!$C$4:$C$203='Cement and Glass Split'!$A11,IF('Exiobase A Matrix'!$D$3:$GU$3='Cement and Glass Split'!V$2,'Exiobase A Matrix'!$D$4:$GU$203)))</f>
        <v>2.5843833788491994E-3</v>
      </c>
      <c r="W11">
        <f t="array" ref="W11">SUMPRODUCT(IF('Exiobase A Matrix'!$C$4:$C$203='Cement and Glass Split'!$A11,IF('Exiobase A Matrix'!$D$3:$GU$3='Cement and Glass Split'!W$2,'Exiobase A Matrix'!$D$4:$GU$203)))</f>
        <v>6.3730778651201019E-4</v>
      </c>
      <c r="X11">
        <f t="array" ref="X11">SUMPRODUCT(IF('Exiobase A Matrix'!$C$4:$C$203='Cement and Glass Split'!$A11,IF('Exiobase A Matrix'!$D$3:$GU$3='Cement and Glass Split'!X$2,'Exiobase A Matrix'!$D$4:$GU$203)))</f>
        <v>5.5074925126871667E-4</v>
      </c>
      <c r="Y11">
        <f t="array" ref="Y11">SUMPRODUCT(IF('Exiobase A Matrix'!$C$4:$C$203='Cement and Glass Split'!$A11,IF('Exiobase A Matrix'!$D$3:$GU$3='Cement and Glass Split'!Y$2,'Exiobase A Matrix'!$D$4:$GU$203)))</f>
        <v>1.4110190167781686E-2</v>
      </c>
      <c r="Z11">
        <f t="array" ref="Z11">SUMPRODUCT(IF('Exiobase A Matrix'!$C$4:$C$203='Cement and Glass Split'!$A11,IF('Exiobase A Matrix'!$D$3:$GU$3='Cement and Glass Split'!Z$2,'Exiobase A Matrix'!$D$4:$GU$203)))</f>
        <v>3.5849879234409114E-3</v>
      </c>
      <c r="AA11">
        <f t="array" ref="AA11">SUMPRODUCT(IF('Exiobase A Matrix'!$C$4:$C$203='Cement and Glass Split'!$A11,IF('Exiobase A Matrix'!$D$3:$GU$3='Cement and Glass Split'!AA$2,'Exiobase A Matrix'!$D$4:$GU$203)))</f>
        <v>1.5270011651579175E-6</v>
      </c>
      <c r="AB11">
        <f t="array" ref="AB11">SUMPRODUCT(IF('Exiobase A Matrix'!$C$4:$C$203='Cement and Glass Split'!$A11,IF('Exiobase A Matrix'!$D$3:$GU$3='Cement and Glass Split'!AB$2,'Exiobase A Matrix'!$D$4:$GU$203)))</f>
        <v>1.7548272406191764E-2</v>
      </c>
      <c r="AC11">
        <f t="array" ref="AC11">SUMPRODUCT(IF('Exiobase A Matrix'!$C$4:$C$203='Cement and Glass Split'!$A11,IF('Exiobase A Matrix'!$D$3:$GU$3='Cement and Glass Split'!AC$2,'Exiobase A Matrix'!$D$4:$GU$203)))</f>
        <v>2.1641610262480428E-3</v>
      </c>
      <c r="AD11">
        <f t="array" ref="AD11">SUMPRODUCT(IF('Exiobase A Matrix'!$C$4:$C$203='Cement and Glass Split'!$A11,IF('Exiobase A Matrix'!$D$3:$GU$3='Cement and Glass Split'!AD$2,'Exiobase A Matrix'!$D$4:$GU$203)))</f>
        <v>4.8973124594229014E-8</v>
      </c>
      <c r="AE11">
        <f t="array" ref="AE11">SUMPRODUCT(IF('Exiobase A Matrix'!$C$4:$C$203='Cement and Glass Split'!$A11,IF('Exiobase A Matrix'!$D$3:$GU$3='Cement and Glass Split'!AE$2,'Exiobase A Matrix'!$D$4:$GU$203)))</f>
        <v>2.165611168446554E-3</v>
      </c>
      <c r="AF11">
        <f t="array" ref="AF11">SUMPRODUCT(IF('Exiobase A Matrix'!$C$4:$C$203='Cement and Glass Split'!$A11,IF('Exiobase A Matrix'!$D$3:$GU$3='Cement and Glass Split'!AF$2,'Exiobase A Matrix'!$D$4:$GU$203)))</f>
        <v>2.4512791563986594E-3</v>
      </c>
      <c r="AG11">
        <f t="array" ref="AG11">SUMPRODUCT(IF('Exiobase A Matrix'!$C$4:$C$203='Cement and Glass Split'!$A11,IF('Exiobase A Matrix'!$D$3:$GU$3='Cement and Glass Split'!AG$2,'Exiobase A Matrix'!$D$4:$GU$203)))</f>
        <v>0</v>
      </c>
      <c r="AH11">
        <f t="array" ref="AH11">SUMPRODUCT(IF('Exiobase A Matrix'!$C$4:$C$203='Cement and Glass Split'!$A11,IF('Exiobase A Matrix'!$D$3:$GU$3='Cement and Glass Split'!AH$2,'Exiobase A Matrix'!$D$4:$GU$203)))</f>
        <v>3.4076036063064697E-10</v>
      </c>
      <c r="AI11">
        <f t="array" ref="AI11">SUMPRODUCT(IF('Exiobase A Matrix'!$C$4:$C$203='Cement and Glass Split'!$A11,IF('Exiobase A Matrix'!$D$3:$GU$3='Cement and Glass Split'!AI$2,'Exiobase A Matrix'!$D$4:$GU$203)))</f>
        <v>3.0948085919668446E-3</v>
      </c>
      <c r="AJ11">
        <f t="array" ref="AJ11">SUMPRODUCT(IF('Exiobase A Matrix'!$C$4:$C$203='Cement and Glass Split'!$A11,IF('Exiobase A Matrix'!$D$3:$GU$3='Cement and Glass Split'!AJ$2,'Exiobase A Matrix'!$D$4:$GU$203)))</f>
        <v>1.6681560914043402E-2</v>
      </c>
      <c r="AK11">
        <f t="array" ref="AK11">SUMPRODUCT(IF('Exiobase A Matrix'!$C$4:$C$203='Cement and Glass Split'!$A11,IF('Exiobase A Matrix'!$D$3:$GU$3='Cement and Glass Split'!AK$2,'Exiobase A Matrix'!$D$4:$GU$203)))</f>
        <v>1.1881815970894525E-3</v>
      </c>
      <c r="AL11">
        <f t="array" ref="AL11">SUMPRODUCT(IF('Exiobase A Matrix'!$C$4:$C$203='Cement and Glass Split'!$A11,IF('Exiobase A Matrix'!$D$3:$GU$3='Cement and Glass Split'!AL$2,'Exiobase A Matrix'!$D$4:$GU$203)))</f>
        <v>1.7065313111939703E-2</v>
      </c>
      <c r="AM11">
        <f t="array" ref="AM11">SUMPRODUCT(IF('Exiobase A Matrix'!$C$4:$C$203='Cement and Glass Split'!$A11,IF('Exiobase A Matrix'!$D$3:$GU$3='Cement and Glass Split'!AM$2,'Exiobase A Matrix'!$D$4:$GU$203)))</f>
        <v>4.2424347456409429E-3</v>
      </c>
      <c r="AN11">
        <f t="array" ref="AN11">SUMPRODUCT(IF('Exiobase A Matrix'!$C$4:$C$203='Cement and Glass Split'!$A11,IF('Exiobase A Matrix'!$D$3:$GU$3='Cement and Glass Split'!AN$2,'Exiobase A Matrix'!$D$4:$GU$203)))</f>
        <v>1.0721266196020525E-2</v>
      </c>
      <c r="AO11">
        <f t="array" ref="AO11">SUMPRODUCT(IF('Exiobase A Matrix'!$C$4:$C$203='Cement and Glass Split'!$A11,IF('Exiobase A Matrix'!$D$3:$GU$3='Cement and Glass Split'!AO$2,'Exiobase A Matrix'!$D$4:$GU$203)))</f>
        <v>3.2699385006813297E-3</v>
      </c>
      <c r="AP11">
        <f t="array" ref="AP11">SUMPRODUCT(IF('Exiobase A Matrix'!$C$4:$C$203='Cement and Glass Split'!$A11,IF('Exiobase A Matrix'!$D$3:$GU$3='Cement and Glass Split'!AP$2,'Exiobase A Matrix'!$D$4:$GU$203)))</f>
        <v>0.11325391460621083</v>
      </c>
      <c r="AQ11">
        <f t="array" ref="AQ11">SUMPRODUCT(IF('Exiobase A Matrix'!$C$4:$C$203='Cement and Glass Split'!$A11,IF('Exiobase A Matrix'!$D$3:$GU$3='Cement and Glass Split'!AQ$2,'Exiobase A Matrix'!$D$4:$GU$203)))</f>
        <v>2.5245809953376893E-6</v>
      </c>
    </row>
    <row r="12" spans="1:43">
      <c r="A12" t="s">
        <v>11</v>
      </c>
      <c r="B12">
        <f t="array" ref="B12">SUMPRODUCT(IF('Exiobase A Matrix'!$C$4:$C$203='Cement and Glass Split'!$A12,IF('Exiobase A Matrix'!$D$3:$GU$3='Cement and Glass Split'!B$2,'Exiobase A Matrix'!$D$4:$GU$203)))</f>
        <v>5.3814330349276997E-2</v>
      </c>
      <c r="C12">
        <f t="array" ref="C12">SUMPRODUCT(IF('Exiobase A Matrix'!$C$4:$C$203='Cement and Glass Split'!$A12,IF('Exiobase A Matrix'!$D$3:$GU$3='Cement and Glass Split'!C$2,'Exiobase A Matrix'!$D$4:$GU$203)))</f>
        <v>3.2725349927402079E-4</v>
      </c>
      <c r="D12">
        <f t="array" ref="D12">SUMPRODUCT(IF('Exiobase A Matrix'!$C$4:$C$203='Cement and Glass Split'!$A12,IF('Exiobase A Matrix'!$D$3:$GU$3='Cement and Glass Split'!D$2,'Exiobase A Matrix'!$D$4:$GU$203)))</f>
        <v>5.1871057221367054E-5</v>
      </c>
      <c r="E12">
        <f t="array" ref="E12">SUMPRODUCT(IF('Exiobase A Matrix'!$C$4:$C$203='Cement and Glass Split'!$A12,IF('Exiobase A Matrix'!$D$3:$GU$3='Cement and Glass Split'!E$2,'Exiobase A Matrix'!$D$4:$GU$203)))</f>
        <v>2.4987464900373613E-2</v>
      </c>
      <c r="F12">
        <f t="array" ref="F12">SUMPRODUCT(IF('Exiobase A Matrix'!$C$4:$C$203='Cement and Glass Split'!$A12,IF('Exiobase A Matrix'!$D$3:$GU$3='Cement and Glass Split'!F$2,'Exiobase A Matrix'!$D$4:$GU$203)))</f>
        <v>0</v>
      </c>
      <c r="G12">
        <f t="array" ref="G12">SUMPRODUCT(IF('Exiobase A Matrix'!$C$4:$C$203='Cement and Glass Split'!$A12,IF('Exiobase A Matrix'!$D$3:$GU$3='Cement and Glass Split'!G$2,'Exiobase A Matrix'!$D$4:$GU$203)))</f>
        <v>4.972888829960438E-3</v>
      </c>
      <c r="H12">
        <f t="array" ref="H12">SUMPRODUCT(IF('Exiobase A Matrix'!$C$4:$C$203='Cement and Glass Split'!$A12,IF('Exiobase A Matrix'!$D$3:$GU$3='Cement and Glass Split'!H$2,'Exiobase A Matrix'!$D$4:$GU$203)))</f>
        <v>1.503245210652214E-3</v>
      </c>
      <c r="I12">
        <f t="array" ref="I12">SUMPRODUCT(IF('Exiobase A Matrix'!$C$4:$C$203='Cement and Glass Split'!$A12,IF('Exiobase A Matrix'!$D$3:$GU$3='Cement and Glass Split'!I$2,'Exiobase A Matrix'!$D$4:$GU$203)))</f>
        <v>1.3251266984804265E-3</v>
      </c>
      <c r="J12">
        <f t="array" ref="J12">SUMPRODUCT(IF('Exiobase A Matrix'!$C$4:$C$203='Cement and Glass Split'!$A12,IF('Exiobase A Matrix'!$D$3:$GU$3='Cement and Glass Split'!J$2,'Exiobase A Matrix'!$D$4:$GU$203)))</f>
        <v>1.3858133882499442E-3</v>
      </c>
      <c r="K12">
        <f t="array" ref="K12">SUMPRODUCT(IF('Exiobase A Matrix'!$C$4:$C$203='Cement and Glass Split'!$A12,IF('Exiobase A Matrix'!$D$3:$GU$3='Cement and Glass Split'!K$2,'Exiobase A Matrix'!$D$4:$GU$203)))</f>
        <v>0.57631314476929674</v>
      </c>
      <c r="L12">
        <f t="array" ref="L12">SUMPRODUCT(IF('Exiobase A Matrix'!$C$4:$C$203='Cement and Glass Split'!$A12,IF('Exiobase A Matrix'!$D$3:$GU$3='Cement and Glass Split'!L$2,'Exiobase A Matrix'!$D$4:$GU$203)))</f>
        <v>0.29650357149438672</v>
      </c>
      <c r="M12">
        <f t="array" ref="M12">SUMPRODUCT(IF('Exiobase A Matrix'!$C$4:$C$203='Cement and Glass Split'!$A12,IF('Exiobase A Matrix'!$D$3:$GU$3='Cement and Glass Split'!M$2,'Exiobase A Matrix'!$D$4:$GU$203)))</f>
        <v>0</v>
      </c>
      <c r="N12">
        <f t="array" ref="N12">SUMPRODUCT(IF('Exiobase A Matrix'!$C$4:$C$203='Cement and Glass Split'!$A12,IF('Exiobase A Matrix'!$D$3:$GU$3='Cement and Glass Split'!N$2,'Exiobase A Matrix'!$D$4:$GU$203)))</f>
        <v>7.8792872566772504E-4</v>
      </c>
      <c r="O12">
        <f t="array" ref="O12">SUMPRODUCT(IF('Exiobase A Matrix'!$C$4:$C$203='Cement and Glass Split'!$A12,IF('Exiobase A Matrix'!$D$3:$GU$3='Cement and Glass Split'!O$2,'Exiobase A Matrix'!$D$4:$GU$203)))</f>
        <v>2.1336489227064635E-3</v>
      </c>
      <c r="P12">
        <f t="array" ref="P12">SUMPRODUCT(IF('Exiobase A Matrix'!$C$4:$C$203='Cement and Glass Split'!$A12,IF('Exiobase A Matrix'!$D$3:$GU$3='Cement and Glass Split'!P$2,'Exiobase A Matrix'!$D$4:$GU$203)))</f>
        <v>9.6861871599265761E-3</v>
      </c>
      <c r="Q12">
        <f t="array" ref="Q12">SUMPRODUCT(IF('Exiobase A Matrix'!$C$4:$C$203='Cement and Glass Split'!$A12,IF('Exiobase A Matrix'!$D$3:$GU$3='Cement and Glass Split'!Q$2,'Exiobase A Matrix'!$D$4:$GU$203)))</f>
        <v>7.4641762719932191E-3</v>
      </c>
      <c r="R12">
        <f t="array" ref="R12">SUMPRODUCT(IF('Exiobase A Matrix'!$C$4:$C$203='Cement and Glass Split'!$A12,IF('Exiobase A Matrix'!$D$3:$GU$3='Cement and Glass Split'!R$2,'Exiobase A Matrix'!$D$4:$GU$203)))</f>
        <v>1.254224544956044E-2</v>
      </c>
      <c r="S12">
        <f t="array" ref="S12">SUMPRODUCT(IF('Exiobase A Matrix'!$C$4:$C$203='Cement and Glass Split'!$A12,IF('Exiobase A Matrix'!$D$3:$GU$3='Cement and Glass Split'!S$2,'Exiobase A Matrix'!$D$4:$GU$203)))</f>
        <v>1.2151869232157704E-3</v>
      </c>
      <c r="T12">
        <f t="array" ref="T12">SUMPRODUCT(IF('Exiobase A Matrix'!$C$4:$C$203='Cement and Glass Split'!$A12,IF('Exiobase A Matrix'!$D$3:$GU$3='Cement and Glass Split'!T$2,'Exiobase A Matrix'!$D$4:$GU$203)))</f>
        <v>1.310782927016104E-3</v>
      </c>
      <c r="U12">
        <f t="array" ref="U12">SUMPRODUCT(IF('Exiobase A Matrix'!$C$4:$C$203='Cement and Glass Split'!$A12,IF('Exiobase A Matrix'!$D$3:$GU$3='Cement and Glass Split'!U$2,'Exiobase A Matrix'!$D$4:$GU$203)))</f>
        <v>7.9057899849474078E-4</v>
      </c>
      <c r="V12">
        <f t="array" ref="V12">SUMPRODUCT(IF('Exiobase A Matrix'!$C$4:$C$203='Cement and Glass Split'!$A12,IF('Exiobase A Matrix'!$D$3:$GU$3='Cement and Glass Split'!V$2,'Exiobase A Matrix'!$D$4:$GU$203)))</f>
        <v>1.0422273663990038E-3</v>
      </c>
      <c r="W12">
        <f t="array" ref="W12">SUMPRODUCT(IF('Exiobase A Matrix'!$C$4:$C$203='Cement and Glass Split'!$A12,IF('Exiobase A Matrix'!$D$3:$GU$3='Cement and Glass Split'!W$2,'Exiobase A Matrix'!$D$4:$GU$203)))</f>
        <v>2.6796245639733172E-4</v>
      </c>
      <c r="X12">
        <f t="array" ref="X12">SUMPRODUCT(IF('Exiobase A Matrix'!$C$4:$C$203='Cement and Glass Split'!$A12,IF('Exiobase A Matrix'!$D$3:$GU$3='Cement and Glass Split'!X$2,'Exiobase A Matrix'!$D$4:$GU$203)))</f>
        <v>4.7541686690017945E-4</v>
      </c>
      <c r="Y12">
        <f t="array" ref="Y12">SUMPRODUCT(IF('Exiobase A Matrix'!$C$4:$C$203='Cement and Glass Split'!$A12,IF('Exiobase A Matrix'!$D$3:$GU$3='Cement and Glass Split'!Y$2,'Exiobase A Matrix'!$D$4:$GU$203)))</f>
        <v>2.4122465311072795E-3</v>
      </c>
      <c r="Z12">
        <f t="array" ref="Z12">SUMPRODUCT(IF('Exiobase A Matrix'!$C$4:$C$203='Cement and Glass Split'!$A12,IF('Exiobase A Matrix'!$D$3:$GU$3='Cement and Glass Split'!Z$2,'Exiobase A Matrix'!$D$4:$GU$203)))</f>
        <v>6.6392321208974356E-2</v>
      </c>
      <c r="AA12">
        <f t="array" ref="AA12">SUMPRODUCT(IF('Exiobase A Matrix'!$C$4:$C$203='Cement and Glass Split'!$A12,IF('Exiobase A Matrix'!$D$3:$GU$3='Cement and Glass Split'!AA$2,'Exiobase A Matrix'!$D$4:$GU$203)))</f>
        <v>2.2429880178040087E-3</v>
      </c>
      <c r="AB12">
        <f t="array" ref="AB12">SUMPRODUCT(IF('Exiobase A Matrix'!$C$4:$C$203='Cement and Glass Split'!$A12,IF('Exiobase A Matrix'!$D$3:$GU$3='Cement and Glass Split'!AB$2,'Exiobase A Matrix'!$D$4:$GU$203)))</f>
        <v>0.11032250732150925</v>
      </c>
      <c r="AC12">
        <f t="array" ref="AC12">SUMPRODUCT(IF('Exiobase A Matrix'!$C$4:$C$203='Cement and Glass Split'!$A12,IF('Exiobase A Matrix'!$D$3:$GU$3='Cement and Glass Split'!AC$2,'Exiobase A Matrix'!$D$4:$GU$203)))</f>
        <v>1.5221435986885161E-2</v>
      </c>
      <c r="AD12">
        <f t="array" ref="AD12">SUMPRODUCT(IF('Exiobase A Matrix'!$C$4:$C$203='Cement and Glass Split'!$A12,IF('Exiobase A Matrix'!$D$3:$GU$3='Cement and Glass Split'!AD$2,'Exiobase A Matrix'!$D$4:$GU$203)))</f>
        <v>1.4940779300836532E-7</v>
      </c>
      <c r="AE12">
        <f t="array" ref="AE12">SUMPRODUCT(IF('Exiobase A Matrix'!$C$4:$C$203='Cement and Glass Split'!$A12,IF('Exiobase A Matrix'!$D$3:$GU$3='Cement and Glass Split'!AE$2,'Exiobase A Matrix'!$D$4:$GU$203)))</f>
        <v>5.7520594127946342E-2</v>
      </c>
      <c r="AF12">
        <f t="array" ref="AF12">SUMPRODUCT(IF('Exiobase A Matrix'!$C$4:$C$203='Cement and Glass Split'!$A12,IF('Exiobase A Matrix'!$D$3:$GU$3='Cement and Glass Split'!AF$2,'Exiobase A Matrix'!$D$4:$GU$203)))</f>
        <v>2.6537767915216608E-3</v>
      </c>
      <c r="AG12">
        <f t="array" ref="AG12">SUMPRODUCT(IF('Exiobase A Matrix'!$C$4:$C$203='Cement and Glass Split'!$A12,IF('Exiobase A Matrix'!$D$3:$GU$3='Cement and Glass Split'!AG$2,'Exiobase A Matrix'!$D$4:$GU$203)))</f>
        <v>0</v>
      </c>
      <c r="AH12">
        <f t="array" ref="AH12">SUMPRODUCT(IF('Exiobase A Matrix'!$C$4:$C$203='Cement and Glass Split'!$A12,IF('Exiobase A Matrix'!$D$3:$GU$3='Cement and Glass Split'!AH$2,'Exiobase A Matrix'!$D$4:$GU$203)))</f>
        <v>1.0771901700366724E-9</v>
      </c>
      <c r="AI12">
        <f t="array" ref="AI12">SUMPRODUCT(IF('Exiobase A Matrix'!$C$4:$C$203='Cement and Glass Split'!$A12,IF('Exiobase A Matrix'!$D$3:$GU$3='Cement and Glass Split'!AI$2,'Exiobase A Matrix'!$D$4:$GU$203)))</f>
        <v>1.963733200764019E-5</v>
      </c>
      <c r="AJ12">
        <f t="array" ref="AJ12">SUMPRODUCT(IF('Exiobase A Matrix'!$C$4:$C$203='Cement and Glass Split'!$A12,IF('Exiobase A Matrix'!$D$3:$GU$3='Cement and Glass Split'!AJ$2,'Exiobase A Matrix'!$D$4:$GU$203)))</f>
        <v>1.3746217358845294E-3</v>
      </c>
      <c r="AK12">
        <f t="array" ref="AK12">SUMPRODUCT(IF('Exiobase A Matrix'!$C$4:$C$203='Cement and Glass Split'!$A12,IF('Exiobase A Matrix'!$D$3:$GU$3='Cement and Glass Split'!AK$2,'Exiobase A Matrix'!$D$4:$GU$203)))</f>
        <v>3.264877480404309E-4</v>
      </c>
      <c r="AL12">
        <f t="array" ref="AL12">SUMPRODUCT(IF('Exiobase A Matrix'!$C$4:$C$203='Cement and Glass Split'!$A12,IF('Exiobase A Matrix'!$D$3:$GU$3='Cement and Glass Split'!AL$2,'Exiobase A Matrix'!$D$4:$GU$203)))</f>
        <v>1.9698136860490701E-2</v>
      </c>
      <c r="AM12">
        <f t="array" ref="AM12">SUMPRODUCT(IF('Exiobase A Matrix'!$C$4:$C$203='Cement and Glass Split'!$A12,IF('Exiobase A Matrix'!$D$3:$GU$3='Cement and Glass Split'!AM$2,'Exiobase A Matrix'!$D$4:$GU$203)))</f>
        <v>2.7259809217305511E-3</v>
      </c>
      <c r="AN12">
        <f t="array" ref="AN12">SUMPRODUCT(IF('Exiobase A Matrix'!$C$4:$C$203='Cement and Glass Split'!$A12,IF('Exiobase A Matrix'!$D$3:$GU$3='Cement and Glass Split'!AN$2,'Exiobase A Matrix'!$D$4:$GU$203)))</f>
        <v>8.1818160048991277E-3</v>
      </c>
      <c r="AO12">
        <f t="array" ref="AO12">SUMPRODUCT(IF('Exiobase A Matrix'!$C$4:$C$203='Cement and Glass Split'!$A12,IF('Exiobase A Matrix'!$D$3:$GU$3='Cement and Glass Split'!AO$2,'Exiobase A Matrix'!$D$4:$GU$203)))</f>
        <v>3.5589022745446271E-3</v>
      </c>
      <c r="AP12">
        <f t="array" ref="AP12">SUMPRODUCT(IF('Exiobase A Matrix'!$C$4:$C$203='Cement and Glass Split'!$A12,IF('Exiobase A Matrix'!$D$3:$GU$3='Cement and Glass Split'!AP$2,'Exiobase A Matrix'!$D$4:$GU$203)))</f>
        <v>1.1093789494278604E-2</v>
      </c>
      <c r="AQ12">
        <f t="array" ref="AQ12">SUMPRODUCT(IF('Exiobase A Matrix'!$C$4:$C$203='Cement and Glass Split'!$A12,IF('Exiobase A Matrix'!$D$3:$GU$3='Cement and Glass Split'!AQ$2,'Exiobase A Matrix'!$D$4:$GU$203)))</f>
        <v>2.2228260836878865E-5</v>
      </c>
    </row>
    <row r="13" spans="1:43">
      <c r="A13" t="s">
        <v>58</v>
      </c>
      <c r="B13">
        <f t="array" ref="B13">SUMPRODUCT(IF('Exiobase A Matrix'!$C$4:$C$203='Cement and Glass Split'!$A13,IF('Exiobase A Matrix'!$D$3:$GU$3='Cement and Glass Split'!B$2,'Exiobase A Matrix'!$D$4:$GU$203)))</f>
        <v>0.76873937875550191</v>
      </c>
      <c r="C13">
        <f t="array" ref="C13">SUMPRODUCT(IF('Exiobase A Matrix'!$C$4:$C$203='Cement and Glass Split'!$A13,IF('Exiobase A Matrix'!$D$3:$GU$3='Cement and Glass Split'!C$2,'Exiobase A Matrix'!$D$4:$GU$203)))</f>
        <v>1.6845496678545356E-3</v>
      </c>
      <c r="D13">
        <f t="array" ref="D13">SUMPRODUCT(IF('Exiobase A Matrix'!$C$4:$C$203='Cement and Glass Split'!$A13,IF('Exiobase A Matrix'!$D$3:$GU$3='Cement and Glass Split'!D$2,'Exiobase A Matrix'!$D$4:$GU$203)))</f>
        <v>5.6474054082238845E-5</v>
      </c>
      <c r="E13">
        <f t="array" ref="E13">SUMPRODUCT(IF('Exiobase A Matrix'!$C$4:$C$203='Cement and Glass Split'!$A13,IF('Exiobase A Matrix'!$D$3:$GU$3='Cement and Glass Split'!E$2,'Exiobase A Matrix'!$D$4:$GU$203)))</f>
        <v>1.1768454173069921E-2</v>
      </c>
      <c r="F13">
        <f t="array" ref="F13">SUMPRODUCT(IF('Exiobase A Matrix'!$C$4:$C$203='Cement and Glass Split'!$A13,IF('Exiobase A Matrix'!$D$3:$GU$3='Cement and Glass Split'!F$2,'Exiobase A Matrix'!$D$4:$GU$203)))</f>
        <v>0</v>
      </c>
      <c r="G13">
        <f t="array" ref="G13">SUMPRODUCT(IF('Exiobase A Matrix'!$C$4:$C$203='Cement and Glass Split'!$A13,IF('Exiobase A Matrix'!$D$3:$GU$3='Cement and Glass Split'!G$2,'Exiobase A Matrix'!$D$4:$GU$203)))</f>
        <v>1.7343473903292123E-2</v>
      </c>
      <c r="H13">
        <f t="array" ref="H13">SUMPRODUCT(IF('Exiobase A Matrix'!$C$4:$C$203='Cement and Glass Split'!$A13,IF('Exiobase A Matrix'!$D$3:$GU$3='Cement and Glass Split'!H$2,'Exiobase A Matrix'!$D$4:$GU$203)))</f>
        <v>5.0300565549479918E-2</v>
      </c>
      <c r="I13">
        <f t="array" ref="I13">SUMPRODUCT(IF('Exiobase A Matrix'!$C$4:$C$203='Cement and Glass Split'!$A13,IF('Exiobase A Matrix'!$D$3:$GU$3='Cement and Glass Split'!I$2,'Exiobase A Matrix'!$D$4:$GU$203)))</f>
        <v>1.951789007536835E-2</v>
      </c>
      <c r="J13">
        <f t="array" ref="J13">SUMPRODUCT(IF('Exiobase A Matrix'!$C$4:$C$203='Cement and Glass Split'!$A13,IF('Exiobase A Matrix'!$D$3:$GU$3='Cement and Glass Split'!J$2,'Exiobase A Matrix'!$D$4:$GU$203)))</f>
        <v>8.6601105810745187E-3</v>
      </c>
      <c r="K13">
        <f t="array" ref="K13">SUMPRODUCT(IF('Exiobase A Matrix'!$C$4:$C$203='Cement and Glass Split'!$A13,IF('Exiobase A Matrix'!$D$3:$GU$3='Cement and Glass Split'!K$2,'Exiobase A Matrix'!$D$4:$GU$203)))</f>
        <v>0.71610271500574596</v>
      </c>
      <c r="L13">
        <f t="array" ref="L13">SUMPRODUCT(IF('Exiobase A Matrix'!$C$4:$C$203='Cement and Glass Split'!$A13,IF('Exiobase A Matrix'!$D$3:$GU$3='Cement and Glass Split'!L$2,'Exiobase A Matrix'!$D$4:$GU$203)))</f>
        <v>1.4323535860437406</v>
      </c>
      <c r="M13">
        <f t="array" ref="M13">SUMPRODUCT(IF('Exiobase A Matrix'!$C$4:$C$203='Cement and Glass Split'!$A13,IF('Exiobase A Matrix'!$D$3:$GU$3='Cement and Glass Split'!M$2,'Exiobase A Matrix'!$D$4:$GU$203)))</f>
        <v>0</v>
      </c>
      <c r="N13">
        <f t="array" ref="N13">SUMPRODUCT(IF('Exiobase A Matrix'!$C$4:$C$203='Cement and Glass Split'!$A13,IF('Exiobase A Matrix'!$D$3:$GU$3='Cement and Glass Split'!N$2,'Exiobase A Matrix'!$D$4:$GU$203)))</f>
        <v>0.17912446126469769</v>
      </c>
      <c r="O13">
        <f t="array" ref="O13">SUMPRODUCT(IF('Exiobase A Matrix'!$C$4:$C$203='Cement and Glass Split'!$A13,IF('Exiobase A Matrix'!$D$3:$GU$3='Cement and Glass Split'!O$2,'Exiobase A Matrix'!$D$4:$GU$203)))</f>
        <v>1.600201406409802E-2</v>
      </c>
      <c r="P13">
        <f t="array" ref="P13">SUMPRODUCT(IF('Exiobase A Matrix'!$C$4:$C$203='Cement and Glass Split'!$A13,IF('Exiobase A Matrix'!$D$3:$GU$3='Cement and Glass Split'!P$2,'Exiobase A Matrix'!$D$4:$GU$203)))</f>
        <v>1.4280004065784437E-3</v>
      </c>
      <c r="Q13">
        <f t="array" ref="Q13">SUMPRODUCT(IF('Exiobase A Matrix'!$C$4:$C$203='Cement and Glass Split'!$A13,IF('Exiobase A Matrix'!$D$3:$GU$3='Cement and Glass Split'!Q$2,'Exiobase A Matrix'!$D$4:$GU$203)))</f>
        <v>5.9367204793764816E-3</v>
      </c>
      <c r="R13">
        <f t="array" ref="R13">SUMPRODUCT(IF('Exiobase A Matrix'!$C$4:$C$203='Cement and Glass Split'!$A13,IF('Exiobase A Matrix'!$D$3:$GU$3='Cement and Glass Split'!R$2,'Exiobase A Matrix'!$D$4:$GU$203)))</f>
        <v>4.1030458204892921E-2</v>
      </c>
      <c r="S13">
        <f t="array" ref="S13">SUMPRODUCT(IF('Exiobase A Matrix'!$C$4:$C$203='Cement and Glass Split'!$A13,IF('Exiobase A Matrix'!$D$3:$GU$3='Cement and Glass Split'!S$2,'Exiobase A Matrix'!$D$4:$GU$203)))</f>
        <v>1.6487692303898571E-2</v>
      </c>
      <c r="T13">
        <f t="array" ref="T13">SUMPRODUCT(IF('Exiobase A Matrix'!$C$4:$C$203='Cement and Glass Split'!$A13,IF('Exiobase A Matrix'!$D$3:$GU$3='Cement and Glass Split'!T$2,'Exiobase A Matrix'!$D$4:$GU$203)))</f>
        <v>3.8981126445816437E-2</v>
      </c>
      <c r="U13">
        <f t="array" ref="U13">SUMPRODUCT(IF('Exiobase A Matrix'!$C$4:$C$203='Cement and Glass Split'!$A13,IF('Exiobase A Matrix'!$D$3:$GU$3='Cement and Glass Split'!U$2,'Exiobase A Matrix'!$D$4:$GU$203)))</f>
        <v>1.345291424783562E-2</v>
      </c>
      <c r="V13">
        <f t="array" ref="V13">SUMPRODUCT(IF('Exiobase A Matrix'!$C$4:$C$203='Cement and Glass Split'!$A13,IF('Exiobase A Matrix'!$D$3:$GU$3='Cement and Glass Split'!V$2,'Exiobase A Matrix'!$D$4:$GU$203)))</f>
        <v>4.6953680072243801E-3</v>
      </c>
      <c r="W13">
        <f t="array" ref="W13">SUMPRODUCT(IF('Exiobase A Matrix'!$C$4:$C$203='Cement and Glass Split'!$A13,IF('Exiobase A Matrix'!$D$3:$GU$3='Cement and Glass Split'!W$2,'Exiobase A Matrix'!$D$4:$GU$203)))</f>
        <v>1.0832202355627971E-3</v>
      </c>
      <c r="X13">
        <f t="array" ref="X13">SUMPRODUCT(IF('Exiobase A Matrix'!$C$4:$C$203='Cement and Glass Split'!$A13,IF('Exiobase A Matrix'!$D$3:$GU$3='Cement and Glass Split'!X$2,'Exiobase A Matrix'!$D$4:$GU$203)))</f>
        <v>1.4025263975327591E-5</v>
      </c>
      <c r="Y13">
        <f t="array" ref="Y13">SUMPRODUCT(IF('Exiobase A Matrix'!$C$4:$C$203='Cement and Glass Split'!$A13,IF('Exiobase A Matrix'!$D$3:$GU$3='Cement and Glass Split'!Y$2,'Exiobase A Matrix'!$D$4:$GU$203)))</f>
        <v>1.4373997504956824E-2</v>
      </c>
      <c r="Z13">
        <f t="array" ref="Z13">SUMPRODUCT(IF('Exiobase A Matrix'!$C$4:$C$203='Cement and Glass Split'!$A13,IF('Exiobase A Matrix'!$D$3:$GU$3='Cement and Glass Split'!Z$2,'Exiobase A Matrix'!$D$4:$GU$203)))</f>
        <v>8.3229450212345096E-2</v>
      </c>
      <c r="AA13">
        <f t="array" ref="AA13">SUMPRODUCT(IF('Exiobase A Matrix'!$C$4:$C$203='Cement and Glass Split'!$A13,IF('Exiobase A Matrix'!$D$3:$GU$3='Cement and Glass Split'!AA$2,'Exiobase A Matrix'!$D$4:$GU$203)))</f>
        <v>2.3194125330058542E-3</v>
      </c>
      <c r="AB13">
        <f t="array" ref="AB13">SUMPRODUCT(IF('Exiobase A Matrix'!$C$4:$C$203='Cement and Glass Split'!$A13,IF('Exiobase A Matrix'!$D$3:$GU$3='Cement and Glass Split'!AB$2,'Exiobase A Matrix'!$D$4:$GU$203)))</f>
        <v>8.4300083075416171E-2</v>
      </c>
      <c r="AC13">
        <f t="array" ref="AC13">SUMPRODUCT(IF('Exiobase A Matrix'!$C$4:$C$203='Cement and Glass Split'!$A13,IF('Exiobase A Matrix'!$D$3:$GU$3='Cement and Glass Split'!AC$2,'Exiobase A Matrix'!$D$4:$GU$203)))</f>
        <v>3.3255388656809699E-3</v>
      </c>
      <c r="AD13">
        <f t="array" ref="AD13">SUMPRODUCT(IF('Exiobase A Matrix'!$C$4:$C$203='Cement and Glass Split'!$A13,IF('Exiobase A Matrix'!$D$3:$GU$3='Cement and Glass Split'!AD$2,'Exiobase A Matrix'!$D$4:$GU$203)))</f>
        <v>4.433823398900866E-8</v>
      </c>
      <c r="AE13">
        <f t="array" ref="AE13">SUMPRODUCT(IF('Exiobase A Matrix'!$C$4:$C$203='Cement and Glass Split'!$A13,IF('Exiobase A Matrix'!$D$3:$GU$3='Cement and Glass Split'!AE$2,'Exiobase A Matrix'!$D$4:$GU$203)))</f>
        <v>3.0340836455099067E-5</v>
      </c>
      <c r="AF13">
        <f t="array" ref="AF13">SUMPRODUCT(IF('Exiobase A Matrix'!$C$4:$C$203='Cement and Glass Split'!$A13,IF('Exiobase A Matrix'!$D$3:$GU$3='Cement and Glass Split'!AF$2,'Exiobase A Matrix'!$D$4:$GU$203)))</f>
        <v>2.4220989180727935E-4</v>
      </c>
      <c r="AG13">
        <f t="array" ref="AG13">SUMPRODUCT(IF('Exiobase A Matrix'!$C$4:$C$203='Cement and Glass Split'!$A13,IF('Exiobase A Matrix'!$D$3:$GU$3='Cement and Glass Split'!AG$2,'Exiobase A Matrix'!$D$4:$GU$203)))</f>
        <v>0</v>
      </c>
      <c r="AH13">
        <f t="array" ref="AH13">SUMPRODUCT(IF('Exiobase A Matrix'!$C$4:$C$203='Cement and Glass Split'!$A13,IF('Exiobase A Matrix'!$D$3:$GU$3='Cement and Glass Split'!AH$2,'Exiobase A Matrix'!$D$4:$GU$203)))</f>
        <v>2.6017747291976731E-10</v>
      </c>
      <c r="AI13">
        <f t="array" ref="AI13">SUMPRODUCT(IF('Exiobase A Matrix'!$C$4:$C$203='Cement and Glass Split'!$A13,IF('Exiobase A Matrix'!$D$3:$GU$3='Cement and Glass Split'!AI$2,'Exiobase A Matrix'!$D$4:$GU$203)))</f>
        <v>1.9991457734250491E-8</v>
      </c>
      <c r="AJ13">
        <f t="array" ref="AJ13">SUMPRODUCT(IF('Exiobase A Matrix'!$C$4:$C$203='Cement and Glass Split'!$A13,IF('Exiobase A Matrix'!$D$3:$GU$3='Cement and Glass Split'!AJ$2,'Exiobase A Matrix'!$D$4:$GU$203)))</f>
        <v>3.387583200906106E-7</v>
      </c>
      <c r="AK13">
        <f t="array" ref="AK13">SUMPRODUCT(IF('Exiobase A Matrix'!$C$4:$C$203='Cement and Glass Split'!$A13,IF('Exiobase A Matrix'!$D$3:$GU$3='Cement and Glass Split'!AK$2,'Exiobase A Matrix'!$D$4:$GU$203)))</f>
        <v>5.8276564654995473E-7</v>
      </c>
      <c r="AL13">
        <f t="array" ref="AL13">SUMPRODUCT(IF('Exiobase A Matrix'!$C$4:$C$203='Cement and Glass Split'!$A13,IF('Exiobase A Matrix'!$D$3:$GU$3='Cement and Glass Split'!AL$2,'Exiobase A Matrix'!$D$4:$GU$203)))</f>
        <v>1.1899327012542643E-2</v>
      </c>
      <c r="AM13">
        <f t="array" ref="AM13">SUMPRODUCT(IF('Exiobase A Matrix'!$C$4:$C$203='Cement and Glass Split'!$A13,IF('Exiobase A Matrix'!$D$3:$GU$3='Cement and Glass Split'!AM$2,'Exiobase A Matrix'!$D$4:$GU$203)))</f>
        <v>1.6913881165771959E-3</v>
      </c>
      <c r="AN13">
        <f t="array" ref="AN13">SUMPRODUCT(IF('Exiobase A Matrix'!$C$4:$C$203='Cement and Glass Split'!$A13,IF('Exiobase A Matrix'!$D$3:$GU$3='Cement and Glass Split'!AN$2,'Exiobase A Matrix'!$D$4:$GU$203)))</f>
        <v>1.1353155396781069E-3</v>
      </c>
      <c r="AO13">
        <f t="array" ref="AO13">SUMPRODUCT(IF('Exiobase A Matrix'!$C$4:$C$203='Cement and Glass Split'!$A13,IF('Exiobase A Matrix'!$D$3:$GU$3='Cement and Glass Split'!AO$2,'Exiobase A Matrix'!$D$4:$GU$203)))</f>
        <v>0.11450314550382497</v>
      </c>
      <c r="AP13">
        <f t="array" ref="AP13">SUMPRODUCT(IF('Exiobase A Matrix'!$C$4:$C$203='Cement and Glass Split'!$A13,IF('Exiobase A Matrix'!$D$3:$GU$3='Cement and Glass Split'!AP$2,'Exiobase A Matrix'!$D$4:$GU$203)))</f>
        <v>1.6774679943483209E-2</v>
      </c>
      <c r="AQ13">
        <f t="array" ref="AQ13">SUMPRODUCT(IF('Exiobase A Matrix'!$C$4:$C$203='Cement and Glass Split'!$A13,IF('Exiobase A Matrix'!$D$3:$GU$3='Cement and Glass Split'!AQ$2,'Exiobase A Matrix'!$D$4:$GU$203)))</f>
        <v>1.0529027915056225E-4</v>
      </c>
    </row>
    <row r="14" spans="1:43">
      <c r="A14" t="s">
        <v>59</v>
      </c>
      <c r="B14">
        <f t="array" ref="B14">SUMPRODUCT(IF('Exiobase A Matrix'!$C$4:$C$203='Cement and Glass Split'!$A14,IF('Exiobase A Matrix'!$D$3:$GU$3='Cement and Glass Split'!B$2,'Exiobase A Matrix'!$D$4:$GU$203)))</f>
        <v>0</v>
      </c>
      <c r="C14">
        <f t="array" ref="C14">SUMPRODUCT(IF('Exiobase A Matrix'!$C$4:$C$203='Cement and Glass Split'!$A14,IF('Exiobase A Matrix'!$D$3:$GU$3='Cement and Glass Split'!C$2,'Exiobase A Matrix'!$D$4:$GU$203)))</f>
        <v>0</v>
      </c>
      <c r="D14">
        <f t="array" ref="D14">SUMPRODUCT(IF('Exiobase A Matrix'!$C$4:$C$203='Cement and Glass Split'!$A14,IF('Exiobase A Matrix'!$D$3:$GU$3='Cement and Glass Split'!D$2,'Exiobase A Matrix'!$D$4:$GU$203)))</f>
        <v>0</v>
      </c>
      <c r="E14">
        <f t="array" ref="E14">SUMPRODUCT(IF('Exiobase A Matrix'!$C$4:$C$203='Cement and Glass Split'!$A14,IF('Exiobase A Matrix'!$D$3:$GU$3='Cement and Glass Split'!E$2,'Exiobase A Matrix'!$D$4:$GU$203)))</f>
        <v>0</v>
      </c>
      <c r="F14">
        <f t="array" ref="F14">SUMPRODUCT(IF('Exiobase A Matrix'!$C$4:$C$203='Cement and Glass Split'!$A14,IF('Exiobase A Matrix'!$D$3:$GU$3='Cement and Glass Split'!F$2,'Exiobase A Matrix'!$D$4:$GU$203)))</f>
        <v>0</v>
      </c>
      <c r="G14">
        <f t="array" ref="G14">SUMPRODUCT(IF('Exiobase A Matrix'!$C$4:$C$203='Cement and Glass Split'!$A14,IF('Exiobase A Matrix'!$D$3:$GU$3='Cement and Glass Split'!G$2,'Exiobase A Matrix'!$D$4:$GU$203)))</f>
        <v>0</v>
      </c>
      <c r="H14">
        <f t="array" ref="H14">SUMPRODUCT(IF('Exiobase A Matrix'!$C$4:$C$203='Cement and Glass Split'!$A14,IF('Exiobase A Matrix'!$D$3:$GU$3='Cement and Glass Split'!H$2,'Exiobase A Matrix'!$D$4:$GU$203)))</f>
        <v>0</v>
      </c>
      <c r="I14">
        <f t="array" ref="I14">SUMPRODUCT(IF('Exiobase A Matrix'!$C$4:$C$203='Cement and Glass Split'!$A14,IF('Exiobase A Matrix'!$D$3:$GU$3='Cement and Glass Split'!I$2,'Exiobase A Matrix'!$D$4:$GU$203)))</f>
        <v>0</v>
      </c>
      <c r="J14">
        <f t="array" ref="J14">SUMPRODUCT(IF('Exiobase A Matrix'!$C$4:$C$203='Cement and Glass Split'!$A14,IF('Exiobase A Matrix'!$D$3:$GU$3='Cement and Glass Split'!J$2,'Exiobase A Matrix'!$D$4:$GU$203)))</f>
        <v>0</v>
      </c>
      <c r="K14">
        <f t="array" ref="K14">SUMPRODUCT(IF('Exiobase A Matrix'!$C$4:$C$203='Cement and Glass Split'!$A14,IF('Exiobase A Matrix'!$D$3:$GU$3='Cement and Glass Split'!K$2,'Exiobase A Matrix'!$D$4:$GU$203)))</f>
        <v>0</v>
      </c>
      <c r="L14">
        <f t="array" ref="L14">SUMPRODUCT(IF('Exiobase A Matrix'!$C$4:$C$203='Cement and Glass Split'!$A14,IF('Exiobase A Matrix'!$D$3:$GU$3='Cement and Glass Split'!L$2,'Exiobase A Matrix'!$D$4:$GU$203)))</f>
        <v>0</v>
      </c>
      <c r="M14">
        <f t="array" ref="M14">SUMPRODUCT(IF('Exiobase A Matrix'!$C$4:$C$203='Cement and Glass Split'!$A14,IF('Exiobase A Matrix'!$D$3:$GU$3='Cement and Glass Split'!M$2,'Exiobase A Matrix'!$D$4:$GU$203)))</f>
        <v>0</v>
      </c>
      <c r="N14">
        <f t="array" ref="N14">SUMPRODUCT(IF('Exiobase A Matrix'!$C$4:$C$203='Cement and Glass Split'!$A14,IF('Exiobase A Matrix'!$D$3:$GU$3='Cement and Glass Split'!N$2,'Exiobase A Matrix'!$D$4:$GU$203)))</f>
        <v>0</v>
      </c>
      <c r="O14">
        <f t="array" ref="O14">SUMPRODUCT(IF('Exiobase A Matrix'!$C$4:$C$203='Cement and Glass Split'!$A14,IF('Exiobase A Matrix'!$D$3:$GU$3='Cement and Glass Split'!O$2,'Exiobase A Matrix'!$D$4:$GU$203)))</f>
        <v>0</v>
      </c>
      <c r="P14">
        <f t="array" ref="P14">SUMPRODUCT(IF('Exiobase A Matrix'!$C$4:$C$203='Cement and Glass Split'!$A14,IF('Exiobase A Matrix'!$D$3:$GU$3='Cement and Glass Split'!P$2,'Exiobase A Matrix'!$D$4:$GU$203)))</f>
        <v>0</v>
      </c>
      <c r="Q14">
        <f t="array" ref="Q14">SUMPRODUCT(IF('Exiobase A Matrix'!$C$4:$C$203='Cement and Glass Split'!$A14,IF('Exiobase A Matrix'!$D$3:$GU$3='Cement and Glass Split'!Q$2,'Exiobase A Matrix'!$D$4:$GU$203)))</f>
        <v>0</v>
      </c>
      <c r="R14">
        <f t="array" ref="R14">SUMPRODUCT(IF('Exiobase A Matrix'!$C$4:$C$203='Cement and Glass Split'!$A14,IF('Exiobase A Matrix'!$D$3:$GU$3='Cement and Glass Split'!R$2,'Exiobase A Matrix'!$D$4:$GU$203)))</f>
        <v>0</v>
      </c>
      <c r="S14">
        <f t="array" ref="S14">SUMPRODUCT(IF('Exiobase A Matrix'!$C$4:$C$203='Cement and Glass Split'!$A14,IF('Exiobase A Matrix'!$D$3:$GU$3='Cement and Glass Split'!S$2,'Exiobase A Matrix'!$D$4:$GU$203)))</f>
        <v>0</v>
      </c>
      <c r="T14">
        <f t="array" ref="T14">SUMPRODUCT(IF('Exiobase A Matrix'!$C$4:$C$203='Cement and Glass Split'!$A14,IF('Exiobase A Matrix'!$D$3:$GU$3='Cement and Glass Split'!T$2,'Exiobase A Matrix'!$D$4:$GU$203)))</f>
        <v>0</v>
      </c>
      <c r="U14">
        <f t="array" ref="U14">SUMPRODUCT(IF('Exiobase A Matrix'!$C$4:$C$203='Cement and Glass Split'!$A14,IF('Exiobase A Matrix'!$D$3:$GU$3='Cement and Glass Split'!U$2,'Exiobase A Matrix'!$D$4:$GU$203)))</f>
        <v>0</v>
      </c>
      <c r="V14">
        <f t="array" ref="V14">SUMPRODUCT(IF('Exiobase A Matrix'!$C$4:$C$203='Cement and Glass Split'!$A14,IF('Exiobase A Matrix'!$D$3:$GU$3='Cement and Glass Split'!V$2,'Exiobase A Matrix'!$D$4:$GU$203)))</f>
        <v>0</v>
      </c>
      <c r="W14">
        <f t="array" ref="W14">SUMPRODUCT(IF('Exiobase A Matrix'!$C$4:$C$203='Cement and Glass Split'!$A14,IF('Exiobase A Matrix'!$D$3:$GU$3='Cement and Glass Split'!W$2,'Exiobase A Matrix'!$D$4:$GU$203)))</f>
        <v>0</v>
      </c>
      <c r="X14">
        <f t="array" ref="X14">SUMPRODUCT(IF('Exiobase A Matrix'!$C$4:$C$203='Cement and Glass Split'!$A14,IF('Exiobase A Matrix'!$D$3:$GU$3='Cement and Glass Split'!X$2,'Exiobase A Matrix'!$D$4:$GU$203)))</f>
        <v>0</v>
      </c>
      <c r="Y14">
        <f t="array" ref="Y14">SUMPRODUCT(IF('Exiobase A Matrix'!$C$4:$C$203='Cement and Glass Split'!$A14,IF('Exiobase A Matrix'!$D$3:$GU$3='Cement and Glass Split'!Y$2,'Exiobase A Matrix'!$D$4:$GU$203)))</f>
        <v>0</v>
      </c>
      <c r="Z14">
        <f t="array" ref="Z14">SUMPRODUCT(IF('Exiobase A Matrix'!$C$4:$C$203='Cement and Glass Split'!$A14,IF('Exiobase A Matrix'!$D$3:$GU$3='Cement and Glass Split'!Z$2,'Exiobase A Matrix'!$D$4:$GU$203)))</f>
        <v>0</v>
      </c>
      <c r="AA14">
        <f t="array" ref="AA14">SUMPRODUCT(IF('Exiobase A Matrix'!$C$4:$C$203='Cement and Glass Split'!$A14,IF('Exiobase A Matrix'!$D$3:$GU$3='Cement and Glass Split'!AA$2,'Exiobase A Matrix'!$D$4:$GU$203)))</f>
        <v>0</v>
      </c>
      <c r="AB14">
        <f t="array" ref="AB14">SUMPRODUCT(IF('Exiobase A Matrix'!$C$4:$C$203='Cement and Glass Split'!$A14,IF('Exiobase A Matrix'!$D$3:$GU$3='Cement and Glass Split'!AB$2,'Exiobase A Matrix'!$D$4:$GU$203)))</f>
        <v>0</v>
      </c>
      <c r="AC14">
        <f t="array" ref="AC14">SUMPRODUCT(IF('Exiobase A Matrix'!$C$4:$C$203='Cement and Glass Split'!$A14,IF('Exiobase A Matrix'!$D$3:$GU$3='Cement and Glass Split'!AC$2,'Exiobase A Matrix'!$D$4:$GU$203)))</f>
        <v>0</v>
      </c>
      <c r="AD14">
        <f t="array" ref="AD14">SUMPRODUCT(IF('Exiobase A Matrix'!$C$4:$C$203='Cement and Glass Split'!$A14,IF('Exiobase A Matrix'!$D$3:$GU$3='Cement and Glass Split'!AD$2,'Exiobase A Matrix'!$D$4:$GU$203)))</f>
        <v>0</v>
      </c>
      <c r="AE14">
        <f t="array" ref="AE14">SUMPRODUCT(IF('Exiobase A Matrix'!$C$4:$C$203='Cement and Glass Split'!$A14,IF('Exiobase A Matrix'!$D$3:$GU$3='Cement and Glass Split'!AE$2,'Exiobase A Matrix'!$D$4:$GU$203)))</f>
        <v>0</v>
      </c>
      <c r="AF14">
        <f t="array" ref="AF14">SUMPRODUCT(IF('Exiobase A Matrix'!$C$4:$C$203='Cement and Glass Split'!$A14,IF('Exiobase A Matrix'!$D$3:$GU$3='Cement and Glass Split'!AF$2,'Exiobase A Matrix'!$D$4:$GU$203)))</f>
        <v>0</v>
      </c>
      <c r="AG14">
        <f t="array" ref="AG14">SUMPRODUCT(IF('Exiobase A Matrix'!$C$4:$C$203='Cement and Glass Split'!$A14,IF('Exiobase A Matrix'!$D$3:$GU$3='Cement and Glass Split'!AG$2,'Exiobase A Matrix'!$D$4:$GU$203)))</f>
        <v>0</v>
      </c>
      <c r="AH14">
        <f t="array" ref="AH14">SUMPRODUCT(IF('Exiobase A Matrix'!$C$4:$C$203='Cement and Glass Split'!$A14,IF('Exiobase A Matrix'!$D$3:$GU$3='Cement and Glass Split'!AH$2,'Exiobase A Matrix'!$D$4:$GU$203)))</f>
        <v>0</v>
      </c>
      <c r="AI14">
        <f t="array" ref="AI14">SUMPRODUCT(IF('Exiobase A Matrix'!$C$4:$C$203='Cement and Glass Split'!$A14,IF('Exiobase A Matrix'!$D$3:$GU$3='Cement and Glass Split'!AI$2,'Exiobase A Matrix'!$D$4:$GU$203)))</f>
        <v>0</v>
      </c>
      <c r="AJ14">
        <f t="array" ref="AJ14">SUMPRODUCT(IF('Exiobase A Matrix'!$C$4:$C$203='Cement and Glass Split'!$A14,IF('Exiobase A Matrix'!$D$3:$GU$3='Cement and Glass Split'!AJ$2,'Exiobase A Matrix'!$D$4:$GU$203)))</f>
        <v>0</v>
      </c>
      <c r="AK14">
        <f t="array" ref="AK14">SUMPRODUCT(IF('Exiobase A Matrix'!$C$4:$C$203='Cement and Glass Split'!$A14,IF('Exiobase A Matrix'!$D$3:$GU$3='Cement and Glass Split'!AK$2,'Exiobase A Matrix'!$D$4:$GU$203)))</f>
        <v>0</v>
      </c>
      <c r="AL14">
        <f t="array" ref="AL14">SUMPRODUCT(IF('Exiobase A Matrix'!$C$4:$C$203='Cement and Glass Split'!$A14,IF('Exiobase A Matrix'!$D$3:$GU$3='Cement and Glass Split'!AL$2,'Exiobase A Matrix'!$D$4:$GU$203)))</f>
        <v>0</v>
      </c>
      <c r="AM14">
        <f t="array" ref="AM14">SUMPRODUCT(IF('Exiobase A Matrix'!$C$4:$C$203='Cement and Glass Split'!$A14,IF('Exiobase A Matrix'!$D$3:$GU$3='Cement and Glass Split'!AM$2,'Exiobase A Matrix'!$D$4:$GU$203)))</f>
        <v>0</v>
      </c>
      <c r="AN14">
        <f t="array" ref="AN14">SUMPRODUCT(IF('Exiobase A Matrix'!$C$4:$C$203='Cement and Glass Split'!$A14,IF('Exiobase A Matrix'!$D$3:$GU$3='Cement and Glass Split'!AN$2,'Exiobase A Matrix'!$D$4:$GU$203)))</f>
        <v>0</v>
      </c>
      <c r="AO14">
        <f t="array" ref="AO14">SUMPRODUCT(IF('Exiobase A Matrix'!$C$4:$C$203='Cement and Glass Split'!$A14,IF('Exiobase A Matrix'!$D$3:$GU$3='Cement and Glass Split'!AO$2,'Exiobase A Matrix'!$D$4:$GU$203)))</f>
        <v>0</v>
      </c>
      <c r="AP14">
        <f t="array" ref="AP14">SUMPRODUCT(IF('Exiobase A Matrix'!$C$4:$C$203='Cement and Glass Split'!$A14,IF('Exiobase A Matrix'!$D$3:$GU$3='Cement and Glass Split'!AP$2,'Exiobase A Matrix'!$D$4:$GU$203)))</f>
        <v>0</v>
      </c>
      <c r="AQ14">
        <f t="array" ref="AQ14">SUMPRODUCT(IF('Exiobase A Matrix'!$C$4:$C$203='Cement and Glass Split'!$A14,IF('Exiobase A Matrix'!$D$3:$GU$3='Cement and Glass Split'!AQ$2,'Exiobase A Matrix'!$D$4:$GU$203)))</f>
        <v>0</v>
      </c>
    </row>
    <row r="15" spans="1:43">
      <c r="A15" t="s">
        <v>12</v>
      </c>
      <c r="B15">
        <f t="array" ref="B15">SUMPRODUCT(IF('Exiobase A Matrix'!$C$4:$C$203='Cement and Glass Split'!$A15,IF('Exiobase A Matrix'!$D$3:$GU$3='Cement and Glass Split'!B$2,'Exiobase A Matrix'!$D$4:$GU$203)))</f>
        <v>0.11234544891899233</v>
      </c>
      <c r="C15">
        <f t="array" ref="C15">SUMPRODUCT(IF('Exiobase A Matrix'!$C$4:$C$203='Cement and Glass Split'!$A15,IF('Exiobase A Matrix'!$D$3:$GU$3='Cement and Glass Split'!C$2,'Exiobase A Matrix'!$D$4:$GU$203)))</f>
        <v>5.9404251811938326E-3</v>
      </c>
      <c r="D15">
        <f t="array" ref="D15">SUMPRODUCT(IF('Exiobase A Matrix'!$C$4:$C$203='Cement and Glass Split'!$A15,IF('Exiobase A Matrix'!$D$3:$GU$3='Cement and Glass Split'!D$2,'Exiobase A Matrix'!$D$4:$GU$203)))</f>
        <v>1.2639968499349338E-5</v>
      </c>
      <c r="E15">
        <f t="array" ref="E15">SUMPRODUCT(IF('Exiobase A Matrix'!$C$4:$C$203='Cement and Glass Split'!$A15,IF('Exiobase A Matrix'!$D$3:$GU$3='Cement and Glass Split'!E$2,'Exiobase A Matrix'!$D$4:$GU$203)))</f>
        <v>5.2298440678958408E-3</v>
      </c>
      <c r="F15">
        <f t="array" ref="F15">SUMPRODUCT(IF('Exiobase A Matrix'!$C$4:$C$203='Cement and Glass Split'!$A15,IF('Exiobase A Matrix'!$D$3:$GU$3='Cement and Glass Split'!F$2,'Exiobase A Matrix'!$D$4:$GU$203)))</f>
        <v>0</v>
      </c>
      <c r="G15">
        <f t="array" ref="G15">SUMPRODUCT(IF('Exiobase A Matrix'!$C$4:$C$203='Cement and Glass Split'!$A15,IF('Exiobase A Matrix'!$D$3:$GU$3='Cement and Glass Split'!G$2,'Exiobase A Matrix'!$D$4:$GU$203)))</f>
        <v>0.15372104233748923</v>
      </c>
      <c r="H15">
        <f t="array" ref="H15">SUMPRODUCT(IF('Exiobase A Matrix'!$C$4:$C$203='Cement and Glass Split'!$A15,IF('Exiobase A Matrix'!$D$3:$GU$3='Cement and Glass Split'!H$2,'Exiobase A Matrix'!$D$4:$GU$203)))</f>
        <v>7.5193715515066872E-2</v>
      </c>
      <c r="I15">
        <f t="array" ref="I15">SUMPRODUCT(IF('Exiobase A Matrix'!$C$4:$C$203='Cement and Glass Split'!$A15,IF('Exiobase A Matrix'!$D$3:$GU$3='Cement and Glass Split'!I$2,'Exiobase A Matrix'!$D$4:$GU$203)))</f>
        <v>7.5036461498321121E-3</v>
      </c>
      <c r="J15">
        <f t="array" ref="J15">SUMPRODUCT(IF('Exiobase A Matrix'!$C$4:$C$203='Cement and Glass Split'!$A15,IF('Exiobase A Matrix'!$D$3:$GU$3='Cement and Glass Split'!J$2,'Exiobase A Matrix'!$D$4:$GU$203)))</f>
        <v>2.317307754477671E-2</v>
      </c>
      <c r="K15">
        <f t="array" ref="K15">SUMPRODUCT(IF('Exiobase A Matrix'!$C$4:$C$203='Cement and Glass Split'!$A15,IF('Exiobase A Matrix'!$D$3:$GU$3='Cement and Glass Split'!K$2,'Exiobase A Matrix'!$D$4:$GU$203)))</f>
        <v>8.6194849154043685E-2</v>
      </c>
      <c r="L15">
        <f t="array" ref="L15">SUMPRODUCT(IF('Exiobase A Matrix'!$C$4:$C$203='Cement and Glass Split'!$A15,IF('Exiobase A Matrix'!$D$3:$GU$3='Cement and Glass Split'!L$2,'Exiobase A Matrix'!$D$4:$GU$203)))</f>
        <v>7.340851992019308E-2</v>
      </c>
      <c r="M15">
        <f t="array" ref="M15">SUMPRODUCT(IF('Exiobase A Matrix'!$C$4:$C$203='Cement and Glass Split'!$A15,IF('Exiobase A Matrix'!$D$3:$GU$3='Cement and Glass Split'!M$2,'Exiobase A Matrix'!$D$4:$GU$203)))</f>
        <v>0</v>
      </c>
      <c r="N15">
        <f t="array" ref="N15">SUMPRODUCT(IF('Exiobase A Matrix'!$C$4:$C$203='Cement and Glass Split'!$A15,IF('Exiobase A Matrix'!$D$3:$GU$3='Cement and Glass Split'!N$2,'Exiobase A Matrix'!$D$4:$GU$203)))</f>
        <v>0.1065750987161873</v>
      </c>
      <c r="O15">
        <f t="array" ref="O15">SUMPRODUCT(IF('Exiobase A Matrix'!$C$4:$C$203='Cement and Glass Split'!$A15,IF('Exiobase A Matrix'!$D$3:$GU$3='Cement and Glass Split'!O$2,'Exiobase A Matrix'!$D$4:$GU$203)))</f>
        <v>1.6104663914240338E-2</v>
      </c>
      <c r="P15">
        <f t="array" ref="P15">SUMPRODUCT(IF('Exiobase A Matrix'!$C$4:$C$203='Cement and Glass Split'!$A15,IF('Exiobase A Matrix'!$D$3:$GU$3='Cement and Glass Split'!P$2,'Exiobase A Matrix'!$D$4:$GU$203)))</f>
        <v>1.2185194379110736E-2</v>
      </c>
      <c r="Q15">
        <f t="array" ref="Q15">SUMPRODUCT(IF('Exiobase A Matrix'!$C$4:$C$203='Cement and Glass Split'!$A15,IF('Exiobase A Matrix'!$D$3:$GU$3='Cement and Glass Split'!Q$2,'Exiobase A Matrix'!$D$4:$GU$203)))</f>
        <v>9.1870499588367826E-4</v>
      </c>
      <c r="R15">
        <f t="array" ref="R15">SUMPRODUCT(IF('Exiobase A Matrix'!$C$4:$C$203='Cement and Glass Split'!$A15,IF('Exiobase A Matrix'!$D$3:$GU$3='Cement and Glass Split'!R$2,'Exiobase A Matrix'!$D$4:$GU$203)))</f>
        <v>1.9648929778373507E-2</v>
      </c>
      <c r="S15">
        <f t="array" ref="S15">SUMPRODUCT(IF('Exiobase A Matrix'!$C$4:$C$203='Cement and Glass Split'!$A15,IF('Exiobase A Matrix'!$D$3:$GU$3='Cement and Glass Split'!S$2,'Exiobase A Matrix'!$D$4:$GU$203)))</f>
        <v>1.327207953763356E-2</v>
      </c>
      <c r="T15">
        <f t="array" ref="T15">SUMPRODUCT(IF('Exiobase A Matrix'!$C$4:$C$203='Cement and Glass Split'!$A15,IF('Exiobase A Matrix'!$D$3:$GU$3='Cement and Glass Split'!T$2,'Exiobase A Matrix'!$D$4:$GU$203)))</f>
        <v>9.8271300813355056E-2</v>
      </c>
      <c r="U15">
        <f t="array" ref="U15">SUMPRODUCT(IF('Exiobase A Matrix'!$C$4:$C$203='Cement and Glass Split'!$A15,IF('Exiobase A Matrix'!$D$3:$GU$3='Cement and Glass Split'!U$2,'Exiobase A Matrix'!$D$4:$GU$203)))</f>
        <v>4.4357878537820701E-2</v>
      </c>
      <c r="V15">
        <f t="array" ref="V15">SUMPRODUCT(IF('Exiobase A Matrix'!$C$4:$C$203='Cement and Glass Split'!$A15,IF('Exiobase A Matrix'!$D$3:$GU$3='Cement and Glass Split'!V$2,'Exiobase A Matrix'!$D$4:$GU$203)))</f>
        <v>1.8276600347358934E-2</v>
      </c>
      <c r="W15">
        <f t="array" ref="W15">SUMPRODUCT(IF('Exiobase A Matrix'!$C$4:$C$203='Cement and Glass Split'!$A15,IF('Exiobase A Matrix'!$D$3:$GU$3='Cement and Glass Split'!W$2,'Exiobase A Matrix'!$D$4:$GU$203)))</f>
        <v>5.4206696516509605E-2</v>
      </c>
      <c r="X15">
        <f t="array" ref="X15">SUMPRODUCT(IF('Exiobase A Matrix'!$C$4:$C$203='Cement and Glass Split'!$A15,IF('Exiobase A Matrix'!$D$3:$GU$3='Cement and Glass Split'!X$2,'Exiobase A Matrix'!$D$4:$GU$203)))</f>
        <v>5.0118093889760258E-3</v>
      </c>
      <c r="Y15">
        <f t="array" ref="Y15">SUMPRODUCT(IF('Exiobase A Matrix'!$C$4:$C$203='Cement and Glass Split'!$A15,IF('Exiobase A Matrix'!$D$3:$GU$3='Cement and Glass Split'!Y$2,'Exiobase A Matrix'!$D$4:$GU$203)))</f>
        <v>4.5252002891050136E-2</v>
      </c>
      <c r="Z15">
        <f t="array" ref="Z15">SUMPRODUCT(IF('Exiobase A Matrix'!$C$4:$C$203='Cement and Glass Split'!$A15,IF('Exiobase A Matrix'!$D$3:$GU$3='Cement and Glass Split'!Z$2,'Exiobase A Matrix'!$D$4:$GU$203)))</f>
        <v>2.7776459533947941E-2</v>
      </c>
      <c r="AA15">
        <f t="array" ref="AA15">SUMPRODUCT(IF('Exiobase A Matrix'!$C$4:$C$203='Cement and Glass Split'!$A15,IF('Exiobase A Matrix'!$D$3:$GU$3='Cement and Glass Split'!AA$2,'Exiobase A Matrix'!$D$4:$GU$203)))</f>
        <v>3.5304515419001017E-5</v>
      </c>
      <c r="AB15">
        <f t="array" ref="AB15">SUMPRODUCT(IF('Exiobase A Matrix'!$C$4:$C$203='Cement and Glass Split'!$A15,IF('Exiobase A Matrix'!$D$3:$GU$3='Cement and Glass Split'!AB$2,'Exiobase A Matrix'!$D$4:$GU$203)))</f>
        <v>0.22213397512893918</v>
      </c>
      <c r="AC15">
        <f t="array" ref="AC15">SUMPRODUCT(IF('Exiobase A Matrix'!$C$4:$C$203='Cement and Glass Split'!$A15,IF('Exiobase A Matrix'!$D$3:$GU$3='Cement and Glass Split'!AC$2,'Exiobase A Matrix'!$D$4:$GU$203)))</f>
        <v>2.5427010110081603E-2</v>
      </c>
      <c r="AD15">
        <f t="array" ref="AD15">SUMPRODUCT(IF('Exiobase A Matrix'!$C$4:$C$203='Cement and Glass Split'!$A15,IF('Exiobase A Matrix'!$D$3:$GU$3='Cement and Glass Split'!AD$2,'Exiobase A Matrix'!$D$4:$GU$203)))</f>
        <v>1.6183851516292224E-8</v>
      </c>
      <c r="AE15">
        <f t="array" ref="AE15">SUMPRODUCT(IF('Exiobase A Matrix'!$C$4:$C$203='Cement and Glass Split'!$A15,IF('Exiobase A Matrix'!$D$3:$GU$3='Cement and Glass Split'!AE$2,'Exiobase A Matrix'!$D$4:$GU$203)))</f>
        <v>5.5138289524044705E-3</v>
      </c>
      <c r="AF15">
        <f t="array" ref="AF15">SUMPRODUCT(IF('Exiobase A Matrix'!$C$4:$C$203='Cement and Glass Split'!$A15,IF('Exiobase A Matrix'!$D$3:$GU$3='Cement and Glass Split'!AF$2,'Exiobase A Matrix'!$D$4:$GU$203)))</f>
        <v>1.0511625981837493E-3</v>
      </c>
      <c r="AG15">
        <f t="array" ref="AG15">SUMPRODUCT(IF('Exiobase A Matrix'!$C$4:$C$203='Cement and Glass Split'!$A15,IF('Exiobase A Matrix'!$D$3:$GU$3='Cement and Glass Split'!AG$2,'Exiobase A Matrix'!$D$4:$GU$203)))</f>
        <v>0</v>
      </c>
      <c r="AH15">
        <f t="array" ref="AH15">SUMPRODUCT(IF('Exiobase A Matrix'!$C$4:$C$203='Cement and Glass Split'!$A15,IF('Exiobase A Matrix'!$D$3:$GU$3='Cement and Glass Split'!AH$2,'Exiobase A Matrix'!$D$4:$GU$203)))</f>
        <v>1.4367786519175266E-10</v>
      </c>
      <c r="AI15">
        <f t="array" ref="AI15">SUMPRODUCT(IF('Exiobase A Matrix'!$C$4:$C$203='Cement and Glass Split'!$A15,IF('Exiobase A Matrix'!$D$3:$GU$3='Cement and Glass Split'!AI$2,'Exiobase A Matrix'!$D$4:$GU$203)))</f>
        <v>1.2495811924618093E-4</v>
      </c>
      <c r="AJ15">
        <f t="array" ref="AJ15">SUMPRODUCT(IF('Exiobase A Matrix'!$C$4:$C$203='Cement and Glass Split'!$A15,IF('Exiobase A Matrix'!$D$3:$GU$3='Cement and Glass Split'!AJ$2,'Exiobase A Matrix'!$D$4:$GU$203)))</f>
        <v>3.0241026334885544E-4</v>
      </c>
      <c r="AK15">
        <f t="array" ref="AK15">SUMPRODUCT(IF('Exiobase A Matrix'!$C$4:$C$203='Cement and Glass Split'!$A15,IF('Exiobase A Matrix'!$D$3:$GU$3='Cement and Glass Split'!AK$2,'Exiobase A Matrix'!$D$4:$GU$203)))</f>
        <v>2.5171014468228204E-5</v>
      </c>
      <c r="AL15">
        <f t="array" ref="AL15">SUMPRODUCT(IF('Exiobase A Matrix'!$C$4:$C$203='Cement and Glass Split'!$A15,IF('Exiobase A Matrix'!$D$3:$GU$3='Cement and Glass Split'!AL$2,'Exiobase A Matrix'!$D$4:$GU$203)))</f>
        <v>4.530397258593076E-3</v>
      </c>
      <c r="AM15">
        <f t="array" ref="AM15">SUMPRODUCT(IF('Exiobase A Matrix'!$C$4:$C$203='Cement and Glass Split'!$A15,IF('Exiobase A Matrix'!$D$3:$GU$3='Cement and Glass Split'!AM$2,'Exiobase A Matrix'!$D$4:$GU$203)))</f>
        <v>7.7426926919844103E-5</v>
      </c>
      <c r="AN15">
        <f t="array" ref="AN15">SUMPRODUCT(IF('Exiobase A Matrix'!$C$4:$C$203='Cement and Glass Split'!$A15,IF('Exiobase A Matrix'!$D$3:$GU$3='Cement and Glass Split'!AN$2,'Exiobase A Matrix'!$D$4:$GU$203)))</f>
        <v>6.8971893919389244E-4</v>
      </c>
      <c r="AO15">
        <f t="array" ref="AO15">SUMPRODUCT(IF('Exiobase A Matrix'!$C$4:$C$203='Cement and Glass Split'!$A15,IF('Exiobase A Matrix'!$D$3:$GU$3='Cement and Glass Split'!AO$2,'Exiobase A Matrix'!$D$4:$GU$203)))</f>
        <v>1.2015675139197906E-3</v>
      </c>
      <c r="AP15">
        <f t="array" ref="AP15">SUMPRODUCT(IF('Exiobase A Matrix'!$C$4:$C$203='Cement and Glass Split'!$A15,IF('Exiobase A Matrix'!$D$3:$GU$3='Cement and Glass Split'!AP$2,'Exiobase A Matrix'!$D$4:$GU$203)))</f>
        <v>1.5912172848825682E-2</v>
      </c>
      <c r="AQ15">
        <f t="array" ref="AQ15">SUMPRODUCT(IF('Exiobase A Matrix'!$C$4:$C$203='Cement and Glass Split'!$A15,IF('Exiobase A Matrix'!$D$3:$GU$3='Cement and Glass Split'!AQ$2,'Exiobase A Matrix'!$D$4:$GU$203)))</f>
        <v>2.8279411282161944E-5</v>
      </c>
    </row>
    <row r="16" spans="1:43">
      <c r="A16" t="s">
        <v>132</v>
      </c>
      <c r="B16">
        <f t="array" ref="B16">SUMPRODUCT(IF('Exiobase A Matrix'!$C$4:$C$203='Cement and Glass Split'!$A16,IF('Exiobase A Matrix'!$D$3:$GU$3='Cement and Glass Split'!B$2,'Exiobase A Matrix'!$D$4:$GU$203)))</f>
        <v>4.9918856271189841E-3</v>
      </c>
      <c r="C16">
        <f t="array" ref="C16">SUMPRODUCT(IF('Exiobase A Matrix'!$C$4:$C$203='Cement and Glass Split'!$A16,IF('Exiobase A Matrix'!$D$3:$GU$3='Cement and Glass Split'!C$2,'Exiobase A Matrix'!$D$4:$GU$203)))</f>
        <v>9.899224372575654E-5</v>
      </c>
      <c r="D16">
        <f t="array" ref="D16">SUMPRODUCT(IF('Exiobase A Matrix'!$C$4:$C$203='Cement and Glass Split'!$A16,IF('Exiobase A Matrix'!$D$3:$GU$3='Cement and Glass Split'!D$2,'Exiobase A Matrix'!$D$4:$GU$203)))</f>
        <v>2.7478954091702135E-8</v>
      </c>
      <c r="E16">
        <f t="array" ref="E16">SUMPRODUCT(IF('Exiobase A Matrix'!$C$4:$C$203='Cement and Glass Split'!$A16,IF('Exiobase A Matrix'!$D$3:$GU$3='Cement and Glass Split'!E$2,'Exiobase A Matrix'!$D$4:$GU$203)))</f>
        <v>1.9166936196236839E-5</v>
      </c>
      <c r="F16">
        <f t="array" ref="F16">SUMPRODUCT(IF('Exiobase A Matrix'!$C$4:$C$203='Cement and Glass Split'!$A16,IF('Exiobase A Matrix'!$D$3:$GU$3='Cement and Glass Split'!F$2,'Exiobase A Matrix'!$D$4:$GU$203)))</f>
        <v>0</v>
      </c>
      <c r="G16">
        <f t="array" ref="G16">SUMPRODUCT(IF('Exiobase A Matrix'!$C$4:$C$203='Cement and Glass Split'!$A16,IF('Exiobase A Matrix'!$D$3:$GU$3='Cement and Glass Split'!G$2,'Exiobase A Matrix'!$D$4:$GU$203)))</f>
        <v>4.232769963916843E-2</v>
      </c>
      <c r="H16">
        <f t="array" ref="H16">SUMPRODUCT(IF('Exiobase A Matrix'!$C$4:$C$203='Cement and Glass Split'!$A16,IF('Exiobase A Matrix'!$D$3:$GU$3='Cement and Glass Split'!H$2,'Exiobase A Matrix'!$D$4:$GU$203)))</f>
        <v>1.965591108597104E-3</v>
      </c>
      <c r="I16">
        <f t="array" ref="I16">SUMPRODUCT(IF('Exiobase A Matrix'!$C$4:$C$203='Cement and Glass Split'!$A16,IF('Exiobase A Matrix'!$D$3:$GU$3='Cement and Glass Split'!I$2,'Exiobase A Matrix'!$D$4:$GU$203)))</f>
        <v>1.9000195709149034E-4</v>
      </c>
      <c r="J16">
        <f t="array" ref="J16">SUMPRODUCT(IF('Exiobase A Matrix'!$C$4:$C$203='Cement and Glass Split'!$A16,IF('Exiobase A Matrix'!$D$3:$GU$3='Cement and Glass Split'!J$2,'Exiobase A Matrix'!$D$4:$GU$203)))</f>
        <v>3.7324848082196582E-5</v>
      </c>
      <c r="K16">
        <f t="array" ref="K16">SUMPRODUCT(IF('Exiobase A Matrix'!$C$4:$C$203='Cement and Glass Split'!$A16,IF('Exiobase A Matrix'!$D$3:$GU$3='Cement and Glass Split'!K$2,'Exiobase A Matrix'!$D$4:$GU$203)))</f>
        <v>6.972756201218705E-3</v>
      </c>
      <c r="L16">
        <f t="array" ref="L16">SUMPRODUCT(IF('Exiobase A Matrix'!$C$4:$C$203='Cement and Glass Split'!$A16,IF('Exiobase A Matrix'!$D$3:$GU$3='Cement and Glass Split'!L$2,'Exiobase A Matrix'!$D$4:$GU$203)))</f>
        <v>1.308353548095772E-2</v>
      </c>
      <c r="M16">
        <f t="array" ref="M16">SUMPRODUCT(IF('Exiobase A Matrix'!$C$4:$C$203='Cement and Glass Split'!$A16,IF('Exiobase A Matrix'!$D$3:$GU$3='Cement and Glass Split'!M$2,'Exiobase A Matrix'!$D$4:$GU$203)))</f>
        <v>0</v>
      </c>
      <c r="N16">
        <f t="array" ref="N16">SUMPRODUCT(IF('Exiobase A Matrix'!$C$4:$C$203='Cement and Glass Split'!$A16,IF('Exiobase A Matrix'!$D$3:$GU$3='Cement and Glass Split'!N$2,'Exiobase A Matrix'!$D$4:$GU$203)))</f>
        <v>2.8027638180392143E-3</v>
      </c>
      <c r="O16">
        <f t="array" ref="O16">SUMPRODUCT(IF('Exiobase A Matrix'!$C$4:$C$203='Cement and Glass Split'!$A16,IF('Exiobase A Matrix'!$D$3:$GU$3='Cement and Glass Split'!O$2,'Exiobase A Matrix'!$D$4:$GU$203)))</f>
        <v>0.10836949250255014</v>
      </c>
      <c r="P16">
        <f t="array" ref="P16">SUMPRODUCT(IF('Exiobase A Matrix'!$C$4:$C$203='Cement and Glass Split'!$A16,IF('Exiobase A Matrix'!$D$3:$GU$3='Cement and Glass Split'!P$2,'Exiobase A Matrix'!$D$4:$GU$203)))</f>
        <v>8.0322292941526201E-4</v>
      </c>
      <c r="Q16">
        <f t="array" ref="Q16">SUMPRODUCT(IF('Exiobase A Matrix'!$C$4:$C$203='Cement and Glass Split'!$A16,IF('Exiobase A Matrix'!$D$3:$GU$3='Cement and Glass Split'!Q$2,'Exiobase A Matrix'!$D$4:$GU$203)))</f>
        <v>1.7241770775338038E-5</v>
      </c>
      <c r="R16">
        <f t="array" ref="R16">SUMPRODUCT(IF('Exiobase A Matrix'!$C$4:$C$203='Cement and Glass Split'!$A16,IF('Exiobase A Matrix'!$D$3:$GU$3='Cement and Glass Split'!R$2,'Exiobase A Matrix'!$D$4:$GU$203)))</f>
        <v>4.3004258891213233E-4</v>
      </c>
      <c r="S16">
        <f t="array" ref="S16">SUMPRODUCT(IF('Exiobase A Matrix'!$C$4:$C$203='Cement and Glass Split'!$A16,IF('Exiobase A Matrix'!$D$3:$GU$3='Cement and Glass Split'!S$2,'Exiobase A Matrix'!$D$4:$GU$203)))</f>
        <v>4.0904627012184697E-4</v>
      </c>
      <c r="T16">
        <f t="array" ref="T16">SUMPRODUCT(IF('Exiobase A Matrix'!$C$4:$C$203='Cement and Glass Split'!$A16,IF('Exiobase A Matrix'!$D$3:$GU$3='Cement and Glass Split'!T$2,'Exiobase A Matrix'!$D$4:$GU$203)))</f>
        <v>3.7475788950904719E-2</v>
      </c>
      <c r="U16">
        <f t="array" ref="U16">SUMPRODUCT(IF('Exiobase A Matrix'!$C$4:$C$203='Cement and Glass Split'!$A16,IF('Exiobase A Matrix'!$D$3:$GU$3='Cement and Glass Split'!U$2,'Exiobase A Matrix'!$D$4:$GU$203)))</f>
        <v>4.3289867587964995E-3</v>
      </c>
      <c r="V16">
        <f t="array" ref="V16">SUMPRODUCT(IF('Exiobase A Matrix'!$C$4:$C$203='Cement and Glass Split'!$A16,IF('Exiobase A Matrix'!$D$3:$GU$3='Cement and Glass Split'!V$2,'Exiobase A Matrix'!$D$4:$GU$203)))</f>
        <v>8.7549331044209356E-4</v>
      </c>
      <c r="W16">
        <f t="array" ref="W16">SUMPRODUCT(IF('Exiobase A Matrix'!$C$4:$C$203='Cement and Glass Split'!$A16,IF('Exiobase A Matrix'!$D$3:$GU$3='Cement and Glass Split'!W$2,'Exiobase A Matrix'!$D$4:$GU$203)))</f>
        <v>2.332794023589344E-3</v>
      </c>
      <c r="X16">
        <f t="array" ref="X16">SUMPRODUCT(IF('Exiobase A Matrix'!$C$4:$C$203='Cement and Glass Split'!$A16,IF('Exiobase A Matrix'!$D$3:$GU$3='Cement and Glass Split'!X$2,'Exiobase A Matrix'!$D$4:$GU$203)))</f>
        <v>1.0255865961781869E-3</v>
      </c>
      <c r="Y16">
        <f t="array" ref="Y16">SUMPRODUCT(IF('Exiobase A Matrix'!$C$4:$C$203='Cement and Glass Split'!$A16,IF('Exiobase A Matrix'!$D$3:$GU$3='Cement and Glass Split'!Y$2,'Exiobase A Matrix'!$D$4:$GU$203)))</f>
        <v>6.9029226371789786E-3</v>
      </c>
      <c r="Z16">
        <f t="array" ref="Z16">SUMPRODUCT(IF('Exiobase A Matrix'!$C$4:$C$203='Cement and Glass Split'!$A16,IF('Exiobase A Matrix'!$D$3:$GU$3='Cement and Glass Split'!Z$2,'Exiobase A Matrix'!$D$4:$GU$203)))</f>
        <v>1.8235801226710121E-4</v>
      </c>
      <c r="AA16">
        <f t="array" ref="AA16">SUMPRODUCT(IF('Exiobase A Matrix'!$C$4:$C$203='Cement and Glass Split'!$A16,IF('Exiobase A Matrix'!$D$3:$GU$3='Cement and Glass Split'!AA$2,'Exiobase A Matrix'!$D$4:$GU$203)))</f>
        <v>4.0853769495816931E-7</v>
      </c>
      <c r="AB16">
        <f t="array" ref="AB16">SUMPRODUCT(IF('Exiobase A Matrix'!$C$4:$C$203='Cement and Glass Split'!$A16,IF('Exiobase A Matrix'!$D$3:$GU$3='Cement and Glass Split'!AB$2,'Exiobase A Matrix'!$D$4:$GU$203)))</f>
        <v>1.4208606403428652E-3</v>
      </c>
      <c r="AC16">
        <f t="array" ref="AC16">SUMPRODUCT(IF('Exiobase A Matrix'!$C$4:$C$203='Cement and Glass Split'!$A16,IF('Exiobase A Matrix'!$D$3:$GU$3='Cement and Glass Split'!AC$2,'Exiobase A Matrix'!$D$4:$GU$203)))</f>
        <v>3.4485276249219144E-3</v>
      </c>
      <c r="AD16">
        <f t="array" ref="AD16">SUMPRODUCT(IF('Exiobase A Matrix'!$C$4:$C$203='Cement and Glass Split'!$A16,IF('Exiobase A Matrix'!$D$3:$GU$3='Cement and Glass Split'!AD$2,'Exiobase A Matrix'!$D$4:$GU$203)))</f>
        <v>1.5335167672395961E-8</v>
      </c>
      <c r="AE16">
        <f t="array" ref="AE16">SUMPRODUCT(IF('Exiobase A Matrix'!$C$4:$C$203='Cement and Glass Split'!$A16,IF('Exiobase A Matrix'!$D$3:$GU$3='Cement and Glass Split'!AE$2,'Exiobase A Matrix'!$D$4:$GU$203)))</f>
        <v>4.3040472029897619E-5</v>
      </c>
      <c r="AF16">
        <f t="array" ref="AF16">SUMPRODUCT(IF('Exiobase A Matrix'!$C$4:$C$203='Cement and Glass Split'!$A16,IF('Exiobase A Matrix'!$D$3:$GU$3='Cement and Glass Split'!AF$2,'Exiobase A Matrix'!$D$4:$GU$203)))</f>
        <v>3.8327991379251912E-4</v>
      </c>
      <c r="AG16">
        <f t="array" ref="AG16">SUMPRODUCT(IF('Exiobase A Matrix'!$C$4:$C$203='Cement and Glass Split'!$A16,IF('Exiobase A Matrix'!$D$3:$GU$3='Cement and Glass Split'!AG$2,'Exiobase A Matrix'!$D$4:$GU$203)))</f>
        <v>0</v>
      </c>
      <c r="AH16">
        <f t="array" ref="AH16">SUMPRODUCT(IF('Exiobase A Matrix'!$C$4:$C$203='Cement and Glass Split'!$A16,IF('Exiobase A Matrix'!$D$3:$GU$3='Cement and Glass Split'!AH$2,'Exiobase A Matrix'!$D$4:$GU$203)))</f>
        <v>1.4164536726639015E-10</v>
      </c>
      <c r="AI16">
        <f t="array" ref="AI16">SUMPRODUCT(IF('Exiobase A Matrix'!$C$4:$C$203='Cement and Glass Split'!$A16,IF('Exiobase A Matrix'!$D$3:$GU$3='Cement and Glass Split'!AI$2,'Exiobase A Matrix'!$D$4:$GU$203)))</f>
        <v>2.5299513063855185E-7</v>
      </c>
      <c r="AJ16">
        <f t="array" ref="AJ16">SUMPRODUCT(IF('Exiobase A Matrix'!$C$4:$C$203='Cement and Glass Split'!$A16,IF('Exiobase A Matrix'!$D$3:$GU$3='Cement and Glass Split'!AJ$2,'Exiobase A Matrix'!$D$4:$GU$203)))</f>
        <v>2.1323661324290806E-5</v>
      </c>
      <c r="AK16">
        <f t="array" ref="AK16">SUMPRODUCT(IF('Exiobase A Matrix'!$C$4:$C$203='Cement and Glass Split'!$A16,IF('Exiobase A Matrix'!$D$3:$GU$3='Cement and Glass Split'!AK$2,'Exiobase A Matrix'!$D$4:$GU$203)))</f>
        <v>2.068114349074113E-5</v>
      </c>
      <c r="AL16">
        <f t="array" ref="AL16">SUMPRODUCT(IF('Exiobase A Matrix'!$C$4:$C$203='Cement and Glass Split'!$A16,IF('Exiobase A Matrix'!$D$3:$GU$3='Cement and Glass Split'!AL$2,'Exiobase A Matrix'!$D$4:$GU$203)))</f>
        <v>4.3682641973518592E-4</v>
      </c>
      <c r="AM16">
        <f t="array" ref="AM16">SUMPRODUCT(IF('Exiobase A Matrix'!$C$4:$C$203='Cement and Glass Split'!$A16,IF('Exiobase A Matrix'!$D$3:$GU$3='Cement and Glass Split'!AM$2,'Exiobase A Matrix'!$D$4:$GU$203)))</f>
        <v>1.6501872458948328E-5</v>
      </c>
      <c r="AN16">
        <f t="array" ref="AN16">SUMPRODUCT(IF('Exiobase A Matrix'!$C$4:$C$203='Cement and Glass Split'!$A16,IF('Exiobase A Matrix'!$D$3:$GU$3='Cement and Glass Split'!AN$2,'Exiobase A Matrix'!$D$4:$GU$203)))</f>
        <v>4.032529937850949E-4</v>
      </c>
      <c r="AO16">
        <f t="array" ref="AO16">SUMPRODUCT(IF('Exiobase A Matrix'!$C$4:$C$203='Cement and Glass Split'!$A16,IF('Exiobase A Matrix'!$D$3:$GU$3='Cement and Glass Split'!AO$2,'Exiobase A Matrix'!$D$4:$GU$203)))</f>
        <v>2.7031872376576143E-4</v>
      </c>
      <c r="AP16">
        <f t="array" ref="AP16">SUMPRODUCT(IF('Exiobase A Matrix'!$C$4:$C$203='Cement and Glass Split'!$A16,IF('Exiobase A Matrix'!$D$3:$GU$3='Cement and Glass Split'!AP$2,'Exiobase A Matrix'!$D$4:$GU$203)))</f>
        <v>2.9242798241750825E-3</v>
      </c>
      <c r="AQ16">
        <f t="array" ref="AQ16">SUMPRODUCT(IF('Exiobase A Matrix'!$C$4:$C$203='Cement and Glass Split'!$A16,IF('Exiobase A Matrix'!$D$3:$GU$3='Cement and Glass Split'!AQ$2,'Exiobase A Matrix'!$D$4:$GU$203)))</f>
        <v>4.4439327029379147E-3</v>
      </c>
    </row>
    <row r="17" spans="1:43">
      <c r="A17" t="s">
        <v>133</v>
      </c>
      <c r="B17">
        <f t="array" ref="B17">SUMPRODUCT(IF('Exiobase A Matrix'!$C$4:$C$203='Cement and Glass Split'!$A17,IF('Exiobase A Matrix'!$D$3:$GU$3='Cement and Glass Split'!B$2,'Exiobase A Matrix'!$D$4:$GU$203)))</f>
        <v>1.2856041581196926E-3</v>
      </c>
      <c r="C17">
        <f t="array" ref="C17">SUMPRODUCT(IF('Exiobase A Matrix'!$C$4:$C$203='Cement and Glass Split'!$A17,IF('Exiobase A Matrix'!$D$3:$GU$3='Cement and Glass Split'!C$2,'Exiobase A Matrix'!$D$4:$GU$203)))</f>
        <v>5.5752256458898534E-4</v>
      </c>
      <c r="D17">
        <f t="array" ref="D17">SUMPRODUCT(IF('Exiobase A Matrix'!$C$4:$C$203='Cement and Glass Split'!$A17,IF('Exiobase A Matrix'!$D$3:$GU$3='Cement and Glass Split'!D$2,'Exiobase A Matrix'!$D$4:$GU$203)))</f>
        <v>5.1652778426033552E-5</v>
      </c>
      <c r="E17">
        <f t="array" ref="E17">SUMPRODUCT(IF('Exiobase A Matrix'!$C$4:$C$203='Cement and Glass Split'!$A17,IF('Exiobase A Matrix'!$D$3:$GU$3='Cement and Glass Split'!E$2,'Exiobase A Matrix'!$D$4:$GU$203)))</f>
        <v>1.8238979588615598E-5</v>
      </c>
      <c r="F17">
        <f t="array" ref="F17">SUMPRODUCT(IF('Exiobase A Matrix'!$C$4:$C$203='Cement and Glass Split'!$A17,IF('Exiobase A Matrix'!$D$3:$GU$3='Cement and Glass Split'!F$2,'Exiobase A Matrix'!$D$4:$GU$203)))</f>
        <v>0</v>
      </c>
      <c r="G17">
        <f t="array" ref="G17">SUMPRODUCT(IF('Exiobase A Matrix'!$C$4:$C$203='Cement and Glass Split'!$A17,IF('Exiobase A Matrix'!$D$3:$GU$3='Cement and Glass Split'!G$2,'Exiobase A Matrix'!$D$4:$GU$203)))</f>
        <v>1.3606042195908694E-4</v>
      </c>
      <c r="H17">
        <f t="array" ref="H17">SUMPRODUCT(IF('Exiobase A Matrix'!$C$4:$C$203='Cement and Glass Split'!$A17,IF('Exiobase A Matrix'!$D$3:$GU$3='Cement and Glass Split'!H$2,'Exiobase A Matrix'!$D$4:$GU$203)))</f>
        <v>1.3058431253624595E-3</v>
      </c>
      <c r="I17">
        <f t="array" ref="I17">SUMPRODUCT(IF('Exiobase A Matrix'!$C$4:$C$203='Cement and Glass Split'!$A17,IF('Exiobase A Matrix'!$D$3:$GU$3='Cement and Glass Split'!I$2,'Exiobase A Matrix'!$D$4:$GU$203)))</f>
        <v>7.7317752744713957E-4</v>
      </c>
      <c r="J17">
        <f t="array" ref="J17">SUMPRODUCT(IF('Exiobase A Matrix'!$C$4:$C$203='Cement and Glass Split'!$A17,IF('Exiobase A Matrix'!$D$3:$GU$3='Cement and Glass Split'!J$2,'Exiobase A Matrix'!$D$4:$GU$203)))</f>
        <v>1.1286741560844207E-2</v>
      </c>
      <c r="K17">
        <f t="array" ref="K17">SUMPRODUCT(IF('Exiobase A Matrix'!$C$4:$C$203='Cement and Glass Split'!$A17,IF('Exiobase A Matrix'!$D$3:$GU$3='Cement and Glass Split'!K$2,'Exiobase A Matrix'!$D$4:$GU$203)))</f>
        <v>4.8241261109424095E-2</v>
      </c>
      <c r="L17">
        <f t="array" ref="L17">SUMPRODUCT(IF('Exiobase A Matrix'!$C$4:$C$203='Cement and Glass Split'!$A17,IF('Exiobase A Matrix'!$D$3:$GU$3='Cement and Glass Split'!L$2,'Exiobase A Matrix'!$D$4:$GU$203)))</f>
        <v>4.6143834288023058E-3</v>
      </c>
      <c r="M17">
        <f t="array" ref="M17">SUMPRODUCT(IF('Exiobase A Matrix'!$C$4:$C$203='Cement and Glass Split'!$A17,IF('Exiobase A Matrix'!$D$3:$GU$3='Cement and Glass Split'!M$2,'Exiobase A Matrix'!$D$4:$GU$203)))</f>
        <v>0</v>
      </c>
      <c r="N17">
        <f t="array" ref="N17">SUMPRODUCT(IF('Exiobase A Matrix'!$C$4:$C$203='Cement and Glass Split'!$A17,IF('Exiobase A Matrix'!$D$3:$GU$3='Cement and Glass Split'!N$2,'Exiobase A Matrix'!$D$4:$GU$203)))</f>
        <v>5.1124685214360484E-4</v>
      </c>
      <c r="O17">
        <f t="array" ref="O17">SUMPRODUCT(IF('Exiobase A Matrix'!$C$4:$C$203='Cement and Glass Split'!$A17,IF('Exiobase A Matrix'!$D$3:$GU$3='Cement and Glass Split'!O$2,'Exiobase A Matrix'!$D$4:$GU$203)))</f>
        <v>7.6630773101991076E-3</v>
      </c>
      <c r="P17">
        <f t="array" ref="P17">SUMPRODUCT(IF('Exiobase A Matrix'!$C$4:$C$203='Cement and Glass Split'!$A17,IF('Exiobase A Matrix'!$D$3:$GU$3='Cement and Glass Split'!P$2,'Exiobase A Matrix'!$D$4:$GU$203)))</f>
        <v>0.50196085985663663</v>
      </c>
      <c r="Q17">
        <f t="array" ref="Q17">SUMPRODUCT(IF('Exiobase A Matrix'!$C$4:$C$203='Cement and Glass Split'!$A17,IF('Exiobase A Matrix'!$D$3:$GU$3='Cement and Glass Split'!Q$2,'Exiobase A Matrix'!$D$4:$GU$203)))</f>
        <v>1.0256884319078528E-2</v>
      </c>
      <c r="R17">
        <f t="array" ref="R17">SUMPRODUCT(IF('Exiobase A Matrix'!$C$4:$C$203='Cement and Glass Split'!$A17,IF('Exiobase A Matrix'!$D$3:$GU$3='Cement and Glass Split'!R$2,'Exiobase A Matrix'!$D$4:$GU$203)))</f>
        <v>2.2474370316447691E-2</v>
      </c>
      <c r="S17">
        <f t="array" ref="S17">SUMPRODUCT(IF('Exiobase A Matrix'!$C$4:$C$203='Cement and Glass Split'!$A17,IF('Exiobase A Matrix'!$D$3:$GU$3='Cement and Glass Split'!S$2,'Exiobase A Matrix'!$D$4:$GU$203)))</f>
        <v>1.5573835186381421E-3</v>
      </c>
      <c r="T17">
        <f t="array" ref="T17">SUMPRODUCT(IF('Exiobase A Matrix'!$C$4:$C$203='Cement and Glass Split'!$A17,IF('Exiobase A Matrix'!$D$3:$GU$3='Cement and Glass Split'!T$2,'Exiobase A Matrix'!$D$4:$GU$203)))</f>
        <v>2.9507744153462051E-3</v>
      </c>
      <c r="U17">
        <f t="array" ref="U17">SUMPRODUCT(IF('Exiobase A Matrix'!$C$4:$C$203='Cement and Glass Split'!$A17,IF('Exiobase A Matrix'!$D$3:$GU$3='Cement and Glass Split'!U$2,'Exiobase A Matrix'!$D$4:$GU$203)))</f>
        <v>3.6320423916019438E-3</v>
      </c>
      <c r="V17">
        <f t="array" ref="V17">SUMPRODUCT(IF('Exiobase A Matrix'!$C$4:$C$203='Cement and Glass Split'!$A17,IF('Exiobase A Matrix'!$D$3:$GU$3='Cement and Glass Split'!V$2,'Exiobase A Matrix'!$D$4:$GU$203)))</f>
        <v>1.4636601977028678E-3</v>
      </c>
      <c r="W17">
        <f t="array" ref="W17">SUMPRODUCT(IF('Exiobase A Matrix'!$C$4:$C$203='Cement and Glass Split'!$A17,IF('Exiobase A Matrix'!$D$3:$GU$3='Cement and Glass Split'!W$2,'Exiobase A Matrix'!$D$4:$GU$203)))</f>
        <v>6.5875326687498217E-4</v>
      </c>
      <c r="X17">
        <f t="array" ref="X17">SUMPRODUCT(IF('Exiobase A Matrix'!$C$4:$C$203='Cement and Glass Split'!$A17,IF('Exiobase A Matrix'!$D$3:$GU$3='Cement and Glass Split'!X$2,'Exiobase A Matrix'!$D$4:$GU$203)))</f>
        <v>1.3906423870742547E-3</v>
      </c>
      <c r="Y17">
        <f t="array" ref="Y17">SUMPRODUCT(IF('Exiobase A Matrix'!$C$4:$C$203='Cement and Glass Split'!$A17,IF('Exiobase A Matrix'!$D$3:$GU$3='Cement and Glass Split'!Y$2,'Exiobase A Matrix'!$D$4:$GU$203)))</f>
        <v>3.0703924269217401E-3</v>
      </c>
      <c r="Z17">
        <f t="array" ref="Z17">SUMPRODUCT(IF('Exiobase A Matrix'!$C$4:$C$203='Cement and Glass Split'!$A17,IF('Exiobase A Matrix'!$D$3:$GU$3='Cement and Glass Split'!Z$2,'Exiobase A Matrix'!$D$4:$GU$203)))</f>
        <v>3.6114279188867141E-3</v>
      </c>
      <c r="AA17">
        <f t="array" ref="AA17">SUMPRODUCT(IF('Exiobase A Matrix'!$C$4:$C$203='Cement and Glass Split'!$A17,IF('Exiobase A Matrix'!$D$3:$GU$3='Cement and Glass Split'!AA$2,'Exiobase A Matrix'!$D$4:$GU$203)))</f>
        <v>1.5234944273948323E-5</v>
      </c>
      <c r="AB17">
        <f t="array" ref="AB17">SUMPRODUCT(IF('Exiobase A Matrix'!$C$4:$C$203='Cement and Glass Split'!$A17,IF('Exiobase A Matrix'!$D$3:$GU$3='Cement and Glass Split'!AB$2,'Exiobase A Matrix'!$D$4:$GU$203)))</f>
        <v>5.6980489694575627E-3</v>
      </c>
      <c r="AC17">
        <f t="array" ref="AC17">SUMPRODUCT(IF('Exiobase A Matrix'!$C$4:$C$203='Cement and Glass Split'!$A17,IF('Exiobase A Matrix'!$D$3:$GU$3='Cement and Glass Split'!AC$2,'Exiobase A Matrix'!$D$4:$GU$203)))</f>
        <v>0.11434699552558075</v>
      </c>
      <c r="AD17">
        <f t="array" ref="AD17">SUMPRODUCT(IF('Exiobase A Matrix'!$C$4:$C$203='Cement and Glass Split'!$A17,IF('Exiobase A Matrix'!$D$3:$GU$3='Cement and Glass Split'!AD$2,'Exiobase A Matrix'!$D$4:$GU$203)))</f>
        <v>1.4878480210801627E-8</v>
      </c>
      <c r="AE17">
        <f t="array" ref="AE17">SUMPRODUCT(IF('Exiobase A Matrix'!$C$4:$C$203='Cement and Glass Split'!$A17,IF('Exiobase A Matrix'!$D$3:$GU$3='Cement and Glass Split'!AE$2,'Exiobase A Matrix'!$D$4:$GU$203)))</f>
        <v>7.1324873673206586E-5</v>
      </c>
      <c r="AF17">
        <f t="array" ref="AF17">SUMPRODUCT(IF('Exiobase A Matrix'!$C$4:$C$203='Cement and Glass Split'!$A17,IF('Exiobase A Matrix'!$D$3:$GU$3='Cement and Glass Split'!AF$2,'Exiobase A Matrix'!$D$4:$GU$203)))</f>
        <v>8.2211041493582889E-4</v>
      </c>
      <c r="AG17">
        <f t="array" ref="AG17">SUMPRODUCT(IF('Exiobase A Matrix'!$C$4:$C$203='Cement and Glass Split'!$A17,IF('Exiobase A Matrix'!$D$3:$GU$3='Cement and Glass Split'!AG$2,'Exiobase A Matrix'!$D$4:$GU$203)))</f>
        <v>0</v>
      </c>
      <c r="AH17">
        <f t="array" ref="AH17">SUMPRODUCT(IF('Exiobase A Matrix'!$C$4:$C$203='Cement and Glass Split'!$A17,IF('Exiobase A Matrix'!$D$3:$GU$3='Cement and Glass Split'!AH$2,'Exiobase A Matrix'!$D$4:$GU$203)))</f>
        <v>0</v>
      </c>
      <c r="AI17">
        <f t="array" ref="AI17">SUMPRODUCT(IF('Exiobase A Matrix'!$C$4:$C$203='Cement and Glass Split'!$A17,IF('Exiobase A Matrix'!$D$3:$GU$3='Cement and Glass Split'!AI$2,'Exiobase A Matrix'!$D$4:$GU$203)))</f>
        <v>1.2365556624916567E-7</v>
      </c>
      <c r="AJ17">
        <f t="array" ref="AJ17">SUMPRODUCT(IF('Exiobase A Matrix'!$C$4:$C$203='Cement and Glass Split'!$A17,IF('Exiobase A Matrix'!$D$3:$GU$3='Cement and Glass Split'!AJ$2,'Exiobase A Matrix'!$D$4:$GU$203)))</f>
        <v>1.8208123222464015E-7</v>
      </c>
      <c r="AK17">
        <f t="array" ref="AK17">SUMPRODUCT(IF('Exiobase A Matrix'!$C$4:$C$203='Cement and Glass Split'!$A17,IF('Exiobase A Matrix'!$D$3:$GU$3='Cement and Glass Split'!AK$2,'Exiobase A Matrix'!$D$4:$GU$203)))</f>
        <v>1.7948958524704008E-7</v>
      </c>
      <c r="AL17">
        <f t="array" ref="AL17">SUMPRODUCT(IF('Exiobase A Matrix'!$C$4:$C$203='Cement and Glass Split'!$A17,IF('Exiobase A Matrix'!$D$3:$GU$3='Cement and Glass Split'!AL$2,'Exiobase A Matrix'!$D$4:$GU$203)))</f>
        <v>1.0135948698932467E-3</v>
      </c>
      <c r="AM17">
        <f t="array" ref="AM17">SUMPRODUCT(IF('Exiobase A Matrix'!$C$4:$C$203='Cement and Glass Split'!$A17,IF('Exiobase A Matrix'!$D$3:$GU$3='Cement and Glass Split'!AM$2,'Exiobase A Matrix'!$D$4:$GU$203)))</f>
        <v>3.6185990161302943E-4</v>
      </c>
      <c r="AN17">
        <f t="array" ref="AN17">SUMPRODUCT(IF('Exiobase A Matrix'!$C$4:$C$203='Cement and Glass Split'!$A17,IF('Exiobase A Matrix'!$D$3:$GU$3='Cement and Glass Split'!AN$2,'Exiobase A Matrix'!$D$4:$GU$203)))</f>
        <v>3.3936467967091979E-5</v>
      </c>
      <c r="AO17">
        <f t="array" ref="AO17">SUMPRODUCT(IF('Exiobase A Matrix'!$C$4:$C$203='Cement and Glass Split'!$A17,IF('Exiobase A Matrix'!$D$3:$GU$3='Cement and Glass Split'!AO$2,'Exiobase A Matrix'!$D$4:$GU$203)))</f>
        <v>7.8010248679816804E-5</v>
      </c>
      <c r="AP17">
        <f t="array" ref="AP17">SUMPRODUCT(IF('Exiobase A Matrix'!$C$4:$C$203='Cement and Glass Split'!$A17,IF('Exiobase A Matrix'!$D$3:$GU$3='Cement and Glass Split'!AP$2,'Exiobase A Matrix'!$D$4:$GU$203)))</f>
        <v>2.4636086714583212E-3</v>
      </c>
      <c r="AQ17">
        <f t="array" ref="AQ17">SUMPRODUCT(IF('Exiobase A Matrix'!$C$4:$C$203='Cement and Glass Split'!$A17,IF('Exiobase A Matrix'!$D$3:$GU$3='Cement and Glass Split'!AQ$2,'Exiobase A Matrix'!$D$4:$GU$203)))</f>
        <v>1.0614980791762778E-6</v>
      </c>
    </row>
    <row r="18" spans="1:43">
      <c r="A18" t="s">
        <v>134</v>
      </c>
      <c r="B18">
        <f t="array" ref="B18">SUMPRODUCT(IF('Exiobase A Matrix'!$C$4:$C$203='Cement and Glass Split'!$A18,IF('Exiobase A Matrix'!$D$3:$GU$3='Cement and Glass Split'!B$2,'Exiobase A Matrix'!$D$4:$GU$203)))</f>
        <v>1.1492655726048592E-2</v>
      </c>
      <c r="C18">
        <f t="array" ref="C18">SUMPRODUCT(IF('Exiobase A Matrix'!$C$4:$C$203='Cement and Glass Split'!$A18,IF('Exiobase A Matrix'!$D$3:$GU$3='Cement and Glass Split'!C$2,'Exiobase A Matrix'!$D$4:$GU$203)))</f>
        <v>2.442220657672186E-2</v>
      </c>
      <c r="D18">
        <f t="array" ref="D18">SUMPRODUCT(IF('Exiobase A Matrix'!$C$4:$C$203='Cement and Glass Split'!$A18,IF('Exiobase A Matrix'!$D$3:$GU$3='Cement and Glass Split'!D$2,'Exiobase A Matrix'!$D$4:$GU$203)))</f>
        <v>1.5901179667036902E-4</v>
      </c>
      <c r="E18">
        <f t="array" ref="E18">SUMPRODUCT(IF('Exiobase A Matrix'!$C$4:$C$203='Cement and Glass Split'!$A18,IF('Exiobase A Matrix'!$D$3:$GU$3='Cement and Glass Split'!E$2,'Exiobase A Matrix'!$D$4:$GU$203)))</f>
        <v>2.85858549833527E-3</v>
      </c>
      <c r="F18">
        <f t="array" ref="F18">SUMPRODUCT(IF('Exiobase A Matrix'!$C$4:$C$203='Cement and Glass Split'!$A18,IF('Exiobase A Matrix'!$D$3:$GU$3='Cement and Glass Split'!F$2,'Exiobase A Matrix'!$D$4:$GU$203)))</f>
        <v>0</v>
      </c>
      <c r="G18">
        <f t="array" ref="G18">SUMPRODUCT(IF('Exiobase A Matrix'!$C$4:$C$203='Cement and Glass Split'!$A18,IF('Exiobase A Matrix'!$D$3:$GU$3='Cement and Glass Split'!G$2,'Exiobase A Matrix'!$D$4:$GU$203)))</f>
        <v>6.192466233709762E-4</v>
      </c>
      <c r="H18">
        <f t="array" ref="H18">SUMPRODUCT(IF('Exiobase A Matrix'!$C$4:$C$203='Cement and Glass Split'!$A18,IF('Exiobase A Matrix'!$D$3:$GU$3='Cement and Glass Split'!H$2,'Exiobase A Matrix'!$D$4:$GU$203)))</f>
        <v>6.648981360427917E-5</v>
      </c>
      <c r="I18">
        <f t="array" ref="I18">SUMPRODUCT(IF('Exiobase A Matrix'!$C$4:$C$203='Cement and Glass Split'!$A18,IF('Exiobase A Matrix'!$D$3:$GU$3='Cement and Glass Split'!I$2,'Exiobase A Matrix'!$D$4:$GU$203)))</f>
        <v>1.071337555367601E-4</v>
      </c>
      <c r="J18">
        <f t="array" ref="J18">SUMPRODUCT(IF('Exiobase A Matrix'!$C$4:$C$203='Cement and Glass Split'!$A18,IF('Exiobase A Matrix'!$D$3:$GU$3='Cement and Glass Split'!J$2,'Exiobase A Matrix'!$D$4:$GU$203)))</f>
        <v>3.0794357332941517E-4</v>
      </c>
      <c r="K18">
        <f t="array" ref="K18">SUMPRODUCT(IF('Exiobase A Matrix'!$C$4:$C$203='Cement and Glass Split'!$A18,IF('Exiobase A Matrix'!$D$3:$GU$3='Cement and Glass Split'!K$2,'Exiobase A Matrix'!$D$4:$GU$203)))</f>
        <v>2.7482770981392603E-2</v>
      </c>
      <c r="L18">
        <f t="array" ref="L18">SUMPRODUCT(IF('Exiobase A Matrix'!$C$4:$C$203='Cement and Glass Split'!$A18,IF('Exiobase A Matrix'!$D$3:$GU$3='Cement and Glass Split'!L$2,'Exiobase A Matrix'!$D$4:$GU$203)))</f>
        <v>3.0985555802852728E-3</v>
      </c>
      <c r="M18">
        <f t="array" ref="M18">SUMPRODUCT(IF('Exiobase A Matrix'!$C$4:$C$203='Cement and Glass Split'!$A18,IF('Exiobase A Matrix'!$D$3:$GU$3='Cement and Glass Split'!M$2,'Exiobase A Matrix'!$D$4:$GU$203)))</f>
        <v>0</v>
      </c>
      <c r="N18">
        <f t="array" ref="N18">SUMPRODUCT(IF('Exiobase A Matrix'!$C$4:$C$203='Cement and Glass Split'!$A18,IF('Exiobase A Matrix'!$D$3:$GU$3='Cement and Glass Split'!N$2,'Exiobase A Matrix'!$D$4:$GU$203)))</f>
        <v>1.4393302715873797E-3</v>
      </c>
      <c r="O18">
        <f t="array" ref="O18">SUMPRODUCT(IF('Exiobase A Matrix'!$C$4:$C$203='Cement and Glass Split'!$A18,IF('Exiobase A Matrix'!$D$3:$GU$3='Cement and Glass Split'!O$2,'Exiobase A Matrix'!$D$4:$GU$203)))</f>
        <v>4.2148409384949558E-4</v>
      </c>
      <c r="P18">
        <f t="array" ref="P18">SUMPRODUCT(IF('Exiobase A Matrix'!$C$4:$C$203='Cement and Glass Split'!$A18,IF('Exiobase A Matrix'!$D$3:$GU$3='Cement and Glass Split'!P$2,'Exiobase A Matrix'!$D$4:$GU$203)))</f>
        <v>5.7343540557651968E-3</v>
      </c>
      <c r="Q18">
        <f t="array" ref="Q18">SUMPRODUCT(IF('Exiobase A Matrix'!$C$4:$C$203='Cement and Glass Split'!$A18,IF('Exiobase A Matrix'!$D$3:$GU$3='Cement and Glass Split'!Q$2,'Exiobase A Matrix'!$D$4:$GU$203)))</f>
        <v>0.49742752663647394</v>
      </c>
      <c r="R18">
        <f t="array" ref="R18">SUMPRODUCT(IF('Exiobase A Matrix'!$C$4:$C$203='Cement and Glass Split'!$A18,IF('Exiobase A Matrix'!$D$3:$GU$3='Cement and Glass Split'!R$2,'Exiobase A Matrix'!$D$4:$GU$203)))</f>
        <v>5.1131133873889359E-2</v>
      </c>
      <c r="S18">
        <f t="array" ref="S18">SUMPRODUCT(IF('Exiobase A Matrix'!$C$4:$C$203='Cement and Glass Split'!$A18,IF('Exiobase A Matrix'!$D$3:$GU$3='Cement and Glass Split'!S$2,'Exiobase A Matrix'!$D$4:$GU$203)))</f>
        <v>0.21022510743571562</v>
      </c>
      <c r="T18">
        <f t="array" ref="T18">SUMPRODUCT(IF('Exiobase A Matrix'!$C$4:$C$203='Cement and Glass Split'!$A18,IF('Exiobase A Matrix'!$D$3:$GU$3='Cement and Glass Split'!T$2,'Exiobase A Matrix'!$D$4:$GU$203)))</f>
        <v>1.6522174375196208E-2</v>
      </c>
      <c r="U18">
        <f t="array" ref="U18">SUMPRODUCT(IF('Exiobase A Matrix'!$C$4:$C$203='Cement and Glass Split'!$A18,IF('Exiobase A Matrix'!$D$3:$GU$3='Cement and Glass Split'!U$2,'Exiobase A Matrix'!$D$4:$GU$203)))</f>
        <v>2.7259651747817464E-2</v>
      </c>
      <c r="V18">
        <f t="array" ref="V18">SUMPRODUCT(IF('Exiobase A Matrix'!$C$4:$C$203='Cement and Glass Split'!$A18,IF('Exiobase A Matrix'!$D$3:$GU$3='Cement and Glass Split'!V$2,'Exiobase A Matrix'!$D$4:$GU$203)))</f>
        <v>0.10563954402395208</v>
      </c>
      <c r="W18">
        <f t="array" ref="W18">SUMPRODUCT(IF('Exiobase A Matrix'!$C$4:$C$203='Cement and Glass Split'!$A18,IF('Exiobase A Matrix'!$D$3:$GU$3='Cement and Glass Split'!W$2,'Exiobase A Matrix'!$D$4:$GU$203)))</f>
        <v>2.5544949570811361E-2</v>
      </c>
      <c r="X18">
        <f t="array" ref="X18">SUMPRODUCT(IF('Exiobase A Matrix'!$C$4:$C$203='Cement and Glass Split'!$A18,IF('Exiobase A Matrix'!$D$3:$GU$3='Cement and Glass Split'!X$2,'Exiobase A Matrix'!$D$4:$GU$203)))</f>
        <v>8.6503592877627666E-3</v>
      </c>
      <c r="Y18">
        <f t="array" ref="Y18">SUMPRODUCT(IF('Exiobase A Matrix'!$C$4:$C$203='Cement and Glass Split'!$A18,IF('Exiobase A Matrix'!$D$3:$GU$3='Cement and Glass Split'!Y$2,'Exiobase A Matrix'!$D$4:$GU$203)))</f>
        <v>2.094948888924919E-2</v>
      </c>
      <c r="Z18">
        <f t="array" ref="Z18">SUMPRODUCT(IF('Exiobase A Matrix'!$C$4:$C$203='Cement and Glass Split'!$A18,IF('Exiobase A Matrix'!$D$3:$GU$3='Cement and Glass Split'!Z$2,'Exiobase A Matrix'!$D$4:$GU$203)))</f>
        <v>2.5078769626219275E-3</v>
      </c>
      <c r="AA18">
        <f t="array" ref="AA18">SUMPRODUCT(IF('Exiobase A Matrix'!$C$4:$C$203='Cement and Glass Split'!$A18,IF('Exiobase A Matrix'!$D$3:$GU$3='Cement and Glass Split'!AA$2,'Exiobase A Matrix'!$D$4:$GU$203)))</f>
        <v>1.0255496630495039E-3</v>
      </c>
      <c r="AB18">
        <f t="array" ref="AB18">SUMPRODUCT(IF('Exiobase A Matrix'!$C$4:$C$203='Cement and Glass Split'!$A18,IF('Exiobase A Matrix'!$D$3:$GU$3='Cement and Glass Split'!AB$2,'Exiobase A Matrix'!$D$4:$GU$203)))</f>
        <v>6.2419910089935096E-3</v>
      </c>
      <c r="AC18">
        <f t="array" ref="AC18">SUMPRODUCT(IF('Exiobase A Matrix'!$C$4:$C$203='Cement and Glass Split'!$A18,IF('Exiobase A Matrix'!$D$3:$GU$3='Cement and Glass Split'!AC$2,'Exiobase A Matrix'!$D$4:$GU$203)))</f>
        <v>6.7086016516668429E-2</v>
      </c>
      <c r="AD18">
        <f t="array" ref="AD18">SUMPRODUCT(IF('Exiobase A Matrix'!$C$4:$C$203='Cement and Glass Split'!$A18,IF('Exiobase A Matrix'!$D$3:$GU$3='Cement and Glass Split'!AD$2,'Exiobase A Matrix'!$D$4:$GU$203)))</f>
        <v>0</v>
      </c>
      <c r="AE18">
        <f t="array" ref="AE18">SUMPRODUCT(IF('Exiobase A Matrix'!$C$4:$C$203='Cement and Glass Split'!$A18,IF('Exiobase A Matrix'!$D$3:$GU$3='Cement and Glass Split'!AE$2,'Exiobase A Matrix'!$D$4:$GU$203)))</f>
        <v>5.7905097578128279E-7</v>
      </c>
      <c r="AF18">
        <f t="array" ref="AF18">SUMPRODUCT(IF('Exiobase A Matrix'!$C$4:$C$203='Cement and Glass Split'!$A18,IF('Exiobase A Matrix'!$D$3:$GU$3='Cement and Glass Split'!AF$2,'Exiobase A Matrix'!$D$4:$GU$203)))</f>
        <v>0</v>
      </c>
      <c r="AG18">
        <f t="array" ref="AG18">SUMPRODUCT(IF('Exiobase A Matrix'!$C$4:$C$203='Cement and Glass Split'!$A18,IF('Exiobase A Matrix'!$D$3:$GU$3='Cement and Glass Split'!AG$2,'Exiobase A Matrix'!$D$4:$GU$203)))</f>
        <v>0</v>
      </c>
      <c r="AH18">
        <f t="array" ref="AH18">SUMPRODUCT(IF('Exiobase A Matrix'!$C$4:$C$203='Cement and Glass Split'!$A18,IF('Exiobase A Matrix'!$D$3:$GU$3='Cement and Glass Split'!AH$2,'Exiobase A Matrix'!$D$4:$GU$203)))</f>
        <v>0</v>
      </c>
      <c r="AI18">
        <f t="array" ref="AI18">SUMPRODUCT(IF('Exiobase A Matrix'!$C$4:$C$203='Cement and Glass Split'!$A18,IF('Exiobase A Matrix'!$D$3:$GU$3='Cement and Glass Split'!AI$2,'Exiobase A Matrix'!$D$4:$GU$203)))</f>
        <v>1.051480361707189E-8</v>
      </c>
      <c r="AJ18">
        <f t="array" ref="AJ18">SUMPRODUCT(IF('Exiobase A Matrix'!$C$4:$C$203='Cement and Glass Split'!$A18,IF('Exiobase A Matrix'!$D$3:$GU$3='Cement and Glass Split'!AJ$2,'Exiobase A Matrix'!$D$4:$GU$203)))</f>
        <v>0</v>
      </c>
      <c r="AK18">
        <f t="array" ref="AK18">SUMPRODUCT(IF('Exiobase A Matrix'!$C$4:$C$203='Cement and Glass Split'!$A18,IF('Exiobase A Matrix'!$D$3:$GU$3='Cement and Glass Split'!AK$2,'Exiobase A Matrix'!$D$4:$GU$203)))</f>
        <v>1.3762690030408185E-6</v>
      </c>
      <c r="AL18">
        <f t="array" ref="AL18">SUMPRODUCT(IF('Exiobase A Matrix'!$C$4:$C$203='Cement and Glass Split'!$A18,IF('Exiobase A Matrix'!$D$3:$GU$3='Cement and Glass Split'!AL$2,'Exiobase A Matrix'!$D$4:$GU$203)))</f>
        <v>2.9637747944240944E-3</v>
      </c>
      <c r="AM18">
        <f t="array" ref="AM18">SUMPRODUCT(IF('Exiobase A Matrix'!$C$4:$C$203='Cement and Glass Split'!$A18,IF('Exiobase A Matrix'!$D$3:$GU$3='Cement and Glass Split'!AM$2,'Exiobase A Matrix'!$D$4:$GU$203)))</f>
        <v>3.4821176347918789E-5</v>
      </c>
      <c r="AN18">
        <f t="array" ref="AN18">SUMPRODUCT(IF('Exiobase A Matrix'!$C$4:$C$203='Cement and Glass Split'!$A18,IF('Exiobase A Matrix'!$D$3:$GU$3='Cement and Glass Split'!AN$2,'Exiobase A Matrix'!$D$4:$GU$203)))</f>
        <v>0</v>
      </c>
      <c r="AO18">
        <f t="array" ref="AO18">SUMPRODUCT(IF('Exiobase A Matrix'!$C$4:$C$203='Cement and Glass Split'!$A18,IF('Exiobase A Matrix'!$D$3:$GU$3='Cement and Glass Split'!AO$2,'Exiobase A Matrix'!$D$4:$GU$203)))</f>
        <v>6.4422596792213467E-5</v>
      </c>
      <c r="AP18">
        <f t="array" ref="AP18">SUMPRODUCT(IF('Exiobase A Matrix'!$C$4:$C$203='Cement and Glass Split'!$A18,IF('Exiobase A Matrix'!$D$3:$GU$3='Cement and Glass Split'!AP$2,'Exiobase A Matrix'!$D$4:$GU$203)))</f>
        <v>1.0766970881716251E-3</v>
      </c>
      <c r="AQ18">
        <f t="array" ref="AQ18">SUMPRODUCT(IF('Exiobase A Matrix'!$C$4:$C$203='Cement and Glass Split'!$A18,IF('Exiobase A Matrix'!$D$3:$GU$3='Cement and Glass Split'!AQ$2,'Exiobase A Matrix'!$D$4:$GU$203)))</f>
        <v>5.2912970984062221E-7</v>
      </c>
    </row>
    <row r="19" spans="1:43">
      <c r="A19" t="s">
        <v>135</v>
      </c>
      <c r="B19">
        <f t="array" ref="B19">SUMPRODUCT(IF('Exiobase A Matrix'!$C$4:$C$203='Cement and Glass Split'!$A19,IF('Exiobase A Matrix'!$D$3:$GU$3='Cement and Glass Split'!B$2,'Exiobase A Matrix'!$D$4:$GU$203)))</f>
        <v>1.0258070771717637E-3</v>
      </c>
      <c r="C19">
        <f t="array" ref="C19">SUMPRODUCT(IF('Exiobase A Matrix'!$C$4:$C$203='Cement and Glass Split'!$A19,IF('Exiobase A Matrix'!$D$3:$GU$3='Cement and Glass Split'!C$2,'Exiobase A Matrix'!$D$4:$GU$203)))</f>
        <v>5.8977597446056923E-5</v>
      </c>
      <c r="D19">
        <f t="array" ref="D19">SUMPRODUCT(IF('Exiobase A Matrix'!$C$4:$C$203='Cement and Glass Split'!$A19,IF('Exiobase A Matrix'!$D$3:$GU$3='Cement and Glass Split'!D$2,'Exiobase A Matrix'!$D$4:$GU$203)))</f>
        <v>1.383565282398539E-6</v>
      </c>
      <c r="E19">
        <f t="array" ref="E19">SUMPRODUCT(IF('Exiobase A Matrix'!$C$4:$C$203='Cement and Glass Split'!$A19,IF('Exiobase A Matrix'!$D$3:$GU$3='Cement and Glass Split'!E$2,'Exiobase A Matrix'!$D$4:$GU$203)))</f>
        <v>0</v>
      </c>
      <c r="F19">
        <f t="array" ref="F19">SUMPRODUCT(IF('Exiobase A Matrix'!$C$4:$C$203='Cement and Glass Split'!$A19,IF('Exiobase A Matrix'!$D$3:$GU$3='Cement and Glass Split'!F$2,'Exiobase A Matrix'!$D$4:$GU$203)))</f>
        <v>0</v>
      </c>
      <c r="G19">
        <f t="array" ref="G19">SUMPRODUCT(IF('Exiobase A Matrix'!$C$4:$C$203='Cement and Glass Split'!$A19,IF('Exiobase A Matrix'!$D$3:$GU$3='Cement and Glass Split'!G$2,'Exiobase A Matrix'!$D$4:$GU$203)))</f>
        <v>2.9618573771931444E-3</v>
      </c>
      <c r="H19">
        <f t="array" ref="H19">SUMPRODUCT(IF('Exiobase A Matrix'!$C$4:$C$203='Cement and Glass Split'!$A19,IF('Exiobase A Matrix'!$D$3:$GU$3='Cement and Glass Split'!H$2,'Exiobase A Matrix'!$D$4:$GU$203)))</f>
        <v>3.4712789248287734E-4</v>
      </c>
      <c r="I19">
        <f t="array" ref="I19">SUMPRODUCT(IF('Exiobase A Matrix'!$C$4:$C$203='Cement and Glass Split'!$A19,IF('Exiobase A Matrix'!$D$3:$GU$3='Cement and Glass Split'!I$2,'Exiobase A Matrix'!$D$4:$GU$203)))</f>
        <v>3.9304484347783787E-4</v>
      </c>
      <c r="J19">
        <f t="array" ref="J19">SUMPRODUCT(IF('Exiobase A Matrix'!$C$4:$C$203='Cement and Glass Split'!$A19,IF('Exiobase A Matrix'!$D$3:$GU$3='Cement and Glass Split'!J$2,'Exiobase A Matrix'!$D$4:$GU$203)))</f>
        <v>1.0474436011460163E-3</v>
      </c>
      <c r="K19">
        <f t="array" ref="K19">SUMPRODUCT(IF('Exiobase A Matrix'!$C$4:$C$203='Cement and Glass Split'!$A19,IF('Exiobase A Matrix'!$D$3:$GU$3='Cement and Glass Split'!K$2,'Exiobase A Matrix'!$D$4:$GU$203)))</f>
        <v>2.9341691653833428E-2</v>
      </c>
      <c r="L19">
        <f t="array" ref="L19">SUMPRODUCT(IF('Exiobase A Matrix'!$C$4:$C$203='Cement and Glass Split'!$A19,IF('Exiobase A Matrix'!$D$3:$GU$3='Cement and Glass Split'!L$2,'Exiobase A Matrix'!$D$4:$GU$203)))</f>
        <v>2.1460657905906413E-2</v>
      </c>
      <c r="M19">
        <f t="array" ref="M19">SUMPRODUCT(IF('Exiobase A Matrix'!$C$4:$C$203='Cement and Glass Split'!$A19,IF('Exiobase A Matrix'!$D$3:$GU$3='Cement and Glass Split'!M$2,'Exiobase A Matrix'!$D$4:$GU$203)))</f>
        <v>0</v>
      </c>
      <c r="N19">
        <f t="array" ref="N19">SUMPRODUCT(IF('Exiobase A Matrix'!$C$4:$C$203='Cement and Glass Split'!$A19,IF('Exiobase A Matrix'!$D$3:$GU$3='Cement and Glass Split'!N$2,'Exiobase A Matrix'!$D$4:$GU$203)))</f>
        <v>2.5991746572119334E-3</v>
      </c>
      <c r="O19">
        <f t="array" ref="O19">SUMPRODUCT(IF('Exiobase A Matrix'!$C$4:$C$203='Cement and Glass Split'!$A19,IF('Exiobase A Matrix'!$D$3:$GU$3='Cement and Glass Split'!O$2,'Exiobase A Matrix'!$D$4:$GU$203)))</f>
        <v>9.0768166574065794E-4</v>
      </c>
      <c r="P19">
        <f t="array" ref="P19">SUMPRODUCT(IF('Exiobase A Matrix'!$C$4:$C$203='Cement and Glass Split'!$A19,IF('Exiobase A Matrix'!$D$3:$GU$3='Cement and Glass Split'!P$2,'Exiobase A Matrix'!$D$4:$GU$203)))</f>
        <v>4.2499890068520892E-3</v>
      </c>
      <c r="Q19">
        <f t="array" ref="Q19">SUMPRODUCT(IF('Exiobase A Matrix'!$C$4:$C$203='Cement and Glass Split'!$A19,IF('Exiobase A Matrix'!$D$3:$GU$3='Cement and Glass Split'!Q$2,'Exiobase A Matrix'!$D$4:$GU$203)))</f>
        <v>7.9983087429536873E-3</v>
      </c>
      <c r="R19">
        <f t="array" ref="R19">SUMPRODUCT(IF('Exiobase A Matrix'!$C$4:$C$203='Cement and Glass Split'!$A19,IF('Exiobase A Matrix'!$D$3:$GU$3='Cement and Glass Split'!R$2,'Exiobase A Matrix'!$D$4:$GU$203)))</f>
        <v>1.1029712591742578</v>
      </c>
      <c r="S19">
        <f t="array" ref="S19">SUMPRODUCT(IF('Exiobase A Matrix'!$C$4:$C$203='Cement and Glass Split'!$A19,IF('Exiobase A Matrix'!$D$3:$GU$3='Cement and Glass Split'!S$2,'Exiobase A Matrix'!$D$4:$GU$203)))</f>
        <v>4.7260677991943334E-2</v>
      </c>
      <c r="T19">
        <f t="array" ref="T19">SUMPRODUCT(IF('Exiobase A Matrix'!$C$4:$C$203='Cement and Glass Split'!$A19,IF('Exiobase A Matrix'!$D$3:$GU$3='Cement and Glass Split'!T$2,'Exiobase A Matrix'!$D$4:$GU$203)))</f>
        <v>3.1723914635080085E-2</v>
      </c>
      <c r="U19">
        <f t="array" ref="U19">SUMPRODUCT(IF('Exiobase A Matrix'!$C$4:$C$203='Cement and Glass Split'!$A19,IF('Exiobase A Matrix'!$D$3:$GU$3='Cement and Glass Split'!U$2,'Exiobase A Matrix'!$D$4:$GU$203)))</f>
        <v>6.8769839730621146E-2</v>
      </c>
      <c r="V19">
        <f t="array" ref="V19">SUMPRODUCT(IF('Exiobase A Matrix'!$C$4:$C$203='Cement and Glass Split'!$A19,IF('Exiobase A Matrix'!$D$3:$GU$3='Cement and Glass Split'!V$2,'Exiobase A Matrix'!$D$4:$GU$203)))</f>
        <v>1.6649269275110581E-2</v>
      </c>
      <c r="W19">
        <f t="array" ref="W19">SUMPRODUCT(IF('Exiobase A Matrix'!$C$4:$C$203='Cement and Glass Split'!$A19,IF('Exiobase A Matrix'!$D$3:$GU$3='Cement and Glass Split'!W$2,'Exiobase A Matrix'!$D$4:$GU$203)))</f>
        <v>6.2053542188803372E-3</v>
      </c>
      <c r="X19">
        <f t="array" ref="X19">SUMPRODUCT(IF('Exiobase A Matrix'!$C$4:$C$203='Cement and Glass Split'!$A19,IF('Exiobase A Matrix'!$D$3:$GU$3='Cement and Glass Split'!X$2,'Exiobase A Matrix'!$D$4:$GU$203)))</f>
        <v>1.164013972657548E-3</v>
      </c>
      <c r="Y19">
        <f t="array" ref="Y19">SUMPRODUCT(IF('Exiobase A Matrix'!$C$4:$C$203='Cement and Glass Split'!$A19,IF('Exiobase A Matrix'!$D$3:$GU$3='Cement and Glass Split'!Y$2,'Exiobase A Matrix'!$D$4:$GU$203)))</f>
        <v>4.2257754715658387E-3</v>
      </c>
      <c r="Z19">
        <f t="array" ref="Z19">SUMPRODUCT(IF('Exiobase A Matrix'!$C$4:$C$203='Cement and Glass Split'!$A19,IF('Exiobase A Matrix'!$D$3:$GU$3='Cement and Glass Split'!Z$2,'Exiobase A Matrix'!$D$4:$GU$203)))</f>
        <v>4.4209040649082956E-3</v>
      </c>
      <c r="AA19">
        <f t="array" ref="AA19">SUMPRODUCT(IF('Exiobase A Matrix'!$C$4:$C$203='Cement and Glass Split'!$A19,IF('Exiobase A Matrix'!$D$3:$GU$3='Cement and Glass Split'!AA$2,'Exiobase A Matrix'!$D$4:$GU$203)))</f>
        <v>1.8447388017887303E-6</v>
      </c>
      <c r="AB19">
        <f t="array" ref="AB19">SUMPRODUCT(IF('Exiobase A Matrix'!$C$4:$C$203='Cement and Glass Split'!$A19,IF('Exiobase A Matrix'!$D$3:$GU$3='Cement and Glass Split'!AB$2,'Exiobase A Matrix'!$D$4:$GU$203)))</f>
        <v>7.1722625460891394E-6</v>
      </c>
      <c r="AC19">
        <f t="array" ref="AC19">SUMPRODUCT(IF('Exiobase A Matrix'!$C$4:$C$203='Cement and Glass Split'!$A19,IF('Exiobase A Matrix'!$D$3:$GU$3='Cement and Glass Split'!AC$2,'Exiobase A Matrix'!$D$4:$GU$203)))</f>
        <v>8.5429455822909721E-3</v>
      </c>
      <c r="AD19">
        <f t="array" ref="AD19">SUMPRODUCT(IF('Exiobase A Matrix'!$C$4:$C$203='Cement and Glass Split'!$A19,IF('Exiobase A Matrix'!$D$3:$GU$3='Cement and Glass Split'!AD$2,'Exiobase A Matrix'!$D$4:$GU$203)))</f>
        <v>0</v>
      </c>
      <c r="AE19">
        <f t="array" ref="AE19">SUMPRODUCT(IF('Exiobase A Matrix'!$C$4:$C$203='Cement and Glass Split'!$A19,IF('Exiobase A Matrix'!$D$3:$GU$3='Cement and Glass Split'!AE$2,'Exiobase A Matrix'!$D$4:$GU$203)))</f>
        <v>4.7925817143589365E-5</v>
      </c>
      <c r="AF19">
        <f t="array" ref="AF19">SUMPRODUCT(IF('Exiobase A Matrix'!$C$4:$C$203='Cement and Glass Split'!$A19,IF('Exiobase A Matrix'!$D$3:$GU$3='Cement and Glass Split'!AF$2,'Exiobase A Matrix'!$D$4:$GU$203)))</f>
        <v>6.5267710748694556E-5</v>
      </c>
      <c r="AG19">
        <f t="array" ref="AG19">SUMPRODUCT(IF('Exiobase A Matrix'!$C$4:$C$203='Cement and Glass Split'!$A19,IF('Exiobase A Matrix'!$D$3:$GU$3='Cement and Glass Split'!AG$2,'Exiobase A Matrix'!$D$4:$GU$203)))</f>
        <v>0</v>
      </c>
      <c r="AH19">
        <f t="array" ref="AH19">SUMPRODUCT(IF('Exiobase A Matrix'!$C$4:$C$203='Cement and Glass Split'!$A19,IF('Exiobase A Matrix'!$D$3:$GU$3='Cement and Glass Split'!AH$2,'Exiobase A Matrix'!$D$4:$GU$203)))</f>
        <v>0</v>
      </c>
      <c r="AI19">
        <f t="array" ref="AI19">SUMPRODUCT(IF('Exiobase A Matrix'!$C$4:$C$203='Cement and Glass Split'!$A19,IF('Exiobase A Matrix'!$D$3:$GU$3='Cement and Glass Split'!AI$2,'Exiobase A Matrix'!$D$4:$GU$203)))</f>
        <v>2.6961321348206998E-6</v>
      </c>
      <c r="AJ19">
        <f t="array" ref="AJ19">SUMPRODUCT(IF('Exiobase A Matrix'!$C$4:$C$203='Cement and Glass Split'!$A19,IF('Exiobase A Matrix'!$D$3:$GU$3='Cement and Glass Split'!AJ$2,'Exiobase A Matrix'!$D$4:$GU$203)))</f>
        <v>1.2076731930579357E-6</v>
      </c>
      <c r="AK19">
        <f t="array" ref="AK19">SUMPRODUCT(IF('Exiobase A Matrix'!$C$4:$C$203='Cement and Glass Split'!$A19,IF('Exiobase A Matrix'!$D$3:$GU$3='Cement and Glass Split'!AK$2,'Exiobase A Matrix'!$D$4:$GU$203)))</f>
        <v>1.7730779754777045E-5</v>
      </c>
      <c r="AL19">
        <f t="array" ref="AL19">SUMPRODUCT(IF('Exiobase A Matrix'!$C$4:$C$203='Cement and Glass Split'!$A19,IF('Exiobase A Matrix'!$D$3:$GU$3='Cement and Glass Split'!AL$2,'Exiobase A Matrix'!$D$4:$GU$203)))</f>
        <v>7.5983691489375283E-4</v>
      </c>
      <c r="AM19">
        <f t="array" ref="AM19">SUMPRODUCT(IF('Exiobase A Matrix'!$C$4:$C$203='Cement and Glass Split'!$A19,IF('Exiobase A Matrix'!$D$3:$GU$3='Cement and Glass Split'!AM$2,'Exiobase A Matrix'!$D$4:$GU$203)))</f>
        <v>1.4715426323356587E-6</v>
      </c>
      <c r="AN19">
        <f t="array" ref="AN19">SUMPRODUCT(IF('Exiobase A Matrix'!$C$4:$C$203='Cement and Glass Split'!$A19,IF('Exiobase A Matrix'!$D$3:$GU$3='Cement and Glass Split'!AN$2,'Exiobase A Matrix'!$D$4:$GU$203)))</f>
        <v>2.3457789624878046E-5</v>
      </c>
      <c r="AO19">
        <f t="array" ref="AO19">SUMPRODUCT(IF('Exiobase A Matrix'!$C$4:$C$203='Cement and Glass Split'!$A19,IF('Exiobase A Matrix'!$D$3:$GU$3='Cement and Glass Split'!AO$2,'Exiobase A Matrix'!$D$4:$GU$203)))</f>
        <v>9.3473376647463375E-4</v>
      </c>
      <c r="AP19">
        <f t="array" ref="AP19">SUMPRODUCT(IF('Exiobase A Matrix'!$C$4:$C$203='Cement and Glass Split'!$A19,IF('Exiobase A Matrix'!$D$3:$GU$3='Cement and Glass Split'!AP$2,'Exiobase A Matrix'!$D$4:$GU$203)))</f>
        <v>1.3963511110765957E-4</v>
      </c>
      <c r="AQ19">
        <f t="array" ref="AQ19">SUMPRODUCT(IF('Exiobase A Matrix'!$C$4:$C$203='Cement and Glass Split'!$A19,IF('Exiobase A Matrix'!$D$3:$GU$3='Cement and Glass Split'!AQ$2,'Exiobase A Matrix'!$D$4:$GU$203)))</f>
        <v>0</v>
      </c>
    </row>
    <row r="20" spans="1:43">
      <c r="A20" t="s">
        <v>13</v>
      </c>
      <c r="B20">
        <f t="array" ref="B20">SUMPRODUCT(IF('Exiobase A Matrix'!$C$4:$C$203='Cement and Glass Split'!$A20,IF('Exiobase A Matrix'!$D$3:$GU$3='Cement and Glass Split'!B$2,'Exiobase A Matrix'!$D$4:$GU$203)))</f>
        <v>1.5112267453625698E-2</v>
      </c>
      <c r="C20">
        <f t="array" ref="C20">SUMPRODUCT(IF('Exiobase A Matrix'!$C$4:$C$203='Cement and Glass Split'!$A20,IF('Exiobase A Matrix'!$D$3:$GU$3='Cement and Glass Split'!C$2,'Exiobase A Matrix'!$D$4:$GU$203)))</f>
        <v>7.4073230568854509E-2</v>
      </c>
      <c r="D20">
        <f t="array" ref="D20">SUMPRODUCT(IF('Exiobase A Matrix'!$C$4:$C$203='Cement and Glass Split'!$A20,IF('Exiobase A Matrix'!$D$3:$GU$3='Cement and Glass Split'!D$2,'Exiobase A Matrix'!$D$4:$GU$203)))</f>
        <v>1.124226297235498E-3</v>
      </c>
      <c r="E20">
        <f t="array" ref="E20">SUMPRODUCT(IF('Exiobase A Matrix'!$C$4:$C$203='Cement and Glass Split'!$A20,IF('Exiobase A Matrix'!$D$3:$GU$3='Cement and Glass Split'!E$2,'Exiobase A Matrix'!$D$4:$GU$203)))</f>
        <v>1.3996600482921026E-2</v>
      </c>
      <c r="F20">
        <f t="array" ref="F20">SUMPRODUCT(IF('Exiobase A Matrix'!$C$4:$C$203='Cement and Glass Split'!$A20,IF('Exiobase A Matrix'!$D$3:$GU$3='Cement and Glass Split'!F$2,'Exiobase A Matrix'!$D$4:$GU$203)))</f>
        <v>0</v>
      </c>
      <c r="G20">
        <f t="array" ref="G20">SUMPRODUCT(IF('Exiobase A Matrix'!$C$4:$C$203='Cement and Glass Split'!$A20,IF('Exiobase A Matrix'!$D$3:$GU$3='Cement and Glass Split'!G$2,'Exiobase A Matrix'!$D$4:$GU$203)))</f>
        <v>0.12302524647530408</v>
      </c>
      <c r="H20">
        <f t="array" ref="H20">SUMPRODUCT(IF('Exiobase A Matrix'!$C$4:$C$203='Cement and Glass Split'!$A20,IF('Exiobase A Matrix'!$D$3:$GU$3='Cement and Glass Split'!H$2,'Exiobase A Matrix'!$D$4:$GU$203)))</f>
        <v>6.070636694304344E-2</v>
      </c>
      <c r="I20">
        <f t="array" ref="I20">SUMPRODUCT(IF('Exiobase A Matrix'!$C$4:$C$203='Cement and Glass Split'!$A20,IF('Exiobase A Matrix'!$D$3:$GU$3='Cement and Glass Split'!I$2,'Exiobase A Matrix'!$D$4:$GU$203)))</f>
        <v>1.251732987840622E-2</v>
      </c>
      <c r="J20">
        <f t="array" ref="J20">SUMPRODUCT(IF('Exiobase A Matrix'!$C$4:$C$203='Cement and Glass Split'!$A20,IF('Exiobase A Matrix'!$D$3:$GU$3='Cement and Glass Split'!J$2,'Exiobase A Matrix'!$D$4:$GU$203)))</f>
        <v>6.1932782006990025E-3</v>
      </c>
      <c r="K20">
        <f t="array" ref="K20">SUMPRODUCT(IF('Exiobase A Matrix'!$C$4:$C$203='Cement and Glass Split'!$A20,IF('Exiobase A Matrix'!$D$3:$GU$3='Cement and Glass Split'!K$2,'Exiobase A Matrix'!$D$4:$GU$203)))</f>
        <v>0.21574900140472683</v>
      </c>
      <c r="L20">
        <f t="array" ref="L20">SUMPRODUCT(IF('Exiobase A Matrix'!$C$4:$C$203='Cement and Glass Split'!$A20,IF('Exiobase A Matrix'!$D$3:$GU$3='Cement and Glass Split'!L$2,'Exiobase A Matrix'!$D$4:$GU$203)))</f>
        <v>5.6361413837721377E-2</v>
      </c>
      <c r="M20">
        <f t="array" ref="M20">SUMPRODUCT(IF('Exiobase A Matrix'!$C$4:$C$203='Cement and Glass Split'!$A20,IF('Exiobase A Matrix'!$D$3:$GU$3='Cement and Glass Split'!M$2,'Exiobase A Matrix'!$D$4:$GU$203)))</f>
        <v>0</v>
      </c>
      <c r="N20">
        <f t="array" ref="N20">SUMPRODUCT(IF('Exiobase A Matrix'!$C$4:$C$203='Cement and Glass Split'!$A20,IF('Exiobase A Matrix'!$D$3:$GU$3='Cement and Glass Split'!N$2,'Exiobase A Matrix'!$D$4:$GU$203)))</f>
        <v>1.5845998640859772E-2</v>
      </c>
      <c r="O20">
        <f t="array" ref="O20">SUMPRODUCT(IF('Exiobase A Matrix'!$C$4:$C$203='Cement and Glass Split'!$A20,IF('Exiobase A Matrix'!$D$3:$GU$3='Cement and Glass Split'!O$2,'Exiobase A Matrix'!$D$4:$GU$203)))</f>
        <v>1.3953992635888139E-2</v>
      </c>
      <c r="P20">
        <f t="array" ref="P20">SUMPRODUCT(IF('Exiobase A Matrix'!$C$4:$C$203='Cement and Glass Split'!$A20,IF('Exiobase A Matrix'!$D$3:$GU$3='Cement and Glass Split'!P$2,'Exiobase A Matrix'!$D$4:$GU$203)))</f>
        <v>2.3930869758428522E-2</v>
      </c>
      <c r="Q20">
        <f t="array" ref="Q20">SUMPRODUCT(IF('Exiobase A Matrix'!$C$4:$C$203='Cement and Glass Split'!$A20,IF('Exiobase A Matrix'!$D$3:$GU$3='Cement and Glass Split'!Q$2,'Exiobase A Matrix'!$D$4:$GU$203)))</f>
        <v>4.4211224648895179E-3</v>
      </c>
      <c r="R20">
        <f t="array" ref="R20">SUMPRODUCT(IF('Exiobase A Matrix'!$C$4:$C$203='Cement and Glass Split'!$A20,IF('Exiobase A Matrix'!$D$3:$GU$3='Cement and Glass Split'!R$2,'Exiobase A Matrix'!$D$4:$GU$203)))</f>
        <v>6.7023046164601502E-2</v>
      </c>
      <c r="S20">
        <f t="array" ref="S20">SUMPRODUCT(IF('Exiobase A Matrix'!$C$4:$C$203='Cement and Glass Split'!$A20,IF('Exiobase A Matrix'!$D$3:$GU$3='Cement and Glass Split'!S$2,'Exiobase A Matrix'!$D$4:$GU$203)))</f>
        <v>0.15402447241908337</v>
      </c>
      <c r="T20">
        <f t="array" ref="T20">SUMPRODUCT(IF('Exiobase A Matrix'!$C$4:$C$203='Cement and Glass Split'!$A20,IF('Exiobase A Matrix'!$D$3:$GU$3='Cement and Glass Split'!T$2,'Exiobase A Matrix'!$D$4:$GU$203)))</f>
        <v>8.4311243169720246E-2</v>
      </c>
      <c r="U20">
        <f t="array" ref="U20">SUMPRODUCT(IF('Exiobase A Matrix'!$C$4:$C$203='Cement and Glass Split'!$A20,IF('Exiobase A Matrix'!$D$3:$GU$3='Cement and Glass Split'!U$2,'Exiobase A Matrix'!$D$4:$GU$203)))</f>
        <v>3.5764096949821862E-2</v>
      </c>
      <c r="V20">
        <f t="array" ref="V20">SUMPRODUCT(IF('Exiobase A Matrix'!$C$4:$C$203='Cement and Glass Split'!$A20,IF('Exiobase A Matrix'!$D$3:$GU$3='Cement and Glass Split'!V$2,'Exiobase A Matrix'!$D$4:$GU$203)))</f>
        <v>7.5772017846156975E-2</v>
      </c>
      <c r="W20">
        <f t="array" ref="W20">SUMPRODUCT(IF('Exiobase A Matrix'!$C$4:$C$203='Cement and Glass Split'!$A20,IF('Exiobase A Matrix'!$D$3:$GU$3='Cement and Glass Split'!W$2,'Exiobase A Matrix'!$D$4:$GU$203)))</f>
        <v>1.591149526371503E-2</v>
      </c>
      <c r="X20">
        <f t="array" ref="X20">SUMPRODUCT(IF('Exiobase A Matrix'!$C$4:$C$203='Cement and Glass Split'!$A20,IF('Exiobase A Matrix'!$D$3:$GU$3='Cement and Glass Split'!X$2,'Exiobase A Matrix'!$D$4:$GU$203)))</f>
        <v>3.9214450149768681E-2</v>
      </c>
      <c r="Y20">
        <f t="array" ref="Y20">SUMPRODUCT(IF('Exiobase A Matrix'!$C$4:$C$203='Cement and Glass Split'!$A20,IF('Exiobase A Matrix'!$D$3:$GU$3='Cement and Glass Split'!Y$2,'Exiobase A Matrix'!$D$4:$GU$203)))</f>
        <v>8.3919637169774686E-2</v>
      </c>
      <c r="Z20">
        <f t="array" ref="Z20">SUMPRODUCT(IF('Exiobase A Matrix'!$C$4:$C$203='Cement and Glass Split'!$A20,IF('Exiobase A Matrix'!$D$3:$GU$3='Cement and Glass Split'!Z$2,'Exiobase A Matrix'!$D$4:$GU$203)))</f>
        <v>3.8984234801771357E-2</v>
      </c>
      <c r="AA20">
        <f t="array" ref="AA20">SUMPRODUCT(IF('Exiobase A Matrix'!$C$4:$C$203='Cement and Glass Split'!$A20,IF('Exiobase A Matrix'!$D$3:$GU$3='Cement and Glass Split'!AA$2,'Exiobase A Matrix'!$D$4:$GU$203)))</f>
        <v>1.2394360466969438E-5</v>
      </c>
      <c r="AB20">
        <f t="array" ref="AB20">SUMPRODUCT(IF('Exiobase A Matrix'!$C$4:$C$203='Cement and Glass Split'!$A20,IF('Exiobase A Matrix'!$D$3:$GU$3='Cement and Glass Split'!AB$2,'Exiobase A Matrix'!$D$4:$GU$203)))</f>
        <v>1.6539275821748637E-2</v>
      </c>
      <c r="AC20">
        <f t="array" ref="AC20">SUMPRODUCT(IF('Exiobase A Matrix'!$C$4:$C$203='Cement and Glass Split'!$A20,IF('Exiobase A Matrix'!$D$3:$GU$3='Cement and Glass Split'!AC$2,'Exiobase A Matrix'!$D$4:$GU$203)))</f>
        <v>0.10285508936441308</v>
      </c>
      <c r="AD20">
        <f t="array" ref="AD20">SUMPRODUCT(IF('Exiobase A Matrix'!$C$4:$C$203='Cement and Glass Split'!$A20,IF('Exiobase A Matrix'!$D$3:$GU$3='Cement and Glass Split'!AD$2,'Exiobase A Matrix'!$D$4:$GU$203)))</f>
        <v>1.6335301211891552E-8</v>
      </c>
      <c r="AE20">
        <f t="array" ref="AE20">SUMPRODUCT(IF('Exiobase A Matrix'!$C$4:$C$203='Cement and Glass Split'!$A20,IF('Exiobase A Matrix'!$D$3:$GU$3='Cement and Glass Split'!AE$2,'Exiobase A Matrix'!$D$4:$GU$203)))</f>
        <v>3.5976527973356474E-3</v>
      </c>
      <c r="AF20">
        <f t="array" ref="AF20">SUMPRODUCT(IF('Exiobase A Matrix'!$C$4:$C$203='Cement and Glass Split'!$A20,IF('Exiobase A Matrix'!$D$3:$GU$3='Cement and Glass Split'!AF$2,'Exiobase A Matrix'!$D$4:$GU$203)))</f>
        <v>2.0139852521910695E-3</v>
      </c>
      <c r="AG20">
        <f t="array" ref="AG20">SUMPRODUCT(IF('Exiobase A Matrix'!$C$4:$C$203='Cement and Glass Split'!$A20,IF('Exiobase A Matrix'!$D$3:$GU$3='Cement and Glass Split'!AG$2,'Exiobase A Matrix'!$D$4:$GU$203)))</f>
        <v>0</v>
      </c>
      <c r="AH20">
        <f t="array" ref="AH20">SUMPRODUCT(IF('Exiobase A Matrix'!$C$4:$C$203='Cement and Glass Split'!$A20,IF('Exiobase A Matrix'!$D$3:$GU$3='Cement and Glass Split'!AH$2,'Exiobase A Matrix'!$D$4:$GU$203)))</f>
        <v>1.4823170100350513E-10</v>
      </c>
      <c r="AI20">
        <f t="array" ref="AI20">SUMPRODUCT(IF('Exiobase A Matrix'!$C$4:$C$203='Cement and Glass Split'!$A20,IF('Exiobase A Matrix'!$D$3:$GU$3='Cement and Glass Split'!AI$2,'Exiobase A Matrix'!$D$4:$GU$203)))</f>
        <v>1.0214013713106987E-4</v>
      </c>
      <c r="AJ20">
        <f t="array" ref="AJ20">SUMPRODUCT(IF('Exiobase A Matrix'!$C$4:$C$203='Cement and Glass Split'!$A20,IF('Exiobase A Matrix'!$D$3:$GU$3='Cement and Glass Split'!AJ$2,'Exiobase A Matrix'!$D$4:$GU$203)))</f>
        <v>1.570977054861789E-3</v>
      </c>
      <c r="AK20">
        <f t="array" ref="AK20">SUMPRODUCT(IF('Exiobase A Matrix'!$C$4:$C$203='Cement and Glass Split'!$A20,IF('Exiobase A Matrix'!$D$3:$GU$3='Cement and Glass Split'!AK$2,'Exiobase A Matrix'!$D$4:$GU$203)))</f>
        <v>1.5474205759819258E-4</v>
      </c>
      <c r="AL20">
        <f t="array" ref="AL20">SUMPRODUCT(IF('Exiobase A Matrix'!$C$4:$C$203='Cement and Glass Split'!$A20,IF('Exiobase A Matrix'!$D$3:$GU$3='Cement and Glass Split'!AL$2,'Exiobase A Matrix'!$D$4:$GU$203)))</f>
        <v>5.4227673127324365E-3</v>
      </c>
      <c r="AM20">
        <f t="array" ref="AM20">SUMPRODUCT(IF('Exiobase A Matrix'!$C$4:$C$203='Cement and Glass Split'!$A20,IF('Exiobase A Matrix'!$D$3:$GU$3='Cement and Glass Split'!AM$2,'Exiobase A Matrix'!$D$4:$GU$203)))</f>
        <v>1.8459294867528408E-3</v>
      </c>
      <c r="AN20">
        <f t="array" ref="AN20">SUMPRODUCT(IF('Exiobase A Matrix'!$C$4:$C$203='Cement and Glass Split'!$A20,IF('Exiobase A Matrix'!$D$3:$GU$3='Cement and Glass Split'!AN$2,'Exiobase A Matrix'!$D$4:$GU$203)))</f>
        <v>4.240688051869965E-4</v>
      </c>
      <c r="AO20">
        <f t="array" ref="AO20">SUMPRODUCT(IF('Exiobase A Matrix'!$C$4:$C$203='Cement and Glass Split'!$A20,IF('Exiobase A Matrix'!$D$3:$GU$3='Cement and Glass Split'!AO$2,'Exiobase A Matrix'!$D$4:$GU$203)))</f>
        <v>4.6876666747503533E-4</v>
      </c>
      <c r="AP20">
        <f t="array" ref="AP20">SUMPRODUCT(IF('Exiobase A Matrix'!$C$4:$C$203='Cement and Glass Split'!$A20,IF('Exiobase A Matrix'!$D$3:$GU$3='Cement and Glass Split'!AP$2,'Exiobase A Matrix'!$D$4:$GU$203)))</f>
        <v>1.1941983480370434E-2</v>
      </c>
      <c r="AQ20">
        <f t="array" ref="AQ20">SUMPRODUCT(IF('Exiobase A Matrix'!$C$4:$C$203='Cement and Glass Split'!$A20,IF('Exiobase A Matrix'!$D$3:$GU$3='Cement and Glass Split'!AQ$2,'Exiobase A Matrix'!$D$4:$GU$203)))</f>
        <v>4.4551798865485537E-5</v>
      </c>
    </row>
    <row r="21" spans="1:43">
      <c r="A21" t="s">
        <v>14</v>
      </c>
      <c r="B21">
        <f t="array" ref="B21">SUMPRODUCT(IF('Exiobase A Matrix'!$C$4:$C$203='Cement and Glass Split'!$A21,IF('Exiobase A Matrix'!$D$3:$GU$3='Cement and Glass Split'!B$2,'Exiobase A Matrix'!$D$4:$GU$203)))</f>
        <v>5.4165088906594017E-3</v>
      </c>
      <c r="C21">
        <f t="array" ref="C21">SUMPRODUCT(IF('Exiobase A Matrix'!$C$4:$C$203='Cement and Glass Split'!$A21,IF('Exiobase A Matrix'!$D$3:$GU$3='Cement and Glass Split'!C$2,'Exiobase A Matrix'!$D$4:$GU$203)))</f>
        <v>7.6704123338237266E-4</v>
      </c>
      <c r="D21">
        <f t="array" ref="D21">SUMPRODUCT(IF('Exiobase A Matrix'!$C$4:$C$203='Cement and Glass Split'!$A21,IF('Exiobase A Matrix'!$D$3:$GU$3='Cement and Glass Split'!D$2,'Exiobase A Matrix'!$D$4:$GU$203)))</f>
        <v>4.5494787707918844E-6</v>
      </c>
      <c r="E21">
        <f t="array" ref="E21">SUMPRODUCT(IF('Exiobase A Matrix'!$C$4:$C$203='Cement and Glass Split'!$A21,IF('Exiobase A Matrix'!$D$3:$GU$3='Cement and Glass Split'!E$2,'Exiobase A Matrix'!$D$4:$GU$203)))</f>
        <v>5.9680711623435947E-4</v>
      </c>
      <c r="F21">
        <f t="array" ref="F21">SUMPRODUCT(IF('Exiobase A Matrix'!$C$4:$C$203='Cement and Glass Split'!$A21,IF('Exiobase A Matrix'!$D$3:$GU$3='Cement and Glass Split'!F$2,'Exiobase A Matrix'!$D$4:$GU$203)))</f>
        <v>0</v>
      </c>
      <c r="G21">
        <f t="array" ref="G21">SUMPRODUCT(IF('Exiobase A Matrix'!$C$4:$C$203='Cement and Glass Split'!$A21,IF('Exiobase A Matrix'!$D$3:$GU$3='Cement and Glass Split'!G$2,'Exiobase A Matrix'!$D$4:$GU$203)))</f>
        <v>2.0325822132047523E-2</v>
      </c>
      <c r="H21">
        <f t="array" ref="H21">SUMPRODUCT(IF('Exiobase A Matrix'!$C$4:$C$203='Cement and Glass Split'!$A21,IF('Exiobase A Matrix'!$D$3:$GU$3='Cement and Glass Split'!H$2,'Exiobase A Matrix'!$D$4:$GU$203)))</f>
        <v>1.311503517566598E-3</v>
      </c>
      <c r="I21">
        <f t="array" ref="I21">SUMPRODUCT(IF('Exiobase A Matrix'!$C$4:$C$203='Cement and Glass Split'!$A21,IF('Exiobase A Matrix'!$D$3:$GU$3='Cement and Glass Split'!I$2,'Exiobase A Matrix'!$D$4:$GU$203)))</f>
        <v>4.2161253594978854E-4</v>
      </c>
      <c r="J21">
        <f t="array" ref="J21">SUMPRODUCT(IF('Exiobase A Matrix'!$C$4:$C$203='Cement and Glass Split'!$A21,IF('Exiobase A Matrix'!$D$3:$GU$3='Cement and Glass Split'!J$2,'Exiobase A Matrix'!$D$4:$GU$203)))</f>
        <v>1.9023553883277759E-3</v>
      </c>
      <c r="K21">
        <f t="array" ref="K21">SUMPRODUCT(IF('Exiobase A Matrix'!$C$4:$C$203='Cement and Glass Split'!$A21,IF('Exiobase A Matrix'!$D$3:$GU$3='Cement and Glass Split'!K$2,'Exiobase A Matrix'!$D$4:$GU$203)))</f>
        <v>3.6906710052481161E-2</v>
      </c>
      <c r="L21">
        <f t="array" ref="L21">SUMPRODUCT(IF('Exiobase A Matrix'!$C$4:$C$203='Cement and Glass Split'!$A21,IF('Exiobase A Matrix'!$D$3:$GU$3='Cement and Glass Split'!L$2,'Exiobase A Matrix'!$D$4:$GU$203)))</f>
        <v>2.8899203565564118E-3</v>
      </c>
      <c r="M21">
        <f t="array" ref="M21">SUMPRODUCT(IF('Exiobase A Matrix'!$C$4:$C$203='Cement and Glass Split'!$A21,IF('Exiobase A Matrix'!$D$3:$GU$3='Cement and Glass Split'!M$2,'Exiobase A Matrix'!$D$4:$GU$203)))</f>
        <v>0</v>
      </c>
      <c r="N21">
        <f t="array" ref="N21">SUMPRODUCT(IF('Exiobase A Matrix'!$C$4:$C$203='Cement and Glass Split'!$A21,IF('Exiobase A Matrix'!$D$3:$GU$3='Cement and Glass Split'!N$2,'Exiobase A Matrix'!$D$4:$GU$203)))</f>
        <v>5.920130231495121E-4</v>
      </c>
      <c r="O21">
        <f t="array" ref="O21">SUMPRODUCT(IF('Exiobase A Matrix'!$C$4:$C$203='Cement and Glass Split'!$A21,IF('Exiobase A Matrix'!$D$3:$GU$3='Cement and Glass Split'!O$2,'Exiobase A Matrix'!$D$4:$GU$203)))</f>
        <v>5.9590008264369084E-4</v>
      </c>
      <c r="P21">
        <f t="array" ref="P21">SUMPRODUCT(IF('Exiobase A Matrix'!$C$4:$C$203='Cement and Glass Split'!$A21,IF('Exiobase A Matrix'!$D$3:$GU$3='Cement and Glass Split'!P$2,'Exiobase A Matrix'!$D$4:$GU$203)))</f>
        <v>9.9301989883507683E-4</v>
      </c>
      <c r="Q21">
        <f t="array" ref="Q21">SUMPRODUCT(IF('Exiobase A Matrix'!$C$4:$C$203='Cement and Glass Split'!$A21,IF('Exiobase A Matrix'!$D$3:$GU$3='Cement and Glass Split'!Q$2,'Exiobase A Matrix'!$D$4:$GU$203)))</f>
        <v>1.9010309178465487E-3</v>
      </c>
      <c r="R21">
        <f t="array" ref="R21">SUMPRODUCT(IF('Exiobase A Matrix'!$C$4:$C$203='Cement and Glass Split'!$A21,IF('Exiobase A Matrix'!$D$3:$GU$3='Cement and Glass Split'!R$2,'Exiobase A Matrix'!$D$4:$GU$203)))</f>
        <v>5.7446715597039167E-3</v>
      </c>
      <c r="S21">
        <f t="array" ref="S21">SUMPRODUCT(IF('Exiobase A Matrix'!$C$4:$C$203='Cement and Glass Split'!$A21,IF('Exiobase A Matrix'!$D$3:$GU$3='Cement and Glass Split'!S$2,'Exiobase A Matrix'!$D$4:$GU$203)))</f>
        <v>7.4271110177261959E-4</v>
      </c>
      <c r="T21">
        <f t="array" ref="T21">SUMPRODUCT(IF('Exiobase A Matrix'!$C$4:$C$203='Cement and Glass Split'!$A21,IF('Exiobase A Matrix'!$D$3:$GU$3='Cement and Glass Split'!T$2,'Exiobase A Matrix'!$D$4:$GU$203)))</f>
        <v>0.74246448534007758</v>
      </c>
      <c r="U21">
        <f t="array" ref="U21">SUMPRODUCT(IF('Exiobase A Matrix'!$C$4:$C$203='Cement and Glass Split'!$A21,IF('Exiobase A Matrix'!$D$3:$GU$3='Cement and Glass Split'!U$2,'Exiobase A Matrix'!$D$4:$GU$203)))</f>
        <v>2.5937029402007612E-2</v>
      </c>
      <c r="V21">
        <f t="array" ref="V21">SUMPRODUCT(IF('Exiobase A Matrix'!$C$4:$C$203='Cement and Glass Split'!$A21,IF('Exiobase A Matrix'!$D$3:$GU$3='Cement and Glass Split'!V$2,'Exiobase A Matrix'!$D$4:$GU$203)))</f>
        <v>1.5679971768590855E-2</v>
      </c>
      <c r="W21">
        <f t="array" ref="W21">SUMPRODUCT(IF('Exiobase A Matrix'!$C$4:$C$203='Cement and Glass Split'!$A21,IF('Exiobase A Matrix'!$D$3:$GU$3='Cement and Glass Split'!W$2,'Exiobase A Matrix'!$D$4:$GU$203)))</f>
        <v>7.6608332707381356E-3</v>
      </c>
      <c r="X21">
        <f t="array" ref="X21">SUMPRODUCT(IF('Exiobase A Matrix'!$C$4:$C$203='Cement and Glass Split'!$A21,IF('Exiobase A Matrix'!$D$3:$GU$3='Cement and Glass Split'!X$2,'Exiobase A Matrix'!$D$4:$GU$203)))</f>
        <v>3.353953899657371E-3</v>
      </c>
      <c r="Y21">
        <f t="array" ref="Y21">SUMPRODUCT(IF('Exiobase A Matrix'!$C$4:$C$203='Cement and Glass Split'!$A21,IF('Exiobase A Matrix'!$D$3:$GU$3='Cement and Glass Split'!Y$2,'Exiobase A Matrix'!$D$4:$GU$203)))</f>
        <v>2.3942796494584081E-3</v>
      </c>
      <c r="Z21">
        <f t="array" ref="Z21">SUMPRODUCT(IF('Exiobase A Matrix'!$C$4:$C$203='Cement and Glass Split'!$A21,IF('Exiobase A Matrix'!$D$3:$GU$3='Cement and Glass Split'!Z$2,'Exiobase A Matrix'!$D$4:$GU$203)))</f>
        <v>3.2772241303635166E-2</v>
      </c>
      <c r="AA21">
        <f t="array" ref="AA21">SUMPRODUCT(IF('Exiobase A Matrix'!$C$4:$C$203='Cement and Glass Split'!$A21,IF('Exiobase A Matrix'!$D$3:$GU$3='Cement and Glass Split'!AA$2,'Exiobase A Matrix'!$D$4:$GU$203)))</f>
        <v>8.139587834720027E-4</v>
      </c>
      <c r="AB21">
        <f t="array" ref="AB21">SUMPRODUCT(IF('Exiobase A Matrix'!$C$4:$C$203='Cement and Glass Split'!$A21,IF('Exiobase A Matrix'!$D$3:$GU$3='Cement and Glass Split'!AB$2,'Exiobase A Matrix'!$D$4:$GU$203)))</f>
        <v>2.2803194065322586E-2</v>
      </c>
      <c r="AC21">
        <f t="array" ref="AC21">SUMPRODUCT(IF('Exiobase A Matrix'!$C$4:$C$203='Cement and Glass Split'!$A21,IF('Exiobase A Matrix'!$D$3:$GU$3='Cement and Glass Split'!AC$2,'Exiobase A Matrix'!$D$4:$GU$203)))</f>
        <v>4.4868898108344603E-3</v>
      </c>
      <c r="AD21">
        <f t="array" ref="AD21">SUMPRODUCT(IF('Exiobase A Matrix'!$C$4:$C$203='Cement and Glass Split'!$A21,IF('Exiobase A Matrix'!$D$3:$GU$3='Cement and Glass Split'!AD$2,'Exiobase A Matrix'!$D$4:$GU$203)))</f>
        <v>4.7675471230373086E-8</v>
      </c>
      <c r="AE21">
        <f t="array" ref="AE21">SUMPRODUCT(IF('Exiobase A Matrix'!$C$4:$C$203='Cement and Glass Split'!$A21,IF('Exiobase A Matrix'!$D$3:$GU$3='Cement and Glass Split'!AE$2,'Exiobase A Matrix'!$D$4:$GU$203)))</f>
        <v>4.7675602026196772E-4</v>
      </c>
      <c r="AF21">
        <f t="array" ref="AF21">SUMPRODUCT(IF('Exiobase A Matrix'!$C$4:$C$203='Cement and Glass Split'!$A21,IF('Exiobase A Matrix'!$D$3:$GU$3='Cement and Glass Split'!AF$2,'Exiobase A Matrix'!$D$4:$GU$203)))</f>
        <v>3.5458591203372082E-4</v>
      </c>
      <c r="AG21">
        <f t="array" ref="AG21">SUMPRODUCT(IF('Exiobase A Matrix'!$C$4:$C$203='Cement and Glass Split'!$A21,IF('Exiobase A Matrix'!$D$3:$GU$3='Cement and Glass Split'!AG$2,'Exiobase A Matrix'!$D$4:$GU$203)))</f>
        <v>0</v>
      </c>
      <c r="AH21">
        <f t="array" ref="AH21">SUMPRODUCT(IF('Exiobase A Matrix'!$C$4:$C$203='Cement and Glass Split'!$A21,IF('Exiobase A Matrix'!$D$3:$GU$3='Cement and Glass Split'!AH$2,'Exiobase A Matrix'!$D$4:$GU$203)))</f>
        <v>4.0799063292950488E-10</v>
      </c>
      <c r="AI21">
        <f t="array" ref="AI21">SUMPRODUCT(IF('Exiobase A Matrix'!$C$4:$C$203='Cement and Glass Split'!$A21,IF('Exiobase A Matrix'!$D$3:$GU$3='Cement and Glass Split'!AI$2,'Exiobase A Matrix'!$D$4:$GU$203)))</f>
        <v>1.2411742922187156E-3</v>
      </c>
      <c r="AJ21">
        <f t="array" ref="AJ21">SUMPRODUCT(IF('Exiobase A Matrix'!$C$4:$C$203='Cement and Glass Split'!$A21,IF('Exiobase A Matrix'!$D$3:$GU$3='Cement and Glass Split'!AJ$2,'Exiobase A Matrix'!$D$4:$GU$203)))</f>
        <v>2.4748617077015519E-3</v>
      </c>
      <c r="AK21">
        <f t="array" ref="AK21">SUMPRODUCT(IF('Exiobase A Matrix'!$C$4:$C$203='Cement and Glass Split'!$A21,IF('Exiobase A Matrix'!$D$3:$GU$3='Cement and Glass Split'!AK$2,'Exiobase A Matrix'!$D$4:$GU$203)))</f>
        <v>4.1378103343820105E-4</v>
      </c>
      <c r="AL21">
        <f t="array" ref="AL21">SUMPRODUCT(IF('Exiobase A Matrix'!$C$4:$C$203='Cement and Glass Split'!$A21,IF('Exiobase A Matrix'!$D$3:$GU$3='Cement and Glass Split'!AL$2,'Exiobase A Matrix'!$D$4:$GU$203)))</f>
        <v>2.6111553352744097E-2</v>
      </c>
      <c r="AM21">
        <f t="array" ref="AM21">SUMPRODUCT(IF('Exiobase A Matrix'!$C$4:$C$203='Cement and Glass Split'!$A21,IF('Exiobase A Matrix'!$D$3:$GU$3='Cement and Glass Split'!AM$2,'Exiobase A Matrix'!$D$4:$GU$203)))</f>
        <v>3.2598494810349684E-3</v>
      </c>
      <c r="AN21">
        <f t="array" ref="AN21">SUMPRODUCT(IF('Exiobase A Matrix'!$C$4:$C$203='Cement and Glass Split'!$A21,IF('Exiobase A Matrix'!$D$3:$GU$3='Cement and Glass Split'!AN$2,'Exiobase A Matrix'!$D$4:$GU$203)))</f>
        <v>2.7408498501954558E-3</v>
      </c>
      <c r="AO21">
        <f t="array" ref="AO21">SUMPRODUCT(IF('Exiobase A Matrix'!$C$4:$C$203='Cement and Glass Split'!$A21,IF('Exiobase A Matrix'!$D$3:$GU$3='Cement and Glass Split'!AO$2,'Exiobase A Matrix'!$D$4:$GU$203)))</f>
        <v>1.1803772743391496E-2</v>
      </c>
      <c r="AP21">
        <f t="array" ref="AP21">SUMPRODUCT(IF('Exiobase A Matrix'!$C$4:$C$203='Cement and Glass Split'!$A21,IF('Exiobase A Matrix'!$D$3:$GU$3='Cement and Glass Split'!AP$2,'Exiobase A Matrix'!$D$4:$GU$203)))</f>
        <v>1.6232576062143018E-2</v>
      </c>
      <c r="AQ21">
        <f t="array" ref="AQ21">SUMPRODUCT(IF('Exiobase A Matrix'!$C$4:$C$203='Cement and Glass Split'!$A21,IF('Exiobase A Matrix'!$D$3:$GU$3='Cement and Glass Split'!AQ$2,'Exiobase A Matrix'!$D$4:$GU$203)))</f>
        <v>1.0520376224718642E-6</v>
      </c>
    </row>
    <row r="22" spans="1:43">
      <c r="A22" t="s">
        <v>15</v>
      </c>
      <c r="B22">
        <f t="array" ref="B22">SUMPRODUCT(IF('Exiobase A Matrix'!$C$4:$C$203='Cement and Glass Split'!$A22,IF('Exiobase A Matrix'!$D$3:$GU$3='Cement and Glass Split'!B$2,'Exiobase A Matrix'!$D$4:$GU$203)))</f>
        <v>1.5898891562505631E-2</v>
      </c>
      <c r="C22">
        <f t="array" ref="C22">SUMPRODUCT(IF('Exiobase A Matrix'!$C$4:$C$203='Cement and Glass Split'!$A22,IF('Exiobase A Matrix'!$D$3:$GU$3='Cement and Glass Split'!C$2,'Exiobase A Matrix'!$D$4:$GU$203)))</f>
        <v>1.0915942828271005E-2</v>
      </c>
      <c r="D22">
        <f t="array" ref="D22">SUMPRODUCT(IF('Exiobase A Matrix'!$C$4:$C$203='Cement and Glass Split'!$A22,IF('Exiobase A Matrix'!$D$3:$GU$3='Cement and Glass Split'!D$2,'Exiobase A Matrix'!$D$4:$GU$203)))</f>
        <v>6.0623443345781045E-5</v>
      </c>
      <c r="E22">
        <f t="array" ref="E22">SUMPRODUCT(IF('Exiobase A Matrix'!$C$4:$C$203='Cement and Glass Split'!$A22,IF('Exiobase A Matrix'!$D$3:$GU$3='Cement and Glass Split'!E$2,'Exiobase A Matrix'!$D$4:$GU$203)))</f>
        <v>2.7929963793167549E-3</v>
      </c>
      <c r="F22">
        <f t="array" ref="F22">SUMPRODUCT(IF('Exiobase A Matrix'!$C$4:$C$203='Cement and Glass Split'!$A22,IF('Exiobase A Matrix'!$D$3:$GU$3='Cement and Glass Split'!F$2,'Exiobase A Matrix'!$D$4:$GU$203)))</f>
        <v>0</v>
      </c>
      <c r="G22">
        <f t="array" ref="G22">SUMPRODUCT(IF('Exiobase A Matrix'!$C$4:$C$203='Cement and Glass Split'!$A22,IF('Exiobase A Matrix'!$D$3:$GU$3='Cement and Glass Split'!G$2,'Exiobase A Matrix'!$D$4:$GU$203)))</f>
        <v>1.9831177564192878E-3</v>
      </c>
      <c r="H22">
        <f t="array" ref="H22">SUMPRODUCT(IF('Exiobase A Matrix'!$C$4:$C$203='Cement and Glass Split'!$A22,IF('Exiobase A Matrix'!$D$3:$GU$3='Cement and Glass Split'!H$2,'Exiobase A Matrix'!$D$4:$GU$203)))</f>
        <v>1.4375247560298641E-3</v>
      </c>
      <c r="I22">
        <f t="array" ref="I22">SUMPRODUCT(IF('Exiobase A Matrix'!$C$4:$C$203='Cement and Glass Split'!$A22,IF('Exiobase A Matrix'!$D$3:$GU$3='Cement and Glass Split'!I$2,'Exiobase A Matrix'!$D$4:$GU$203)))</f>
        <v>1.8103918104094895E-3</v>
      </c>
      <c r="J22">
        <f t="array" ref="J22">SUMPRODUCT(IF('Exiobase A Matrix'!$C$4:$C$203='Cement and Glass Split'!$A22,IF('Exiobase A Matrix'!$D$3:$GU$3='Cement and Glass Split'!J$2,'Exiobase A Matrix'!$D$4:$GU$203)))</f>
        <v>2.536993553577796E-3</v>
      </c>
      <c r="K22">
        <f t="array" ref="K22">SUMPRODUCT(IF('Exiobase A Matrix'!$C$4:$C$203='Cement and Glass Split'!$A22,IF('Exiobase A Matrix'!$D$3:$GU$3='Cement and Glass Split'!K$2,'Exiobase A Matrix'!$D$4:$GU$203)))</f>
        <v>3.863192290173087E-2</v>
      </c>
      <c r="L22">
        <f t="array" ref="L22">SUMPRODUCT(IF('Exiobase A Matrix'!$C$4:$C$203='Cement and Glass Split'!$A22,IF('Exiobase A Matrix'!$D$3:$GU$3='Cement and Glass Split'!L$2,'Exiobase A Matrix'!$D$4:$GU$203)))</f>
        <v>5.404595283485903E-3</v>
      </c>
      <c r="M22">
        <f t="array" ref="M22">SUMPRODUCT(IF('Exiobase A Matrix'!$C$4:$C$203='Cement and Glass Split'!$A22,IF('Exiobase A Matrix'!$D$3:$GU$3='Cement and Glass Split'!M$2,'Exiobase A Matrix'!$D$4:$GU$203)))</f>
        <v>0</v>
      </c>
      <c r="N22">
        <f t="array" ref="N22">SUMPRODUCT(IF('Exiobase A Matrix'!$C$4:$C$203='Cement and Glass Split'!$A22,IF('Exiobase A Matrix'!$D$3:$GU$3='Cement and Glass Split'!N$2,'Exiobase A Matrix'!$D$4:$GU$203)))</f>
        <v>1.7280919448201793E-3</v>
      </c>
      <c r="O22">
        <f t="array" ref="O22">SUMPRODUCT(IF('Exiobase A Matrix'!$C$4:$C$203='Cement and Glass Split'!$A22,IF('Exiobase A Matrix'!$D$3:$GU$3='Cement and Glass Split'!O$2,'Exiobase A Matrix'!$D$4:$GU$203)))</f>
        <v>2.6331739862655527E-3</v>
      </c>
      <c r="P22">
        <f t="array" ref="P22">SUMPRODUCT(IF('Exiobase A Matrix'!$C$4:$C$203='Cement and Glass Split'!$A22,IF('Exiobase A Matrix'!$D$3:$GU$3='Cement and Glass Split'!P$2,'Exiobase A Matrix'!$D$4:$GU$203)))</f>
        <v>3.5562848864406906E-3</v>
      </c>
      <c r="Q22">
        <f t="array" ref="Q22">SUMPRODUCT(IF('Exiobase A Matrix'!$C$4:$C$203='Cement and Glass Split'!$A22,IF('Exiobase A Matrix'!$D$3:$GU$3='Cement and Glass Split'!Q$2,'Exiobase A Matrix'!$D$4:$GU$203)))</f>
        <v>4.7123343741274793E-3</v>
      </c>
      <c r="R22">
        <f t="array" ref="R22">SUMPRODUCT(IF('Exiobase A Matrix'!$C$4:$C$203='Cement and Glass Split'!$A22,IF('Exiobase A Matrix'!$D$3:$GU$3='Cement and Glass Split'!R$2,'Exiobase A Matrix'!$D$4:$GU$203)))</f>
        <v>1.1776729480602939E-2</v>
      </c>
      <c r="S22">
        <f t="array" ref="S22">SUMPRODUCT(IF('Exiobase A Matrix'!$C$4:$C$203='Cement and Glass Split'!$A22,IF('Exiobase A Matrix'!$D$3:$GU$3='Cement and Glass Split'!S$2,'Exiobase A Matrix'!$D$4:$GU$203)))</f>
        <v>4.1363545733512303E-3</v>
      </c>
      <c r="T22">
        <f t="array" ref="T22">SUMPRODUCT(IF('Exiobase A Matrix'!$C$4:$C$203='Cement and Glass Split'!$A22,IF('Exiobase A Matrix'!$D$3:$GU$3='Cement and Glass Split'!T$2,'Exiobase A Matrix'!$D$4:$GU$203)))</f>
        <v>0.10484766922998427</v>
      </c>
      <c r="U22">
        <f t="array" ref="U22">SUMPRODUCT(IF('Exiobase A Matrix'!$C$4:$C$203='Cement and Glass Split'!$A22,IF('Exiobase A Matrix'!$D$3:$GU$3='Cement and Glass Split'!U$2,'Exiobase A Matrix'!$D$4:$GU$203)))</f>
        <v>0.19170181311592149</v>
      </c>
      <c r="V22">
        <f t="array" ref="V22">SUMPRODUCT(IF('Exiobase A Matrix'!$C$4:$C$203='Cement and Glass Split'!$A22,IF('Exiobase A Matrix'!$D$3:$GU$3='Cement and Glass Split'!V$2,'Exiobase A Matrix'!$D$4:$GU$203)))</f>
        <v>3.9953114337451044E-2</v>
      </c>
      <c r="W22">
        <f t="array" ref="W22">SUMPRODUCT(IF('Exiobase A Matrix'!$C$4:$C$203='Cement and Glass Split'!$A22,IF('Exiobase A Matrix'!$D$3:$GU$3='Cement and Glass Split'!W$2,'Exiobase A Matrix'!$D$4:$GU$203)))</f>
        <v>1.6872456052732465E-2</v>
      </c>
      <c r="X22">
        <f t="array" ref="X22">SUMPRODUCT(IF('Exiobase A Matrix'!$C$4:$C$203='Cement and Glass Split'!$A22,IF('Exiobase A Matrix'!$D$3:$GU$3='Cement and Glass Split'!X$2,'Exiobase A Matrix'!$D$4:$GU$203)))</f>
        <v>1.2028266697524954E-2</v>
      </c>
      <c r="Y22">
        <f t="array" ref="Y22">SUMPRODUCT(IF('Exiobase A Matrix'!$C$4:$C$203='Cement and Glass Split'!$A22,IF('Exiobase A Matrix'!$D$3:$GU$3='Cement and Glass Split'!Y$2,'Exiobase A Matrix'!$D$4:$GU$203)))</f>
        <v>6.1363180764872436E-3</v>
      </c>
      <c r="Z22">
        <f t="array" ref="Z22">SUMPRODUCT(IF('Exiobase A Matrix'!$C$4:$C$203='Cement and Glass Split'!$A22,IF('Exiobase A Matrix'!$D$3:$GU$3='Cement and Glass Split'!Z$2,'Exiobase A Matrix'!$D$4:$GU$203)))</f>
        <v>0.14242835014121558</v>
      </c>
      <c r="AA22">
        <f t="array" ref="AA22">SUMPRODUCT(IF('Exiobase A Matrix'!$C$4:$C$203='Cement and Glass Split'!$A22,IF('Exiobase A Matrix'!$D$3:$GU$3='Cement and Glass Split'!AA$2,'Exiobase A Matrix'!$D$4:$GU$203)))</f>
        <v>3.0554567208229341E-4</v>
      </c>
      <c r="AB22">
        <f t="array" ref="AB22">SUMPRODUCT(IF('Exiobase A Matrix'!$C$4:$C$203='Cement and Glass Split'!$A22,IF('Exiobase A Matrix'!$D$3:$GU$3='Cement and Glass Split'!AB$2,'Exiobase A Matrix'!$D$4:$GU$203)))</f>
        <v>2.4572748814801496E-2</v>
      </c>
      <c r="AC22">
        <f t="array" ref="AC22">SUMPRODUCT(IF('Exiobase A Matrix'!$C$4:$C$203='Cement and Glass Split'!$A22,IF('Exiobase A Matrix'!$D$3:$GU$3='Cement and Glass Split'!AC$2,'Exiobase A Matrix'!$D$4:$GU$203)))</f>
        <v>4.1509944850776498E-2</v>
      </c>
      <c r="AD22">
        <f t="array" ref="AD22">SUMPRODUCT(IF('Exiobase A Matrix'!$C$4:$C$203='Cement and Glass Split'!$A22,IF('Exiobase A Matrix'!$D$3:$GU$3='Cement and Glass Split'!AD$2,'Exiobase A Matrix'!$D$4:$GU$203)))</f>
        <v>1.6078014015009584E-8</v>
      </c>
      <c r="AE22">
        <f t="array" ref="AE22">SUMPRODUCT(IF('Exiobase A Matrix'!$C$4:$C$203='Cement and Glass Split'!$A22,IF('Exiobase A Matrix'!$D$3:$GU$3='Cement and Glass Split'!AE$2,'Exiobase A Matrix'!$D$4:$GU$203)))</f>
        <v>2.5500155862152532E-4</v>
      </c>
      <c r="AF22">
        <f t="array" ref="AF22">SUMPRODUCT(IF('Exiobase A Matrix'!$C$4:$C$203='Cement and Glass Split'!$A22,IF('Exiobase A Matrix'!$D$3:$GU$3='Cement and Glass Split'!AF$2,'Exiobase A Matrix'!$D$4:$GU$203)))</f>
        <v>1.0619233630977088E-3</v>
      </c>
      <c r="AG22">
        <f t="array" ref="AG22">SUMPRODUCT(IF('Exiobase A Matrix'!$C$4:$C$203='Cement and Glass Split'!$A22,IF('Exiobase A Matrix'!$D$3:$GU$3='Cement and Glass Split'!AG$2,'Exiobase A Matrix'!$D$4:$GU$203)))</f>
        <v>0</v>
      </c>
      <c r="AH22">
        <f t="array" ref="AH22">SUMPRODUCT(IF('Exiobase A Matrix'!$C$4:$C$203='Cement and Glass Split'!$A22,IF('Exiobase A Matrix'!$D$3:$GU$3='Cement and Glass Split'!AH$2,'Exiobase A Matrix'!$D$4:$GU$203)))</f>
        <v>1.4083620852688656E-10</v>
      </c>
      <c r="AI22">
        <f t="array" ref="AI22">SUMPRODUCT(IF('Exiobase A Matrix'!$C$4:$C$203='Cement and Glass Split'!$A22,IF('Exiobase A Matrix'!$D$3:$GU$3='Cement and Glass Split'!AI$2,'Exiobase A Matrix'!$D$4:$GU$203)))</f>
        <v>6.0895722360627459E-7</v>
      </c>
      <c r="AJ22">
        <f t="array" ref="AJ22">SUMPRODUCT(IF('Exiobase A Matrix'!$C$4:$C$203='Cement and Glass Split'!$A22,IF('Exiobase A Matrix'!$D$3:$GU$3='Cement and Glass Split'!AJ$2,'Exiobase A Matrix'!$D$4:$GU$203)))</f>
        <v>6.3118728613376367E-4</v>
      </c>
      <c r="AK22">
        <f t="array" ref="AK22">SUMPRODUCT(IF('Exiobase A Matrix'!$C$4:$C$203='Cement and Glass Split'!$A22,IF('Exiobase A Matrix'!$D$3:$GU$3='Cement and Glass Split'!AK$2,'Exiobase A Matrix'!$D$4:$GU$203)))</f>
        <v>1.8394527801009054E-4</v>
      </c>
      <c r="AL22">
        <f t="array" ref="AL22">SUMPRODUCT(IF('Exiobase A Matrix'!$C$4:$C$203='Cement and Glass Split'!$A22,IF('Exiobase A Matrix'!$D$3:$GU$3='Cement and Glass Split'!AL$2,'Exiobase A Matrix'!$D$4:$GU$203)))</f>
        <v>1.4715120011240323E-2</v>
      </c>
      <c r="AM22">
        <f t="array" ref="AM22">SUMPRODUCT(IF('Exiobase A Matrix'!$C$4:$C$203='Cement and Glass Split'!$A22,IF('Exiobase A Matrix'!$D$3:$GU$3='Cement and Glass Split'!AM$2,'Exiobase A Matrix'!$D$4:$GU$203)))</f>
        <v>9.4938164490274027E-4</v>
      </c>
      <c r="AN22">
        <f t="array" ref="AN22">SUMPRODUCT(IF('Exiobase A Matrix'!$C$4:$C$203='Cement and Glass Split'!$A22,IF('Exiobase A Matrix'!$D$3:$GU$3='Cement and Glass Split'!AN$2,'Exiobase A Matrix'!$D$4:$GU$203)))</f>
        <v>3.2300910730056229E-3</v>
      </c>
      <c r="AO22">
        <f t="array" ref="AO22">SUMPRODUCT(IF('Exiobase A Matrix'!$C$4:$C$203='Cement and Glass Split'!$A22,IF('Exiobase A Matrix'!$D$3:$GU$3='Cement and Glass Split'!AO$2,'Exiobase A Matrix'!$D$4:$GU$203)))</f>
        <v>1.298507316304653E-3</v>
      </c>
      <c r="AP22">
        <f t="array" ref="AP22">SUMPRODUCT(IF('Exiobase A Matrix'!$C$4:$C$203='Cement and Glass Split'!$A22,IF('Exiobase A Matrix'!$D$3:$GU$3='Cement and Glass Split'!AP$2,'Exiobase A Matrix'!$D$4:$GU$203)))</f>
        <v>1.3570030717893759E-2</v>
      </c>
      <c r="AQ22">
        <f t="array" ref="AQ22">SUMPRODUCT(IF('Exiobase A Matrix'!$C$4:$C$203='Cement and Glass Split'!$A22,IF('Exiobase A Matrix'!$D$3:$GU$3='Cement and Glass Split'!AQ$2,'Exiobase A Matrix'!$D$4:$GU$203)))</f>
        <v>4.5230989672840009E-5</v>
      </c>
    </row>
    <row r="23" spans="1:43">
      <c r="A23" t="s">
        <v>16</v>
      </c>
      <c r="B23">
        <f t="array" ref="B23">SUMPRODUCT(IF('Exiobase A Matrix'!$C$4:$C$203='Cement and Glass Split'!$A23,IF('Exiobase A Matrix'!$D$3:$GU$3='Cement and Glass Split'!B$2,'Exiobase A Matrix'!$D$4:$GU$203)))</f>
        <v>4.7035232664833594E-2</v>
      </c>
      <c r="C23">
        <f t="array" ref="C23">SUMPRODUCT(IF('Exiobase A Matrix'!$C$4:$C$203='Cement and Glass Split'!$A23,IF('Exiobase A Matrix'!$D$3:$GU$3='Cement and Glass Split'!C$2,'Exiobase A Matrix'!$D$4:$GU$203)))</f>
        <v>5.45275317900724E-2</v>
      </c>
      <c r="D23">
        <f t="array" ref="D23">SUMPRODUCT(IF('Exiobase A Matrix'!$C$4:$C$203='Cement and Glass Split'!$A23,IF('Exiobase A Matrix'!$D$3:$GU$3='Cement and Glass Split'!D$2,'Exiobase A Matrix'!$D$4:$GU$203)))</f>
        <v>2.2961494227242027E-4</v>
      </c>
      <c r="E23">
        <f t="array" ref="E23">SUMPRODUCT(IF('Exiobase A Matrix'!$C$4:$C$203='Cement and Glass Split'!$A23,IF('Exiobase A Matrix'!$D$3:$GU$3='Cement and Glass Split'!E$2,'Exiobase A Matrix'!$D$4:$GU$203)))</f>
        <v>1.2282566727488797E-2</v>
      </c>
      <c r="F23">
        <f t="array" ref="F23">SUMPRODUCT(IF('Exiobase A Matrix'!$C$4:$C$203='Cement and Glass Split'!$A23,IF('Exiobase A Matrix'!$D$3:$GU$3='Cement and Glass Split'!F$2,'Exiobase A Matrix'!$D$4:$GU$203)))</f>
        <v>0</v>
      </c>
      <c r="G23">
        <f t="array" ref="G23">SUMPRODUCT(IF('Exiobase A Matrix'!$C$4:$C$203='Cement and Glass Split'!$A23,IF('Exiobase A Matrix'!$D$3:$GU$3='Cement and Glass Split'!G$2,'Exiobase A Matrix'!$D$4:$GU$203)))</f>
        <v>1.6258623253744896E-2</v>
      </c>
      <c r="H23">
        <f t="array" ref="H23">SUMPRODUCT(IF('Exiobase A Matrix'!$C$4:$C$203='Cement and Glass Split'!$A23,IF('Exiobase A Matrix'!$D$3:$GU$3='Cement and Glass Split'!H$2,'Exiobase A Matrix'!$D$4:$GU$203)))</f>
        <v>1.0017055936294483E-2</v>
      </c>
      <c r="I23">
        <f t="array" ref="I23">SUMPRODUCT(IF('Exiobase A Matrix'!$C$4:$C$203='Cement and Glass Split'!$A23,IF('Exiobase A Matrix'!$D$3:$GU$3='Cement and Glass Split'!I$2,'Exiobase A Matrix'!$D$4:$GU$203)))</f>
        <v>1.6386715563422832E-3</v>
      </c>
      <c r="J23">
        <f t="array" ref="J23">SUMPRODUCT(IF('Exiobase A Matrix'!$C$4:$C$203='Cement and Glass Split'!$A23,IF('Exiobase A Matrix'!$D$3:$GU$3='Cement and Glass Split'!J$2,'Exiobase A Matrix'!$D$4:$GU$203)))</f>
        <v>1.1106998060941294E-2</v>
      </c>
      <c r="K23">
        <f t="array" ref="K23">SUMPRODUCT(IF('Exiobase A Matrix'!$C$4:$C$203='Cement and Glass Split'!$A23,IF('Exiobase A Matrix'!$D$3:$GU$3='Cement and Glass Split'!K$2,'Exiobase A Matrix'!$D$4:$GU$203)))</f>
        <v>0.21078136658362409</v>
      </c>
      <c r="L23">
        <f t="array" ref="L23">SUMPRODUCT(IF('Exiobase A Matrix'!$C$4:$C$203='Cement and Glass Split'!$A23,IF('Exiobase A Matrix'!$D$3:$GU$3='Cement and Glass Split'!L$2,'Exiobase A Matrix'!$D$4:$GU$203)))</f>
        <v>4.6103284421188669E-2</v>
      </c>
      <c r="M23">
        <f t="array" ref="M23">SUMPRODUCT(IF('Exiobase A Matrix'!$C$4:$C$203='Cement and Glass Split'!$A23,IF('Exiobase A Matrix'!$D$3:$GU$3='Cement and Glass Split'!M$2,'Exiobase A Matrix'!$D$4:$GU$203)))</f>
        <v>0</v>
      </c>
      <c r="N23">
        <f t="array" ref="N23">SUMPRODUCT(IF('Exiobase A Matrix'!$C$4:$C$203='Cement and Glass Split'!$A23,IF('Exiobase A Matrix'!$D$3:$GU$3='Cement and Glass Split'!N$2,'Exiobase A Matrix'!$D$4:$GU$203)))</f>
        <v>2.7257319483890083E-2</v>
      </c>
      <c r="O23">
        <f t="array" ref="O23">SUMPRODUCT(IF('Exiobase A Matrix'!$C$4:$C$203='Cement and Glass Split'!$A23,IF('Exiobase A Matrix'!$D$3:$GU$3='Cement and Glass Split'!O$2,'Exiobase A Matrix'!$D$4:$GU$203)))</f>
        <v>9.1540623954477398E-3</v>
      </c>
      <c r="P23">
        <f t="array" ref="P23">SUMPRODUCT(IF('Exiobase A Matrix'!$C$4:$C$203='Cement and Glass Split'!$A23,IF('Exiobase A Matrix'!$D$3:$GU$3='Cement and Glass Split'!P$2,'Exiobase A Matrix'!$D$4:$GU$203)))</f>
        <v>1.7313873713394844E-2</v>
      </c>
      <c r="Q23">
        <f t="array" ref="Q23">SUMPRODUCT(IF('Exiobase A Matrix'!$C$4:$C$203='Cement and Glass Split'!$A23,IF('Exiobase A Matrix'!$D$3:$GU$3='Cement and Glass Split'!Q$2,'Exiobase A Matrix'!$D$4:$GU$203)))</f>
        <v>4.6399594929094068E-3</v>
      </c>
      <c r="R23">
        <f t="array" ref="R23">SUMPRODUCT(IF('Exiobase A Matrix'!$C$4:$C$203='Cement and Glass Split'!$A23,IF('Exiobase A Matrix'!$D$3:$GU$3='Cement and Glass Split'!R$2,'Exiobase A Matrix'!$D$4:$GU$203)))</f>
        <v>3.6794501387374015E-2</v>
      </c>
      <c r="S23">
        <f t="array" ref="S23">SUMPRODUCT(IF('Exiobase A Matrix'!$C$4:$C$203='Cement and Glass Split'!$A23,IF('Exiobase A Matrix'!$D$3:$GU$3='Cement and Glass Split'!S$2,'Exiobase A Matrix'!$D$4:$GU$203)))</f>
        <v>1.8133759679072405E-2</v>
      </c>
      <c r="T23">
        <f t="array" ref="T23">SUMPRODUCT(IF('Exiobase A Matrix'!$C$4:$C$203='Cement and Glass Split'!$A23,IF('Exiobase A Matrix'!$D$3:$GU$3='Cement and Glass Split'!T$2,'Exiobase A Matrix'!$D$4:$GU$203)))</f>
        <v>2.0281552703510227E-2</v>
      </c>
      <c r="U23">
        <f t="array" ref="U23">SUMPRODUCT(IF('Exiobase A Matrix'!$C$4:$C$203='Cement and Glass Split'!$A23,IF('Exiobase A Matrix'!$D$3:$GU$3='Cement and Glass Split'!U$2,'Exiobase A Matrix'!$D$4:$GU$203)))</f>
        <v>1.5821475931523492E-2</v>
      </c>
      <c r="V23">
        <f t="array" ref="V23">SUMPRODUCT(IF('Exiobase A Matrix'!$C$4:$C$203='Cement and Glass Split'!$A23,IF('Exiobase A Matrix'!$D$3:$GU$3='Cement and Glass Split'!V$2,'Exiobase A Matrix'!$D$4:$GU$203)))</f>
        <v>0.1794320943123584</v>
      </c>
      <c r="W23">
        <f t="array" ref="W23">SUMPRODUCT(IF('Exiobase A Matrix'!$C$4:$C$203='Cement and Glass Split'!$A23,IF('Exiobase A Matrix'!$D$3:$GU$3='Cement and Glass Split'!W$2,'Exiobase A Matrix'!$D$4:$GU$203)))</f>
        <v>1.3244579636374914E-2</v>
      </c>
      <c r="X23">
        <f t="array" ref="X23">SUMPRODUCT(IF('Exiobase A Matrix'!$C$4:$C$203='Cement and Glass Split'!$A23,IF('Exiobase A Matrix'!$D$3:$GU$3='Cement and Glass Split'!X$2,'Exiobase A Matrix'!$D$4:$GU$203)))</f>
        <v>3.1213139249785155E-2</v>
      </c>
      <c r="Y23">
        <f t="array" ref="Y23">SUMPRODUCT(IF('Exiobase A Matrix'!$C$4:$C$203='Cement and Glass Split'!$A23,IF('Exiobase A Matrix'!$D$3:$GU$3='Cement and Glass Split'!Y$2,'Exiobase A Matrix'!$D$4:$GU$203)))</f>
        <v>5.3973337145881541E-3</v>
      </c>
      <c r="Z23">
        <f t="array" ref="Z23">SUMPRODUCT(IF('Exiobase A Matrix'!$C$4:$C$203='Cement and Glass Split'!$A23,IF('Exiobase A Matrix'!$D$3:$GU$3='Cement and Glass Split'!Z$2,'Exiobase A Matrix'!$D$4:$GU$203)))</f>
        <v>7.7657947687876872E-2</v>
      </c>
      <c r="AA23">
        <f t="array" ref="AA23">SUMPRODUCT(IF('Exiobase A Matrix'!$C$4:$C$203='Cement and Glass Split'!$A23,IF('Exiobase A Matrix'!$D$3:$GU$3='Cement and Glass Split'!AA$2,'Exiobase A Matrix'!$D$4:$GU$203)))</f>
        <v>6.3058857006004524E-5</v>
      </c>
      <c r="AB23">
        <f t="array" ref="AB23">SUMPRODUCT(IF('Exiobase A Matrix'!$C$4:$C$203='Cement and Glass Split'!$A23,IF('Exiobase A Matrix'!$D$3:$GU$3='Cement and Glass Split'!AB$2,'Exiobase A Matrix'!$D$4:$GU$203)))</f>
        <v>0.21537649996634278</v>
      </c>
      <c r="AC23">
        <f t="array" ref="AC23">SUMPRODUCT(IF('Exiobase A Matrix'!$C$4:$C$203='Cement and Glass Split'!$A23,IF('Exiobase A Matrix'!$D$3:$GU$3='Cement and Glass Split'!AC$2,'Exiobase A Matrix'!$D$4:$GU$203)))</f>
        <v>3.0484459446847845E-2</v>
      </c>
      <c r="AD23">
        <f t="array" ref="AD23">SUMPRODUCT(IF('Exiobase A Matrix'!$C$4:$C$203='Cement and Glass Split'!$A23,IF('Exiobase A Matrix'!$D$3:$GU$3='Cement and Glass Split'!AD$2,'Exiobase A Matrix'!$D$4:$GU$203)))</f>
        <v>1.6150800792499569E-8</v>
      </c>
      <c r="AE23">
        <f t="array" ref="AE23">SUMPRODUCT(IF('Exiobase A Matrix'!$C$4:$C$203='Cement and Glass Split'!$A23,IF('Exiobase A Matrix'!$D$3:$GU$3='Cement and Glass Split'!AE$2,'Exiobase A Matrix'!$D$4:$GU$203)))</f>
        <v>6.3743895914049082E-4</v>
      </c>
      <c r="AF23">
        <f t="array" ref="AF23">SUMPRODUCT(IF('Exiobase A Matrix'!$C$4:$C$203='Cement and Glass Split'!$A23,IF('Exiobase A Matrix'!$D$3:$GU$3='Cement and Glass Split'!AF$2,'Exiobase A Matrix'!$D$4:$GU$203)))</f>
        <v>5.0158773852646758E-4</v>
      </c>
      <c r="AG23">
        <f t="array" ref="AG23">SUMPRODUCT(IF('Exiobase A Matrix'!$C$4:$C$203='Cement and Glass Split'!$A23,IF('Exiobase A Matrix'!$D$3:$GU$3='Cement and Glass Split'!AG$2,'Exiobase A Matrix'!$D$4:$GU$203)))</f>
        <v>0</v>
      </c>
      <c r="AH23">
        <f t="array" ref="AH23">SUMPRODUCT(IF('Exiobase A Matrix'!$C$4:$C$203='Cement and Glass Split'!$A23,IF('Exiobase A Matrix'!$D$3:$GU$3='Cement and Glass Split'!AH$2,'Exiobase A Matrix'!$D$4:$GU$203)))</f>
        <v>1.428026102987283E-10</v>
      </c>
      <c r="AI23">
        <f t="array" ref="AI23">SUMPRODUCT(IF('Exiobase A Matrix'!$C$4:$C$203='Cement and Glass Split'!$A23,IF('Exiobase A Matrix'!$D$3:$GU$3='Cement and Glass Split'!AI$2,'Exiobase A Matrix'!$D$4:$GU$203)))</f>
        <v>1.4504608323730894E-5</v>
      </c>
      <c r="AJ23">
        <f t="array" ref="AJ23">SUMPRODUCT(IF('Exiobase A Matrix'!$C$4:$C$203='Cement and Glass Split'!$A23,IF('Exiobase A Matrix'!$D$3:$GU$3='Cement and Glass Split'!AJ$2,'Exiobase A Matrix'!$D$4:$GU$203)))</f>
        <v>1.9947629443319178E-4</v>
      </c>
      <c r="AK23">
        <f t="array" ref="AK23">SUMPRODUCT(IF('Exiobase A Matrix'!$C$4:$C$203='Cement and Glass Split'!$A23,IF('Exiobase A Matrix'!$D$3:$GU$3='Cement and Glass Split'!AK$2,'Exiobase A Matrix'!$D$4:$GU$203)))</f>
        <v>6.7528449585589211E-4</v>
      </c>
      <c r="AL23">
        <f t="array" ref="AL23">SUMPRODUCT(IF('Exiobase A Matrix'!$C$4:$C$203='Cement and Glass Split'!$A23,IF('Exiobase A Matrix'!$D$3:$GU$3='Cement and Glass Split'!AL$2,'Exiobase A Matrix'!$D$4:$GU$203)))</f>
        <v>4.8829962518790885E-3</v>
      </c>
      <c r="AM23">
        <f t="array" ref="AM23">SUMPRODUCT(IF('Exiobase A Matrix'!$C$4:$C$203='Cement and Glass Split'!$A23,IF('Exiobase A Matrix'!$D$3:$GU$3='Cement and Glass Split'!AM$2,'Exiobase A Matrix'!$D$4:$GU$203)))</f>
        <v>2.8404607398963382E-2</v>
      </c>
      <c r="AN23">
        <f t="array" ref="AN23">SUMPRODUCT(IF('Exiobase A Matrix'!$C$4:$C$203='Cement and Glass Split'!$A23,IF('Exiobase A Matrix'!$D$3:$GU$3='Cement and Glass Split'!AN$2,'Exiobase A Matrix'!$D$4:$GU$203)))</f>
        <v>1.2608564859573801E-3</v>
      </c>
      <c r="AO23">
        <f t="array" ref="AO23">SUMPRODUCT(IF('Exiobase A Matrix'!$C$4:$C$203='Cement and Glass Split'!$A23,IF('Exiobase A Matrix'!$D$3:$GU$3='Cement and Glass Split'!AO$2,'Exiobase A Matrix'!$D$4:$GU$203)))</f>
        <v>5.0573632013266193E-4</v>
      </c>
      <c r="AP23">
        <f t="array" ref="AP23">SUMPRODUCT(IF('Exiobase A Matrix'!$C$4:$C$203='Cement and Glass Split'!$A23,IF('Exiobase A Matrix'!$D$3:$GU$3='Cement and Glass Split'!AP$2,'Exiobase A Matrix'!$D$4:$GU$203)))</f>
        <v>5.2014554424183275E-3</v>
      </c>
      <c r="AQ23">
        <f t="array" ref="AQ23">SUMPRODUCT(IF('Exiobase A Matrix'!$C$4:$C$203='Cement and Glass Split'!$A23,IF('Exiobase A Matrix'!$D$3:$GU$3='Cement and Glass Split'!AQ$2,'Exiobase A Matrix'!$D$4:$GU$203)))</f>
        <v>5.5814641857035708E-6</v>
      </c>
    </row>
    <row r="24" spans="1:43">
      <c r="A24" t="s">
        <v>17</v>
      </c>
      <c r="B24">
        <f t="array" ref="B24">SUMPRODUCT(IF('Exiobase A Matrix'!$C$4:$C$203='Cement and Glass Split'!$A24,IF('Exiobase A Matrix'!$D$3:$GU$3='Cement and Glass Split'!B$2,'Exiobase A Matrix'!$D$4:$GU$203)))</f>
        <v>1.7240253286531285E-2</v>
      </c>
      <c r="C24">
        <f t="array" ref="C24">SUMPRODUCT(IF('Exiobase A Matrix'!$C$4:$C$203='Cement and Glass Split'!$A24,IF('Exiobase A Matrix'!$D$3:$GU$3='Cement and Glass Split'!C$2,'Exiobase A Matrix'!$D$4:$GU$203)))</f>
        <v>1.1901589050328216E-4</v>
      </c>
      <c r="D24">
        <f t="array" ref="D24">SUMPRODUCT(IF('Exiobase A Matrix'!$C$4:$C$203='Cement and Glass Split'!$A24,IF('Exiobase A Matrix'!$D$3:$GU$3='Cement and Glass Split'!D$2,'Exiobase A Matrix'!$D$4:$GU$203)))</f>
        <v>1.5602536772839109E-6</v>
      </c>
      <c r="E24">
        <f t="array" ref="E24">SUMPRODUCT(IF('Exiobase A Matrix'!$C$4:$C$203='Cement and Glass Split'!$A24,IF('Exiobase A Matrix'!$D$3:$GU$3='Cement and Glass Split'!E$2,'Exiobase A Matrix'!$D$4:$GU$203)))</f>
        <v>3.4731753934116573E-2</v>
      </c>
      <c r="F24">
        <f t="array" ref="F24">SUMPRODUCT(IF('Exiobase A Matrix'!$C$4:$C$203='Cement and Glass Split'!$A24,IF('Exiobase A Matrix'!$D$3:$GU$3='Cement and Glass Split'!F$2,'Exiobase A Matrix'!$D$4:$GU$203)))</f>
        <v>0</v>
      </c>
      <c r="G24">
        <f t="array" ref="G24">SUMPRODUCT(IF('Exiobase A Matrix'!$C$4:$C$203='Cement and Glass Split'!$A24,IF('Exiobase A Matrix'!$D$3:$GU$3='Cement and Glass Split'!G$2,'Exiobase A Matrix'!$D$4:$GU$203)))</f>
        <v>6.0307240094853078E-3</v>
      </c>
      <c r="H24">
        <f t="array" ref="H24">SUMPRODUCT(IF('Exiobase A Matrix'!$C$4:$C$203='Cement and Glass Split'!$A24,IF('Exiobase A Matrix'!$D$3:$GU$3='Cement and Glass Split'!H$2,'Exiobase A Matrix'!$D$4:$GU$203)))</f>
        <v>2.0679067015057931E-3</v>
      </c>
      <c r="I24">
        <f t="array" ref="I24">SUMPRODUCT(IF('Exiobase A Matrix'!$C$4:$C$203='Cement and Glass Split'!$A24,IF('Exiobase A Matrix'!$D$3:$GU$3='Cement and Glass Split'!I$2,'Exiobase A Matrix'!$D$4:$GU$203)))</f>
        <v>3.4878523709340908E-3</v>
      </c>
      <c r="J24">
        <f t="array" ref="J24">SUMPRODUCT(IF('Exiobase A Matrix'!$C$4:$C$203='Cement and Glass Split'!$A24,IF('Exiobase A Matrix'!$D$3:$GU$3='Cement and Glass Split'!J$2,'Exiobase A Matrix'!$D$4:$GU$203)))</f>
        <v>7.341750439015627E-3</v>
      </c>
      <c r="K24">
        <f t="array" ref="K24">SUMPRODUCT(IF('Exiobase A Matrix'!$C$4:$C$203='Cement and Glass Split'!$A24,IF('Exiobase A Matrix'!$D$3:$GU$3='Cement and Glass Split'!K$2,'Exiobase A Matrix'!$D$4:$GU$203)))</f>
        <v>2.3881631392224899E-2</v>
      </c>
      <c r="L24">
        <f t="array" ref="L24">SUMPRODUCT(IF('Exiobase A Matrix'!$C$4:$C$203='Cement and Glass Split'!$A24,IF('Exiobase A Matrix'!$D$3:$GU$3='Cement and Glass Split'!L$2,'Exiobase A Matrix'!$D$4:$GU$203)))</f>
        <v>4.033617838808309E-3</v>
      </c>
      <c r="M24">
        <f t="array" ref="M24">SUMPRODUCT(IF('Exiobase A Matrix'!$C$4:$C$203='Cement and Glass Split'!$A24,IF('Exiobase A Matrix'!$D$3:$GU$3='Cement and Glass Split'!M$2,'Exiobase A Matrix'!$D$4:$GU$203)))</f>
        <v>0</v>
      </c>
      <c r="N24">
        <f t="array" ref="N24">SUMPRODUCT(IF('Exiobase A Matrix'!$C$4:$C$203='Cement and Glass Split'!$A24,IF('Exiobase A Matrix'!$D$3:$GU$3='Cement and Glass Split'!N$2,'Exiobase A Matrix'!$D$4:$GU$203)))</f>
        <v>2.6953568350996326E-3</v>
      </c>
      <c r="O24">
        <f t="array" ref="O24">SUMPRODUCT(IF('Exiobase A Matrix'!$C$4:$C$203='Cement and Glass Split'!$A24,IF('Exiobase A Matrix'!$D$3:$GU$3='Cement and Glass Split'!O$2,'Exiobase A Matrix'!$D$4:$GU$203)))</f>
        <v>1.9474143225758213E-3</v>
      </c>
      <c r="P24">
        <f t="array" ref="P24">SUMPRODUCT(IF('Exiobase A Matrix'!$C$4:$C$203='Cement and Glass Split'!$A24,IF('Exiobase A Matrix'!$D$3:$GU$3='Cement and Glass Split'!P$2,'Exiobase A Matrix'!$D$4:$GU$203)))</f>
        <v>2.2458162579789408E-2</v>
      </c>
      <c r="Q24">
        <f t="array" ref="Q24">SUMPRODUCT(IF('Exiobase A Matrix'!$C$4:$C$203='Cement and Glass Split'!$A24,IF('Exiobase A Matrix'!$D$3:$GU$3='Cement and Glass Split'!Q$2,'Exiobase A Matrix'!$D$4:$GU$203)))</f>
        <v>2.1122606197333417E-4</v>
      </c>
      <c r="R24">
        <f t="array" ref="R24">SUMPRODUCT(IF('Exiobase A Matrix'!$C$4:$C$203='Cement and Glass Split'!$A24,IF('Exiobase A Matrix'!$D$3:$GU$3='Cement and Glass Split'!R$2,'Exiobase A Matrix'!$D$4:$GU$203)))</f>
        <v>1.1812292801426037E-2</v>
      </c>
      <c r="S24">
        <f t="array" ref="S24">SUMPRODUCT(IF('Exiobase A Matrix'!$C$4:$C$203='Cement and Glass Split'!$A24,IF('Exiobase A Matrix'!$D$3:$GU$3='Cement and Glass Split'!S$2,'Exiobase A Matrix'!$D$4:$GU$203)))</f>
        <v>2.3007485006622222E-3</v>
      </c>
      <c r="T24">
        <f t="array" ref="T24">SUMPRODUCT(IF('Exiobase A Matrix'!$C$4:$C$203='Cement and Glass Split'!$A24,IF('Exiobase A Matrix'!$D$3:$GU$3='Cement and Glass Split'!T$2,'Exiobase A Matrix'!$D$4:$GU$203)))</f>
        <v>1.7920780038809645E-3</v>
      </c>
      <c r="U24">
        <f t="array" ref="U24">SUMPRODUCT(IF('Exiobase A Matrix'!$C$4:$C$203='Cement and Glass Split'!$A24,IF('Exiobase A Matrix'!$D$3:$GU$3='Cement and Glass Split'!U$2,'Exiobase A Matrix'!$D$4:$GU$203)))</f>
        <v>1.4138586663373994E-3</v>
      </c>
      <c r="V24">
        <f t="array" ref="V24">SUMPRODUCT(IF('Exiobase A Matrix'!$C$4:$C$203='Cement and Glass Split'!$A24,IF('Exiobase A Matrix'!$D$3:$GU$3='Cement and Glass Split'!V$2,'Exiobase A Matrix'!$D$4:$GU$203)))</f>
        <v>1.1449240669509695E-2</v>
      </c>
      <c r="W24">
        <f t="array" ref="W24">SUMPRODUCT(IF('Exiobase A Matrix'!$C$4:$C$203='Cement and Glass Split'!$A24,IF('Exiobase A Matrix'!$D$3:$GU$3='Cement and Glass Split'!W$2,'Exiobase A Matrix'!$D$4:$GU$203)))</f>
        <v>0.37309417372457998</v>
      </c>
      <c r="X24">
        <f t="array" ref="X24">SUMPRODUCT(IF('Exiobase A Matrix'!$C$4:$C$203='Cement and Glass Split'!$A24,IF('Exiobase A Matrix'!$D$3:$GU$3='Cement and Glass Split'!X$2,'Exiobase A Matrix'!$D$4:$GU$203)))</f>
        <v>6.4021294503974202E-5</v>
      </c>
      <c r="Y24">
        <f t="array" ref="Y24">SUMPRODUCT(IF('Exiobase A Matrix'!$C$4:$C$203='Cement and Glass Split'!$A24,IF('Exiobase A Matrix'!$D$3:$GU$3='Cement and Glass Split'!Y$2,'Exiobase A Matrix'!$D$4:$GU$203)))</f>
        <v>1.3659211187402576E-3</v>
      </c>
      <c r="Z24">
        <f t="array" ref="Z24">SUMPRODUCT(IF('Exiobase A Matrix'!$C$4:$C$203='Cement and Glass Split'!$A24,IF('Exiobase A Matrix'!$D$3:$GU$3='Cement and Glass Split'!Z$2,'Exiobase A Matrix'!$D$4:$GU$203)))</f>
        <v>1.2627809062391202E-2</v>
      </c>
      <c r="AA24">
        <f t="array" ref="AA24">SUMPRODUCT(IF('Exiobase A Matrix'!$C$4:$C$203='Cement and Glass Split'!$A24,IF('Exiobase A Matrix'!$D$3:$GU$3='Cement and Glass Split'!AA$2,'Exiobase A Matrix'!$D$4:$GU$203)))</f>
        <v>9.6731616592036888E-4</v>
      </c>
      <c r="AB24">
        <f t="array" ref="AB24">SUMPRODUCT(IF('Exiobase A Matrix'!$C$4:$C$203='Cement and Glass Split'!$A24,IF('Exiobase A Matrix'!$D$3:$GU$3='Cement and Glass Split'!AB$2,'Exiobase A Matrix'!$D$4:$GU$203)))</f>
        <v>0.39483296374500587</v>
      </c>
      <c r="AC24">
        <f t="array" ref="AC24">SUMPRODUCT(IF('Exiobase A Matrix'!$C$4:$C$203='Cement and Glass Split'!$A24,IF('Exiobase A Matrix'!$D$3:$GU$3='Cement and Glass Split'!AC$2,'Exiobase A Matrix'!$D$4:$GU$203)))</f>
        <v>1.9797544000003252E-3</v>
      </c>
      <c r="AD24">
        <f t="array" ref="AD24">SUMPRODUCT(IF('Exiobase A Matrix'!$C$4:$C$203='Cement and Glass Split'!$A24,IF('Exiobase A Matrix'!$D$3:$GU$3='Cement and Glass Split'!AD$2,'Exiobase A Matrix'!$D$4:$GU$203)))</f>
        <v>1.6795049359527272E-8</v>
      </c>
      <c r="AE24">
        <f t="array" ref="AE24">SUMPRODUCT(IF('Exiobase A Matrix'!$C$4:$C$203='Cement and Glass Split'!$A24,IF('Exiobase A Matrix'!$D$3:$GU$3='Cement and Glass Split'!AE$2,'Exiobase A Matrix'!$D$4:$GU$203)))</f>
        <v>5.7953657615510405E-2</v>
      </c>
      <c r="AF24">
        <f t="array" ref="AF24">SUMPRODUCT(IF('Exiobase A Matrix'!$C$4:$C$203='Cement and Glass Split'!$A24,IF('Exiobase A Matrix'!$D$3:$GU$3='Cement and Glass Split'!AF$2,'Exiobase A Matrix'!$D$4:$GU$203)))</f>
        <v>2.0123368904580624E-4</v>
      </c>
      <c r="AG24">
        <f t="array" ref="AG24">SUMPRODUCT(IF('Exiobase A Matrix'!$C$4:$C$203='Cement and Glass Split'!$A24,IF('Exiobase A Matrix'!$D$3:$GU$3='Cement and Glass Split'!AG$2,'Exiobase A Matrix'!$D$4:$GU$203)))</f>
        <v>0</v>
      </c>
      <c r="AH24">
        <f t="array" ref="AH24">SUMPRODUCT(IF('Exiobase A Matrix'!$C$4:$C$203='Cement and Glass Split'!$A24,IF('Exiobase A Matrix'!$D$3:$GU$3='Cement and Glass Split'!AH$2,'Exiobase A Matrix'!$D$4:$GU$203)))</f>
        <v>1.6325670835594034E-10</v>
      </c>
      <c r="AI24">
        <f t="array" ref="AI24">SUMPRODUCT(IF('Exiobase A Matrix'!$C$4:$C$203='Cement and Glass Split'!$A24,IF('Exiobase A Matrix'!$D$3:$GU$3='Cement and Glass Split'!AI$2,'Exiobase A Matrix'!$D$4:$GU$203)))</f>
        <v>7.3559375074442473E-4</v>
      </c>
      <c r="AJ24">
        <f t="array" ref="AJ24">SUMPRODUCT(IF('Exiobase A Matrix'!$C$4:$C$203='Cement and Glass Split'!$A24,IF('Exiobase A Matrix'!$D$3:$GU$3='Cement and Glass Split'!AJ$2,'Exiobase A Matrix'!$D$4:$GU$203)))</f>
        <v>2.0365404453457545E-3</v>
      </c>
      <c r="AK24">
        <f t="array" ref="AK24">SUMPRODUCT(IF('Exiobase A Matrix'!$C$4:$C$203='Cement and Glass Split'!$A24,IF('Exiobase A Matrix'!$D$3:$GU$3='Cement and Glass Split'!AK$2,'Exiobase A Matrix'!$D$4:$GU$203)))</f>
        <v>2.8909786465744313E-4</v>
      </c>
      <c r="AL24">
        <f t="array" ref="AL24">SUMPRODUCT(IF('Exiobase A Matrix'!$C$4:$C$203='Cement and Glass Split'!$A24,IF('Exiobase A Matrix'!$D$3:$GU$3='Cement and Glass Split'!AL$2,'Exiobase A Matrix'!$D$4:$GU$203)))</f>
        <v>1.3756008580898626E-2</v>
      </c>
      <c r="AM24">
        <f t="array" ref="AM24">SUMPRODUCT(IF('Exiobase A Matrix'!$C$4:$C$203='Cement and Glass Split'!$A24,IF('Exiobase A Matrix'!$D$3:$GU$3='Cement and Glass Split'!AM$2,'Exiobase A Matrix'!$D$4:$GU$203)))</f>
        <v>2.858442911373338E-4</v>
      </c>
      <c r="AN24">
        <f t="array" ref="AN24">SUMPRODUCT(IF('Exiobase A Matrix'!$C$4:$C$203='Cement and Glass Split'!$A24,IF('Exiobase A Matrix'!$D$3:$GU$3='Cement and Glass Split'!AN$2,'Exiobase A Matrix'!$D$4:$GU$203)))</f>
        <v>4.1816945096638069E-4</v>
      </c>
      <c r="AO24">
        <f t="array" ref="AO24">SUMPRODUCT(IF('Exiobase A Matrix'!$C$4:$C$203='Cement and Glass Split'!$A24,IF('Exiobase A Matrix'!$D$3:$GU$3='Cement and Glass Split'!AO$2,'Exiobase A Matrix'!$D$4:$GU$203)))</f>
        <v>2.5144900113392228E-3</v>
      </c>
      <c r="AP24">
        <f t="array" ref="AP24">SUMPRODUCT(IF('Exiobase A Matrix'!$C$4:$C$203='Cement and Glass Split'!$A24,IF('Exiobase A Matrix'!$D$3:$GU$3='Cement and Glass Split'!AP$2,'Exiobase A Matrix'!$D$4:$GU$203)))</f>
        <v>4.1384406406686017E-2</v>
      </c>
      <c r="AQ24">
        <f t="array" ref="AQ24">SUMPRODUCT(IF('Exiobase A Matrix'!$C$4:$C$203='Cement and Glass Split'!$A24,IF('Exiobase A Matrix'!$D$3:$GU$3='Cement and Glass Split'!AQ$2,'Exiobase A Matrix'!$D$4:$GU$203)))</f>
        <v>0.62395422186363791</v>
      </c>
    </row>
    <row r="25" spans="1:43">
      <c r="A25" t="s">
        <v>18</v>
      </c>
      <c r="B25">
        <f t="array" ref="B25">SUMPRODUCT(IF('Exiobase A Matrix'!$C$4:$C$203='Cement and Glass Split'!$A25,IF('Exiobase A Matrix'!$D$3:$GU$3='Cement and Glass Split'!B$2,'Exiobase A Matrix'!$D$4:$GU$203)))</f>
        <v>7.4643075642252796E-2</v>
      </c>
      <c r="C25">
        <f t="array" ref="C25">SUMPRODUCT(IF('Exiobase A Matrix'!$C$4:$C$203='Cement and Glass Split'!$A25,IF('Exiobase A Matrix'!$D$3:$GU$3='Cement and Glass Split'!C$2,'Exiobase A Matrix'!$D$4:$GU$203)))</f>
        <v>8.8416129238298252E-2</v>
      </c>
      <c r="D25">
        <f t="array" ref="D25">SUMPRODUCT(IF('Exiobase A Matrix'!$C$4:$C$203='Cement and Glass Split'!$A25,IF('Exiobase A Matrix'!$D$3:$GU$3='Cement and Glass Split'!D$2,'Exiobase A Matrix'!$D$4:$GU$203)))</f>
        <v>4.169142103229432E-4</v>
      </c>
      <c r="E25">
        <f t="array" ref="E25">SUMPRODUCT(IF('Exiobase A Matrix'!$C$4:$C$203='Cement and Glass Split'!$A25,IF('Exiobase A Matrix'!$D$3:$GU$3='Cement and Glass Split'!E$2,'Exiobase A Matrix'!$D$4:$GU$203)))</f>
        <v>3.8507437293565178E-2</v>
      </c>
      <c r="F25">
        <f t="array" ref="F25">SUMPRODUCT(IF('Exiobase A Matrix'!$C$4:$C$203='Cement and Glass Split'!$A25,IF('Exiobase A Matrix'!$D$3:$GU$3='Cement and Glass Split'!F$2,'Exiobase A Matrix'!$D$4:$GU$203)))</f>
        <v>0</v>
      </c>
      <c r="G25">
        <f t="array" ref="G25">SUMPRODUCT(IF('Exiobase A Matrix'!$C$4:$C$203='Cement and Glass Split'!$A25,IF('Exiobase A Matrix'!$D$3:$GU$3='Cement and Glass Split'!G$2,'Exiobase A Matrix'!$D$4:$GU$203)))</f>
        <v>1.7504601935318562E-5</v>
      </c>
      <c r="H25">
        <f t="array" ref="H25">SUMPRODUCT(IF('Exiobase A Matrix'!$C$4:$C$203='Cement and Glass Split'!$A25,IF('Exiobase A Matrix'!$D$3:$GU$3='Cement and Glass Split'!H$2,'Exiobase A Matrix'!$D$4:$GU$203)))</f>
        <v>1.4826335569736784E-5</v>
      </c>
      <c r="I25">
        <f t="array" ref="I25">SUMPRODUCT(IF('Exiobase A Matrix'!$C$4:$C$203='Cement and Glass Split'!$A25,IF('Exiobase A Matrix'!$D$3:$GU$3='Cement and Glass Split'!I$2,'Exiobase A Matrix'!$D$4:$GU$203)))</f>
        <v>1.5999148322337487E-4</v>
      </c>
      <c r="J25">
        <f t="array" ref="J25">SUMPRODUCT(IF('Exiobase A Matrix'!$C$4:$C$203='Cement and Glass Split'!$A25,IF('Exiobase A Matrix'!$D$3:$GU$3='Cement and Glass Split'!J$2,'Exiobase A Matrix'!$D$4:$GU$203)))</f>
        <v>1.5682795297295356E-5</v>
      </c>
      <c r="K25">
        <f t="array" ref="K25">SUMPRODUCT(IF('Exiobase A Matrix'!$C$4:$C$203='Cement and Glass Split'!$A25,IF('Exiobase A Matrix'!$D$3:$GU$3='Cement and Glass Split'!K$2,'Exiobase A Matrix'!$D$4:$GU$203)))</f>
        <v>5.3512579889468583E-3</v>
      </c>
      <c r="L25">
        <f t="array" ref="L25">SUMPRODUCT(IF('Exiobase A Matrix'!$C$4:$C$203='Cement and Glass Split'!$A25,IF('Exiobase A Matrix'!$D$3:$GU$3='Cement and Glass Split'!L$2,'Exiobase A Matrix'!$D$4:$GU$203)))</f>
        <v>5.4271945681644436E-4</v>
      </c>
      <c r="M25">
        <f t="array" ref="M25">SUMPRODUCT(IF('Exiobase A Matrix'!$C$4:$C$203='Cement and Glass Split'!$A25,IF('Exiobase A Matrix'!$D$3:$GU$3='Cement and Glass Split'!M$2,'Exiobase A Matrix'!$D$4:$GU$203)))</f>
        <v>0</v>
      </c>
      <c r="N25">
        <f t="array" ref="N25">SUMPRODUCT(IF('Exiobase A Matrix'!$C$4:$C$203='Cement and Glass Split'!$A25,IF('Exiobase A Matrix'!$D$3:$GU$3='Cement and Glass Split'!N$2,'Exiobase A Matrix'!$D$4:$GU$203)))</f>
        <v>4.948945011793985E-6</v>
      </c>
      <c r="O25">
        <f t="array" ref="O25">SUMPRODUCT(IF('Exiobase A Matrix'!$C$4:$C$203='Cement and Glass Split'!$A25,IF('Exiobase A Matrix'!$D$3:$GU$3='Cement and Glass Split'!O$2,'Exiobase A Matrix'!$D$4:$GU$203)))</f>
        <v>3.5434727439106402E-5</v>
      </c>
      <c r="P25">
        <f t="array" ref="P25">SUMPRODUCT(IF('Exiobase A Matrix'!$C$4:$C$203='Cement and Glass Split'!$A25,IF('Exiobase A Matrix'!$D$3:$GU$3='Cement and Glass Split'!P$2,'Exiobase A Matrix'!$D$4:$GU$203)))</f>
        <v>6.0506960164420444E-5</v>
      </c>
      <c r="Q25">
        <f t="array" ref="Q25">SUMPRODUCT(IF('Exiobase A Matrix'!$C$4:$C$203='Cement and Glass Split'!$A25,IF('Exiobase A Matrix'!$D$3:$GU$3='Cement and Glass Split'!Q$2,'Exiobase A Matrix'!$D$4:$GU$203)))</f>
        <v>4.5463453297108245E-5</v>
      </c>
      <c r="R25">
        <f t="array" ref="R25">SUMPRODUCT(IF('Exiobase A Matrix'!$C$4:$C$203='Cement and Glass Split'!$A25,IF('Exiobase A Matrix'!$D$3:$GU$3='Cement and Glass Split'!R$2,'Exiobase A Matrix'!$D$4:$GU$203)))</f>
        <v>0</v>
      </c>
      <c r="S25">
        <f t="array" ref="S25">SUMPRODUCT(IF('Exiobase A Matrix'!$C$4:$C$203='Cement and Glass Split'!$A25,IF('Exiobase A Matrix'!$D$3:$GU$3='Cement and Glass Split'!S$2,'Exiobase A Matrix'!$D$4:$GU$203)))</f>
        <v>3.4379066036742514E-6</v>
      </c>
      <c r="T25">
        <f t="array" ref="T25">SUMPRODUCT(IF('Exiobase A Matrix'!$C$4:$C$203='Cement and Glass Split'!$A25,IF('Exiobase A Matrix'!$D$3:$GU$3='Cement and Glass Split'!T$2,'Exiobase A Matrix'!$D$4:$GU$203)))</f>
        <v>1.177412849389763E-5</v>
      </c>
      <c r="U25">
        <f t="array" ref="U25">SUMPRODUCT(IF('Exiobase A Matrix'!$C$4:$C$203='Cement and Glass Split'!$A25,IF('Exiobase A Matrix'!$D$3:$GU$3='Cement and Glass Split'!U$2,'Exiobase A Matrix'!$D$4:$GU$203)))</f>
        <v>9.026497329291412E-5</v>
      </c>
      <c r="V25">
        <f t="array" ref="V25">SUMPRODUCT(IF('Exiobase A Matrix'!$C$4:$C$203='Cement and Glass Split'!$A25,IF('Exiobase A Matrix'!$D$3:$GU$3='Cement and Glass Split'!V$2,'Exiobase A Matrix'!$D$4:$GU$203)))</f>
        <v>1.444375162753486E-5</v>
      </c>
      <c r="W25">
        <f t="array" ref="W25">SUMPRODUCT(IF('Exiobase A Matrix'!$C$4:$C$203='Cement and Glass Split'!$A25,IF('Exiobase A Matrix'!$D$3:$GU$3='Cement and Glass Split'!W$2,'Exiobase A Matrix'!$D$4:$GU$203)))</f>
        <v>1.7083011741671257E-5</v>
      </c>
      <c r="X25">
        <f t="array" ref="X25">SUMPRODUCT(IF('Exiobase A Matrix'!$C$4:$C$203='Cement and Glass Split'!$A25,IF('Exiobase A Matrix'!$D$3:$GU$3='Cement and Glass Split'!X$2,'Exiobase A Matrix'!$D$4:$GU$203)))</f>
        <v>0.17812801903392902</v>
      </c>
      <c r="Y25">
        <f t="array" ref="Y25">SUMPRODUCT(IF('Exiobase A Matrix'!$C$4:$C$203='Cement and Glass Split'!$A25,IF('Exiobase A Matrix'!$D$3:$GU$3='Cement and Glass Split'!Y$2,'Exiobase A Matrix'!$D$4:$GU$203)))</f>
        <v>9.7515274521295389E-5</v>
      </c>
      <c r="Z25">
        <f t="array" ref="Z25">SUMPRODUCT(IF('Exiobase A Matrix'!$C$4:$C$203='Cement and Glass Split'!$A25,IF('Exiobase A Matrix'!$D$3:$GU$3='Cement and Glass Split'!Z$2,'Exiobase A Matrix'!$D$4:$GU$203)))</f>
        <v>5.9831702911186725E-5</v>
      </c>
      <c r="AA25">
        <f t="array" ref="AA25">SUMPRODUCT(IF('Exiobase A Matrix'!$C$4:$C$203='Cement and Glass Split'!$A25,IF('Exiobase A Matrix'!$D$3:$GU$3='Cement and Glass Split'!AA$2,'Exiobase A Matrix'!$D$4:$GU$203)))</f>
        <v>0</v>
      </c>
      <c r="AB25">
        <f t="array" ref="AB25">SUMPRODUCT(IF('Exiobase A Matrix'!$C$4:$C$203='Cement and Glass Split'!$A25,IF('Exiobase A Matrix'!$D$3:$GU$3='Cement and Glass Split'!AB$2,'Exiobase A Matrix'!$D$4:$GU$203)))</f>
        <v>1.8292185891323146E-2</v>
      </c>
      <c r="AC25">
        <f t="array" ref="AC25">SUMPRODUCT(IF('Exiobase A Matrix'!$C$4:$C$203='Cement and Glass Split'!$A25,IF('Exiobase A Matrix'!$D$3:$GU$3='Cement and Glass Split'!AC$2,'Exiobase A Matrix'!$D$4:$GU$203)))</f>
        <v>3.8161473196874496E-5</v>
      </c>
      <c r="AD25">
        <f t="array" ref="AD25">SUMPRODUCT(IF('Exiobase A Matrix'!$C$4:$C$203='Cement and Glass Split'!$A25,IF('Exiobase A Matrix'!$D$3:$GU$3='Cement and Glass Split'!AD$2,'Exiobase A Matrix'!$D$4:$GU$203)))</f>
        <v>1.7951874202538472E-8</v>
      </c>
      <c r="AE25">
        <f t="array" ref="AE25">SUMPRODUCT(IF('Exiobase A Matrix'!$C$4:$C$203='Cement and Glass Split'!$A25,IF('Exiobase A Matrix'!$D$3:$GU$3='Cement and Glass Split'!AE$2,'Exiobase A Matrix'!$D$4:$GU$203)))</f>
        <v>0.1031057255039738</v>
      </c>
      <c r="AF25">
        <f t="array" ref="AF25">SUMPRODUCT(IF('Exiobase A Matrix'!$C$4:$C$203='Cement and Glass Split'!$A25,IF('Exiobase A Matrix'!$D$3:$GU$3='Cement and Glass Split'!AF$2,'Exiobase A Matrix'!$D$4:$GU$203)))</f>
        <v>8.4144960905019426E-5</v>
      </c>
      <c r="AG25">
        <f t="array" ref="AG25">SUMPRODUCT(IF('Exiobase A Matrix'!$C$4:$C$203='Cement and Glass Split'!$A25,IF('Exiobase A Matrix'!$D$3:$GU$3='Cement and Glass Split'!AG$2,'Exiobase A Matrix'!$D$4:$GU$203)))</f>
        <v>0</v>
      </c>
      <c r="AH25">
        <f t="array" ref="AH25">SUMPRODUCT(IF('Exiobase A Matrix'!$C$4:$C$203='Cement and Glass Split'!$A25,IF('Exiobase A Matrix'!$D$3:$GU$3='Cement and Glass Split'!AH$2,'Exiobase A Matrix'!$D$4:$GU$203)))</f>
        <v>2.1434930118425135E-10</v>
      </c>
      <c r="AI25">
        <f t="array" ref="AI25">SUMPRODUCT(IF('Exiobase A Matrix'!$C$4:$C$203='Cement and Glass Split'!$A25,IF('Exiobase A Matrix'!$D$3:$GU$3='Cement and Glass Split'!AI$2,'Exiobase A Matrix'!$D$4:$GU$203)))</f>
        <v>3.2263632335920441E-5</v>
      </c>
      <c r="AJ25">
        <f t="array" ref="AJ25">SUMPRODUCT(IF('Exiobase A Matrix'!$C$4:$C$203='Cement and Glass Split'!$A25,IF('Exiobase A Matrix'!$D$3:$GU$3='Cement and Glass Split'!AJ$2,'Exiobase A Matrix'!$D$4:$GU$203)))</f>
        <v>6.129007154530534E-7</v>
      </c>
      <c r="AK25">
        <f t="array" ref="AK25">SUMPRODUCT(IF('Exiobase A Matrix'!$C$4:$C$203='Cement and Glass Split'!$A25,IF('Exiobase A Matrix'!$D$3:$GU$3='Cement and Glass Split'!AK$2,'Exiobase A Matrix'!$D$4:$GU$203)))</f>
        <v>0</v>
      </c>
      <c r="AL25">
        <f t="array" ref="AL25">SUMPRODUCT(IF('Exiobase A Matrix'!$C$4:$C$203='Cement and Glass Split'!$A25,IF('Exiobase A Matrix'!$D$3:$GU$3='Cement and Glass Split'!AL$2,'Exiobase A Matrix'!$D$4:$GU$203)))</f>
        <v>1.2878720113111619E-2</v>
      </c>
      <c r="AM25">
        <f t="array" ref="AM25">SUMPRODUCT(IF('Exiobase A Matrix'!$C$4:$C$203='Cement and Glass Split'!$A25,IF('Exiobase A Matrix'!$D$3:$GU$3='Cement and Glass Split'!AM$2,'Exiobase A Matrix'!$D$4:$GU$203)))</f>
        <v>3.3889359494230324E-2</v>
      </c>
      <c r="AN25">
        <f t="array" ref="AN25">SUMPRODUCT(IF('Exiobase A Matrix'!$C$4:$C$203='Cement and Glass Split'!$A25,IF('Exiobase A Matrix'!$D$3:$GU$3='Cement and Glass Split'!AN$2,'Exiobase A Matrix'!$D$4:$GU$203)))</f>
        <v>1.058148355175006E-4</v>
      </c>
      <c r="AO25">
        <f t="array" ref="AO25">SUMPRODUCT(IF('Exiobase A Matrix'!$C$4:$C$203='Cement and Glass Split'!$A25,IF('Exiobase A Matrix'!$D$3:$GU$3='Cement and Glass Split'!AO$2,'Exiobase A Matrix'!$D$4:$GU$203)))</f>
        <v>2.4564404026286579E-4</v>
      </c>
      <c r="AP25">
        <f t="array" ref="AP25">SUMPRODUCT(IF('Exiobase A Matrix'!$C$4:$C$203='Cement and Glass Split'!$A25,IF('Exiobase A Matrix'!$D$3:$GU$3='Cement and Glass Split'!AP$2,'Exiobase A Matrix'!$D$4:$GU$203)))</f>
        <v>1.1672706938388648E-3</v>
      </c>
      <c r="AQ25">
        <f t="array" ref="AQ25">SUMPRODUCT(IF('Exiobase A Matrix'!$C$4:$C$203='Cement and Glass Split'!$A25,IF('Exiobase A Matrix'!$D$3:$GU$3='Cement and Glass Split'!AQ$2,'Exiobase A Matrix'!$D$4:$GU$203)))</f>
        <v>2.5642628678531672E-2</v>
      </c>
    </row>
    <row r="26" spans="1:43">
      <c r="A26" t="s">
        <v>19</v>
      </c>
      <c r="B26">
        <f t="array" ref="B26">SUMPRODUCT(IF('Exiobase A Matrix'!$C$4:$C$203='Cement and Glass Split'!$A26,IF('Exiobase A Matrix'!$D$3:$GU$3='Cement and Glass Split'!B$2,'Exiobase A Matrix'!$D$4:$GU$203)))</f>
        <v>1.7520781893531224E-3</v>
      </c>
      <c r="C26">
        <f t="array" ref="C26">SUMPRODUCT(IF('Exiobase A Matrix'!$C$4:$C$203='Cement and Glass Split'!$A26,IF('Exiobase A Matrix'!$D$3:$GU$3='Cement and Glass Split'!C$2,'Exiobase A Matrix'!$D$4:$GU$203)))</f>
        <v>5.4572512289160168E-5</v>
      </c>
      <c r="D26">
        <f t="array" ref="D26">SUMPRODUCT(IF('Exiobase A Matrix'!$C$4:$C$203='Cement and Glass Split'!$A26,IF('Exiobase A Matrix'!$D$3:$GU$3='Cement and Glass Split'!D$2,'Exiobase A Matrix'!$D$4:$GU$203)))</f>
        <v>1.3059154703010515E-6</v>
      </c>
      <c r="E26">
        <f t="array" ref="E26">SUMPRODUCT(IF('Exiobase A Matrix'!$C$4:$C$203='Cement and Glass Split'!$A26,IF('Exiobase A Matrix'!$D$3:$GU$3='Cement and Glass Split'!E$2,'Exiobase A Matrix'!$D$4:$GU$203)))</f>
        <v>1.6606006575710058E-4</v>
      </c>
      <c r="F26">
        <f t="array" ref="F26">SUMPRODUCT(IF('Exiobase A Matrix'!$C$4:$C$203='Cement and Glass Split'!$A26,IF('Exiobase A Matrix'!$D$3:$GU$3='Cement and Glass Split'!F$2,'Exiobase A Matrix'!$D$4:$GU$203)))</f>
        <v>0</v>
      </c>
      <c r="G26">
        <f t="array" ref="G26">SUMPRODUCT(IF('Exiobase A Matrix'!$C$4:$C$203='Cement and Glass Split'!$A26,IF('Exiobase A Matrix'!$D$3:$GU$3='Cement and Glass Split'!G$2,'Exiobase A Matrix'!$D$4:$GU$203)))</f>
        <v>2.3670610471950815E-4</v>
      </c>
      <c r="H26">
        <f t="array" ref="H26">SUMPRODUCT(IF('Exiobase A Matrix'!$C$4:$C$203='Cement and Glass Split'!$A26,IF('Exiobase A Matrix'!$D$3:$GU$3='Cement and Glass Split'!H$2,'Exiobase A Matrix'!$D$4:$GU$203)))</f>
        <v>3.3296183398474115E-2</v>
      </c>
      <c r="I26">
        <f t="array" ref="I26">SUMPRODUCT(IF('Exiobase A Matrix'!$C$4:$C$203='Cement and Glass Split'!$A26,IF('Exiobase A Matrix'!$D$3:$GU$3='Cement and Glass Split'!I$2,'Exiobase A Matrix'!$D$4:$GU$203)))</f>
        <v>6.4532609810587379E-4</v>
      </c>
      <c r="J26">
        <f t="array" ref="J26">SUMPRODUCT(IF('Exiobase A Matrix'!$C$4:$C$203='Cement and Glass Split'!$A26,IF('Exiobase A Matrix'!$D$3:$GU$3='Cement and Glass Split'!J$2,'Exiobase A Matrix'!$D$4:$GU$203)))</f>
        <v>7.7358877232288682E-4</v>
      </c>
      <c r="K26">
        <f t="array" ref="K26">SUMPRODUCT(IF('Exiobase A Matrix'!$C$4:$C$203='Cement and Glass Split'!$A26,IF('Exiobase A Matrix'!$D$3:$GU$3='Cement and Glass Split'!K$2,'Exiobase A Matrix'!$D$4:$GU$203)))</f>
        <v>7.7030235838345621E-4</v>
      </c>
      <c r="L26">
        <f t="array" ref="L26">SUMPRODUCT(IF('Exiobase A Matrix'!$C$4:$C$203='Cement and Glass Split'!$A26,IF('Exiobase A Matrix'!$D$3:$GU$3='Cement and Glass Split'!L$2,'Exiobase A Matrix'!$D$4:$GU$203)))</f>
        <v>3.4859427431524487E-4</v>
      </c>
      <c r="M26">
        <f t="array" ref="M26">SUMPRODUCT(IF('Exiobase A Matrix'!$C$4:$C$203='Cement and Glass Split'!$A26,IF('Exiobase A Matrix'!$D$3:$GU$3='Cement and Glass Split'!M$2,'Exiobase A Matrix'!$D$4:$GU$203)))</f>
        <v>0</v>
      </c>
      <c r="N26">
        <f t="array" ref="N26">SUMPRODUCT(IF('Exiobase A Matrix'!$C$4:$C$203='Cement and Glass Split'!$A26,IF('Exiobase A Matrix'!$D$3:$GU$3='Cement and Glass Split'!N$2,'Exiobase A Matrix'!$D$4:$GU$203)))</f>
        <v>2.7232586513048962E-4</v>
      </c>
      <c r="O26">
        <f t="array" ref="O26">SUMPRODUCT(IF('Exiobase A Matrix'!$C$4:$C$203='Cement and Glass Split'!$A26,IF('Exiobase A Matrix'!$D$3:$GU$3='Cement and Glass Split'!O$2,'Exiobase A Matrix'!$D$4:$GU$203)))</f>
        <v>2.1124324782919348E-4</v>
      </c>
      <c r="P26">
        <f t="array" ref="P26">SUMPRODUCT(IF('Exiobase A Matrix'!$C$4:$C$203='Cement and Glass Split'!$A26,IF('Exiobase A Matrix'!$D$3:$GU$3='Cement and Glass Split'!P$2,'Exiobase A Matrix'!$D$4:$GU$203)))</f>
        <v>1.7244200297609479E-4</v>
      </c>
      <c r="Q26">
        <f t="array" ref="Q26">SUMPRODUCT(IF('Exiobase A Matrix'!$C$4:$C$203='Cement and Glass Split'!$A26,IF('Exiobase A Matrix'!$D$3:$GU$3='Cement and Glass Split'!Q$2,'Exiobase A Matrix'!$D$4:$GU$203)))</f>
        <v>1.2055699868792896E-6</v>
      </c>
      <c r="R26">
        <f t="array" ref="R26">SUMPRODUCT(IF('Exiobase A Matrix'!$C$4:$C$203='Cement and Glass Split'!$A26,IF('Exiobase A Matrix'!$D$3:$GU$3='Cement and Glass Split'!R$2,'Exiobase A Matrix'!$D$4:$GU$203)))</f>
        <v>3.5216851832480953E-5</v>
      </c>
      <c r="S26">
        <f t="array" ref="S26">SUMPRODUCT(IF('Exiobase A Matrix'!$C$4:$C$203='Cement and Glass Split'!$A26,IF('Exiobase A Matrix'!$D$3:$GU$3='Cement and Glass Split'!S$2,'Exiobase A Matrix'!$D$4:$GU$203)))</f>
        <v>7.0354243740866233E-5</v>
      </c>
      <c r="T26">
        <f t="array" ref="T26">SUMPRODUCT(IF('Exiobase A Matrix'!$C$4:$C$203='Cement and Glass Split'!$A26,IF('Exiobase A Matrix'!$D$3:$GU$3='Cement and Glass Split'!T$2,'Exiobase A Matrix'!$D$4:$GU$203)))</f>
        <v>9.491489850932377E-4</v>
      </c>
      <c r="U26">
        <f t="array" ref="U26">SUMPRODUCT(IF('Exiobase A Matrix'!$C$4:$C$203='Cement and Glass Split'!$A26,IF('Exiobase A Matrix'!$D$3:$GU$3='Cement and Glass Split'!U$2,'Exiobase A Matrix'!$D$4:$GU$203)))</f>
        <v>3.0230418493035433E-4</v>
      </c>
      <c r="V26">
        <f t="array" ref="V26">SUMPRODUCT(IF('Exiobase A Matrix'!$C$4:$C$203='Cement and Glass Split'!$A26,IF('Exiobase A Matrix'!$D$3:$GU$3='Cement and Glass Split'!V$2,'Exiobase A Matrix'!$D$4:$GU$203)))</f>
        <v>4.1301053620118047E-4</v>
      </c>
      <c r="W26">
        <f t="array" ref="W26">SUMPRODUCT(IF('Exiobase A Matrix'!$C$4:$C$203='Cement and Glass Split'!$A26,IF('Exiobase A Matrix'!$D$3:$GU$3='Cement and Glass Split'!W$2,'Exiobase A Matrix'!$D$4:$GU$203)))</f>
        <v>2.6352542594762832E-2</v>
      </c>
      <c r="X26">
        <f t="array" ref="X26">SUMPRODUCT(IF('Exiobase A Matrix'!$C$4:$C$203='Cement and Glass Split'!$A26,IF('Exiobase A Matrix'!$D$3:$GU$3='Cement and Glass Split'!X$2,'Exiobase A Matrix'!$D$4:$GU$203)))</f>
        <v>2.7539171452590828E-3</v>
      </c>
      <c r="Y26">
        <f t="array" ref="Y26">SUMPRODUCT(IF('Exiobase A Matrix'!$C$4:$C$203='Cement and Glass Split'!$A26,IF('Exiobase A Matrix'!$D$3:$GU$3='Cement and Glass Split'!Y$2,'Exiobase A Matrix'!$D$4:$GU$203)))</f>
        <v>0.10579778274313324</v>
      </c>
      <c r="Z26">
        <f t="array" ref="Z26">SUMPRODUCT(IF('Exiobase A Matrix'!$C$4:$C$203='Cement and Glass Split'!$A26,IF('Exiobase A Matrix'!$D$3:$GU$3='Cement and Glass Split'!Z$2,'Exiobase A Matrix'!$D$4:$GU$203)))</f>
        <v>7.6864772916461379E-4</v>
      </c>
      <c r="AA26">
        <f t="array" ref="AA26">SUMPRODUCT(IF('Exiobase A Matrix'!$C$4:$C$203='Cement and Glass Split'!$A26,IF('Exiobase A Matrix'!$D$3:$GU$3='Cement and Glass Split'!AA$2,'Exiobase A Matrix'!$D$4:$GU$203)))</f>
        <v>7.3418520850221856E-7</v>
      </c>
      <c r="AB26">
        <f t="array" ref="AB26">SUMPRODUCT(IF('Exiobase A Matrix'!$C$4:$C$203='Cement and Glass Split'!$A26,IF('Exiobase A Matrix'!$D$3:$GU$3='Cement and Glass Split'!AB$2,'Exiobase A Matrix'!$D$4:$GU$203)))</f>
        <v>6.7224099113912084E-2</v>
      </c>
      <c r="AC26">
        <f t="array" ref="AC26">SUMPRODUCT(IF('Exiobase A Matrix'!$C$4:$C$203='Cement and Glass Split'!$A26,IF('Exiobase A Matrix'!$D$3:$GU$3='Cement and Glass Split'!AC$2,'Exiobase A Matrix'!$D$4:$GU$203)))</f>
        <v>7.8557178367422709E-3</v>
      </c>
      <c r="AD26">
        <f t="array" ref="AD26">SUMPRODUCT(IF('Exiobase A Matrix'!$C$4:$C$203='Cement and Glass Split'!$A26,IF('Exiobase A Matrix'!$D$3:$GU$3='Cement and Glass Split'!AD$2,'Exiobase A Matrix'!$D$4:$GU$203)))</f>
        <v>1.6619147375968023E-8</v>
      </c>
      <c r="AE26">
        <f t="array" ref="AE26">SUMPRODUCT(IF('Exiobase A Matrix'!$C$4:$C$203='Cement and Glass Split'!$A26,IF('Exiobase A Matrix'!$D$3:$GU$3='Cement and Glass Split'!AE$2,'Exiobase A Matrix'!$D$4:$GU$203)))</f>
        <v>8.4715328151696698E-4</v>
      </c>
      <c r="AF26">
        <f t="array" ref="AF26">SUMPRODUCT(IF('Exiobase A Matrix'!$C$4:$C$203='Cement and Glass Split'!$A26,IF('Exiobase A Matrix'!$D$3:$GU$3='Cement and Glass Split'!AF$2,'Exiobase A Matrix'!$D$4:$GU$203)))</f>
        <v>4.6665667933601437E-3</v>
      </c>
      <c r="AG26">
        <f t="array" ref="AG26">SUMPRODUCT(IF('Exiobase A Matrix'!$C$4:$C$203='Cement and Glass Split'!$A26,IF('Exiobase A Matrix'!$D$3:$GU$3='Cement and Glass Split'!AG$2,'Exiobase A Matrix'!$D$4:$GU$203)))</f>
        <v>0</v>
      </c>
      <c r="AH26">
        <f t="array" ref="AH26">SUMPRODUCT(IF('Exiobase A Matrix'!$C$4:$C$203='Cement and Glass Split'!$A26,IF('Exiobase A Matrix'!$D$3:$GU$3='Cement and Glass Split'!AH$2,'Exiobase A Matrix'!$D$4:$GU$203)))</f>
        <v>1.5730428802951671E-10</v>
      </c>
      <c r="AI26">
        <f t="array" ref="AI26">SUMPRODUCT(IF('Exiobase A Matrix'!$C$4:$C$203='Cement and Glass Split'!$A26,IF('Exiobase A Matrix'!$D$3:$GU$3='Cement and Glass Split'!AI$2,'Exiobase A Matrix'!$D$4:$GU$203)))</f>
        <v>7.5355795039751998E-4</v>
      </c>
      <c r="AJ26">
        <f t="array" ref="AJ26">SUMPRODUCT(IF('Exiobase A Matrix'!$C$4:$C$203='Cement and Glass Split'!$A26,IF('Exiobase A Matrix'!$D$3:$GU$3='Cement and Glass Split'!AJ$2,'Exiobase A Matrix'!$D$4:$GU$203)))</f>
        <v>2.034435873233252E-3</v>
      </c>
      <c r="AK26">
        <f t="array" ref="AK26">SUMPRODUCT(IF('Exiobase A Matrix'!$C$4:$C$203='Cement and Glass Split'!$A26,IF('Exiobase A Matrix'!$D$3:$GU$3='Cement and Glass Split'!AK$2,'Exiobase A Matrix'!$D$4:$GU$203)))</f>
        <v>5.4733794256746511E-4</v>
      </c>
      <c r="AL26">
        <f t="array" ref="AL26">SUMPRODUCT(IF('Exiobase A Matrix'!$C$4:$C$203='Cement and Glass Split'!$A26,IF('Exiobase A Matrix'!$D$3:$GU$3='Cement and Glass Split'!AL$2,'Exiobase A Matrix'!$D$4:$GU$203)))</f>
        <v>5.0157678680065416E-3</v>
      </c>
      <c r="AM26">
        <f t="array" ref="AM26">SUMPRODUCT(IF('Exiobase A Matrix'!$C$4:$C$203='Cement and Glass Split'!$A26,IF('Exiobase A Matrix'!$D$3:$GU$3='Cement and Glass Split'!AM$2,'Exiobase A Matrix'!$D$4:$GU$203)))</f>
        <v>1.4061883115258718E-3</v>
      </c>
      <c r="AN26">
        <f t="array" ref="AN26">SUMPRODUCT(IF('Exiobase A Matrix'!$C$4:$C$203='Cement and Glass Split'!$A26,IF('Exiobase A Matrix'!$D$3:$GU$3='Cement and Glass Split'!AN$2,'Exiobase A Matrix'!$D$4:$GU$203)))</f>
        <v>1.2818637214960356E-2</v>
      </c>
      <c r="AO26">
        <f t="array" ref="AO26">SUMPRODUCT(IF('Exiobase A Matrix'!$C$4:$C$203='Cement and Glass Split'!$A26,IF('Exiobase A Matrix'!$D$3:$GU$3='Cement and Glass Split'!AO$2,'Exiobase A Matrix'!$D$4:$GU$203)))</f>
        <v>1.9094319238268302E-3</v>
      </c>
      <c r="AP26">
        <f t="array" ref="AP26">SUMPRODUCT(IF('Exiobase A Matrix'!$C$4:$C$203='Cement and Glass Split'!$A26,IF('Exiobase A Matrix'!$D$3:$GU$3='Cement and Glass Split'!AP$2,'Exiobase A Matrix'!$D$4:$GU$203)))</f>
        <v>4.358678700556784E-2</v>
      </c>
      <c r="AQ26">
        <f t="array" ref="AQ26">SUMPRODUCT(IF('Exiobase A Matrix'!$C$4:$C$203='Cement and Glass Split'!$A26,IF('Exiobase A Matrix'!$D$3:$GU$3='Cement and Glass Split'!AQ$2,'Exiobase A Matrix'!$D$4:$GU$203)))</f>
        <v>1.5396046215740395E-5</v>
      </c>
    </row>
    <row r="27" spans="1:43">
      <c r="A27" t="s">
        <v>136</v>
      </c>
      <c r="B27">
        <f t="array" ref="B27">SUMPRODUCT(IF('Exiobase A Matrix'!$C$4:$C$203='Cement and Glass Split'!$A27,IF('Exiobase A Matrix'!$D$3:$GU$3='Cement and Glass Split'!B$2,'Exiobase A Matrix'!$D$4:$GU$203)))</f>
        <v>7.279271672014323E-2</v>
      </c>
      <c r="C27">
        <f t="array" ref="C27">SUMPRODUCT(IF('Exiobase A Matrix'!$C$4:$C$203='Cement and Glass Split'!$A27,IF('Exiobase A Matrix'!$D$3:$GU$3='Cement and Glass Split'!C$2,'Exiobase A Matrix'!$D$4:$GU$203)))</f>
        <v>0</v>
      </c>
      <c r="D27">
        <f t="array" ref="D27">SUMPRODUCT(IF('Exiobase A Matrix'!$C$4:$C$203='Cement and Glass Split'!$A27,IF('Exiobase A Matrix'!$D$3:$GU$3='Cement and Glass Split'!D$2,'Exiobase A Matrix'!$D$4:$GU$203)))</f>
        <v>7.6307092028239561E-5</v>
      </c>
      <c r="E27">
        <f t="array" ref="E27">SUMPRODUCT(IF('Exiobase A Matrix'!$C$4:$C$203='Cement and Glass Split'!$A27,IF('Exiobase A Matrix'!$D$3:$GU$3='Cement and Glass Split'!E$2,'Exiobase A Matrix'!$D$4:$GU$203)))</f>
        <v>1.8412258931472341E-2</v>
      </c>
      <c r="F27">
        <f t="array" ref="F27">SUMPRODUCT(IF('Exiobase A Matrix'!$C$4:$C$203='Cement and Glass Split'!$A27,IF('Exiobase A Matrix'!$D$3:$GU$3='Cement and Glass Split'!F$2,'Exiobase A Matrix'!$D$4:$GU$203)))</f>
        <v>0</v>
      </c>
      <c r="G27">
        <f t="array" ref="G27">SUMPRODUCT(IF('Exiobase A Matrix'!$C$4:$C$203='Cement and Glass Split'!$A27,IF('Exiobase A Matrix'!$D$3:$GU$3='Cement and Glass Split'!G$2,'Exiobase A Matrix'!$D$4:$GU$203)))</f>
        <v>5.2590375997319007E-2</v>
      </c>
      <c r="H27">
        <f t="array" ref="H27">SUMPRODUCT(IF('Exiobase A Matrix'!$C$4:$C$203='Cement and Glass Split'!$A27,IF('Exiobase A Matrix'!$D$3:$GU$3='Cement and Glass Split'!H$2,'Exiobase A Matrix'!$D$4:$GU$203)))</f>
        <v>2.767832990050512E-2</v>
      </c>
      <c r="I27">
        <f t="array" ref="I27">SUMPRODUCT(IF('Exiobase A Matrix'!$C$4:$C$203='Cement and Glass Split'!$A27,IF('Exiobase A Matrix'!$D$3:$GU$3='Cement and Glass Split'!I$2,'Exiobase A Matrix'!$D$4:$GU$203)))</f>
        <v>2.2360036578591005E-2</v>
      </c>
      <c r="J27">
        <f t="array" ref="J27">SUMPRODUCT(IF('Exiobase A Matrix'!$C$4:$C$203='Cement and Glass Split'!$A27,IF('Exiobase A Matrix'!$D$3:$GU$3='Cement and Glass Split'!J$2,'Exiobase A Matrix'!$D$4:$GU$203)))</f>
        <v>0.148046245619225</v>
      </c>
      <c r="K27">
        <f t="array" ref="K27">SUMPRODUCT(IF('Exiobase A Matrix'!$C$4:$C$203='Cement and Glass Split'!$A27,IF('Exiobase A Matrix'!$D$3:$GU$3='Cement and Glass Split'!K$2,'Exiobase A Matrix'!$D$4:$GU$203)))</f>
        <v>0.53293513615485288</v>
      </c>
      <c r="L27">
        <f t="array" ref="L27">SUMPRODUCT(IF('Exiobase A Matrix'!$C$4:$C$203='Cement and Glass Split'!$A27,IF('Exiobase A Matrix'!$D$3:$GU$3='Cement and Glass Split'!L$2,'Exiobase A Matrix'!$D$4:$GU$203)))</f>
        <v>4.6056081736304835E-2</v>
      </c>
      <c r="M27">
        <f t="array" ref="M27">SUMPRODUCT(IF('Exiobase A Matrix'!$C$4:$C$203='Cement and Glass Split'!$A27,IF('Exiobase A Matrix'!$D$3:$GU$3='Cement and Glass Split'!M$2,'Exiobase A Matrix'!$D$4:$GU$203)))</f>
        <v>0</v>
      </c>
      <c r="N27">
        <f t="array" ref="N27">SUMPRODUCT(IF('Exiobase A Matrix'!$C$4:$C$203='Cement and Glass Split'!$A27,IF('Exiobase A Matrix'!$D$3:$GU$3='Cement and Glass Split'!N$2,'Exiobase A Matrix'!$D$4:$GU$203)))</f>
        <v>8.4492246682715769E-3</v>
      </c>
      <c r="O27">
        <f t="array" ref="O27">SUMPRODUCT(IF('Exiobase A Matrix'!$C$4:$C$203='Cement and Glass Split'!$A27,IF('Exiobase A Matrix'!$D$3:$GU$3='Cement and Glass Split'!O$2,'Exiobase A Matrix'!$D$4:$GU$203)))</f>
        <v>6.3238489951799558E-3</v>
      </c>
      <c r="P27">
        <f t="array" ref="P27">SUMPRODUCT(IF('Exiobase A Matrix'!$C$4:$C$203='Cement and Glass Split'!$A27,IF('Exiobase A Matrix'!$D$3:$GU$3='Cement and Glass Split'!P$2,'Exiobase A Matrix'!$D$4:$GU$203)))</f>
        <v>3.1165180166559059E-2</v>
      </c>
      <c r="Q27">
        <f t="array" ref="Q27">SUMPRODUCT(IF('Exiobase A Matrix'!$C$4:$C$203='Cement and Glass Split'!$A27,IF('Exiobase A Matrix'!$D$3:$GU$3='Cement and Glass Split'!Q$2,'Exiobase A Matrix'!$D$4:$GU$203)))</f>
        <v>1.2095062544595886E-2</v>
      </c>
      <c r="R27">
        <f t="array" ref="R27">SUMPRODUCT(IF('Exiobase A Matrix'!$C$4:$C$203='Cement and Glass Split'!$A27,IF('Exiobase A Matrix'!$D$3:$GU$3='Cement and Glass Split'!R$2,'Exiobase A Matrix'!$D$4:$GU$203)))</f>
        <v>0.18585132789464645</v>
      </c>
      <c r="S27">
        <f t="array" ref="S27">SUMPRODUCT(IF('Exiobase A Matrix'!$C$4:$C$203='Cement and Glass Split'!$A27,IF('Exiobase A Matrix'!$D$3:$GU$3='Cement and Glass Split'!S$2,'Exiobase A Matrix'!$D$4:$GU$203)))</f>
        <v>7.4483159673305781E-3</v>
      </c>
      <c r="T27">
        <f t="array" ref="T27">SUMPRODUCT(IF('Exiobase A Matrix'!$C$4:$C$203='Cement and Glass Split'!$A27,IF('Exiobase A Matrix'!$D$3:$GU$3='Cement and Glass Split'!T$2,'Exiobase A Matrix'!$D$4:$GU$203)))</f>
        <v>1.5070501858230863E-2</v>
      </c>
      <c r="U27">
        <f t="array" ref="U27">SUMPRODUCT(IF('Exiobase A Matrix'!$C$4:$C$203='Cement and Glass Split'!$A27,IF('Exiobase A Matrix'!$D$3:$GU$3='Cement and Glass Split'!U$2,'Exiobase A Matrix'!$D$4:$GU$203)))</f>
        <v>2.6604415374000198E-3</v>
      </c>
      <c r="V27">
        <f t="array" ref="V27">SUMPRODUCT(IF('Exiobase A Matrix'!$C$4:$C$203='Cement and Glass Split'!$A27,IF('Exiobase A Matrix'!$D$3:$GU$3='Cement and Glass Split'!V$2,'Exiobase A Matrix'!$D$4:$GU$203)))</f>
        <v>3.2914361953044133E-3</v>
      </c>
      <c r="W27">
        <f t="array" ref="W27">SUMPRODUCT(IF('Exiobase A Matrix'!$C$4:$C$203='Cement and Glass Split'!$A27,IF('Exiobase A Matrix'!$D$3:$GU$3='Cement and Glass Split'!W$2,'Exiobase A Matrix'!$D$4:$GU$203)))</f>
        <v>2.7342623472838236E-3</v>
      </c>
      <c r="X27">
        <f t="array" ref="X27">SUMPRODUCT(IF('Exiobase A Matrix'!$C$4:$C$203='Cement and Glass Split'!$A27,IF('Exiobase A Matrix'!$D$3:$GU$3='Cement and Glass Split'!X$2,'Exiobase A Matrix'!$D$4:$GU$203)))</f>
        <v>2.3418217227714022E-3</v>
      </c>
      <c r="Y27">
        <f t="array" ref="Y27">SUMPRODUCT(IF('Exiobase A Matrix'!$C$4:$C$203='Cement and Glass Split'!$A27,IF('Exiobase A Matrix'!$D$3:$GU$3='Cement and Glass Split'!Y$2,'Exiobase A Matrix'!$D$4:$GU$203)))</f>
        <v>3.193402688328309E-3</v>
      </c>
      <c r="Z27">
        <f t="array" ref="Z27">SUMPRODUCT(IF('Exiobase A Matrix'!$C$4:$C$203='Cement and Glass Split'!$A27,IF('Exiobase A Matrix'!$D$3:$GU$3='Cement and Glass Split'!Z$2,'Exiobase A Matrix'!$D$4:$GU$203)))</f>
        <v>1.2399874083686365E-2</v>
      </c>
      <c r="AA27">
        <f t="array" ref="AA27">SUMPRODUCT(IF('Exiobase A Matrix'!$C$4:$C$203='Cement and Glass Split'!$A27,IF('Exiobase A Matrix'!$D$3:$GU$3='Cement and Glass Split'!AA$2,'Exiobase A Matrix'!$D$4:$GU$203)))</f>
        <v>0</v>
      </c>
      <c r="AB27">
        <f t="array" ref="AB27">SUMPRODUCT(IF('Exiobase A Matrix'!$C$4:$C$203='Cement and Glass Split'!$A27,IF('Exiobase A Matrix'!$D$3:$GU$3='Cement and Glass Split'!AB$2,'Exiobase A Matrix'!$D$4:$GU$203)))</f>
        <v>0.32824983422506893</v>
      </c>
      <c r="AC27">
        <f t="array" ref="AC27">SUMPRODUCT(IF('Exiobase A Matrix'!$C$4:$C$203='Cement and Glass Split'!$A27,IF('Exiobase A Matrix'!$D$3:$GU$3='Cement and Glass Split'!AC$2,'Exiobase A Matrix'!$D$4:$GU$203)))</f>
        <v>1.7160253799912272E-3</v>
      </c>
      <c r="AD27">
        <f t="array" ref="AD27">SUMPRODUCT(IF('Exiobase A Matrix'!$C$4:$C$203='Cement and Glass Split'!$A27,IF('Exiobase A Matrix'!$D$3:$GU$3='Cement and Glass Split'!AD$2,'Exiobase A Matrix'!$D$4:$GU$203)))</f>
        <v>1.8040898843728883E-7</v>
      </c>
      <c r="AE27">
        <f t="array" ref="AE27">SUMPRODUCT(IF('Exiobase A Matrix'!$C$4:$C$203='Cement and Glass Split'!$A27,IF('Exiobase A Matrix'!$D$3:$GU$3='Cement and Glass Split'!AE$2,'Exiobase A Matrix'!$D$4:$GU$203)))</f>
        <v>2.7134406786310131E-3</v>
      </c>
      <c r="AF27">
        <f t="array" ref="AF27">SUMPRODUCT(IF('Exiobase A Matrix'!$C$4:$C$203='Cement and Glass Split'!$A27,IF('Exiobase A Matrix'!$D$3:$GU$3='Cement and Glass Split'!AF$2,'Exiobase A Matrix'!$D$4:$GU$203)))</f>
        <v>4.7248730251720668E-3</v>
      </c>
      <c r="AG27">
        <f t="array" ref="AG27">SUMPRODUCT(IF('Exiobase A Matrix'!$C$4:$C$203='Cement and Glass Split'!$A27,IF('Exiobase A Matrix'!$D$3:$GU$3='Cement and Glass Split'!AG$2,'Exiobase A Matrix'!$D$4:$GU$203)))</f>
        <v>0</v>
      </c>
      <c r="AH27">
        <f t="array" ref="AH27">SUMPRODUCT(IF('Exiobase A Matrix'!$C$4:$C$203='Cement and Glass Split'!$A27,IF('Exiobase A Matrix'!$D$3:$GU$3='Cement and Glass Split'!AH$2,'Exiobase A Matrix'!$D$4:$GU$203)))</f>
        <v>1.6571375541457119E-9</v>
      </c>
      <c r="AI27">
        <f t="array" ref="AI27">SUMPRODUCT(IF('Exiobase A Matrix'!$C$4:$C$203='Cement and Glass Split'!$A27,IF('Exiobase A Matrix'!$D$3:$GU$3='Cement and Glass Split'!AI$2,'Exiobase A Matrix'!$D$4:$GU$203)))</f>
        <v>9.0721638267873849E-4</v>
      </c>
      <c r="AJ27">
        <f t="array" ref="AJ27">SUMPRODUCT(IF('Exiobase A Matrix'!$C$4:$C$203='Cement and Glass Split'!$A27,IF('Exiobase A Matrix'!$D$3:$GU$3='Cement and Glass Split'!AJ$2,'Exiobase A Matrix'!$D$4:$GU$203)))</f>
        <v>7.9118210340128597E-3</v>
      </c>
      <c r="AK27">
        <f t="array" ref="AK27">SUMPRODUCT(IF('Exiobase A Matrix'!$C$4:$C$203='Cement and Glass Split'!$A27,IF('Exiobase A Matrix'!$D$3:$GU$3='Cement and Glass Split'!AK$2,'Exiobase A Matrix'!$D$4:$GU$203)))</f>
        <v>1.1023221956327035E-2</v>
      </c>
      <c r="AL27">
        <f t="array" ref="AL27">SUMPRODUCT(IF('Exiobase A Matrix'!$C$4:$C$203='Cement and Glass Split'!$A27,IF('Exiobase A Matrix'!$D$3:$GU$3='Cement and Glass Split'!AL$2,'Exiobase A Matrix'!$D$4:$GU$203)))</f>
        <v>1.8997070906711891E-2</v>
      </c>
      <c r="AM27">
        <f t="array" ref="AM27">SUMPRODUCT(IF('Exiobase A Matrix'!$C$4:$C$203='Cement and Glass Split'!$A27,IF('Exiobase A Matrix'!$D$3:$GU$3='Cement and Glass Split'!AM$2,'Exiobase A Matrix'!$D$4:$GU$203)))</f>
        <v>8.1927356851188987E-3</v>
      </c>
      <c r="AN27">
        <f t="array" ref="AN27">SUMPRODUCT(IF('Exiobase A Matrix'!$C$4:$C$203='Cement and Glass Split'!$A27,IF('Exiobase A Matrix'!$D$3:$GU$3='Cement and Glass Split'!AN$2,'Exiobase A Matrix'!$D$4:$GU$203)))</f>
        <v>2.2940722424079629E-2</v>
      </c>
      <c r="AO27">
        <f t="array" ref="AO27">SUMPRODUCT(IF('Exiobase A Matrix'!$C$4:$C$203='Cement and Glass Split'!$A27,IF('Exiobase A Matrix'!$D$3:$GU$3='Cement and Glass Split'!AO$2,'Exiobase A Matrix'!$D$4:$GU$203)))</f>
        <v>1.3953027584818249E-2</v>
      </c>
      <c r="AP27">
        <f t="array" ref="AP27">SUMPRODUCT(IF('Exiobase A Matrix'!$C$4:$C$203='Cement and Glass Split'!$A27,IF('Exiobase A Matrix'!$D$3:$GU$3='Cement and Glass Split'!AP$2,'Exiobase A Matrix'!$D$4:$GU$203)))</f>
        <v>2.1243320441138323E-2</v>
      </c>
      <c r="AQ27">
        <f t="array" ref="AQ27">SUMPRODUCT(IF('Exiobase A Matrix'!$C$4:$C$203='Cement and Glass Split'!$A27,IF('Exiobase A Matrix'!$D$3:$GU$3='Cement and Glass Split'!AQ$2,'Exiobase A Matrix'!$D$4:$GU$203)))</f>
        <v>5.2818889295636814E-2</v>
      </c>
    </row>
    <row r="28" spans="1:43">
      <c r="A28" t="s">
        <v>137</v>
      </c>
      <c r="B28">
        <f t="array" ref="B28">SUMPRODUCT(IF('Exiobase A Matrix'!$C$4:$C$203='Cement and Glass Split'!$A28,IF('Exiobase A Matrix'!$D$3:$GU$3='Cement and Glass Split'!B$2,'Exiobase A Matrix'!$D$4:$GU$203)))</f>
        <v>1.9652995753354735E-4</v>
      </c>
      <c r="C28">
        <f t="array" ref="C28">SUMPRODUCT(IF('Exiobase A Matrix'!$C$4:$C$203='Cement and Glass Split'!$A28,IF('Exiobase A Matrix'!$D$3:$GU$3='Cement and Glass Split'!C$2,'Exiobase A Matrix'!$D$4:$GU$203)))</f>
        <v>3.7334853719649781E-4</v>
      </c>
      <c r="D28">
        <f t="array" ref="D28">SUMPRODUCT(IF('Exiobase A Matrix'!$C$4:$C$203='Cement and Glass Split'!$A28,IF('Exiobase A Matrix'!$D$3:$GU$3='Cement and Glass Split'!D$2,'Exiobase A Matrix'!$D$4:$GU$203)))</f>
        <v>8.0904979475301877E-6</v>
      </c>
      <c r="E28">
        <f t="array" ref="E28">SUMPRODUCT(IF('Exiobase A Matrix'!$C$4:$C$203='Cement and Glass Split'!$A28,IF('Exiobase A Matrix'!$D$3:$GU$3='Cement and Glass Split'!E$2,'Exiobase A Matrix'!$D$4:$GU$203)))</f>
        <v>1.3792685312602149E-5</v>
      </c>
      <c r="F28">
        <f t="array" ref="F28">SUMPRODUCT(IF('Exiobase A Matrix'!$C$4:$C$203='Cement and Glass Split'!$A28,IF('Exiobase A Matrix'!$D$3:$GU$3='Cement and Glass Split'!F$2,'Exiobase A Matrix'!$D$4:$GU$203)))</f>
        <v>0</v>
      </c>
      <c r="G28">
        <f t="array" ref="G28">SUMPRODUCT(IF('Exiobase A Matrix'!$C$4:$C$203='Cement and Glass Split'!$A28,IF('Exiobase A Matrix'!$D$3:$GU$3='Cement and Glass Split'!G$2,'Exiobase A Matrix'!$D$4:$GU$203)))</f>
        <v>7.365617497345588E-3</v>
      </c>
      <c r="H28">
        <f t="array" ref="H28">SUMPRODUCT(IF('Exiobase A Matrix'!$C$4:$C$203='Cement and Glass Split'!$A28,IF('Exiobase A Matrix'!$D$3:$GU$3='Cement and Glass Split'!H$2,'Exiobase A Matrix'!$D$4:$GU$203)))</f>
        <v>8.8786414264875753E-4</v>
      </c>
      <c r="I28">
        <f t="array" ref="I28">SUMPRODUCT(IF('Exiobase A Matrix'!$C$4:$C$203='Cement and Glass Split'!$A28,IF('Exiobase A Matrix'!$D$3:$GU$3='Cement and Glass Split'!I$2,'Exiobase A Matrix'!$D$4:$GU$203)))</f>
        <v>2.1084413502534094E-4</v>
      </c>
      <c r="J28">
        <f t="array" ref="J28">SUMPRODUCT(IF('Exiobase A Matrix'!$C$4:$C$203='Cement and Glass Split'!$A28,IF('Exiobase A Matrix'!$D$3:$GU$3='Cement and Glass Split'!J$2,'Exiobase A Matrix'!$D$4:$GU$203)))</f>
        <v>4.8334319838416365E-4</v>
      </c>
      <c r="K28">
        <f t="array" ref="K28">SUMPRODUCT(IF('Exiobase A Matrix'!$C$4:$C$203='Cement and Glass Split'!$A28,IF('Exiobase A Matrix'!$D$3:$GU$3='Cement and Glass Split'!K$2,'Exiobase A Matrix'!$D$4:$GU$203)))</f>
        <v>8.2958812602962048E-2</v>
      </c>
      <c r="L28">
        <f t="array" ref="L28">SUMPRODUCT(IF('Exiobase A Matrix'!$C$4:$C$203='Cement and Glass Split'!$A28,IF('Exiobase A Matrix'!$D$3:$GU$3='Cement and Glass Split'!L$2,'Exiobase A Matrix'!$D$4:$GU$203)))</f>
        <v>2.2674096482809859E-4</v>
      </c>
      <c r="M28">
        <f t="array" ref="M28">SUMPRODUCT(IF('Exiobase A Matrix'!$C$4:$C$203='Cement and Glass Split'!$A28,IF('Exiobase A Matrix'!$D$3:$GU$3='Cement and Glass Split'!M$2,'Exiobase A Matrix'!$D$4:$GU$203)))</f>
        <v>0</v>
      </c>
      <c r="N28">
        <f t="array" ref="N28">SUMPRODUCT(IF('Exiobase A Matrix'!$C$4:$C$203='Cement and Glass Split'!$A28,IF('Exiobase A Matrix'!$D$3:$GU$3='Cement and Glass Split'!N$2,'Exiobase A Matrix'!$D$4:$GU$203)))</f>
        <v>1.1297942770623964E-3</v>
      </c>
      <c r="O28">
        <f t="array" ref="O28">SUMPRODUCT(IF('Exiobase A Matrix'!$C$4:$C$203='Cement and Glass Split'!$A28,IF('Exiobase A Matrix'!$D$3:$GU$3='Cement and Glass Split'!O$2,'Exiobase A Matrix'!$D$4:$GU$203)))</f>
        <v>3.6208341033731996E-3</v>
      </c>
      <c r="P28">
        <f t="array" ref="P28">SUMPRODUCT(IF('Exiobase A Matrix'!$C$4:$C$203='Cement and Glass Split'!$A28,IF('Exiobase A Matrix'!$D$3:$GU$3='Cement and Glass Split'!P$2,'Exiobase A Matrix'!$D$4:$GU$203)))</f>
        <v>2.5150759243739779E-6</v>
      </c>
      <c r="Q28">
        <f t="array" ref="Q28">SUMPRODUCT(IF('Exiobase A Matrix'!$C$4:$C$203='Cement and Glass Split'!$A28,IF('Exiobase A Matrix'!$D$3:$GU$3='Cement and Glass Split'!Q$2,'Exiobase A Matrix'!$D$4:$GU$203)))</f>
        <v>3.8682881198349225E-3</v>
      </c>
      <c r="R28">
        <f t="array" ref="R28">SUMPRODUCT(IF('Exiobase A Matrix'!$C$4:$C$203='Cement and Glass Split'!$A28,IF('Exiobase A Matrix'!$D$3:$GU$3='Cement and Glass Split'!R$2,'Exiobase A Matrix'!$D$4:$GU$203)))</f>
        <v>2.4720329721811728E-2</v>
      </c>
      <c r="S28">
        <f t="array" ref="S28">SUMPRODUCT(IF('Exiobase A Matrix'!$C$4:$C$203='Cement and Glass Split'!$A28,IF('Exiobase A Matrix'!$D$3:$GU$3='Cement and Glass Split'!S$2,'Exiobase A Matrix'!$D$4:$GU$203)))</f>
        <v>1.5416906611145733E-3</v>
      </c>
      <c r="T28">
        <f t="array" ref="T28">SUMPRODUCT(IF('Exiobase A Matrix'!$C$4:$C$203='Cement and Glass Split'!$A28,IF('Exiobase A Matrix'!$D$3:$GU$3='Cement and Glass Split'!T$2,'Exiobase A Matrix'!$D$4:$GU$203)))</f>
        <v>1.7653344044374344E-3</v>
      </c>
      <c r="U28">
        <f t="array" ref="U28">SUMPRODUCT(IF('Exiobase A Matrix'!$C$4:$C$203='Cement and Glass Split'!$A28,IF('Exiobase A Matrix'!$D$3:$GU$3='Cement and Glass Split'!U$2,'Exiobase A Matrix'!$D$4:$GU$203)))</f>
        <v>1.4147319830903188E-3</v>
      </c>
      <c r="V28">
        <f t="array" ref="V28">SUMPRODUCT(IF('Exiobase A Matrix'!$C$4:$C$203='Cement and Glass Split'!$A28,IF('Exiobase A Matrix'!$D$3:$GU$3='Cement and Glass Split'!V$2,'Exiobase A Matrix'!$D$4:$GU$203)))</f>
        <v>5.0853396523559916E-4</v>
      </c>
      <c r="W28">
        <f t="array" ref="W28">SUMPRODUCT(IF('Exiobase A Matrix'!$C$4:$C$203='Cement and Glass Split'!$A28,IF('Exiobase A Matrix'!$D$3:$GU$3='Cement and Glass Split'!W$2,'Exiobase A Matrix'!$D$4:$GU$203)))</f>
        <v>4.4061764975839696E-5</v>
      </c>
      <c r="X28">
        <f t="array" ref="X28">SUMPRODUCT(IF('Exiobase A Matrix'!$C$4:$C$203='Cement and Glass Split'!$A28,IF('Exiobase A Matrix'!$D$3:$GU$3='Cement and Glass Split'!X$2,'Exiobase A Matrix'!$D$4:$GU$203)))</f>
        <v>3.1255331553107847E-9</v>
      </c>
      <c r="Y28">
        <f t="array" ref="Y28">SUMPRODUCT(IF('Exiobase A Matrix'!$C$4:$C$203='Cement and Glass Split'!$A28,IF('Exiobase A Matrix'!$D$3:$GU$3='Cement and Glass Split'!Y$2,'Exiobase A Matrix'!$D$4:$GU$203)))</f>
        <v>7.286270649625769E-5</v>
      </c>
      <c r="Z28">
        <f t="array" ref="Z28">SUMPRODUCT(IF('Exiobase A Matrix'!$C$4:$C$203='Cement and Glass Split'!$A28,IF('Exiobase A Matrix'!$D$3:$GU$3='Cement and Glass Split'!Z$2,'Exiobase A Matrix'!$D$4:$GU$203)))</f>
        <v>0.95735858043429023</v>
      </c>
      <c r="AA28">
        <f t="array" ref="AA28">SUMPRODUCT(IF('Exiobase A Matrix'!$C$4:$C$203='Cement and Glass Split'!$A28,IF('Exiobase A Matrix'!$D$3:$GU$3='Cement and Glass Split'!AA$2,'Exiobase A Matrix'!$D$4:$GU$203)))</f>
        <v>0.26078387282370807</v>
      </c>
      <c r="AB28">
        <f t="array" ref="AB28">SUMPRODUCT(IF('Exiobase A Matrix'!$C$4:$C$203='Cement and Glass Split'!$A28,IF('Exiobase A Matrix'!$D$3:$GU$3='Cement and Glass Split'!AB$2,'Exiobase A Matrix'!$D$4:$GU$203)))</f>
        <v>1.7527742290643866E-2</v>
      </c>
      <c r="AC28">
        <f t="array" ref="AC28">SUMPRODUCT(IF('Exiobase A Matrix'!$C$4:$C$203='Cement and Glass Split'!$A28,IF('Exiobase A Matrix'!$D$3:$GU$3='Cement and Glass Split'!AC$2,'Exiobase A Matrix'!$D$4:$GU$203)))</f>
        <v>1.2486305476471337E-4</v>
      </c>
      <c r="AD28">
        <f t="array" ref="AD28">SUMPRODUCT(IF('Exiobase A Matrix'!$C$4:$C$203='Cement and Glass Split'!$A28,IF('Exiobase A Matrix'!$D$3:$GU$3='Cement and Glass Split'!AD$2,'Exiobase A Matrix'!$D$4:$GU$203)))</f>
        <v>3.0966809819633275E-8</v>
      </c>
      <c r="AE28">
        <f t="array" ref="AE28">SUMPRODUCT(IF('Exiobase A Matrix'!$C$4:$C$203='Cement and Glass Split'!$A28,IF('Exiobase A Matrix'!$D$3:$GU$3='Cement and Glass Split'!AE$2,'Exiobase A Matrix'!$D$4:$GU$203)))</f>
        <v>3.2767442334905627E-6</v>
      </c>
      <c r="AF28">
        <f t="array" ref="AF28">SUMPRODUCT(IF('Exiobase A Matrix'!$C$4:$C$203='Cement and Glass Split'!$A28,IF('Exiobase A Matrix'!$D$3:$GU$3='Cement and Glass Split'!AF$2,'Exiobase A Matrix'!$D$4:$GU$203)))</f>
        <v>2.8729955106628331E-5</v>
      </c>
      <c r="AG28">
        <f t="array" ref="AG28">SUMPRODUCT(IF('Exiobase A Matrix'!$C$4:$C$203='Cement and Glass Split'!$A28,IF('Exiobase A Matrix'!$D$3:$GU$3='Cement and Glass Split'!AG$2,'Exiobase A Matrix'!$D$4:$GU$203)))</f>
        <v>0</v>
      </c>
      <c r="AH28">
        <f t="array" ref="AH28">SUMPRODUCT(IF('Exiobase A Matrix'!$C$4:$C$203='Cement and Glass Split'!$A28,IF('Exiobase A Matrix'!$D$3:$GU$3='Cement and Glass Split'!AH$2,'Exiobase A Matrix'!$D$4:$GU$203)))</f>
        <v>2.6176394750895794E-10</v>
      </c>
      <c r="AI28">
        <f t="array" ref="AI28">SUMPRODUCT(IF('Exiobase A Matrix'!$C$4:$C$203='Cement and Glass Split'!$A28,IF('Exiobase A Matrix'!$D$3:$GU$3='Cement and Glass Split'!AI$2,'Exiobase A Matrix'!$D$4:$GU$203)))</f>
        <v>1.2336315399537893E-7</v>
      </c>
      <c r="AJ28">
        <f t="array" ref="AJ28">SUMPRODUCT(IF('Exiobase A Matrix'!$C$4:$C$203='Cement and Glass Split'!$A28,IF('Exiobase A Matrix'!$D$3:$GU$3='Cement and Glass Split'!AJ$2,'Exiobase A Matrix'!$D$4:$GU$203)))</f>
        <v>6.585567602236562E-6</v>
      </c>
      <c r="AK28">
        <f t="array" ref="AK28">SUMPRODUCT(IF('Exiobase A Matrix'!$C$4:$C$203='Cement and Glass Split'!$A28,IF('Exiobase A Matrix'!$D$3:$GU$3='Cement and Glass Split'!AK$2,'Exiobase A Matrix'!$D$4:$GU$203)))</f>
        <v>3.2927000457176054E-6</v>
      </c>
      <c r="AL28">
        <f t="array" ref="AL28">SUMPRODUCT(IF('Exiobase A Matrix'!$C$4:$C$203='Cement and Glass Split'!$A28,IF('Exiobase A Matrix'!$D$3:$GU$3='Cement and Glass Split'!AL$2,'Exiobase A Matrix'!$D$4:$GU$203)))</f>
        <v>1.4105823473348333E-3</v>
      </c>
      <c r="AM28">
        <f t="array" ref="AM28">SUMPRODUCT(IF('Exiobase A Matrix'!$C$4:$C$203='Cement and Glass Split'!$A28,IF('Exiobase A Matrix'!$D$3:$GU$3='Cement and Glass Split'!AM$2,'Exiobase A Matrix'!$D$4:$GU$203)))</f>
        <v>8.1577924067465315E-4</v>
      </c>
      <c r="AN28">
        <f t="array" ref="AN28">SUMPRODUCT(IF('Exiobase A Matrix'!$C$4:$C$203='Cement and Glass Split'!$A28,IF('Exiobase A Matrix'!$D$3:$GU$3='Cement and Glass Split'!AN$2,'Exiobase A Matrix'!$D$4:$GU$203)))</f>
        <v>2.6925246418775476E-3</v>
      </c>
      <c r="AO28">
        <f t="array" ref="AO28">SUMPRODUCT(IF('Exiobase A Matrix'!$C$4:$C$203='Cement and Glass Split'!$A28,IF('Exiobase A Matrix'!$D$3:$GU$3='Cement and Glass Split'!AO$2,'Exiobase A Matrix'!$D$4:$GU$203)))</f>
        <v>5.6250992707956617E-3</v>
      </c>
      <c r="AP28">
        <f t="array" ref="AP28">SUMPRODUCT(IF('Exiobase A Matrix'!$C$4:$C$203='Cement and Glass Split'!$A28,IF('Exiobase A Matrix'!$D$3:$GU$3='Cement and Glass Split'!AP$2,'Exiobase A Matrix'!$D$4:$GU$203)))</f>
        <v>3.2201982058181469E-3</v>
      </c>
      <c r="AQ28">
        <f t="array" ref="AQ28">SUMPRODUCT(IF('Exiobase A Matrix'!$C$4:$C$203='Cement and Glass Split'!$A28,IF('Exiobase A Matrix'!$D$3:$GU$3='Cement and Glass Split'!AQ$2,'Exiobase A Matrix'!$D$4:$GU$203)))</f>
        <v>1.8542548163308363E-7</v>
      </c>
    </row>
    <row r="29" spans="1:43">
      <c r="A29" t="s">
        <v>138</v>
      </c>
      <c r="B29">
        <f t="array" ref="B29">SUMPRODUCT(IF('Exiobase A Matrix'!$C$4:$C$203='Cement and Glass Split'!$A29,IF('Exiobase A Matrix'!$D$3:$GU$3='Cement and Glass Split'!B$2,'Exiobase A Matrix'!$D$4:$GU$203)))</f>
        <v>1.0598737719597512E-2</v>
      </c>
      <c r="C29">
        <f t="array" ref="C29">SUMPRODUCT(IF('Exiobase A Matrix'!$C$4:$C$203='Cement and Glass Split'!$A29,IF('Exiobase A Matrix'!$D$3:$GU$3='Cement and Glass Split'!C$2,'Exiobase A Matrix'!$D$4:$GU$203)))</f>
        <v>1.9212867569836956E-4</v>
      </c>
      <c r="D29">
        <f t="array" ref="D29">SUMPRODUCT(IF('Exiobase A Matrix'!$C$4:$C$203='Cement and Glass Split'!$A29,IF('Exiobase A Matrix'!$D$3:$GU$3='Cement and Glass Split'!D$2,'Exiobase A Matrix'!$D$4:$GU$203)))</f>
        <v>3.7003636427917719E-6</v>
      </c>
      <c r="E29">
        <f t="array" ref="E29">SUMPRODUCT(IF('Exiobase A Matrix'!$C$4:$C$203='Cement and Glass Split'!$A29,IF('Exiobase A Matrix'!$D$3:$GU$3='Cement and Glass Split'!E$2,'Exiobase A Matrix'!$D$4:$GU$203)))</f>
        <v>3.9825096221981186E-4</v>
      </c>
      <c r="F29">
        <f t="array" ref="F29">SUMPRODUCT(IF('Exiobase A Matrix'!$C$4:$C$203='Cement and Glass Split'!$A29,IF('Exiobase A Matrix'!$D$3:$GU$3='Cement and Glass Split'!F$2,'Exiobase A Matrix'!$D$4:$GU$203)))</f>
        <v>0</v>
      </c>
      <c r="G29">
        <f t="array" ref="G29">SUMPRODUCT(IF('Exiobase A Matrix'!$C$4:$C$203='Cement and Glass Split'!$A29,IF('Exiobase A Matrix'!$D$3:$GU$3='Cement and Glass Split'!G$2,'Exiobase A Matrix'!$D$4:$GU$203)))</f>
        <v>1.3187119849201515E-2</v>
      </c>
      <c r="H29">
        <f t="array" ref="H29">SUMPRODUCT(IF('Exiobase A Matrix'!$C$4:$C$203='Cement and Glass Split'!$A29,IF('Exiobase A Matrix'!$D$3:$GU$3='Cement and Glass Split'!H$2,'Exiobase A Matrix'!$D$4:$GU$203)))</f>
        <v>6.7641709287791516E-3</v>
      </c>
      <c r="I29">
        <f t="array" ref="I29">SUMPRODUCT(IF('Exiobase A Matrix'!$C$4:$C$203='Cement and Glass Split'!$A29,IF('Exiobase A Matrix'!$D$3:$GU$3='Cement and Glass Split'!I$2,'Exiobase A Matrix'!$D$4:$GU$203)))</f>
        <v>3.8287689328311917E-4</v>
      </c>
      <c r="J29">
        <f t="array" ref="J29">SUMPRODUCT(IF('Exiobase A Matrix'!$C$4:$C$203='Cement and Glass Split'!$A29,IF('Exiobase A Matrix'!$D$3:$GU$3='Cement and Glass Split'!J$2,'Exiobase A Matrix'!$D$4:$GU$203)))</f>
        <v>0.28950204746629804</v>
      </c>
      <c r="K29">
        <f t="array" ref="K29">SUMPRODUCT(IF('Exiobase A Matrix'!$C$4:$C$203='Cement and Glass Split'!$A29,IF('Exiobase A Matrix'!$D$3:$GU$3='Cement and Glass Split'!K$2,'Exiobase A Matrix'!$D$4:$GU$203)))</f>
        <v>4.1848631594851166E-2</v>
      </c>
      <c r="L29">
        <f t="array" ref="L29">SUMPRODUCT(IF('Exiobase A Matrix'!$C$4:$C$203='Cement and Glass Split'!$A29,IF('Exiobase A Matrix'!$D$3:$GU$3='Cement and Glass Split'!L$2,'Exiobase A Matrix'!$D$4:$GU$203)))</f>
        <v>3.4486433338359608E-2</v>
      </c>
      <c r="M29">
        <f t="array" ref="M29">SUMPRODUCT(IF('Exiobase A Matrix'!$C$4:$C$203='Cement and Glass Split'!$A29,IF('Exiobase A Matrix'!$D$3:$GU$3='Cement and Glass Split'!M$2,'Exiobase A Matrix'!$D$4:$GU$203)))</f>
        <v>0</v>
      </c>
      <c r="N29">
        <f t="array" ref="N29">SUMPRODUCT(IF('Exiobase A Matrix'!$C$4:$C$203='Cement and Glass Split'!$A29,IF('Exiobase A Matrix'!$D$3:$GU$3='Cement and Glass Split'!N$2,'Exiobase A Matrix'!$D$4:$GU$203)))</f>
        <v>1.8379965869373613E-2</v>
      </c>
      <c r="O29">
        <f t="array" ref="O29">SUMPRODUCT(IF('Exiobase A Matrix'!$C$4:$C$203='Cement and Glass Split'!$A29,IF('Exiobase A Matrix'!$D$3:$GU$3='Cement and Glass Split'!O$2,'Exiobase A Matrix'!$D$4:$GU$203)))</f>
        <v>9.9393901829353884E-2</v>
      </c>
      <c r="P29">
        <f t="array" ref="P29">SUMPRODUCT(IF('Exiobase A Matrix'!$C$4:$C$203='Cement and Glass Split'!$A29,IF('Exiobase A Matrix'!$D$3:$GU$3='Cement and Glass Split'!P$2,'Exiobase A Matrix'!$D$4:$GU$203)))</f>
        <v>7.4046534666651705E-4</v>
      </c>
      <c r="Q29">
        <f t="array" ref="Q29">SUMPRODUCT(IF('Exiobase A Matrix'!$C$4:$C$203='Cement and Glass Split'!$A29,IF('Exiobase A Matrix'!$D$3:$GU$3='Cement and Glass Split'!Q$2,'Exiobase A Matrix'!$D$4:$GU$203)))</f>
        <v>5.9075265074637834E-3</v>
      </c>
      <c r="R29">
        <f t="array" ref="R29">SUMPRODUCT(IF('Exiobase A Matrix'!$C$4:$C$203='Cement and Glass Split'!$A29,IF('Exiobase A Matrix'!$D$3:$GU$3='Cement and Glass Split'!R$2,'Exiobase A Matrix'!$D$4:$GU$203)))</f>
        <v>9.4749946737258492E-2</v>
      </c>
      <c r="S29">
        <f t="array" ref="S29">SUMPRODUCT(IF('Exiobase A Matrix'!$C$4:$C$203='Cement and Glass Split'!$A29,IF('Exiobase A Matrix'!$D$3:$GU$3='Cement and Glass Split'!S$2,'Exiobase A Matrix'!$D$4:$GU$203)))</f>
        <v>1.9767513179803639E-3</v>
      </c>
      <c r="T29">
        <f t="array" ref="T29">SUMPRODUCT(IF('Exiobase A Matrix'!$C$4:$C$203='Cement and Glass Split'!$A29,IF('Exiobase A Matrix'!$D$3:$GU$3='Cement and Glass Split'!T$2,'Exiobase A Matrix'!$D$4:$GU$203)))</f>
        <v>2.539451984038594E-3</v>
      </c>
      <c r="U29">
        <f t="array" ref="U29">SUMPRODUCT(IF('Exiobase A Matrix'!$C$4:$C$203='Cement and Glass Split'!$A29,IF('Exiobase A Matrix'!$D$3:$GU$3='Cement and Glass Split'!U$2,'Exiobase A Matrix'!$D$4:$GU$203)))</f>
        <v>1.0345963085471165E-3</v>
      </c>
      <c r="V29">
        <f t="array" ref="V29">SUMPRODUCT(IF('Exiobase A Matrix'!$C$4:$C$203='Cement and Glass Split'!$A29,IF('Exiobase A Matrix'!$D$3:$GU$3='Cement and Glass Split'!V$2,'Exiobase A Matrix'!$D$4:$GU$203)))</f>
        <v>6.5566246326973822E-4</v>
      </c>
      <c r="W29">
        <f t="array" ref="W29">SUMPRODUCT(IF('Exiobase A Matrix'!$C$4:$C$203='Cement and Glass Split'!$A29,IF('Exiobase A Matrix'!$D$3:$GU$3='Cement and Glass Split'!W$2,'Exiobase A Matrix'!$D$4:$GU$203)))</f>
        <v>1.2106216340052214E-3</v>
      </c>
      <c r="X29">
        <f t="array" ref="X29">SUMPRODUCT(IF('Exiobase A Matrix'!$C$4:$C$203='Cement and Glass Split'!$A29,IF('Exiobase A Matrix'!$D$3:$GU$3='Cement and Glass Split'!X$2,'Exiobase A Matrix'!$D$4:$GU$203)))</f>
        <v>7.6779201777418381E-7</v>
      </c>
      <c r="Y29">
        <f t="array" ref="Y29">SUMPRODUCT(IF('Exiobase A Matrix'!$C$4:$C$203='Cement and Glass Split'!$A29,IF('Exiobase A Matrix'!$D$3:$GU$3='Cement and Glass Split'!Y$2,'Exiobase A Matrix'!$D$4:$GU$203)))</f>
        <v>1.0070901943292211E-3</v>
      </c>
      <c r="Z29">
        <f t="array" ref="Z29">SUMPRODUCT(IF('Exiobase A Matrix'!$C$4:$C$203='Cement and Glass Split'!$A29,IF('Exiobase A Matrix'!$D$3:$GU$3='Cement and Glass Split'!Z$2,'Exiobase A Matrix'!$D$4:$GU$203)))</f>
        <v>0.57076270984306099</v>
      </c>
      <c r="AA29">
        <f t="array" ref="AA29">SUMPRODUCT(IF('Exiobase A Matrix'!$C$4:$C$203='Cement and Glass Split'!$A29,IF('Exiobase A Matrix'!$D$3:$GU$3='Cement and Glass Split'!AA$2,'Exiobase A Matrix'!$D$4:$GU$203)))</f>
        <v>2.785386186858843E-3</v>
      </c>
      <c r="AB29">
        <f t="array" ref="AB29">SUMPRODUCT(IF('Exiobase A Matrix'!$C$4:$C$203='Cement and Glass Split'!$A29,IF('Exiobase A Matrix'!$D$3:$GU$3='Cement and Glass Split'!AB$2,'Exiobase A Matrix'!$D$4:$GU$203)))</f>
        <v>0.39074058549885271</v>
      </c>
      <c r="AC29">
        <f t="array" ref="AC29">SUMPRODUCT(IF('Exiobase A Matrix'!$C$4:$C$203='Cement and Glass Split'!$A29,IF('Exiobase A Matrix'!$D$3:$GU$3='Cement and Glass Split'!AC$2,'Exiobase A Matrix'!$D$4:$GU$203)))</f>
        <v>1.5449983030547264E-3</v>
      </c>
      <c r="AD29">
        <f t="array" ref="AD29">SUMPRODUCT(IF('Exiobase A Matrix'!$C$4:$C$203='Cement and Glass Split'!$A29,IF('Exiobase A Matrix'!$D$3:$GU$3='Cement and Glass Split'!AD$2,'Exiobase A Matrix'!$D$4:$GU$203)))</f>
        <v>1.6263561160410487E-7</v>
      </c>
      <c r="AE29">
        <f t="array" ref="AE29">SUMPRODUCT(IF('Exiobase A Matrix'!$C$4:$C$203='Cement and Glass Split'!$A29,IF('Exiobase A Matrix'!$D$3:$GU$3='Cement and Glass Split'!AE$2,'Exiobase A Matrix'!$D$4:$GU$203)))</f>
        <v>2.7707972721859852E-6</v>
      </c>
      <c r="AF29">
        <f t="array" ref="AF29">SUMPRODUCT(IF('Exiobase A Matrix'!$C$4:$C$203='Cement and Glass Split'!$A29,IF('Exiobase A Matrix'!$D$3:$GU$3='Cement and Glass Split'!AF$2,'Exiobase A Matrix'!$D$4:$GU$203)))</f>
        <v>1.8196614476532749E-3</v>
      </c>
      <c r="AG29">
        <f t="array" ref="AG29">SUMPRODUCT(IF('Exiobase A Matrix'!$C$4:$C$203='Cement and Glass Split'!$A29,IF('Exiobase A Matrix'!$D$3:$GU$3='Cement and Glass Split'!AG$2,'Exiobase A Matrix'!$D$4:$GU$203)))</f>
        <v>0</v>
      </c>
      <c r="AH29">
        <f t="array" ref="AH29">SUMPRODUCT(IF('Exiobase A Matrix'!$C$4:$C$203='Cement and Glass Split'!$A29,IF('Exiobase A Matrix'!$D$3:$GU$3='Cement and Glass Split'!AH$2,'Exiobase A Matrix'!$D$4:$GU$203)))</f>
        <v>1.3958272447108836E-9</v>
      </c>
      <c r="AI29">
        <f t="array" ref="AI29">SUMPRODUCT(IF('Exiobase A Matrix'!$C$4:$C$203='Cement and Glass Split'!$A29,IF('Exiobase A Matrix'!$D$3:$GU$3='Cement and Glass Split'!AI$2,'Exiobase A Matrix'!$D$4:$GU$203)))</f>
        <v>8.5911661734139545E-8</v>
      </c>
      <c r="AJ29">
        <f t="array" ref="AJ29">SUMPRODUCT(IF('Exiobase A Matrix'!$C$4:$C$203='Cement and Glass Split'!$A29,IF('Exiobase A Matrix'!$D$3:$GU$3='Cement and Glass Split'!AJ$2,'Exiobase A Matrix'!$D$4:$GU$203)))</f>
        <v>2.4618414744650595E-4</v>
      </c>
      <c r="AK29">
        <f t="array" ref="AK29">SUMPRODUCT(IF('Exiobase A Matrix'!$C$4:$C$203='Cement and Glass Split'!$A29,IF('Exiobase A Matrix'!$D$3:$GU$3='Cement and Glass Split'!AK$2,'Exiobase A Matrix'!$D$4:$GU$203)))</f>
        <v>3.3483911739711703E-6</v>
      </c>
      <c r="AL29">
        <f t="array" ref="AL29">SUMPRODUCT(IF('Exiobase A Matrix'!$C$4:$C$203='Cement and Glass Split'!$A29,IF('Exiobase A Matrix'!$D$3:$GU$3='Cement and Glass Split'!AL$2,'Exiobase A Matrix'!$D$4:$GU$203)))</f>
        <v>1.5919576598227578E-3</v>
      </c>
      <c r="AM29">
        <f t="array" ref="AM29">SUMPRODUCT(IF('Exiobase A Matrix'!$C$4:$C$203='Cement and Glass Split'!$A29,IF('Exiobase A Matrix'!$D$3:$GU$3='Cement and Glass Split'!AM$2,'Exiobase A Matrix'!$D$4:$GU$203)))</f>
        <v>2.5291125060939394E-3</v>
      </c>
      <c r="AN29">
        <f t="array" ref="AN29">SUMPRODUCT(IF('Exiobase A Matrix'!$C$4:$C$203='Cement and Glass Split'!$A29,IF('Exiobase A Matrix'!$D$3:$GU$3='Cement and Glass Split'!AN$2,'Exiobase A Matrix'!$D$4:$GU$203)))</f>
        <v>5.6457371587777432E-3</v>
      </c>
      <c r="AO29">
        <f t="array" ref="AO29">SUMPRODUCT(IF('Exiobase A Matrix'!$C$4:$C$203='Cement and Glass Split'!$A29,IF('Exiobase A Matrix'!$D$3:$GU$3='Cement and Glass Split'!AO$2,'Exiobase A Matrix'!$D$4:$GU$203)))</f>
        <v>1.4652025167254374E-2</v>
      </c>
      <c r="AP29">
        <f t="array" ref="AP29">SUMPRODUCT(IF('Exiobase A Matrix'!$C$4:$C$203='Cement and Glass Split'!$A29,IF('Exiobase A Matrix'!$D$3:$GU$3='Cement and Glass Split'!AP$2,'Exiobase A Matrix'!$D$4:$GU$203)))</f>
        <v>3.9498401369161282E-3</v>
      </c>
      <c r="AQ29">
        <f t="array" ref="AQ29">SUMPRODUCT(IF('Exiobase A Matrix'!$C$4:$C$203='Cement and Glass Split'!$A29,IF('Exiobase A Matrix'!$D$3:$GU$3='Cement and Glass Split'!AQ$2,'Exiobase A Matrix'!$D$4:$GU$203)))</f>
        <v>1.128208871423808E-6</v>
      </c>
    </row>
    <row r="30" spans="1:43">
      <c r="A30" t="s">
        <v>20</v>
      </c>
      <c r="B30">
        <f t="array" ref="B30">SUMPRODUCT(IF('Exiobase A Matrix'!$C$4:$C$203='Cement and Glass Split'!$A30,IF('Exiobase A Matrix'!$D$3:$GU$3='Cement and Glass Split'!B$2,'Exiobase A Matrix'!$D$4:$GU$203)))</f>
        <v>2.4821765565284743E-3</v>
      </c>
      <c r="C30">
        <f t="array" ref="C30">SUMPRODUCT(IF('Exiobase A Matrix'!$C$4:$C$203='Cement and Glass Split'!$A30,IF('Exiobase A Matrix'!$D$3:$GU$3='Cement and Glass Split'!C$2,'Exiobase A Matrix'!$D$4:$GU$203)))</f>
        <v>1.3332508188682233E-4</v>
      </c>
      <c r="D30">
        <f t="array" ref="D30">SUMPRODUCT(IF('Exiobase A Matrix'!$C$4:$C$203='Cement and Glass Split'!$A30,IF('Exiobase A Matrix'!$D$3:$GU$3='Cement and Glass Split'!D$2,'Exiobase A Matrix'!$D$4:$GU$203)))</f>
        <v>6.8770229484052303E-7</v>
      </c>
      <c r="E30">
        <f t="array" ref="E30">SUMPRODUCT(IF('Exiobase A Matrix'!$C$4:$C$203='Cement and Glass Split'!$A30,IF('Exiobase A Matrix'!$D$3:$GU$3='Cement and Glass Split'!E$2,'Exiobase A Matrix'!$D$4:$GU$203)))</f>
        <v>2.0231772267197674E-4</v>
      </c>
      <c r="F30">
        <f t="array" ref="F30">SUMPRODUCT(IF('Exiobase A Matrix'!$C$4:$C$203='Cement and Glass Split'!$A30,IF('Exiobase A Matrix'!$D$3:$GU$3='Cement and Glass Split'!F$2,'Exiobase A Matrix'!$D$4:$GU$203)))</f>
        <v>0</v>
      </c>
      <c r="G30">
        <f t="array" ref="G30">SUMPRODUCT(IF('Exiobase A Matrix'!$C$4:$C$203='Cement and Glass Split'!$A30,IF('Exiobase A Matrix'!$D$3:$GU$3='Cement and Glass Split'!G$2,'Exiobase A Matrix'!$D$4:$GU$203)))</f>
        <v>5.3994078011118608E-4</v>
      </c>
      <c r="H30">
        <f t="array" ref="H30">SUMPRODUCT(IF('Exiobase A Matrix'!$C$4:$C$203='Cement and Glass Split'!$A30,IF('Exiobase A Matrix'!$D$3:$GU$3='Cement and Glass Split'!H$2,'Exiobase A Matrix'!$D$4:$GU$203)))</f>
        <v>7.1776534798658072E-4</v>
      </c>
      <c r="I30">
        <f t="array" ref="I30">SUMPRODUCT(IF('Exiobase A Matrix'!$C$4:$C$203='Cement and Glass Split'!$A30,IF('Exiobase A Matrix'!$D$3:$GU$3='Cement and Glass Split'!I$2,'Exiobase A Matrix'!$D$4:$GU$203)))</f>
        <v>1.5074807546435368E-4</v>
      </c>
      <c r="J30">
        <f t="array" ref="J30">SUMPRODUCT(IF('Exiobase A Matrix'!$C$4:$C$203='Cement and Glass Split'!$A30,IF('Exiobase A Matrix'!$D$3:$GU$3='Cement and Glass Split'!J$2,'Exiobase A Matrix'!$D$4:$GU$203)))</f>
        <v>1.6879599222431984E-4</v>
      </c>
      <c r="K30">
        <f t="array" ref="K30">SUMPRODUCT(IF('Exiobase A Matrix'!$C$4:$C$203='Cement and Glass Split'!$A30,IF('Exiobase A Matrix'!$D$3:$GU$3='Cement and Glass Split'!K$2,'Exiobase A Matrix'!$D$4:$GU$203)))</f>
        <v>6.4787496067105401E-3</v>
      </c>
      <c r="L30">
        <f t="array" ref="L30">SUMPRODUCT(IF('Exiobase A Matrix'!$C$4:$C$203='Cement and Glass Split'!$A30,IF('Exiobase A Matrix'!$D$3:$GU$3='Cement and Glass Split'!L$2,'Exiobase A Matrix'!$D$4:$GU$203)))</f>
        <v>8.7160964689174348E-4</v>
      </c>
      <c r="M30">
        <f t="array" ref="M30">SUMPRODUCT(IF('Exiobase A Matrix'!$C$4:$C$203='Cement and Glass Split'!$A30,IF('Exiobase A Matrix'!$D$3:$GU$3='Cement and Glass Split'!M$2,'Exiobase A Matrix'!$D$4:$GU$203)))</f>
        <v>0</v>
      </c>
      <c r="N30">
        <f t="array" ref="N30">SUMPRODUCT(IF('Exiobase A Matrix'!$C$4:$C$203='Cement and Glass Split'!$A30,IF('Exiobase A Matrix'!$D$3:$GU$3='Cement and Glass Split'!N$2,'Exiobase A Matrix'!$D$4:$GU$203)))</f>
        <v>2.5234839862394874E-4</v>
      </c>
      <c r="O30">
        <f t="array" ref="O30">SUMPRODUCT(IF('Exiobase A Matrix'!$C$4:$C$203='Cement and Glass Split'!$A30,IF('Exiobase A Matrix'!$D$3:$GU$3='Cement and Glass Split'!O$2,'Exiobase A Matrix'!$D$4:$GU$203)))</f>
        <v>2.9983786856441777E-4</v>
      </c>
      <c r="P30">
        <f t="array" ref="P30">SUMPRODUCT(IF('Exiobase A Matrix'!$C$4:$C$203='Cement and Glass Split'!$A30,IF('Exiobase A Matrix'!$D$3:$GU$3='Cement and Glass Split'!P$2,'Exiobase A Matrix'!$D$4:$GU$203)))</f>
        <v>3.2618489524091225E-4</v>
      </c>
      <c r="Q30">
        <f t="array" ref="Q30">SUMPRODUCT(IF('Exiobase A Matrix'!$C$4:$C$203='Cement and Glass Split'!$A30,IF('Exiobase A Matrix'!$D$3:$GU$3='Cement and Glass Split'!Q$2,'Exiobase A Matrix'!$D$4:$GU$203)))</f>
        <v>1.1600205304964358E-4</v>
      </c>
      <c r="R30">
        <f t="array" ref="R30">SUMPRODUCT(IF('Exiobase A Matrix'!$C$4:$C$203='Cement and Glass Split'!$A30,IF('Exiobase A Matrix'!$D$3:$GU$3='Cement and Glass Split'!R$2,'Exiobase A Matrix'!$D$4:$GU$203)))</f>
        <v>3.6121805325305522E-3</v>
      </c>
      <c r="S30">
        <f t="array" ref="S30">SUMPRODUCT(IF('Exiobase A Matrix'!$C$4:$C$203='Cement and Glass Split'!$A30,IF('Exiobase A Matrix'!$D$3:$GU$3='Cement and Glass Split'!S$2,'Exiobase A Matrix'!$D$4:$GU$203)))</f>
        <v>2.057668717196343E-4</v>
      </c>
      <c r="T30">
        <f t="array" ref="T30">SUMPRODUCT(IF('Exiobase A Matrix'!$C$4:$C$203='Cement and Glass Split'!$A30,IF('Exiobase A Matrix'!$D$3:$GU$3='Cement and Glass Split'!T$2,'Exiobase A Matrix'!$D$4:$GU$203)))</f>
        <v>2.217072699446324E-4</v>
      </c>
      <c r="U30">
        <f t="array" ref="U30">SUMPRODUCT(IF('Exiobase A Matrix'!$C$4:$C$203='Cement and Glass Split'!$A30,IF('Exiobase A Matrix'!$D$3:$GU$3='Cement and Glass Split'!U$2,'Exiobase A Matrix'!$D$4:$GU$203)))</f>
        <v>2.0275031460815254E-4</v>
      </c>
      <c r="V30">
        <f t="array" ref="V30">SUMPRODUCT(IF('Exiobase A Matrix'!$C$4:$C$203='Cement and Glass Split'!$A30,IF('Exiobase A Matrix'!$D$3:$GU$3='Cement and Glass Split'!V$2,'Exiobase A Matrix'!$D$4:$GU$203)))</f>
        <v>1.8645210185105104E-4</v>
      </c>
      <c r="W30">
        <f t="array" ref="W30">SUMPRODUCT(IF('Exiobase A Matrix'!$C$4:$C$203='Cement and Glass Split'!$A30,IF('Exiobase A Matrix'!$D$3:$GU$3='Cement and Glass Split'!W$2,'Exiobase A Matrix'!$D$4:$GU$203)))</f>
        <v>2.5486294149683475E-5</v>
      </c>
      <c r="X30">
        <f t="array" ref="X30">SUMPRODUCT(IF('Exiobase A Matrix'!$C$4:$C$203='Cement and Glass Split'!$A30,IF('Exiobase A Matrix'!$D$3:$GU$3='Cement and Glass Split'!X$2,'Exiobase A Matrix'!$D$4:$GU$203)))</f>
        <v>1.1296913799285032E-5</v>
      </c>
      <c r="Y30">
        <f t="array" ref="Y30">SUMPRODUCT(IF('Exiobase A Matrix'!$C$4:$C$203='Cement and Glass Split'!$A30,IF('Exiobase A Matrix'!$D$3:$GU$3='Cement and Glass Split'!Y$2,'Exiobase A Matrix'!$D$4:$GU$203)))</f>
        <v>1.1119651093501515E-4</v>
      </c>
      <c r="Z30">
        <f t="array" ref="Z30">SUMPRODUCT(IF('Exiobase A Matrix'!$C$4:$C$203='Cement and Glass Split'!$A30,IF('Exiobase A Matrix'!$D$3:$GU$3='Cement and Glass Split'!Z$2,'Exiobase A Matrix'!$D$4:$GU$203)))</f>
        <v>5.5673003955408421E-3</v>
      </c>
      <c r="AA30">
        <f t="array" ref="AA30">SUMPRODUCT(IF('Exiobase A Matrix'!$C$4:$C$203='Cement and Glass Split'!$A30,IF('Exiobase A Matrix'!$D$3:$GU$3='Cement and Glass Split'!AA$2,'Exiobase A Matrix'!$D$4:$GU$203)))</f>
        <v>1.6437472384514089E-6</v>
      </c>
      <c r="AB30">
        <f t="array" ref="AB30">SUMPRODUCT(IF('Exiobase A Matrix'!$C$4:$C$203='Cement and Glass Split'!$A30,IF('Exiobase A Matrix'!$D$3:$GU$3='Cement and Glass Split'!AB$2,'Exiobase A Matrix'!$D$4:$GU$203)))</f>
        <v>6.2439818369064079E-3</v>
      </c>
      <c r="AC30">
        <f t="array" ref="AC30">SUMPRODUCT(IF('Exiobase A Matrix'!$C$4:$C$203='Cement and Glass Split'!$A30,IF('Exiobase A Matrix'!$D$3:$GU$3='Cement and Glass Split'!AC$2,'Exiobase A Matrix'!$D$4:$GU$203)))</f>
        <v>8.8262566474915915E-5</v>
      </c>
      <c r="AD30">
        <f t="array" ref="AD30">SUMPRODUCT(IF('Exiobase A Matrix'!$C$4:$C$203='Cement and Glass Split'!$A30,IF('Exiobase A Matrix'!$D$3:$GU$3='Cement and Glass Split'!AD$2,'Exiobase A Matrix'!$D$4:$GU$203)))</f>
        <v>1.4623986753971063E-8</v>
      </c>
      <c r="AE30">
        <f t="array" ref="AE30">SUMPRODUCT(IF('Exiobase A Matrix'!$C$4:$C$203='Cement and Glass Split'!$A30,IF('Exiobase A Matrix'!$D$3:$GU$3='Cement and Glass Split'!AE$2,'Exiobase A Matrix'!$D$4:$GU$203)))</f>
        <v>3.7955455406951434E-7</v>
      </c>
      <c r="AF30">
        <f t="array" ref="AF30">SUMPRODUCT(IF('Exiobase A Matrix'!$C$4:$C$203='Cement and Glass Split'!$A30,IF('Exiobase A Matrix'!$D$3:$GU$3='Cement and Glass Split'!AF$2,'Exiobase A Matrix'!$D$4:$GU$203)))</f>
        <v>7.2943063892173831E-4</v>
      </c>
      <c r="AG30">
        <f t="array" ref="AG30">SUMPRODUCT(IF('Exiobase A Matrix'!$C$4:$C$203='Cement and Glass Split'!$A30,IF('Exiobase A Matrix'!$D$3:$GU$3='Cement and Glass Split'!AG$2,'Exiobase A Matrix'!$D$4:$GU$203)))</f>
        <v>0</v>
      </c>
      <c r="AH30">
        <f t="array" ref="AH30">SUMPRODUCT(IF('Exiobase A Matrix'!$C$4:$C$203='Cement and Glass Split'!$A30,IF('Exiobase A Matrix'!$D$3:$GU$3='Cement and Glass Split'!AH$2,'Exiobase A Matrix'!$D$4:$GU$203)))</f>
        <v>1.1985958237471751E-10</v>
      </c>
      <c r="AI30">
        <f t="array" ref="AI30">SUMPRODUCT(IF('Exiobase A Matrix'!$C$4:$C$203='Cement and Glass Split'!$A30,IF('Exiobase A Matrix'!$D$3:$GU$3='Cement and Glass Split'!AI$2,'Exiobase A Matrix'!$D$4:$GU$203)))</f>
        <v>7.4859189090728604E-8</v>
      </c>
      <c r="AJ30">
        <f t="array" ref="AJ30">SUMPRODUCT(IF('Exiobase A Matrix'!$C$4:$C$203='Cement and Glass Split'!$A30,IF('Exiobase A Matrix'!$D$3:$GU$3='Cement and Glass Split'!AJ$2,'Exiobase A Matrix'!$D$4:$GU$203)))</f>
        <v>3.8344988597112384E-4</v>
      </c>
      <c r="AK30">
        <f t="array" ref="AK30">SUMPRODUCT(IF('Exiobase A Matrix'!$C$4:$C$203='Cement and Glass Split'!$A30,IF('Exiobase A Matrix'!$D$3:$GU$3='Cement and Glass Split'!AK$2,'Exiobase A Matrix'!$D$4:$GU$203)))</f>
        <v>9.2340876706659917E-3</v>
      </c>
      <c r="AL30">
        <f t="array" ref="AL30">SUMPRODUCT(IF('Exiobase A Matrix'!$C$4:$C$203='Cement and Glass Split'!$A30,IF('Exiobase A Matrix'!$D$3:$GU$3='Cement and Glass Split'!AL$2,'Exiobase A Matrix'!$D$4:$GU$203)))</f>
        <v>1.2693584426521143E-3</v>
      </c>
      <c r="AM30">
        <f t="array" ref="AM30">SUMPRODUCT(IF('Exiobase A Matrix'!$C$4:$C$203='Cement and Glass Split'!$A30,IF('Exiobase A Matrix'!$D$3:$GU$3='Cement and Glass Split'!AM$2,'Exiobase A Matrix'!$D$4:$GU$203)))</f>
        <v>1.7087025330818406E-2</v>
      </c>
      <c r="AN30">
        <f t="array" ref="AN30">SUMPRODUCT(IF('Exiobase A Matrix'!$C$4:$C$203='Cement and Glass Split'!$A30,IF('Exiobase A Matrix'!$D$3:$GU$3='Cement and Glass Split'!AN$2,'Exiobase A Matrix'!$D$4:$GU$203)))</f>
        <v>2.8270791157158914E-3</v>
      </c>
      <c r="AO30">
        <f t="array" ref="AO30">SUMPRODUCT(IF('Exiobase A Matrix'!$C$4:$C$203='Cement and Glass Split'!$A30,IF('Exiobase A Matrix'!$D$3:$GU$3='Cement and Glass Split'!AO$2,'Exiobase A Matrix'!$D$4:$GU$203)))</f>
        <v>2.7481998311667554E-3</v>
      </c>
      <c r="AP30">
        <f t="array" ref="AP30">SUMPRODUCT(IF('Exiobase A Matrix'!$C$4:$C$203='Cement and Glass Split'!$A30,IF('Exiobase A Matrix'!$D$3:$GU$3='Cement and Glass Split'!AP$2,'Exiobase A Matrix'!$D$4:$GU$203)))</f>
        <v>2.756066983115936E-3</v>
      </c>
      <c r="AQ30">
        <f t="array" ref="AQ30">SUMPRODUCT(IF('Exiobase A Matrix'!$C$4:$C$203='Cement and Glass Split'!$A30,IF('Exiobase A Matrix'!$D$3:$GU$3='Cement and Glass Split'!AQ$2,'Exiobase A Matrix'!$D$4:$GU$203)))</f>
        <v>1.7988494029729839E-7</v>
      </c>
    </row>
    <row r="31" spans="1:43">
      <c r="A31" t="s">
        <v>21</v>
      </c>
      <c r="B31">
        <f t="array" ref="B31">SUMPRODUCT(IF('Exiobase A Matrix'!$C$4:$C$203='Cement and Glass Split'!$A31,IF('Exiobase A Matrix'!$D$3:$GU$3='Cement and Glass Split'!B$2,'Exiobase A Matrix'!$D$4:$GU$203)))</f>
        <v>0</v>
      </c>
      <c r="C31">
        <f t="array" ref="C31">SUMPRODUCT(IF('Exiobase A Matrix'!$C$4:$C$203='Cement and Glass Split'!$A31,IF('Exiobase A Matrix'!$D$3:$GU$3='Cement and Glass Split'!C$2,'Exiobase A Matrix'!$D$4:$GU$203)))</f>
        <v>0</v>
      </c>
      <c r="D31">
        <f t="array" ref="D31">SUMPRODUCT(IF('Exiobase A Matrix'!$C$4:$C$203='Cement and Glass Split'!$A31,IF('Exiobase A Matrix'!$D$3:$GU$3='Cement and Glass Split'!D$2,'Exiobase A Matrix'!$D$4:$GU$203)))</f>
        <v>0</v>
      </c>
      <c r="E31">
        <f t="array" ref="E31">SUMPRODUCT(IF('Exiobase A Matrix'!$C$4:$C$203='Cement and Glass Split'!$A31,IF('Exiobase A Matrix'!$D$3:$GU$3='Cement and Glass Split'!E$2,'Exiobase A Matrix'!$D$4:$GU$203)))</f>
        <v>0</v>
      </c>
      <c r="F31">
        <f t="array" ref="F31">SUMPRODUCT(IF('Exiobase A Matrix'!$C$4:$C$203='Cement and Glass Split'!$A31,IF('Exiobase A Matrix'!$D$3:$GU$3='Cement and Glass Split'!F$2,'Exiobase A Matrix'!$D$4:$GU$203)))</f>
        <v>0</v>
      </c>
      <c r="G31">
        <f t="array" ref="G31">SUMPRODUCT(IF('Exiobase A Matrix'!$C$4:$C$203='Cement and Glass Split'!$A31,IF('Exiobase A Matrix'!$D$3:$GU$3='Cement and Glass Split'!G$2,'Exiobase A Matrix'!$D$4:$GU$203)))</f>
        <v>0</v>
      </c>
      <c r="H31">
        <f t="array" ref="H31">SUMPRODUCT(IF('Exiobase A Matrix'!$C$4:$C$203='Cement and Glass Split'!$A31,IF('Exiobase A Matrix'!$D$3:$GU$3='Cement and Glass Split'!H$2,'Exiobase A Matrix'!$D$4:$GU$203)))</f>
        <v>0</v>
      </c>
      <c r="I31">
        <f t="array" ref="I31">SUMPRODUCT(IF('Exiobase A Matrix'!$C$4:$C$203='Cement and Glass Split'!$A31,IF('Exiobase A Matrix'!$D$3:$GU$3='Cement and Glass Split'!I$2,'Exiobase A Matrix'!$D$4:$GU$203)))</f>
        <v>0</v>
      </c>
      <c r="J31">
        <f t="array" ref="J31">SUMPRODUCT(IF('Exiobase A Matrix'!$C$4:$C$203='Cement and Glass Split'!$A31,IF('Exiobase A Matrix'!$D$3:$GU$3='Cement and Glass Split'!J$2,'Exiobase A Matrix'!$D$4:$GU$203)))</f>
        <v>0</v>
      </c>
      <c r="K31">
        <f t="array" ref="K31">SUMPRODUCT(IF('Exiobase A Matrix'!$C$4:$C$203='Cement and Glass Split'!$A31,IF('Exiobase A Matrix'!$D$3:$GU$3='Cement and Glass Split'!K$2,'Exiobase A Matrix'!$D$4:$GU$203)))</f>
        <v>0</v>
      </c>
      <c r="L31">
        <f t="array" ref="L31">SUMPRODUCT(IF('Exiobase A Matrix'!$C$4:$C$203='Cement and Glass Split'!$A31,IF('Exiobase A Matrix'!$D$3:$GU$3='Cement and Glass Split'!L$2,'Exiobase A Matrix'!$D$4:$GU$203)))</f>
        <v>0</v>
      </c>
      <c r="M31">
        <f t="array" ref="M31">SUMPRODUCT(IF('Exiobase A Matrix'!$C$4:$C$203='Cement and Glass Split'!$A31,IF('Exiobase A Matrix'!$D$3:$GU$3='Cement and Glass Split'!M$2,'Exiobase A Matrix'!$D$4:$GU$203)))</f>
        <v>0</v>
      </c>
      <c r="N31">
        <f t="array" ref="N31">SUMPRODUCT(IF('Exiobase A Matrix'!$C$4:$C$203='Cement and Glass Split'!$A31,IF('Exiobase A Matrix'!$D$3:$GU$3='Cement and Glass Split'!N$2,'Exiobase A Matrix'!$D$4:$GU$203)))</f>
        <v>0</v>
      </c>
      <c r="O31">
        <f t="array" ref="O31">SUMPRODUCT(IF('Exiobase A Matrix'!$C$4:$C$203='Cement and Glass Split'!$A31,IF('Exiobase A Matrix'!$D$3:$GU$3='Cement and Glass Split'!O$2,'Exiobase A Matrix'!$D$4:$GU$203)))</f>
        <v>0</v>
      </c>
      <c r="P31">
        <f t="array" ref="P31">SUMPRODUCT(IF('Exiobase A Matrix'!$C$4:$C$203='Cement and Glass Split'!$A31,IF('Exiobase A Matrix'!$D$3:$GU$3='Cement and Glass Split'!P$2,'Exiobase A Matrix'!$D$4:$GU$203)))</f>
        <v>0</v>
      </c>
      <c r="Q31">
        <f t="array" ref="Q31">SUMPRODUCT(IF('Exiobase A Matrix'!$C$4:$C$203='Cement and Glass Split'!$A31,IF('Exiobase A Matrix'!$D$3:$GU$3='Cement and Glass Split'!Q$2,'Exiobase A Matrix'!$D$4:$GU$203)))</f>
        <v>0</v>
      </c>
      <c r="R31">
        <f t="array" ref="R31">SUMPRODUCT(IF('Exiobase A Matrix'!$C$4:$C$203='Cement and Glass Split'!$A31,IF('Exiobase A Matrix'!$D$3:$GU$3='Cement and Glass Split'!R$2,'Exiobase A Matrix'!$D$4:$GU$203)))</f>
        <v>0</v>
      </c>
      <c r="S31">
        <f t="array" ref="S31">SUMPRODUCT(IF('Exiobase A Matrix'!$C$4:$C$203='Cement and Glass Split'!$A31,IF('Exiobase A Matrix'!$D$3:$GU$3='Cement and Glass Split'!S$2,'Exiobase A Matrix'!$D$4:$GU$203)))</f>
        <v>0</v>
      </c>
      <c r="T31">
        <f t="array" ref="T31">SUMPRODUCT(IF('Exiobase A Matrix'!$C$4:$C$203='Cement and Glass Split'!$A31,IF('Exiobase A Matrix'!$D$3:$GU$3='Cement and Glass Split'!T$2,'Exiobase A Matrix'!$D$4:$GU$203)))</f>
        <v>0</v>
      </c>
      <c r="U31">
        <f t="array" ref="U31">SUMPRODUCT(IF('Exiobase A Matrix'!$C$4:$C$203='Cement and Glass Split'!$A31,IF('Exiobase A Matrix'!$D$3:$GU$3='Cement and Glass Split'!U$2,'Exiobase A Matrix'!$D$4:$GU$203)))</f>
        <v>0</v>
      </c>
      <c r="V31">
        <f t="array" ref="V31">SUMPRODUCT(IF('Exiobase A Matrix'!$C$4:$C$203='Cement and Glass Split'!$A31,IF('Exiobase A Matrix'!$D$3:$GU$3='Cement and Glass Split'!V$2,'Exiobase A Matrix'!$D$4:$GU$203)))</f>
        <v>0</v>
      </c>
      <c r="W31">
        <f t="array" ref="W31">SUMPRODUCT(IF('Exiobase A Matrix'!$C$4:$C$203='Cement and Glass Split'!$A31,IF('Exiobase A Matrix'!$D$3:$GU$3='Cement and Glass Split'!W$2,'Exiobase A Matrix'!$D$4:$GU$203)))</f>
        <v>0</v>
      </c>
      <c r="X31">
        <f t="array" ref="X31">SUMPRODUCT(IF('Exiobase A Matrix'!$C$4:$C$203='Cement and Glass Split'!$A31,IF('Exiobase A Matrix'!$D$3:$GU$3='Cement and Glass Split'!X$2,'Exiobase A Matrix'!$D$4:$GU$203)))</f>
        <v>0</v>
      </c>
      <c r="Y31">
        <f t="array" ref="Y31">SUMPRODUCT(IF('Exiobase A Matrix'!$C$4:$C$203='Cement and Glass Split'!$A31,IF('Exiobase A Matrix'!$D$3:$GU$3='Cement and Glass Split'!Y$2,'Exiobase A Matrix'!$D$4:$GU$203)))</f>
        <v>0</v>
      </c>
      <c r="Z31">
        <f t="array" ref="Z31">SUMPRODUCT(IF('Exiobase A Matrix'!$C$4:$C$203='Cement and Glass Split'!$A31,IF('Exiobase A Matrix'!$D$3:$GU$3='Cement and Glass Split'!Z$2,'Exiobase A Matrix'!$D$4:$GU$203)))</f>
        <v>0</v>
      </c>
      <c r="AA31">
        <f t="array" ref="AA31">SUMPRODUCT(IF('Exiobase A Matrix'!$C$4:$C$203='Cement and Glass Split'!$A31,IF('Exiobase A Matrix'!$D$3:$GU$3='Cement and Glass Split'!AA$2,'Exiobase A Matrix'!$D$4:$GU$203)))</f>
        <v>0</v>
      </c>
      <c r="AB31">
        <f t="array" ref="AB31">SUMPRODUCT(IF('Exiobase A Matrix'!$C$4:$C$203='Cement and Glass Split'!$A31,IF('Exiobase A Matrix'!$D$3:$GU$3='Cement and Glass Split'!AB$2,'Exiobase A Matrix'!$D$4:$GU$203)))</f>
        <v>0</v>
      </c>
      <c r="AC31">
        <f t="array" ref="AC31">SUMPRODUCT(IF('Exiobase A Matrix'!$C$4:$C$203='Cement and Glass Split'!$A31,IF('Exiobase A Matrix'!$D$3:$GU$3='Cement and Glass Split'!AC$2,'Exiobase A Matrix'!$D$4:$GU$203)))</f>
        <v>0</v>
      </c>
      <c r="AD31">
        <f t="array" ref="AD31">SUMPRODUCT(IF('Exiobase A Matrix'!$C$4:$C$203='Cement and Glass Split'!$A31,IF('Exiobase A Matrix'!$D$3:$GU$3='Cement and Glass Split'!AD$2,'Exiobase A Matrix'!$D$4:$GU$203)))</f>
        <v>6.8921152793791338E-2</v>
      </c>
      <c r="AE31">
        <f t="array" ref="AE31">SUMPRODUCT(IF('Exiobase A Matrix'!$C$4:$C$203='Cement and Glass Split'!$A31,IF('Exiobase A Matrix'!$D$3:$GU$3='Cement and Glass Split'!AE$2,'Exiobase A Matrix'!$D$4:$GU$203)))</f>
        <v>0</v>
      </c>
      <c r="AF31">
        <f t="array" ref="AF31">SUMPRODUCT(IF('Exiobase A Matrix'!$C$4:$C$203='Cement and Glass Split'!$A31,IF('Exiobase A Matrix'!$D$3:$GU$3='Cement and Glass Split'!AF$2,'Exiobase A Matrix'!$D$4:$GU$203)))</f>
        <v>0</v>
      </c>
      <c r="AG31">
        <f t="array" ref="AG31">SUMPRODUCT(IF('Exiobase A Matrix'!$C$4:$C$203='Cement and Glass Split'!$A31,IF('Exiobase A Matrix'!$D$3:$GU$3='Cement and Glass Split'!AG$2,'Exiobase A Matrix'!$D$4:$GU$203)))</f>
        <v>0</v>
      </c>
      <c r="AH31">
        <f t="array" ref="AH31">SUMPRODUCT(IF('Exiobase A Matrix'!$C$4:$C$203='Cement and Glass Split'!$A31,IF('Exiobase A Matrix'!$D$3:$GU$3='Cement and Glass Split'!AH$2,'Exiobase A Matrix'!$D$4:$GU$203)))</f>
        <v>0.64597856555320932</v>
      </c>
      <c r="AI31">
        <f t="array" ref="AI31">SUMPRODUCT(IF('Exiobase A Matrix'!$C$4:$C$203='Cement and Glass Split'!$A31,IF('Exiobase A Matrix'!$D$3:$GU$3='Cement and Glass Split'!AI$2,'Exiobase A Matrix'!$D$4:$GU$203)))</f>
        <v>0</v>
      </c>
      <c r="AJ31">
        <f t="array" ref="AJ31">SUMPRODUCT(IF('Exiobase A Matrix'!$C$4:$C$203='Cement and Glass Split'!$A31,IF('Exiobase A Matrix'!$D$3:$GU$3='Cement and Glass Split'!AJ$2,'Exiobase A Matrix'!$D$4:$GU$203)))</f>
        <v>0</v>
      </c>
      <c r="AK31">
        <f t="array" ref="AK31">SUMPRODUCT(IF('Exiobase A Matrix'!$C$4:$C$203='Cement and Glass Split'!$A31,IF('Exiobase A Matrix'!$D$3:$GU$3='Cement and Glass Split'!AK$2,'Exiobase A Matrix'!$D$4:$GU$203)))</f>
        <v>0</v>
      </c>
      <c r="AL31">
        <f t="array" ref="AL31">SUMPRODUCT(IF('Exiobase A Matrix'!$C$4:$C$203='Cement and Glass Split'!$A31,IF('Exiobase A Matrix'!$D$3:$GU$3='Cement and Glass Split'!AL$2,'Exiobase A Matrix'!$D$4:$GU$203)))</f>
        <v>0</v>
      </c>
      <c r="AM31">
        <f t="array" ref="AM31">SUMPRODUCT(IF('Exiobase A Matrix'!$C$4:$C$203='Cement and Glass Split'!$A31,IF('Exiobase A Matrix'!$D$3:$GU$3='Cement and Glass Split'!AM$2,'Exiobase A Matrix'!$D$4:$GU$203)))</f>
        <v>0</v>
      </c>
      <c r="AN31">
        <f t="array" ref="AN31">SUMPRODUCT(IF('Exiobase A Matrix'!$C$4:$C$203='Cement and Glass Split'!$A31,IF('Exiobase A Matrix'!$D$3:$GU$3='Cement and Glass Split'!AN$2,'Exiobase A Matrix'!$D$4:$GU$203)))</f>
        <v>0</v>
      </c>
      <c r="AO31">
        <f t="array" ref="AO31">SUMPRODUCT(IF('Exiobase A Matrix'!$C$4:$C$203='Cement and Glass Split'!$A31,IF('Exiobase A Matrix'!$D$3:$GU$3='Cement and Glass Split'!AO$2,'Exiobase A Matrix'!$D$4:$GU$203)))</f>
        <v>0</v>
      </c>
      <c r="AP31">
        <f t="array" ref="AP31">SUMPRODUCT(IF('Exiobase A Matrix'!$C$4:$C$203='Cement and Glass Split'!$A31,IF('Exiobase A Matrix'!$D$3:$GU$3='Cement and Glass Split'!AP$2,'Exiobase A Matrix'!$D$4:$GU$203)))</f>
        <v>0</v>
      </c>
      <c r="AQ31">
        <f t="array" ref="AQ31">SUMPRODUCT(IF('Exiobase A Matrix'!$C$4:$C$203='Cement and Glass Split'!$A31,IF('Exiobase A Matrix'!$D$3:$GU$3='Cement and Glass Split'!AQ$2,'Exiobase A Matrix'!$D$4:$GU$203)))</f>
        <v>0</v>
      </c>
    </row>
    <row r="32" spans="1:43">
      <c r="A32" t="s">
        <v>22</v>
      </c>
      <c r="B32">
        <f t="array" ref="B32">SUMPRODUCT(IF('Exiobase A Matrix'!$C$4:$C$203='Cement and Glass Split'!$A32,IF('Exiobase A Matrix'!$D$3:$GU$3='Cement and Glass Split'!B$2,'Exiobase A Matrix'!$D$4:$GU$203)))</f>
        <v>0.1175455061015622</v>
      </c>
      <c r="C32">
        <f t="array" ref="C32">SUMPRODUCT(IF('Exiobase A Matrix'!$C$4:$C$203='Cement and Glass Split'!$A32,IF('Exiobase A Matrix'!$D$3:$GU$3='Cement and Glass Split'!C$2,'Exiobase A Matrix'!$D$4:$GU$203)))</f>
        <v>4.142048844223914E-2</v>
      </c>
      <c r="D32">
        <f t="array" ref="D32">SUMPRODUCT(IF('Exiobase A Matrix'!$C$4:$C$203='Cement and Glass Split'!$A32,IF('Exiobase A Matrix'!$D$3:$GU$3='Cement and Glass Split'!D$2,'Exiobase A Matrix'!$D$4:$GU$203)))</f>
        <v>1.6668688005096164E-2</v>
      </c>
      <c r="E32">
        <f t="array" ref="E32">SUMPRODUCT(IF('Exiobase A Matrix'!$C$4:$C$203='Cement and Glass Split'!$A32,IF('Exiobase A Matrix'!$D$3:$GU$3='Cement and Glass Split'!E$2,'Exiobase A Matrix'!$D$4:$GU$203)))</f>
        <v>0.46358108842558432</v>
      </c>
      <c r="F32">
        <f t="array" ref="F32">SUMPRODUCT(IF('Exiobase A Matrix'!$C$4:$C$203='Cement and Glass Split'!$A32,IF('Exiobase A Matrix'!$D$3:$GU$3='Cement and Glass Split'!F$2,'Exiobase A Matrix'!$D$4:$GU$203)))</f>
        <v>0</v>
      </c>
      <c r="G32">
        <f t="array" ref="G32">SUMPRODUCT(IF('Exiobase A Matrix'!$C$4:$C$203='Cement and Glass Split'!$A32,IF('Exiobase A Matrix'!$D$3:$GU$3='Cement and Glass Split'!G$2,'Exiobase A Matrix'!$D$4:$GU$203)))</f>
        <v>0.59960266812660634</v>
      </c>
      <c r="H32">
        <f t="array" ref="H32">SUMPRODUCT(IF('Exiobase A Matrix'!$C$4:$C$203='Cement and Glass Split'!$A32,IF('Exiobase A Matrix'!$D$3:$GU$3='Cement and Glass Split'!H$2,'Exiobase A Matrix'!$D$4:$GU$203)))</f>
        <v>7.6905631856781051E-2</v>
      </c>
      <c r="I32">
        <f t="array" ref="I32">SUMPRODUCT(IF('Exiobase A Matrix'!$C$4:$C$203='Cement and Glass Split'!$A32,IF('Exiobase A Matrix'!$D$3:$GU$3='Cement and Glass Split'!I$2,'Exiobase A Matrix'!$D$4:$GU$203)))</f>
        <v>5.9889724088691039E-2</v>
      </c>
      <c r="J32">
        <f t="array" ref="J32">SUMPRODUCT(IF('Exiobase A Matrix'!$C$4:$C$203='Cement and Glass Split'!$A32,IF('Exiobase A Matrix'!$D$3:$GU$3='Cement and Glass Split'!J$2,'Exiobase A Matrix'!$D$4:$GU$203)))</f>
        <v>0.25197043647466005</v>
      </c>
      <c r="K32">
        <f t="array" ref="K32">SUMPRODUCT(IF('Exiobase A Matrix'!$C$4:$C$203='Cement and Glass Split'!$A32,IF('Exiobase A Matrix'!$D$3:$GU$3='Cement and Glass Split'!K$2,'Exiobase A Matrix'!$D$4:$GU$203)))</f>
        <v>0.75964411234197138</v>
      </c>
      <c r="L32">
        <f t="array" ref="L32">SUMPRODUCT(IF('Exiobase A Matrix'!$C$4:$C$203='Cement and Glass Split'!$A32,IF('Exiobase A Matrix'!$D$3:$GU$3='Cement and Glass Split'!L$2,'Exiobase A Matrix'!$D$4:$GU$203)))</f>
        <v>0.30655868632138955</v>
      </c>
      <c r="M32">
        <f t="array" ref="M32">SUMPRODUCT(IF('Exiobase A Matrix'!$C$4:$C$203='Cement and Glass Split'!$A32,IF('Exiobase A Matrix'!$D$3:$GU$3='Cement and Glass Split'!M$2,'Exiobase A Matrix'!$D$4:$GU$203)))</f>
        <v>0</v>
      </c>
      <c r="N32">
        <f t="array" ref="N32">SUMPRODUCT(IF('Exiobase A Matrix'!$C$4:$C$203='Cement and Glass Split'!$A32,IF('Exiobase A Matrix'!$D$3:$GU$3='Cement and Glass Split'!N$2,'Exiobase A Matrix'!$D$4:$GU$203)))</f>
        <v>3.7543942411307346E-2</v>
      </c>
      <c r="O32">
        <f t="array" ref="O32">SUMPRODUCT(IF('Exiobase A Matrix'!$C$4:$C$203='Cement and Glass Split'!$A32,IF('Exiobase A Matrix'!$D$3:$GU$3='Cement and Glass Split'!O$2,'Exiobase A Matrix'!$D$4:$GU$203)))</f>
        <v>3.0368999029556813E-2</v>
      </c>
      <c r="P32">
        <f t="array" ref="P32">SUMPRODUCT(IF('Exiobase A Matrix'!$C$4:$C$203='Cement and Glass Split'!$A32,IF('Exiobase A Matrix'!$D$3:$GU$3='Cement and Glass Split'!P$2,'Exiobase A Matrix'!$D$4:$GU$203)))</f>
        <v>0.52398760841778491</v>
      </c>
      <c r="Q32">
        <f t="array" ref="Q32">SUMPRODUCT(IF('Exiobase A Matrix'!$C$4:$C$203='Cement and Glass Split'!$A32,IF('Exiobase A Matrix'!$D$3:$GU$3='Cement and Glass Split'!Q$2,'Exiobase A Matrix'!$D$4:$GU$203)))</f>
        <v>2.6698200057945903E-2</v>
      </c>
      <c r="R32">
        <f t="array" ref="R32">SUMPRODUCT(IF('Exiobase A Matrix'!$C$4:$C$203='Cement and Glass Split'!$A32,IF('Exiobase A Matrix'!$D$3:$GU$3='Cement and Glass Split'!R$2,'Exiobase A Matrix'!$D$4:$GU$203)))</f>
        <v>9.6118876102523065E-2</v>
      </c>
      <c r="S32">
        <f t="array" ref="S32">SUMPRODUCT(IF('Exiobase A Matrix'!$C$4:$C$203='Cement and Glass Split'!$A32,IF('Exiobase A Matrix'!$D$3:$GU$3='Cement and Glass Split'!S$2,'Exiobase A Matrix'!$D$4:$GU$203)))</f>
        <v>3.0216616366685486E-2</v>
      </c>
      <c r="T32">
        <f t="array" ref="T32">SUMPRODUCT(IF('Exiobase A Matrix'!$C$4:$C$203='Cement and Glass Split'!$A32,IF('Exiobase A Matrix'!$D$3:$GU$3='Cement and Glass Split'!T$2,'Exiobase A Matrix'!$D$4:$GU$203)))</f>
        <v>4.8401179895346147E-2</v>
      </c>
      <c r="U32">
        <f t="array" ref="U32">SUMPRODUCT(IF('Exiobase A Matrix'!$C$4:$C$203='Cement and Glass Split'!$A32,IF('Exiobase A Matrix'!$D$3:$GU$3='Cement and Glass Split'!U$2,'Exiobase A Matrix'!$D$4:$GU$203)))</f>
        <v>1.7308014229139908E-2</v>
      </c>
      <c r="V32">
        <f t="array" ref="V32">SUMPRODUCT(IF('Exiobase A Matrix'!$C$4:$C$203='Cement and Glass Split'!$A32,IF('Exiobase A Matrix'!$D$3:$GU$3='Cement and Glass Split'!V$2,'Exiobase A Matrix'!$D$4:$GU$203)))</f>
        <v>2.8421302672884976E-2</v>
      </c>
      <c r="W32">
        <f t="array" ref="W32">SUMPRODUCT(IF('Exiobase A Matrix'!$C$4:$C$203='Cement and Glass Split'!$A32,IF('Exiobase A Matrix'!$D$3:$GU$3='Cement and Glass Split'!W$2,'Exiobase A Matrix'!$D$4:$GU$203)))</f>
        <v>1.0242279239235326E-2</v>
      </c>
      <c r="X32">
        <f t="array" ref="X32">SUMPRODUCT(IF('Exiobase A Matrix'!$C$4:$C$203='Cement and Glass Split'!$A32,IF('Exiobase A Matrix'!$D$3:$GU$3='Cement and Glass Split'!X$2,'Exiobase A Matrix'!$D$4:$GU$203)))</f>
        <v>9.5064978144665073E-3</v>
      </c>
      <c r="Y32">
        <f t="array" ref="Y32">SUMPRODUCT(IF('Exiobase A Matrix'!$C$4:$C$203='Cement and Glass Split'!$A32,IF('Exiobase A Matrix'!$D$3:$GU$3='Cement and Glass Split'!Y$2,'Exiobase A Matrix'!$D$4:$GU$203)))</f>
        <v>2.1849715594667904E-2</v>
      </c>
      <c r="Z32">
        <f t="array" ref="Z32">SUMPRODUCT(IF('Exiobase A Matrix'!$C$4:$C$203='Cement and Glass Split'!$A32,IF('Exiobase A Matrix'!$D$3:$GU$3='Cement and Glass Split'!Z$2,'Exiobase A Matrix'!$D$4:$GU$203)))</f>
        <v>2.0734291649053969E-2</v>
      </c>
      <c r="AA32">
        <f t="array" ref="AA32">SUMPRODUCT(IF('Exiobase A Matrix'!$C$4:$C$203='Cement and Glass Split'!$A32,IF('Exiobase A Matrix'!$D$3:$GU$3='Cement and Glass Split'!AA$2,'Exiobase A Matrix'!$D$4:$GU$203)))</f>
        <v>4.5061713738787671E-3</v>
      </c>
      <c r="AB32">
        <f t="array" ref="AB32">SUMPRODUCT(IF('Exiobase A Matrix'!$C$4:$C$203='Cement and Glass Split'!$A32,IF('Exiobase A Matrix'!$D$3:$GU$3='Cement and Glass Split'!AB$2,'Exiobase A Matrix'!$D$4:$GU$203)))</f>
        <v>0.55751935992895596</v>
      </c>
      <c r="AC32">
        <f t="array" ref="AC32">SUMPRODUCT(IF('Exiobase A Matrix'!$C$4:$C$203='Cement and Glass Split'!$A32,IF('Exiobase A Matrix'!$D$3:$GU$3='Cement and Glass Split'!AC$2,'Exiobase A Matrix'!$D$4:$GU$203)))</f>
        <v>1.01728592234369E-2</v>
      </c>
      <c r="AD32">
        <f t="array" ref="AD32">SUMPRODUCT(IF('Exiobase A Matrix'!$C$4:$C$203='Cement and Glass Split'!$A32,IF('Exiobase A Matrix'!$D$3:$GU$3='Cement and Glass Split'!AD$2,'Exiobase A Matrix'!$D$4:$GU$203)))</f>
        <v>1.4569861444787832E-7</v>
      </c>
      <c r="AE32">
        <f t="array" ref="AE32">SUMPRODUCT(IF('Exiobase A Matrix'!$C$4:$C$203='Cement and Glass Split'!$A32,IF('Exiobase A Matrix'!$D$3:$GU$3='Cement and Glass Split'!AE$2,'Exiobase A Matrix'!$D$4:$GU$203)))</f>
        <v>1.075359366742761</v>
      </c>
      <c r="AF32">
        <f t="array" ref="AF32">SUMPRODUCT(IF('Exiobase A Matrix'!$C$4:$C$203='Cement and Glass Split'!$A32,IF('Exiobase A Matrix'!$D$3:$GU$3='Cement and Glass Split'!AF$2,'Exiobase A Matrix'!$D$4:$GU$203)))</f>
        <v>1.8783903875155051E-3</v>
      </c>
      <c r="AG32">
        <f t="array" ref="AG32">SUMPRODUCT(IF('Exiobase A Matrix'!$C$4:$C$203='Cement and Glass Split'!$A32,IF('Exiobase A Matrix'!$D$3:$GU$3='Cement and Glass Split'!AG$2,'Exiobase A Matrix'!$D$4:$GU$203)))</f>
        <v>0</v>
      </c>
      <c r="AH32">
        <f t="array" ref="AH32">SUMPRODUCT(IF('Exiobase A Matrix'!$C$4:$C$203='Cement and Glass Split'!$A32,IF('Exiobase A Matrix'!$D$3:$GU$3='Cement and Glass Split'!AH$2,'Exiobase A Matrix'!$D$4:$GU$203)))</f>
        <v>2.6646973982330399E-4</v>
      </c>
      <c r="AI32">
        <f t="array" ref="AI32">SUMPRODUCT(IF('Exiobase A Matrix'!$C$4:$C$203='Cement and Glass Split'!$A32,IF('Exiobase A Matrix'!$D$3:$GU$3='Cement and Glass Split'!AI$2,'Exiobase A Matrix'!$D$4:$GU$203)))</f>
        <v>3.0903266763073846E-2</v>
      </c>
      <c r="AJ32">
        <f t="array" ref="AJ32">SUMPRODUCT(IF('Exiobase A Matrix'!$C$4:$C$203='Cement and Glass Split'!$A32,IF('Exiobase A Matrix'!$D$3:$GU$3='Cement and Glass Split'!AJ$2,'Exiobase A Matrix'!$D$4:$GU$203)))</f>
        <v>6.0423663902251165E-2</v>
      </c>
      <c r="AK32">
        <f t="array" ref="AK32">SUMPRODUCT(IF('Exiobase A Matrix'!$C$4:$C$203='Cement and Glass Split'!$A32,IF('Exiobase A Matrix'!$D$3:$GU$3='Cement and Glass Split'!AK$2,'Exiobase A Matrix'!$D$4:$GU$203)))</f>
        <v>3.7676322563410958E-3</v>
      </c>
      <c r="AL32">
        <f t="array" ref="AL32">SUMPRODUCT(IF('Exiobase A Matrix'!$C$4:$C$203='Cement and Glass Split'!$A32,IF('Exiobase A Matrix'!$D$3:$GU$3='Cement and Glass Split'!AL$2,'Exiobase A Matrix'!$D$4:$GU$203)))</f>
        <v>8.6949663744910158E-2</v>
      </c>
      <c r="AM32">
        <f t="array" ref="AM32">SUMPRODUCT(IF('Exiobase A Matrix'!$C$4:$C$203='Cement and Glass Split'!$A32,IF('Exiobase A Matrix'!$D$3:$GU$3='Cement and Glass Split'!AM$2,'Exiobase A Matrix'!$D$4:$GU$203)))</f>
        <v>2.5562064090568316E-2</v>
      </c>
      <c r="AN32">
        <f t="array" ref="AN32">SUMPRODUCT(IF('Exiobase A Matrix'!$C$4:$C$203='Cement and Glass Split'!$A32,IF('Exiobase A Matrix'!$D$3:$GU$3='Cement and Glass Split'!AN$2,'Exiobase A Matrix'!$D$4:$GU$203)))</f>
        <v>8.6583595919397984E-3</v>
      </c>
      <c r="AO32">
        <f t="array" ref="AO32">SUMPRODUCT(IF('Exiobase A Matrix'!$C$4:$C$203='Cement and Glass Split'!$A32,IF('Exiobase A Matrix'!$D$3:$GU$3='Cement and Glass Split'!AO$2,'Exiobase A Matrix'!$D$4:$GU$203)))</f>
        <v>9.7575491950176781E-3</v>
      </c>
      <c r="AP32">
        <f t="array" ref="AP32">SUMPRODUCT(IF('Exiobase A Matrix'!$C$4:$C$203='Cement and Glass Split'!$A32,IF('Exiobase A Matrix'!$D$3:$GU$3='Cement and Glass Split'!AP$2,'Exiobase A Matrix'!$D$4:$GU$203)))</f>
        <v>5.8480009199808801E-2</v>
      </c>
      <c r="AQ32">
        <f t="array" ref="AQ32">SUMPRODUCT(IF('Exiobase A Matrix'!$C$4:$C$203='Cement and Glass Split'!$A32,IF('Exiobase A Matrix'!$D$3:$GU$3='Cement and Glass Split'!AQ$2,'Exiobase A Matrix'!$D$4:$GU$203)))</f>
        <v>5.7037342599398642E-5</v>
      </c>
    </row>
    <row r="33" spans="1:43">
      <c r="A33" t="s">
        <v>23</v>
      </c>
      <c r="B33">
        <f t="array" ref="B33">SUMPRODUCT(IF('Exiobase A Matrix'!$C$4:$C$203='Cement and Glass Split'!$A33,IF('Exiobase A Matrix'!$D$3:$GU$3='Cement and Glass Split'!B$2,'Exiobase A Matrix'!$D$4:$GU$203)))</f>
        <v>1.2541833385599657</v>
      </c>
      <c r="C33">
        <f t="array" ref="C33">SUMPRODUCT(IF('Exiobase A Matrix'!$C$4:$C$203='Cement and Glass Split'!$A33,IF('Exiobase A Matrix'!$D$3:$GU$3='Cement and Glass Split'!C$2,'Exiobase A Matrix'!$D$4:$GU$203)))</f>
        <v>0.24849798906978893</v>
      </c>
      <c r="D33">
        <f t="array" ref="D33">SUMPRODUCT(IF('Exiobase A Matrix'!$C$4:$C$203='Cement and Glass Split'!$A33,IF('Exiobase A Matrix'!$D$3:$GU$3='Cement and Glass Split'!D$2,'Exiobase A Matrix'!$D$4:$GU$203)))</f>
        <v>0.36320611812570758</v>
      </c>
      <c r="E33">
        <f t="array" ref="E33">SUMPRODUCT(IF('Exiobase A Matrix'!$C$4:$C$203='Cement and Glass Split'!$A33,IF('Exiobase A Matrix'!$D$3:$GU$3='Cement and Glass Split'!E$2,'Exiobase A Matrix'!$D$4:$GU$203)))</f>
        <v>0.122384333634311</v>
      </c>
      <c r="F33">
        <f t="array" ref="F33">SUMPRODUCT(IF('Exiobase A Matrix'!$C$4:$C$203='Cement and Glass Split'!$A33,IF('Exiobase A Matrix'!$D$3:$GU$3='Cement and Glass Split'!F$2,'Exiobase A Matrix'!$D$4:$GU$203)))</f>
        <v>0</v>
      </c>
      <c r="G33">
        <f t="array" ref="G33">SUMPRODUCT(IF('Exiobase A Matrix'!$C$4:$C$203='Cement and Glass Split'!$A33,IF('Exiobase A Matrix'!$D$3:$GU$3='Cement and Glass Split'!G$2,'Exiobase A Matrix'!$D$4:$GU$203)))</f>
        <v>0.35793950591439677</v>
      </c>
      <c r="H33">
        <f t="array" ref="H33">SUMPRODUCT(IF('Exiobase A Matrix'!$C$4:$C$203='Cement and Glass Split'!$A33,IF('Exiobase A Matrix'!$D$3:$GU$3='Cement and Glass Split'!H$2,'Exiobase A Matrix'!$D$4:$GU$203)))</f>
        <v>5.5400302571778179E-2</v>
      </c>
      <c r="I33">
        <f t="array" ref="I33">SUMPRODUCT(IF('Exiobase A Matrix'!$C$4:$C$203='Cement and Glass Split'!$A33,IF('Exiobase A Matrix'!$D$3:$GU$3='Cement and Glass Split'!I$2,'Exiobase A Matrix'!$D$4:$GU$203)))</f>
        <v>9.2555191147537484E-3</v>
      </c>
      <c r="J33">
        <f t="array" ref="J33">SUMPRODUCT(IF('Exiobase A Matrix'!$C$4:$C$203='Cement and Glass Split'!$A33,IF('Exiobase A Matrix'!$D$3:$GU$3='Cement and Glass Split'!J$2,'Exiobase A Matrix'!$D$4:$GU$203)))</f>
        <v>3.0303417622783758E-2</v>
      </c>
      <c r="K33">
        <f t="array" ref="K33">SUMPRODUCT(IF('Exiobase A Matrix'!$C$4:$C$203='Cement and Glass Split'!$A33,IF('Exiobase A Matrix'!$D$3:$GU$3='Cement and Glass Split'!K$2,'Exiobase A Matrix'!$D$4:$GU$203)))</f>
        <v>0.31399255544165927</v>
      </c>
      <c r="L33">
        <f t="array" ref="L33">SUMPRODUCT(IF('Exiobase A Matrix'!$C$4:$C$203='Cement and Glass Split'!$A33,IF('Exiobase A Matrix'!$D$3:$GU$3='Cement and Glass Split'!L$2,'Exiobase A Matrix'!$D$4:$GU$203)))</f>
        <v>0.23561154141933022</v>
      </c>
      <c r="M33">
        <f t="array" ref="M33">SUMPRODUCT(IF('Exiobase A Matrix'!$C$4:$C$203='Cement and Glass Split'!$A33,IF('Exiobase A Matrix'!$D$3:$GU$3='Cement and Glass Split'!M$2,'Exiobase A Matrix'!$D$4:$GU$203)))</f>
        <v>0</v>
      </c>
      <c r="N33">
        <f t="array" ref="N33">SUMPRODUCT(IF('Exiobase A Matrix'!$C$4:$C$203='Cement and Glass Split'!$A33,IF('Exiobase A Matrix'!$D$3:$GU$3='Cement and Glass Split'!N$2,'Exiobase A Matrix'!$D$4:$GU$203)))</f>
        <v>5.5315652621019422E-3</v>
      </c>
      <c r="O33">
        <f t="array" ref="O33">SUMPRODUCT(IF('Exiobase A Matrix'!$C$4:$C$203='Cement and Glass Split'!$A33,IF('Exiobase A Matrix'!$D$3:$GU$3='Cement and Glass Split'!O$2,'Exiobase A Matrix'!$D$4:$GU$203)))</f>
        <v>7.7462234658548625E-3</v>
      </c>
      <c r="P33">
        <f t="array" ref="P33">SUMPRODUCT(IF('Exiobase A Matrix'!$C$4:$C$203='Cement and Glass Split'!$A33,IF('Exiobase A Matrix'!$D$3:$GU$3='Cement and Glass Split'!P$2,'Exiobase A Matrix'!$D$4:$GU$203)))</f>
        <v>5.3315518449595478E-2</v>
      </c>
      <c r="Q33">
        <f t="array" ref="Q33">SUMPRODUCT(IF('Exiobase A Matrix'!$C$4:$C$203='Cement and Glass Split'!$A33,IF('Exiobase A Matrix'!$D$3:$GU$3='Cement and Glass Split'!Q$2,'Exiobase A Matrix'!$D$4:$GU$203)))</f>
        <v>2.2906925351627596E-3</v>
      </c>
      <c r="R33">
        <f t="array" ref="R33">SUMPRODUCT(IF('Exiobase A Matrix'!$C$4:$C$203='Cement and Glass Split'!$A33,IF('Exiobase A Matrix'!$D$3:$GU$3='Cement and Glass Split'!R$2,'Exiobase A Matrix'!$D$4:$GU$203)))</f>
        <v>0.1102505620845379</v>
      </c>
      <c r="S33">
        <f t="array" ref="S33">SUMPRODUCT(IF('Exiobase A Matrix'!$C$4:$C$203='Cement and Glass Split'!$A33,IF('Exiobase A Matrix'!$D$3:$GU$3='Cement and Glass Split'!S$2,'Exiobase A Matrix'!$D$4:$GU$203)))</f>
        <v>1.0276196547814186E-2</v>
      </c>
      <c r="T33">
        <f t="array" ref="T33">SUMPRODUCT(IF('Exiobase A Matrix'!$C$4:$C$203='Cement and Glass Split'!$A33,IF('Exiobase A Matrix'!$D$3:$GU$3='Cement and Glass Split'!T$2,'Exiobase A Matrix'!$D$4:$GU$203)))</f>
        <v>2.2503835688028044E-2</v>
      </c>
      <c r="U33">
        <f t="array" ref="U33">SUMPRODUCT(IF('Exiobase A Matrix'!$C$4:$C$203='Cement and Glass Split'!$A33,IF('Exiobase A Matrix'!$D$3:$GU$3='Cement and Glass Split'!U$2,'Exiobase A Matrix'!$D$4:$GU$203)))</f>
        <v>5.0869032815401638E-3</v>
      </c>
      <c r="V33">
        <f t="array" ref="V33">SUMPRODUCT(IF('Exiobase A Matrix'!$C$4:$C$203='Cement and Glass Split'!$A33,IF('Exiobase A Matrix'!$D$3:$GU$3='Cement and Glass Split'!V$2,'Exiobase A Matrix'!$D$4:$GU$203)))</f>
        <v>7.9741870910949048E-3</v>
      </c>
      <c r="W33">
        <f t="array" ref="W33">SUMPRODUCT(IF('Exiobase A Matrix'!$C$4:$C$203='Cement and Glass Split'!$A33,IF('Exiobase A Matrix'!$D$3:$GU$3='Cement and Glass Split'!W$2,'Exiobase A Matrix'!$D$4:$GU$203)))</f>
        <v>1.6116708574514867E-3</v>
      </c>
      <c r="X33">
        <f t="array" ref="X33">SUMPRODUCT(IF('Exiobase A Matrix'!$C$4:$C$203='Cement and Glass Split'!$A33,IF('Exiobase A Matrix'!$D$3:$GU$3='Cement and Glass Split'!X$2,'Exiobase A Matrix'!$D$4:$GU$203)))</f>
        <v>2.7490260836559926E-3</v>
      </c>
      <c r="Y33">
        <f t="array" ref="Y33">SUMPRODUCT(IF('Exiobase A Matrix'!$C$4:$C$203='Cement and Glass Split'!$A33,IF('Exiobase A Matrix'!$D$3:$GU$3='Cement and Glass Split'!Y$2,'Exiobase A Matrix'!$D$4:$GU$203)))</f>
        <v>1.4433162198728047E-2</v>
      </c>
      <c r="Z33">
        <f t="array" ref="Z33">SUMPRODUCT(IF('Exiobase A Matrix'!$C$4:$C$203='Cement and Glass Split'!$A33,IF('Exiobase A Matrix'!$D$3:$GU$3='Cement and Glass Split'!Z$2,'Exiobase A Matrix'!$D$4:$GU$203)))</f>
        <v>0.22933078036426205</v>
      </c>
      <c r="AA33">
        <f t="array" ref="AA33">SUMPRODUCT(IF('Exiobase A Matrix'!$C$4:$C$203='Cement and Glass Split'!$A33,IF('Exiobase A Matrix'!$D$3:$GU$3='Cement and Glass Split'!AA$2,'Exiobase A Matrix'!$D$4:$GU$203)))</f>
        <v>6.4262020481907503E-2</v>
      </c>
      <c r="AB33">
        <f t="array" ref="AB33">SUMPRODUCT(IF('Exiobase A Matrix'!$C$4:$C$203='Cement and Glass Split'!$A33,IF('Exiobase A Matrix'!$D$3:$GU$3='Cement and Glass Split'!AB$2,'Exiobase A Matrix'!$D$4:$GU$203)))</f>
        <v>0.16195084471888732</v>
      </c>
      <c r="AC33">
        <f t="array" ref="AC33">SUMPRODUCT(IF('Exiobase A Matrix'!$C$4:$C$203='Cement and Glass Split'!$A33,IF('Exiobase A Matrix'!$D$3:$GU$3='Cement and Glass Split'!AC$2,'Exiobase A Matrix'!$D$4:$GU$203)))</f>
        <v>1.910082386174998E-2</v>
      </c>
      <c r="AD33">
        <f t="array" ref="AD33">SUMPRODUCT(IF('Exiobase A Matrix'!$C$4:$C$203='Cement and Glass Split'!$A33,IF('Exiobase A Matrix'!$D$3:$GU$3='Cement and Glass Split'!AD$2,'Exiobase A Matrix'!$D$4:$GU$203)))</f>
        <v>1.6166346670919602E-8</v>
      </c>
      <c r="AE33">
        <f t="array" ref="AE33">SUMPRODUCT(IF('Exiobase A Matrix'!$C$4:$C$203='Cement and Glass Split'!$A33,IF('Exiobase A Matrix'!$D$3:$GU$3='Cement and Glass Split'!AE$2,'Exiobase A Matrix'!$D$4:$GU$203)))</f>
        <v>6.3283470739543095E-3</v>
      </c>
      <c r="AF33">
        <f t="array" ref="AF33">SUMPRODUCT(IF('Exiobase A Matrix'!$C$4:$C$203='Cement and Glass Split'!$A33,IF('Exiobase A Matrix'!$D$3:$GU$3='Cement and Glass Split'!AF$2,'Exiobase A Matrix'!$D$4:$GU$203)))</f>
        <v>3.3302280025704479E-3</v>
      </c>
      <c r="AG33">
        <f t="array" ref="AG33">SUMPRODUCT(IF('Exiobase A Matrix'!$C$4:$C$203='Cement and Glass Split'!$A33,IF('Exiobase A Matrix'!$D$3:$GU$3='Cement and Glass Split'!AG$2,'Exiobase A Matrix'!$D$4:$GU$203)))</f>
        <v>0</v>
      </c>
      <c r="AH33">
        <f t="array" ref="AH33">SUMPRODUCT(IF('Exiobase A Matrix'!$C$4:$C$203='Cement and Glass Split'!$A33,IF('Exiobase A Matrix'!$D$3:$GU$3='Cement and Glass Split'!AH$2,'Exiobase A Matrix'!$D$4:$GU$203)))</f>
        <v>1.4316169126629257E-10</v>
      </c>
      <c r="AI33">
        <f t="array" ref="AI33">SUMPRODUCT(IF('Exiobase A Matrix'!$C$4:$C$203='Cement and Glass Split'!$A33,IF('Exiobase A Matrix'!$D$3:$GU$3='Cement and Glass Split'!AI$2,'Exiobase A Matrix'!$D$4:$GU$203)))</f>
        <v>3.5753664597698814E-3</v>
      </c>
      <c r="AJ33">
        <f t="array" ref="AJ33">SUMPRODUCT(IF('Exiobase A Matrix'!$C$4:$C$203='Cement and Glass Split'!$A33,IF('Exiobase A Matrix'!$D$3:$GU$3='Cement and Glass Split'!AJ$2,'Exiobase A Matrix'!$D$4:$GU$203)))</f>
        <v>5.5663792101039819E-2</v>
      </c>
      <c r="AK33">
        <f t="array" ref="AK33">SUMPRODUCT(IF('Exiobase A Matrix'!$C$4:$C$203='Cement and Glass Split'!$A33,IF('Exiobase A Matrix'!$D$3:$GU$3='Cement and Glass Split'!AK$2,'Exiobase A Matrix'!$D$4:$GU$203)))</f>
        <v>3.4141855257688526E-3</v>
      </c>
      <c r="AL33">
        <f t="array" ref="AL33">SUMPRODUCT(IF('Exiobase A Matrix'!$C$4:$C$203='Cement and Glass Split'!$A33,IF('Exiobase A Matrix'!$D$3:$GU$3='Cement and Glass Split'!AL$2,'Exiobase A Matrix'!$D$4:$GU$203)))</f>
        <v>7.5581288104869887E-2</v>
      </c>
      <c r="AM33">
        <f t="array" ref="AM33">SUMPRODUCT(IF('Exiobase A Matrix'!$C$4:$C$203='Cement and Glass Split'!$A33,IF('Exiobase A Matrix'!$D$3:$GU$3='Cement and Glass Split'!AM$2,'Exiobase A Matrix'!$D$4:$GU$203)))</f>
        <v>8.9079872186633019E-2</v>
      </c>
      <c r="AN33">
        <f t="array" ref="AN33">SUMPRODUCT(IF('Exiobase A Matrix'!$C$4:$C$203='Cement and Glass Split'!$A33,IF('Exiobase A Matrix'!$D$3:$GU$3='Cement and Glass Split'!AN$2,'Exiobase A Matrix'!$D$4:$GU$203)))</f>
        <v>2.3855830250675121E-2</v>
      </c>
      <c r="AO33">
        <f t="array" ref="AO33">SUMPRODUCT(IF('Exiobase A Matrix'!$C$4:$C$203='Cement and Glass Split'!$A33,IF('Exiobase A Matrix'!$D$3:$GU$3='Cement and Glass Split'!AO$2,'Exiobase A Matrix'!$D$4:$GU$203)))</f>
        <v>6.9979264333227154E-2</v>
      </c>
      <c r="AP33">
        <f t="array" ref="AP33">SUMPRODUCT(IF('Exiobase A Matrix'!$C$4:$C$203='Cement and Glass Split'!$A33,IF('Exiobase A Matrix'!$D$3:$GU$3='Cement and Glass Split'!AP$2,'Exiobase A Matrix'!$D$4:$GU$203)))</f>
        <v>0.56836049307817038</v>
      </c>
      <c r="AQ33">
        <f t="array" ref="AQ33">SUMPRODUCT(IF('Exiobase A Matrix'!$C$4:$C$203='Cement and Glass Split'!$A33,IF('Exiobase A Matrix'!$D$3:$GU$3='Cement and Glass Split'!AQ$2,'Exiobase A Matrix'!$D$4:$GU$203)))</f>
        <v>5.1415425212566535E-4</v>
      </c>
    </row>
    <row r="34" spans="1:43">
      <c r="A34" t="s">
        <v>24</v>
      </c>
      <c r="B34">
        <f t="array" ref="B34">SUMPRODUCT(IF('Exiobase A Matrix'!$C$4:$C$203='Cement and Glass Split'!$A34,IF('Exiobase A Matrix'!$D$3:$GU$3='Cement and Glass Split'!B$2,'Exiobase A Matrix'!$D$4:$GU$203)))</f>
        <v>0</v>
      </c>
      <c r="C34">
        <f t="array" ref="C34">SUMPRODUCT(IF('Exiobase A Matrix'!$C$4:$C$203='Cement and Glass Split'!$A34,IF('Exiobase A Matrix'!$D$3:$GU$3='Cement and Glass Split'!C$2,'Exiobase A Matrix'!$D$4:$GU$203)))</f>
        <v>0</v>
      </c>
      <c r="D34">
        <f t="array" ref="D34">SUMPRODUCT(IF('Exiobase A Matrix'!$C$4:$C$203='Cement and Glass Split'!$A34,IF('Exiobase A Matrix'!$D$3:$GU$3='Cement and Glass Split'!D$2,'Exiobase A Matrix'!$D$4:$GU$203)))</f>
        <v>0</v>
      </c>
      <c r="E34">
        <f t="array" ref="E34">SUMPRODUCT(IF('Exiobase A Matrix'!$C$4:$C$203='Cement and Glass Split'!$A34,IF('Exiobase A Matrix'!$D$3:$GU$3='Cement and Glass Split'!E$2,'Exiobase A Matrix'!$D$4:$GU$203)))</f>
        <v>0</v>
      </c>
      <c r="F34">
        <f t="array" ref="F34">SUMPRODUCT(IF('Exiobase A Matrix'!$C$4:$C$203='Cement and Glass Split'!$A34,IF('Exiobase A Matrix'!$D$3:$GU$3='Cement and Glass Split'!F$2,'Exiobase A Matrix'!$D$4:$GU$203)))</f>
        <v>0</v>
      </c>
      <c r="G34">
        <f t="array" ref="G34">SUMPRODUCT(IF('Exiobase A Matrix'!$C$4:$C$203='Cement and Glass Split'!$A34,IF('Exiobase A Matrix'!$D$3:$GU$3='Cement and Glass Split'!G$2,'Exiobase A Matrix'!$D$4:$GU$203)))</f>
        <v>0</v>
      </c>
      <c r="H34">
        <f t="array" ref="H34">SUMPRODUCT(IF('Exiobase A Matrix'!$C$4:$C$203='Cement and Glass Split'!$A34,IF('Exiobase A Matrix'!$D$3:$GU$3='Cement and Glass Split'!H$2,'Exiobase A Matrix'!$D$4:$GU$203)))</f>
        <v>0</v>
      </c>
      <c r="I34">
        <f t="array" ref="I34">SUMPRODUCT(IF('Exiobase A Matrix'!$C$4:$C$203='Cement and Glass Split'!$A34,IF('Exiobase A Matrix'!$D$3:$GU$3='Cement and Glass Split'!I$2,'Exiobase A Matrix'!$D$4:$GU$203)))</f>
        <v>0</v>
      </c>
      <c r="J34">
        <f t="array" ref="J34">SUMPRODUCT(IF('Exiobase A Matrix'!$C$4:$C$203='Cement and Glass Split'!$A34,IF('Exiobase A Matrix'!$D$3:$GU$3='Cement and Glass Split'!J$2,'Exiobase A Matrix'!$D$4:$GU$203)))</f>
        <v>0</v>
      </c>
      <c r="K34">
        <f t="array" ref="K34">SUMPRODUCT(IF('Exiobase A Matrix'!$C$4:$C$203='Cement and Glass Split'!$A34,IF('Exiobase A Matrix'!$D$3:$GU$3='Cement and Glass Split'!K$2,'Exiobase A Matrix'!$D$4:$GU$203)))</f>
        <v>0</v>
      </c>
      <c r="L34">
        <f t="array" ref="L34">SUMPRODUCT(IF('Exiobase A Matrix'!$C$4:$C$203='Cement and Glass Split'!$A34,IF('Exiobase A Matrix'!$D$3:$GU$3='Cement and Glass Split'!L$2,'Exiobase A Matrix'!$D$4:$GU$203)))</f>
        <v>0</v>
      </c>
      <c r="M34">
        <f t="array" ref="M34">SUMPRODUCT(IF('Exiobase A Matrix'!$C$4:$C$203='Cement and Glass Split'!$A34,IF('Exiobase A Matrix'!$D$3:$GU$3='Cement and Glass Split'!M$2,'Exiobase A Matrix'!$D$4:$GU$203)))</f>
        <v>0</v>
      </c>
      <c r="N34">
        <f t="array" ref="N34">SUMPRODUCT(IF('Exiobase A Matrix'!$C$4:$C$203='Cement and Glass Split'!$A34,IF('Exiobase A Matrix'!$D$3:$GU$3='Cement and Glass Split'!N$2,'Exiobase A Matrix'!$D$4:$GU$203)))</f>
        <v>0</v>
      </c>
      <c r="O34">
        <f t="array" ref="O34">SUMPRODUCT(IF('Exiobase A Matrix'!$C$4:$C$203='Cement and Glass Split'!$A34,IF('Exiobase A Matrix'!$D$3:$GU$3='Cement and Glass Split'!O$2,'Exiobase A Matrix'!$D$4:$GU$203)))</f>
        <v>0</v>
      </c>
      <c r="P34">
        <f t="array" ref="P34">SUMPRODUCT(IF('Exiobase A Matrix'!$C$4:$C$203='Cement and Glass Split'!$A34,IF('Exiobase A Matrix'!$D$3:$GU$3='Cement and Glass Split'!P$2,'Exiobase A Matrix'!$D$4:$GU$203)))</f>
        <v>0</v>
      </c>
      <c r="Q34">
        <f t="array" ref="Q34">SUMPRODUCT(IF('Exiobase A Matrix'!$C$4:$C$203='Cement and Glass Split'!$A34,IF('Exiobase A Matrix'!$D$3:$GU$3='Cement and Glass Split'!Q$2,'Exiobase A Matrix'!$D$4:$GU$203)))</f>
        <v>0</v>
      </c>
      <c r="R34">
        <f t="array" ref="R34">SUMPRODUCT(IF('Exiobase A Matrix'!$C$4:$C$203='Cement and Glass Split'!$A34,IF('Exiobase A Matrix'!$D$3:$GU$3='Cement and Glass Split'!R$2,'Exiobase A Matrix'!$D$4:$GU$203)))</f>
        <v>0</v>
      </c>
      <c r="S34">
        <f t="array" ref="S34">SUMPRODUCT(IF('Exiobase A Matrix'!$C$4:$C$203='Cement and Glass Split'!$A34,IF('Exiobase A Matrix'!$D$3:$GU$3='Cement and Glass Split'!S$2,'Exiobase A Matrix'!$D$4:$GU$203)))</f>
        <v>0</v>
      </c>
      <c r="T34">
        <f t="array" ref="T34">SUMPRODUCT(IF('Exiobase A Matrix'!$C$4:$C$203='Cement and Glass Split'!$A34,IF('Exiobase A Matrix'!$D$3:$GU$3='Cement and Glass Split'!T$2,'Exiobase A Matrix'!$D$4:$GU$203)))</f>
        <v>0</v>
      </c>
      <c r="U34">
        <f t="array" ref="U34">SUMPRODUCT(IF('Exiobase A Matrix'!$C$4:$C$203='Cement and Glass Split'!$A34,IF('Exiobase A Matrix'!$D$3:$GU$3='Cement and Glass Split'!U$2,'Exiobase A Matrix'!$D$4:$GU$203)))</f>
        <v>0</v>
      </c>
      <c r="V34">
        <f t="array" ref="V34">SUMPRODUCT(IF('Exiobase A Matrix'!$C$4:$C$203='Cement and Glass Split'!$A34,IF('Exiobase A Matrix'!$D$3:$GU$3='Cement and Glass Split'!V$2,'Exiobase A Matrix'!$D$4:$GU$203)))</f>
        <v>0</v>
      </c>
      <c r="W34">
        <f t="array" ref="W34">SUMPRODUCT(IF('Exiobase A Matrix'!$C$4:$C$203='Cement and Glass Split'!$A34,IF('Exiobase A Matrix'!$D$3:$GU$3='Cement and Glass Split'!W$2,'Exiobase A Matrix'!$D$4:$GU$203)))</f>
        <v>0</v>
      </c>
      <c r="X34">
        <f t="array" ref="X34">SUMPRODUCT(IF('Exiobase A Matrix'!$C$4:$C$203='Cement and Glass Split'!$A34,IF('Exiobase A Matrix'!$D$3:$GU$3='Cement and Glass Split'!X$2,'Exiobase A Matrix'!$D$4:$GU$203)))</f>
        <v>0</v>
      </c>
      <c r="Y34">
        <f t="array" ref="Y34">SUMPRODUCT(IF('Exiobase A Matrix'!$C$4:$C$203='Cement and Glass Split'!$A34,IF('Exiobase A Matrix'!$D$3:$GU$3='Cement and Glass Split'!Y$2,'Exiobase A Matrix'!$D$4:$GU$203)))</f>
        <v>0</v>
      </c>
      <c r="Z34">
        <f t="array" ref="Z34">SUMPRODUCT(IF('Exiobase A Matrix'!$C$4:$C$203='Cement and Glass Split'!$A34,IF('Exiobase A Matrix'!$D$3:$GU$3='Cement and Glass Split'!Z$2,'Exiobase A Matrix'!$D$4:$GU$203)))</f>
        <v>0</v>
      </c>
      <c r="AA34">
        <f t="array" ref="AA34">SUMPRODUCT(IF('Exiobase A Matrix'!$C$4:$C$203='Cement and Glass Split'!$A34,IF('Exiobase A Matrix'!$D$3:$GU$3='Cement and Glass Split'!AA$2,'Exiobase A Matrix'!$D$4:$GU$203)))</f>
        <v>0</v>
      </c>
      <c r="AB34">
        <f t="array" ref="AB34">SUMPRODUCT(IF('Exiobase A Matrix'!$C$4:$C$203='Cement and Glass Split'!$A34,IF('Exiobase A Matrix'!$D$3:$GU$3='Cement and Glass Split'!AB$2,'Exiobase A Matrix'!$D$4:$GU$203)))</f>
        <v>0</v>
      </c>
      <c r="AC34">
        <f t="array" ref="AC34">SUMPRODUCT(IF('Exiobase A Matrix'!$C$4:$C$203='Cement and Glass Split'!$A34,IF('Exiobase A Matrix'!$D$3:$GU$3='Cement and Glass Split'!AC$2,'Exiobase A Matrix'!$D$4:$GU$203)))</f>
        <v>0</v>
      </c>
      <c r="AD34">
        <f t="array" ref="AD34">SUMPRODUCT(IF('Exiobase A Matrix'!$C$4:$C$203='Cement and Glass Split'!$A34,IF('Exiobase A Matrix'!$D$3:$GU$3='Cement and Glass Split'!AD$2,'Exiobase A Matrix'!$D$4:$GU$203)))</f>
        <v>0</v>
      </c>
      <c r="AE34">
        <f t="array" ref="AE34">SUMPRODUCT(IF('Exiobase A Matrix'!$C$4:$C$203='Cement and Glass Split'!$A34,IF('Exiobase A Matrix'!$D$3:$GU$3='Cement and Glass Split'!AE$2,'Exiobase A Matrix'!$D$4:$GU$203)))</f>
        <v>0</v>
      </c>
      <c r="AF34">
        <f t="array" ref="AF34">SUMPRODUCT(IF('Exiobase A Matrix'!$C$4:$C$203='Cement and Glass Split'!$A34,IF('Exiobase A Matrix'!$D$3:$GU$3='Cement and Glass Split'!AF$2,'Exiobase A Matrix'!$D$4:$GU$203)))</f>
        <v>0</v>
      </c>
      <c r="AG34">
        <f t="array" ref="AG34">SUMPRODUCT(IF('Exiobase A Matrix'!$C$4:$C$203='Cement and Glass Split'!$A34,IF('Exiobase A Matrix'!$D$3:$GU$3='Cement and Glass Split'!AG$2,'Exiobase A Matrix'!$D$4:$GU$203)))</f>
        <v>0</v>
      </c>
      <c r="AH34">
        <f t="array" ref="AH34">SUMPRODUCT(IF('Exiobase A Matrix'!$C$4:$C$203='Cement and Glass Split'!$A34,IF('Exiobase A Matrix'!$D$3:$GU$3='Cement and Glass Split'!AH$2,'Exiobase A Matrix'!$D$4:$GU$203)))</f>
        <v>0</v>
      </c>
      <c r="AI34">
        <f t="array" ref="AI34">SUMPRODUCT(IF('Exiobase A Matrix'!$C$4:$C$203='Cement and Glass Split'!$A34,IF('Exiobase A Matrix'!$D$3:$GU$3='Cement and Glass Split'!AI$2,'Exiobase A Matrix'!$D$4:$GU$203)))</f>
        <v>0</v>
      </c>
      <c r="AJ34">
        <f t="array" ref="AJ34">SUMPRODUCT(IF('Exiobase A Matrix'!$C$4:$C$203='Cement and Glass Split'!$A34,IF('Exiobase A Matrix'!$D$3:$GU$3='Cement and Glass Split'!AJ$2,'Exiobase A Matrix'!$D$4:$GU$203)))</f>
        <v>0</v>
      </c>
      <c r="AK34">
        <f t="array" ref="AK34">SUMPRODUCT(IF('Exiobase A Matrix'!$C$4:$C$203='Cement and Glass Split'!$A34,IF('Exiobase A Matrix'!$D$3:$GU$3='Cement and Glass Split'!AK$2,'Exiobase A Matrix'!$D$4:$GU$203)))</f>
        <v>0</v>
      </c>
      <c r="AL34">
        <f t="array" ref="AL34">SUMPRODUCT(IF('Exiobase A Matrix'!$C$4:$C$203='Cement and Glass Split'!$A34,IF('Exiobase A Matrix'!$D$3:$GU$3='Cement and Glass Split'!AL$2,'Exiobase A Matrix'!$D$4:$GU$203)))</f>
        <v>0</v>
      </c>
      <c r="AM34">
        <f t="array" ref="AM34">SUMPRODUCT(IF('Exiobase A Matrix'!$C$4:$C$203='Cement and Glass Split'!$A34,IF('Exiobase A Matrix'!$D$3:$GU$3='Cement and Glass Split'!AM$2,'Exiobase A Matrix'!$D$4:$GU$203)))</f>
        <v>0</v>
      </c>
      <c r="AN34">
        <f t="array" ref="AN34">SUMPRODUCT(IF('Exiobase A Matrix'!$C$4:$C$203='Cement and Glass Split'!$A34,IF('Exiobase A Matrix'!$D$3:$GU$3='Cement and Glass Split'!AN$2,'Exiobase A Matrix'!$D$4:$GU$203)))</f>
        <v>0</v>
      </c>
      <c r="AO34">
        <f t="array" ref="AO34">SUMPRODUCT(IF('Exiobase A Matrix'!$C$4:$C$203='Cement and Glass Split'!$A34,IF('Exiobase A Matrix'!$D$3:$GU$3='Cement and Glass Split'!AO$2,'Exiobase A Matrix'!$D$4:$GU$203)))</f>
        <v>0</v>
      </c>
      <c r="AP34">
        <f t="array" ref="AP34">SUMPRODUCT(IF('Exiobase A Matrix'!$C$4:$C$203='Cement and Glass Split'!$A34,IF('Exiobase A Matrix'!$D$3:$GU$3='Cement and Glass Split'!AP$2,'Exiobase A Matrix'!$D$4:$GU$203)))</f>
        <v>0</v>
      </c>
      <c r="AQ34">
        <f t="array" ref="AQ34">SUMPRODUCT(IF('Exiobase A Matrix'!$C$4:$C$203='Cement and Glass Split'!$A34,IF('Exiobase A Matrix'!$D$3:$GU$3='Cement and Glass Split'!AQ$2,'Exiobase A Matrix'!$D$4:$GU$203)))</f>
        <v>0</v>
      </c>
    </row>
    <row r="35" spans="1:43">
      <c r="A35" t="s">
        <v>25</v>
      </c>
      <c r="B35">
        <f t="array" ref="B35">SUMPRODUCT(IF('Exiobase A Matrix'!$C$4:$C$203='Cement and Glass Split'!$A35,IF('Exiobase A Matrix'!$D$3:$GU$3='Cement and Glass Split'!B$2,'Exiobase A Matrix'!$D$4:$GU$203)))</f>
        <v>0.1322083411858454</v>
      </c>
      <c r="C35">
        <f t="array" ref="C35">SUMPRODUCT(IF('Exiobase A Matrix'!$C$4:$C$203='Cement and Glass Split'!$A35,IF('Exiobase A Matrix'!$D$3:$GU$3='Cement and Glass Split'!C$2,'Exiobase A Matrix'!$D$4:$GU$203)))</f>
        <v>4.7779478893636283E-2</v>
      </c>
      <c r="D35">
        <f t="array" ref="D35">SUMPRODUCT(IF('Exiobase A Matrix'!$C$4:$C$203='Cement and Glass Split'!$A35,IF('Exiobase A Matrix'!$D$3:$GU$3='Cement and Glass Split'!D$2,'Exiobase A Matrix'!$D$4:$GU$203)))</f>
        <v>2.4079825453093614E-3</v>
      </c>
      <c r="E35">
        <f t="array" ref="E35">SUMPRODUCT(IF('Exiobase A Matrix'!$C$4:$C$203='Cement and Glass Split'!$A35,IF('Exiobase A Matrix'!$D$3:$GU$3='Cement and Glass Split'!E$2,'Exiobase A Matrix'!$D$4:$GU$203)))</f>
        <v>2.0225397505385753E-2</v>
      </c>
      <c r="F35">
        <f t="array" ref="F35">SUMPRODUCT(IF('Exiobase A Matrix'!$C$4:$C$203='Cement and Glass Split'!$A35,IF('Exiobase A Matrix'!$D$3:$GU$3='Cement and Glass Split'!F$2,'Exiobase A Matrix'!$D$4:$GU$203)))</f>
        <v>0</v>
      </c>
      <c r="G35">
        <f t="array" ref="G35">SUMPRODUCT(IF('Exiobase A Matrix'!$C$4:$C$203='Cement and Glass Split'!$A35,IF('Exiobase A Matrix'!$D$3:$GU$3='Cement and Glass Split'!G$2,'Exiobase A Matrix'!$D$4:$GU$203)))</f>
        <v>0.13110116573646743</v>
      </c>
      <c r="H35">
        <f t="array" ref="H35">SUMPRODUCT(IF('Exiobase A Matrix'!$C$4:$C$203='Cement and Glass Split'!$A35,IF('Exiobase A Matrix'!$D$3:$GU$3='Cement and Glass Split'!H$2,'Exiobase A Matrix'!$D$4:$GU$203)))</f>
        <v>5.2374147369628241E-2</v>
      </c>
      <c r="I35">
        <f t="array" ref="I35">SUMPRODUCT(IF('Exiobase A Matrix'!$C$4:$C$203='Cement and Glass Split'!$A35,IF('Exiobase A Matrix'!$D$3:$GU$3='Cement and Glass Split'!I$2,'Exiobase A Matrix'!$D$4:$GU$203)))</f>
        <v>8.8785814903055739E-3</v>
      </c>
      <c r="J35">
        <f t="array" ref="J35">SUMPRODUCT(IF('Exiobase A Matrix'!$C$4:$C$203='Cement and Glass Split'!$A35,IF('Exiobase A Matrix'!$D$3:$GU$3='Cement and Glass Split'!J$2,'Exiobase A Matrix'!$D$4:$GU$203)))</f>
        <v>6.5631807326269845E-2</v>
      </c>
      <c r="K35">
        <f t="array" ref="K35">SUMPRODUCT(IF('Exiobase A Matrix'!$C$4:$C$203='Cement and Glass Split'!$A35,IF('Exiobase A Matrix'!$D$3:$GU$3='Cement and Glass Split'!K$2,'Exiobase A Matrix'!$D$4:$GU$203)))</f>
        <v>0.20675521186339738</v>
      </c>
      <c r="L35">
        <f t="array" ref="L35">SUMPRODUCT(IF('Exiobase A Matrix'!$C$4:$C$203='Cement and Glass Split'!$A35,IF('Exiobase A Matrix'!$D$3:$GU$3='Cement and Glass Split'!L$2,'Exiobase A Matrix'!$D$4:$GU$203)))</f>
        <v>5.593959676834253E-2</v>
      </c>
      <c r="M35">
        <f t="array" ref="M35">SUMPRODUCT(IF('Exiobase A Matrix'!$C$4:$C$203='Cement and Glass Split'!$A35,IF('Exiobase A Matrix'!$D$3:$GU$3='Cement and Glass Split'!M$2,'Exiobase A Matrix'!$D$4:$GU$203)))</f>
        <v>0</v>
      </c>
      <c r="N35">
        <f t="array" ref="N35">SUMPRODUCT(IF('Exiobase A Matrix'!$C$4:$C$203='Cement and Glass Split'!$A35,IF('Exiobase A Matrix'!$D$3:$GU$3='Cement and Glass Split'!N$2,'Exiobase A Matrix'!$D$4:$GU$203)))</f>
        <v>1.1736235853763561E-2</v>
      </c>
      <c r="O35">
        <f t="array" ref="O35">SUMPRODUCT(IF('Exiobase A Matrix'!$C$4:$C$203='Cement and Glass Split'!$A35,IF('Exiobase A Matrix'!$D$3:$GU$3='Cement and Glass Split'!O$2,'Exiobase A Matrix'!$D$4:$GU$203)))</f>
        <v>1.5883978391898441E-2</v>
      </c>
      <c r="P35">
        <f t="array" ref="P35">SUMPRODUCT(IF('Exiobase A Matrix'!$C$4:$C$203='Cement and Glass Split'!$A35,IF('Exiobase A Matrix'!$D$3:$GU$3='Cement and Glass Split'!P$2,'Exiobase A Matrix'!$D$4:$GU$203)))</f>
        <v>8.7785513866931258E-2</v>
      </c>
      <c r="Q35">
        <f t="array" ref="Q35">SUMPRODUCT(IF('Exiobase A Matrix'!$C$4:$C$203='Cement and Glass Split'!$A35,IF('Exiobase A Matrix'!$D$3:$GU$3='Cement and Glass Split'!Q$2,'Exiobase A Matrix'!$D$4:$GU$203)))</f>
        <v>3.3201664226927201E-3</v>
      </c>
      <c r="R35">
        <f t="array" ref="R35">SUMPRODUCT(IF('Exiobase A Matrix'!$C$4:$C$203='Cement and Glass Split'!$A35,IF('Exiobase A Matrix'!$D$3:$GU$3='Cement and Glass Split'!R$2,'Exiobase A Matrix'!$D$4:$GU$203)))</f>
        <v>3.6841424161709518E-2</v>
      </c>
      <c r="S35">
        <f t="array" ref="S35">SUMPRODUCT(IF('Exiobase A Matrix'!$C$4:$C$203='Cement and Glass Split'!$A35,IF('Exiobase A Matrix'!$D$3:$GU$3='Cement and Glass Split'!S$2,'Exiobase A Matrix'!$D$4:$GU$203)))</f>
        <v>7.6224617182696595E-3</v>
      </c>
      <c r="T35">
        <f t="array" ref="T35">SUMPRODUCT(IF('Exiobase A Matrix'!$C$4:$C$203='Cement and Glass Split'!$A35,IF('Exiobase A Matrix'!$D$3:$GU$3='Cement and Glass Split'!T$2,'Exiobase A Matrix'!$D$4:$GU$203)))</f>
        <v>2.4420604286191781E-2</v>
      </c>
      <c r="U35">
        <f t="array" ref="U35">SUMPRODUCT(IF('Exiobase A Matrix'!$C$4:$C$203='Cement and Glass Split'!$A35,IF('Exiobase A Matrix'!$D$3:$GU$3='Cement and Glass Split'!U$2,'Exiobase A Matrix'!$D$4:$GU$203)))</f>
        <v>9.6410840777800769E-3</v>
      </c>
      <c r="V35">
        <f t="array" ref="V35">SUMPRODUCT(IF('Exiobase A Matrix'!$C$4:$C$203='Cement and Glass Split'!$A35,IF('Exiobase A Matrix'!$D$3:$GU$3='Cement and Glass Split'!V$2,'Exiobase A Matrix'!$D$4:$GU$203)))</f>
        <v>9.339055462409181E-3</v>
      </c>
      <c r="W35">
        <f t="array" ref="W35">SUMPRODUCT(IF('Exiobase A Matrix'!$C$4:$C$203='Cement and Glass Split'!$A35,IF('Exiobase A Matrix'!$D$3:$GU$3='Cement and Glass Split'!W$2,'Exiobase A Matrix'!$D$4:$GU$203)))</f>
        <v>4.0479760679079544E-3</v>
      </c>
      <c r="X35">
        <f t="array" ref="X35">SUMPRODUCT(IF('Exiobase A Matrix'!$C$4:$C$203='Cement and Glass Split'!$A35,IF('Exiobase A Matrix'!$D$3:$GU$3='Cement and Glass Split'!X$2,'Exiobase A Matrix'!$D$4:$GU$203)))</f>
        <v>6.6506677736606788E-3</v>
      </c>
      <c r="Y35">
        <f t="array" ref="Y35">SUMPRODUCT(IF('Exiobase A Matrix'!$C$4:$C$203='Cement and Glass Split'!$A35,IF('Exiobase A Matrix'!$D$3:$GU$3='Cement and Glass Split'!Y$2,'Exiobase A Matrix'!$D$4:$GU$203)))</f>
        <v>1.1805435587996269E-2</v>
      </c>
      <c r="Z35">
        <f t="array" ref="Z35">SUMPRODUCT(IF('Exiobase A Matrix'!$C$4:$C$203='Cement and Glass Split'!$A35,IF('Exiobase A Matrix'!$D$3:$GU$3='Cement and Glass Split'!Z$2,'Exiobase A Matrix'!$D$4:$GU$203)))</f>
        <v>0.1059064161526215</v>
      </c>
      <c r="AA35">
        <f t="array" ref="AA35">SUMPRODUCT(IF('Exiobase A Matrix'!$C$4:$C$203='Cement and Glass Split'!$A35,IF('Exiobase A Matrix'!$D$3:$GU$3='Cement and Glass Split'!AA$2,'Exiobase A Matrix'!$D$4:$GU$203)))</f>
        <v>2.0643595802632927E-3</v>
      </c>
      <c r="AB35">
        <f t="array" ref="AB35">SUMPRODUCT(IF('Exiobase A Matrix'!$C$4:$C$203='Cement and Glass Split'!$A35,IF('Exiobase A Matrix'!$D$3:$GU$3='Cement and Glass Split'!AB$2,'Exiobase A Matrix'!$D$4:$GU$203)))</f>
        <v>0.12056288057854804</v>
      </c>
      <c r="AC35">
        <f t="array" ref="AC35">SUMPRODUCT(IF('Exiobase A Matrix'!$C$4:$C$203='Cement and Glass Split'!$A35,IF('Exiobase A Matrix'!$D$3:$GU$3='Cement and Glass Split'!AC$2,'Exiobase A Matrix'!$D$4:$GU$203)))</f>
        <v>1.0913867894051538E-2</v>
      </c>
      <c r="AD35">
        <f t="array" ref="AD35">SUMPRODUCT(IF('Exiobase A Matrix'!$C$4:$C$203='Cement and Glass Split'!$A35,IF('Exiobase A Matrix'!$D$3:$GU$3='Cement and Glass Split'!AD$2,'Exiobase A Matrix'!$D$4:$GU$203)))</f>
        <v>2.5444065446321264E-8</v>
      </c>
      <c r="AE35">
        <f t="array" ref="AE35">SUMPRODUCT(IF('Exiobase A Matrix'!$C$4:$C$203='Cement and Glass Split'!$A35,IF('Exiobase A Matrix'!$D$3:$GU$3='Cement and Glass Split'!AE$2,'Exiobase A Matrix'!$D$4:$GU$203)))</f>
        <v>0.19741229156289605</v>
      </c>
      <c r="AF35">
        <f t="array" ref="AF35">SUMPRODUCT(IF('Exiobase A Matrix'!$C$4:$C$203='Cement and Glass Split'!$A35,IF('Exiobase A Matrix'!$D$3:$GU$3='Cement and Glass Split'!AF$2,'Exiobase A Matrix'!$D$4:$GU$203)))</f>
        <v>9.0255250031315848E-3</v>
      </c>
      <c r="AG35">
        <f t="array" ref="AG35">SUMPRODUCT(IF('Exiobase A Matrix'!$C$4:$C$203='Cement and Glass Split'!$A35,IF('Exiobase A Matrix'!$D$3:$GU$3='Cement and Glass Split'!AG$2,'Exiobase A Matrix'!$D$4:$GU$203)))</f>
        <v>0</v>
      </c>
      <c r="AH35">
        <f t="array" ref="AH35">SUMPRODUCT(IF('Exiobase A Matrix'!$C$4:$C$203='Cement and Glass Split'!$A35,IF('Exiobase A Matrix'!$D$3:$GU$3='Cement and Glass Split'!AH$2,'Exiobase A Matrix'!$D$4:$GU$203)))</f>
        <v>5.8046439084707878E-2</v>
      </c>
      <c r="AI35">
        <f t="array" ref="AI35">SUMPRODUCT(IF('Exiobase A Matrix'!$C$4:$C$203='Cement and Glass Split'!$A35,IF('Exiobase A Matrix'!$D$3:$GU$3='Cement and Glass Split'!AI$2,'Exiobase A Matrix'!$D$4:$GU$203)))</f>
        <v>0.113236994830925</v>
      </c>
      <c r="AJ35">
        <f t="array" ref="AJ35">SUMPRODUCT(IF('Exiobase A Matrix'!$C$4:$C$203='Cement and Glass Split'!$A35,IF('Exiobase A Matrix'!$D$3:$GU$3='Cement and Glass Split'!AJ$2,'Exiobase A Matrix'!$D$4:$GU$203)))</f>
        <v>0.39955664908916244</v>
      </c>
      <c r="AK35">
        <f t="array" ref="AK35">SUMPRODUCT(IF('Exiobase A Matrix'!$C$4:$C$203='Cement and Glass Split'!$A35,IF('Exiobase A Matrix'!$D$3:$GU$3='Cement and Glass Split'!AK$2,'Exiobase A Matrix'!$D$4:$GU$203)))</f>
        <v>1.6432211243747448E-2</v>
      </c>
      <c r="AL35">
        <f t="array" ref="AL35">SUMPRODUCT(IF('Exiobase A Matrix'!$C$4:$C$203='Cement and Glass Split'!$A35,IF('Exiobase A Matrix'!$D$3:$GU$3='Cement and Glass Split'!AL$2,'Exiobase A Matrix'!$D$4:$GU$203)))</f>
        <v>0.22306458723775591</v>
      </c>
      <c r="AM35">
        <f t="array" ref="AM35">SUMPRODUCT(IF('Exiobase A Matrix'!$C$4:$C$203='Cement and Glass Split'!$A35,IF('Exiobase A Matrix'!$D$3:$GU$3='Cement and Glass Split'!AM$2,'Exiobase A Matrix'!$D$4:$GU$203)))</f>
        <v>2.2318790133001226E-2</v>
      </c>
      <c r="AN35">
        <f t="array" ref="AN35">SUMPRODUCT(IF('Exiobase A Matrix'!$C$4:$C$203='Cement and Glass Split'!$A35,IF('Exiobase A Matrix'!$D$3:$GU$3='Cement and Glass Split'!AN$2,'Exiobase A Matrix'!$D$4:$GU$203)))</f>
        <v>3.451039907197876E-2</v>
      </c>
      <c r="AO35">
        <f t="array" ref="AO35">SUMPRODUCT(IF('Exiobase A Matrix'!$C$4:$C$203='Cement and Glass Split'!$A35,IF('Exiobase A Matrix'!$D$3:$GU$3='Cement and Glass Split'!AO$2,'Exiobase A Matrix'!$D$4:$GU$203)))</f>
        <v>1.5274287682638636E-2</v>
      </c>
      <c r="AP35">
        <f t="array" ref="AP35">SUMPRODUCT(IF('Exiobase A Matrix'!$C$4:$C$203='Cement and Glass Split'!$A35,IF('Exiobase A Matrix'!$D$3:$GU$3='Cement and Glass Split'!AP$2,'Exiobase A Matrix'!$D$4:$GU$203)))</f>
        <v>0.13301806731326057</v>
      </c>
      <c r="AQ35">
        <f t="array" ref="AQ35">SUMPRODUCT(IF('Exiobase A Matrix'!$C$4:$C$203='Cement and Glass Split'!$A35,IF('Exiobase A Matrix'!$D$3:$GU$3='Cement and Glass Split'!AQ$2,'Exiobase A Matrix'!$D$4:$GU$203)))</f>
        <v>1.8774735247636492E-6</v>
      </c>
    </row>
    <row r="36" spans="1:43">
      <c r="A36" t="s">
        <v>26</v>
      </c>
      <c r="B36">
        <f t="array" ref="B36">SUMPRODUCT(IF('Exiobase A Matrix'!$C$4:$C$203='Cement and Glass Split'!$A36,IF('Exiobase A Matrix'!$D$3:$GU$3='Cement and Glass Split'!B$2,'Exiobase A Matrix'!$D$4:$GU$203)))</f>
        <v>2.8440405071561642E-4</v>
      </c>
      <c r="C36">
        <f t="array" ref="C36">SUMPRODUCT(IF('Exiobase A Matrix'!$C$4:$C$203='Cement and Glass Split'!$A36,IF('Exiobase A Matrix'!$D$3:$GU$3='Cement and Glass Split'!C$2,'Exiobase A Matrix'!$D$4:$GU$203)))</f>
        <v>1.7732174377958097E-3</v>
      </c>
      <c r="D36">
        <f t="array" ref="D36">SUMPRODUCT(IF('Exiobase A Matrix'!$C$4:$C$203='Cement and Glass Split'!$A36,IF('Exiobase A Matrix'!$D$3:$GU$3='Cement and Glass Split'!D$2,'Exiobase A Matrix'!$D$4:$GU$203)))</f>
        <v>6.6267208714544158E-6</v>
      </c>
      <c r="E36">
        <f t="array" ref="E36">SUMPRODUCT(IF('Exiobase A Matrix'!$C$4:$C$203='Cement and Glass Split'!$A36,IF('Exiobase A Matrix'!$D$3:$GU$3='Cement and Glass Split'!E$2,'Exiobase A Matrix'!$D$4:$GU$203)))</f>
        <v>1.2186451680686736E-4</v>
      </c>
      <c r="F36">
        <f t="array" ref="F36">SUMPRODUCT(IF('Exiobase A Matrix'!$C$4:$C$203='Cement and Glass Split'!$A36,IF('Exiobase A Matrix'!$D$3:$GU$3='Cement and Glass Split'!F$2,'Exiobase A Matrix'!$D$4:$GU$203)))</f>
        <v>0</v>
      </c>
      <c r="G36">
        <f t="array" ref="G36">SUMPRODUCT(IF('Exiobase A Matrix'!$C$4:$C$203='Cement and Glass Split'!$A36,IF('Exiobase A Matrix'!$D$3:$GU$3='Cement and Glass Split'!G$2,'Exiobase A Matrix'!$D$4:$GU$203)))</f>
        <v>1.4980424021294677E-2</v>
      </c>
      <c r="H36">
        <f t="array" ref="H36">SUMPRODUCT(IF('Exiobase A Matrix'!$C$4:$C$203='Cement and Glass Split'!$A36,IF('Exiobase A Matrix'!$D$3:$GU$3='Cement and Glass Split'!H$2,'Exiobase A Matrix'!$D$4:$GU$203)))</f>
        <v>7.622331275820609E-3</v>
      </c>
      <c r="I36">
        <f t="array" ref="I36">SUMPRODUCT(IF('Exiobase A Matrix'!$C$4:$C$203='Cement and Glass Split'!$A36,IF('Exiobase A Matrix'!$D$3:$GU$3='Cement and Glass Split'!I$2,'Exiobase A Matrix'!$D$4:$GU$203)))</f>
        <v>9.5212278896887636E-4</v>
      </c>
      <c r="J36">
        <f t="array" ref="J36">SUMPRODUCT(IF('Exiobase A Matrix'!$C$4:$C$203='Cement and Glass Split'!$A36,IF('Exiobase A Matrix'!$D$3:$GU$3='Cement and Glass Split'!J$2,'Exiobase A Matrix'!$D$4:$GU$203)))</f>
        <v>6.2385267750954577E-3</v>
      </c>
      <c r="K36">
        <f t="array" ref="K36">SUMPRODUCT(IF('Exiobase A Matrix'!$C$4:$C$203='Cement and Glass Split'!$A36,IF('Exiobase A Matrix'!$D$3:$GU$3='Cement and Glass Split'!K$2,'Exiobase A Matrix'!$D$4:$GU$203)))</f>
        <v>9.4306442209512203E-2</v>
      </c>
      <c r="L36">
        <f t="array" ref="L36">SUMPRODUCT(IF('Exiobase A Matrix'!$C$4:$C$203='Cement and Glass Split'!$A36,IF('Exiobase A Matrix'!$D$3:$GU$3='Cement and Glass Split'!L$2,'Exiobase A Matrix'!$D$4:$GU$203)))</f>
        <v>2.2982843970744161E-2</v>
      </c>
      <c r="M36">
        <f t="array" ref="M36">SUMPRODUCT(IF('Exiobase A Matrix'!$C$4:$C$203='Cement and Glass Split'!$A36,IF('Exiobase A Matrix'!$D$3:$GU$3='Cement and Glass Split'!M$2,'Exiobase A Matrix'!$D$4:$GU$203)))</f>
        <v>0</v>
      </c>
      <c r="N36">
        <f t="array" ref="N36">SUMPRODUCT(IF('Exiobase A Matrix'!$C$4:$C$203='Cement and Glass Split'!$A36,IF('Exiobase A Matrix'!$D$3:$GU$3='Cement and Glass Split'!N$2,'Exiobase A Matrix'!$D$4:$GU$203)))</f>
        <v>1.4094403785281024E-3</v>
      </c>
      <c r="O36">
        <f t="array" ref="O36">SUMPRODUCT(IF('Exiobase A Matrix'!$C$4:$C$203='Cement and Glass Split'!$A36,IF('Exiobase A Matrix'!$D$3:$GU$3='Cement and Glass Split'!O$2,'Exiobase A Matrix'!$D$4:$GU$203)))</f>
        <v>2.4158217334354524E-3</v>
      </c>
      <c r="P36">
        <f t="array" ref="P36">SUMPRODUCT(IF('Exiobase A Matrix'!$C$4:$C$203='Cement and Glass Split'!$A36,IF('Exiobase A Matrix'!$D$3:$GU$3='Cement and Glass Split'!P$2,'Exiobase A Matrix'!$D$4:$GU$203)))</f>
        <v>4.1819059821082815E-3</v>
      </c>
      <c r="Q36">
        <f t="array" ref="Q36">SUMPRODUCT(IF('Exiobase A Matrix'!$C$4:$C$203='Cement and Glass Split'!$A36,IF('Exiobase A Matrix'!$D$3:$GU$3='Cement and Glass Split'!Q$2,'Exiobase A Matrix'!$D$4:$GU$203)))</f>
        <v>1.4230446239619299E-3</v>
      </c>
      <c r="R36">
        <f t="array" ref="R36">SUMPRODUCT(IF('Exiobase A Matrix'!$C$4:$C$203='Cement and Glass Split'!$A36,IF('Exiobase A Matrix'!$D$3:$GU$3='Cement and Glass Split'!R$2,'Exiobase A Matrix'!$D$4:$GU$203)))</f>
        <v>2.1849743762212638E-2</v>
      </c>
      <c r="S36">
        <f t="array" ref="S36">SUMPRODUCT(IF('Exiobase A Matrix'!$C$4:$C$203='Cement and Glass Split'!$A36,IF('Exiobase A Matrix'!$D$3:$GU$3='Cement and Glass Split'!S$2,'Exiobase A Matrix'!$D$4:$GU$203)))</f>
        <v>2.6759369075768738E-3</v>
      </c>
      <c r="T36">
        <f t="array" ref="T36">SUMPRODUCT(IF('Exiobase A Matrix'!$C$4:$C$203='Cement and Glass Split'!$A36,IF('Exiobase A Matrix'!$D$3:$GU$3='Cement and Glass Split'!T$2,'Exiobase A Matrix'!$D$4:$GU$203)))</f>
        <v>8.8874476235866612E-3</v>
      </c>
      <c r="U36">
        <f t="array" ref="U36">SUMPRODUCT(IF('Exiobase A Matrix'!$C$4:$C$203='Cement and Glass Split'!$A36,IF('Exiobase A Matrix'!$D$3:$GU$3='Cement and Glass Split'!U$2,'Exiobase A Matrix'!$D$4:$GU$203)))</f>
        <v>2.6283567478096433E-3</v>
      </c>
      <c r="V36">
        <f t="array" ref="V36">SUMPRODUCT(IF('Exiobase A Matrix'!$C$4:$C$203='Cement and Glass Split'!$A36,IF('Exiobase A Matrix'!$D$3:$GU$3='Cement and Glass Split'!V$2,'Exiobase A Matrix'!$D$4:$GU$203)))</f>
        <v>2.7917341752756028E-3</v>
      </c>
      <c r="W36">
        <f t="array" ref="W36">SUMPRODUCT(IF('Exiobase A Matrix'!$C$4:$C$203='Cement and Glass Split'!$A36,IF('Exiobase A Matrix'!$D$3:$GU$3='Cement and Glass Split'!W$2,'Exiobase A Matrix'!$D$4:$GU$203)))</f>
        <v>3.8483076701231403E-4</v>
      </c>
      <c r="X36">
        <f t="array" ref="X36">SUMPRODUCT(IF('Exiobase A Matrix'!$C$4:$C$203='Cement and Glass Split'!$A36,IF('Exiobase A Matrix'!$D$3:$GU$3='Cement and Glass Split'!X$2,'Exiobase A Matrix'!$D$4:$GU$203)))</f>
        <v>5.6882732794704544E-3</v>
      </c>
      <c r="Y36">
        <f t="array" ref="Y36">SUMPRODUCT(IF('Exiobase A Matrix'!$C$4:$C$203='Cement and Glass Split'!$A36,IF('Exiobase A Matrix'!$D$3:$GU$3='Cement and Glass Split'!Y$2,'Exiobase A Matrix'!$D$4:$GU$203)))</f>
        <v>3.0925365148251195E-3</v>
      </c>
      <c r="Z36">
        <f t="array" ref="Z36">SUMPRODUCT(IF('Exiobase A Matrix'!$C$4:$C$203='Cement and Glass Split'!$A36,IF('Exiobase A Matrix'!$D$3:$GU$3='Cement and Glass Split'!Z$2,'Exiobase A Matrix'!$D$4:$GU$203)))</f>
        <v>4.5440016557313903E-2</v>
      </c>
      <c r="AA36">
        <f t="array" ref="AA36">SUMPRODUCT(IF('Exiobase A Matrix'!$C$4:$C$203='Cement and Glass Split'!$A36,IF('Exiobase A Matrix'!$D$3:$GU$3='Cement and Glass Split'!AA$2,'Exiobase A Matrix'!$D$4:$GU$203)))</f>
        <v>7.3102398245101727E-4</v>
      </c>
      <c r="AB36">
        <f t="array" ref="AB36">SUMPRODUCT(IF('Exiobase A Matrix'!$C$4:$C$203='Cement and Glass Split'!$A36,IF('Exiobase A Matrix'!$D$3:$GU$3='Cement and Glass Split'!AB$2,'Exiobase A Matrix'!$D$4:$GU$203)))</f>
        <v>3.3947268985495993E-2</v>
      </c>
      <c r="AC36">
        <f t="array" ref="AC36">SUMPRODUCT(IF('Exiobase A Matrix'!$C$4:$C$203='Cement and Glass Split'!$A36,IF('Exiobase A Matrix'!$D$3:$GU$3='Cement and Glass Split'!AC$2,'Exiobase A Matrix'!$D$4:$GU$203)))</f>
        <v>1.5421979929436406E-3</v>
      </c>
      <c r="AD36">
        <f t="array" ref="AD36">SUMPRODUCT(IF('Exiobase A Matrix'!$C$4:$C$203='Cement and Glass Split'!$A36,IF('Exiobase A Matrix'!$D$3:$GU$3='Cement and Glass Split'!AD$2,'Exiobase A Matrix'!$D$4:$GU$203)))</f>
        <v>1.8029815387046921E-8</v>
      </c>
      <c r="AE36">
        <f t="array" ref="AE36">SUMPRODUCT(IF('Exiobase A Matrix'!$C$4:$C$203='Cement and Glass Split'!$A36,IF('Exiobase A Matrix'!$D$3:$GU$3='Cement and Glass Split'!AE$2,'Exiobase A Matrix'!$D$4:$GU$203)))</f>
        <v>2.9576374573648681E-3</v>
      </c>
      <c r="AF36">
        <f t="array" ref="AF36">SUMPRODUCT(IF('Exiobase A Matrix'!$C$4:$C$203='Cement and Glass Split'!$A36,IF('Exiobase A Matrix'!$D$3:$GU$3='Cement and Glass Split'!AF$2,'Exiobase A Matrix'!$D$4:$GU$203)))</f>
        <v>2.452455399742063E-4</v>
      </c>
      <c r="AG36">
        <f t="array" ref="AG36">SUMPRODUCT(IF('Exiobase A Matrix'!$C$4:$C$203='Cement and Glass Split'!$A36,IF('Exiobase A Matrix'!$D$3:$GU$3='Cement and Glass Split'!AG$2,'Exiobase A Matrix'!$D$4:$GU$203)))</f>
        <v>0</v>
      </c>
      <c r="AH36">
        <f t="array" ref="AH36">SUMPRODUCT(IF('Exiobase A Matrix'!$C$4:$C$203='Cement and Glass Split'!$A36,IF('Exiobase A Matrix'!$D$3:$GU$3='Cement and Glass Split'!AH$2,'Exiobase A Matrix'!$D$4:$GU$203)))</f>
        <v>2.1642832377361466E-10</v>
      </c>
      <c r="AI36">
        <f t="array" ref="AI36">SUMPRODUCT(IF('Exiobase A Matrix'!$C$4:$C$203='Cement and Glass Split'!$A36,IF('Exiobase A Matrix'!$D$3:$GU$3='Cement and Glass Split'!AI$2,'Exiobase A Matrix'!$D$4:$GU$203)))</f>
        <v>2.1887209528126495E-2</v>
      </c>
      <c r="AJ36">
        <f t="array" ref="AJ36">SUMPRODUCT(IF('Exiobase A Matrix'!$C$4:$C$203='Cement and Glass Split'!$A36,IF('Exiobase A Matrix'!$D$3:$GU$3='Cement and Glass Split'!AJ$2,'Exiobase A Matrix'!$D$4:$GU$203)))</f>
        <v>2.3762438669058524E-2</v>
      </c>
      <c r="AK36">
        <f t="array" ref="AK36">SUMPRODUCT(IF('Exiobase A Matrix'!$C$4:$C$203='Cement and Glass Split'!$A36,IF('Exiobase A Matrix'!$D$3:$GU$3='Cement and Glass Split'!AK$2,'Exiobase A Matrix'!$D$4:$GU$203)))</f>
        <v>1.3431494332470535E-3</v>
      </c>
      <c r="AL36">
        <f t="array" ref="AL36">SUMPRODUCT(IF('Exiobase A Matrix'!$C$4:$C$203='Cement and Glass Split'!$A36,IF('Exiobase A Matrix'!$D$3:$GU$3='Cement and Glass Split'!AL$2,'Exiobase A Matrix'!$D$4:$GU$203)))</f>
        <v>1.0113636888899045E-2</v>
      </c>
      <c r="AM36">
        <f t="array" ref="AM36">SUMPRODUCT(IF('Exiobase A Matrix'!$C$4:$C$203='Cement and Glass Split'!$A36,IF('Exiobase A Matrix'!$D$3:$GU$3='Cement and Glass Split'!AM$2,'Exiobase A Matrix'!$D$4:$GU$203)))</f>
        <v>3.2198629205404407E-3</v>
      </c>
      <c r="AN36">
        <f t="array" ref="AN36">SUMPRODUCT(IF('Exiobase A Matrix'!$C$4:$C$203='Cement and Glass Split'!$A36,IF('Exiobase A Matrix'!$D$3:$GU$3='Cement and Glass Split'!AN$2,'Exiobase A Matrix'!$D$4:$GU$203)))</f>
        <v>3.6145243747963893E-3</v>
      </c>
      <c r="AO36">
        <f t="array" ref="AO36">SUMPRODUCT(IF('Exiobase A Matrix'!$C$4:$C$203='Cement and Glass Split'!$A36,IF('Exiobase A Matrix'!$D$3:$GU$3='Cement and Glass Split'!AO$2,'Exiobase A Matrix'!$D$4:$GU$203)))</f>
        <v>8.4487535754101798E-4</v>
      </c>
      <c r="AP36">
        <f t="array" ref="AP36">SUMPRODUCT(IF('Exiobase A Matrix'!$C$4:$C$203='Cement and Glass Split'!$A36,IF('Exiobase A Matrix'!$D$3:$GU$3='Cement and Glass Split'!AP$2,'Exiobase A Matrix'!$D$4:$GU$203)))</f>
        <v>7.1620541862890876E-3</v>
      </c>
      <c r="AQ36">
        <f t="array" ref="AQ36">SUMPRODUCT(IF('Exiobase A Matrix'!$C$4:$C$203='Cement and Glass Split'!$A36,IF('Exiobase A Matrix'!$D$3:$GU$3='Cement and Glass Split'!AQ$2,'Exiobase A Matrix'!$D$4:$GU$203)))</f>
        <v>3.1572988549734184E-7</v>
      </c>
    </row>
    <row r="37" spans="1:43">
      <c r="A37" t="s">
        <v>27</v>
      </c>
      <c r="B37">
        <f t="array" ref="B37">SUMPRODUCT(IF('Exiobase A Matrix'!$C$4:$C$203='Cement and Glass Split'!$A37,IF('Exiobase A Matrix'!$D$3:$GU$3='Cement and Glass Split'!B$2,'Exiobase A Matrix'!$D$4:$GU$203)))</f>
        <v>0.1058648139742483</v>
      </c>
      <c r="C37">
        <f t="array" ref="C37">SUMPRODUCT(IF('Exiobase A Matrix'!$C$4:$C$203='Cement and Glass Split'!$A37,IF('Exiobase A Matrix'!$D$3:$GU$3='Cement and Glass Split'!C$2,'Exiobase A Matrix'!$D$4:$GU$203)))</f>
        <v>4.2731059715657039E-3</v>
      </c>
      <c r="D37">
        <f t="array" ref="D37">SUMPRODUCT(IF('Exiobase A Matrix'!$C$4:$C$203='Cement and Glass Split'!$A37,IF('Exiobase A Matrix'!$D$3:$GU$3='Cement and Glass Split'!D$2,'Exiobase A Matrix'!$D$4:$GU$203)))</f>
        <v>7.2937972288370087E-4</v>
      </c>
      <c r="E37">
        <f t="array" ref="E37">SUMPRODUCT(IF('Exiobase A Matrix'!$C$4:$C$203='Cement and Glass Split'!$A37,IF('Exiobase A Matrix'!$D$3:$GU$3='Cement and Glass Split'!E$2,'Exiobase A Matrix'!$D$4:$GU$203)))</f>
        <v>2.5423895194379997E-2</v>
      </c>
      <c r="F37">
        <f t="array" ref="F37">SUMPRODUCT(IF('Exiobase A Matrix'!$C$4:$C$203='Cement and Glass Split'!$A37,IF('Exiobase A Matrix'!$D$3:$GU$3='Cement and Glass Split'!F$2,'Exiobase A Matrix'!$D$4:$GU$203)))</f>
        <v>0</v>
      </c>
      <c r="G37">
        <f t="array" ref="G37">SUMPRODUCT(IF('Exiobase A Matrix'!$C$4:$C$203='Cement and Glass Split'!$A37,IF('Exiobase A Matrix'!$D$3:$GU$3='Cement and Glass Split'!G$2,'Exiobase A Matrix'!$D$4:$GU$203)))</f>
        <v>0.10067762146887312</v>
      </c>
      <c r="H37">
        <f t="array" ref="H37">SUMPRODUCT(IF('Exiobase A Matrix'!$C$4:$C$203='Cement and Glass Split'!$A37,IF('Exiobase A Matrix'!$D$3:$GU$3='Cement and Glass Split'!H$2,'Exiobase A Matrix'!$D$4:$GU$203)))</f>
        <v>5.2433207728771886E-2</v>
      </c>
      <c r="I37">
        <f t="array" ref="I37">SUMPRODUCT(IF('Exiobase A Matrix'!$C$4:$C$203='Cement and Glass Split'!$A37,IF('Exiobase A Matrix'!$D$3:$GU$3='Cement and Glass Split'!I$2,'Exiobase A Matrix'!$D$4:$GU$203)))</f>
        <v>1.2317096994511948E-2</v>
      </c>
      <c r="J37">
        <f t="array" ref="J37">SUMPRODUCT(IF('Exiobase A Matrix'!$C$4:$C$203='Cement and Glass Split'!$A37,IF('Exiobase A Matrix'!$D$3:$GU$3='Cement and Glass Split'!J$2,'Exiobase A Matrix'!$D$4:$GU$203)))</f>
        <v>5.7183100662476533E-2</v>
      </c>
      <c r="K37">
        <f t="array" ref="K37">SUMPRODUCT(IF('Exiobase A Matrix'!$C$4:$C$203='Cement and Glass Split'!$A37,IF('Exiobase A Matrix'!$D$3:$GU$3='Cement and Glass Split'!K$2,'Exiobase A Matrix'!$D$4:$GU$203)))</f>
        <v>0.29484423384735559</v>
      </c>
      <c r="L37">
        <f t="array" ref="L37">SUMPRODUCT(IF('Exiobase A Matrix'!$C$4:$C$203='Cement and Glass Split'!$A37,IF('Exiobase A Matrix'!$D$3:$GU$3='Cement and Glass Split'!L$2,'Exiobase A Matrix'!$D$4:$GU$203)))</f>
        <v>3.5032016730896495E-2</v>
      </c>
      <c r="M37">
        <f t="array" ref="M37">SUMPRODUCT(IF('Exiobase A Matrix'!$C$4:$C$203='Cement and Glass Split'!$A37,IF('Exiobase A Matrix'!$D$3:$GU$3='Cement and Glass Split'!M$2,'Exiobase A Matrix'!$D$4:$GU$203)))</f>
        <v>0</v>
      </c>
      <c r="N37">
        <f t="array" ref="N37">SUMPRODUCT(IF('Exiobase A Matrix'!$C$4:$C$203='Cement and Glass Split'!$A37,IF('Exiobase A Matrix'!$D$3:$GU$3='Cement and Glass Split'!N$2,'Exiobase A Matrix'!$D$4:$GU$203)))</f>
        <v>1.1731684977037918E-2</v>
      </c>
      <c r="O37">
        <f t="array" ref="O37">SUMPRODUCT(IF('Exiobase A Matrix'!$C$4:$C$203='Cement and Glass Split'!$A37,IF('Exiobase A Matrix'!$D$3:$GU$3='Cement and Glass Split'!O$2,'Exiobase A Matrix'!$D$4:$GU$203)))</f>
        <v>6.784018508651451E-3</v>
      </c>
      <c r="P37">
        <f t="array" ref="P37">SUMPRODUCT(IF('Exiobase A Matrix'!$C$4:$C$203='Cement and Glass Split'!$A37,IF('Exiobase A Matrix'!$D$3:$GU$3='Cement and Glass Split'!P$2,'Exiobase A Matrix'!$D$4:$GU$203)))</f>
        <v>3.6158380600097441E-2</v>
      </c>
      <c r="Q37">
        <f t="array" ref="Q37">SUMPRODUCT(IF('Exiobase A Matrix'!$C$4:$C$203='Cement and Glass Split'!$A37,IF('Exiobase A Matrix'!$D$3:$GU$3='Cement and Glass Split'!Q$2,'Exiobase A Matrix'!$D$4:$GU$203)))</f>
        <v>9.6624337743729475E-3</v>
      </c>
      <c r="R37">
        <f t="array" ref="R37">SUMPRODUCT(IF('Exiobase A Matrix'!$C$4:$C$203='Cement and Glass Split'!$A37,IF('Exiobase A Matrix'!$D$3:$GU$3='Cement and Glass Split'!R$2,'Exiobase A Matrix'!$D$4:$GU$203)))</f>
        <v>7.6258096449557972E-2</v>
      </c>
      <c r="S37">
        <f t="array" ref="S37">SUMPRODUCT(IF('Exiobase A Matrix'!$C$4:$C$203='Cement and Glass Split'!$A37,IF('Exiobase A Matrix'!$D$3:$GU$3='Cement and Glass Split'!S$2,'Exiobase A Matrix'!$D$4:$GU$203)))</f>
        <v>9.2149193803356677E-3</v>
      </c>
      <c r="T37">
        <f t="array" ref="T37">SUMPRODUCT(IF('Exiobase A Matrix'!$C$4:$C$203='Cement and Glass Split'!$A37,IF('Exiobase A Matrix'!$D$3:$GU$3='Cement and Glass Split'!T$2,'Exiobase A Matrix'!$D$4:$GU$203)))</f>
        <v>2.1085368218923106E-2</v>
      </c>
      <c r="U37">
        <f t="array" ref="U37">SUMPRODUCT(IF('Exiobase A Matrix'!$C$4:$C$203='Cement and Glass Split'!$A37,IF('Exiobase A Matrix'!$D$3:$GU$3='Cement and Glass Split'!U$2,'Exiobase A Matrix'!$D$4:$GU$203)))</f>
        <v>8.4158659528070431E-3</v>
      </c>
      <c r="V37">
        <f t="array" ref="V37">SUMPRODUCT(IF('Exiobase A Matrix'!$C$4:$C$203='Cement and Glass Split'!$A37,IF('Exiobase A Matrix'!$D$3:$GU$3='Cement and Glass Split'!V$2,'Exiobase A Matrix'!$D$4:$GU$203)))</f>
        <v>1.0903360666013823E-2</v>
      </c>
      <c r="W37">
        <f t="array" ref="W37">SUMPRODUCT(IF('Exiobase A Matrix'!$C$4:$C$203='Cement and Glass Split'!$A37,IF('Exiobase A Matrix'!$D$3:$GU$3='Cement and Glass Split'!W$2,'Exiobase A Matrix'!$D$4:$GU$203)))</f>
        <v>3.4537768591596006E-3</v>
      </c>
      <c r="X37">
        <f t="array" ref="X37">SUMPRODUCT(IF('Exiobase A Matrix'!$C$4:$C$203='Cement and Glass Split'!$A37,IF('Exiobase A Matrix'!$D$3:$GU$3='Cement and Glass Split'!X$2,'Exiobase A Matrix'!$D$4:$GU$203)))</f>
        <v>1.298544623690672E-3</v>
      </c>
      <c r="Y37">
        <f t="array" ref="Y37">SUMPRODUCT(IF('Exiobase A Matrix'!$C$4:$C$203='Cement and Glass Split'!$A37,IF('Exiobase A Matrix'!$D$3:$GU$3='Cement and Glass Split'!Y$2,'Exiobase A Matrix'!$D$4:$GU$203)))</f>
        <v>1.0366006985750246E-2</v>
      </c>
      <c r="Z37">
        <f t="array" ref="Z37">SUMPRODUCT(IF('Exiobase A Matrix'!$C$4:$C$203='Cement and Glass Split'!$A37,IF('Exiobase A Matrix'!$D$3:$GU$3='Cement and Glass Split'!Z$2,'Exiobase A Matrix'!$D$4:$GU$203)))</f>
        <v>3.3482728109190583E-2</v>
      </c>
      <c r="AA37">
        <f t="array" ref="AA37">SUMPRODUCT(IF('Exiobase A Matrix'!$C$4:$C$203='Cement and Glass Split'!$A37,IF('Exiobase A Matrix'!$D$3:$GU$3='Cement and Glass Split'!AA$2,'Exiobase A Matrix'!$D$4:$GU$203)))</f>
        <v>1.2827763594954935E-2</v>
      </c>
      <c r="AB37">
        <f t="array" ref="AB37">SUMPRODUCT(IF('Exiobase A Matrix'!$C$4:$C$203='Cement and Glass Split'!$A37,IF('Exiobase A Matrix'!$D$3:$GU$3='Cement and Glass Split'!AB$2,'Exiobase A Matrix'!$D$4:$GU$203)))</f>
        <v>0.33967204559916664</v>
      </c>
      <c r="AC37">
        <f t="array" ref="AC37">SUMPRODUCT(IF('Exiobase A Matrix'!$C$4:$C$203='Cement and Glass Split'!$A37,IF('Exiobase A Matrix'!$D$3:$GU$3='Cement and Glass Split'!AC$2,'Exiobase A Matrix'!$D$4:$GU$203)))</f>
        <v>1.7136346141959299E-2</v>
      </c>
      <c r="AD37">
        <f t="array" ref="AD37">SUMPRODUCT(IF('Exiobase A Matrix'!$C$4:$C$203='Cement and Glass Split'!$A37,IF('Exiobase A Matrix'!$D$3:$GU$3='Cement and Glass Split'!AD$2,'Exiobase A Matrix'!$D$4:$GU$203)))</f>
        <v>5.1044426743141849E-8</v>
      </c>
      <c r="AE37">
        <f t="array" ref="AE37">SUMPRODUCT(IF('Exiobase A Matrix'!$C$4:$C$203='Cement and Glass Split'!$A37,IF('Exiobase A Matrix'!$D$3:$GU$3='Cement and Glass Split'!AE$2,'Exiobase A Matrix'!$D$4:$GU$203)))</f>
        <v>0.16502608013376077</v>
      </c>
      <c r="AF37">
        <f t="array" ref="AF37">SUMPRODUCT(IF('Exiobase A Matrix'!$C$4:$C$203='Cement and Glass Split'!$A37,IF('Exiobase A Matrix'!$D$3:$GU$3='Cement and Glass Split'!AF$2,'Exiobase A Matrix'!$D$4:$GU$203)))</f>
        <v>7.5791564723890776E-3</v>
      </c>
      <c r="AG37">
        <f t="array" ref="AG37">SUMPRODUCT(IF('Exiobase A Matrix'!$C$4:$C$203='Cement and Glass Split'!$A37,IF('Exiobase A Matrix'!$D$3:$GU$3='Cement and Glass Split'!AG$2,'Exiobase A Matrix'!$D$4:$GU$203)))</f>
        <v>0</v>
      </c>
      <c r="AH37">
        <f t="array" ref="AH37">SUMPRODUCT(IF('Exiobase A Matrix'!$C$4:$C$203='Cement and Glass Split'!$A37,IF('Exiobase A Matrix'!$D$3:$GU$3='Cement and Glass Split'!AH$2,'Exiobase A Matrix'!$D$4:$GU$203)))</f>
        <v>5.1084207079923327E-10</v>
      </c>
      <c r="AI37">
        <f t="array" ref="AI37">SUMPRODUCT(IF('Exiobase A Matrix'!$C$4:$C$203='Cement and Glass Split'!$A37,IF('Exiobase A Matrix'!$D$3:$GU$3='Cement and Glass Split'!AI$2,'Exiobase A Matrix'!$D$4:$GU$203)))</f>
        <v>2.7454127137327513E-3</v>
      </c>
      <c r="AJ37">
        <f t="array" ref="AJ37">SUMPRODUCT(IF('Exiobase A Matrix'!$C$4:$C$203='Cement and Glass Split'!$A37,IF('Exiobase A Matrix'!$D$3:$GU$3='Cement and Glass Split'!AJ$2,'Exiobase A Matrix'!$D$4:$GU$203)))</f>
        <v>0.71598081099028255</v>
      </c>
      <c r="AK37">
        <f t="array" ref="AK37">SUMPRODUCT(IF('Exiobase A Matrix'!$C$4:$C$203='Cement and Glass Split'!$A37,IF('Exiobase A Matrix'!$D$3:$GU$3='Cement and Glass Split'!AK$2,'Exiobase A Matrix'!$D$4:$GU$203)))</f>
        <v>0.11897990769912661</v>
      </c>
      <c r="AL37">
        <f t="array" ref="AL37">SUMPRODUCT(IF('Exiobase A Matrix'!$C$4:$C$203='Cement and Glass Split'!$A37,IF('Exiobase A Matrix'!$D$3:$GU$3='Cement and Glass Split'!AL$2,'Exiobase A Matrix'!$D$4:$GU$203)))</f>
        <v>6.8622993780076691E-2</v>
      </c>
      <c r="AM37">
        <f t="array" ref="AM37">SUMPRODUCT(IF('Exiobase A Matrix'!$C$4:$C$203='Cement and Glass Split'!$A37,IF('Exiobase A Matrix'!$D$3:$GU$3='Cement and Glass Split'!AM$2,'Exiobase A Matrix'!$D$4:$GU$203)))</f>
        <v>3.5431860443984192E-2</v>
      </c>
      <c r="AN37">
        <f t="array" ref="AN37">SUMPRODUCT(IF('Exiobase A Matrix'!$C$4:$C$203='Cement and Glass Split'!$A37,IF('Exiobase A Matrix'!$D$3:$GU$3='Cement and Glass Split'!AN$2,'Exiobase A Matrix'!$D$4:$GU$203)))</f>
        <v>2.4607668263324504E-2</v>
      </c>
      <c r="AO37">
        <f t="array" ref="AO37">SUMPRODUCT(IF('Exiobase A Matrix'!$C$4:$C$203='Cement and Glass Split'!$A37,IF('Exiobase A Matrix'!$D$3:$GU$3='Cement and Glass Split'!AO$2,'Exiobase A Matrix'!$D$4:$GU$203)))</f>
        <v>5.7899403040203606E-2</v>
      </c>
      <c r="AP37">
        <f t="array" ref="AP37">SUMPRODUCT(IF('Exiobase A Matrix'!$C$4:$C$203='Cement and Glass Split'!$A37,IF('Exiobase A Matrix'!$D$3:$GU$3='Cement and Glass Split'!AP$2,'Exiobase A Matrix'!$D$4:$GU$203)))</f>
        <v>8.073391740955492E-2</v>
      </c>
      <c r="AQ37">
        <f t="array" ref="AQ37">SUMPRODUCT(IF('Exiobase A Matrix'!$C$4:$C$203='Cement and Glass Split'!$A37,IF('Exiobase A Matrix'!$D$3:$GU$3='Cement and Glass Split'!AQ$2,'Exiobase A Matrix'!$D$4:$GU$203)))</f>
        <v>5.582070762210752E-5</v>
      </c>
    </row>
    <row r="38" spans="1:43">
      <c r="A38" t="s">
        <v>28</v>
      </c>
      <c r="B38">
        <f t="array" ref="B38">SUMPRODUCT(IF('Exiobase A Matrix'!$C$4:$C$203='Cement and Glass Split'!$A38,IF('Exiobase A Matrix'!$D$3:$GU$3='Cement and Glass Split'!B$2,'Exiobase A Matrix'!$D$4:$GU$203)))</f>
        <v>2.5210303550415501E-2</v>
      </c>
      <c r="C38">
        <f t="array" ref="C38">SUMPRODUCT(IF('Exiobase A Matrix'!$C$4:$C$203='Cement and Glass Split'!$A38,IF('Exiobase A Matrix'!$D$3:$GU$3='Cement and Glass Split'!C$2,'Exiobase A Matrix'!$D$4:$GU$203)))</f>
        <v>5.1972171462125964E-4</v>
      </c>
      <c r="D38">
        <f t="array" ref="D38">SUMPRODUCT(IF('Exiobase A Matrix'!$C$4:$C$203='Cement and Glass Split'!$A38,IF('Exiobase A Matrix'!$D$3:$GU$3='Cement and Glass Split'!D$2,'Exiobase A Matrix'!$D$4:$GU$203)))</f>
        <v>3.5142909339539628E-6</v>
      </c>
      <c r="E38">
        <f t="array" ref="E38">SUMPRODUCT(IF('Exiobase A Matrix'!$C$4:$C$203='Cement and Glass Split'!$A38,IF('Exiobase A Matrix'!$D$3:$GU$3='Cement and Glass Split'!E$2,'Exiobase A Matrix'!$D$4:$GU$203)))</f>
        <v>6.0066562972882643E-3</v>
      </c>
      <c r="F38">
        <f t="array" ref="F38">SUMPRODUCT(IF('Exiobase A Matrix'!$C$4:$C$203='Cement and Glass Split'!$A38,IF('Exiobase A Matrix'!$D$3:$GU$3='Cement and Glass Split'!F$2,'Exiobase A Matrix'!$D$4:$GU$203)))</f>
        <v>0</v>
      </c>
      <c r="G38">
        <f t="array" ref="G38">SUMPRODUCT(IF('Exiobase A Matrix'!$C$4:$C$203='Cement and Glass Split'!$A38,IF('Exiobase A Matrix'!$D$3:$GU$3='Cement and Glass Split'!G$2,'Exiobase A Matrix'!$D$4:$GU$203)))</f>
        <v>2.8407397733818066E-2</v>
      </c>
      <c r="H38">
        <f t="array" ref="H38">SUMPRODUCT(IF('Exiobase A Matrix'!$C$4:$C$203='Cement and Glass Split'!$A38,IF('Exiobase A Matrix'!$D$3:$GU$3='Cement and Glass Split'!H$2,'Exiobase A Matrix'!$D$4:$GU$203)))</f>
        <v>4.515053250874082E-2</v>
      </c>
      <c r="I38">
        <f t="array" ref="I38">SUMPRODUCT(IF('Exiobase A Matrix'!$C$4:$C$203='Cement and Glass Split'!$A38,IF('Exiobase A Matrix'!$D$3:$GU$3='Cement and Glass Split'!I$2,'Exiobase A Matrix'!$D$4:$GU$203)))</f>
        <v>2.769968985122437E-3</v>
      </c>
      <c r="J38">
        <f t="array" ref="J38">SUMPRODUCT(IF('Exiobase A Matrix'!$C$4:$C$203='Cement and Glass Split'!$A38,IF('Exiobase A Matrix'!$D$3:$GU$3='Cement and Glass Split'!J$2,'Exiobase A Matrix'!$D$4:$GU$203)))</f>
        <v>1.4935717396850928E-2</v>
      </c>
      <c r="K38">
        <f t="array" ref="K38">SUMPRODUCT(IF('Exiobase A Matrix'!$C$4:$C$203='Cement and Glass Split'!$A38,IF('Exiobase A Matrix'!$D$3:$GU$3='Cement and Glass Split'!K$2,'Exiobase A Matrix'!$D$4:$GU$203)))</f>
        <v>5.4019817387535474E-2</v>
      </c>
      <c r="L38">
        <f t="array" ref="L38">SUMPRODUCT(IF('Exiobase A Matrix'!$C$4:$C$203='Cement and Glass Split'!$A38,IF('Exiobase A Matrix'!$D$3:$GU$3='Cement and Glass Split'!L$2,'Exiobase A Matrix'!$D$4:$GU$203)))</f>
        <v>7.893506847670935E-3</v>
      </c>
      <c r="M38">
        <f t="array" ref="M38">SUMPRODUCT(IF('Exiobase A Matrix'!$C$4:$C$203='Cement and Glass Split'!$A38,IF('Exiobase A Matrix'!$D$3:$GU$3='Cement and Glass Split'!M$2,'Exiobase A Matrix'!$D$4:$GU$203)))</f>
        <v>0</v>
      </c>
      <c r="N38">
        <f t="array" ref="N38">SUMPRODUCT(IF('Exiobase A Matrix'!$C$4:$C$203='Cement and Glass Split'!$A38,IF('Exiobase A Matrix'!$D$3:$GU$3='Cement and Glass Split'!N$2,'Exiobase A Matrix'!$D$4:$GU$203)))</f>
        <v>2.7419924222884611E-3</v>
      </c>
      <c r="O38">
        <f t="array" ref="O38">SUMPRODUCT(IF('Exiobase A Matrix'!$C$4:$C$203='Cement and Glass Split'!$A38,IF('Exiobase A Matrix'!$D$3:$GU$3='Cement and Glass Split'!O$2,'Exiobase A Matrix'!$D$4:$GU$203)))</f>
        <v>2.2474291410541848E-3</v>
      </c>
      <c r="P38">
        <f t="array" ref="P38">SUMPRODUCT(IF('Exiobase A Matrix'!$C$4:$C$203='Cement and Glass Split'!$A38,IF('Exiobase A Matrix'!$D$3:$GU$3='Cement and Glass Split'!P$2,'Exiobase A Matrix'!$D$4:$GU$203)))</f>
        <v>1.2108399699380976E-2</v>
      </c>
      <c r="Q38">
        <f t="array" ref="Q38">SUMPRODUCT(IF('Exiobase A Matrix'!$C$4:$C$203='Cement and Glass Split'!$A38,IF('Exiobase A Matrix'!$D$3:$GU$3='Cement and Glass Split'!Q$2,'Exiobase A Matrix'!$D$4:$GU$203)))</f>
        <v>6.5445895909355741E-4</v>
      </c>
      <c r="R38">
        <f t="array" ref="R38">SUMPRODUCT(IF('Exiobase A Matrix'!$C$4:$C$203='Cement and Glass Split'!$A38,IF('Exiobase A Matrix'!$D$3:$GU$3='Cement and Glass Split'!R$2,'Exiobase A Matrix'!$D$4:$GU$203)))</f>
        <v>7.2448286721398577E-3</v>
      </c>
      <c r="S38">
        <f t="array" ref="S38">SUMPRODUCT(IF('Exiobase A Matrix'!$C$4:$C$203='Cement and Glass Split'!$A38,IF('Exiobase A Matrix'!$D$3:$GU$3='Cement and Glass Split'!S$2,'Exiobase A Matrix'!$D$4:$GU$203)))</f>
        <v>2.3133682330711471E-3</v>
      </c>
      <c r="T38">
        <f t="array" ref="T38">SUMPRODUCT(IF('Exiobase A Matrix'!$C$4:$C$203='Cement and Glass Split'!$A38,IF('Exiobase A Matrix'!$D$3:$GU$3='Cement and Glass Split'!T$2,'Exiobase A Matrix'!$D$4:$GU$203)))</f>
        <v>4.3634596389686645E-3</v>
      </c>
      <c r="U38">
        <f t="array" ref="U38">SUMPRODUCT(IF('Exiobase A Matrix'!$C$4:$C$203='Cement and Glass Split'!$A38,IF('Exiobase A Matrix'!$D$3:$GU$3='Cement and Glass Split'!U$2,'Exiobase A Matrix'!$D$4:$GU$203)))</f>
        <v>2.7880171936854733E-3</v>
      </c>
      <c r="V38">
        <f t="array" ref="V38">SUMPRODUCT(IF('Exiobase A Matrix'!$C$4:$C$203='Cement and Glass Split'!$A38,IF('Exiobase A Matrix'!$D$3:$GU$3='Cement and Glass Split'!V$2,'Exiobase A Matrix'!$D$4:$GU$203)))</f>
        <v>1.5230841215917196E-3</v>
      </c>
      <c r="W38">
        <f t="array" ref="W38">SUMPRODUCT(IF('Exiobase A Matrix'!$C$4:$C$203='Cement and Glass Split'!$A38,IF('Exiobase A Matrix'!$D$3:$GU$3='Cement and Glass Split'!W$2,'Exiobase A Matrix'!$D$4:$GU$203)))</f>
        <v>6.7345740556353623E-4</v>
      </c>
      <c r="X38">
        <f t="array" ref="X38">SUMPRODUCT(IF('Exiobase A Matrix'!$C$4:$C$203='Cement and Glass Split'!$A38,IF('Exiobase A Matrix'!$D$3:$GU$3='Cement and Glass Split'!X$2,'Exiobase A Matrix'!$D$4:$GU$203)))</f>
        <v>9.0511460053927309E-4</v>
      </c>
      <c r="Y38">
        <f t="array" ref="Y38">SUMPRODUCT(IF('Exiobase A Matrix'!$C$4:$C$203='Cement and Glass Split'!$A38,IF('Exiobase A Matrix'!$D$3:$GU$3='Cement and Glass Split'!Y$2,'Exiobase A Matrix'!$D$4:$GU$203)))</f>
        <v>2.2987594572975831E-3</v>
      </c>
      <c r="Z38">
        <f t="array" ref="Z38">SUMPRODUCT(IF('Exiobase A Matrix'!$C$4:$C$203='Cement and Glass Split'!$A38,IF('Exiobase A Matrix'!$D$3:$GU$3='Cement and Glass Split'!Z$2,'Exiobase A Matrix'!$D$4:$GU$203)))</f>
        <v>3.3999955620484294E-2</v>
      </c>
      <c r="AA38">
        <f t="array" ref="AA38">SUMPRODUCT(IF('Exiobase A Matrix'!$C$4:$C$203='Cement and Glass Split'!$A38,IF('Exiobase A Matrix'!$D$3:$GU$3='Cement and Glass Split'!AA$2,'Exiobase A Matrix'!$D$4:$GU$203)))</f>
        <v>1.4262691752076854E-4</v>
      </c>
      <c r="AB38">
        <f t="array" ref="AB38">SUMPRODUCT(IF('Exiobase A Matrix'!$C$4:$C$203='Cement and Glass Split'!$A38,IF('Exiobase A Matrix'!$D$3:$GU$3='Cement and Glass Split'!AB$2,'Exiobase A Matrix'!$D$4:$GU$203)))</f>
        <v>2.0903830180479633E-2</v>
      </c>
      <c r="AC38">
        <f t="array" ref="AC38">SUMPRODUCT(IF('Exiobase A Matrix'!$C$4:$C$203='Cement and Glass Split'!$A38,IF('Exiobase A Matrix'!$D$3:$GU$3='Cement and Glass Split'!AC$2,'Exiobase A Matrix'!$D$4:$GU$203)))</f>
        <v>2.4512694754060859E-3</v>
      </c>
      <c r="AD38">
        <f t="array" ref="AD38">SUMPRODUCT(IF('Exiobase A Matrix'!$C$4:$C$203='Cement and Glass Split'!$A38,IF('Exiobase A Matrix'!$D$3:$GU$3='Cement and Glass Split'!AD$2,'Exiobase A Matrix'!$D$4:$GU$203)))</f>
        <v>1.6326418188776235E-8</v>
      </c>
      <c r="AE38">
        <f t="array" ref="AE38">SUMPRODUCT(IF('Exiobase A Matrix'!$C$4:$C$203='Cement and Glass Split'!$A38,IF('Exiobase A Matrix'!$D$3:$GU$3='Cement and Glass Split'!AE$2,'Exiobase A Matrix'!$D$4:$GU$203)))</f>
        <v>6.0382517288046578E-3</v>
      </c>
      <c r="AF38">
        <f t="array" ref="AF38">SUMPRODUCT(IF('Exiobase A Matrix'!$C$4:$C$203='Cement and Glass Split'!$A38,IF('Exiobase A Matrix'!$D$3:$GU$3='Cement and Glass Split'!AF$2,'Exiobase A Matrix'!$D$4:$GU$203)))</f>
        <v>4.3158647313553955E-3</v>
      </c>
      <c r="AG38">
        <f t="array" ref="AG38">SUMPRODUCT(IF('Exiobase A Matrix'!$C$4:$C$203='Cement and Glass Split'!$A38,IF('Exiobase A Matrix'!$D$3:$GU$3='Cement and Glass Split'!AG$2,'Exiobase A Matrix'!$D$4:$GU$203)))</f>
        <v>0</v>
      </c>
      <c r="AH38">
        <f t="array" ref="AH38">SUMPRODUCT(IF('Exiobase A Matrix'!$C$4:$C$203='Cement and Glass Split'!$A38,IF('Exiobase A Matrix'!$D$3:$GU$3='Cement and Glass Split'!AH$2,'Exiobase A Matrix'!$D$4:$GU$203)))</f>
        <v>1.8014144963185842E-10</v>
      </c>
      <c r="AI38">
        <f t="array" ref="AI38">SUMPRODUCT(IF('Exiobase A Matrix'!$C$4:$C$203='Cement and Glass Split'!$A38,IF('Exiobase A Matrix'!$D$3:$GU$3='Cement and Glass Split'!AI$2,'Exiobase A Matrix'!$D$4:$GU$203)))</f>
        <v>2.4397344665371985E-2</v>
      </c>
      <c r="AJ38">
        <f t="array" ref="AJ38">SUMPRODUCT(IF('Exiobase A Matrix'!$C$4:$C$203='Cement and Glass Split'!$A38,IF('Exiobase A Matrix'!$D$3:$GU$3='Cement and Glass Split'!AJ$2,'Exiobase A Matrix'!$D$4:$GU$203)))</f>
        <v>5.732532799254858E-2</v>
      </c>
      <c r="AK38">
        <f t="array" ref="AK38">SUMPRODUCT(IF('Exiobase A Matrix'!$C$4:$C$203='Cement and Glass Split'!$A38,IF('Exiobase A Matrix'!$D$3:$GU$3='Cement and Glass Split'!AK$2,'Exiobase A Matrix'!$D$4:$GU$203)))</f>
        <v>3.4470737618519263E-3</v>
      </c>
      <c r="AL38">
        <f t="array" ref="AL38">SUMPRODUCT(IF('Exiobase A Matrix'!$C$4:$C$203='Cement and Glass Split'!$A38,IF('Exiobase A Matrix'!$D$3:$GU$3='Cement and Glass Split'!AL$2,'Exiobase A Matrix'!$D$4:$GU$203)))</f>
        <v>8.1963333912230263E-2</v>
      </c>
      <c r="AM38">
        <f t="array" ref="AM38">SUMPRODUCT(IF('Exiobase A Matrix'!$C$4:$C$203='Cement and Glass Split'!$A38,IF('Exiobase A Matrix'!$D$3:$GU$3='Cement and Glass Split'!AM$2,'Exiobase A Matrix'!$D$4:$GU$203)))</f>
        <v>4.5519382764405E-3</v>
      </c>
      <c r="AN38">
        <f t="array" ref="AN38">SUMPRODUCT(IF('Exiobase A Matrix'!$C$4:$C$203='Cement and Glass Split'!$A38,IF('Exiobase A Matrix'!$D$3:$GU$3='Cement and Glass Split'!AN$2,'Exiobase A Matrix'!$D$4:$GU$203)))</f>
        <v>1.7861788772053511E-2</v>
      </c>
      <c r="AO38">
        <f t="array" ref="AO38">SUMPRODUCT(IF('Exiobase A Matrix'!$C$4:$C$203='Cement and Glass Split'!$A38,IF('Exiobase A Matrix'!$D$3:$GU$3='Cement and Glass Split'!AO$2,'Exiobase A Matrix'!$D$4:$GU$203)))</f>
        <v>3.144938023454847E-2</v>
      </c>
      <c r="AP38">
        <f t="array" ref="AP38">SUMPRODUCT(IF('Exiobase A Matrix'!$C$4:$C$203='Cement and Glass Split'!$A38,IF('Exiobase A Matrix'!$D$3:$GU$3='Cement and Glass Split'!AP$2,'Exiobase A Matrix'!$D$4:$GU$203)))</f>
        <v>5.8996030562107164E-2</v>
      </c>
      <c r="AQ38">
        <f t="array" ref="AQ38">SUMPRODUCT(IF('Exiobase A Matrix'!$C$4:$C$203='Cement and Glass Split'!$A38,IF('Exiobase A Matrix'!$D$3:$GU$3='Cement and Glass Split'!AQ$2,'Exiobase A Matrix'!$D$4:$GU$203)))</f>
        <v>6.9840677652785159E-6</v>
      </c>
    </row>
    <row r="39" spans="1:43">
      <c r="A39" t="s">
        <v>29</v>
      </c>
      <c r="B39">
        <f t="array" ref="B39">SUMPRODUCT(IF('Exiobase A Matrix'!$C$4:$C$203='Cement and Glass Split'!$A39,IF('Exiobase A Matrix'!$D$3:$GU$3='Cement and Glass Split'!B$2,'Exiobase A Matrix'!$D$4:$GU$203)))</f>
        <v>8.7090605074083647E-3</v>
      </c>
      <c r="C39">
        <f t="array" ref="C39">SUMPRODUCT(IF('Exiobase A Matrix'!$C$4:$C$203='Cement and Glass Split'!$A39,IF('Exiobase A Matrix'!$D$3:$GU$3='Cement and Glass Split'!C$2,'Exiobase A Matrix'!$D$4:$GU$203)))</f>
        <v>3.1575304344615349E-2</v>
      </c>
      <c r="D39">
        <f t="array" ref="D39">SUMPRODUCT(IF('Exiobase A Matrix'!$C$4:$C$203='Cement and Glass Split'!$A39,IF('Exiobase A Matrix'!$D$3:$GU$3='Cement and Glass Split'!D$2,'Exiobase A Matrix'!$D$4:$GU$203)))</f>
        <v>2.5293205528611504E-3</v>
      </c>
      <c r="E39">
        <f t="array" ref="E39">SUMPRODUCT(IF('Exiobase A Matrix'!$C$4:$C$203='Cement and Glass Split'!$A39,IF('Exiobase A Matrix'!$D$3:$GU$3='Cement and Glass Split'!E$2,'Exiobase A Matrix'!$D$4:$GU$203)))</f>
        <v>3.4021593138387016E-3</v>
      </c>
      <c r="F39">
        <f t="array" ref="F39">SUMPRODUCT(IF('Exiobase A Matrix'!$C$4:$C$203='Cement and Glass Split'!$A39,IF('Exiobase A Matrix'!$D$3:$GU$3='Cement and Glass Split'!F$2,'Exiobase A Matrix'!$D$4:$GU$203)))</f>
        <v>0</v>
      </c>
      <c r="G39">
        <f t="array" ref="G39">SUMPRODUCT(IF('Exiobase A Matrix'!$C$4:$C$203='Cement and Glass Split'!$A39,IF('Exiobase A Matrix'!$D$3:$GU$3='Cement and Glass Split'!G$2,'Exiobase A Matrix'!$D$4:$GU$203)))</f>
        <v>0.24568604713991735</v>
      </c>
      <c r="H39">
        <f t="array" ref="H39">SUMPRODUCT(IF('Exiobase A Matrix'!$C$4:$C$203='Cement and Glass Split'!$A39,IF('Exiobase A Matrix'!$D$3:$GU$3='Cement and Glass Split'!H$2,'Exiobase A Matrix'!$D$4:$GU$203)))</f>
        <v>0.13591103533846846</v>
      </c>
      <c r="I39">
        <f t="array" ref="I39">SUMPRODUCT(IF('Exiobase A Matrix'!$C$4:$C$203='Cement and Glass Split'!$A39,IF('Exiobase A Matrix'!$D$3:$GU$3='Cement and Glass Split'!I$2,'Exiobase A Matrix'!$D$4:$GU$203)))</f>
        <v>9.5804778300130448E-3</v>
      </c>
      <c r="J39">
        <f t="array" ref="J39">SUMPRODUCT(IF('Exiobase A Matrix'!$C$4:$C$203='Cement and Glass Split'!$A39,IF('Exiobase A Matrix'!$D$3:$GU$3='Cement and Glass Split'!J$2,'Exiobase A Matrix'!$D$4:$GU$203)))</f>
        <v>5.0494113892947841E-2</v>
      </c>
      <c r="K39">
        <f t="array" ref="K39">SUMPRODUCT(IF('Exiobase A Matrix'!$C$4:$C$203='Cement and Glass Split'!$A39,IF('Exiobase A Matrix'!$D$3:$GU$3='Cement and Glass Split'!K$2,'Exiobase A Matrix'!$D$4:$GU$203)))</f>
        <v>0.52030546847794135</v>
      </c>
      <c r="L39">
        <f t="array" ref="L39">SUMPRODUCT(IF('Exiobase A Matrix'!$C$4:$C$203='Cement and Glass Split'!$A39,IF('Exiobase A Matrix'!$D$3:$GU$3='Cement and Glass Split'!L$2,'Exiobase A Matrix'!$D$4:$GU$203)))</f>
        <v>0.16303039066660538</v>
      </c>
      <c r="M39">
        <f t="array" ref="M39">SUMPRODUCT(IF('Exiobase A Matrix'!$C$4:$C$203='Cement and Glass Split'!$A39,IF('Exiobase A Matrix'!$D$3:$GU$3='Cement and Glass Split'!M$2,'Exiobase A Matrix'!$D$4:$GU$203)))</f>
        <v>0</v>
      </c>
      <c r="N39">
        <f t="array" ref="N39">SUMPRODUCT(IF('Exiobase A Matrix'!$C$4:$C$203='Cement and Glass Split'!$A39,IF('Exiobase A Matrix'!$D$3:$GU$3='Cement and Glass Split'!N$2,'Exiobase A Matrix'!$D$4:$GU$203)))</f>
        <v>1.6197185372884868E-2</v>
      </c>
      <c r="O39">
        <f t="array" ref="O39">SUMPRODUCT(IF('Exiobase A Matrix'!$C$4:$C$203='Cement and Glass Split'!$A39,IF('Exiobase A Matrix'!$D$3:$GU$3='Cement and Glass Split'!O$2,'Exiobase A Matrix'!$D$4:$GU$203)))</f>
        <v>4.5199432810451148E-2</v>
      </c>
      <c r="P39">
        <f t="array" ref="P39">SUMPRODUCT(IF('Exiobase A Matrix'!$C$4:$C$203='Cement and Glass Split'!$A39,IF('Exiobase A Matrix'!$D$3:$GU$3='Cement and Glass Split'!P$2,'Exiobase A Matrix'!$D$4:$GU$203)))</f>
        <v>2.9738225007793256E-2</v>
      </c>
      <c r="Q39">
        <f t="array" ref="Q39">SUMPRODUCT(IF('Exiobase A Matrix'!$C$4:$C$203='Cement and Glass Split'!$A39,IF('Exiobase A Matrix'!$D$3:$GU$3='Cement and Glass Split'!Q$2,'Exiobase A Matrix'!$D$4:$GU$203)))</f>
        <v>1.8324061801492059E-2</v>
      </c>
      <c r="R39">
        <f t="array" ref="R39">SUMPRODUCT(IF('Exiobase A Matrix'!$C$4:$C$203='Cement and Glass Split'!$A39,IF('Exiobase A Matrix'!$D$3:$GU$3='Cement and Glass Split'!R$2,'Exiobase A Matrix'!$D$4:$GU$203)))</f>
        <v>0.17484417381352585</v>
      </c>
      <c r="S39">
        <f t="array" ref="S39">SUMPRODUCT(IF('Exiobase A Matrix'!$C$4:$C$203='Cement and Glass Split'!$A39,IF('Exiobase A Matrix'!$D$3:$GU$3='Cement and Glass Split'!S$2,'Exiobase A Matrix'!$D$4:$GU$203)))</f>
        <v>1.5097037990208166E-2</v>
      </c>
      <c r="T39">
        <f t="array" ref="T39">SUMPRODUCT(IF('Exiobase A Matrix'!$C$4:$C$203='Cement and Glass Split'!$A39,IF('Exiobase A Matrix'!$D$3:$GU$3='Cement and Glass Split'!T$2,'Exiobase A Matrix'!$D$4:$GU$203)))</f>
        <v>0.17272817464331602</v>
      </c>
      <c r="U39">
        <f t="array" ref="U39">SUMPRODUCT(IF('Exiobase A Matrix'!$C$4:$C$203='Cement and Glass Split'!$A39,IF('Exiobase A Matrix'!$D$3:$GU$3='Cement and Glass Split'!U$2,'Exiobase A Matrix'!$D$4:$GU$203)))</f>
        <v>4.2039984125674862E-2</v>
      </c>
      <c r="V39">
        <f t="array" ref="V39">SUMPRODUCT(IF('Exiobase A Matrix'!$C$4:$C$203='Cement and Glass Split'!$A39,IF('Exiobase A Matrix'!$D$3:$GU$3='Cement and Glass Split'!V$2,'Exiobase A Matrix'!$D$4:$GU$203)))</f>
        <v>3.343417148338667E-2</v>
      </c>
      <c r="W39">
        <f t="array" ref="W39">SUMPRODUCT(IF('Exiobase A Matrix'!$C$4:$C$203='Cement and Glass Split'!$A39,IF('Exiobase A Matrix'!$D$3:$GU$3='Cement and Glass Split'!W$2,'Exiobase A Matrix'!$D$4:$GU$203)))</f>
        <v>1.714170801326222E-2</v>
      </c>
      <c r="X39">
        <f t="array" ref="X39">SUMPRODUCT(IF('Exiobase A Matrix'!$C$4:$C$203='Cement and Glass Split'!$A39,IF('Exiobase A Matrix'!$D$3:$GU$3='Cement and Glass Split'!X$2,'Exiobase A Matrix'!$D$4:$GU$203)))</f>
        <v>6.2223757151364245E-3</v>
      </c>
      <c r="Y39">
        <f t="array" ref="Y39">SUMPRODUCT(IF('Exiobase A Matrix'!$C$4:$C$203='Cement and Glass Split'!$A39,IF('Exiobase A Matrix'!$D$3:$GU$3='Cement and Glass Split'!Y$2,'Exiobase A Matrix'!$D$4:$GU$203)))</f>
        <v>9.9342304397692701E-3</v>
      </c>
      <c r="Z39">
        <f t="array" ref="Z39">SUMPRODUCT(IF('Exiobase A Matrix'!$C$4:$C$203='Cement and Glass Split'!$A39,IF('Exiobase A Matrix'!$D$3:$GU$3='Cement and Glass Split'!Z$2,'Exiobase A Matrix'!$D$4:$GU$203)))</f>
        <v>0.46430025983184753</v>
      </c>
      <c r="AA39">
        <f t="array" ref="AA39">SUMPRODUCT(IF('Exiobase A Matrix'!$C$4:$C$203='Cement and Glass Split'!$A39,IF('Exiobase A Matrix'!$D$3:$GU$3='Cement and Glass Split'!AA$2,'Exiobase A Matrix'!$D$4:$GU$203)))</f>
        <v>1.6352097897535767E-2</v>
      </c>
      <c r="AB39">
        <f t="array" ref="AB39">SUMPRODUCT(IF('Exiobase A Matrix'!$C$4:$C$203='Cement and Glass Split'!$A39,IF('Exiobase A Matrix'!$D$3:$GU$3='Cement and Glass Split'!AB$2,'Exiobase A Matrix'!$D$4:$GU$203)))</f>
        <v>0.20885252240184451</v>
      </c>
      <c r="AC39">
        <f t="array" ref="AC39">SUMPRODUCT(IF('Exiobase A Matrix'!$C$4:$C$203='Cement and Glass Split'!$A39,IF('Exiobase A Matrix'!$D$3:$GU$3='Cement and Glass Split'!AC$2,'Exiobase A Matrix'!$D$4:$GU$203)))</f>
        <v>5.1686641384432283E-2</v>
      </c>
      <c r="AD39">
        <f t="array" ref="AD39">SUMPRODUCT(IF('Exiobase A Matrix'!$C$4:$C$203='Cement and Glass Split'!$A39,IF('Exiobase A Matrix'!$D$3:$GU$3='Cement and Glass Split'!AD$2,'Exiobase A Matrix'!$D$4:$GU$203)))</f>
        <v>4.8999205806220951E-8</v>
      </c>
      <c r="AE39">
        <f t="array" ref="AE39">SUMPRODUCT(IF('Exiobase A Matrix'!$C$4:$C$203='Cement and Glass Split'!$A39,IF('Exiobase A Matrix'!$D$3:$GU$3='Cement and Glass Split'!AE$2,'Exiobase A Matrix'!$D$4:$GU$203)))</f>
        <v>3.2055980496770352E-2</v>
      </c>
      <c r="AF39">
        <f t="array" ref="AF39">SUMPRODUCT(IF('Exiobase A Matrix'!$C$4:$C$203='Cement and Glass Split'!$A39,IF('Exiobase A Matrix'!$D$3:$GU$3='Cement and Glass Split'!AF$2,'Exiobase A Matrix'!$D$4:$GU$203)))</f>
        <v>2.5089335953614547E-3</v>
      </c>
      <c r="AG39">
        <f t="array" ref="AG39">SUMPRODUCT(IF('Exiobase A Matrix'!$C$4:$C$203='Cement and Glass Split'!$A39,IF('Exiobase A Matrix'!$D$3:$GU$3='Cement and Glass Split'!AG$2,'Exiobase A Matrix'!$D$4:$GU$203)))</f>
        <v>0</v>
      </c>
      <c r="AH39">
        <f t="array" ref="AH39">SUMPRODUCT(IF('Exiobase A Matrix'!$C$4:$C$203='Cement and Glass Split'!$A39,IF('Exiobase A Matrix'!$D$3:$GU$3='Cement and Glass Split'!AH$2,'Exiobase A Matrix'!$D$4:$GU$203)))</f>
        <v>4.5290520692435585E-10</v>
      </c>
      <c r="AI39">
        <f t="array" ref="AI39">SUMPRODUCT(IF('Exiobase A Matrix'!$C$4:$C$203='Cement and Glass Split'!$A39,IF('Exiobase A Matrix'!$D$3:$GU$3='Cement and Glass Split'!AI$2,'Exiobase A Matrix'!$D$4:$GU$203)))</f>
        <v>8.3440204886181799E-2</v>
      </c>
      <c r="AJ39">
        <f t="array" ref="AJ39">SUMPRODUCT(IF('Exiobase A Matrix'!$C$4:$C$203='Cement and Glass Split'!$A39,IF('Exiobase A Matrix'!$D$3:$GU$3='Cement and Glass Split'!AJ$2,'Exiobase A Matrix'!$D$4:$GU$203)))</f>
        <v>0.18718939365458026</v>
      </c>
      <c r="AK39">
        <f t="array" ref="AK39">SUMPRODUCT(IF('Exiobase A Matrix'!$C$4:$C$203='Cement and Glass Split'!$A39,IF('Exiobase A Matrix'!$D$3:$GU$3='Cement and Glass Split'!AK$2,'Exiobase A Matrix'!$D$4:$GU$203)))</f>
        <v>9.1161170772046281E-3</v>
      </c>
      <c r="AL39">
        <f t="array" ref="AL39">SUMPRODUCT(IF('Exiobase A Matrix'!$C$4:$C$203='Cement and Glass Split'!$A39,IF('Exiobase A Matrix'!$D$3:$GU$3='Cement and Glass Split'!AL$2,'Exiobase A Matrix'!$D$4:$GU$203)))</f>
        <v>0.15594304991048219</v>
      </c>
      <c r="AM39">
        <f t="array" ref="AM39">SUMPRODUCT(IF('Exiobase A Matrix'!$C$4:$C$203='Cement and Glass Split'!$A39,IF('Exiobase A Matrix'!$D$3:$GU$3='Cement and Glass Split'!AM$2,'Exiobase A Matrix'!$D$4:$GU$203)))</f>
        <v>3.7402710218782664E-2</v>
      </c>
      <c r="AN39">
        <f t="array" ref="AN39">SUMPRODUCT(IF('Exiobase A Matrix'!$C$4:$C$203='Cement and Glass Split'!$A39,IF('Exiobase A Matrix'!$D$3:$GU$3='Cement and Glass Split'!AN$2,'Exiobase A Matrix'!$D$4:$GU$203)))</f>
        <v>2.3523235048655954E-2</v>
      </c>
      <c r="AO39">
        <f t="array" ref="AO39">SUMPRODUCT(IF('Exiobase A Matrix'!$C$4:$C$203='Cement and Glass Split'!$A39,IF('Exiobase A Matrix'!$D$3:$GU$3='Cement and Glass Split'!AO$2,'Exiobase A Matrix'!$D$4:$GU$203)))</f>
        <v>1.3483189164971539E-2</v>
      </c>
      <c r="AP39">
        <f t="array" ref="AP39">SUMPRODUCT(IF('Exiobase A Matrix'!$C$4:$C$203='Cement and Glass Split'!$A39,IF('Exiobase A Matrix'!$D$3:$GU$3='Cement and Glass Split'!AP$2,'Exiobase A Matrix'!$D$4:$GU$203)))</f>
        <v>0.10296772818100122</v>
      </c>
      <c r="AQ39">
        <f t="array" ref="AQ39">SUMPRODUCT(IF('Exiobase A Matrix'!$C$4:$C$203='Cement and Glass Split'!$A39,IF('Exiobase A Matrix'!$D$3:$GU$3='Cement and Glass Split'!AQ$2,'Exiobase A Matrix'!$D$4:$GU$203)))</f>
        <v>2.0853945574300772E-6</v>
      </c>
    </row>
    <row r="40" spans="1:43">
      <c r="A40" t="s">
        <v>30</v>
      </c>
      <c r="B40">
        <f t="array" ref="B40">SUMPRODUCT(IF('Exiobase A Matrix'!$C$4:$C$203='Cement and Glass Split'!$A40,IF('Exiobase A Matrix'!$D$3:$GU$3='Cement and Glass Split'!B$2,'Exiobase A Matrix'!$D$4:$GU$203)))</f>
        <v>1.9180020539905946E-3</v>
      </c>
      <c r="C40">
        <f t="array" ref="C40">SUMPRODUCT(IF('Exiobase A Matrix'!$C$4:$C$203='Cement and Glass Split'!$A40,IF('Exiobase A Matrix'!$D$3:$GU$3='Cement and Glass Split'!C$2,'Exiobase A Matrix'!$D$4:$GU$203)))</f>
        <v>0</v>
      </c>
      <c r="D40">
        <f t="array" ref="D40">SUMPRODUCT(IF('Exiobase A Matrix'!$C$4:$C$203='Cement and Glass Split'!$A40,IF('Exiobase A Matrix'!$D$3:$GU$3='Cement and Glass Split'!D$2,'Exiobase A Matrix'!$D$4:$GU$203)))</f>
        <v>0</v>
      </c>
      <c r="E40">
        <f t="array" ref="E40">SUMPRODUCT(IF('Exiobase A Matrix'!$C$4:$C$203='Cement and Glass Split'!$A40,IF('Exiobase A Matrix'!$D$3:$GU$3='Cement and Glass Split'!E$2,'Exiobase A Matrix'!$D$4:$GU$203)))</f>
        <v>0</v>
      </c>
      <c r="F40">
        <f t="array" ref="F40">SUMPRODUCT(IF('Exiobase A Matrix'!$C$4:$C$203='Cement and Glass Split'!$A40,IF('Exiobase A Matrix'!$D$3:$GU$3='Cement and Glass Split'!F$2,'Exiobase A Matrix'!$D$4:$GU$203)))</f>
        <v>0</v>
      </c>
      <c r="G40">
        <f t="array" ref="G40">SUMPRODUCT(IF('Exiobase A Matrix'!$C$4:$C$203='Cement and Glass Split'!$A40,IF('Exiobase A Matrix'!$D$3:$GU$3='Cement and Glass Split'!G$2,'Exiobase A Matrix'!$D$4:$GU$203)))</f>
        <v>0</v>
      </c>
      <c r="H40">
        <f t="array" ref="H40">SUMPRODUCT(IF('Exiobase A Matrix'!$C$4:$C$203='Cement and Glass Split'!$A40,IF('Exiobase A Matrix'!$D$3:$GU$3='Cement and Glass Split'!H$2,'Exiobase A Matrix'!$D$4:$GU$203)))</f>
        <v>0</v>
      </c>
      <c r="I40">
        <f t="array" ref="I40">SUMPRODUCT(IF('Exiobase A Matrix'!$C$4:$C$203='Cement and Glass Split'!$A40,IF('Exiobase A Matrix'!$D$3:$GU$3='Cement and Glass Split'!I$2,'Exiobase A Matrix'!$D$4:$GU$203)))</f>
        <v>0</v>
      </c>
      <c r="J40">
        <f t="array" ref="J40">SUMPRODUCT(IF('Exiobase A Matrix'!$C$4:$C$203='Cement and Glass Split'!$A40,IF('Exiobase A Matrix'!$D$3:$GU$3='Cement and Glass Split'!J$2,'Exiobase A Matrix'!$D$4:$GU$203)))</f>
        <v>0</v>
      </c>
      <c r="K40">
        <f t="array" ref="K40">SUMPRODUCT(IF('Exiobase A Matrix'!$C$4:$C$203='Cement and Glass Split'!$A40,IF('Exiobase A Matrix'!$D$3:$GU$3='Cement and Glass Split'!K$2,'Exiobase A Matrix'!$D$4:$GU$203)))</f>
        <v>0</v>
      </c>
      <c r="L40">
        <f t="array" ref="L40">SUMPRODUCT(IF('Exiobase A Matrix'!$C$4:$C$203='Cement and Glass Split'!$A40,IF('Exiobase A Matrix'!$D$3:$GU$3='Cement and Glass Split'!L$2,'Exiobase A Matrix'!$D$4:$GU$203)))</f>
        <v>0</v>
      </c>
      <c r="M40">
        <f t="array" ref="M40">SUMPRODUCT(IF('Exiobase A Matrix'!$C$4:$C$203='Cement and Glass Split'!$A40,IF('Exiobase A Matrix'!$D$3:$GU$3='Cement and Glass Split'!M$2,'Exiobase A Matrix'!$D$4:$GU$203)))</f>
        <v>0</v>
      </c>
      <c r="N40">
        <f t="array" ref="N40">SUMPRODUCT(IF('Exiobase A Matrix'!$C$4:$C$203='Cement and Glass Split'!$A40,IF('Exiobase A Matrix'!$D$3:$GU$3='Cement and Glass Split'!N$2,'Exiobase A Matrix'!$D$4:$GU$203)))</f>
        <v>0</v>
      </c>
      <c r="O40">
        <f t="array" ref="O40">SUMPRODUCT(IF('Exiobase A Matrix'!$C$4:$C$203='Cement and Glass Split'!$A40,IF('Exiobase A Matrix'!$D$3:$GU$3='Cement and Glass Split'!O$2,'Exiobase A Matrix'!$D$4:$GU$203)))</f>
        <v>0</v>
      </c>
      <c r="P40">
        <f t="array" ref="P40">SUMPRODUCT(IF('Exiobase A Matrix'!$C$4:$C$203='Cement and Glass Split'!$A40,IF('Exiobase A Matrix'!$D$3:$GU$3='Cement and Glass Split'!P$2,'Exiobase A Matrix'!$D$4:$GU$203)))</f>
        <v>0</v>
      </c>
      <c r="Q40">
        <f t="array" ref="Q40">SUMPRODUCT(IF('Exiobase A Matrix'!$C$4:$C$203='Cement and Glass Split'!$A40,IF('Exiobase A Matrix'!$D$3:$GU$3='Cement and Glass Split'!Q$2,'Exiobase A Matrix'!$D$4:$GU$203)))</f>
        <v>0</v>
      </c>
      <c r="R40">
        <f t="array" ref="R40">SUMPRODUCT(IF('Exiobase A Matrix'!$C$4:$C$203='Cement and Glass Split'!$A40,IF('Exiobase A Matrix'!$D$3:$GU$3='Cement and Glass Split'!R$2,'Exiobase A Matrix'!$D$4:$GU$203)))</f>
        <v>0</v>
      </c>
      <c r="S40">
        <f t="array" ref="S40">SUMPRODUCT(IF('Exiobase A Matrix'!$C$4:$C$203='Cement and Glass Split'!$A40,IF('Exiobase A Matrix'!$D$3:$GU$3='Cement and Glass Split'!S$2,'Exiobase A Matrix'!$D$4:$GU$203)))</f>
        <v>0</v>
      </c>
      <c r="T40">
        <f t="array" ref="T40">SUMPRODUCT(IF('Exiobase A Matrix'!$C$4:$C$203='Cement and Glass Split'!$A40,IF('Exiobase A Matrix'!$D$3:$GU$3='Cement and Glass Split'!T$2,'Exiobase A Matrix'!$D$4:$GU$203)))</f>
        <v>0</v>
      </c>
      <c r="U40">
        <f t="array" ref="U40">SUMPRODUCT(IF('Exiobase A Matrix'!$C$4:$C$203='Cement and Glass Split'!$A40,IF('Exiobase A Matrix'!$D$3:$GU$3='Cement and Glass Split'!U$2,'Exiobase A Matrix'!$D$4:$GU$203)))</f>
        <v>0</v>
      </c>
      <c r="V40">
        <f t="array" ref="V40">SUMPRODUCT(IF('Exiobase A Matrix'!$C$4:$C$203='Cement and Glass Split'!$A40,IF('Exiobase A Matrix'!$D$3:$GU$3='Cement and Glass Split'!V$2,'Exiobase A Matrix'!$D$4:$GU$203)))</f>
        <v>0</v>
      </c>
      <c r="W40">
        <f t="array" ref="W40">SUMPRODUCT(IF('Exiobase A Matrix'!$C$4:$C$203='Cement and Glass Split'!$A40,IF('Exiobase A Matrix'!$D$3:$GU$3='Cement and Glass Split'!W$2,'Exiobase A Matrix'!$D$4:$GU$203)))</f>
        <v>0</v>
      </c>
      <c r="X40">
        <f t="array" ref="X40">SUMPRODUCT(IF('Exiobase A Matrix'!$C$4:$C$203='Cement and Glass Split'!$A40,IF('Exiobase A Matrix'!$D$3:$GU$3='Cement and Glass Split'!X$2,'Exiobase A Matrix'!$D$4:$GU$203)))</f>
        <v>0</v>
      </c>
      <c r="Y40">
        <f t="array" ref="Y40">SUMPRODUCT(IF('Exiobase A Matrix'!$C$4:$C$203='Cement and Glass Split'!$A40,IF('Exiobase A Matrix'!$D$3:$GU$3='Cement and Glass Split'!Y$2,'Exiobase A Matrix'!$D$4:$GU$203)))</f>
        <v>0</v>
      </c>
      <c r="Z40">
        <f t="array" ref="Z40">SUMPRODUCT(IF('Exiobase A Matrix'!$C$4:$C$203='Cement and Glass Split'!$A40,IF('Exiobase A Matrix'!$D$3:$GU$3='Cement and Glass Split'!Z$2,'Exiobase A Matrix'!$D$4:$GU$203)))</f>
        <v>0</v>
      </c>
      <c r="AA40">
        <f t="array" ref="AA40">SUMPRODUCT(IF('Exiobase A Matrix'!$C$4:$C$203='Cement and Glass Split'!$A40,IF('Exiobase A Matrix'!$D$3:$GU$3='Cement and Glass Split'!AA$2,'Exiobase A Matrix'!$D$4:$GU$203)))</f>
        <v>0</v>
      </c>
      <c r="AB40">
        <f t="array" ref="AB40">SUMPRODUCT(IF('Exiobase A Matrix'!$C$4:$C$203='Cement and Glass Split'!$A40,IF('Exiobase A Matrix'!$D$3:$GU$3='Cement and Glass Split'!AB$2,'Exiobase A Matrix'!$D$4:$GU$203)))</f>
        <v>0</v>
      </c>
      <c r="AC40">
        <f t="array" ref="AC40">SUMPRODUCT(IF('Exiobase A Matrix'!$C$4:$C$203='Cement and Glass Split'!$A40,IF('Exiobase A Matrix'!$D$3:$GU$3='Cement and Glass Split'!AC$2,'Exiobase A Matrix'!$D$4:$GU$203)))</f>
        <v>0</v>
      </c>
      <c r="AD40">
        <f t="array" ref="AD40">SUMPRODUCT(IF('Exiobase A Matrix'!$C$4:$C$203='Cement and Glass Split'!$A40,IF('Exiobase A Matrix'!$D$3:$GU$3='Cement and Glass Split'!AD$2,'Exiobase A Matrix'!$D$4:$GU$203)))</f>
        <v>0</v>
      </c>
      <c r="AE40">
        <f t="array" ref="AE40">SUMPRODUCT(IF('Exiobase A Matrix'!$C$4:$C$203='Cement and Glass Split'!$A40,IF('Exiobase A Matrix'!$D$3:$GU$3='Cement and Glass Split'!AE$2,'Exiobase A Matrix'!$D$4:$GU$203)))</f>
        <v>3.8367674130614477E-8</v>
      </c>
      <c r="AF40">
        <f t="array" ref="AF40">SUMPRODUCT(IF('Exiobase A Matrix'!$C$4:$C$203='Cement and Glass Split'!$A40,IF('Exiobase A Matrix'!$D$3:$GU$3='Cement and Glass Split'!AF$2,'Exiobase A Matrix'!$D$4:$GU$203)))</f>
        <v>0</v>
      </c>
      <c r="AG40">
        <f t="array" ref="AG40">SUMPRODUCT(IF('Exiobase A Matrix'!$C$4:$C$203='Cement and Glass Split'!$A40,IF('Exiobase A Matrix'!$D$3:$GU$3='Cement and Glass Split'!AG$2,'Exiobase A Matrix'!$D$4:$GU$203)))</f>
        <v>0</v>
      </c>
      <c r="AH40">
        <f t="array" ref="AH40">SUMPRODUCT(IF('Exiobase A Matrix'!$C$4:$C$203='Cement and Glass Split'!$A40,IF('Exiobase A Matrix'!$D$3:$GU$3='Cement and Glass Split'!AH$2,'Exiobase A Matrix'!$D$4:$GU$203)))</f>
        <v>0</v>
      </c>
      <c r="AI40">
        <f t="array" ref="AI40">SUMPRODUCT(IF('Exiobase A Matrix'!$C$4:$C$203='Cement and Glass Split'!$A40,IF('Exiobase A Matrix'!$D$3:$GU$3='Cement and Glass Split'!AI$2,'Exiobase A Matrix'!$D$4:$GU$203)))</f>
        <v>0</v>
      </c>
      <c r="AJ40">
        <f t="array" ref="AJ40">SUMPRODUCT(IF('Exiobase A Matrix'!$C$4:$C$203='Cement and Glass Split'!$A40,IF('Exiobase A Matrix'!$D$3:$GU$3='Cement and Glass Split'!AJ$2,'Exiobase A Matrix'!$D$4:$GU$203)))</f>
        <v>0</v>
      </c>
      <c r="AK40">
        <f t="array" ref="AK40">SUMPRODUCT(IF('Exiobase A Matrix'!$C$4:$C$203='Cement and Glass Split'!$A40,IF('Exiobase A Matrix'!$D$3:$GU$3='Cement and Glass Split'!AK$2,'Exiobase A Matrix'!$D$4:$GU$203)))</f>
        <v>0</v>
      </c>
      <c r="AL40">
        <f t="array" ref="AL40">SUMPRODUCT(IF('Exiobase A Matrix'!$C$4:$C$203='Cement and Glass Split'!$A40,IF('Exiobase A Matrix'!$D$3:$GU$3='Cement and Glass Split'!AL$2,'Exiobase A Matrix'!$D$4:$GU$203)))</f>
        <v>0</v>
      </c>
      <c r="AM40">
        <f t="array" ref="AM40">SUMPRODUCT(IF('Exiobase A Matrix'!$C$4:$C$203='Cement and Glass Split'!$A40,IF('Exiobase A Matrix'!$D$3:$GU$3='Cement and Glass Split'!AM$2,'Exiobase A Matrix'!$D$4:$GU$203)))</f>
        <v>0</v>
      </c>
      <c r="AN40">
        <f t="array" ref="AN40">SUMPRODUCT(IF('Exiobase A Matrix'!$C$4:$C$203='Cement and Glass Split'!$A40,IF('Exiobase A Matrix'!$D$3:$GU$3='Cement and Glass Split'!AN$2,'Exiobase A Matrix'!$D$4:$GU$203)))</f>
        <v>0</v>
      </c>
      <c r="AO40">
        <f t="array" ref="AO40">SUMPRODUCT(IF('Exiobase A Matrix'!$C$4:$C$203='Cement and Glass Split'!$A40,IF('Exiobase A Matrix'!$D$3:$GU$3='Cement and Glass Split'!AO$2,'Exiobase A Matrix'!$D$4:$GU$203)))</f>
        <v>0</v>
      </c>
      <c r="AP40">
        <f t="array" ref="AP40">SUMPRODUCT(IF('Exiobase A Matrix'!$C$4:$C$203='Cement and Glass Split'!$A40,IF('Exiobase A Matrix'!$D$3:$GU$3='Cement and Glass Split'!AP$2,'Exiobase A Matrix'!$D$4:$GU$203)))</f>
        <v>1.0243857561078034E-8</v>
      </c>
      <c r="AQ40">
        <f t="array" ref="AQ40">SUMPRODUCT(IF('Exiobase A Matrix'!$C$4:$C$203='Cement and Glass Split'!$A40,IF('Exiobase A Matrix'!$D$3:$GU$3='Cement and Glass Split'!AQ$2,'Exiobase A Matrix'!$D$4:$GU$203)))</f>
        <v>0</v>
      </c>
    </row>
    <row r="41" spans="1:43">
      <c r="A41" t="s">
        <v>31</v>
      </c>
      <c r="B41">
        <f t="array" ref="B41">SUMPRODUCT(IF('Exiobase A Matrix'!$C$4:$C$203='Cement and Glass Split'!$A41,IF('Exiobase A Matrix'!$D$3:$GU$3='Cement and Glass Split'!B$2,'Exiobase A Matrix'!$D$4:$GU$203)))</f>
        <v>1.5016920013687191E-4</v>
      </c>
      <c r="C41">
        <f t="array" ref="C41">SUMPRODUCT(IF('Exiobase A Matrix'!$C$4:$C$203='Cement and Glass Split'!$A41,IF('Exiobase A Matrix'!$D$3:$GU$3='Cement and Glass Split'!C$2,'Exiobase A Matrix'!$D$4:$GU$203)))</f>
        <v>1.2469340426134593E-6</v>
      </c>
      <c r="D41">
        <f t="array" ref="D41">SUMPRODUCT(IF('Exiobase A Matrix'!$C$4:$C$203='Cement and Glass Split'!$A41,IF('Exiobase A Matrix'!$D$3:$GU$3='Cement and Glass Split'!D$2,'Exiobase A Matrix'!$D$4:$GU$203)))</f>
        <v>3.3776035377587216E-7</v>
      </c>
      <c r="E41">
        <f t="array" ref="E41">SUMPRODUCT(IF('Exiobase A Matrix'!$C$4:$C$203='Cement and Glass Split'!$A41,IF('Exiobase A Matrix'!$D$3:$GU$3='Cement and Glass Split'!E$2,'Exiobase A Matrix'!$D$4:$GU$203)))</f>
        <v>6.5705944045806426E-7</v>
      </c>
      <c r="F41">
        <f t="array" ref="F41">SUMPRODUCT(IF('Exiobase A Matrix'!$C$4:$C$203='Cement and Glass Split'!$A41,IF('Exiobase A Matrix'!$D$3:$GU$3='Cement and Glass Split'!F$2,'Exiobase A Matrix'!$D$4:$GU$203)))</f>
        <v>0</v>
      </c>
      <c r="G41">
        <f t="array" ref="G41">SUMPRODUCT(IF('Exiobase A Matrix'!$C$4:$C$203='Cement and Glass Split'!$A41,IF('Exiobase A Matrix'!$D$3:$GU$3='Cement and Glass Split'!G$2,'Exiobase A Matrix'!$D$4:$GU$203)))</f>
        <v>1.1605166655455578E-3</v>
      </c>
      <c r="H41">
        <f t="array" ref="H41">SUMPRODUCT(IF('Exiobase A Matrix'!$C$4:$C$203='Cement and Glass Split'!$A41,IF('Exiobase A Matrix'!$D$3:$GU$3='Cement and Glass Split'!H$2,'Exiobase A Matrix'!$D$4:$GU$203)))</f>
        <v>2.1483019049179931E-4</v>
      </c>
      <c r="I41">
        <f t="array" ref="I41">SUMPRODUCT(IF('Exiobase A Matrix'!$C$4:$C$203='Cement and Glass Split'!$A41,IF('Exiobase A Matrix'!$D$3:$GU$3='Cement and Glass Split'!I$2,'Exiobase A Matrix'!$D$4:$GU$203)))</f>
        <v>2.4932047940312095E-5</v>
      </c>
      <c r="J41">
        <f t="array" ref="J41">SUMPRODUCT(IF('Exiobase A Matrix'!$C$4:$C$203='Cement and Glass Split'!$A41,IF('Exiobase A Matrix'!$D$3:$GU$3='Cement and Glass Split'!J$2,'Exiobase A Matrix'!$D$4:$GU$203)))</f>
        <v>3.041315975416085E-5</v>
      </c>
      <c r="K41">
        <f t="array" ref="K41">SUMPRODUCT(IF('Exiobase A Matrix'!$C$4:$C$203='Cement and Glass Split'!$A41,IF('Exiobase A Matrix'!$D$3:$GU$3='Cement and Glass Split'!K$2,'Exiobase A Matrix'!$D$4:$GU$203)))</f>
        <v>1.0898082626310819E-2</v>
      </c>
      <c r="L41">
        <f t="array" ref="L41">SUMPRODUCT(IF('Exiobase A Matrix'!$C$4:$C$203='Cement and Glass Split'!$A41,IF('Exiobase A Matrix'!$D$3:$GU$3='Cement and Glass Split'!L$2,'Exiobase A Matrix'!$D$4:$GU$203)))</f>
        <v>4.8040913999110692E-4</v>
      </c>
      <c r="M41">
        <f t="array" ref="M41">SUMPRODUCT(IF('Exiobase A Matrix'!$C$4:$C$203='Cement and Glass Split'!$A41,IF('Exiobase A Matrix'!$D$3:$GU$3='Cement and Glass Split'!M$2,'Exiobase A Matrix'!$D$4:$GU$203)))</f>
        <v>0</v>
      </c>
      <c r="N41">
        <f t="array" ref="N41">SUMPRODUCT(IF('Exiobase A Matrix'!$C$4:$C$203='Cement and Glass Split'!$A41,IF('Exiobase A Matrix'!$D$3:$GU$3='Cement and Glass Split'!N$2,'Exiobase A Matrix'!$D$4:$GU$203)))</f>
        <v>9.7285235795811209E-5</v>
      </c>
      <c r="O41">
        <f t="array" ref="O41">SUMPRODUCT(IF('Exiobase A Matrix'!$C$4:$C$203='Cement and Glass Split'!$A41,IF('Exiobase A Matrix'!$D$3:$GU$3='Cement and Glass Split'!O$2,'Exiobase A Matrix'!$D$4:$GU$203)))</f>
        <v>1.3418576641391504E-4</v>
      </c>
      <c r="P41">
        <f t="array" ref="P41">SUMPRODUCT(IF('Exiobase A Matrix'!$C$4:$C$203='Cement and Glass Split'!$A41,IF('Exiobase A Matrix'!$D$3:$GU$3='Cement and Glass Split'!P$2,'Exiobase A Matrix'!$D$4:$GU$203)))</f>
        <v>2.6949253774312294E-6</v>
      </c>
      <c r="Q41">
        <f t="array" ref="Q41">SUMPRODUCT(IF('Exiobase A Matrix'!$C$4:$C$203='Cement and Glass Split'!$A41,IF('Exiobase A Matrix'!$D$3:$GU$3='Cement and Glass Split'!Q$2,'Exiobase A Matrix'!$D$4:$GU$203)))</f>
        <v>1.0814920277750617E-4</v>
      </c>
      <c r="R41">
        <f t="array" ref="R41">SUMPRODUCT(IF('Exiobase A Matrix'!$C$4:$C$203='Cement and Glass Split'!$A41,IF('Exiobase A Matrix'!$D$3:$GU$3='Cement and Glass Split'!R$2,'Exiobase A Matrix'!$D$4:$GU$203)))</f>
        <v>9.2370455918399882E-4</v>
      </c>
      <c r="S41">
        <f t="array" ref="S41">SUMPRODUCT(IF('Exiobase A Matrix'!$C$4:$C$203='Cement and Glass Split'!$A41,IF('Exiobase A Matrix'!$D$3:$GU$3='Cement and Glass Split'!S$2,'Exiobase A Matrix'!$D$4:$GU$203)))</f>
        <v>9.6817485899331978E-5</v>
      </c>
      <c r="T41">
        <f t="array" ref="T41">SUMPRODUCT(IF('Exiobase A Matrix'!$C$4:$C$203='Cement and Glass Split'!$A41,IF('Exiobase A Matrix'!$D$3:$GU$3='Cement and Glass Split'!T$2,'Exiobase A Matrix'!$D$4:$GU$203)))</f>
        <v>1.9367143950081348E-4</v>
      </c>
      <c r="U41">
        <f t="array" ref="U41">SUMPRODUCT(IF('Exiobase A Matrix'!$C$4:$C$203='Cement and Glass Split'!$A41,IF('Exiobase A Matrix'!$D$3:$GU$3='Cement and Glass Split'!U$2,'Exiobase A Matrix'!$D$4:$GU$203)))</f>
        <v>1.1094483712615323E-4</v>
      </c>
      <c r="V41">
        <f t="array" ref="V41">SUMPRODUCT(IF('Exiobase A Matrix'!$C$4:$C$203='Cement and Glass Split'!$A41,IF('Exiobase A Matrix'!$D$3:$GU$3='Cement and Glass Split'!V$2,'Exiobase A Matrix'!$D$4:$GU$203)))</f>
        <v>1.2121166108263097E-4</v>
      </c>
      <c r="W41">
        <f t="array" ref="W41">SUMPRODUCT(IF('Exiobase A Matrix'!$C$4:$C$203='Cement and Glass Split'!$A41,IF('Exiobase A Matrix'!$D$3:$GU$3='Cement and Glass Split'!W$2,'Exiobase A Matrix'!$D$4:$GU$203)))</f>
        <v>1.4059726234926299E-7</v>
      </c>
      <c r="X41">
        <f t="array" ref="X41">SUMPRODUCT(IF('Exiobase A Matrix'!$C$4:$C$203='Cement and Glass Split'!$A41,IF('Exiobase A Matrix'!$D$3:$GU$3='Cement and Glass Split'!X$2,'Exiobase A Matrix'!$D$4:$GU$203)))</f>
        <v>3.0985214370853501E-9</v>
      </c>
      <c r="Y41">
        <f t="array" ref="Y41">SUMPRODUCT(IF('Exiobase A Matrix'!$C$4:$C$203='Cement and Glass Split'!$A41,IF('Exiobase A Matrix'!$D$3:$GU$3='Cement and Glass Split'!Y$2,'Exiobase A Matrix'!$D$4:$GU$203)))</f>
        <v>2.2020906848053877E-5</v>
      </c>
      <c r="Z41">
        <f t="array" ref="Z41">SUMPRODUCT(IF('Exiobase A Matrix'!$C$4:$C$203='Cement and Glass Split'!$A41,IF('Exiobase A Matrix'!$D$3:$GU$3='Cement and Glass Split'!Z$2,'Exiobase A Matrix'!$D$4:$GU$203)))</f>
        <v>5.1312218001440992E-4</v>
      </c>
      <c r="AA41">
        <f t="array" ref="AA41">SUMPRODUCT(IF('Exiobase A Matrix'!$C$4:$C$203='Cement and Glass Split'!$A41,IF('Exiobase A Matrix'!$D$3:$GU$3='Cement and Glass Split'!AA$2,'Exiobase A Matrix'!$D$4:$GU$203)))</f>
        <v>1.4062286185320778E-5</v>
      </c>
      <c r="AB41">
        <f t="array" ref="AB41">SUMPRODUCT(IF('Exiobase A Matrix'!$C$4:$C$203='Cement and Glass Split'!$A41,IF('Exiobase A Matrix'!$D$3:$GU$3='Cement and Glass Split'!AB$2,'Exiobase A Matrix'!$D$4:$GU$203)))</f>
        <v>7.0551031341590316E-4</v>
      </c>
      <c r="AC41">
        <f t="array" ref="AC41">SUMPRODUCT(IF('Exiobase A Matrix'!$C$4:$C$203='Cement and Glass Split'!$A41,IF('Exiobase A Matrix'!$D$3:$GU$3='Cement and Glass Split'!AC$2,'Exiobase A Matrix'!$D$4:$GU$203)))</f>
        <v>6.3342385905385166E-5</v>
      </c>
      <c r="AD41">
        <f t="array" ref="AD41">SUMPRODUCT(IF('Exiobase A Matrix'!$C$4:$C$203='Cement and Glass Split'!$A41,IF('Exiobase A Matrix'!$D$3:$GU$3='Cement and Glass Split'!AD$2,'Exiobase A Matrix'!$D$4:$GU$203)))</f>
        <v>1.5299697929213236E-8</v>
      </c>
      <c r="AE41">
        <f t="array" ref="AE41">SUMPRODUCT(IF('Exiobase A Matrix'!$C$4:$C$203='Cement and Glass Split'!$A41,IF('Exiobase A Matrix'!$D$3:$GU$3='Cement and Glass Split'!AE$2,'Exiobase A Matrix'!$D$4:$GU$203)))</f>
        <v>2.4201027953114806E-8</v>
      </c>
      <c r="AF41">
        <f t="array" ref="AF41">SUMPRODUCT(IF('Exiobase A Matrix'!$C$4:$C$203='Cement and Glass Split'!$A41,IF('Exiobase A Matrix'!$D$3:$GU$3='Cement and Glass Split'!AF$2,'Exiobase A Matrix'!$D$4:$GU$203)))</f>
        <v>1.1336750993521522E-8</v>
      </c>
      <c r="AG41">
        <f t="array" ref="AG41">SUMPRODUCT(IF('Exiobase A Matrix'!$C$4:$C$203='Cement and Glass Split'!$A41,IF('Exiobase A Matrix'!$D$3:$GU$3='Cement and Glass Split'!AG$2,'Exiobase A Matrix'!$D$4:$GU$203)))</f>
        <v>0</v>
      </c>
      <c r="AH41">
        <f t="array" ref="AH41">SUMPRODUCT(IF('Exiobase A Matrix'!$C$4:$C$203='Cement and Glass Split'!$A41,IF('Exiobase A Matrix'!$D$3:$GU$3='Cement and Glass Split'!AH$2,'Exiobase A Matrix'!$D$4:$GU$203)))</f>
        <v>1.2064479154082773E-10</v>
      </c>
      <c r="AI41">
        <f t="array" ref="AI41">SUMPRODUCT(IF('Exiobase A Matrix'!$C$4:$C$203='Cement and Glass Split'!$A41,IF('Exiobase A Matrix'!$D$3:$GU$3='Cement and Glass Split'!AI$2,'Exiobase A Matrix'!$D$4:$GU$203)))</f>
        <v>3.8364696662124608E-9</v>
      </c>
      <c r="AJ41">
        <f t="array" ref="AJ41">SUMPRODUCT(IF('Exiobase A Matrix'!$C$4:$C$203='Cement and Glass Split'!$A41,IF('Exiobase A Matrix'!$D$3:$GU$3='Cement and Glass Split'!AJ$2,'Exiobase A Matrix'!$D$4:$GU$203)))</f>
        <v>1.7480727629579915E-8</v>
      </c>
      <c r="AK41">
        <f t="array" ref="AK41">SUMPRODUCT(IF('Exiobase A Matrix'!$C$4:$C$203='Cement and Glass Split'!$A41,IF('Exiobase A Matrix'!$D$3:$GU$3='Cement and Glass Split'!AK$2,'Exiobase A Matrix'!$D$4:$GU$203)))</f>
        <v>1.2360384677399662E-9</v>
      </c>
      <c r="AL41">
        <f t="array" ref="AL41">SUMPRODUCT(IF('Exiobase A Matrix'!$C$4:$C$203='Cement and Glass Split'!$A41,IF('Exiobase A Matrix'!$D$3:$GU$3='Cement and Glass Split'!AL$2,'Exiobase A Matrix'!$D$4:$GU$203)))</f>
        <v>1.6725881360931617E-4</v>
      </c>
      <c r="AM41">
        <f t="array" ref="AM41">SUMPRODUCT(IF('Exiobase A Matrix'!$C$4:$C$203='Cement and Glass Split'!$A41,IF('Exiobase A Matrix'!$D$3:$GU$3='Cement and Glass Split'!AM$2,'Exiobase A Matrix'!$D$4:$GU$203)))</f>
        <v>1.1829690584246834E-3</v>
      </c>
      <c r="AN41">
        <f t="array" ref="AN41">SUMPRODUCT(IF('Exiobase A Matrix'!$C$4:$C$203='Cement and Glass Split'!$A41,IF('Exiobase A Matrix'!$D$3:$GU$3='Cement and Glass Split'!AN$2,'Exiobase A Matrix'!$D$4:$GU$203)))</f>
        <v>8.4150659521037459E-5</v>
      </c>
      <c r="AO41">
        <f t="array" ref="AO41">SUMPRODUCT(IF('Exiobase A Matrix'!$C$4:$C$203='Cement and Glass Split'!$A41,IF('Exiobase A Matrix'!$D$3:$GU$3='Cement and Glass Split'!AO$2,'Exiobase A Matrix'!$D$4:$GU$203)))</f>
        <v>9.1250611576293387E-5</v>
      </c>
      <c r="AP41">
        <f t="array" ref="AP41">SUMPRODUCT(IF('Exiobase A Matrix'!$C$4:$C$203='Cement and Glass Split'!$A41,IF('Exiobase A Matrix'!$D$3:$GU$3='Cement and Glass Split'!AP$2,'Exiobase A Matrix'!$D$4:$GU$203)))</f>
        <v>8.3385309349345228E-5</v>
      </c>
      <c r="AQ41">
        <f t="array" ref="AQ41">SUMPRODUCT(IF('Exiobase A Matrix'!$C$4:$C$203='Cement and Glass Split'!$A41,IF('Exiobase A Matrix'!$D$3:$GU$3='Cement and Glass Split'!AQ$2,'Exiobase A Matrix'!$D$4:$GU$203)))</f>
        <v>0</v>
      </c>
    </row>
    <row r="42" spans="1:43">
      <c r="A42" t="s">
        <v>32</v>
      </c>
      <c r="B42">
        <f t="array" ref="B42">SUMPRODUCT(IF('Exiobase A Matrix'!$C$4:$C$203='Cement and Glass Split'!$A42,IF('Exiobase A Matrix'!$D$3:$GU$3='Cement and Glass Split'!B$2,'Exiobase A Matrix'!$D$4:$GU$203)))</f>
        <v>1.1854107142225464E-3</v>
      </c>
      <c r="C42">
        <f t="array" ref="C42">SUMPRODUCT(IF('Exiobase A Matrix'!$C$4:$C$203='Cement and Glass Split'!$A42,IF('Exiobase A Matrix'!$D$3:$GU$3='Cement and Glass Split'!C$2,'Exiobase A Matrix'!$D$4:$GU$203)))</f>
        <v>1.8321028577192943E-7</v>
      </c>
      <c r="D42">
        <f t="array" ref="D42">SUMPRODUCT(IF('Exiobase A Matrix'!$C$4:$C$203='Cement and Glass Split'!$A42,IF('Exiobase A Matrix'!$D$3:$GU$3='Cement and Glass Split'!D$2,'Exiobase A Matrix'!$D$4:$GU$203)))</f>
        <v>5.2223238290055558E-7</v>
      </c>
      <c r="E42">
        <f t="array" ref="E42">SUMPRODUCT(IF('Exiobase A Matrix'!$C$4:$C$203='Cement and Glass Split'!$A42,IF('Exiobase A Matrix'!$D$3:$GU$3='Cement and Glass Split'!E$2,'Exiobase A Matrix'!$D$4:$GU$203)))</f>
        <v>4.0268707299163553E-6</v>
      </c>
      <c r="F42">
        <f t="array" ref="F42">SUMPRODUCT(IF('Exiobase A Matrix'!$C$4:$C$203='Cement and Glass Split'!$A42,IF('Exiobase A Matrix'!$D$3:$GU$3='Cement and Glass Split'!F$2,'Exiobase A Matrix'!$D$4:$GU$203)))</f>
        <v>0</v>
      </c>
      <c r="G42">
        <f t="array" ref="G42">SUMPRODUCT(IF('Exiobase A Matrix'!$C$4:$C$203='Cement and Glass Split'!$A42,IF('Exiobase A Matrix'!$D$3:$GU$3='Cement and Glass Split'!G$2,'Exiobase A Matrix'!$D$4:$GU$203)))</f>
        <v>6.8214810180506987E-5</v>
      </c>
      <c r="H42">
        <f t="array" ref="H42">SUMPRODUCT(IF('Exiobase A Matrix'!$C$4:$C$203='Cement and Glass Split'!$A42,IF('Exiobase A Matrix'!$D$3:$GU$3='Cement and Glass Split'!H$2,'Exiobase A Matrix'!$D$4:$GU$203)))</f>
        <v>9.2135642311820327E-8</v>
      </c>
      <c r="I42">
        <f t="array" ref="I42">SUMPRODUCT(IF('Exiobase A Matrix'!$C$4:$C$203='Cement and Glass Split'!$A42,IF('Exiobase A Matrix'!$D$3:$GU$3='Cement and Glass Split'!I$2,'Exiobase A Matrix'!$D$4:$GU$203)))</f>
        <v>1.3297602300551959E-8</v>
      </c>
      <c r="J42">
        <f t="array" ref="J42">SUMPRODUCT(IF('Exiobase A Matrix'!$C$4:$C$203='Cement and Glass Split'!$A42,IF('Exiobase A Matrix'!$D$3:$GU$3='Cement and Glass Split'!J$2,'Exiobase A Matrix'!$D$4:$GU$203)))</f>
        <v>1.4382075750704011E-7</v>
      </c>
      <c r="K42">
        <f t="array" ref="K42">SUMPRODUCT(IF('Exiobase A Matrix'!$C$4:$C$203='Cement and Glass Split'!$A42,IF('Exiobase A Matrix'!$D$3:$GU$3='Cement and Glass Split'!K$2,'Exiobase A Matrix'!$D$4:$GU$203)))</f>
        <v>6.0398170981727332E-3</v>
      </c>
      <c r="L42">
        <f t="array" ref="L42">SUMPRODUCT(IF('Exiobase A Matrix'!$C$4:$C$203='Cement and Glass Split'!$A42,IF('Exiobase A Matrix'!$D$3:$GU$3='Cement and Glass Split'!L$2,'Exiobase A Matrix'!$D$4:$GU$203)))</f>
        <v>1.1215819165356564E-4</v>
      </c>
      <c r="M42">
        <f t="array" ref="M42">SUMPRODUCT(IF('Exiobase A Matrix'!$C$4:$C$203='Cement and Glass Split'!$A42,IF('Exiobase A Matrix'!$D$3:$GU$3='Cement and Glass Split'!M$2,'Exiobase A Matrix'!$D$4:$GU$203)))</f>
        <v>0</v>
      </c>
      <c r="N42">
        <f t="array" ref="N42">SUMPRODUCT(IF('Exiobase A Matrix'!$C$4:$C$203='Cement and Glass Split'!$A42,IF('Exiobase A Matrix'!$D$3:$GU$3='Cement and Glass Split'!N$2,'Exiobase A Matrix'!$D$4:$GU$203)))</f>
        <v>4.137068963769637E-9</v>
      </c>
      <c r="O42">
        <f t="array" ref="O42">SUMPRODUCT(IF('Exiobase A Matrix'!$C$4:$C$203='Cement and Glass Split'!$A42,IF('Exiobase A Matrix'!$D$3:$GU$3='Cement and Glass Split'!O$2,'Exiobase A Matrix'!$D$4:$GU$203)))</f>
        <v>1.0906655644100417E-8</v>
      </c>
      <c r="P42">
        <f t="array" ref="P42">SUMPRODUCT(IF('Exiobase A Matrix'!$C$4:$C$203='Cement and Glass Split'!$A42,IF('Exiobase A Matrix'!$D$3:$GU$3='Cement and Glass Split'!P$2,'Exiobase A Matrix'!$D$4:$GU$203)))</f>
        <v>5.071198003614906E-7</v>
      </c>
      <c r="Q42">
        <f t="array" ref="Q42">SUMPRODUCT(IF('Exiobase A Matrix'!$C$4:$C$203='Cement and Glass Split'!$A42,IF('Exiobase A Matrix'!$D$3:$GU$3='Cement and Glass Split'!Q$2,'Exiobase A Matrix'!$D$4:$GU$203)))</f>
        <v>2.6288946814273359E-5</v>
      </c>
      <c r="R42">
        <f t="array" ref="R42">SUMPRODUCT(IF('Exiobase A Matrix'!$C$4:$C$203='Cement and Glass Split'!$A42,IF('Exiobase A Matrix'!$D$3:$GU$3='Cement and Glass Split'!R$2,'Exiobase A Matrix'!$D$4:$GU$203)))</f>
        <v>1.5449244600247104E-3</v>
      </c>
      <c r="S42">
        <f t="array" ref="S42">SUMPRODUCT(IF('Exiobase A Matrix'!$C$4:$C$203='Cement and Glass Split'!$A42,IF('Exiobase A Matrix'!$D$3:$GU$3='Cement and Glass Split'!S$2,'Exiobase A Matrix'!$D$4:$GU$203)))</f>
        <v>2.1706062103591152E-9</v>
      </c>
      <c r="T42">
        <f t="array" ref="T42">SUMPRODUCT(IF('Exiobase A Matrix'!$C$4:$C$203='Cement and Glass Split'!$A42,IF('Exiobase A Matrix'!$D$3:$GU$3='Cement and Glass Split'!T$2,'Exiobase A Matrix'!$D$4:$GU$203)))</f>
        <v>3.2992490822851206E-5</v>
      </c>
      <c r="U42">
        <f t="array" ref="U42">SUMPRODUCT(IF('Exiobase A Matrix'!$C$4:$C$203='Cement and Glass Split'!$A42,IF('Exiobase A Matrix'!$D$3:$GU$3='Cement and Glass Split'!U$2,'Exiobase A Matrix'!$D$4:$GU$203)))</f>
        <v>2.5021769115729503E-9</v>
      </c>
      <c r="V42">
        <f t="array" ref="V42">SUMPRODUCT(IF('Exiobase A Matrix'!$C$4:$C$203='Cement and Glass Split'!$A42,IF('Exiobase A Matrix'!$D$3:$GU$3='Cement and Glass Split'!V$2,'Exiobase A Matrix'!$D$4:$GU$203)))</f>
        <v>1.3484571047307576E-9</v>
      </c>
      <c r="W42">
        <f t="array" ref="W42">SUMPRODUCT(IF('Exiobase A Matrix'!$C$4:$C$203='Cement and Glass Split'!$A42,IF('Exiobase A Matrix'!$D$3:$GU$3='Cement and Glass Split'!W$2,'Exiobase A Matrix'!$D$4:$GU$203)))</f>
        <v>4.3238522181497504E-10</v>
      </c>
      <c r="X42">
        <f t="array" ref="X42">SUMPRODUCT(IF('Exiobase A Matrix'!$C$4:$C$203='Cement and Glass Split'!$A42,IF('Exiobase A Matrix'!$D$3:$GU$3='Cement and Glass Split'!X$2,'Exiobase A Matrix'!$D$4:$GU$203)))</f>
        <v>1.1658135087813074E-9</v>
      </c>
      <c r="Y42">
        <f t="array" ref="Y42">SUMPRODUCT(IF('Exiobase A Matrix'!$C$4:$C$203='Cement and Glass Split'!$A42,IF('Exiobase A Matrix'!$D$3:$GU$3='Cement and Glass Split'!Y$2,'Exiobase A Matrix'!$D$4:$GU$203)))</f>
        <v>3.961958809417588E-9</v>
      </c>
      <c r="Z42">
        <f t="array" ref="Z42">SUMPRODUCT(IF('Exiobase A Matrix'!$C$4:$C$203='Cement and Glass Split'!$A42,IF('Exiobase A Matrix'!$D$3:$GU$3='Cement and Glass Split'!Z$2,'Exiobase A Matrix'!$D$4:$GU$203)))</f>
        <v>1.2357538263221079E-5</v>
      </c>
      <c r="AA42">
        <f t="array" ref="AA42">SUMPRODUCT(IF('Exiobase A Matrix'!$C$4:$C$203='Cement and Glass Split'!$A42,IF('Exiobase A Matrix'!$D$3:$GU$3='Cement and Glass Split'!AA$2,'Exiobase A Matrix'!$D$4:$GU$203)))</f>
        <v>1.4173780975216985E-4</v>
      </c>
      <c r="AB42">
        <f t="array" ref="AB42">SUMPRODUCT(IF('Exiobase A Matrix'!$C$4:$C$203='Cement and Glass Split'!$A42,IF('Exiobase A Matrix'!$D$3:$GU$3='Cement and Glass Split'!AB$2,'Exiobase A Matrix'!$D$4:$GU$203)))</f>
        <v>6.1120899059819683E-6</v>
      </c>
      <c r="AC42">
        <f t="array" ref="AC42">SUMPRODUCT(IF('Exiobase A Matrix'!$C$4:$C$203='Cement and Glass Split'!$A42,IF('Exiobase A Matrix'!$D$3:$GU$3='Cement and Glass Split'!AC$2,'Exiobase A Matrix'!$D$4:$GU$203)))</f>
        <v>9.2511080232678934E-10</v>
      </c>
      <c r="AD42">
        <f t="array" ref="AD42">SUMPRODUCT(IF('Exiobase A Matrix'!$C$4:$C$203='Cement and Glass Split'!$A42,IF('Exiobase A Matrix'!$D$3:$GU$3='Cement and Glass Split'!AD$2,'Exiobase A Matrix'!$D$4:$GU$203)))</f>
        <v>1.4487808382868483E-8</v>
      </c>
      <c r="AE42">
        <f t="array" ref="AE42">SUMPRODUCT(IF('Exiobase A Matrix'!$C$4:$C$203='Cement and Glass Split'!$A42,IF('Exiobase A Matrix'!$D$3:$GU$3='Cement and Glass Split'!AE$2,'Exiobase A Matrix'!$D$4:$GU$203)))</f>
        <v>5.4435364678059927E-8</v>
      </c>
      <c r="AF42">
        <f t="array" ref="AF42">SUMPRODUCT(IF('Exiobase A Matrix'!$C$4:$C$203='Cement and Glass Split'!$A42,IF('Exiobase A Matrix'!$D$3:$GU$3='Cement and Glass Split'!AF$2,'Exiobase A Matrix'!$D$4:$GU$203)))</f>
        <v>5.9243079161246018E-10</v>
      </c>
      <c r="AG42">
        <f t="array" ref="AG42">SUMPRODUCT(IF('Exiobase A Matrix'!$C$4:$C$203='Cement and Glass Split'!$A42,IF('Exiobase A Matrix'!$D$3:$GU$3='Cement and Glass Split'!AG$2,'Exiobase A Matrix'!$D$4:$GU$203)))</f>
        <v>0</v>
      </c>
      <c r="AH42">
        <f t="array" ref="AH42">SUMPRODUCT(IF('Exiobase A Matrix'!$C$4:$C$203='Cement and Glass Split'!$A42,IF('Exiobase A Matrix'!$D$3:$GU$3='Cement and Glass Split'!AH$2,'Exiobase A Matrix'!$D$4:$GU$203)))</f>
        <v>1.0510254468492748E-10</v>
      </c>
      <c r="AI42">
        <f t="array" ref="AI42">SUMPRODUCT(IF('Exiobase A Matrix'!$C$4:$C$203='Cement and Glass Split'!$A42,IF('Exiobase A Matrix'!$D$3:$GU$3='Cement and Glass Split'!AI$2,'Exiobase A Matrix'!$D$4:$GU$203)))</f>
        <v>1.9515983367234783E-9</v>
      </c>
      <c r="AJ42">
        <f t="array" ref="AJ42">SUMPRODUCT(IF('Exiobase A Matrix'!$C$4:$C$203='Cement and Glass Split'!$A42,IF('Exiobase A Matrix'!$D$3:$GU$3='Cement and Glass Split'!AJ$2,'Exiobase A Matrix'!$D$4:$GU$203)))</f>
        <v>5.0560969205408056E-9</v>
      </c>
      <c r="AK42">
        <f t="array" ref="AK42">SUMPRODUCT(IF('Exiobase A Matrix'!$C$4:$C$203='Cement and Glass Split'!$A42,IF('Exiobase A Matrix'!$D$3:$GU$3='Cement and Glass Split'!AK$2,'Exiobase A Matrix'!$D$4:$GU$203)))</f>
        <v>4.7590575795113773E-10</v>
      </c>
      <c r="AL42">
        <f t="array" ref="AL42">SUMPRODUCT(IF('Exiobase A Matrix'!$C$4:$C$203='Cement and Glass Split'!$A42,IF('Exiobase A Matrix'!$D$3:$GU$3='Cement and Glass Split'!AL$2,'Exiobase A Matrix'!$D$4:$GU$203)))</f>
        <v>2.7619630999572318E-8</v>
      </c>
      <c r="AM42">
        <f t="array" ref="AM42">SUMPRODUCT(IF('Exiobase A Matrix'!$C$4:$C$203='Cement and Glass Split'!$A42,IF('Exiobase A Matrix'!$D$3:$GU$3='Cement and Glass Split'!AM$2,'Exiobase A Matrix'!$D$4:$GU$203)))</f>
        <v>1.2812044777167278E-4</v>
      </c>
      <c r="AN42">
        <f t="array" ref="AN42">SUMPRODUCT(IF('Exiobase A Matrix'!$C$4:$C$203='Cement and Glass Split'!$A42,IF('Exiobase A Matrix'!$D$3:$GU$3='Cement and Glass Split'!AN$2,'Exiobase A Matrix'!$D$4:$GU$203)))</f>
        <v>1.0073153243070502E-4</v>
      </c>
      <c r="AO42">
        <f t="array" ref="AO42">SUMPRODUCT(IF('Exiobase A Matrix'!$C$4:$C$203='Cement and Glass Split'!$A42,IF('Exiobase A Matrix'!$D$3:$GU$3='Cement and Glass Split'!AO$2,'Exiobase A Matrix'!$D$4:$GU$203)))</f>
        <v>4.7541801343036249E-3</v>
      </c>
      <c r="AP42">
        <f t="array" ref="AP42">SUMPRODUCT(IF('Exiobase A Matrix'!$C$4:$C$203='Cement and Glass Split'!$A42,IF('Exiobase A Matrix'!$D$3:$GU$3='Cement and Glass Split'!AP$2,'Exiobase A Matrix'!$D$4:$GU$203)))</f>
        <v>1.4448526694917696E-6</v>
      </c>
      <c r="AQ42">
        <f t="array" ref="AQ42">SUMPRODUCT(IF('Exiobase A Matrix'!$C$4:$C$203='Cement and Glass Split'!$A42,IF('Exiobase A Matrix'!$D$3:$GU$3='Cement and Glass Split'!AQ$2,'Exiobase A Matrix'!$D$4:$GU$203)))</f>
        <v>2.4123339116620495E-8</v>
      </c>
    </row>
    <row r="43" spans="1:43">
      <c r="A43" t="s">
        <v>33</v>
      </c>
      <c r="B43">
        <f t="array" ref="B43">SUMPRODUCT(IF('Exiobase A Matrix'!$C$4:$C$203='Cement and Glass Split'!$A43,IF('Exiobase A Matrix'!$D$3:$GU$3='Cement and Glass Split'!B$2,'Exiobase A Matrix'!$D$4:$GU$203)))</f>
        <v>0.26396820197448007</v>
      </c>
      <c r="C43">
        <f t="array" ref="C43">SUMPRODUCT(IF('Exiobase A Matrix'!$C$4:$C$203='Cement and Glass Split'!$A43,IF('Exiobase A Matrix'!$D$3:$GU$3='Cement and Glass Split'!C$2,'Exiobase A Matrix'!$D$4:$GU$203)))</f>
        <v>2.9765432295990144E-2</v>
      </c>
      <c r="D43">
        <f t="array" ref="D43">SUMPRODUCT(IF('Exiobase A Matrix'!$C$4:$C$203='Cement and Glass Split'!$A43,IF('Exiobase A Matrix'!$D$3:$GU$3='Cement and Glass Split'!D$2,'Exiobase A Matrix'!$D$4:$GU$203)))</f>
        <v>3.9602702355559657E-4</v>
      </c>
      <c r="E43">
        <f t="array" ref="E43">SUMPRODUCT(IF('Exiobase A Matrix'!$C$4:$C$203='Cement and Glass Split'!$A43,IF('Exiobase A Matrix'!$D$3:$GU$3='Cement and Glass Split'!E$2,'Exiobase A Matrix'!$D$4:$GU$203)))</f>
        <v>6.6199373886672047E-2</v>
      </c>
      <c r="F43">
        <f t="array" ref="F43">SUMPRODUCT(IF('Exiobase A Matrix'!$C$4:$C$203='Cement and Glass Split'!$A43,IF('Exiobase A Matrix'!$D$3:$GU$3='Cement and Glass Split'!F$2,'Exiobase A Matrix'!$D$4:$GU$203)))</f>
        <v>0</v>
      </c>
      <c r="G43">
        <f t="array" ref="G43">SUMPRODUCT(IF('Exiobase A Matrix'!$C$4:$C$203='Cement and Glass Split'!$A43,IF('Exiobase A Matrix'!$D$3:$GU$3='Cement and Glass Split'!G$2,'Exiobase A Matrix'!$D$4:$GU$203)))</f>
        <v>7.107509596830254E-2</v>
      </c>
      <c r="H43">
        <f t="array" ref="H43">SUMPRODUCT(IF('Exiobase A Matrix'!$C$4:$C$203='Cement and Glass Split'!$A43,IF('Exiobase A Matrix'!$D$3:$GU$3='Cement and Glass Split'!H$2,'Exiobase A Matrix'!$D$4:$GU$203)))</f>
        <v>5.158939467460056E-2</v>
      </c>
      <c r="I43">
        <f t="array" ref="I43">SUMPRODUCT(IF('Exiobase A Matrix'!$C$4:$C$203='Cement and Glass Split'!$A43,IF('Exiobase A Matrix'!$D$3:$GU$3='Cement and Glass Split'!I$2,'Exiobase A Matrix'!$D$4:$GU$203)))</f>
        <v>1.6025478898052802E-2</v>
      </c>
      <c r="J43">
        <f t="array" ref="J43">SUMPRODUCT(IF('Exiobase A Matrix'!$C$4:$C$203='Cement and Glass Split'!$A43,IF('Exiobase A Matrix'!$D$3:$GU$3='Cement and Glass Split'!J$2,'Exiobase A Matrix'!$D$4:$GU$203)))</f>
        <v>4.5031871771036305E-2</v>
      </c>
      <c r="K43">
        <f t="array" ref="K43">SUMPRODUCT(IF('Exiobase A Matrix'!$C$4:$C$203='Cement and Glass Split'!$A43,IF('Exiobase A Matrix'!$D$3:$GU$3='Cement and Glass Split'!K$2,'Exiobase A Matrix'!$D$4:$GU$203)))</f>
        <v>0.23595231275647244</v>
      </c>
      <c r="L43">
        <f t="array" ref="L43">SUMPRODUCT(IF('Exiobase A Matrix'!$C$4:$C$203='Cement and Glass Split'!$A43,IF('Exiobase A Matrix'!$D$3:$GU$3='Cement and Glass Split'!L$2,'Exiobase A Matrix'!$D$4:$GU$203)))</f>
        <v>5.4188308092802742E-2</v>
      </c>
      <c r="M43">
        <f t="array" ref="M43">SUMPRODUCT(IF('Exiobase A Matrix'!$C$4:$C$203='Cement and Glass Split'!$A43,IF('Exiobase A Matrix'!$D$3:$GU$3='Cement and Glass Split'!M$2,'Exiobase A Matrix'!$D$4:$GU$203)))</f>
        <v>0</v>
      </c>
      <c r="N43">
        <f t="array" ref="N43">SUMPRODUCT(IF('Exiobase A Matrix'!$C$4:$C$203='Cement and Glass Split'!$A43,IF('Exiobase A Matrix'!$D$3:$GU$3='Cement and Glass Split'!N$2,'Exiobase A Matrix'!$D$4:$GU$203)))</f>
        <v>1.3697886257357015E-2</v>
      </c>
      <c r="O43">
        <f t="array" ref="O43">SUMPRODUCT(IF('Exiobase A Matrix'!$C$4:$C$203='Cement and Glass Split'!$A43,IF('Exiobase A Matrix'!$D$3:$GU$3='Cement and Glass Split'!O$2,'Exiobase A Matrix'!$D$4:$GU$203)))</f>
        <v>1.1762073236822995E-2</v>
      </c>
      <c r="P43">
        <f t="array" ref="P43">SUMPRODUCT(IF('Exiobase A Matrix'!$C$4:$C$203='Cement and Glass Split'!$A43,IF('Exiobase A Matrix'!$D$3:$GU$3='Cement and Glass Split'!P$2,'Exiobase A Matrix'!$D$4:$GU$203)))</f>
        <v>3.8896509770484616E-2</v>
      </c>
      <c r="Q43">
        <f t="array" ref="Q43">SUMPRODUCT(IF('Exiobase A Matrix'!$C$4:$C$203='Cement and Glass Split'!$A43,IF('Exiobase A Matrix'!$D$3:$GU$3='Cement and Glass Split'!Q$2,'Exiobase A Matrix'!$D$4:$GU$203)))</f>
        <v>6.0967184442137137E-3</v>
      </c>
      <c r="R43">
        <f t="array" ref="R43">SUMPRODUCT(IF('Exiobase A Matrix'!$C$4:$C$203='Cement and Glass Split'!$A43,IF('Exiobase A Matrix'!$D$3:$GU$3='Cement and Glass Split'!R$2,'Exiobase A Matrix'!$D$4:$GU$203)))</f>
        <v>0.14144962508219611</v>
      </c>
      <c r="S43">
        <f t="array" ref="S43">SUMPRODUCT(IF('Exiobase A Matrix'!$C$4:$C$203='Cement and Glass Split'!$A43,IF('Exiobase A Matrix'!$D$3:$GU$3='Cement and Glass Split'!S$2,'Exiobase A Matrix'!$D$4:$GU$203)))</f>
        <v>1.8281979354224136E-2</v>
      </c>
      <c r="T43">
        <f t="array" ref="T43">SUMPRODUCT(IF('Exiobase A Matrix'!$C$4:$C$203='Cement and Glass Split'!$A43,IF('Exiobase A Matrix'!$D$3:$GU$3='Cement and Glass Split'!T$2,'Exiobase A Matrix'!$D$4:$GU$203)))</f>
        <v>2.2822447402696514E-2</v>
      </c>
      <c r="U43">
        <f t="array" ref="U43">SUMPRODUCT(IF('Exiobase A Matrix'!$C$4:$C$203='Cement and Glass Split'!$A43,IF('Exiobase A Matrix'!$D$3:$GU$3='Cement and Glass Split'!U$2,'Exiobase A Matrix'!$D$4:$GU$203)))</f>
        <v>9.9872028132289535E-3</v>
      </c>
      <c r="V43">
        <f t="array" ref="V43">SUMPRODUCT(IF('Exiobase A Matrix'!$C$4:$C$203='Cement and Glass Split'!$A43,IF('Exiobase A Matrix'!$D$3:$GU$3='Cement and Glass Split'!V$2,'Exiobase A Matrix'!$D$4:$GU$203)))</f>
        <v>1.3020139423166583E-2</v>
      </c>
      <c r="W43">
        <f t="array" ref="W43">SUMPRODUCT(IF('Exiobase A Matrix'!$C$4:$C$203='Cement and Glass Split'!$A43,IF('Exiobase A Matrix'!$D$3:$GU$3='Cement and Glass Split'!W$2,'Exiobase A Matrix'!$D$4:$GU$203)))</f>
        <v>2.7849576864369448E-3</v>
      </c>
      <c r="X43">
        <f t="array" ref="X43">SUMPRODUCT(IF('Exiobase A Matrix'!$C$4:$C$203='Cement and Glass Split'!$A43,IF('Exiobase A Matrix'!$D$3:$GU$3='Cement and Glass Split'!X$2,'Exiobase A Matrix'!$D$4:$GU$203)))</f>
        <v>2.5246804563500871E-3</v>
      </c>
      <c r="Y43">
        <f t="array" ref="Y43">SUMPRODUCT(IF('Exiobase A Matrix'!$C$4:$C$203='Cement and Glass Split'!$A43,IF('Exiobase A Matrix'!$D$3:$GU$3='Cement and Glass Split'!Y$2,'Exiobase A Matrix'!$D$4:$GU$203)))</f>
        <v>7.1171544432324374E-3</v>
      </c>
      <c r="Z43">
        <f t="array" ref="Z43">SUMPRODUCT(IF('Exiobase A Matrix'!$C$4:$C$203='Cement and Glass Split'!$A43,IF('Exiobase A Matrix'!$D$3:$GU$3='Cement and Glass Split'!Z$2,'Exiobase A Matrix'!$D$4:$GU$203)))</f>
        <v>5.1099757872359056E-2</v>
      </c>
      <c r="AA43">
        <f t="array" ref="AA43">SUMPRODUCT(IF('Exiobase A Matrix'!$C$4:$C$203='Cement and Glass Split'!$A43,IF('Exiobase A Matrix'!$D$3:$GU$3='Cement and Glass Split'!AA$2,'Exiobase A Matrix'!$D$4:$GU$203)))</f>
        <v>2.433760227349584E-2</v>
      </c>
      <c r="AB43">
        <f t="array" ref="AB43">SUMPRODUCT(IF('Exiobase A Matrix'!$C$4:$C$203='Cement and Glass Split'!$A43,IF('Exiobase A Matrix'!$D$3:$GU$3='Cement and Glass Split'!AB$2,'Exiobase A Matrix'!$D$4:$GU$203)))</f>
        <v>0.50500779576271615</v>
      </c>
      <c r="AC43">
        <f t="array" ref="AC43">SUMPRODUCT(IF('Exiobase A Matrix'!$C$4:$C$203='Cement and Glass Split'!$A43,IF('Exiobase A Matrix'!$D$3:$GU$3='Cement and Glass Split'!AC$2,'Exiobase A Matrix'!$D$4:$GU$203)))</f>
        <v>1.2206865868974195E-2</v>
      </c>
      <c r="AD43">
        <f t="array" ref="AD43">SUMPRODUCT(IF('Exiobase A Matrix'!$C$4:$C$203='Cement and Glass Split'!$A43,IF('Exiobase A Matrix'!$D$3:$GU$3='Cement and Glass Split'!AD$2,'Exiobase A Matrix'!$D$4:$GU$203)))</f>
        <v>4.7659473680251497E-8</v>
      </c>
      <c r="AE43">
        <f t="array" ref="AE43">SUMPRODUCT(IF('Exiobase A Matrix'!$C$4:$C$203='Cement and Glass Split'!$A43,IF('Exiobase A Matrix'!$D$3:$GU$3='Cement and Glass Split'!AE$2,'Exiobase A Matrix'!$D$4:$GU$203)))</f>
        <v>1.1270849415651646E-2</v>
      </c>
      <c r="AF43">
        <f t="array" ref="AF43">SUMPRODUCT(IF('Exiobase A Matrix'!$C$4:$C$203='Cement and Glass Split'!$A43,IF('Exiobase A Matrix'!$D$3:$GU$3='Cement and Glass Split'!AF$2,'Exiobase A Matrix'!$D$4:$GU$203)))</f>
        <v>3.0443101382628362E-3</v>
      </c>
      <c r="AG43">
        <f t="array" ref="AG43">SUMPRODUCT(IF('Exiobase A Matrix'!$C$4:$C$203='Cement and Glass Split'!$A43,IF('Exiobase A Matrix'!$D$3:$GU$3='Cement and Glass Split'!AG$2,'Exiobase A Matrix'!$D$4:$GU$203)))</f>
        <v>0</v>
      </c>
      <c r="AH43">
        <f t="array" ref="AH43">SUMPRODUCT(IF('Exiobase A Matrix'!$C$4:$C$203='Cement and Glass Split'!$A43,IF('Exiobase A Matrix'!$D$3:$GU$3='Cement and Glass Split'!AH$2,'Exiobase A Matrix'!$D$4:$GU$203)))</f>
        <v>4.1119978958118158E-10</v>
      </c>
      <c r="AI43">
        <f t="array" ref="AI43">SUMPRODUCT(IF('Exiobase A Matrix'!$C$4:$C$203='Cement and Glass Split'!$A43,IF('Exiobase A Matrix'!$D$3:$GU$3='Cement and Glass Split'!AI$2,'Exiobase A Matrix'!$D$4:$GU$203)))</f>
        <v>7.4022129953044587E-3</v>
      </c>
      <c r="AJ43">
        <f t="array" ref="AJ43">SUMPRODUCT(IF('Exiobase A Matrix'!$C$4:$C$203='Cement and Glass Split'!$A43,IF('Exiobase A Matrix'!$D$3:$GU$3='Cement and Glass Split'!AJ$2,'Exiobase A Matrix'!$D$4:$GU$203)))</f>
        <v>3.1008054198786789E-2</v>
      </c>
      <c r="AK43">
        <f t="array" ref="AK43">SUMPRODUCT(IF('Exiobase A Matrix'!$C$4:$C$203='Cement and Glass Split'!$A43,IF('Exiobase A Matrix'!$D$3:$GU$3='Cement and Glass Split'!AK$2,'Exiobase A Matrix'!$D$4:$GU$203)))</f>
        <v>5.8654653869809562E-3</v>
      </c>
      <c r="AL43">
        <f t="array" ref="AL43">SUMPRODUCT(IF('Exiobase A Matrix'!$C$4:$C$203='Cement and Glass Split'!$A43,IF('Exiobase A Matrix'!$D$3:$GU$3='Cement and Glass Split'!AL$2,'Exiobase A Matrix'!$D$4:$GU$203)))</f>
        <v>0.24023776463940413</v>
      </c>
      <c r="AM43">
        <f t="array" ref="AM43">SUMPRODUCT(IF('Exiobase A Matrix'!$C$4:$C$203='Cement and Glass Split'!$A43,IF('Exiobase A Matrix'!$D$3:$GU$3='Cement and Glass Split'!AM$2,'Exiobase A Matrix'!$D$4:$GU$203)))</f>
        <v>6.1145510086692195E-2</v>
      </c>
      <c r="AN43">
        <f t="array" ref="AN43">SUMPRODUCT(IF('Exiobase A Matrix'!$C$4:$C$203='Cement and Glass Split'!$A43,IF('Exiobase A Matrix'!$D$3:$GU$3='Cement and Glass Split'!AN$2,'Exiobase A Matrix'!$D$4:$GU$203)))</f>
        <v>6.9470203208956777E-2</v>
      </c>
      <c r="AO43">
        <f t="array" ref="AO43">SUMPRODUCT(IF('Exiobase A Matrix'!$C$4:$C$203='Cement and Glass Split'!$A43,IF('Exiobase A Matrix'!$D$3:$GU$3='Cement and Glass Split'!AO$2,'Exiobase A Matrix'!$D$4:$GU$203)))</f>
        <v>5.4631088496186031E-2</v>
      </c>
      <c r="AP43">
        <f t="array" ref="AP43">SUMPRODUCT(IF('Exiobase A Matrix'!$C$4:$C$203='Cement and Glass Split'!$A43,IF('Exiobase A Matrix'!$D$3:$GU$3='Cement and Glass Split'!AP$2,'Exiobase A Matrix'!$D$4:$GU$203)))</f>
        <v>0.51238035817550243</v>
      </c>
      <c r="AQ43">
        <f t="array" ref="AQ43">SUMPRODUCT(IF('Exiobase A Matrix'!$C$4:$C$203='Cement and Glass Split'!$A43,IF('Exiobase A Matrix'!$D$3:$GU$3='Cement and Glass Split'!AQ$2,'Exiobase A Matrix'!$D$4:$GU$203)))</f>
        <v>1.5459364814929163E-5</v>
      </c>
    </row>
    <row r="44" spans="1:43">
      <c r="A44" t="s">
        <v>34</v>
      </c>
      <c r="B44">
        <f t="array" ref="B44">SUMPRODUCT(IF('Exiobase A Matrix'!$C$4:$C$203='Cement and Glass Split'!$A44,IF('Exiobase A Matrix'!$D$3:$GU$3='Cement and Glass Split'!B$2,'Exiobase A Matrix'!$D$4:$GU$203)))</f>
        <v>0</v>
      </c>
      <c r="C44">
        <f t="array" ref="C44">SUMPRODUCT(IF('Exiobase A Matrix'!$C$4:$C$203='Cement and Glass Split'!$A44,IF('Exiobase A Matrix'!$D$3:$GU$3='Cement and Glass Split'!C$2,'Exiobase A Matrix'!$D$4:$GU$203)))</f>
        <v>1.4701858252374301E-4</v>
      </c>
      <c r="D44">
        <f t="array" ref="D44">SUMPRODUCT(IF('Exiobase A Matrix'!$C$4:$C$203='Cement and Glass Split'!$A44,IF('Exiobase A Matrix'!$D$3:$GU$3='Cement and Glass Split'!D$2,'Exiobase A Matrix'!$D$4:$GU$203)))</f>
        <v>1.6300791298885076E-5</v>
      </c>
      <c r="E44">
        <f t="array" ref="E44">SUMPRODUCT(IF('Exiobase A Matrix'!$C$4:$C$203='Cement and Glass Split'!$A44,IF('Exiobase A Matrix'!$D$3:$GU$3='Cement and Glass Split'!E$2,'Exiobase A Matrix'!$D$4:$GU$203)))</f>
        <v>5.8318603053925729E-4</v>
      </c>
      <c r="F44">
        <f t="array" ref="F44">SUMPRODUCT(IF('Exiobase A Matrix'!$C$4:$C$203='Cement and Glass Split'!$A44,IF('Exiobase A Matrix'!$D$3:$GU$3='Cement and Glass Split'!F$2,'Exiobase A Matrix'!$D$4:$GU$203)))</f>
        <v>0</v>
      </c>
      <c r="G44">
        <f t="array" ref="G44">SUMPRODUCT(IF('Exiobase A Matrix'!$C$4:$C$203='Cement and Glass Split'!$A44,IF('Exiobase A Matrix'!$D$3:$GU$3='Cement and Glass Split'!G$2,'Exiobase A Matrix'!$D$4:$GU$203)))</f>
        <v>0</v>
      </c>
      <c r="H44">
        <f t="array" ref="H44">SUMPRODUCT(IF('Exiobase A Matrix'!$C$4:$C$203='Cement and Glass Split'!$A44,IF('Exiobase A Matrix'!$D$3:$GU$3='Cement and Glass Split'!H$2,'Exiobase A Matrix'!$D$4:$GU$203)))</f>
        <v>0</v>
      </c>
      <c r="I44">
        <f t="array" ref="I44">SUMPRODUCT(IF('Exiobase A Matrix'!$C$4:$C$203='Cement and Glass Split'!$A44,IF('Exiobase A Matrix'!$D$3:$GU$3='Cement and Glass Split'!I$2,'Exiobase A Matrix'!$D$4:$GU$203)))</f>
        <v>0</v>
      </c>
      <c r="J44">
        <f t="array" ref="J44">SUMPRODUCT(IF('Exiobase A Matrix'!$C$4:$C$203='Cement and Glass Split'!$A44,IF('Exiobase A Matrix'!$D$3:$GU$3='Cement and Glass Split'!J$2,'Exiobase A Matrix'!$D$4:$GU$203)))</f>
        <v>0</v>
      </c>
      <c r="K44">
        <f t="array" ref="K44">SUMPRODUCT(IF('Exiobase A Matrix'!$C$4:$C$203='Cement and Glass Split'!$A44,IF('Exiobase A Matrix'!$D$3:$GU$3='Cement and Glass Split'!K$2,'Exiobase A Matrix'!$D$4:$GU$203)))</f>
        <v>0</v>
      </c>
      <c r="L44">
        <f t="array" ref="L44">SUMPRODUCT(IF('Exiobase A Matrix'!$C$4:$C$203='Cement and Glass Split'!$A44,IF('Exiobase A Matrix'!$D$3:$GU$3='Cement and Glass Split'!L$2,'Exiobase A Matrix'!$D$4:$GU$203)))</f>
        <v>0</v>
      </c>
      <c r="M44">
        <f t="array" ref="M44">SUMPRODUCT(IF('Exiobase A Matrix'!$C$4:$C$203='Cement and Glass Split'!$A44,IF('Exiobase A Matrix'!$D$3:$GU$3='Cement and Glass Split'!M$2,'Exiobase A Matrix'!$D$4:$GU$203)))</f>
        <v>0</v>
      </c>
      <c r="N44">
        <f t="array" ref="N44">SUMPRODUCT(IF('Exiobase A Matrix'!$C$4:$C$203='Cement and Glass Split'!$A44,IF('Exiobase A Matrix'!$D$3:$GU$3='Cement and Glass Split'!N$2,'Exiobase A Matrix'!$D$4:$GU$203)))</f>
        <v>0</v>
      </c>
      <c r="O44">
        <f t="array" ref="O44">SUMPRODUCT(IF('Exiobase A Matrix'!$C$4:$C$203='Cement and Glass Split'!$A44,IF('Exiobase A Matrix'!$D$3:$GU$3='Cement and Glass Split'!O$2,'Exiobase A Matrix'!$D$4:$GU$203)))</f>
        <v>0</v>
      </c>
      <c r="P44">
        <f t="array" ref="P44">SUMPRODUCT(IF('Exiobase A Matrix'!$C$4:$C$203='Cement and Glass Split'!$A44,IF('Exiobase A Matrix'!$D$3:$GU$3='Cement and Glass Split'!P$2,'Exiobase A Matrix'!$D$4:$GU$203)))</f>
        <v>0</v>
      </c>
      <c r="Q44">
        <f t="array" ref="Q44">SUMPRODUCT(IF('Exiobase A Matrix'!$C$4:$C$203='Cement and Glass Split'!$A44,IF('Exiobase A Matrix'!$D$3:$GU$3='Cement and Glass Split'!Q$2,'Exiobase A Matrix'!$D$4:$GU$203)))</f>
        <v>0</v>
      </c>
      <c r="R44">
        <f t="array" ref="R44">SUMPRODUCT(IF('Exiobase A Matrix'!$C$4:$C$203='Cement and Glass Split'!$A44,IF('Exiobase A Matrix'!$D$3:$GU$3='Cement and Glass Split'!R$2,'Exiobase A Matrix'!$D$4:$GU$203)))</f>
        <v>0</v>
      </c>
      <c r="S44">
        <f t="array" ref="S44">SUMPRODUCT(IF('Exiobase A Matrix'!$C$4:$C$203='Cement and Glass Split'!$A44,IF('Exiobase A Matrix'!$D$3:$GU$3='Cement and Glass Split'!S$2,'Exiobase A Matrix'!$D$4:$GU$203)))</f>
        <v>0</v>
      </c>
      <c r="T44">
        <f t="array" ref="T44">SUMPRODUCT(IF('Exiobase A Matrix'!$C$4:$C$203='Cement and Glass Split'!$A44,IF('Exiobase A Matrix'!$D$3:$GU$3='Cement and Glass Split'!T$2,'Exiobase A Matrix'!$D$4:$GU$203)))</f>
        <v>0</v>
      </c>
      <c r="U44">
        <f t="array" ref="U44">SUMPRODUCT(IF('Exiobase A Matrix'!$C$4:$C$203='Cement and Glass Split'!$A44,IF('Exiobase A Matrix'!$D$3:$GU$3='Cement and Glass Split'!U$2,'Exiobase A Matrix'!$D$4:$GU$203)))</f>
        <v>0</v>
      </c>
      <c r="V44">
        <f t="array" ref="V44">SUMPRODUCT(IF('Exiobase A Matrix'!$C$4:$C$203='Cement and Glass Split'!$A44,IF('Exiobase A Matrix'!$D$3:$GU$3='Cement and Glass Split'!V$2,'Exiobase A Matrix'!$D$4:$GU$203)))</f>
        <v>0</v>
      </c>
      <c r="W44">
        <f t="array" ref="W44">SUMPRODUCT(IF('Exiobase A Matrix'!$C$4:$C$203='Cement and Glass Split'!$A44,IF('Exiobase A Matrix'!$D$3:$GU$3='Cement and Glass Split'!W$2,'Exiobase A Matrix'!$D$4:$GU$203)))</f>
        <v>0</v>
      </c>
      <c r="X44">
        <f t="array" ref="X44">SUMPRODUCT(IF('Exiobase A Matrix'!$C$4:$C$203='Cement and Glass Split'!$A44,IF('Exiobase A Matrix'!$D$3:$GU$3='Cement and Glass Split'!X$2,'Exiobase A Matrix'!$D$4:$GU$203)))</f>
        <v>0</v>
      </c>
      <c r="Y44">
        <f t="array" ref="Y44">SUMPRODUCT(IF('Exiobase A Matrix'!$C$4:$C$203='Cement and Glass Split'!$A44,IF('Exiobase A Matrix'!$D$3:$GU$3='Cement and Glass Split'!Y$2,'Exiobase A Matrix'!$D$4:$GU$203)))</f>
        <v>0</v>
      </c>
      <c r="Z44">
        <f t="array" ref="Z44">SUMPRODUCT(IF('Exiobase A Matrix'!$C$4:$C$203='Cement and Glass Split'!$A44,IF('Exiobase A Matrix'!$D$3:$GU$3='Cement and Glass Split'!Z$2,'Exiobase A Matrix'!$D$4:$GU$203)))</f>
        <v>0</v>
      </c>
      <c r="AA44">
        <f t="array" ref="AA44">SUMPRODUCT(IF('Exiobase A Matrix'!$C$4:$C$203='Cement and Glass Split'!$A44,IF('Exiobase A Matrix'!$D$3:$GU$3='Cement and Glass Split'!AA$2,'Exiobase A Matrix'!$D$4:$GU$203)))</f>
        <v>0</v>
      </c>
      <c r="AB44">
        <f t="array" ref="AB44">SUMPRODUCT(IF('Exiobase A Matrix'!$C$4:$C$203='Cement and Glass Split'!$A44,IF('Exiobase A Matrix'!$D$3:$GU$3='Cement and Glass Split'!AB$2,'Exiobase A Matrix'!$D$4:$GU$203)))</f>
        <v>0</v>
      </c>
      <c r="AC44">
        <f t="array" ref="AC44">SUMPRODUCT(IF('Exiobase A Matrix'!$C$4:$C$203='Cement and Glass Split'!$A44,IF('Exiobase A Matrix'!$D$3:$GU$3='Cement and Glass Split'!AC$2,'Exiobase A Matrix'!$D$4:$GU$203)))</f>
        <v>0</v>
      </c>
      <c r="AD44">
        <f t="array" ref="AD44">SUMPRODUCT(IF('Exiobase A Matrix'!$C$4:$C$203='Cement and Glass Split'!$A44,IF('Exiobase A Matrix'!$D$3:$GU$3='Cement and Glass Split'!AD$2,'Exiobase A Matrix'!$D$4:$GU$203)))</f>
        <v>0</v>
      </c>
      <c r="AE44">
        <f t="array" ref="AE44">SUMPRODUCT(IF('Exiobase A Matrix'!$C$4:$C$203='Cement and Glass Split'!$A44,IF('Exiobase A Matrix'!$D$3:$GU$3='Cement and Glass Split'!AE$2,'Exiobase A Matrix'!$D$4:$GU$203)))</f>
        <v>0</v>
      </c>
      <c r="AF44">
        <f t="array" ref="AF44">SUMPRODUCT(IF('Exiobase A Matrix'!$C$4:$C$203='Cement and Glass Split'!$A44,IF('Exiobase A Matrix'!$D$3:$GU$3='Cement and Glass Split'!AF$2,'Exiobase A Matrix'!$D$4:$GU$203)))</f>
        <v>0</v>
      </c>
      <c r="AG44">
        <f t="array" ref="AG44">SUMPRODUCT(IF('Exiobase A Matrix'!$C$4:$C$203='Cement and Glass Split'!$A44,IF('Exiobase A Matrix'!$D$3:$GU$3='Cement and Glass Split'!AG$2,'Exiobase A Matrix'!$D$4:$GU$203)))</f>
        <v>0</v>
      </c>
      <c r="AH44">
        <f t="array" ref="AH44">SUMPRODUCT(IF('Exiobase A Matrix'!$C$4:$C$203='Cement and Glass Split'!$A44,IF('Exiobase A Matrix'!$D$3:$GU$3='Cement and Glass Split'!AH$2,'Exiobase A Matrix'!$D$4:$GU$203)))</f>
        <v>0</v>
      </c>
      <c r="AI44">
        <f t="array" ref="AI44">SUMPRODUCT(IF('Exiobase A Matrix'!$C$4:$C$203='Cement and Glass Split'!$A44,IF('Exiobase A Matrix'!$D$3:$GU$3='Cement and Glass Split'!AI$2,'Exiobase A Matrix'!$D$4:$GU$203)))</f>
        <v>0</v>
      </c>
      <c r="AJ44">
        <f t="array" ref="AJ44">SUMPRODUCT(IF('Exiobase A Matrix'!$C$4:$C$203='Cement and Glass Split'!$A44,IF('Exiobase A Matrix'!$D$3:$GU$3='Cement and Glass Split'!AJ$2,'Exiobase A Matrix'!$D$4:$GU$203)))</f>
        <v>0</v>
      </c>
      <c r="AK44">
        <f t="array" ref="AK44">SUMPRODUCT(IF('Exiobase A Matrix'!$C$4:$C$203='Cement and Glass Split'!$A44,IF('Exiobase A Matrix'!$D$3:$GU$3='Cement and Glass Split'!AK$2,'Exiobase A Matrix'!$D$4:$GU$203)))</f>
        <v>0</v>
      </c>
      <c r="AL44">
        <f t="array" ref="AL44">SUMPRODUCT(IF('Exiobase A Matrix'!$C$4:$C$203='Cement and Glass Split'!$A44,IF('Exiobase A Matrix'!$D$3:$GU$3='Cement and Glass Split'!AL$2,'Exiobase A Matrix'!$D$4:$GU$203)))</f>
        <v>0</v>
      </c>
      <c r="AM44">
        <f t="array" ref="AM44">SUMPRODUCT(IF('Exiobase A Matrix'!$C$4:$C$203='Cement and Glass Split'!$A44,IF('Exiobase A Matrix'!$D$3:$GU$3='Cement and Glass Split'!AM$2,'Exiobase A Matrix'!$D$4:$GU$203)))</f>
        <v>0</v>
      </c>
      <c r="AN44">
        <f t="array" ref="AN44">SUMPRODUCT(IF('Exiobase A Matrix'!$C$4:$C$203='Cement and Glass Split'!$A44,IF('Exiobase A Matrix'!$D$3:$GU$3='Cement and Glass Split'!AN$2,'Exiobase A Matrix'!$D$4:$GU$203)))</f>
        <v>0</v>
      </c>
      <c r="AO44">
        <f t="array" ref="AO44">SUMPRODUCT(IF('Exiobase A Matrix'!$C$4:$C$203='Cement and Glass Split'!$A44,IF('Exiobase A Matrix'!$D$3:$GU$3='Cement and Glass Split'!AO$2,'Exiobase A Matrix'!$D$4:$GU$203)))</f>
        <v>0</v>
      </c>
      <c r="AP44">
        <f t="array" ref="AP44">SUMPRODUCT(IF('Exiobase A Matrix'!$C$4:$C$203='Cement and Glass Split'!$A44,IF('Exiobase A Matrix'!$D$3:$GU$3='Cement and Glass Split'!AP$2,'Exiobase A Matrix'!$D$4:$GU$203)))</f>
        <v>0</v>
      </c>
      <c r="AQ44">
        <f t="array" ref="AQ44">SUMPRODUCT(IF('Exiobase A Matrix'!$C$4:$C$203='Cement and Glass Split'!$A44,IF('Exiobase A Matrix'!$D$3:$GU$3='Cement and Glass Split'!AQ$2,'Exiobase A Matrix'!$D$4:$GU$203)))</f>
        <v>2.3692870414721533E-6</v>
      </c>
    </row>
    <row r="46" spans="1:43">
      <c r="A46" s="20" t="s">
        <v>555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</row>
    <row r="47" spans="1:43">
      <c r="B47" t="s">
        <v>4</v>
      </c>
      <c r="C47" t="s">
        <v>120</v>
      </c>
      <c r="D47" t="s">
        <v>119</v>
      </c>
      <c r="E47" t="s">
        <v>5</v>
      </c>
      <c r="F47" t="s">
        <v>6</v>
      </c>
      <c r="G47" t="s">
        <v>7</v>
      </c>
      <c r="H47" t="s">
        <v>8</v>
      </c>
      <c r="I47" t="s">
        <v>9</v>
      </c>
      <c r="J47" t="s">
        <v>10</v>
      </c>
      <c r="K47" t="s">
        <v>11</v>
      </c>
      <c r="L47" t="s">
        <v>58</v>
      </c>
      <c r="M47" t="s">
        <v>59</v>
      </c>
      <c r="N47" t="s">
        <v>12</v>
      </c>
      <c r="O47" t="s">
        <v>132</v>
      </c>
      <c r="P47" t="s">
        <v>133</v>
      </c>
      <c r="Q47" t="s">
        <v>134</v>
      </c>
      <c r="R47" t="s">
        <v>135</v>
      </c>
      <c r="S47" t="s">
        <v>13</v>
      </c>
      <c r="T47" t="s">
        <v>14</v>
      </c>
      <c r="U47" t="s">
        <v>15</v>
      </c>
      <c r="V47" t="s">
        <v>16</v>
      </c>
      <c r="W47" t="s">
        <v>17</v>
      </c>
      <c r="X47" t="s">
        <v>18</v>
      </c>
      <c r="Y47" t="s">
        <v>19</v>
      </c>
      <c r="Z47" t="s">
        <v>136</v>
      </c>
      <c r="AA47" t="s">
        <v>137</v>
      </c>
      <c r="AB47" t="s">
        <v>138</v>
      </c>
      <c r="AC47" t="s">
        <v>20</v>
      </c>
      <c r="AD47" t="s">
        <v>21</v>
      </c>
      <c r="AE47" t="s">
        <v>22</v>
      </c>
      <c r="AF47" t="s">
        <v>23</v>
      </c>
      <c r="AG47" t="s">
        <v>24</v>
      </c>
      <c r="AH47" t="s">
        <v>25</v>
      </c>
      <c r="AI47" t="s">
        <v>26</v>
      </c>
      <c r="AJ47" t="s">
        <v>27</v>
      </c>
      <c r="AK47" t="s">
        <v>28</v>
      </c>
      <c r="AL47" t="s">
        <v>29</v>
      </c>
      <c r="AM47" t="s">
        <v>30</v>
      </c>
      <c r="AN47" t="s">
        <v>31</v>
      </c>
      <c r="AO47" t="s">
        <v>32</v>
      </c>
      <c r="AP47" t="s">
        <v>33</v>
      </c>
      <c r="AQ47" t="s">
        <v>34</v>
      </c>
    </row>
    <row r="48" spans="1:43">
      <c r="A48" t="s">
        <v>4</v>
      </c>
      <c r="O48">
        <f t="shared" ref="O48:O60" si="0">IFERROR(O3/SUM(O3:P3),0)</f>
        <v>0</v>
      </c>
      <c r="P48">
        <f t="shared" ref="P48:P60" si="1">IFERROR(P3/SUM(O3:P3),0)</f>
        <v>0</v>
      </c>
    </row>
    <row r="49" spans="1:43">
      <c r="A49" t="s">
        <v>120</v>
      </c>
      <c r="O49">
        <f t="shared" si="0"/>
        <v>0</v>
      </c>
      <c r="P49">
        <f t="shared" si="1"/>
        <v>0</v>
      </c>
    </row>
    <row r="50" spans="1:43">
      <c r="A50" t="s">
        <v>119</v>
      </c>
      <c r="O50">
        <f t="shared" si="0"/>
        <v>1.1723420519612541E-2</v>
      </c>
      <c r="P50">
        <f t="shared" si="1"/>
        <v>0.98827657948038738</v>
      </c>
    </row>
    <row r="51" spans="1:43">
      <c r="A51" t="s">
        <v>5</v>
      </c>
      <c r="O51">
        <f t="shared" si="0"/>
        <v>1.1954715119114409E-2</v>
      </c>
      <c r="P51">
        <f t="shared" si="1"/>
        <v>0.9880452848808855</v>
      </c>
    </row>
    <row r="52" spans="1:43">
      <c r="A52" t="s">
        <v>6</v>
      </c>
      <c r="O52">
        <f t="shared" si="0"/>
        <v>0</v>
      </c>
      <c r="P52">
        <f t="shared" si="1"/>
        <v>0</v>
      </c>
    </row>
    <row r="53" spans="1:43">
      <c r="A53" t="s">
        <v>7</v>
      </c>
      <c r="O53">
        <f t="shared" si="0"/>
        <v>0</v>
      </c>
      <c r="P53">
        <f t="shared" si="1"/>
        <v>1</v>
      </c>
    </row>
    <row r="54" spans="1:43">
      <c r="A54" t="s">
        <v>8</v>
      </c>
      <c r="O54">
        <f t="shared" si="0"/>
        <v>0.18874206465105381</v>
      </c>
      <c r="P54">
        <f t="shared" si="1"/>
        <v>0.8112579353489463</v>
      </c>
    </row>
    <row r="55" spans="1:43">
      <c r="A55" t="s">
        <v>9</v>
      </c>
      <c r="O55">
        <f t="shared" si="0"/>
        <v>0.23675035664403046</v>
      </c>
      <c r="P55">
        <f t="shared" si="1"/>
        <v>0.76324964335596956</v>
      </c>
    </row>
    <row r="56" spans="1:43">
      <c r="A56" t="s">
        <v>10</v>
      </c>
      <c r="O56">
        <f t="shared" si="0"/>
        <v>0.15495406544818585</v>
      </c>
      <c r="P56">
        <f t="shared" si="1"/>
        <v>0.84504593455181409</v>
      </c>
    </row>
    <row r="57" spans="1:43">
      <c r="A57" t="s">
        <v>11</v>
      </c>
      <c r="O57">
        <f t="shared" si="0"/>
        <v>0.18051425652521927</v>
      </c>
      <c r="P57">
        <f t="shared" si="1"/>
        <v>0.81948574347478076</v>
      </c>
    </row>
    <row r="58" spans="1:43">
      <c r="A58" t="s">
        <v>58</v>
      </c>
      <c r="O58">
        <f t="shared" si="0"/>
        <v>0.91807233384798093</v>
      </c>
      <c r="P58">
        <f t="shared" si="1"/>
        <v>8.192766615201913E-2</v>
      </c>
    </row>
    <row r="59" spans="1:43">
      <c r="A59" t="s">
        <v>59</v>
      </c>
      <c r="O59">
        <f t="shared" si="0"/>
        <v>0</v>
      </c>
      <c r="P59">
        <f t="shared" si="1"/>
        <v>0</v>
      </c>
    </row>
    <row r="60" spans="1:43">
      <c r="A60" t="s">
        <v>12</v>
      </c>
      <c r="O60">
        <f t="shared" si="0"/>
        <v>0.56927340346647815</v>
      </c>
      <c r="P60">
        <f t="shared" si="1"/>
        <v>0.43072659653352185</v>
      </c>
    </row>
    <row r="61" spans="1:43">
      <c r="A61" t="s">
        <v>132</v>
      </c>
      <c r="B61">
        <f t="shared" ref="B61:N61" si="2">IFERROR(B16/SUM(B16:B17),0)</f>
        <v>0.79520410194171065</v>
      </c>
      <c r="C61">
        <f t="shared" si="2"/>
        <v>0.15078447960658695</v>
      </c>
      <c r="D61">
        <f t="shared" si="2"/>
        <v>5.3171085990507761E-4</v>
      </c>
      <c r="E61">
        <f t="shared" si="2"/>
        <v>0.51240387500413798</v>
      </c>
      <c r="F61">
        <f t="shared" si="2"/>
        <v>0</v>
      </c>
      <c r="G61">
        <f t="shared" si="2"/>
        <v>0.99679584611058403</v>
      </c>
      <c r="H61">
        <f t="shared" si="2"/>
        <v>0.60083467006398017</v>
      </c>
      <c r="I61">
        <f t="shared" si="2"/>
        <v>0.19726536968600686</v>
      </c>
      <c r="J61">
        <f t="shared" si="2"/>
        <v>3.2960640404558722E-3</v>
      </c>
      <c r="K61">
        <f t="shared" si="2"/>
        <v>0.12628597846791106</v>
      </c>
      <c r="L61">
        <f t="shared" si="2"/>
        <v>0.73926971570326439</v>
      </c>
      <c r="M61">
        <f t="shared" si="2"/>
        <v>0</v>
      </c>
      <c r="N61">
        <f t="shared" si="2"/>
        <v>0.84573168193347981</v>
      </c>
      <c r="O61" s="4">
        <f>O16/SUM($O$16:$P$17)</f>
        <v>0.17512940971387553</v>
      </c>
      <c r="P61" s="4">
        <f>P16/SUM($O$16:$P$17)</f>
        <v>1.2980401979259483E-3</v>
      </c>
      <c r="Q61">
        <f t="shared" ref="Q61:AQ61" si="3">IFERROR(Q16/SUM(Q16:Q17),0)</f>
        <v>1.6781739512000942E-3</v>
      </c>
      <c r="R61">
        <f t="shared" si="3"/>
        <v>1.8775534247005246E-2</v>
      </c>
      <c r="S61">
        <f t="shared" si="3"/>
        <v>0.20801468349388025</v>
      </c>
      <c r="T61">
        <f t="shared" si="3"/>
        <v>0.92700902155315079</v>
      </c>
      <c r="U61">
        <f t="shared" si="3"/>
        <v>0.54377225318661682</v>
      </c>
      <c r="V61">
        <f t="shared" si="3"/>
        <v>0.37427783486360128</v>
      </c>
      <c r="W61">
        <f t="shared" si="3"/>
        <v>0.77979513512128529</v>
      </c>
      <c r="X61">
        <f t="shared" si="3"/>
        <v>0.42445753415210818</v>
      </c>
      <c r="Y61">
        <f t="shared" si="3"/>
        <v>0.69213923282402656</v>
      </c>
      <c r="Z61">
        <f t="shared" si="3"/>
        <v>4.8067554568541546E-2</v>
      </c>
      <c r="AA61">
        <f t="shared" si="3"/>
        <v>2.6115521836519037E-2</v>
      </c>
      <c r="AB61">
        <f t="shared" si="3"/>
        <v>0.19958964479430971</v>
      </c>
      <c r="AC61">
        <f t="shared" si="3"/>
        <v>2.9275540637617167E-2</v>
      </c>
      <c r="AD61">
        <f t="shared" si="3"/>
        <v>0.50755763526734399</v>
      </c>
      <c r="AE61">
        <f t="shared" si="3"/>
        <v>0.37634190466779988</v>
      </c>
      <c r="AF61">
        <f t="shared" si="3"/>
        <v>0.31797161853527423</v>
      </c>
      <c r="AG61">
        <f t="shared" si="3"/>
        <v>0</v>
      </c>
      <c r="AH61">
        <f t="shared" si="3"/>
        <v>1</v>
      </c>
      <c r="AI61">
        <f t="shared" si="3"/>
        <v>0.67169696678928925</v>
      </c>
      <c r="AJ61">
        <f t="shared" si="3"/>
        <v>0.99153336687881644</v>
      </c>
      <c r="AK61">
        <f t="shared" si="3"/>
        <v>0.99139577477858787</v>
      </c>
      <c r="AL61">
        <f t="shared" si="3"/>
        <v>0.30117209589986893</v>
      </c>
      <c r="AM61">
        <f t="shared" si="3"/>
        <v>4.3614005403751724E-2</v>
      </c>
      <c r="AN61">
        <f t="shared" si="3"/>
        <v>0.92237583259422606</v>
      </c>
      <c r="AO61">
        <f t="shared" si="3"/>
        <v>0.77604432920949495</v>
      </c>
      <c r="AP61">
        <f t="shared" si="3"/>
        <v>0.54275062049726075</v>
      </c>
      <c r="AQ61">
        <f t="shared" si="3"/>
        <v>0.99976119247153727</v>
      </c>
    </row>
    <row r="62" spans="1:43">
      <c r="A62" t="s">
        <v>133</v>
      </c>
      <c r="B62">
        <f t="shared" ref="B62:N62" si="4">IFERROR(B17/SUM(B17:B18),0)</f>
        <v>0.1006087033581545</v>
      </c>
      <c r="C62">
        <f t="shared" si="4"/>
        <v>2.2318999595034385E-2</v>
      </c>
      <c r="D62">
        <f t="shared" si="4"/>
        <v>0.24518967369049416</v>
      </c>
      <c r="E62">
        <f t="shared" si="4"/>
        <v>6.3399695492642981E-3</v>
      </c>
      <c r="F62">
        <f t="shared" si="4"/>
        <v>0</v>
      </c>
      <c r="G62">
        <f t="shared" si="4"/>
        <v>0.18013921993754159</v>
      </c>
      <c r="H62">
        <f t="shared" si="4"/>
        <v>0.95154979399216288</v>
      </c>
      <c r="I62">
        <f t="shared" si="4"/>
        <v>0.87830014495143127</v>
      </c>
      <c r="J62">
        <f t="shared" si="4"/>
        <v>0.97344097146529696</v>
      </c>
      <c r="K62">
        <f t="shared" si="4"/>
        <v>0.63706672475612236</v>
      </c>
      <c r="L62">
        <f t="shared" si="4"/>
        <v>0.59826525574304734</v>
      </c>
      <c r="M62">
        <f t="shared" si="4"/>
        <v>0</v>
      </c>
      <c r="N62">
        <f t="shared" si="4"/>
        <v>0.262100301456275</v>
      </c>
      <c r="O62" s="4">
        <f>O17/SUM($O$16:$P$17)</f>
        <v>1.2383837692101236E-2</v>
      </c>
      <c r="P62" s="4">
        <f>P17/SUM($O$16:$P$17)</f>
        <v>0.81118871239609736</v>
      </c>
      <c r="Q62">
        <f t="shared" ref="Q62:AQ62" si="5">IFERROR(Q17/SUM(Q17:Q18),0)</f>
        <v>2.0203268207060456E-2</v>
      </c>
      <c r="R62">
        <f t="shared" si="5"/>
        <v>0.30533545777135146</v>
      </c>
      <c r="S62">
        <f t="shared" si="5"/>
        <v>7.3536934598328546E-3</v>
      </c>
      <c r="T62">
        <f t="shared" si="5"/>
        <v>0.15153197633731424</v>
      </c>
      <c r="U62">
        <f t="shared" si="5"/>
        <v>0.11757342848242398</v>
      </c>
      <c r="V62">
        <f t="shared" si="5"/>
        <v>1.366588617343097E-2</v>
      </c>
      <c r="W62">
        <f t="shared" si="5"/>
        <v>2.5139701474844952E-2</v>
      </c>
      <c r="X62">
        <f t="shared" si="5"/>
        <v>0.13849638035209538</v>
      </c>
      <c r="Y62">
        <f t="shared" si="5"/>
        <v>0.12782712730785462</v>
      </c>
      <c r="Z62">
        <f t="shared" si="5"/>
        <v>0.59016963344966722</v>
      </c>
      <c r="AA62">
        <f t="shared" si="5"/>
        <v>1.4637941574796608E-2</v>
      </c>
      <c r="AB62">
        <f t="shared" si="5"/>
        <v>0.47722193390819323</v>
      </c>
      <c r="AC62">
        <f t="shared" si="5"/>
        <v>0.6302436047247757</v>
      </c>
      <c r="AD62">
        <f t="shared" si="5"/>
        <v>1</v>
      </c>
      <c r="AE62">
        <f t="shared" si="5"/>
        <v>0.99194687941432935</v>
      </c>
      <c r="AF62">
        <f t="shared" si="5"/>
        <v>1</v>
      </c>
      <c r="AG62">
        <f t="shared" si="5"/>
        <v>0</v>
      </c>
      <c r="AH62">
        <f t="shared" si="5"/>
        <v>0</v>
      </c>
      <c r="AI62">
        <f t="shared" si="5"/>
        <v>0.92163095601842115</v>
      </c>
      <c r="AJ62">
        <f t="shared" si="5"/>
        <v>1</v>
      </c>
      <c r="AK62">
        <f t="shared" si="5"/>
        <v>0.11537110358784632</v>
      </c>
      <c r="AL62">
        <f t="shared" si="5"/>
        <v>0.25484049898269029</v>
      </c>
      <c r="AM62">
        <f t="shared" si="5"/>
        <v>0.91221871099345253</v>
      </c>
      <c r="AN62">
        <f t="shared" si="5"/>
        <v>1</v>
      </c>
      <c r="AO62">
        <f t="shared" si="5"/>
        <v>0.54769844989957583</v>
      </c>
      <c r="AP62">
        <f t="shared" si="5"/>
        <v>0.69587454833726903</v>
      </c>
      <c r="AQ62">
        <f t="shared" si="5"/>
        <v>0.66734536294776103</v>
      </c>
    </row>
    <row r="63" spans="1:43">
      <c r="A63" t="s">
        <v>134</v>
      </c>
      <c r="O63">
        <f t="shared" ref="O63:O89" si="6">IFERROR(O18/SUM(O18:P18),0)</f>
        <v>6.8469001881714064E-2</v>
      </c>
      <c r="P63">
        <f t="shared" ref="P63:P89" si="7">IFERROR(P18/SUM(O18:P18),0)</f>
        <v>0.93153099811828588</v>
      </c>
    </row>
    <row r="64" spans="1:43">
      <c r="A64" t="s">
        <v>135</v>
      </c>
      <c r="O64">
        <f t="shared" si="6"/>
        <v>0.1759867435049646</v>
      </c>
      <c r="P64">
        <f t="shared" si="7"/>
        <v>0.82401325649503554</v>
      </c>
    </row>
    <row r="65" spans="1:16">
      <c r="A65" t="s">
        <v>13</v>
      </c>
      <c r="O65">
        <f t="shared" si="6"/>
        <v>0.36832633812024779</v>
      </c>
      <c r="P65">
        <f t="shared" si="7"/>
        <v>0.63167366187975216</v>
      </c>
    </row>
    <row r="66" spans="1:16">
      <c r="A66" t="s">
        <v>14</v>
      </c>
      <c r="O66">
        <f t="shared" si="6"/>
        <v>0.37503467109092659</v>
      </c>
      <c r="P66">
        <f t="shared" si="7"/>
        <v>0.62496532890907341</v>
      </c>
    </row>
    <row r="67" spans="1:16">
      <c r="A67" t="s">
        <v>15</v>
      </c>
      <c r="O67">
        <f t="shared" si="6"/>
        <v>0.42542878794737654</v>
      </c>
      <c r="P67">
        <f t="shared" si="7"/>
        <v>0.5745712120526234</v>
      </c>
    </row>
    <row r="68" spans="1:16">
      <c r="A68" t="s">
        <v>16</v>
      </c>
      <c r="O68">
        <f t="shared" si="6"/>
        <v>0.34585478662952829</v>
      </c>
      <c r="P68">
        <f t="shared" si="7"/>
        <v>0.6541452133704716</v>
      </c>
    </row>
    <row r="69" spans="1:16">
      <c r="A69" t="s">
        <v>17</v>
      </c>
      <c r="O69">
        <f t="shared" si="6"/>
        <v>7.9793824598634697E-2</v>
      </c>
      <c r="P69">
        <f t="shared" si="7"/>
        <v>0.92020617540136529</v>
      </c>
    </row>
    <row r="70" spans="1:16">
      <c r="A70" t="s">
        <v>18</v>
      </c>
      <c r="O70">
        <f t="shared" si="6"/>
        <v>0.36933608657727851</v>
      </c>
      <c r="P70">
        <f t="shared" si="7"/>
        <v>0.63066391342272143</v>
      </c>
    </row>
    <row r="71" spans="1:16">
      <c r="A71" t="s">
        <v>19</v>
      </c>
      <c r="O71">
        <f t="shared" si="6"/>
        <v>0.55056389940929662</v>
      </c>
      <c r="P71">
        <f t="shared" si="7"/>
        <v>0.44943610059070338</v>
      </c>
    </row>
    <row r="72" spans="1:16">
      <c r="A72" t="s">
        <v>136</v>
      </c>
      <c r="O72">
        <f t="shared" si="6"/>
        <v>0.16868532305536527</v>
      </c>
      <c r="P72">
        <f t="shared" si="7"/>
        <v>0.83131467694463468</v>
      </c>
    </row>
    <row r="73" spans="1:16">
      <c r="A73" t="s">
        <v>137</v>
      </c>
      <c r="O73">
        <f t="shared" si="6"/>
        <v>0.99930586984584757</v>
      </c>
      <c r="P73">
        <f t="shared" si="7"/>
        <v>6.9413015415245008E-4</v>
      </c>
    </row>
    <row r="74" spans="1:16">
      <c r="A74" t="s">
        <v>138</v>
      </c>
      <c r="O74">
        <f t="shared" si="6"/>
        <v>0.99260528260627157</v>
      </c>
      <c r="P74">
        <f t="shared" si="7"/>
        <v>7.3947173937285284E-3</v>
      </c>
    </row>
    <row r="75" spans="1:16">
      <c r="A75" t="s">
        <v>20</v>
      </c>
      <c r="O75">
        <f t="shared" si="6"/>
        <v>0.47895681419287223</v>
      </c>
      <c r="P75">
        <f t="shared" si="7"/>
        <v>0.52104318580712783</v>
      </c>
    </row>
    <row r="76" spans="1:16">
      <c r="A76" t="s">
        <v>21</v>
      </c>
      <c r="O76">
        <f t="shared" si="6"/>
        <v>0</v>
      </c>
      <c r="P76">
        <f t="shared" si="7"/>
        <v>0</v>
      </c>
    </row>
    <row r="77" spans="1:16">
      <c r="A77" t="s">
        <v>22</v>
      </c>
      <c r="O77">
        <f t="shared" si="6"/>
        <v>5.4782424564934151E-2</v>
      </c>
      <c r="P77">
        <f t="shared" si="7"/>
        <v>0.9452175754350659</v>
      </c>
    </row>
    <row r="78" spans="1:16">
      <c r="A78" t="s">
        <v>23</v>
      </c>
      <c r="O78">
        <f t="shared" si="6"/>
        <v>0.12685886813679073</v>
      </c>
      <c r="P78">
        <f t="shared" si="7"/>
        <v>0.87314113186320919</v>
      </c>
    </row>
    <row r="79" spans="1:16">
      <c r="A79" t="s">
        <v>24</v>
      </c>
      <c r="O79">
        <f t="shared" si="6"/>
        <v>0</v>
      </c>
      <c r="P79">
        <f t="shared" si="7"/>
        <v>0</v>
      </c>
    </row>
    <row r="80" spans="1:16">
      <c r="A80" t="s">
        <v>25</v>
      </c>
      <c r="O80">
        <f t="shared" si="6"/>
        <v>0.15321748033877899</v>
      </c>
      <c r="P80">
        <f t="shared" si="7"/>
        <v>0.84678251966122098</v>
      </c>
    </row>
    <row r="81" spans="1:16">
      <c r="A81" t="s">
        <v>26</v>
      </c>
      <c r="O81">
        <f t="shared" si="6"/>
        <v>0.36615965944516993</v>
      </c>
      <c r="P81">
        <f t="shared" si="7"/>
        <v>0.63384034055483007</v>
      </c>
    </row>
    <row r="82" spans="1:16">
      <c r="A82" t="s">
        <v>27</v>
      </c>
      <c r="O82">
        <f t="shared" si="6"/>
        <v>0.15797949461257058</v>
      </c>
      <c r="P82">
        <f t="shared" si="7"/>
        <v>0.84202050538742945</v>
      </c>
    </row>
    <row r="83" spans="1:16">
      <c r="A83" t="s">
        <v>28</v>
      </c>
      <c r="O83">
        <f t="shared" si="6"/>
        <v>0.156551681274159</v>
      </c>
      <c r="P83">
        <f t="shared" si="7"/>
        <v>0.84344831872584103</v>
      </c>
    </row>
    <row r="84" spans="1:16">
      <c r="A84" t="s">
        <v>29</v>
      </c>
      <c r="O84">
        <f t="shared" si="6"/>
        <v>0.60316046866688755</v>
      </c>
      <c r="P84">
        <f t="shared" si="7"/>
        <v>0.39683953133311239</v>
      </c>
    </row>
    <row r="85" spans="1:16">
      <c r="A85" t="s">
        <v>30</v>
      </c>
      <c r="O85">
        <f t="shared" si="6"/>
        <v>0</v>
      </c>
      <c r="P85">
        <f t="shared" si="7"/>
        <v>0</v>
      </c>
    </row>
    <row r="86" spans="1:16">
      <c r="A86" t="s">
        <v>31</v>
      </c>
      <c r="O86">
        <f t="shared" si="6"/>
        <v>0.98031186617949573</v>
      </c>
      <c r="P86">
        <f t="shared" si="7"/>
        <v>1.9688133820504296E-2</v>
      </c>
    </row>
    <row r="87" spans="1:16">
      <c r="A87" t="s">
        <v>32</v>
      </c>
      <c r="O87">
        <f t="shared" si="6"/>
        <v>2.1054244465040801E-2</v>
      </c>
      <c r="P87">
        <f t="shared" si="7"/>
        <v>0.97894575553495911</v>
      </c>
    </row>
    <row r="88" spans="1:16">
      <c r="A88" t="s">
        <v>33</v>
      </c>
      <c r="O88">
        <f t="shared" si="6"/>
        <v>0.23218322618945519</v>
      </c>
      <c r="P88">
        <f t="shared" si="7"/>
        <v>0.76781677381054481</v>
      </c>
    </row>
    <row r="89" spans="1:16">
      <c r="A89" t="s">
        <v>34</v>
      </c>
      <c r="O89">
        <f t="shared" si="6"/>
        <v>0</v>
      </c>
      <c r="P89">
        <f t="shared" si="7"/>
        <v>0</v>
      </c>
    </row>
    <row r="90" spans="1:16">
      <c r="A90" t="s">
        <v>695</v>
      </c>
      <c r="O90">
        <f>SUM(O3:O44)/SUM($O$3:$P$44)</f>
        <v>0.14982669791274023</v>
      </c>
      <c r="P90">
        <f>SUM(P3:P44)/SUM($O$3:$P$44)</f>
        <v>0.85017330208726005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C06F-C5B9-41A3-A6D2-A8F487DA382D}">
  <dimension ref="A1:BA378"/>
  <sheetViews>
    <sheetView topLeftCell="A323" workbookViewId="0">
      <selection activeCell="Q351" sqref="Q351"/>
    </sheetView>
  </sheetViews>
  <sheetFormatPr defaultRowHeight="14.5"/>
  <cols>
    <col min="1" max="1" width="14.453125" customWidth="1"/>
    <col min="2" max="2" width="9.26953125" customWidth="1"/>
    <col min="3" max="3" width="11.7265625" bestFit="1" customWidth="1"/>
  </cols>
  <sheetData>
    <row r="1" spans="1:53">
      <c r="A1" s="20" t="s">
        <v>554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</row>
    <row r="2" spans="1:53">
      <c r="C2" t="s">
        <v>342</v>
      </c>
      <c r="D2" t="s">
        <v>343</v>
      </c>
      <c r="E2" t="s">
        <v>344</v>
      </c>
      <c r="F2" t="s">
        <v>548</v>
      </c>
      <c r="G2" t="s">
        <v>547</v>
      </c>
      <c r="H2" t="s">
        <v>546</v>
      </c>
      <c r="I2" t="s">
        <v>545</v>
      </c>
      <c r="J2" t="s">
        <v>544</v>
      </c>
      <c r="K2" t="s">
        <v>543</v>
      </c>
      <c r="L2" t="s">
        <v>542</v>
      </c>
      <c r="M2" t="s">
        <v>345</v>
      </c>
      <c r="N2" t="s">
        <v>541</v>
      </c>
      <c r="O2" t="s">
        <v>346</v>
      </c>
      <c r="P2" t="s">
        <v>347</v>
      </c>
      <c r="Q2" t="s">
        <v>348</v>
      </c>
      <c r="R2" t="s">
        <v>349</v>
      </c>
      <c r="S2" t="s">
        <v>350</v>
      </c>
      <c r="T2" t="s">
        <v>540</v>
      </c>
      <c r="U2" t="s">
        <v>539</v>
      </c>
      <c r="V2" t="s">
        <v>351</v>
      </c>
      <c r="W2" t="s">
        <v>352</v>
      </c>
      <c r="X2" t="s">
        <v>353</v>
      </c>
      <c r="Y2" t="s">
        <v>354</v>
      </c>
      <c r="Z2" t="s">
        <v>355</v>
      </c>
      <c r="AA2" t="s">
        <v>538</v>
      </c>
      <c r="AB2" t="s">
        <v>537</v>
      </c>
      <c r="AC2" t="s">
        <v>536</v>
      </c>
      <c r="AD2" t="s">
        <v>535</v>
      </c>
      <c r="AE2" t="s">
        <v>534</v>
      </c>
      <c r="AF2" t="s">
        <v>356</v>
      </c>
      <c r="AG2" t="s">
        <v>533</v>
      </c>
      <c r="AH2" t="s">
        <v>357</v>
      </c>
      <c r="AI2" t="s">
        <v>358</v>
      </c>
      <c r="AJ2" t="s">
        <v>359</v>
      </c>
      <c r="AK2" t="s">
        <v>360</v>
      </c>
      <c r="AL2" t="s">
        <v>361</v>
      </c>
      <c r="AM2" t="s">
        <v>362</v>
      </c>
      <c r="AN2" t="s">
        <v>532</v>
      </c>
      <c r="AO2" t="s">
        <v>363</v>
      </c>
      <c r="AP2" t="s">
        <v>531</v>
      </c>
      <c r="AQ2" t="s">
        <v>530</v>
      </c>
      <c r="AR2" t="s">
        <v>529</v>
      </c>
      <c r="AS2" t="s">
        <v>528</v>
      </c>
      <c r="AT2" t="s">
        <v>364</v>
      </c>
      <c r="AU2" t="s">
        <v>527</v>
      </c>
      <c r="AV2" t="s">
        <v>526</v>
      </c>
      <c r="AW2" t="s">
        <v>365</v>
      </c>
      <c r="AX2" t="s">
        <v>525</v>
      </c>
      <c r="AY2" t="s">
        <v>524</v>
      </c>
      <c r="AZ2" t="s">
        <v>366</v>
      </c>
      <c r="BA2" t="s">
        <v>515</v>
      </c>
    </row>
    <row r="3" spans="1:53">
      <c r="C3" t="str">
        <f>INDEX('ISIC Crosswalk'!$D$2:$D$61,MATCH(C2,'ISIC Crosswalk'!$E$2:$E$61,0),1)</f>
        <v>ISIC 01T03</v>
      </c>
      <c r="D3" t="str">
        <f>INDEX('ISIC Crosswalk'!$D$2:$D$61,MATCH(D2,'ISIC Crosswalk'!$E$2:$E$61,0),1)</f>
        <v>ISIC 01T03</v>
      </c>
      <c r="E3" t="str">
        <f>INDEX('ISIC Crosswalk'!$D$2:$D$61,MATCH(E2,'ISIC Crosswalk'!$E$2:$E$61,0),1)</f>
        <v>ISIC 01T03</v>
      </c>
      <c r="F3" t="str">
        <f>INDEX('ISIC Crosswalk'!$D$2:$D$61,MATCH(F2,'ISIC Crosswalk'!$E$2:$E$61,0),1)</f>
        <v>ISIC 05</v>
      </c>
      <c r="G3" t="str">
        <f>INDEX('ISIC Crosswalk'!$D$2:$D$61,MATCH(G2,'ISIC Crosswalk'!$E$2:$E$61,0),1)</f>
        <v>ISIC 06</v>
      </c>
      <c r="H3" t="str">
        <f>INDEX('ISIC Crosswalk'!$D$2:$D$61,MATCH(H2,'ISIC Crosswalk'!$E$2:$E$61,0),1)</f>
        <v>ISIC 07T08</v>
      </c>
      <c r="I3" t="str">
        <f>INDEX('ISIC Crosswalk'!$D$2:$D$61,MATCH(I2,'ISIC Crosswalk'!$E$2:$E$61,0),1)</f>
        <v>ISIC 07T08</v>
      </c>
      <c r="J3" t="str">
        <f>INDEX('ISIC Crosswalk'!$D$2:$D$61,MATCH(J2,'ISIC Crosswalk'!$E$2:$E$61,0),1)</f>
        <v>ISIC 09</v>
      </c>
      <c r="K3" t="str">
        <f>INDEX('ISIC Crosswalk'!$D$2:$D$61,MATCH(K2,'ISIC Crosswalk'!$E$2:$E$61,0),1)</f>
        <v>ISIC 10T12</v>
      </c>
      <c r="L3" t="str">
        <f>INDEX('ISIC Crosswalk'!$D$2:$D$61,MATCH(L2,'ISIC Crosswalk'!$E$2:$E$61,0),1)</f>
        <v>ISIC 13T15</v>
      </c>
      <c r="M3" t="str">
        <f>INDEX('ISIC Crosswalk'!$D$2:$D$61,MATCH(M2,'ISIC Crosswalk'!$E$2:$E$61,0),1)</f>
        <v>ISIC 16</v>
      </c>
      <c r="N3" t="str">
        <f>INDEX('ISIC Crosswalk'!$D$2:$D$61,MATCH(N2,'ISIC Crosswalk'!$E$2:$E$61,0),1)</f>
        <v>ISIC 17T18</v>
      </c>
      <c r="O3" t="str">
        <f>INDEX('ISIC Crosswalk'!$D$2:$D$61,MATCH(O2,'ISIC Crosswalk'!$E$2:$E$61,0),1)</f>
        <v>ISIC 19</v>
      </c>
      <c r="P3" t="str">
        <f>INDEX('ISIC Crosswalk'!$D$2:$D$61,MATCH(P2,'ISIC Crosswalk'!$E$2:$E$61,0),1)</f>
        <v>ISIC 20</v>
      </c>
      <c r="Q3" t="str">
        <f>INDEX('ISIC Crosswalk'!$D$2:$D$61,MATCH(Q2,'ISIC Crosswalk'!$E$2:$E$61,0),1)</f>
        <v>ISIC 21</v>
      </c>
      <c r="R3" t="str">
        <f>INDEX('ISIC Crosswalk'!$D$2:$D$61,MATCH(R2,'ISIC Crosswalk'!$E$2:$E$61,0),1)</f>
        <v>ISIC 22</v>
      </c>
      <c r="S3" t="str">
        <f>INDEX('ISIC Crosswalk'!$D$2:$D$61,MATCH(S2,'ISIC Crosswalk'!$E$2:$E$61,0),1)</f>
        <v>ISIC 231</v>
      </c>
      <c r="T3" t="str">
        <f>INDEX('ISIC Crosswalk'!$D$2:$D$61,MATCH(T2,'ISIC Crosswalk'!$E$2:$E$61,0),1)</f>
        <v>ISIC 241</v>
      </c>
      <c r="U3" t="str">
        <f>INDEX('ISIC Crosswalk'!$D$2:$D$61,MATCH(U2,'ISIC Crosswalk'!$E$2:$E$61,0),1)</f>
        <v>ISIC 242</v>
      </c>
      <c r="V3" t="str">
        <f>INDEX('ISIC Crosswalk'!$D$2:$D$61,MATCH(V2,'ISIC Crosswalk'!$E$2:$E$61,0),1)</f>
        <v>ISIC 25</v>
      </c>
      <c r="W3" t="str">
        <f>INDEX('ISIC Crosswalk'!$D$2:$D$61,MATCH(W2,'ISIC Crosswalk'!$E$2:$E$61,0),1)</f>
        <v>ISIC 26</v>
      </c>
      <c r="X3" t="str">
        <f>INDEX('ISIC Crosswalk'!$D$2:$D$61,MATCH(X2,'ISIC Crosswalk'!$E$2:$E$61,0),1)</f>
        <v>ISIC 27</v>
      </c>
      <c r="Y3" t="str">
        <f>INDEX('ISIC Crosswalk'!$D$2:$D$61,MATCH(Y2,'ISIC Crosswalk'!$E$2:$E$61,0),1)</f>
        <v>ISIC 28</v>
      </c>
      <c r="Z3" t="str">
        <f>INDEX('ISIC Crosswalk'!$D$2:$D$61,MATCH(Z2,'ISIC Crosswalk'!$E$2:$E$61,0),1)</f>
        <v>ISIC 29</v>
      </c>
      <c r="AA3" t="str">
        <f>INDEX('ISIC Crosswalk'!$D$2:$D$61,MATCH(AA2,'ISIC Crosswalk'!$E$2:$E$61,0),1)</f>
        <v>ISIC 30</v>
      </c>
      <c r="AB3" t="str">
        <f>INDEX('ISIC Crosswalk'!$D$2:$D$61,MATCH(AB2,'ISIC Crosswalk'!$E$2:$E$61,0),1)</f>
        <v>ISIC 30</v>
      </c>
      <c r="AC3" t="str">
        <f>INDEX('ISIC Crosswalk'!$D$2:$D$61,MATCH(AC2,'ISIC Crosswalk'!$E$2:$E$61,0),1)</f>
        <v>ISIC 31T33</v>
      </c>
      <c r="AD3" t="str">
        <f>INDEX('ISIC Crosswalk'!$D$2:$D$61,MATCH(AD2,'ISIC Crosswalk'!$E$2:$E$61,0),1)</f>
        <v>ISIC 351</v>
      </c>
      <c r="AE3" t="str">
        <f>INDEX('ISIC Crosswalk'!$D$2:$D$61,MATCH(AE2,'ISIC Crosswalk'!$E$2:$E$61,0),1)</f>
        <v>ISIC 36T39</v>
      </c>
      <c r="AF3" t="str">
        <f>INDEX('ISIC Crosswalk'!$D$2:$D$61,MATCH(AF2,'ISIC Crosswalk'!$E$2:$E$61,0),1)</f>
        <v>ISIC 41T43</v>
      </c>
      <c r="AG3" t="str">
        <f>INDEX('ISIC Crosswalk'!$D$2:$D$61,MATCH(AG2,'ISIC Crosswalk'!$E$2:$E$61,0),1)</f>
        <v>ISIC 45T47</v>
      </c>
      <c r="AH3" t="str">
        <f>INDEX('ISIC Crosswalk'!$D$2:$D$61,MATCH(AH2,'ISIC Crosswalk'!$E$2:$E$61,0),1)</f>
        <v>ISIC 352T353</v>
      </c>
      <c r="AI3" t="str">
        <f>INDEX('ISIC Crosswalk'!$D$2:$D$61,MATCH(AI2,'ISIC Crosswalk'!$E$2:$E$61,0),1)</f>
        <v>ISIC 49T53</v>
      </c>
      <c r="AJ3" t="str">
        <f>INDEX('ISIC Crosswalk'!$D$2:$D$61,MATCH(AJ2,'ISIC Crosswalk'!$E$2:$E$61,0),1)</f>
        <v>ISIC 49T53</v>
      </c>
      <c r="AK3" t="str">
        <f>INDEX('ISIC Crosswalk'!$D$2:$D$61,MATCH(AK2,'ISIC Crosswalk'!$E$2:$E$61,0),1)</f>
        <v>ISIC 49T53</v>
      </c>
      <c r="AL3" t="str">
        <f>INDEX('ISIC Crosswalk'!$D$2:$D$61,MATCH(AL2,'ISIC Crosswalk'!$E$2:$E$61,0),1)</f>
        <v>ISIC 49T53</v>
      </c>
      <c r="AM3" t="str">
        <f>INDEX('ISIC Crosswalk'!$D$2:$D$61,MATCH(AM2,'ISIC Crosswalk'!$E$2:$E$61,0),1)</f>
        <v>ISIC 55T56</v>
      </c>
      <c r="AN3" t="str">
        <f>INDEX('ISIC Crosswalk'!$D$2:$D$61,MATCH(AN2,'ISIC Crosswalk'!$E$2:$E$61,0),1)</f>
        <v>ISIC 58T60</v>
      </c>
      <c r="AO3" t="str">
        <f>INDEX('ISIC Crosswalk'!$D$2:$D$61,MATCH(AO2,'ISIC Crosswalk'!$E$2:$E$61,0),1)</f>
        <v>ISIC 61</v>
      </c>
      <c r="AP3" t="str">
        <f>INDEX('ISIC Crosswalk'!$D$2:$D$61,MATCH(AP2,'ISIC Crosswalk'!$E$2:$E$61,0),1)</f>
        <v>ISIC 62T63</v>
      </c>
      <c r="AQ3" t="str">
        <f>INDEX('ISIC Crosswalk'!$D$2:$D$61,MATCH(AQ2,'ISIC Crosswalk'!$E$2:$E$61,0),1)</f>
        <v>ISIC 64T66</v>
      </c>
      <c r="AR3" t="str">
        <f>INDEX('ISIC Crosswalk'!$D$2:$D$61,MATCH(AR2,'ISIC Crosswalk'!$E$2:$E$61,0),1)</f>
        <v>ISIC 68</v>
      </c>
      <c r="AS3" t="str">
        <f>INDEX('ISIC Crosswalk'!$D$2:$D$61,MATCH(AS2,'ISIC Crosswalk'!$E$2:$E$61,0),1)</f>
        <v>ISIC 69T82</v>
      </c>
      <c r="AT3" t="str">
        <f>INDEX('ISIC Crosswalk'!$D$2:$D$61,MATCH(AT2,'ISIC Crosswalk'!$E$2:$E$61,0),1)</f>
        <v>ISIC 69T82</v>
      </c>
      <c r="AU3" t="str">
        <f>INDEX('ISIC Crosswalk'!$D$2:$D$61,MATCH(AU2,'ISIC Crosswalk'!$E$2:$E$61,0),1)</f>
        <v>ISIC 84</v>
      </c>
      <c r="AV3" t="str">
        <f>INDEX('ISIC Crosswalk'!$D$2:$D$61,MATCH(AV2,'ISIC Crosswalk'!$E$2:$E$61,0),1)</f>
        <v>ISIC 85</v>
      </c>
      <c r="AW3" t="str">
        <f>INDEX('ISIC Crosswalk'!$D$2:$D$61,MATCH(AW2,'ISIC Crosswalk'!$E$2:$E$61,0),1)</f>
        <v>ISIC 86T88</v>
      </c>
      <c r="AX3" t="str">
        <f>INDEX('ISIC Crosswalk'!$D$2:$D$61,MATCH(AX2,'ISIC Crosswalk'!$E$2:$E$61,0),1)</f>
        <v>ISIC 90T96</v>
      </c>
      <c r="AY3" t="str">
        <f>INDEX('ISIC Crosswalk'!$D$2:$D$61,MATCH(AY2,'ISIC Crosswalk'!$E$2:$E$61,0),1)</f>
        <v>ISIC 90T96</v>
      </c>
      <c r="AZ3" t="str">
        <f>INDEX('ISIC Crosswalk'!$D$2:$D$61,MATCH(AZ2,'ISIC Crosswalk'!$E$2:$E$61,0),1)</f>
        <v>ISIC 97T98</v>
      </c>
    </row>
    <row r="4" spans="1:53">
      <c r="A4" t="s">
        <v>514</v>
      </c>
      <c r="B4" t="str">
        <f>INDEX('ISIC Crosswalk'!$D$2:$D$107,MATCH(A4,'ISIC Crosswalk'!$A$2:$A$107,0),1)</f>
        <v>ISIC 01T03</v>
      </c>
      <c r="C4">
        <v>2972.944</v>
      </c>
      <c r="D4">
        <v>35.360999999999997</v>
      </c>
      <c r="E4">
        <v>53.442999999999998</v>
      </c>
      <c r="F4">
        <v>1.4E-2</v>
      </c>
      <c r="G4">
        <v>4.0000000000000001E-3</v>
      </c>
      <c r="H4">
        <v>3.0000000000000001E-3</v>
      </c>
      <c r="I4">
        <v>0.54500000000000004</v>
      </c>
      <c r="J4">
        <v>1E-3</v>
      </c>
      <c r="K4">
        <v>20981.346000000001</v>
      </c>
      <c r="L4">
        <v>486.11099999999999</v>
      </c>
      <c r="M4">
        <v>11.968999999999999</v>
      </c>
      <c r="N4">
        <v>4.0860000000000003</v>
      </c>
      <c r="O4">
        <v>0.35499999999999998</v>
      </c>
      <c r="P4">
        <v>251.49700000000001</v>
      </c>
      <c r="Q4">
        <v>47.453000000000003</v>
      </c>
      <c r="R4">
        <v>81.025000000000006</v>
      </c>
      <c r="S4">
        <v>0.99399999999999999</v>
      </c>
      <c r="T4">
        <v>0.44</v>
      </c>
      <c r="U4">
        <v>0.43099999999999999</v>
      </c>
      <c r="V4">
        <v>0.94699999999999995</v>
      </c>
      <c r="W4">
        <v>4.8849999999999998</v>
      </c>
      <c r="X4">
        <v>1.4370000000000001</v>
      </c>
      <c r="Y4">
        <v>6.7930000000000001</v>
      </c>
      <c r="Z4">
        <v>3.3450000000000002</v>
      </c>
      <c r="AA4">
        <v>0.89800000000000002</v>
      </c>
      <c r="AB4">
        <v>0.23</v>
      </c>
      <c r="AC4">
        <v>13.723000000000001</v>
      </c>
      <c r="AD4">
        <v>22.533000000000001</v>
      </c>
      <c r="AE4">
        <v>5.306</v>
      </c>
      <c r="AF4">
        <v>54.844999999999999</v>
      </c>
      <c r="AG4">
        <v>407.72300000000001</v>
      </c>
      <c r="AH4">
        <v>2.0289999999999999</v>
      </c>
      <c r="AI4">
        <v>4.8860000000000001</v>
      </c>
      <c r="AJ4">
        <v>0.153</v>
      </c>
      <c r="AK4">
        <v>6.9180000000000001</v>
      </c>
      <c r="AL4">
        <v>0.60299999999999998</v>
      </c>
      <c r="AM4">
        <v>4458.1329999999998</v>
      </c>
      <c r="AN4">
        <v>2.633</v>
      </c>
      <c r="AO4">
        <v>0.82799999999999996</v>
      </c>
      <c r="AP4">
        <v>0.47199999999999998</v>
      </c>
      <c r="AQ4">
        <v>2.0569999999999999</v>
      </c>
      <c r="AR4">
        <v>8.5630000000000006</v>
      </c>
      <c r="AS4">
        <v>49.210999999999999</v>
      </c>
      <c r="AT4">
        <v>36.942</v>
      </c>
      <c r="AU4">
        <v>47.886000000000003</v>
      </c>
      <c r="AV4">
        <v>58.945999999999998</v>
      </c>
      <c r="AW4">
        <v>147.215</v>
      </c>
      <c r="AX4">
        <v>31.315999999999999</v>
      </c>
      <c r="AY4">
        <v>46.865000000000002</v>
      </c>
      <c r="AZ4">
        <v>0</v>
      </c>
      <c r="BA4">
        <f>OECD_KOR2022dom!BI2</f>
        <v>45071.582999999999</v>
      </c>
    </row>
    <row r="5" spans="1:53">
      <c r="A5" t="s">
        <v>513</v>
      </c>
      <c r="B5" t="str">
        <f>INDEX('ISIC Crosswalk'!$D$2:$D$107,MATCH(A5,'ISIC Crosswalk'!$A$2:$A$107,0),1)</f>
        <v>ISIC 01T03</v>
      </c>
      <c r="C5">
        <v>72.760999999999996</v>
      </c>
      <c r="D5">
        <v>351.459</v>
      </c>
      <c r="E5">
        <v>2.964</v>
      </c>
      <c r="F5">
        <v>0.16</v>
      </c>
      <c r="G5">
        <v>6.0000000000000001E-3</v>
      </c>
      <c r="H5">
        <v>8.0000000000000002E-3</v>
      </c>
      <c r="I5">
        <v>0.435</v>
      </c>
      <c r="J5">
        <v>0</v>
      </c>
      <c r="K5">
        <v>219.11600000000001</v>
      </c>
      <c r="L5">
        <v>14.913</v>
      </c>
      <c r="M5">
        <v>935.90700000000004</v>
      </c>
      <c r="N5">
        <v>133.583</v>
      </c>
      <c r="O5">
        <v>0.29199999999999998</v>
      </c>
      <c r="P5">
        <v>31.253</v>
      </c>
      <c r="Q5">
        <v>1.54</v>
      </c>
      <c r="R5">
        <v>90.787000000000006</v>
      </c>
      <c r="S5">
        <v>4.3810000000000002</v>
      </c>
      <c r="T5">
        <v>2.0990000000000002</v>
      </c>
      <c r="U5">
        <v>1.2869999999999999</v>
      </c>
      <c r="V5">
        <v>0.91200000000000003</v>
      </c>
      <c r="W5">
        <v>0.85199999999999998</v>
      </c>
      <c r="X5">
        <v>0.61399999999999999</v>
      </c>
      <c r="Y5">
        <v>1.65</v>
      </c>
      <c r="Z5">
        <v>0.80400000000000005</v>
      </c>
      <c r="AA5">
        <v>1.018</v>
      </c>
      <c r="AB5">
        <v>7.3999999999999996E-2</v>
      </c>
      <c r="AC5">
        <v>67.519000000000005</v>
      </c>
      <c r="AD5">
        <v>80.406000000000006</v>
      </c>
      <c r="AE5">
        <v>0.32900000000000001</v>
      </c>
      <c r="AF5">
        <v>39.76</v>
      </c>
      <c r="AG5">
        <v>29.507999999999999</v>
      </c>
      <c r="AH5">
        <v>0.17599999999999999</v>
      </c>
      <c r="AI5">
        <v>0.47199999999999998</v>
      </c>
      <c r="AJ5">
        <v>0.11600000000000001</v>
      </c>
      <c r="AK5">
        <v>0.64700000000000002</v>
      </c>
      <c r="AL5">
        <v>0.13800000000000001</v>
      </c>
      <c r="AM5">
        <v>80.7</v>
      </c>
      <c r="AN5">
        <v>0.79</v>
      </c>
      <c r="AO5">
        <v>0.55900000000000005</v>
      </c>
      <c r="AP5">
        <v>0.54</v>
      </c>
      <c r="AQ5">
        <v>0.82699999999999996</v>
      </c>
      <c r="AR5">
        <v>3.7320000000000002</v>
      </c>
      <c r="AS5">
        <v>1.9419999999999999</v>
      </c>
      <c r="AT5">
        <v>1.71</v>
      </c>
      <c r="AU5">
        <v>11.379</v>
      </c>
      <c r="AV5">
        <v>5.899</v>
      </c>
      <c r="AW5">
        <v>5.1609999999999996</v>
      </c>
      <c r="AX5">
        <v>5.9059999999999997</v>
      </c>
      <c r="AY5">
        <v>4.617</v>
      </c>
      <c r="AZ5">
        <v>0</v>
      </c>
      <c r="BA5">
        <f>OECD_KOR2022dom!BI3</f>
        <v>3082.931</v>
      </c>
    </row>
    <row r="6" spans="1:53">
      <c r="A6" t="s">
        <v>512</v>
      </c>
      <c r="B6" t="str">
        <f>INDEX('ISIC Crosswalk'!$D$2:$D$107,MATCH(A6,'ISIC Crosswalk'!$A$2:$A$107,0),1)</f>
        <v>ISIC 01T03</v>
      </c>
      <c r="C6">
        <v>4.8550000000000004</v>
      </c>
      <c r="D6">
        <v>0.44800000000000001</v>
      </c>
      <c r="E6">
        <v>431.33300000000003</v>
      </c>
      <c r="F6">
        <v>3.0000000000000001E-3</v>
      </c>
      <c r="G6">
        <v>0</v>
      </c>
      <c r="H6">
        <v>1E-3</v>
      </c>
      <c r="I6">
        <v>4.4999999999999998E-2</v>
      </c>
      <c r="J6">
        <v>0</v>
      </c>
      <c r="K6">
        <v>2711.5830000000001</v>
      </c>
      <c r="L6">
        <v>0.91200000000000003</v>
      </c>
      <c r="M6">
        <v>0.03</v>
      </c>
      <c r="N6">
        <v>8.7999999999999995E-2</v>
      </c>
      <c r="O6">
        <v>0.121</v>
      </c>
      <c r="P6">
        <v>2.2730000000000001</v>
      </c>
      <c r="Q6">
        <v>0.41</v>
      </c>
      <c r="R6">
        <v>0.252</v>
      </c>
      <c r="S6">
        <v>0.161</v>
      </c>
      <c r="T6">
        <v>0.13600000000000001</v>
      </c>
      <c r="U6">
        <v>0.125</v>
      </c>
      <c r="V6">
        <v>0.307</v>
      </c>
      <c r="W6">
        <v>0.60699999999999998</v>
      </c>
      <c r="X6">
        <v>0.314</v>
      </c>
      <c r="Y6">
        <v>0.46899999999999997</v>
      </c>
      <c r="Z6">
        <v>0.183</v>
      </c>
      <c r="AA6">
        <v>0.192</v>
      </c>
      <c r="AB6">
        <v>1.2E-2</v>
      </c>
      <c r="AC6">
        <v>0.14899999999999999</v>
      </c>
      <c r="AD6">
        <v>0.215</v>
      </c>
      <c r="AE6">
        <v>9.7000000000000003E-2</v>
      </c>
      <c r="AF6">
        <v>0.78400000000000003</v>
      </c>
      <c r="AG6">
        <v>40.506999999999998</v>
      </c>
      <c r="AH6">
        <v>8.6999999999999994E-2</v>
      </c>
      <c r="AI6">
        <v>1.421</v>
      </c>
      <c r="AJ6">
        <v>3.5000000000000003E-2</v>
      </c>
      <c r="AK6">
        <v>0.35799999999999998</v>
      </c>
      <c r="AL6">
        <v>4.0000000000000001E-3</v>
      </c>
      <c r="AM6">
        <v>1256.01</v>
      </c>
      <c r="AN6">
        <v>0.51800000000000002</v>
      </c>
      <c r="AO6">
        <v>0.17499999999999999</v>
      </c>
      <c r="AP6">
        <v>0.35199999999999998</v>
      </c>
      <c r="AQ6">
        <v>0.68600000000000005</v>
      </c>
      <c r="AR6">
        <v>1.0940000000000001</v>
      </c>
      <c r="AS6">
        <v>1.1299999999999999</v>
      </c>
      <c r="AT6">
        <v>0.29699999999999999</v>
      </c>
      <c r="AU6">
        <v>11.728</v>
      </c>
      <c r="AV6">
        <v>4.6040000000000001</v>
      </c>
      <c r="AW6">
        <v>12.708</v>
      </c>
      <c r="AX6">
        <v>1.67</v>
      </c>
      <c r="AY6">
        <v>2.6560000000000001</v>
      </c>
      <c r="AZ6">
        <v>0</v>
      </c>
      <c r="BA6">
        <f>OECD_KOR2022dom!BI4</f>
        <v>7613.625</v>
      </c>
    </row>
    <row r="7" spans="1:53">
      <c r="A7" t="s">
        <v>511</v>
      </c>
      <c r="B7" t="str">
        <f>INDEX('ISIC Crosswalk'!$D$2:$D$107,MATCH(A7,'ISIC Crosswalk'!$A$2:$A$107,0),1)</f>
        <v>ISIC 05</v>
      </c>
      <c r="C7">
        <v>0.14299999999999999</v>
      </c>
      <c r="D7">
        <v>7.0000000000000001E-3</v>
      </c>
      <c r="E7">
        <v>3.9E-2</v>
      </c>
      <c r="F7">
        <v>0.24399999999999999</v>
      </c>
      <c r="G7">
        <v>0</v>
      </c>
      <c r="H7">
        <v>0</v>
      </c>
      <c r="I7">
        <v>0.02</v>
      </c>
      <c r="J7">
        <v>0</v>
      </c>
      <c r="K7">
        <v>0.42699999999999999</v>
      </c>
      <c r="L7">
        <v>0.214</v>
      </c>
      <c r="M7">
        <v>2.5000000000000001E-2</v>
      </c>
      <c r="N7">
        <v>0.112</v>
      </c>
      <c r="O7">
        <v>24.172999999999998</v>
      </c>
      <c r="P7">
        <v>0.627</v>
      </c>
      <c r="Q7">
        <v>7.0000000000000007E-2</v>
      </c>
      <c r="R7">
        <v>0.21299999999999999</v>
      </c>
      <c r="S7">
        <v>0.159</v>
      </c>
      <c r="T7">
        <v>0.39100000000000001</v>
      </c>
      <c r="U7">
        <v>0.13400000000000001</v>
      </c>
      <c r="V7">
        <v>0.25800000000000001</v>
      </c>
      <c r="W7">
        <v>0.77300000000000002</v>
      </c>
      <c r="X7">
        <v>0.28899999999999998</v>
      </c>
      <c r="Y7">
        <v>0.432</v>
      </c>
      <c r="Z7">
        <v>0.39400000000000002</v>
      </c>
      <c r="AA7">
        <v>9.5000000000000001E-2</v>
      </c>
      <c r="AB7">
        <v>3.6999999999999998E-2</v>
      </c>
      <c r="AC7">
        <v>9.5000000000000001E-2</v>
      </c>
      <c r="AD7">
        <v>208.80199999999999</v>
      </c>
      <c r="AE7">
        <v>7.1999999999999995E-2</v>
      </c>
      <c r="AF7">
        <v>0.45800000000000002</v>
      </c>
      <c r="AG7">
        <v>0.34799999999999998</v>
      </c>
      <c r="AH7">
        <v>0.06</v>
      </c>
      <c r="AI7">
        <v>0.122</v>
      </c>
      <c r="AJ7">
        <v>0.09</v>
      </c>
      <c r="AK7">
        <v>0.10299999999999999</v>
      </c>
      <c r="AL7">
        <v>1.4E-2</v>
      </c>
      <c r="AM7">
        <v>0.316</v>
      </c>
      <c r="AN7">
        <v>0.03</v>
      </c>
      <c r="AO7">
        <v>7.4999999999999997E-2</v>
      </c>
      <c r="AP7">
        <v>4.2999999999999997E-2</v>
      </c>
      <c r="AQ7">
        <v>3.7999999999999999E-2</v>
      </c>
      <c r="AR7">
        <v>8.4000000000000005E-2</v>
      </c>
      <c r="AS7">
        <v>0.16900000000000001</v>
      </c>
      <c r="AT7">
        <v>8.5000000000000006E-2</v>
      </c>
      <c r="AU7">
        <v>0.126</v>
      </c>
      <c r="AV7">
        <v>0.10299999999999999</v>
      </c>
      <c r="AW7">
        <v>0.192</v>
      </c>
      <c r="AX7">
        <v>4.7E-2</v>
      </c>
      <c r="AY7">
        <v>0.09</v>
      </c>
      <c r="AZ7">
        <v>0</v>
      </c>
      <c r="BA7">
        <f>OECD_KOR2022dom!BI5</f>
        <v>257.66300000000001</v>
      </c>
    </row>
    <row r="8" spans="1:53">
      <c r="A8" t="s">
        <v>510</v>
      </c>
      <c r="B8" t="str">
        <f>INDEX('ISIC Crosswalk'!$D$2:$D$107,MATCH(A8,'ISIC Crosswalk'!$A$2:$A$107,0),1)</f>
        <v>ISIC 06</v>
      </c>
      <c r="C8">
        <v>3.6999999999999998E-2</v>
      </c>
      <c r="D8">
        <v>1E-3</v>
      </c>
      <c r="E8">
        <v>8.0000000000000002E-3</v>
      </c>
      <c r="F8">
        <v>0</v>
      </c>
      <c r="G8">
        <v>8.0000000000000002E-3</v>
      </c>
      <c r="H8">
        <v>0</v>
      </c>
      <c r="I8">
        <v>3.0000000000000001E-3</v>
      </c>
      <c r="J8">
        <v>0</v>
      </c>
      <c r="K8">
        <v>0.16400000000000001</v>
      </c>
      <c r="L8">
        <v>0.109</v>
      </c>
      <c r="M8">
        <v>8.9999999999999993E-3</v>
      </c>
      <c r="N8">
        <v>0.04</v>
      </c>
      <c r="O8">
        <v>102.895</v>
      </c>
      <c r="P8">
        <v>0.29199999999999998</v>
      </c>
      <c r="Q8">
        <v>3.4000000000000002E-2</v>
      </c>
      <c r="R8">
        <v>0.106</v>
      </c>
      <c r="S8">
        <v>4.8000000000000001E-2</v>
      </c>
      <c r="T8">
        <v>0.11</v>
      </c>
      <c r="U8">
        <v>3.2000000000000001E-2</v>
      </c>
      <c r="V8">
        <v>9.8000000000000004E-2</v>
      </c>
      <c r="W8">
        <v>0.433</v>
      </c>
      <c r="X8">
        <v>0.14000000000000001</v>
      </c>
      <c r="Y8">
        <v>0.18099999999999999</v>
      </c>
      <c r="Z8">
        <v>0.157</v>
      </c>
      <c r="AA8">
        <v>4.3999999999999997E-2</v>
      </c>
      <c r="AB8">
        <v>1.0999999999999999E-2</v>
      </c>
      <c r="AC8">
        <v>0.03</v>
      </c>
      <c r="AD8">
        <v>29.373999999999999</v>
      </c>
      <c r="AE8">
        <v>0.01</v>
      </c>
      <c r="AF8">
        <v>0.20100000000000001</v>
      </c>
      <c r="AG8">
        <v>0.111</v>
      </c>
      <c r="AH8">
        <v>1.6E-2</v>
      </c>
      <c r="AI8">
        <v>2.9000000000000001E-2</v>
      </c>
      <c r="AJ8">
        <v>1.4E-2</v>
      </c>
      <c r="AK8">
        <v>2.1999999999999999E-2</v>
      </c>
      <c r="AL8">
        <v>4.0000000000000001E-3</v>
      </c>
      <c r="AM8">
        <v>0.125</v>
      </c>
      <c r="AN8">
        <v>1.2999999999999999E-2</v>
      </c>
      <c r="AO8">
        <v>1.9E-2</v>
      </c>
      <c r="AP8">
        <v>0.01</v>
      </c>
      <c r="AQ8">
        <v>8.9999999999999993E-3</v>
      </c>
      <c r="AR8">
        <v>2.1999999999999999E-2</v>
      </c>
      <c r="AS8">
        <v>3.7999999999999999E-2</v>
      </c>
      <c r="AT8">
        <v>1.7000000000000001E-2</v>
      </c>
      <c r="AU8">
        <v>2.5000000000000001E-2</v>
      </c>
      <c r="AV8">
        <v>0.02</v>
      </c>
      <c r="AW8">
        <v>0.08</v>
      </c>
      <c r="AX8">
        <v>0.01</v>
      </c>
      <c r="AY8">
        <v>3.1E-2</v>
      </c>
      <c r="AZ8">
        <v>0</v>
      </c>
      <c r="BA8">
        <f>OECD_KOR2022dom!BI6</f>
        <v>139.39099999999999</v>
      </c>
    </row>
    <row r="9" spans="1:53">
      <c r="A9" t="s">
        <v>509</v>
      </c>
      <c r="B9" t="str">
        <f>INDEX('ISIC Crosswalk'!$D$2:$D$107,MATCH(A9,'ISIC Crosswalk'!$A$2:$A$107,0),1)</f>
        <v>ISIC 07T08</v>
      </c>
      <c r="C9">
        <v>1.4999999999999999E-2</v>
      </c>
      <c r="D9">
        <v>1E-3</v>
      </c>
      <c r="E9">
        <v>1E-3</v>
      </c>
      <c r="F9">
        <v>1E-3</v>
      </c>
      <c r="G9">
        <v>0</v>
      </c>
      <c r="H9">
        <v>7.0000000000000001E-3</v>
      </c>
      <c r="I9">
        <v>4.9000000000000002E-2</v>
      </c>
      <c r="J9">
        <v>0</v>
      </c>
      <c r="K9">
        <v>0.13400000000000001</v>
      </c>
      <c r="L9">
        <v>2.3E-2</v>
      </c>
      <c r="M9">
        <v>1.2E-2</v>
      </c>
      <c r="N9">
        <v>1.2999999999999999E-2</v>
      </c>
      <c r="O9">
        <v>0.20799999999999999</v>
      </c>
      <c r="P9">
        <v>0.69099999999999995</v>
      </c>
      <c r="Q9">
        <v>1.7999999999999999E-2</v>
      </c>
      <c r="R9">
        <v>0.129</v>
      </c>
      <c r="S9">
        <v>0.93</v>
      </c>
      <c r="T9">
        <v>13.709</v>
      </c>
      <c r="U9">
        <v>12.837</v>
      </c>
      <c r="V9">
        <v>3.121</v>
      </c>
      <c r="W9">
        <v>0.876</v>
      </c>
      <c r="X9">
        <v>1.2689999999999999</v>
      </c>
      <c r="Y9">
        <v>1.825</v>
      </c>
      <c r="Z9">
        <v>1.6160000000000001</v>
      </c>
      <c r="AA9">
        <v>0.36499999999999999</v>
      </c>
      <c r="AB9">
        <v>0.12</v>
      </c>
      <c r="AC9">
        <v>0.17899999999999999</v>
      </c>
      <c r="AD9">
        <v>0.246</v>
      </c>
      <c r="AE9">
        <v>8.3000000000000004E-2</v>
      </c>
      <c r="AF9">
        <v>2.9790000000000001</v>
      </c>
      <c r="AG9">
        <v>0.08</v>
      </c>
      <c r="AH9">
        <v>4.0000000000000001E-3</v>
      </c>
      <c r="AI9">
        <v>8.0000000000000002E-3</v>
      </c>
      <c r="AJ9">
        <v>0</v>
      </c>
      <c r="AK9">
        <v>1.6E-2</v>
      </c>
      <c r="AL9">
        <v>1E-3</v>
      </c>
      <c r="AM9">
        <v>4.8000000000000001E-2</v>
      </c>
      <c r="AN9">
        <v>2E-3</v>
      </c>
      <c r="AO9">
        <v>2E-3</v>
      </c>
      <c r="AP9">
        <v>1E-3</v>
      </c>
      <c r="AQ9">
        <v>5.0000000000000001E-3</v>
      </c>
      <c r="AR9">
        <v>0.17499999999999999</v>
      </c>
      <c r="AS9">
        <v>6.2E-2</v>
      </c>
      <c r="AT9">
        <v>0.01</v>
      </c>
      <c r="AU9">
        <v>1.4E-2</v>
      </c>
      <c r="AV9">
        <v>0.02</v>
      </c>
      <c r="AW9">
        <v>1.2999999999999999E-2</v>
      </c>
      <c r="AX9">
        <v>7.0000000000000001E-3</v>
      </c>
      <c r="AY9">
        <v>3.5999999999999997E-2</v>
      </c>
      <c r="AZ9">
        <v>0</v>
      </c>
      <c r="BA9">
        <f>OECD_KOR2022dom!BI7</f>
        <v>119.78700000000001</v>
      </c>
    </row>
    <row r="10" spans="1:53">
      <c r="A10" t="s">
        <v>508</v>
      </c>
      <c r="B10" t="str">
        <f>INDEX('ISIC Crosswalk'!$D$2:$D$107,MATCH(A10,'ISIC Crosswalk'!$A$2:$A$107,0),1)</f>
        <v>ISIC 07T08</v>
      </c>
      <c r="C10">
        <v>10.737</v>
      </c>
      <c r="D10">
        <v>0.34</v>
      </c>
      <c r="E10">
        <v>2.0139999999999998</v>
      </c>
      <c r="F10">
        <v>0.222</v>
      </c>
      <c r="G10">
        <v>0.05</v>
      </c>
      <c r="H10">
        <v>0.16600000000000001</v>
      </c>
      <c r="I10">
        <v>55.72</v>
      </c>
      <c r="J10">
        <v>2.4E-2</v>
      </c>
      <c r="K10">
        <v>30.286000000000001</v>
      </c>
      <c r="L10">
        <v>4.5759999999999996</v>
      </c>
      <c r="M10">
        <v>0.46100000000000002</v>
      </c>
      <c r="N10">
        <v>11.305</v>
      </c>
      <c r="O10">
        <v>56.448</v>
      </c>
      <c r="P10">
        <v>296.88099999999997</v>
      </c>
      <c r="Q10">
        <v>1.5469999999999999</v>
      </c>
      <c r="R10">
        <v>8.3659999999999997</v>
      </c>
      <c r="S10">
        <v>850.05200000000002</v>
      </c>
      <c r="T10">
        <v>299.72800000000001</v>
      </c>
      <c r="U10">
        <v>92.037999999999997</v>
      </c>
      <c r="V10">
        <v>15.779</v>
      </c>
      <c r="W10">
        <v>9.8309999999999995</v>
      </c>
      <c r="X10">
        <v>11.333</v>
      </c>
      <c r="Y10">
        <v>10.294</v>
      </c>
      <c r="Z10">
        <v>7.4790000000000001</v>
      </c>
      <c r="AA10">
        <v>1.78</v>
      </c>
      <c r="AB10">
        <v>0.496</v>
      </c>
      <c r="AC10">
        <v>7.3620000000000001</v>
      </c>
      <c r="AD10">
        <v>64.287999999999997</v>
      </c>
      <c r="AE10">
        <v>20.94</v>
      </c>
      <c r="AF10">
        <v>878.41099999999994</v>
      </c>
      <c r="AG10">
        <v>9.2100000000000009</v>
      </c>
      <c r="AH10">
        <v>0.746</v>
      </c>
      <c r="AI10">
        <v>0.45600000000000002</v>
      </c>
      <c r="AJ10">
        <v>0.159</v>
      </c>
      <c r="AK10">
        <v>1.768</v>
      </c>
      <c r="AL10">
        <v>0.34599999999999997</v>
      </c>
      <c r="AM10">
        <v>9.2590000000000003</v>
      </c>
      <c r="AN10">
        <v>0.42699999999999999</v>
      </c>
      <c r="AO10">
        <v>0.46</v>
      </c>
      <c r="AP10">
        <v>0.29699999999999999</v>
      </c>
      <c r="AQ10">
        <v>0.68799999999999994</v>
      </c>
      <c r="AR10">
        <v>17.445</v>
      </c>
      <c r="AS10">
        <v>3.92</v>
      </c>
      <c r="AT10">
        <v>6.4480000000000004</v>
      </c>
      <c r="AU10">
        <v>12.118</v>
      </c>
      <c r="AV10">
        <v>2.9449999999999998</v>
      </c>
      <c r="AW10">
        <v>4.1040000000000001</v>
      </c>
      <c r="AX10">
        <v>1.0269999999999999</v>
      </c>
      <c r="AY10">
        <v>2.431</v>
      </c>
      <c r="AZ10">
        <v>0</v>
      </c>
      <c r="BA10">
        <f>OECD_KOR2022dom!BI8</f>
        <v>3274.2820000000002</v>
      </c>
    </row>
    <row r="11" spans="1:53">
      <c r="A11" t="s">
        <v>507</v>
      </c>
      <c r="B11" t="str">
        <f>INDEX('ISIC Crosswalk'!$D$2:$D$107,MATCH(A11,'ISIC Crosswalk'!$A$2:$A$107,0),1)</f>
        <v>ISIC 09</v>
      </c>
      <c r="C11">
        <v>1.9E-2</v>
      </c>
      <c r="D11">
        <v>1E-3</v>
      </c>
      <c r="E11">
        <v>4.0000000000000001E-3</v>
      </c>
      <c r="F11">
        <v>0</v>
      </c>
      <c r="G11">
        <v>0</v>
      </c>
      <c r="H11">
        <v>0</v>
      </c>
      <c r="I11">
        <v>2E-3</v>
      </c>
      <c r="J11">
        <v>0</v>
      </c>
      <c r="K11">
        <v>8.5000000000000006E-2</v>
      </c>
      <c r="L11">
        <v>5.6000000000000001E-2</v>
      </c>
      <c r="M11">
        <v>5.0000000000000001E-3</v>
      </c>
      <c r="N11">
        <v>2.1000000000000001E-2</v>
      </c>
      <c r="O11">
        <v>7.8E-2</v>
      </c>
      <c r="P11">
        <v>0.14899999999999999</v>
      </c>
      <c r="Q11">
        <v>1.7999999999999999E-2</v>
      </c>
      <c r="R11">
        <v>5.5E-2</v>
      </c>
      <c r="S11">
        <v>2.5000000000000001E-2</v>
      </c>
      <c r="T11">
        <v>5.7000000000000002E-2</v>
      </c>
      <c r="U11">
        <v>1.7000000000000001E-2</v>
      </c>
      <c r="V11">
        <v>5.2999999999999999E-2</v>
      </c>
      <c r="W11">
        <v>0.22500000000000001</v>
      </c>
      <c r="X11">
        <v>7.2999999999999995E-2</v>
      </c>
      <c r="Y11">
        <v>9.4E-2</v>
      </c>
      <c r="Z11">
        <v>8.2000000000000003E-2</v>
      </c>
      <c r="AA11">
        <v>2.3E-2</v>
      </c>
      <c r="AB11">
        <v>6.0000000000000001E-3</v>
      </c>
      <c r="AC11">
        <v>1.6E-2</v>
      </c>
      <c r="AD11">
        <v>0.04</v>
      </c>
      <c r="AE11">
        <v>5.0000000000000001E-3</v>
      </c>
      <c r="AF11">
        <v>0.109</v>
      </c>
      <c r="AG11">
        <v>5.7000000000000002E-2</v>
      </c>
      <c r="AH11">
        <v>8.0000000000000002E-3</v>
      </c>
      <c r="AI11">
        <v>1.4E-2</v>
      </c>
      <c r="AJ11">
        <v>6.0000000000000001E-3</v>
      </c>
      <c r="AK11">
        <v>1.0999999999999999E-2</v>
      </c>
      <c r="AL11">
        <v>2E-3</v>
      </c>
      <c r="AM11">
        <v>6.4000000000000001E-2</v>
      </c>
      <c r="AN11">
        <v>7.0000000000000001E-3</v>
      </c>
      <c r="AO11">
        <v>0.01</v>
      </c>
      <c r="AP11">
        <v>5.0000000000000001E-3</v>
      </c>
      <c r="AQ11">
        <v>5.0000000000000001E-3</v>
      </c>
      <c r="AR11">
        <v>1.2E-2</v>
      </c>
      <c r="AS11">
        <v>2.1999999999999999E-2</v>
      </c>
      <c r="AT11">
        <v>8.9999999999999993E-3</v>
      </c>
      <c r="AU11">
        <v>1.2999999999999999E-2</v>
      </c>
      <c r="AV11">
        <v>0.01</v>
      </c>
      <c r="AW11">
        <v>4.1000000000000002E-2</v>
      </c>
      <c r="AX11">
        <v>5.0000000000000001E-3</v>
      </c>
      <c r="AY11">
        <v>1.6E-2</v>
      </c>
      <c r="AZ11">
        <v>0</v>
      </c>
      <c r="BA11">
        <f>OECD_KOR2022dom!BI9</f>
        <v>18.831</v>
      </c>
    </row>
    <row r="12" spans="1:53">
      <c r="A12" t="s">
        <v>506</v>
      </c>
      <c r="B12" t="str">
        <f>INDEX('ISIC Crosswalk'!$D$2:$D$107,MATCH(A12,'ISIC Crosswalk'!$A$2:$A$107,0),1)</f>
        <v>ISIC 10T12</v>
      </c>
      <c r="C12">
        <v>3218.393</v>
      </c>
      <c r="D12">
        <v>5.5259999999999998</v>
      </c>
      <c r="E12">
        <v>444.39800000000002</v>
      </c>
      <c r="F12">
        <v>0.17899999999999999</v>
      </c>
      <c r="G12">
        <v>0.09</v>
      </c>
      <c r="H12">
        <v>9.6000000000000002E-2</v>
      </c>
      <c r="I12">
        <v>4.4249999999999998</v>
      </c>
      <c r="J12">
        <v>1.2E-2</v>
      </c>
      <c r="K12">
        <v>21114.006000000001</v>
      </c>
      <c r="L12">
        <v>182.59</v>
      </c>
      <c r="M12">
        <v>7.4880000000000004</v>
      </c>
      <c r="N12">
        <v>72.350999999999999</v>
      </c>
      <c r="O12">
        <v>38.615000000000002</v>
      </c>
      <c r="P12">
        <v>1315.58</v>
      </c>
      <c r="Q12">
        <v>190.09299999999999</v>
      </c>
      <c r="R12">
        <v>73.632999999999996</v>
      </c>
      <c r="S12">
        <v>26.308</v>
      </c>
      <c r="T12">
        <v>30.263999999999999</v>
      </c>
      <c r="U12">
        <v>24.390999999999998</v>
      </c>
      <c r="V12">
        <v>42.692999999999998</v>
      </c>
      <c r="W12">
        <v>72.796999999999997</v>
      </c>
      <c r="X12">
        <v>47.362000000000002</v>
      </c>
      <c r="Y12">
        <v>62.470999999999997</v>
      </c>
      <c r="Z12">
        <v>51.529000000000003</v>
      </c>
      <c r="AA12">
        <v>13.345000000000001</v>
      </c>
      <c r="AB12">
        <v>4.6680000000000001</v>
      </c>
      <c r="AC12">
        <v>39.183</v>
      </c>
      <c r="AD12">
        <v>50.101999999999997</v>
      </c>
      <c r="AE12">
        <v>28.553999999999998</v>
      </c>
      <c r="AF12">
        <v>114.09</v>
      </c>
      <c r="AG12">
        <v>1570.6379999999999</v>
      </c>
      <c r="AH12">
        <v>22.63</v>
      </c>
      <c r="AI12">
        <v>101.81699999999999</v>
      </c>
      <c r="AJ12">
        <v>18.460999999999999</v>
      </c>
      <c r="AK12">
        <v>99.763000000000005</v>
      </c>
      <c r="AL12">
        <v>17.837</v>
      </c>
      <c r="AM12">
        <v>31471.800999999999</v>
      </c>
      <c r="AN12">
        <v>99.322999999999993</v>
      </c>
      <c r="AO12">
        <v>46.774999999999999</v>
      </c>
      <c r="AP12">
        <v>61.488</v>
      </c>
      <c r="AQ12">
        <v>123.502</v>
      </c>
      <c r="AR12">
        <v>119.777</v>
      </c>
      <c r="AS12">
        <v>258.81900000000002</v>
      </c>
      <c r="AT12">
        <v>99.613</v>
      </c>
      <c r="AU12">
        <v>333.22899999999998</v>
      </c>
      <c r="AV12">
        <v>582.13499999999999</v>
      </c>
      <c r="AW12">
        <v>849.43700000000001</v>
      </c>
      <c r="AX12">
        <v>314.74</v>
      </c>
      <c r="AY12">
        <v>242.084</v>
      </c>
      <c r="AZ12">
        <v>0</v>
      </c>
      <c r="BA12">
        <f>OECD_KOR2022dom!BI10</f>
        <v>131256.50899999999</v>
      </c>
    </row>
    <row r="13" spans="1:53">
      <c r="A13" t="s">
        <v>505</v>
      </c>
      <c r="B13" t="str">
        <f>INDEX('ISIC Crosswalk'!$D$2:$D$107,MATCH(A13,'ISIC Crosswalk'!$A$2:$A$107,0),1)</f>
        <v>ISIC 13T15</v>
      </c>
      <c r="C13">
        <v>64.373999999999995</v>
      </c>
      <c r="D13">
        <v>5.77</v>
      </c>
      <c r="E13">
        <v>102.875</v>
      </c>
      <c r="F13">
        <v>0.77900000000000003</v>
      </c>
      <c r="G13">
        <v>0.23499999999999999</v>
      </c>
      <c r="H13">
        <v>0.252</v>
      </c>
      <c r="I13">
        <v>8.6370000000000005</v>
      </c>
      <c r="J13">
        <v>3.4000000000000002E-2</v>
      </c>
      <c r="K13">
        <v>243.52699999999999</v>
      </c>
      <c r="L13">
        <v>19216.841</v>
      </c>
      <c r="M13">
        <v>30.850999999999999</v>
      </c>
      <c r="N13">
        <v>304.11</v>
      </c>
      <c r="O13">
        <v>43.168999999999997</v>
      </c>
      <c r="P13">
        <v>764.63099999999997</v>
      </c>
      <c r="Q13">
        <v>60.784999999999997</v>
      </c>
      <c r="R13">
        <v>665.71699999999998</v>
      </c>
      <c r="S13">
        <v>161.28200000000001</v>
      </c>
      <c r="T13">
        <v>105.87</v>
      </c>
      <c r="U13">
        <v>47.908000000000001</v>
      </c>
      <c r="V13">
        <v>187.59700000000001</v>
      </c>
      <c r="W13">
        <v>319.488</v>
      </c>
      <c r="X13">
        <v>195.749</v>
      </c>
      <c r="Y13">
        <v>285.35500000000002</v>
      </c>
      <c r="Z13">
        <v>1208.8309999999999</v>
      </c>
      <c r="AA13">
        <v>154.43100000000001</v>
      </c>
      <c r="AB13">
        <v>35.716000000000001</v>
      </c>
      <c r="AC13">
        <v>720.44399999999996</v>
      </c>
      <c r="AD13">
        <v>95.031000000000006</v>
      </c>
      <c r="AE13">
        <v>67.254000000000005</v>
      </c>
      <c r="AF13">
        <v>519.26099999999997</v>
      </c>
      <c r="AG13">
        <v>1401.5719999999999</v>
      </c>
      <c r="AH13">
        <v>23.638000000000002</v>
      </c>
      <c r="AI13">
        <v>25.239000000000001</v>
      </c>
      <c r="AJ13">
        <v>13.709</v>
      </c>
      <c r="AK13">
        <v>99.756</v>
      </c>
      <c r="AL13">
        <v>57.045999999999999</v>
      </c>
      <c r="AM13">
        <v>814.29700000000003</v>
      </c>
      <c r="AN13">
        <v>67.951999999999998</v>
      </c>
      <c r="AO13">
        <v>61.146999999999998</v>
      </c>
      <c r="AP13">
        <v>52.494999999999997</v>
      </c>
      <c r="AQ13">
        <v>111.83199999999999</v>
      </c>
      <c r="AR13">
        <v>190.96700000000001</v>
      </c>
      <c r="AS13">
        <v>463.64800000000002</v>
      </c>
      <c r="AT13">
        <v>296.56900000000002</v>
      </c>
      <c r="AU13">
        <v>578.68600000000004</v>
      </c>
      <c r="AV13">
        <v>293.46899999999999</v>
      </c>
      <c r="AW13">
        <v>732.82299999999998</v>
      </c>
      <c r="AX13">
        <v>324.52499999999998</v>
      </c>
      <c r="AY13">
        <v>759.08900000000006</v>
      </c>
      <c r="AZ13">
        <v>0</v>
      </c>
      <c r="BA13">
        <f>OECD_KOR2022dom!BI11</f>
        <v>66294.554999999993</v>
      </c>
    </row>
    <row r="14" spans="1:53">
      <c r="A14" t="s">
        <v>504</v>
      </c>
      <c r="B14" t="str">
        <f>INDEX('ISIC Crosswalk'!$D$2:$D$107,MATCH(A14,'ISIC Crosswalk'!$A$2:$A$107,0),1)</f>
        <v>ISIC 16</v>
      </c>
      <c r="C14">
        <v>36.228999999999999</v>
      </c>
      <c r="D14">
        <v>10.192</v>
      </c>
      <c r="E14">
        <v>5.3860000000000001</v>
      </c>
      <c r="F14">
        <v>0.315</v>
      </c>
      <c r="G14">
        <v>3.6999999999999998E-2</v>
      </c>
      <c r="H14">
        <v>8.1000000000000003E-2</v>
      </c>
      <c r="I14">
        <v>2.9830000000000001</v>
      </c>
      <c r="J14">
        <v>6.0000000000000001E-3</v>
      </c>
      <c r="K14">
        <v>154.83199999999999</v>
      </c>
      <c r="L14">
        <v>50.262</v>
      </c>
      <c r="M14">
        <v>1196.827</v>
      </c>
      <c r="N14">
        <v>238.84100000000001</v>
      </c>
      <c r="O14">
        <v>3.3130000000000002</v>
      </c>
      <c r="P14">
        <v>192.434</v>
      </c>
      <c r="Q14">
        <v>8.1340000000000003</v>
      </c>
      <c r="R14">
        <v>83.709000000000003</v>
      </c>
      <c r="S14">
        <v>120.84</v>
      </c>
      <c r="T14">
        <v>24.417000000000002</v>
      </c>
      <c r="U14">
        <v>27.056000000000001</v>
      </c>
      <c r="V14">
        <v>119.512</v>
      </c>
      <c r="W14">
        <v>85.123999999999995</v>
      </c>
      <c r="X14">
        <v>93.396000000000001</v>
      </c>
      <c r="Y14">
        <v>96.55</v>
      </c>
      <c r="Z14">
        <v>255.23599999999999</v>
      </c>
      <c r="AA14">
        <v>169.62</v>
      </c>
      <c r="AB14">
        <v>9.86</v>
      </c>
      <c r="AC14">
        <v>995.48</v>
      </c>
      <c r="AD14">
        <v>56.182000000000002</v>
      </c>
      <c r="AE14">
        <v>8.6620000000000008</v>
      </c>
      <c r="AF14">
        <v>3116.7719999999999</v>
      </c>
      <c r="AG14">
        <v>237.43299999999999</v>
      </c>
      <c r="AH14">
        <v>5.87</v>
      </c>
      <c r="AI14">
        <v>2.7589999999999999</v>
      </c>
      <c r="AJ14">
        <v>0.749</v>
      </c>
      <c r="AK14">
        <v>52.395000000000003</v>
      </c>
      <c r="AL14">
        <v>1.839</v>
      </c>
      <c r="AM14">
        <v>123.976</v>
      </c>
      <c r="AN14">
        <v>16.908999999999999</v>
      </c>
      <c r="AO14">
        <v>5.8810000000000002</v>
      </c>
      <c r="AP14">
        <v>4.8879999999999999</v>
      </c>
      <c r="AQ14">
        <v>8.7780000000000005</v>
      </c>
      <c r="AR14">
        <v>400.11700000000002</v>
      </c>
      <c r="AS14">
        <v>94.387</v>
      </c>
      <c r="AT14">
        <v>34.966000000000001</v>
      </c>
      <c r="AU14">
        <v>16.905000000000001</v>
      </c>
      <c r="AV14">
        <v>34.61</v>
      </c>
      <c r="AW14">
        <v>38.351999999999997</v>
      </c>
      <c r="AX14">
        <v>17.745000000000001</v>
      </c>
      <c r="AY14">
        <v>134.887</v>
      </c>
      <c r="AZ14">
        <v>0</v>
      </c>
      <c r="BA14">
        <f>OECD_KOR2022dom!BI12</f>
        <v>8744.1</v>
      </c>
    </row>
    <row r="15" spans="1:53">
      <c r="A15" t="s">
        <v>503</v>
      </c>
      <c r="B15" t="str">
        <f>INDEX('ISIC Crosswalk'!$D$2:$D$107,MATCH(A15,'ISIC Crosswalk'!$A$2:$A$107,0),1)</f>
        <v>ISIC 17T18</v>
      </c>
      <c r="C15">
        <v>66.751999999999995</v>
      </c>
      <c r="D15">
        <v>2.4550000000000001</v>
      </c>
      <c r="E15">
        <v>24.405999999999999</v>
      </c>
      <c r="F15">
        <v>0.20100000000000001</v>
      </c>
      <c r="G15">
        <v>0.161</v>
      </c>
      <c r="H15">
        <v>0.17599999999999999</v>
      </c>
      <c r="I15">
        <v>4.7149999999999999</v>
      </c>
      <c r="J15">
        <v>1.4999999999999999E-2</v>
      </c>
      <c r="K15">
        <v>2758.4160000000002</v>
      </c>
      <c r="L15">
        <v>390.26299999999998</v>
      </c>
      <c r="M15">
        <v>87.061999999999998</v>
      </c>
      <c r="N15">
        <v>9145.6650000000009</v>
      </c>
      <c r="O15">
        <v>35.847000000000001</v>
      </c>
      <c r="P15">
        <v>953.45</v>
      </c>
      <c r="Q15">
        <v>289.25900000000001</v>
      </c>
      <c r="R15">
        <v>483.94400000000002</v>
      </c>
      <c r="S15">
        <v>394.029</v>
      </c>
      <c r="T15">
        <v>91.489000000000004</v>
      </c>
      <c r="U15">
        <v>89.605000000000004</v>
      </c>
      <c r="V15">
        <v>328.86500000000001</v>
      </c>
      <c r="W15">
        <v>784.73299999999995</v>
      </c>
      <c r="X15">
        <v>448.036</v>
      </c>
      <c r="Y15">
        <v>439.358</v>
      </c>
      <c r="Z15">
        <v>436.55799999999999</v>
      </c>
      <c r="AA15">
        <v>61.945</v>
      </c>
      <c r="AB15">
        <v>32.107999999999997</v>
      </c>
      <c r="AC15">
        <v>345.262</v>
      </c>
      <c r="AD15">
        <v>130.358</v>
      </c>
      <c r="AE15">
        <v>62.600999999999999</v>
      </c>
      <c r="AF15">
        <v>375.12900000000002</v>
      </c>
      <c r="AG15">
        <v>2467.0889999999999</v>
      </c>
      <c r="AH15">
        <v>32.000999999999998</v>
      </c>
      <c r="AI15">
        <v>51.765999999999998</v>
      </c>
      <c r="AJ15">
        <v>9.81</v>
      </c>
      <c r="AK15">
        <v>165.62100000000001</v>
      </c>
      <c r="AL15">
        <v>149.52699999999999</v>
      </c>
      <c r="AM15">
        <v>795.26499999999999</v>
      </c>
      <c r="AN15">
        <v>3013.991</v>
      </c>
      <c r="AO15">
        <v>282.529</v>
      </c>
      <c r="AP15">
        <v>448.85</v>
      </c>
      <c r="AQ15">
        <v>1087.961</v>
      </c>
      <c r="AR15">
        <v>218.179</v>
      </c>
      <c r="AS15">
        <v>1843.31</v>
      </c>
      <c r="AT15">
        <v>624.38900000000001</v>
      </c>
      <c r="AU15">
        <v>1002.419</v>
      </c>
      <c r="AV15">
        <v>1535.5340000000001</v>
      </c>
      <c r="AW15">
        <v>721.22699999999998</v>
      </c>
      <c r="AX15">
        <v>289.363</v>
      </c>
      <c r="AY15">
        <v>572.94000000000005</v>
      </c>
      <c r="AZ15">
        <v>0</v>
      </c>
      <c r="BA15">
        <f>OECD_KOR2022dom!BI13</f>
        <v>39624.300999999999</v>
      </c>
    </row>
    <row r="16" spans="1:53">
      <c r="A16" t="s">
        <v>502</v>
      </c>
      <c r="B16" t="str">
        <f>INDEX('ISIC Crosswalk'!$D$2:$D$107,MATCH(A16,'ISIC Crosswalk'!$A$2:$A$107,0),1)</f>
        <v>ISIC 19</v>
      </c>
      <c r="C16">
        <v>1527.3820000000001</v>
      </c>
      <c r="D16">
        <v>124.35599999999999</v>
      </c>
      <c r="E16">
        <v>1037.5650000000001</v>
      </c>
      <c r="F16">
        <v>11.01</v>
      </c>
      <c r="G16">
        <v>3.448</v>
      </c>
      <c r="H16">
        <v>6.593</v>
      </c>
      <c r="I16">
        <v>210.85</v>
      </c>
      <c r="J16">
        <v>0.72099999999999997</v>
      </c>
      <c r="K16">
        <v>1999.519</v>
      </c>
      <c r="L16">
        <v>808.91499999999996</v>
      </c>
      <c r="M16">
        <v>215.29900000000001</v>
      </c>
      <c r="N16">
        <v>684.60299999999995</v>
      </c>
      <c r="O16">
        <v>11844.102000000001</v>
      </c>
      <c r="P16">
        <v>19682.129000000001</v>
      </c>
      <c r="Q16">
        <v>342.64699999999999</v>
      </c>
      <c r="R16">
        <v>2167.4430000000002</v>
      </c>
      <c r="S16">
        <v>1325.8040000000001</v>
      </c>
      <c r="T16">
        <v>3387.855</v>
      </c>
      <c r="U16">
        <v>734.79899999999998</v>
      </c>
      <c r="V16">
        <v>805.59799999999996</v>
      </c>
      <c r="W16">
        <v>746.048</v>
      </c>
      <c r="X16">
        <v>1026.2190000000001</v>
      </c>
      <c r="Y16">
        <v>766.98699999999997</v>
      </c>
      <c r="Z16">
        <v>1576.2070000000001</v>
      </c>
      <c r="AA16">
        <v>252.149</v>
      </c>
      <c r="AB16">
        <v>66.408000000000001</v>
      </c>
      <c r="AC16">
        <v>405.99599999999998</v>
      </c>
      <c r="AD16">
        <v>5807.1689999999999</v>
      </c>
      <c r="AE16">
        <v>695.06100000000004</v>
      </c>
      <c r="AF16">
        <v>3800.5239999999999</v>
      </c>
      <c r="AG16">
        <v>5083.1329999999998</v>
      </c>
      <c r="AH16">
        <v>3097.8679999999999</v>
      </c>
      <c r="AI16">
        <v>6677.3159999999998</v>
      </c>
      <c r="AJ16">
        <v>3299.8539999999998</v>
      </c>
      <c r="AK16">
        <v>2018.4280000000001</v>
      </c>
      <c r="AL16">
        <v>523.41499999999996</v>
      </c>
      <c r="AM16">
        <v>1530.0170000000001</v>
      </c>
      <c r="AN16">
        <v>245.35599999999999</v>
      </c>
      <c r="AO16">
        <v>284.084</v>
      </c>
      <c r="AP16">
        <v>257.42</v>
      </c>
      <c r="AQ16">
        <v>679.10799999999995</v>
      </c>
      <c r="AR16">
        <v>494.70299999999997</v>
      </c>
      <c r="AS16">
        <v>1635.9849999999999</v>
      </c>
      <c r="AT16">
        <v>984.75900000000001</v>
      </c>
      <c r="AU16">
        <v>1788.74</v>
      </c>
      <c r="AV16">
        <v>847.678</v>
      </c>
      <c r="AW16">
        <v>994.80100000000004</v>
      </c>
      <c r="AX16">
        <v>364.59399999999999</v>
      </c>
      <c r="AY16">
        <v>968.17899999999997</v>
      </c>
      <c r="AZ16">
        <v>0</v>
      </c>
      <c r="BA16">
        <f>OECD_KOR2022dom!BI14</f>
        <v>156298.21</v>
      </c>
    </row>
    <row r="17" spans="1:53">
      <c r="A17" t="s">
        <v>501</v>
      </c>
      <c r="B17" t="str">
        <f>INDEX('ISIC Crosswalk'!$D$2:$D$107,MATCH(A17,'ISIC Crosswalk'!$A$2:$A$107,0),1)</f>
        <v>ISIC 20</v>
      </c>
      <c r="C17">
        <v>3683.2260000000001</v>
      </c>
      <c r="D17">
        <v>25.48</v>
      </c>
      <c r="E17">
        <v>116.428</v>
      </c>
      <c r="F17">
        <v>5.9969999999999999</v>
      </c>
      <c r="G17">
        <v>1.6930000000000001</v>
      </c>
      <c r="H17">
        <v>3.9950000000000001</v>
      </c>
      <c r="I17">
        <v>126.491</v>
      </c>
      <c r="J17">
        <v>0.29799999999999999</v>
      </c>
      <c r="K17">
        <v>2705.1889999999999</v>
      </c>
      <c r="L17">
        <v>5258.7110000000002</v>
      </c>
      <c r="M17">
        <v>505.02199999999999</v>
      </c>
      <c r="N17">
        <v>2638.49</v>
      </c>
      <c r="O17">
        <v>2742.2420000000002</v>
      </c>
      <c r="P17">
        <v>61680.118999999999</v>
      </c>
      <c r="Q17">
        <v>2276.7800000000002</v>
      </c>
      <c r="R17">
        <v>20063.011999999999</v>
      </c>
      <c r="S17">
        <v>2084.1759999999999</v>
      </c>
      <c r="T17">
        <v>1415.6079999999999</v>
      </c>
      <c r="U17">
        <v>945.12800000000004</v>
      </c>
      <c r="V17">
        <v>1819.09</v>
      </c>
      <c r="W17">
        <v>3962.3530000000001</v>
      </c>
      <c r="X17">
        <v>2569.5100000000002</v>
      </c>
      <c r="Y17">
        <v>1677.674</v>
      </c>
      <c r="Z17">
        <v>3660.4189999999999</v>
      </c>
      <c r="AA17">
        <v>1008.085</v>
      </c>
      <c r="AB17">
        <v>134.74</v>
      </c>
      <c r="AC17">
        <v>1464.91</v>
      </c>
      <c r="AD17">
        <v>569.66499999999996</v>
      </c>
      <c r="AE17">
        <v>553.71100000000001</v>
      </c>
      <c r="AF17">
        <v>3281.848</v>
      </c>
      <c r="AG17">
        <v>1360.492</v>
      </c>
      <c r="AH17">
        <v>185.72200000000001</v>
      </c>
      <c r="AI17">
        <v>387.65899999999999</v>
      </c>
      <c r="AJ17">
        <v>177.018</v>
      </c>
      <c r="AK17">
        <v>340.697</v>
      </c>
      <c r="AL17">
        <v>43.267000000000003</v>
      </c>
      <c r="AM17">
        <v>1053.9939999999999</v>
      </c>
      <c r="AN17">
        <v>398.875</v>
      </c>
      <c r="AO17">
        <v>51.99</v>
      </c>
      <c r="AP17">
        <v>128.56</v>
      </c>
      <c r="AQ17">
        <v>125.051</v>
      </c>
      <c r="AR17">
        <v>1078.2</v>
      </c>
      <c r="AS17">
        <v>1384</v>
      </c>
      <c r="AT17">
        <v>585.15599999999995</v>
      </c>
      <c r="AU17">
        <v>387.64</v>
      </c>
      <c r="AV17">
        <v>565.14700000000005</v>
      </c>
      <c r="AW17">
        <v>1707.6310000000001</v>
      </c>
      <c r="AX17">
        <v>193.995</v>
      </c>
      <c r="AY17">
        <v>1264.345</v>
      </c>
      <c r="AZ17">
        <v>0</v>
      </c>
      <c r="BA17">
        <f>OECD_KOR2022dom!BI15</f>
        <v>219022.56599999999</v>
      </c>
    </row>
    <row r="18" spans="1:53">
      <c r="A18" t="s">
        <v>500</v>
      </c>
      <c r="B18" t="str">
        <f>INDEX('ISIC Crosswalk'!$D$2:$D$107,MATCH(A18,'ISIC Crosswalk'!$A$2:$A$107,0),1)</f>
        <v>ISIC 21</v>
      </c>
      <c r="C18">
        <v>251.66200000000001</v>
      </c>
      <c r="D18">
        <v>0.48899999999999999</v>
      </c>
      <c r="E18">
        <v>19.140999999999998</v>
      </c>
      <c r="F18">
        <v>0.27100000000000002</v>
      </c>
      <c r="G18">
        <v>0.11700000000000001</v>
      </c>
      <c r="H18">
        <v>0.22600000000000001</v>
      </c>
      <c r="I18">
        <v>2.5299999999999998</v>
      </c>
      <c r="J18">
        <v>6.0000000000000001E-3</v>
      </c>
      <c r="K18">
        <v>364.71699999999998</v>
      </c>
      <c r="L18">
        <v>44.576999999999998</v>
      </c>
      <c r="M18">
        <v>2.851</v>
      </c>
      <c r="N18">
        <v>8.34</v>
      </c>
      <c r="O18">
        <v>9.0060000000000002</v>
      </c>
      <c r="P18">
        <v>588.27</v>
      </c>
      <c r="Q18">
        <v>4862.2569999999996</v>
      </c>
      <c r="R18">
        <v>31.486999999999998</v>
      </c>
      <c r="S18">
        <v>8.1419999999999995</v>
      </c>
      <c r="T18">
        <v>20.058</v>
      </c>
      <c r="U18">
        <v>10.243</v>
      </c>
      <c r="V18">
        <v>15.532</v>
      </c>
      <c r="W18">
        <v>47.572000000000003</v>
      </c>
      <c r="X18">
        <v>14.379</v>
      </c>
      <c r="Y18">
        <v>69.201999999999998</v>
      </c>
      <c r="Z18">
        <v>28.553999999999998</v>
      </c>
      <c r="AA18">
        <v>5.7910000000000004</v>
      </c>
      <c r="AB18">
        <v>2.137</v>
      </c>
      <c r="AC18">
        <v>48.676000000000002</v>
      </c>
      <c r="AD18">
        <v>27.765999999999998</v>
      </c>
      <c r="AE18">
        <v>34.674999999999997</v>
      </c>
      <c r="AF18">
        <v>43.063000000000002</v>
      </c>
      <c r="AG18">
        <v>220.71700000000001</v>
      </c>
      <c r="AH18">
        <v>6.8710000000000004</v>
      </c>
      <c r="AI18">
        <v>14.446</v>
      </c>
      <c r="AJ18">
        <v>4.2539999999999996</v>
      </c>
      <c r="AK18">
        <v>22.024999999999999</v>
      </c>
      <c r="AL18">
        <v>7.6390000000000002</v>
      </c>
      <c r="AM18">
        <v>129.239</v>
      </c>
      <c r="AN18">
        <v>21.385999999999999</v>
      </c>
      <c r="AO18">
        <v>24.626000000000001</v>
      </c>
      <c r="AP18">
        <v>79.736000000000004</v>
      </c>
      <c r="AQ18">
        <v>51.686999999999998</v>
      </c>
      <c r="AR18">
        <v>33.767000000000003</v>
      </c>
      <c r="AS18">
        <v>601.77599999999995</v>
      </c>
      <c r="AT18">
        <v>30.477</v>
      </c>
      <c r="AU18">
        <v>427.61599999999999</v>
      </c>
      <c r="AV18">
        <v>175.458</v>
      </c>
      <c r="AW18">
        <v>11096.806</v>
      </c>
      <c r="AX18">
        <v>71.320999999999998</v>
      </c>
      <c r="AY18">
        <v>110.875</v>
      </c>
      <c r="AZ18">
        <v>0</v>
      </c>
      <c r="BA18">
        <f>OECD_KOR2022dom!BI16</f>
        <v>32883.364999999998</v>
      </c>
    </row>
    <row r="19" spans="1:53">
      <c r="A19" t="s">
        <v>499</v>
      </c>
      <c r="B19" t="str">
        <f>INDEX('ISIC Crosswalk'!$D$2:$D$107,MATCH(A19,'ISIC Crosswalk'!$A$2:$A$107,0),1)</f>
        <v>ISIC 22</v>
      </c>
      <c r="C19">
        <v>368.75299999999999</v>
      </c>
      <c r="D19">
        <v>14.367000000000001</v>
      </c>
      <c r="E19">
        <v>78.793999999999997</v>
      </c>
      <c r="F19">
        <v>3.02</v>
      </c>
      <c r="G19">
        <v>0.96799999999999997</v>
      </c>
      <c r="H19">
        <v>1.0109999999999999</v>
      </c>
      <c r="I19">
        <v>33.244</v>
      </c>
      <c r="J19">
        <v>8.8999999999999996E-2</v>
      </c>
      <c r="K19">
        <v>5087.1080000000002</v>
      </c>
      <c r="L19">
        <v>1243.2550000000001</v>
      </c>
      <c r="M19">
        <v>173.22200000000001</v>
      </c>
      <c r="N19">
        <v>1059.0219999999999</v>
      </c>
      <c r="O19">
        <v>159.66900000000001</v>
      </c>
      <c r="P19">
        <v>3987.7089999999998</v>
      </c>
      <c r="Q19">
        <v>662.33500000000004</v>
      </c>
      <c r="R19">
        <v>10914.329</v>
      </c>
      <c r="S19">
        <v>687.77800000000002</v>
      </c>
      <c r="T19">
        <v>311.57799999999997</v>
      </c>
      <c r="U19">
        <v>319.233</v>
      </c>
      <c r="V19">
        <v>1603.375</v>
      </c>
      <c r="W19">
        <v>4647.6139999999996</v>
      </c>
      <c r="X19">
        <v>3831.163</v>
      </c>
      <c r="Y19">
        <v>3525.3049999999998</v>
      </c>
      <c r="Z19">
        <v>10341.9</v>
      </c>
      <c r="AA19">
        <v>526.02200000000005</v>
      </c>
      <c r="AB19">
        <v>346.798</v>
      </c>
      <c r="AC19">
        <v>1251.329</v>
      </c>
      <c r="AD19">
        <v>142.61000000000001</v>
      </c>
      <c r="AE19">
        <v>275.80700000000002</v>
      </c>
      <c r="AF19">
        <v>6413.2030000000004</v>
      </c>
      <c r="AG19">
        <v>4341.3829999999998</v>
      </c>
      <c r="AH19">
        <v>269.68799999999999</v>
      </c>
      <c r="AI19">
        <v>96.108000000000004</v>
      </c>
      <c r="AJ19">
        <v>18.231000000000002</v>
      </c>
      <c r="AK19">
        <v>313.24900000000002</v>
      </c>
      <c r="AL19">
        <v>58.722000000000001</v>
      </c>
      <c r="AM19">
        <v>777.69600000000003</v>
      </c>
      <c r="AN19">
        <v>171.416</v>
      </c>
      <c r="AO19">
        <v>96.518000000000001</v>
      </c>
      <c r="AP19">
        <v>65.950999999999993</v>
      </c>
      <c r="AQ19">
        <v>157.88499999999999</v>
      </c>
      <c r="AR19">
        <v>939.79499999999996</v>
      </c>
      <c r="AS19">
        <v>710.56500000000005</v>
      </c>
      <c r="AT19">
        <v>404.47699999999998</v>
      </c>
      <c r="AU19">
        <v>223.898</v>
      </c>
      <c r="AV19">
        <v>305.00200000000001</v>
      </c>
      <c r="AW19">
        <v>476.29700000000003</v>
      </c>
      <c r="AX19">
        <v>126.26300000000001</v>
      </c>
      <c r="AY19">
        <v>520.34699999999998</v>
      </c>
      <c r="AZ19">
        <v>0</v>
      </c>
      <c r="BA19">
        <f>OECD_KOR2022dom!BI17</f>
        <v>85333.600999999995</v>
      </c>
    </row>
    <row r="20" spans="1:53">
      <c r="A20" t="s">
        <v>498</v>
      </c>
      <c r="B20" t="str">
        <f>INDEX('ISIC Crosswalk'!$D$2:$D$107,MATCH(A20,'ISIC Crosswalk'!$A$2:$A$107,0),1)</f>
        <v>ISIC 231</v>
      </c>
      <c r="C20">
        <v>87.093000000000004</v>
      </c>
      <c r="D20">
        <v>3.2410000000000001</v>
      </c>
      <c r="E20">
        <v>6.2889999999999997</v>
      </c>
      <c r="F20">
        <v>0.54700000000000004</v>
      </c>
      <c r="G20">
        <v>0.36099999999999999</v>
      </c>
      <c r="H20">
        <v>0.73699999999999999</v>
      </c>
      <c r="I20">
        <v>31.247</v>
      </c>
      <c r="J20">
        <v>0.04</v>
      </c>
      <c r="K20">
        <v>725.89300000000003</v>
      </c>
      <c r="L20">
        <v>71.584999999999994</v>
      </c>
      <c r="M20">
        <v>58.595999999999997</v>
      </c>
      <c r="N20">
        <v>45.332000000000001</v>
      </c>
      <c r="O20">
        <v>44.017000000000003</v>
      </c>
      <c r="P20">
        <v>585.71199999999999</v>
      </c>
      <c r="Q20">
        <v>106.833</v>
      </c>
      <c r="R20">
        <v>398.851</v>
      </c>
      <c r="S20">
        <v>4455.1229999999996</v>
      </c>
      <c r="T20">
        <v>943.95899999999995</v>
      </c>
      <c r="U20">
        <v>256.13</v>
      </c>
      <c r="V20">
        <v>405.49200000000002</v>
      </c>
      <c r="W20">
        <v>980.36500000000001</v>
      </c>
      <c r="X20">
        <v>570.13400000000001</v>
      </c>
      <c r="Y20">
        <v>358.34300000000002</v>
      </c>
      <c r="Z20">
        <v>1070.3920000000001</v>
      </c>
      <c r="AA20">
        <v>200.01499999999999</v>
      </c>
      <c r="AB20">
        <v>26.936</v>
      </c>
      <c r="AC20">
        <v>165.62799999999999</v>
      </c>
      <c r="AD20">
        <v>112.871</v>
      </c>
      <c r="AE20">
        <v>186.41200000000001</v>
      </c>
      <c r="AF20">
        <v>16163.406999999999</v>
      </c>
      <c r="AG20">
        <v>384.35899999999998</v>
      </c>
      <c r="AH20">
        <v>18.62</v>
      </c>
      <c r="AI20">
        <v>65.058000000000007</v>
      </c>
      <c r="AJ20">
        <v>12.252000000000001</v>
      </c>
      <c r="AK20">
        <v>104.024</v>
      </c>
      <c r="AL20">
        <v>9.2880000000000003</v>
      </c>
      <c r="AM20">
        <v>362.447</v>
      </c>
      <c r="AN20">
        <v>12.728999999999999</v>
      </c>
      <c r="AO20">
        <v>14.648999999999999</v>
      </c>
      <c r="AP20">
        <v>8.8719999999999999</v>
      </c>
      <c r="AQ20">
        <v>32.020000000000003</v>
      </c>
      <c r="AR20">
        <v>1377.7550000000001</v>
      </c>
      <c r="AS20">
        <v>217.56800000000001</v>
      </c>
      <c r="AT20">
        <v>58.942</v>
      </c>
      <c r="AU20">
        <v>110.254</v>
      </c>
      <c r="AV20">
        <v>158.04499999999999</v>
      </c>
      <c r="AW20">
        <v>108.65300000000001</v>
      </c>
      <c r="AX20">
        <v>35.548999999999999</v>
      </c>
      <c r="AY20">
        <v>119.779</v>
      </c>
      <c r="AZ20">
        <v>0</v>
      </c>
      <c r="BA20">
        <f>OECD_KOR2022dom!BI18</f>
        <v>36219.588000000003</v>
      </c>
    </row>
    <row r="21" spans="1:53">
      <c r="A21" t="s">
        <v>497</v>
      </c>
      <c r="B21" t="str">
        <f>INDEX('ISIC Crosswalk'!$D$2:$D$107,MATCH(A21,'ISIC Crosswalk'!$A$2:$A$107,0),1)</f>
        <v>ISIC 241</v>
      </c>
      <c r="C21">
        <v>21.501999999999999</v>
      </c>
      <c r="D21">
        <v>1.83</v>
      </c>
      <c r="E21">
        <v>2.7290000000000001</v>
      </c>
      <c r="F21">
        <v>1.8919999999999999</v>
      </c>
      <c r="G21">
        <v>1.6970000000000001</v>
      </c>
      <c r="H21">
        <v>0.84199999999999997</v>
      </c>
      <c r="I21">
        <v>6.6550000000000002</v>
      </c>
      <c r="J21">
        <v>6.4000000000000001E-2</v>
      </c>
      <c r="K21">
        <v>73.817999999999998</v>
      </c>
      <c r="L21">
        <v>43.347999999999999</v>
      </c>
      <c r="M21">
        <v>31.888999999999999</v>
      </c>
      <c r="N21">
        <v>31.344999999999999</v>
      </c>
      <c r="O21">
        <v>44.215000000000003</v>
      </c>
      <c r="P21">
        <v>146.983</v>
      </c>
      <c r="Q21">
        <v>8.7560000000000002</v>
      </c>
      <c r="R21">
        <v>424.22199999999998</v>
      </c>
      <c r="S21">
        <v>393.72699999999998</v>
      </c>
      <c r="T21">
        <v>27556.032999999999</v>
      </c>
      <c r="U21">
        <v>979.04100000000005</v>
      </c>
      <c r="V21">
        <v>17287.532999999999</v>
      </c>
      <c r="W21">
        <v>1900.338</v>
      </c>
      <c r="X21">
        <v>3004.49</v>
      </c>
      <c r="Y21">
        <v>11028.23</v>
      </c>
      <c r="Z21">
        <v>8596.8510000000006</v>
      </c>
      <c r="AA21">
        <v>2383.1129999999998</v>
      </c>
      <c r="AB21">
        <v>700.11</v>
      </c>
      <c r="AC21">
        <v>514.17499999999995</v>
      </c>
      <c r="AD21">
        <v>164.881</v>
      </c>
      <c r="AE21">
        <v>345.43099999999998</v>
      </c>
      <c r="AF21">
        <v>6657.37</v>
      </c>
      <c r="AG21">
        <v>191.86099999999999</v>
      </c>
      <c r="AH21">
        <v>8.7539999999999996</v>
      </c>
      <c r="AI21">
        <v>23.777999999999999</v>
      </c>
      <c r="AJ21">
        <v>0.186</v>
      </c>
      <c r="AK21">
        <v>63.564999999999998</v>
      </c>
      <c r="AL21">
        <v>1.2529999999999999</v>
      </c>
      <c r="AM21">
        <v>14.266999999999999</v>
      </c>
      <c r="AN21">
        <v>1.5109999999999999</v>
      </c>
      <c r="AO21">
        <v>1.679</v>
      </c>
      <c r="AP21">
        <v>1.077</v>
      </c>
      <c r="AQ21">
        <v>3.931</v>
      </c>
      <c r="AR21">
        <v>161.17699999999999</v>
      </c>
      <c r="AS21">
        <v>195.608</v>
      </c>
      <c r="AT21">
        <v>20.37</v>
      </c>
      <c r="AU21">
        <v>23.731000000000002</v>
      </c>
      <c r="AV21">
        <v>26.300999999999998</v>
      </c>
      <c r="AW21">
        <v>9.8260000000000005</v>
      </c>
      <c r="AX21">
        <v>15.132</v>
      </c>
      <c r="AY21">
        <v>88.144000000000005</v>
      </c>
      <c r="AZ21">
        <v>0</v>
      </c>
      <c r="BA21">
        <f>OECD_KOR2022dom!BI19</f>
        <v>113509.761</v>
      </c>
    </row>
    <row r="22" spans="1:53">
      <c r="A22" t="s">
        <v>496</v>
      </c>
      <c r="B22" t="str">
        <f>INDEX('ISIC Crosswalk'!$D$2:$D$107,MATCH(A22,'ISIC Crosswalk'!$A$2:$A$107,0),1)</f>
        <v>ISIC 242</v>
      </c>
      <c r="C22">
        <v>4.8929999999999998</v>
      </c>
      <c r="D22">
        <v>0.625</v>
      </c>
      <c r="E22">
        <v>0.218</v>
      </c>
      <c r="F22">
        <v>7.9000000000000001E-2</v>
      </c>
      <c r="G22">
        <v>0.14199999999999999</v>
      </c>
      <c r="H22">
        <v>0.13600000000000001</v>
      </c>
      <c r="I22">
        <v>1.4359999999999999</v>
      </c>
      <c r="J22">
        <v>4.0000000000000001E-3</v>
      </c>
      <c r="K22">
        <v>126.723</v>
      </c>
      <c r="L22">
        <v>29.998000000000001</v>
      </c>
      <c r="M22">
        <v>12.082000000000001</v>
      </c>
      <c r="N22">
        <v>31.071999999999999</v>
      </c>
      <c r="O22">
        <v>12.385999999999999</v>
      </c>
      <c r="P22">
        <v>572.78200000000004</v>
      </c>
      <c r="Q22">
        <v>18.521999999999998</v>
      </c>
      <c r="R22">
        <v>158.435</v>
      </c>
      <c r="S22">
        <v>83.91</v>
      </c>
      <c r="T22">
        <v>2171.248</v>
      </c>
      <c r="U22">
        <v>10595.299000000001</v>
      </c>
      <c r="V22">
        <v>4090.9780000000001</v>
      </c>
      <c r="W22">
        <v>2603.84</v>
      </c>
      <c r="X22">
        <v>4030.6759999999999</v>
      </c>
      <c r="Y22">
        <v>2278.462</v>
      </c>
      <c r="Z22">
        <v>2363.7539999999999</v>
      </c>
      <c r="AA22">
        <v>321.363</v>
      </c>
      <c r="AB22">
        <v>174.8</v>
      </c>
      <c r="AC22">
        <v>440.452</v>
      </c>
      <c r="AD22">
        <v>43.127000000000002</v>
      </c>
      <c r="AE22">
        <v>168.00800000000001</v>
      </c>
      <c r="AF22">
        <v>811.399</v>
      </c>
      <c r="AG22">
        <v>95.718999999999994</v>
      </c>
      <c r="AH22">
        <v>2.4700000000000002</v>
      </c>
      <c r="AI22">
        <v>6.4649999999999999</v>
      </c>
      <c r="AJ22">
        <v>0.161</v>
      </c>
      <c r="AK22">
        <v>9.2989999999999995</v>
      </c>
      <c r="AL22">
        <v>0.109</v>
      </c>
      <c r="AM22">
        <v>23.815000000000001</v>
      </c>
      <c r="AN22">
        <v>3.2810000000000001</v>
      </c>
      <c r="AO22">
        <v>1.1299999999999999</v>
      </c>
      <c r="AP22">
        <v>0.91600000000000004</v>
      </c>
      <c r="AQ22">
        <v>2.7240000000000002</v>
      </c>
      <c r="AR22">
        <v>34.176000000000002</v>
      </c>
      <c r="AS22">
        <v>36.381</v>
      </c>
      <c r="AT22">
        <v>3.3330000000000002</v>
      </c>
      <c r="AU22">
        <v>7.6550000000000002</v>
      </c>
      <c r="AV22">
        <v>1.3169999999999999</v>
      </c>
      <c r="AW22">
        <v>7.077</v>
      </c>
      <c r="AX22">
        <v>5.0220000000000002</v>
      </c>
      <c r="AY22">
        <v>49.231999999999999</v>
      </c>
      <c r="AZ22">
        <v>0</v>
      </c>
      <c r="BA22">
        <f>OECD_KOR2022dom!BI20</f>
        <v>49961.964</v>
      </c>
    </row>
    <row r="23" spans="1:53">
      <c r="A23" t="s">
        <v>495</v>
      </c>
      <c r="B23" t="str">
        <f>INDEX('ISIC Crosswalk'!$D$2:$D$107,MATCH(A23,'ISIC Crosswalk'!$A$2:$A$107,0),1)</f>
        <v>ISIC 25</v>
      </c>
      <c r="C23">
        <v>188.52799999999999</v>
      </c>
      <c r="D23">
        <v>17.510000000000002</v>
      </c>
      <c r="E23">
        <v>31.22</v>
      </c>
      <c r="F23">
        <v>5.93</v>
      </c>
      <c r="G23">
        <v>2.2829999999999999</v>
      </c>
      <c r="H23">
        <v>1.9039999999999999</v>
      </c>
      <c r="I23">
        <v>37.33</v>
      </c>
      <c r="J23">
        <v>0.30299999999999999</v>
      </c>
      <c r="K23">
        <v>1808.278</v>
      </c>
      <c r="L23">
        <v>294.053</v>
      </c>
      <c r="M23">
        <v>228.10599999999999</v>
      </c>
      <c r="N23">
        <v>175.37200000000001</v>
      </c>
      <c r="O23">
        <v>153.767</v>
      </c>
      <c r="P23">
        <v>1437.3</v>
      </c>
      <c r="Q23">
        <v>105.358</v>
      </c>
      <c r="R23">
        <v>872.97199999999998</v>
      </c>
      <c r="S23">
        <v>522.51300000000003</v>
      </c>
      <c r="T23">
        <v>2777.5439999999999</v>
      </c>
      <c r="U23">
        <v>821.15599999999995</v>
      </c>
      <c r="V23">
        <v>13649.174000000001</v>
      </c>
      <c r="W23">
        <v>3633.7449999999999</v>
      </c>
      <c r="X23">
        <v>3786.8919999999998</v>
      </c>
      <c r="Y23">
        <v>12596.022999999999</v>
      </c>
      <c r="Z23">
        <v>10177.259</v>
      </c>
      <c r="AA23">
        <v>3291.0810000000001</v>
      </c>
      <c r="AB23">
        <v>679.14499999999998</v>
      </c>
      <c r="AC23">
        <v>1150.712</v>
      </c>
      <c r="AD23">
        <v>333.42099999999999</v>
      </c>
      <c r="AE23">
        <v>211.75299999999999</v>
      </c>
      <c r="AF23">
        <v>12471.537</v>
      </c>
      <c r="AG23">
        <v>1419.04</v>
      </c>
      <c r="AH23">
        <v>50.423000000000002</v>
      </c>
      <c r="AI23">
        <v>105.325</v>
      </c>
      <c r="AJ23">
        <v>19.626000000000001</v>
      </c>
      <c r="AK23">
        <v>256.59500000000003</v>
      </c>
      <c r="AL23">
        <v>20.396000000000001</v>
      </c>
      <c r="AM23">
        <v>632.66399999999999</v>
      </c>
      <c r="AN23">
        <v>61.481999999999999</v>
      </c>
      <c r="AO23">
        <v>117.78</v>
      </c>
      <c r="AP23">
        <v>88.891000000000005</v>
      </c>
      <c r="AQ23">
        <v>96.102999999999994</v>
      </c>
      <c r="AR23">
        <v>1073.154</v>
      </c>
      <c r="AS23">
        <v>740.69600000000003</v>
      </c>
      <c r="AT23">
        <v>313.39800000000002</v>
      </c>
      <c r="AU23">
        <v>682.428</v>
      </c>
      <c r="AV23">
        <v>228.81399999999999</v>
      </c>
      <c r="AW23">
        <v>178.47900000000001</v>
      </c>
      <c r="AX23">
        <v>101.55200000000001</v>
      </c>
      <c r="AY23">
        <v>489.95299999999997</v>
      </c>
      <c r="AZ23">
        <v>0</v>
      </c>
      <c r="BA23">
        <f>OECD_KOR2022dom!BI21</f>
        <v>103590.65300000001</v>
      </c>
    </row>
    <row r="24" spans="1:53">
      <c r="A24" t="s">
        <v>494</v>
      </c>
      <c r="B24" t="str">
        <f>INDEX('ISIC Crosswalk'!$D$2:$D$107,MATCH(A24,'ISIC Crosswalk'!$A$2:$A$107,0),1)</f>
        <v>ISIC 26</v>
      </c>
      <c r="C24">
        <v>81.370999999999995</v>
      </c>
      <c r="D24">
        <v>4.968</v>
      </c>
      <c r="E24">
        <v>19.649000000000001</v>
      </c>
      <c r="F24">
        <v>0.92200000000000004</v>
      </c>
      <c r="G24">
        <v>0.61499999999999999</v>
      </c>
      <c r="H24">
        <v>0.443</v>
      </c>
      <c r="I24">
        <v>12.898</v>
      </c>
      <c r="J24">
        <v>7.8E-2</v>
      </c>
      <c r="K24">
        <v>265.98700000000002</v>
      </c>
      <c r="L24">
        <v>140.05799999999999</v>
      </c>
      <c r="M24">
        <v>19.835999999999999</v>
      </c>
      <c r="N24">
        <v>118.664</v>
      </c>
      <c r="O24">
        <v>101.577</v>
      </c>
      <c r="P24">
        <v>1009.48</v>
      </c>
      <c r="Q24">
        <v>99.293999999999997</v>
      </c>
      <c r="R24">
        <v>388.66199999999998</v>
      </c>
      <c r="S24">
        <v>153.709</v>
      </c>
      <c r="T24">
        <v>188.64500000000001</v>
      </c>
      <c r="U24">
        <v>121.011</v>
      </c>
      <c r="V24">
        <v>588.55899999999997</v>
      </c>
      <c r="W24">
        <v>70046.538</v>
      </c>
      <c r="X24">
        <v>6425.6270000000004</v>
      </c>
      <c r="Y24">
        <v>3958.0540000000001</v>
      </c>
      <c r="Z24">
        <v>3815.1460000000002</v>
      </c>
      <c r="AA24">
        <v>1111.932</v>
      </c>
      <c r="AB24">
        <v>197.839</v>
      </c>
      <c r="AC24">
        <v>377.024</v>
      </c>
      <c r="AD24">
        <v>561.21699999999998</v>
      </c>
      <c r="AE24">
        <v>88.847999999999999</v>
      </c>
      <c r="AF24">
        <v>1962.6469999999999</v>
      </c>
      <c r="AG24">
        <v>2139.5529999999999</v>
      </c>
      <c r="AH24">
        <v>46.405000000000001</v>
      </c>
      <c r="AI24">
        <v>103.874</v>
      </c>
      <c r="AJ24">
        <v>47.843000000000004</v>
      </c>
      <c r="AK24">
        <v>265.74700000000001</v>
      </c>
      <c r="AL24">
        <v>76.808000000000007</v>
      </c>
      <c r="AM24">
        <v>501.26799999999997</v>
      </c>
      <c r="AN24">
        <v>438.19400000000002</v>
      </c>
      <c r="AO24">
        <v>2415.4609999999998</v>
      </c>
      <c r="AP24">
        <v>1529.019</v>
      </c>
      <c r="AQ24">
        <v>524.13</v>
      </c>
      <c r="AR24">
        <v>388.66500000000002</v>
      </c>
      <c r="AS24">
        <v>1875.184</v>
      </c>
      <c r="AT24">
        <v>453.34699999999998</v>
      </c>
      <c r="AU24">
        <v>626.04899999999998</v>
      </c>
      <c r="AV24">
        <v>649.24099999999999</v>
      </c>
      <c r="AW24">
        <v>1144.4369999999999</v>
      </c>
      <c r="AX24">
        <v>240.52099999999999</v>
      </c>
      <c r="AY24">
        <v>1720.0309999999999</v>
      </c>
      <c r="AZ24">
        <v>0</v>
      </c>
      <c r="BA24">
        <f>OECD_KOR2022dom!BI22</f>
        <v>341950.85800000001</v>
      </c>
    </row>
    <row r="25" spans="1:53">
      <c r="A25" t="s">
        <v>493</v>
      </c>
      <c r="B25" t="str">
        <f>INDEX('ISIC Crosswalk'!$D$2:$D$107,MATCH(A25,'ISIC Crosswalk'!$A$2:$A$107,0),1)</f>
        <v>ISIC 27</v>
      </c>
      <c r="C25">
        <v>60.993000000000002</v>
      </c>
      <c r="D25">
        <v>3.9140000000000001</v>
      </c>
      <c r="E25">
        <v>27.611999999999998</v>
      </c>
      <c r="F25">
        <v>1.5329999999999999</v>
      </c>
      <c r="G25">
        <v>0.46600000000000003</v>
      </c>
      <c r="H25">
        <v>0.85099999999999998</v>
      </c>
      <c r="I25">
        <v>24.353000000000002</v>
      </c>
      <c r="J25">
        <v>0.11700000000000001</v>
      </c>
      <c r="K25">
        <v>221.102</v>
      </c>
      <c r="L25">
        <v>88.119</v>
      </c>
      <c r="M25">
        <v>17.835000000000001</v>
      </c>
      <c r="N25">
        <v>92.912000000000006</v>
      </c>
      <c r="O25">
        <v>43.387999999999998</v>
      </c>
      <c r="P25">
        <v>432.11700000000002</v>
      </c>
      <c r="Q25">
        <v>38.755000000000003</v>
      </c>
      <c r="R25">
        <v>251.542</v>
      </c>
      <c r="S25">
        <v>133.82900000000001</v>
      </c>
      <c r="T25">
        <v>292.33999999999997</v>
      </c>
      <c r="U25">
        <v>198.38399999999999</v>
      </c>
      <c r="V25">
        <v>904.91600000000005</v>
      </c>
      <c r="W25">
        <v>9918.152</v>
      </c>
      <c r="X25">
        <v>20657.8</v>
      </c>
      <c r="Y25">
        <v>5960.7290000000003</v>
      </c>
      <c r="Z25">
        <v>8391.1319999999996</v>
      </c>
      <c r="AA25">
        <v>841.23199999999997</v>
      </c>
      <c r="AB25">
        <v>338.863</v>
      </c>
      <c r="AC25">
        <v>390.72</v>
      </c>
      <c r="AD25">
        <v>2008.0509999999999</v>
      </c>
      <c r="AE25">
        <v>123.345</v>
      </c>
      <c r="AF25">
        <v>6539.62</v>
      </c>
      <c r="AG25">
        <v>1762.1130000000001</v>
      </c>
      <c r="AH25">
        <v>68.938000000000002</v>
      </c>
      <c r="AI25">
        <v>118.447</v>
      </c>
      <c r="AJ25">
        <v>18.803999999999998</v>
      </c>
      <c r="AK25">
        <v>165.185</v>
      </c>
      <c r="AL25">
        <v>26.986000000000001</v>
      </c>
      <c r="AM25">
        <v>369.80900000000003</v>
      </c>
      <c r="AN25">
        <v>133.37700000000001</v>
      </c>
      <c r="AO25">
        <v>833.02200000000005</v>
      </c>
      <c r="AP25">
        <v>276</v>
      </c>
      <c r="AQ25">
        <v>197.43700000000001</v>
      </c>
      <c r="AR25">
        <v>329.512</v>
      </c>
      <c r="AS25">
        <v>1038.1099999999999</v>
      </c>
      <c r="AT25">
        <v>332.34699999999998</v>
      </c>
      <c r="AU25">
        <v>449.416</v>
      </c>
      <c r="AV25">
        <v>278.72000000000003</v>
      </c>
      <c r="AW25">
        <v>389.34199999999998</v>
      </c>
      <c r="AX25">
        <v>220.154</v>
      </c>
      <c r="AY25">
        <v>1194.6379999999999</v>
      </c>
      <c r="AZ25">
        <v>0</v>
      </c>
      <c r="BA25">
        <f>OECD_KOR2022dom!BI23</f>
        <v>118568.564</v>
      </c>
    </row>
    <row r="26" spans="1:53">
      <c r="A26" t="s">
        <v>492</v>
      </c>
      <c r="B26" t="str">
        <f>INDEX('ISIC Crosswalk'!$D$2:$D$107,MATCH(A26,'ISIC Crosswalk'!$A$2:$A$107,0),1)</f>
        <v>ISIC 28</v>
      </c>
      <c r="C26">
        <v>130.935</v>
      </c>
      <c r="D26">
        <v>28.85</v>
      </c>
      <c r="E26">
        <v>60.194000000000003</v>
      </c>
      <c r="F26">
        <v>9.3330000000000002</v>
      </c>
      <c r="G26">
        <v>3.4790000000000001</v>
      </c>
      <c r="H26">
        <v>3.161</v>
      </c>
      <c r="I26">
        <v>71.271000000000001</v>
      </c>
      <c r="J26">
        <v>0.439</v>
      </c>
      <c r="K26">
        <v>621.11</v>
      </c>
      <c r="L26">
        <v>195.11699999999999</v>
      </c>
      <c r="M26">
        <v>62.784999999999997</v>
      </c>
      <c r="N26">
        <v>268.71899999999999</v>
      </c>
      <c r="O26">
        <v>260.66199999999998</v>
      </c>
      <c r="P26">
        <v>650.19899999999996</v>
      </c>
      <c r="Q26">
        <v>59.031999999999996</v>
      </c>
      <c r="R26">
        <v>364.03</v>
      </c>
      <c r="S26">
        <v>567.28599999999994</v>
      </c>
      <c r="T26">
        <v>1173.6669999999999</v>
      </c>
      <c r="U26">
        <v>445.63499999999999</v>
      </c>
      <c r="V26">
        <v>1429.2149999999999</v>
      </c>
      <c r="W26">
        <v>1967.9179999999999</v>
      </c>
      <c r="X26">
        <v>2643.7739999999999</v>
      </c>
      <c r="Y26">
        <v>18680.703000000001</v>
      </c>
      <c r="Z26">
        <v>5937.143</v>
      </c>
      <c r="AA26">
        <v>1949.643</v>
      </c>
      <c r="AB26">
        <v>326.36200000000002</v>
      </c>
      <c r="AC26">
        <v>461.56</v>
      </c>
      <c r="AD26">
        <v>873.29399999999998</v>
      </c>
      <c r="AE26">
        <v>562.03</v>
      </c>
      <c r="AF26">
        <v>3508.4780000000001</v>
      </c>
      <c r="AG26">
        <v>1519.2909999999999</v>
      </c>
      <c r="AH26">
        <v>59.603000000000002</v>
      </c>
      <c r="AI26">
        <v>50.289000000000001</v>
      </c>
      <c r="AJ26">
        <v>15.481999999999999</v>
      </c>
      <c r="AK26">
        <v>202.09399999999999</v>
      </c>
      <c r="AL26">
        <v>32.755000000000003</v>
      </c>
      <c r="AM26">
        <v>264.38900000000001</v>
      </c>
      <c r="AN26">
        <v>84.022999999999996</v>
      </c>
      <c r="AO26">
        <v>141.31700000000001</v>
      </c>
      <c r="AP26">
        <v>112.342</v>
      </c>
      <c r="AQ26">
        <v>190.43799999999999</v>
      </c>
      <c r="AR26">
        <v>236.672</v>
      </c>
      <c r="AS26">
        <v>757.32299999999998</v>
      </c>
      <c r="AT26">
        <v>376.32400000000001</v>
      </c>
      <c r="AU26">
        <v>437.91899999999998</v>
      </c>
      <c r="AV26">
        <v>235.54900000000001</v>
      </c>
      <c r="AW26">
        <v>296.34399999999999</v>
      </c>
      <c r="AX26">
        <v>126.04600000000001</v>
      </c>
      <c r="AY26">
        <v>336.084</v>
      </c>
      <c r="AZ26">
        <v>0</v>
      </c>
      <c r="BA26">
        <f>OECD_KOR2022dom!BI24</f>
        <v>149990.576</v>
      </c>
    </row>
    <row r="27" spans="1:53">
      <c r="A27" t="s">
        <v>491</v>
      </c>
      <c r="B27" t="str">
        <f>INDEX('ISIC Crosswalk'!$D$2:$D$107,MATCH(A27,'ISIC Crosswalk'!$A$2:$A$107,0),1)</f>
        <v>ISIC 29</v>
      </c>
      <c r="C27">
        <v>44.774000000000001</v>
      </c>
      <c r="D27">
        <v>18.181000000000001</v>
      </c>
      <c r="E27">
        <v>16.754999999999999</v>
      </c>
      <c r="F27">
        <v>0.52300000000000002</v>
      </c>
      <c r="G27">
        <v>0.30599999999999999</v>
      </c>
      <c r="H27">
        <v>0.61699999999999999</v>
      </c>
      <c r="I27">
        <v>13.827999999999999</v>
      </c>
      <c r="J27">
        <v>0.05</v>
      </c>
      <c r="K27">
        <v>140.08600000000001</v>
      </c>
      <c r="L27">
        <v>60.011000000000003</v>
      </c>
      <c r="M27">
        <v>13.311999999999999</v>
      </c>
      <c r="N27">
        <v>33.768999999999998</v>
      </c>
      <c r="O27">
        <v>40.741999999999997</v>
      </c>
      <c r="P27">
        <v>170.48500000000001</v>
      </c>
      <c r="Q27">
        <v>17.338999999999999</v>
      </c>
      <c r="R27">
        <v>120.02</v>
      </c>
      <c r="S27">
        <v>111.842</v>
      </c>
      <c r="T27">
        <v>137.13300000000001</v>
      </c>
      <c r="U27">
        <v>99.084000000000003</v>
      </c>
      <c r="V27">
        <v>273.07799999999997</v>
      </c>
      <c r="W27">
        <v>1262.731</v>
      </c>
      <c r="X27">
        <v>2315.7069999999999</v>
      </c>
      <c r="Y27">
        <v>1405.481</v>
      </c>
      <c r="Z27">
        <v>55827.983</v>
      </c>
      <c r="AA27">
        <v>187.65799999999999</v>
      </c>
      <c r="AB27">
        <v>173.64</v>
      </c>
      <c r="AC27">
        <v>96.435000000000002</v>
      </c>
      <c r="AD27">
        <v>319.726</v>
      </c>
      <c r="AE27">
        <v>88.424000000000007</v>
      </c>
      <c r="AF27">
        <v>1073.644</v>
      </c>
      <c r="AG27">
        <v>6873.5990000000002</v>
      </c>
      <c r="AH27">
        <v>370.66699999999997</v>
      </c>
      <c r="AI27">
        <v>132.119</v>
      </c>
      <c r="AJ27">
        <v>43.514000000000003</v>
      </c>
      <c r="AK27">
        <v>244.95500000000001</v>
      </c>
      <c r="AL27">
        <v>44.134</v>
      </c>
      <c r="AM27">
        <v>129.30600000000001</v>
      </c>
      <c r="AN27">
        <v>46.524000000000001</v>
      </c>
      <c r="AO27">
        <v>132.852</v>
      </c>
      <c r="AP27">
        <v>124.56100000000001</v>
      </c>
      <c r="AQ27">
        <v>129.941</v>
      </c>
      <c r="AR27">
        <v>111.989</v>
      </c>
      <c r="AS27">
        <v>502.245</v>
      </c>
      <c r="AT27">
        <v>378.90499999999997</v>
      </c>
      <c r="AU27">
        <v>198.255</v>
      </c>
      <c r="AV27">
        <v>129.31299999999999</v>
      </c>
      <c r="AW27">
        <v>126.886</v>
      </c>
      <c r="AX27">
        <v>74.551000000000002</v>
      </c>
      <c r="AY27">
        <v>195.88300000000001</v>
      </c>
      <c r="AZ27">
        <v>0</v>
      </c>
      <c r="BA27">
        <f>OECD_KOR2022dom!BI25</f>
        <v>216241.49900000001</v>
      </c>
    </row>
    <row r="28" spans="1:53">
      <c r="A28" t="s">
        <v>490</v>
      </c>
      <c r="B28" t="str">
        <f>INDEX('ISIC Crosswalk'!$D$2:$D$107,MATCH(A28,'ISIC Crosswalk'!$A$2:$A$107,0),1)</f>
        <v>ISIC 30</v>
      </c>
      <c r="C28">
        <v>11.994</v>
      </c>
      <c r="D28">
        <v>1.143</v>
      </c>
      <c r="E28">
        <v>12.930999999999999</v>
      </c>
      <c r="F28">
        <v>0.34100000000000003</v>
      </c>
      <c r="G28">
        <v>0.14599999999999999</v>
      </c>
      <c r="H28">
        <v>0.11700000000000001</v>
      </c>
      <c r="I28">
        <v>2.7349999999999999</v>
      </c>
      <c r="J28">
        <v>1.7000000000000001E-2</v>
      </c>
      <c r="K28">
        <v>83.835999999999999</v>
      </c>
      <c r="L28">
        <v>14.01</v>
      </c>
      <c r="M28">
        <v>10.186999999999999</v>
      </c>
      <c r="N28">
        <v>10.082000000000001</v>
      </c>
      <c r="O28">
        <v>10.388</v>
      </c>
      <c r="P28">
        <v>69.549000000000007</v>
      </c>
      <c r="Q28">
        <v>5.2039999999999997</v>
      </c>
      <c r="R28">
        <v>38.500999999999998</v>
      </c>
      <c r="S28">
        <v>28.337</v>
      </c>
      <c r="T28">
        <v>128.65600000000001</v>
      </c>
      <c r="U28">
        <v>36.65</v>
      </c>
      <c r="V28">
        <v>579.85900000000004</v>
      </c>
      <c r="W28">
        <v>176.03</v>
      </c>
      <c r="X28">
        <v>189.31</v>
      </c>
      <c r="Y28">
        <v>678.279</v>
      </c>
      <c r="Z28">
        <v>479.93200000000002</v>
      </c>
      <c r="AA28">
        <v>3993.6390000000001</v>
      </c>
      <c r="AB28">
        <v>105.44799999999999</v>
      </c>
      <c r="AC28">
        <v>57.588000000000001</v>
      </c>
      <c r="AD28">
        <v>30.867000000000001</v>
      </c>
      <c r="AE28">
        <v>10.081</v>
      </c>
      <c r="AF28">
        <v>546.65700000000004</v>
      </c>
      <c r="AG28">
        <v>63.16</v>
      </c>
      <c r="AH28">
        <v>6.0339999999999998</v>
      </c>
      <c r="AI28">
        <v>336.173</v>
      </c>
      <c r="AJ28">
        <v>21.553000000000001</v>
      </c>
      <c r="AK28">
        <v>26.614999999999998</v>
      </c>
      <c r="AL28">
        <v>1.137</v>
      </c>
      <c r="AM28">
        <v>24.315999999999999</v>
      </c>
      <c r="AN28">
        <v>2.9769999999999999</v>
      </c>
      <c r="AO28">
        <v>7.0250000000000004</v>
      </c>
      <c r="AP28">
        <v>3.7749999999999999</v>
      </c>
      <c r="AQ28">
        <v>3.5609999999999999</v>
      </c>
      <c r="AR28">
        <v>41.475000000000001</v>
      </c>
      <c r="AS28">
        <v>36.143000000000001</v>
      </c>
      <c r="AT28">
        <v>18.616</v>
      </c>
      <c r="AU28">
        <v>90.087000000000003</v>
      </c>
      <c r="AV28">
        <v>10.683</v>
      </c>
      <c r="AW28">
        <v>9.2989999999999995</v>
      </c>
      <c r="AX28">
        <v>5.97</v>
      </c>
      <c r="AY28">
        <v>30.73</v>
      </c>
      <c r="AZ28">
        <v>0</v>
      </c>
      <c r="BA28">
        <f>OECD_KOR2022dom!BI26</f>
        <v>34342.83</v>
      </c>
    </row>
    <row r="29" spans="1:53">
      <c r="A29" t="s">
        <v>489</v>
      </c>
      <c r="B29" t="str">
        <f>INDEX('ISIC Crosswalk'!$D$2:$D$107,MATCH(A29,'ISIC Crosswalk'!$A$2:$A$107,0),1)</f>
        <v>ISIC 30</v>
      </c>
      <c r="C29">
        <v>0.245</v>
      </c>
      <c r="D29">
        <v>0.38900000000000001</v>
      </c>
      <c r="E29">
        <v>7.2249999999999996</v>
      </c>
      <c r="F29">
        <v>0.03</v>
      </c>
      <c r="G29">
        <v>7.0000000000000001E-3</v>
      </c>
      <c r="H29">
        <v>8.9999999999999993E-3</v>
      </c>
      <c r="I29">
        <v>7.5999999999999998E-2</v>
      </c>
      <c r="J29">
        <v>1E-3</v>
      </c>
      <c r="K29">
        <v>2.718</v>
      </c>
      <c r="L29">
        <v>0.30299999999999999</v>
      </c>
      <c r="M29">
        <v>0.221</v>
      </c>
      <c r="N29">
        <v>0.18099999999999999</v>
      </c>
      <c r="O29">
        <v>0.158</v>
      </c>
      <c r="P29">
        <v>1.226</v>
      </c>
      <c r="Q29">
        <v>6.0999999999999999E-2</v>
      </c>
      <c r="R29">
        <v>1.895</v>
      </c>
      <c r="S29">
        <v>1.5620000000000001</v>
      </c>
      <c r="T29">
        <v>79.569000000000003</v>
      </c>
      <c r="U29">
        <v>3.3439999999999999</v>
      </c>
      <c r="V29">
        <v>58.298000000000002</v>
      </c>
      <c r="W29">
        <v>17.466000000000001</v>
      </c>
      <c r="X29">
        <v>19.311</v>
      </c>
      <c r="Y29">
        <v>54.369</v>
      </c>
      <c r="Z29">
        <v>328.36</v>
      </c>
      <c r="AA29">
        <v>277.48700000000002</v>
      </c>
      <c r="AB29">
        <v>832.89700000000005</v>
      </c>
      <c r="AC29">
        <v>14.712</v>
      </c>
      <c r="AD29">
        <v>1.117</v>
      </c>
      <c r="AE29">
        <v>1.339</v>
      </c>
      <c r="AF29">
        <v>25.611999999999998</v>
      </c>
      <c r="AG29">
        <v>50.683999999999997</v>
      </c>
      <c r="AH29">
        <v>26.292000000000002</v>
      </c>
      <c r="AI29">
        <v>33.89</v>
      </c>
      <c r="AJ29">
        <v>69.177999999999997</v>
      </c>
      <c r="AK29">
        <v>11.853</v>
      </c>
      <c r="AL29">
        <v>0.47499999999999998</v>
      </c>
      <c r="AM29">
        <v>0.628</v>
      </c>
      <c r="AN29">
        <v>3.2000000000000001E-2</v>
      </c>
      <c r="AO29">
        <v>6.5000000000000002E-2</v>
      </c>
      <c r="AP29">
        <v>0.155</v>
      </c>
      <c r="AQ29">
        <v>0.66600000000000004</v>
      </c>
      <c r="AR29">
        <v>0.81399999999999995</v>
      </c>
      <c r="AS29">
        <v>3.59</v>
      </c>
      <c r="AT29">
        <v>10.618</v>
      </c>
      <c r="AU29">
        <v>75.19</v>
      </c>
      <c r="AV29">
        <v>1.536</v>
      </c>
      <c r="AW29">
        <v>5.944</v>
      </c>
      <c r="AX29">
        <v>0.92300000000000004</v>
      </c>
      <c r="AY29">
        <v>25.891999999999999</v>
      </c>
      <c r="AZ29">
        <v>0</v>
      </c>
      <c r="BA29">
        <f>OECD_KOR2022dom!BI27</f>
        <v>10468.096</v>
      </c>
    </row>
    <row r="30" spans="1:53">
      <c r="A30" t="s">
        <v>488</v>
      </c>
      <c r="B30" t="str">
        <f>INDEX('ISIC Crosswalk'!$D$2:$D$107,MATCH(A30,'ISIC Crosswalk'!$A$2:$A$107,0),1)</f>
        <v>ISIC 31T33</v>
      </c>
      <c r="C30">
        <v>43.712000000000003</v>
      </c>
      <c r="D30">
        <v>6.1120000000000001</v>
      </c>
      <c r="E30">
        <v>32.223999999999997</v>
      </c>
      <c r="F30">
        <v>0.443</v>
      </c>
      <c r="G30">
        <v>0.46200000000000002</v>
      </c>
      <c r="H30">
        <v>0.29599999999999999</v>
      </c>
      <c r="I30">
        <v>9.8109999999999999</v>
      </c>
      <c r="J30">
        <v>5.2999999999999999E-2</v>
      </c>
      <c r="K30">
        <v>181.84700000000001</v>
      </c>
      <c r="L30">
        <v>280.95499999999998</v>
      </c>
      <c r="M30">
        <v>20.928000000000001</v>
      </c>
      <c r="N30">
        <v>70.775000000000006</v>
      </c>
      <c r="O30">
        <v>37.500999999999998</v>
      </c>
      <c r="P30">
        <v>246.845</v>
      </c>
      <c r="Q30">
        <v>48.398000000000003</v>
      </c>
      <c r="R30">
        <v>78.703999999999994</v>
      </c>
      <c r="S30">
        <v>70.641999999999996</v>
      </c>
      <c r="T30">
        <v>143.971</v>
      </c>
      <c r="U30">
        <v>66.816999999999993</v>
      </c>
      <c r="V30">
        <v>138.25800000000001</v>
      </c>
      <c r="W30">
        <v>538.39</v>
      </c>
      <c r="X30">
        <v>222.09200000000001</v>
      </c>
      <c r="Y30">
        <v>275.637</v>
      </c>
      <c r="Z30">
        <v>398.31400000000002</v>
      </c>
      <c r="AA30">
        <v>156.67099999999999</v>
      </c>
      <c r="AB30">
        <v>26.443999999999999</v>
      </c>
      <c r="AC30">
        <v>1152.06</v>
      </c>
      <c r="AD30">
        <v>158.512</v>
      </c>
      <c r="AE30">
        <v>82.77</v>
      </c>
      <c r="AF30">
        <v>814.74400000000003</v>
      </c>
      <c r="AG30">
        <v>701.947</v>
      </c>
      <c r="AH30">
        <v>44.48</v>
      </c>
      <c r="AI30">
        <v>68.284000000000006</v>
      </c>
      <c r="AJ30">
        <v>36.103000000000002</v>
      </c>
      <c r="AK30">
        <v>141.124</v>
      </c>
      <c r="AL30">
        <v>37.530999999999999</v>
      </c>
      <c r="AM30">
        <v>434.02300000000002</v>
      </c>
      <c r="AN30">
        <v>90.234999999999999</v>
      </c>
      <c r="AO30">
        <v>97.921999999999997</v>
      </c>
      <c r="AP30">
        <v>84.271000000000001</v>
      </c>
      <c r="AQ30">
        <v>254.93700000000001</v>
      </c>
      <c r="AR30">
        <v>254.4</v>
      </c>
      <c r="AS30">
        <v>588.23</v>
      </c>
      <c r="AT30">
        <v>241.947</v>
      </c>
      <c r="AU30">
        <v>340.08499999999998</v>
      </c>
      <c r="AV30">
        <v>708.625</v>
      </c>
      <c r="AW30">
        <v>1445.1110000000001</v>
      </c>
      <c r="AX30">
        <v>306.64499999999998</v>
      </c>
      <c r="AY30">
        <v>349.02499999999998</v>
      </c>
      <c r="AZ30">
        <v>0</v>
      </c>
      <c r="BA30">
        <f>OECD_KOR2022dom!BI28</f>
        <v>28733.728999999999</v>
      </c>
    </row>
    <row r="31" spans="1:53">
      <c r="A31" t="s">
        <v>487</v>
      </c>
      <c r="B31" t="str">
        <f>INDEX('ISIC Crosswalk'!$D$2:$D$107,MATCH(A31,'ISIC Crosswalk'!$A$2:$A$107,0),1)</f>
        <v>ISIC 351</v>
      </c>
      <c r="C31">
        <v>789.88900000000001</v>
      </c>
      <c r="D31">
        <v>24.562999999999999</v>
      </c>
      <c r="E31">
        <v>160.06899999999999</v>
      </c>
      <c r="F31">
        <v>12.124000000000001</v>
      </c>
      <c r="G31">
        <v>6.3360000000000003</v>
      </c>
      <c r="H31">
        <v>5.8710000000000004</v>
      </c>
      <c r="I31">
        <v>193.33699999999999</v>
      </c>
      <c r="J31">
        <v>0.19800000000000001</v>
      </c>
      <c r="K31">
        <v>3564.317</v>
      </c>
      <c r="L31">
        <v>1579.221</v>
      </c>
      <c r="M31">
        <v>199.56200000000001</v>
      </c>
      <c r="N31">
        <v>1490.5070000000001</v>
      </c>
      <c r="O31">
        <v>1652.2270000000001</v>
      </c>
      <c r="P31">
        <v>6294.1790000000001</v>
      </c>
      <c r="Q31">
        <v>303.69299999999998</v>
      </c>
      <c r="R31">
        <v>1762.577</v>
      </c>
      <c r="S31">
        <v>1967.8520000000001</v>
      </c>
      <c r="T31">
        <v>4634.5720000000001</v>
      </c>
      <c r="U31">
        <v>1867.817</v>
      </c>
      <c r="V31">
        <v>1785.3440000000001</v>
      </c>
      <c r="W31">
        <v>2264.6799999999998</v>
      </c>
      <c r="X31">
        <v>1151.6369999999999</v>
      </c>
      <c r="Y31">
        <v>1459.048</v>
      </c>
      <c r="Z31">
        <v>2168.1379999999999</v>
      </c>
      <c r="AA31">
        <v>433.44400000000002</v>
      </c>
      <c r="AB31">
        <v>148.761</v>
      </c>
      <c r="AC31">
        <v>342.988</v>
      </c>
      <c r="AD31">
        <v>16105.45</v>
      </c>
      <c r="AE31">
        <v>768.14800000000002</v>
      </c>
      <c r="AF31">
        <v>1043.826</v>
      </c>
      <c r="AG31">
        <v>6945.4719999999998</v>
      </c>
      <c r="AH31">
        <v>358.14299999999997</v>
      </c>
      <c r="AI31">
        <v>62.368000000000002</v>
      </c>
      <c r="AJ31">
        <v>17.428999999999998</v>
      </c>
      <c r="AK31">
        <v>818.55600000000004</v>
      </c>
      <c r="AL31">
        <v>175.02</v>
      </c>
      <c r="AM31">
        <v>5502.6570000000002</v>
      </c>
      <c r="AN31">
        <v>394.34300000000002</v>
      </c>
      <c r="AO31">
        <v>916.18700000000001</v>
      </c>
      <c r="AP31">
        <v>312.00599999999997</v>
      </c>
      <c r="AQ31">
        <v>921.62099999999998</v>
      </c>
      <c r="AR31">
        <v>2244.047</v>
      </c>
      <c r="AS31">
        <v>1580.7840000000001</v>
      </c>
      <c r="AT31">
        <v>436.76</v>
      </c>
      <c r="AU31">
        <v>1795.4169999999999</v>
      </c>
      <c r="AV31">
        <v>2708.5059999999999</v>
      </c>
      <c r="AW31">
        <v>2179.9369999999999</v>
      </c>
      <c r="AX31">
        <v>944.15200000000004</v>
      </c>
      <c r="AY31">
        <v>1306.473</v>
      </c>
      <c r="AZ31">
        <v>0</v>
      </c>
      <c r="BA31">
        <f>OECD_KOR2022dom!BI29</f>
        <v>106796.625</v>
      </c>
    </row>
    <row r="32" spans="1:53">
      <c r="A32" t="s">
        <v>486</v>
      </c>
      <c r="B32" t="str">
        <f>INDEX('ISIC Crosswalk'!$D$2:$D$107,MATCH(A32,'ISIC Crosswalk'!$A$2:$A$107,0),1)</f>
        <v>ISIC 36T39</v>
      </c>
      <c r="C32">
        <v>113.048</v>
      </c>
      <c r="D32">
        <v>1.903</v>
      </c>
      <c r="E32">
        <v>30.529</v>
      </c>
      <c r="F32">
        <v>0.98799999999999999</v>
      </c>
      <c r="G32">
        <v>0.45</v>
      </c>
      <c r="H32">
        <v>0.82899999999999996</v>
      </c>
      <c r="I32">
        <v>16.079000000000001</v>
      </c>
      <c r="J32">
        <v>7.4999999999999997E-2</v>
      </c>
      <c r="K32">
        <v>550.76800000000003</v>
      </c>
      <c r="L32">
        <v>131.024</v>
      </c>
      <c r="M32">
        <v>35.066000000000003</v>
      </c>
      <c r="N32">
        <v>661.54600000000005</v>
      </c>
      <c r="O32">
        <v>158.24600000000001</v>
      </c>
      <c r="P32">
        <v>541.09799999999996</v>
      </c>
      <c r="Q32">
        <v>49.86</v>
      </c>
      <c r="R32">
        <v>164.851</v>
      </c>
      <c r="S32">
        <v>197.24</v>
      </c>
      <c r="T32">
        <v>4369.558</v>
      </c>
      <c r="U32">
        <v>1950.65</v>
      </c>
      <c r="V32">
        <v>313.916</v>
      </c>
      <c r="W32">
        <v>207.54499999999999</v>
      </c>
      <c r="X32">
        <v>138.88999999999999</v>
      </c>
      <c r="Y32">
        <v>269.34699999999998</v>
      </c>
      <c r="Z32">
        <v>208.875</v>
      </c>
      <c r="AA32">
        <v>71.36</v>
      </c>
      <c r="AB32">
        <v>34.881</v>
      </c>
      <c r="AC32">
        <v>44.72</v>
      </c>
      <c r="AD32">
        <v>500.74400000000003</v>
      </c>
      <c r="AE32">
        <v>4001.8290000000002</v>
      </c>
      <c r="AF32">
        <v>404.726</v>
      </c>
      <c r="AG32">
        <v>996.54</v>
      </c>
      <c r="AH32">
        <v>21.510999999999999</v>
      </c>
      <c r="AI32">
        <v>25.593</v>
      </c>
      <c r="AJ32">
        <v>4.0170000000000003</v>
      </c>
      <c r="AK32">
        <v>107.23699999999999</v>
      </c>
      <c r="AL32">
        <v>29.571999999999999</v>
      </c>
      <c r="AM32">
        <v>849.85699999999997</v>
      </c>
      <c r="AN32">
        <v>31.742999999999999</v>
      </c>
      <c r="AO32">
        <v>28.893000000000001</v>
      </c>
      <c r="AP32">
        <v>28.113</v>
      </c>
      <c r="AQ32">
        <v>111.405</v>
      </c>
      <c r="AR32">
        <v>511.50900000000001</v>
      </c>
      <c r="AS32">
        <v>383.88200000000001</v>
      </c>
      <c r="AT32">
        <v>105.77800000000001</v>
      </c>
      <c r="AU32">
        <v>1301.0119999999999</v>
      </c>
      <c r="AV32">
        <v>570.63400000000001</v>
      </c>
      <c r="AW32">
        <v>725.99900000000002</v>
      </c>
      <c r="AX32">
        <v>129.261</v>
      </c>
      <c r="AY32">
        <v>168.44499999999999</v>
      </c>
      <c r="AZ32">
        <v>0</v>
      </c>
      <c r="BA32">
        <f>OECD_KOR2022dom!BI30</f>
        <v>25019.687000000002</v>
      </c>
    </row>
    <row r="33" spans="1:53">
      <c r="A33" t="s">
        <v>485</v>
      </c>
      <c r="B33" t="str">
        <f>INDEX('ISIC Crosswalk'!$D$2:$D$107,MATCH(A33,'ISIC Crosswalk'!$A$2:$A$107,0),1)</f>
        <v>ISIC 41T43</v>
      </c>
      <c r="C33">
        <v>195.21700000000001</v>
      </c>
      <c r="D33">
        <v>32.350999999999999</v>
      </c>
      <c r="E33">
        <v>44.05</v>
      </c>
      <c r="F33">
        <v>1.8049999999999999</v>
      </c>
      <c r="G33">
        <v>0.504</v>
      </c>
      <c r="H33">
        <v>0.55200000000000005</v>
      </c>
      <c r="I33">
        <v>17.318000000000001</v>
      </c>
      <c r="J33">
        <v>0.13400000000000001</v>
      </c>
      <c r="K33">
        <v>165.363</v>
      </c>
      <c r="L33">
        <v>73.129000000000005</v>
      </c>
      <c r="M33">
        <v>15.984999999999999</v>
      </c>
      <c r="N33">
        <v>50.929000000000002</v>
      </c>
      <c r="O33">
        <v>98.725999999999999</v>
      </c>
      <c r="P33">
        <v>216.12700000000001</v>
      </c>
      <c r="Q33">
        <v>20.949000000000002</v>
      </c>
      <c r="R33">
        <v>82.873000000000005</v>
      </c>
      <c r="S33">
        <v>119.367</v>
      </c>
      <c r="T33">
        <v>195.84299999999999</v>
      </c>
      <c r="U33">
        <v>102.017</v>
      </c>
      <c r="V33">
        <v>260.00400000000002</v>
      </c>
      <c r="W33">
        <v>159.61099999999999</v>
      </c>
      <c r="X33">
        <v>131.798</v>
      </c>
      <c r="Y33">
        <v>187.649</v>
      </c>
      <c r="Z33">
        <v>192.90700000000001</v>
      </c>
      <c r="AA33">
        <v>97.364999999999995</v>
      </c>
      <c r="AB33">
        <v>17.268000000000001</v>
      </c>
      <c r="AC33">
        <v>81.010000000000005</v>
      </c>
      <c r="AD33">
        <v>1094.174</v>
      </c>
      <c r="AE33">
        <v>280.87200000000001</v>
      </c>
      <c r="AF33">
        <v>19201.334999999999</v>
      </c>
      <c r="AG33">
        <v>1343.4639999999999</v>
      </c>
      <c r="AH33">
        <v>75.123999999999995</v>
      </c>
      <c r="AI33">
        <v>48.531999999999996</v>
      </c>
      <c r="AJ33">
        <v>9.9160000000000004</v>
      </c>
      <c r="AK33">
        <v>575.59199999999998</v>
      </c>
      <c r="AL33">
        <v>47.061999999999998</v>
      </c>
      <c r="AM33">
        <v>578.32600000000002</v>
      </c>
      <c r="AN33">
        <v>82.82</v>
      </c>
      <c r="AO33">
        <v>346.31200000000001</v>
      </c>
      <c r="AP33">
        <v>63.232999999999997</v>
      </c>
      <c r="AQ33">
        <v>356.84500000000003</v>
      </c>
      <c r="AR33">
        <v>13360.632</v>
      </c>
      <c r="AS33">
        <v>1194.7260000000001</v>
      </c>
      <c r="AT33">
        <v>194.52099999999999</v>
      </c>
      <c r="AU33">
        <v>1901.5139999999999</v>
      </c>
      <c r="AV33">
        <v>865.69100000000003</v>
      </c>
      <c r="AW33">
        <v>576.67100000000005</v>
      </c>
      <c r="AX33">
        <v>169.739</v>
      </c>
      <c r="AY33">
        <v>198.31299999999999</v>
      </c>
      <c r="AZ33">
        <v>0</v>
      </c>
      <c r="BA33">
        <f>OECD_KOR2022dom!BI31</f>
        <v>240135.149</v>
      </c>
    </row>
    <row r="34" spans="1:53">
      <c r="A34" t="s">
        <v>484</v>
      </c>
      <c r="B34" t="str">
        <f>INDEX('ISIC Crosswalk'!$D$2:$D$107,MATCH(A34,'ISIC Crosswalk'!$A$2:$A$107,0),1)</f>
        <v>ISIC 45T47</v>
      </c>
      <c r="C34">
        <v>2029.9590000000001</v>
      </c>
      <c r="D34">
        <v>76.069000000000003</v>
      </c>
      <c r="E34">
        <v>412.54199999999997</v>
      </c>
      <c r="F34">
        <v>6.8209999999999997</v>
      </c>
      <c r="G34">
        <v>2.4289999999999998</v>
      </c>
      <c r="H34">
        <v>3.7229999999999999</v>
      </c>
      <c r="I34">
        <v>99.933999999999997</v>
      </c>
      <c r="J34">
        <v>0.35799999999999998</v>
      </c>
      <c r="K34">
        <v>9601.2780000000002</v>
      </c>
      <c r="L34">
        <v>5466.299</v>
      </c>
      <c r="M34">
        <v>406.63499999999999</v>
      </c>
      <c r="N34">
        <v>1654.79</v>
      </c>
      <c r="O34">
        <v>2479.7020000000002</v>
      </c>
      <c r="P34">
        <v>11888.115</v>
      </c>
      <c r="Q34">
        <v>1977.854</v>
      </c>
      <c r="R34">
        <v>4378.8990000000003</v>
      </c>
      <c r="S34">
        <v>1574.454</v>
      </c>
      <c r="T34">
        <v>4141.826</v>
      </c>
      <c r="U34">
        <v>1189.175</v>
      </c>
      <c r="V34">
        <v>4082.4969999999998</v>
      </c>
      <c r="W34">
        <v>17602.647000000001</v>
      </c>
      <c r="X34">
        <v>5747.9459999999999</v>
      </c>
      <c r="Y34">
        <v>7426.5190000000002</v>
      </c>
      <c r="Z34">
        <v>12340.152</v>
      </c>
      <c r="AA34">
        <v>1658.47</v>
      </c>
      <c r="AB34">
        <v>425.41899999999998</v>
      </c>
      <c r="AC34">
        <v>1396.972</v>
      </c>
      <c r="AD34">
        <v>1942.2809999999999</v>
      </c>
      <c r="AE34">
        <v>477.95400000000001</v>
      </c>
      <c r="AF34">
        <v>8186.13</v>
      </c>
      <c r="AG34">
        <v>5716.9880000000003</v>
      </c>
      <c r="AH34">
        <v>964.58600000000001</v>
      </c>
      <c r="AI34">
        <v>1032.5319999999999</v>
      </c>
      <c r="AJ34">
        <v>469.17</v>
      </c>
      <c r="AK34">
        <v>765.66800000000001</v>
      </c>
      <c r="AL34">
        <v>236.54300000000001</v>
      </c>
      <c r="AM34">
        <v>7979.8540000000003</v>
      </c>
      <c r="AN34">
        <v>543.101</v>
      </c>
      <c r="AO34">
        <v>760.88199999999995</v>
      </c>
      <c r="AP34">
        <v>464.25900000000001</v>
      </c>
      <c r="AQ34">
        <v>502.56799999999998</v>
      </c>
      <c r="AR34">
        <v>889.42100000000005</v>
      </c>
      <c r="AS34">
        <v>1854.816</v>
      </c>
      <c r="AT34">
        <v>1399.835</v>
      </c>
      <c r="AU34">
        <v>1362.201</v>
      </c>
      <c r="AV34">
        <v>1066.701</v>
      </c>
      <c r="AW34">
        <v>5050.2240000000002</v>
      </c>
      <c r="AX34">
        <v>539.27800000000002</v>
      </c>
      <c r="AY34">
        <v>1466.107</v>
      </c>
      <c r="AZ34">
        <v>0</v>
      </c>
      <c r="BA34">
        <f>OECD_KOR2022dom!BI32</f>
        <v>289787.13299999997</v>
      </c>
    </row>
    <row r="35" spans="1:53">
      <c r="A35" t="s">
        <v>483</v>
      </c>
      <c r="B35" t="str">
        <f>INDEX('ISIC Crosswalk'!$D$2:$D$107,MATCH(A35,'ISIC Crosswalk'!$A$2:$A$107,0),1)</f>
        <v>ISIC 352T353</v>
      </c>
      <c r="C35">
        <v>249.131</v>
      </c>
      <c r="D35">
        <v>49.048000000000002</v>
      </c>
      <c r="E35">
        <v>42.686999999999998</v>
      </c>
      <c r="F35">
        <v>5.9960000000000004</v>
      </c>
      <c r="G35">
        <v>2.0310000000000001</v>
      </c>
      <c r="H35">
        <v>1.593</v>
      </c>
      <c r="I35">
        <v>97.536000000000001</v>
      </c>
      <c r="J35">
        <v>0.223</v>
      </c>
      <c r="K35">
        <v>1568.664</v>
      </c>
      <c r="L35">
        <v>400.87099999999998</v>
      </c>
      <c r="M35">
        <v>127.34</v>
      </c>
      <c r="N35">
        <v>330.738</v>
      </c>
      <c r="O35">
        <v>1512.5060000000001</v>
      </c>
      <c r="P35">
        <v>1597.79</v>
      </c>
      <c r="Q35">
        <v>154.76900000000001</v>
      </c>
      <c r="R35">
        <v>461.65699999999998</v>
      </c>
      <c r="S35">
        <v>640.18600000000004</v>
      </c>
      <c r="T35">
        <v>976.19500000000005</v>
      </c>
      <c r="U35">
        <v>417.65199999999999</v>
      </c>
      <c r="V35">
        <v>598.202</v>
      </c>
      <c r="W35">
        <v>1272.107</v>
      </c>
      <c r="X35">
        <v>619.35</v>
      </c>
      <c r="Y35">
        <v>795.85299999999995</v>
      </c>
      <c r="Z35">
        <v>1105.99</v>
      </c>
      <c r="AA35">
        <v>149.96100000000001</v>
      </c>
      <c r="AB35">
        <v>53.558</v>
      </c>
      <c r="AC35">
        <v>183.768</v>
      </c>
      <c r="AD35">
        <v>890.13900000000001</v>
      </c>
      <c r="AE35">
        <v>182.55500000000001</v>
      </c>
      <c r="AF35">
        <v>1096.8879999999999</v>
      </c>
      <c r="AG35">
        <v>3647.9079999999999</v>
      </c>
      <c r="AH35">
        <v>581.09</v>
      </c>
      <c r="AI35">
        <v>164.053</v>
      </c>
      <c r="AJ35">
        <v>40.136000000000003</v>
      </c>
      <c r="AK35">
        <v>1411.8720000000001</v>
      </c>
      <c r="AL35">
        <v>537.08699999999999</v>
      </c>
      <c r="AM35">
        <v>670.60299999999995</v>
      </c>
      <c r="AN35">
        <v>189.80099999999999</v>
      </c>
      <c r="AO35">
        <v>113.96299999999999</v>
      </c>
      <c r="AP35">
        <v>80.680000000000007</v>
      </c>
      <c r="AQ35">
        <v>253.31800000000001</v>
      </c>
      <c r="AR35">
        <v>160.31</v>
      </c>
      <c r="AS35">
        <v>670.07799999999997</v>
      </c>
      <c r="AT35">
        <v>304.47300000000001</v>
      </c>
      <c r="AU35">
        <v>436.62799999999999</v>
      </c>
      <c r="AV35">
        <v>510.041</v>
      </c>
      <c r="AW35">
        <v>537.72400000000005</v>
      </c>
      <c r="AX35">
        <v>117.96899999999999</v>
      </c>
      <c r="AY35">
        <v>331.57100000000003</v>
      </c>
      <c r="AZ35">
        <v>0</v>
      </c>
      <c r="BA35">
        <f>OECD_KOR2022dom!BI33</f>
        <v>41931.622000000003</v>
      </c>
    </row>
    <row r="36" spans="1:53">
      <c r="A36" t="s">
        <v>482</v>
      </c>
      <c r="B36" t="str">
        <f>INDEX('ISIC Crosswalk'!$D$2:$D$107,MATCH(A36,'ISIC Crosswalk'!$A$2:$A$107,0),1)</f>
        <v>ISIC 49T53</v>
      </c>
      <c r="C36">
        <v>40.878</v>
      </c>
      <c r="D36">
        <v>7.8E-2</v>
      </c>
      <c r="E36">
        <v>0.247</v>
      </c>
      <c r="F36">
        <v>0.24399999999999999</v>
      </c>
      <c r="G36">
        <v>4.0000000000000001E-3</v>
      </c>
      <c r="H36">
        <v>9.5000000000000001E-2</v>
      </c>
      <c r="I36">
        <v>0.129</v>
      </c>
      <c r="J36">
        <v>7.0000000000000001E-3</v>
      </c>
      <c r="K36">
        <v>179.315</v>
      </c>
      <c r="L36">
        <v>75.066999999999993</v>
      </c>
      <c r="M36">
        <v>11.077999999999999</v>
      </c>
      <c r="N36">
        <v>35.006999999999998</v>
      </c>
      <c r="O36">
        <v>759.46799999999996</v>
      </c>
      <c r="P36">
        <v>298.90100000000001</v>
      </c>
      <c r="Q36">
        <v>29.867999999999999</v>
      </c>
      <c r="R36">
        <v>95.11</v>
      </c>
      <c r="S36">
        <v>57.262999999999998</v>
      </c>
      <c r="T36">
        <v>225.172</v>
      </c>
      <c r="U36">
        <v>119.99</v>
      </c>
      <c r="V36">
        <v>130.85599999999999</v>
      </c>
      <c r="W36">
        <v>485.55399999999997</v>
      </c>
      <c r="X36">
        <v>182.62200000000001</v>
      </c>
      <c r="Y36">
        <v>212.17500000000001</v>
      </c>
      <c r="Z36">
        <v>258.71100000000001</v>
      </c>
      <c r="AA36">
        <v>47.284999999999997</v>
      </c>
      <c r="AB36">
        <v>15.124000000000001</v>
      </c>
      <c r="AC36">
        <v>38.594999999999999</v>
      </c>
      <c r="AD36">
        <v>342.98399999999998</v>
      </c>
      <c r="AE36">
        <v>9.4730000000000008</v>
      </c>
      <c r="AF36">
        <v>265.56599999999997</v>
      </c>
      <c r="AG36">
        <v>11.278</v>
      </c>
      <c r="AH36">
        <v>1.627</v>
      </c>
      <c r="AI36">
        <v>4.4770000000000003</v>
      </c>
      <c r="AJ36">
        <v>11.936</v>
      </c>
      <c r="AK36">
        <v>9.9670000000000005</v>
      </c>
      <c r="AL36">
        <v>0.89900000000000002</v>
      </c>
      <c r="AM36">
        <v>149.12200000000001</v>
      </c>
      <c r="AN36">
        <v>11.759</v>
      </c>
      <c r="AO36">
        <v>18.303000000000001</v>
      </c>
      <c r="AP36">
        <v>8.7729999999999997</v>
      </c>
      <c r="AQ36">
        <v>6.9939999999999998</v>
      </c>
      <c r="AR36">
        <v>25.661999999999999</v>
      </c>
      <c r="AS36">
        <v>16.542999999999999</v>
      </c>
      <c r="AT36">
        <v>13.884</v>
      </c>
      <c r="AU36">
        <v>14.398999999999999</v>
      </c>
      <c r="AV36">
        <v>20.588999999999999</v>
      </c>
      <c r="AW36">
        <v>79.010999999999996</v>
      </c>
      <c r="AX36">
        <v>7.0170000000000003</v>
      </c>
      <c r="AY36">
        <v>31.082999999999998</v>
      </c>
      <c r="AZ36">
        <v>0</v>
      </c>
      <c r="BA36">
        <f>OECD_KOR2022dom!BI34</f>
        <v>34657.044999999998</v>
      </c>
    </row>
    <row r="37" spans="1:53">
      <c r="A37" t="s">
        <v>481</v>
      </c>
      <c r="B37" t="str">
        <f>INDEX('ISIC Crosswalk'!$D$2:$D$107,MATCH(A37,'ISIC Crosswalk'!$A$2:$A$107,0),1)</f>
        <v>ISIC 49T53</v>
      </c>
      <c r="C37">
        <v>66.593999999999994</v>
      </c>
      <c r="D37">
        <v>15.048</v>
      </c>
      <c r="E37">
        <v>16.581</v>
      </c>
      <c r="F37">
        <v>0.47699999999999998</v>
      </c>
      <c r="G37">
        <v>1.5469999999999999</v>
      </c>
      <c r="H37">
        <v>0.22700000000000001</v>
      </c>
      <c r="I37">
        <v>15.324999999999999</v>
      </c>
      <c r="J37">
        <v>4.9000000000000002E-2</v>
      </c>
      <c r="K37">
        <v>367.923</v>
      </c>
      <c r="L37">
        <v>179.328</v>
      </c>
      <c r="M37">
        <v>27.239000000000001</v>
      </c>
      <c r="N37">
        <v>98.212000000000003</v>
      </c>
      <c r="O37">
        <v>422.68700000000001</v>
      </c>
      <c r="P37">
        <v>392.66699999999997</v>
      </c>
      <c r="Q37">
        <v>84.88</v>
      </c>
      <c r="R37">
        <v>144.47900000000001</v>
      </c>
      <c r="S37">
        <v>124.669</v>
      </c>
      <c r="T37">
        <v>155.422</v>
      </c>
      <c r="U37">
        <v>96.29</v>
      </c>
      <c r="V37">
        <v>146.45099999999999</v>
      </c>
      <c r="W37">
        <v>676.88</v>
      </c>
      <c r="X37">
        <v>427.57100000000003</v>
      </c>
      <c r="Y37">
        <v>428.49900000000002</v>
      </c>
      <c r="Z37">
        <v>312.63799999999998</v>
      </c>
      <c r="AA37">
        <v>64.16</v>
      </c>
      <c r="AB37">
        <v>34.402999999999999</v>
      </c>
      <c r="AC37">
        <v>90.722999999999999</v>
      </c>
      <c r="AD37">
        <v>224.45500000000001</v>
      </c>
      <c r="AE37">
        <v>46.737000000000002</v>
      </c>
      <c r="AF37">
        <v>553.89200000000005</v>
      </c>
      <c r="AG37">
        <v>1673.6369999999999</v>
      </c>
      <c r="AH37">
        <v>47.561999999999998</v>
      </c>
      <c r="AI37">
        <v>66.558999999999997</v>
      </c>
      <c r="AJ37">
        <v>993.43</v>
      </c>
      <c r="AK37">
        <v>1438.008</v>
      </c>
      <c r="AL37">
        <v>536.24900000000002</v>
      </c>
      <c r="AM37">
        <v>376.64100000000002</v>
      </c>
      <c r="AN37">
        <v>163.60300000000001</v>
      </c>
      <c r="AO37">
        <v>170.96600000000001</v>
      </c>
      <c r="AP37">
        <v>234.477</v>
      </c>
      <c r="AQ37">
        <v>851.95699999999999</v>
      </c>
      <c r="AR37">
        <v>222.72200000000001</v>
      </c>
      <c r="AS37">
        <v>1508.325</v>
      </c>
      <c r="AT37">
        <v>677.82</v>
      </c>
      <c r="AU37">
        <v>768.83100000000002</v>
      </c>
      <c r="AV37">
        <v>393.99599999999998</v>
      </c>
      <c r="AW37">
        <v>396.834</v>
      </c>
      <c r="AX37">
        <v>193.40700000000001</v>
      </c>
      <c r="AY37">
        <v>241.46299999999999</v>
      </c>
      <c r="AZ37">
        <v>0</v>
      </c>
      <c r="BA37">
        <f>OECD_KOR2022dom!BI35</f>
        <v>26461.751</v>
      </c>
    </row>
    <row r="38" spans="1:53">
      <c r="A38" t="s">
        <v>480</v>
      </c>
      <c r="B38" t="str">
        <f>INDEX('ISIC Crosswalk'!$D$2:$D$107,MATCH(A38,'ISIC Crosswalk'!$A$2:$A$107,0),1)</f>
        <v>ISIC 49T53</v>
      </c>
      <c r="C38">
        <v>202.32300000000001</v>
      </c>
      <c r="D38">
        <v>34.69</v>
      </c>
      <c r="E38">
        <v>144.61199999999999</v>
      </c>
      <c r="F38">
        <v>5.7779999999999996</v>
      </c>
      <c r="G38">
        <v>1.633</v>
      </c>
      <c r="H38">
        <v>1.508</v>
      </c>
      <c r="I38">
        <v>53.149000000000001</v>
      </c>
      <c r="J38">
        <v>0.27</v>
      </c>
      <c r="K38">
        <v>1623.3219999999999</v>
      </c>
      <c r="L38">
        <v>417.25299999999999</v>
      </c>
      <c r="M38">
        <v>121.578</v>
      </c>
      <c r="N38">
        <v>363.04599999999999</v>
      </c>
      <c r="O38">
        <v>900.47400000000005</v>
      </c>
      <c r="P38">
        <v>1343.866</v>
      </c>
      <c r="Q38">
        <v>151.577</v>
      </c>
      <c r="R38">
        <v>364.767</v>
      </c>
      <c r="S38">
        <v>389.06299999999999</v>
      </c>
      <c r="T38">
        <v>598.60900000000004</v>
      </c>
      <c r="U38">
        <v>267.02199999999999</v>
      </c>
      <c r="V38">
        <v>529.73400000000004</v>
      </c>
      <c r="W38">
        <v>952.678</v>
      </c>
      <c r="X38">
        <v>596.80200000000002</v>
      </c>
      <c r="Y38">
        <v>694.73</v>
      </c>
      <c r="Z38">
        <v>1546.4090000000001</v>
      </c>
      <c r="AA38">
        <v>157.25899999999999</v>
      </c>
      <c r="AB38">
        <v>66.825000000000003</v>
      </c>
      <c r="AC38">
        <v>179.506</v>
      </c>
      <c r="AD38">
        <v>466.26900000000001</v>
      </c>
      <c r="AE38">
        <v>206.624</v>
      </c>
      <c r="AF38">
        <v>870.33</v>
      </c>
      <c r="AG38">
        <v>8724.7180000000008</v>
      </c>
      <c r="AH38">
        <v>1282.6400000000001</v>
      </c>
      <c r="AI38">
        <v>4782.0339999999997</v>
      </c>
      <c r="AJ38">
        <v>1716.0519999999999</v>
      </c>
      <c r="AK38">
        <v>10102.663</v>
      </c>
      <c r="AL38">
        <v>509.61700000000002</v>
      </c>
      <c r="AM38">
        <v>610.12900000000002</v>
      </c>
      <c r="AN38">
        <v>144.04</v>
      </c>
      <c r="AO38">
        <v>236.21299999999999</v>
      </c>
      <c r="AP38">
        <v>142.732</v>
      </c>
      <c r="AQ38">
        <v>217.245</v>
      </c>
      <c r="AR38">
        <v>143.01400000000001</v>
      </c>
      <c r="AS38">
        <v>918.10299999999995</v>
      </c>
      <c r="AT38">
        <v>380.17700000000002</v>
      </c>
      <c r="AU38">
        <v>517.202</v>
      </c>
      <c r="AV38">
        <v>141.50299999999999</v>
      </c>
      <c r="AW38">
        <v>155.41300000000001</v>
      </c>
      <c r="AX38">
        <v>147.81399999999999</v>
      </c>
      <c r="AY38">
        <v>226.566</v>
      </c>
      <c r="AZ38">
        <v>0</v>
      </c>
      <c r="BA38">
        <f>OECD_KOR2022dom!BI36</f>
        <v>51699.131999999998</v>
      </c>
    </row>
    <row r="39" spans="1:53">
      <c r="A39" t="s">
        <v>479</v>
      </c>
      <c r="B39" t="str">
        <f>INDEX('ISIC Crosswalk'!$D$2:$D$107,MATCH(A39,'ISIC Crosswalk'!$A$2:$A$107,0),1)</f>
        <v>ISIC 49T53</v>
      </c>
      <c r="C39">
        <v>49.561999999999998</v>
      </c>
      <c r="D39">
        <v>3.0430000000000001</v>
      </c>
      <c r="E39">
        <v>11.638</v>
      </c>
      <c r="F39">
        <v>0.50800000000000001</v>
      </c>
      <c r="G39">
        <v>0.16700000000000001</v>
      </c>
      <c r="H39">
        <v>0.109</v>
      </c>
      <c r="I39">
        <v>4.5990000000000002</v>
      </c>
      <c r="J39">
        <v>3.3000000000000002E-2</v>
      </c>
      <c r="K39">
        <v>105.715</v>
      </c>
      <c r="L39">
        <v>91.923000000000002</v>
      </c>
      <c r="M39">
        <v>13.177</v>
      </c>
      <c r="N39">
        <v>66.789000000000001</v>
      </c>
      <c r="O39">
        <v>16.779</v>
      </c>
      <c r="P39">
        <v>120.443</v>
      </c>
      <c r="Q39">
        <v>32.295000000000002</v>
      </c>
      <c r="R39">
        <v>51.540999999999997</v>
      </c>
      <c r="S39">
        <v>31.038</v>
      </c>
      <c r="T39">
        <v>35.994999999999997</v>
      </c>
      <c r="U39">
        <v>19.167000000000002</v>
      </c>
      <c r="V39">
        <v>72.664000000000001</v>
      </c>
      <c r="W39">
        <v>130.637</v>
      </c>
      <c r="X39">
        <v>76.906000000000006</v>
      </c>
      <c r="Y39">
        <v>170.69</v>
      </c>
      <c r="Z39">
        <v>135.44800000000001</v>
      </c>
      <c r="AA39">
        <v>29.401</v>
      </c>
      <c r="AB39">
        <v>10.401</v>
      </c>
      <c r="AC39">
        <v>35.134999999999998</v>
      </c>
      <c r="AD39">
        <v>198.89400000000001</v>
      </c>
      <c r="AE39">
        <v>37.014000000000003</v>
      </c>
      <c r="AF39">
        <v>179.636</v>
      </c>
      <c r="AG39">
        <v>3477.0909999999999</v>
      </c>
      <c r="AH39">
        <v>40.393999999999998</v>
      </c>
      <c r="AI39">
        <v>24.155999999999999</v>
      </c>
      <c r="AJ39">
        <v>13.428000000000001</v>
      </c>
      <c r="AK39">
        <v>348.49900000000002</v>
      </c>
      <c r="AL39">
        <v>4160.558</v>
      </c>
      <c r="AM39">
        <v>425.22800000000001</v>
      </c>
      <c r="AN39">
        <v>404.63299999999998</v>
      </c>
      <c r="AO39">
        <v>508.05500000000001</v>
      </c>
      <c r="AP39">
        <v>175.12299999999999</v>
      </c>
      <c r="AQ39">
        <v>1836.528</v>
      </c>
      <c r="AR39">
        <v>248.41</v>
      </c>
      <c r="AS39">
        <v>1270.9069999999999</v>
      </c>
      <c r="AT39">
        <v>269.93900000000002</v>
      </c>
      <c r="AU39">
        <v>918.66899999999998</v>
      </c>
      <c r="AV39">
        <v>410.97</v>
      </c>
      <c r="AW39">
        <v>413.28500000000003</v>
      </c>
      <c r="AX39">
        <v>159.38900000000001</v>
      </c>
      <c r="AY39">
        <v>463.31799999999998</v>
      </c>
      <c r="AZ39">
        <v>0</v>
      </c>
      <c r="BA39">
        <f>OECD_KOR2022dom!BI37</f>
        <v>18192.04</v>
      </c>
    </row>
    <row r="40" spans="1:53">
      <c r="A40" t="s">
        <v>478</v>
      </c>
      <c r="B40" t="str">
        <f>INDEX('ISIC Crosswalk'!$D$2:$D$107,MATCH(A40,'ISIC Crosswalk'!$A$2:$A$107,0),1)</f>
        <v>ISIC 55T56</v>
      </c>
      <c r="C40">
        <v>256.09199999999998</v>
      </c>
      <c r="D40">
        <v>73.536000000000001</v>
      </c>
      <c r="E40">
        <v>85.09</v>
      </c>
      <c r="F40">
        <v>3.8340000000000001</v>
      </c>
      <c r="G40">
        <v>2.911</v>
      </c>
      <c r="H40">
        <v>5.2619999999999996</v>
      </c>
      <c r="I40">
        <v>66.230999999999995</v>
      </c>
      <c r="J40">
        <v>0.376</v>
      </c>
      <c r="K40">
        <v>1906.6489999999999</v>
      </c>
      <c r="L40">
        <v>1147.3320000000001</v>
      </c>
      <c r="M40">
        <v>151.864</v>
      </c>
      <c r="N40">
        <v>476.71100000000001</v>
      </c>
      <c r="O40">
        <v>534.47500000000002</v>
      </c>
      <c r="P40">
        <v>2719.4389999999999</v>
      </c>
      <c r="Q40">
        <v>421.33499999999998</v>
      </c>
      <c r="R40">
        <v>1272.9680000000001</v>
      </c>
      <c r="S40">
        <v>569.69200000000001</v>
      </c>
      <c r="T40">
        <v>1034.3510000000001</v>
      </c>
      <c r="U40">
        <v>501.23200000000003</v>
      </c>
      <c r="V40">
        <v>1548.5119999999999</v>
      </c>
      <c r="W40">
        <v>2540.2829999999999</v>
      </c>
      <c r="X40">
        <v>1731.825</v>
      </c>
      <c r="Y40">
        <v>2041.8630000000001</v>
      </c>
      <c r="Z40">
        <v>1411.239</v>
      </c>
      <c r="AA40">
        <v>407.03300000000002</v>
      </c>
      <c r="AB40">
        <v>175.541</v>
      </c>
      <c r="AC40">
        <v>431.87200000000001</v>
      </c>
      <c r="AD40">
        <v>1725.057</v>
      </c>
      <c r="AE40">
        <v>574.66899999999998</v>
      </c>
      <c r="AF40">
        <v>4218.3</v>
      </c>
      <c r="AG40">
        <v>11656.967000000001</v>
      </c>
      <c r="AH40">
        <v>859.154</v>
      </c>
      <c r="AI40">
        <v>1399.0429999999999</v>
      </c>
      <c r="AJ40">
        <v>901.649</v>
      </c>
      <c r="AK40">
        <v>2289.9720000000002</v>
      </c>
      <c r="AL40">
        <v>530.53200000000004</v>
      </c>
      <c r="AM40">
        <v>7438.2920000000004</v>
      </c>
      <c r="AN40">
        <v>1896.768</v>
      </c>
      <c r="AO40">
        <v>1247.068</v>
      </c>
      <c r="AP40">
        <v>2265.7020000000002</v>
      </c>
      <c r="AQ40">
        <v>6325.6959999999999</v>
      </c>
      <c r="AR40">
        <v>2107.4140000000002</v>
      </c>
      <c r="AS40">
        <v>12760.93</v>
      </c>
      <c r="AT40">
        <v>3265.6970000000001</v>
      </c>
      <c r="AU40">
        <v>6901.9480000000003</v>
      </c>
      <c r="AV40">
        <v>7204.884</v>
      </c>
      <c r="AW40">
        <v>9752.741</v>
      </c>
      <c r="AX40">
        <v>3455.3829999999998</v>
      </c>
      <c r="AY40">
        <v>3919.5819999999999</v>
      </c>
      <c r="AZ40">
        <v>0</v>
      </c>
      <c r="BA40">
        <f>OECD_KOR2022dom!BI38</f>
        <v>146964.497</v>
      </c>
    </row>
    <row r="41" spans="1:53">
      <c r="A41" t="s">
        <v>477</v>
      </c>
      <c r="B41" t="str">
        <f>INDEX('ISIC Crosswalk'!$D$2:$D$107,MATCH(A41,'ISIC Crosswalk'!$A$2:$A$107,0),1)</f>
        <v>ISIC 58T60</v>
      </c>
      <c r="C41">
        <v>38.421999999999997</v>
      </c>
      <c r="D41">
        <v>3.984</v>
      </c>
      <c r="E41">
        <v>9.2729999999999997</v>
      </c>
      <c r="F41">
        <v>0.36399999999999999</v>
      </c>
      <c r="G41">
        <v>0.31900000000000001</v>
      </c>
      <c r="H41">
        <v>0.32700000000000001</v>
      </c>
      <c r="I41">
        <v>6.6970000000000001</v>
      </c>
      <c r="J41">
        <v>5.0999999999999997E-2</v>
      </c>
      <c r="K41">
        <v>488.411</v>
      </c>
      <c r="L41">
        <v>201.5</v>
      </c>
      <c r="M41">
        <v>29.689</v>
      </c>
      <c r="N41">
        <v>214.727</v>
      </c>
      <c r="O41">
        <v>67.869</v>
      </c>
      <c r="P41">
        <v>534.35</v>
      </c>
      <c r="Q41">
        <v>101.029</v>
      </c>
      <c r="R41">
        <v>120.761</v>
      </c>
      <c r="S41">
        <v>76.891999999999996</v>
      </c>
      <c r="T41">
        <v>153.24199999999999</v>
      </c>
      <c r="U41">
        <v>94.450999999999993</v>
      </c>
      <c r="V41">
        <v>175.92400000000001</v>
      </c>
      <c r="W41">
        <v>643.49</v>
      </c>
      <c r="X41">
        <v>404.3</v>
      </c>
      <c r="Y41">
        <v>289.11599999999999</v>
      </c>
      <c r="Z41">
        <v>332.839</v>
      </c>
      <c r="AA41">
        <v>92.039000000000001</v>
      </c>
      <c r="AB41">
        <v>49.712000000000003</v>
      </c>
      <c r="AC41">
        <v>110.29</v>
      </c>
      <c r="AD41">
        <v>250.06800000000001</v>
      </c>
      <c r="AE41">
        <v>66.864000000000004</v>
      </c>
      <c r="AF41">
        <v>388.959</v>
      </c>
      <c r="AG41">
        <v>2681.127</v>
      </c>
      <c r="AH41">
        <v>56.854999999999997</v>
      </c>
      <c r="AI41">
        <v>89.162999999999997</v>
      </c>
      <c r="AJ41">
        <v>39.15</v>
      </c>
      <c r="AK41">
        <v>226.95500000000001</v>
      </c>
      <c r="AL41">
        <v>120.77</v>
      </c>
      <c r="AM41">
        <v>1077.8309999999999</v>
      </c>
      <c r="AN41">
        <v>9007.1980000000003</v>
      </c>
      <c r="AO41">
        <v>1503.614</v>
      </c>
      <c r="AP41">
        <v>1594.0250000000001</v>
      </c>
      <c r="AQ41">
        <v>1262.6089999999999</v>
      </c>
      <c r="AR41">
        <v>531.56399999999996</v>
      </c>
      <c r="AS41">
        <v>4566.7209999999995</v>
      </c>
      <c r="AT41">
        <v>537.14300000000003</v>
      </c>
      <c r="AU41">
        <v>1076.999</v>
      </c>
      <c r="AV41">
        <v>3232.8890000000001</v>
      </c>
      <c r="AW41">
        <v>834.95899999999995</v>
      </c>
      <c r="AX41">
        <v>920.83100000000002</v>
      </c>
      <c r="AY41">
        <v>862.68600000000004</v>
      </c>
      <c r="AZ41">
        <v>0</v>
      </c>
      <c r="BA41">
        <f>OECD_KOR2022dom!BI39</f>
        <v>53469.514999999999</v>
      </c>
    </row>
    <row r="42" spans="1:53">
      <c r="A42" t="s">
        <v>476</v>
      </c>
      <c r="B42" t="str">
        <f>INDEX('ISIC Crosswalk'!$D$2:$D$107,MATCH(A42,'ISIC Crosswalk'!$A$2:$A$107,0),1)</f>
        <v>ISIC 61</v>
      </c>
      <c r="C42">
        <v>41.671999999999997</v>
      </c>
      <c r="D42">
        <v>7.383</v>
      </c>
      <c r="E42">
        <v>27.640999999999998</v>
      </c>
      <c r="F42">
        <v>1.167</v>
      </c>
      <c r="G42">
        <v>0.68200000000000005</v>
      </c>
      <c r="H42">
        <v>0.19900000000000001</v>
      </c>
      <c r="I42">
        <v>11.111000000000001</v>
      </c>
      <c r="J42">
        <v>5.0999999999999997E-2</v>
      </c>
      <c r="K42">
        <v>220.47800000000001</v>
      </c>
      <c r="L42">
        <v>161.727</v>
      </c>
      <c r="M42">
        <v>25.446999999999999</v>
      </c>
      <c r="N42">
        <v>91.399000000000001</v>
      </c>
      <c r="O42">
        <v>64.263999999999996</v>
      </c>
      <c r="P42">
        <v>210.828</v>
      </c>
      <c r="Q42">
        <v>79.441999999999993</v>
      </c>
      <c r="R42">
        <v>104.178</v>
      </c>
      <c r="S42">
        <v>69.537999999999997</v>
      </c>
      <c r="T42">
        <v>88.650999999999996</v>
      </c>
      <c r="U42">
        <v>64.379000000000005</v>
      </c>
      <c r="V42">
        <v>186.51599999999999</v>
      </c>
      <c r="W42">
        <v>520.25400000000002</v>
      </c>
      <c r="X42">
        <v>231.54300000000001</v>
      </c>
      <c r="Y42">
        <v>395.00299999999999</v>
      </c>
      <c r="Z42">
        <v>413.822</v>
      </c>
      <c r="AA42">
        <v>59.061</v>
      </c>
      <c r="AB42">
        <v>24.507000000000001</v>
      </c>
      <c r="AC42">
        <v>85.941000000000003</v>
      </c>
      <c r="AD42">
        <v>240.809</v>
      </c>
      <c r="AE42">
        <v>61.616999999999997</v>
      </c>
      <c r="AF42">
        <v>563.69799999999998</v>
      </c>
      <c r="AG42">
        <v>2560.6880000000001</v>
      </c>
      <c r="AH42">
        <v>87.801000000000002</v>
      </c>
      <c r="AI42">
        <v>100.84099999999999</v>
      </c>
      <c r="AJ42">
        <v>32.070999999999998</v>
      </c>
      <c r="AK42">
        <v>347.04199999999997</v>
      </c>
      <c r="AL42">
        <v>183.82400000000001</v>
      </c>
      <c r="AM42">
        <v>990.69200000000001</v>
      </c>
      <c r="AN42">
        <v>614.71600000000001</v>
      </c>
      <c r="AO42">
        <v>7624.9709999999995</v>
      </c>
      <c r="AP42">
        <v>797.26900000000001</v>
      </c>
      <c r="AQ42">
        <v>1630.9090000000001</v>
      </c>
      <c r="AR42">
        <v>855.68799999999999</v>
      </c>
      <c r="AS42">
        <v>1944.9169999999999</v>
      </c>
      <c r="AT42">
        <v>609.94000000000005</v>
      </c>
      <c r="AU42">
        <v>1334.9079999999999</v>
      </c>
      <c r="AV42">
        <v>610.096</v>
      </c>
      <c r="AW42">
        <v>788.23800000000006</v>
      </c>
      <c r="AX42">
        <v>327.57600000000002</v>
      </c>
      <c r="AY42">
        <v>699.90499999999997</v>
      </c>
      <c r="AZ42">
        <v>0</v>
      </c>
      <c r="BA42">
        <f>OECD_KOR2022dom!BI40</f>
        <v>47660.142999999996</v>
      </c>
    </row>
    <row r="43" spans="1:53">
      <c r="A43" t="s">
        <v>475</v>
      </c>
      <c r="B43" t="str">
        <f>INDEX('ISIC Crosswalk'!$D$2:$D$107,MATCH(A43,'ISIC Crosswalk'!$A$2:$A$107,0),1)</f>
        <v>ISIC 62T63</v>
      </c>
      <c r="C43">
        <v>18.948</v>
      </c>
      <c r="D43">
        <v>2.9750000000000001</v>
      </c>
      <c r="E43">
        <v>9.11</v>
      </c>
      <c r="F43">
        <v>0.72499999999999998</v>
      </c>
      <c r="G43">
        <v>0.45300000000000001</v>
      </c>
      <c r="H43">
        <v>0.20200000000000001</v>
      </c>
      <c r="I43">
        <v>9.69</v>
      </c>
      <c r="J43">
        <v>3.7999999999999999E-2</v>
      </c>
      <c r="K43">
        <v>338.84699999999998</v>
      </c>
      <c r="L43">
        <v>136.47</v>
      </c>
      <c r="M43">
        <v>17.454999999999998</v>
      </c>
      <c r="N43">
        <v>103.959</v>
      </c>
      <c r="O43">
        <v>76.971999999999994</v>
      </c>
      <c r="P43">
        <v>379.00900000000001</v>
      </c>
      <c r="Q43">
        <v>110.815</v>
      </c>
      <c r="R43">
        <v>110.124</v>
      </c>
      <c r="S43">
        <v>85.799000000000007</v>
      </c>
      <c r="T43">
        <v>132.36199999999999</v>
      </c>
      <c r="U43">
        <v>67.027000000000001</v>
      </c>
      <c r="V43">
        <v>189.053</v>
      </c>
      <c r="W43">
        <v>682.89700000000005</v>
      </c>
      <c r="X43">
        <v>308.01600000000002</v>
      </c>
      <c r="Y43">
        <v>323.10300000000001</v>
      </c>
      <c r="Z43">
        <v>262.81099999999998</v>
      </c>
      <c r="AA43">
        <v>80.448999999999998</v>
      </c>
      <c r="AB43">
        <v>32.134999999999998</v>
      </c>
      <c r="AC43">
        <v>78.771000000000001</v>
      </c>
      <c r="AD43">
        <v>422.20299999999997</v>
      </c>
      <c r="AE43">
        <v>81.489999999999995</v>
      </c>
      <c r="AF43">
        <v>479.14</v>
      </c>
      <c r="AG43">
        <v>1955.818</v>
      </c>
      <c r="AH43">
        <v>52.41</v>
      </c>
      <c r="AI43">
        <v>106.29300000000001</v>
      </c>
      <c r="AJ43">
        <v>44.93</v>
      </c>
      <c r="AK43">
        <v>341.64400000000001</v>
      </c>
      <c r="AL43">
        <v>152.55600000000001</v>
      </c>
      <c r="AM43">
        <v>450.82299999999998</v>
      </c>
      <c r="AN43">
        <v>582.12400000000002</v>
      </c>
      <c r="AO43">
        <v>1103.7760000000001</v>
      </c>
      <c r="AP43">
        <v>4724.3109999999997</v>
      </c>
      <c r="AQ43">
        <v>2119.2159999999999</v>
      </c>
      <c r="AR43">
        <v>401.96600000000001</v>
      </c>
      <c r="AS43">
        <v>2750.335</v>
      </c>
      <c r="AT43">
        <v>590.26599999999996</v>
      </c>
      <c r="AU43">
        <v>992.86900000000003</v>
      </c>
      <c r="AV43">
        <v>644.48599999999999</v>
      </c>
      <c r="AW43">
        <v>515.54499999999996</v>
      </c>
      <c r="AX43">
        <v>231.935</v>
      </c>
      <c r="AY43">
        <v>343.15699999999998</v>
      </c>
      <c r="AZ43">
        <v>0</v>
      </c>
      <c r="BA43">
        <f>OECD_KOR2022dom!BI41</f>
        <v>54186.557000000001</v>
      </c>
    </row>
    <row r="44" spans="1:53">
      <c r="A44" t="s">
        <v>474</v>
      </c>
      <c r="B44" t="str">
        <f>INDEX('ISIC Crosswalk'!$D$2:$D$107,MATCH(A44,'ISIC Crosswalk'!$A$2:$A$107,0),1)</f>
        <v>ISIC 64T66</v>
      </c>
      <c r="C44">
        <v>603.976</v>
      </c>
      <c r="D44">
        <v>39.857999999999997</v>
      </c>
      <c r="E44">
        <v>150.792</v>
      </c>
      <c r="F44">
        <v>3.98</v>
      </c>
      <c r="G44">
        <v>4.1130000000000004</v>
      </c>
      <c r="H44">
        <v>2.2709999999999999</v>
      </c>
      <c r="I44">
        <v>50.622</v>
      </c>
      <c r="J44">
        <v>0.496</v>
      </c>
      <c r="K44">
        <v>2059.6590000000001</v>
      </c>
      <c r="L44">
        <v>762.39300000000003</v>
      </c>
      <c r="M44">
        <v>111.544</v>
      </c>
      <c r="N44">
        <v>546.21900000000005</v>
      </c>
      <c r="O44">
        <v>810.07899999999995</v>
      </c>
      <c r="P44">
        <v>2003.7619999999999</v>
      </c>
      <c r="Q44">
        <v>314.84100000000001</v>
      </c>
      <c r="R44">
        <v>723.71199999999999</v>
      </c>
      <c r="S44">
        <v>512.745</v>
      </c>
      <c r="T44">
        <v>889.41499999999996</v>
      </c>
      <c r="U44">
        <v>564.85299999999995</v>
      </c>
      <c r="V44">
        <v>956.12800000000004</v>
      </c>
      <c r="W44">
        <v>1971.586</v>
      </c>
      <c r="X44">
        <v>1271.97</v>
      </c>
      <c r="Y44">
        <v>1448.4280000000001</v>
      </c>
      <c r="Z44">
        <v>1332.037</v>
      </c>
      <c r="AA44">
        <v>358.53500000000003</v>
      </c>
      <c r="AB44">
        <v>124.828</v>
      </c>
      <c r="AC44">
        <v>366.66399999999999</v>
      </c>
      <c r="AD44">
        <v>1921.2840000000001</v>
      </c>
      <c r="AE44">
        <v>328.17</v>
      </c>
      <c r="AF44">
        <v>2473.857</v>
      </c>
      <c r="AG44">
        <v>7822.1639999999998</v>
      </c>
      <c r="AH44">
        <v>374.19</v>
      </c>
      <c r="AI44">
        <v>548.35900000000004</v>
      </c>
      <c r="AJ44">
        <v>228.41200000000001</v>
      </c>
      <c r="AK44">
        <v>1088.4390000000001</v>
      </c>
      <c r="AL44">
        <v>236.83199999999999</v>
      </c>
      <c r="AM44">
        <v>1974.9970000000001</v>
      </c>
      <c r="AN44">
        <v>502.19400000000002</v>
      </c>
      <c r="AO44">
        <v>906.49300000000005</v>
      </c>
      <c r="AP44">
        <v>679.28700000000003</v>
      </c>
      <c r="AQ44">
        <v>28199.837</v>
      </c>
      <c r="AR44">
        <v>21695.446</v>
      </c>
      <c r="AS44">
        <v>4892.2790000000005</v>
      </c>
      <c r="AT44">
        <v>1441.702</v>
      </c>
      <c r="AU44">
        <v>1928.674</v>
      </c>
      <c r="AV44">
        <v>1004.046</v>
      </c>
      <c r="AW44">
        <v>951.19200000000001</v>
      </c>
      <c r="AX44">
        <v>656.16600000000005</v>
      </c>
      <c r="AY44">
        <v>1070.2080000000001</v>
      </c>
      <c r="AZ44">
        <v>0</v>
      </c>
      <c r="BA44">
        <f>OECD_KOR2022dom!BI42</f>
        <v>170656.31899999999</v>
      </c>
    </row>
    <row r="45" spans="1:53">
      <c r="A45" t="s">
        <v>473</v>
      </c>
      <c r="B45" t="str">
        <f>INDEX('ISIC Crosswalk'!$D$2:$D$107,MATCH(A45,'ISIC Crosswalk'!$A$2:$A$107,0),1)</f>
        <v>ISIC 68</v>
      </c>
      <c r="C45">
        <v>32.926000000000002</v>
      </c>
      <c r="D45">
        <v>7.1449999999999996</v>
      </c>
      <c r="E45">
        <v>12.816000000000001</v>
      </c>
      <c r="F45">
        <v>0.78800000000000003</v>
      </c>
      <c r="G45">
        <v>0.60799999999999998</v>
      </c>
      <c r="H45">
        <v>0.314</v>
      </c>
      <c r="I45">
        <v>13.18</v>
      </c>
      <c r="J45">
        <v>0.06</v>
      </c>
      <c r="K45">
        <v>437.35399999999998</v>
      </c>
      <c r="L45">
        <v>276.77699999999999</v>
      </c>
      <c r="M45">
        <v>27.172999999999998</v>
      </c>
      <c r="N45">
        <v>121.718</v>
      </c>
      <c r="O45">
        <v>88.728999999999999</v>
      </c>
      <c r="P45">
        <v>315.36900000000003</v>
      </c>
      <c r="Q45">
        <v>69.373000000000005</v>
      </c>
      <c r="R45">
        <v>160.53800000000001</v>
      </c>
      <c r="S45">
        <v>101.717</v>
      </c>
      <c r="T45">
        <v>152.56800000000001</v>
      </c>
      <c r="U45">
        <v>93.114000000000004</v>
      </c>
      <c r="V45">
        <v>316.29000000000002</v>
      </c>
      <c r="W45">
        <v>521.84900000000005</v>
      </c>
      <c r="X45">
        <v>277.39600000000002</v>
      </c>
      <c r="Y45">
        <v>329.08199999999999</v>
      </c>
      <c r="Z45">
        <v>377.49099999999999</v>
      </c>
      <c r="AA45">
        <v>150.434</v>
      </c>
      <c r="AB45">
        <v>28.812999999999999</v>
      </c>
      <c r="AC45">
        <v>133.37</v>
      </c>
      <c r="AD45">
        <v>251.345</v>
      </c>
      <c r="AE45">
        <v>76.244</v>
      </c>
      <c r="AF45">
        <v>881.55899999999997</v>
      </c>
      <c r="AG45">
        <v>7753.1779999999999</v>
      </c>
      <c r="AH45">
        <v>103.176</v>
      </c>
      <c r="AI45">
        <v>134.61600000000001</v>
      </c>
      <c r="AJ45">
        <v>46.865000000000002</v>
      </c>
      <c r="AK45">
        <v>764.61599999999999</v>
      </c>
      <c r="AL45">
        <v>151.53899999999999</v>
      </c>
      <c r="AM45">
        <v>3778.5219999999999</v>
      </c>
      <c r="AN45">
        <v>417.61799999999999</v>
      </c>
      <c r="AO45">
        <v>617.75</v>
      </c>
      <c r="AP45">
        <v>592.64700000000005</v>
      </c>
      <c r="AQ45">
        <v>1373.7339999999999</v>
      </c>
      <c r="AR45">
        <v>2836.1860000000001</v>
      </c>
      <c r="AS45">
        <v>2451.2950000000001</v>
      </c>
      <c r="AT45">
        <v>668.15300000000002</v>
      </c>
      <c r="AU45">
        <v>799.58299999999997</v>
      </c>
      <c r="AV45">
        <v>969.72699999999998</v>
      </c>
      <c r="AW45">
        <v>1040.386</v>
      </c>
      <c r="AX45">
        <v>560.94399999999996</v>
      </c>
      <c r="AY45">
        <v>881.34</v>
      </c>
      <c r="AZ45">
        <v>0</v>
      </c>
      <c r="BA45">
        <f>OECD_KOR2022dom!BI43</f>
        <v>201295.33499999999</v>
      </c>
    </row>
    <row r="46" spans="1:53">
      <c r="A46" t="s">
        <v>472</v>
      </c>
      <c r="B46" t="str">
        <f>INDEX('ISIC Crosswalk'!$D$2:$D$107,MATCH(A46,'ISIC Crosswalk'!$A$2:$A$107,0),1)</f>
        <v>ISIC 69T82</v>
      </c>
      <c r="C46">
        <v>404.49900000000002</v>
      </c>
      <c r="D46">
        <v>18.751999999999999</v>
      </c>
      <c r="E46">
        <v>76.123000000000005</v>
      </c>
      <c r="F46">
        <v>6.7770000000000001</v>
      </c>
      <c r="G46">
        <v>5.2119999999999997</v>
      </c>
      <c r="H46">
        <v>2.5979999999999999</v>
      </c>
      <c r="I46">
        <v>93.097999999999999</v>
      </c>
      <c r="J46">
        <v>1.4119999999999999</v>
      </c>
      <c r="K46">
        <v>2494.1990000000001</v>
      </c>
      <c r="L46">
        <v>919.34100000000001</v>
      </c>
      <c r="M46">
        <v>97.81</v>
      </c>
      <c r="N46">
        <v>526.00300000000004</v>
      </c>
      <c r="O46">
        <v>718.23099999999999</v>
      </c>
      <c r="P46">
        <v>2640.87</v>
      </c>
      <c r="Q46">
        <v>603.10599999999999</v>
      </c>
      <c r="R46">
        <v>1055.954</v>
      </c>
      <c r="S46">
        <v>675.66</v>
      </c>
      <c r="T46">
        <v>1071.4000000000001</v>
      </c>
      <c r="U46">
        <v>463.93700000000001</v>
      </c>
      <c r="V46">
        <v>1459.6990000000001</v>
      </c>
      <c r="W46">
        <v>5247.6880000000001</v>
      </c>
      <c r="X46">
        <v>1652.232</v>
      </c>
      <c r="Y46">
        <v>2134.3000000000002</v>
      </c>
      <c r="Z46">
        <v>3586.8270000000002</v>
      </c>
      <c r="AA46">
        <v>794.851</v>
      </c>
      <c r="AB46">
        <v>266.83</v>
      </c>
      <c r="AC46">
        <v>441.459</v>
      </c>
      <c r="AD46">
        <v>2420.576</v>
      </c>
      <c r="AE46">
        <v>452.77</v>
      </c>
      <c r="AF46">
        <v>9200.11</v>
      </c>
      <c r="AG46">
        <v>10013.620000000001</v>
      </c>
      <c r="AH46">
        <v>240.88300000000001</v>
      </c>
      <c r="AI46">
        <v>437.55900000000003</v>
      </c>
      <c r="AJ46">
        <v>140.614</v>
      </c>
      <c r="AK46">
        <v>1585.6869999999999</v>
      </c>
      <c r="AL46">
        <v>186.05199999999999</v>
      </c>
      <c r="AM46">
        <v>3120.9180000000001</v>
      </c>
      <c r="AN46">
        <v>1437.8489999999999</v>
      </c>
      <c r="AO46">
        <v>1985.856</v>
      </c>
      <c r="AP46">
        <v>1859.3979999999999</v>
      </c>
      <c r="AQ46">
        <v>5135.3720000000003</v>
      </c>
      <c r="AR46">
        <v>4625.6819999999998</v>
      </c>
      <c r="AS46">
        <v>26398.686000000002</v>
      </c>
      <c r="AT46">
        <v>2172.85</v>
      </c>
      <c r="AU46">
        <v>4096.0140000000001</v>
      </c>
      <c r="AV46">
        <v>2016.2719999999999</v>
      </c>
      <c r="AW46">
        <v>2197.4780000000001</v>
      </c>
      <c r="AX46">
        <v>1049.4159999999999</v>
      </c>
      <c r="AY46">
        <v>1699.8150000000001</v>
      </c>
      <c r="AZ46">
        <v>0</v>
      </c>
      <c r="BA46">
        <f>OECD_KOR2022dom!BI44</f>
        <v>202235.32199999999</v>
      </c>
    </row>
    <row r="47" spans="1:53">
      <c r="A47" t="s">
        <v>471</v>
      </c>
      <c r="B47" t="str">
        <f>INDEX('ISIC Crosswalk'!$D$2:$D$107,MATCH(A47,'ISIC Crosswalk'!$A$2:$A$107,0),1)</f>
        <v>ISIC 69T82</v>
      </c>
      <c r="C47">
        <v>216.49199999999999</v>
      </c>
      <c r="D47">
        <v>25.39</v>
      </c>
      <c r="E47">
        <v>59.429000000000002</v>
      </c>
      <c r="F47">
        <v>4.0720000000000001</v>
      </c>
      <c r="G47">
        <v>4.0620000000000003</v>
      </c>
      <c r="H47">
        <v>2.1970000000000001</v>
      </c>
      <c r="I47">
        <v>75.564999999999998</v>
      </c>
      <c r="J47">
        <v>0.51500000000000001</v>
      </c>
      <c r="K47">
        <v>1435.047</v>
      </c>
      <c r="L47">
        <v>469.59</v>
      </c>
      <c r="M47">
        <v>76.616</v>
      </c>
      <c r="N47">
        <v>378.15</v>
      </c>
      <c r="O47">
        <v>316.69600000000003</v>
      </c>
      <c r="P47">
        <v>1263.396</v>
      </c>
      <c r="Q47">
        <v>329.00200000000001</v>
      </c>
      <c r="R47">
        <v>574.49300000000005</v>
      </c>
      <c r="S47">
        <v>415.803</v>
      </c>
      <c r="T47">
        <v>475.65300000000002</v>
      </c>
      <c r="U47">
        <v>253.83099999999999</v>
      </c>
      <c r="V47">
        <v>785.90599999999995</v>
      </c>
      <c r="W47">
        <v>1644.0809999999999</v>
      </c>
      <c r="X47">
        <v>962.952</v>
      </c>
      <c r="Y47">
        <v>1354.2719999999999</v>
      </c>
      <c r="Z47">
        <v>1557.8820000000001</v>
      </c>
      <c r="AA47">
        <v>385.89499999999998</v>
      </c>
      <c r="AB47">
        <v>140.363</v>
      </c>
      <c r="AC47">
        <v>292.637</v>
      </c>
      <c r="AD47">
        <v>1260.7239999999999</v>
      </c>
      <c r="AE47">
        <v>464.99400000000003</v>
      </c>
      <c r="AF47">
        <v>2730.7959999999998</v>
      </c>
      <c r="AG47">
        <v>6392.39</v>
      </c>
      <c r="AH47">
        <v>310.77</v>
      </c>
      <c r="AI47">
        <v>743.34799999999996</v>
      </c>
      <c r="AJ47">
        <v>283.48599999999999</v>
      </c>
      <c r="AK47">
        <v>1789.5060000000001</v>
      </c>
      <c r="AL47">
        <v>401.73</v>
      </c>
      <c r="AM47">
        <v>2473.5439999999999</v>
      </c>
      <c r="AN47">
        <v>1051.721</v>
      </c>
      <c r="AO47">
        <v>1537.461</v>
      </c>
      <c r="AP47">
        <v>1467.6590000000001</v>
      </c>
      <c r="AQ47">
        <v>2802.2040000000002</v>
      </c>
      <c r="AR47">
        <v>2867.0619999999999</v>
      </c>
      <c r="AS47">
        <v>5988.5959999999995</v>
      </c>
      <c r="AT47">
        <v>3234.873</v>
      </c>
      <c r="AU47">
        <v>2523.663</v>
      </c>
      <c r="AV47">
        <v>2393.4859999999999</v>
      </c>
      <c r="AW47">
        <v>1860.556</v>
      </c>
      <c r="AX47">
        <v>1092.537</v>
      </c>
      <c r="AY47">
        <v>1148.713</v>
      </c>
      <c r="AZ47">
        <v>0</v>
      </c>
      <c r="BA47">
        <f>OECD_KOR2022dom!BI45</f>
        <v>82380.926999999996</v>
      </c>
    </row>
    <row r="48" spans="1:53">
      <c r="A48" t="s">
        <v>470</v>
      </c>
      <c r="B48" t="str">
        <f>INDEX('ISIC Crosswalk'!$D$2:$D$107,MATCH(A48,'ISIC Crosswalk'!$A$2:$A$107,0),1)</f>
        <v>ISIC 84</v>
      </c>
      <c r="C48">
        <v>18.538</v>
      </c>
      <c r="D48">
        <v>1.5980000000000001</v>
      </c>
      <c r="E48">
        <v>3.7010000000000001</v>
      </c>
      <c r="F48">
        <v>0.161</v>
      </c>
      <c r="G48">
        <v>4.5999999999999999E-2</v>
      </c>
      <c r="H48">
        <v>6.5000000000000002E-2</v>
      </c>
      <c r="I48">
        <v>1.7390000000000001</v>
      </c>
      <c r="J48">
        <v>1.2999999999999999E-2</v>
      </c>
      <c r="K48">
        <v>78.153999999999996</v>
      </c>
      <c r="L48">
        <v>28.422000000000001</v>
      </c>
      <c r="M48">
        <v>6.04</v>
      </c>
      <c r="N48">
        <v>26.007000000000001</v>
      </c>
      <c r="O48">
        <v>12.69</v>
      </c>
      <c r="P48">
        <v>61.496000000000002</v>
      </c>
      <c r="Q48">
        <v>16.324000000000002</v>
      </c>
      <c r="R48">
        <v>24.164999999999999</v>
      </c>
      <c r="S48">
        <v>14.792999999999999</v>
      </c>
      <c r="T48">
        <v>77.521000000000001</v>
      </c>
      <c r="U48">
        <v>43.941000000000003</v>
      </c>
      <c r="V48">
        <v>49.365000000000002</v>
      </c>
      <c r="W48">
        <v>45.069000000000003</v>
      </c>
      <c r="X48">
        <v>41.28</v>
      </c>
      <c r="Y48">
        <v>51.433</v>
      </c>
      <c r="Z48">
        <v>70.028000000000006</v>
      </c>
      <c r="AA48">
        <v>15.891999999999999</v>
      </c>
      <c r="AB48">
        <v>5.5069999999999997</v>
      </c>
      <c r="AC48">
        <v>13.029</v>
      </c>
      <c r="AD48">
        <v>83.24</v>
      </c>
      <c r="AE48">
        <v>71.355000000000004</v>
      </c>
      <c r="AF48">
        <v>153.21700000000001</v>
      </c>
      <c r="AG48">
        <v>288.85399999999998</v>
      </c>
      <c r="AH48">
        <v>23.42</v>
      </c>
      <c r="AI48">
        <v>16.286000000000001</v>
      </c>
      <c r="AJ48">
        <v>4.4569999999999999</v>
      </c>
      <c r="AK48">
        <v>43.503999999999998</v>
      </c>
      <c r="AL48">
        <v>10.932</v>
      </c>
      <c r="AM48">
        <v>121.673</v>
      </c>
      <c r="AN48">
        <v>24.675000000000001</v>
      </c>
      <c r="AO48">
        <v>48.682000000000002</v>
      </c>
      <c r="AP48">
        <v>31.446000000000002</v>
      </c>
      <c r="AQ48">
        <v>142.88</v>
      </c>
      <c r="AR48">
        <v>123.18600000000001</v>
      </c>
      <c r="AS48">
        <v>190.89699999999999</v>
      </c>
      <c r="AT48">
        <v>45.526000000000003</v>
      </c>
      <c r="AU48">
        <v>265.51400000000001</v>
      </c>
      <c r="AV48">
        <v>78.515000000000001</v>
      </c>
      <c r="AW48">
        <v>89.733000000000004</v>
      </c>
      <c r="AX48">
        <v>43.697000000000003</v>
      </c>
      <c r="AY48">
        <v>77.361000000000004</v>
      </c>
      <c r="AZ48">
        <v>0</v>
      </c>
      <c r="BA48">
        <f>OECD_KOR2022dom!BI46</f>
        <v>158136.86300000001</v>
      </c>
    </row>
    <row r="49" spans="1:53">
      <c r="A49" t="s">
        <v>469</v>
      </c>
      <c r="B49" t="str">
        <f>INDEX('ISIC Crosswalk'!$D$2:$D$107,MATCH(A49,'ISIC Crosswalk'!$A$2:$A$107,0),1)</f>
        <v>ISIC 85</v>
      </c>
      <c r="C49">
        <v>12.31</v>
      </c>
      <c r="D49">
        <v>3.137</v>
      </c>
      <c r="E49">
        <v>4.0919999999999996</v>
      </c>
      <c r="F49">
        <v>0.154</v>
      </c>
      <c r="G49">
        <v>0.13100000000000001</v>
      </c>
      <c r="H49">
        <v>0.21299999999999999</v>
      </c>
      <c r="I49">
        <v>3.0979999999999999</v>
      </c>
      <c r="J49">
        <v>1.7000000000000001E-2</v>
      </c>
      <c r="K49">
        <v>85.772000000000006</v>
      </c>
      <c r="L49">
        <v>47.718000000000004</v>
      </c>
      <c r="M49">
        <v>6.3289999999999997</v>
      </c>
      <c r="N49">
        <v>20.736999999999998</v>
      </c>
      <c r="O49">
        <v>26.741</v>
      </c>
      <c r="P49">
        <v>115.178</v>
      </c>
      <c r="Q49">
        <v>21.657</v>
      </c>
      <c r="R49">
        <v>51.965000000000003</v>
      </c>
      <c r="S49">
        <v>25.164999999999999</v>
      </c>
      <c r="T49">
        <v>47.987000000000002</v>
      </c>
      <c r="U49">
        <v>25.106000000000002</v>
      </c>
      <c r="V49">
        <v>67.775000000000006</v>
      </c>
      <c r="W49">
        <v>125.45399999999999</v>
      </c>
      <c r="X49">
        <v>81.688000000000002</v>
      </c>
      <c r="Y49">
        <v>94.289000000000001</v>
      </c>
      <c r="Z49">
        <v>65.313999999999993</v>
      </c>
      <c r="AA49">
        <v>21.446000000000002</v>
      </c>
      <c r="AB49">
        <v>9.1720000000000006</v>
      </c>
      <c r="AC49">
        <v>19.634</v>
      </c>
      <c r="AD49">
        <v>79.427999999999997</v>
      </c>
      <c r="AE49">
        <v>25.673999999999999</v>
      </c>
      <c r="AF49">
        <v>177.69499999999999</v>
      </c>
      <c r="AG49">
        <v>492.66199999999998</v>
      </c>
      <c r="AH49">
        <v>35.259</v>
      </c>
      <c r="AI49">
        <v>57.395000000000003</v>
      </c>
      <c r="AJ49">
        <v>37.932000000000002</v>
      </c>
      <c r="AK49">
        <v>100.869</v>
      </c>
      <c r="AL49">
        <v>22.282</v>
      </c>
      <c r="AM49">
        <v>300.21100000000001</v>
      </c>
      <c r="AN49">
        <v>90.725999999999999</v>
      </c>
      <c r="AO49">
        <v>79.430000000000007</v>
      </c>
      <c r="AP49">
        <v>118.824</v>
      </c>
      <c r="AQ49">
        <v>306.62</v>
      </c>
      <c r="AR49">
        <v>95.634</v>
      </c>
      <c r="AS49">
        <v>615.77700000000004</v>
      </c>
      <c r="AT49">
        <v>152.47900000000001</v>
      </c>
      <c r="AU49">
        <v>375.428</v>
      </c>
      <c r="AV49">
        <v>726.13300000000004</v>
      </c>
      <c r="AW49">
        <v>414.82600000000002</v>
      </c>
      <c r="AX49">
        <v>146.93799999999999</v>
      </c>
      <c r="AY49">
        <v>167.12700000000001</v>
      </c>
      <c r="AZ49">
        <v>0</v>
      </c>
      <c r="BA49">
        <f>OECD_KOR2022dom!BI47</f>
        <v>115880.268</v>
      </c>
    </row>
    <row r="50" spans="1:53">
      <c r="A50" t="s">
        <v>468</v>
      </c>
      <c r="B50" t="str">
        <f>INDEX('ISIC Crosswalk'!$D$2:$D$107,MATCH(A50,'ISIC Crosswalk'!$A$2:$A$107,0),1)</f>
        <v>ISIC 86T88</v>
      </c>
      <c r="C50">
        <v>4.1669999999999998</v>
      </c>
      <c r="D50">
        <v>0.83299999999999996</v>
      </c>
      <c r="E50">
        <v>2.282</v>
      </c>
      <c r="F50">
        <v>0.13100000000000001</v>
      </c>
      <c r="G50">
        <v>2.5999999999999999E-2</v>
      </c>
      <c r="H50">
        <v>3.1E-2</v>
      </c>
      <c r="I50">
        <v>0.32900000000000001</v>
      </c>
      <c r="J50">
        <v>3.0000000000000001E-3</v>
      </c>
      <c r="K50">
        <v>28.585000000000001</v>
      </c>
      <c r="L50">
        <v>9.6910000000000007</v>
      </c>
      <c r="M50">
        <v>1.0980000000000001</v>
      </c>
      <c r="N50">
        <v>6.0709999999999997</v>
      </c>
      <c r="O50">
        <v>4.6890000000000001</v>
      </c>
      <c r="P50">
        <v>23.428000000000001</v>
      </c>
      <c r="Q50">
        <v>7.1269999999999998</v>
      </c>
      <c r="R50">
        <v>14.042</v>
      </c>
      <c r="S50">
        <v>11.058</v>
      </c>
      <c r="T50">
        <v>7.5060000000000002</v>
      </c>
      <c r="U50">
        <v>5.6349999999999998</v>
      </c>
      <c r="V50">
        <v>23.286000000000001</v>
      </c>
      <c r="W50">
        <v>33.326999999999998</v>
      </c>
      <c r="X50">
        <v>18.867000000000001</v>
      </c>
      <c r="Y50">
        <v>19.332000000000001</v>
      </c>
      <c r="Z50">
        <v>21.041</v>
      </c>
      <c r="AA50">
        <v>7.9</v>
      </c>
      <c r="AB50">
        <v>1.601</v>
      </c>
      <c r="AC50">
        <v>5.74</v>
      </c>
      <c r="AD50">
        <v>14.311999999999999</v>
      </c>
      <c r="AE50">
        <v>6.2359999999999998</v>
      </c>
      <c r="AF50">
        <v>36.829000000000001</v>
      </c>
      <c r="AG50">
        <v>105.518</v>
      </c>
      <c r="AH50">
        <v>6.9020000000000001</v>
      </c>
      <c r="AI50">
        <v>4.7169999999999996</v>
      </c>
      <c r="AJ50">
        <v>3.157</v>
      </c>
      <c r="AK50">
        <v>13.045</v>
      </c>
      <c r="AL50">
        <v>5.3550000000000004</v>
      </c>
      <c r="AM50">
        <v>60.271000000000001</v>
      </c>
      <c r="AN50">
        <v>14.587999999999999</v>
      </c>
      <c r="AO50">
        <v>9.86</v>
      </c>
      <c r="AP50">
        <v>15.757</v>
      </c>
      <c r="AQ50">
        <v>58.430999999999997</v>
      </c>
      <c r="AR50">
        <v>14.131</v>
      </c>
      <c r="AS50">
        <v>93.381</v>
      </c>
      <c r="AT50">
        <v>21.931999999999999</v>
      </c>
      <c r="AU50">
        <v>225.60900000000001</v>
      </c>
      <c r="AV50">
        <v>92.379000000000005</v>
      </c>
      <c r="AW50">
        <v>3033.7179999999998</v>
      </c>
      <c r="AX50">
        <v>24.567</v>
      </c>
      <c r="AY50">
        <v>48.671999999999997</v>
      </c>
      <c r="AZ50">
        <v>0</v>
      </c>
      <c r="BA50">
        <f>OECD_KOR2022dom!BI48</f>
        <v>144675.85699999999</v>
      </c>
    </row>
    <row r="51" spans="1:53">
      <c r="A51" t="s">
        <v>467</v>
      </c>
      <c r="B51" t="str">
        <f>INDEX('ISIC Crosswalk'!$D$2:$D$107,MATCH(A51,'ISIC Crosswalk'!$A$2:$A$107,0),1)</f>
        <v>ISIC 90T96</v>
      </c>
      <c r="C51">
        <v>5.8689999999999998</v>
      </c>
      <c r="D51">
        <v>1.5780000000000001</v>
      </c>
      <c r="E51">
        <v>2.8159999999999998</v>
      </c>
      <c r="F51">
        <v>0.09</v>
      </c>
      <c r="G51">
        <v>0.04</v>
      </c>
      <c r="H51">
        <v>5.2999999999999999E-2</v>
      </c>
      <c r="I51">
        <v>1.79</v>
      </c>
      <c r="J51">
        <v>2E-3</v>
      </c>
      <c r="K51">
        <v>63.116999999999997</v>
      </c>
      <c r="L51">
        <v>21.63</v>
      </c>
      <c r="M51">
        <v>2.3029999999999999</v>
      </c>
      <c r="N51">
        <v>15.512</v>
      </c>
      <c r="O51">
        <v>7.8789999999999996</v>
      </c>
      <c r="P51">
        <v>44.896000000000001</v>
      </c>
      <c r="Q51">
        <v>5.6280000000000001</v>
      </c>
      <c r="R51">
        <v>19.356000000000002</v>
      </c>
      <c r="S51">
        <v>14.696999999999999</v>
      </c>
      <c r="T51">
        <v>11.842000000000001</v>
      </c>
      <c r="U51">
        <v>8.8689999999999998</v>
      </c>
      <c r="V51">
        <v>28.321999999999999</v>
      </c>
      <c r="W51">
        <v>50.743000000000002</v>
      </c>
      <c r="X51">
        <v>22.542999999999999</v>
      </c>
      <c r="Y51">
        <v>40.777999999999999</v>
      </c>
      <c r="Z51">
        <v>55.405000000000001</v>
      </c>
      <c r="AA51">
        <v>22.757000000000001</v>
      </c>
      <c r="AB51">
        <v>3.4710000000000001</v>
      </c>
      <c r="AC51">
        <v>17.378</v>
      </c>
      <c r="AD51">
        <v>31.059000000000001</v>
      </c>
      <c r="AE51">
        <v>14.894</v>
      </c>
      <c r="AF51">
        <v>76.578999999999994</v>
      </c>
      <c r="AG51">
        <v>333.60599999999999</v>
      </c>
      <c r="AH51">
        <v>9.6999999999999993</v>
      </c>
      <c r="AI51">
        <v>20.048999999999999</v>
      </c>
      <c r="AJ51">
        <v>5.8090000000000002</v>
      </c>
      <c r="AK51">
        <v>33.683</v>
      </c>
      <c r="AL51">
        <v>10.106999999999999</v>
      </c>
      <c r="AM51">
        <v>562.84500000000003</v>
      </c>
      <c r="AN51">
        <v>1318.779</v>
      </c>
      <c r="AO51">
        <v>48.646999999999998</v>
      </c>
      <c r="AP51">
        <v>41.639000000000003</v>
      </c>
      <c r="AQ51">
        <v>100.64400000000001</v>
      </c>
      <c r="AR51">
        <v>56.622999999999998</v>
      </c>
      <c r="AS51">
        <v>508.72199999999998</v>
      </c>
      <c r="AT51">
        <v>122.264</v>
      </c>
      <c r="AU51">
        <v>344.27499999999998</v>
      </c>
      <c r="AV51">
        <v>317.71899999999999</v>
      </c>
      <c r="AW51">
        <v>124.30800000000001</v>
      </c>
      <c r="AX51">
        <v>3462.9340000000002</v>
      </c>
      <c r="AY51">
        <v>357.52800000000002</v>
      </c>
      <c r="AZ51">
        <v>0</v>
      </c>
      <c r="BA51">
        <f>OECD_KOR2022dom!BI49</f>
        <v>37679.339</v>
      </c>
    </row>
    <row r="52" spans="1:53">
      <c r="A52" t="s">
        <v>466</v>
      </c>
      <c r="B52" t="str">
        <f>INDEX('ISIC Crosswalk'!$D$2:$D$107,MATCH(A52,'ISIC Crosswalk'!$A$2:$A$107,0),1)</f>
        <v>ISIC 90T96</v>
      </c>
      <c r="C52">
        <v>28.942</v>
      </c>
      <c r="D52">
        <v>7.0519999999999996</v>
      </c>
      <c r="E52">
        <v>54.006</v>
      </c>
      <c r="F52">
        <v>0.81100000000000005</v>
      </c>
      <c r="G52">
        <v>0.54600000000000004</v>
      </c>
      <c r="H52">
        <v>0.48499999999999999</v>
      </c>
      <c r="I52">
        <v>15.166</v>
      </c>
      <c r="J52">
        <v>7.5999999999999998E-2</v>
      </c>
      <c r="K52">
        <v>295.61399999999998</v>
      </c>
      <c r="L52">
        <v>183.29599999999999</v>
      </c>
      <c r="M52">
        <v>18.594999999999999</v>
      </c>
      <c r="N52">
        <v>57.851999999999997</v>
      </c>
      <c r="O52">
        <v>43.412999999999997</v>
      </c>
      <c r="P52">
        <v>166.70699999999999</v>
      </c>
      <c r="Q52">
        <v>31.233000000000001</v>
      </c>
      <c r="R52">
        <v>78.2</v>
      </c>
      <c r="S52">
        <v>93.001999999999995</v>
      </c>
      <c r="T52">
        <v>131.09800000000001</v>
      </c>
      <c r="U52">
        <v>42.88</v>
      </c>
      <c r="V52">
        <v>192.06200000000001</v>
      </c>
      <c r="W52">
        <v>381.96499999999997</v>
      </c>
      <c r="X52">
        <v>107.642</v>
      </c>
      <c r="Y52">
        <v>122.818</v>
      </c>
      <c r="Z52">
        <v>154.65100000000001</v>
      </c>
      <c r="AA52">
        <v>43.252000000000002</v>
      </c>
      <c r="AB52">
        <v>13.624000000000001</v>
      </c>
      <c r="AC52">
        <v>59.9</v>
      </c>
      <c r="AD52">
        <v>103.307</v>
      </c>
      <c r="AE52">
        <v>124.071</v>
      </c>
      <c r="AF52">
        <v>301.18900000000002</v>
      </c>
      <c r="AG52">
        <v>1392.596</v>
      </c>
      <c r="AH52">
        <v>51.82</v>
      </c>
      <c r="AI52">
        <v>89.436000000000007</v>
      </c>
      <c r="AJ52">
        <v>31.515000000000001</v>
      </c>
      <c r="AK52">
        <v>187.71899999999999</v>
      </c>
      <c r="AL52">
        <v>61.421999999999997</v>
      </c>
      <c r="AM52">
        <v>1345.2270000000001</v>
      </c>
      <c r="AN52">
        <v>214.37</v>
      </c>
      <c r="AO52">
        <v>393.03500000000003</v>
      </c>
      <c r="AP52">
        <v>374.322</v>
      </c>
      <c r="AQ52">
        <v>1270.8240000000001</v>
      </c>
      <c r="AR52">
        <v>361.86900000000003</v>
      </c>
      <c r="AS52">
        <v>1439.6510000000001</v>
      </c>
      <c r="AT52">
        <v>437.67200000000003</v>
      </c>
      <c r="AU52">
        <v>521.01800000000003</v>
      </c>
      <c r="AV52">
        <v>600.74</v>
      </c>
      <c r="AW52">
        <v>1400.057</v>
      </c>
      <c r="AX52">
        <v>308.678</v>
      </c>
      <c r="AY52">
        <v>3561.654</v>
      </c>
      <c r="AZ52">
        <v>0</v>
      </c>
      <c r="BA52">
        <f>OECD_KOR2022dom!BI50</f>
        <v>54973.256000000001</v>
      </c>
    </row>
    <row r="53" spans="1:53">
      <c r="A53" t="s">
        <v>465</v>
      </c>
      <c r="B53" t="str">
        <f>INDEX('ISIC Crosswalk'!$D$2:$D$107,MATCH(A53,'ISIC Crosswalk'!$A$2:$A$107,0),1)</f>
        <v>ISIC 97T98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f>OECD_KOR2022dom!BI51</f>
        <v>2100.7310000000002</v>
      </c>
    </row>
    <row r="54" spans="1:53">
      <c r="A54" t="s">
        <v>464</v>
      </c>
      <c r="B54" t="str">
        <f>INDEX('ISIC Crosswalk'!$D$2:$D$107,MATCH(A54,'ISIC Crosswalk'!$A$2:$A$107,0),1)</f>
        <v>ISIC 01T03</v>
      </c>
      <c r="C54">
        <v>626.02099999999996</v>
      </c>
      <c r="D54">
        <v>12.84</v>
      </c>
      <c r="E54">
        <v>12.413</v>
      </c>
      <c r="F54">
        <v>0.01</v>
      </c>
      <c r="G54">
        <v>3.0000000000000001E-3</v>
      </c>
      <c r="H54">
        <v>2E-3</v>
      </c>
      <c r="I54">
        <v>0.193</v>
      </c>
      <c r="J54">
        <v>0</v>
      </c>
      <c r="K54">
        <v>4410.2619999999997</v>
      </c>
      <c r="L54">
        <v>106.142</v>
      </c>
      <c r="M54">
        <v>17.527000000000001</v>
      </c>
      <c r="N54">
        <v>3.63</v>
      </c>
      <c r="O54">
        <v>1.611</v>
      </c>
      <c r="P54">
        <v>60.621000000000002</v>
      </c>
      <c r="Q54">
        <v>10.632999999999999</v>
      </c>
      <c r="R54">
        <v>20.366</v>
      </c>
      <c r="S54">
        <v>0.90700000000000003</v>
      </c>
      <c r="T54">
        <v>1.1910000000000001</v>
      </c>
      <c r="U54">
        <v>0.67900000000000005</v>
      </c>
      <c r="V54">
        <v>0.91900000000000004</v>
      </c>
      <c r="W54">
        <v>2.6379999999999999</v>
      </c>
      <c r="X54">
        <v>1.2250000000000001</v>
      </c>
      <c r="Y54">
        <v>2.69</v>
      </c>
      <c r="Z54">
        <v>3.665</v>
      </c>
      <c r="AA54">
        <v>0.53</v>
      </c>
      <c r="AB54">
        <v>0.152</v>
      </c>
      <c r="AC54">
        <v>4.5970000000000004</v>
      </c>
      <c r="AD54">
        <v>7.577</v>
      </c>
      <c r="AE54">
        <v>1.3680000000000001</v>
      </c>
      <c r="AF54">
        <v>14.289</v>
      </c>
      <c r="AG54">
        <v>90.247</v>
      </c>
      <c r="AH54">
        <v>0.79400000000000004</v>
      </c>
      <c r="AI54">
        <v>1.847</v>
      </c>
      <c r="AJ54">
        <v>0.34699999999999998</v>
      </c>
      <c r="AK54">
        <v>3.085</v>
      </c>
      <c r="AL54">
        <v>0.36899999999999999</v>
      </c>
      <c r="AM54">
        <v>968.82</v>
      </c>
      <c r="AN54">
        <v>1.038</v>
      </c>
      <c r="AO54">
        <v>0.64200000000000002</v>
      </c>
      <c r="AP54">
        <v>0.59099999999999997</v>
      </c>
      <c r="AQ54">
        <v>1.125</v>
      </c>
      <c r="AR54">
        <v>2.76</v>
      </c>
      <c r="AS54">
        <v>12.614000000000001</v>
      </c>
      <c r="AT54">
        <v>8.5359999999999996</v>
      </c>
      <c r="AU54">
        <v>11.333</v>
      </c>
      <c r="AV54">
        <v>13.750999999999999</v>
      </c>
      <c r="AW54">
        <v>32.798000000000002</v>
      </c>
      <c r="AX54">
        <v>7.242</v>
      </c>
      <c r="AY54">
        <v>10.669</v>
      </c>
      <c r="AZ54">
        <v>0</v>
      </c>
      <c r="BA54">
        <f>OECD_KOR2022dom!BI52</f>
        <v>9664.3909999999996</v>
      </c>
    </row>
    <row r="55" spans="1:53">
      <c r="A55" t="s">
        <v>463</v>
      </c>
      <c r="B55" t="str">
        <f>INDEX('ISIC Crosswalk'!$D$2:$D$107,MATCH(A55,'ISIC Crosswalk'!$A$2:$A$107,0),1)</f>
        <v>ISIC 01T03</v>
      </c>
      <c r="C55">
        <v>8.4920000000000009</v>
      </c>
      <c r="D55">
        <v>38.325000000000003</v>
      </c>
      <c r="E55">
        <v>0.35099999999999998</v>
      </c>
      <c r="F55">
        <v>1.7999999999999999E-2</v>
      </c>
      <c r="G55">
        <v>1E-3</v>
      </c>
      <c r="H55">
        <v>1E-3</v>
      </c>
      <c r="I55">
        <v>5.8000000000000003E-2</v>
      </c>
      <c r="J55">
        <v>0</v>
      </c>
      <c r="K55">
        <v>27.234000000000002</v>
      </c>
      <c r="L55">
        <v>1.8240000000000001</v>
      </c>
      <c r="M55">
        <v>104.578</v>
      </c>
      <c r="N55">
        <v>15.087999999999999</v>
      </c>
      <c r="O55">
        <v>0.14799999999999999</v>
      </c>
      <c r="P55">
        <v>3.94</v>
      </c>
      <c r="Q55">
        <v>0.20699999999999999</v>
      </c>
      <c r="R55">
        <v>10.217000000000001</v>
      </c>
      <c r="S55">
        <v>0.67600000000000005</v>
      </c>
      <c r="T55">
        <v>0.33700000000000002</v>
      </c>
      <c r="U55">
        <v>0.219</v>
      </c>
      <c r="V55">
        <v>0.27500000000000002</v>
      </c>
      <c r="W55">
        <v>0.318</v>
      </c>
      <c r="X55">
        <v>0.22700000000000001</v>
      </c>
      <c r="Y55">
        <v>0.36699999999999999</v>
      </c>
      <c r="Z55">
        <v>0.49099999999999999</v>
      </c>
      <c r="AA55">
        <v>0.33</v>
      </c>
      <c r="AB55">
        <v>2.4E-2</v>
      </c>
      <c r="AC55">
        <v>8.6539999999999999</v>
      </c>
      <c r="AD55">
        <v>9.0739999999999998</v>
      </c>
      <c r="AE55">
        <v>5.8999999999999997E-2</v>
      </c>
      <c r="AF55">
        <v>8.2759999999999998</v>
      </c>
      <c r="AG55">
        <v>3.8130000000000002</v>
      </c>
      <c r="AH55">
        <v>0.06</v>
      </c>
      <c r="AI55">
        <v>8.5000000000000006E-2</v>
      </c>
      <c r="AJ55">
        <v>1.6E-2</v>
      </c>
      <c r="AK55">
        <v>0.22</v>
      </c>
      <c r="AL55">
        <v>4.3999999999999997E-2</v>
      </c>
      <c r="AM55">
        <v>10.079000000000001</v>
      </c>
      <c r="AN55">
        <v>0.14199999999999999</v>
      </c>
      <c r="AO55">
        <v>0.09</v>
      </c>
      <c r="AP55">
        <v>8.8999999999999996E-2</v>
      </c>
      <c r="AQ55">
        <v>7.4999999999999997E-2</v>
      </c>
      <c r="AR55">
        <v>0.89400000000000002</v>
      </c>
      <c r="AS55">
        <v>0.42599999999999999</v>
      </c>
      <c r="AT55">
        <v>0.26600000000000001</v>
      </c>
      <c r="AU55">
        <v>1.3160000000000001</v>
      </c>
      <c r="AV55">
        <v>0.74299999999999999</v>
      </c>
      <c r="AW55">
        <v>0.69499999999999995</v>
      </c>
      <c r="AX55">
        <v>0.69299999999999995</v>
      </c>
      <c r="AY55">
        <v>0.70599999999999996</v>
      </c>
      <c r="AZ55">
        <v>0</v>
      </c>
      <c r="BA55">
        <f>OECD_KOR2022dom!BI53</f>
        <v>356.64400000000001</v>
      </c>
    </row>
    <row r="56" spans="1:53">
      <c r="A56" t="s">
        <v>462</v>
      </c>
      <c r="B56" t="str">
        <f>INDEX('ISIC Crosswalk'!$D$2:$D$107,MATCH(A56,'ISIC Crosswalk'!$A$2:$A$107,0),1)</f>
        <v>ISIC 01T03</v>
      </c>
      <c r="C56">
        <v>1.5920000000000001</v>
      </c>
      <c r="D56">
        <v>6.4000000000000001E-2</v>
      </c>
      <c r="E56">
        <v>50.985999999999997</v>
      </c>
      <c r="F56">
        <v>1E-3</v>
      </c>
      <c r="G56">
        <v>0</v>
      </c>
      <c r="H56">
        <v>0</v>
      </c>
      <c r="I56">
        <v>0.02</v>
      </c>
      <c r="J56">
        <v>0</v>
      </c>
      <c r="K56">
        <v>327.09100000000001</v>
      </c>
      <c r="L56">
        <v>0.218</v>
      </c>
      <c r="M56">
        <v>0.03</v>
      </c>
      <c r="N56">
        <v>0.08</v>
      </c>
      <c r="O56">
        <v>0.27800000000000002</v>
      </c>
      <c r="P56">
        <v>0.98</v>
      </c>
      <c r="Q56">
        <v>0.126</v>
      </c>
      <c r="R56">
        <v>0.111</v>
      </c>
      <c r="S56">
        <v>9.8000000000000004E-2</v>
      </c>
      <c r="T56">
        <v>0.19700000000000001</v>
      </c>
      <c r="U56">
        <v>9.5000000000000001E-2</v>
      </c>
      <c r="V56">
        <v>0.11700000000000001</v>
      </c>
      <c r="W56">
        <v>0.20200000000000001</v>
      </c>
      <c r="X56">
        <v>0.122</v>
      </c>
      <c r="Y56">
        <v>0.155</v>
      </c>
      <c r="Z56">
        <v>0.14599999999999999</v>
      </c>
      <c r="AA56">
        <v>0.24199999999999999</v>
      </c>
      <c r="AB56">
        <v>1.2999999999999999E-2</v>
      </c>
      <c r="AC56">
        <v>5.7000000000000002E-2</v>
      </c>
      <c r="AD56">
        <v>0.24199999999999999</v>
      </c>
      <c r="AE56">
        <v>4.1000000000000002E-2</v>
      </c>
      <c r="AF56">
        <v>0.25800000000000001</v>
      </c>
      <c r="AG56">
        <v>5.734</v>
      </c>
      <c r="AH56">
        <v>8.4000000000000005E-2</v>
      </c>
      <c r="AI56">
        <v>1.5429999999999999</v>
      </c>
      <c r="AJ56">
        <v>2.7E-2</v>
      </c>
      <c r="AK56">
        <v>0.46100000000000002</v>
      </c>
      <c r="AL56">
        <v>5.2999999999999999E-2</v>
      </c>
      <c r="AM56">
        <v>156.71899999999999</v>
      </c>
      <c r="AN56">
        <v>0.128</v>
      </c>
      <c r="AO56">
        <v>5.8999999999999997E-2</v>
      </c>
      <c r="AP56">
        <v>7.6999999999999999E-2</v>
      </c>
      <c r="AQ56">
        <v>0.13400000000000001</v>
      </c>
      <c r="AR56">
        <v>0.17699999999999999</v>
      </c>
      <c r="AS56">
        <v>0.33100000000000002</v>
      </c>
      <c r="AT56">
        <v>0.111</v>
      </c>
      <c r="AU56">
        <v>1.5329999999999999</v>
      </c>
      <c r="AV56">
        <v>0.76400000000000001</v>
      </c>
      <c r="AW56">
        <v>1.7969999999999999</v>
      </c>
      <c r="AX56">
        <v>0.29299999999999998</v>
      </c>
      <c r="AY56">
        <v>0.41399999999999998</v>
      </c>
      <c r="AZ56">
        <v>0</v>
      </c>
      <c r="BA56">
        <f>OECD_KOR2022dom!BI54</f>
        <v>901.02599999999995</v>
      </c>
    </row>
    <row r="57" spans="1:53">
      <c r="A57" t="s">
        <v>461</v>
      </c>
      <c r="B57" t="str">
        <f>INDEX('ISIC Crosswalk'!$D$2:$D$107,MATCH(A57,'ISIC Crosswalk'!$A$2:$A$107,0),1)</f>
        <v>ISIC 05</v>
      </c>
      <c r="C57">
        <v>10.137</v>
      </c>
      <c r="D57">
        <v>0.50600000000000001</v>
      </c>
      <c r="E57">
        <v>0.186</v>
      </c>
      <c r="F57">
        <v>10.596</v>
      </c>
      <c r="G57">
        <v>0.156</v>
      </c>
      <c r="H57">
        <v>0.46300000000000002</v>
      </c>
      <c r="I57">
        <v>13.567</v>
      </c>
      <c r="J57">
        <v>5.2999999999999999E-2</v>
      </c>
      <c r="K57">
        <v>70.018000000000001</v>
      </c>
      <c r="L57">
        <v>29.077000000000002</v>
      </c>
      <c r="M57">
        <v>2.3340000000000001</v>
      </c>
      <c r="N57">
        <v>46.058</v>
      </c>
      <c r="O57">
        <v>1003.035</v>
      </c>
      <c r="P57">
        <v>461.053</v>
      </c>
      <c r="Q57">
        <v>2.113</v>
      </c>
      <c r="R57">
        <v>26.966999999999999</v>
      </c>
      <c r="S57">
        <v>425.91899999999998</v>
      </c>
      <c r="T57">
        <v>3702.5479999999998</v>
      </c>
      <c r="U57">
        <v>461.86099999999999</v>
      </c>
      <c r="V57">
        <v>6.7220000000000004</v>
      </c>
      <c r="W57">
        <v>5.7050000000000001</v>
      </c>
      <c r="X57">
        <v>13.46</v>
      </c>
      <c r="Y57">
        <v>14.983000000000001</v>
      </c>
      <c r="Z57">
        <v>11.935</v>
      </c>
      <c r="AA57">
        <v>8.7620000000000005</v>
      </c>
      <c r="AB57">
        <v>2.6669999999999998</v>
      </c>
      <c r="AC57">
        <v>1.89</v>
      </c>
      <c r="AD57">
        <v>8686.4670000000006</v>
      </c>
      <c r="AE57">
        <v>3.0619999999999998</v>
      </c>
      <c r="AF57">
        <v>134.44999999999999</v>
      </c>
      <c r="AG57">
        <v>18.475999999999999</v>
      </c>
      <c r="AH57">
        <v>2.6749999999999998</v>
      </c>
      <c r="AI57">
        <v>0.56200000000000006</v>
      </c>
      <c r="AJ57">
        <v>0.216</v>
      </c>
      <c r="AK57">
        <v>4.5179999999999998</v>
      </c>
      <c r="AL57">
        <v>0.34200000000000003</v>
      </c>
      <c r="AM57">
        <v>11.7</v>
      </c>
      <c r="AN57">
        <v>0.44500000000000001</v>
      </c>
      <c r="AO57">
        <v>0.94399999999999995</v>
      </c>
      <c r="AP57">
        <v>0.432</v>
      </c>
      <c r="AQ57">
        <v>0.54800000000000004</v>
      </c>
      <c r="AR57">
        <v>8.8030000000000008</v>
      </c>
      <c r="AS57">
        <v>3.2930000000000001</v>
      </c>
      <c r="AT57">
        <v>1.3129999999999999</v>
      </c>
      <c r="AU57">
        <v>22.376999999999999</v>
      </c>
      <c r="AV57">
        <v>25.602</v>
      </c>
      <c r="AW57">
        <v>6.0780000000000003</v>
      </c>
      <c r="AX57">
        <v>0.65700000000000003</v>
      </c>
      <c r="AY57">
        <v>10.766999999999999</v>
      </c>
      <c r="AZ57">
        <v>0</v>
      </c>
      <c r="BA57">
        <f>OECD_KOR2022dom!BI55</f>
        <v>15278.411</v>
      </c>
    </row>
    <row r="58" spans="1:53">
      <c r="A58" t="s">
        <v>460</v>
      </c>
      <c r="B58" t="str">
        <f>INDEX('ISIC Crosswalk'!$D$2:$D$107,MATCH(A58,'ISIC Crosswalk'!$A$2:$A$107,0),1)</f>
        <v>ISIC 06</v>
      </c>
      <c r="C58">
        <v>22.138000000000002</v>
      </c>
      <c r="D58">
        <v>1.5</v>
      </c>
      <c r="E58">
        <v>11.954000000000001</v>
      </c>
      <c r="F58">
        <v>6.58</v>
      </c>
      <c r="G58">
        <v>8.85</v>
      </c>
      <c r="H58">
        <v>1.3080000000000001</v>
      </c>
      <c r="I58">
        <v>79.432000000000002</v>
      </c>
      <c r="J58">
        <v>0.26600000000000001</v>
      </c>
      <c r="K58">
        <v>423.22</v>
      </c>
      <c r="L58">
        <v>83.378</v>
      </c>
      <c r="M58">
        <v>20.048999999999999</v>
      </c>
      <c r="N58">
        <v>264.233</v>
      </c>
      <c r="O58">
        <v>99813.858999999997</v>
      </c>
      <c r="P58">
        <v>7701.8969999999999</v>
      </c>
      <c r="Q58">
        <v>17.452999999999999</v>
      </c>
      <c r="R58">
        <v>243.381</v>
      </c>
      <c r="S58">
        <v>1072.6849999999999</v>
      </c>
      <c r="T58">
        <v>2462.652</v>
      </c>
      <c r="U58">
        <v>1278.3599999999999</v>
      </c>
      <c r="V58">
        <v>336.76</v>
      </c>
      <c r="W58">
        <v>72.837999999999994</v>
      </c>
      <c r="X58">
        <v>76.739999999999995</v>
      </c>
      <c r="Y58">
        <v>146.47399999999999</v>
      </c>
      <c r="Z58">
        <v>188.70500000000001</v>
      </c>
      <c r="AA58">
        <v>51.167000000000002</v>
      </c>
      <c r="AB58">
        <v>17.786000000000001</v>
      </c>
      <c r="AC58">
        <v>50.048999999999999</v>
      </c>
      <c r="AD58">
        <v>28457.401000000002</v>
      </c>
      <c r="AE58">
        <v>58.695999999999998</v>
      </c>
      <c r="AF58">
        <v>250.14500000000001</v>
      </c>
      <c r="AG58">
        <v>576.93700000000001</v>
      </c>
      <c r="AH58">
        <v>55.29</v>
      </c>
      <c r="AI58">
        <v>62.128</v>
      </c>
      <c r="AJ58">
        <v>27.08</v>
      </c>
      <c r="AK58">
        <v>160.48699999999999</v>
      </c>
      <c r="AL58">
        <v>20.388000000000002</v>
      </c>
      <c r="AM58">
        <v>93.712999999999994</v>
      </c>
      <c r="AN58">
        <v>12.914999999999999</v>
      </c>
      <c r="AO58">
        <v>9.6679999999999993</v>
      </c>
      <c r="AP58">
        <v>13.145</v>
      </c>
      <c r="AQ58">
        <v>26.946999999999999</v>
      </c>
      <c r="AR58">
        <v>99.980999999999995</v>
      </c>
      <c r="AS58">
        <v>154.95099999999999</v>
      </c>
      <c r="AT58">
        <v>47.14</v>
      </c>
      <c r="AU58">
        <v>148.904</v>
      </c>
      <c r="AV58">
        <v>89.796999999999997</v>
      </c>
      <c r="AW58">
        <v>41.582000000000001</v>
      </c>
      <c r="AX58">
        <v>13.635999999999999</v>
      </c>
      <c r="AY58">
        <v>31.132000000000001</v>
      </c>
      <c r="AZ58">
        <v>0</v>
      </c>
      <c r="BA58">
        <f>OECD_KOR2022dom!BI56</f>
        <v>145074.20199999999</v>
      </c>
    </row>
    <row r="59" spans="1:53">
      <c r="A59" t="s">
        <v>459</v>
      </c>
      <c r="B59" t="str">
        <f>INDEX('ISIC Crosswalk'!$D$2:$D$107,MATCH(A59,'ISIC Crosswalk'!$A$2:$A$107,0),1)</f>
        <v>ISIC 07T08</v>
      </c>
      <c r="C59">
        <v>3.278</v>
      </c>
      <c r="D59">
        <v>0.04</v>
      </c>
      <c r="E59">
        <v>0.25</v>
      </c>
      <c r="F59">
        <v>0.57299999999999995</v>
      </c>
      <c r="G59">
        <v>9.0999999999999998E-2</v>
      </c>
      <c r="H59">
        <v>3.6219999999999999</v>
      </c>
      <c r="I59">
        <v>25.754000000000001</v>
      </c>
      <c r="J59">
        <v>4.5999999999999999E-2</v>
      </c>
      <c r="K59">
        <v>17.073</v>
      </c>
      <c r="L59">
        <v>5.4509999999999996</v>
      </c>
      <c r="M59">
        <v>0.54100000000000004</v>
      </c>
      <c r="N59">
        <v>2.5299999999999998</v>
      </c>
      <c r="O59">
        <v>109.71899999999999</v>
      </c>
      <c r="P59">
        <v>315.904</v>
      </c>
      <c r="Q59">
        <v>2.4550000000000001</v>
      </c>
      <c r="R59">
        <v>15.269</v>
      </c>
      <c r="S59">
        <v>234.41399999999999</v>
      </c>
      <c r="T59">
        <v>5543.393</v>
      </c>
      <c r="U59">
        <v>5941.451</v>
      </c>
      <c r="V59">
        <v>179.46600000000001</v>
      </c>
      <c r="W59">
        <v>41.042000000000002</v>
      </c>
      <c r="X59">
        <v>65.105000000000004</v>
      </c>
      <c r="Y59">
        <v>51.713000000000001</v>
      </c>
      <c r="Z59">
        <v>41.917000000000002</v>
      </c>
      <c r="AA59">
        <v>5.6</v>
      </c>
      <c r="AB59">
        <v>2.4449999999999998</v>
      </c>
      <c r="AC59">
        <v>12.276999999999999</v>
      </c>
      <c r="AD59">
        <v>101.71299999999999</v>
      </c>
      <c r="AE59">
        <v>3.8759999999999999</v>
      </c>
      <c r="AF59">
        <v>201.45699999999999</v>
      </c>
      <c r="AG59">
        <v>5.2939999999999996</v>
      </c>
      <c r="AH59">
        <v>0.66400000000000003</v>
      </c>
      <c r="AI59">
        <v>0.379</v>
      </c>
      <c r="AJ59">
        <v>0.17199999999999999</v>
      </c>
      <c r="AK59">
        <v>1.526</v>
      </c>
      <c r="AL59">
        <v>0.16600000000000001</v>
      </c>
      <c r="AM59">
        <v>4.6029999999999998</v>
      </c>
      <c r="AN59">
        <v>0.47299999999999998</v>
      </c>
      <c r="AO59">
        <v>0.29899999999999999</v>
      </c>
      <c r="AP59">
        <v>0.34100000000000003</v>
      </c>
      <c r="AQ59">
        <v>0.54800000000000004</v>
      </c>
      <c r="AR59">
        <v>2.7719999999999998</v>
      </c>
      <c r="AS59">
        <v>5.016</v>
      </c>
      <c r="AT59">
        <v>1.66</v>
      </c>
      <c r="AU59">
        <v>1.59</v>
      </c>
      <c r="AV59">
        <v>1.165</v>
      </c>
      <c r="AW59">
        <v>1.5109999999999999</v>
      </c>
      <c r="AX59">
        <v>0.61299999999999999</v>
      </c>
      <c r="AY59">
        <v>2.9390000000000001</v>
      </c>
      <c r="AZ59">
        <v>0</v>
      </c>
      <c r="BA59">
        <f>OECD_KOR2022dom!BI57</f>
        <v>12967.331</v>
      </c>
    </row>
    <row r="60" spans="1:53">
      <c r="A60" t="s">
        <v>458</v>
      </c>
      <c r="B60" t="str">
        <f>INDEX('ISIC Crosswalk'!$D$2:$D$107,MATCH(A60,'ISIC Crosswalk'!$A$2:$A$107,0),1)</f>
        <v>ISIC 07T08</v>
      </c>
      <c r="C60">
        <v>6.0670000000000002</v>
      </c>
      <c r="D60">
        <v>0.13700000000000001</v>
      </c>
      <c r="E60">
        <v>0.77</v>
      </c>
      <c r="F60">
        <v>8.1000000000000003E-2</v>
      </c>
      <c r="G60">
        <v>1.7999999999999999E-2</v>
      </c>
      <c r="H60">
        <v>5.8000000000000003E-2</v>
      </c>
      <c r="I60">
        <v>18.518000000000001</v>
      </c>
      <c r="J60">
        <v>8.0000000000000002E-3</v>
      </c>
      <c r="K60">
        <v>11.635</v>
      </c>
      <c r="L60">
        <v>4.9089999999999998</v>
      </c>
      <c r="M60">
        <v>0.45800000000000002</v>
      </c>
      <c r="N60">
        <v>4.7690000000000001</v>
      </c>
      <c r="O60">
        <v>22.242999999999999</v>
      </c>
      <c r="P60">
        <v>141.11199999999999</v>
      </c>
      <c r="Q60">
        <v>2.052</v>
      </c>
      <c r="R60">
        <v>16.273</v>
      </c>
      <c r="S60">
        <v>284.452</v>
      </c>
      <c r="T60">
        <v>97.712999999999994</v>
      </c>
      <c r="U60">
        <v>30.224</v>
      </c>
      <c r="V60">
        <v>6.0609999999999999</v>
      </c>
      <c r="W60">
        <v>5.2789999999999999</v>
      </c>
      <c r="X60">
        <v>5.29</v>
      </c>
      <c r="Y60">
        <v>4.6820000000000004</v>
      </c>
      <c r="Z60">
        <v>4.5979999999999999</v>
      </c>
      <c r="AA60">
        <v>1.2</v>
      </c>
      <c r="AB60">
        <v>0.216</v>
      </c>
      <c r="AC60">
        <v>3.379</v>
      </c>
      <c r="AD60">
        <v>24.18</v>
      </c>
      <c r="AE60">
        <v>2.4580000000000002</v>
      </c>
      <c r="AF60">
        <v>293.29500000000002</v>
      </c>
      <c r="AG60">
        <v>3.1070000000000002</v>
      </c>
      <c r="AH60">
        <v>0.48099999999999998</v>
      </c>
      <c r="AI60">
        <v>1.403</v>
      </c>
      <c r="AJ60">
        <v>0.24099999999999999</v>
      </c>
      <c r="AK60">
        <v>1.0609999999999999</v>
      </c>
      <c r="AL60">
        <v>0.13200000000000001</v>
      </c>
      <c r="AM60">
        <v>3.1480000000000001</v>
      </c>
      <c r="AN60">
        <v>0.35699999999999998</v>
      </c>
      <c r="AO60">
        <v>0.13900000000000001</v>
      </c>
      <c r="AP60">
        <v>0.17</v>
      </c>
      <c r="AQ60">
        <v>0.214</v>
      </c>
      <c r="AR60">
        <v>5.7919999999999998</v>
      </c>
      <c r="AS60">
        <v>1.89</v>
      </c>
      <c r="AT60">
        <v>2.423</v>
      </c>
      <c r="AU60">
        <v>2.8239999999999998</v>
      </c>
      <c r="AV60">
        <v>0.83499999999999996</v>
      </c>
      <c r="AW60">
        <v>1.6890000000000001</v>
      </c>
      <c r="AX60">
        <v>0.33200000000000002</v>
      </c>
      <c r="AY60">
        <v>1.3029999999999999</v>
      </c>
      <c r="AZ60">
        <v>0</v>
      </c>
      <c r="BA60">
        <f>OECD_KOR2022dom!BI58</f>
        <v>1035.038</v>
      </c>
    </row>
    <row r="61" spans="1:53">
      <c r="A61" t="s">
        <v>457</v>
      </c>
      <c r="B61" t="str">
        <f>INDEX('ISIC Crosswalk'!$D$2:$D$107,MATCH(A61,'ISIC Crosswalk'!$A$2:$A$107,0),1)</f>
        <v>ISIC 09</v>
      </c>
      <c r="C61">
        <v>0.315</v>
      </c>
      <c r="D61">
        <v>0.02</v>
      </c>
      <c r="E61">
        <v>0.105</v>
      </c>
      <c r="F61">
        <v>1.4E-2</v>
      </c>
      <c r="G61">
        <v>1.4999999999999999E-2</v>
      </c>
      <c r="H61">
        <v>4.0000000000000001E-3</v>
      </c>
      <c r="I61">
        <v>0.21199999999999999</v>
      </c>
      <c r="J61">
        <v>1E-3</v>
      </c>
      <c r="K61">
        <v>1.502</v>
      </c>
      <c r="L61">
        <v>0.45400000000000001</v>
      </c>
      <c r="M61">
        <v>9.2999999999999999E-2</v>
      </c>
      <c r="N61">
        <v>0.52400000000000002</v>
      </c>
      <c r="O61">
        <v>107.84099999999999</v>
      </c>
      <c r="P61">
        <v>10.430999999999999</v>
      </c>
      <c r="Q61">
        <v>0.16800000000000001</v>
      </c>
      <c r="R61">
        <v>0.84499999999999997</v>
      </c>
      <c r="S61">
        <v>1.8720000000000001</v>
      </c>
      <c r="T61">
        <v>5.58</v>
      </c>
      <c r="U61">
        <v>3.3780000000000001</v>
      </c>
      <c r="V61">
        <v>1.018</v>
      </c>
      <c r="W61">
        <v>1.04</v>
      </c>
      <c r="X61">
        <v>0.57999999999999996</v>
      </c>
      <c r="Y61">
        <v>0.95099999999999996</v>
      </c>
      <c r="Z61">
        <v>1.0820000000000001</v>
      </c>
      <c r="AA61">
        <v>0.246</v>
      </c>
      <c r="AB61">
        <v>9.6000000000000002E-2</v>
      </c>
      <c r="AC61">
        <v>0.24199999999999999</v>
      </c>
      <c r="AD61">
        <v>33.036000000000001</v>
      </c>
      <c r="AE61">
        <v>0.19700000000000001</v>
      </c>
      <c r="AF61">
        <v>1.7290000000000001</v>
      </c>
      <c r="AG61">
        <v>2.597</v>
      </c>
      <c r="AH61">
        <v>0.35699999999999998</v>
      </c>
      <c r="AI61">
        <v>0.85899999999999999</v>
      </c>
      <c r="AJ61">
        <v>0.36199999999999999</v>
      </c>
      <c r="AK61">
        <v>1.6240000000000001</v>
      </c>
      <c r="AL61">
        <v>0.153</v>
      </c>
      <c r="AM61">
        <v>0.80300000000000005</v>
      </c>
      <c r="AN61">
        <v>0.16600000000000001</v>
      </c>
      <c r="AO61">
        <v>0.224</v>
      </c>
      <c r="AP61">
        <v>0.20300000000000001</v>
      </c>
      <c r="AQ61">
        <v>0.29099999999999998</v>
      </c>
      <c r="AR61">
        <v>0.433</v>
      </c>
      <c r="AS61">
        <v>1.0900000000000001</v>
      </c>
      <c r="AT61">
        <v>0.38300000000000001</v>
      </c>
      <c r="AU61">
        <v>0.58199999999999996</v>
      </c>
      <c r="AV61">
        <v>0.373</v>
      </c>
      <c r="AW61">
        <v>0.41</v>
      </c>
      <c r="AX61">
        <v>0.156</v>
      </c>
      <c r="AY61">
        <v>0.252</v>
      </c>
      <c r="AZ61">
        <v>0</v>
      </c>
      <c r="BA61">
        <f>OECD_KOR2022dom!BI59</f>
        <v>259.00599999999997</v>
      </c>
    </row>
    <row r="62" spans="1:53">
      <c r="A62" t="s">
        <v>456</v>
      </c>
      <c r="B62" t="str">
        <f>INDEX('ISIC Crosswalk'!$D$2:$D$107,MATCH(A62,'ISIC Crosswalk'!$A$2:$A$107,0),1)</f>
        <v>ISIC 10T12</v>
      </c>
      <c r="C62">
        <v>719.07299999999998</v>
      </c>
      <c r="D62">
        <v>1.1220000000000001</v>
      </c>
      <c r="E62">
        <v>98.754000000000005</v>
      </c>
      <c r="F62">
        <v>5.0999999999999997E-2</v>
      </c>
      <c r="G62">
        <v>1.7999999999999999E-2</v>
      </c>
      <c r="H62">
        <v>0.02</v>
      </c>
      <c r="I62">
        <v>1.593</v>
      </c>
      <c r="J62">
        <v>3.0000000000000001E-3</v>
      </c>
      <c r="K62">
        <v>4477.7920000000004</v>
      </c>
      <c r="L62">
        <v>45.654000000000003</v>
      </c>
      <c r="M62">
        <v>2.1970000000000001</v>
      </c>
      <c r="N62">
        <v>18.678999999999998</v>
      </c>
      <c r="O62">
        <v>17.814</v>
      </c>
      <c r="P62">
        <v>360.351</v>
      </c>
      <c r="Q62">
        <v>41.26</v>
      </c>
      <c r="R62">
        <v>35.451000000000001</v>
      </c>
      <c r="S62">
        <v>15.39</v>
      </c>
      <c r="T62">
        <v>15.132999999999999</v>
      </c>
      <c r="U62">
        <v>9.3320000000000007</v>
      </c>
      <c r="V62">
        <v>9.3510000000000009</v>
      </c>
      <c r="W62">
        <v>22.841000000000001</v>
      </c>
      <c r="X62">
        <v>11.257999999999999</v>
      </c>
      <c r="Y62">
        <v>15.561999999999999</v>
      </c>
      <c r="Z62">
        <v>14.077</v>
      </c>
      <c r="AA62">
        <v>3.8260000000000001</v>
      </c>
      <c r="AB62">
        <v>1.1319999999999999</v>
      </c>
      <c r="AC62">
        <v>10.461</v>
      </c>
      <c r="AD62">
        <v>18.324999999999999</v>
      </c>
      <c r="AE62">
        <v>5.8840000000000003</v>
      </c>
      <c r="AF62">
        <v>28.219000000000001</v>
      </c>
      <c r="AG62">
        <v>294.322</v>
      </c>
      <c r="AH62">
        <v>3.0880000000000001</v>
      </c>
      <c r="AI62">
        <v>17.169</v>
      </c>
      <c r="AJ62">
        <v>2.3620000000000001</v>
      </c>
      <c r="AK62">
        <v>12.127000000000001</v>
      </c>
      <c r="AL62">
        <v>2.3639999999999999</v>
      </c>
      <c r="AM62">
        <v>6178.1090000000004</v>
      </c>
      <c r="AN62">
        <v>17.312999999999999</v>
      </c>
      <c r="AO62">
        <v>7.3289999999999997</v>
      </c>
      <c r="AP62">
        <v>8.4960000000000004</v>
      </c>
      <c r="AQ62">
        <v>11.532</v>
      </c>
      <c r="AR62">
        <v>18.45</v>
      </c>
      <c r="AS62">
        <v>31.382000000000001</v>
      </c>
      <c r="AT62">
        <v>15.534000000000001</v>
      </c>
      <c r="AU62">
        <v>55.305999999999997</v>
      </c>
      <c r="AV62">
        <v>109.02200000000001</v>
      </c>
      <c r="AW62">
        <v>159.768</v>
      </c>
      <c r="AX62">
        <v>54.143999999999998</v>
      </c>
      <c r="AY62">
        <v>43.768999999999998</v>
      </c>
      <c r="AZ62">
        <v>0</v>
      </c>
      <c r="BA62">
        <f>OECD_KOR2022dom!BI60</f>
        <v>26192.053</v>
      </c>
    </row>
    <row r="63" spans="1:53">
      <c r="A63" t="s">
        <v>455</v>
      </c>
      <c r="B63" t="str">
        <f>INDEX('ISIC Crosswalk'!$D$2:$D$107,MATCH(A63,'ISIC Crosswalk'!$A$2:$A$107,0),1)</f>
        <v>ISIC 13T15</v>
      </c>
      <c r="C63">
        <v>15.755000000000001</v>
      </c>
      <c r="D63">
        <v>1.9750000000000001</v>
      </c>
      <c r="E63">
        <v>26.373999999999999</v>
      </c>
      <c r="F63">
        <v>0.27700000000000002</v>
      </c>
      <c r="G63">
        <v>8.3000000000000004E-2</v>
      </c>
      <c r="H63">
        <v>0.11</v>
      </c>
      <c r="I63">
        <v>2.4700000000000002</v>
      </c>
      <c r="J63">
        <v>1.0999999999999999E-2</v>
      </c>
      <c r="K63">
        <v>72.992000000000004</v>
      </c>
      <c r="L63">
        <v>5523.0969999999998</v>
      </c>
      <c r="M63">
        <v>12.012</v>
      </c>
      <c r="N63">
        <v>67.88</v>
      </c>
      <c r="O63">
        <v>13.542</v>
      </c>
      <c r="P63">
        <v>145.589</v>
      </c>
      <c r="Q63">
        <v>18.103999999999999</v>
      </c>
      <c r="R63">
        <v>128.04900000000001</v>
      </c>
      <c r="S63">
        <v>39.956000000000003</v>
      </c>
      <c r="T63">
        <v>35.777000000000001</v>
      </c>
      <c r="U63">
        <v>16.547999999999998</v>
      </c>
      <c r="V63">
        <v>55.841000000000001</v>
      </c>
      <c r="W63">
        <v>135.09200000000001</v>
      </c>
      <c r="X63">
        <v>50.796999999999997</v>
      </c>
      <c r="Y63">
        <v>81.024000000000001</v>
      </c>
      <c r="Z63">
        <v>435.68299999999999</v>
      </c>
      <c r="AA63">
        <v>38.845999999999997</v>
      </c>
      <c r="AB63">
        <v>9.4860000000000007</v>
      </c>
      <c r="AC63">
        <v>321.80099999999999</v>
      </c>
      <c r="AD63">
        <v>33.375</v>
      </c>
      <c r="AE63">
        <v>25.257000000000001</v>
      </c>
      <c r="AF63">
        <v>147.01</v>
      </c>
      <c r="AG63">
        <v>397.85</v>
      </c>
      <c r="AH63">
        <v>6.5259999999999998</v>
      </c>
      <c r="AI63">
        <v>6.5579999999999998</v>
      </c>
      <c r="AJ63">
        <v>3.6859999999999999</v>
      </c>
      <c r="AK63">
        <v>24.995999999999999</v>
      </c>
      <c r="AL63">
        <v>20.69</v>
      </c>
      <c r="AM63">
        <v>207.79900000000001</v>
      </c>
      <c r="AN63">
        <v>22.103999999999999</v>
      </c>
      <c r="AO63">
        <v>14.862</v>
      </c>
      <c r="AP63">
        <v>9.9429999999999996</v>
      </c>
      <c r="AQ63">
        <v>19.809000000000001</v>
      </c>
      <c r="AR63">
        <v>22.346</v>
      </c>
      <c r="AS63">
        <v>136.596</v>
      </c>
      <c r="AT63">
        <v>117.387</v>
      </c>
      <c r="AU63">
        <v>227.09</v>
      </c>
      <c r="AV63">
        <v>122.955</v>
      </c>
      <c r="AW63">
        <v>256.86200000000002</v>
      </c>
      <c r="AX63">
        <v>126.571</v>
      </c>
      <c r="AY63">
        <v>321.726</v>
      </c>
      <c r="AZ63">
        <v>0</v>
      </c>
      <c r="BA63">
        <f>OECD_KOR2022dom!BI61</f>
        <v>20636.351999999999</v>
      </c>
    </row>
    <row r="64" spans="1:53">
      <c r="A64" t="s">
        <v>454</v>
      </c>
      <c r="B64" t="str">
        <f>INDEX('ISIC Crosswalk'!$D$2:$D$107,MATCH(A64,'ISIC Crosswalk'!$A$2:$A$107,0),1)</f>
        <v>ISIC 16</v>
      </c>
      <c r="C64">
        <v>12.503</v>
      </c>
      <c r="D64">
        <v>4.2960000000000003</v>
      </c>
      <c r="E64">
        <v>1.917</v>
      </c>
      <c r="F64">
        <v>0.107</v>
      </c>
      <c r="G64">
        <v>1.2999999999999999E-2</v>
      </c>
      <c r="H64">
        <v>2.8000000000000001E-2</v>
      </c>
      <c r="I64">
        <v>1.0169999999999999</v>
      </c>
      <c r="J64">
        <v>2E-3</v>
      </c>
      <c r="K64">
        <v>50.595999999999997</v>
      </c>
      <c r="L64">
        <v>16.716999999999999</v>
      </c>
      <c r="M64">
        <v>387.92399999999998</v>
      </c>
      <c r="N64">
        <v>78.256</v>
      </c>
      <c r="O64">
        <v>2.7890000000000001</v>
      </c>
      <c r="P64">
        <v>67.25</v>
      </c>
      <c r="Q64">
        <v>3.0510000000000002</v>
      </c>
      <c r="R64">
        <v>26.870999999999999</v>
      </c>
      <c r="S64">
        <v>39.884999999999998</v>
      </c>
      <c r="T64">
        <v>9.4979999999999993</v>
      </c>
      <c r="U64">
        <v>9.4009999999999998</v>
      </c>
      <c r="V64">
        <v>38.072000000000003</v>
      </c>
      <c r="W64">
        <v>28.434000000000001</v>
      </c>
      <c r="X64">
        <v>30.140999999999998</v>
      </c>
      <c r="Y64">
        <v>30.78</v>
      </c>
      <c r="Z64">
        <v>81.688999999999993</v>
      </c>
      <c r="AA64">
        <v>55.448999999999998</v>
      </c>
      <c r="AB64">
        <v>3.2309999999999999</v>
      </c>
      <c r="AC64">
        <v>325.755</v>
      </c>
      <c r="AD64">
        <v>21.9</v>
      </c>
      <c r="AE64">
        <v>2.9550000000000001</v>
      </c>
      <c r="AF64">
        <v>1019.725</v>
      </c>
      <c r="AG64">
        <v>74.814999999999998</v>
      </c>
      <c r="AH64">
        <v>2.125</v>
      </c>
      <c r="AI64">
        <v>1.6040000000000001</v>
      </c>
      <c r="AJ64">
        <v>0.66600000000000004</v>
      </c>
      <c r="AK64">
        <v>17.094000000000001</v>
      </c>
      <c r="AL64">
        <v>0.53900000000000003</v>
      </c>
      <c r="AM64">
        <v>40.090000000000003</v>
      </c>
      <c r="AN64">
        <v>5.4909999999999997</v>
      </c>
      <c r="AO64">
        <v>1.962</v>
      </c>
      <c r="AP64">
        <v>1.6040000000000001</v>
      </c>
      <c r="AQ64">
        <v>2.7210000000000001</v>
      </c>
      <c r="AR64">
        <v>129.624</v>
      </c>
      <c r="AS64">
        <v>30.922000000000001</v>
      </c>
      <c r="AT64">
        <v>11.461</v>
      </c>
      <c r="AU64">
        <v>5.8360000000000003</v>
      </c>
      <c r="AV64">
        <v>11.648999999999999</v>
      </c>
      <c r="AW64">
        <v>14.409000000000001</v>
      </c>
      <c r="AX64">
        <v>5.952</v>
      </c>
      <c r="AY64">
        <v>44.12</v>
      </c>
      <c r="AZ64">
        <v>0</v>
      </c>
      <c r="BA64">
        <f>OECD_KOR2022dom!BI62</f>
        <v>2844.2539999999999</v>
      </c>
    </row>
    <row r="65" spans="1:53">
      <c r="A65" t="s">
        <v>453</v>
      </c>
      <c r="B65" t="str">
        <f>INDEX('ISIC Crosswalk'!$D$2:$D$107,MATCH(A65,'ISIC Crosswalk'!$A$2:$A$107,0),1)</f>
        <v>ISIC 17T18</v>
      </c>
      <c r="C65">
        <v>10.217000000000001</v>
      </c>
      <c r="D65">
        <v>0.52800000000000002</v>
      </c>
      <c r="E65">
        <v>3.37</v>
      </c>
      <c r="F65">
        <v>2.1999999999999999E-2</v>
      </c>
      <c r="G65">
        <v>1.6E-2</v>
      </c>
      <c r="H65">
        <v>2.5999999999999999E-2</v>
      </c>
      <c r="I65">
        <v>0.57799999999999996</v>
      </c>
      <c r="J65">
        <v>2E-3</v>
      </c>
      <c r="K65">
        <v>377.32100000000003</v>
      </c>
      <c r="L65">
        <v>52.237000000000002</v>
      </c>
      <c r="M65">
        <v>12.05</v>
      </c>
      <c r="N65">
        <v>1227.652</v>
      </c>
      <c r="O65">
        <v>5.7679999999999998</v>
      </c>
      <c r="P65">
        <v>144.38399999999999</v>
      </c>
      <c r="Q65">
        <v>40.662999999999997</v>
      </c>
      <c r="R65">
        <v>68.353999999999999</v>
      </c>
      <c r="S65">
        <v>55.128</v>
      </c>
      <c r="T65">
        <v>13.596</v>
      </c>
      <c r="U65">
        <v>12.419</v>
      </c>
      <c r="V65">
        <v>38.863</v>
      </c>
      <c r="W65">
        <v>87.367000000000004</v>
      </c>
      <c r="X65">
        <v>53.960999999999999</v>
      </c>
      <c r="Y65">
        <v>54.505000000000003</v>
      </c>
      <c r="Z65">
        <v>54.225000000000001</v>
      </c>
      <c r="AA65">
        <v>5.8319999999999999</v>
      </c>
      <c r="AB65">
        <v>2.93</v>
      </c>
      <c r="AC65">
        <v>44.832000000000001</v>
      </c>
      <c r="AD65">
        <v>13.917</v>
      </c>
      <c r="AE65">
        <v>5.9660000000000002</v>
      </c>
      <c r="AF65">
        <v>48.03</v>
      </c>
      <c r="AG65">
        <v>197.136</v>
      </c>
      <c r="AH65">
        <v>3.2589999999999999</v>
      </c>
      <c r="AI65">
        <v>5.8529999999999998</v>
      </c>
      <c r="AJ65">
        <v>1.0529999999999999</v>
      </c>
      <c r="AK65">
        <v>17.693999999999999</v>
      </c>
      <c r="AL65">
        <v>11.06</v>
      </c>
      <c r="AM65">
        <v>94.876999999999995</v>
      </c>
      <c r="AN65">
        <v>199.10300000000001</v>
      </c>
      <c r="AO65">
        <v>14.859</v>
      </c>
      <c r="AP65">
        <v>40.039000000000001</v>
      </c>
      <c r="AQ65">
        <v>62.07</v>
      </c>
      <c r="AR65">
        <v>16.632000000000001</v>
      </c>
      <c r="AS65">
        <v>150.125</v>
      </c>
      <c r="AT65">
        <v>60.125</v>
      </c>
      <c r="AU65">
        <v>63.829000000000001</v>
      </c>
      <c r="AV65">
        <v>111.19</v>
      </c>
      <c r="AW65">
        <v>73.105999999999995</v>
      </c>
      <c r="AX65">
        <v>18.832000000000001</v>
      </c>
      <c r="AY65">
        <v>44.677</v>
      </c>
      <c r="AZ65">
        <v>0</v>
      </c>
      <c r="BA65">
        <f>OECD_KOR2022dom!BI63</f>
        <v>3925.0729999999999</v>
      </c>
    </row>
    <row r="66" spans="1:53">
      <c r="A66" t="s">
        <v>452</v>
      </c>
      <c r="B66" t="str">
        <f>INDEX('ISIC Crosswalk'!$D$2:$D$107,MATCH(A66,'ISIC Crosswalk'!$A$2:$A$107,0),1)</f>
        <v>ISIC 19</v>
      </c>
      <c r="C66">
        <v>479.43599999999998</v>
      </c>
      <c r="D66">
        <v>46.767000000000003</v>
      </c>
      <c r="E66">
        <v>393.75799999999998</v>
      </c>
      <c r="F66">
        <v>4.0890000000000004</v>
      </c>
      <c r="G66">
        <v>1.306</v>
      </c>
      <c r="H66">
        <v>2.423</v>
      </c>
      <c r="I66">
        <v>77.682000000000002</v>
      </c>
      <c r="J66">
        <v>0.26900000000000002</v>
      </c>
      <c r="K66">
        <v>695.99099999999999</v>
      </c>
      <c r="L66">
        <v>159.071</v>
      </c>
      <c r="M66">
        <v>68.376000000000005</v>
      </c>
      <c r="N66">
        <v>187.73</v>
      </c>
      <c r="O66">
        <v>3724.2379999999998</v>
      </c>
      <c r="P66">
        <v>4511.9269999999997</v>
      </c>
      <c r="Q66">
        <v>67.054000000000002</v>
      </c>
      <c r="R66">
        <v>248.01499999999999</v>
      </c>
      <c r="S66">
        <v>460.101</v>
      </c>
      <c r="T66">
        <v>1279.6199999999999</v>
      </c>
      <c r="U66">
        <v>262.97199999999998</v>
      </c>
      <c r="V66">
        <v>261.18400000000003</v>
      </c>
      <c r="W66">
        <v>181.81800000000001</v>
      </c>
      <c r="X66">
        <v>325.37599999999998</v>
      </c>
      <c r="Y66">
        <v>260.10599999999999</v>
      </c>
      <c r="Z66">
        <v>508.78800000000001</v>
      </c>
      <c r="AA66">
        <v>69.474000000000004</v>
      </c>
      <c r="AB66">
        <v>22.292999999999999</v>
      </c>
      <c r="AC66">
        <v>114.483</v>
      </c>
      <c r="AD66">
        <v>1792.02</v>
      </c>
      <c r="AE66">
        <v>251.37100000000001</v>
      </c>
      <c r="AF66">
        <v>1386.57</v>
      </c>
      <c r="AG66">
        <v>1906.0609999999999</v>
      </c>
      <c r="AH66">
        <v>1174.204</v>
      </c>
      <c r="AI66">
        <v>1932.079</v>
      </c>
      <c r="AJ66">
        <v>958.54899999999998</v>
      </c>
      <c r="AK66">
        <v>759.99900000000002</v>
      </c>
      <c r="AL66">
        <v>197.005</v>
      </c>
      <c r="AM66">
        <v>560.61199999999997</v>
      </c>
      <c r="AN66">
        <v>83.051000000000002</v>
      </c>
      <c r="AO66">
        <v>108.584</v>
      </c>
      <c r="AP66">
        <v>95.947000000000003</v>
      </c>
      <c r="AQ66">
        <v>257.45499999999998</v>
      </c>
      <c r="AR66">
        <v>160.60599999999999</v>
      </c>
      <c r="AS66">
        <v>592.678</v>
      </c>
      <c r="AT66">
        <v>360.68</v>
      </c>
      <c r="AU66">
        <v>673.673</v>
      </c>
      <c r="AV66">
        <v>308.49700000000001</v>
      </c>
      <c r="AW66">
        <v>336.86599999999999</v>
      </c>
      <c r="AX66">
        <v>133.63300000000001</v>
      </c>
      <c r="AY66">
        <v>334.98500000000001</v>
      </c>
      <c r="AZ66">
        <v>0</v>
      </c>
      <c r="BA66">
        <f>OECD_KOR2022dom!BI64</f>
        <v>30634.688999999998</v>
      </c>
    </row>
    <row r="67" spans="1:53">
      <c r="A67" t="s">
        <v>451</v>
      </c>
      <c r="B67" t="str">
        <f>INDEX('ISIC Crosswalk'!$D$2:$D$107,MATCH(A67,'ISIC Crosswalk'!$A$2:$A$107,0),1)</f>
        <v>ISIC 20</v>
      </c>
      <c r="C67">
        <v>1120.1949999999999</v>
      </c>
      <c r="D67">
        <v>6.3019999999999996</v>
      </c>
      <c r="E67">
        <v>23.588000000000001</v>
      </c>
      <c r="F67">
        <v>1.7150000000000001</v>
      </c>
      <c r="G67">
        <v>0.47399999999999998</v>
      </c>
      <c r="H67">
        <v>1.149</v>
      </c>
      <c r="I67">
        <v>36.186999999999998</v>
      </c>
      <c r="J67">
        <v>8.1000000000000003E-2</v>
      </c>
      <c r="K67">
        <v>808.40099999999995</v>
      </c>
      <c r="L67">
        <v>1585.2439999999999</v>
      </c>
      <c r="M67">
        <v>151.46199999999999</v>
      </c>
      <c r="N67">
        <v>804.85599999999999</v>
      </c>
      <c r="O67">
        <v>699.86800000000005</v>
      </c>
      <c r="P67">
        <v>18670.744999999999</v>
      </c>
      <c r="Q67">
        <v>786.34400000000005</v>
      </c>
      <c r="R67">
        <v>6159.0860000000002</v>
      </c>
      <c r="S67">
        <v>604.99199999999996</v>
      </c>
      <c r="T67">
        <v>390.31599999999997</v>
      </c>
      <c r="U67">
        <v>285.63400000000001</v>
      </c>
      <c r="V67">
        <v>547.70399999999995</v>
      </c>
      <c r="W67">
        <v>1229.8009999999999</v>
      </c>
      <c r="X67">
        <v>780</v>
      </c>
      <c r="Y67">
        <v>511.37400000000002</v>
      </c>
      <c r="Z67">
        <v>1094.886</v>
      </c>
      <c r="AA67">
        <v>306.51299999999998</v>
      </c>
      <c r="AB67">
        <v>40.615000000000002</v>
      </c>
      <c r="AC67">
        <v>442.8</v>
      </c>
      <c r="AD67">
        <v>109.227</v>
      </c>
      <c r="AE67">
        <v>154.018</v>
      </c>
      <c r="AF67">
        <v>867.91700000000003</v>
      </c>
      <c r="AG67">
        <v>324.12</v>
      </c>
      <c r="AH67">
        <v>18.693000000000001</v>
      </c>
      <c r="AI67">
        <v>32.783000000000001</v>
      </c>
      <c r="AJ67">
        <v>12.433999999999999</v>
      </c>
      <c r="AK67">
        <v>76.998999999999995</v>
      </c>
      <c r="AL67">
        <v>6.1210000000000004</v>
      </c>
      <c r="AM67">
        <v>296.43900000000002</v>
      </c>
      <c r="AN67">
        <v>117.256</v>
      </c>
      <c r="AO67">
        <v>10.441000000000001</v>
      </c>
      <c r="AP67">
        <v>34.625</v>
      </c>
      <c r="AQ67">
        <v>24.707000000000001</v>
      </c>
      <c r="AR67">
        <v>306.79300000000001</v>
      </c>
      <c r="AS67">
        <v>401.70499999999998</v>
      </c>
      <c r="AT67">
        <v>163.45099999999999</v>
      </c>
      <c r="AU67">
        <v>99.001000000000005</v>
      </c>
      <c r="AV67">
        <v>161.072</v>
      </c>
      <c r="AW67">
        <v>723.58900000000006</v>
      </c>
      <c r="AX67">
        <v>53.768000000000001</v>
      </c>
      <c r="AY67">
        <v>373.53699999999998</v>
      </c>
      <c r="AZ67">
        <v>0</v>
      </c>
      <c r="BA67">
        <f>OECD_KOR2022dom!BI65</f>
        <v>43537.667999999998</v>
      </c>
    </row>
    <row r="68" spans="1:53">
      <c r="A68" t="s">
        <v>450</v>
      </c>
      <c r="B68" t="str">
        <f>INDEX('ISIC Crosswalk'!$D$2:$D$107,MATCH(A68,'ISIC Crosswalk'!$A$2:$A$107,0),1)</f>
        <v>ISIC 21</v>
      </c>
      <c r="C68">
        <v>97.691999999999993</v>
      </c>
      <c r="D68">
        <v>0.22700000000000001</v>
      </c>
      <c r="E68">
        <v>7.0650000000000004</v>
      </c>
      <c r="F68">
        <v>0.114</v>
      </c>
      <c r="G68">
        <v>4.3999999999999997E-2</v>
      </c>
      <c r="H68">
        <v>0.09</v>
      </c>
      <c r="I68">
        <v>1.109</v>
      </c>
      <c r="J68">
        <v>3.0000000000000001E-3</v>
      </c>
      <c r="K68">
        <v>130.923</v>
      </c>
      <c r="L68">
        <v>25.594000000000001</v>
      </c>
      <c r="M68">
        <v>2.0030000000000001</v>
      </c>
      <c r="N68">
        <v>7.9749999999999996</v>
      </c>
      <c r="O68">
        <v>13.093999999999999</v>
      </c>
      <c r="P68">
        <v>330.51900000000001</v>
      </c>
      <c r="Q68">
        <v>1675.7529999999999</v>
      </c>
      <c r="R68">
        <v>49.904000000000003</v>
      </c>
      <c r="S68">
        <v>6.8129999999999997</v>
      </c>
      <c r="T68">
        <v>12.188000000000001</v>
      </c>
      <c r="U68">
        <v>6.7110000000000003</v>
      </c>
      <c r="V68">
        <v>8.2230000000000008</v>
      </c>
      <c r="W68">
        <v>36.533999999999999</v>
      </c>
      <c r="X68">
        <v>11.188000000000001</v>
      </c>
      <c r="Y68">
        <v>31.614000000000001</v>
      </c>
      <c r="Z68">
        <v>18.09</v>
      </c>
      <c r="AA68">
        <v>4.2880000000000003</v>
      </c>
      <c r="AB68">
        <v>1.3480000000000001</v>
      </c>
      <c r="AC68">
        <v>20.53</v>
      </c>
      <c r="AD68">
        <v>14.08</v>
      </c>
      <c r="AE68">
        <v>13.105</v>
      </c>
      <c r="AF68">
        <v>19.8</v>
      </c>
      <c r="AG68">
        <v>55.56</v>
      </c>
      <c r="AH68">
        <v>2.601</v>
      </c>
      <c r="AI68">
        <v>5.415</v>
      </c>
      <c r="AJ68">
        <v>1.7310000000000001</v>
      </c>
      <c r="AK68">
        <v>5.4560000000000004</v>
      </c>
      <c r="AL68">
        <v>1.681</v>
      </c>
      <c r="AM68">
        <v>16.57</v>
      </c>
      <c r="AN68">
        <v>5.2889999999999997</v>
      </c>
      <c r="AO68">
        <v>2.5609999999999999</v>
      </c>
      <c r="AP68">
        <v>2.8050000000000002</v>
      </c>
      <c r="AQ68">
        <v>4.7990000000000004</v>
      </c>
      <c r="AR68">
        <v>6.78</v>
      </c>
      <c r="AS68">
        <v>211.23099999999999</v>
      </c>
      <c r="AT68">
        <v>7.6020000000000003</v>
      </c>
      <c r="AU68">
        <v>149.471</v>
      </c>
      <c r="AV68">
        <v>59.947000000000003</v>
      </c>
      <c r="AW68">
        <v>4009.279</v>
      </c>
      <c r="AX68">
        <v>24.015000000000001</v>
      </c>
      <c r="AY68">
        <v>39.356000000000002</v>
      </c>
      <c r="AZ68">
        <v>0</v>
      </c>
      <c r="BA68">
        <f>OECD_KOR2022dom!BI66</f>
        <v>8907.7790000000005</v>
      </c>
    </row>
    <row r="69" spans="1:53">
      <c r="A69" t="s">
        <v>449</v>
      </c>
      <c r="B69" t="str">
        <f>INDEX('ISIC Crosswalk'!$D$2:$D$107,MATCH(A69,'ISIC Crosswalk'!$A$2:$A$107,0),1)</f>
        <v>ISIC 22</v>
      </c>
      <c r="C69">
        <v>46.613</v>
      </c>
      <c r="D69">
        <v>1.7509999999999999</v>
      </c>
      <c r="E69">
        <v>9.9629999999999992</v>
      </c>
      <c r="F69">
        <v>0.371</v>
      </c>
      <c r="G69">
        <v>0.11600000000000001</v>
      </c>
      <c r="H69">
        <v>0.123</v>
      </c>
      <c r="I69">
        <v>4.0149999999999997</v>
      </c>
      <c r="J69">
        <v>1.0999999999999999E-2</v>
      </c>
      <c r="K69">
        <v>618.21299999999997</v>
      </c>
      <c r="L69">
        <v>181.49700000000001</v>
      </c>
      <c r="M69">
        <v>21.04</v>
      </c>
      <c r="N69">
        <v>131.989</v>
      </c>
      <c r="O69">
        <v>21.852</v>
      </c>
      <c r="P69">
        <v>508.46699999999998</v>
      </c>
      <c r="Q69">
        <v>83.296999999999997</v>
      </c>
      <c r="R69">
        <v>1336.432</v>
      </c>
      <c r="S69">
        <v>71.108000000000004</v>
      </c>
      <c r="T69">
        <v>37.186999999999998</v>
      </c>
      <c r="U69">
        <v>40.183999999999997</v>
      </c>
      <c r="V69">
        <v>192.22399999999999</v>
      </c>
      <c r="W69">
        <v>576.53099999999995</v>
      </c>
      <c r="X69">
        <v>471.59300000000002</v>
      </c>
      <c r="Y69">
        <v>434.22500000000002</v>
      </c>
      <c r="Z69">
        <v>1270.4269999999999</v>
      </c>
      <c r="AA69">
        <v>63.825000000000003</v>
      </c>
      <c r="AB69">
        <v>42.609000000000002</v>
      </c>
      <c r="AC69">
        <v>153.464</v>
      </c>
      <c r="AD69">
        <v>20.166</v>
      </c>
      <c r="AE69">
        <v>33.439</v>
      </c>
      <c r="AF69">
        <v>730.52499999999998</v>
      </c>
      <c r="AG69">
        <v>508.22199999999998</v>
      </c>
      <c r="AH69">
        <v>32.384999999999998</v>
      </c>
      <c r="AI69">
        <v>11.925000000000001</v>
      </c>
      <c r="AJ69">
        <v>2.6309999999999998</v>
      </c>
      <c r="AK69">
        <v>35.561999999999998</v>
      </c>
      <c r="AL69">
        <v>6.335</v>
      </c>
      <c r="AM69">
        <v>88.35</v>
      </c>
      <c r="AN69">
        <v>18.507999999999999</v>
      </c>
      <c r="AO69">
        <v>10.284000000000001</v>
      </c>
      <c r="AP69">
        <v>6.4489999999999998</v>
      </c>
      <c r="AQ69">
        <v>14.173</v>
      </c>
      <c r="AR69">
        <v>103.742</v>
      </c>
      <c r="AS69">
        <v>76.295000000000002</v>
      </c>
      <c r="AT69">
        <v>46.713999999999999</v>
      </c>
      <c r="AU69">
        <v>24.9</v>
      </c>
      <c r="AV69">
        <v>33.762999999999998</v>
      </c>
      <c r="AW69">
        <v>61.540999999999997</v>
      </c>
      <c r="AX69">
        <v>14.179</v>
      </c>
      <c r="AY69">
        <v>62.298999999999999</v>
      </c>
      <c r="AZ69">
        <v>0</v>
      </c>
      <c r="BA69">
        <f>OECD_KOR2022dom!BI67</f>
        <v>8485.9940000000006</v>
      </c>
    </row>
    <row r="70" spans="1:53">
      <c r="A70" t="s">
        <v>448</v>
      </c>
      <c r="B70" t="str">
        <f>INDEX('ISIC Crosswalk'!$D$2:$D$107,MATCH(A70,'ISIC Crosswalk'!$A$2:$A$107,0),1)</f>
        <v>ISIC 231</v>
      </c>
      <c r="C70">
        <v>17.308</v>
      </c>
      <c r="D70">
        <v>0.60899999999999999</v>
      </c>
      <c r="E70">
        <v>1.222</v>
      </c>
      <c r="F70">
        <v>9.7000000000000003E-2</v>
      </c>
      <c r="G70">
        <v>6.4000000000000001E-2</v>
      </c>
      <c r="H70">
        <v>0.13500000000000001</v>
      </c>
      <c r="I70">
        <v>4.6929999999999996</v>
      </c>
      <c r="J70">
        <v>6.0000000000000001E-3</v>
      </c>
      <c r="K70">
        <v>137.19300000000001</v>
      </c>
      <c r="L70">
        <v>15.932</v>
      </c>
      <c r="M70">
        <v>11.317</v>
      </c>
      <c r="N70">
        <v>5.2450000000000001</v>
      </c>
      <c r="O70">
        <v>12.092000000000001</v>
      </c>
      <c r="P70">
        <v>121.66</v>
      </c>
      <c r="Q70">
        <v>21.613</v>
      </c>
      <c r="R70">
        <v>81.494</v>
      </c>
      <c r="S70">
        <v>832.79300000000001</v>
      </c>
      <c r="T70">
        <v>154.31200000000001</v>
      </c>
      <c r="U70">
        <v>39.058</v>
      </c>
      <c r="V70">
        <v>79.263000000000005</v>
      </c>
      <c r="W70">
        <v>209.36500000000001</v>
      </c>
      <c r="X70">
        <v>116.78400000000001</v>
      </c>
      <c r="Y70">
        <v>72.745000000000005</v>
      </c>
      <c r="Z70">
        <v>211.26900000000001</v>
      </c>
      <c r="AA70">
        <v>39.384999999999998</v>
      </c>
      <c r="AB70">
        <v>5.2919999999999998</v>
      </c>
      <c r="AC70">
        <v>32.771999999999998</v>
      </c>
      <c r="AD70">
        <v>23.446000000000002</v>
      </c>
      <c r="AE70">
        <v>10.401</v>
      </c>
      <c r="AF70">
        <v>3113.1460000000002</v>
      </c>
      <c r="AG70">
        <v>57.411000000000001</v>
      </c>
      <c r="AH70">
        <v>2.95</v>
      </c>
      <c r="AI70">
        <v>8.4190000000000005</v>
      </c>
      <c r="AJ70">
        <v>1.151</v>
      </c>
      <c r="AK70">
        <v>9.77</v>
      </c>
      <c r="AL70">
        <v>1.099</v>
      </c>
      <c r="AM70">
        <v>64.248999999999995</v>
      </c>
      <c r="AN70">
        <v>1.43</v>
      </c>
      <c r="AO70">
        <v>2.3650000000000002</v>
      </c>
      <c r="AP70">
        <v>1.268</v>
      </c>
      <c r="AQ70">
        <v>4.8099999999999996</v>
      </c>
      <c r="AR70">
        <v>261.54599999999999</v>
      </c>
      <c r="AS70">
        <v>38.499000000000002</v>
      </c>
      <c r="AT70">
        <v>9.8290000000000006</v>
      </c>
      <c r="AU70">
        <v>13.039</v>
      </c>
      <c r="AV70">
        <v>27.588999999999999</v>
      </c>
      <c r="AW70">
        <v>19.41</v>
      </c>
      <c r="AX70">
        <v>5.8250000000000002</v>
      </c>
      <c r="AY70">
        <v>22.876999999999999</v>
      </c>
      <c r="AZ70">
        <v>0</v>
      </c>
      <c r="BA70">
        <f>OECD_KOR2022dom!BI68</f>
        <v>6011.0940000000001</v>
      </c>
    </row>
    <row r="71" spans="1:53">
      <c r="A71" t="s">
        <v>447</v>
      </c>
      <c r="B71" t="str">
        <f>INDEX('ISIC Crosswalk'!$D$2:$D$107,MATCH(A71,'ISIC Crosswalk'!$A$2:$A$107,0),1)</f>
        <v>ISIC 241</v>
      </c>
      <c r="C71">
        <v>9.2889999999999997</v>
      </c>
      <c r="D71">
        <v>0.77</v>
      </c>
      <c r="E71">
        <v>3.681</v>
      </c>
      <c r="F71">
        <v>0.40500000000000003</v>
      </c>
      <c r="G71">
        <v>0.33900000000000002</v>
      </c>
      <c r="H71">
        <v>0.186</v>
      </c>
      <c r="I71">
        <v>2.129</v>
      </c>
      <c r="J71">
        <v>1.4999999999999999E-2</v>
      </c>
      <c r="K71">
        <v>22.846</v>
      </c>
      <c r="L71">
        <v>10.874000000000001</v>
      </c>
      <c r="M71">
        <v>6.8520000000000003</v>
      </c>
      <c r="N71">
        <v>8.6129999999999995</v>
      </c>
      <c r="O71">
        <v>33.244</v>
      </c>
      <c r="P71">
        <v>69.866</v>
      </c>
      <c r="Q71">
        <v>2.774</v>
      </c>
      <c r="R71">
        <v>86.028000000000006</v>
      </c>
      <c r="S71">
        <v>80.066999999999993</v>
      </c>
      <c r="T71">
        <v>5235.13</v>
      </c>
      <c r="U71">
        <v>235.714</v>
      </c>
      <c r="V71">
        <v>3309.98</v>
      </c>
      <c r="W71">
        <v>378.06</v>
      </c>
      <c r="X71">
        <v>593.00900000000001</v>
      </c>
      <c r="Y71">
        <v>2119.4630000000002</v>
      </c>
      <c r="Z71">
        <v>1653.6189999999999</v>
      </c>
      <c r="AA71">
        <v>455.71800000000002</v>
      </c>
      <c r="AB71">
        <v>134.71100000000001</v>
      </c>
      <c r="AC71">
        <v>101.059</v>
      </c>
      <c r="AD71">
        <v>49.411000000000001</v>
      </c>
      <c r="AE71">
        <v>68.438000000000002</v>
      </c>
      <c r="AF71">
        <v>1280.6859999999999</v>
      </c>
      <c r="AG71">
        <v>53.3</v>
      </c>
      <c r="AH71">
        <v>10.287000000000001</v>
      </c>
      <c r="AI71">
        <v>19.254999999999999</v>
      </c>
      <c r="AJ71">
        <v>7.8360000000000003</v>
      </c>
      <c r="AK71">
        <v>18.698</v>
      </c>
      <c r="AL71">
        <v>1.7350000000000001</v>
      </c>
      <c r="AM71">
        <v>8.2449999999999992</v>
      </c>
      <c r="AN71">
        <v>1.3009999999999999</v>
      </c>
      <c r="AO71">
        <v>2.2000000000000002</v>
      </c>
      <c r="AP71">
        <v>1.5509999999999999</v>
      </c>
      <c r="AQ71">
        <v>3.044</v>
      </c>
      <c r="AR71">
        <v>32.457000000000001</v>
      </c>
      <c r="AS71">
        <v>43.921999999999997</v>
      </c>
      <c r="AT71">
        <v>7.7560000000000002</v>
      </c>
      <c r="AU71">
        <v>10.603</v>
      </c>
      <c r="AV71">
        <v>7.8659999999999997</v>
      </c>
      <c r="AW71">
        <v>5.452</v>
      </c>
      <c r="AX71">
        <v>4.3630000000000004</v>
      </c>
      <c r="AY71">
        <v>20.024000000000001</v>
      </c>
      <c r="AZ71">
        <v>0</v>
      </c>
      <c r="BA71">
        <f>OECD_KOR2022dom!BI69</f>
        <v>16242.682000000001</v>
      </c>
    </row>
    <row r="72" spans="1:53">
      <c r="A72" t="s">
        <v>446</v>
      </c>
      <c r="B72" t="str">
        <f>INDEX('ISIC Crosswalk'!$D$2:$D$107,MATCH(A72,'ISIC Crosswalk'!$A$2:$A$107,0),1)</f>
        <v>ISIC 242</v>
      </c>
      <c r="C72">
        <v>4.6210000000000004</v>
      </c>
      <c r="D72">
        <v>0.44500000000000001</v>
      </c>
      <c r="E72">
        <v>0.27200000000000002</v>
      </c>
      <c r="F72">
        <v>6.2E-2</v>
      </c>
      <c r="G72">
        <v>9.4E-2</v>
      </c>
      <c r="H72">
        <v>9.0999999999999998E-2</v>
      </c>
      <c r="I72">
        <v>1.0389999999999999</v>
      </c>
      <c r="J72">
        <v>3.0000000000000001E-3</v>
      </c>
      <c r="K72">
        <v>83.855999999999995</v>
      </c>
      <c r="L72">
        <v>22.152000000000001</v>
      </c>
      <c r="M72">
        <v>8.4190000000000005</v>
      </c>
      <c r="N72">
        <v>20.936</v>
      </c>
      <c r="O72">
        <v>9.4939999999999998</v>
      </c>
      <c r="P72">
        <v>383.1</v>
      </c>
      <c r="Q72">
        <v>12.647</v>
      </c>
      <c r="R72">
        <v>107.675</v>
      </c>
      <c r="S72">
        <v>54.712000000000003</v>
      </c>
      <c r="T72">
        <v>1384.2239999999999</v>
      </c>
      <c r="U72">
        <v>6700.3860000000004</v>
      </c>
      <c r="V72">
        <v>2610.143</v>
      </c>
      <c r="W72">
        <v>1666.6990000000001</v>
      </c>
      <c r="X72">
        <v>2564.1179999999999</v>
      </c>
      <c r="Y72">
        <v>1463.9559999999999</v>
      </c>
      <c r="Z72">
        <v>1512.982</v>
      </c>
      <c r="AA72">
        <v>208.09200000000001</v>
      </c>
      <c r="AB72">
        <v>112.008</v>
      </c>
      <c r="AC72">
        <v>280.59199999999998</v>
      </c>
      <c r="AD72">
        <v>28.687000000000001</v>
      </c>
      <c r="AE72">
        <v>106.238</v>
      </c>
      <c r="AF72">
        <v>531.13599999999997</v>
      </c>
      <c r="AG72">
        <v>63.741999999999997</v>
      </c>
      <c r="AH72">
        <v>1.8859999999999999</v>
      </c>
      <c r="AI72">
        <v>4.3390000000000004</v>
      </c>
      <c r="AJ72">
        <v>0.20699999999999999</v>
      </c>
      <c r="AK72">
        <v>6.7359999999999998</v>
      </c>
      <c r="AL72">
        <v>0.31</v>
      </c>
      <c r="AM72">
        <v>16.995999999999999</v>
      </c>
      <c r="AN72">
        <v>2.4180000000000001</v>
      </c>
      <c r="AO72">
        <v>1.232</v>
      </c>
      <c r="AP72">
        <v>0.89</v>
      </c>
      <c r="AQ72">
        <v>2.11</v>
      </c>
      <c r="AR72">
        <v>23.253</v>
      </c>
      <c r="AS72">
        <v>25.11</v>
      </c>
      <c r="AT72">
        <v>2.972</v>
      </c>
      <c r="AU72">
        <v>6.1950000000000003</v>
      </c>
      <c r="AV72">
        <v>2.0990000000000002</v>
      </c>
      <c r="AW72">
        <v>6.8550000000000004</v>
      </c>
      <c r="AX72">
        <v>3.6520000000000001</v>
      </c>
      <c r="AY72">
        <v>32.656999999999996</v>
      </c>
      <c r="AZ72">
        <v>0</v>
      </c>
      <c r="BA72">
        <f>OECD_KOR2022dom!BI70</f>
        <v>20129.561000000002</v>
      </c>
    </row>
    <row r="73" spans="1:53">
      <c r="A73" t="s">
        <v>445</v>
      </c>
      <c r="B73" t="str">
        <f>INDEX('ISIC Crosswalk'!$D$2:$D$107,MATCH(A73,'ISIC Crosswalk'!$A$2:$A$107,0),1)</f>
        <v>ISIC 25</v>
      </c>
      <c r="C73">
        <v>24.228000000000002</v>
      </c>
      <c r="D73">
        <v>2.0760000000000001</v>
      </c>
      <c r="E73">
        <v>4.657</v>
      </c>
      <c r="F73">
        <v>0.66300000000000003</v>
      </c>
      <c r="G73">
        <v>0.254</v>
      </c>
      <c r="H73">
        <v>0.215</v>
      </c>
      <c r="I73">
        <v>4.66</v>
      </c>
      <c r="J73">
        <v>3.3000000000000002E-2</v>
      </c>
      <c r="K73">
        <v>191.053</v>
      </c>
      <c r="L73">
        <v>35.131</v>
      </c>
      <c r="M73">
        <v>23.776</v>
      </c>
      <c r="N73">
        <v>20.437000000000001</v>
      </c>
      <c r="O73">
        <v>27.369</v>
      </c>
      <c r="P73">
        <v>165.03800000000001</v>
      </c>
      <c r="Q73">
        <v>12.993</v>
      </c>
      <c r="R73">
        <v>94.588999999999999</v>
      </c>
      <c r="S73">
        <v>58.661999999999999</v>
      </c>
      <c r="T73">
        <v>306.91800000000001</v>
      </c>
      <c r="U73">
        <v>101.715</v>
      </c>
      <c r="V73">
        <v>1377.3340000000001</v>
      </c>
      <c r="W73">
        <v>438.86700000000002</v>
      </c>
      <c r="X73">
        <v>407.488</v>
      </c>
      <c r="Y73">
        <v>1342.8810000000001</v>
      </c>
      <c r="Z73">
        <v>1063.8779999999999</v>
      </c>
      <c r="AA73">
        <v>338.697</v>
      </c>
      <c r="AB73">
        <v>70.917000000000002</v>
      </c>
      <c r="AC73">
        <v>120.878</v>
      </c>
      <c r="AD73">
        <v>59.734000000000002</v>
      </c>
      <c r="AE73">
        <v>19.837</v>
      </c>
      <c r="AF73">
        <v>1264.7470000000001</v>
      </c>
      <c r="AG73">
        <v>122.471</v>
      </c>
      <c r="AH73">
        <v>6.2640000000000002</v>
      </c>
      <c r="AI73">
        <v>11.941000000000001</v>
      </c>
      <c r="AJ73">
        <v>4.4690000000000003</v>
      </c>
      <c r="AK73">
        <v>21.888999999999999</v>
      </c>
      <c r="AL73">
        <v>1.621</v>
      </c>
      <c r="AM73">
        <v>55.777999999999999</v>
      </c>
      <c r="AN73">
        <v>5.2720000000000002</v>
      </c>
      <c r="AO73">
        <v>13.347</v>
      </c>
      <c r="AP73">
        <v>7.11</v>
      </c>
      <c r="AQ73">
        <v>5.2450000000000001</v>
      </c>
      <c r="AR73">
        <v>97.697000000000003</v>
      </c>
      <c r="AS73">
        <v>72.129000000000005</v>
      </c>
      <c r="AT73">
        <v>32.155000000000001</v>
      </c>
      <c r="AU73">
        <v>67.834000000000003</v>
      </c>
      <c r="AV73">
        <v>21.783999999999999</v>
      </c>
      <c r="AW73">
        <v>22.550999999999998</v>
      </c>
      <c r="AX73">
        <v>9.8949999999999996</v>
      </c>
      <c r="AY73">
        <v>50.210999999999999</v>
      </c>
      <c r="AZ73">
        <v>0</v>
      </c>
      <c r="BA73">
        <f>OECD_KOR2022dom!BI71</f>
        <v>9719.3819999999996</v>
      </c>
    </row>
    <row r="74" spans="1:53">
      <c r="A74" t="s">
        <v>444</v>
      </c>
      <c r="B74" t="str">
        <f>INDEX('ISIC Crosswalk'!$D$2:$D$107,MATCH(A74,'ISIC Crosswalk'!$A$2:$A$107,0),1)</f>
        <v>ISIC 26</v>
      </c>
      <c r="C74">
        <v>17.483000000000001</v>
      </c>
      <c r="D74">
        <v>1.8169999999999999</v>
      </c>
      <c r="E74">
        <v>7.5880000000000001</v>
      </c>
      <c r="F74">
        <v>0.32200000000000001</v>
      </c>
      <c r="G74">
        <v>0.24</v>
      </c>
      <c r="H74">
        <v>0.156</v>
      </c>
      <c r="I74">
        <v>3.6190000000000002</v>
      </c>
      <c r="J74">
        <v>2.1999999999999999E-2</v>
      </c>
      <c r="K74">
        <v>69.861999999999995</v>
      </c>
      <c r="L74">
        <v>32.198</v>
      </c>
      <c r="M74">
        <v>5.468</v>
      </c>
      <c r="N74">
        <v>41.970999999999997</v>
      </c>
      <c r="O74">
        <v>44.298000000000002</v>
      </c>
      <c r="P74">
        <v>239.57499999999999</v>
      </c>
      <c r="Q74">
        <v>26.15</v>
      </c>
      <c r="R74">
        <v>76.796999999999997</v>
      </c>
      <c r="S74">
        <v>39.878</v>
      </c>
      <c r="T74">
        <v>62.076000000000001</v>
      </c>
      <c r="U74">
        <v>48.856999999999999</v>
      </c>
      <c r="V74">
        <v>277.80200000000002</v>
      </c>
      <c r="W74">
        <v>45007.983</v>
      </c>
      <c r="X74">
        <v>3493.8090000000002</v>
      </c>
      <c r="Y74">
        <v>2296.623</v>
      </c>
      <c r="Z74">
        <v>1738.075</v>
      </c>
      <c r="AA74">
        <v>671.39499999999998</v>
      </c>
      <c r="AB74">
        <v>110.73</v>
      </c>
      <c r="AC74">
        <v>205.80199999999999</v>
      </c>
      <c r="AD74">
        <v>248.83699999999999</v>
      </c>
      <c r="AE74">
        <v>34.948999999999998</v>
      </c>
      <c r="AF74">
        <v>770.56399999999996</v>
      </c>
      <c r="AG74">
        <v>853.495</v>
      </c>
      <c r="AH74">
        <v>14.701000000000001</v>
      </c>
      <c r="AI74">
        <v>43.29</v>
      </c>
      <c r="AJ74">
        <v>20.57</v>
      </c>
      <c r="AK74">
        <v>107.244</v>
      </c>
      <c r="AL74">
        <v>34.26</v>
      </c>
      <c r="AM74">
        <v>123.255</v>
      </c>
      <c r="AN74">
        <v>227.102</v>
      </c>
      <c r="AO74">
        <v>1463.2929999999999</v>
      </c>
      <c r="AP74">
        <v>769.87599999999998</v>
      </c>
      <c r="AQ74">
        <v>160.22999999999999</v>
      </c>
      <c r="AR74">
        <v>70.010000000000005</v>
      </c>
      <c r="AS74">
        <v>851.31200000000001</v>
      </c>
      <c r="AT74">
        <v>207.08699999999999</v>
      </c>
      <c r="AU74">
        <v>275.09300000000002</v>
      </c>
      <c r="AV74">
        <v>322.49599999999998</v>
      </c>
      <c r="AW74">
        <v>612.72900000000004</v>
      </c>
      <c r="AX74">
        <v>97.759</v>
      </c>
      <c r="AY74">
        <v>964.30899999999997</v>
      </c>
      <c r="AZ74">
        <v>0</v>
      </c>
      <c r="BA74">
        <f>OECD_KOR2022dom!BI72</f>
        <v>94404.653000000006</v>
      </c>
    </row>
    <row r="75" spans="1:53">
      <c r="A75" t="s">
        <v>443</v>
      </c>
      <c r="B75" t="str">
        <f>INDEX('ISIC Crosswalk'!$D$2:$D$107,MATCH(A75,'ISIC Crosswalk'!$A$2:$A$107,0),1)</f>
        <v>ISIC 27</v>
      </c>
      <c r="C75">
        <v>21</v>
      </c>
      <c r="D75">
        <v>1.0960000000000001</v>
      </c>
      <c r="E75">
        <v>8.8849999999999998</v>
      </c>
      <c r="F75">
        <v>0.442</v>
      </c>
      <c r="G75">
        <v>0.123</v>
      </c>
      <c r="H75">
        <v>0.251</v>
      </c>
      <c r="I75">
        <v>7.6680000000000001</v>
      </c>
      <c r="J75">
        <v>3.4000000000000002E-2</v>
      </c>
      <c r="K75">
        <v>64.295000000000002</v>
      </c>
      <c r="L75">
        <v>19.13</v>
      </c>
      <c r="M75">
        <v>4.931</v>
      </c>
      <c r="N75">
        <v>27.638000000000002</v>
      </c>
      <c r="O75">
        <v>17.454999999999998</v>
      </c>
      <c r="P75">
        <v>104.122</v>
      </c>
      <c r="Q75">
        <v>12.053000000000001</v>
      </c>
      <c r="R75">
        <v>61.405000000000001</v>
      </c>
      <c r="S75">
        <v>39.69</v>
      </c>
      <c r="T75">
        <v>92.662999999999997</v>
      </c>
      <c r="U75">
        <v>73.784999999999997</v>
      </c>
      <c r="V75">
        <v>266.79300000000001</v>
      </c>
      <c r="W75">
        <v>3187.9290000000001</v>
      </c>
      <c r="X75">
        <v>6645.2719999999999</v>
      </c>
      <c r="Y75">
        <v>1797.481</v>
      </c>
      <c r="Z75">
        <v>2571.848</v>
      </c>
      <c r="AA75">
        <v>254.38200000000001</v>
      </c>
      <c r="AB75">
        <v>107.336</v>
      </c>
      <c r="AC75">
        <v>119.764</v>
      </c>
      <c r="AD75">
        <v>659.17499999999995</v>
      </c>
      <c r="AE75">
        <v>36.212000000000003</v>
      </c>
      <c r="AF75">
        <v>2071.5569999999998</v>
      </c>
      <c r="AG75">
        <v>480.13200000000001</v>
      </c>
      <c r="AH75">
        <v>21.728999999999999</v>
      </c>
      <c r="AI75">
        <v>40.561999999999998</v>
      </c>
      <c r="AJ75">
        <v>9.0679999999999996</v>
      </c>
      <c r="AK75">
        <v>47.8</v>
      </c>
      <c r="AL75">
        <v>6.2839999999999998</v>
      </c>
      <c r="AM75">
        <v>82.203999999999994</v>
      </c>
      <c r="AN75">
        <v>36.305</v>
      </c>
      <c r="AO75">
        <v>254.965</v>
      </c>
      <c r="AP75">
        <v>73.494</v>
      </c>
      <c r="AQ75">
        <v>18.82</v>
      </c>
      <c r="AR75">
        <v>81.507000000000005</v>
      </c>
      <c r="AS75">
        <v>281.86900000000003</v>
      </c>
      <c r="AT75">
        <v>93.265000000000001</v>
      </c>
      <c r="AU75">
        <v>128.41300000000001</v>
      </c>
      <c r="AV75">
        <v>68.319999999999993</v>
      </c>
      <c r="AW75">
        <v>98.313000000000002</v>
      </c>
      <c r="AX75">
        <v>62.383000000000003</v>
      </c>
      <c r="AY75">
        <v>294.03399999999999</v>
      </c>
      <c r="AZ75">
        <v>0</v>
      </c>
      <c r="BA75">
        <f>OECD_KOR2022dom!BI73</f>
        <v>26422.613000000001</v>
      </c>
    </row>
    <row r="76" spans="1:53">
      <c r="A76" t="s">
        <v>442</v>
      </c>
      <c r="B76" t="str">
        <f>INDEX('ISIC Crosswalk'!$D$2:$D$107,MATCH(A76,'ISIC Crosswalk'!$A$2:$A$107,0),1)</f>
        <v>ISIC 28</v>
      </c>
      <c r="C76">
        <v>60.174999999999997</v>
      </c>
      <c r="D76">
        <v>11.257999999999999</v>
      </c>
      <c r="E76">
        <v>25.548999999999999</v>
      </c>
      <c r="F76">
        <v>3.5110000000000001</v>
      </c>
      <c r="G76">
        <v>1.31</v>
      </c>
      <c r="H76">
        <v>1.179</v>
      </c>
      <c r="I76">
        <v>27.933</v>
      </c>
      <c r="J76">
        <v>0.16200000000000001</v>
      </c>
      <c r="K76">
        <v>229.52199999999999</v>
      </c>
      <c r="L76">
        <v>74.063000000000002</v>
      </c>
      <c r="M76">
        <v>23.036999999999999</v>
      </c>
      <c r="N76">
        <v>83.287000000000006</v>
      </c>
      <c r="O76">
        <v>108.771</v>
      </c>
      <c r="P76">
        <v>273.52</v>
      </c>
      <c r="Q76">
        <v>25.843</v>
      </c>
      <c r="R76">
        <v>140.13399999999999</v>
      </c>
      <c r="S76">
        <v>213.52799999999999</v>
      </c>
      <c r="T76">
        <v>300.92200000000003</v>
      </c>
      <c r="U76">
        <v>102.771</v>
      </c>
      <c r="V76">
        <v>470.77300000000002</v>
      </c>
      <c r="W76">
        <v>751.87400000000002</v>
      </c>
      <c r="X76">
        <v>891.20399999999995</v>
      </c>
      <c r="Y76">
        <v>6882.4279999999999</v>
      </c>
      <c r="Z76">
        <v>2038.059</v>
      </c>
      <c r="AA76">
        <v>710.21</v>
      </c>
      <c r="AB76">
        <v>119.041</v>
      </c>
      <c r="AC76">
        <v>171.15799999999999</v>
      </c>
      <c r="AD76">
        <v>343.65499999999997</v>
      </c>
      <c r="AE76">
        <v>74.581999999999994</v>
      </c>
      <c r="AF76">
        <v>1198.4280000000001</v>
      </c>
      <c r="AG76">
        <v>453.81900000000002</v>
      </c>
      <c r="AH76">
        <v>25.11</v>
      </c>
      <c r="AI76">
        <v>29.744</v>
      </c>
      <c r="AJ76">
        <v>16.719000000000001</v>
      </c>
      <c r="AK76">
        <v>73.150000000000006</v>
      </c>
      <c r="AL76">
        <v>10.173999999999999</v>
      </c>
      <c r="AM76">
        <v>53.02</v>
      </c>
      <c r="AN76">
        <v>23.667999999999999</v>
      </c>
      <c r="AO76">
        <v>48.902000000000001</v>
      </c>
      <c r="AP76">
        <v>35.25</v>
      </c>
      <c r="AQ76">
        <v>51.512</v>
      </c>
      <c r="AR76">
        <v>37.76</v>
      </c>
      <c r="AS76">
        <v>228.24100000000001</v>
      </c>
      <c r="AT76">
        <v>132.179</v>
      </c>
      <c r="AU76">
        <v>110.492</v>
      </c>
      <c r="AV76">
        <v>62.698999999999998</v>
      </c>
      <c r="AW76">
        <v>92.468000000000004</v>
      </c>
      <c r="AX76">
        <v>37.590000000000003</v>
      </c>
      <c r="AY76">
        <v>111.518</v>
      </c>
      <c r="AZ76">
        <v>0</v>
      </c>
      <c r="BA76">
        <f>OECD_KOR2022dom!BI74</f>
        <v>37464.811999999998</v>
      </c>
    </row>
    <row r="77" spans="1:53">
      <c r="A77" t="s">
        <v>441</v>
      </c>
      <c r="B77" t="str">
        <f>INDEX('ISIC Crosswalk'!$D$2:$D$107,MATCH(A77,'ISIC Crosswalk'!$A$2:$A$107,0),1)</f>
        <v>ISIC 29</v>
      </c>
      <c r="C77">
        <v>4.9000000000000004</v>
      </c>
      <c r="D77">
        <v>2.4889999999999999</v>
      </c>
      <c r="E77">
        <v>1.9970000000000001</v>
      </c>
      <c r="F77">
        <v>6.3E-2</v>
      </c>
      <c r="G77">
        <v>4.1000000000000002E-2</v>
      </c>
      <c r="H77">
        <v>6.8000000000000005E-2</v>
      </c>
      <c r="I77">
        <v>1.5940000000000001</v>
      </c>
      <c r="J77">
        <v>6.0000000000000001E-3</v>
      </c>
      <c r="K77">
        <v>16.466999999999999</v>
      </c>
      <c r="L77">
        <v>4.5860000000000003</v>
      </c>
      <c r="M77">
        <v>1.5620000000000001</v>
      </c>
      <c r="N77">
        <v>3.3780000000000001</v>
      </c>
      <c r="O77">
        <v>6.7709999999999999</v>
      </c>
      <c r="P77">
        <v>22.893999999999998</v>
      </c>
      <c r="Q77">
        <v>2.5939999999999999</v>
      </c>
      <c r="R77">
        <v>14.215</v>
      </c>
      <c r="S77">
        <v>14.44</v>
      </c>
      <c r="T77">
        <v>18.443999999999999</v>
      </c>
      <c r="U77">
        <v>19.757999999999999</v>
      </c>
      <c r="V77">
        <v>32.497</v>
      </c>
      <c r="W77">
        <v>102.032</v>
      </c>
      <c r="X77">
        <v>90.153000000000006</v>
      </c>
      <c r="Y77">
        <v>183.011</v>
      </c>
      <c r="Z77">
        <v>8510.5239999999994</v>
      </c>
      <c r="AA77">
        <v>22.872</v>
      </c>
      <c r="AB77">
        <v>24.204000000000001</v>
      </c>
      <c r="AC77">
        <v>10.916</v>
      </c>
      <c r="AD77">
        <v>20.762</v>
      </c>
      <c r="AE77">
        <v>9.7680000000000007</v>
      </c>
      <c r="AF77">
        <v>71.849999999999994</v>
      </c>
      <c r="AG77">
        <v>1011.545</v>
      </c>
      <c r="AH77">
        <v>46.36</v>
      </c>
      <c r="AI77">
        <v>18.34</v>
      </c>
      <c r="AJ77">
        <v>6.7140000000000004</v>
      </c>
      <c r="AK77">
        <v>30.59</v>
      </c>
      <c r="AL77">
        <v>3.7029999999999998</v>
      </c>
      <c r="AM77">
        <v>9.1210000000000004</v>
      </c>
      <c r="AN77">
        <v>3.5720000000000001</v>
      </c>
      <c r="AO77">
        <v>7.391</v>
      </c>
      <c r="AP77">
        <v>6.9029999999999996</v>
      </c>
      <c r="AQ77">
        <v>6.4779999999999998</v>
      </c>
      <c r="AR77">
        <v>7.5010000000000003</v>
      </c>
      <c r="AS77">
        <v>47.35</v>
      </c>
      <c r="AT77">
        <v>31.390999999999998</v>
      </c>
      <c r="AU77">
        <v>17.701000000000001</v>
      </c>
      <c r="AV77">
        <v>11.79</v>
      </c>
      <c r="AW77">
        <v>12.202999999999999</v>
      </c>
      <c r="AX77">
        <v>6.45</v>
      </c>
      <c r="AY77">
        <v>14.397</v>
      </c>
      <c r="AZ77">
        <v>0</v>
      </c>
      <c r="BA77">
        <f>OECD_KOR2022dom!BI75</f>
        <v>21419.79</v>
      </c>
    </row>
    <row r="78" spans="1:53">
      <c r="A78" t="s">
        <v>440</v>
      </c>
      <c r="B78" t="str">
        <f>INDEX('ISIC Crosswalk'!$D$2:$D$107,MATCH(A78,'ISIC Crosswalk'!$A$2:$A$107,0),1)</f>
        <v>ISIC 30</v>
      </c>
      <c r="C78">
        <v>0.377</v>
      </c>
      <c r="D78">
        <v>2.9000000000000001E-2</v>
      </c>
      <c r="E78">
        <v>2.9319999999999999</v>
      </c>
      <c r="F78">
        <v>4.0000000000000001E-3</v>
      </c>
      <c r="G78">
        <v>5.0000000000000001E-3</v>
      </c>
      <c r="H78">
        <v>2E-3</v>
      </c>
      <c r="I78">
        <v>8.8999999999999996E-2</v>
      </c>
      <c r="J78">
        <v>0</v>
      </c>
      <c r="K78">
        <v>0.89</v>
      </c>
      <c r="L78">
        <v>0.23899999999999999</v>
      </c>
      <c r="M78">
        <v>6.3E-2</v>
      </c>
      <c r="N78">
        <v>0.24399999999999999</v>
      </c>
      <c r="O78">
        <v>0.36699999999999999</v>
      </c>
      <c r="P78">
        <v>0.93200000000000005</v>
      </c>
      <c r="Q78">
        <v>9.4E-2</v>
      </c>
      <c r="R78">
        <v>0.33500000000000002</v>
      </c>
      <c r="S78">
        <v>0.36899999999999999</v>
      </c>
      <c r="T78">
        <v>0.97299999999999998</v>
      </c>
      <c r="U78">
        <v>0.311</v>
      </c>
      <c r="V78">
        <v>1.028</v>
      </c>
      <c r="W78">
        <v>2.13</v>
      </c>
      <c r="X78">
        <v>1.0840000000000001</v>
      </c>
      <c r="Y78">
        <v>5.1390000000000002</v>
      </c>
      <c r="Z78">
        <v>7.024</v>
      </c>
      <c r="AA78">
        <v>1063.904</v>
      </c>
      <c r="AB78">
        <v>20.838999999999999</v>
      </c>
      <c r="AC78">
        <v>1.6990000000000001</v>
      </c>
      <c r="AD78">
        <v>1.3220000000000001</v>
      </c>
      <c r="AE78">
        <v>0.21199999999999999</v>
      </c>
      <c r="AF78">
        <v>1.179</v>
      </c>
      <c r="AG78">
        <v>2.1360000000000001</v>
      </c>
      <c r="AH78">
        <v>0.86899999999999999</v>
      </c>
      <c r="AI78">
        <v>91.051000000000002</v>
      </c>
      <c r="AJ78">
        <v>5.3179999999999996</v>
      </c>
      <c r="AK78">
        <v>4.7779999999999996</v>
      </c>
      <c r="AL78">
        <v>8.7999999999999995E-2</v>
      </c>
      <c r="AM78">
        <v>0.39800000000000002</v>
      </c>
      <c r="AN78">
        <v>7.0000000000000007E-2</v>
      </c>
      <c r="AO78">
        <v>0.23799999999999999</v>
      </c>
      <c r="AP78">
        <v>0.153</v>
      </c>
      <c r="AQ78">
        <v>0.191</v>
      </c>
      <c r="AR78">
        <v>0.17399999999999999</v>
      </c>
      <c r="AS78">
        <v>0.88200000000000001</v>
      </c>
      <c r="AT78">
        <v>0.79800000000000004</v>
      </c>
      <c r="AU78">
        <v>16.605</v>
      </c>
      <c r="AV78">
        <v>0.31</v>
      </c>
      <c r="AW78">
        <v>0.30199999999999999</v>
      </c>
      <c r="AX78">
        <v>0.34699999999999998</v>
      </c>
      <c r="AY78">
        <v>2.4169999999999998</v>
      </c>
      <c r="AZ78">
        <v>0</v>
      </c>
      <c r="BA78">
        <f>OECD_KOR2022dom!BI76</f>
        <v>3422.5030000000002</v>
      </c>
    </row>
    <row r="79" spans="1:53">
      <c r="A79" t="s">
        <v>439</v>
      </c>
      <c r="B79" t="str">
        <f>INDEX('ISIC Crosswalk'!$D$2:$D$107,MATCH(A79,'ISIC Crosswalk'!$A$2:$A$107,0),1)</f>
        <v>ISIC 30</v>
      </c>
      <c r="C79">
        <v>1.0349999999999999</v>
      </c>
      <c r="D79">
        <v>0.311</v>
      </c>
      <c r="E79">
        <v>4.91</v>
      </c>
      <c r="F79">
        <v>2.8000000000000001E-2</v>
      </c>
      <c r="G79">
        <v>6.0000000000000001E-3</v>
      </c>
      <c r="H79">
        <v>8.0000000000000002E-3</v>
      </c>
      <c r="I79">
        <v>0.20599999999999999</v>
      </c>
      <c r="J79">
        <v>1E-3</v>
      </c>
      <c r="K79">
        <v>4.2709999999999999</v>
      </c>
      <c r="L79">
        <v>0.97599999999999998</v>
      </c>
      <c r="M79">
        <v>0.27100000000000002</v>
      </c>
      <c r="N79">
        <v>0.84799999999999998</v>
      </c>
      <c r="O79">
        <v>1.6279999999999999</v>
      </c>
      <c r="P79">
        <v>4.6459999999999999</v>
      </c>
      <c r="Q79">
        <v>0.51200000000000001</v>
      </c>
      <c r="R79">
        <v>1.804</v>
      </c>
      <c r="S79">
        <v>1.3660000000000001</v>
      </c>
      <c r="T79">
        <v>3.7130000000000001</v>
      </c>
      <c r="U79">
        <v>2.9540000000000002</v>
      </c>
      <c r="V79">
        <v>8.5609999999999999</v>
      </c>
      <c r="W79">
        <v>21.617999999999999</v>
      </c>
      <c r="X79">
        <v>12.651</v>
      </c>
      <c r="Y79">
        <v>22.689</v>
      </c>
      <c r="Z79">
        <v>211.67599999999999</v>
      </c>
      <c r="AA79">
        <v>175.38900000000001</v>
      </c>
      <c r="AB79">
        <v>533.346</v>
      </c>
      <c r="AC79">
        <v>9.3580000000000005</v>
      </c>
      <c r="AD79">
        <v>4.2939999999999996</v>
      </c>
      <c r="AE79">
        <v>0.751</v>
      </c>
      <c r="AF79">
        <v>8.3550000000000004</v>
      </c>
      <c r="AG79">
        <v>39.261000000000003</v>
      </c>
      <c r="AH79">
        <v>17.61</v>
      </c>
      <c r="AI79">
        <v>24.111000000000001</v>
      </c>
      <c r="AJ79">
        <v>45.375</v>
      </c>
      <c r="AK79">
        <v>12.023</v>
      </c>
      <c r="AL79">
        <v>0.61699999999999999</v>
      </c>
      <c r="AM79">
        <v>1.8029999999999999</v>
      </c>
      <c r="AN79">
        <v>0.443</v>
      </c>
      <c r="AO79">
        <v>1.3</v>
      </c>
      <c r="AP79">
        <v>1.5760000000000001</v>
      </c>
      <c r="AQ79">
        <v>1.3109999999999999</v>
      </c>
      <c r="AR79">
        <v>0.99</v>
      </c>
      <c r="AS79">
        <v>6.8860000000000001</v>
      </c>
      <c r="AT79">
        <v>7.8360000000000003</v>
      </c>
      <c r="AU79">
        <v>49.462000000000003</v>
      </c>
      <c r="AV79">
        <v>1.758</v>
      </c>
      <c r="AW79">
        <v>5.1630000000000003</v>
      </c>
      <c r="AX79">
        <v>1.0309999999999999</v>
      </c>
      <c r="AY79">
        <v>17.401</v>
      </c>
      <c r="AZ79">
        <v>0</v>
      </c>
      <c r="BA79">
        <f>OECD_KOR2022dom!BI77</f>
        <v>4743.8</v>
      </c>
    </row>
    <row r="80" spans="1:53">
      <c r="A80" t="s">
        <v>438</v>
      </c>
      <c r="B80" t="str">
        <f>INDEX('ISIC Crosswalk'!$D$2:$D$107,MATCH(A80,'ISIC Crosswalk'!$A$2:$A$107,0),1)</f>
        <v>ISIC 31T33</v>
      </c>
      <c r="C80">
        <v>279.279</v>
      </c>
      <c r="D80">
        <v>18.169</v>
      </c>
      <c r="E80">
        <v>96.644000000000005</v>
      </c>
      <c r="F80">
        <v>2.4540000000000002</v>
      </c>
      <c r="G80">
        <v>1.321</v>
      </c>
      <c r="H80">
        <v>1.0680000000000001</v>
      </c>
      <c r="I80">
        <v>52.478999999999999</v>
      </c>
      <c r="J80">
        <v>0.157</v>
      </c>
      <c r="K80">
        <v>565.197</v>
      </c>
      <c r="L80">
        <v>250.047</v>
      </c>
      <c r="M80">
        <v>44.183999999999997</v>
      </c>
      <c r="N80">
        <v>181.75</v>
      </c>
      <c r="O80">
        <v>209.64099999999999</v>
      </c>
      <c r="P80">
        <v>656.399</v>
      </c>
      <c r="Q80">
        <v>78.293999999999997</v>
      </c>
      <c r="R80">
        <v>190.779</v>
      </c>
      <c r="S80">
        <v>270.76100000000002</v>
      </c>
      <c r="T80">
        <v>667.32100000000003</v>
      </c>
      <c r="U80">
        <v>210.72900000000001</v>
      </c>
      <c r="V80">
        <v>400.51499999999999</v>
      </c>
      <c r="W80">
        <v>681.73599999999999</v>
      </c>
      <c r="X80">
        <v>347.42099999999999</v>
      </c>
      <c r="Y80">
        <v>677.26199999999994</v>
      </c>
      <c r="Z80">
        <v>649.50900000000001</v>
      </c>
      <c r="AA80">
        <v>155.56</v>
      </c>
      <c r="AB80">
        <v>75.528000000000006</v>
      </c>
      <c r="AC80">
        <v>565.62400000000002</v>
      </c>
      <c r="AD80">
        <v>893.976</v>
      </c>
      <c r="AE80">
        <v>145.15199999999999</v>
      </c>
      <c r="AF80">
        <v>701.39800000000002</v>
      </c>
      <c r="AG80">
        <v>719.59699999999998</v>
      </c>
      <c r="AH80">
        <v>133.38300000000001</v>
      </c>
      <c r="AI80">
        <v>298.05799999999999</v>
      </c>
      <c r="AJ80">
        <v>234.136</v>
      </c>
      <c r="AK80">
        <v>285.25700000000001</v>
      </c>
      <c r="AL80">
        <v>33.902000000000001</v>
      </c>
      <c r="AM80">
        <v>348.48200000000003</v>
      </c>
      <c r="AN80">
        <v>55.600999999999999</v>
      </c>
      <c r="AO80">
        <v>185.804</v>
      </c>
      <c r="AP80">
        <v>112.06399999999999</v>
      </c>
      <c r="AQ80">
        <v>133.82499999999999</v>
      </c>
      <c r="AR80">
        <v>168.26300000000001</v>
      </c>
      <c r="AS80">
        <v>509.113</v>
      </c>
      <c r="AT80">
        <v>258.46600000000001</v>
      </c>
      <c r="AU80">
        <v>321.108</v>
      </c>
      <c r="AV80">
        <v>337.29500000000002</v>
      </c>
      <c r="AW80">
        <v>677.96799999999996</v>
      </c>
      <c r="AX80">
        <v>180.52799999999999</v>
      </c>
      <c r="AY80">
        <v>215.84899999999999</v>
      </c>
      <c r="AZ80">
        <v>0</v>
      </c>
      <c r="BA80">
        <f>OECD_KOR2022dom!BI78</f>
        <v>19181.578000000001</v>
      </c>
    </row>
    <row r="81" spans="1:53">
      <c r="A81" t="s">
        <v>437</v>
      </c>
      <c r="B81" t="str">
        <f>INDEX('ISIC Crosswalk'!$D$2:$D$107,MATCH(A81,'ISIC Crosswalk'!$A$2:$A$107,0),1)</f>
        <v>ISIC 351</v>
      </c>
      <c r="C81">
        <v>2.1800000000000002</v>
      </c>
      <c r="D81">
        <v>0.13700000000000001</v>
      </c>
      <c r="E81">
        <v>0.63800000000000001</v>
      </c>
      <c r="F81">
        <v>4.2000000000000003E-2</v>
      </c>
      <c r="G81">
        <v>1.4E-2</v>
      </c>
      <c r="H81">
        <v>0.01</v>
      </c>
      <c r="I81">
        <v>0.41299999999999998</v>
      </c>
      <c r="J81">
        <v>2E-3</v>
      </c>
      <c r="K81">
        <v>6.3029999999999999</v>
      </c>
      <c r="L81">
        <v>2.1829999999999998</v>
      </c>
      <c r="M81">
        <v>0.51300000000000001</v>
      </c>
      <c r="N81">
        <v>1.8560000000000001</v>
      </c>
      <c r="O81">
        <v>62.161999999999999</v>
      </c>
      <c r="P81">
        <v>17.869</v>
      </c>
      <c r="Q81">
        <v>2.722</v>
      </c>
      <c r="R81">
        <v>3.782</v>
      </c>
      <c r="S81">
        <v>3.5569999999999999</v>
      </c>
      <c r="T81">
        <v>12.682</v>
      </c>
      <c r="U81">
        <v>3.1469999999999998</v>
      </c>
      <c r="V81">
        <v>3.5659999999999998</v>
      </c>
      <c r="W81">
        <v>9.7159999999999993</v>
      </c>
      <c r="X81">
        <v>9.0679999999999996</v>
      </c>
      <c r="Y81">
        <v>7.9130000000000003</v>
      </c>
      <c r="Z81">
        <v>8.5640000000000001</v>
      </c>
      <c r="AA81">
        <v>1.4750000000000001</v>
      </c>
      <c r="AB81">
        <v>0.59599999999999997</v>
      </c>
      <c r="AC81">
        <v>1.5269999999999999</v>
      </c>
      <c r="AD81">
        <v>38.012999999999998</v>
      </c>
      <c r="AE81">
        <v>1.0820000000000001</v>
      </c>
      <c r="AF81">
        <v>8.9120000000000008</v>
      </c>
      <c r="AG81">
        <v>11.823</v>
      </c>
      <c r="AH81">
        <v>1.6180000000000001</v>
      </c>
      <c r="AI81">
        <v>2.81</v>
      </c>
      <c r="AJ81">
        <v>1.589</v>
      </c>
      <c r="AK81">
        <v>3.9849999999999999</v>
      </c>
      <c r="AL81">
        <v>0.69099999999999995</v>
      </c>
      <c r="AM81">
        <v>4.4050000000000002</v>
      </c>
      <c r="AN81">
        <v>1.407</v>
      </c>
      <c r="AO81">
        <v>2.1909999999999998</v>
      </c>
      <c r="AP81">
        <v>2.0019999999999998</v>
      </c>
      <c r="AQ81">
        <v>3.141</v>
      </c>
      <c r="AR81">
        <v>3.0649999999999999</v>
      </c>
      <c r="AS81">
        <v>11.526</v>
      </c>
      <c r="AT81">
        <v>2.9039999999999999</v>
      </c>
      <c r="AU81">
        <v>3.7320000000000002</v>
      </c>
      <c r="AV81">
        <v>2.7109999999999999</v>
      </c>
      <c r="AW81">
        <v>7.2069999999999999</v>
      </c>
      <c r="AX81">
        <v>1.2869999999999999</v>
      </c>
      <c r="AY81">
        <v>2.1850000000000001</v>
      </c>
      <c r="AZ81">
        <v>0</v>
      </c>
      <c r="BA81">
        <f>OECD_KOR2022dom!BI79</f>
        <v>330.91899999999998</v>
      </c>
    </row>
    <row r="82" spans="1:53">
      <c r="A82" t="s">
        <v>436</v>
      </c>
      <c r="B82" t="str">
        <f>INDEX('ISIC Crosswalk'!$D$2:$D$107,MATCH(A82,'ISIC Crosswalk'!$A$2:$A$107,0),1)</f>
        <v>ISIC 36T39</v>
      </c>
      <c r="C82">
        <v>1.121</v>
      </c>
      <c r="D82">
        <v>2.3E-2</v>
      </c>
      <c r="E82">
        <v>0.14399999999999999</v>
      </c>
      <c r="F82">
        <v>5.0000000000000001E-3</v>
      </c>
      <c r="G82">
        <v>2E-3</v>
      </c>
      <c r="H82">
        <v>2E-3</v>
      </c>
      <c r="I82">
        <v>6.5000000000000002E-2</v>
      </c>
      <c r="J82">
        <v>0</v>
      </c>
      <c r="K82">
        <v>4.6210000000000004</v>
      </c>
      <c r="L82">
        <v>1.2929999999999999</v>
      </c>
      <c r="M82">
        <v>0.14799999999999999</v>
      </c>
      <c r="N82">
        <v>0.64900000000000002</v>
      </c>
      <c r="O82">
        <v>4.6020000000000003</v>
      </c>
      <c r="P82">
        <v>8.1479999999999997</v>
      </c>
      <c r="Q82">
        <v>0.63900000000000001</v>
      </c>
      <c r="R82">
        <v>2.629</v>
      </c>
      <c r="S82">
        <v>0.83</v>
      </c>
      <c r="T82">
        <v>1.6259999999999999</v>
      </c>
      <c r="U82">
        <v>0.81</v>
      </c>
      <c r="V82">
        <v>1.111</v>
      </c>
      <c r="W82">
        <v>3.0379999999999998</v>
      </c>
      <c r="X82">
        <v>2.1070000000000002</v>
      </c>
      <c r="Y82">
        <v>2.419</v>
      </c>
      <c r="Z82">
        <v>2.5720000000000001</v>
      </c>
      <c r="AA82">
        <v>0.48899999999999999</v>
      </c>
      <c r="AB82">
        <v>0.14699999999999999</v>
      </c>
      <c r="AC82">
        <v>0.46600000000000003</v>
      </c>
      <c r="AD82">
        <v>2.831</v>
      </c>
      <c r="AE82">
        <v>0.249</v>
      </c>
      <c r="AF82">
        <v>2.964</v>
      </c>
      <c r="AG82">
        <v>3.052</v>
      </c>
      <c r="AH82">
        <v>0.23</v>
      </c>
      <c r="AI82">
        <v>0.42399999999999999</v>
      </c>
      <c r="AJ82">
        <v>0.183</v>
      </c>
      <c r="AK82">
        <v>0.874</v>
      </c>
      <c r="AL82">
        <v>0.14799999999999999</v>
      </c>
      <c r="AM82">
        <v>5.0519999999999996</v>
      </c>
      <c r="AN82">
        <v>0.41299999999999998</v>
      </c>
      <c r="AO82">
        <v>0.53700000000000003</v>
      </c>
      <c r="AP82">
        <v>0.60399999999999998</v>
      </c>
      <c r="AQ82">
        <v>0.90600000000000003</v>
      </c>
      <c r="AR82">
        <v>1.1890000000000001</v>
      </c>
      <c r="AS82">
        <v>2.7069999999999999</v>
      </c>
      <c r="AT82">
        <v>0.90100000000000002</v>
      </c>
      <c r="AU82">
        <v>1.0489999999999999</v>
      </c>
      <c r="AV82">
        <v>0.92</v>
      </c>
      <c r="AW82">
        <v>1.518</v>
      </c>
      <c r="AX82">
        <v>0.42199999999999999</v>
      </c>
      <c r="AY82">
        <v>0.67500000000000004</v>
      </c>
      <c r="AZ82">
        <v>0</v>
      </c>
      <c r="BA82">
        <f>OECD_KOR2022dom!BI80</f>
        <v>91.448999999999998</v>
      </c>
    </row>
    <row r="83" spans="1:53">
      <c r="A83" t="s">
        <v>435</v>
      </c>
      <c r="B83" t="str">
        <f>INDEX('ISIC Crosswalk'!$D$2:$D$107,MATCH(A83,'ISIC Crosswalk'!$A$2:$A$107,0),1)</f>
        <v>ISIC 41T43</v>
      </c>
      <c r="C83">
        <v>5.085</v>
      </c>
      <c r="D83">
        <v>0.32300000000000001</v>
      </c>
      <c r="E83">
        <v>1.472</v>
      </c>
      <c r="F83">
        <v>6.6000000000000003E-2</v>
      </c>
      <c r="G83">
        <v>2.4E-2</v>
      </c>
      <c r="H83">
        <v>2.1999999999999999E-2</v>
      </c>
      <c r="I83">
        <v>0.96</v>
      </c>
      <c r="J83">
        <v>3.0000000000000001E-3</v>
      </c>
      <c r="K83">
        <v>16.573</v>
      </c>
      <c r="L83">
        <v>5.6189999999999998</v>
      </c>
      <c r="M83">
        <v>1.204</v>
      </c>
      <c r="N83">
        <v>3.6</v>
      </c>
      <c r="O83">
        <v>16.311</v>
      </c>
      <c r="P83">
        <v>18.562999999999999</v>
      </c>
      <c r="Q83">
        <v>2.7040000000000002</v>
      </c>
      <c r="R83">
        <v>6.6429999999999998</v>
      </c>
      <c r="S83">
        <v>8.3889999999999993</v>
      </c>
      <c r="T83">
        <v>21.186</v>
      </c>
      <c r="U83">
        <v>8.6389999999999993</v>
      </c>
      <c r="V83">
        <v>10.474</v>
      </c>
      <c r="W83">
        <v>17.478000000000002</v>
      </c>
      <c r="X83">
        <v>10.869</v>
      </c>
      <c r="Y83">
        <v>17.95</v>
      </c>
      <c r="Z83">
        <v>20.527999999999999</v>
      </c>
      <c r="AA83">
        <v>3.5009999999999999</v>
      </c>
      <c r="AB83">
        <v>1.4890000000000001</v>
      </c>
      <c r="AC83">
        <v>3.964</v>
      </c>
      <c r="AD83">
        <v>32.161000000000001</v>
      </c>
      <c r="AE83">
        <v>2.4169999999999998</v>
      </c>
      <c r="AF83">
        <v>26.71</v>
      </c>
      <c r="AG83">
        <v>22.956</v>
      </c>
      <c r="AH83">
        <v>3.129</v>
      </c>
      <c r="AI83">
        <v>7.2220000000000004</v>
      </c>
      <c r="AJ83">
        <v>4.1050000000000004</v>
      </c>
      <c r="AK83">
        <v>9.8680000000000003</v>
      </c>
      <c r="AL83">
        <v>1.2509999999999999</v>
      </c>
      <c r="AM83">
        <v>10.675000000000001</v>
      </c>
      <c r="AN83">
        <v>2.5649999999999999</v>
      </c>
      <c r="AO83">
        <v>4.6849999999999996</v>
      </c>
      <c r="AP83">
        <v>5.3150000000000004</v>
      </c>
      <c r="AQ83">
        <v>4.8609999999999998</v>
      </c>
      <c r="AR83">
        <v>5.7489999999999997</v>
      </c>
      <c r="AS83">
        <v>16.173999999999999</v>
      </c>
      <c r="AT83">
        <v>5.62</v>
      </c>
      <c r="AU83">
        <v>7.1280000000000001</v>
      </c>
      <c r="AV83">
        <v>4.3209999999999997</v>
      </c>
      <c r="AW83">
        <v>7.6630000000000003</v>
      </c>
      <c r="AX83">
        <v>2.851</v>
      </c>
      <c r="AY83">
        <v>3.802</v>
      </c>
      <c r="AZ83">
        <v>0</v>
      </c>
      <c r="BA83">
        <f>OECD_KOR2022dom!BI81</f>
        <v>507.488</v>
      </c>
    </row>
    <row r="84" spans="1:53">
      <c r="A84" t="s">
        <v>434</v>
      </c>
      <c r="B84" t="str">
        <f>INDEX('ISIC Crosswalk'!$D$2:$D$107,MATCH(A84,'ISIC Crosswalk'!$A$2:$A$107,0),1)</f>
        <v>ISIC 45T47</v>
      </c>
      <c r="C84">
        <v>693.44100000000003</v>
      </c>
      <c r="D84">
        <v>23.170999999999999</v>
      </c>
      <c r="E84">
        <v>144.38200000000001</v>
      </c>
      <c r="F84">
        <v>3.524</v>
      </c>
      <c r="G84">
        <v>1.0609999999999999</v>
      </c>
      <c r="H84">
        <v>1.353</v>
      </c>
      <c r="I84">
        <v>38.856999999999999</v>
      </c>
      <c r="J84">
        <v>0.14199999999999999</v>
      </c>
      <c r="K84">
        <v>2807.4679999999998</v>
      </c>
      <c r="L84">
        <v>1408.8489999999999</v>
      </c>
      <c r="M84">
        <v>124.881</v>
      </c>
      <c r="N84">
        <v>477.16699999999997</v>
      </c>
      <c r="O84">
        <v>2723</v>
      </c>
      <c r="P84">
        <v>5051.7870000000003</v>
      </c>
      <c r="Q84">
        <v>837.11900000000003</v>
      </c>
      <c r="R84">
        <v>1509.479</v>
      </c>
      <c r="S84">
        <v>515.58199999999999</v>
      </c>
      <c r="T84">
        <v>1735.2760000000001</v>
      </c>
      <c r="U84">
        <v>777.202</v>
      </c>
      <c r="V84">
        <v>1081.796</v>
      </c>
      <c r="W84">
        <v>7887.2510000000002</v>
      </c>
      <c r="X84">
        <v>1955.4829999999999</v>
      </c>
      <c r="Y84">
        <v>2750.5949999999998</v>
      </c>
      <c r="Z84">
        <v>3263.913</v>
      </c>
      <c r="AA84">
        <v>622.17499999999995</v>
      </c>
      <c r="AB84">
        <v>185.75299999999999</v>
      </c>
      <c r="AC84">
        <v>475.08199999999999</v>
      </c>
      <c r="AD84">
        <v>1931.2539999999999</v>
      </c>
      <c r="AE84">
        <v>150.809</v>
      </c>
      <c r="AF84">
        <v>2127.79</v>
      </c>
      <c r="AG84">
        <v>1424.588</v>
      </c>
      <c r="AH84">
        <v>281.05200000000002</v>
      </c>
      <c r="AI84">
        <v>520.20600000000002</v>
      </c>
      <c r="AJ84">
        <v>225.01400000000001</v>
      </c>
      <c r="AK84">
        <v>327.94600000000003</v>
      </c>
      <c r="AL84">
        <v>72.275999999999996</v>
      </c>
      <c r="AM84">
        <v>2224.8589999999999</v>
      </c>
      <c r="AN84">
        <v>260.04300000000001</v>
      </c>
      <c r="AO84">
        <v>323.89499999999998</v>
      </c>
      <c r="AP84">
        <v>206.369</v>
      </c>
      <c r="AQ84">
        <v>174.256</v>
      </c>
      <c r="AR84">
        <v>252.58699999999999</v>
      </c>
      <c r="AS84">
        <v>739.87599999999998</v>
      </c>
      <c r="AT84">
        <v>274.25900000000001</v>
      </c>
      <c r="AU84">
        <v>447.06900000000002</v>
      </c>
      <c r="AV84">
        <v>414.06900000000002</v>
      </c>
      <c r="AW84">
        <v>2086.4589999999998</v>
      </c>
      <c r="AX84">
        <v>175.28399999999999</v>
      </c>
      <c r="AY84">
        <v>516.53899999999999</v>
      </c>
      <c r="AZ84">
        <v>0</v>
      </c>
      <c r="BA84">
        <f>OECD_KOR2022dom!BI82</f>
        <v>74632.05</v>
      </c>
    </row>
    <row r="85" spans="1:53">
      <c r="A85" t="s">
        <v>433</v>
      </c>
      <c r="B85" t="str">
        <f>INDEX('ISIC Crosswalk'!$D$2:$D$107,MATCH(A85,'ISIC Crosswalk'!$A$2:$A$107,0),1)</f>
        <v>ISIC 352T353</v>
      </c>
      <c r="C85">
        <v>112.789</v>
      </c>
      <c r="D85">
        <v>17.321000000000002</v>
      </c>
      <c r="E85">
        <v>21.431999999999999</v>
      </c>
      <c r="F85">
        <v>2.44</v>
      </c>
      <c r="G85">
        <v>0.75900000000000001</v>
      </c>
      <c r="H85">
        <v>0.67</v>
      </c>
      <c r="I85">
        <v>35.503999999999998</v>
      </c>
      <c r="J85">
        <v>8.4000000000000005E-2</v>
      </c>
      <c r="K85">
        <v>655.92700000000002</v>
      </c>
      <c r="L85">
        <v>166.81399999999999</v>
      </c>
      <c r="M85">
        <v>51.49</v>
      </c>
      <c r="N85">
        <v>134.38</v>
      </c>
      <c r="O85">
        <v>958.82399999999996</v>
      </c>
      <c r="P85">
        <v>765.16899999999998</v>
      </c>
      <c r="Q85">
        <v>70.965999999999994</v>
      </c>
      <c r="R85">
        <v>211.37</v>
      </c>
      <c r="S85">
        <v>270.18299999999999</v>
      </c>
      <c r="T85">
        <v>646.12699999999995</v>
      </c>
      <c r="U85">
        <v>295.07</v>
      </c>
      <c r="V85">
        <v>282.93900000000002</v>
      </c>
      <c r="W85">
        <v>830.80499999999995</v>
      </c>
      <c r="X85">
        <v>348.86799999999999</v>
      </c>
      <c r="Y85">
        <v>417.524</v>
      </c>
      <c r="Z85">
        <v>510.185</v>
      </c>
      <c r="AA85">
        <v>82.488</v>
      </c>
      <c r="AB85">
        <v>35.723999999999997</v>
      </c>
      <c r="AC85">
        <v>92.388000000000005</v>
      </c>
      <c r="AD85">
        <v>689.697</v>
      </c>
      <c r="AE85">
        <v>68.456000000000003</v>
      </c>
      <c r="AF85">
        <v>544.48699999999997</v>
      </c>
      <c r="AG85">
        <v>1289.5450000000001</v>
      </c>
      <c r="AH85">
        <v>207.31299999999999</v>
      </c>
      <c r="AI85">
        <v>101.818</v>
      </c>
      <c r="AJ85">
        <v>31.036999999999999</v>
      </c>
      <c r="AK85">
        <v>515.52499999999998</v>
      </c>
      <c r="AL85">
        <v>183.82599999999999</v>
      </c>
      <c r="AM85">
        <v>319.786</v>
      </c>
      <c r="AN85">
        <v>82.93</v>
      </c>
      <c r="AO85">
        <v>57.375</v>
      </c>
      <c r="AP85">
        <v>37.067</v>
      </c>
      <c r="AQ85">
        <v>93.988</v>
      </c>
      <c r="AR85">
        <v>69.853999999999999</v>
      </c>
      <c r="AS85">
        <v>260.404</v>
      </c>
      <c r="AT85">
        <v>113.63200000000001</v>
      </c>
      <c r="AU85">
        <v>166.60400000000001</v>
      </c>
      <c r="AV85">
        <v>190.24799999999999</v>
      </c>
      <c r="AW85">
        <v>237.18700000000001</v>
      </c>
      <c r="AX85">
        <v>48.317999999999998</v>
      </c>
      <c r="AY85">
        <v>135.542</v>
      </c>
      <c r="AZ85">
        <v>0</v>
      </c>
      <c r="BA85">
        <f>OECD_KOR2022dom!BI83</f>
        <v>17663.085999999999</v>
      </c>
    </row>
    <row r="86" spans="1:53">
      <c r="A86" t="s">
        <v>432</v>
      </c>
      <c r="B86" t="str">
        <f>INDEX('ISIC Crosswalk'!$D$2:$D$107,MATCH(A86,'ISIC Crosswalk'!$A$2:$A$107,0),1)</f>
        <v>ISIC 49T53</v>
      </c>
      <c r="C86">
        <v>16.364999999999998</v>
      </c>
      <c r="D86">
        <v>17.3</v>
      </c>
      <c r="E86">
        <v>42.673000000000002</v>
      </c>
      <c r="F86">
        <v>0.38700000000000001</v>
      </c>
      <c r="G86">
        <v>0.49099999999999999</v>
      </c>
      <c r="H86">
        <v>0.14599999999999999</v>
      </c>
      <c r="I86">
        <v>13.923</v>
      </c>
      <c r="J86">
        <v>1.6E-2</v>
      </c>
      <c r="K86">
        <v>141.27000000000001</v>
      </c>
      <c r="L86">
        <v>58.372999999999998</v>
      </c>
      <c r="M86">
        <v>18.817</v>
      </c>
      <c r="N86">
        <v>40.475999999999999</v>
      </c>
      <c r="O86">
        <v>309.32499999999999</v>
      </c>
      <c r="P86">
        <v>218.828</v>
      </c>
      <c r="Q86">
        <v>14.541</v>
      </c>
      <c r="R86">
        <v>58.795999999999999</v>
      </c>
      <c r="S86">
        <v>54.494999999999997</v>
      </c>
      <c r="T86">
        <v>183.18600000000001</v>
      </c>
      <c r="U86">
        <v>78.707999999999998</v>
      </c>
      <c r="V86">
        <v>81.435000000000002</v>
      </c>
      <c r="W86">
        <v>468.65499999999997</v>
      </c>
      <c r="X86">
        <v>135.03299999999999</v>
      </c>
      <c r="Y86">
        <v>132.49100000000001</v>
      </c>
      <c r="Z86">
        <v>110.179</v>
      </c>
      <c r="AA86">
        <v>29.324999999999999</v>
      </c>
      <c r="AB86">
        <v>8.0009999999999994</v>
      </c>
      <c r="AC86">
        <v>23.007999999999999</v>
      </c>
      <c r="AD86">
        <v>116.565</v>
      </c>
      <c r="AE86">
        <v>7.8250000000000002</v>
      </c>
      <c r="AF86">
        <v>124.012</v>
      </c>
      <c r="AG86">
        <v>645.86300000000006</v>
      </c>
      <c r="AH86">
        <v>53.006</v>
      </c>
      <c r="AI86">
        <v>3702.3519999999999</v>
      </c>
      <c r="AJ86">
        <v>8.1110000000000007</v>
      </c>
      <c r="AK86">
        <v>787.82600000000002</v>
      </c>
      <c r="AL86">
        <v>20.5</v>
      </c>
      <c r="AM86">
        <v>40.136000000000003</v>
      </c>
      <c r="AN86">
        <v>15.696</v>
      </c>
      <c r="AO86">
        <v>21.5</v>
      </c>
      <c r="AP86">
        <v>14.227</v>
      </c>
      <c r="AQ86">
        <v>14.528</v>
      </c>
      <c r="AR86">
        <v>10.054</v>
      </c>
      <c r="AS86">
        <v>101.93</v>
      </c>
      <c r="AT86">
        <v>39.914999999999999</v>
      </c>
      <c r="AU86">
        <v>49.155999999999999</v>
      </c>
      <c r="AV86">
        <v>20.286000000000001</v>
      </c>
      <c r="AW86">
        <v>32.676000000000002</v>
      </c>
      <c r="AX86">
        <v>14.994</v>
      </c>
      <c r="AY86">
        <v>24.702000000000002</v>
      </c>
      <c r="AZ86">
        <v>0</v>
      </c>
      <c r="BA86">
        <f>OECD_KOR2022dom!BI84</f>
        <v>8881.0910000000003</v>
      </c>
    </row>
    <row r="87" spans="1:53">
      <c r="A87" t="s">
        <v>431</v>
      </c>
      <c r="B87" t="str">
        <f>INDEX('ISIC Crosswalk'!$D$2:$D$107,MATCH(A87,'ISIC Crosswalk'!$A$2:$A$107,0),1)</f>
        <v>ISIC 49T53</v>
      </c>
      <c r="C87">
        <v>12.772</v>
      </c>
      <c r="D87">
        <v>3.706</v>
      </c>
      <c r="E87">
        <v>3.8119999999999998</v>
      </c>
      <c r="F87">
        <v>0.106</v>
      </c>
      <c r="G87">
        <v>0.32</v>
      </c>
      <c r="H87">
        <v>4.9000000000000002E-2</v>
      </c>
      <c r="I87">
        <v>3.3090000000000002</v>
      </c>
      <c r="J87">
        <v>1.0999999999999999E-2</v>
      </c>
      <c r="K87">
        <v>64.875</v>
      </c>
      <c r="L87">
        <v>31.347999999999999</v>
      </c>
      <c r="M87">
        <v>6.7480000000000002</v>
      </c>
      <c r="N87">
        <v>17.978999999999999</v>
      </c>
      <c r="O87">
        <v>26.956</v>
      </c>
      <c r="P87">
        <v>74.933999999999997</v>
      </c>
      <c r="Q87">
        <v>16.669</v>
      </c>
      <c r="R87">
        <v>24.934000000000001</v>
      </c>
      <c r="S87">
        <v>22.094000000000001</v>
      </c>
      <c r="T87">
        <v>22.326000000000001</v>
      </c>
      <c r="U87">
        <v>12.221</v>
      </c>
      <c r="V87">
        <v>20.965</v>
      </c>
      <c r="W87">
        <v>134.48099999999999</v>
      </c>
      <c r="X87">
        <v>76.790000000000006</v>
      </c>
      <c r="Y87">
        <v>78.543000000000006</v>
      </c>
      <c r="Z87">
        <v>47.156999999999996</v>
      </c>
      <c r="AA87">
        <v>10.528</v>
      </c>
      <c r="AB87">
        <v>6.3849999999999998</v>
      </c>
      <c r="AC87">
        <v>17.111000000000001</v>
      </c>
      <c r="AD87">
        <v>25.379000000000001</v>
      </c>
      <c r="AE87">
        <v>10.173</v>
      </c>
      <c r="AF87">
        <v>92.593000000000004</v>
      </c>
      <c r="AG87">
        <v>368.59500000000003</v>
      </c>
      <c r="AH87">
        <v>14.499000000000001</v>
      </c>
      <c r="AI87">
        <v>30.803000000000001</v>
      </c>
      <c r="AJ87">
        <v>211.005</v>
      </c>
      <c r="AK87">
        <v>326.92200000000003</v>
      </c>
      <c r="AL87">
        <v>111.60899999999999</v>
      </c>
      <c r="AM87">
        <v>68.153999999999996</v>
      </c>
      <c r="AN87">
        <v>34.524000000000001</v>
      </c>
      <c r="AO87">
        <v>36.353999999999999</v>
      </c>
      <c r="AP87">
        <v>49.438000000000002</v>
      </c>
      <c r="AQ87">
        <v>176.64500000000001</v>
      </c>
      <c r="AR87">
        <v>44.447000000000003</v>
      </c>
      <c r="AS87">
        <v>314.15100000000001</v>
      </c>
      <c r="AT87">
        <v>140.32400000000001</v>
      </c>
      <c r="AU87">
        <v>159.71299999999999</v>
      </c>
      <c r="AV87">
        <v>81.135999999999996</v>
      </c>
      <c r="AW87">
        <v>79.534999999999997</v>
      </c>
      <c r="AX87">
        <v>39.932000000000002</v>
      </c>
      <c r="AY87">
        <v>49.405999999999999</v>
      </c>
      <c r="AZ87">
        <v>0</v>
      </c>
      <c r="BA87">
        <f>OECD_KOR2022dom!BI85</f>
        <v>4106.2920000000004</v>
      </c>
    </row>
    <row r="88" spans="1:53">
      <c r="A88" t="s">
        <v>430</v>
      </c>
      <c r="B88" t="str">
        <f>INDEX('ISIC Crosswalk'!$D$2:$D$107,MATCH(A88,'ISIC Crosswalk'!$A$2:$A$107,0),1)</f>
        <v>ISIC 49T53</v>
      </c>
      <c r="C88">
        <v>48.786000000000001</v>
      </c>
      <c r="D88">
        <v>7.5590000000000002</v>
      </c>
      <c r="E88">
        <v>30.681000000000001</v>
      </c>
      <c r="F88">
        <v>1.359</v>
      </c>
      <c r="G88">
        <v>0.372</v>
      </c>
      <c r="H88">
        <v>0.34699999999999998</v>
      </c>
      <c r="I88">
        <v>12.111000000000001</v>
      </c>
      <c r="J88">
        <v>5.7000000000000002E-2</v>
      </c>
      <c r="K88">
        <v>352.346</v>
      </c>
      <c r="L88">
        <v>91.783000000000001</v>
      </c>
      <c r="M88">
        <v>27.167000000000002</v>
      </c>
      <c r="N88">
        <v>77.811999999999998</v>
      </c>
      <c r="O88">
        <v>465.077</v>
      </c>
      <c r="P88">
        <v>357.18400000000003</v>
      </c>
      <c r="Q88">
        <v>38.179000000000002</v>
      </c>
      <c r="R88">
        <v>89.822000000000003</v>
      </c>
      <c r="S88">
        <v>95.472999999999999</v>
      </c>
      <c r="T88">
        <v>231.703</v>
      </c>
      <c r="U88">
        <v>106.696</v>
      </c>
      <c r="V88">
        <v>120.926</v>
      </c>
      <c r="W88">
        <v>314.137</v>
      </c>
      <c r="X88">
        <v>152.071</v>
      </c>
      <c r="Y88">
        <v>179.69800000000001</v>
      </c>
      <c r="Z88">
        <v>335.21899999999999</v>
      </c>
      <c r="AA88">
        <v>39.15</v>
      </c>
      <c r="AB88">
        <v>16.948</v>
      </c>
      <c r="AC88">
        <v>43.383000000000003</v>
      </c>
      <c r="AD88">
        <v>308.01299999999998</v>
      </c>
      <c r="AE88">
        <v>42.017000000000003</v>
      </c>
      <c r="AF88">
        <v>204.51900000000001</v>
      </c>
      <c r="AG88">
        <v>1702.1610000000001</v>
      </c>
      <c r="AH88">
        <v>251.21199999999999</v>
      </c>
      <c r="AI88">
        <v>955.17600000000004</v>
      </c>
      <c r="AJ88">
        <v>326.23200000000003</v>
      </c>
      <c r="AK88">
        <v>1908.7190000000001</v>
      </c>
      <c r="AL88">
        <v>104.634</v>
      </c>
      <c r="AM88">
        <v>141.98099999999999</v>
      </c>
      <c r="AN88">
        <v>34.134</v>
      </c>
      <c r="AO88">
        <v>52.094999999999999</v>
      </c>
      <c r="AP88">
        <v>31.79</v>
      </c>
      <c r="AQ88">
        <v>48.26</v>
      </c>
      <c r="AR88">
        <v>32.043999999999997</v>
      </c>
      <c r="AS88">
        <v>194.02799999999999</v>
      </c>
      <c r="AT88">
        <v>78.900000000000006</v>
      </c>
      <c r="AU88">
        <v>109.425</v>
      </c>
      <c r="AV88">
        <v>37.630000000000003</v>
      </c>
      <c r="AW88">
        <v>55.725000000000001</v>
      </c>
      <c r="AX88">
        <v>31.504999999999999</v>
      </c>
      <c r="AY88">
        <v>53.148000000000003</v>
      </c>
      <c r="AZ88">
        <v>0</v>
      </c>
      <c r="BA88">
        <f>OECD_KOR2022dom!BI86</f>
        <v>10875.896000000001</v>
      </c>
    </row>
    <row r="89" spans="1:53">
      <c r="A89" t="s">
        <v>429</v>
      </c>
      <c r="B89" t="str">
        <f>INDEX('ISIC Crosswalk'!$D$2:$D$107,MATCH(A89,'ISIC Crosswalk'!$A$2:$A$107,0),1)</f>
        <v>ISIC 49T53</v>
      </c>
      <c r="C89">
        <v>5.5149999999999997</v>
      </c>
      <c r="D89">
        <v>0.36</v>
      </c>
      <c r="E89">
        <v>1.3</v>
      </c>
      <c r="F89">
        <v>5.8000000000000003E-2</v>
      </c>
      <c r="G89">
        <v>1.9E-2</v>
      </c>
      <c r="H89">
        <v>1.2999999999999999E-2</v>
      </c>
      <c r="I89">
        <v>0.53700000000000003</v>
      </c>
      <c r="J89">
        <v>4.0000000000000001E-3</v>
      </c>
      <c r="K89">
        <v>13.016999999999999</v>
      </c>
      <c r="L89">
        <v>9.9499999999999993</v>
      </c>
      <c r="M89">
        <v>1.5169999999999999</v>
      </c>
      <c r="N89">
        <v>7.3230000000000004</v>
      </c>
      <c r="O89">
        <v>2.7130000000000001</v>
      </c>
      <c r="P89">
        <v>14.129</v>
      </c>
      <c r="Q89">
        <v>3.59</v>
      </c>
      <c r="R89">
        <v>5.8419999999999996</v>
      </c>
      <c r="S89">
        <v>3.6789999999999998</v>
      </c>
      <c r="T89">
        <v>4.8</v>
      </c>
      <c r="U89">
        <v>2.5579999999999998</v>
      </c>
      <c r="V89">
        <v>8.1460000000000008</v>
      </c>
      <c r="W89">
        <v>15.717000000000001</v>
      </c>
      <c r="X89">
        <v>8.7260000000000009</v>
      </c>
      <c r="Y89">
        <v>18.943999999999999</v>
      </c>
      <c r="Z89">
        <v>15.555</v>
      </c>
      <c r="AA89">
        <v>3.2719999999999998</v>
      </c>
      <c r="AB89">
        <v>1.1639999999999999</v>
      </c>
      <c r="AC89">
        <v>3.883</v>
      </c>
      <c r="AD89">
        <v>22.29</v>
      </c>
      <c r="AE89">
        <v>4.04</v>
      </c>
      <c r="AF89">
        <v>19.876000000000001</v>
      </c>
      <c r="AG89">
        <v>366.79700000000003</v>
      </c>
      <c r="AH89">
        <v>4.7190000000000003</v>
      </c>
      <c r="AI89">
        <v>3.677</v>
      </c>
      <c r="AJ89">
        <v>1.93</v>
      </c>
      <c r="AK89">
        <v>39.21</v>
      </c>
      <c r="AL89">
        <v>426.64299999999997</v>
      </c>
      <c r="AM89">
        <v>45.808999999999997</v>
      </c>
      <c r="AN89">
        <v>42.661999999999999</v>
      </c>
      <c r="AO89">
        <v>53.844000000000001</v>
      </c>
      <c r="AP89">
        <v>18.899000000000001</v>
      </c>
      <c r="AQ89">
        <v>192.17599999999999</v>
      </c>
      <c r="AR89">
        <v>26.39</v>
      </c>
      <c r="AS89">
        <v>134.93799999999999</v>
      </c>
      <c r="AT89">
        <v>28.753</v>
      </c>
      <c r="AU89">
        <v>96.730999999999995</v>
      </c>
      <c r="AV89">
        <v>43.415999999999997</v>
      </c>
      <c r="AW89">
        <v>43.929000000000002</v>
      </c>
      <c r="AX89">
        <v>16.783000000000001</v>
      </c>
      <c r="AY89">
        <v>48.908000000000001</v>
      </c>
      <c r="AZ89">
        <v>0</v>
      </c>
      <c r="BA89">
        <f>OECD_KOR2022dom!BI87</f>
        <v>1889.9459999999999</v>
      </c>
    </row>
    <row r="90" spans="1:53">
      <c r="A90" t="s">
        <v>428</v>
      </c>
      <c r="B90" t="str">
        <f>INDEX('ISIC Crosswalk'!$D$2:$D$107,MATCH(A90,'ISIC Crosswalk'!$A$2:$A$107,0),1)</f>
        <v>ISIC 55T56</v>
      </c>
      <c r="C90">
        <v>1.22</v>
      </c>
      <c r="D90">
        <v>0.183</v>
      </c>
      <c r="E90">
        <v>0.252</v>
      </c>
      <c r="F90">
        <v>5.0000000000000001E-3</v>
      </c>
      <c r="G90">
        <v>3.0000000000000001E-3</v>
      </c>
      <c r="H90">
        <v>2E-3</v>
      </c>
      <c r="I90">
        <v>8.3000000000000004E-2</v>
      </c>
      <c r="J90">
        <v>0</v>
      </c>
      <c r="K90">
        <v>5.9779999999999998</v>
      </c>
      <c r="L90">
        <v>0.89600000000000002</v>
      </c>
      <c r="M90">
        <v>0.52200000000000002</v>
      </c>
      <c r="N90">
        <v>0.69899999999999995</v>
      </c>
      <c r="O90">
        <v>3.4569999999999999</v>
      </c>
      <c r="P90">
        <v>4.5010000000000003</v>
      </c>
      <c r="Q90">
        <v>0.90100000000000002</v>
      </c>
      <c r="R90">
        <v>1.1879999999999999</v>
      </c>
      <c r="S90">
        <v>0.59299999999999997</v>
      </c>
      <c r="T90">
        <v>1.365</v>
      </c>
      <c r="U90">
        <v>0.80800000000000005</v>
      </c>
      <c r="V90">
        <v>1.0549999999999999</v>
      </c>
      <c r="W90">
        <v>5.7750000000000004</v>
      </c>
      <c r="X90">
        <v>1.5369999999999999</v>
      </c>
      <c r="Y90">
        <v>2.1419999999999999</v>
      </c>
      <c r="Z90">
        <v>2.077</v>
      </c>
      <c r="AA90">
        <v>0.45600000000000002</v>
      </c>
      <c r="AB90">
        <v>0.14299999999999999</v>
      </c>
      <c r="AC90">
        <v>0.52</v>
      </c>
      <c r="AD90">
        <v>2.0550000000000002</v>
      </c>
      <c r="AE90">
        <v>0.315</v>
      </c>
      <c r="AF90">
        <v>2.5390000000000001</v>
      </c>
      <c r="AG90">
        <v>4.4169999999999998</v>
      </c>
      <c r="AH90">
        <v>0.52</v>
      </c>
      <c r="AI90">
        <v>1.107</v>
      </c>
      <c r="AJ90">
        <v>0.51</v>
      </c>
      <c r="AK90">
        <v>1.246</v>
      </c>
      <c r="AL90">
        <v>0.221</v>
      </c>
      <c r="AM90">
        <v>7.51</v>
      </c>
      <c r="AN90">
        <v>4.7130000000000001</v>
      </c>
      <c r="AO90">
        <v>1.204</v>
      </c>
      <c r="AP90">
        <v>0.755</v>
      </c>
      <c r="AQ90">
        <v>1.06</v>
      </c>
      <c r="AR90">
        <v>1.212</v>
      </c>
      <c r="AS90">
        <v>3.4390000000000001</v>
      </c>
      <c r="AT90">
        <v>1.1499999999999999</v>
      </c>
      <c r="AU90">
        <v>1.56</v>
      </c>
      <c r="AV90">
        <v>1.3959999999999999</v>
      </c>
      <c r="AW90">
        <v>2.6840000000000002</v>
      </c>
      <c r="AX90">
        <v>4.6680000000000001</v>
      </c>
      <c r="AY90">
        <v>1.0389999999999999</v>
      </c>
      <c r="AZ90">
        <v>0</v>
      </c>
      <c r="BA90">
        <f>OECD_KOR2022dom!BI88</f>
        <v>4441.1750000000002</v>
      </c>
    </row>
    <row r="91" spans="1:53">
      <c r="A91" t="s">
        <v>427</v>
      </c>
      <c r="B91" t="str">
        <f>INDEX('ISIC Crosswalk'!$D$2:$D$107,MATCH(A91,'ISIC Crosswalk'!$A$2:$A$107,0),1)</f>
        <v>ISIC 58T60</v>
      </c>
      <c r="C91">
        <v>7.0410000000000004</v>
      </c>
      <c r="D91">
        <v>0.56699999999999995</v>
      </c>
      <c r="E91">
        <v>1.591</v>
      </c>
      <c r="F91">
        <v>4.9000000000000002E-2</v>
      </c>
      <c r="G91">
        <v>4.1000000000000002E-2</v>
      </c>
      <c r="H91">
        <v>4.2999999999999997E-2</v>
      </c>
      <c r="I91">
        <v>0.91</v>
      </c>
      <c r="J91">
        <v>7.0000000000000001E-3</v>
      </c>
      <c r="K91">
        <v>73.983999999999995</v>
      </c>
      <c r="L91">
        <v>25.687000000000001</v>
      </c>
      <c r="M91">
        <v>3.7930000000000001</v>
      </c>
      <c r="N91">
        <v>27.837</v>
      </c>
      <c r="O91">
        <v>17.052</v>
      </c>
      <c r="P91">
        <v>82.468999999999994</v>
      </c>
      <c r="Q91">
        <v>16.474</v>
      </c>
      <c r="R91">
        <v>19.478999999999999</v>
      </c>
      <c r="S91">
        <v>10.329000000000001</v>
      </c>
      <c r="T91">
        <v>20.673999999999999</v>
      </c>
      <c r="U91">
        <v>12.459</v>
      </c>
      <c r="V91">
        <v>22.27</v>
      </c>
      <c r="W91">
        <v>96.406000000000006</v>
      </c>
      <c r="X91">
        <v>52.094999999999999</v>
      </c>
      <c r="Y91">
        <v>42.542000000000002</v>
      </c>
      <c r="Z91">
        <v>49.374000000000002</v>
      </c>
      <c r="AA91">
        <v>12.505000000000001</v>
      </c>
      <c r="AB91">
        <v>7.1879999999999997</v>
      </c>
      <c r="AC91">
        <v>14.478</v>
      </c>
      <c r="AD91">
        <v>30.245000000000001</v>
      </c>
      <c r="AE91">
        <v>7.9</v>
      </c>
      <c r="AF91">
        <v>49.533999999999999</v>
      </c>
      <c r="AG91">
        <v>329.101</v>
      </c>
      <c r="AH91">
        <v>7.6589999999999998</v>
      </c>
      <c r="AI91">
        <v>11.771000000000001</v>
      </c>
      <c r="AJ91">
        <v>5.5010000000000003</v>
      </c>
      <c r="AK91">
        <v>25.254000000000001</v>
      </c>
      <c r="AL91">
        <v>13</v>
      </c>
      <c r="AM91">
        <v>148.53700000000001</v>
      </c>
      <c r="AN91">
        <v>1246.4110000000001</v>
      </c>
      <c r="AO91">
        <v>203.22300000000001</v>
      </c>
      <c r="AP91">
        <v>135.80699999999999</v>
      </c>
      <c r="AQ91">
        <v>131.655</v>
      </c>
      <c r="AR91">
        <v>65.364999999999995</v>
      </c>
      <c r="AS91">
        <v>555.88599999999997</v>
      </c>
      <c r="AT91">
        <v>62.954999999999998</v>
      </c>
      <c r="AU91">
        <v>121.54300000000001</v>
      </c>
      <c r="AV91">
        <v>378.33100000000002</v>
      </c>
      <c r="AW91">
        <v>101.983</v>
      </c>
      <c r="AX91">
        <v>122.357</v>
      </c>
      <c r="AY91">
        <v>103.55200000000001</v>
      </c>
      <c r="AZ91">
        <v>0</v>
      </c>
      <c r="BA91">
        <f>OECD_KOR2022dom!BI89</f>
        <v>6290.241</v>
      </c>
    </row>
    <row r="92" spans="1:53">
      <c r="A92" t="s">
        <v>426</v>
      </c>
      <c r="B92" t="str">
        <f>INDEX('ISIC Crosswalk'!$D$2:$D$107,MATCH(A92,'ISIC Crosswalk'!$A$2:$A$107,0),1)</f>
        <v>ISIC 61</v>
      </c>
      <c r="C92">
        <v>2.4449999999999998</v>
      </c>
      <c r="D92">
        <v>0.33500000000000002</v>
      </c>
      <c r="E92">
        <v>1.2270000000000001</v>
      </c>
      <c r="F92">
        <v>5.1999999999999998E-2</v>
      </c>
      <c r="G92">
        <v>3.2000000000000001E-2</v>
      </c>
      <c r="H92">
        <v>1.2E-2</v>
      </c>
      <c r="I92">
        <v>0.57099999999999995</v>
      </c>
      <c r="J92">
        <v>3.0000000000000001E-3</v>
      </c>
      <c r="K92">
        <v>11.984</v>
      </c>
      <c r="L92">
        <v>7.2610000000000001</v>
      </c>
      <c r="M92">
        <v>1.0860000000000001</v>
      </c>
      <c r="N92">
        <v>4.085</v>
      </c>
      <c r="O92">
        <v>4.6219999999999999</v>
      </c>
      <c r="P92">
        <v>13.199</v>
      </c>
      <c r="Q92">
        <v>4.1120000000000001</v>
      </c>
      <c r="R92">
        <v>5.3250000000000002</v>
      </c>
      <c r="S92">
        <v>3.4830000000000001</v>
      </c>
      <c r="T92">
        <v>4.8070000000000004</v>
      </c>
      <c r="U92">
        <v>3.161</v>
      </c>
      <c r="V92">
        <v>8.4770000000000003</v>
      </c>
      <c r="W92">
        <v>34.597000000000001</v>
      </c>
      <c r="X92">
        <v>11.718</v>
      </c>
      <c r="Y92">
        <v>19.698</v>
      </c>
      <c r="Z92">
        <v>19.189</v>
      </c>
      <c r="AA92">
        <v>3.1280000000000001</v>
      </c>
      <c r="AB92">
        <v>1.238</v>
      </c>
      <c r="AC92">
        <v>3.8029999999999999</v>
      </c>
      <c r="AD92">
        <v>10.964</v>
      </c>
      <c r="AE92">
        <v>2.891</v>
      </c>
      <c r="AF92">
        <v>26.617000000000001</v>
      </c>
      <c r="AG92">
        <v>98.632000000000005</v>
      </c>
      <c r="AH92">
        <v>3.9039999999999999</v>
      </c>
      <c r="AI92">
        <v>5.74</v>
      </c>
      <c r="AJ92">
        <v>2.0680000000000001</v>
      </c>
      <c r="AK92">
        <v>14.093</v>
      </c>
      <c r="AL92">
        <v>7.5250000000000004</v>
      </c>
      <c r="AM92">
        <v>39.485999999999997</v>
      </c>
      <c r="AN92">
        <v>25.178999999999998</v>
      </c>
      <c r="AO92">
        <v>262.75099999999998</v>
      </c>
      <c r="AP92">
        <v>33.917999999999999</v>
      </c>
      <c r="AQ92">
        <v>60.908000000000001</v>
      </c>
      <c r="AR92">
        <v>31.655999999999999</v>
      </c>
      <c r="AS92">
        <v>77.554000000000002</v>
      </c>
      <c r="AT92">
        <v>24.387</v>
      </c>
      <c r="AU92">
        <v>49.576999999999998</v>
      </c>
      <c r="AV92">
        <v>23.765999999999998</v>
      </c>
      <c r="AW92">
        <v>31.513000000000002</v>
      </c>
      <c r="AX92">
        <v>12.795</v>
      </c>
      <c r="AY92">
        <v>26.15</v>
      </c>
      <c r="AZ92">
        <v>0</v>
      </c>
      <c r="BA92">
        <f>OECD_KOR2022dom!BI90</f>
        <v>2055.105</v>
      </c>
    </row>
    <row r="93" spans="1:53">
      <c r="A93" t="s">
        <v>425</v>
      </c>
      <c r="B93" t="str">
        <f>INDEX('ISIC Crosswalk'!$D$2:$D$107,MATCH(A93,'ISIC Crosswalk'!$A$2:$A$107,0),1)</f>
        <v>ISIC 62T63</v>
      </c>
      <c r="C93">
        <v>9.5640000000000001</v>
      </c>
      <c r="D93">
        <v>1.1519999999999999</v>
      </c>
      <c r="E93">
        <v>3.605</v>
      </c>
      <c r="F93">
        <v>0.25900000000000001</v>
      </c>
      <c r="G93">
        <v>0.161</v>
      </c>
      <c r="H93">
        <v>7.9000000000000001E-2</v>
      </c>
      <c r="I93">
        <v>3.472</v>
      </c>
      <c r="J93">
        <v>1.4999999999999999E-2</v>
      </c>
      <c r="K93">
        <v>129.08699999999999</v>
      </c>
      <c r="L93">
        <v>48.951999999999998</v>
      </c>
      <c r="M93">
        <v>6.383</v>
      </c>
      <c r="N93">
        <v>37.326000000000001</v>
      </c>
      <c r="O93">
        <v>34.264000000000003</v>
      </c>
      <c r="P93">
        <v>149.63200000000001</v>
      </c>
      <c r="Q93">
        <v>42.633000000000003</v>
      </c>
      <c r="R93">
        <v>43.786000000000001</v>
      </c>
      <c r="S93">
        <v>30.684000000000001</v>
      </c>
      <c r="T93">
        <v>48.704999999999998</v>
      </c>
      <c r="U93">
        <v>25.298999999999999</v>
      </c>
      <c r="V93">
        <v>66.652000000000001</v>
      </c>
      <c r="W93">
        <v>365.05099999999999</v>
      </c>
      <c r="X93">
        <v>118.245</v>
      </c>
      <c r="Y93">
        <v>125.754</v>
      </c>
      <c r="Z93">
        <v>110.971</v>
      </c>
      <c r="AA93">
        <v>30.780999999999999</v>
      </c>
      <c r="AB93">
        <v>12.085000000000001</v>
      </c>
      <c r="AC93">
        <v>28.574000000000002</v>
      </c>
      <c r="AD93">
        <v>144.178</v>
      </c>
      <c r="AE93">
        <v>27.532</v>
      </c>
      <c r="AF93">
        <v>171.02099999999999</v>
      </c>
      <c r="AG93">
        <v>662.75300000000004</v>
      </c>
      <c r="AH93">
        <v>18.667999999999999</v>
      </c>
      <c r="AI93">
        <v>38.22</v>
      </c>
      <c r="AJ93">
        <v>16.326000000000001</v>
      </c>
      <c r="AK93">
        <v>113.80500000000001</v>
      </c>
      <c r="AL93">
        <v>49.195999999999998</v>
      </c>
      <c r="AM93">
        <v>163.97800000000001</v>
      </c>
      <c r="AN93">
        <v>210.20500000000001</v>
      </c>
      <c r="AO93">
        <v>361.99299999999999</v>
      </c>
      <c r="AP93">
        <v>1479.4970000000001</v>
      </c>
      <c r="AQ93">
        <v>680.03899999999999</v>
      </c>
      <c r="AR93">
        <v>135.983</v>
      </c>
      <c r="AS93">
        <v>918.97799999999995</v>
      </c>
      <c r="AT93">
        <v>195.477</v>
      </c>
      <c r="AU93">
        <v>323.41399999999999</v>
      </c>
      <c r="AV93">
        <v>223.47300000000001</v>
      </c>
      <c r="AW93">
        <v>182.26599999999999</v>
      </c>
      <c r="AX93">
        <v>79.244</v>
      </c>
      <c r="AY93">
        <v>119.15</v>
      </c>
      <c r="AZ93">
        <v>0</v>
      </c>
      <c r="BA93">
        <f>OECD_KOR2022dom!BI91</f>
        <v>14298.308999999999</v>
      </c>
    </row>
    <row r="94" spans="1:53">
      <c r="A94" t="s">
        <v>424</v>
      </c>
      <c r="B94" t="str">
        <f>INDEX('ISIC Crosswalk'!$D$2:$D$107,MATCH(A94,'ISIC Crosswalk'!$A$2:$A$107,0),1)</f>
        <v>ISIC 64T66</v>
      </c>
      <c r="C94">
        <v>22.623999999999999</v>
      </c>
      <c r="D94">
        <v>1.5980000000000001</v>
      </c>
      <c r="E94">
        <v>5.58</v>
      </c>
      <c r="F94">
        <v>0.16800000000000001</v>
      </c>
      <c r="G94">
        <v>0.17499999999999999</v>
      </c>
      <c r="H94">
        <v>9.6000000000000002E-2</v>
      </c>
      <c r="I94">
        <v>2.226</v>
      </c>
      <c r="J94">
        <v>2.1000000000000001E-2</v>
      </c>
      <c r="K94">
        <v>81.289000000000001</v>
      </c>
      <c r="L94">
        <v>29.013000000000002</v>
      </c>
      <c r="M94">
        <v>4.1959999999999997</v>
      </c>
      <c r="N94">
        <v>20.943000000000001</v>
      </c>
      <c r="O94">
        <v>26.741</v>
      </c>
      <c r="P94">
        <v>78.754000000000005</v>
      </c>
      <c r="Q94">
        <v>13.474</v>
      </c>
      <c r="R94">
        <v>28.666</v>
      </c>
      <c r="S94">
        <v>20.117000000000001</v>
      </c>
      <c r="T94">
        <v>34.045999999999999</v>
      </c>
      <c r="U94">
        <v>21.414000000000001</v>
      </c>
      <c r="V94">
        <v>37.825000000000003</v>
      </c>
      <c r="W94">
        <v>84.247</v>
      </c>
      <c r="X94">
        <v>49.692999999999998</v>
      </c>
      <c r="Y94">
        <v>57.194000000000003</v>
      </c>
      <c r="Z94">
        <v>60.441000000000003</v>
      </c>
      <c r="AA94">
        <v>14.340999999999999</v>
      </c>
      <c r="AB94">
        <v>4.8109999999999999</v>
      </c>
      <c r="AC94">
        <v>14.237</v>
      </c>
      <c r="AD94">
        <v>71.900999999999996</v>
      </c>
      <c r="AE94">
        <v>13.597</v>
      </c>
      <c r="AF94">
        <v>105.69199999999999</v>
      </c>
      <c r="AG94">
        <v>301.85899999999998</v>
      </c>
      <c r="AH94">
        <v>14.342000000000001</v>
      </c>
      <c r="AI94">
        <v>24.638000000000002</v>
      </c>
      <c r="AJ94">
        <v>10.3</v>
      </c>
      <c r="AK94">
        <v>44.256999999999998</v>
      </c>
      <c r="AL94">
        <v>9.9749999999999996</v>
      </c>
      <c r="AM94">
        <v>80.347999999999999</v>
      </c>
      <c r="AN94">
        <v>25.602</v>
      </c>
      <c r="AO94">
        <v>40.953000000000003</v>
      </c>
      <c r="AP94">
        <v>36.036999999999999</v>
      </c>
      <c r="AQ94">
        <v>834.75</v>
      </c>
      <c r="AR94">
        <v>801.03499999999997</v>
      </c>
      <c r="AS94">
        <v>208.876</v>
      </c>
      <c r="AT94">
        <v>60.475000000000001</v>
      </c>
      <c r="AU94">
        <v>79.17</v>
      </c>
      <c r="AV94">
        <v>43.026000000000003</v>
      </c>
      <c r="AW94">
        <v>42.027000000000001</v>
      </c>
      <c r="AX94">
        <v>27.693999999999999</v>
      </c>
      <c r="AY94">
        <v>42.374000000000002</v>
      </c>
      <c r="AZ94">
        <v>0</v>
      </c>
      <c r="BA94">
        <f>OECD_KOR2022dom!BI92</f>
        <v>5849.8879999999999</v>
      </c>
    </row>
    <row r="95" spans="1:53">
      <c r="A95" t="s">
        <v>423</v>
      </c>
      <c r="B95" t="str">
        <f>INDEX('ISIC Crosswalk'!$D$2:$D$107,MATCH(A95,'ISIC Crosswalk'!$A$2:$A$107,0),1)</f>
        <v>ISIC 68</v>
      </c>
      <c r="C95">
        <v>1.859</v>
      </c>
      <c r="D95">
        <v>0.36199999999999999</v>
      </c>
      <c r="E95">
        <v>0.68200000000000005</v>
      </c>
      <c r="F95">
        <v>4.5999999999999999E-2</v>
      </c>
      <c r="G95">
        <v>3.5999999999999997E-2</v>
      </c>
      <c r="H95">
        <v>1.4999999999999999E-2</v>
      </c>
      <c r="I95">
        <v>0.73199999999999998</v>
      </c>
      <c r="J95">
        <v>3.0000000000000001E-3</v>
      </c>
      <c r="K95">
        <v>23.777000000000001</v>
      </c>
      <c r="L95">
        <v>14.337</v>
      </c>
      <c r="M95">
        <v>1.4730000000000001</v>
      </c>
      <c r="N95">
        <v>6.54</v>
      </c>
      <c r="O95">
        <v>47.615000000000002</v>
      </c>
      <c r="P95">
        <v>19.472000000000001</v>
      </c>
      <c r="Q95">
        <v>3.698</v>
      </c>
      <c r="R95">
        <v>8.2569999999999997</v>
      </c>
      <c r="S95">
        <v>5.7110000000000003</v>
      </c>
      <c r="T95">
        <v>8.8800000000000008</v>
      </c>
      <c r="U95">
        <v>5.4290000000000003</v>
      </c>
      <c r="V95">
        <v>16.640999999999998</v>
      </c>
      <c r="W95">
        <v>31.271999999999998</v>
      </c>
      <c r="X95">
        <v>14.617000000000001</v>
      </c>
      <c r="Y95">
        <v>17.57</v>
      </c>
      <c r="Z95">
        <v>20.818000000000001</v>
      </c>
      <c r="AA95">
        <v>8.1050000000000004</v>
      </c>
      <c r="AB95">
        <v>1.5109999999999999</v>
      </c>
      <c r="AC95">
        <v>7.1150000000000002</v>
      </c>
      <c r="AD95">
        <v>24.376999999999999</v>
      </c>
      <c r="AE95">
        <v>3.7879999999999998</v>
      </c>
      <c r="AF95">
        <v>46.192</v>
      </c>
      <c r="AG95">
        <v>411.46800000000002</v>
      </c>
      <c r="AH95">
        <v>5.3230000000000004</v>
      </c>
      <c r="AI95">
        <v>7.7569999999999997</v>
      </c>
      <c r="AJ95">
        <v>2.468</v>
      </c>
      <c r="AK95">
        <v>42.048000000000002</v>
      </c>
      <c r="AL95">
        <v>7.9790000000000001</v>
      </c>
      <c r="AM95">
        <v>197.84</v>
      </c>
      <c r="AN95">
        <v>20.728999999999999</v>
      </c>
      <c r="AO95">
        <v>33.085999999999999</v>
      </c>
      <c r="AP95">
        <v>30.916</v>
      </c>
      <c r="AQ95">
        <v>69.402000000000001</v>
      </c>
      <c r="AR95">
        <v>143.26</v>
      </c>
      <c r="AS95">
        <v>124.676</v>
      </c>
      <c r="AT95">
        <v>33.906999999999996</v>
      </c>
      <c r="AU95">
        <v>38.090000000000003</v>
      </c>
      <c r="AV95">
        <v>46.442</v>
      </c>
      <c r="AW95">
        <v>48.537999999999997</v>
      </c>
      <c r="AX95">
        <v>26.056000000000001</v>
      </c>
      <c r="AY95">
        <v>43.137999999999998</v>
      </c>
      <c r="AZ95">
        <v>0</v>
      </c>
      <c r="BA95">
        <f>OECD_KOR2022dom!BI93</f>
        <v>4270.1400000000003</v>
      </c>
    </row>
    <row r="96" spans="1:53">
      <c r="A96" t="s">
        <v>422</v>
      </c>
      <c r="B96" t="str">
        <f>INDEX('ISIC Crosswalk'!$D$2:$D$107,MATCH(A96,'ISIC Crosswalk'!$A$2:$A$107,0),1)</f>
        <v>ISIC 69T82</v>
      </c>
      <c r="C96">
        <v>53.792000000000002</v>
      </c>
      <c r="D96">
        <v>2.68</v>
      </c>
      <c r="E96">
        <v>11.484</v>
      </c>
      <c r="F96">
        <v>0.72</v>
      </c>
      <c r="G96">
        <v>0.55200000000000005</v>
      </c>
      <c r="H96">
        <v>0.315</v>
      </c>
      <c r="I96">
        <v>10.647</v>
      </c>
      <c r="J96">
        <v>0.126</v>
      </c>
      <c r="K96">
        <v>462.98</v>
      </c>
      <c r="L96">
        <v>145.71899999999999</v>
      </c>
      <c r="M96">
        <v>15.478</v>
      </c>
      <c r="N96">
        <v>80.197999999999993</v>
      </c>
      <c r="O96">
        <v>96.015000000000001</v>
      </c>
      <c r="P96">
        <v>410.69</v>
      </c>
      <c r="Q96">
        <v>111.404</v>
      </c>
      <c r="R96">
        <v>162.28</v>
      </c>
      <c r="S96">
        <v>93.022999999999996</v>
      </c>
      <c r="T96">
        <v>150.58600000000001</v>
      </c>
      <c r="U96">
        <v>63.518999999999998</v>
      </c>
      <c r="V96">
        <v>203.28</v>
      </c>
      <c r="W96">
        <v>827.34299999999996</v>
      </c>
      <c r="X96">
        <v>231.13300000000001</v>
      </c>
      <c r="Y96">
        <v>319.50599999999997</v>
      </c>
      <c r="Z96">
        <v>542.46100000000001</v>
      </c>
      <c r="AA96">
        <v>103.672</v>
      </c>
      <c r="AB96">
        <v>34.909999999999997</v>
      </c>
      <c r="AC96">
        <v>69.798000000000002</v>
      </c>
      <c r="AD96">
        <v>318.19299999999998</v>
      </c>
      <c r="AE96">
        <v>55.515000000000001</v>
      </c>
      <c r="AF96">
        <v>783.46900000000005</v>
      </c>
      <c r="AG96">
        <v>1699.0039999999999</v>
      </c>
      <c r="AH96">
        <v>34.362000000000002</v>
      </c>
      <c r="AI96">
        <v>64.760999999999996</v>
      </c>
      <c r="AJ96">
        <v>24.026</v>
      </c>
      <c r="AK96">
        <v>228.001</v>
      </c>
      <c r="AL96">
        <v>45.222000000000001</v>
      </c>
      <c r="AM96">
        <v>564.78200000000004</v>
      </c>
      <c r="AN96">
        <v>266.935</v>
      </c>
      <c r="AO96">
        <v>318.27199999999999</v>
      </c>
      <c r="AP96">
        <v>285.25</v>
      </c>
      <c r="AQ96">
        <v>849.76599999999996</v>
      </c>
      <c r="AR96">
        <v>555.98500000000001</v>
      </c>
      <c r="AS96">
        <v>3500.3960000000002</v>
      </c>
      <c r="AT96">
        <v>351.04300000000001</v>
      </c>
      <c r="AU96">
        <v>433.48899999999998</v>
      </c>
      <c r="AV96">
        <v>285.70499999999998</v>
      </c>
      <c r="AW96">
        <v>324.34899999999999</v>
      </c>
      <c r="AX96">
        <v>167.30699999999999</v>
      </c>
      <c r="AY96">
        <v>255.226</v>
      </c>
      <c r="AZ96">
        <v>0</v>
      </c>
      <c r="BA96">
        <f>OECD_KOR2022dom!BI94</f>
        <v>22730.969000000001</v>
      </c>
    </row>
    <row r="97" spans="1:53">
      <c r="A97" t="s">
        <v>421</v>
      </c>
      <c r="B97" t="str">
        <f>INDEX('ISIC Crosswalk'!$D$2:$D$107,MATCH(A97,'ISIC Crosswalk'!$A$2:$A$107,0),1)</f>
        <v>ISIC 69T82</v>
      </c>
      <c r="C97">
        <v>69.313000000000002</v>
      </c>
      <c r="D97">
        <v>8.4529999999999994</v>
      </c>
      <c r="E97">
        <v>19.059000000000001</v>
      </c>
      <c r="F97">
        <v>1.286</v>
      </c>
      <c r="G97">
        <v>1.242</v>
      </c>
      <c r="H97">
        <v>0.67300000000000004</v>
      </c>
      <c r="I97">
        <v>22.911999999999999</v>
      </c>
      <c r="J97">
        <v>0.14699999999999999</v>
      </c>
      <c r="K97">
        <v>386.97699999999998</v>
      </c>
      <c r="L97">
        <v>126.83</v>
      </c>
      <c r="M97">
        <v>20.329999999999998</v>
      </c>
      <c r="N97">
        <v>97.849000000000004</v>
      </c>
      <c r="O97">
        <v>94.53</v>
      </c>
      <c r="P97">
        <v>358.03</v>
      </c>
      <c r="Q97">
        <v>83.766999999999996</v>
      </c>
      <c r="R97">
        <v>141.17599999999999</v>
      </c>
      <c r="S97">
        <v>117.28</v>
      </c>
      <c r="T97">
        <v>120.322</v>
      </c>
      <c r="U97">
        <v>64.417000000000002</v>
      </c>
      <c r="V97">
        <v>201.83199999999999</v>
      </c>
      <c r="W97">
        <v>439.00599999999997</v>
      </c>
      <c r="X97">
        <v>247.43100000000001</v>
      </c>
      <c r="Y97">
        <v>354.42200000000003</v>
      </c>
      <c r="Z97">
        <v>402.42200000000003</v>
      </c>
      <c r="AA97">
        <v>89.418999999999997</v>
      </c>
      <c r="AB97">
        <v>33.454999999999998</v>
      </c>
      <c r="AC97">
        <v>74.679000000000002</v>
      </c>
      <c r="AD97">
        <v>309.52999999999997</v>
      </c>
      <c r="AE97">
        <v>122.32</v>
      </c>
      <c r="AF97">
        <v>829.17100000000005</v>
      </c>
      <c r="AG97">
        <v>1640.8150000000001</v>
      </c>
      <c r="AH97">
        <v>95.894999999999996</v>
      </c>
      <c r="AI97">
        <v>257.14400000000001</v>
      </c>
      <c r="AJ97">
        <v>98.295000000000002</v>
      </c>
      <c r="AK97">
        <v>456.899</v>
      </c>
      <c r="AL97">
        <v>103</v>
      </c>
      <c r="AM97">
        <v>644.04999999999995</v>
      </c>
      <c r="AN97">
        <v>308.58300000000003</v>
      </c>
      <c r="AO97">
        <v>410.108</v>
      </c>
      <c r="AP97">
        <v>377.05</v>
      </c>
      <c r="AQ97">
        <v>676.02</v>
      </c>
      <c r="AR97">
        <v>711.39599999999996</v>
      </c>
      <c r="AS97">
        <v>1513.9190000000001</v>
      </c>
      <c r="AT97">
        <v>797.70100000000002</v>
      </c>
      <c r="AU97">
        <v>652.63199999999995</v>
      </c>
      <c r="AV97">
        <v>602.67200000000003</v>
      </c>
      <c r="AW97">
        <v>467.38499999999999</v>
      </c>
      <c r="AX97">
        <v>291.80200000000002</v>
      </c>
      <c r="AY97">
        <v>281.89800000000002</v>
      </c>
      <c r="AZ97">
        <v>0</v>
      </c>
      <c r="BA97">
        <f>OECD_KOR2022dom!BI95</f>
        <v>17674.398000000001</v>
      </c>
    </row>
    <row r="98" spans="1:53">
      <c r="A98" t="s">
        <v>420</v>
      </c>
      <c r="B98" t="str">
        <f>INDEX('ISIC Crosswalk'!$D$2:$D$107,MATCH(A98,'ISIC Crosswalk'!$A$2:$A$107,0),1)</f>
        <v>ISIC 84</v>
      </c>
      <c r="C98">
        <v>2.0009999999999999</v>
      </c>
      <c r="D98">
        <v>0.35099999999999998</v>
      </c>
      <c r="E98">
        <v>0.39300000000000002</v>
      </c>
      <c r="F98">
        <v>1.9E-2</v>
      </c>
      <c r="G98">
        <v>8.0000000000000002E-3</v>
      </c>
      <c r="H98">
        <v>7.0000000000000001E-3</v>
      </c>
      <c r="I98">
        <v>0.23100000000000001</v>
      </c>
      <c r="J98">
        <v>1E-3</v>
      </c>
      <c r="K98">
        <v>11.983000000000001</v>
      </c>
      <c r="L98">
        <v>2.1179999999999999</v>
      </c>
      <c r="M98">
        <v>0.99</v>
      </c>
      <c r="N98">
        <v>1.4750000000000001</v>
      </c>
      <c r="O98">
        <v>4.891</v>
      </c>
      <c r="P98">
        <v>9.0449999999999999</v>
      </c>
      <c r="Q98">
        <v>1.4970000000000001</v>
      </c>
      <c r="R98">
        <v>2.8690000000000002</v>
      </c>
      <c r="S98">
        <v>1.8480000000000001</v>
      </c>
      <c r="T98">
        <v>4.6230000000000002</v>
      </c>
      <c r="U98">
        <v>2.97</v>
      </c>
      <c r="V98">
        <v>2.5830000000000002</v>
      </c>
      <c r="W98">
        <v>10.134</v>
      </c>
      <c r="X98">
        <v>3.7989999999999999</v>
      </c>
      <c r="Y98">
        <v>10.63</v>
      </c>
      <c r="Z98">
        <v>6.6909999999999998</v>
      </c>
      <c r="AA98">
        <v>1.661</v>
      </c>
      <c r="AB98">
        <v>0.48099999999999998</v>
      </c>
      <c r="AC98">
        <v>1.2350000000000001</v>
      </c>
      <c r="AD98">
        <v>4.8070000000000004</v>
      </c>
      <c r="AE98">
        <v>0.83</v>
      </c>
      <c r="AF98">
        <v>6.782</v>
      </c>
      <c r="AG98">
        <v>20.221</v>
      </c>
      <c r="AH98">
        <v>1.9530000000000001</v>
      </c>
      <c r="AI98">
        <v>7.9370000000000003</v>
      </c>
      <c r="AJ98">
        <v>1.897</v>
      </c>
      <c r="AK98">
        <v>12.654999999999999</v>
      </c>
      <c r="AL98">
        <v>1.258</v>
      </c>
      <c r="AM98">
        <v>8.7070000000000007</v>
      </c>
      <c r="AN98">
        <v>3.6349999999999998</v>
      </c>
      <c r="AO98">
        <v>2.9140000000000001</v>
      </c>
      <c r="AP98">
        <v>6.008</v>
      </c>
      <c r="AQ98">
        <v>5.4109999999999996</v>
      </c>
      <c r="AR98">
        <v>3.9990000000000001</v>
      </c>
      <c r="AS98">
        <v>13.247</v>
      </c>
      <c r="AT98">
        <v>3.4039999999999999</v>
      </c>
      <c r="AU98">
        <v>4.6070000000000002</v>
      </c>
      <c r="AV98">
        <v>3.629</v>
      </c>
      <c r="AW98">
        <v>4.819</v>
      </c>
      <c r="AX98">
        <v>3.4020000000000001</v>
      </c>
      <c r="AY98">
        <v>2.3580000000000001</v>
      </c>
      <c r="AZ98">
        <v>0</v>
      </c>
      <c r="BA98">
        <f>OECD_KOR2022dom!BI96</f>
        <v>364.78800000000001</v>
      </c>
    </row>
    <row r="99" spans="1:53">
      <c r="A99" t="s">
        <v>419</v>
      </c>
      <c r="B99" t="str">
        <f>INDEX('ISIC Crosswalk'!$D$2:$D$107,MATCH(A99,'ISIC Crosswalk'!$A$2:$A$107,0),1)</f>
        <v>ISIC 85</v>
      </c>
      <c r="C99">
        <v>0.83499999999999996</v>
      </c>
      <c r="D99">
        <v>0.11799999999999999</v>
      </c>
      <c r="E99">
        <v>0.21</v>
      </c>
      <c r="F99">
        <v>1.2999999999999999E-2</v>
      </c>
      <c r="G99">
        <v>6.0000000000000001E-3</v>
      </c>
      <c r="H99">
        <v>4.0000000000000001E-3</v>
      </c>
      <c r="I99">
        <v>0.14199999999999999</v>
      </c>
      <c r="J99">
        <v>1E-3</v>
      </c>
      <c r="K99">
        <v>4.2160000000000002</v>
      </c>
      <c r="L99">
        <v>2.218</v>
      </c>
      <c r="M99">
        <v>0.34100000000000003</v>
      </c>
      <c r="N99">
        <v>1.8460000000000001</v>
      </c>
      <c r="O99">
        <v>2.3479999999999999</v>
      </c>
      <c r="P99">
        <v>7.1479999999999997</v>
      </c>
      <c r="Q99">
        <v>1.4019999999999999</v>
      </c>
      <c r="R99">
        <v>2.806</v>
      </c>
      <c r="S99">
        <v>0.98399999999999999</v>
      </c>
      <c r="T99">
        <v>1.79</v>
      </c>
      <c r="U99">
        <v>0.76800000000000002</v>
      </c>
      <c r="V99">
        <v>1.3779999999999999</v>
      </c>
      <c r="W99">
        <v>5.3330000000000002</v>
      </c>
      <c r="X99">
        <v>2.65</v>
      </c>
      <c r="Y99">
        <v>2.9649999999999999</v>
      </c>
      <c r="Z99">
        <v>7.1219999999999999</v>
      </c>
      <c r="AA99">
        <v>1.1040000000000001</v>
      </c>
      <c r="AB99">
        <v>0.376</v>
      </c>
      <c r="AC99">
        <v>0.88100000000000001</v>
      </c>
      <c r="AD99">
        <v>2.7690000000000001</v>
      </c>
      <c r="AE99">
        <v>0.498</v>
      </c>
      <c r="AF99">
        <v>3.5030000000000001</v>
      </c>
      <c r="AG99">
        <v>9.9830000000000005</v>
      </c>
      <c r="AH99">
        <v>0.79700000000000004</v>
      </c>
      <c r="AI99">
        <v>4.7779999999999996</v>
      </c>
      <c r="AJ99">
        <v>0.69499999999999995</v>
      </c>
      <c r="AK99">
        <v>3.9350000000000001</v>
      </c>
      <c r="AL99">
        <v>0.81299999999999994</v>
      </c>
      <c r="AM99">
        <v>3.4740000000000002</v>
      </c>
      <c r="AN99">
        <v>2.4990000000000001</v>
      </c>
      <c r="AO99">
        <v>3.024</v>
      </c>
      <c r="AP99">
        <v>7.7610000000000001</v>
      </c>
      <c r="AQ99">
        <v>4.4119999999999999</v>
      </c>
      <c r="AR99">
        <v>1.7430000000000001</v>
      </c>
      <c r="AS99">
        <v>31.404</v>
      </c>
      <c r="AT99">
        <v>2.3180000000000001</v>
      </c>
      <c r="AU99">
        <v>5.4210000000000003</v>
      </c>
      <c r="AV99">
        <v>3.125</v>
      </c>
      <c r="AW99">
        <v>4.3070000000000004</v>
      </c>
      <c r="AX99">
        <v>1.484</v>
      </c>
      <c r="AY99">
        <v>1.7130000000000001</v>
      </c>
      <c r="AZ99">
        <v>0</v>
      </c>
      <c r="BA99">
        <f>OECD_KOR2022dom!BI97</f>
        <v>1246.0139999999999</v>
      </c>
    </row>
    <row r="100" spans="1:53">
      <c r="A100" t="s">
        <v>418</v>
      </c>
      <c r="B100" t="str">
        <f>INDEX('ISIC Crosswalk'!$D$2:$D$107,MATCH(A100,'ISIC Crosswalk'!$A$2:$A$107,0),1)</f>
        <v>ISIC 86T88</v>
      </c>
      <c r="C100">
        <v>0.58899999999999997</v>
      </c>
      <c r="D100">
        <v>2.9000000000000001E-2</v>
      </c>
      <c r="E100">
        <v>0.151</v>
      </c>
      <c r="F100">
        <v>5.0000000000000001E-3</v>
      </c>
      <c r="G100">
        <v>2E-3</v>
      </c>
      <c r="H100">
        <v>2E-3</v>
      </c>
      <c r="I100">
        <v>5.8999999999999997E-2</v>
      </c>
      <c r="J100">
        <v>0</v>
      </c>
      <c r="K100">
        <v>2.2069999999999999</v>
      </c>
      <c r="L100">
        <v>1.01</v>
      </c>
      <c r="M100">
        <v>0.11799999999999999</v>
      </c>
      <c r="N100">
        <v>0.55900000000000005</v>
      </c>
      <c r="O100">
        <v>1.6020000000000001</v>
      </c>
      <c r="P100">
        <v>4.9950000000000001</v>
      </c>
      <c r="Q100">
        <v>1.5329999999999999</v>
      </c>
      <c r="R100">
        <v>1.627</v>
      </c>
      <c r="S100">
        <v>0.53900000000000003</v>
      </c>
      <c r="T100">
        <v>1.593</v>
      </c>
      <c r="U100">
        <v>0.626</v>
      </c>
      <c r="V100">
        <v>1.63</v>
      </c>
      <c r="W100">
        <v>34.851999999999997</v>
      </c>
      <c r="X100">
        <v>5.1970000000000001</v>
      </c>
      <c r="Y100">
        <v>5.89</v>
      </c>
      <c r="Z100">
        <v>4.4370000000000003</v>
      </c>
      <c r="AA100">
        <v>1.1879999999999999</v>
      </c>
      <c r="AB100">
        <v>0.26500000000000001</v>
      </c>
      <c r="AC100">
        <v>0.94299999999999995</v>
      </c>
      <c r="AD100">
        <v>1.427</v>
      </c>
      <c r="AE100">
        <v>0.29899999999999999</v>
      </c>
      <c r="AF100">
        <v>3.528</v>
      </c>
      <c r="AG100">
        <v>4.7759999999999998</v>
      </c>
      <c r="AH100">
        <v>0.46600000000000003</v>
      </c>
      <c r="AI100">
        <v>1.206</v>
      </c>
      <c r="AJ100">
        <v>0.47399999999999998</v>
      </c>
      <c r="AK100">
        <v>2.173</v>
      </c>
      <c r="AL100">
        <v>0.24</v>
      </c>
      <c r="AM100">
        <v>2.3069999999999999</v>
      </c>
      <c r="AN100">
        <v>0.70799999999999996</v>
      </c>
      <c r="AO100">
        <v>1.681</v>
      </c>
      <c r="AP100">
        <v>1.5</v>
      </c>
      <c r="AQ100">
        <v>1.117</v>
      </c>
      <c r="AR100">
        <v>1.0549999999999999</v>
      </c>
      <c r="AS100">
        <v>4.0229999999999997</v>
      </c>
      <c r="AT100">
        <v>1.06</v>
      </c>
      <c r="AU100">
        <v>1.431</v>
      </c>
      <c r="AV100">
        <v>1.3049999999999999</v>
      </c>
      <c r="AW100">
        <v>4.641</v>
      </c>
      <c r="AX100">
        <v>0.59</v>
      </c>
      <c r="AY100">
        <v>1.431</v>
      </c>
      <c r="AZ100">
        <v>0</v>
      </c>
      <c r="BA100">
        <f>OECD_KOR2022dom!BI98</f>
        <v>369.76600000000002</v>
      </c>
    </row>
    <row r="101" spans="1:53">
      <c r="A101" t="s">
        <v>417</v>
      </c>
      <c r="B101" t="str">
        <f>INDEX('ISIC Crosswalk'!$D$2:$D$107,MATCH(A101,'ISIC Crosswalk'!$A$2:$A$107,0),1)</f>
        <v>ISIC 90T96</v>
      </c>
      <c r="C101">
        <v>1.2250000000000001</v>
      </c>
      <c r="D101">
        <v>0.17699999999999999</v>
      </c>
      <c r="E101">
        <v>0.33500000000000002</v>
      </c>
      <c r="F101">
        <v>1.2999999999999999E-2</v>
      </c>
      <c r="G101">
        <v>7.0000000000000001E-3</v>
      </c>
      <c r="H101">
        <v>7.0000000000000001E-3</v>
      </c>
      <c r="I101">
        <v>0.251</v>
      </c>
      <c r="J101">
        <v>0</v>
      </c>
      <c r="K101">
        <v>8.8989999999999991</v>
      </c>
      <c r="L101">
        <v>2.7930000000000001</v>
      </c>
      <c r="M101">
        <v>0.33</v>
      </c>
      <c r="N101">
        <v>1.895</v>
      </c>
      <c r="O101">
        <v>1.365</v>
      </c>
      <c r="P101">
        <v>6.5960000000000001</v>
      </c>
      <c r="Q101">
        <v>1.6</v>
      </c>
      <c r="R101">
        <v>2.4020000000000001</v>
      </c>
      <c r="S101">
        <v>1.81</v>
      </c>
      <c r="T101">
        <v>1.542</v>
      </c>
      <c r="U101">
        <v>1.1220000000000001</v>
      </c>
      <c r="V101">
        <v>3.0249999999999999</v>
      </c>
      <c r="W101">
        <v>7.2850000000000001</v>
      </c>
      <c r="X101">
        <v>2.9380000000000002</v>
      </c>
      <c r="Y101">
        <v>5.5039999999999996</v>
      </c>
      <c r="Z101">
        <v>8.23</v>
      </c>
      <c r="AA101">
        <v>2.4129999999999998</v>
      </c>
      <c r="AB101">
        <v>0.40799999999999997</v>
      </c>
      <c r="AC101">
        <v>1.9359999999999999</v>
      </c>
      <c r="AD101">
        <v>3.8159999999999998</v>
      </c>
      <c r="AE101">
        <v>1.5229999999999999</v>
      </c>
      <c r="AF101">
        <v>9.4429999999999996</v>
      </c>
      <c r="AG101">
        <v>34.923999999999999</v>
      </c>
      <c r="AH101">
        <v>1.079</v>
      </c>
      <c r="AI101">
        <v>2.2330000000000001</v>
      </c>
      <c r="AJ101">
        <v>0.67700000000000005</v>
      </c>
      <c r="AK101">
        <v>3.843</v>
      </c>
      <c r="AL101">
        <v>1.105</v>
      </c>
      <c r="AM101">
        <v>65.41</v>
      </c>
      <c r="AN101">
        <v>152.23099999999999</v>
      </c>
      <c r="AO101">
        <v>5.6529999999999996</v>
      </c>
      <c r="AP101">
        <v>5.3419999999999996</v>
      </c>
      <c r="AQ101">
        <v>9.8970000000000002</v>
      </c>
      <c r="AR101">
        <v>5.9450000000000003</v>
      </c>
      <c r="AS101">
        <v>54.323999999999998</v>
      </c>
      <c r="AT101">
        <v>13.927</v>
      </c>
      <c r="AU101">
        <v>35.887999999999998</v>
      </c>
      <c r="AV101">
        <v>30.919</v>
      </c>
      <c r="AW101">
        <v>14.127000000000001</v>
      </c>
      <c r="AX101">
        <v>337.65199999999999</v>
      </c>
      <c r="AY101">
        <v>23.998000000000001</v>
      </c>
      <c r="AZ101">
        <v>0</v>
      </c>
      <c r="BA101">
        <f>OECD_KOR2022dom!BI99</f>
        <v>3018.2579999999998</v>
      </c>
    </row>
    <row r="102" spans="1:53">
      <c r="A102" t="s">
        <v>416</v>
      </c>
      <c r="B102" t="str">
        <f>INDEX('ISIC Crosswalk'!$D$2:$D$107,MATCH(A102,'ISIC Crosswalk'!$A$2:$A$107,0),1)</f>
        <v>ISIC 90T96</v>
      </c>
      <c r="C102">
        <v>1.0129999999999999</v>
      </c>
      <c r="D102">
        <v>5.2999999999999999E-2</v>
      </c>
      <c r="E102">
        <v>0.28599999999999998</v>
      </c>
      <c r="F102">
        <v>8.9999999999999993E-3</v>
      </c>
      <c r="G102">
        <v>3.0000000000000001E-3</v>
      </c>
      <c r="H102">
        <v>3.0000000000000001E-3</v>
      </c>
      <c r="I102">
        <v>0.109</v>
      </c>
      <c r="J102">
        <v>0</v>
      </c>
      <c r="K102">
        <v>4.3579999999999997</v>
      </c>
      <c r="L102">
        <v>3.262</v>
      </c>
      <c r="M102">
        <v>0.251</v>
      </c>
      <c r="N102">
        <v>0.78100000000000003</v>
      </c>
      <c r="O102">
        <v>2.6379999999999999</v>
      </c>
      <c r="P102">
        <v>5.0890000000000004</v>
      </c>
      <c r="Q102">
        <v>1.159</v>
      </c>
      <c r="R102">
        <v>1.405</v>
      </c>
      <c r="S102">
        <v>0.872</v>
      </c>
      <c r="T102">
        <v>2.1680000000000001</v>
      </c>
      <c r="U102">
        <v>0.89600000000000002</v>
      </c>
      <c r="V102">
        <v>1.282</v>
      </c>
      <c r="W102">
        <v>7.5780000000000003</v>
      </c>
      <c r="X102">
        <v>2.0430000000000001</v>
      </c>
      <c r="Y102">
        <v>2.9169999999999998</v>
      </c>
      <c r="Z102">
        <v>2.9319999999999999</v>
      </c>
      <c r="AA102">
        <v>0.60899999999999999</v>
      </c>
      <c r="AB102">
        <v>0.223</v>
      </c>
      <c r="AC102">
        <v>0.749</v>
      </c>
      <c r="AD102">
        <v>3.3250000000000002</v>
      </c>
      <c r="AE102">
        <v>0.39700000000000002</v>
      </c>
      <c r="AF102">
        <v>3.0649999999999999</v>
      </c>
      <c r="AG102">
        <v>6.6890000000000001</v>
      </c>
      <c r="AH102">
        <v>0.87</v>
      </c>
      <c r="AI102">
        <v>2.492</v>
      </c>
      <c r="AJ102">
        <v>1.0489999999999999</v>
      </c>
      <c r="AK102">
        <v>4.3079999999999998</v>
      </c>
      <c r="AL102">
        <v>0.375</v>
      </c>
      <c r="AM102">
        <v>3.8809999999999998</v>
      </c>
      <c r="AN102">
        <v>1.0189999999999999</v>
      </c>
      <c r="AO102">
        <v>0.97</v>
      </c>
      <c r="AP102">
        <v>1.3129999999999999</v>
      </c>
      <c r="AQ102">
        <v>1.1930000000000001</v>
      </c>
      <c r="AR102">
        <v>0.92700000000000005</v>
      </c>
      <c r="AS102">
        <v>3.5190000000000001</v>
      </c>
      <c r="AT102">
        <v>1.149</v>
      </c>
      <c r="AU102">
        <v>1.6</v>
      </c>
      <c r="AV102">
        <v>1.2370000000000001</v>
      </c>
      <c r="AW102">
        <v>3.3690000000000002</v>
      </c>
      <c r="AX102">
        <v>0.95299999999999996</v>
      </c>
      <c r="AY102">
        <v>1.0720000000000001</v>
      </c>
      <c r="AZ102">
        <v>0</v>
      </c>
      <c r="BA102">
        <f>OECD_KOR2022dom!BI100</f>
        <v>350.55500000000001</v>
      </c>
    </row>
    <row r="103" spans="1:53">
      <c r="A103" t="s">
        <v>415</v>
      </c>
      <c r="B103" t="str">
        <f>INDEX('ISIC Crosswalk'!$D$2:$D$107,MATCH(A103,'ISIC Crosswalk'!$A$2:$A$107,0),1)</f>
        <v>ISIC 97T98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f>OECD_KOR2022dom!BI101</f>
        <v>0</v>
      </c>
    </row>
    <row r="104" spans="1:53">
      <c r="A104" t="s">
        <v>414</v>
      </c>
      <c r="B104" t="str">
        <f>INDEX('ISIC Crosswalk'!$D$2:$D$107,MATCH(A104,'ISIC Crosswalk'!$A$2:$A$107,0),1)</f>
        <v>OTHER IMPORTS</v>
      </c>
      <c r="C104">
        <v>16.452000000000002</v>
      </c>
      <c r="D104">
        <v>1.143</v>
      </c>
      <c r="E104">
        <v>7.5430000000000001</v>
      </c>
      <c r="F104">
        <v>0.26900000000000002</v>
      </c>
      <c r="G104">
        <v>0.191</v>
      </c>
      <c r="H104">
        <v>9.7000000000000003E-2</v>
      </c>
      <c r="I104">
        <v>3.5720000000000001</v>
      </c>
      <c r="J104">
        <v>1.2999999999999999E-2</v>
      </c>
      <c r="K104">
        <v>18.120999999999999</v>
      </c>
      <c r="L104">
        <v>121.259</v>
      </c>
      <c r="M104">
        <v>6.6639999999999997</v>
      </c>
      <c r="N104">
        <v>31.390999999999998</v>
      </c>
      <c r="O104">
        <v>1464.431</v>
      </c>
      <c r="P104">
        <v>370.05099999999999</v>
      </c>
      <c r="Q104">
        <v>30.678999999999998</v>
      </c>
      <c r="R104">
        <v>92.34</v>
      </c>
      <c r="S104">
        <v>43.963000000000001</v>
      </c>
      <c r="T104">
        <v>114.58</v>
      </c>
      <c r="U104">
        <v>70.016999999999996</v>
      </c>
      <c r="V104">
        <v>71.686000000000007</v>
      </c>
      <c r="W104">
        <v>572.10199999999998</v>
      </c>
      <c r="X104">
        <v>151.05500000000001</v>
      </c>
      <c r="Y104">
        <v>154.4</v>
      </c>
      <c r="Z104">
        <v>405.74400000000003</v>
      </c>
      <c r="AA104">
        <v>42.768999999999998</v>
      </c>
      <c r="AB104">
        <v>12.497999999999999</v>
      </c>
      <c r="AC104">
        <v>39.557000000000002</v>
      </c>
      <c r="AD104">
        <v>462.50299999999999</v>
      </c>
      <c r="AE104">
        <v>11.366</v>
      </c>
      <c r="AF104">
        <v>146.066</v>
      </c>
      <c r="AG104">
        <v>142.38800000000001</v>
      </c>
      <c r="AH104">
        <v>21.32</v>
      </c>
      <c r="AI104">
        <v>42.674999999999997</v>
      </c>
      <c r="AJ104">
        <v>17.562999999999999</v>
      </c>
      <c r="AK104">
        <v>36.984000000000002</v>
      </c>
      <c r="AL104">
        <v>8.3089999999999993</v>
      </c>
      <c r="AM104">
        <v>65.393000000000001</v>
      </c>
      <c r="AN104">
        <v>18.292999999999999</v>
      </c>
      <c r="AO104">
        <v>29.802</v>
      </c>
      <c r="AP104">
        <v>21.501999999999999</v>
      </c>
      <c r="AQ104">
        <v>22.526</v>
      </c>
      <c r="AR104">
        <v>23.707999999999998</v>
      </c>
      <c r="AS104">
        <v>67.822000000000003</v>
      </c>
      <c r="AT104">
        <v>24.213000000000001</v>
      </c>
      <c r="AU104">
        <v>35.012999999999998</v>
      </c>
      <c r="AV104">
        <v>30.567</v>
      </c>
      <c r="AW104">
        <v>90.302000000000007</v>
      </c>
      <c r="AX104">
        <v>16.024999999999999</v>
      </c>
      <c r="AY104">
        <v>38.134999999999998</v>
      </c>
      <c r="AZ104">
        <v>0</v>
      </c>
      <c r="BA104">
        <f>OECD_KOR2022dom!BI102</f>
        <v>7454.6170000000002</v>
      </c>
    </row>
    <row r="105" spans="1:53">
      <c r="A105" t="s">
        <v>413</v>
      </c>
      <c r="B105">
        <f>INDEX('ISIC Crosswalk'!$D$2:$D$107,MATCH(A105,'ISIC Crosswalk'!$A$2:$A$107,0),1)</f>
        <v>0</v>
      </c>
      <c r="C105">
        <v>341.98200000000003</v>
      </c>
      <c r="D105">
        <v>54.661000000000001</v>
      </c>
      <c r="E105">
        <v>441.726</v>
      </c>
      <c r="F105">
        <v>6.2670000000000003</v>
      </c>
      <c r="G105">
        <v>1.9379999999999999</v>
      </c>
      <c r="H105">
        <v>3.3410000000000002</v>
      </c>
      <c r="I105">
        <v>106.355</v>
      </c>
      <c r="J105">
        <v>0.42099999999999999</v>
      </c>
      <c r="K105">
        <v>-776.70100000000002</v>
      </c>
      <c r="L105">
        <v>1021.377</v>
      </c>
      <c r="M105">
        <v>194.21799999999999</v>
      </c>
      <c r="N105">
        <v>486.565</v>
      </c>
      <c r="O105">
        <v>594.91399999999999</v>
      </c>
      <c r="P105">
        <v>3627.578</v>
      </c>
      <c r="Q105">
        <v>790.06</v>
      </c>
      <c r="R105">
        <v>1017.84</v>
      </c>
      <c r="S105">
        <v>1014.4829999999999</v>
      </c>
      <c r="T105">
        <v>3096.4290000000001</v>
      </c>
      <c r="U105">
        <v>820.87699999999995</v>
      </c>
      <c r="V105">
        <v>1038.3889999999999</v>
      </c>
      <c r="W105">
        <v>3994.9059999999999</v>
      </c>
      <c r="X105">
        <v>1834.9480000000001</v>
      </c>
      <c r="Y105">
        <v>2017.915</v>
      </c>
      <c r="Z105">
        <v>4092.527</v>
      </c>
      <c r="AA105">
        <v>468.78800000000001</v>
      </c>
      <c r="AB105">
        <v>151.376</v>
      </c>
      <c r="AC105">
        <v>611.88800000000003</v>
      </c>
      <c r="AD105">
        <v>-18.574000000000002</v>
      </c>
      <c r="AE105">
        <v>358.59199999999998</v>
      </c>
      <c r="AF105">
        <v>3856.4180000000001</v>
      </c>
      <c r="AG105">
        <v>4851.4650000000001</v>
      </c>
      <c r="AH105">
        <v>1249.249</v>
      </c>
      <c r="AI105">
        <v>411.95800000000003</v>
      </c>
      <c r="AJ105">
        <v>160.39699999999999</v>
      </c>
      <c r="AK105">
        <v>1081.336</v>
      </c>
      <c r="AL105">
        <v>274.971</v>
      </c>
      <c r="AM105">
        <v>5260.335</v>
      </c>
      <c r="AN105">
        <v>430.24299999999999</v>
      </c>
      <c r="AO105">
        <v>507.50200000000001</v>
      </c>
      <c r="AP105">
        <v>430.30799999999999</v>
      </c>
      <c r="AQ105">
        <v>2790.116</v>
      </c>
      <c r="AR105">
        <v>1060.681</v>
      </c>
      <c r="AS105">
        <v>2141.8789999999999</v>
      </c>
      <c r="AT105">
        <v>798.54</v>
      </c>
      <c r="AU105">
        <v>1490.2460000000001</v>
      </c>
      <c r="AV105">
        <v>1056.297</v>
      </c>
      <c r="AW105">
        <v>3320.45</v>
      </c>
      <c r="AX105">
        <v>521.29399999999998</v>
      </c>
      <c r="AY105">
        <v>974.63300000000004</v>
      </c>
      <c r="AZ105">
        <v>0</v>
      </c>
      <c r="BA105">
        <f>OECD_KOR2022dom!BI103</f>
        <v>134091.87100000001</v>
      </c>
    </row>
    <row r="106" spans="1:53">
      <c r="A106" t="s">
        <v>412</v>
      </c>
      <c r="B106">
        <f>INDEX('ISIC Crosswalk'!$D$2:$D$107,MATCH(A106,'ISIC Crosswalk'!$A$2:$A$107,0),1)</f>
        <v>0</v>
      </c>
      <c r="C106">
        <v>23423.002</v>
      </c>
      <c r="D106">
        <v>1390.261</v>
      </c>
      <c r="E106">
        <v>5436.7730000000001</v>
      </c>
      <c r="F106">
        <v>151.624</v>
      </c>
      <c r="G106">
        <v>73.498000000000005</v>
      </c>
      <c r="H106">
        <v>70.545000000000002</v>
      </c>
      <c r="I106">
        <v>2134.5160000000001</v>
      </c>
      <c r="J106">
        <v>9.1069999999999993</v>
      </c>
      <c r="K106">
        <v>108697.659</v>
      </c>
      <c r="L106">
        <v>53314.726000000002</v>
      </c>
      <c r="M106">
        <v>6593.6509999999998</v>
      </c>
      <c r="N106">
        <v>27333.028999999999</v>
      </c>
      <c r="O106">
        <v>139577.16</v>
      </c>
      <c r="P106">
        <v>175393.35399999999</v>
      </c>
      <c r="Q106">
        <v>19205.414000000001</v>
      </c>
      <c r="R106">
        <v>62264.84</v>
      </c>
      <c r="S106">
        <v>27195.938999999998</v>
      </c>
      <c r="T106">
        <v>89208.005999999994</v>
      </c>
      <c r="U106">
        <v>42461.186999999998</v>
      </c>
      <c r="V106">
        <v>72054.460000000006</v>
      </c>
      <c r="W106">
        <v>212963.68299999999</v>
      </c>
      <c r="X106">
        <v>90781.042000000001</v>
      </c>
      <c r="Y106">
        <v>109757.289</v>
      </c>
      <c r="Z106">
        <v>176818.39199999999</v>
      </c>
      <c r="AA106">
        <v>28342.962</v>
      </c>
      <c r="AB106">
        <v>7876.82</v>
      </c>
      <c r="AC106">
        <v>19297.618999999999</v>
      </c>
      <c r="AD106">
        <v>88674.388000000006</v>
      </c>
      <c r="AE106">
        <v>13944.585999999999</v>
      </c>
      <c r="AF106">
        <v>148060.451</v>
      </c>
      <c r="AG106">
        <v>142732.68900000001</v>
      </c>
      <c r="AH106">
        <v>13792.736000000001</v>
      </c>
      <c r="AI106">
        <v>27245.834999999999</v>
      </c>
      <c r="AJ106">
        <v>11417.507</v>
      </c>
      <c r="AK106">
        <v>36736.131999999998</v>
      </c>
      <c r="AL106">
        <v>11223.815000000001</v>
      </c>
      <c r="AM106">
        <v>105709.014</v>
      </c>
      <c r="AN106">
        <v>28085.48</v>
      </c>
      <c r="AO106">
        <v>29724.595000000001</v>
      </c>
      <c r="AP106">
        <v>23846.434000000001</v>
      </c>
      <c r="AQ106">
        <v>67235.218999999997</v>
      </c>
      <c r="AR106">
        <v>67551.668999999994</v>
      </c>
      <c r="AS106">
        <v>101951.944</v>
      </c>
      <c r="AT106">
        <v>27083.184000000001</v>
      </c>
      <c r="AU106">
        <v>45106.264999999999</v>
      </c>
      <c r="AV106">
        <v>38861.487000000001</v>
      </c>
      <c r="AW106">
        <v>68097.176999999996</v>
      </c>
      <c r="AX106">
        <v>20373.463</v>
      </c>
      <c r="AY106">
        <v>34319.080999999998</v>
      </c>
      <c r="AZ106">
        <v>0</v>
      </c>
      <c r="BA106">
        <f>OECD_KOR2022dom!BI104</f>
        <v>5242935.4610000001</v>
      </c>
    </row>
    <row r="107" spans="1:53">
      <c r="A107" t="s">
        <v>411</v>
      </c>
      <c r="B107">
        <f>INDEX('ISIC Crosswalk'!$D$2:$D$107,MATCH(A107,'ISIC Crosswalk'!$A$2:$A$107,0),1)</f>
        <v>0</v>
      </c>
      <c r="C107">
        <v>21648.592000000001</v>
      </c>
      <c r="D107">
        <v>1692.67</v>
      </c>
      <c r="E107">
        <v>2176.8539999999998</v>
      </c>
      <c r="F107">
        <v>106.039</v>
      </c>
      <c r="G107">
        <v>65.893000000000001</v>
      </c>
      <c r="H107">
        <v>49.241</v>
      </c>
      <c r="I107">
        <v>1139.7670000000001</v>
      </c>
      <c r="J107">
        <v>9.7240000000000002</v>
      </c>
      <c r="K107">
        <v>22558.881000000001</v>
      </c>
      <c r="L107">
        <v>12979.843999999999</v>
      </c>
      <c r="M107">
        <v>2150.451</v>
      </c>
      <c r="N107">
        <v>12291.281000000001</v>
      </c>
      <c r="O107">
        <v>16721.081999999999</v>
      </c>
      <c r="P107">
        <v>43629.26</v>
      </c>
      <c r="Q107">
        <v>13677.957</v>
      </c>
      <c r="R107">
        <v>23068.777999999998</v>
      </c>
      <c r="S107">
        <v>9023.6579999999994</v>
      </c>
      <c r="T107">
        <v>24301.778999999999</v>
      </c>
      <c r="U107">
        <v>7500.7879999999996</v>
      </c>
      <c r="V107">
        <v>31536.213</v>
      </c>
      <c r="W107">
        <v>128987.25</v>
      </c>
      <c r="X107">
        <v>27787.544999999998</v>
      </c>
      <c r="Y107">
        <v>40233.317000000003</v>
      </c>
      <c r="Z107">
        <v>39423.142</v>
      </c>
      <c r="AA107">
        <v>5999.8739999999998</v>
      </c>
      <c r="AB107">
        <v>2591.2779999999998</v>
      </c>
      <c r="AC107">
        <v>9436.116</v>
      </c>
      <c r="AD107">
        <v>18122.261999999999</v>
      </c>
      <c r="AE107">
        <v>11075.107</v>
      </c>
      <c r="AF107">
        <v>92074.751999999993</v>
      </c>
      <c r="AG107">
        <v>147054.508</v>
      </c>
      <c r="AH107">
        <v>28138.895</v>
      </c>
      <c r="AI107">
        <v>7411.2179999999998</v>
      </c>
      <c r="AJ107">
        <v>15044.25</v>
      </c>
      <c r="AK107">
        <v>14963.011</v>
      </c>
      <c r="AL107">
        <v>6968.2290000000003</v>
      </c>
      <c r="AM107">
        <v>41255.516000000003</v>
      </c>
      <c r="AN107">
        <v>25384.046999999999</v>
      </c>
      <c r="AO107">
        <v>17935.559000000001</v>
      </c>
      <c r="AP107">
        <v>30340.133999999998</v>
      </c>
      <c r="AQ107">
        <v>103421.141</v>
      </c>
      <c r="AR107">
        <v>133727.364</v>
      </c>
      <c r="AS107">
        <v>100283.421</v>
      </c>
      <c r="AT107">
        <v>55297.760999999999</v>
      </c>
      <c r="AU107">
        <v>113030.656</v>
      </c>
      <c r="AV107">
        <v>77018.817999999999</v>
      </c>
      <c r="AW107">
        <v>76578.726999999999</v>
      </c>
      <c r="AX107">
        <v>17305.885999999999</v>
      </c>
      <c r="AY107">
        <v>20654.188999999998</v>
      </c>
      <c r="AZ107">
        <v>2100.7310000000002</v>
      </c>
      <c r="BA107">
        <f>OECD_KOR2022dom!BI105</f>
        <v>1655973.456</v>
      </c>
    </row>
    <row r="108" spans="1:53">
      <c r="A108" t="s">
        <v>410</v>
      </c>
      <c r="B108">
        <f>INDEX('ISIC Crosswalk'!$D$2:$D$107,MATCH(A108,'ISIC Crosswalk'!$A$2:$A$107,0),1)</f>
        <v>0</v>
      </c>
      <c r="C108">
        <v>45071.593999999997</v>
      </c>
      <c r="D108">
        <v>3082.9319999999998</v>
      </c>
      <c r="E108">
        <v>7613.6260000000002</v>
      </c>
      <c r="F108">
        <v>257.66300000000001</v>
      </c>
      <c r="G108">
        <v>139.39099999999999</v>
      </c>
      <c r="H108">
        <v>119.78700000000001</v>
      </c>
      <c r="I108">
        <v>3274.2829999999999</v>
      </c>
      <c r="J108">
        <v>18.831</v>
      </c>
      <c r="K108">
        <v>131256.53899999999</v>
      </c>
      <c r="L108">
        <v>66294.570000000007</v>
      </c>
      <c r="M108">
        <v>8744.1020000000008</v>
      </c>
      <c r="N108">
        <v>39624.309000000001</v>
      </c>
      <c r="O108">
        <v>156298.242</v>
      </c>
      <c r="P108">
        <v>219022.614</v>
      </c>
      <c r="Q108">
        <v>32883.370999999999</v>
      </c>
      <c r="R108">
        <v>85333.618000000002</v>
      </c>
      <c r="S108">
        <v>36219.597000000002</v>
      </c>
      <c r="T108">
        <v>113509.785</v>
      </c>
      <c r="U108">
        <v>49961.974999999999</v>
      </c>
      <c r="V108">
        <v>103590.673</v>
      </c>
      <c r="W108">
        <v>341950.93400000001</v>
      </c>
      <c r="X108">
        <v>118568.587</v>
      </c>
      <c r="Y108">
        <v>149990.606</v>
      </c>
      <c r="Z108">
        <v>216241.53400000001</v>
      </c>
      <c r="AA108">
        <v>34342.836000000003</v>
      </c>
      <c r="AB108">
        <v>10468.098</v>
      </c>
      <c r="AC108">
        <v>28733.736000000001</v>
      </c>
      <c r="AD108">
        <v>106796.651</v>
      </c>
      <c r="AE108">
        <v>25019.692999999999</v>
      </c>
      <c r="AF108">
        <v>240135.20300000001</v>
      </c>
      <c r="AG108">
        <v>289787.196</v>
      </c>
      <c r="AH108">
        <v>41931.631000000001</v>
      </c>
      <c r="AI108">
        <v>34657.052000000003</v>
      </c>
      <c r="AJ108">
        <v>26461.757000000001</v>
      </c>
      <c r="AK108">
        <v>51699.144</v>
      </c>
      <c r="AL108">
        <v>18192.044000000002</v>
      </c>
      <c r="AM108">
        <v>146964.53</v>
      </c>
      <c r="AN108">
        <v>53469.527000000002</v>
      </c>
      <c r="AO108">
        <v>47660.154000000002</v>
      </c>
      <c r="AP108">
        <v>54186.567999999999</v>
      </c>
      <c r="AQ108">
        <v>170656.359</v>
      </c>
      <c r="AR108">
        <v>201279.03400000001</v>
      </c>
      <c r="AS108">
        <v>202235.36499999999</v>
      </c>
      <c r="AT108">
        <v>82380.945000000007</v>
      </c>
      <c r="AU108">
        <v>158136.92199999999</v>
      </c>
      <c r="AV108">
        <v>115880.304</v>
      </c>
      <c r="AW108">
        <v>144675.90400000001</v>
      </c>
      <c r="AX108">
        <v>37679.349000000002</v>
      </c>
      <c r="AY108">
        <v>54973.27</v>
      </c>
      <c r="AZ108">
        <v>2100.7310000000002</v>
      </c>
      <c r="BA108">
        <f>OECD_KOR2022dom!BI106</f>
        <v>4309573.1660000002</v>
      </c>
    </row>
    <row r="111" spans="1:53">
      <c r="A111" s="20" t="s">
        <v>553</v>
      </c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</row>
    <row r="112" spans="1:53">
      <c r="C112" t="s">
        <v>4</v>
      </c>
      <c r="D112" t="s">
        <v>120</v>
      </c>
      <c r="E112" t="s">
        <v>119</v>
      </c>
      <c r="F112" t="s">
        <v>5</v>
      </c>
      <c r="G112" t="s">
        <v>6</v>
      </c>
      <c r="H112" t="s">
        <v>7</v>
      </c>
      <c r="I112" t="s">
        <v>8</v>
      </c>
      <c r="J112" t="s">
        <v>9</v>
      </c>
      <c r="K112" t="s">
        <v>10</v>
      </c>
      <c r="L112" t="s">
        <v>11</v>
      </c>
      <c r="M112" t="s">
        <v>58</v>
      </c>
      <c r="N112" t="s">
        <v>59</v>
      </c>
      <c r="O112" t="s">
        <v>12</v>
      </c>
      <c r="P112" t="s">
        <v>132</v>
      </c>
      <c r="Q112" t="s">
        <v>133</v>
      </c>
      <c r="R112" t="s">
        <v>134</v>
      </c>
      <c r="S112" t="s">
        <v>135</v>
      </c>
      <c r="T112" t="s">
        <v>13</v>
      </c>
      <c r="U112" t="s">
        <v>14</v>
      </c>
      <c r="V112" t="s">
        <v>15</v>
      </c>
      <c r="W112" t="s">
        <v>16</v>
      </c>
      <c r="X112" t="s">
        <v>17</v>
      </c>
      <c r="Y112" t="s">
        <v>18</v>
      </c>
      <c r="Z112" t="s">
        <v>19</v>
      </c>
      <c r="AA112" t="s">
        <v>136</v>
      </c>
      <c r="AB112" t="s">
        <v>137</v>
      </c>
      <c r="AC112" t="s">
        <v>138</v>
      </c>
      <c r="AD112" t="s">
        <v>20</v>
      </c>
      <c r="AE112" t="s">
        <v>21</v>
      </c>
      <c r="AF112" t="s">
        <v>22</v>
      </c>
      <c r="AG112" t="s">
        <v>23</v>
      </c>
      <c r="AH112" t="s">
        <v>24</v>
      </c>
      <c r="AI112" t="s">
        <v>25</v>
      </c>
      <c r="AJ112" t="s">
        <v>26</v>
      </c>
      <c r="AK112" t="s">
        <v>27</v>
      </c>
      <c r="AL112" t="s">
        <v>28</v>
      </c>
      <c r="AM112" t="s">
        <v>29</v>
      </c>
      <c r="AN112" t="s">
        <v>30</v>
      </c>
      <c r="AO112" t="s">
        <v>31</v>
      </c>
      <c r="AP112" t="s">
        <v>32</v>
      </c>
      <c r="AQ112" t="s">
        <v>33</v>
      </c>
      <c r="AR112" t="s">
        <v>34</v>
      </c>
      <c r="AS112" t="s">
        <v>515</v>
      </c>
    </row>
    <row r="113" spans="1:45">
      <c r="A113" t="s">
        <v>384</v>
      </c>
      <c r="B113" t="s">
        <v>4</v>
      </c>
      <c r="C113" cm="1">
        <f t="array" ref="C113">SUMPRODUCT(IF(LEFT($A$4:$A$108,3)=LEFT($A113,3),IF($B$4:$B$108=$B113,IF($C$3:$AZ$3=C$112,$C$4:$AZ$108))))</f>
        <v>3925.5679999999998</v>
      </c>
      <c r="D113" cm="1">
        <f t="array" ref="D113">SUMPRODUCT(IF(LEFT($A$4:$A$108,3)=LEFT($A113,3),IF($B$4:$B$108=$B113,IF($C$3:$AZ$3=D$112,$C$4:$AZ$108))))</f>
        <v>0.17700000000000002</v>
      </c>
      <c r="E113" cm="1">
        <f t="array" ref="E113">SUMPRODUCT(IF(LEFT($A$4:$A$108,3)=LEFT($A113,3),IF($B$4:$B$108=$B113,IF($C$3:$AZ$3=E$112,$C$4:$AZ$108))))</f>
        <v>0.01</v>
      </c>
      <c r="F113" cm="1">
        <f t="array" ref="F113">SUMPRODUCT(IF(LEFT($A$4:$A$108,3)=LEFT($A113,3),IF($B$4:$B$108=$B113,IF($C$3:$AZ$3=F$112,$C$4:$AZ$108))))</f>
        <v>1.0370000000000001</v>
      </c>
      <c r="G113" cm="1">
        <f t="array" ref="G113">SUMPRODUCT(IF(LEFT($A$4:$A$108,3)=LEFT($A113,3),IF($B$4:$B$108=$B113,IF($C$3:$AZ$3=G$112,$C$4:$AZ$108))))</f>
        <v>1E-3</v>
      </c>
      <c r="H113" cm="1">
        <f t="array" ref="H113">SUMPRODUCT(IF(LEFT($A$4:$A$108,3)=LEFT($A113,3),IF($B$4:$B$108=$B113,IF($C$3:$AZ$3=H$112,$C$4:$AZ$108))))</f>
        <v>23912.045000000002</v>
      </c>
      <c r="I113" cm="1">
        <f t="array" ref="I113">SUMPRODUCT(IF(LEFT($A$4:$A$108,3)=LEFT($A113,3),IF($B$4:$B$108=$B113,IF($C$3:$AZ$3=I$112,$C$4:$AZ$108))))</f>
        <v>501.93599999999998</v>
      </c>
      <c r="J113" cm="1">
        <f t="array" ref="J113">SUMPRODUCT(IF(LEFT($A$4:$A$108,3)=LEFT($A113,3),IF($B$4:$B$108=$B113,IF($C$3:$AZ$3=J$112,$C$4:$AZ$108))))</f>
        <v>947.90600000000006</v>
      </c>
      <c r="K113" cm="1">
        <f t="array" ref="K113">SUMPRODUCT(IF(LEFT($A$4:$A$108,3)=LEFT($A113,3),IF($B$4:$B$108=$B113,IF($C$3:$AZ$3=K$112,$C$4:$AZ$108))))</f>
        <v>137.75700000000001</v>
      </c>
      <c r="L113" cm="1">
        <f t="array" ref="L113">SUMPRODUCT(IF(LEFT($A$4:$A$108,3)=LEFT($A113,3),IF($B$4:$B$108=$B113,IF($C$3:$AZ$3=L$112,$C$4:$AZ$108))))</f>
        <v>0.76800000000000002</v>
      </c>
      <c r="M113" cm="1">
        <f t="array" ref="M113">SUMPRODUCT(IF(LEFT($A$4:$A$108,3)=LEFT($A113,3),IF($B$4:$B$108=$B113,IF($C$3:$AZ$3=M$112,$C$4:$AZ$108))))</f>
        <v>285.02300000000002</v>
      </c>
      <c r="N113" cm="1">
        <f t="array" ref="N113">SUMPRODUCT(IF(LEFT($A$4:$A$108,3)=LEFT($A113,3),IF($B$4:$B$108=$B113,IF($C$3:$AZ$3=N$112,$C$4:$AZ$108))))</f>
        <v>49.402999999999999</v>
      </c>
      <c r="O113" cm="1">
        <f t="array" ref="O113">SUMPRODUCT(IF(LEFT($A$4:$A$108,3)=LEFT($A113,3),IF($B$4:$B$108=$B113,IF($C$3:$AZ$3=O$112,$C$4:$AZ$108))))</f>
        <v>172.06400000000002</v>
      </c>
      <c r="P113" s="4" cm="1">
        <f t="array" ref="P113">SUMPRODUCT(IF(LEFT($A$4:$A$108,3)=LEFT($A113,3),IF($B$4:$B$108=$B113,IF($C$3:$AZ$3=P$112,$C$4:$AZ$108))))*'Cement and Glass Split'!O48</f>
        <v>0</v>
      </c>
      <c r="Q113" s="4" cm="1">
        <f t="array" ref="Q113">SUMPRODUCT(IF(LEFT($A$4:$A$108,3)=LEFT($A113,3),IF($B$4:$B$108=$B113,IF($C$3:$AZ$3=P$112,$C$4:$AZ$108))))*'Cement and Glass Split'!P48</f>
        <v>0</v>
      </c>
      <c r="R113" cm="1">
        <f t="array" ref="R113">SUMPRODUCT(IF(LEFT($A$4:$A$108,3)=LEFT($A113,3),IF($B$4:$B$108=$B113,IF($C$3:$AZ$3=R$112,$C$4:$AZ$108))))</f>
        <v>2.6750000000000003</v>
      </c>
      <c r="S113" cm="1">
        <f t="array" ref="S113">SUMPRODUCT(IF(LEFT($A$4:$A$108,3)=LEFT($A113,3),IF($B$4:$B$108=$B113,IF($C$3:$AZ$3=S$112,$C$4:$AZ$108))))</f>
        <v>1.843</v>
      </c>
      <c r="T113" cm="1">
        <f t="array" ref="T113">SUMPRODUCT(IF(LEFT($A$4:$A$108,3)=LEFT($A113,3),IF($B$4:$B$108=$B113,IF($C$3:$AZ$3=T$112,$C$4:$AZ$108))))</f>
        <v>2.1659999999999999</v>
      </c>
      <c r="U113" cm="1">
        <f t="array" ref="U113">SUMPRODUCT(IF(LEFT($A$4:$A$108,3)=LEFT($A113,3),IF($B$4:$B$108=$B113,IF($C$3:$AZ$3=U$112,$C$4:$AZ$108))))</f>
        <v>6.3440000000000003</v>
      </c>
      <c r="V113" cm="1">
        <f t="array" ref="V113">SUMPRODUCT(IF(LEFT($A$4:$A$108,3)=LEFT($A113,3),IF($B$4:$B$108=$B113,IF($C$3:$AZ$3=V$112,$C$4:$AZ$108))))</f>
        <v>2.3650000000000002</v>
      </c>
      <c r="W113" cm="1">
        <f t="array" ref="W113">SUMPRODUCT(IF(LEFT($A$4:$A$108,3)=LEFT($A113,3),IF($B$4:$B$108=$B113,IF($C$3:$AZ$3=W$112,$C$4:$AZ$108))))</f>
        <v>8.911999999999999</v>
      </c>
      <c r="X113" cm="1">
        <f t="array" ref="X113">SUMPRODUCT(IF(LEFT($A$4:$A$108,3)=LEFT($A113,3),IF($B$4:$B$108=$B113,IF($C$3:$AZ$3=X$112,$C$4:$AZ$108))))</f>
        <v>4.3319999999999999</v>
      </c>
      <c r="Y113" cm="1">
        <f t="array" ref="Y113">SUMPRODUCT(IF(LEFT($A$4:$A$108,3)=LEFT($A113,3),IF($B$4:$B$108=$B113,IF($C$3:$AZ$3=Y$112,$C$4:$AZ$108))))</f>
        <v>2.4239999999999999</v>
      </c>
      <c r="Z113" cm="1">
        <f t="array" ref="Z113">SUMPRODUCT(IF(LEFT($A$4:$A$108,3)=LEFT($A113,3),IF($B$4:$B$108=$B113,IF($C$3:$AZ$3=Z$112,$C$4:$AZ$108))))</f>
        <v>81.391000000000005</v>
      </c>
      <c r="AA113" cm="1">
        <f t="array" ref="AA113">SUMPRODUCT(IF(LEFT($A$4:$A$108,3)=LEFT($A113,3),IF($B$4:$B$108=$B113,IF($C$3:$AZ$3=AA$112,$C$4:$AZ$108))))</f>
        <v>103.15400000000001</v>
      </c>
      <c r="AB113" cm="1">
        <f t="array" ref="AB113">SUMPRODUCT(IF(LEFT($A$4:$A$108,3)=LEFT($A113,3),IF($B$4:$B$108=$B113,IF($C$3:$AZ$3=AB$112,$C$4:$AZ$108))))</f>
        <v>2.2920000000000003</v>
      </c>
      <c r="AC113" cm="1">
        <f t="array" ref="AC113">SUMPRODUCT(IF(LEFT($A$4:$A$108,3)=LEFT($A113,3),IF($B$4:$B$108=$B113,IF($C$3:$AZ$3=AC$112,$C$4:$AZ$108))))</f>
        <v>5.7320000000000002</v>
      </c>
      <c r="AD113" cm="1">
        <f t="array" ref="AD113">SUMPRODUCT(IF(LEFT($A$4:$A$108,3)=LEFT($A113,3),IF($B$4:$B$108=$B113,IF($C$3:$AZ$3=AD$112,$C$4:$AZ$108))))</f>
        <v>95.388999999999996</v>
      </c>
      <c r="AE113" cm="1">
        <f t="array" ref="AE113">SUMPRODUCT(IF(LEFT($A$4:$A$108,3)=LEFT($A113,3),IF($B$4:$B$108=$B113,IF($C$3:$AZ$3=AE$112,$C$4:$AZ$108))))</f>
        <v>477.738</v>
      </c>
      <c r="AF113" cm="1">
        <f t="array" ref="AF113">SUMPRODUCT(IF(LEFT($A$4:$A$108,3)=LEFT($A113,3),IF($B$4:$B$108=$B113,IF($C$3:$AZ$3=AF$112,$C$4:$AZ$108))))</f>
        <v>15.750999999999999</v>
      </c>
      <c r="AG113" cm="1">
        <f t="array" ref="AG113">SUMPRODUCT(IF(LEFT($A$4:$A$108,3)=LEFT($A113,3),IF($B$4:$B$108=$B113,IF($C$3:$AZ$3=AG$112,$C$4:$AZ$108))))</f>
        <v>5794.8429999999998</v>
      </c>
      <c r="AH113" cm="1">
        <f t="array" ref="AH113">SUMPRODUCT(IF(LEFT($A$4:$A$108,3)=LEFT($A113,3),IF($B$4:$B$108=$B113,IF($C$3:$AZ$3=AH$112,$C$4:$AZ$108))))</f>
        <v>3.9409999999999998</v>
      </c>
      <c r="AI113" cm="1">
        <f t="array" ref="AI113">SUMPRODUCT(IF(LEFT($A$4:$A$108,3)=LEFT($A113,3),IF($B$4:$B$108=$B113,IF($C$3:$AZ$3=AI$112,$C$4:$AZ$108))))</f>
        <v>1.5620000000000001</v>
      </c>
      <c r="AJ113" cm="1">
        <f t="array" ref="AJ113">SUMPRODUCT(IF(LEFT($A$4:$A$108,3)=LEFT($A113,3),IF($B$4:$B$108=$B113,IF($C$3:$AZ$3=AJ$112,$C$4:$AZ$108))))</f>
        <v>1.3639999999999999</v>
      </c>
      <c r="AK113" cm="1">
        <f t="array" ref="AK113">SUMPRODUCT(IF(LEFT($A$4:$A$108,3)=LEFT($A113,3),IF($B$4:$B$108=$B113,IF($C$3:$AZ$3=AK$112,$C$4:$AZ$108))))</f>
        <v>3.57</v>
      </c>
      <c r="AL113" cm="1">
        <f t="array" ref="AL113">SUMPRODUCT(IF(LEFT($A$4:$A$108,3)=LEFT($A113,3),IF($B$4:$B$108=$B113,IF($C$3:$AZ$3=AL$112,$C$4:$AZ$108))))</f>
        <v>13.389000000000001</v>
      </c>
      <c r="AM113" cm="1">
        <f t="array" ref="AM113">SUMPRODUCT(IF(LEFT($A$4:$A$108,3)=LEFT($A113,3),IF($B$4:$B$108=$B113,IF($C$3:$AZ$3=AM$112,$C$4:$AZ$108))))</f>
        <v>91.231999999999971</v>
      </c>
      <c r="AN113" cm="1">
        <f t="array" ref="AN113">SUMPRODUCT(IF(LEFT($A$4:$A$108,3)=LEFT($A113,3),IF($B$4:$B$108=$B113,IF($C$3:$AZ$3=AN$112,$C$4:$AZ$108))))</f>
        <v>70.992999999999995</v>
      </c>
      <c r="AO113" cm="1">
        <f t="array" ref="AO113">SUMPRODUCT(IF(LEFT($A$4:$A$108,3)=LEFT($A113,3),IF($B$4:$B$108=$B113,IF($C$3:$AZ$3=AO$112,$C$4:$AZ$108))))</f>
        <v>69.448999999999998</v>
      </c>
      <c r="AP113" cm="1">
        <f t="array" ref="AP113">SUMPRODUCT(IF(LEFT($A$4:$A$108,3)=LEFT($A113,3),IF($B$4:$B$108=$B113,IF($C$3:$AZ$3=AP$112,$C$4:$AZ$108))))</f>
        <v>165.084</v>
      </c>
      <c r="AQ113" cm="1">
        <f t="array" ref="AQ113">SUMPRODUCT(IF(LEFT($A$4:$A$108,3)=LEFT($A113,3),IF($B$4:$B$108=$B113,IF($C$3:$AZ$3=AQ$112,$C$4:$AZ$108))))</f>
        <v>93.030000000000015</v>
      </c>
      <c r="AR113" cm="1">
        <f t="array" ref="AR113">SUMPRODUCT(IF(LEFT($A$4:$A$108,3)=LEFT($A113,3),IF($B$4:$B$108=$B113,IF($C$3:$AZ$3=AR$112,$C$4:$AZ$108))))</f>
        <v>0</v>
      </c>
      <c r="AS113">
        <f t="shared" ref="AS113:AS125" si="0">SUMIFS($BA$4:$BA$108,$B$4:$B$108,B113,$A$4:$A$108,"DOM*")</f>
        <v>55768.138999999996</v>
      </c>
    </row>
    <row r="114" spans="1:45">
      <c r="A114" t="s">
        <v>384</v>
      </c>
      <c r="B114" t="s">
        <v>120</v>
      </c>
      <c r="C114" cm="1">
        <f t="array" ref="C114">SUMPRODUCT(IF(LEFT($A$4:$A$108,3)=LEFT($A114,3),IF($B$4:$B$108=$B114,IF($C$3:$AZ$3=C$112,$C$4:$AZ$108))))</f>
        <v>0.189</v>
      </c>
      <c r="D114" cm="1">
        <f t="array" ref="D114">SUMPRODUCT(IF(LEFT($A$4:$A$108,3)=LEFT($A114,3),IF($B$4:$B$108=$B114,IF($C$3:$AZ$3=D$112,$C$4:$AZ$108))))</f>
        <v>0.24399999999999999</v>
      </c>
      <c r="E114" cm="1">
        <f t="array" ref="E114">SUMPRODUCT(IF(LEFT($A$4:$A$108,3)=LEFT($A114,3),IF($B$4:$B$108=$B114,IF($C$3:$AZ$3=E$112,$C$4:$AZ$108))))</f>
        <v>0</v>
      </c>
      <c r="F114" cm="1">
        <f t="array" ref="F114">SUMPRODUCT(IF(LEFT($A$4:$A$108,3)=LEFT($A114,3),IF($B$4:$B$108=$B114,IF($C$3:$AZ$3=F$112,$C$4:$AZ$108))))</f>
        <v>0.02</v>
      </c>
      <c r="G114" cm="1">
        <f t="array" ref="G114">SUMPRODUCT(IF(LEFT($A$4:$A$108,3)=LEFT($A114,3),IF($B$4:$B$108=$B114,IF($C$3:$AZ$3=G$112,$C$4:$AZ$108))))</f>
        <v>0</v>
      </c>
      <c r="H114" cm="1">
        <f t="array" ref="H114">SUMPRODUCT(IF(LEFT($A$4:$A$108,3)=LEFT($A114,3),IF($B$4:$B$108=$B114,IF($C$3:$AZ$3=H$112,$C$4:$AZ$108))))</f>
        <v>0.42699999999999999</v>
      </c>
      <c r="I114" cm="1">
        <f t="array" ref="I114">SUMPRODUCT(IF(LEFT($A$4:$A$108,3)=LEFT($A114,3),IF($B$4:$B$108=$B114,IF($C$3:$AZ$3=I$112,$C$4:$AZ$108))))</f>
        <v>0.214</v>
      </c>
      <c r="J114" cm="1">
        <f t="array" ref="J114">SUMPRODUCT(IF(LEFT($A$4:$A$108,3)=LEFT($A114,3),IF($B$4:$B$108=$B114,IF($C$3:$AZ$3=J$112,$C$4:$AZ$108))))</f>
        <v>2.5000000000000001E-2</v>
      </c>
      <c r="K114" cm="1">
        <f t="array" ref="K114">SUMPRODUCT(IF(LEFT($A$4:$A$108,3)=LEFT($A114,3),IF($B$4:$B$108=$B114,IF($C$3:$AZ$3=K$112,$C$4:$AZ$108))))</f>
        <v>0.112</v>
      </c>
      <c r="L114" cm="1">
        <f t="array" ref="L114">SUMPRODUCT(IF(LEFT($A$4:$A$108,3)=LEFT($A114,3),IF($B$4:$B$108=$B114,IF($C$3:$AZ$3=L$112,$C$4:$AZ$108))))</f>
        <v>24.172999999999998</v>
      </c>
      <c r="M114" cm="1">
        <f t="array" ref="M114">SUMPRODUCT(IF(LEFT($A$4:$A$108,3)=LEFT($A114,3),IF($B$4:$B$108=$B114,IF($C$3:$AZ$3=M$112,$C$4:$AZ$108))))</f>
        <v>0.627</v>
      </c>
      <c r="N114" cm="1">
        <f t="array" ref="N114">SUMPRODUCT(IF(LEFT($A$4:$A$108,3)=LEFT($A114,3),IF($B$4:$B$108=$B114,IF($C$3:$AZ$3=N$112,$C$4:$AZ$108))))</f>
        <v>7.0000000000000007E-2</v>
      </c>
      <c r="O114" cm="1">
        <f t="array" ref="O114">SUMPRODUCT(IF(LEFT($A$4:$A$108,3)=LEFT($A114,3),IF($B$4:$B$108=$B114,IF($C$3:$AZ$3=O$112,$C$4:$AZ$108))))</f>
        <v>0.21299999999999999</v>
      </c>
      <c r="P114" s="4" cm="1">
        <f t="array" ref="P114">SUMPRODUCT(IF(LEFT($A$4:$A$108,3)=LEFT($A114,3),IF($B$4:$B$108=$B114,IF($C$3:$AZ$3=P$112,$C$4:$AZ$108))))*'Cement and Glass Split'!O49</f>
        <v>0</v>
      </c>
      <c r="Q114" s="4" cm="1">
        <f t="array" ref="Q114">SUMPRODUCT(IF(LEFT($A$4:$A$108,3)=LEFT($A114,3),IF($B$4:$B$108=$B114,IF($C$3:$AZ$3=P$112,$C$4:$AZ$108))))*'Cement and Glass Split'!P49</f>
        <v>0</v>
      </c>
      <c r="R114" cm="1">
        <f t="array" ref="R114">SUMPRODUCT(IF(LEFT($A$4:$A$108,3)=LEFT($A114,3),IF($B$4:$B$108=$B114,IF($C$3:$AZ$3=R$112,$C$4:$AZ$108))))</f>
        <v>0.39100000000000001</v>
      </c>
      <c r="S114" cm="1">
        <f t="array" ref="S114">SUMPRODUCT(IF(LEFT($A$4:$A$108,3)=LEFT($A114,3),IF($B$4:$B$108=$B114,IF($C$3:$AZ$3=S$112,$C$4:$AZ$108))))</f>
        <v>0.13400000000000001</v>
      </c>
      <c r="T114" cm="1">
        <f t="array" ref="T114">SUMPRODUCT(IF(LEFT($A$4:$A$108,3)=LEFT($A114,3),IF($B$4:$B$108=$B114,IF($C$3:$AZ$3=T$112,$C$4:$AZ$108))))</f>
        <v>0.25800000000000001</v>
      </c>
      <c r="U114" cm="1">
        <f t="array" ref="U114">SUMPRODUCT(IF(LEFT($A$4:$A$108,3)=LEFT($A114,3),IF($B$4:$B$108=$B114,IF($C$3:$AZ$3=U$112,$C$4:$AZ$108))))</f>
        <v>0.77300000000000002</v>
      </c>
      <c r="V114" cm="1">
        <f t="array" ref="V114">SUMPRODUCT(IF(LEFT($A$4:$A$108,3)=LEFT($A114,3),IF($B$4:$B$108=$B114,IF($C$3:$AZ$3=V$112,$C$4:$AZ$108))))</f>
        <v>0.28899999999999998</v>
      </c>
      <c r="W114" cm="1">
        <f t="array" ref="W114">SUMPRODUCT(IF(LEFT($A$4:$A$108,3)=LEFT($A114,3),IF($B$4:$B$108=$B114,IF($C$3:$AZ$3=W$112,$C$4:$AZ$108))))</f>
        <v>0.432</v>
      </c>
      <c r="X114" cm="1">
        <f t="array" ref="X114">SUMPRODUCT(IF(LEFT($A$4:$A$108,3)=LEFT($A114,3),IF($B$4:$B$108=$B114,IF($C$3:$AZ$3=X$112,$C$4:$AZ$108))))</f>
        <v>0.39400000000000002</v>
      </c>
      <c r="Y114" cm="1">
        <f t="array" ref="Y114">SUMPRODUCT(IF(LEFT($A$4:$A$108,3)=LEFT($A114,3),IF($B$4:$B$108=$B114,IF($C$3:$AZ$3=Y$112,$C$4:$AZ$108))))</f>
        <v>0.13200000000000001</v>
      </c>
      <c r="Z114" cm="1">
        <f t="array" ref="Z114">SUMPRODUCT(IF(LEFT($A$4:$A$108,3)=LEFT($A114,3),IF($B$4:$B$108=$B114,IF($C$3:$AZ$3=Z$112,$C$4:$AZ$108))))</f>
        <v>9.5000000000000001E-2</v>
      </c>
      <c r="AA114" cm="1">
        <f t="array" ref="AA114">SUMPRODUCT(IF(LEFT($A$4:$A$108,3)=LEFT($A114,3),IF($B$4:$B$108=$B114,IF($C$3:$AZ$3=AA$112,$C$4:$AZ$108))))</f>
        <v>208.80199999999999</v>
      </c>
      <c r="AB114" cm="1">
        <f t="array" ref="AB114">SUMPRODUCT(IF(LEFT($A$4:$A$108,3)=LEFT($A114,3),IF($B$4:$B$108=$B114,IF($C$3:$AZ$3=AB$112,$C$4:$AZ$108))))</f>
        <v>0.06</v>
      </c>
      <c r="AC114" cm="1">
        <f t="array" ref="AC114">SUMPRODUCT(IF(LEFT($A$4:$A$108,3)=LEFT($A114,3),IF($B$4:$B$108=$B114,IF($C$3:$AZ$3=AC$112,$C$4:$AZ$108))))</f>
        <v>7.1999999999999995E-2</v>
      </c>
      <c r="AD114" cm="1">
        <f t="array" ref="AD114">SUMPRODUCT(IF(LEFT($A$4:$A$108,3)=LEFT($A114,3),IF($B$4:$B$108=$B114,IF($C$3:$AZ$3=AD$112,$C$4:$AZ$108))))</f>
        <v>0.45800000000000002</v>
      </c>
      <c r="AE114" cm="1">
        <f t="array" ref="AE114">SUMPRODUCT(IF(LEFT($A$4:$A$108,3)=LEFT($A114,3),IF($B$4:$B$108=$B114,IF($C$3:$AZ$3=AE$112,$C$4:$AZ$108))))</f>
        <v>0.34799999999999998</v>
      </c>
      <c r="AF114" cm="1">
        <f t="array" ref="AF114">SUMPRODUCT(IF(LEFT($A$4:$A$108,3)=LEFT($A114,3),IF($B$4:$B$108=$B114,IF($C$3:$AZ$3=AF$112,$C$4:$AZ$108))))</f>
        <v>0.32900000000000001</v>
      </c>
      <c r="AG114" cm="1">
        <f t="array" ref="AG114">SUMPRODUCT(IF(LEFT($A$4:$A$108,3)=LEFT($A114,3),IF($B$4:$B$108=$B114,IF($C$3:$AZ$3=AG$112,$C$4:$AZ$108))))</f>
        <v>0.316</v>
      </c>
      <c r="AH114" cm="1">
        <f t="array" ref="AH114">SUMPRODUCT(IF(LEFT($A$4:$A$108,3)=LEFT($A114,3),IF($B$4:$B$108=$B114,IF($C$3:$AZ$3=AH$112,$C$4:$AZ$108))))</f>
        <v>0.03</v>
      </c>
      <c r="AI114" cm="1">
        <f t="array" ref="AI114">SUMPRODUCT(IF(LEFT($A$4:$A$108,3)=LEFT($A114,3),IF($B$4:$B$108=$B114,IF($C$3:$AZ$3=AI$112,$C$4:$AZ$108))))</f>
        <v>7.4999999999999997E-2</v>
      </c>
      <c r="AJ114" cm="1">
        <f t="array" ref="AJ114">SUMPRODUCT(IF(LEFT($A$4:$A$108,3)=LEFT($A114,3),IF($B$4:$B$108=$B114,IF($C$3:$AZ$3=AJ$112,$C$4:$AZ$108))))</f>
        <v>4.2999999999999997E-2</v>
      </c>
      <c r="AK114" cm="1">
        <f t="array" ref="AK114">SUMPRODUCT(IF(LEFT($A$4:$A$108,3)=LEFT($A114,3),IF($B$4:$B$108=$B114,IF($C$3:$AZ$3=AK$112,$C$4:$AZ$108))))</f>
        <v>3.7999999999999999E-2</v>
      </c>
      <c r="AL114" cm="1">
        <f t="array" ref="AL114">SUMPRODUCT(IF(LEFT($A$4:$A$108,3)=LEFT($A114,3),IF($B$4:$B$108=$B114,IF($C$3:$AZ$3=AL$112,$C$4:$AZ$108))))</f>
        <v>8.4000000000000005E-2</v>
      </c>
      <c r="AM114" cm="1">
        <f t="array" ref="AM114">SUMPRODUCT(IF(LEFT($A$4:$A$108,3)=LEFT($A114,3),IF($B$4:$B$108=$B114,IF($C$3:$AZ$3=AM$112,$C$4:$AZ$108))))</f>
        <v>0.254</v>
      </c>
      <c r="AN114" cm="1">
        <f t="array" ref="AN114">SUMPRODUCT(IF(LEFT($A$4:$A$108,3)=LEFT($A114,3),IF($B$4:$B$108=$B114,IF($C$3:$AZ$3=AN$112,$C$4:$AZ$108))))</f>
        <v>0.126</v>
      </c>
      <c r="AO114" cm="1">
        <f t="array" ref="AO114">SUMPRODUCT(IF(LEFT($A$4:$A$108,3)=LEFT($A114,3),IF($B$4:$B$108=$B114,IF($C$3:$AZ$3=AO$112,$C$4:$AZ$108))))</f>
        <v>0.10299999999999999</v>
      </c>
      <c r="AP114" cm="1">
        <f t="array" ref="AP114">SUMPRODUCT(IF(LEFT($A$4:$A$108,3)=LEFT($A114,3),IF($B$4:$B$108=$B114,IF($C$3:$AZ$3=AP$112,$C$4:$AZ$108))))</f>
        <v>0.192</v>
      </c>
      <c r="AQ114" cm="1">
        <f t="array" ref="AQ114">SUMPRODUCT(IF(LEFT($A$4:$A$108,3)=LEFT($A114,3),IF($B$4:$B$108=$B114,IF($C$3:$AZ$3=AQ$112,$C$4:$AZ$108))))</f>
        <v>0.13700000000000001</v>
      </c>
      <c r="AR114" cm="1">
        <f t="array" ref="AR114">SUMPRODUCT(IF(LEFT($A$4:$A$108,3)=LEFT($A114,3),IF($B$4:$B$108=$B114,IF($C$3:$AZ$3=AR$112,$C$4:$AZ$108))))</f>
        <v>0</v>
      </c>
      <c r="AS114">
        <f t="shared" si="0"/>
        <v>257.66300000000001</v>
      </c>
    </row>
    <row r="115" spans="1:45">
      <c r="A115" t="s">
        <v>384</v>
      </c>
      <c r="B115" t="s">
        <v>119</v>
      </c>
      <c r="C115" cm="1">
        <f t="array" ref="C115">SUMPRODUCT(IF(LEFT($A$4:$A$108,3)=LEFT($A115,3),IF($B$4:$B$108=$B115,IF($C$3:$AZ$3=C$112,$C$4:$AZ$108))))</f>
        <v>4.5999999999999999E-2</v>
      </c>
      <c r="D115" cm="1">
        <f t="array" ref="D115">SUMPRODUCT(IF(LEFT($A$4:$A$108,3)=LEFT($A115,3),IF($B$4:$B$108=$B115,IF($C$3:$AZ$3=D$112,$C$4:$AZ$108))))</f>
        <v>0</v>
      </c>
      <c r="E115" cm="1">
        <f t="array" ref="E115">SUMPRODUCT(IF(LEFT($A$4:$A$108,3)=LEFT($A115,3),IF($B$4:$B$108=$B115,IF($C$3:$AZ$3=E$112,$C$4:$AZ$108))))</f>
        <v>8.0000000000000002E-3</v>
      </c>
      <c r="F115" cm="1">
        <f t="array" ref="F115">SUMPRODUCT(IF(LEFT($A$4:$A$108,3)=LEFT($A115,3),IF($B$4:$B$108=$B115,IF($C$3:$AZ$3=F$112,$C$4:$AZ$108))))</f>
        <v>3.0000000000000001E-3</v>
      </c>
      <c r="G115" cm="1">
        <f t="array" ref="G115">SUMPRODUCT(IF(LEFT($A$4:$A$108,3)=LEFT($A115,3),IF($B$4:$B$108=$B115,IF($C$3:$AZ$3=G$112,$C$4:$AZ$108))))</f>
        <v>0</v>
      </c>
      <c r="H115" cm="1">
        <f t="array" ref="H115">SUMPRODUCT(IF(LEFT($A$4:$A$108,3)=LEFT($A115,3),IF($B$4:$B$108=$B115,IF($C$3:$AZ$3=H$112,$C$4:$AZ$108))))</f>
        <v>0.16400000000000001</v>
      </c>
      <c r="I115" cm="1">
        <f t="array" ref="I115">SUMPRODUCT(IF(LEFT($A$4:$A$108,3)=LEFT($A115,3),IF($B$4:$B$108=$B115,IF($C$3:$AZ$3=I$112,$C$4:$AZ$108))))</f>
        <v>0.109</v>
      </c>
      <c r="J115" cm="1">
        <f t="array" ref="J115">SUMPRODUCT(IF(LEFT($A$4:$A$108,3)=LEFT($A115,3),IF($B$4:$B$108=$B115,IF($C$3:$AZ$3=J$112,$C$4:$AZ$108))))</f>
        <v>8.9999999999999993E-3</v>
      </c>
      <c r="K115" cm="1">
        <f t="array" ref="K115">SUMPRODUCT(IF(LEFT($A$4:$A$108,3)=LEFT($A115,3),IF($B$4:$B$108=$B115,IF($C$3:$AZ$3=K$112,$C$4:$AZ$108))))</f>
        <v>0.04</v>
      </c>
      <c r="L115" cm="1">
        <f t="array" ref="L115">SUMPRODUCT(IF(LEFT($A$4:$A$108,3)=LEFT($A115,3),IF($B$4:$B$108=$B115,IF($C$3:$AZ$3=L$112,$C$4:$AZ$108))))</f>
        <v>102.895</v>
      </c>
      <c r="M115" cm="1">
        <f t="array" ref="M115">SUMPRODUCT(IF(LEFT($A$4:$A$108,3)=LEFT($A115,3),IF($B$4:$B$108=$B115,IF($C$3:$AZ$3=M$112,$C$4:$AZ$108))))</f>
        <v>0.29199999999999998</v>
      </c>
      <c r="N115" cm="1">
        <f t="array" ref="N115">SUMPRODUCT(IF(LEFT($A$4:$A$108,3)=LEFT($A115,3),IF($B$4:$B$108=$B115,IF($C$3:$AZ$3=N$112,$C$4:$AZ$108))))</f>
        <v>3.4000000000000002E-2</v>
      </c>
      <c r="O115" cm="1">
        <f t="array" ref="O115">SUMPRODUCT(IF(LEFT($A$4:$A$108,3)=LEFT($A115,3),IF($B$4:$B$108=$B115,IF($C$3:$AZ$3=O$112,$C$4:$AZ$108))))</f>
        <v>0.106</v>
      </c>
      <c r="P115" s="4" cm="1">
        <f t="array" ref="P115">SUMPRODUCT(IF(LEFT($A$4:$A$108,3)=LEFT($A115,3),IF($B$4:$B$108=$B115,IF($C$3:$AZ$3=P$112,$C$4:$AZ$108))))*'Cement and Glass Split'!O50</f>
        <v>5.6272418494140194E-4</v>
      </c>
      <c r="Q115" s="4" cm="1">
        <f t="array" ref="Q115">SUMPRODUCT(IF(LEFT($A$4:$A$108,3)=LEFT($A115,3),IF($B$4:$B$108=$B115,IF($C$3:$AZ$3=P$112,$C$4:$AZ$108))))*'Cement and Glass Split'!P50</f>
        <v>4.7437275815058598E-2</v>
      </c>
      <c r="R115" cm="1">
        <f t="array" ref="R115">SUMPRODUCT(IF(LEFT($A$4:$A$108,3)=LEFT($A115,3),IF($B$4:$B$108=$B115,IF($C$3:$AZ$3=R$112,$C$4:$AZ$108))))</f>
        <v>0.11</v>
      </c>
      <c r="S115" cm="1">
        <f t="array" ref="S115">SUMPRODUCT(IF(LEFT($A$4:$A$108,3)=LEFT($A115,3),IF($B$4:$B$108=$B115,IF($C$3:$AZ$3=S$112,$C$4:$AZ$108))))</f>
        <v>3.2000000000000001E-2</v>
      </c>
      <c r="T115" cm="1">
        <f t="array" ref="T115">SUMPRODUCT(IF(LEFT($A$4:$A$108,3)=LEFT($A115,3),IF($B$4:$B$108=$B115,IF($C$3:$AZ$3=T$112,$C$4:$AZ$108))))</f>
        <v>9.8000000000000004E-2</v>
      </c>
      <c r="U115" cm="1">
        <f t="array" ref="U115">SUMPRODUCT(IF(LEFT($A$4:$A$108,3)=LEFT($A115,3),IF($B$4:$B$108=$B115,IF($C$3:$AZ$3=U$112,$C$4:$AZ$108))))</f>
        <v>0.433</v>
      </c>
      <c r="V115" cm="1">
        <f t="array" ref="V115">SUMPRODUCT(IF(LEFT($A$4:$A$108,3)=LEFT($A115,3),IF($B$4:$B$108=$B115,IF($C$3:$AZ$3=V$112,$C$4:$AZ$108))))</f>
        <v>0.14000000000000001</v>
      </c>
      <c r="W115" cm="1">
        <f t="array" ref="W115">SUMPRODUCT(IF(LEFT($A$4:$A$108,3)=LEFT($A115,3),IF($B$4:$B$108=$B115,IF($C$3:$AZ$3=W$112,$C$4:$AZ$108))))</f>
        <v>0.18099999999999999</v>
      </c>
      <c r="X115" cm="1">
        <f t="array" ref="X115">SUMPRODUCT(IF(LEFT($A$4:$A$108,3)=LEFT($A115,3),IF($B$4:$B$108=$B115,IF($C$3:$AZ$3=X$112,$C$4:$AZ$108))))</f>
        <v>0.157</v>
      </c>
      <c r="Y115" cm="1">
        <f t="array" ref="Y115">SUMPRODUCT(IF(LEFT($A$4:$A$108,3)=LEFT($A115,3),IF($B$4:$B$108=$B115,IF($C$3:$AZ$3=Y$112,$C$4:$AZ$108))))</f>
        <v>5.4999999999999993E-2</v>
      </c>
      <c r="Z115" cm="1">
        <f t="array" ref="Z115">SUMPRODUCT(IF(LEFT($A$4:$A$108,3)=LEFT($A115,3),IF($B$4:$B$108=$B115,IF($C$3:$AZ$3=Z$112,$C$4:$AZ$108))))</f>
        <v>0.03</v>
      </c>
      <c r="AA115" cm="1">
        <f t="array" ref="AA115">SUMPRODUCT(IF(LEFT($A$4:$A$108,3)=LEFT($A115,3),IF($B$4:$B$108=$B115,IF($C$3:$AZ$3=AA$112,$C$4:$AZ$108))))</f>
        <v>29.373999999999999</v>
      </c>
      <c r="AB115" cm="1">
        <f t="array" ref="AB115">SUMPRODUCT(IF(LEFT($A$4:$A$108,3)=LEFT($A115,3),IF($B$4:$B$108=$B115,IF($C$3:$AZ$3=AB$112,$C$4:$AZ$108))))</f>
        <v>1.6E-2</v>
      </c>
      <c r="AC115" cm="1">
        <f t="array" ref="AC115">SUMPRODUCT(IF(LEFT($A$4:$A$108,3)=LEFT($A115,3),IF($B$4:$B$108=$B115,IF($C$3:$AZ$3=AC$112,$C$4:$AZ$108))))</f>
        <v>0.01</v>
      </c>
      <c r="AD115" cm="1">
        <f t="array" ref="AD115">SUMPRODUCT(IF(LEFT($A$4:$A$108,3)=LEFT($A115,3),IF($B$4:$B$108=$B115,IF($C$3:$AZ$3=AD$112,$C$4:$AZ$108))))</f>
        <v>0.20100000000000001</v>
      </c>
      <c r="AE115" cm="1">
        <f t="array" ref="AE115">SUMPRODUCT(IF(LEFT($A$4:$A$108,3)=LEFT($A115,3),IF($B$4:$B$108=$B115,IF($C$3:$AZ$3=AE$112,$C$4:$AZ$108))))</f>
        <v>0.111</v>
      </c>
      <c r="AF115" cm="1">
        <f t="array" ref="AF115">SUMPRODUCT(IF(LEFT($A$4:$A$108,3)=LEFT($A115,3),IF($B$4:$B$108=$B115,IF($C$3:$AZ$3=AF$112,$C$4:$AZ$108))))</f>
        <v>6.9000000000000006E-2</v>
      </c>
      <c r="AG115" cm="1">
        <f t="array" ref="AG115">SUMPRODUCT(IF(LEFT($A$4:$A$108,3)=LEFT($A115,3),IF($B$4:$B$108=$B115,IF($C$3:$AZ$3=AG$112,$C$4:$AZ$108))))</f>
        <v>0.125</v>
      </c>
      <c r="AH115" cm="1">
        <f t="array" ref="AH115">SUMPRODUCT(IF(LEFT($A$4:$A$108,3)=LEFT($A115,3),IF($B$4:$B$108=$B115,IF($C$3:$AZ$3=AH$112,$C$4:$AZ$108))))</f>
        <v>1.2999999999999999E-2</v>
      </c>
      <c r="AI115" cm="1">
        <f t="array" ref="AI115">SUMPRODUCT(IF(LEFT($A$4:$A$108,3)=LEFT($A115,3),IF($B$4:$B$108=$B115,IF($C$3:$AZ$3=AI$112,$C$4:$AZ$108))))</f>
        <v>1.9E-2</v>
      </c>
      <c r="AJ115" cm="1">
        <f t="array" ref="AJ115">SUMPRODUCT(IF(LEFT($A$4:$A$108,3)=LEFT($A115,3),IF($B$4:$B$108=$B115,IF($C$3:$AZ$3=AJ$112,$C$4:$AZ$108))))</f>
        <v>0.01</v>
      </c>
      <c r="AK115" cm="1">
        <f t="array" ref="AK115">SUMPRODUCT(IF(LEFT($A$4:$A$108,3)=LEFT($A115,3),IF($B$4:$B$108=$B115,IF($C$3:$AZ$3=AK$112,$C$4:$AZ$108))))</f>
        <v>8.9999999999999993E-3</v>
      </c>
      <c r="AL115" cm="1">
        <f t="array" ref="AL115">SUMPRODUCT(IF(LEFT($A$4:$A$108,3)=LEFT($A115,3),IF($B$4:$B$108=$B115,IF($C$3:$AZ$3=AL$112,$C$4:$AZ$108))))</f>
        <v>2.1999999999999999E-2</v>
      </c>
      <c r="AM115" cm="1">
        <f t="array" ref="AM115">SUMPRODUCT(IF(LEFT($A$4:$A$108,3)=LEFT($A115,3),IF($B$4:$B$108=$B115,IF($C$3:$AZ$3=AM$112,$C$4:$AZ$108))))</f>
        <v>5.5E-2</v>
      </c>
      <c r="AN115" cm="1">
        <f t="array" ref="AN115">SUMPRODUCT(IF(LEFT($A$4:$A$108,3)=LEFT($A115,3),IF($B$4:$B$108=$B115,IF($C$3:$AZ$3=AN$112,$C$4:$AZ$108))))</f>
        <v>2.5000000000000001E-2</v>
      </c>
      <c r="AO115" cm="1">
        <f t="array" ref="AO115">SUMPRODUCT(IF(LEFT($A$4:$A$108,3)=LEFT($A115,3),IF($B$4:$B$108=$B115,IF($C$3:$AZ$3=AO$112,$C$4:$AZ$108))))</f>
        <v>0.02</v>
      </c>
      <c r="AP115" cm="1">
        <f t="array" ref="AP115">SUMPRODUCT(IF(LEFT($A$4:$A$108,3)=LEFT($A115,3),IF($B$4:$B$108=$B115,IF($C$3:$AZ$3=AP$112,$C$4:$AZ$108))))</f>
        <v>0.08</v>
      </c>
      <c r="AQ115" cm="1">
        <f t="array" ref="AQ115">SUMPRODUCT(IF(LEFT($A$4:$A$108,3)=LEFT($A115,3),IF($B$4:$B$108=$B115,IF($C$3:$AZ$3=AQ$112,$C$4:$AZ$108))))</f>
        <v>4.1000000000000002E-2</v>
      </c>
      <c r="AR115" cm="1">
        <f t="array" ref="AR115">SUMPRODUCT(IF(LEFT($A$4:$A$108,3)=LEFT($A115,3),IF($B$4:$B$108=$B115,IF($C$3:$AZ$3=AR$112,$C$4:$AZ$108))))</f>
        <v>0</v>
      </c>
      <c r="AS115">
        <f t="shared" si="0"/>
        <v>139.39099999999999</v>
      </c>
    </row>
    <row r="116" spans="1:45">
      <c r="A116" t="s">
        <v>384</v>
      </c>
      <c r="B116" t="s">
        <v>5</v>
      </c>
      <c r="C116" cm="1">
        <f t="array" ref="C116">SUMPRODUCT(IF(LEFT($A$4:$A$108,3)=LEFT($A116,3),IF($B$4:$B$108=$B116,IF($C$3:$AZ$3=C$112,$C$4:$AZ$108))))</f>
        <v>13.107999999999999</v>
      </c>
      <c r="D116" cm="1">
        <f t="array" ref="D116">SUMPRODUCT(IF(LEFT($A$4:$A$108,3)=LEFT($A116,3),IF($B$4:$B$108=$B116,IF($C$3:$AZ$3=D$112,$C$4:$AZ$108))))</f>
        <v>0.223</v>
      </c>
      <c r="E116" cm="1">
        <f t="array" ref="E116">SUMPRODUCT(IF(LEFT($A$4:$A$108,3)=LEFT($A116,3),IF($B$4:$B$108=$B116,IF($C$3:$AZ$3=E$112,$C$4:$AZ$108))))</f>
        <v>0.05</v>
      </c>
      <c r="F116" cm="1">
        <f t="array" ref="F116">SUMPRODUCT(IF(LEFT($A$4:$A$108,3)=LEFT($A116,3),IF($B$4:$B$108=$B116,IF($C$3:$AZ$3=F$112,$C$4:$AZ$108))))</f>
        <v>55.942</v>
      </c>
      <c r="G116" cm="1">
        <f t="array" ref="G116">SUMPRODUCT(IF(LEFT($A$4:$A$108,3)=LEFT($A116,3),IF($B$4:$B$108=$B116,IF($C$3:$AZ$3=G$112,$C$4:$AZ$108))))</f>
        <v>2.4E-2</v>
      </c>
      <c r="H116" cm="1">
        <f t="array" ref="H116">SUMPRODUCT(IF(LEFT($A$4:$A$108,3)=LEFT($A116,3),IF($B$4:$B$108=$B116,IF($C$3:$AZ$3=H$112,$C$4:$AZ$108))))</f>
        <v>30.42</v>
      </c>
      <c r="I116" cm="1">
        <f t="array" ref="I116">SUMPRODUCT(IF(LEFT($A$4:$A$108,3)=LEFT($A116,3),IF($B$4:$B$108=$B116,IF($C$3:$AZ$3=I$112,$C$4:$AZ$108))))</f>
        <v>4.5989999999999993</v>
      </c>
      <c r="J116" cm="1">
        <f t="array" ref="J116">SUMPRODUCT(IF(LEFT($A$4:$A$108,3)=LEFT($A116,3),IF($B$4:$B$108=$B116,IF($C$3:$AZ$3=J$112,$C$4:$AZ$108))))</f>
        <v>0.47300000000000003</v>
      </c>
      <c r="K116" cm="1">
        <f t="array" ref="K116">SUMPRODUCT(IF(LEFT($A$4:$A$108,3)=LEFT($A116,3),IF($B$4:$B$108=$B116,IF($C$3:$AZ$3=K$112,$C$4:$AZ$108))))</f>
        <v>11.318</v>
      </c>
      <c r="L116" cm="1">
        <f t="array" ref="L116">SUMPRODUCT(IF(LEFT($A$4:$A$108,3)=LEFT($A116,3),IF($B$4:$B$108=$B116,IF($C$3:$AZ$3=L$112,$C$4:$AZ$108))))</f>
        <v>56.655999999999999</v>
      </c>
      <c r="M116" cm="1">
        <f t="array" ref="M116">SUMPRODUCT(IF(LEFT($A$4:$A$108,3)=LEFT($A116,3),IF($B$4:$B$108=$B116,IF($C$3:$AZ$3=M$112,$C$4:$AZ$108))))</f>
        <v>297.57199999999995</v>
      </c>
      <c r="N116" cm="1">
        <f t="array" ref="N116">SUMPRODUCT(IF(LEFT($A$4:$A$108,3)=LEFT($A116,3),IF($B$4:$B$108=$B116,IF($C$3:$AZ$3=N$112,$C$4:$AZ$108))))</f>
        <v>1.5649999999999999</v>
      </c>
      <c r="O116" cm="1">
        <f t="array" ref="O116">SUMPRODUCT(IF(LEFT($A$4:$A$108,3)=LEFT($A116,3),IF($B$4:$B$108=$B116,IF($C$3:$AZ$3=O$112,$C$4:$AZ$108))))</f>
        <v>8.4949999999999992</v>
      </c>
      <c r="P116" s="4" cm="1">
        <f t="array" ref="P116">SUMPRODUCT(IF(LEFT($A$4:$A$108,3)=LEFT($A116,3),IF($B$4:$B$108=$B116,IF($C$3:$AZ$3=P$112,$C$4:$AZ$108))))*'Cement and Glass Split'!O51</f>
        <v>10.173247381494217</v>
      </c>
      <c r="Q116" s="4" cm="1">
        <f t="array" ref="Q116">SUMPRODUCT(IF(LEFT($A$4:$A$108,3)=LEFT($A116,3),IF($B$4:$B$108=$B116,IF($C$3:$AZ$3=P$112,$C$4:$AZ$108))))*'Cement and Glass Split'!P51</f>
        <v>840.80875261850565</v>
      </c>
      <c r="R116" cm="1">
        <f t="array" ref="R116">SUMPRODUCT(IF(LEFT($A$4:$A$108,3)=LEFT($A116,3),IF($B$4:$B$108=$B116,IF($C$3:$AZ$3=R$112,$C$4:$AZ$108))))</f>
        <v>313.43700000000001</v>
      </c>
      <c r="S116" cm="1">
        <f t="array" ref="S116">SUMPRODUCT(IF(LEFT($A$4:$A$108,3)=LEFT($A116,3),IF($B$4:$B$108=$B116,IF($C$3:$AZ$3=S$112,$C$4:$AZ$108))))</f>
        <v>104.875</v>
      </c>
      <c r="T116" cm="1">
        <f t="array" ref="T116">SUMPRODUCT(IF(LEFT($A$4:$A$108,3)=LEFT($A116,3),IF($B$4:$B$108=$B116,IF($C$3:$AZ$3=T$112,$C$4:$AZ$108))))</f>
        <v>18.899999999999999</v>
      </c>
      <c r="U116" cm="1">
        <f t="array" ref="U116">SUMPRODUCT(IF(LEFT($A$4:$A$108,3)=LEFT($A116,3),IF($B$4:$B$108=$B116,IF($C$3:$AZ$3=U$112,$C$4:$AZ$108))))</f>
        <v>10.706999999999999</v>
      </c>
      <c r="V116" cm="1">
        <f t="array" ref="V116">SUMPRODUCT(IF(LEFT($A$4:$A$108,3)=LEFT($A116,3),IF($B$4:$B$108=$B116,IF($C$3:$AZ$3=V$112,$C$4:$AZ$108))))</f>
        <v>12.602</v>
      </c>
      <c r="W116" cm="1">
        <f t="array" ref="W116">SUMPRODUCT(IF(LEFT($A$4:$A$108,3)=LEFT($A116,3),IF($B$4:$B$108=$B116,IF($C$3:$AZ$3=W$112,$C$4:$AZ$108))))</f>
        <v>12.119</v>
      </c>
      <c r="X116" cm="1">
        <f t="array" ref="X116">SUMPRODUCT(IF(LEFT($A$4:$A$108,3)=LEFT($A116,3),IF($B$4:$B$108=$B116,IF($C$3:$AZ$3=X$112,$C$4:$AZ$108))))</f>
        <v>9.0950000000000006</v>
      </c>
      <c r="Y116" cm="1">
        <f t="array" ref="Y116">SUMPRODUCT(IF(LEFT($A$4:$A$108,3)=LEFT($A116,3),IF($B$4:$B$108=$B116,IF($C$3:$AZ$3=Y$112,$C$4:$AZ$108))))</f>
        <v>2.7610000000000001</v>
      </c>
      <c r="Z116" cm="1">
        <f t="array" ref="Z116">SUMPRODUCT(IF(LEFT($A$4:$A$108,3)=LEFT($A116,3),IF($B$4:$B$108=$B116,IF($C$3:$AZ$3=Z$112,$C$4:$AZ$108))))</f>
        <v>7.5410000000000004</v>
      </c>
      <c r="AA116" cm="1">
        <f t="array" ref="AA116">SUMPRODUCT(IF(LEFT($A$4:$A$108,3)=LEFT($A116,3),IF($B$4:$B$108=$B116,IF($C$3:$AZ$3=AA$112,$C$4:$AZ$108))))</f>
        <v>64.533999999999992</v>
      </c>
      <c r="AB116" cm="1">
        <f t="array" ref="AB116">SUMPRODUCT(IF(LEFT($A$4:$A$108,3)=LEFT($A116,3),IF($B$4:$B$108=$B116,IF($C$3:$AZ$3=AB$112,$C$4:$AZ$108))))</f>
        <v>0.75</v>
      </c>
      <c r="AC116" cm="1">
        <f t="array" ref="AC116">SUMPRODUCT(IF(LEFT($A$4:$A$108,3)=LEFT($A116,3),IF($B$4:$B$108=$B116,IF($C$3:$AZ$3=AC$112,$C$4:$AZ$108))))</f>
        <v>21.023</v>
      </c>
      <c r="AD116" cm="1">
        <f t="array" ref="AD116">SUMPRODUCT(IF(LEFT($A$4:$A$108,3)=LEFT($A116,3),IF($B$4:$B$108=$B116,IF($C$3:$AZ$3=AD$112,$C$4:$AZ$108))))</f>
        <v>881.39</v>
      </c>
      <c r="AE116" cm="1">
        <f t="array" ref="AE116">SUMPRODUCT(IF(LEFT($A$4:$A$108,3)=LEFT($A116,3),IF($B$4:$B$108=$B116,IF($C$3:$AZ$3=AE$112,$C$4:$AZ$108))))</f>
        <v>9.2900000000000009</v>
      </c>
      <c r="AF116" cm="1">
        <f t="array" ref="AF116">SUMPRODUCT(IF(LEFT($A$4:$A$108,3)=LEFT($A116,3),IF($B$4:$B$108=$B116,IF($C$3:$AZ$3=AF$112,$C$4:$AZ$108))))</f>
        <v>2.754</v>
      </c>
      <c r="AG116" cm="1">
        <f t="array" ref="AG116">SUMPRODUCT(IF(LEFT($A$4:$A$108,3)=LEFT($A116,3),IF($B$4:$B$108=$B116,IF($C$3:$AZ$3=AG$112,$C$4:$AZ$108))))</f>
        <v>9.3070000000000004</v>
      </c>
      <c r="AH116" cm="1">
        <f t="array" ref="AH116">SUMPRODUCT(IF(LEFT($A$4:$A$108,3)=LEFT($A116,3),IF($B$4:$B$108=$B116,IF($C$3:$AZ$3=AH$112,$C$4:$AZ$108))))</f>
        <v>0.42899999999999999</v>
      </c>
      <c r="AI116" cm="1">
        <f t="array" ref="AI116">SUMPRODUCT(IF(LEFT($A$4:$A$108,3)=LEFT($A116,3),IF($B$4:$B$108=$B116,IF($C$3:$AZ$3=AI$112,$C$4:$AZ$108))))</f>
        <v>0.46200000000000002</v>
      </c>
      <c r="AJ116" cm="1">
        <f t="array" ref="AJ116">SUMPRODUCT(IF(LEFT($A$4:$A$108,3)=LEFT($A116,3),IF($B$4:$B$108=$B116,IF($C$3:$AZ$3=AJ$112,$C$4:$AZ$108))))</f>
        <v>0.29799999999999999</v>
      </c>
      <c r="AK116" cm="1">
        <f t="array" ref="AK116">SUMPRODUCT(IF(LEFT($A$4:$A$108,3)=LEFT($A116,3),IF($B$4:$B$108=$B116,IF($C$3:$AZ$3=AK$112,$C$4:$AZ$108))))</f>
        <v>0.69299999999999995</v>
      </c>
      <c r="AL116" cm="1">
        <f t="array" ref="AL116">SUMPRODUCT(IF(LEFT($A$4:$A$108,3)=LEFT($A116,3),IF($B$4:$B$108=$B116,IF($C$3:$AZ$3=AL$112,$C$4:$AZ$108))))</f>
        <v>17.62</v>
      </c>
      <c r="AM116" cm="1">
        <f t="array" ref="AM116">SUMPRODUCT(IF(LEFT($A$4:$A$108,3)=LEFT($A116,3),IF($B$4:$B$108=$B116,IF($C$3:$AZ$3=AM$112,$C$4:$AZ$108))))</f>
        <v>10.440000000000001</v>
      </c>
      <c r="AN116" cm="1">
        <f t="array" ref="AN116">SUMPRODUCT(IF(LEFT($A$4:$A$108,3)=LEFT($A116,3),IF($B$4:$B$108=$B116,IF($C$3:$AZ$3=AN$112,$C$4:$AZ$108))))</f>
        <v>12.132</v>
      </c>
      <c r="AO116" cm="1">
        <f t="array" ref="AO116">SUMPRODUCT(IF(LEFT($A$4:$A$108,3)=LEFT($A116,3),IF($B$4:$B$108=$B116,IF($C$3:$AZ$3=AO$112,$C$4:$AZ$108))))</f>
        <v>2.9649999999999999</v>
      </c>
      <c r="AP116" cm="1">
        <f t="array" ref="AP116">SUMPRODUCT(IF(LEFT($A$4:$A$108,3)=LEFT($A116,3),IF($B$4:$B$108=$B116,IF($C$3:$AZ$3=AP$112,$C$4:$AZ$108))))</f>
        <v>4.117</v>
      </c>
      <c r="AQ116" cm="1">
        <f t="array" ref="AQ116">SUMPRODUCT(IF(LEFT($A$4:$A$108,3)=LEFT($A116,3),IF($B$4:$B$108=$B116,IF($C$3:$AZ$3=AQ$112,$C$4:$AZ$108))))</f>
        <v>3.5009999999999999</v>
      </c>
      <c r="AR116" cm="1">
        <f t="array" ref="AR116">SUMPRODUCT(IF(LEFT($A$4:$A$108,3)=LEFT($A116,3),IF($B$4:$B$108=$B116,IF($C$3:$AZ$3=AR$112,$C$4:$AZ$108))))</f>
        <v>0</v>
      </c>
      <c r="AS116">
        <f t="shared" si="0"/>
        <v>3394.069</v>
      </c>
    </row>
    <row r="117" spans="1:45">
      <c r="A117" t="s">
        <v>384</v>
      </c>
      <c r="B117" t="s">
        <v>6</v>
      </c>
      <c r="C117" cm="1">
        <f t="array" ref="C117">SUMPRODUCT(IF(LEFT($A$4:$A$108,3)=LEFT($A117,3),IF($B$4:$B$108=$B117,IF($C$3:$AZ$3=C$112,$C$4:$AZ$108))))</f>
        <v>2.4E-2</v>
      </c>
      <c r="D117" cm="1">
        <f t="array" ref="D117">SUMPRODUCT(IF(LEFT($A$4:$A$108,3)=LEFT($A117,3),IF($B$4:$B$108=$B117,IF($C$3:$AZ$3=D$112,$C$4:$AZ$108))))</f>
        <v>0</v>
      </c>
      <c r="E117" cm="1">
        <f t="array" ref="E117">SUMPRODUCT(IF(LEFT($A$4:$A$108,3)=LEFT($A117,3),IF($B$4:$B$108=$B117,IF($C$3:$AZ$3=E$112,$C$4:$AZ$108))))</f>
        <v>0</v>
      </c>
      <c r="F117" cm="1">
        <f t="array" ref="F117">SUMPRODUCT(IF(LEFT($A$4:$A$108,3)=LEFT($A117,3),IF($B$4:$B$108=$B117,IF($C$3:$AZ$3=F$112,$C$4:$AZ$108))))</f>
        <v>2E-3</v>
      </c>
      <c r="G117" cm="1">
        <f t="array" ref="G117">SUMPRODUCT(IF(LEFT($A$4:$A$108,3)=LEFT($A117,3),IF($B$4:$B$108=$B117,IF($C$3:$AZ$3=G$112,$C$4:$AZ$108))))</f>
        <v>0</v>
      </c>
      <c r="H117" cm="1">
        <f t="array" ref="H117">SUMPRODUCT(IF(LEFT($A$4:$A$108,3)=LEFT($A117,3),IF($B$4:$B$108=$B117,IF($C$3:$AZ$3=H$112,$C$4:$AZ$108))))</f>
        <v>8.5000000000000006E-2</v>
      </c>
      <c r="I117" cm="1">
        <f t="array" ref="I117">SUMPRODUCT(IF(LEFT($A$4:$A$108,3)=LEFT($A117,3),IF($B$4:$B$108=$B117,IF($C$3:$AZ$3=I$112,$C$4:$AZ$108))))</f>
        <v>5.6000000000000001E-2</v>
      </c>
      <c r="J117" cm="1">
        <f t="array" ref="J117">SUMPRODUCT(IF(LEFT($A$4:$A$108,3)=LEFT($A117,3),IF($B$4:$B$108=$B117,IF($C$3:$AZ$3=J$112,$C$4:$AZ$108))))</f>
        <v>5.0000000000000001E-3</v>
      </c>
      <c r="K117" cm="1">
        <f t="array" ref="K117">SUMPRODUCT(IF(LEFT($A$4:$A$108,3)=LEFT($A117,3),IF($B$4:$B$108=$B117,IF($C$3:$AZ$3=K$112,$C$4:$AZ$108))))</f>
        <v>2.1000000000000001E-2</v>
      </c>
      <c r="L117" cm="1">
        <f t="array" ref="L117">SUMPRODUCT(IF(LEFT($A$4:$A$108,3)=LEFT($A117,3),IF($B$4:$B$108=$B117,IF($C$3:$AZ$3=L$112,$C$4:$AZ$108))))</f>
        <v>7.8E-2</v>
      </c>
      <c r="M117" cm="1">
        <f t="array" ref="M117">SUMPRODUCT(IF(LEFT($A$4:$A$108,3)=LEFT($A117,3),IF($B$4:$B$108=$B117,IF($C$3:$AZ$3=M$112,$C$4:$AZ$108))))</f>
        <v>0.14899999999999999</v>
      </c>
      <c r="N117" cm="1">
        <f t="array" ref="N117">SUMPRODUCT(IF(LEFT($A$4:$A$108,3)=LEFT($A117,3),IF($B$4:$B$108=$B117,IF($C$3:$AZ$3=N$112,$C$4:$AZ$108))))</f>
        <v>1.7999999999999999E-2</v>
      </c>
      <c r="O117" cm="1">
        <f t="array" ref="O117">SUMPRODUCT(IF(LEFT($A$4:$A$108,3)=LEFT($A117,3),IF($B$4:$B$108=$B117,IF($C$3:$AZ$3=O$112,$C$4:$AZ$108))))</f>
        <v>5.5E-2</v>
      </c>
      <c r="P117" s="4" cm="1">
        <f t="array" ref="P117">SUMPRODUCT(IF(LEFT($A$4:$A$108,3)=LEFT($A117,3),IF($B$4:$B$108=$B117,IF($C$3:$AZ$3=P$112,$C$4:$AZ$108))))*'Cement and Glass Split'!O52</f>
        <v>0</v>
      </c>
      <c r="Q117" s="4" cm="1">
        <f t="array" ref="Q117">SUMPRODUCT(IF(LEFT($A$4:$A$108,3)=LEFT($A117,3),IF($B$4:$B$108=$B117,IF($C$3:$AZ$3=P$112,$C$4:$AZ$108))))*'Cement and Glass Split'!P52</f>
        <v>0</v>
      </c>
      <c r="R117" cm="1">
        <f t="array" ref="R117">SUMPRODUCT(IF(LEFT($A$4:$A$108,3)=LEFT($A117,3),IF($B$4:$B$108=$B117,IF($C$3:$AZ$3=R$112,$C$4:$AZ$108))))</f>
        <v>5.7000000000000002E-2</v>
      </c>
      <c r="S117" cm="1">
        <f t="array" ref="S117">SUMPRODUCT(IF(LEFT($A$4:$A$108,3)=LEFT($A117,3),IF($B$4:$B$108=$B117,IF($C$3:$AZ$3=S$112,$C$4:$AZ$108))))</f>
        <v>1.7000000000000001E-2</v>
      </c>
      <c r="T117" cm="1">
        <f t="array" ref="T117">SUMPRODUCT(IF(LEFT($A$4:$A$108,3)=LEFT($A117,3),IF($B$4:$B$108=$B117,IF($C$3:$AZ$3=T$112,$C$4:$AZ$108))))</f>
        <v>5.2999999999999999E-2</v>
      </c>
      <c r="U117" cm="1">
        <f t="array" ref="U117">SUMPRODUCT(IF(LEFT($A$4:$A$108,3)=LEFT($A117,3),IF($B$4:$B$108=$B117,IF($C$3:$AZ$3=U$112,$C$4:$AZ$108))))</f>
        <v>0.22500000000000001</v>
      </c>
      <c r="V117" cm="1">
        <f t="array" ref="V117">SUMPRODUCT(IF(LEFT($A$4:$A$108,3)=LEFT($A117,3),IF($B$4:$B$108=$B117,IF($C$3:$AZ$3=V$112,$C$4:$AZ$108))))</f>
        <v>7.2999999999999995E-2</v>
      </c>
      <c r="W117" cm="1">
        <f t="array" ref="W117">SUMPRODUCT(IF(LEFT($A$4:$A$108,3)=LEFT($A117,3),IF($B$4:$B$108=$B117,IF($C$3:$AZ$3=W$112,$C$4:$AZ$108))))</f>
        <v>9.4E-2</v>
      </c>
      <c r="X117" cm="1">
        <f t="array" ref="X117">SUMPRODUCT(IF(LEFT($A$4:$A$108,3)=LEFT($A117,3),IF($B$4:$B$108=$B117,IF($C$3:$AZ$3=X$112,$C$4:$AZ$108))))</f>
        <v>8.2000000000000003E-2</v>
      </c>
      <c r="Y117" cm="1">
        <f t="array" ref="Y117">SUMPRODUCT(IF(LEFT($A$4:$A$108,3)=LEFT($A117,3),IF($B$4:$B$108=$B117,IF($C$3:$AZ$3=Y$112,$C$4:$AZ$108))))</f>
        <v>2.8999999999999998E-2</v>
      </c>
      <c r="Z117" cm="1">
        <f t="array" ref="Z117">SUMPRODUCT(IF(LEFT($A$4:$A$108,3)=LEFT($A117,3),IF($B$4:$B$108=$B117,IF($C$3:$AZ$3=Z$112,$C$4:$AZ$108))))</f>
        <v>1.6E-2</v>
      </c>
      <c r="AA117" cm="1">
        <f t="array" ref="AA117">SUMPRODUCT(IF(LEFT($A$4:$A$108,3)=LEFT($A117,3),IF($B$4:$B$108=$B117,IF($C$3:$AZ$3=AA$112,$C$4:$AZ$108))))</f>
        <v>0.04</v>
      </c>
      <c r="AB117" cm="1">
        <f t="array" ref="AB117">SUMPRODUCT(IF(LEFT($A$4:$A$108,3)=LEFT($A117,3),IF($B$4:$B$108=$B117,IF($C$3:$AZ$3=AB$112,$C$4:$AZ$108))))</f>
        <v>8.0000000000000002E-3</v>
      </c>
      <c r="AC117" cm="1">
        <f t="array" ref="AC117">SUMPRODUCT(IF(LEFT($A$4:$A$108,3)=LEFT($A117,3),IF($B$4:$B$108=$B117,IF($C$3:$AZ$3=AC$112,$C$4:$AZ$108))))</f>
        <v>5.0000000000000001E-3</v>
      </c>
      <c r="AD117" cm="1">
        <f t="array" ref="AD117">SUMPRODUCT(IF(LEFT($A$4:$A$108,3)=LEFT($A117,3),IF($B$4:$B$108=$B117,IF($C$3:$AZ$3=AD$112,$C$4:$AZ$108))))</f>
        <v>0.109</v>
      </c>
      <c r="AE117" cm="1">
        <f t="array" ref="AE117">SUMPRODUCT(IF(LEFT($A$4:$A$108,3)=LEFT($A117,3),IF($B$4:$B$108=$B117,IF($C$3:$AZ$3=AE$112,$C$4:$AZ$108))))</f>
        <v>5.7000000000000002E-2</v>
      </c>
      <c r="AF117" cm="1">
        <f t="array" ref="AF117">SUMPRODUCT(IF(LEFT($A$4:$A$108,3)=LEFT($A117,3),IF($B$4:$B$108=$B117,IF($C$3:$AZ$3=AF$112,$C$4:$AZ$108))))</f>
        <v>3.3000000000000002E-2</v>
      </c>
      <c r="AG117" cm="1">
        <f t="array" ref="AG117">SUMPRODUCT(IF(LEFT($A$4:$A$108,3)=LEFT($A117,3),IF($B$4:$B$108=$B117,IF($C$3:$AZ$3=AG$112,$C$4:$AZ$108))))</f>
        <v>6.4000000000000001E-2</v>
      </c>
      <c r="AH117" cm="1">
        <f t="array" ref="AH117">SUMPRODUCT(IF(LEFT($A$4:$A$108,3)=LEFT($A117,3),IF($B$4:$B$108=$B117,IF($C$3:$AZ$3=AH$112,$C$4:$AZ$108))))</f>
        <v>7.0000000000000001E-3</v>
      </c>
      <c r="AI117" cm="1">
        <f t="array" ref="AI117">SUMPRODUCT(IF(LEFT($A$4:$A$108,3)=LEFT($A117,3),IF($B$4:$B$108=$B117,IF($C$3:$AZ$3=AI$112,$C$4:$AZ$108))))</f>
        <v>0.01</v>
      </c>
      <c r="AJ117" cm="1">
        <f t="array" ref="AJ117">SUMPRODUCT(IF(LEFT($A$4:$A$108,3)=LEFT($A117,3),IF($B$4:$B$108=$B117,IF($C$3:$AZ$3=AJ$112,$C$4:$AZ$108))))</f>
        <v>5.0000000000000001E-3</v>
      </c>
      <c r="AK117" cm="1">
        <f t="array" ref="AK117">SUMPRODUCT(IF(LEFT($A$4:$A$108,3)=LEFT($A117,3),IF($B$4:$B$108=$B117,IF($C$3:$AZ$3=AK$112,$C$4:$AZ$108))))</f>
        <v>5.0000000000000001E-3</v>
      </c>
      <c r="AL117" cm="1">
        <f t="array" ref="AL117">SUMPRODUCT(IF(LEFT($A$4:$A$108,3)=LEFT($A117,3),IF($B$4:$B$108=$B117,IF($C$3:$AZ$3=AL$112,$C$4:$AZ$108))))</f>
        <v>1.2E-2</v>
      </c>
      <c r="AM117" cm="1">
        <f t="array" ref="AM117">SUMPRODUCT(IF(LEFT($A$4:$A$108,3)=LEFT($A117,3),IF($B$4:$B$108=$B117,IF($C$3:$AZ$3=AM$112,$C$4:$AZ$108))))</f>
        <v>3.1E-2</v>
      </c>
      <c r="AN117" cm="1">
        <f t="array" ref="AN117">SUMPRODUCT(IF(LEFT($A$4:$A$108,3)=LEFT($A117,3),IF($B$4:$B$108=$B117,IF($C$3:$AZ$3=AN$112,$C$4:$AZ$108))))</f>
        <v>1.2999999999999999E-2</v>
      </c>
      <c r="AO117" cm="1">
        <f t="array" ref="AO117">SUMPRODUCT(IF(LEFT($A$4:$A$108,3)=LEFT($A117,3),IF($B$4:$B$108=$B117,IF($C$3:$AZ$3=AO$112,$C$4:$AZ$108))))</f>
        <v>0.01</v>
      </c>
      <c r="AP117" cm="1">
        <f t="array" ref="AP117">SUMPRODUCT(IF(LEFT($A$4:$A$108,3)=LEFT($A117,3),IF($B$4:$B$108=$B117,IF($C$3:$AZ$3=AP$112,$C$4:$AZ$108))))</f>
        <v>4.1000000000000002E-2</v>
      </c>
      <c r="AQ117" cm="1">
        <f t="array" ref="AQ117">SUMPRODUCT(IF(LEFT($A$4:$A$108,3)=LEFT($A117,3),IF($B$4:$B$108=$B117,IF($C$3:$AZ$3=AQ$112,$C$4:$AZ$108))))</f>
        <v>2.1000000000000001E-2</v>
      </c>
      <c r="AR117" cm="1">
        <f t="array" ref="AR117">SUMPRODUCT(IF(LEFT($A$4:$A$108,3)=LEFT($A117,3),IF($B$4:$B$108=$B117,IF($C$3:$AZ$3=AR$112,$C$4:$AZ$108))))</f>
        <v>0</v>
      </c>
      <c r="AS117">
        <f t="shared" si="0"/>
        <v>18.831</v>
      </c>
    </row>
    <row r="118" spans="1:45">
      <c r="A118" t="s">
        <v>384</v>
      </c>
      <c r="B118" t="s">
        <v>7</v>
      </c>
      <c r="C118" cm="1">
        <f t="array" ref="C118">SUMPRODUCT(IF(LEFT($A$4:$A$108,3)=LEFT($A118,3),IF($B$4:$B$108=$B118,IF($C$3:$AZ$3=C$112,$C$4:$AZ$108))))</f>
        <v>3668.317</v>
      </c>
      <c r="D118" cm="1">
        <f t="array" ref="D118">SUMPRODUCT(IF(LEFT($A$4:$A$108,3)=LEFT($A118,3),IF($B$4:$B$108=$B118,IF($C$3:$AZ$3=D$112,$C$4:$AZ$108))))</f>
        <v>0.17899999999999999</v>
      </c>
      <c r="E118" cm="1">
        <f t="array" ref="E118">SUMPRODUCT(IF(LEFT($A$4:$A$108,3)=LEFT($A118,3),IF($B$4:$B$108=$B118,IF($C$3:$AZ$3=E$112,$C$4:$AZ$108))))</f>
        <v>0.09</v>
      </c>
      <c r="F118" cm="1">
        <f t="array" ref="F118">SUMPRODUCT(IF(LEFT($A$4:$A$108,3)=LEFT($A118,3),IF($B$4:$B$108=$B118,IF($C$3:$AZ$3=F$112,$C$4:$AZ$108))))</f>
        <v>4.5209999999999999</v>
      </c>
      <c r="G118" cm="1">
        <f t="array" ref="G118">SUMPRODUCT(IF(LEFT($A$4:$A$108,3)=LEFT($A118,3),IF($B$4:$B$108=$B118,IF($C$3:$AZ$3=G$112,$C$4:$AZ$108))))</f>
        <v>1.2E-2</v>
      </c>
      <c r="H118" cm="1">
        <f t="array" ref="H118">SUMPRODUCT(IF(LEFT($A$4:$A$108,3)=LEFT($A118,3),IF($B$4:$B$108=$B118,IF($C$3:$AZ$3=H$112,$C$4:$AZ$108))))</f>
        <v>21114.006000000001</v>
      </c>
      <c r="I118" cm="1">
        <f t="array" ref="I118">SUMPRODUCT(IF(LEFT($A$4:$A$108,3)=LEFT($A118,3),IF($B$4:$B$108=$B118,IF($C$3:$AZ$3=I$112,$C$4:$AZ$108))))</f>
        <v>182.59</v>
      </c>
      <c r="J118" cm="1">
        <f t="array" ref="J118">SUMPRODUCT(IF(LEFT($A$4:$A$108,3)=LEFT($A118,3),IF($B$4:$B$108=$B118,IF($C$3:$AZ$3=J$112,$C$4:$AZ$108))))</f>
        <v>7.4880000000000004</v>
      </c>
      <c r="K118" cm="1">
        <f t="array" ref="K118">SUMPRODUCT(IF(LEFT($A$4:$A$108,3)=LEFT($A118,3),IF($B$4:$B$108=$B118,IF($C$3:$AZ$3=K$112,$C$4:$AZ$108))))</f>
        <v>72.350999999999999</v>
      </c>
      <c r="L118" cm="1">
        <f t="array" ref="L118">SUMPRODUCT(IF(LEFT($A$4:$A$108,3)=LEFT($A118,3),IF($B$4:$B$108=$B118,IF($C$3:$AZ$3=L$112,$C$4:$AZ$108))))</f>
        <v>38.615000000000002</v>
      </c>
      <c r="M118" cm="1">
        <f t="array" ref="M118">SUMPRODUCT(IF(LEFT($A$4:$A$108,3)=LEFT($A118,3),IF($B$4:$B$108=$B118,IF($C$3:$AZ$3=M$112,$C$4:$AZ$108))))</f>
        <v>1315.58</v>
      </c>
      <c r="N118" cm="1">
        <f t="array" ref="N118">SUMPRODUCT(IF(LEFT($A$4:$A$108,3)=LEFT($A118,3),IF($B$4:$B$108=$B118,IF($C$3:$AZ$3=N$112,$C$4:$AZ$108))))</f>
        <v>190.09299999999999</v>
      </c>
      <c r="O118" cm="1">
        <f t="array" ref="O118">SUMPRODUCT(IF(LEFT($A$4:$A$108,3)=LEFT($A118,3),IF($B$4:$B$108=$B118,IF($C$3:$AZ$3=O$112,$C$4:$AZ$108))))</f>
        <v>73.632999999999996</v>
      </c>
      <c r="P118" s="4" cm="1">
        <f t="array" ref="P118">SUMPRODUCT(IF(LEFT($A$4:$A$108,3)=LEFT($A118,3),IF($B$4:$B$108=$B118,IF($C$3:$AZ$3=P$112,$C$4:$AZ$108))))*'Cement and Glass Split'!O53</f>
        <v>0</v>
      </c>
      <c r="Q118" s="4" cm="1">
        <f t="array" ref="Q118">SUMPRODUCT(IF(LEFT($A$4:$A$108,3)=LEFT($A118,3),IF($B$4:$B$108=$B118,IF($C$3:$AZ$3=P$112,$C$4:$AZ$108))))*'Cement and Glass Split'!P53</f>
        <v>26.308</v>
      </c>
      <c r="R118" cm="1">
        <f t="array" ref="R118">SUMPRODUCT(IF(LEFT($A$4:$A$108,3)=LEFT($A118,3),IF($B$4:$B$108=$B118,IF($C$3:$AZ$3=R$112,$C$4:$AZ$108))))</f>
        <v>30.263999999999999</v>
      </c>
      <c r="S118" cm="1">
        <f t="array" ref="S118">SUMPRODUCT(IF(LEFT($A$4:$A$108,3)=LEFT($A118,3),IF($B$4:$B$108=$B118,IF($C$3:$AZ$3=S$112,$C$4:$AZ$108))))</f>
        <v>24.390999999999998</v>
      </c>
      <c r="T118" cm="1">
        <f t="array" ref="T118">SUMPRODUCT(IF(LEFT($A$4:$A$108,3)=LEFT($A118,3),IF($B$4:$B$108=$B118,IF($C$3:$AZ$3=T$112,$C$4:$AZ$108))))</f>
        <v>42.692999999999998</v>
      </c>
      <c r="U118" cm="1">
        <f t="array" ref="U118">SUMPRODUCT(IF(LEFT($A$4:$A$108,3)=LEFT($A118,3),IF($B$4:$B$108=$B118,IF($C$3:$AZ$3=U$112,$C$4:$AZ$108))))</f>
        <v>72.796999999999997</v>
      </c>
      <c r="V118" cm="1">
        <f t="array" ref="V118">SUMPRODUCT(IF(LEFT($A$4:$A$108,3)=LEFT($A118,3),IF($B$4:$B$108=$B118,IF($C$3:$AZ$3=V$112,$C$4:$AZ$108))))</f>
        <v>47.362000000000002</v>
      </c>
      <c r="W118" cm="1">
        <f t="array" ref="W118">SUMPRODUCT(IF(LEFT($A$4:$A$108,3)=LEFT($A118,3),IF($B$4:$B$108=$B118,IF($C$3:$AZ$3=W$112,$C$4:$AZ$108))))</f>
        <v>62.470999999999997</v>
      </c>
      <c r="X118" cm="1">
        <f t="array" ref="X118">SUMPRODUCT(IF(LEFT($A$4:$A$108,3)=LEFT($A118,3),IF($B$4:$B$108=$B118,IF($C$3:$AZ$3=X$112,$C$4:$AZ$108))))</f>
        <v>51.529000000000003</v>
      </c>
      <c r="Y118" cm="1">
        <f t="array" ref="Y118">SUMPRODUCT(IF(LEFT($A$4:$A$108,3)=LEFT($A118,3),IF($B$4:$B$108=$B118,IF($C$3:$AZ$3=Y$112,$C$4:$AZ$108))))</f>
        <v>18.013000000000002</v>
      </c>
      <c r="Z118" cm="1">
        <f t="array" ref="Z118">SUMPRODUCT(IF(LEFT($A$4:$A$108,3)=LEFT($A118,3),IF($B$4:$B$108=$B118,IF($C$3:$AZ$3=Z$112,$C$4:$AZ$108))))</f>
        <v>39.183</v>
      </c>
      <c r="AA118" cm="1">
        <f t="array" ref="AA118">SUMPRODUCT(IF(LEFT($A$4:$A$108,3)=LEFT($A118,3),IF($B$4:$B$108=$B118,IF($C$3:$AZ$3=AA$112,$C$4:$AZ$108))))</f>
        <v>50.101999999999997</v>
      </c>
      <c r="AB118" cm="1">
        <f t="array" ref="AB118">SUMPRODUCT(IF(LEFT($A$4:$A$108,3)=LEFT($A118,3),IF($B$4:$B$108=$B118,IF($C$3:$AZ$3=AB$112,$C$4:$AZ$108))))</f>
        <v>22.63</v>
      </c>
      <c r="AC118" cm="1">
        <f t="array" ref="AC118">SUMPRODUCT(IF(LEFT($A$4:$A$108,3)=LEFT($A118,3),IF($B$4:$B$108=$B118,IF($C$3:$AZ$3=AC$112,$C$4:$AZ$108))))</f>
        <v>28.553999999999998</v>
      </c>
      <c r="AD118" cm="1">
        <f t="array" ref="AD118">SUMPRODUCT(IF(LEFT($A$4:$A$108,3)=LEFT($A118,3),IF($B$4:$B$108=$B118,IF($C$3:$AZ$3=AD$112,$C$4:$AZ$108))))</f>
        <v>114.09</v>
      </c>
      <c r="AE118" cm="1">
        <f t="array" ref="AE118">SUMPRODUCT(IF(LEFT($A$4:$A$108,3)=LEFT($A118,3),IF($B$4:$B$108=$B118,IF($C$3:$AZ$3=AE$112,$C$4:$AZ$108))))</f>
        <v>1570.6379999999999</v>
      </c>
      <c r="AF118" cm="1">
        <f t="array" ref="AF118">SUMPRODUCT(IF(LEFT($A$4:$A$108,3)=LEFT($A118,3),IF($B$4:$B$108=$B118,IF($C$3:$AZ$3=AF$112,$C$4:$AZ$108))))</f>
        <v>237.87799999999999</v>
      </c>
      <c r="AG118" cm="1">
        <f t="array" ref="AG118">SUMPRODUCT(IF(LEFT($A$4:$A$108,3)=LEFT($A118,3),IF($B$4:$B$108=$B118,IF($C$3:$AZ$3=AG$112,$C$4:$AZ$108))))</f>
        <v>31471.800999999999</v>
      </c>
      <c r="AH118" cm="1">
        <f t="array" ref="AH118">SUMPRODUCT(IF(LEFT($A$4:$A$108,3)=LEFT($A118,3),IF($B$4:$B$108=$B118,IF($C$3:$AZ$3=AH$112,$C$4:$AZ$108))))</f>
        <v>99.322999999999993</v>
      </c>
      <c r="AI118" cm="1">
        <f t="array" ref="AI118">SUMPRODUCT(IF(LEFT($A$4:$A$108,3)=LEFT($A118,3),IF($B$4:$B$108=$B118,IF($C$3:$AZ$3=AI$112,$C$4:$AZ$108))))</f>
        <v>46.774999999999999</v>
      </c>
      <c r="AJ118" cm="1">
        <f t="array" ref="AJ118">SUMPRODUCT(IF(LEFT($A$4:$A$108,3)=LEFT($A118,3),IF($B$4:$B$108=$B118,IF($C$3:$AZ$3=AJ$112,$C$4:$AZ$108))))</f>
        <v>61.488</v>
      </c>
      <c r="AK118" cm="1">
        <f t="array" ref="AK118">SUMPRODUCT(IF(LEFT($A$4:$A$108,3)=LEFT($A118,3),IF($B$4:$B$108=$B118,IF($C$3:$AZ$3=AK$112,$C$4:$AZ$108))))</f>
        <v>123.502</v>
      </c>
      <c r="AL118" cm="1">
        <f t="array" ref="AL118">SUMPRODUCT(IF(LEFT($A$4:$A$108,3)=LEFT($A118,3),IF($B$4:$B$108=$B118,IF($C$3:$AZ$3=AL$112,$C$4:$AZ$108))))</f>
        <v>119.777</v>
      </c>
      <c r="AM118" cm="1">
        <f t="array" ref="AM118">SUMPRODUCT(IF(LEFT($A$4:$A$108,3)=LEFT($A118,3),IF($B$4:$B$108=$B118,IF($C$3:$AZ$3=AM$112,$C$4:$AZ$108))))</f>
        <v>358.43200000000002</v>
      </c>
      <c r="AN118" cm="1">
        <f t="array" ref="AN118">SUMPRODUCT(IF(LEFT($A$4:$A$108,3)=LEFT($A118,3),IF($B$4:$B$108=$B118,IF($C$3:$AZ$3=AN$112,$C$4:$AZ$108))))</f>
        <v>333.22899999999998</v>
      </c>
      <c r="AO118" cm="1">
        <f t="array" ref="AO118">SUMPRODUCT(IF(LEFT($A$4:$A$108,3)=LEFT($A118,3),IF($B$4:$B$108=$B118,IF($C$3:$AZ$3=AO$112,$C$4:$AZ$108))))</f>
        <v>582.13499999999999</v>
      </c>
      <c r="AP118" cm="1">
        <f t="array" ref="AP118">SUMPRODUCT(IF(LEFT($A$4:$A$108,3)=LEFT($A118,3),IF($B$4:$B$108=$B118,IF($C$3:$AZ$3=AP$112,$C$4:$AZ$108))))</f>
        <v>849.43700000000001</v>
      </c>
      <c r="AQ118" cm="1">
        <f t="array" ref="AQ118">SUMPRODUCT(IF(LEFT($A$4:$A$108,3)=LEFT($A118,3),IF($B$4:$B$108=$B118,IF($C$3:$AZ$3=AQ$112,$C$4:$AZ$108))))</f>
        <v>556.82400000000007</v>
      </c>
      <c r="AR118" cm="1">
        <f t="array" ref="AR118">SUMPRODUCT(IF(LEFT($A$4:$A$108,3)=LEFT($A118,3),IF($B$4:$B$108=$B118,IF($C$3:$AZ$3=AR$112,$C$4:$AZ$108))))</f>
        <v>0</v>
      </c>
      <c r="AS118">
        <f t="shared" si="0"/>
        <v>131256.50899999999</v>
      </c>
    </row>
    <row r="119" spans="1:45">
      <c r="A119" t="s">
        <v>384</v>
      </c>
      <c r="B119" t="s">
        <v>8</v>
      </c>
      <c r="C119" cm="1">
        <f t="array" ref="C119">SUMPRODUCT(IF(LEFT($A$4:$A$108,3)=LEFT($A119,3),IF($B$4:$B$108=$B119,IF($C$3:$AZ$3=C$112,$C$4:$AZ$108))))</f>
        <v>173.01900000000001</v>
      </c>
      <c r="D119" cm="1">
        <f t="array" ref="D119">SUMPRODUCT(IF(LEFT($A$4:$A$108,3)=LEFT($A119,3),IF($B$4:$B$108=$B119,IF($C$3:$AZ$3=D$112,$C$4:$AZ$108))))</f>
        <v>0.77900000000000003</v>
      </c>
      <c r="E119" cm="1">
        <f t="array" ref="E119">SUMPRODUCT(IF(LEFT($A$4:$A$108,3)=LEFT($A119,3),IF($B$4:$B$108=$B119,IF($C$3:$AZ$3=E$112,$C$4:$AZ$108))))</f>
        <v>0.23499999999999999</v>
      </c>
      <c r="F119" cm="1">
        <f t="array" ref="F119">SUMPRODUCT(IF(LEFT($A$4:$A$108,3)=LEFT($A119,3),IF($B$4:$B$108=$B119,IF($C$3:$AZ$3=F$112,$C$4:$AZ$108))))</f>
        <v>8.8890000000000011</v>
      </c>
      <c r="G119" cm="1">
        <f t="array" ref="G119">SUMPRODUCT(IF(LEFT($A$4:$A$108,3)=LEFT($A119,3),IF($B$4:$B$108=$B119,IF($C$3:$AZ$3=G$112,$C$4:$AZ$108))))</f>
        <v>3.4000000000000002E-2</v>
      </c>
      <c r="H119" cm="1">
        <f t="array" ref="H119">SUMPRODUCT(IF(LEFT($A$4:$A$108,3)=LEFT($A119,3),IF($B$4:$B$108=$B119,IF($C$3:$AZ$3=H$112,$C$4:$AZ$108))))</f>
        <v>243.52699999999999</v>
      </c>
      <c r="I119" cm="1">
        <f t="array" ref="I119">SUMPRODUCT(IF(LEFT($A$4:$A$108,3)=LEFT($A119,3),IF($B$4:$B$108=$B119,IF($C$3:$AZ$3=I$112,$C$4:$AZ$108))))</f>
        <v>19216.841</v>
      </c>
      <c r="J119" cm="1">
        <f t="array" ref="J119">SUMPRODUCT(IF(LEFT($A$4:$A$108,3)=LEFT($A119,3),IF($B$4:$B$108=$B119,IF($C$3:$AZ$3=J$112,$C$4:$AZ$108))))</f>
        <v>30.850999999999999</v>
      </c>
      <c r="K119" cm="1">
        <f t="array" ref="K119">SUMPRODUCT(IF(LEFT($A$4:$A$108,3)=LEFT($A119,3),IF($B$4:$B$108=$B119,IF($C$3:$AZ$3=K$112,$C$4:$AZ$108))))</f>
        <v>304.11</v>
      </c>
      <c r="L119" cm="1">
        <f t="array" ref="L119">SUMPRODUCT(IF(LEFT($A$4:$A$108,3)=LEFT($A119,3),IF($B$4:$B$108=$B119,IF($C$3:$AZ$3=L$112,$C$4:$AZ$108))))</f>
        <v>43.168999999999997</v>
      </c>
      <c r="M119" cm="1">
        <f t="array" ref="M119">SUMPRODUCT(IF(LEFT($A$4:$A$108,3)=LEFT($A119,3),IF($B$4:$B$108=$B119,IF($C$3:$AZ$3=M$112,$C$4:$AZ$108))))</f>
        <v>764.63099999999997</v>
      </c>
      <c r="N119" cm="1">
        <f t="array" ref="N119">SUMPRODUCT(IF(LEFT($A$4:$A$108,3)=LEFT($A119,3),IF($B$4:$B$108=$B119,IF($C$3:$AZ$3=N$112,$C$4:$AZ$108))))</f>
        <v>60.784999999999997</v>
      </c>
      <c r="O119" cm="1">
        <f t="array" ref="O119">SUMPRODUCT(IF(LEFT($A$4:$A$108,3)=LEFT($A119,3),IF($B$4:$B$108=$B119,IF($C$3:$AZ$3=O$112,$C$4:$AZ$108))))</f>
        <v>665.71699999999998</v>
      </c>
      <c r="P119" s="4" cm="1">
        <f t="array" ref="P119">SUMPRODUCT(IF(LEFT($A$4:$A$108,3)=LEFT($A119,3),IF($B$4:$B$108=$B119,IF($C$3:$AZ$3=P$112,$C$4:$AZ$108))))*'Cement and Glass Split'!O54</f>
        <v>30.440697671051261</v>
      </c>
      <c r="Q119" s="4" cm="1">
        <f t="array" ref="Q119">SUMPRODUCT(IF(LEFT($A$4:$A$108,3)=LEFT($A119,3),IF($B$4:$B$108=$B119,IF($C$3:$AZ$3=P$112,$C$4:$AZ$108))))*'Cement and Glass Split'!P54</f>
        <v>130.84130232894876</v>
      </c>
      <c r="R119" cm="1">
        <f t="array" ref="R119">SUMPRODUCT(IF(LEFT($A$4:$A$108,3)=LEFT($A119,3),IF($B$4:$B$108=$B119,IF($C$3:$AZ$3=R$112,$C$4:$AZ$108))))</f>
        <v>105.87</v>
      </c>
      <c r="S119" cm="1">
        <f t="array" ref="S119">SUMPRODUCT(IF(LEFT($A$4:$A$108,3)=LEFT($A119,3),IF($B$4:$B$108=$B119,IF($C$3:$AZ$3=S$112,$C$4:$AZ$108))))</f>
        <v>47.908000000000001</v>
      </c>
      <c r="T119" cm="1">
        <f t="array" ref="T119">SUMPRODUCT(IF(LEFT($A$4:$A$108,3)=LEFT($A119,3),IF($B$4:$B$108=$B119,IF($C$3:$AZ$3=T$112,$C$4:$AZ$108))))</f>
        <v>187.59700000000001</v>
      </c>
      <c r="U119" cm="1">
        <f t="array" ref="U119">SUMPRODUCT(IF(LEFT($A$4:$A$108,3)=LEFT($A119,3),IF($B$4:$B$108=$B119,IF($C$3:$AZ$3=U$112,$C$4:$AZ$108))))</f>
        <v>319.488</v>
      </c>
      <c r="V119" cm="1">
        <f t="array" ref="V119">SUMPRODUCT(IF(LEFT($A$4:$A$108,3)=LEFT($A119,3),IF($B$4:$B$108=$B119,IF($C$3:$AZ$3=V$112,$C$4:$AZ$108))))</f>
        <v>195.749</v>
      </c>
      <c r="W119" cm="1">
        <f t="array" ref="W119">SUMPRODUCT(IF(LEFT($A$4:$A$108,3)=LEFT($A119,3),IF($B$4:$B$108=$B119,IF($C$3:$AZ$3=W$112,$C$4:$AZ$108))))</f>
        <v>285.35500000000002</v>
      </c>
      <c r="X119" cm="1">
        <f t="array" ref="X119">SUMPRODUCT(IF(LEFT($A$4:$A$108,3)=LEFT($A119,3),IF($B$4:$B$108=$B119,IF($C$3:$AZ$3=X$112,$C$4:$AZ$108))))</f>
        <v>1208.8309999999999</v>
      </c>
      <c r="Y119" cm="1">
        <f t="array" ref="Y119">SUMPRODUCT(IF(LEFT($A$4:$A$108,3)=LEFT($A119,3),IF($B$4:$B$108=$B119,IF($C$3:$AZ$3=Y$112,$C$4:$AZ$108))))</f>
        <v>190.14700000000002</v>
      </c>
      <c r="Z119" cm="1">
        <f t="array" ref="Z119">SUMPRODUCT(IF(LEFT($A$4:$A$108,3)=LEFT($A119,3),IF($B$4:$B$108=$B119,IF($C$3:$AZ$3=Z$112,$C$4:$AZ$108))))</f>
        <v>720.44399999999996</v>
      </c>
      <c r="AA119" cm="1">
        <f t="array" ref="AA119">SUMPRODUCT(IF(LEFT($A$4:$A$108,3)=LEFT($A119,3),IF($B$4:$B$108=$B119,IF($C$3:$AZ$3=AA$112,$C$4:$AZ$108))))</f>
        <v>95.031000000000006</v>
      </c>
      <c r="AB119" cm="1">
        <f t="array" ref="AB119">SUMPRODUCT(IF(LEFT($A$4:$A$108,3)=LEFT($A119,3),IF($B$4:$B$108=$B119,IF($C$3:$AZ$3=AB$112,$C$4:$AZ$108))))</f>
        <v>23.638000000000002</v>
      </c>
      <c r="AC119" cm="1">
        <f t="array" ref="AC119">SUMPRODUCT(IF(LEFT($A$4:$A$108,3)=LEFT($A119,3),IF($B$4:$B$108=$B119,IF($C$3:$AZ$3=AC$112,$C$4:$AZ$108))))</f>
        <v>67.254000000000005</v>
      </c>
      <c r="AD119" cm="1">
        <f t="array" ref="AD119">SUMPRODUCT(IF(LEFT($A$4:$A$108,3)=LEFT($A119,3),IF($B$4:$B$108=$B119,IF($C$3:$AZ$3=AD$112,$C$4:$AZ$108))))</f>
        <v>519.26099999999997</v>
      </c>
      <c r="AE119" cm="1">
        <f t="array" ref="AE119">SUMPRODUCT(IF(LEFT($A$4:$A$108,3)=LEFT($A119,3),IF($B$4:$B$108=$B119,IF($C$3:$AZ$3=AE$112,$C$4:$AZ$108))))</f>
        <v>1401.5719999999999</v>
      </c>
      <c r="AF119" cm="1">
        <f t="array" ref="AF119">SUMPRODUCT(IF(LEFT($A$4:$A$108,3)=LEFT($A119,3),IF($B$4:$B$108=$B119,IF($C$3:$AZ$3=AF$112,$C$4:$AZ$108))))</f>
        <v>195.75</v>
      </c>
      <c r="AG119" cm="1">
        <f t="array" ref="AG119">SUMPRODUCT(IF(LEFT($A$4:$A$108,3)=LEFT($A119,3),IF($B$4:$B$108=$B119,IF($C$3:$AZ$3=AG$112,$C$4:$AZ$108))))</f>
        <v>814.29700000000003</v>
      </c>
      <c r="AH119" cm="1">
        <f t="array" ref="AH119">SUMPRODUCT(IF(LEFT($A$4:$A$108,3)=LEFT($A119,3),IF($B$4:$B$108=$B119,IF($C$3:$AZ$3=AH$112,$C$4:$AZ$108))))</f>
        <v>67.951999999999998</v>
      </c>
      <c r="AI119" cm="1">
        <f t="array" ref="AI119">SUMPRODUCT(IF(LEFT($A$4:$A$108,3)=LEFT($A119,3),IF($B$4:$B$108=$B119,IF($C$3:$AZ$3=AI$112,$C$4:$AZ$108))))</f>
        <v>61.146999999999998</v>
      </c>
      <c r="AJ119" cm="1">
        <f t="array" ref="AJ119">SUMPRODUCT(IF(LEFT($A$4:$A$108,3)=LEFT($A119,3),IF($B$4:$B$108=$B119,IF($C$3:$AZ$3=AJ$112,$C$4:$AZ$108))))</f>
        <v>52.494999999999997</v>
      </c>
      <c r="AK119" cm="1">
        <f t="array" ref="AK119">SUMPRODUCT(IF(LEFT($A$4:$A$108,3)=LEFT($A119,3),IF($B$4:$B$108=$B119,IF($C$3:$AZ$3=AK$112,$C$4:$AZ$108))))</f>
        <v>111.83199999999999</v>
      </c>
      <c r="AL119" cm="1">
        <f t="array" ref="AL119">SUMPRODUCT(IF(LEFT($A$4:$A$108,3)=LEFT($A119,3),IF($B$4:$B$108=$B119,IF($C$3:$AZ$3=AL$112,$C$4:$AZ$108))))</f>
        <v>190.96700000000001</v>
      </c>
      <c r="AM119" cm="1">
        <f t="array" ref="AM119">SUMPRODUCT(IF(LEFT($A$4:$A$108,3)=LEFT($A119,3),IF($B$4:$B$108=$B119,IF($C$3:$AZ$3=AM$112,$C$4:$AZ$108))))</f>
        <v>760.2170000000001</v>
      </c>
      <c r="AN119" cm="1">
        <f t="array" ref="AN119">SUMPRODUCT(IF(LEFT($A$4:$A$108,3)=LEFT($A119,3),IF($B$4:$B$108=$B119,IF($C$3:$AZ$3=AN$112,$C$4:$AZ$108))))</f>
        <v>578.68600000000004</v>
      </c>
      <c r="AO119" cm="1">
        <f t="array" ref="AO119">SUMPRODUCT(IF(LEFT($A$4:$A$108,3)=LEFT($A119,3),IF($B$4:$B$108=$B119,IF($C$3:$AZ$3=AO$112,$C$4:$AZ$108))))</f>
        <v>293.46899999999999</v>
      </c>
      <c r="AP119" cm="1">
        <f t="array" ref="AP119">SUMPRODUCT(IF(LEFT($A$4:$A$108,3)=LEFT($A119,3),IF($B$4:$B$108=$B119,IF($C$3:$AZ$3=AP$112,$C$4:$AZ$108))))</f>
        <v>732.82299999999998</v>
      </c>
      <c r="AQ119" cm="1">
        <f t="array" ref="AQ119">SUMPRODUCT(IF(LEFT($A$4:$A$108,3)=LEFT($A119,3),IF($B$4:$B$108=$B119,IF($C$3:$AZ$3=AQ$112,$C$4:$AZ$108))))</f>
        <v>1083.614</v>
      </c>
      <c r="AR119" cm="1">
        <f t="array" ref="AR119">SUMPRODUCT(IF(LEFT($A$4:$A$108,3)=LEFT($A119,3),IF($B$4:$B$108=$B119,IF($C$3:$AZ$3=AR$112,$C$4:$AZ$108))))</f>
        <v>0</v>
      </c>
      <c r="AS119">
        <f t="shared" si="0"/>
        <v>66294.554999999993</v>
      </c>
    </row>
    <row r="120" spans="1:45">
      <c r="A120" t="s">
        <v>384</v>
      </c>
      <c r="B120" t="s">
        <v>9</v>
      </c>
      <c r="C120" cm="1">
        <f t="array" ref="C120">SUMPRODUCT(IF(LEFT($A$4:$A$108,3)=LEFT($A120,3),IF($B$4:$B$108=$B120,IF($C$3:$AZ$3=C$112,$C$4:$AZ$108))))</f>
        <v>51.807000000000002</v>
      </c>
      <c r="D120" cm="1">
        <f t="array" ref="D120">SUMPRODUCT(IF(LEFT($A$4:$A$108,3)=LEFT($A120,3),IF($B$4:$B$108=$B120,IF($C$3:$AZ$3=D$112,$C$4:$AZ$108))))</f>
        <v>0.315</v>
      </c>
      <c r="E120" cm="1">
        <f t="array" ref="E120">SUMPRODUCT(IF(LEFT($A$4:$A$108,3)=LEFT($A120,3),IF($B$4:$B$108=$B120,IF($C$3:$AZ$3=E$112,$C$4:$AZ$108))))</f>
        <v>3.6999999999999998E-2</v>
      </c>
      <c r="F120" cm="1">
        <f t="array" ref="F120">SUMPRODUCT(IF(LEFT($A$4:$A$108,3)=LEFT($A120,3),IF($B$4:$B$108=$B120,IF($C$3:$AZ$3=F$112,$C$4:$AZ$108))))</f>
        <v>3.0640000000000001</v>
      </c>
      <c r="G120" cm="1">
        <f t="array" ref="G120">SUMPRODUCT(IF(LEFT($A$4:$A$108,3)=LEFT($A120,3),IF($B$4:$B$108=$B120,IF($C$3:$AZ$3=G$112,$C$4:$AZ$108))))</f>
        <v>6.0000000000000001E-3</v>
      </c>
      <c r="H120" cm="1">
        <f t="array" ref="H120">SUMPRODUCT(IF(LEFT($A$4:$A$108,3)=LEFT($A120,3),IF($B$4:$B$108=$B120,IF($C$3:$AZ$3=H$112,$C$4:$AZ$108))))</f>
        <v>154.83199999999999</v>
      </c>
      <c r="I120" cm="1">
        <f t="array" ref="I120">SUMPRODUCT(IF(LEFT($A$4:$A$108,3)=LEFT($A120,3),IF($B$4:$B$108=$B120,IF($C$3:$AZ$3=I$112,$C$4:$AZ$108))))</f>
        <v>50.262</v>
      </c>
      <c r="J120" cm="1">
        <f t="array" ref="J120">SUMPRODUCT(IF(LEFT($A$4:$A$108,3)=LEFT($A120,3),IF($B$4:$B$108=$B120,IF($C$3:$AZ$3=J$112,$C$4:$AZ$108))))</f>
        <v>1196.827</v>
      </c>
      <c r="K120" cm="1">
        <f t="array" ref="K120">SUMPRODUCT(IF(LEFT($A$4:$A$108,3)=LEFT($A120,3),IF($B$4:$B$108=$B120,IF($C$3:$AZ$3=K$112,$C$4:$AZ$108))))</f>
        <v>238.84100000000001</v>
      </c>
      <c r="L120" cm="1">
        <f t="array" ref="L120">SUMPRODUCT(IF(LEFT($A$4:$A$108,3)=LEFT($A120,3),IF($B$4:$B$108=$B120,IF($C$3:$AZ$3=L$112,$C$4:$AZ$108))))</f>
        <v>3.3130000000000002</v>
      </c>
      <c r="M120" cm="1">
        <f t="array" ref="M120">SUMPRODUCT(IF(LEFT($A$4:$A$108,3)=LEFT($A120,3),IF($B$4:$B$108=$B120,IF($C$3:$AZ$3=M$112,$C$4:$AZ$108))))</f>
        <v>192.434</v>
      </c>
      <c r="N120" cm="1">
        <f t="array" ref="N120">SUMPRODUCT(IF(LEFT($A$4:$A$108,3)=LEFT($A120,3),IF($B$4:$B$108=$B120,IF($C$3:$AZ$3=N$112,$C$4:$AZ$108))))</f>
        <v>8.1340000000000003</v>
      </c>
      <c r="O120" cm="1">
        <f t="array" ref="O120">SUMPRODUCT(IF(LEFT($A$4:$A$108,3)=LEFT($A120,3),IF($B$4:$B$108=$B120,IF($C$3:$AZ$3=O$112,$C$4:$AZ$108))))</f>
        <v>83.709000000000003</v>
      </c>
      <c r="P120" s="4" cm="1">
        <f t="array" ref="P120">SUMPRODUCT(IF(LEFT($A$4:$A$108,3)=LEFT($A120,3),IF($B$4:$B$108=$B120,IF($C$3:$AZ$3=P$112,$C$4:$AZ$108))))*'Cement and Glass Split'!O55</f>
        <v>28.608913096864644</v>
      </c>
      <c r="Q120" s="4" cm="1">
        <f t="array" ref="Q120">SUMPRODUCT(IF(LEFT($A$4:$A$108,3)=LEFT($A120,3),IF($B$4:$B$108=$B120,IF($C$3:$AZ$3=P$112,$C$4:$AZ$108))))*'Cement and Glass Split'!P55</f>
        <v>92.231086903135363</v>
      </c>
      <c r="R120" cm="1">
        <f t="array" ref="R120">SUMPRODUCT(IF(LEFT($A$4:$A$108,3)=LEFT($A120,3),IF($B$4:$B$108=$B120,IF($C$3:$AZ$3=R$112,$C$4:$AZ$108))))</f>
        <v>24.417000000000002</v>
      </c>
      <c r="S120" cm="1">
        <f t="array" ref="S120">SUMPRODUCT(IF(LEFT($A$4:$A$108,3)=LEFT($A120,3),IF($B$4:$B$108=$B120,IF($C$3:$AZ$3=S$112,$C$4:$AZ$108))))</f>
        <v>27.056000000000001</v>
      </c>
      <c r="T120" cm="1">
        <f t="array" ref="T120">SUMPRODUCT(IF(LEFT($A$4:$A$108,3)=LEFT($A120,3),IF($B$4:$B$108=$B120,IF($C$3:$AZ$3=T$112,$C$4:$AZ$108))))</f>
        <v>119.512</v>
      </c>
      <c r="U120" cm="1">
        <f t="array" ref="U120">SUMPRODUCT(IF(LEFT($A$4:$A$108,3)=LEFT($A120,3),IF($B$4:$B$108=$B120,IF($C$3:$AZ$3=U$112,$C$4:$AZ$108))))</f>
        <v>85.123999999999995</v>
      </c>
      <c r="V120" cm="1">
        <f t="array" ref="V120">SUMPRODUCT(IF(LEFT($A$4:$A$108,3)=LEFT($A120,3),IF($B$4:$B$108=$B120,IF($C$3:$AZ$3=V$112,$C$4:$AZ$108))))</f>
        <v>93.396000000000001</v>
      </c>
      <c r="W120" cm="1">
        <f t="array" ref="W120">SUMPRODUCT(IF(LEFT($A$4:$A$108,3)=LEFT($A120,3),IF($B$4:$B$108=$B120,IF($C$3:$AZ$3=W$112,$C$4:$AZ$108))))</f>
        <v>96.55</v>
      </c>
      <c r="X120" cm="1">
        <f t="array" ref="X120">SUMPRODUCT(IF(LEFT($A$4:$A$108,3)=LEFT($A120,3),IF($B$4:$B$108=$B120,IF($C$3:$AZ$3=X$112,$C$4:$AZ$108))))</f>
        <v>255.23599999999999</v>
      </c>
      <c r="Y120" cm="1">
        <f t="array" ref="Y120">SUMPRODUCT(IF(LEFT($A$4:$A$108,3)=LEFT($A120,3),IF($B$4:$B$108=$B120,IF($C$3:$AZ$3=Y$112,$C$4:$AZ$108))))</f>
        <v>179.48000000000002</v>
      </c>
      <c r="Z120" cm="1">
        <f t="array" ref="Z120">SUMPRODUCT(IF(LEFT($A$4:$A$108,3)=LEFT($A120,3),IF($B$4:$B$108=$B120,IF($C$3:$AZ$3=Z$112,$C$4:$AZ$108))))</f>
        <v>995.48</v>
      </c>
      <c r="AA120" cm="1">
        <f t="array" ref="AA120">SUMPRODUCT(IF(LEFT($A$4:$A$108,3)=LEFT($A120,3),IF($B$4:$B$108=$B120,IF($C$3:$AZ$3=AA$112,$C$4:$AZ$108))))</f>
        <v>56.182000000000002</v>
      </c>
      <c r="AB120" cm="1">
        <f t="array" ref="AB120">SUMPRODUCT(IF(LEFT($A$4:$A$108,3)=LEFT($A120,3),IF($B$4:$B$108=$B120,IF($C$3:$AZ$3=AB$112,$C$4:$AZ$108))))</f>
        <v>5.87</v>
      </c>
      <c r="AC120" cm="1">
        <f t="array" ref="AC120">SUMPRODUCT(IF(LEFT($A$4:$A$108,3)=LEFT($A120,3),IF($B$4:$B$108=$B120,IF($C$3:$AZ$3=AC$112,$C$4:$AZ$108))))</f>
        <v>8.6620000000000008</v>
      </c>
      <c r="AD120" cm="1">
        <f t="array" ref="AD120">SUMPRODUCT(IF(LEFT($A$4:$A$108,3)=LEFT($A120,3),IF($B$4:$B$108=$B120,IF($C$3:$AZ$3=AD$112,$C$4:$AZ$108))))</f>
        <v>3116.7719999999999</v>
      </c>
      <c r="AE120" cm="1">
        <f t="array" ref="AE120">SUMPRODUCT(IF(LEFT($A$4:$A$108,3)=LEFT($A120,3),IF($B$4:$B$108=$B120,IF($C$3:$AZ$3=AE$112,$C$4:$AZ$108))))</f>
        <v>237.43299999999999</v>
      </c>
      <c r="AF120" cm="1">
        <f t="array" ref="AF120">SUMPRODUCT(IF(LEFT($A$4:$A$108,3)=LEFT($A120,3),IF($B$4:$B$108=$B120,IF($C$3:$AZ$3=AF$112,$C$4:$AZ$108))))</f>
        <v>57.742000000000004</v>
      </c>
      <c r="AG120" cm="1">
        <f t="array" ref="AG120">SUMPRODUCT(IF(LEFT($A$4:$A$108,3)=LEFT($A120,3),IF($B$4:$B$108=$B120,IF($C$3:$AZ$3=AG$112,$C$4:$AZ$108))))</f>
        <v>123.976</v>
      </c>
      <c r="AH120" cm="1">
        <f t="array" ref="AH120">SUMPRODUCT(IF(LEFT($A$4:$A$108,3)=LEFT($A120,3),IF($B$4:$B$108=$B120,IF($C$3:$AZ$3=AH$112,$C$4:$AZ$108))))</f>
        <v>16.908999999999999</v>
      </c>
      <c r="AI120" cm="1">
        <f t="array" ref="AI120">SUMPRODUCT(IF(LEFT($A$4:$A$108,3)=LEFT($A120,3),IF($B$4:$B$108=$B120,IF($C$3:$AZ$3=AI$112,$C$4:$AZ$108))))</f>
        <v>5.8810000000000002</v>
      </c>
      <c r="AJ120" cm="1">
        <f t="array" ref="AJ120">SUMPRODUCT(IF(LEFT($A$4:$A$108,3)=LEFT($A120,3),IF($B$4:$B$108=$B120,IF($C$3:$AZ$3=AJ$112,$C$4:$AZ$108))))</f>
        <v>4.8879999999999999</v>
      </c>
      <c r="AK120" cm="1">
        <f t="array" ref="AK120">SUMPRODUCT(IF(LEFT($A$4:$A$108,3)=LEFT($A120,3),IF($B$4:$B$108=$B120,IF($C$3:$AZ$3=AK$112,$C$4:$AZ$108))))</f>
        <v>8.7780000000000005</v>
      </c>
      <c r="AL120" cm="1">
        <f t="array" ref="AL120">SUMPRODUCT(IF(LEFT($A$4:$A$108,3)=LEFT($A120,3),IF($B$4:$B$108=$B120,IF($C$3:$AZ$3=AL$112,$C$4:$AZ$108))))</f>
        <v>400.11700000000002</v>
      </c>
      <c r="AM120" cm="1">
        <f t="array" ref="AM120">SUMPRODUCT(IF(LEFT($A$4:$A$108,3)=LEFT($A120,3),IF($B$4:$B$108=$B120,IF($C$3:$AZ$3=AM$112,$C$4:$AZ$108))))</f>
        <v>129.35300000000001</v>
      </c>
      <c r="AN120" cm="1">
        <f t="array" ref="AN120">SUMPRODUCT(IF(LEFT($A$4:$A$108,3)=LEFT($A120,3),IF($B$4:$B$108=$B120,IF($C$3:$AZ$3=AN$112,$C$4:$AZ$108))))</f>
        <v>16.905000000000001</v>
      </c>
      <c r="AO120" cm="1">
        <f t="array" ref="AO120">SUMPRODUCT(IF(LEFT($A$4:$A$108,3)=LEFT($A120,3),IF($B$4:$B$108=$B120,IF($C$3:$AZ$3=AO$112,$C$4:$AZ$108))))</f>
        <v>34.61</v>
      </c>
      <c r="AP120" cm="1">
        <f t="array" ref="AP120">SUMPRODUCT(IF(LEFT($A$4:$A$108,3)=LEFT($A120,3),IF($B$4:$B$108=$B120,IF($C$3:$AZ$3=AP$112,$C$4:$AZ$108))))</f>
        <v>38.351999999999997</v>
      </c>
      <c r="AQ120" cm="1">
        <f t="array" ref="AQ120">SUMPRODUCT(IF(LEFT($A$4:$A$108,3)=LEFT($A120,3),IF($B$4:$B$108=$B120,IF($C$3:$AZ$3=AQ$112,$C$4:$AZ$108))))</f>
        <v>152.63200000000001</v>
      </c>
      <c r="AR120" cm="1">
        <f t="array" ref="AR120">SUMPRODUCT(IF(LEFT($A$4:$A$108,3)=LEFT($A120,3),IF($B$4:$B$108=$B120,IF($C$3:$AZ$3=AR$112,$C$4:$AZ$108))))</f>
        <v>0</v>
      </c>
      <c r="AS120">
        <f t="shared" si="0"/>
        <v>8744.1</v>
      </c>
    </row>
    <row r="121" spans="1:45">
      <c r="A121" t="s">
        <v>384</v>
      </c>
      <c r="B121" t="s">
        <v>10</v>
      </c>
      <c r="C121" cm="1">
        <f t="array" ref="C121">SUMPRODUCT(IF(LEFT($A$4:$A$108,3)=LEFT($A121,3),IF($B$4:$B$108=$B121,IF($C$3:$AZ$3=C$112,$C$4:$AZ$108))))</f>
        <v>93.613</v>
      </c>
      <c r="D121" cm="1">
        <f t="array" ref="D121">SUMPRODUCT(IF(LEFT($A$4:$A$108,3)=LEFT($A121,3),IF($B$4:$B$108=$B121,IF($C$3:$AZ$3=D$112,$C$4:$AZ$108))))</f>
        <v>0.20100000000000001</v>
      </c>
      <c r="E121" cm="1">
        <f t="array" ref="E121">SUMPRODUCT(IF(LEFT($A$4:$A$108,3)=LEFT($A121,3),IF($B$4:$B$108=$B121,IF($C$3:$AZ$3=E$112,$C$4:$AZ$108))))</f>
        <v>0.161</v>
      </c>
      <c r="F121" cm="1">
        <f t="array" ref="F121">SUMPRODUCT(IF(LEFT($A$4:$A$108,3)=LEFT($A121,3),IF($B$4:$B$108=$B121,IF($C$3:$AZ$3=F$112,$C$4:$AZ$108))))</f>
        <v>4.891</v>
      </c>
      <c r="G121" cm="1">
        <f t="array" ref="G121">SUMPRODUCT(IF(LEFT($A$4:$A$108,3)=LEFT($A121,3),IF($B$4:$B$108=$B121,IF($C$3:$AZ$3=G$112,$C$4:$AZ$108))))</f>
        <v>1.4999999999999999E-2</v>
      </c>
      <c r="H121" cm="1">
        <f t="array" ref="H121">SUMPRODUCT(IF(LEFT($A$4:$A$108,3)=LEFT($A121,3),IF($B$4:$B$108=$B121,IF($C$3:$AZ$3=H$112,$C$4:$AZ$108))))</f>
        <v>2758.4160000000002</v>
      </c>
      <c r="I121" cm="1">
        <f t="array" ref="I121">SUMPRODUCT(IF(LEFT($A$4:$A$108,3)=LEFT($A121,3),IF($B$4:$B$108=$B121,IF($C$3:$AZ$3=I$112,$C$4:$AZ$108))))</f>
        <v>390.26299999999998</v>
      </c>
      <c r="J121" cm="1">
        <f t="array" ref="J121">SUMPRODUCT(IF(LEFT($A$4:$A$108,3)=LEFT($A121,3),IF($B$4:$B$108=$B121,IF($C$3:$AZ$3=J$112,$C$4:$AZ$108))))</f>
        <v>87.061999999999998</v>
      </c>
      <c r="K121" cm="1">
        <f t="array" ref="K121">SUMPRODUCT(IF(LEFT($A$4:$A$108,3)=LEFT($A121,3),IF($B$4:$B$108=$B121,IF($C$3:$AZ$3=K$112,$C$4:$AZ$108))))</f>
        <v>9145.6650000000009</v>
      </c>
      <c r="L121" cm="1">
        <f t="array" ref="L121">SUMPRODUCT(IF(LEFT($A$4:$A$108,3)=LEFT($A121,3),IF($B$4:$B$108=$B121,IF($C$3:$AZ$3=L$112,$C$4:$AZ$108))))</f>
        <v>35.847000000000001</v>
      </c>
      <c r="M121" cm="1">
        <f t="array" ref="M121">SUMPRODUCT(IF(LEFT($A$4:$A$108,3)=LEFT($A121,3),IF($B$4:$B$108=$B121,IF($C$3:$AZ$3=M$112,$C$4:$AZ$108))))</f>
        <v>953.45</v>
      </c>
      <c r="N121" cm="1">
        <f t="array" ref="N121">SUMPRODUCT(IF(LEFT($A$4:$A$108,3)=LEFT($A121,3),IF($B$4:$B$108=$B121,IF($C$3:$AZ$3=N$112,$C$4:$AZ$108))))</f>
        <v>289.25900000000001</v>
      </c>
      <c r="O121" cm="1">
        <f t="array" ref="O121">SUMPRODUCT(IF(LEFT($A$4:$A$108,3)=LEFT($A121,3),IF($B$4:$B$108=$B121,IF($C$3:$AZ$3=O$112,$C$4:$AZ$108))))</f>
        <v>483.94400000000002</v>
      </c>
      <c r="P121" s="4" cm="1">
        <f t="array" ref="P121">SUMPRODUCT(IF(LEFT($A$4:$A$108,3)=LEFT($A121,3),IF($B$4:$B$108=$B121,IF($C$3:$AZ$3=P$112,$C$4:$AZ$108))))*'Cement and Glass Split'!O56</f>
        <v>61.056395454483223</v>
      </c>
      <c r="Q121" s="4" cm="1">
        <f t="array" ref="Q121">SUMPRODUCT(IF(LEFT($A$4:$A$108,3)=LEFT($A121,3),IF($B$4:$B$108=$B121,IF($C$3:$AZ$3=P$112,$C$4:$AZ$108))))*'Cement and Glass Split'!P56</f>
        <v>332.97260454551673</v>
      </c>
      <c r="R121" cm="1">
        <f t="array" ref="R121">SUMPRODUCT(IF(LEFT($A$4:$A$108,3)=LEFT($A121,3),IF($B$4:$B$108=$B121,IF($C$3:$AZ$3=R$112,$C$4:$AZ$108))))</f>
        <v>91.489000000000004</v>
      </c>
      <c r="S121" cm="1">
        <f t="array" ref="S121">SUMPRODUCT(IF(LEFT($A$4:$A$108,3)=LEFT($A121,3),IF($B$4:$B$108=$B121,IF($C$3:$AZ$3=S$112,$C$4:$AZ$108))))</f>
        <v>89.605000000000004</v>
      </c>
      <c r="T121" cm="1">
        <f t="array" ref="T121">SUMPRODUCT(IF(LEFT($A$4:$A$108,3)=LEFT($A121,3),IF($B$4:$B$108=$B121,IF($C$3:$AZ$3=T$112,$C$4:$AZ$108))))</f>
        <v>328.86500000000001</v>
      </c>
      <c r="U121" cm="1">
        <f t="array" ref="U121">SUMPRODUCT(IF(LEFT($A$4:$A$108,3)=LEFT($A121,3),IF($B$4:$B$108=$B121,IF($C$3:$AZ$3=U$112,$C$4:$AZ$108))))</f>
        <v>784.73299999999995</v>
      </c>
      <c r="V121" cm="1">
        <f t="array" ref="V121">SUMPRODUCT(IF(LEFT($A$4:$A$108,3)=LEFT($A121,3),IF($B$4:$B$108=$B121,IF($C$3:$AZ$3=V$112,$C$4:$AZ$108))))</f>
        <v>448.036</v>
      </c>
      <c r="W121" cm="1">
        <f t="array" ref="W121">SUMPRODUCT(IF(LEFT($A$4:$A$108,3)=LEFT($A121,3),IF($B$4:$B$108=$B121,IF($C$3:$AZ$3=W$112,$C$4:$AZ$108))))</f>
        <v>439.358</v>
      </c>
      <c r="X121" cm="1">
        <f t="array" ref="X121">SUMPRODUCT(IF(LEFT($A$4:$A$108,3)=LEFT($A121,3),IF($B$4:$B$108=$B121,IF($C$3:$AZ$3=X$112,$C$4:$AZ$108))))</f>
        <v>436.55799999999999</v>
      </c>
      <c r="Y121" cm="1">
        <f t="array" ref="Y121">SUMPRODUCT(IF(LEFT($A$4:$A$108,3)=LEFT($A121,3),IF($B$4:$B$108=$B121,IF($C$3:$AZ$3=Y$112,$C$4:$AZ$108))))</f>
        <v>94.052999999999997</v>
      </c>
      <c r="Z121" cm="1">
        <f t="array" ref="Z121">SUMPRODUCT(IF(LEFT($A$4:$A$108,3)=LEFT($A121,3),IF($B$4:$B$108=$B121,IF($C$3:$AZ$3=Z$112,$C$4:$AZ$108))))</f>
        <v>345.262</v>
      </c>
      <c r="AA121" cm="1">
        <f t="array" ref="AA121">SUMPRODUCT(IF(LEFT($A$4:$A$108,3)=LEFT($A121,3),IF($B$4:$B$108=$B121,IF($C$3:$AZ$3=AA$112,$C$4:$AZ$108))))</f>
        <v>130.358</v>
      </c>
      <c r="AB121" cm="1">
        <f t="array" ref="AB121">SUMPRODUCT(IF(LEFT($A$4:$A$108,3)=LEFT($A121,3),IF($B$4:$B$108=$B121,IF($C$3:$AZ$3=AB$112,$C$4:$AZ$108))))</f>
        <v>32.000999999999998</v>
      </c>
      <c r="AC121" cm="1">
        <f t="array" ref="AC121">SUMPRODUCT(IF(LEFT($A$4:$A$108,3)=LEFT($A121,3),IF($B$4:$B$108=$B121,IF($C$3:$AZ$3=AC$112,$C$4:$AZ$108))))</f>
        <v>62.600999999999999</v>
      </c>
      <c r="AD121" cm="1">
        <f t="array" ref="AD121">SUMPRODUCT(IF(LEFT($A$4:$A$108,3)=LEFT($A121,3),IF($B$4:$B$108=$B121,IF($C$3:$AZ$3=AD$112,$C$4:$AZ$108))))</f>
        <v>375.12900000000002</v>
      </c>
      <c r="AE121" cm="1">
        <f t="array" ref="AE121">SUMPRODUCT(IF(LEFT($A$4:$A$108,3)=LEFT($A121,3),IF($B$4:$B$108=$B121,IF($C$3:$AZ$3=AE$112,$C$4:$AZ$108))))</f>
        <v>2467.0889999999999</v>
      </c>
      <c r="AF121" cm="1">
        <f t="array" ref="AF121">SUMPRODUCT(IF(LEFT($A$4:$A$108,3)=LEFT($A121,3),IF($B$4:$B$108=$B121,IF($C$3:$AZ$3=AF$112,$C$4:$AZ$108))))</f>
        <v>376.72399999999999</v>
      </c>
      <c r="AG121" cm="1">
        <f t="array" ref="AG121">SUMPRODUCT(IF(LEFT($A$4:$A$108,3)=LEFT($A121,3),IF($B$4:$B$108=$B121,IF($C$3:$AZ$3=AG$112,$C$4:$AZ$108))))</f>
        <v>795.26499999999999</v>
      </c>
      <c r="AH121" cm="1">
        <f t="array" ref="AH121">SUMPRODUCT(IF(LEFT($A$4:$A$108,3)=LEFT($A121,3),IF($B$4:$B$108=$B121,IF($C$3:$AZ$3=AH$112,$C$4:$AZ$108))))</f>
        <v>3013.991</v>
      </c>
      <c r="AI121" cm="1">
        <f t="array" ref="AI121">SUMPRODUCT(IF(LEFT($A$4:$A$108,3)=LEFT($A121,3),IF($B$4:$B$108=$B121,IF($C$3:$AZ$3=AI$112,$C$4:$AZ$108))))</f>
        <v>282.529</v>
      </c>
      <c r="AJ121" cm="1">
        <f t="array" ref="AJ121">SUMPRODUCT(IF(LEFT($A$4:$A$108,3)=LEFT($A121,3),IF($B$4:$B$108=$B121,IF($C$3:$AZ$3=AJ$112,$C$4:$AZ$108))))</f>
        <v>448.85</v>
      </c>
      <c r="AK121" cm="1">
        <f t="array" ref="AK121">SUMPRODUCT(IF(LEFT($A$4:$A$108,3)=LEFT($A121,3),IF($B$4:$B$108=$B121,IF($C$3:$AZ$3=AK$112,$C$4:$AZ$108))))</f>
        <v>1087.961</v>
      </c>
      <c r="AL121" cm="1">
        <f t="array" ref="AL121">SUMPRODUCT(IF(LEFT($A$4:$A$108,3)=LEFT($A121,3),IF($B$4:$B$108=$B121,IF($C$3:$AZ$3=AL$112,$C$4:$AZ$108))))</f>
        <v>218.179</v>
      </c>
      <c r="AM121" cm="1">
        <f t="array" ref="AM121">SUMPRODUCT(IF(LEFT($A$4:$A$108,3)=LEFT($A121,3),IF($B$4:$B$108=$B121,IF($C$3:$AZ$3=AM$112,$C$4:$AZ$108))))</f>
        <v>2467.6990000000001</v>
      </c>
      <c r="AN121" cm="1">
        <f t="array" ref="AN121">SUMPRODUCT(IF(LEFT($A$4:$A$108,3)=LEFT($A121,3),IF($B$4:$B$108=$B121,IF($C$3:$AZ$3=AN$112,$C$4:$AZ$108))))</f>
        <v>1002.419</v>
      </c>
      <c r="AO121" cm="1">
        <f t="array" ref="AO121">SUMPRODUCT(IF(LEFT($A$4:$A$108,3)=LEFT($A121,3),IF($B$4:$B$108=$B121,IF($C$3:$AZ$3=AO$112,$C$4:$AZ$108))))</f>
        <v>1535.5340000000001</v>
      </c>
      <c r="AP121" cm="1">
        <f t="array" ref="AP121">SUMPRODUCT(IF(LEFT($A$4:$A$108,3)=LEFT($A121,3),IF($B$4:$B$108=$B121,IF($C$3:$AZ$3=AP$112,$C$4:$AZ$108))))</f>
        <v>721.22699999999998</v>
      </c>
      <c r="AQ121" cm="1">
        <f t="array" ref="AQ121">SUMPRODUCT(IF(LEFT($A$4:$A$108,3)=LEFT($A121,3),IF($B$4:$B$108=$B121,IF($C$3:$AZ$3=AQ$112,$C$4:$AZ$108))))</f>
        <v>862.30300000000011</v>
      </c>
      <c r="AR121" cm="1">
        <f t="array" ref="AR121">SUMPRODUCT(IF(LEFT($A$4:$A$108,3)=LEFT($A121,3),IF($B$4:$B$108=$B121,IF($C$3:$AZ$3=AR$112,$C$4:$AZ$108))))</f>
        <v>0</v>
      </c>
      <c r="AS121">
        <f t="shared" si="0"/>
        <v>39624.300999999999</v>
      </c>
    </row>
    <row r="122" spans="1:45">
      <c r="A122" t="s">
        <v>384</v>
      </c>
      <c r="B122" t="s">
        <v>11</v>
      </c>
      <c r="C122" cm="1">
        <f t="array" ref="C122">SUMPRODUCT(IF(LEFT($A$4:$A$108,3)=LEFT($A122,3),IF($B$4:$B$108=$B122,IF($C$3:$AZ$3=C$112,$C$4:$AZ$108))))</f>
        <v>2689.3029999999999</v>
      </c>
      <c r="D122" cm="1">
        <f t="array" ref="D122">SUMPRODUCT(IF(LEFT($A$4:$A$108,3)=LEFT($A122,3),IF($B$4:$B$108=$B122,IF($C$3:$AZ$3=D$112,$C$4:$AZ$108))))</f>
        <v>11.01</v>
      </c>
      <c r="E122" cm="1">
        <f t="array" ref="E122">SUMPRODUCT(IF(LEFT($A$4:$A$108,3)=LEFT($A122,3),IF($B$4:$B$108=$B122,IF($C$3:$AZ$3=E$112,$C$4:$AZ$108))))</f>
        <v>3.448</v>
      </c>
      <c r="F122" cm="1">
        <f t="array" ref="F122">SUMPRODUCT(IF(LEFT($A$4:$A$108,3)=LEFT($A122,3),IF($B$4:$B$108=$B122,IF($C$3:$AZ$3=F$112,$C$4:$AZ$108))))</f>
        <v>217.44299999999998</v>
      </c>
      <c r="G122" cm="1">
        <f t="array" ref="G122">SUMPRODUCT(IF(LEFT($A$4:$A$108,3)=LEFT($A122,3),IF($B$4:$B$108=$B122,IF($C$3:$AZ$3=G$112,$C$4:$AZ$108))))</f>
        <v>0.72099999999999997</v>
      </c>
      <c r="H122" cm="1">
        <f t="array" ref="H122">SUMPRODUCT(IF(LEFT($A$4:$A$108,3)=LEFT($A122,3),IF($B$4:$B$108=$B122,IF($C$3:$AZ$3=H$112,$C$4:$AZ$108))))</f>
        <v>1999.519</v>
      </c>
      <c r="I122" cm="1">
        <f t="array" ref="I122">SUMPRODUCT(IF(LEFT($A$4:$A$108,3)=LEFT($A122,3),IF($B$4:$B$108=$B122,IF($C$3:$AZ$3=I$112,$C$4:$AZ$108))))</f>
        <v>808.91499999999996</v>
      </c>
      <c r="J122" cm="1">
        <f t="array" ref="J122">SUMPRODUCT(IF(LEFT($A$4:$A$108,3)=LEFT($A122,3),IF($B$4:$B$108=$B122,IF($C$3:$AZ$3=J$112,$C$4:$AZ$108))))</f>
        <v>215.29900000000001</v>
      </c>
      <c r="K122" cm="1">
        <f t="array" ref="K122">SUMPRODUCT(IF(LEFT($A$4:$A$108,3)=LEFT($A122,3),IF($B$4:$B$108=$B122,IF($C$3:$AZ$3=K$112,$C$4:$AZ$108))))</f>
        <v>684.60299999999995</v>
      </c>
      <c r="L122" cm="1">
        <f t="array" ref="L122">SUMPRODUCT(IF(LEFT($A$4:$A$108,3)=LEFT($A122,3),IF($B$4:$B$108=$B122,IF($C$3:$AZ$3=L$112,$C$4:$AZ$108))))</f>
        <v>11844.102000000001</v>
      </c>
      <c r="M122" cm="1">
        <f t="array" ref="M122">SUMPRODUCT(IF(LEFT($A$4:$A$108,3)=LEFT($A122,3),IF($B$4:$B$108=$B122,IF($C$3:$AZ$3=M$112,$C$4:$AZ$108))))</f>
        <v>19682.129000000001</v>
      </c>
      <c r="N122" cm="1">
        <f t="array" ref="N122">SUMPRODUCT(IF(LEFT($A$4:$A$108,3)=LEFT($A122,3),IF($B$4:$B$108=$B122,IF($C$3:$AZ$3=N$112,$C$4:$AZ$108))))</f>
        <v>342.64699999999999</v>
      </c>
      <c r="O122" cm="1">
        <f t="array" ref="O122">SUMPRODUCT(IF(LEFT($A$4:$A$108,3)=LEFT($A122,3),IF($B$4:$B$108=$B122,IF($C$3:$AZ$3=O$112,$C$4:$AZ$108))))</f>
        <v>2167.4430000000002</v>
      </c>
      <c r="P122" s="4" cm="1">
        <f t="array" ref="P122">SUMPRODUCT(IF(LEFT($A$4:$A$108,3)=LEFT($A122,3),IF($B$4:$B$108=$B122,IF($C$3:$AZ$3=P$112,$C$4:$AZ$108))))*'Cement and Glass Split'!O57</f>
        <v>239.32652335816184</v>
      </c>
      <c r="Q122" s="4" cm="1">
        <f t="array" ref="Q122">SUMPRODUCT(IF(LEFT($A$4:$A$108,3)=LEFT($A122,3),IF($B$4:$B$108=$B122,IF($C$3:$AZ$3=P$112,$C$4:$AZ$108))))*'Cement and Glass Split'!P57</f>
        <v>1086.4774766418384</v>
      </c>
      <c r="R122" cm="1">
        <f t="array" ref="R122">SUMPRODUCT(IF(LEFT($A$4:$A$108,3)=LEFT($A122,3),IF($B$4:$B$108=$B122,IF($C$3:$AZ$3=R$112,$C$4:$AZ$108))))</f>
        <v>3387.855</v>
      </c>
      <c r="S122" cm="1">
        <f t="array" ref="S122">SUMPRODUCT(IF(LEFT($A$4:$A$108,3)=LEFT($A122,3),IF($B$4:$B$108=$B122,IF($C$3:$AZ$3=S$112,$C$4:$AZ$108))))</f>
        <v>734.79899999999998</v>
      </c>
      <c r="T122" cm="1">
        <f t="array" ref="T122">SUMPRODUCT(IF(LEFT($A$4:$A$108,3)=LEFT($A122,3),IF($B$4:$B$108=$B122,IF($C$3:$AZ$3=T$112,$C$4:$AZ$108))))</f>
        <v>805.59799999999996</v>
      </c>
      <c r="U122" cm="1">
        <f t="array" ref="U122">SUMPRODUCT(IF(LEFT($A$4:$A$108,3)=LEFT($A122,3),IF($B$4:$B$108=$B122,IF($C$3:$AZ$3=U$112,$C$4:$AZ$108))))</f>
        <v>746.048</v>
      </c>
      <c r="V122" cm="1">
        <f t="array" ref="V122">SUMPRODUCT(IF(LEFT($A$4:$A$108,3)=LEFT($A122,3),IF($B$4:$B$108=$B122,IF($C$3:$AZ$3=V$112,$C$4:$AZ$108))))</f>
        <v>1026.2190000000001</v>
      </c>
      <c r="W122" cm="1">
        <f t="array" ref="W122">SUMPRODUCT(IF(LEFT($A$4:$A$108,3)=LEFT($A122,3),IF($B$4:$B$108=$B122,IF($C$3:$AZ$3=W$112,$C$4:$AZ$108))))</f>
        <v>766.98699999999997</v>
      </c>
      <c r="X122" cm="1">
        <f t="array" ref="X122">SUMPRODUCT(IF(LEFT($A$4:$A$108,3)=LEFT($A122,3),IF($B$4:$B$108=$B122,IF($C$3:$AZ$3=X$112,$C$4:$AZ$108))))</f>
        <v>1576.2070000000001</v>
      </c>
      <c r="Y122" cm="1">
        <f t="array" ref="Y122">SUMPRODUCT(IF(LEFT($A$4:$A$108,3)=LEFT($A122,3),IF($B$4:$B$108=$B122,IF($C$3:$AZ$3=Y$112,$C$4:$AZ$108))))</f>
        <v>318.55700000000002</v>
      </c>
      <c r="Z122" cm="1">
        <f t="array" ref="Z122">SUMPRODUCT(IF(LEFT($A$4:$A$108,3)=LEFT($A122,3),IF($B$4:$B$108=$B122,IF($C$3:$AZ$3=Z$112,$C$4:$AZ$108))))</f>
        <v>405.99599999999998</v>
      </c>
      <c r="AA122" cm="1">
        <f t="array" ref="AA122">SUMPRODUCT(IF(LEFT($A$4:$A$108,3)=LEFT($A122,3),IF($B$4:$B$108=$B122,IF($C$3:$AZ$3=AA$112,$C$4:$AZ$108))))</f>
        <v>5807.1689999999999</v>
      </c>
      <c r="AB122" cm="1">
        <f t="array" ref="AB122">SUMPRODUCT(IF(LEFT($A$4:$A$108,3)=LEFT($A122,3),IF($B$4:$B$108=$B122,IF($C$3:$AZ$3=AB$112,$C$4:$AZ$108))))</f>
        <v>3097.8679999999999</v>
      </c>
      <c r="AC122" cm="1">
        <f t="array" ref="AC122">SUMPRODUCT(IF(LEFT($A$4:$A$108,3)=LEFT($A122,3),IF($B$4:$B$108=$B122,IF($C$3:$AZ$3=AC$112,$C$4:$AZ$108))))</f>
        <v>695.06100000000004</v>
      </c>
      <c r="AD122" cm="1">
        <f t="array" ref="AD122">SUMPRODUCT(IF(LEFT($A$4:$A$108,3)=LEFT($A122,3),IF($B$4:$B$108=$B122,IF($C$3:$AZ$3=AD$112,$C$4:$AZ$108))))</f>
        <v>3800.5239999999999</v>
      </c>
      <c r="AE122" cm="1">
        <f t="array" ref="AE122">SUMPRODUCT(IF(LEFT($A$4:$A$108,3)=LEFT($A122,3),IF($B$4:$B$108=$B122,IF($C$3:$AZ$3=AE$112,$C$4:$AZ$108))))</f>
        <v>5083.1329999999998</v>
      </c>
      <c r="AF122" cm="1">
        <f t="array" ref="AF122">SUMPRODUCT(IF(LEFT($A$4:$A$108,3)=LEFT($A122,3),IF($B$4:$B$108=$B122,IF($C$3:$AZ$3=AF$112,$C$4:$AZ$108))))</f>
        <v>12519.012999999999</v>
      </c>
      <c r="AG122" cm="1">
        <f t="array" ref="AG122">SUMPRODUCT(IF(LEFT($A$4:$A$108,3)=LEFT($A122,3),IF($B$4:$B$108=$B122,IF($C$3:$AZ$3=AG$112,$C$4:$AZ$108))))</f>
        <v>1530.0170000000001</v>
      </c>
      <c r="AH122" cm="1">
        <f t="array" ref="AH122">SUMPRODUCT(IF(LEFT($A$4:$A$108,3)=LEFT($A122,3),IF($B$4:$B$108=$B122,IF($C$3:$AZ$3=AH$112,$C$4:$AZ$108))))</f>
        <v>245.35599999999999</v>
      </c>
      <c r="AI122" cm="1">
        <f t="array" ref="AI122">SUMPRODUCT(IF(LEFT($A$4:$A$108,3)=LEFT($A122,3),IF($B$4:$B$108=$B122,IF($C$3:$AZ$3=AI$112,$C$4:$AZ$108))))</f>
        <v>284.084</v>
      </c>
      <c r="AJ122" cm="1">
        <f t="array" ref="AJ122">SUMPRODUCT(IF(LEFT($A$4:$A$108,3)=LEFT($A122,3),IF($B$4:$B$108=$B122,IF($C$3:$AZ$3=AJ$112,$C$4:$AZ$108))))</f>
        <v>257.42</v>
      </c>
      <c r="AK122" cm="1">
        <f t="array" ref="AK122">SUMPRODUCT(IF(LEFT($A$4:$A$108,3)=LEFT($A122,3),IF($B$4:$B$108=$B122,IF($C$3:$AZ$3=AK$112,$C$4:$AZ$108))))</f>
        <v>679.10799999999995</v>
      </c>
      <c r="AL122" cm="1">
        <f t="array" ref="AL122">SUMPRODUCT(IF(LEFT($A$4:$A$108,3)=LEFT($A122,3),IF($B$4:$B$108=$B122,IF($C$3:$AZ$3=AL$112,$C$4:$AZ$108))))</f>
        <v>494.70299999999997</v>
      </c>
      <c r="AM122" cm="1">
        <f t="array" ref="AM122">SUMPRODUCT(IF(LEFT($A$4:$A$108,3)=LEFT($A122,3),IF($B$4:$B$108=$B122,IF($C$3:$AZ$3=AM$112,$C$4:$AZ$108))))</f>
        <v>2620.7439999999997</v>
      </c>
      <c r="AN122" cm="1">
        <f t="array" ref="AN122">SUMPRODUCT(IF(LEFT($A$4:$A$108,3)=LEFT($A122,3),IF($B$4:$B$108=$B122,IF($C$3:$AZ$3=AN$112,$C$4:$AZ$108))))</f>
        <v>1788.74</v>
      </c>
      <c r="AO122" cm="1">
        <f t="array" ref="AO122">SUMPRODUCT(IF(LEFT($A$4:$A$108,3)=LEFT($A122,3),IF($B$4:$B$108=$B122,IF($C$3:$AZ$3=AO$112,$C$4:$AZ$108))))</f>
        <v>847.678</v>
      </c>
      <c r="AP122" cm="1">
        <f t="array" ref="AP122">SUMPRODUCT(IF(LEFT($A$4:$A$108,3)=LEFT($A122,3),IF($B$4:$B$108=$B122,IF($C$3:$AZ$3=AP$112,$C$4:$AZ$108))))</f>
        <v>994.80100000000004</v>
      </c>
      <c r="AQ122" cm="1">
        <f t="array" ref="AQ122">SUMPRODUCT(IF(LEFT($A$4:$A$108,3)=LEFT($A122,3),IF($B$4:$B$108=$B122,IF($C$3:$AZ$3=AQ$112,$C$4:$AZ$108))))</f>
        <v>1332.7729999999999</v>
      </c>
      <c r="AR122" cm="1">
        <f t="array" ref="AR122">SUMPRODUCT(IF(LEFT($A$4:$A$108,3)=LEFT($A122,3),IF($B$4:$B$108=$B122,IF($C$3:$AZ$3=AR$112,$C$4:$AZ$108))))</f>
        <v>0</v>
      </c>
      <c r="AS122">
        <f t="shared" si="0"/>
        <v>156298.21</v>
      </c>
    </row>
    <row r="123" spans="1:45">
      <c r="A123" t="s">
        <v>384</v>
      </c>
      <c r="B123" t="s">
        <v>58</v>
      </c>
      <c r="C123" cm="1">
        <f t="array" ref="C123">SUMPRODUCT(IF(LEFT($A$4:$A$108,3)=LEFT($A123,3),IF($B$4:$B$108=$B123,IF($C$3:$AZ$3=C$112,$C$4:$AZ$108))))</f>
        <v>3825.134</v>
      </c>
      <c r="D123" cm="1">
        <f t="array" ref="D123">SUMPRODUCT(IF(LEFT($A$4:$A$108,3)=LEFT($A123,3),IF($B$4:$B$108=$B123,IF($C$3:$AZ$3=D$112,$C$4:$AZ$108))))</f>
        <v>5.9969999999999999</v>
      </c>
      <c r="E123" cm="1">
        <f t="array" ref="E123">SUMPRODUCT(IF(LEFT($A$4:$A$108,3)=LEFT($A123,3),IF($B$4:$B$108=$B123,IF($C$3:$AZ$3=E$112,$C$4:$AZ$108))))</f>
        <v>1.6930000000000001</v>
      </c>
      <c r="F123" cm="1">
        <f t="array" ref="F123">SUMPRODUCT(IF(LEFT($A$4:$A$108,3)=LEFT($A123,3),IF($B$4:$B$108=$B123,IF($C$3:$AZ$3=F$112,$C$4:$AZ$108))))</f>
        <v>130.48599999999999</v>
      </c>
      <c r="G123" cm="1">
        <f t="array" ref="G123">SUMPRODUCT(IF(LEFT($A$4:$A$108,3)=LEFT($A123,3),IF($B$4:$B$108=$B123,IF($C$3:$AZ$3=G$112,$C$4:$AZ$108))))</f>
        <v>0.29799999999999999</v>
      </c>
      <c r="H123" cm="1">
        <f t="array" ref="H123">SUMPRODUCT(IF(LEFT($A$4:$A$108,3)=LEFT($A123,3),IF($B$4:$B$108=$B123,IF($C$3:$AZ$3=H$112,$C$4:$AZ$108))))</f>
        <v>2705.1889999999999</v>
      </c>
      <c r="I123" cm="1">
        <f t="array" ref="I123">SUMPRODUCT(IF(LEFT($A$4:$A$108,3)=LEFT($A123,3),IF($B$4:$B$108=$B123,IF($C$3:$AZ$3=I$112,$C$4:$AZ$108))))</f>
        <v>5258.7110000000002</v>
      </c>
      <c r="J123" cm="1">
        <f t="array" ref="J123">SUMPRODUCT(IF(LEFT($A$4:$A$108,3)=LEFT($A123,3),IF($B$4:$B$108=$B123,IF($C$3:$AZ$3=J$112,$C$4:$AZ$108))))</f>
        <v>505.02199999999999</v>
      </c>
      <c r="K123" cm="1">
        <f t="array" ref="K123">SUMPRODUCT(IF(LEFT($A$4:$A$108,3)=LEFT($A123,3),IF($B$4:$B$108=$B123,IF($C$3:$AZ$3=K$112,$C$4:$AZ$108))))</f>
        <v>2638.49</v>
      </c>
      <c r="L123" cm="1">
        <f t="array" ref="L123">SUMPRODUCT(IF(LEFT($A$4:$A$108,3)=LEFT($A123,3),IF($B$4:$B$108=$B123,IF($C$3:$AZ$3=L$112,$C$4:$AZ$108))))</f>
        <v>2742.2420000000002</v>
      </c>
      <c r="M123" cm="1">
        <f t="array" ref="M123">SUMPRODUCT(IF(LEFT($A$4:$A$108,3)=LEFT($A123,3),IF($B$4:$B$108=$B123,IF($C$3:$AZ$3=M$112,$C$4:$AZ$108))))</f>
        <v>61680.118999999999</v>
      </c>
      <c r="N123" cm="1">
        <f t="array" ref="N123">SUMPRODUCT(IF(LEFT($A$4:$A$108,3)=LEFT($A123,3),IF($B$4:$B$108=$B123,IF($C$3:$AZ$3=N$112,$C$4:$AZ$108))))</f>
        <v>2276.7800000000002</v>
      </c>
      <c r="O123" cm="1">
        <f t="array" ref="O123">SUMPRODUCT(IF(LEFT($A$4:$A$108,3)=LEFT($A123,3),IF($B$4:$B$108=$B123,IF($C$3:$AZ$3=O$112,$C$4:$AZ$108))))</f>
        <v>20063.011999999999</v>
      </c>
      <c r="P123" s="4" cm="1">
        <f t="array" ref="P123">SUMPRODUCT(IF(LEFT($A$4:$A$108,3)=LEFT($A123,3),IF($B$4:$B$108=$B123,IF($C$3:$AZ$3=P$112,$C$4:$AZ$108))))*'Cement and Glass Split'!O58</f>
        <v>1913.4243244699494</v>
      </c>
      <c r="Q123" s="4" cm="1">
        <f t="array" ref="Q123">SUMPRODUCT(IF(LEFT($A$4:$A$108,3)=LEFT($A123,3),IF($B$4:$B$108=$B123,IF($C$3:$AZ$3=P$112,$C$4:$AZ$108))))*'Cement and Glass Split'!P58</f>
        <v>170.75167553005062</v>
      </c>
      <c r="R123" cm="1">
        <f t="array" ref="R123">SUMPRODUCT(IF(LEFT($A$4:$A$108,3)=LEFT($A123,3),IF($B$4:$B$108=$B123,IF($C$3:$AZ$3=R$112,$C$4:$AZ$108))))</f>
        <v>1415.6079999999999</v>
      </c>
      <c r="S123" cm="1">
        <f t="array" ref="S123">SUMPRODUCT(IF(LEFT($A$4:$A$108,3)=LEFT($A123,3),IF($B$4:$B$108=$B123,IF($C$3:$AZ$3=S$112,$C$4:$AZ$108))))</f>
        <v>945.12800000000004</v>
      </c>
      <c r="T123" cm="1">
        <f t="array" ref="T123">SUMPRODUCT(IF(LEFT($A$4:$A$108,3)=LEFT($A123,3),IF($B$4:$B$108=$B123,IF($C$3:$AZ$3=T$112,$C$4:$AZ$108))))</f>
        <v>1819.09</v>
      </c>
      <c r="U123" cm="1">
        <f t="array" ref="U123">SUMPRODUCT(IF(LEFT($A$4:$A$108,3)=LEFT($A123,3),IF($B$4:$B$108=$B123,IF($C$3:$AZ$3=U$112,$C$4:$AZ$108))))</f>
        <v>3962.3530000000001</v>
      </c>
      <c r="V123" cm="1">
        <f t="array" ref="V123">SUMPRODUCT(IF(LEFT($A$4:$A$108,3)=LEFT($A123,3),IF($B$4:$B$108=$B123,IF($C$3:$AZ$3=V$112,$C$4:$AZ$108))))</f>
        <v>2569.5100000000002</v>
      </c>
      <c r="W123" cm="1">
        <f t="array" ref="W123">SUMPRODUCT(IF(LEFT($A$4:$A$108,3)=LEFT($A123,3),IF($B$4:$B$108=$B123,IF($C$3:$AZ$3=W$112,$C$4:$AZ$108))))</f>
        <v>1677.674</v>
      </c>
      <c r="X123" cm="1">
        <f t="array" ref="X123">SUMPRODUCT(IF(LEFT($A$4:$A$108,3)=LEFT($A123,3),IF($B$4:$B$108=$B123,IF($C$3:$AZ$3=X$112,$C$4:$AZ$108))))</f>
        <v>3660.4189999999999</v>
      </c>
      <c r="Y123" cm="1">
        <f t="array" ref="Y123">SUMPRODUCT(IF(LEFT($A$4:$A$108,3)=LEFT($A123,3),IF($B$4:$B$108=$B123,IF($C$3:$AZ$3=Y$112,$C$4:$AZ$108))))</f>
        <v>1142.825</v>
      </c>
      <c r="Z123" cm="1">
        <f t="array" ref="Z123">SUMPRODUCT(IF(LEFT($A$4:$A$108,3)=LEFT($A123,3),IF($B$4:$B$108=$B123,IF($C$3:$AZ$3=Z$112,$C$4:$AZ$108))))</f>
        <v>1464.91</v>
      </c>
      <c r="AA123" cm="1">
        <f t="array" ref="AA123">SUMPRODUCT(IF(LEFT($A$4:$A$108,3)=LEFT($A123,3),IF($B$4:$B$108=$B123,IF($C$3:$AZ$3=AA$112,$C$4:$AZ$108))))</f>
        <v>569.66499999999996</v>
      </c>
      <c r="AB123" cm="1">
        <f t="array" ref="AB123">SUMPRODUCT(IF(LEFT($A$4:$A$108,3)=LEFT($A123,3),IF($B$4:$B$108=$B123,IF($C$3:$AZ$3=AB$112,$C$4:$AZ$108))))</f>
        <v>185.72200000000001</v>
      </c>
      <c r="AC123" cm="1">
        <f t="array" ref="AC123">SUMPRODUCT(IF(LEFT($A$4:$A$108,3)=LEFT($A123,3),IF($B$4:$B$108=$B123,IF($C$3:$AZ$3=AC$112,$C$4:$AZ$108))))</f>
        <v>553.71100000000001</v>
      </c>
      <c r="AD123" cm="1">
        <f t="array" ref="AD123">SUMPRODUCT(IF(LEFT($A$4:$A$108,3)=LEFT($A123,3),IF($B$4:$B$108=$B123,IF($C$3:$AZ$3=AD$112,$C$4:$AZ$108))))</f>
        <v>3281.848</v>
      </c>
      <c r="AE123" cm="1">
        <f t="array" ref="AE123">SUMPRODUCT(IF(LEFT($A$4:$A$108,3)=LEFT($A123,3),IF($B$4:$B$108=$B123,IF($C$3:$AZ$3=AE$112,$C$4:$AZ$108))))</f>
        <v>1360.492</v>
      </c>
      <c r="AF123" cm="1">
        <f t="array" ref="AF123">SUMPRODUCT(IF(LEFT($A$4:$A$108,3)=LEFT($A123,3),IF($B$4:$B$108=$B123,IF($C$3:$AZ$3=AF$112,$C$4:$AZ$108))))</f>
        <v>948.64100000000008</v>
      </c>
      <c r="AG123" cm="1">
        <f t="array" ref="AG123">SUMPRODUCT(IF(LEFT($A$4:$A$108,3)=LEFT($A123,3),IF($B$4:$B$108=$B123,IF($C$3:$AZ$3=AG$112,$C$4:$AZ$108))))</f>
        <v>1053.9939999999999</v>
      </c>
      <c r="AH123" cm="1">
        <f t="array" ref="AH123">SUMPRODUCT(IF(LEFT($A$4:$A$108,3)=LEFT($A123,3),IF($B$4:$B$108=$B123,IF($C$3:$AZ$3=AH$112,$C$4:$AZ$108))))</f>
        <v>398.875</v>
      </c>
      <c r="AI123" cm="1">
        <f t="array" ref="AI123">SUMPRODUCT(IF(LEFT($A$4:$A$108,3)=LEFT($A123,3),IF($B$4:$B$108=$B123,IF($C$3:$AZ$3=AI$112,$C$4:$AZ$108))))</f>
        <v>51.99</v>
      </c>
      <c r="AJ123" cm="1">
        <f t="array" ref="AJ123">SUMPRODUCT(IF(LEFT($A$4:$A$108,3)=LEFT($A123,3),IF($B$4:$B$108=$B123,IF($C$3:$AZ$3=AJ$112,$C$4:$AZ$108))))</f>
        <v>128.56</v>
      </c>
      <c r="AK123" cm="1">
        <f t="array" ref="AK123">SUMPRODUCT(IF(LEFT($A$4:$A$108,3)=LEFT($A123,3),IF($B$4:$B$108=$B123,IF($C$3:$AZ$3=AK$112,$C$4:$AZ$108))))</f>
        <v>125.051</v>
      </c>
      <c r="AL123" cm="1">
        <f t="array" ref="AL123">SUMPRODUCT(IF(LEFT($A$4:$A$108,3)=LEFT($A123,3),IF($B$4:$B$108=$B123,IF($C$3:$AZ$3=AL$112,$C$4:$AZ$108))))</f>
        <v>1078.2</v>
      </c>
      <c r="AM123" cm="1">
        <f t="array" ref="AM123">SUMPRODUCT(IF(LEFT($A$4:$A$108,3)=LEFT($A123,3),IF($B$4:$B$108=$B123,IF($C$3:$AZ$3=AM$112,$C$4:$AZ$108))))</f>
        <v>1969.1559999999999</v>
      </c>
      <c r="AN123" cm="1">
        <f t="array" ref="AN123">SUMPRODUCT(IF(LEFT($A$4:$A$108,3)=LEFT($A123,3),IF($B$4:$B$108=$B123,IF($C$3:$AZ$3=AN$112,$C$4:$AZ$108))))</f>
        <v>387.64</v>
      </c>
      <c r="AO123" cm="1">
        <f t="array" ref="AO123">SUMPRODUCT(IF(LEFT($A$4:$A$108,3)=LEFT($A123,3),IF($B$4:$B$108=$B123,IF($C$3:$AZ$3=AO$112,$C$4:$AZ$108))))</f>
        <v>565.14700000000005</v>
      </c>
      <c r="AP123" cm="1">
        <f t="array" ref="AP123">SUMPRODUCT(IF(LEFT($A$4:$A$108,3)=LEFT($A123,3),IF($B$4:$B$108=$B123,IF($C$3:$AZ$3=AP$112,$C$4:$AZ$108))))</f>
        <v>1707.6310000000001</v>
      </c>
      <c r="AQ123" cm="1">
        <f t="array" ref="AQ123">SUMPRODUCT(IF(LEFT($A$4:$A$108,3)=LEFT($A123,3),IF($B$4:$B$108=$B123,IF($C$3:$AZ$3=AQ$112,$C$4:$AZ$108))))</f>
        <v>1458.3400000000001</v>
      </c>
      <c r="AR123" cm="1">
        <f t="array" ref="AR123">SUMPRODUCT(IF(LEFT($A$4:$A$108,3)=LEFT($A123,3),IF($B$4:$B$108=$B123,IF($C$3:$AZ$3=AR$112,$C$4:$AZ$108))))</f>
        <v>0</v>
      </c>
      <c r="AS123">
        <f t="shared" si="0"/>
        <v>219022.56599999999</v>
      </c>
    </row>
    <row r="124" spans="1:45">
      <c r="A124" t="s">
        <v>384</v>
      </c>
      <c r="B124" t="s">
        <v>59</v>
      </c>
      <c r="C124" cm="1">
        <f t="array" ref="C124">SUMPRODUCT(IF(LEFT($A$4:$A$108,3)=LEFT($A124,3),IF($B$4:$B$108=$B124,IF($C$3:$AZ$3=C$112,$C$4:$AZ$108))))</f>
        <v>271.29200000000003</v>
      </c>
      <c r="D124" cm="1">
        <f t="array" ref="D124">SUMPRODUCT(IF(LEFT($A$4:$A$108,3)=LEFT($A124,3),IF($B$4:$B$108=$B124,IF($C$3:$AZ$3=D$112,$C$4:$AZ$108))))</f>
        <v>0.27100000000000002</v>
      </c>
      <c r="E124" cm="1">
        <f t="array" ref="E124">SUMPRODUCT(IF(LEFT($A$4:$A$108,3)=LEFT($A124,3),IF($B$4:$B$108=$B124,IF($C$3:$AZ$3=E$112,$C$4:$AZ$108))))</f>
        <v>0.11700000000000001</v>
      </c>
      <c r="F124" cm="1">
        <f t="array" ref="F124">SUMPRODUCT(IF(LEFT($A$4:$A$108,3)=LEFT($A124,3),IF($B$4:$B$108=$B124,IF($C$3:$AZ$3=F$112,$C$4:$AZ$108))))</f>
        <v>2.7559999999999998</v>
      </c>
      <c r="G124" cm="1">
        <f t="array" ref="G124">SUMPRODUCT(IF(LEFT($A$4:$A$108,3)=LEFT($A124,3),IF($B$4:$B$108=$B124,IF($C$3:$AZ$3=G$112,$C$4:$AZ$108))))</f>
        <v>6.0000000000000001E-3</v>
      </c>
      <c r="H124" cm="1">
        <f t="array" ref="H124">SUMPRODUCT(IF(LEFT($A$4:$A$108,3)=LEFT($A124,3),IF($B$4:$B$108=$B124,IF($C$3:$AZ$3=H$112,$C$4:$AZ$108))))</f>
        <v>364.71699999999998</v>
      </c>
      <c r="I124" cm="1">
        <f t="array" ref="I124">SUMPRODUCT(IF(LEFT($A$4:$A$108,3)=LEFT($A124,3),IF($B$4:$B$108=$B124,IF($C$3:$AZ$3=I$112,$C$4:$AZ$108))))</f>
        <v>44.576999999999998</v>
      </c>
      <c r="J124" cm="1">
        <f t="array" ref="J124">SUMPRODUCT(IF(LEFT($A$4:$A$108,3)=LEFT($A124,3),IF($B$4:$B$108=$B124,IF($C$3:$AZ$3=J$112,$C$4:$AZ$108))))</f>
        <v>2.851</v>
      </c>
      <c r="K124" cm="1">
        <f t="array" ref="K124">SUMPRODUCT(IF(LEFT($A$4:$A$108,3)=LEFT($A124,3),IF($B$4:$B$108=$B124,IF($C$3:$AZ$3=K$112,$C$4:$AZ$108))))</f>
        <v>8.34</v>
      </c>
      <c r="L124" cm="1">
        <f t="array" ref="L124">SUMPRODUCT(IF(LEFT($A$4:$A$108,3)=LEFT($A124,3),IF($B$4:$B$108=$B124,IF($C$3:$AZ$3=L$112,$C$4:$AZ$108))))</f>
        <v>9.0060000000000002</v>
      </c>
      <c r="M124" cm="1">
        <f t="array" ref="M124">SUMPRODUCT(IF(LEFT($A$4:$A$108,3)=LEFT($A124,3),IF($B$4:$B$108=$B124,IF($C$3:$AZ$3=M$112,$C$4:$AZ$108))))</f>
        <v>588.27</v>
      </c>
      <c r="N124" cm="1">
        <f t="array" ref="N124">SUMPRODUCT(IF(LEFT($A$4:$A$108,3)=LEFT($A124,3),IF($B$4:$B$108=$B124,IF($C$3:$AZ$3=N$112,$C$4:$AZ$108))))</f>
        <v>4862.2569999999996</v>
      </c>
      <c r="O124" cm="1">
        <f t="array" ref="O124">SUMPRODUCT(IF(LEFT($A$4:$A$108,3)=LEFT($A124,3),IF($B$4:$B$108=$B124,IF($C$3:$AZ$3=O$112,$C$4:$AZ$108))))</f>
        <v>31.486999999999998</v>
      </c>
      <c r="P124" s="4" cm="1">
        <f t="array" ref="P124">SUMPRODUCT(IF(LEFT($A$4:$A$108,3)=LEFT($A124,3),IF($B$4:$B$108=$B124,IF($C$3:$AZ$3=P$112,$C$4:$AZ$108))))*'Cement and Glass Split'!O59</f>
        <v>0</v>
      </c>
      <c r="Q124" s="4" cm="1">
        <f t="array" ref="Q124">SUMPRODUCT(IF(LEFT($A$4:$A$108,3)=LEFT($A124,3),IF($B$4:$B$108=$B124,IF($C$3:$AZ$3=P$112,$C$4:$AZ$108))))*'Cement and Glass Split'!P59</f>
        <v>0</v>
      </c>
      <c r="R124" cm="1">
        <f t="array" ref="R124">SUMPRODUCT(IF(LEFT($A$4:$A$108,3)=LEFT($A124,3),IF($B$4:$B$108=$B124,IF($C$3:$AZ$3=R$112,$C$4:$AZ$108))))</f>
        <v>20.058</v>
      </c>
      <c r="S124" cm="1">
        <f t="array" ref="S124">SUMPRODUCT(IF(LEFT($A$4:$A$108,3)=LEFT($A124,3),IF($B$4:$B$108=$B124,IF($C$3:$AZ$3=S$112,$C$4:$AZ$108))))</f>
        <v>10.243</v>
      </c>
      <c r="T124" cm="1">
        <f t="array" ref="T124">SUMPRODUCT(IF(LEFT($A$4:$A$108,3)=LEFT($A124,3),IF($B$4:$B$108=$B124,IF($C$3:$AZ$3=T$112,$C$4:$AZ$108))))</f>
        <v>15.532</v>
      </c>
      <c r="U124" cm="1">
        <f t="array" ref="U124">SUMPRODUCT(IF(LEFT($A$4:$A$108,3)=LEFT($A124,3),IF($B$4:$B$108=$B124,IF($C$3:$AZ$3=U$112,$C$4:$AZ$108))))</f>
        <v>47.572000000000003</v>
      </c>
      <c r="V124" cm="1">
        <f t="array" ref="V124">SUMPRODUCT(IF(LEFT($A$4:$A$108,3)=LEFT($A124,3),IF($B$4:$B$108=$B124,IF($C$3:$AZ$3=V$112,$C$4:$AZ$108))))</f>
        <v>14.379</v>
      </c>
      <c r="W124" cm="1">
        <f t="array" ref="W124">SUMPRODUCT(IF(LEFT($A$4:$A$108,3)=LEFT($A124,3),IF($B$4:$B$108=$B124,IF($C$3:$AZ$3=W$112,$C$4:$AZ$108))))</f>
        <v>69.201999999999998</v>
      </c>
      <c r="X124" cm="1">
        <f t="array" ref="X124">SUMPRODUCT(IF(LEFT($A$4:$A$108,3)=LEFT($A124,3),IF($B$4:$B$108=$B124,IF($C$3:$AZ$3=X$112,$C$4:$AZ$108))))</f>
        <v>28.553999999999998</v>
      </c>
      <c r="Y124" cm="1">
        <f t="array" ref="Y124">SUMPRODUCT(IF(LEFT($A$4:$A$108,3)=LEFT($A124,3),IF($B$4:$B$108=$B124,IF($C$3:$AZ$3=Y$112,$C$4:$AZ$108))))</f>
        <v>7.9280000000000008</v>
      </c>
      <c r="Z124" cm="1">
        <f t="array" ref="Z124">SUMPRODUCT(IF(LEFT($A$4:$A$108,3)=LEFT($A124,3),IF($B$4:$B$108=$B124,IF($C$3:$AZ$3=Z$112,$C$4:$AZ$108))))</f>
        <v>48.676000000000002</v>
      </c>
      <c r="AA124" cm="1">
        <f t="array" ref="AA124">SUMPRODUCT(IF(LEFT($A$4:$A$108,3)=LEFT($A124,3),IF($B$4:$B$108=$B124,IF($C$3:$AZ$3=AA$112,$C$4:$AZ$108))))</f>
        <v>27.765999999999998</v>
      </c>
      <c r="AB124" cm="1">
        <f t="array" ref="AB124">SUMPRODUCT(IF(LEFT($A$4:$A$108,3)=LEFT($A124,3),IF($B$4:$B$108=$B124,IF($C$3:$AZ$3=AB$112,$C$4:$AZ$108))))</f>
        <v>6.8710000000000004</v>
      </c>
      <c r="AC124" cm="1">
        <f t="array" ref="AC124">SUMPRODUCT(IF(LEFT($A$4:$A$108,3)=LEFT($A124,3),IF($B$4:$B$108=$B124,IF($C$3:$AZ$3=AC$112,$C$4:$AZ$108))))</f>
        <v>34.674999999999997</v>
      </c>
      <c r="AD124" cm="1">
        <f t="array" ref="AD124">SUMPRODUCT(IF(LEFT($A$4:$A$108,3)=LEFT($A124,3),IF($B$4:$B$108=$B124,IF($C$3:$AZ$3=AD$112,$C$4:$AZ$108))))</f>
        <v>43.063000000000002</v>
      </c>
      <c r="AE124" cm="1">
        <f t="array" ref="AE124">SUMPRODUCT(IF(LEFT($A$4:$A$108,3)=LEFT($A124,3),IF($B$4:$B$108=$B124,IF($C$3:$AZ$3=AE$112,$C$4:$AZ$108))))</f>
        <v>220.71700000000001</v>
      </c>
      <c r="AF124" cm="1">
        <f t="array" ref="AF124">SUMPRODUCT(IF(LEFT($A$4:$A$108,3)=LEFT($A124,3),IF($B$4:$B$108=$B124,IF($C$3:$AZ$3=AF$112,$C$4:$AZ$108))))</f>
        <v>48.363999999999997</v>
      </c>
      <c r="AG124" cm="1">
        <f t="array" ref="AG124">SUMPRODUCT(IF(LEFT($A$4:$A$108,3)=LEFT($A124,3),IF($B$4:$B$108=$B124,IF($C$3:$AZ$3=AG$112,$C$4:$AZ$108))))</f>
        <v>129.239</v>
      </c>
      <c r="AH124" cm="1">
        <f t="array" ref="AH124">SUMPRODUCT(IF(LEFT($A$4:$A$108,3)=LEFT($A124,3),IF($B$4:$B$108=$B124,IF($C$3:$AZ$3=AH$112,$C$4:$AZ$108))))</f>
        <v>21.385999999999999</v>
      </c>
      <c r="AI124" cm="1">
        <f t="array" ref="AI124">SUMPRODUCT(IF(LEFT($A$4:$A$108,3)=LEFT($A124,3),IF($B$4:$B$108=$B124,IF($C$3:$AZ$3=AI$112,$C$4:$AZ$108))))</f>
        <v>24.626000000000001</v>
      </c>
      <c r="AJ124" cm="1">
        <f t="array" ref="AJ124">SUMPRODUCT(IF(LEFT($A$4:$A$108,3)=LEFT($A124,3),IF($B$4:$B$108=$B124,IF($C$3:$AZ$3=AJ$112,$C$4:$AZ$108))))</f>
        <v>79.736000000000004</v>
      </c>
      <c r="AK124" cm="1">
        <f t="array" ref="AK124">SUMPRODUCT(IF(LEFT($A$4:$A$108,3)=LEFT($A124,3),IF($B$4:$B$108=$B124,IF($C$3:$AZ$3=AK$112,$C$4:$AZ$108))))</f>
        <v>51.686999999999998</v>
      </c>
      <c r="AL124" cm="1">
        <f t="array" ref="AL124">SUMPRODUCT(IF(LEFT($A$4:$A$108,3)=LEFT($A124,3),IF($B$4:$B$108=$B124,IF($C$3:$AZ$3=AL$112,$C$4:$AZ$108))))</f>
        <v>33.767000000000003</v>
      </c>
      <c r="AM124" cm="1">
        <f t="array" ref="AM124">SUMPRODUCT(IF(LEFT($A$4:$A$108,3)=LEFT($A124,3),IF($B$4:$B$108=$B124,IF($C$3:$AZ$3=AM$112,$C$4:$AZ$108))))</f>
        <v>632.25299999999993</v>
      </c>
      <c r="AN124" cm="1">
        <f t="array" ref="AN124">SUMPRODUCT(IF(LEFT($A$4:$A$108,3)=LEFT($A124,3),IF($B$4:$B$108=$B124,IF($C$3:$AZ$3=AN$112,$C$4:$AZ$108))))</f>
        <v>427.61599999999999</v>
      </c>
      <c r="AO124" cm="1">
        <f t="array" ref="AO124">SUMPRODUCT(IF(LEFT($A$4:$A$108,3)=LEFT($A124,3),IF($B$4:$B$108=$B124,IF($C$3:$AZ$3=AO$112,$C$4:$AZ$108))))</f>
        <v>175.458</v>
      </c>
      <c r="AP124" cm="1">
        <f t="array" ref="AP124">SUMPRODUCT(IF(LEFT($A$4:$A$108,3)=LEFT($A124,3),IF($B$4:$B$108=$B124,IF($C$3:$AZ$3=AP$112,$C$4:$AZ$108))))</f>
        <v>11096.806</v>
      </c>
      <c r="AQ124" cm="1">
        <f t="array" ref="AQ124">SUMPRODUCT(IF(LEFT($A$4:$A$108,3)=LEFT($A124,3),IF($B$4:$B$108=$B124,IF($C$3:$AZ$3=AQ$112,$C$4:$AZ$108))))</f>
        <v>182.196</v>
      </c>
      <c r="AR124" cm="1">
        <f t="array" ref="AR124">SUMPRODUCT(IF(LEFT($A$4:$A$108,3)=LEFT($A124,3),IF($B$4:$B$108=$B124,IF($C$3:$AZ$3=AR$112,$C$4:$AZ$108))))</f>
        <v>0</v>
      </c>
      <c r="AS124">
        <f t="shared" si="0"/>
        <v>32883.364999999998</v>
      </c>
    </row>
    <row r="125" spans="1:45">
      <c r="A125" t="s">
        <v>384</v>
      </c>
      <c r="B125" t="s">
        <v>12</v>
      </c>
      <c r="C125" cm="1">
        <f t="array" ref="C125">SUMPRODUCT(IF(LEFT($A$4:$A$108,3)=LEFT($A125,3),IF($B$4:$B$108=$B125,IF($C$3:$AZ$3=C$112,$C$4:$AZ$108))))</f>
        <v>461.91399999999999</v>
      </c>
      <c r="D125" cm="1">
        <f t="array" ref="D125">SUMPRODUCT(IF(LEFT($A$4:$A$108,3)=LEFT($A125,3),IF($B$4:$B$108=$B125,IF($C$3:$AZ$3=D$112,$C$4:$AZ$108))))</f>
        <v>3.02</v>
      </c>
      <c r="E125" cm="1">
        <f t="array" ref="E125">SUMPRODUCT(IF(LEFT($A$4:$A$108,3)=LEFT($A125,3),IF($B$4:$B$108=$B125,IF($C$3:$AZ$3=E$112,$C$4:$AZ$108))))</f>
        <v>0.96799999999999997</v>
      </c>
      <c r="F125" cm="1">
        <f t="array" ref="F125">SUMPRODUCT(IF(LEFT($A$4:$A$108,3)=LEFT($A125,3),IF($B$4:$B$108=$B125,IF($C$3:$AZ$3=F$112,$C$4:$AZ$108))))</f>
        <v>34.255000000000003</v>
      </c>
      <c r="G125" cm="1">
        <f t="array" ref="G125">SUMPRODUCT(IF(LEFT($A$4:$A$108,3)=LEFT($A125,3),IF($B$4:$B$108=$B125,IF($C$3:$AZ$3=G$112,$C$4:$AZ$108))))</f>
        <v>8.8999999999999996E-2</v>
      </c>
      <c r="H125" cm="1">
        <f t="array" ref="H125">SUMPRODUCT(IF(LEFT($A$4:$A$108,3)=LEFT($A125,3),IF($B$4:$B$108=$B125,IF($C$3:$AZ$3=H$112,$C$4:$AZ$108))))</f>
        <v>5087.1080000000002</v>
      </c>
      <c r="I125" cm="1">
        <f t="array" ref="I125">SUMPRODUCT(IF(LEFT($A$4:$A$108,3)=LEFT($A125,3),IF($B$4:$B$108=$B125,IF($C$3:$AZ$3=I$112,$C$4:$AZ$108))))</f>
        <v>1243.2550000000001</v>
      </c>
      <c r="J125" cm="1">
        <f t="array" ref="J125">SUMPRODUCT(IF(LEFT($A$4:$A$108,3)=LEFT($A125,3),IF($B$4:$B$108=$B125,IF($C$3:$AZ$3=J$112,$C$4:$AZ$108))))</f>
        <v>173.22200000000001</v>
      </c>
      <c r="K125" cm="1">
        <f t="array" ref="K125">SUMPRODUCT(IF(LEFT($A$4:$A$108,3)=LEFT($A125,3),IF($B$4:$B$108=$B125,IF($C$3:$AZ$3=K$112,$C$4:$AZ$108))))</f>
        <v>1059.0219999999999</v>
      </c>
      <c r="L125" cm="1">
        <f t="array" ref="L125">SUMPRODUCT(IF(LEFT($A$4:$A$108,3)=LEFT($A125,3),IF($B$4:$B$108=$B125,IF($C$3:$AZ$3=L$112,$C$4:$AZ$108))))</f>
        <v>159.66900000000001</v>
      </c>
      <c r="M125" cm="1">
        <f t="array" ref="M125">SUMPRODUCT(IF(LEFT($A$4:$A$108,3)=LEFT($A125,3),IF($B$4:$B$108=$B125,IF($C$3:$AZ$3=M$112,$C$4:$AZ$108))))</f>
        <v>3987.7089999999998</v>
      </c>
      <c r="N125" cm="1">
        <f t="array" ref="N125">SUMPRODUCT(IF(LEFT($A$4:$A$108,3)=LEFT($A125,3),IF($B$4:$B$108=$B125,IF($C$3:$AZ$3=N$112,$C$4:$AZ$108))))</f>
        <v>662.33500000000004</v>
      </c>
      <c r="O125" cm="1">
        <f t="array" ref="O125">SUMPRODUCT(IF(LEFT($A$4:$A$108,3)=LEFT($A125,3),IF($B$4:$B$108=$B125,IF($C$3:$AZ$3=O$112,$C$4:$AZ$108))))</f>
        <v>10914.329</v>
      </c>
      <c r="P125" s="4" cm="1">
        <f t="array" ref="P125">SUMPRODUCT(IF(LEFT($A$4:$A$108,3)=LEFT($A125,3),IF($B$4:$B$108=$B125,IF($C$3:$AZ$3=P$112,$C$4:$AZ$108))))*'Cement and Glass Split'!O60</f>
        <v>391.53372288936743</v>
      </c>
      <c r="Q125" s="4" cm="1">
        <f t="array" ref="Q125">SUMPRODUCT(IF(LEFT($A$4:$A$108,3)=LEFT($A125,3),IF($B$4:$B$108=$B125,IF($C$3:$AZ$3=P$112,$C$4:$AZ$108))))*'Cement and Glass Split'!P60</f>
        <v>296.24427711063259</v>
      </c>
      <c r="R125" cm="1">
        <f t="array" ref="R125">SUMPRODUCT(IF(LEFT($A$4:$A$108,3)=LEFT($A125,3),IF($B$4:$B$108=$B125,IF($C$3:$AZ$3=R$112,$C$4:$AZ$108))))</f>
        <v>311.57799999999997</v>
      </c>
      <c r="S125" cm="1">
        <f t="array" ref="S125">SUMPRODUCT(IF(LEFT($A$4:$A$108,3)=LEFT($A125,3),IF($B$4:$B$108=$B125,IF($C$3:$AZ$3=S$112,$C$4:$AZ$108))))</f>
        <v>319.233</v>
      </c>
      <c r="T125" cm="1">
        <f t="array" ref="T125">SUMPRODUCT(IF(LEFT($A$4:$A$108,3)=LEFT($A125,3),IF($B$4:$B$108=$B125,IF($C$3:$AZ$3=T$112,$C$4:$AZ$108))))</f>
        <v>1603.375</v>
      </c>
      <c r="U125" cm="1">
        <f t="array" ref="U125">SUMPRODUCT(IF(LEFT($A$4:$A$108,3)=LEFT($A125,3),IF($B$4:$B$108=$B125,IF($C$3:$AZ$3=U$112,$C$4:$AZ$108))))</f>
        <v>4647.6139999999996</v>
      </c>
      <c r="V125" cm="1">
        <f t="array" ref="V125">SUMPRODUCT(IF(LEFT($A$4:$A$108,3)=LEFT($A125,3),IF($B$4:$B$108=$B125,IF($C$3:$AZ$3=V$112,$C$4:$AZ$108))))</f>
        <v>3831.163</v>
      </c>
      <c r="W125" cm="1">
        <f t="array" ref="W125">SUMPRODUCT(IF(LEFT($A$4:$A$108,3)=LEFT($A125,3),IF($B$4:$B$108=$B125,IF($C$3:$AZ$3=W$112,$C$4:$AZ$108))))</f>
        <v>3525.3049999999998</v>
      </c>
      <c r="X125" cm="1">
        <f t="array" ref="X125">SUMPRODUCT(IF(LEFT($A$4:$A$108,3)=LEFT($A125,3),IF($B$4:$B$108=$B125,IF($C$3:$AZ$3=X$112,$C$4:$AZ$108))))</f>
        <v>10341.9</v>
      </c>
      <c r="Y125" cm="1">
        <f t="array" ref="Y125">SUMPRODUCT(IF(LEFT($A$4:$A$108,3)=LEFT($A125,3),IF($B$4:$B$108=$B125,IF($C$3:$AZ$3=Y$112,$C$4:$AZ$108))))</f>
        <v>872.82</v>
      </c>
      <c r="Z125" cm="1">
        <f t="array" ref="Z125">SUMPRODUCT(IF(LEFT($A$4:$A$108,3)=LEFT($A125,3),IF($B$4:$B$108=$B125,IF($C$3:$AZ$3=Z$112,$C$4:$AZ$108))))</f>
        <v>1251.329</v>
      </c>
      <c r="AA125" cm="1">
        <f t="array" ref="AA125">SUMPRODUCT(IF(LEFT($A$4:$A$108,3)=LEFT($A125,3),IF($B$4:$B$108=$B125,IF($C$3:$AZ$3=AA$112,$C$4:$AZ$108))))</f>
        <v>142.61000000000001</v>
      </c>
      <c r="AB125" cm="1">
        <f t="array" ref="AB125">SUMPRODUCT(IF(LEFT($A$4:$A$108,3)=LEFT($A125,3),IF($B$4:$B$108=$B125,IF($C$3:$AZ$3=AB$112,$C$4:$AZ$108))))</f>
        <v>269.68799999999999</v>
      </c>
      <c r="AC125" cm="1">
        <f t="array" ref="AC125">SUMPRODUCT(IF(LEFT($A$4:$A$108,3)=LEFT($A125,3),IF($B$4:$B$108=$B125,IF($C$3:$AZ$3=AC$112,$C$4:$AZ$108))))</f>
        <v>275.80700000000002</v>
      </c>
      <c r="AD125" cm="1">
        <f t="array" ref="AD125">SUMPRODUCT(IF(LEFT($A$4:$A$108,3)=LEFT($A125,3),IF($B$4:$B$108=$B125,IF($C$3:$AZ$3=AD$112,$C$4:$AZ$108))))</f>
        <v>6413.2030000000004</v>
      </c>
      <c r="AE125" cm="1">
        <f t="array" ref="AE125">SUMPRODUCT(IF(LEFT($A$4:$A$108,3)=LEFT($A125,3),IF($B$4:$B$108=$B125,IF($C$3:$AZ$3=AE$112,$C$4:$AZ$108))))</f>
        <v>4341.3829999999998</v>
      </c>
      <c r="AF125" cm="1">
        <f t="array" ref="AF125">SUMPRODUCT(IF(LEFT($A$4:$A$108,3)=LEFT($A125,3),IF($B$4:$B$108=$B125,IF($C$3:$AZ$3=AF$112,$C$4:$AZ$108))))</f>
        <v>486.31</v>
      </c>
      <c r="AG125" cm="1">
        <f t="array" ref="AG125">SUMPRODUCT(IF(LEFT($A$4:$A$108,3)=LEFT($A125,3),IF($B$4:$B$108=$B125,IF($C$3:$AZ$3=AG$112,$C$4:$AZ$108))))</f>
        <v>777.69600000000003</v>
      </c>
      <c r="AH125" cm="1">
        <f t="array" ref="AH125">SUMPRODUCT(IF(LEFT($A$4:$A$108,3)=LEFT($A125,3),IF($B$4:$B$108=$B125,IF($C$3:$AZ$3=AH$112,$C$4:$AZ$108))))</f>
        <v>171.416</v>
      </c>
      <c r="AI125" cm="1">
        <f t="array" ref="AI125">SUMPRODUCT(IF(LEFT($A$4:$A$108,3)=LEFT($A125,3),IF($B$4:$B$108=$B125,IF($C$3:$AZ$3=AI$112,$C$4:$AZ$108))))</f>
        <v>96.518000000000001</v>
      </c>
      <c r="AJ125" cm="1">
        <f t="array" ref="AJ125">SUMPRODUCT(IF(LEFT($A$4:$A$108,3)=LEFT($A125,3),IF($B$4:$B$108=$B125,IF($C$3:$AZ$3=AJ$112,$C$4:$AZ$108))))</f>
        <v>65.950999999999993</v>
      </c>
      <c r="AK125" cm="1">
        <f t="array" ref="AK125">SUMPRODUCT(IF(LEFT($A$4:$A$108,3)=LEFT($A125,3),IF($B$4:$B$108=$B125,IF($C$3:$AZ$3=AK$112,$C$4:$AZ$108))))</f>
        <v>157.88499999999999</v>
      </c>
      <c r="AL125" cm="1">
        <f t="array" ref="AL125">SUMPRODUCT(IF(LEFT($A$4:$A$108,3)=LEFT($A125,3),IF($B$4:$B$108=$B125,IF($C$3:$AZ$3=AL$112,$C$4:$AZ$108))))</f>
        <v>939.79499999999996</v>
      </c>
      <c r="AM125" cm="1">
        <f t="array" ref="AM125">SUMPRODUCT(IF(LEFT($A$4:$A$108,3)=LEFT($A125,3),IF($B$4:$B$108=$B125,IF($C$3:$AZ$3=AM$112,$C$4:$AZ$108))))</f>
        <v>1115.0419999999999</v>
      </c>
      <c r="AN125" cm="1">
        <f t="array" ref="AN125">SUMPRODUCT(IF(LEFT($A$4:$A$108,3)=LEFT($A125,3),IF($B$4:$B$108=$B125,IF($C$3:$AZ$3=AN$112,$C$4:$AZ$108))))</f>
        <v>223.898</v>
      </c>
      <c r="AO125" cm="1">
        <f t="array" ref="AO125">SUMPRODUCT(IF(LEFT($A$4:$A$108,3)=LEFT($A125,3),IF($B$4:$B$108=$B125,IF($C$3:$AZ$3=AO$112,$C$4:$AZ$108))))</f>
        <v>305.00200000000001</v>
      </c>
      <c r="AP125" cm="1">
        <f t="array" ref="AP125">SUMPRODUCT(IF(LEFT($A$4:$A$108,3)=LEFT($A125,3),IF($B$4:$B$108=$B125,IF($C$3:$AZ$3=AP$112,$C$4:$AZ$108))))</f>
        <v>476.29700000000003</v>
      </c>
      <c r="AQ125" cm="1">
        <f t="array" ref="AQ125">SUMPRODUCT(IF(LEFT($A$4:$A$108,3)=LEFT($A125,3),IF($B$4:$B$108=$B125,IF($C$3:$AZ$3=AQ$112,$C$4:$AZ$108))))</f>
        <v>646.61</v>
      </c>
      <c r="AR125" cm="1">
        <f t="array" ref="AR125">SUMPRODUCT(IF(LEFT($A$4:$A$108,3)=LEFT($A125,3),IF($B$4:$B$108=$B125,IF($C$3:$AZ$3=AR$112,$C$4:$AZ$108))))</f>
        <v>0</v>
      </c>
      <c r="AS125">
        <f t="shared" si="0"/>
        <v>85333.600999999995</v>
      </c>
    </row>
    <row r="126" spans="1:45">
      <c r="A126" t="s">
        <v>384</v>
      </c>
      <c r="B126" t="s">
        <v>132</v>
      </c>
      <c r="C126" s="4" cm="1">
        <f t="array" ref="C126">SUMPRODUCT(IF(LEFT($A$4:$A$108,3)=LEFT($A126,3),IF($B$4:$B$108=$B126,IF($C$3:$AZ$3=C$112,$C$4:$AZ$108))))*'Cement and Glass Split'!B61</f>
        <v>76.835005941913906</v>
      </c>
      <c r="D126" s="4" cm="1">
        <f t="array" ref="D126">SUMPRODUCT(IF(LEFT($A$4:$A$108,3)=LEFT($A126,3),IF($B$4:$B$108=$B126,IF($C$3:$AZ$3=D$112,$C$4:$AZ$108))))*'Cement and Glass Split'!C61</f>
        <v>8.2479110344803069E-2</v>
      </c>
      <c r="E126" s="4" cm="1">
        <f t="array" ref="E126">SUMPRODUCT(IF(LEFT($A$4:$A$108,3)=LEFT($A126,3),IF($B$4:$B$108=$B126,IF($C$3:$AZ$3=E$112,$C$4:$AZ$108))))*'Cement and Glass Split'!D61</f>
        <v>1.9194762042573302E-4</v>
      </c>
      <c r="F126" s="4" cm="1">
        <f t="array" ref="F126">SUMPRODUCT(IF(LEFT($A$4:$A$108,3)=LEFT($A126,3),IF($B$4:$B$108=$B126,IF($C$3:$AZ$3=F$112,$C$4:$AZ$108))))*'Cement and Glass Split'!E61</f>
        <v>16.388725538132348</v>
      </c>
      <c r="G126" s="4" cm="1">
        <f t="array" ref="G126">SUMPRODUCT(IF(LEFT($A$4:$A$108,3)=LEFT($A126,3),IF($B$4:$B$108=$B126,IF($C$3:$AZ$3=G$112,$C$4:$AZ$108))))*'Cement and Glass Split'!F61</f>
        <v>0</v>
      </c>
      <c r="H126" s="4" cm="1">
        <f t="array" ref="H126">SUMPRODUCT(IF(LEFT($A$4:$A$108,3)=LEFT($A126,3),IF($B$4:$B$108=$B126,IF($C$3:$AZ$3=H$112,$C$4:$AZ$108))))*'Cement and Glass Split'!G61</f>
        <v>723.56712712075023</v>
      </c>
      <c r="I126" s="4" cm="1">
        <f t="array" ref="I126">SUMPRODUCT(IF(LEFT($A$4:$A$108,3)=LEFT($A126,3),IF($B$4:$B$108=$B126,IF($C$3:$AZ$3=I$112,$C$4:$AZ$108))))*'Cement and Glass Split'!H61</f>
        <v>43.010749856530019</v>
      </c>
      <c r="J126" s="4" cm="1">
        <f t="array" ref="J126">SUMPRODUCT(IF(LEFT($A$4:$A$108,3)=LEFT($A126,3),IF($B$4:$B$108=$B126,IF($C$3:$AZ$3=J$112,$C$4:$AZ$108))))*'Cement and Glass Split'!I61</f>
        <v>11.558961602121258</v>
      </c>
      <c r="K126" s="4" cm="1">
        <f t="array" ref="K126">SUMPRODUCT(IF(LEFT($A$4:$A$108,3)=LEFT($A126,3),IF($B$4:$B$108=$B126,IF($C$3:$AZ$3=K$112,$C$4:$AZ$108))))*'Cement and Glass Split'!J61</f>
        <v>0.1494171750819456</v>
      </c>
      <c r="L126" s="4" cm="1">
        <f t="array" ref="L126">SUMPRODUCT(IF(LEFT($A$4:$A$108,3)=LEFT($A126,3),IF($B$4:$B$108=$B126,IF($C$3:$AZ$3=L$112,$C$4:$AZ$108))))*'Cement and Glass Split'!K61</f>
        <v>5.5587299142220417</v>
      </c>
      <c r="M126" s="4" cm="1">
        <f t="array" ref="M126">SUMPRODUCT(IF(LEFT($A$4:$A$108,3)=LEFT($A126,3),IF($B$4:$B$108=$B126,IF($C$3:$AZ$3=M$112,$C$4:$AZ$108))))*'Cement and Glass Split'!L61</f>
        <v>432.99914372399036</v>
      </c>
      <c r="N126" s="4" cm="1">
        <f t="array" ref="N126">SUMPRODUCT(IF(LEFT($A$4:$A$108,3)=LEFT($A126,3),IF($B$4:$B$108=$B126,IF($C$3:$AZ$3=N$112,$C$4:$AZ$108))))*'Cement and Glass Split'!M61</f>
        <v>0</v>
      </c>
      <c r="O126" s="4" cm="1">
        <f t="array" ref="O126">SUMPRODUCT(IF(LEFT($A$4:$A$108,3)=LEFT($A126,3),IF($B$4:$B$108=$B126,IF($C$3:$AZ$3=O$112,$C$4:$AZ$108))))*'Cement and Glass Split'!N61</f>
        <v>337.32092707085036</v>
      </c>
      <c r="P126" s="4" cm="1">
        <f t="array" ref="P126">SUMPRODUCT(IF(LEFT($A$4:$A$108,3)=LEFT($A126,3),IF($B$4:$B$108=$B126,IF($C$3:$AZ$3=P$112,$C$4:$AZ$108))))*'Cement and Glass Split'!O61</f>
        <v>780.22306119271025</v>
      </c>
      <c r="Q126" s="4" cm="1">
        <f t="array" ref="Q126">SUMPRODUCT(IF(LEFT($A$4:$A$108,3)=LEFT($A126,3),IF($B$4:$B$108=$B126,IF($C$3:$AZ$3=P$112,$C$4:$AZ$108))))*'Cement and Glass Split'!P61</f>
        <v>5.7829287407044436</v>
      </c>
      <c r="R126" s="4" cm="1">
        <f t="array" ref="R126">SUMPRODUCT(IF(LEFT($A$4:$A$108,3)=LEFT($A126,3),IF($B$4:$B$108=$B126,IF($C$3:$AZ$3=R$112,$C$4:$AZ$108))))*'Cement and Glass Split'!Q61</f>
        <v>1.5841274048008895</v>
      </c>
      <c r="S126" s="4" cm="1">
        <f t="array" ref="S126">SUMPRODUCT(IF(LEFT($A$4:$A$108,3)=LEFT($A126,3),IF($B$4:$B$108=$B126,IF($C$3:$AZ$3=S$112,$C$4:$AZ$108))))*'Cement and Glass Split'!R61</f>
        <v>4.8089775866854536</v>
      </c>
      <c r="T126" s="4" cm="1">
        <f t="array" ref="T126">SUMPRODUCT(IF(LEFT($A$4:$A$108,3)=LEFT($A126,3),IF($B$4:$B$108=$B126,IF($C$3:$AZ$3=T$112,$C$4:$AZ$108))))*'Cement and Glass Split'!S61</f>
        <v>84.348290039300494</v>
      </c>
      <c r="U126" s="4" cm="1">
        <f t="array" ref="U126">SUMPRODUCT(IF(LEFT($A$4:$A$108,3)=LEFT($A126,3),IF($B$4:$B$108=$B126,IF($C$3:$AZ$3=U$112,$C$4:$AZ$108))))*'Cement and Glass Split'!T61</f>
        <v>908.80719941495465</v>
      </c>
      <c r="V126" s="4" cm="1">
        <f t="array" ref="V126">SUMPRODUCT(IF(LEFT($A$4:$A$108,3)=LEFT($A126,3),IF($B$4:$B$108=$B126,IF($C$3:$AZ$3=V$112,$C$4:$AZ$108))))*'Cement and Glass Split'!U61</f>
        <v>310.02304979829859</v>
      </c>
      <c r="W126" s="4" cm="1">
        <f t="array" ref="W126">SUMPRODUCT(IF(LEFT($A$4:$A$108,3)=LEFT($A126,3),IF($B$4:$B$108=$B126,IF($C$3:$AZ$3=W$112,$C$4:$AZ$108))))*'Cement and Glass Split'!V61</f>
        <v>134.11984217852748</v>
      </c>
      <c r="X126" s="4" cm="1">
        <f t="array" ref="X126">SUMPRODUCT(IF(LEFT($A$4:$A$108,3)=LEFT($A126,3),IF($B$4:$B$108=$B126,IF($C$3:$AZ$3=X$112,$C$4:$AZ$108))))*'Cement and Glass Split'!W61</f>
        <v>834.68647427274288</v>
      </c>
      <c r="Y126" s="4" cm="1">
        <f t="array" ref="Y126">SUMPRODUCT(IF(LEFT($A$4:$A$108,3)=LEFT($A126,3),IF($B$4:$B$108=$B126,IF($C$3:$AZ$3=Y$112,$C$4:$AZ$108))))*'Cement and Glass Split'!X61</f>
        <v>96.331061833355108</v>
      </c>
      <c r="Z126" s="4" cm="1">
        <f t="array" ref="Z126">SUMPRODUCT(IF(LEFT($A$4:$A$108,3)=LEFT($A126,3),IF($B$4:$B$108=$B126,IF($C$3:$AZ$3=Z$112,$C$4:$AZ$108))))*'Cement and Glass Split'!Y61</f>
        <v>114.63763685417786</v>
      </c>
      <c r="AA126" s="4" cm="1">
        <f t="array" ref="AA126">SUMPRODUCT(IF(LEFT($A$4:$A$108,3)=LEFT($A126,3),IF($B$4:$B$108=$B126,IF($C$3:$AZ$3=AA$112,$C$4:$AZ$108))))*'Cement and Glass Split'!Z61</f>
        <v>5.4254329517058526</v>
      </c>
      <c r="AB126" s="4" cm="1">
        <f t="array" ref="AB126">SUMPRODUCT(IF(LEFT($A$4:$A$108,3)=LEFT($A126,3),IF($B$4:$B$108=$B126,IF($C$3:$AZ$3=AB$112,$C$4:$AZ$108))))*'Cement and Glass Split'!AA61</f>
        <v>0.48627101659598448</v>
      </c>
      <c r="AC126" s="4" cm="1">
        <f t="array" ref="AC126">SUMPRODUCT(IF(LEFT($A$4:$A$108,3)=LEFT($A126,3),IF($B$4:$B$108=$B126,IF($C$3:$AZ$3=AC$112,$C$4:$AZ$108))))*'Cement and Glass Split'!AB61</f>
        <v>37.20590486539686</v>
      </c>
      <c r="AD126" s="4" cm="1">
        <f t="array" ref="AD126">SUMPRODUCT(IF(LEFT($A$4:$A$108,3)=LEFT($A126,3),IF($B$4:$B$108=$B126,IF($C$3:$AZ$3=AD$112,$C$4:$AZ$108))))*'Cement and Glass Split'!AC61</f>
        <v>473.19247847084574</v>
      </c>
      <c r="AE126" s="4" cm="1">
        <f t="array" ref="AE126">SUMPRODUCT(IF(LEFT($A$4:$A$108,3)=LEFT($A126,3),IF($B$4:$B$108=$B126,IF($C$3:$AZ$3=AE$112,$C$4:$AZ$108))))*'Cement and Glass Split'!AD61</f>
        <v>195.08434513372106</v>
      </c>
      <c r="AF126" s="4" cm="1">
        <f t="array" ref="AF126">SUMPRODUCT(IF(LEFT($A$4:$A$108,3)=LEFT($A126,3),IF($B$4:$B$108=$B126,IF($C$3:$AZ$3=AF$112,$C$4:$AZ$108))))*'Cement and Glass Split'!AE61</f>
        <v>71.739046551585346</v>
      </c>
      <c r="AG126" s="4" cm="1">
        <f t="array" ref="AG126">SUMPRODUCT(IF(LEFT($A$4:$A$108,3)=LEFT($A126,3),IF($B$4:$B$108=$B126,IF($C$3:$AZ$3=AG$112,$C$4:$AZ$108))))*'Cement and Glass Split'!AF61</f>
        <v>115.24785922325454</v>
      </c>
      <c r="AH126" s="4" cm="1">
        <f t="array" ref="AH126">SUMPRODUCT(IF(LEFT($A$4:$A$108,3)=LEFT($A126,3),IF($B$4:$B$108=$B126,IF($C$3:$AZ$3=AH$112,$C$4:$AZ$108))))*'Cement and Glass Split'!AG61</f>
        <v>0</v>
      </c>
      <c r="AI126" s="4" cm="1">
        <f t="array" ref="AI126">SUMPRODUCT(IF(LEFT($A$4:$A$108,3)=LEFT($A126,3),IF($B$4:$B$108=$B126,IF($C$3:$AZ$3=AI$112,$C$4:$AZ$108))))*'Cement and Glass Split'!AH61</f>
        <v>14.648999999999999</v>
      </c>
      <c r="AJ126" s="4" cm="1">
        <f t="array" ref="AJ126">SUMPRODUCT(IF(LEFT($A$4:$A$108,3)=LEFT($A126,3),IF($B$4:$B$108=$B126,IF($C$3:$AZ$3=AJ$112,$C$4:$AZ$108))))*'Cement and Glass Split'!AI61</f>
        <v>5.9592954893545738</v>
      </c>
      <c r="AK126" s="4" cm="1">
        <f t="array" ref="AK126">SUMPRODUCT(IF(LEFT($A$4:$A$108,3)=LEFT($A126,3),IF($B$4:$B$108=$B126,IF($C$3:$AZ$3=AK$112,$C$4:$AZ$108))))*'Cement and Glass Split'!AJ61</f>
        <v>31.748898407459706</v>
      </c>
      <c r="AL126" s="4" cm="1">
        <f t="array" ref="AL126">SUMPRODUCT(IF(LEFT($A$4:$A$108,3)=LEFT($A126,3),IF($B$4:$B$108=$B126,IF($C$3:$AZ$3=AL$112,$C$4:$AZ$108))))*'Cement and Glass Split'!AK61</f>
        <v>1365.9004856800734</v>
      </c>
      <c r="AM126" s="4" cm="1">
        <f t="array" ref="AM126">SUMPRODUCT(IF(LEFT($A$4:$A$108,3)=LEFT($A126,3),IF($B$4:$B$108=$B126,IF($C$3:$AZ$3=AM$112,$C$4:$AZ$108))))*'Cement and Glass Split'!AL61</f>
        <v>83.277096237272758</v>
      </c>
      <c r="AN126" s="4" cm="1">
        <f t="array" ref="AN126">SUMPRODUCT(IF(LEFT($A$4:$A$108,3)=LEFT($A126,3),IF($B$4:$B$108=$B126,IF($C$3:$AZ$3=AN$112,$C$4:$AZ$108))))*'Cement and Glass Split'!AM61</f>
        <v>4.8086185517852424</v>
      </c>
      <c r="AO126" s="4" cm="1">
        <f t="array" ref="AO126">SUMPRODUCT(IF(LEFT($A$4:$A$108,3)=LEFT($A126,3),IF($B$4:$B$108=$B126,IF($C$3:$AZ$3=AO$112,$C$4:$AZ$108))))*'Cement and Glass Split'!AN61</f>
        <v>145.77688846235444</v>
      </c>
      <c r="AP126" s="4" cm="1">
        <f t="array" ref="AP126">SUMPRODUCT(IF(LEFT($A$4:$A$108,3)=LEFT($A126,3),IF($B$4:$B$108=$B126,IF($C$3:$AZ$3=AP$112,$C$4:$AZ$108))))*'Cement and Glass Split'!AO61</f>
        <v>84.319544501599253</v>
      </c>
      <c r="AQ126" s="4" cm="1">
        <f t="array" ref="AQ126">SUMPRODUCT(IF(LEFT($A$4:$A$108,3)=LEFT($A126,3),IF($B$4:$B$108=$B126,IF($C$3:$AZ$3=AQ$112,$C$4:$AZ$108))))*'Cement and Glass Split'!AP61</f>
        <v>84.304368380598518</v>
      </c>
      <c r="AR126" s="4" cm="1">
        <f t="array" ref="AR126">SUMPRODUCT(IF(LEFT($A$4:$A$108,3)=LEFT($A126,3),IF($B$4:$B$108=$B126,IF($C$3:$AZ$3=AR$112,$C$4:$AZ$108))))*'Cement and Glass Split'!AQ61</f>
        <v>0</v>
      </c>
      <c r="AS126" s="4" cm="1">
        <f t="array" ref="AS126">SUM(C126:AQ126/SUM($C$126:$AQ$127)*$BA$20)</f>
        <v>11309.820002277345</v>
      </c>
    </row>
    <row r="127" spans="1:45">
      <c r="A127" t="s">
        <v>384</v>
      </c>
      <c r="B127" t="s">
        <v>133</v>
      </c>
      <c r="C127" s="4" cm="1">
        <f t="array" ref="C127">SUMPRODUCT(IF(LEFT($A$4:$A$108,3)=LEFT($A126,3),IF($B$4:$B$108=$B126,IF($C$3:$AZ$3=C$112,$C$4:$AZ$108))))*'Cement and Glass Split'!B62</f>
        <v>9.7211147445749635</v>
      </c>
      <c r="D127" s="4" cm="1">
        <f t="array" ref="D127">SUMPRODUCT(IF(LEFT($A$4:$A$108,3)=LEFT($A126,3),IF($B$4:$B$108=$B126,IF($C$3:$AZ$3=D$112,$C$4:$AZ$108))))*'Cement and Glass Split'!C62</f>
        <v>1.220849277848381E-2</v>
      </c>
      <c r="E127" s="4" cm="1">
        <f t="array" ref="E127">SUMPRODUCT(IF(LEFT($A$4:$A$108,3)=LEFT($A126,3),IF($B$4:$B$108=$B126,IF($C$3:$AZ$3=E$112,$C$4:$AZ$108))))*'Cement and Glass Split'!D62</f>
        <v>8.8513472202268392E-2</v>
      </c>
      <c r="F127" s="4" cm="1">
        <f t="array" ref="F127">SUMPRODUCT(IF(LEFT($A$4:$A$108,3)=LEFT($A126,3),IF($B$4:$B$108=$B126,IF($C$3:$AZ$3=F$112,$C$4:$AZ$108))))*'Cement and Glass Split'!E62</f>
        <v>0.2027775860636693</v>
      </c>
      <c r="G127" s="4" cm="1">
        <f t="array" ref="G127">SUMPRODUCT(IF(LEFT($A$4:$A$108,3)=LEFT($A126,3),IF($B$4:$B$108=$B126,IF($C$3:$AZ$3=G$112,$C$4:$AZ$108))))*'Cement and Glass Split'!F62</f>
        <v>0</v>
      </c>
      <c r="H127" s="4" cm="1">
        <f t="array" ref="H127">SUMPRODUCT(IF(LEFT($A$4:$A$108,3)=LEFT($A126,3),IF($B$4:$B$108=$B126,IF($C$3:$AZ$3=H$112,$C$4:$AZ$108))))*'Cement and Glass Split'!G62</f>
        <v>130.76179877812189</v>
      </c>
      <c r="I127" s="4" cm="1">
        <f t="array" ref="I127">SUMPRODUCT(IF(LEFT($A$4:$A$108,3)=LEFT($A126,3),IF($B$4:$B$108=$B126,IF($C$3:$AZ$3=I$112,$C$4:$AZ$108))))*'Cement and Glass Split'!H62</f>
        <v>68.116692002928971</v>
      </c>
      <c r="J127" s="4" cm="1">
        <f t="array" ref="J127">SUMPRODUCT(IF(LEFT($A$4:$A$108,3)=LEFT($A126,3),IF($B$4:$B$108=$B126,IF($C$3:$AZ$3=J$112,$C$4:$AZ$108))))*'Cement and Glass Split'!I62</f>
        <v>51.46487529357406</v>
      </c>
      <c r="K127" s="4" cm="1">
        <f t="array" ref="K127">SUMPRODUCT(IF(LEFT($A$4:$A$108,3)=LEFT($A126,3),IF($B$4:$B$108=$B126,IF($C$3:$AZ$3=K$112,$C$4:$AZ$108))))*'Cement and Glass Split'!J62</f>
        <v>44.128026118464845</v>
      </c>
      <c r="L127" s="4" cm="1">
        <f t="array" ref="L127">SUMPRODUCT(IF(LEFT($A$4:$A$108,3)=LEFT($A126,3),IF($B$4:$B$108=$B126,IF($C$3:$AZ$3=L$112,$C$4:$AZ$108))))*'Cement and Glass Split'!K62</f>
        <v>28.041766023590238</v>
      </c>
      <c r="M127" s="4" cm="1">
        <f t="array" ref="M127">SUMPRODUCT(IF(LEFT($A$4:$A$108,3)=LEFT($A126,3),IF($B$4:$B$108=$B126,IF($C$3:$AZ$3=M$112,$C$4:$AZ$108))))*'Cement and Glass Split'!L62</f>
        <v>350.41113947177172</v>
      </c>
      <c r="N127" s="4" cm="1">
        <f t="array" ref="N127">SUMPRODUCT(IF(LEFT($A$4:$A$108,3)=LEFT($A126,3),IF($B$4:$B$108=$B126,IF($C$3:$AZ$3=N$112,$C$4:$AZ$108))))*'Cement and Glass Split'!M62</f>
        <v>0</v>
      </c>
      <c r="O127" s="4" cm="1">
        <f t="array" ref="O127">SUMPRODUCT(IF(LEFT($A$4:$A$108,3)=LEFT($A126,3),IF($B$4:$B$108=$B126,IF($C$3:$AZ$3=O$112,$C$4:$AZ$108))))*'Cement and Glass Split'!N62</f>
        <v>104.53896733613674</v>
      </c>
      <c r="P127" s="4" cm="1">
        <f t="array" ref="P127">SUMPRODUCT(IF(LEFT($A$4:$A$108,3)=LEFT($A127,3),IF($B$4:$B$108=$B126,IF($C$3:$AZ$3=P$112,$C$4:$AZ$108))))*'Cement and Glass Split'!O62</f>
        <v>55.171520130347126</v>
      </c>
      <c r="Q127" s="4" cm="1">
        <f t="array" ref="Q127">SUMPRODUCT(IF(LEFT($A$4:$A$108,3)=LEFT($A127,3),IF($B$4:$B$108=$B126,IF($C$3:$AZ$3=P$112,$C$4:$AZ$108))))*'Cement and Glass Split'!P62</f>
        <v>3613.9454899362381</v>
      </c>
      <c r="R127" s="4" cm="1">
        <f t="array" ref="R127">SUMPRODUCT(IF(LEFT($A$4:$A$108,3)=LEFT($A126,3),IF($B$4:$B$108=$B126,IF($C$3:$AZ$3=R$112,$C$4:$AZ$108))))*'Cement and Glass Split'!Q62</f>
        <v>19.07105685346858</v>
      </c>
      <c r="S127" s="4" cm="1">
        <f t="array" ref="S127">SUMPRODUCT(IF(LEFT($A$4:$A$108,3)=LEFT($A126,3),IF($B$4:$B$108=$B126,IF($C$3:$AZ$3=S$112,$C$4:$AZ$108))))*'Cement and Glass Split'!R62</f>
        <v>78.205570798976254</v>
      </c>
      <c r="T127" s="4" cm="1">
        <f t="array" ref="T127">SUMPRODUCT(IF(LEFT($A$4:$A$108,3)=LEFT($A126,3),IF($B$4:$B$108=$B126,IF($C$3:$AZ$3=T$112,$C$4:$AZ$108))))*'Cement and Glass Split'!S62</f>
        <v>2.981863868414544</v>
      </c>
      <c r="U127" s="4" cm="1">
        <f t="array" ref="U127">SUMPRODUCT(IF(LEFT($A$4:$A$108,3)=LEFT($A126,3),IF($B$4:$B$108=$B126,IF($C$3:$AZ$3=U$112,$C$4:$AZ$108))))*'Cement and Glass Split'!T62</f>
        <v>148.55664598193107</v>
      </c>
      <c r="V127" s="4" cm="1">
        <f t="array" ref="V127">SUMPRODUCT(IF(LEFT($A$4:$A$108,3)=LEFT($A126,3),IF($B$4:$B$108=$B126,IF($C$3:$AZ$3=V$112,$C$4:$AZ$108))))*'Cement and Glass Split'!U62</f>
        <v>67.032609074398323</v>
      </c>
      <c r="W127" s="4" cm="1">
        <f t="array" ref="W127">SUMPRODUCT(IF(LEFT($A$4:$A$108,3)=LEFT($A126,3),IF($B$4:$B$108=$B126,IF($C$3:$AZ$3=W$112,$C$4:$AZ$108))))*'Cement and Glass Split'!V62</f>
        <v>4.8970746490457744</v>
      </c>
      <c r="X127" s="4" cm="1">
        <f t="array" ref="X127">SUMPRODUCT(IF(LEFT($A$4:$A$108,3)=LEFT($A126,3),IF($B$4:$B$108=$B126,IF($C$3:$AZ$3=X$112,$C$4:$AZ$108))))*'Cement and Glass Split'!W62</f>
        <v>26.909335341062238</v>
      </c>
      <c r="Y127" s="4" cm="1">
        <f t="array" ref="Y127">SUMPRODUCT(IF(LEFT($A$4:$A$108,3)=LEFT($A126,3),IF($B$4:$B$108=$B126,IF($C$3:$AZ$3=Y$112,$C$4:$AZ$108))))*'Cement and Glass Split'!X62</f>
        <v>31.431892017288398</v>
      </c>
      <c r="Z127" s="4" cm="1">
        <f t="array" ref="Z127">SUMPRODUCT(IF(LEFT($A$4:$A$108,3)=LEFT($A126,3),IF($B$4:$B$108=$B126,IF($C$3:$AZ$3=Z$112,$C$4:$AZ$108))))*'Cement and Glass Split'!Y62</f>
        <v>21.171751441745343</v>
      </c>
      <c r="AA127" s="4" cm="1">
        <f t="array" ref="AA127">SUMPRODUCT(IF(LEFT($A$4:$A$108,3)=LEFT($A126,3),IF($B$4:$B$108=$B126,IF($C$3:$AZ$3=AA$112,$C$4:$AZ$108))))*'Cement and Glass Split'!Z62</f>
        <v>66.613036697097385</v>
      </c>
      <c r="AB127" s="4" cm="1">
        <f t="array" ref="AB127">SUMPRODUCT(IF(LEFT($A$4:$A$108,3)=LEFT($A126,3),IF($B$4:$B$108=$B126,IF($C$3:$AZ$3=AB$112,$C$4:$AZ$108))))*'Cement and Glass Split'!AA62</f>
        <v>0.27255847212271284</v>
      </c>
      <c r="AC127" s="4" cm="1">
        <f t="array" ref="AC127">SUMPRODUCT(IF(LEFT($A$4:$A$108,3)=LEFT($A126,3),IF($B$4:$B$108=$B126,IF($C$3:$AZ$3=AC$112,$C$4:$AZ$108))))*'Cement and Glass Split'!AB62</f>
        <v>88.959895143694126</v>
      </c>
      <c r="AD127" s="4" cm="1">
        <f t="array" ref="AD127">SUMPRODUCT(IF(LEFT($A$4:$A$108,3)=LEFT($A126,3),IF($B$4:$B$108=$B126,IF($C$3:$AZ$3=AD$112,$C$4:$AZ$108))))*'Cement and Glass Split'!AC62</f>
        <v>10186.883892313672</v>
      </c>
      <c r="AE127" s="4" cm="1">
        <f t="array" ref="AE127">SUMPRODUCT(IF(LEFT($A$4:$A$108,3)=LEFT($A126,3),IF($B$4:$B$108=$B126,IF($C$3:$AZ$3=AE$112,$C$4:$AZ$108))))*'Cement and Glass Split'!AD62</f>
        <v>384.35899999999998</v>
      </c>
      <c r="AF127" s="4" cm="1">
        <f t="array" ref="AF127">SUMPRODUCT(IF(LEFT($A$4:$A$108,3)=LEFT($A126,3),IF($B$4:$B$108=$B126,IF($C$3:$AZ$3=AF$112,$C$4:$AZ$108))))*'Cement and Glass Split'!AE62</f>
        <v>189.08689804771831</v>
      </c>
      <c r="AG127" s="4" cm="1">
        <f t="array" ref="AG127">SUMPRODUCT(IF(LEFT($A$4:$A$108,3)=LEFT($A126,3),IF($B$4:$B$108=$B126,IF($C$3:$AZ$3=AG$112,$C$4:$AZ$108))))*'Cement and Glass Split'!AF62</f>
        <v>362.447</v>
      </c>
      <c r="AH127" s="4" cm="1">
        <f t="array" ref="AH127">SUMPRODUCT(IF(LEFT($A$4:$A$108,3)=LEFT($A126,3),IF($B$4:$B$108=$B126,IF($C$3:$AZ$3=AH$112,$C$4:$AZ$108))))*'Cement and Glass Split'!AG62</f>
        <v>0</v>
      </c>
      <c r="AI127" s="4" cm="1">
        <f t="array" ref="AI127">SUMPRODUCT(IF(LEFT($A$4:$A$108,3)=LEFT($A126,3),IF($B$4:$B$108=$B126,IF($C$3:$AZ$3=AI$112,$C$4:$AZ$108))))*'Cement and Glass Split'!AH62</f>
        <v>0</v>
      </c>
      <c r="AJ127" s="4" cm="1">
        <f t="array" ref="AJ127">SUMPRODUCT(IF(LEFT($A$4:$A$108,3)=LEFT($A126,3),IF($B$4:$B$108=$B126,IF($C$3:$AZ$3=AJ$112,$C$4:$AZ$108))))*'Cement and Glass Split'!AI62</f>
        <v>8.1767098417954323</v>
      </c>
      <c r="AK127" s="4" cm="1">
        <f t="array" ref="AK127">SUMPRODUCT(IF(LEFT($A$4:$A$108,3)=LEFT($A126,3),IF($B$4:$B$108=$B126,IF($C$3:$AZ$3=AK$112,$C$4:$AZ$108))))*'Cement and Glass Split'!AJ62</f>
        <v>32.020000000000003</v>
      </c>
      <c r="AL127" s="4" cm="1">
        <f t="array" ref="AL127">SUMPRODUCT(IF(LEFT($A$4:$A$108,3)=LEFT($A126,3),IF($B$4:$B$108=$B126,IF($C$3:$AZ$3=AL$112,$C$4:$AZ$108))))*'Cement and Glass Split'!AK62</f>
        <v>158.95311482367322</v>
      </c>
      <c r="AM127" s="4" cm="1">
        <f t="array" ref="AM127">SUMPRODUCT(IF(LEFT($A$4:$A$108,3)=LEFT($A126,3),IF($B$4:$B$108=$B126,IF($C$3:$AZ$3=AM$112,$C$4:$AZ$108))))*'Cement and Glass Split'!AL62</f>
        <v>70.465946373703687</v>
      </c>
      <c r="AN127" s="4" cm="1">
        <f t="array" ref="AN127">SUMPRODUCT(IF(LEFT($A$4:$A$108,3)=LEFT($A126,3),IF($B$4:$B$108=$B126,IF($C$3:$AZ$3=AN$112,$C$4:$AZ$108))))*'Cement and Glass Split'!AM62</f>
        <v>100.57576176187212</v>
      </c>
      <c r="AO127" s="4" cm="1">
        <f t="array" ref="AO127">SUMPRODUCT(IF(LEFT($A$4:$A$108,3)=LEFT($A126,3),IF($B$4:$B$108=$B126,IF($C$3:$AZ$3=AO$112,$C$4:$AZ$108))))*'Cement and Glass Split'!AN62</f>
        <v>158.04499999999999</v>
      </c>
      <c r="AP127" s="4" cm="1">
        <f t="array" ref="AP127">SUMPRODUCT(IF(LEFT($A$4:$A$108,3)=LEFT($A126,3),IF($B$4:$B$108=$B126,IF($C$3:$AZ$3=AP$112,$C$4:$AZ$108))))*'Cement and Glass Split'!AO62</f>
        <v>59.509079676938619</v>
      </c>
      <c r="AQ127" s="4" cm="1">
        <f t="array" ref="AQ127">SUMPRODUCT(IF(LEFT($A$4:$A$108,3)=LEFT($A126,3),IF($B$4:$B$108=$B126,IF($C$3:$AZ$3=AQ$112,$C$4:$AZ$108))))*'Cement and Glass Split'!AP62</f>
        <v>108.08880184413132</v>
      </c>
      <c r="AR127" s="4" cm="1">
        <f t="array" ref="AR127">SUMPRODUCT(IF(LEFT($A$4:$A$108,3)=LEFT($A126,3),IF($B$4:$B$108=$B126,IF($C$3:$AZ$3=AR$112,$C$4:$AZ$108))))*'Cement and Glass Split'!AQ62</f>
        <v>0</v>
      </c>
      <c r="AS127" s="4" cm="1">
        <f t="array" ref="AS127">SUM(C127:AQ127/SUM($C$126:$AQ$127)*$BA$20)</f>
        <v>24909.767997722662</v>
      </c>
    </row>
    <row r="128" spans="1:45">
      <c r="A128" t="s">
        <v>384</v>
      </c>
      <c r="B128" t="s">
        <v>134</v>
      </c>
      <c r="C128" cm="1">
        <f t="array" ref="C128">SUMPRODUCT(IF(LEFT($A$4:$A$108,3)=LEFT($A128,3),IF($B$4:$B$108=$B128,IF($C$3:$AZ$3=C$112,$C$4:$AZ$108))))</f>
        <v>26.061</v>
      </c>
      <c r="D128" cm="1">
        <f t="array" ref="D128">SUMPRODUCT(IF(LEFT($A$4:$A$108,3)=LEFT($A128,3),IF($B$4:$B$108=$B128,IF($C$3:$AZ$3=D$112,$C$4:$AZ$108))))</f>
        <v>1.8919999999999999</v>
      </c>
      <c r="E128" cm="1">
        <f t="array" ref="E128">SUMPRODUCT(IF(LEFT($A$4:$A$108,3)=LEFT($A128,3),IF($B$4:$B$108=$B128,IF($C$3:$AZ$3=E$112,$C$4:$AZ$108))))</f>
        <v>1.6970000000000001</v>
      </c>
      <c r="F128" cm="1">
        <f t="array" ref="F128">SUMPRODUCT(IF(LEFT($A$4:$A$108,3)=LEFT($A128,3),IF($B$4:$B$108=$B128,IF($C$3:$AZ$3=F$112,$C$4:$AZ$108))))</f>
        <v>7.4969999999999999</v>
      </c>
      <c r="G128" cm="1">
        <f t="array" ref="G128">SUMPRODUCT(IF(LEFT($A$4:$A$108,3)=LEFT($A128,3),IF($B$4:$B$108=$B128,IF($C$3:$AZ$3=G$112,$C$4:$AZ$108))))</f>
        <v>6.4000000000000001E-2</v>
      </c>
      <c r="H128" cm="1">
        <f t="array" ref="H128">SUMPRODUCT(IF(LEFT($A$4:$A$108,3)=LEFT($A128,3),IF($B$4:$B$108=$B128,IF($C$3:$AZ$3=H$112,$C$4:$AZ$108))))</f>
        <v>73.817999999999998</v>
      </c>
      <c r="I128" cm="1">
        <f t="array" ref="I128">SUMPRODUCT(IF(LEFT($A$4:$A$108,3)=LEFT($A128,3),IF($B$4:$B$108=$B128,IF($C$3:$AZ$3=I$112,$C$4:$AZ$108))))</f>
        <v>43.347999999999999</v>
      </c>
      <c r="J128" cm="1">
        <f t="array" ref="J128">SUMPRODUCT(IF(LEFT($A$4:$A$108,3)=LEFT($A128,3),IF($B$4:$B$108=$B128,IF($C$3:$AZ$3=J$112,$C$4:$AZ$108))))</f>
        <v>31.888999999999999</v>
      </c>
      <c r="K128" cm="1">
        <f t="array" ref="K128">SUMPRODUCT(IF(LEFT($A$4:$A$108,3)=LEFT($A128,3),IF($B$4:$B$108=$B128,IF($C$3:$AZ$3=K$112,$C$4:$AZ$108))))</f>
        <v>31.344999999999999</v>
      </c>
      <c r="L128" cm="1">
        <f t="array" ref="L128">SUMPRODUCT(IF(LEFT($A$4:$A$108,3)=LEFT($A128,3),IF($B$4:$B$108=$B128,IF($C$3:$AZ$3=L$112,$C$4:$AZ$108))))</f>
        <v>44.215000000000003</v>
      </c>
      <c r="M128" cm="1">
        <f t="array" ref="M128">SUMPRODUCT(IF(LEFT($A$4:$A$108,3)=LEFT($A128,3),IF($B$4:$B$108=$B128,IF($C$3:$AZ$3=M$112,$C$4:$AZ$108))))</f>
        <v>146.983</v>
      </c>
      <c r="N128" cm="1">
        <f t="array" ref="N128">SUMPRODUCT(IF(LEFT($A$4:$A$108,3)=LEFT($A128,3),IF($B$4:$B$108=$B128,IF($C$3:$AZ$3=N$112,$C$4:$AZ$108))))</f>
        <v>8.7560000000000002</v>
      </c>
      <c r="O128" cm="1">
        <f t="array" ref="O128">SUMPRODUCT(IF(LEFT($A$4:$A$108,3)=LEFT($A128,3),IF($B$4:$B$108=$B128,IF($C$3:$AZ$3=O$112,$C$4:$AZ$108))))</f>
        <v>424.22199999999998</v>
      </c>
      <c r="P128" s="4" cm="1">
        <f t="array" ref="P128">SUMPRODUCT(IF(LEFT($A$4:$A$108,3)=LEFT($A128,3),IF($B$4:$B$108=$B128,IF($C$3:$AZ$3=P$112,$C$4:$AZ$108))))*'Cement and Glass Split'!O63</f>
        <v>26.958094703881631</v>
      </c>
      <c r="Q128" s="4" cm="1">
        <f t="array" ref="Q128">SUMPRODUCT(IF(LEFT($A$4:$A$108,3)=LEFT($A128,3),IF($B$4:$B$108=$B128,IF($C$3:$AZ$3=P$112,$C$4:$AZ$108))))*'Cement and Glass Split'!P63</f>
        <v>366.76890529611831</v>
      </c>
      <c r="R128" cm="1">
        <f t="array" ref="R128">SUMPRODUCT(IF(LEFT($A$4:$A$108,3)=LEFT($A128,3),IF($B$4:$B$108=$B128,IF($C$3:$AZ$3=R$112,$C$4:$AZ$108))))</f>
        <v>27556.032999999999</v>
      </c>
      <c r="S128" cm="1">
        <f t="array" ref="S128">SUMPRODUCT(IF(LEFT($A$4:$A$108,3)=LEFT($A128,3),IF($B$4:$B$108=$B128,IF($C$3:$AZ$3=S$112,$C$4:$AZ$108))))</f>
        <v>979.04100000000005</v>
      </c>
      <c r="T128" cm="1">
        <f t="array" ref="T128">SUMPRODUCT(IF(LEFT($A$4:$A$108,3)=LEFT($A128,3),IF($B$4:$B$108=$B128,IF($C$3:$AZ$3=T$112,$C$4:$AZ$108))))</f>
        <v>17287.532999999999</v>
      </c>
      <c r="U128" cm="1">
        <f t="array" ref="U128">SUMPRODUCT(IF(LEFT($A$4:$A$108,3)=LEFT($A128,3),IF($B$4:$B$108=$B128,IF($C$3:$AZ$3=U$112,$C$4:$AZ$108))))</f>
        <v>1900.338</v>
      </c>
      <c r="V128" cm="1">
        <f t="array" ref="V128">SUMPRODUCT(IF(LEFT($A$4:$A$108,3)=LEFT($A128,3),IF($B$4:$B$108=$B128,IF($C$3:$AZ$3=V$112,$C$4:$AZ$108))))</f>
        <v>3004.49</v>
      </c>
      <c r="W128" cm="1">
        <f t="array" ref="W128">SUMPRODUCT(IF(LEFT($A$4:$A$108,3)=LEFT($A128,3),IF($B$4:$B$108=$B128,IF($C$3:$AZ$3=W$112,$C$4:$AZ$108))))</f>
        <v>11028.23</v>
      </c>
      <c r="X128" cm="1">
        <f t="array" ref="X128">SUMPRODUCT(IF(LEFT($A$4:$A$108,3)=LEFT($A128,3),IF($B$4:$B$108=$B128,IF($C$3:$AZ$3=X$112,$C$4:$AZ$108))))</f>
        <v>8596.8510000000006</v>
      </c>
      <c r="Y128" cm="1">
        <f t="array" ref="Y128">SUMPRODUCT(IF(LEFT($A$4:$A$108,3)=LEFT($A128,3),IF($B$4:$B$108=$B128,IF($C$3:$AZ$3=Y$112,$C$4:$AZ$108))))</f>
        <v>3083.223</v>
      </c>
      <c r="Z128" cm="1">
        <f t="array" ref="Z128">SUMPRODUCT(IF(LEFT($A$4:$A$108,3)=LEFT($A128,3),IF($B$4:$B$108=$B128,IF($C$3:$AZ$3=Z$112,$C$4:$AZ$108))))</f>
        <v>514.17499999999995</v>
      </c>
      <c r="AA128" cm="1">
        <f t="array" ref="AA128">SUMPRODUCT(IF(LEFT($A$4:$A$108,3)=LEFT($A128,3),IF($B$4:$B$108=$B128,IF($C$3:$AZ$3=AA$112,$C$4:$AZ$108))))</f>
        <v>164.881</v>
      </c>
      <c r="AB128" cm="1">
        <f t="array" ref="AB128">SUMPRODUCT(IF(LEFT($A$4:$A$108,3)=LEFT($A128,3),IF($B$4:$B$108=$B128,IF($C$3:$AZ$3=AB$112,$C$4:$AZ$108))))</f>
        <v>8.7539999999999996</v>
      </c>
      <c r="AC128" cm="1">
        <f t="array" ref="AC128">SUMPRODUCT(IF(LEFT($A$4:$A$108,3)=LEFT($A128,3),IF($B$4:$B$108=$B128,IF($C$3:$AZ$3=AC$112,$C$4:$AZ$108))))</f>
        <v>345.43099999999998</v>
      </c>
      <c r="AD128" cm="1">
        <f t="array" ref="AD128">SUMPRODUCT(IF(LEFT($A$4:$A$108,3)=LEFT($A128,3),IF($B$4:$B$108=$B128,IF($C$3:$AZ$3=AD$112,$C$4:$AZ$108))))</f>
        <v>6657.37</v>
      </c>
      <c r="AE128" cm="1">
        <f t="array" ref="AE128">SUMPRODUCT(IF(LEFT($A$4:$A$108,3)=LEFT($A128,3),IF($B$4:$B$108=$B128,IF($C$3:$AZ$3=AE$112,$C$4:$AZ$108))))</f>
        <v>191.86099999999999</v>
      </c>
      <c r="AF128" cm="1">
        <f t="array" ref="AF128">SUMPRODUCT(IF(LEFT($A$4:$A$108,3)=LEFT($A128,3),IF($B$4:$B$108=$B128,IF($C$3:$AZ$3=AF$112,$C$4:$AZ$108))))</f>
        <v>88.781999999999996</v>
      </c>
      <c r="AG128" cm="1">
        <f t="array" ref="AG128">SUMPRODUCT(IF(LEFT($A$4:$A$108,3)=LEFT($A128,3),IF($B$4:$B$108=$B128,IF($C$3:$AZ$3=AG$112,$C$4:$AZ$108))))</f>
        <v>14.266999999999999</v>
      </c>
      <c r="AH128" cm="1">
        <f t="array" ref="AH128">SUMPRODUCT(IF(LEFT($A$4:$A$108,3)=LEFT($A128,3),IF($B$4:$B$108=$B128,IF($C$3:$AZ$3=AH$112,$C$4:$AZ$108))))</f>
        <v>1.5109999999999999</v>
      </c>
      <c r="AI128" cm="1">
        <f t="array" ref="AI128">SUMPRODUCT(IF(LEFT($A$4:$A$108,3)=LEFT($A128,3),IF($B$4:$B$108=$B128,IF($C$3:$AZ$3=AI$112,$C$4:$AZ$108))))</f>
        <v>1.679</v>
      </c>
      <c r="AJ128" cm="1">
        <f t="array" ref="AJ128">SUMPRODUCT(IF(LEFT($A$4:$A$108,3)=LEFT($A128,3),IF($B$4:$B$108=$B128,IF($C$3:$AZ$3=AJ$112,$C$4:$AZ$108))))</f>
        <v>1.077</v>
      </c>
      <c r="AK128" cm="1">
        <f t="array" ref="AK128">SUMPRODUCT(IF(LEFT($A$4:$A$108,3)=LEFT($A128,3),IF($B$4:$B$108=$B128,IF($C$3:$AZ$3=AK$112,$C$4:$AZ$108))))</f>
        <v>3.931</v>
      </c>
      <c r="AL128" cm="1">
        <f t="array" ref="AL128">SUMPRODUCT(IF(LEFT($A$4:$A$108,3)=LEFT($A128,3),IF($B$4:$B$108=$B128,IF($C$3:$AZ$3=AL$112,$C$4:$AZ$108))))</f>
        <v>161.17699999999999</v>
      </c>
      <c r="AM128" cm="1">
        <f t="array" ref="AM128">SUMPRODUCT(IF(LEFT($A$4:$A$108,3)=LEFT($A128,3),IF($B$4:$B$108=$B128,IF($C$3:$AZ$3=AM$112,$C$4:$AZ$108))))</f>
        <v>215.97800000000001</v>
      </c>
      <c r="AN128" cm="1">
        <f t="array" ref="AN128">SUMPRODUCT(IF(LEFT($A$4:$A$108,3)=LEFT($A128,3),IF($B$4:$B$108=$B128,IF($C$3:$AZ$3=AN$112,$C$4:$AZ$108))))</f>
        <v>23.731000000000002</v>
      </c>
      <c r="AO128" cm="1">
        <f t="array" ref="AO128">SUMPRODUCT(IF(LEFT($A$4:$A$108,3)=LEFT($A128,3),IF($B$4:$B$108=$B128,IF($C$3:$AZ$3=AO$112,$C$4:$AZ$108))))</f>
        <v>26.300999999999998</v>
      </c>
      <c r="AP128" cm="1">
        <f t="array" ref="AP128">SUMPRODUCT(IF(LEFT($A$4:$A$108,3)=LEFT($A128,3),IF($B$4:$B$108=$B128,IF($C$3:$AZ$3=AP$112,$C$4:$AZ$108))))</f>
        <v>9.8260000000000005</v>
      </c>
      <c r="AQ128" cm="1">
        <f t="array" ref="AQ128">SUMPRODUCT(IF(LEFT($A$4:$A$108,3)=LEFT($A128,3),IF($B$4:$B$108=$B128,IF($C$3:$AZ$3=AQ$112,$C$4:$AZ$108))))</f>
        <v>103.27600000000001</v>
      </c>
      <c r="AR128" cm="1">
        <f t="array" ref="AR128">SUMPRODUCT(IF(LEFT($A$4:$A$108,3)=LEFT($A128,3),IF($B$4:$B$108=$B128,IF($C$3:$AZ$3=AR$112,$C$4:$AZ$108))))</f>
        <v>0</v>
      </c>
      <c r="AS128">
        <f t="shared" ref="AS128:AS154" si="1">SUMIFS($BA$4:$BA$108,$B$4:$B$108,B128,$A$4:$A$108,"DOM*")</f>
        <v>113509.761</v>
      </c>
    </row>
    <row r="129" spans="1:45">
      <c r="A129" t="s">
        <v>384</v>
      </c>
      <c r="B129" t="s">
        <v>135</v>
      </c>
      <c r="C129" cm="1">
        <f t="array" ref="C129">SUMPRODUCT(IF(LEFT($A$4:$A$108,3)=LEFT($A129,3),IF($B$4:$B$108=$B129,IF($C$3:$AZ$3=C$112,$C$4:$AZ$108))))</f>
        <v>5.7359999999999998</v>
      </c>
      <c r="D129" cm="1">
        <f t="array" ref="D129">SUMPRODUCT(IF(LEFT($A$4:$A$108,3)=LEFT($A129,3),IF($B$4:$B$108=$B129,IF($C$3:$AZ$3=D$112,$C$4:$AZ$108))))</f>
        <v>7.9000000000000001E-2</v>
      </c>
      <c r="E129" cm="1">
        <f t="array" ref="E129">SUMPRODUCT(IF(LEFT($A$4:$A$108,3)=LEFT($A129,3),IF($B$4:$B$108=$B129,IF($C$3:$AZ$3=E$112,$C$4:$AZ$108))))</f>
        <v>0.14199999999999999</v>
      </c>
      <c r="F129" cm="1">
        <f t="array" ref="F129">SUMPRODUCT(IF(LEFT($A$4:$A$108,3)=LEFT($A129,3),IF($B$4:$B$108=$B129,IF($C$3:$AZ$3=F$112,$C$4:$AZ$108))))</f>
        <v>1.5720000000000001</v>
      </c>
      <c r="G129" cm="1">
        <f t="array" ref="G129">SUMPRODUCT(IF(LEFT($A$4:$A$108,3)=LEFT($A129,3),IF($B$4:$B$108=$B129,IF($C$3:$AZ$3=G$112,$C$4:$AZ$108))))</f>
        <v>4.0000000000000001E-3</v>
      </c>
      <c r="H129" cm="1">
        <f t="array" ref="H129">SUMPRODUCT(IF(LEFT($A$4:$A$108,3)=LEFT($A129,3),IF($B$4:$B$108=$B129,IF($C$3:$AZ$3=H$112,$C$4:$AZ$108))))</f>
        <v>126.723</v>
      </c>
      <c r="I129" cm="1">
        <f t="array" ref="I129">SUMPRODUCT(IF(LEFT($A$4:$A$108,3)=LEFT($A129,3),IF($B$4:$B$108=$B129,IF($C$3:$AZ$3=I$112,$C$4:$AZ$108))))</f>
        <v>29.998000000000001</v>
      </c>
      <c r="J129" cm="1">
        <f t="array" ref="J129">SUMPRODUCT(IF(LEFT($A$4:$A$108,3)=LEFT($A129,3),IF($B$4:$B$108=$B129,IF($C$3:$AZ$3=J$112,$C$4:$AZ$108))))</f>
        <v>12.082000000000001</v>
      </c>
      <c r="K129" cm="1">
        <f t="array" ref="K129">SUMPRODUCT(IF(LEFT($A$4:$A$108,3)=LEFT($A129,3),IF($B$4:$B$108=$B129,IF($C$3:$AZ$3=K$112,$C$4:$AZ$108))))</f>
        <v>31.071999999999999</v>
      </c>
      <c r="L129" cm="1">
        <f t="array" ref="L129">SUMPRODUCT(IF(LEFT($A$4:$A$108,3)=LEFT($A129,3),IF($B$4:$B$108=$B129,IF($C$3:$AZ$3=L$112,$C$4:$AZ$108))))</f>
        <v>12.385999999999999</v>
      </c>
      <c r="M129" cm="1">
        <f t="array" ref="M129">SUMPRODUCT(IF(LEFT($A$4:$A$108,3)=LEFT($A129,3),IF($B$4:$B$108=$B129,IF($C$3:$AZ$3=M$112,$C$4:$AZ$108))))</f>
        <v>572.78200000000004</v>
      </c>
      <c r="N129" cm="1">
        <f t="array" ref="N129">SUMPRODUCT(IF(LEFT($A$4:$A$108,3)=LEFT($A129,3),IF($B$4:$B$108=$B129,IF($C$3:$AZ$3=N$112,$C$4:$AZ$108))))</f>
        <v>18.521999999999998</v>
      </c>
      <c r="O129" cm="1">
        <f t="array" ref="O129">SUMPRODUCT(IF(LEFT($A$4:$A$108,3)=LEFT($A129,3),IF($B$4:$B$108=$B129,IF($C$3:$AZ$3=O$112,$C$4:$AZ$108))))</f>
        <v>158.435</v>
      </c>
      <c r="P129" s="4" cm="1">
        <f t="array" ref="P129">SUMPRODUCT(IF(LEFT($A$4:$A$108,3)=LEFT($A129,3),IF($B$4:$B$108=$B129,IF($C$3:$AZ$3=P$112,$C$4:$AZ$108))))*'Cement and Glass Split'!O64</f>
        <v>14.767047647501579</v>
      </c>
      <c r="Q129" s="4" cm="1">
        <f t="array" ref="Q129">SUMPRODUCT(IF(LEFT($A$4:$A$108,3)=LEFT($A129,3),IF($B$4:$B$108=$B129,IF($C$3:$AZ$3=P$112,$C$4:$AZ$108))))*'Cement and Glass Split'!P64</f>
        <v>69.142952352498426</v>
      </c>
      <c r="R129" cm="1">
        <f t="array" ref="R129">SUMPRODUCT(IF(LEFT($A$4:$A$108,3)=LEFT($A129,3),IF($B$4:$B$108=$B129,IF($C$3:$AZ$3=R$112,$C$4:$AZ$108))))</f>
        <v>2171.248</v>
      </c>
      <c r="S129" cm="1">
        <f t="array" ref="S129">SUMPRODUCT(IF(LEFT($A$4:$A$108,3)=LEFT($A129,3),IF($B$4:$B$108=$B129,IF($C$3:$AZ$3=S$112,$C$4:$AZ$108))))</f>
        <v>10595.299000000001</v>
      </c>
      <c r="T129" cm="1">
        <f t="array" ref="T129">SUMPRODUCT(IF(LEFT($A$4:$A$108,3)=LEFT($A129,3),IF($B$4:$B$108=$B129,IF($C$3:$AZ$3=T$112,$C$4:$AZ$108))))</f>
        <v>4090.9780000000001</v>
      </c>
      <c r="U129" cm="1">
        <f t="array" ref="U129">SUMPRODUCT(IF(LEFT($A$4:$A$108,3)=LEFT($A129,3),IF($B$4:$B$108=$B129,IF($C$3:$AZ$3=U$112,$C$4:$AZ$108))))</f>
        <v>2603.84</v>
      </c>
      <c r="V129" cm="1">
        <f t="array" ref="V129">SUMPRODUCT(IF(LEFT($A$4:$A$108,3)=LEFT($A129,3),IF($B$4:$B$108=$B129,IF($C$3:$AZ$3=V$112,$C$4:$AZ$108))))</f>
        <v>4030.6759999999999</v>
      </c>
      <c r="W129" cm="1">
        <f t="array" ref="W129">SUMPRODUCT(IF(LEFT($A$4:$A$108,3)=LEFT($A129,3),IF($B$4:$B$108=$B129,IF($C$3:$AZ$3=W$112,$C$4:$AZ$108))))</f>
        <v>2278.462</v>
      </c>
      <c r="X129" cm="1">
        <f t="array" ref="X129">SUMPRODUCT(IF(LEFT($A$4:$A$108,3)=LEFT($A129,3),IF($B$4:$B$108=$B129,IF($C$3:$AZ$3=X$112,$C$4:$AZ$108))))</f>
        <v>2363.7539999999999</v>
      </c>
      <c r="Y129" cm="1">
        <f t="array" ref="Y129">SUMPRODUCT(IF(LEFT($A$4:$A$108,3)=LEFT($A129,3),IF($B$4:$B$108=$B129,IF($C$3:$AZ$3=Y$112,$C$4:$AZ$108))))</f>
        <v>496.16300000000001</v>
      </c>
      <c r="Z129" cm="1">
        <f t="array" ref="Z129">SUMPRODUCT(IF(LEFT($A$4:$A$108,3)=LEFT($A129,3),IF($B$4:$B$108=$B129,IF($C$3:$AZ$3=Z$112,$C$4:$AZ$108))))</f>
        <v>440.452</v>
      </c>
      <c r="AA129" cm="1">
        <f t="array" ref="AA129">SUMPRODUCT(IF(LEFT($A$4:$A$108,3)=LEFT($A129,3),IF($B$4:$B$108=$B129,IF($C$3:$AZ$3=AA$112,$C$4:$AZ$108))))</f>
        <v>43.127000000000002</v>
      </c>
      <c r="AB129" cm="1">
        <f t="array" ref="AB129">SUMPRODUCT(IF(LEFT($A$4:$A$108,3)=LEFT($A129,3),IF($B$4:$B$108=$B129,IF($C$3:$AZ$3=AB$112,$C$4:$AZ$108))))</f>
        <v>2.4700000000000002</v>
      </c>
      <c r="AC129" cm="1">
        <f t="array" ref="AC129">SUMPRODUCT(IF(LEFT($A$4:$A$108,3)=LEFT($A129,3),IF($B$4:$B$108=$B129,IF($C$3:$AZ$3=AC$112,$C$4:$AZ$108))))</f>
        <v>168.00800000000001</v>
      </c>
      <c r="AD129" cm="1">
        <f t="array" ref="AD129">SUMPRODUCT(IF(LEFT($A$4:$A$108,3)=LEFT($A129,3),IF($B$4:$B$108=$B129,IF($C$3:$AZ$3=AD$112,$C$4:$AZ$108))))</f>
        <v>811.399</v>
      </c>
      <c r="AE129" cm="1">
        <f t="array" ref="AE129">SUMPRODUCT(IF(LEFT($A$4:$A$108,3)=LEFT($A129,3),IF($B$4:$B$108=$B129,IF($C$3:$AZ$3=AE$112,$C$4:$AZ$108))))</f>
        <v>95.718999999999994</v>
      </c>
      <c r="AF129" cm="1">
        <f t="array" ref="AF129">SUMPRODUCT(IF(LEFT($A$4:$A$108,3)=LEFT($A129,3),IF($B$4:$B$108=$B129,IF($C$3:$AZ$3=AF$112,$C$4:$AZ$108))))</f>
        <v>16.033999999999999</v>
      </c>
      <c r="AG129" cm="1">
        <f t="array" ref="AG129">SUMPRODUCT(IF(LEFT($A$4:$A$108,3)=LEFT($A129,3),IF($B$4:$B$108=$B129,IF($C$3:$AZ$3=AG$112,$C$4:$AZ$108))))</f>
        <v>23.815000000000001</v>
      </c>
      <c r="AH129" cm="1">
        <f t="array" ref="AH129">SUMPRODUCT(IF(LEFT($A$4:$A$108,3)=LEFT($A129,3),IF($B$4:$B$108=$B129,IF($C$3:$AZ$3=AH$112,$C$4:$AZ$108))))</f>
        <v>3.2810000000000001</v>
      </c>
      <c r="AI129" cm="1">
        <f t="array" ref="AI129">SUMPRODUCT(IF(LEFT($A$4:$A$108,3)=LEFT($A129,3),IF($B$4:$B$108=$B129,IF($C$3:$AZ$3=AI$112,$C$4:$AZ$108))))</f>
        <v>1.1299999999999999</v>
      </c>
      <c r="AJ129" cm="1">
        <f t="array" ref="AJ129">SUMPRODUCT(IF(LEFT($A$4:$A$108,3)=LEFT($A129,3),IF($B$4:$B$108=$B129,IF($C$3:$AZ$3=AJ$112,$C$4:$AZ$108))))</f>
        <v>0.91600000000000004</v>
      </c>
      <c r="AK129" cm="1">
        <f t="array" ref="AK129">SUMPRODUCT(IF(LEFT($A$4:$A$108,3)=LEFT($A129,3),IF($B$4:$B$108=$B129,IF($C$3:$AZ$3=AK$112,$C$4:$AZ$108))))</f>
        <v>2.7240000000000002</v>
      </c>
      <c r="AL129" cm="1">
        <f t="array" ref="AL129">SUMPRODUCT(IF(LEFT($A$4:$A$108,3)=LEFT($A129,3),IF($B$4:$B$108=$B129,IF($C$3:$AZ$3=AL$112,$C$4:$AZ$108))))</f>
        <v>34.176000000000002</v>
      </c>
      <c r="AM129" cm="1">
        <f t="array" ref="AM129">SUMPRODUCT(IF(LEFT($A$4:$A$108,3)=LEFT($A129,3),IF($B$4:$B$108=$B129,IF($C$3:$AZ$3=AM$112,$C$4:$AZ$108))))</f>
        <v>39.713999999999999</v>
      </c>
      <c r="AN129" cm="1">
        <f t="array" ref="AN129">SUMPRODUCT(IF(LEFT($A$4:$A$108,3)=LEFT($A129,3),IF($B$4:$B$108=$B129,IF($C$3:$AZ$3=AN$112,$C$4:$AZ$108))))</f>
        <v>7.6550000000000002</v>
      </c>
      <c r="AO129" cm="1">
        <f t="array" ref="AO129">SUMPRODUCT(IF(LEFT($A$4:$A$108,3)=LEFT($A129,3),IF($B$4:$B$108=$B129,IF($C$3:$AZ$3=AO$112,$C$4:$AZ$108))))</f>
        <v>1.3169999999999999</v>
      </c>
      <c r="AP129" cm="1">
        <f t="array" ref="AP129">SUMPRODUCT(IF(LEFT($A$4:$A$108,3)=LEFT($A129,3),IF($B$4:$B$108=$B129,IF($C$3:$AZ$3=AP$112,$C$4:$AZ$108))))</f>
        <v>7.077</v>
      </c>
      <c r="AQ129" cm="1">
        <f t="array" ref="AQ129">SUMPRODUCT(IF(LEFT($A$4:$A$108,3)=LEFT($A129,3),IF($B$4:$B$108=$B129,IF($C$3:$AZ$3=AQ$112,$C$4:$AZ$108))))</f>
        <v>54.253999999999998</v>
      </c>
      <c r="AR129" cm="1">
        <f t="array" ref="AR129">SUMPRODUCT(IF(LEFT($A$4:$A$108,3)=LEFT($A129,3),IF($B$4:$B$108=$B129,IF($C$3:$AZ$3=AR$112,$C$4:$AZ$108))))</f>
        <v>0</v>
      </c>
      <c r="AS129">
        <f t="shared" si="1"/>
        <v>49961.964</v>
      </c>
    </row>
    <row r="130" spans="1:45">
      <c r="A130" t="s">
        <v>384</v>
      </c>
      <c r="B130" t="s">
        <v>13</v>
      </c>
      <c r="C130" cm="1">
        <f t="array" ref="C130">SUMPRODUCT(IF(LEFT($A$4:$A$108,3)=LEFT($A130,3),IF($B$4:$B$108=$B130,IF($C$3:$AZ$3=C$112,$C$4:$AZ$108))))</f>
        <v>237.25799999999998</v>
      </c>
      <c r="D130" cm="1">
        <f t="array" ref="D130">SUMPRODUCT(IF(LEFT($A$4:$A$108,3)=LEFT($A130,3),IF($B$4:$B$108=$B130,IF($C$3:$AZ$3=D$112,$C$4:$AZ$108))))</f>
        <v>5.93</v>
      </c>
      <c r="E130" cm="1">
        <f t="array" ref="E130">SUMPRODUCT(IF(LEFT($A$4:$A$108,3)=LEFT($A130,3),IF($B$4:$B$108=$B130,IF($C$3:$AZ$3=E$112,$C$4:$AZ$108))))</f>
        <v>2.2829999999999999</v>
      </c>
      <c r="F130" cm="1">
        <f t="array" ref="F130">SUMPRODUCT(IF(LEFT($A$4:$A$108,3)=LEFT($A130,3),IF($B$4:$B$108=$B130,IF($C$3:$AZ$3=F$112,$C$4:$AZ$108))))</f>
        <v>39.233999999999995</v>
      </c>
      <c r="G130" cm="1">
        <f t="array" ref="G130">SUMPRODUCT(IF(LEFT($A$4:$A$108,3)=LEFT($A130,3),IF($B$4:$B$108=$B130,IF($C$3:$AZ$3=G$112,$C$4:$AZ$108))))</f>
        <v>0.30299999999999999</v>
      </c>
      <c r="H130" cm="1">
        <f t="array" ref="H130">SUMPRODUCT(IF(LEFT($A$4:$A$108,3)=LEFT($A130,3),IF($B$4:$B$108=$B130,IF($C$3:$AZ$3=H$112,$C$4:$AZ$108))))</f>
        <v>1808.278</v>
      </c>
      <c r="I130" cm="1">
        <f t="array" ref="I130">SUMPRODUCT(IF(LEFT($A$4:$A$108,3)=LEFT($A130,3),IF($B$4:$B$108=$B130,IF($C$3:$AZ$3=I$112,$C$4:$AZ$108))))</f>
        <v>294.053</v>
      </c>
      <c r="J130" cm="1">
        <f t="array" ref="J130">SUMPRODUCT(IF(LEFT($A$4:$A$108,3)=LEFT($A130,3),IF($B$4:$B$108=$B130,IF($C$3:$AZ$3=J$112,$C$4:$AZ$108))))</f>
        <v>228.10599999999999</v>
      </c>
      <c r="K130" cm="1">
        <f t="array" ref="K130">SUMPRODUCT(IF(LEFT($A$4:$A$108,3)=LEFT($A130,3),IF($B$4:$B$108=$B130,IF($C$3:$AZ$3=K$112,$C$4:$AZ$108))))</f>
        <v>175.37200000000001</v>
      </c>
      <c r="L130" cm="1">
        <f t="array" ref="L130">SUMPRODUCT(IF(LEFT($A$4:$A$108,3)=LEFT($A130,3),IF($B$4:$B$108=$B130,IF($C$3:$AZ$3=L$112,$C$4:$AZ$108))))</f>
        <v>153.767</v>
      </c>
      <c r="M130" cm="1">
        <f t="array" ref="M130">SUMPRODUCT(IF(LEFT($A$4:$A$108,3)=LEFT($A130,3),IF($B$4:$B$108=$B130,IF($C$3:$AZ$3=M$112,$C$4:$AZ$108))))</f>
        <v>1437.3</v>
      </c>
      <c r="N130" cm="1">
        <f t="array" ref="N130">SUMPRODUCT(IF(LEFT($A$4:$A$108,3)=LEFT($A130,3),IF($B$4:$B$108=$B130,IF($C$3:$AZ$3=N$112,$C$4:$AZ$108))))</f>
        <v>105.358</v>
      </c>
      <c r="O130" cm="1">
        <f t="array" ref="O130">SUMPRODUCT(IF(LEFT($A$4:$A$108,3)=LEFT($A130,3),IF($B$4:$B$108=$B130,IF($C$3:$AZ$3=O$112,$C$4:$AZ$108))))</f>
        <v>872.97199999999998</v>
      </c>
      <c r="P130" s="4" cm="1">
        <f t="array" ref="P130">SUMPRODUCT(IF(LEFT($A$4:$A$108,3)=LEFT($A130,3),IF($B$4:$B$108=$B130,IF($C$3:$AZ$3=P$112,$C$4:$AZ$108))))*'Cement and Glass Split'!O65</f>
        <v>192.45529991022505</v>
      </c>
      <c r="Q130" s="4" cm="1">
        <f t="array" ref="Q130">SUMPRODUCT(IF(LEFT($A$4:$A$108,3)=LEFT($A130,3),IF($B$4:$B$108=$B130,IF($C$3:$AZ$3=P$112,$C$4:$AZ$108))))*'Cement and Glass Split'!P65</f>
        <v>330.05770008977498</v>
      </c>
      <c r="R130" cm="1">
        <f t="array" ref="R130">SUMPRODUCT(IF(LEFT($A$4:$A$108,3)=LEFT($A130,3),IF($B$4:$B$108=$B130,IF($C$3:$AZ$3=R$112,$C$4:$AZ$108))))</f>
        <v>2777.5439999999999</v>
      </c>
      <c r="S130" cm="1">
        <f t="array" ref="S130">SUMPRODUCT(IF(LEFT($A$4:$A$108,3)=LEFT($A130,3),IF($B$4:$B$108=$B130,IF($C$3:$AZ$3=S$112,$C$4:$AZ$108))))</f>
        <v>821.15599999999995</v>
      </c>
      <c r="T130" cm="1">
        <f t="array" ref="T130">SUMPRODUCT(IF(LEFT($A$4:$A$108,3)=LEFT($A130,3),IF($B$4:$B$108=$B130,IF($C$3:$AZ$3=T$112,$C$4:$AZ$108))))</f>
        <v>13649.174000000001</v>
      </c>
      <c r="U130" cm="1">
        <f t="array" ref="U130">SUMPRODUCT(IF(LEFT($A$4:$A$108,3)=LEFT($A130,3),IF($B$4:$B$108=$B130,IF($C$3:$AZ$3=U$112,$C$4:$AZ$108))))</f>
        <v>3633.7449999999999</v>
      </c>
      <c r="V130" cm="1">
        <f t="array" ref="V130">SUMPRODUCT(IF(LEFT($A$4:$A$108,3)=LEFT($A130,3),IF($B$4:$B$108=$B130,IF($C$3:$AZ$3=V$112,$C$4:$AZ$108))))</f>
        <v>3786.8919999999998</v>
      </c>
      <c r="W130" cm="1">
        <f t="array" ref="W130">SUMPRODUCT(IF(LEFT($A$4:$A$108,3)=LEFT($A130,3),IF($B$4:$B$108=$B130,IF($C$3:$AZ$3=W$112,$C$4:$AZ$108))))</f>
        <v>12596.022999999999</v>
      </c>
      <c r="X130" cm="1">
        <f t="array" ref="X130">SUMPRODUCT(IF(LEFT($A$4:$A$108,3)=LEFT($A130,3),IF($B$4:$B$108=$B130,IF($C$3:$AZ$3=X$112,$C$4:$AZ$108))))</f>
        <v>10177.259</v>
      </c>
      <c r="Y130" cm="1">
        <f t="array" ref="Y130">SUMPRODUCT(IF(LEFT($A$4:$A$108,3)=LEFT($A130,3),IF($B$4:$B$108=$B130,IF($C$3:$AZ$3=Y$112,$C$4:$AZ$108))))</f>
        <v>3970.2260000000001</v>
      </c>
      <c r="Z130" cm="1">
        <f t="array" ref="Z130">SUMPRODUCT(IF(LEFT($A$4:$A$108,3)=LEFT($A130,3),IF($B$4:$B$108=$B130,IF($C$3:$AZ$3=Z$112,$C$4:$AZ$108))))</f>
        <v>1150.712</v>
      </c>
      <c r="AA130" cm="1">
        <f t="array" ref="AA130">SUMPRODUCT(IF(LEFT($A$4:$A$108,3)=LEFT($A130,3),IF($B$4:$B$108=$B130,IF($C$3:$AZ$3=AA$112,$C$4:$AZ$108))))</f>
        <v>333.42099999999999</v>
      </c>
      <c r="AB130" cm="1">
        <f t="array" ref="AB130">SUMPRODUCT(IF(LEFT($A$4:$A$108,3)=LEFT($A130,3),IF($B$4:$B$108=$B130,IF($C$3:$AZ$3=AB$112,$C$4:$AZ$108))))</f>
        <v>50.423000000000002</v>
      </c>
      <c r="AC130" cm="1">
        <f t="array" ref="AC130">SUMPRODUCT(IF(LEFT($A$4:$A$108,3)=LEFT($A130,3),IF($B$4:$B$108=$B130,IF($C$3:$AZ$3=AC$112,$C$4:$AZ$108))))</f>
        <v>211.75299999999999</v>
      </c>
      <c r="AD130" cm="1">
        <f t="array" ref="AD130">SUMPRODUCT(IF(LEFT($A$4:$A$108,3)=LEFT($A130,3),IF($B$4:$B$108=$B130,IF($C$3:$AZ$3=AD$112,$C$4:$AZ$108))))</f>
        <v>12471.537</v>
      </c>
      <c r="AE130" cm="1">
        <f t="array" ref="AE130">SUMPRODUCT(IF(LEFT($A$4:$A$108,3)=LEFT($A130,3),IF($B$4:$B$108=$B130,IF($C$3:$AZ$3=AE$112,$C$4:$AZ$108))))</f>
        <v>1419.04</v>
      </c>
      <c r="AF130" cm="1">
        <f t="array" ref="AF130">SUMPRODUCT(IF(LEFT($A$4:$A$108,3)=LEFT($A130,3),IF($B$4:$B$108=$B130,IF($C$3:$AZ$3=AF$112,$C$4:$AZ$108))))</f>
        <v>401.94200000000006</v>
      </c>
      <c r="AG130" cm="1">
        <f t="array" ref="AG130">SUMPRODUCT(IF(LEFT($A$4:$A$108,3)=LEFT($A130,3),IF($B$4:$B$108=$B130,IF($C$3:$AZ$3=AG$112,$C$4:$AZ$108))))</f>
        <v>632.66399999999999</v>
      </c>
      <c r="AH130" cm="1">
        <f t="array" ref="AH130">SUMPRODUCT(IF(LEFT($A$4:$A$108,3)=LEFT($A130,3),IF($B$4:$B$108=$B130,IF($C$3:$AZ$3=AH$112,$C$4:$AZ$108))))</f>
        <v>61.481999999999999</v>
      </c>
      <c r="AI130" cm="1">
        <f t="array" ref="AI130">SUMPRODUCT(IF(LEFT($A$4:$A$108,3)=LEFT($A130,3),IF($B$4:$B$108=$B130,IF($C$3:$AZ$3=AI$112,$C$4:$AZ$108))))</f>
        <v>117.78</v>
      </c>
      <c r="AJ130" cm="1">
        <f t="array" ref="AJ130">SUMPRODUCT(IF(LEFT($A$4:$A$108,3)=LEFT($A130,3),IF($B$4:$B$108=$B130,IF($C$3:$AZ$3=AJ$112,$C$4:$AZ$108))))</f>
        <v>88.891000000000005</v>
      </c>
      <c r="AK130" cm="1">
        <f t="array" ref="AK130">SUMPRODUCT(IF(LEFT($A$4:$A$108,3)=LEFT($A130,3),IF($B$4:$B$108=$B130,IF($C$3:$AZ$3=AK$112,$C$4:$AZ$108))))</f>
        <v>96.102999999999994</v>
      </c>
      <c r="AL130" cm="1">
        <f t="array" ref="AL130">SUMPRODUCT(IF(LEFT($A$4:$A$108,3)=LEFT($A130,3),IF($B$4:$B$108=$B130,IF($C$3:$AZ$3=AL$112,$C$4:$AZ$108))))</f>
        <v>1073.154</v>
      </c>
      <c r="AM130" cm="1">
        <f t="array" ref="AM130">SUMPRODUCT(IF(LEFT($A$4:$A$108,3)=LEFT($A130,3),IF($B$4:$B$108=$B130,IF($C$3:$AZ$3=AM$112,$C$4:$AZ$108))))</f>
        <v>1054.0940000000001</v>
      </c>
      <c r="AN130" cm="1">
        <f t="array" ref="AN130">SUMPRODUCT(IF(LEFT($A$4:$A$108,3)=LEFT($A130,3),IF($B$4:$B$108=$B130,IF($C$3:$AZ$3=AN$112,$C$4:$AZ$108))))</f>
        <v>682.428</v>
      </c>
      <c r="AO130" cm="1">
        <f t="array" ref="AO130">SUMPRODUCT(IF(LEFT($A$4:$A$108,3)=LEFT($A130,3),IF($B$4:$B$108=$B130,IF($C$3:$AZ$3=AO$112,$C$4:$AZ$108))))</f>
        <v>228.81399999999999</v>
      </c>
      <c r="AP130" cm="1">
        <f t="array" ref="AP130">SUMPRODUCT(IF(LEFT($A$4:$A$108,3)=LEFT($A130,3),IF($B$4:$B$108=$B130,IF($C$3:$AZ$3=AP$112,$C$4:$AZ$108))))</f>
        <v>178.47900000000001</v>
      </c>
      <c r="AQ130" cm="1">
        <f t="array" ref="AQ130">SUMPRODUCT(IF(LEFT($A$4:$A$108,3)=LEFT($A130,3),IF($B$4:$B$108=$B130,IF($C$3:$AZ$3=AQ$112,$C$4:$AZ$108))))</f>
        <v>591.505</v>
      </c>
      <c r="AR130" cm="1">
        <f t="array" ref="AR130">SUMPRODUCT(IF(LEFT($A$4:$A$108,3)=LEFT($A130,3),IF($B$4:$B$108=$B130,IF($C$3:$AZ$3=AR$112,$C$4:$AZ$108))))</f>
        <v>0</v>
      </c>
      <c r="AS130">
        <f t="shared" si="1"/>
        <v>103590.65300000001</v>
      </c>
    </row>
    <row r="131" spans="1:45">
      <c r="A131" t="s">
        <v>384</v>
      </c>
      <c r="B131" t="s">
        <v>14</v>
      </c>
      <c r="C131" cm="1">
        <f t="array" ref="C131">SUMPRODUCT(IF(LEFT($A$4:$A$108,3)=LEFT($A131,3),IF($B$4:$B$108=$B131,IF($C$3:$AZ$3=C$112,$C$4:$AZ$108))))</f>
        <v>105.988</v>
      </c>
      <c r="D131" cm="1">
        <f t="array" ref="D131">SUMPRODUCT(IF(LEFT($A$4:$A$108,3)=LEFT($A131,3),IF($B$4:$B$108=$B131,IF($C$3:$AZ$3=D$112,$C$4:$AZ$108))))</f>
        <v>0.92200000000000004</v>
      </c>
      <c r="E131" cm="1">
        <f t="array" ref="E131">SUMPRODUCT(IF(LEFT($A$4:$A$108,3)=LEFT($A131,3),IF($B$4:$B$108=$B131,IF($C$3:$AZ$3=E$112,$C$4:$AZ$108))))</f>
        <v>0.61499999999999999</v>
      </c>
      <c r="F131" cm="1">
        <f t="array" ref="F131">SUMPRODUCT(IF(LEFT($A$4:$A$108,3)=LEFT($A131,3),IF($B$4:$B$108=$B131,IF($C$3:$AZ$3=F$112,$C$4:$AZ$108))))</f>
        <v>13.340999999999999</v>
      </c>
      <c r="G131" cm="1">
        <f t="array" ref="G131">SUMPRODUCT(IF(LEFT($A$4:$A$108,3)=LEFT($A131,3),IF($B$4:$B$108=$B131,IF($C$3:$AZ$3=G$112,$C$4:$AZ$108))))</f>
        <v>7.8E-2</v>
      </c>
      <c r="H131" cm="1">
        <f t="array" ref="H131">SUMPRODUCT(IF(LEFT($A$4:$A$108,3)=LEFT($A131,3),IF($B$4:$B$108=$B131,IF($C$3:$AZ$3=H$112,$C$4:$AZ$108))))</f>
        <v>265.98700000000002</v>
      </c>
      <c r="I131" cm="1">
        <f t="array" ref="I131">SUMPRODUCT(IF(LEFT($A$4:$A$108,3)=LEFT($A131,3),IF($B$4:$B$108=$B131,IF($C$3:$AZ$3=I$112,$C$4:$AZ$108))))</f>
        <v>140.05799999999999</v>
      </c>
      <c r="J131" cm="1">
        <f t="array" ref="J131">SUMPRODUCT(IF(LEFT($A$4:$A$108,3)=LEFT($A131,3),IF($B$4:$B$108=$B131,IF($C$3:$AZ$3=J$112,$C$4:$AZ$108))))</f>
        <v>19.835999999999999</v>
      </c>
      <c r="K131" cm="1">
        <f t="array" ref="K131">SUMPRODUCT(IF(LEFT($A$4:$A$108,3)=LEFT($A131,3),IF($B$4:$B$108=$B131,IF($C$3:$AZ$3=K$112,$C$4:$AZ$108))))</f>
        <v>118.664</v>
      </c>
      <c r="L131" cm="1">
        <f t="array" ref="L131">SUMPRODUCT(IF(LEFT($A$4:$A$108,3)=LEFT($A131,3),IF($B$4:$B$108=$B131,IF($C$3:$AZ$3=L$112,$C$4:$AZ$108))))</f>
        <v>101.577</v>
      </c>
      <c r="M131" cm="1">
        <f t="array" ref="M131">SUMPRODUCT(IF(LEFT($A$4:$A$108,3)=LEFT($A131,3),IF($B$4:$B$108=$B131,IF($C$3:$AZ$3=M$112,$C$4:$AZ$108))))</f>
        <v>1009.48</v>
      </c>
      <c r="N131" cm="1">
        <f t="array" ref="N131">SUMPRODUCT(IF(LEFT($A$4:$A$108,3)=LEFT($A131,3),IF($B$4:$B$108=$B131,IF($C$3:$AZ$3=N$112,$C$4:$AZ$108))))</f>
        <v>99.293999999999997</v>
      </c>
      <c r="O131" cm="1">
        <f t="array" ref="O131">SUMPRODUCT(IF(LEFT($A$4:$A$108,3)=LEFT($A131,3),IF($B$4:$B$108=$B131,IF($C$3:$AZ$3=O$112,$C$4:$AZ$108))))</f>
        <v>388.66199999999998</v>
      </c>
      <c r="P131" s="4" cm="1">
        <f t="array" ref="P131">SUMPRODUCT(IF(LEFT($A$4:$A$108,3)=LEFT($A131,3),IF($B$4:$B$108=$B131,IF($C$3:$AZ$3=P$112,$C$4:$AZ$108))))*'Cement and Glass Split'!O66</f>
        <v>57.646204258715237</v>
      </c>
      <c r="Q131" s="4" cm="1">
        <f t="array" ref="Q131">SUMPRODUCT(IF(LEFT($A$4:$A$108,3)=LEFT($A131,3),IF($B$4:$B$108=$B131,IF($C$3:$AZ$3=P$112,$C$4:$AZ$108))))*'Cement and Glass Split'!P66</f>
        <v>96.062795741284773</v>
      </c>
      <c r="R131" cm="1">
        <f t="array" ref="R131">SUMPRODUCT(IF(LEFT($A$4:$A$108,3)=LEFT($A131,3),IF($B$4:$B$108=$B131,IF($C$3:$AZ$3=R$112,$C$4:$AZ$108))))</f>
        <v>188.64500000000001</v>
      </c>
      <c r="S131" cm="1">
        <f t="array" ref="S131">SUMPRODUCT(IF(LEFT($A$4:$A$108,3)=LEFT($A131,3),IF($B$4:$B$108=$B131,IF($C$3:$AZ$3=S$112,$C$4:$AZ$108))))</f>
        <v>121.011</v>
      </c>
      <c r="T131" cm="1">
        <f t="array" ref="T131">SUMPRODUCT(IF(LEFT($A$4:$A$108,3)=LEFT($A131,3),IF($B$4:$B$108=$B131,IF($C$3:$AZ$3=T$112,$C$4:$AZ$108))))</f>
        <v>588.55899999999997</v>
      </c>
      <c r="U131" cm="1">
        <f t="array" ref="U131">SUMPRODUCT(IF(LEFT($A$4:$A$108,3)=LEFT($A131,3),IF($B$4:$B$108=$B131,IF($C$3:$AZ$3=U$112,$C$4:$AZ$108))))</f>
        <v>70046.538</v>
      </c>
      <c r="V131" cm="1">
        <f t="array" ref="V131">SUMPRODUCT(IF(LEFT($A$4:$A$108,3)=LEFT($A131,3),IF($B$4:$B$108=$B131,IF($C$3:$AZ$3=V$112,$C$4:$AZ$108))))</f>
        <v>6425.6270000000004</v>
      </c>
      <c r="W131" cm="1">
        <f t="array" ref="W131">SUMPRODUCT(IF(LEFT($A$4:$A$108,3)=LEFT($A131,3),IF($B$4:$B$108=$B131,IF($C$3:$AZ$3=W$112,$C$4:$AZ$108))))</f>
        <v>3958.0540000000001</v>
      </c>
      <c r="X131" cm="1">
        <f t="array" ref="X131">SUMPRODUCT(IF(LEFT($A$4:$A$108,3)=LEFT($A131,3),IF($B$4:$B$108=$B131,IF($C$3:$AZ$3=X$112,$C$4:$AZ$108))))</f>
        <v>3815.1460000000002</v>
      </c>
      <c r="Y131" cm="1">
        <f t="array" ref="Y131">SUMPRODUCT(IF(LEFT($A$4:$A$108,3)=LEFT($A131,3),IF($B$4:$B$108=$B131,IF($C$3:$AZ$3=Y$112,$C$4:$AZ$108))))</f>
        <v>1309.771</v>
      </c>
      <c r="Z131" cm="1">
        <f t="array" ref="Z131">SUMPRODUCT(IF(LEFT($A$4:$A$108,3)=LEFT($A131,3),IF($B$4:$B$108=$B131,IF($C$3:$AZ$3=Z$112,$C$4:$AZ$108))))</f>
        <v>377.024</v>
      </c>
      <c r="AA131" cm="1">
        <f t="array" ref="AA131">SUMPRODUCT(IF(LEFT($A$4:$A$108,3)=LEFT($A131,3),IF($B$4:$B$108=$B131,IF($C$3:$AZ$3=AA$112,$C$4:$AZ$108))))</f>
        <v>561.21699999999998</v>
      </c>
      <c r="AB131" cm="1">
        <f t="array" ref="AB131">SUMPRODUCT(IF(LEFT($A$4:$A$108,3)=LEFT($A131,3),IF($B$4:$B$108=$B131,IF($C$3:$AZ$3=AB$112,$C$4:$AZ$108))))</f>
        <v>46.405000000000001</v>
      </c>
      <c r="AC131" cm="1">
        <f t="array" ref="AC131">SUMPRODUCT(IF(LEFT($A$4:$A$108,3)=LEFT($A131,3),IF($B$4:$B$108=$B131,IF($C$3:$AZ$3=AC$112,$C$4:$AZ$108))))</f>
        <v>88.847999999999999</v>
      </c>
      <c r="AD131" cm="1">
        <f t="array" ref="AD131">SUMPRODUCT(IF(LEFT($A$4:$A$108,3)=LEFT($A131,3),IF($B$4:$B$108=$B131,IF($C$3:$AZ$3=AD$112,$C$4:$AZ$108))))</f>
        <v>1962.6469999999999</v>
      </c>
      <c r="AE131" cm="1">
        <f t="array" ref="AE131">SUMPRODUCT(IF(LEFT($A$4:$A$108,3)=LEFT($A131,3),IF($B$4:$B$108=$B131,IF($C$3:$AZ$3=AE$112,$C$4:$AZ$108))))</f>
        <v>2139.5529999999999</v>
      </c>
      <c r="AF131" cm="1">
        <f t="array" ref="AF131">SUMPRODUCT(IF(LEFT($A$4:$A$108,3)=LEFT($A131,3),IF($B$4:$B$108=$B131,IF($C$3:$AZ$3=AF$112,$C$4:$AZ$108))))</f>
        <v>494.27199999999999</v>
      </c>
      <c r="AG131" cm="1">
        <f t="array" ref="AG131">SUMPRODUCT(IF(LEFT($A$4:$A$108,3)=LEFT($A131,3),IF($B$4:$B$108=$B131,IF($C$3:$AZ$3=AG$112,$C$4:$AZ$108))))</f>
        <v>501.26799999999997</v>
      </c>
      <c r="AH131" cm="1">
        <f t="array" ref="AH131">SUMPRODUCT(IF(LEFT($A$4:$A$108,3)=LEFT($A131,3),IF($B$4:$B$108=$B131,IF($C$3:$AZ$3=AH$112,$C$4:$AZ$108))))</f>
        <v>438.19400000000002</v>
      </c>
      <c r="AI131" cm="1">
        <f t="array" ref="AI131">SUMPRODUCT(IF(LEFT($A$4:$A$108,3)=LEFT($A131,3),IF($B$4:$B$108=$B131,IF($C$3:$AZ$3=AI$112,$C$4:$AZ$108))))</f>
        <v>2415.4609999999998</v>
      </c>
      <c r="AJ131" cm="1">
        <f t="array" ref="AJ131">SUMPRODUCT(IF(LEFT($A$4:$A$108,3)=LEFT($A131,3),IF($B$4:$B$108=$B131,IF($C$3:$AZ$3=AJ$112,$C$4:$AZ$108))))</f>
        <v>1529.019</v>
      </c>
      <c r="AK131" cm="1">
        <f t="array" ref="AK131">SUMPRODUCT(IF(LEFT($A$4:$A$108,3)=LEFT($A131,3),IF($B$4:$B$108=$B131,IF($C$3:$AZ$3=AK$112,$C$4:$AZ$108))))</f>
        <v>524.13</v>
      </c>
      <c r="AL131" cm="1">
        <f t="array" ref="AL131">SUMPRODUCT(IF(LEFT($A$4:$A$108,3)=LEFT($A131,3),IF($B$4:$B$108=$B131,IF($C$3:$AZ$3=AL$112,$C$4:$AZ$108))))</f>
        <v>388.66500000000002</v>
      </c>
      <c r="AM131" cm="1">
        <f t="array" ref="AM131">SUMPRODUCT(IF(LEFT($A$4:$A$108,3)=LEFT($A131,3),IF($B$4:$B$108=$B131,IF($C$3:$AZ$3=AM$112,$C$4:$AZ$108))))</f>
        <v>2328.5309999999999</v>
      </c>
      <c r="AN131" cm="1">
        <f t="array" ref="AN131">SUMPRODUCT(IF(LEFT($A$4:$A$108,3)=LEFT($A131,3),IF($B$4:$B$108=$B131,IF($C$3:$AZ$3=AN$112,$C$4:$AZ$108))))</f>
        <v>626.04899999999998</v>
      </c>
      <c r="AO131" cm="1">
        <f t="array" ref="AO131">SUMPRODUCT(IF(LEFT($A$4:$A$108,3)=LEFT($A131,3),IF($B$4:$B$108=$B131,IF($C$3:$AZ$3=AO$112,$C$4:$AZ$108))))</f>
        <v>649.24099999999999</v>
      </c>
      <c r="AP131" cm="1">
        <f t="array" ref="AP131">SUMPRODUCT(IF(LEFT($A$4:$A$108,3)=LEFT($A131,3),IF($B$4:$B$108=$B131,IF($C$3:$AZ$3=AP$112,$C$4:$AZ$108))))</f>
        <v>1144.4369999999999</v>
      </c>
      <c r="AQ131" cm="1">
        <f t="array" ref="AQ131">SUMPRODUCT(IF(LEFT($A$4:$A$108,3)=LEFT($A131,3),IF($B$4:$B$108=$B131,IF($C$3:$AZ$3=AQ$112,$C$4:$AZ$108))))</f>
        <v>1960.5519999999999</v>
      </c>
      <c r="AR131" cm="1">
        <f t="array" ref="AR131">SUMPRODUCT(IF(LEFT($A$4:$A$108,3)=LEFT($A131,3),IF($B$4:$B$108=$B131,IF($C$3:$AZ$3=AR$112,$C$4:$AZ$108))))</f>
        <v>0</v>
      </c>
      <c r="AS131">
        <f t="shared" si="1"/>
        <v>341950.85800000001</v>
      </c>
    </row>
    <row r="132" spans="1:45">
      <c r="A132" t="s">
        <v>384</v>
      </c>
      <c r="B132" t="s">
        <v>15</v>
      </c>
      <c r="C132" cm="1">
        <f t="array" ref="C132">SUMPRODUCT(IF(LEFT($A$4:$A$108,3)=LEFT($A132,3),IF($B$4:$B$108=$B132,IF($C$3:$AZ$3=C$112,$C$4:$AZ$108))))</f>
        <v>92.518999999999991</v>
      </c>
      <c r="D132" cm="1">
        <f t="array" ref="D132">SUMPRODUCT(IF(LEFT($A$4:$A$108,3)=LEFT($A132,3),IF($B$4:$B$108=$B132,IF($C$3:$AZ$3=D$112,$C$4:$AZ$108))))</f>
        <v>1.5329999999999999</v>
      </c>
      <c r="E132" cm="1">
        <f t="array" ref="E132">SUMPRODUCT(IF(LEFT($A$4:$A$108,3)=LEFT($A132,3),IF($B$4:$B$108=$B132,IF($C$3:$AZ$3=E$112,$C$4:$AZ$108))))</f>
        <v>0.46600000000000003</v>
      </c>
      <c r="F132" cm="1">
        <f t="array" ref="F132">SUMPRODUCT(IF(LEFT($A$4:$A$108,3)=LEFT($A132,3),IF($B$4:$B$108=$B132,IF($C$3:$AZ$3=F$112,$C$4:$AZ$108))))</f>
        <v>25.204000000000001</v>
      </c>
      <c r="G132" cm="1">
        <f t="array" ref="G132">SUMPRODUCT(IF(LEFT($A$4:$A$108,3)=LEFT($A132,3),IF($B$4:$B$108=$B132,IF($C$3:$AZ$3=G$112,$C$4:$AZ$108))))</f>
        <v>0.11700000000000001</v>
      </c>
      <c r="H132" cm="1">
        <f t="array" ref="H132">SUMPRODUCT(IF(LEFT($A$4:$A$108,3)=LEFT($A132,3),IF($B$4:$B$108=$B132,IF($C$3:$AZ$3=H$112,$C$4:$AZ$108))))</f>
        <v>221.102</v>
      </c>
      <c r="I132" cm="1">
        <f t="array" ref="I132">SUMPRODUCT(IF(LEFT($A$4:$A$108,3)=LEFT($A132,3),IF($B$4:$B$108=$B132,IF($C$3:$AZ$3=I$112,$C$4:$AZ$108))))</f>
        <v>88.119</v>
      </c>
      <c r="J132" cm="1">
        <f t="array" ref="J132">SUMPRODUCT(IF(LEFT($A$4:$A$108,3)=LEFT($A132,3),IF($B$4:$B$108=$B132,IF($C$3:$AZ$3=J$112,$C$4:$AZ$108))))</f>
        <v>17.835000000000001</v>
      </c>
      <c r="K132" cm="1">
        <f t="array" ref="K132">SUMPRODUCT(IF(LEFT($A$4:$A$108,3)=LEFT($A132,3),IF($B$4:$B$108=$B132,IF($C$3:$AZ$3=K$112,$C$4:$AZ$108))))</f>
        <v>92.912000000000006</v>
      </c>
      <c r="L132" cm="1">
        <f t="array" ref="L132">SUMPRODUCT(IF(LEFT($A$4:$A$108,3)=LEFT($A132,3),IF($B$4:$B$108=$B132,IF($C$3:$AZ$3=L$112,$C$4:$AZ$108))))</f>
        <v>43.387999999999998</v>
      </c>
      <c r="M132" cm="1">
        <f t="array" ref="M132">SUMPRODUCT(IF(LEFT($A$4:$A$108,3)=LEFT($A132,3),IF($B$4:$B$108=$B132,IF($C$3:$AZ$3=M$112,$C$4:$AZ$108))))</f>
        <v>432.11700000000002</v>
      </c>
      <c r="N132" cm="1">
        <f t="array" ref="N132">SUMPRODUCT(IF(LEFT($A$4:$A$108,3)=LEFT($A132,3),IF($B$4:$B$108=$B132,IF($C$3:$AZ$3=N$112,$C$4:$AZ$108))))</f>
        <v>38.755000000000003</v>
      </c>
      <c r="O132" cm="1">
        <f t="array" ref="O132">SUMPRODUCT(IF(LEFT($A$4:$A$108,3)=LEFT($A132,3),IF($B$4:$B$108=$B132,IF($C$3:$AZ$3=O$112,$C$4:$AZ$108))))</f>
        <v>251.542</v>
      </c>
      <c r="P132" s="4" cm="1">
        <f t="array" ref="P132">SUMPRODUCT(IF(LEFT($A$4:$A$108,3)=LEFT($A132,3),IF($B$4:$B$108=$B132,IF($C$3:$AZ$3=P$112,$C$4:$AZ$108))))*'Cement and Glass Split'!O67</f>
        <v>56.934709262209459</v>
      </c>
      <c r="Q132" s="4" cm="1">
        <f t="array" ref="Q132">SUMPRODUCT(IF(LEFT($A$4:$A$108,3)=LEFT($A132,3),IF($B$4:$B$108=$B132,IF($C$3:$AZ$3=P$112,$C$4:$AZ$108))))*'Cement and Glass Split'!P67</f>
        <v>76.894290737790541</v>
      </c>
      <c r="R132" cm="1">
        <f t="array" ref="R132">SUMPRODUCT(IF(LEFT($A$4:$A$108,3)=LEFT($A132,3),IF($B$4:$B$108=$B132,IF($C$3:$AZ$3=R$112,$C$4:$AZ$108))))</f>
        <v>292.33999999999997</v>
      </c>
      <c r="S132" cm="1">
        <f t="array" ref="S132">SUMPRODUCT(IF(LEFT($A$4:$A$108,3)=LEFT($A132,3),IF($B$4:$B$108=$B132,IF($C$3:$AZ$3=S$112,$C$4:$AZ$108))))</f>
        <v>198.38399999999999</v>
      </c>
      <c r="T132" cm="1">
        <f t="array" ref="T132">SUMPRODUCT(IF(LEFT($A$4:$A$108,3)=LEFT($A132,3),IF($B$4:$B$108=$B132,IF($C$3:$AZ$3=T$112,$C$4:$AZ$108))))</f>
        <v>904.91600000000005</v>
      </c>
      <c r="U132" cm="1">
        <f t="array" ref="U132">SUMPRODUCT(IF(LEFT($A$4:$A$108,3)=LEFT($A132,3),IF($B$4:$B$108=$B132,IF($C$3:$AZ$3=U$112,$C$4:$AZ$108))))</f>
        <v>9918.152</v>
      </c>
      <c r="V132" cm="1">
        <f t="array" ref="V132">SUMPRODUCT(IF(LEFT($A$4:$A$108,3)=LEFT($A132,3),IF($B$4:$B$108=$B132,IF($C$3:$AZ$3=V$112,$C$4:$AZ$108))))</f>
        <v>20657.8</v>
      </c>
      <c r="W132" cm="1">
        <f t="array" ref="W132">SUMPRODUCT(IF(LEFT($A$4:$A$108,3)=LEFT($A132,3),IF($B$4:$B$108=$B132,IF($C$3:$AZ$3=W$112,$C$4:$AZ$108))))</f>
        <v>5960.7290000000003</v>
      </c>
      <c r="X132" cm="1">
        <f t="array" ref="X132">SUMPRODUCT(IF(LEFT($A$4:$A$108,3)=LEFT($A132,3),IF($B$4:$B$108=$B132,IF($C$3:$AZ$3=X$112,$C$4:$AZ$108))))</f>
        <v>8391.1319999999996</v>
      </c>
      <c r="Y132" cm="1">
        <f t="array" ref="Y132">SUMPRODUCT(IF(LEFT($A$4:$A$108,3)=LEFT($A132,3),IF($B$4:$B$108=$B132,IF($C$3:$AZ$3=Y$112,$C$4:$AZ$108))))</f>
        <v>1180.095</v>
      </c>
      <c r="Z132" cm="1">
        <f t="array" ref="Z132">SUMPRODUCT(IF(LEFT($A$4:$A$108,3)=LEFT($A132,3),IF($B$4:$B$108=$B132,IF($C$3:$AZ$3=Z$112,$C$4:$AZ$108))))</f>
        <v>390.72</v>
      </c>
      <c r="AA132" cm="1">
        <f t="array" ref="AA132">SUMPRODUCT(IF(LEFT($A$4:$A$108,3)=LEFT($A132,3),IF($B$4:$B$108=$B132,IF($C$3:$AZ$3=AA$112,$C$4:$AZ$108))))</f>
        <v>2008.0509999999999</v>
      </c>
      <c r="AB132" cm="1">
        <f t="array" ref="AB132">SUMPRODUCT(IF(LEFT($A$4:$A$108,3)=LEFT($A132,3),IF($B$4:$B$108=$B132,IF($C$3:$AZ$3=AB$112,$C$4:$AZ$108))))</f>
        <v>68.938000000000002</v>
      </c>
      <c r="AC132" cm="1">
        <f t="array" ref="AC132">SUMPRODUCT(IF(LEFT($A$4:$A$108,3)=LEFT($A132,3),IF($B$4:$B$108=$B132,IF($C$3:$AZ$3=AC$112,$C$4:$AZ$108))))</f>
        <v>123.345</v>
      </c>
      <c r="AD132" cm="1">
        <f t="array" ref="AD132">SUMPRODUCT(IF(LEFT($A$4:$A$108,3)=LEFT($A132,3),IF($B$4:$B$108=$B132,IF($C$3:$AZ$3=AD$112,$C$4:$AZ$108))))</f>
        <v>6539.62</v>
      </c>
      <c r="AE132" cm="1">
        <f t="array" ref="AE132">SUMPRODUCT(IF(LEFT($A$4:$A$108,3)=LEFT($A132,3),IF($B$4:$B$108=$B132,IF($C$3:$AZ$3=AE$112,$C$4:$AZ$108))))</f>
        <v>1762.1130000000001</v>
      </c>
      <c r="AF132" cm="1">
        <f t="array" ref="AF132">SUMPRODUCT(IF(LEFT($A$4:$A$108,3)=LEFT($A132,3),IF($B$4:$B$108=$B132,IF($C$3:$AZ$3=AF$112,$C$4:$AZ$108))))</f>
        <v>329.42200000000003</v>
      </c>
      <c r="AG132" cm="1">
        <f t="array" ref="AG132">SUMPRODUCT(IF(LEFT($A$4:$A$108,3)=LEFT($A132,3),IF($B$4:$B$108=$B132,IF($C$3:$AZ$3=AG$112,$C$4:$AZ$108))))</f>
        <v>369.80900000000003</v>
      </c>
      <c r="AH132" cm="1">
        <f t="array" ref="AH132">SUMPRODUCT(IF(LEFT($A$4:$A$108,3)=LEFT($A132,3),IF($B$4:$B$108=$B132,IF($C$3:$AZ$3=AH$112,$C$4:$AZ$108))))</f>
        <v>133.37700000000001</v>
      </c>
      <c r="AI132" cm="1">
        <f t="array" ref="AI132">SUMPRODUCT(IF(LEFT($A$4:$A$108,3)=LEFT($A132,3),IF($B$4:$B$108=$B132,IF($C$3:$AZ$3=AI$112,$C$4:$AZ$108))))</f>
        <v>833.02200000000005</v>
      </c>
      <c r="AJ132" cm="1">
        <f t="array" ref="AJ132">SUMPRODUCT(IF(LEFT($A$4:$A$108,3)=LEFT($A132,3),IF($B$4:$B$108=$B132,IF($C$3:$AZ$3=AJ$112,$C$4:$AZ$108))))</f>
        <v>276</v>
      </c>
      <c r="AK132" cm="1">
        <f t="array" ref="AK132">SUMPRODUCT(IF(LEFT($A$4:$A$108,3)=LEFT($A132,3),IF($B$4:$B$108=$B132,IF($C$3:$AZ$3=AK$112,$C$4:$AZ$108))))</f>
        <v>197.43700000000001</v>
      </c>
      <c r="AL132" cm="1">
        <f t="array" ref="AL132">SUMPRODUCT(IF(LEFT($A$4:$A$108,3)=LEFT($A132,3),IF($B$4:$B$108=$B132,IF($C$3:$AZ$3=AL$112,$C$4:$AZ$108))))</f>
        <v>329.512</v>
      </c>
      <c r="AM132" cm="1">
        <f t="array" ref="AM132">SUMPRODUCT(IF(LEFT($A$4:$A$108,3)=LEFT($A132,3),IF($B$4:$B$108=$B132,IF($C$3:$AZ$3=AM$112,$C$4:$AZ$108))))</f>
        <v>1370.4569999999999</v>
      </c>
      <c r="AN132" cm="1">
        <f t="array" ref="AN132">SUMPRODUCT(IF(LEFT($A$4:$A$108,3)=LEFT($A132,3),IF($B$4:$B$108=$B132,IF($C$3:$AZ$3=AN$112,$C$4:$AZ$108))))</f>
        <v>449.416</v>
      </c>
      <c r="AO132" cm="1">
        <f t="array" ref="AO132">SUMPRODUCT(IF(LEFT($A$4:$A$108,3)=LEFT($A132,3),IF($B$4:$B$108=$B132,IF($C$3:$AZ$3=AO$112,$C$4:$AZ$108))))</f>
        <v>278.72000000000003</v>
      </c>
      <c r="AP132" cm="1">
        <f t="array" ref="AP132">SUMPRODUCT(IF(LEFT($A$4:$A$108,3)=LEFT($A132,3),IF($B$4:$B$108=$B132,IF($C$3:$AZ$3=AP$112,$C$4:$AZ$108))))</f>
        <v>389.34199999999998</v>
      </c>
      <c r="AQ132" cm="1">
        <f t="array" ref="AQ132">SUMPRODUCT(IF(LEFT($A$4:$A$108,3)=LEFT($A132,3),IF($B$4:$B$108=$B132,IF($C$3:$AZ$3=AQ$112,$C$4:$AZ$108))))</f>
        <v>1414.7919999999999</v>
      </c>
      <c r="AR132" cm="1">
        <f t="array" ref="AR132">SUMPRODUCT(IF(LEFT($A$4:$A$108,3)=LEFT($A132,3),IF($B$4:$B$108=$B132,IF($C$3:$AZ$3=AR$112,$C$4:$AZ$108))))</f>
        <v>0</v>
      </c>
      <c r="AS132">
        <f t="shared" si="1"/>
        <v>118568.564</v>
      </c>
    </row>
    <row r="133" spans="1:45">
      <c r="A133" t="s">
        <v>384</v>
      </c>
      <c r="B133" t="s">
        <v>16</v>
      </c>
      <c r="C133" cm="1">
        <f t="array" ref="C133">SUMPRODUCT(IF(LEFT($A$4:$A$108,3)=LEFT($A133,3),IF($B$4:$B$108=$B133,IF($C$3:$AZ$3=C$112,$C$4:$AZ$108))))</f>
        <v>219.97899999999998</v>
      </c>
      <c r="D133" cm="1">
        <f t="array" ref="D133">SUMPRODUCT(IF(LEFT($A$4:$A$108,3)=LEFT($A133,3),IF($B$4:$B$108=$B133,IF($C$3:$AZ$3=D$112,$C$4:$AZ$108))))</f>
        <v>9.3330000000000002</v>
      </c>
      <c r="E133" cm="1">
        <f t="array" ref="E133">SUMPRODUCT(IF(LEFT($A$4:$A$108,3)=LEFT($A133,3),IF($B$4:$B$108=$B133,IF($C$3:$AZ$3=E$112,$C$4:$AZ$108))))</f>
        <v>3.4790000000000001</v>
      </c>
      <c r="F133" cm="1">
        <f t="array" ref="F133">SUMPRODUCT(IF(LEFT($A$4:$A$108,3)=LEFT($A133,3),IF($B$4:$B$108=$B133,IF($C$3:$AZ$3=F$112,$C$4:$AZ$108))))</f>
        <v>74.432000000000002</v>
      </c>
      <c r="G133" cm="1">
        <f t="array" ref="G133">SUMPRODUCT(IF(LEFT($A$4:$A$108,3)=LEFT($A133,3),IF($B$4:$B$108=$B133,IF($C$3:$AZ$3=G$112,$C$4:$AZ$108))))</f>
        <v>0.439</v>
      </c>
      <c r="H133" cm="1">
        <f t="array" ref="H133">SUMPRODUCT(IF(LEFT($A$4:$A$108,3)=LEFT($A133,3),IF($B$4:$B$108=$B133,IF($C$3:$AZ$3=H$112,$C$4:$AZ$108))))</f>
        <v>621.11</v>
      </c>
      <c r="I133" cm="1">
        <f t="array" ref="I133">SUMPRODUCT(IF(LEFT($A$4:$A$108,3)=LEFT($A133,3),IF($B$4:$B$108=$B133,IF($C$3:$AZ$3=I$112,$C$4:$AZ$108))))</f>
        <v>195.11699999999999</v>
      </c>
      <c r="J133" cm="1">
        <f t="array" ref="J133">SUMPRODUCT(IF(LEFT($A$4:$A$108,3)=LEFT($A133,3),IF($B$4:$B$108=$B133,IF($C$3:$AZ$3=J$112,$C$4:$AZ$108))))</f>
        <v>62.784999999999997</v>
      </c>
      <c r="K133" cm="1">
        <f t="array" ref="K133">SUMPRODUCT(IF(LEFT($A$4:$A$108,3)=LEFT($A133,3),IF($B$4:$B$108=$B133,IF($C$3:$AZ$3=K$112,$C$4:$AZ$108))))</f>
        <v>268.71899999999999</v>
      </c>
      <c r="L133" cm="1">
        <f t="array" ref="L133">SUMPRODUCT(IF(LEFT($A$4:$A$108,3)=LEFT($A133,3),IF($B$4:$B$108=$B133,IF($C$3:$AZ$3=L$112,$C$4:$AZ$108))))</f>
        <v>260.66199999999998</v>
      </c>
      <c r="M133" cm="1">
        <f t="array" ref="M133">SUMPRODUCT(IF(LEFT($A$4:$A$108,3)=LEFT($A133,3),IF($B$4:$B$108=$B133,IF($C$3:$AZ$3=M$112,$C$4:$AZ$108))))</f>
        <v>650.19899999999996</v>
      </c>
      <c r="N133" cm="1">
        <f t="array" ref="N133">SUMPRODUCT(IF(LEFT($A$4:$A$108,3)=LEFT($A133,3),IF($B$4:$B$108=$B133,IF($C$3:$AZ$3=N$112,$C$4:$AZ$108))))</f>
        <v>59.031999999999996</v>
      </c>
      <c r="O133" cm="1">
        <f t="array" ref="O133">SUMPRODUCT(IF(LEFT($A$4:$A$108,3)=LEFT($A133,3),IF($B$4:$B$108=$B133,IF($C$3:$AZ$3=O$112,$C$4:$AZ$108))))</f>
        <v>364.03</v>
      </c>
      <c r="P133" s="4" cm="1">
        <f t="array" ref="P133">SUMPRODUCT(IF(LEFT($A$4:$A$108,3)=LEFT($A133,3),IF($B$4:$B$108=$B133,IF($C$3:$AZ$3=P$112,$C$4:$AZ$108))))*'Cement and Glass Split'!O68</f>
        <v>196.19857848791855</v>
      </c>
      <c r="Q133" s="4" cm="1">
        <f t="array" ref="Q133">SUMPRODUCT(IF(LEFT($A$4:$A$108,3)=LEFT($A133,3),IF($B$4:$B$108=$B133,IF($C$3:$AZ$3=P$112,$C$4:$AZ$108))))*'Cement and Glass Split'!P68</f>
        <v>371.08742151208133</v>
      </c>
      <c r="R133" cm="1">
        <f t="array" ref="R133">SUMPRODUCT(IF(LEFT($A$4:$A$108,3)=LEFT($A133,3),IF($B$4:$B$108=$B133,IF($C$3:$AZ$3=R$112,$C$4:$AZ$108))))</f>
        <v>1173.6669999999999</v>
      </c>
      <c r="S133" cm="1">
        <f t="array" ref="S133">SUMPRODUCT(IF(LEFT($A$4:$A$108,3)=LEFT($A133,3),IF($B$4:$B$108=$B133,IF($C$3:$AZ$3=S$112,$C$4:$AZ$108))))</f>
        <v>445.63499999999999</v>
      </c>
      <c r="T133" cm="1">
        <f t="array" ref="T133">SUMPRODUCT(IF(LEFT($A$4:$A$108,3)=LEFT($A133,3),IF($B$4:$B$108=$B133,IF($C$3:$AZ$3=T$112,$C$4:$AZ$108))))</f>
        <v>1429.2149999999999</v>
      </c>
      <c r="U133" cm="1">
        <f t="array" ref="U133">SUMPRODUCT(IF(LEFT($A$4:$A$108,3)=LEFT($A133,3),IF($B$4:$B$108=$B133,IF($C$3:$AZ$3=U$112,$C$4:$AZ$108))))</f>
        <v>1967.9179999999999</v>
      </c>
      <c r="V133" cm="1">
        <f t="array" ref="V133">SUMPRODUCT(IF(LEFT($A$4:$A$108,3)=LEFT($A133,3),IF($B$4:$B$108=$B133,IF($C$3:$AZ$3=V$112,$C$4:$AZ$108))))</f>
        <v>2643.7739999999999</v>
      </c>
      <c r="W133" cm="1">
        <f t="array" ref="W133">SUMPRODUCT(IF(LEFT($A$4:$A$108,3)=LEFT($A133,3),IF($B$4:$B$108=$B133,IF($C$3:$AZ$3=W$112,$C$4:$AZ$108))))</f>
        <v>18680.703000000001</v>
      </c>
      <c r="X133" cm="1">
        <f t="array" ref="X133">SUMPRODUCT(IF(LEFT($A$4:$A$108,3)=LEFT($A133,3),IF($B$4:$B$108=$B133,IF($C$3:$AZ$3=X$112,$C$4:$AZ$108))))</f>
        <v>5937.143</v>
      </c>
      <c r="Y133" cm="1">
        <f t="array" ref="Y133">SUMPRODUCT(IF(LEFT($A$4:$A$108,3)=LEFT($A133,3),IF($B$4:$B$108=$B133,IF($C$3:$AZ$3=Y$112,$C$4:$AZ$108))))</f>
        <v>2276.0050000000001</v>
      </c>
      <c r="Z133" cm="1">
        <f t="array" ref="Z133">SUMPRODUCT(IF(LEFT($A$4:$A$108,3)=LEFT($A133,3),IF($B$4:$B$108=$B133,IF($C$3:$AZ$3=Z$112,$C$4:$AZ$108))))</f>
        <v>461.56</v>
      </c>
      <c r="AA133" cm="1">
        <f t="array" ref="AA133">SUMPRODUCT(IF(LEFT($A$4:$A$108,3)=LEFT($A133,3),IF($B$4:$B$108=$B133,IF($C$3:$AZ$3=AA$112,$C$4:$AZ$108))))</f>
        <v>873.29399999999998</v>
      </c>
      <c r="AB133" cm="1">
        <f t="array" ref="AB133">SUMPRODUCT(IF(LEFT($A$4:$A$108,3)=LEFT($A133,3),IF($B$4:$B$108=$B133,IF($C$3:$AZ$3=AB$112,$C$4:$AZ$108))))</f>
        <v>59.603000000000002</v>
      </c>
      <c r="AC133" cm="1">
        <f t="array" ref="AC133">SUMPRODUCT(IF(LEFT($A$4:$A$108,3)=LEFT($A133,3),IF($B$4:$B$108=$B133,IF($C$3:$AZ$3=AC$112,$C$4:$AZ$108))))</f>
        <v>562.03</v>
      </c>
      <c r="AD133" cm="1">
        <f t="array" ref="AD133">SUMPRODUCT(IF(LEFT($A$4:$A$108,3)=LEFT($A133,3),IF($B$4:$B$108=$B133,IF($C$3:$AZ$3=AD$112,$C$4:$AZ$108))))</f>
        <v>3508.4780000000001</v>
      </c>
      <c r="AE133" cm="1">
        <f t="array" ref="AE133">SUMPRODUCT(IF(LEFT($A$4:$A$108,3)=LEFT($A133,3),IF($B$4:$B$108=$B133,IF($C$3:$AZ$3=AE$112,$C$4:$AZ$108))))</f>
        <v>1519.2909999999999</v>
      </c>
      <c r="AF133" cm="1">
        <f t="array" ref="AF133">SUMPRODUCT(IF(LEFT($A$4:$A$108,3)=LEFT($A133,3),IF($B$4:$B$108=$B133,IF($C$3:$AZ$3=AF$112,$C$4:$AZ$108))))</f>
        <v>300.62</v>
      </c>
      <c r="AG133" cm="1">
        <f t="array" ref="AG133">SUMPRODUCT(IF(LEFT($A$4:$A$108,3)=LEFT($A133,3),IF($B$4:$B$108=$B133,IF($C$3:$AZ$3=AG$112,$C$4:$AZ$108))))</f>
        <v>264.38900000000001</v>
      </c>
      <c r="AH133" cm="1">
        <f t="array" ref="AH133">SUMPRODUCT(IF(LEFT($A$4:$A$108,3)=LEFT($A133,3),IF($B$4:$B$108=$B133,IF($C$3:$AZ$3=AH$112,$C$4:$AZ$108))))</f>
        <v>84.022999999999996</v>
      </c>
      <c r="AI133" cm="1">
        <f t="array" ref="AI133">SUMPRODUCT(IF(LEFT($A$4:$A$108,3)=LEFT($A133,3),IF($B$4:$B$108=$B133,IF($C$3:$AZ$3=AI$112,$C$4:$AZ$108))))</f>
        <v>141.31700000000001</v>
      </c>
      <c r="AJ133" cm="1">
        <f t="array" ref="AJ133">SUMPRODUCT(IF(LEFT($A$4:$A$108,3)=LEFT($A133,3),IF($B$4:$B$108=$B133,IF($C$3:$AZ$3=AJ$112,$C$4:$AZ$108))))</f>
        <v>112.342</v>
      </c>
      <c r="AK133" cm="1">
        <f t="array" ref="AK133">SUMPRODUCT(IF(LEFT($A$4:$A$108,3)=LEFT($A133,3),IF($B$4:$B$108=$B133,IF($C$3:$AZ$3=AK$112,$C$4:$AZ$108))))</f>
        <v>190.43799999999999</v>
      </c>
      <c r="AL133" cm="1">
        <f t="array" ref="AL133">SUMPRODUCT(IF(LEFT($A$4:$A$108,3)=LEFT($A133,3),IF($B$4:$B$108=$B133,IF($C$3:$AZ$3=AL$112,$C$4:$AZ$108))))</f>
        <v>236.672</v>
      </c>
      <c r="AM133" cm="1">
        <f t="array" ref="AM133">SUMPRODUCT(IF(LEFT($A$4:$A$108,3)=LEFT($A133,3),IF($B$4:$B$108=$B133,IF($C$3:$AZ$3=AM$112,$C$4:$AZ$108))))</f>
        <v>1133.6469999999999</v>
      </c>
      <c r="AN133" cm="1">
        <f t="array" ref="AN133">SUMPRODUCT(IF(LEFT($A$4:$A$108,3)=LEFT($A133,3),IF($B$4:$B$108=$B133,IF($C$3:$AZ$3=AN$112,$C$4:$AZ$108))))</f>
        <v>437.91899999999998</v>
      </c>
      <c r="AO133" cm="1">
        <f t="array" ref="AO133">SUMPRODUCT(IF(LEFT($A$4:$A$108,3)=LEFT($A133,3),IF($B$4:$B$108=$B133,IF($C$3:$AZ$3=AO$112,$C$4:$AZ$108))))</f>
        <v>235.54900000000001</v>
      </c>
      <c r="AP133" cm="1">
        <f t="array" ref="AP133">SUMPRODUCT(IF(LEFT($A$4:$A$108,3)=LEFT($A133,3),IF($B$4:$B$108=$B133,IF($C$3:$AZ$3=AP$112,$C$4:$AZ$108))))</f>
        <v>296.34399999999999</v>
      </c>
      <c r="AQ133" cm="1">
        <f t="array" ref="AQ133">SUMPRODUCT(IF(LEFT($A$4:$A$108,3)=LEFT($A133,3),IF($B$4:$B$108=$B133,IF($C$3:$AZ$3=AQ$112,$C$4:$AZ$108))))</f>
        <v>462.13</v>
      </c>
      <c r="AR133" cm="1">
        <f t="array" ref="AR133">SUMPRODUCT(IF(LEFT($A$4:$A$108,3)=LEFT($A133,3),IF($B$4:$B$108=$B133,IF($C$3:$AZ$3=AR$112,$C$4:$AZ$108))))</f>
        <v>0</v>
      </c>
      <c r="AS133">
        <f t="shared" si="1"/>
        <v>149990.576</v>
      </c>
    </row>
    <row r="134" spans="1:45">
      <c r="A134" t="s">
        <v>384</v>
      </c>
      <c r="B134" t="s">
        <v>17</v>
      </c>
      <c r="C134" cm="1">
        <f t="array" ref="C134">SUMPRODUCT(IF(LEFT($A$4:$A$108,3)=LEFT($A134,3),IF($B$4:$B$108=$B134,IF($C$3:$AZ$3=C$112,$C$4:$AZ$108))))</f>
        <v>79.709999999999994</v>
      </c>
      <c r="D134" cm="1">
        <f t="array" ref="D134">SUMPRODUCT(IF(LEFT($A$4:$A$108,3)=LEFT($A134,3),IF($B$4:$B$108=$B134,IF($C$3:$AZ$3=D$112,$C$4:$AZ$108))))</f>
        <v>0.52300000000000002</v>
      </c>
      <c r="E134" cm="1">
        <f t="array" ref="E134">SUMPRODUCT(IF(LEFT($A$4:$A$108,3)=LEFT($A134,3),IF($B$4:$B$108=$B134,IF($C$3:$AZ$3=E$112,$C$4:$AZ$108))))</f>
        <v>0.30599999999999999</v>
      </c>
      <c r="F134" cm="1">
        <f t="array" ref="F134">SUMPRODUCT(IF(LEFT($A$4:$A$108,3)=LEFT($A134,3),IF($B$4:$B$108=$B134,IF($C$3:$AZ$3=F$112,$C$4:$AZ$108))))</f>
        <v>14.445</v>
      </c>
      <c r="G134" cm="1">
        <f t="array" ref="G134">SUMPRODUCT(IF(LEFT($A$4:$A$108,3)=LEFT($A134,3),IF($B$4:$B$108=$B134,IF($C$3:$AZ$3=G$112,$C$4:$AZ$108))))</f>
        <v>0.05</v>
      </c>
      <c r="H134" cm="1">
        <f t="array" ref="H134">SUMPRODUCT(IF(LEFT($A$4:$A$108,3)=LEFT($A134,3),IF($B$4:$B$108=$B134,IF($C$3:$AZ$3=H$112,$C$4:$AZ$108))))</f>
        <v>140.08600000000001</v>
      </c>
      <c r="I134" cm="1">
        <f t="array" ref="I134">SUMPRODUCT(IF(LEFT($A$4:$A$108,3)=LEFT($A134,3),IF($B$4:$B$108=$B134,IF($C$3:$AZ$3=I$112,$C$4:$AZ$108))))</f>
        <v>60.011000000000003</v>
      </c>
      <c r="J134" cm="1">
        <f t="array" ref="J134">SUMPRODUCT(IF(LEFT($A$4:$A$108,3)=LEFT($A134,3),IF($B$4:$B$108=$B134,IF($C$3:$AZ$3=J$112,$C$4:$AZ$108))))</f>
        <v>13.311999999999999</v>
      </c>
      <c r="K134" cm="1">
        <f t="array" ref="K134">SUMPRODUCT(IF(LEFT($A$4:$A$108,3)=LEFT($A134,3),IF($B$4:$B$108=$B134,IF($C$3:$AZ$3=K$112,$C$4:$AZ$108))))</f>
        <v>33.768999999999998</v>
      </c>
      <c r="L134" cm="1">
        <f t="array" ref="L134">SUMPRODUCT(IF(LEFT($A$4:$A$108,3)=LEFT($A134,3),IF($B$4:$B$108=$B134,IF($C$3:$AZ$3=L$112,$C$4:$AZ$108))))</f>
        <v>40.741999999999997</v>
      </c>
      <c r="M134" cm="1">
        <f t="array" ref="M134">SUMPRODUCT(IF(LEFT($A$4:$A$108,3)=LEFT($A134,3),IF($B$4:$B$108=$B134,IF($C$3:$AZ$3=M$112,$C$4:$AZ$108))))</f>
        <v>170.48500000000001</v>
      </c>
      <c r="N134" cm="1">
        <f t="array" ref="N134">SUMPRODUCT(IF(LEFT($A$4:$A$108,3)=LEFT($A134,3),IF($B$4:$B$108=$B134,IF($C$3:$AZ$3=N$112,$C$4:$AZ$108))))</f>
        <v>17.338999999999999</v>
      </c>
      <c r="O134" cm="1">
        <f t="array" ref="O134">SUMPRODUCT(IF(LEFT($A$4:$A$108,3)=LEFT($A134,3),IF($B$4:$B$108=$B134,IF($C$3:$AZ$3=O$112,$C$4:$AZ$108))))</f>
        <v>120.02</v>
      </c>
      <c r="P134" s="4" cm="1">
        <f t="array" ref="P134">SUMPRODUCT(IF(LEFT($A$4:$A$108,3)=LEFT($A134,3),IF($B$4:$B$108=$B134,IF($C$3:$AZ$3=P$112,$C$4:$AZ$108))))*'Cement and Glass Split'!O69</f>
        <v>8.9243009307605021</v>
      </c>
      <c r="Q134" s="4" cm="1">
        <f t="array" ref="Q134">SUMPRODUCT(IF(LEFT($A$4:$A$108,3)=LEFT($A134,3),IF($B$4:$B$108=$B134,IF($C$3:$AZ$3=P$112,$C$4:$AZ$108))))*'Cement and Glass Split'!P69</f>
        <v>102.91769906923949</v>
      </c>
      <c r="R134" cm="1">
        <f t="array" ref="R134">SUMPRODUCT(IF(LEFT($A$4:$A$108,3)=LEFT($A134,3),IF($B$4:$B$108=$B134,IF($C$3:$AZ$3=R$112,$C$4:$AZ$108))))</f>
        <v>137.13300000000001</v>
      </c>
      <c r="S134" cm="1">
        <f t="array" ref="S134">SUMPRODUCT(IF(LEFT($A$4:$A$108,3)=LEFT($A134,3),IF($B$4:$B$108=$B134,IF($C$3:$AZ$3=S$112,$C$4:$AZ$108))))</f>
        <v>99.084000000000003</v>
      </c>
      <c r="T134" cm="1">
        <f t="array" ref="T134">SUMPRODUCT(IF(LEFT($A$4:$A$108,3)=LEFT($A134,3),IF($B$4:$B$108=$B134,IF($C$3:$AZ$3=T$112,$C$4:$AZ$108))))</f>
        <v>273.07799999999997</v>
      </c>
      <c r="U134" cm="1">
        <f t="array" ref="U134">SUMPRODUCT(IF(LEFT($A$4:$A$108,3)=LEFT($A134,3),IF($B$4:$B$108=$B134,IF($C$3:$AZ$3=U$112,$C$4:$AZ$108))))</f>
        <v>1262.731</v>
      </c>
      <c r="V134" cm="1">
        <f t="array" ref="V134">SUMPRODUCT(IF(LEFT($A$4:$A$108,3)=LEFT($A134,3),IF($B$4:$B$108=$B134,IF($C$3:$AZ$3=V$112,$C$4:$AZ$108))))</f>
        <v>2315.7069999999999</v>
      </c>
      <c r="W134" cm="1">
        <f t="array" ref="W134">SUMPRODUCT(IF(LEFT($A$4:$A$108,3)=LEFT($A134,3),IF($B$4:$B$108=$B134,IF($C$3:$AZ$3=W$112,$C$4:$AZ$108))))</f>
        <v>1405.481</v>
      </c>
      <c r="X134" cm="1">
        <f t="array" ref="X134">SUMPRODUCT(IF(LEFT($A$4:$A$108,3)=LEFT($A134,3),IF($B$4:$B$108=$B134,IF($C$3:$AZ$3=X$112,$C$4:$AZ$108))))</f>
        <v>55827.983</v>
      </c>
      <c r="Y134" cm="1">
        <f t="array" ref="Y134">SUMPRODUCT(IF(LEFT($A$4:$A$108,3)=LEFT($A134,3),IF($B$4:$B$108=$B134,IF($C$3:$AZ$3=Y$112,$C$4:$AZ$108))))</f>
        <v>361.298</v>
      </c>
      <c r="Z134" cm="1">
        <f t="array" ref="Z134">SUMPRODUCT(IF(LEFT($A$4:$A$108,3)=LEFT($A134,3),IF($B$4:$B$108=$B134,IF($C$3:$AZ$3=Z$112,$C$4:$AZ$108))))</f>
        <v>96.435000000000002</v>
      </c>
      <c r="AA134" cm="1">
        <f t="array" ref="AA134">SUMPRODUCT(IF(LEFT($A$4:$A$108,3)=LEFT($A134,3),IF($B$4:$B$108=$B134,IF($C$3:$AZ$3=AA$112,$C$4:$AZ$108))))</f>
        <v>319.726</v>
      </c>
      <c r="AB134" cm="1">
        <f t="array" ref="AB134">SUMPRODUCT(IF(LEFT($A$4:$A$108,3)=LEFT($A134,3),IF($B$4:$B$108=$B134,IF($C$3:$AZ$3=AB$112,$C$4:$AZ$108))))</f>
        <v>370.66699999999997</v>
      </c>
      <c r="AC134" cm="1">
        <f t="array" ref="AC134">SUMPRODUCT(IF(LEFT($A$4:$A$108,3)=LEFT($A134,3),IF($B$4:$B$108=$B134,IF($C$3:$AZ$3=AC$112,$C$4:$AZ$108))))</f>
        <v>88.424000000000007</v>
      </c>
      <c r="AD134" cm="1">
        <f t="array" ref="AD134">SUMPRODUCT(IF(LEFT($A$4:$A$108,3)=LEFT($A134,3),IF($B$4:$B$108=$B134,IF($C$3:$AZ$3=AD$112,$C$4:$AZ$108))))</f>
        <v>1073.644</v>
      </c>
      <c r="AE134" cm="1">
        <f t="array" ref="AE134">SUMPRODUCT(IF(LEFT($A$4:$A$108,3)=LEFT($A134,3),IF($B$4:$B$108=$B134,IF($C$3:$AZ$3=AE$112,$C$4:$AZ$108))))</f>
        <v>6873.5990000000002</v>
      </c>
      <c r="AF134" cm="1">
        <f t="array" ref="AF134">SUMPRODUCT(IF(LEFT($A$4:$A$108,3)=LEFT($A134,3),IF($B$4:$B$108=$B134,IF($C$3:$AZ$3=AF$112,$C$4:$AZ$108))))</f>
        <v>464.72200000000004</v>
      </c>
      <c r="AG134" cm="1">
        <f t="array" ref="AG134">SUMPRODUCT(IF(LEFT($A$4:$A$108,3)=LEFT($A134,3),IF($B$4:$B$108=$B134,IF($C$3:$AZ$3=AG$112,$C$4:$AZ$108))))</f>
        <v>129.30600000000001</v>
      </c>
      <c r="AH134" cm="1">
        <f t="array" ref="AH134">SUMPRODUCT(IF(LEFT($A$4:$A$108,3)=LEFT($A134,3),IF($B$4:$B$108=$B134,IF($C$3:$AZ$3=AH$112,$C$4:$AZ$108))))</f>
        <v>46.524000000000001</v>
      </c>
      <c r="AI134" cm="1">
        <f t="array" ref="AI134">SUMPRODUCT(IF(LEFT($A$4:$A$108,3)=LEFT($A134,3),IF($B$4:$B$108=$B134,IF($C$3:$AZ$3=AI$112,$C$4:$AZ$108))))</f>
        <v>132.852</v>
      </c>
      <c r="AJ134" cm="1">
        <f t="array" ref="AJ134">SUMPRODUCT(IF(LEFT($A$4:$A$108,3)=LEFT($A134,3),IF($B$4:$B$108=$B134,IF($C$3:$AZ$3=AJ$112,$C$4:$AZ$108))))</f>
        <v>124.56100000000001</v>
      </c>
      <c r="AK134" cm="1">
        <f t="array" ref="AK134">SUMPRODUCT(IF(LEFT($A$4:$A$108,3)=LEFT($A134,3),IF($B$4:$B$108=$B134,IF($C$3:$AZ$3=AK$112,$C$4:$AZ$108))))</f>
        <v>129.941</v>
      </c>
      <c r="AL134" cm="1">
        <f t="array" ref="AL134">SUMPRODUCT(IF(LEFT($A$4:$A$108,3)=LEFT($A134,3),IF($B$4:$B$108=$B134,IF($C$3:$AZ$3=AL$112,$C$4:$AZ$108))))</f>
        <v>111.989</v>
      </c>
      <c r="AM134" cm="1">
        <f t="array" ref="AM134">SUMPRODUCT(IF(LEFT($A$4:$A$108,3)=LEFT($A134,3),IF($B$4:$B$108=$B134,IF($C$3:$AZ$3=AM$112,$C$4:$AZ$108))))</f>
        <v>881.15</v>
      </c>
      <c r="AN134" cm="1">
        <f t="array" ref="AN134">SUMPRODUCT(IF(LEFT($A$4:$A$108,3)=LEFT($A134,3),IF($B$4:$B$108=$B134,IF($C$3:$AZ$3=AN$112,$C$4:$AZ$108))))</f>
        <v>198.255</v>
      </c>
      <c r="AO134" cm="1">
        <f t="array" ref="AO134">SUMPRODUCT(IF(LEFT($A$4:$A$108,3)=LEFT($A134,3),IF($B$4:$B$108=$B134,IF($C$3:$AZ$3=AO$112,$C$4:$AZ$108))))</f>
        <v>129.31299999999999</v>
      </c>
      <c r="AP134" cm="1">
        <f t="array" ref="AP134">SUMPRODUCT(IF(LEFT($A$4:$A$108,3)=LEFT($A134,3),IF($B$4:$B$108=$B134,IF($C$3:$AZ$3=AP$112,$C$4:$AZ$108))))</f>
        <v>126.886</v>
      </c>
      <c r="AQ134" cm="1">
        <f t="array" ref="AQ134">SUMPRODUCT(IF(LEFT($A$4:$A$108,3)=LEFT($A134,3),IF($B$4:$B$108=$B134,IF($C$3:$AZ$3=AQ$112,$C$4:$AZ$108))))</f>
        <v>270.43400000000003</v>
      </c>
      <c r="AR134" cm="1">
        <f t="array" ref="AR134">SUMPRODUCT(IF(LEFT($A$4:$A$108,3)=LEFT($A134,3),IF($B$4:$B$108=$B134,IF($C$3:$AZ$3=AR$112,$C$4:$AZ$108))))</f>
        <v>0</v>
      </c>
      <c r="AS134">
        <f t="shared" si="1"/>
        <v>216241.49900000001</v>
      </c>
    </row>
    <row r="135" spans="1:45">
      <c r="A135" t="s">
        <v>384</v>
      </c>
      <c r="B135" t="s">
        <v>18</v>
      </c>
      <c r="C135" cm="1">
        <f t="array" ref="C135">SUMPRODUCT(IF(LEFT($A$4:$A$108,3)=LEFT($A135,3),IF($B$4:$B$108=$B135,IF($C$3:$AZ$3=C$112,$C$4:$AZ$108))))</f>
        <v>33.927</v>
      </c>
      <c r="D135" cm="1">
        <f t="array" ref="D135">SUMPRODUCT(IF(LEFT($A$4:$A$108,3)=LEFT($A135,3),IF($B$4:$B$108=$B135,IF($C$3:$AZ$3=D$112,$C$4:$AZ$108))))</f>
        <v>0.371</v>
      </c>
      <c r="E135" cm="1">
        <f t="array" ref="E135">SUMPRODUCT(IF(LEFT($A$4:$A$108,3)=LEFT($A135,3),IF($B$4:$B$108=$B135,IF($C$3:$AZ$3=E$112,$C$4:$AZ$108))))</f>
        <v>0.153</v>
      </c>
      <c r="F135" cm="1">
        <f t="array" ref="F135">SUMPRODUCT(IF(LEFT($A$4:$A$108,3)=LEFT($A135,3),IF($B$4:$B$108=$B135,IF($C$3:$AZ$3=F$112,$C$4:$AZ$108))))</f>
        <v>2.9369999999999998</v>
      </c>
      <c r="G135" cm="1">
        <f t="array" ref="G135">SUMPRODUCT(IF(LEFT($A$4:$A$108,3)=LEFT($A135,3),IF($B$4:$B$108=$B135,IF($C$3:$AZ$3=G$112,$C$4:$AZ$108))))</f>
        <v>1.8000000000000002E-2</v>
      </c>
      <c r="H135" cm="1">
        <f t="array" ref="H135">SUMPRODUCT(IF(LEFT($A$4:$A$108,3)=LEFT($A135,3),IF($B$4:$B$108=$B135,IF($C$3:$AZ$3=H$112,$C$4:$AZ$108))))</f>
        <v>86.554000000000002</v>
      </c>
      <c r="I135" cm="1">
        <f t="array" ref="I135">SUMPRODUCT(IF(LEFT($A$4:$A$108,3)=LEFT($A135,3),IF($B$4:$B$108=$B135,IF($C$3:$AZ$3=I$112,$C$4:$AZ$108))))</f>
        <v>14.313000000000001</v>
      </c>
      <c r="J135" cm="1">
        <f t="array" ref="J135">SUMPRODUCT(IF(LEFT($A$4:$A$108,3)=LEFT($A135,3),IF($B$4:$B$108=$B135,IF($C$3:$AZ$3=J$112,$C$4:$AZ$108))))</f>
        <v>10.407999999999999</v>
      </c>
      <c r="K135" cm="1">
        <f t="array" ref="K135">SUMPRODUCT(IF(LEFT($A$4:$A$108,3)=LEFT($A135,3),IF($B$4:$B$108=$B135,IF($C$3:$AZ$3=K$112,$C$4:$AZ$108))))</f>
        <v>10.263</v>
      </c>
      <c r="L135" cm="1">
        <f t="array" ref="L135">SUMPRODUCT(IF(LEFT($A$4:$A$108,3)=LEFT($A135,3),IF($B$4:$B$108=$B135,IF($C$3:$AZ$3=L$112,$C$4:$AZ$108))))</f>
        <v>10.545999999999999</v>
      </c>
      <c r="M135" cm="1">
        <f t="array" ref="M135">SUMPRODUCT(IF(LEFT($A$4:$A$108,3)=LEFT($A135,3),IF($B$4:$B$108=$B135,IF($C$3:$AZ$3=M$112,$C$4:$AZ$108))))</f>
        <v>70.775000000000006</v>
      </c>
      <c r="N135" cm="1">
        <f t="array" ref="N135">SUMPRODUCT(IF(LEFT($A$4:$A$108,3)=LEFT($A135,3),IF($B$4:$B$108=$B135,IF($C$3:$AZ$3=N$112,$C$4:$AZ$108))))</f>
        <v>5.2649999999999997</v>
      </c>
      <c r="O135" cm="1">
        <f t="array" ref="O135">SUMPRODUCT(IF(LEFT($A$4:$A$108,3)=LEFT($A135,3),IF($B$4:$B$108=$B135,IF($C$3:$AZ$3=O$112,$C$4:$AZ$108))))</f>
        <v>40.396000000000001</v>
      </c>
      <c r="P135" s="4" cm="1">
        <f t="array" ref="P135">SUMPRODUCT(IF(LEFT($A$4:$A$108,3)=LEFT($A135,3),IF($B$4:$B$108=$B135,IF($C$3:$AZ$3=P$112,$C$4:$AZ$108))))*'Cement and Glass Split'!O70</f>
        <v>11.042779652574051</v>
      </c>
      <c r="Q135" s="4" cm="1">
        <f t="array" ref="Q135">SUMPRODUCT(IF(LEFT($A$4:$A$108,3)=LEFT($A135,3),IF($B$4:$B$108=$B135,IF($C$3:$AZ$3=P$112,$C$4:$AZ$108))))*'Cement and Glass Split'!P70</f>
        <v>18.85622034742595</v>
      </c>
      <c r="R135" cm="1">
        <f t="array" ref="R135">SUMPRODUCT(IF(LEFT($A$4:$A$108,3)=LEFT($A135,3),IF($B$4:$B$108=$B135,IF($C$3:$AZ$3=R$112,$C$4:$AZ$108))))</f>
        <v>208.22500000000002</v>
      </c>
      <c r="S135" cm="1">
        <f t="array" ref="S135">SUMPRODUCT(IF(LEFT($A$4:$A$108,3)=LEFT($A135,3),IF($B$4:$B$108=$B135,IF($C$3:$AZ$3=S$112,$C$4:$AZ$108))))</f>
        <v>39.994</v>
      </c>
      <c r="T135" cm="1">
        <f t="array" ref="T135">SUMPRODUCT(IF(LEFT($A$4:$A$108,3)=LEFT($A135,3),IF($B$4:$B$108=$B135,IF($C$3:$AZ$3=T$112,$C$4:$AZ$108))))</f>
        <v>638.15700000000004</v>
      </c>
      <c r="U135" cm="1">
        <f t="array" ref="U135">SUMPRODUCT(IF(LEFT($A$4:$A$108,3)=LEFT($A135,3),IF($B$4:$B$108=$B135,IF($C$3:$AZ$3=U$112,$C$4:$AZ$108))))</f>
        <v>193.49600000000001</v>
      </c>
      <c r="V135" cm="1">
        <f t="array" ref="V135">SUMPRODUCT(IF(LEFT($A$4:$A$108,3)=LEFT($A135,3),IF($B$4:$B$108=$B135,IF($C$3:$AZ$3=V$112,$C$4:$AZ$108))))</f>
        <v>208.62100000000001</v>
      </c>
      <c r="W135" cm="1">
        <f t="array" ref="W135">SUMPRODUCT(IF(LEFT($A$4:$A$108,3)=LEFT($A135,3),IF($B$4:$B$108=$B135,IF($C$3:$AZ$3=W$112,$C$4:$AZ$108))))</f>
        <v>732.64800000000002</v>
      </c>
      <c r="X135" cm="1">
        <f t="array" ref="X135">SUMPRODUCT(IF(LEFT($A$4:$A$108,3)=LEFT($A135,3),IF($B$4:$B$108=$B135,IF($C$3:$AZ$3=X$112,$C$4:$AZ$108))))</f>
        <v>808.29200000000003</v>
      </c>
      <c r="Y135" cm="1">
        <f t="array" ref="Y135">SUMPRODUCT(IF(LEFT($A$4:$A$108,3)=LEFT($A135,3),IF($B$4:$B$108=$B135,IF($C$3:$AZ$3=Y$112,$C$4:$AZ$108))))</f>
        <v>5209.4710000000005</v>
      </c>
      <c r="Z135" cm="1">
        <f t="array" ref="Z135">SUMPRODUCT(IF(LEFT($A$4:$A$108,3)=LEFT($A135,3),IF($B$4:$B$108=$B135,IF($C$3:$AZ$3=Z$112,$C$4:$AZ$108))))</f>
        <v>72.3</v>
      </c>
      <c r="AA135" cm="1">
        <f t="array" ref="AA135">SUMPRODUCT(IF(LEFT($A$4:$A$108,3)=LEFT($A135,3),IF($B$4:$B$108=$B135,IF($C$3:$AZ$3=AA$112,$C$4:$AZ$108))))</f>
        <v>31.984000000000002</v>
      </c>
      <c r="AB135" cm="1">
        <f t="array" ref="AB135">SUMPRODUCT(IF(LEFT($A$4:$A$108,3)=LEFT($A135,3),IF($B$4:$B$108=$B135,IF($C$3:$AZ$3=AB$112,$C$4:$AZ$108))))</f>
        <v>32.326000000000001</v>
      </c>
      <c r="AC135" cm="1">
        <f t="array" ref="AC135">SUMPRODUCT(IF(LEFT($A$4:$A$108,3)=LEFT($A135,3),IF($B$4:$B$108=$B135,IF($C$3:$AZ$3=AC$112,$C$4:$AZ$108))))</f>
        <v>11.42</v>
      </c>
      <c r="AD135" cm="1">
        <f t="array" ref="AD135">SUMPRODUCT(IF(LEFT($A$4:$A$108,3)=LEFT($A135,3),IF($B$4:$B$108=$B135,IF($C$3:$AZ$3=AD$112,$C$4:$AZ$108))))</f>
        <v>572.26900000000001</v>
      </c>
      <c r="AE135" cm="1">
        <f t="array" ref="AE135">SUMPRODUCT(IF(LEFT($A$4:$A$108,3)=LEFT($A135,3),IF($B$4:$B$108=$B135,IF($C$3:$AZ$3=AE$112,$C$4:$AZ$108))))</f>
        <v>113.84399999999999</v>
      </c>
      <c r="AF135" cm="1">
        <f t="array" ref="AF135">SUMPRODUCT(IF(LEFT($A$4:$A$108,3)=LEFT($A135,3),IF($B$4:$B$108=$B135,IF($C$3:$AZ$3=AF$112,$C$4:$AZ$108))))</f>
        <v>500.87400000000002</v>
      </c>
      <c r="AG135" cm="1">
        <f t="array" ref="AG135">SUMPRODUCT(IF(LEFT($A$4:$A$108,3)=LEFT($A135,3),IF($B$4:$B$108=$B135,IF($C$3:$AZ$3=AG$112,$C$4:$AZ$108))))</f>
        <v>24.943999999999999</v>
      </c>
      <c r="AH135" cm="1">
        <f t="array" ref="AH135">SUMPRODUCT(IF(LEFT($A$4:$A$108,3)=LEFT($A135,3),IF($B$4:$B$108=$B135,IF($C$3:$AZ$3=AH$112,$C$4:$AZ$108))))</f>
        <v>3.0089999999999999</v>
      </c>
      <c r="AI135" cm="1">
        <f t="array" ref="AI135">SUMPRODUCT(IF(LEFT($A$4:$A$108,3)=LEFT($A135,3),IF($B$4:$B$108=$B135,IF($C$3:$AZ$3=AI$112,$C$4:$AZ$108))))</f>
        <v>7.0900000000000007</v>
      </c>
      <c r="AJ135" cm="1">
        <f t="array" ref="AJ135">SUMPRODUCT(IF(LEFT($A$4:$A$108,3)=LEFT($A135,3),IF($B$4:$B$108=$B135,IF($C$3:$AZ$3=AJ$112,$C$4:$AZ$108))))</f>
        <v>3.9299999999999997</v>
      </c>
      <c r="AK135" cm="1">
        <f t="array" ref="AK135">SUMPRODUCT(IF(LEFT($A$4:$A$108,3)=LEFT($A135,3),IF($B$4:$B$108=$B135,IF($C$3:$AZ$3=AK$112,$C$4:$AZ$108))))</f>
        <v>4.2270000000000003</v>
      </c>
      <c r="AL135" cm="1">
        <f t="array" ref="AL135">SUMPRODUCT(IF(LEFT($A$4:$A$108,3)=LEFT($A135,3),IF($B$4:$B$108=$B135,IF($C$3:$AZ$3=AL$112,$C$4:$AZ$108))))</f>
        <v>42.289000000000001</v>
      </c>
      <c r="AM135" cm="1">
        <f t="array" ref="AM135">SUMPRODUCT(IF(LEFT($A$4:$A$108,3)=LEFT($A135,3),IF($B$4:$B$108=$B135,IF($C$3:$AZ$3=AM$112,$C$4:$AZ$108))))</f>
        <v>68.966999999999999</v>
      </c>
      <c r="AN135" cm="1">
        <f t="array" ref="AN135">SUMPRODUCT(IF(LEFT($A$4:$A$108,3)=LEFT($A135,3),IF($B$4:$B$108=$B135,IF($C$3:$AZ$3=AN$112,$C$4:$AZ$108))))</f>
        <v>165.27699999999999</v>
      </c>
      <c r="AO135" cm="1">
        <f t="array" ref="AO135">SUMPRODUCT(IF(LEFT($A$4:$A$108,3)=LEFT($A135,3),IF($B$4:$B$108=$B135,IF($C$3:$AZ$3=AO$112,$C$4:$AZ$108))))</f>
        <v>12.218999999999999</v>
      </c>
      <c r="AP135" cm="1">
        <f t="array" ref="AP135">SUMPRODUCT(IF(LEFT($A$4:$A$108,3)=LEFT($A135,3),IF($B$4:$B$108=$B135,IF($C$3:$AZ$3=AP$112,$C$4:$AZ$108))))</f>
        <v>15.242999999999999</v>
      </c>
      <c r="AQ135" cm="1">
        <f t="array" ref="AQ135">SUMPRODUCT(IF(LEFT($A$4:$A$108,3)=LEFT($A135,3),IF($B$4:$B$108=$B135,IF($C$3:$AZ$3=AQ$112,$C$4:$AZ$108))))</f>
        <v>63.515000000000001</v>
      </c>
      <c r="AR135" cm="1">
        <f t="array" ref="AR135">SUMPRODUCT(IF(LEFT($A$4:$A$108,3)=LEFT($A135,3),IF($B$4:$B$108=$B135,IF($C$3:$AZ$3=AR$112,$C$4:$AZ$108))))</f>
        <v>0</v>
      </c>
      <c r="AS135">
        <f t="shared" si="1"/>
        <v>44810.925999999999</v>
      </c>
    </row>
    <row r="136" spans="1:45">
      <c r="A136" t="s">
        <v>384</v>
      </c>
      <c r="B136" t="s">
        <v>19</v>
      </c>
      <c r="C136" cm="1">
        <f t="array" ref="C136">SUMPRODUCT(IF(LEFT($A$4:$A$108,3)=LEFT($A136,3),IF($B$4:$B$108=$B136,IF($C$3:$AZ$3=C$112,$C$4:$AZ$108))))</f>
        <v>82.048000000000002</v>
      </c>
      <c r="D136" cm="1">
        <f t="array" ref="D136">SUMPRODUCT(IF(LEFT($A$4:$A$108,3)=LEFT($A136,3),IF($B$4:$B$108=$B136,IF($C$3:$AZ$3=D$112,$C$4:$AZ$108))))</f>
        <v>0.443</v>
      </c>
      <c r="E136" cm="1">
        <f t="array" ref="E136">SUMPRODUCT(IF(LEFT($A$4:$A$108,3)=LEFT($A136,3),IF($B$4:$B$108=$B136,IF($C$3:$AZ$3=E$112,$C$4:$AZ$108))))</f>
        <v>0.46200000000000002</v>
      </c>
      <c r="F136" cm="1">
        <f t="array" ref="F136">SUMPRODUCT(IF(LEFT($A$4:$A$108,3)=LEFT($A136,3),IF($B$4:$B$108=$B136,IF($C$3:$AZ$3=F$112,$C$4:$AZ$108))))</f>
        <v>10.106999999999999</v>
      </c>
      <c r="G136" cm="1">
        <f t="array" ref="G136">SUMPRODUCT(IF(LEFT($A$4:$A$108,3)=LEFT($A136,3),IF($B$4:$B$108=$B136,IF($C$3:$AZ$3=G$112,$C$4:$AZ$108))))</f>
        <v>5.2999999999999999E-2</v>
      </c>
      <c r="H136" cm="1">
        <f t="array" ref="H136">SUMPRODUCT(IF(LEFT($A$4:$A$108,3)=LEFT($A136,3),IF($B$4:$B$108=$B136,IF($C$3:$AZ$3=H$112,$C$4:$AZ$108))))</f>
        <v>181.84700000000001</v>
      </c>
      <c r="I136" cm="1">
        <f t="array" ref="I136">SUMPRODUCT(IF(LEFT($A$4:$A$108,3)=LEFT($A136,3),IF($B$4:$B$108=$B136,IF($C$3:$AZ$3=I$112,$C$4:$AZ$108))))</f>
        <v>280.95499999999998</v>
      </c>
      <c r="J136" cm="1">
        <f t="array" ref="J136">SUMPRODUCT(IF(LEFT($A$4:$A$108,3)=LEFT($A136,3),IF($B$4:$B$108=$B136,IF($C$3:$AZ$3=J$112,$C$4:$AZ$108))))</f>
        <v>20.928000000000001</v>
      </c>
      <c r="K136" cm="1">
        <f t="array" ref="K136">SUMPRODUCT(IF(LEFT($A$4:$A$108,3)=LEFT($A136,3),IF($B$4:$B$108=$B136,IF($C$3:$AZ$3=K$112,$C$4:$AZ$108))))</f>
        <v>70.775000000000006</v>
      </c>
      <c r="L136" cm="1">
        <f t="array" ref="L136">SUMPRODUCT(IF(LEFT($A$4:$A$108,3)=LEFT($A136,3),IF($B$4:$B$108=$B136,IF($C$3:$AZ$3=L$112,$C$4:$AZ$108))))</f>
        <v>37.500999999999998</v>
      </c>
      <c r="M136" cm="1">
        <f t="array" ref="M136">SUMPRODUCT(IF(LEFT($A$4:$A$108,3)=LEFT($A136,3),IF($B$4:$B$108=$B136,IF($C$3:$AZ$3=M$112,$C$4:$AZ$108))))</f>
        <v>246.845</v>
      </c>
      <c r="N136" cm="1">
        <f t="array" ref="N136">SUMPRODUCT(IF(LEFT($A$4:$A$108,3)=LEFT($A136,3),IF($B$4:$B$108=$B136,IF($C$3:$AZ$3=N$112,$C$4:$AZ$108))))</f>
        <v>48.398000000000003</v>
      </c>
      <c r="O136" cm="1">
        <f t="array" ref="O136">SUMPRODUCT(IF(LEFT($A$4:$A$108,3)=LEFT($A136,3),IF($B$4:$B$108=$B136,IF($C$3:$AZ$3=O$112,$C$4:$AZ$108))))</f>
        <v>78.703999999999994</v>
      </c>
      <c r="P136" s="4" cm="1">
        <f t="array" ref="P136">SUMPRODUCT(IF(LEFT($A$4:$A$108,3)=LEFT($A136,3),IF($B$4:$B$108=$B136,IF($C$3:$AZ$3=P$112,$C$4:$AZ$108))))*'Cement and Glass Split'!O71</f>
        <v>38.89293498207153</v>
      </c>
      <c r="Q136" s="4" cm="1">
        <f t="array" ref="Q136">SUMPRODUCT(IF(LEFT($A$4:$A$108,3)=LEFT($A136,3),IF($B$4:$B$108=$B136,IF($C$3:$AZ$3=P$112,$C$4:$AZ$108))))*'Cement and Glass Split'!P71</f>
        <v>31.749065017928466</v>
      </c>
      <c r="R136" cm="1">
        <f t="array" ref="R136">SUMPRODUCT(IF(LEFT($A$4:$A$108,3)=LEFT($A136,3),IF($B$4:$B$108=$B136,IF($C$3:$AZ$3=R$112,$C$4:$AZ$108))))</f>
        <v>143.971</v>
      </c>
      <c r="S136" cm="1">
        <f t="array" ref="S136">SUMPRODUCT(IF(LEFT($A$4:$A$108,3)=LEFT($A136,3),IF($B$4:$B$108=$B136,IF($C$3:$AZ$3=S$112,$C$4:$AZ$108))))</f>
        <v>66.816999999999993</v>
      </c>
      <c r="T136" cm="1">
        <f t="array" ref="T136">SUMPRODUCT(IF(LEFT($A$4:$A$108,3)=LEFT($A136,3),IF($B$4:$B$108=$B136,IF($C$3:$AZ$3=T$112,$C$4:$AZ$108))))</f>
        <v>138.25800000000001</v>
      </c>
      <c r="U136" cm="1">
        <f t="array" ref="U136">SUMPRODUCT(IF(LEFT($A$4:$A$108,3)=LEFT($A136,3),IF($B$4:$B$108=$B136,IF($C$3:$AZ$3=U$112,$C$4:$AZ$108))))</f>
        <v>538.39</v>
      </c>
      <c r="V136" cm="1">
        <f t="array" ref="V136">SUMPRODUCT(IF(LEFT($A$4:$A$108,3)=LEFT($A136,3),IF($B$4:$B$108=$B136,IF($C$3:$AZ$3=V$112,$C$4:$AZ$108))))</f>
        <v>222.09200000000001</v>
      </c>
      <c r="W136" cm="1">
        <f t="array" ref="W136">SUMPRODUCT(IF(LEFT($A$4:$A$108,3)=LEFT($A136,3),IF($B$4:$B$108=$B136,IF($C$3:$AZ$3=W$112,$C$4:$AZ$108))))</f>
        <v>275.637</v>
      </c>
      <c r="X136" cm="1">
        <f t="array" ref="X136">SUMPRODUCT(IF(LEFT($A$4:$A$108,3)=LEFT($A136,3),IF($B$4:$B$108=$B136,IF($C$3:$AZ$3=X$112,$C$4:$AZ$108))))</f>
        <v>398.31400000000002</v>
      </c>
      <c r="Y136" cm="1">
        <f t="array" ref="Y136">SUMPRODUCT(IF(LEFT($A$4:$A$108,3)=LEFT($A136,3),IF($B$4:$B$108=$B136,IF($C$3:$AZ$3=Y$112,$C$4:$AZ$108))))</f>
        <v>183.11499999999998</v>
      </c>
      <c r="Z136" cm="1">
        <f t="array" ref="Z136">SUMPRODUCT(IF(LEFT($A$4:$A$108,3)=LEFT($A136,3),IF($B$4:$B$108=$B136,IF($C$3:$AZ$3=Z$112,$C$4:$AZ$108))))</f>
        <v>1152.06</v>
      </c>
      <c r="AA136" cm="1">
        <f t="array" ref="AA136">SUMPRODUCT(IF(LEFT($A$4:$A$108,3)=LEFT($A136,3),IF($B$4:$B$108=$B136,IF($C$3:$AZ$3=AA$112,$C$4:$AZ$108))))</f>
        <v>158.512</v>
      </c>
      <c r="AB136" cm="1">
        <f t="array" ref="AB136">SUMPRODUCT(IF(LEFT($A$4:$A$108,3)=LEFT($A136,3),IF($B$4:$B$108=$B136,IF($C$3:$AZ$3=AB$112,$C$4:$AZ$108))))</f>
        <v>44.48</v>
      </c>
      <c r="AC136" cm="1">
        <f t="array" ref="AC136">SUMPRODUCT(IF(LEFT($A$4:$A$108,3)=LEFT($A136,3),IF($B$4:$B$108=$B136,IF($C$3:$AZ$3=AC$112,$C$4:$AZ$108))))</f>
        <v>82.77</v>
      </c>
      <c r="AD136" cm="1">
        <f t="array" ref="AD136">SUMPRODUCT(IF(LEFT($A$4:$A$108,3)=LEFT($A136,3),IF($B$4:$B$108=$B136,IF($C$3:$AZ$3=AD$112,$C$4:$AZ$108))))</f>
        <v>814.74400000000003</v>
      </c>
      <c r="AE136" cm="1">
        <f t="array" ref="AE136">SUMPRODUCT(IF(LEFT($A$4:$A$108,3)=LEFT($A136,3),IF($B$4:$B$108=$B136,IF($C$3:$AZ$3=AE$112,$C$4:$AZ$108))))</f>
        <v>701.947</v>
      </c>
      <c r="AF136" cm="1">
        <f t="array" ref="AF136">SUMPRODUCT(IF(LEFT($A$4:$A$108,3)=LEFT($A136,3),IF($B$4:$B$108=$B136,IF($C$3:$AZ$3=AF$112,$C$4:$AZ$108))))</f>
        <v>283.04199999999997</v>
      </c>
      <c r="AG136" cm="1">
        <f t="array" ref="AG136">SUMPRODUCT(IF(LEFT($A$4:$A$108,3)=LEFT($A136,3),IF($B$4:$B$108=$B136,IF($C$3:$AZ$3=AG$112,$C$4:$AZ$108))))</f>
        <v>434.02300000000002</v>
      </c>
      <c r="AH136" cm="1">
        <f t="array" ref="AH136">SUMPRODUCT(IF(LEFT($A$4:$A$108,3)=LEFT($A136,3),IF($B$4:$B$108=$B136,IF($C$3:$AZ$3=AH$112,$C$4:$AZ$108))))</f>
        <v>90.234999999999999</v>
      </c>
      <c r="AI136" cm="1">
        <f t="array" ref="AI136">SUMPRODUCT(IF(LEFT($A$4:$A$108,3)=LEFT($A136,3),IF($B$4:$B$108=$B136,IF($C$3:$AZ$3=AI$112,$C$4:$AZ$108))))</f>
        <v>97.921999999999997</v>
      </c>
      <c r="AJ136" cm="1">
        <f t="array" ref="AJ136">SUMPRODUCT(IF(LEFT($A$4:$A$108,3)=LEFT($A136,3),IF($B$4:$B$108=$B136,IF($C$3:$AZ$3=AJ$112,$C$4:$AZ$108))))</f>
        <v>84.271000000000001</v>
      </c>
      <c r="AK136" cm="1">
        <f t="array" ref="AK136">SUMPRODUCT(IF(LEFT($A$4:$A$108,3)=LEFT($A136,3),IF($B$4:$B$108=$B136,IF($C$3:$AZ$3=AK$112,$C$4:$AZ$108))))</f>
        <v>254.93700000000001</v>
      </c>
      <c r="AL136" cm="1">
        <f t="array" ref="AL136">SUMPRODUCT(IF(LEFT($A$4:$A$108,3)=LEFT($A136,3),IF($B$4:$B$108=$B136,IF($C$3:$AZ$3=AL$112,$C$4:$AZ$108))))</f>
        <v>254.4</v>
      </c>
      <c r="AM136" cm="1">
        <f t="array" ref="AM136">SUMPRODUCT(IF(LEFT($A$4:$A$108,3)=LEFT($A136,3),IF($B$4:$B$108=$B136,IF($C$3:$AZ$3=AM$112,$C$4:$AZ$108))))</f>
        <v>830.17700000000002</v>
      </c>
      <c r="AN136" cm="1">
        <f t="array" ref="AN136">SUMPRODUCT(IF(LEFT($A$4:$A$108,3)=LEFT($A136,3),IF($B$4:$B$108=$B136,IF($C$3:$AZ$3=AN$112,$C$4:$AZ$108))))</f>
        <v>340.08499999999998</v>
      </c>
      <c r="AO136" cm="1">
        <f t="array" ref="AO136">SUMPRODUCT(IF(LEFT($A$4:$A$108,3)=LEFT($A136,3),IF($B$4:$B$108=$B136,IF($C$3:$AZ$3=AO$112,$C$4:$AZ$108))))</f>
        <v>708.625</v>
      </c>
      <c r="AP136" cm="1">
        <f t="array" ref="AP136">SUMPRODUCT(IF(LEFT($A$4:$A$108,3)=LEFT($A136,3),IF($B$4:$B$108=$B136,IF($C$3:$AZ$3=AP$112,$C$4:$AZ$108))))</f>
        <v>1445.1110000000001</v>
      </c>
      <c r="AQ136" cm="1">
        <f t="array" ref="AQ136">SUMPRODUCT(IF(LEFT($A$4:$A$108,3)=LEFT($A136,3),IF($B$4:$B$108=$B136,IF($C$3:$AZ$3=AQ$112,$C$4:$AZ$108))))</f>
        <v>655.67</v>
      </c>
      <c r="AR136" cm="1">
        <f t="array" ref="AR136">SUMPRODUCT(IF(LEFT($A$4:$A$108,3)=LEFT($A136,3),IF($B$4:$B$108=$B136,IF($C$3:$AZ$3=AR$112,$C$4:$AZ$108))))</f>
        <v>0</v>
      </c>
      <c r="AS136">
        <f t="shared" si="1"/>
        <v>28733.728999999999</v>
      </c>
    </row>
    <row r="137" spans="1:45">
      <c r="A137" t="s">
        <v>384</v>
      </c>
      <c r="B137" t="s">
        <v>136</v>
      </c>
      <c r="C137" cm="1">
        <f t="array" ref="C137">SUMPRODUCT(IF(LEFT($A$4:$A$108,3)=LEFT($A137,3),IF($B$4:$B$108=$B137,IF($C$3:$AZ$3=C$112,$C$4:$AZ$108))))</f>
        <v>974.52099999999996</v>
      </c>
      <c r="D137" cm="1">
        <f t="array" ref="D137">SUMPRODUCT(IF(LEFT($A$4:$A$108,3)=LEFT($A137,3),IF($B$4:$B$108=$B137,IF($C$3:$AZ$3=D$112,$C$4:$AZ$108))))</f>
        <v>12.124000000000001</v>
      </c>
      <c r="E137" cm="1">
        <f t="array" ref="E137">SUMPRODUCT(IF(LEFT($A$4:$A$108,3)=LEFT($A137,3),IF($B$4:$B$108=$B137,IF($C$3:$AZ$3=E$112,$C$4:$AZ$108))))</f>
        <v>6.3360000000000003</v>
      </c>
      <c r="F137" cm="1">
        <f t="array" ref="F137">SUMPRODUCT(IF(LEFT($A$4:$A$108,3)=LEFT($A137,3),IF($B$4:$B$108=$B137,IF($C$3:$AZ$3=F$112,$C$4:$AZ$108))))</f>
        <v>199.208</v>
      </c>
      <c r="G137" cm="1">
        <f t="array" ref="G137">SUMPRODUCT(IF(LEFT($A$4:$A$108,3)=LEFT($A137,3),IF($B$4:$B$108=$B137,IF($C$3:$AZ$3=G$112,$C$4:$AZ$108))))</f>
        <v>0.19800000000000001</v>
      </c>
      <c r="H137" cm="1">
        <f t="array" ref="H137">SUMPRODUCT(IF(LEFT($A$4:$A$108,3)=LEFT($A137,3),IF($B$4:$B$108=$B137,IF($C$3:$AZ$3=H$112,$C$4:$AZ$108))))</f>
        <v>3564.317</v>
      </c>
      <c r="I137" cm="1">
        <f t="array" ref="I137">SUMPRODUCT(IF(LEFT($A$4:$A$108,3)=LEFT($A137,3),IF($B$4:$B$108=$B137,IF($C$3:$AZ$3=I$112,$C$4:$AZ$108))))</f>
        <v>1579.221</v>
      </c>
      <c r="J137" cm="1">
        <f t="array" ref="J137">SUMPRODUCT(IF(LEFT($A$4:$A$108,3)=LEFT($A137,3),IF($B$4:$B$108=$B137,IF($C$3:$AZ$3=J$112,$C$4:$AZ$108))))</f>
        <v>199.56200000000001</v>
      </c>
      <c r="K137" cm="1">
        <f t="array" ref="K137">SUMPRODUCT(IF(LEFT($A$4:$A$108,3)=LEFT($A137,3),IF($B$4:$B$108=$B137,IF($C$3:$AZ$3=K$112,$C$4:$AZ$108))))</f>
        <v>1490.5070000000001</v>
      </c>
      <c r="L137" cm="1">
        <f t="array" ref="L137">SUMPRODUCT(IF(LEFT($A$4:$A$108,3)=LEFT($A137,3),IF($B$4:$B$108=$B137,IF($C$3:$AZ$3=L$112,$C$4:$AZ$108))))</f>
        <v>1652.2270000000001</v>
      </c>
      <c r="M137" cm="1">
        <f t="array" ref="M137">SUMPRODUCT(IF(LEFT($A$4:$A$108,3)=LEFT($A137,3),IF($B$4:$B$108=$B137,IF($C$3:$AZ$3=M$112,$C$4:$AZ$108))))</f>
        <v>6294.1790000000001</v>
      </c>
      <c r="N137" cm="1">
        <f t="array" ref="N137">SUMPRODUCT(IF(LEFT($A$4:$A$108,3)=LEFT($A137,3),IF($B$4:$B$108=$B137,IF($C$3:$AZ$3=N$112,$C$4:$AZ$108))))</f>
        <v>303.69299999999998</v>
      </c>
      <c r="O137" cm="1">
        <f t="array" ref="O137">SUMPRODUCT(IF(LEFT($A$4:$A$108,3)=LEFT($A137,3),IF($B$4:$B$108=$B137,IF($C$3:$AZ$3=O$112,$C$4:$AZ$108))))</f>
        <v>1762.577</v>
      </c>
      <c r="P137" s="4" cm="1">
        <f t="array" ref="P137">SUMPRODUCT(IF(LEFT($A$4:$A$108,3)=LEFT($A137,3),IF($B$4:$B$108=$B137,IF($C$3:$AZ$3=P$112,$C$4:$AZ$108))))*'Cement and Glass Split'!O72</f>
        <v>331.94775034514669</v>
      </c>
      <c r="Q137" s="4" cm="1">
        <f t="array" ref="Q137">SUMPRODUCT(IF(LEFT($A$4:$A$108,3)=LEFT($A137,3),IF($B$4:$B$108=$B137,IF($C$3:$AZ$3=P$112,$C$4:$AZ$108))))*'Cement and Glass Split'!P72</f>
        <v>1635.9042496548534</v>
      </c>
      <c r="R137" cm="1">
        <f t="array" ref="R137">SUMPRODUCT(IF(LEFT($A$4:$A$108,3)=LEFT($A137,3),IF($B$4:$B$108=$B137,IF($C$3:$AZ$3=R$112,$C$4:$AZ$108))))</f>
        <v>4634.5720000000001</v>
      </c>
      <c r="S137" cm="1">
        <f t="array" ref="S137">SUMPRODUCT(IF(LEFT($A$4:$A$108,3)=LEFT($A137,3),IF($B$4:$B$108=$B137,IF($C$3:$AZ$3=S$112,$C$4:$AZ$108))))</f>
        <v>1867.817</v>
      </c>
      <c r="T137" cm="1">
        <f t="array" ref="T137">SUMPRODUCT(IF(LEFT($A$4:$A$108,3)=LEFT($A137,3),IF($B$4:$B$108=$B137,IF($C$3:$AZ$3=T$112,$C$4:$AZ$108))))</f>
        <v>1785.3440000000001</v>
      </c>
      <c r="U137" cm="1">
        <f t="array" ref="U137">SUMPRODUCT(IF(LEFT($A$4:$A$108,3)=LEFT($A137,3),IF($B$4:$B$108=$B137,IF($C$3:$AZ$3=U$112,$C$4:$AZ$108))))</f>
        <v>2264.6799999999998</v>
      </c>
      <c r="V137" cm="1">
        <f t="array" ref="V137">SUMPRODUCT(IF(LEFT($A$4:$A$108,3)=LEFT($A137,3),IF($B$4:$B$108=$B137,IF($C$3:$AZ$3=V$112,$C$4:$AZ$108))))</f>
        <v>1151.6369999999999</v>
      </c>
      <c r="W137" cm="1">
        <f t="array" ref="W137">SUMPRODUCT(IF(LEFT($A$4:$A$108,3)=LEFT($A137,3),IF($B$4:$B$108=$B137,IF($C$3:$AZ$3=W$112,$C$4:$AZ$108))))</f>
        <v>1459.048</v>
      </c>
      <c r="X137" cm="1">
        <f t="array" ref="X137">SUMPRODUCT(IF(LEFT($A$4:$A$108,3)=LEFT($A137,3),IF($B$4:$B$108=$B137,IF($C$3:$AZ$3=X$112,$C$4:$AZ$108))))</f>
        <v>2168.1379999999999</v>
      </c>
      <c r="Y137" cm="1">
        <f t="array" ref="Y137">SUMPRODUCT(IF(LEFT($A$4:$A$108,3)=LEFT($A137,3),IF($B$4:$B$108=$B137,IF($C$3:$AZ$3=Y$112,$C$4:$AZ$108))))</f>
        <v>582.20500000000004</v>
      </c>
      <c r="Z137" cm="1">
        <f t="array" ref="Z137">SUMPRODUCT(IF(LEFT($A$4:$A$108,3)=LEFT($A137,3),IF($B$4:$B$108=$B137,IF($C$3:$AZ$3=Z$112,$C$4:$AZ$108))))</f>
        <v>342.988</v>
      </c>
      <c r="AA137" cm="1">
        <f t="array" ref="AA137">SUMPRODUCT(IF(LEFT($A$4:$A$108,3)=LEFT($A137,3),IF($B$4:$B$108=$B137,IF($C$3:$AZ$3=AA$112,$C$4:$AZ$108))))</f>
        <v>16105.45</v>
      </c>
      <c r="AB137" cm="1">
        <f t="array" ref="AB137">SUMPRODUCT(IF(LEFT($A$4:$A$108,3)=LEFT($A137,3),IF($B$4:$B$108=$B137,IF($C$3:$AZ$3=AB$112,$C$4:$AZ$108))))</f>
        <v>358.14299999999997</v>
      </c>
      <c r="AC137" cm="1">
        <f t="array" ref="AC137">SUMPRODUCT(IF(LEFT($A$4:$A$108,3)=LEFT($A137,3),IF($B$4:$B$108=$B137,IF($C$3:$AZ$3=AC$112,$C$4:$AZ$108))))</f>
        <v>768.14800000000002</v>
      </c>
      <c r="AD137" cm="1">
        <f t="array" ref="AD137">SUMPRODUCT(IF(LEFT($A$4:$A$108,3)=LEFT($A137,3),IF($B$4:$B$108=$B137,IF($C$3:$AZ$3=AD$112,$C$4:$AZ$108))))</f>
        <v>1043.826</v>
      </c>
      <c r="AE137" cm="1">
        <f t="array" ref="AE137">SUMPRODUCT(IF(LEFT($A$4:$A$108,3)=LEFT($A137,3),IF($B$4:$B$108=$B137,IF($C$3:$AZ$3=AE$112,$C$4:$AZ$108))))</f>
        <v>6945.4719999999998</v>
      </c>
      <c r="AF137" cm="1">
        <f t="array" ref="AF137">SUMPRODUCT(IF(LEFT($A$4:$A$108,3)=LEFT($A137,3),IF($B$4:$B$108=$B137,IF($C$3:$AZ$3=AF$112,$C$4:$AZ$108))))</f>
        <v>1073.373</v>
      </c>
      <c r="AG137" cm="1">
        <f t="array" ref="AG137">SUMPRODUCT(IF(LEFT($A$4:$A$108,3)=LEFT($A137,3),IF($B$4:$B$108=$B137,IF($C$3:$AZ$3=AG$112,$C$4:$AZ$108))))</f>
        <v>5502.6570000000002</v>
      </c>
      <c r="AH137" cm="1">
        <f t="array" ref="AH137">SUMPRODUCT(IF(LEFT($A$4:$A$108,3)=LEFT($A137,3),IF($B$4:$B$108=$B137,IF($C$3:$AZ$3=AH$112,$C$4:$AZ$108))))</f>
        <v>394.34300000000002</v>
      </c>
      <c r="AI137" cm="1">
        <f t="array" ref="AI137">SUMPRODUCT(IF(LEFT($A$4:$A$108,3)=LEFT($A137,3),IF($B$4:$B$108=$B137,IF($C$3:$AZ$3=AI$112,$C$4:$AZ$108))))</f>
        <v>916.18700000000001</v>
      </c>
      <c r="AJ137" cm="1">
        <f t="array" ref="AJ137">SUMPRODUCT(IF(LEFT($A$4:$A$108,3)=LEFT($A137,3),IF($B$4:$B$108=$B137,IF($C$3:$AZ$3=AJ$112,$C$4:$AZ$108))))</f>
        <v>312.00599999999997</v>
      </c>
      <c r="AK137" cm="1">
        <f t="array" ref="AK137">SUMPRODUCT(IF(LEFT($A$4:$A$108,3)=LEFT($A137,3),IF($B$4:$B$108=$B137,IF($C$3:$AZ$3=AK$112,$C$4:$AZ$108))))</f>
        <v>921.62099999999998</v>
      </c>
      <c r="AL137" cm="1">
        <f t="array" ref="AL137">SUMPRODUCT(IF(LEFT($A$4:$A$108,3)=LEFT($A137,3),IF($B$4:$B$108=$B137,IF($C$3:$AZ$3=AL$112,$C$4:$AZ$108))))</f>
        <v>2244.047</v>
      </c>
      <c r="AM137" cm="1">
        <f t="array" ref="AM137">SUMPRODUCT(IF(LEFT($A$4:$A$108,3)=LEFT($A137,3),IF($B$4:$B$108=$B137,IF($C$3:$AZ$3=AM$112,$C$4:$AZ$108))))</f>
        <v>2017.5440000000001</v>
      </c>
      <c r="AN137" cm="1">
        <f t="array" ref="AN137">SUMPRODUCT(IF(LEFT($A$4:$A$108,3)=LEFT($A137,3),IF($B$4:$B$108=$B137,IF($C$3:$AZ$3=AN$112,$C$4:$AZ$108))))</f>
        <v>1795.4169999999999</v>
      </c>
      <c r="AO137" cm="1">
        <f t="array" ref="AO137">SUMPRODUCT(IF(LEFT($A$4:$A$108,3)=LEFT($A137,3),IF($B$4:$B$108=$B137,IF($C$3:$AZ$3=AO$112,$C$4:$AZ$108))))</f>
        <v>2708.5059999999999</v>
      </c>
      <c r="AP137" cm="1">
        <f t="array" ref="AP137">SUMPRODUCT(IF(LEFT($A$4:$A$108,3)=LEFT($A137,3),IF($B$4:$B$108=$B137,IF($C$3:$AZ$3=AP$112,$C$4:$AZ$108))))</f>
        <v>2179.9369999999999</v>
      </c>
      <c r="AQ137" cm="1">
        <f t="array" ref="AQ137">SUMPRODUCT(IF(LEFT($A$4:$A$108,3)=LEFT($A137,3),IF($B$4:$B$108=$B137,IF($C$3:$AZ$3=AQ$112,$C$4:$AZ$108))))</f>
        <v>2250.625</v>
      </c>
      <c r="AR137" cm="1">
        <f t="array" ref="AR137">SUMPRODUCT(IF(LEFT($A$4:$A$108,3)=LEFT($A137,3),IF($B$4:$B$108=$B137,IF($C$3:$AZ$3=AR$112,$C$4:$AZ$108))))</f>
        <v>0</v>
      </c>
      <c r="AS137">
        <f t="shared" si="1"/>
        <v>106796.625</v>
      </c>
    </row>
    <row r="138" spans="1:45">
      <c r="A138" t="s">
        <v>384</v>
      </c>
      <c r="B138" t="s">
        <v>137</v>
      </c>
      <c r="C138" cm="1">
        <f t="array" ref="C138">SUMPRODUCT(IF(LEFT($A$4:$A$108,3)=LEFT($A138,3),IF($B$4:$B$108=$B138,IF($C$3:$AZ$3=C$112,$C$4:$AZ$108))))</f>
        <v>340.86599999999999</v>
      </c>
      <c r="D138" cm="1">
        <f t="array" ref="D138">SUMPRODUCT(IF(LEFT($A$4:$A$108,3)=LEFT($A138,3),IF($B$4:$B$108=$B138,IF($C$3:$AZ$3=D$112,$C$4:$AZ$108))))</f>
        <v>5.9960000000000004</v>
      </c>
      <c r="E138" cm="1">
        <f t="array" ref="E138">SUMPRODUCT(IF(LEFT($A$4:$A$108,3)=LEFT($A138,3),IF($B$4:$B$108=$B138,IF($C$3:$AZ$3=E$112,$C$4:$AZ$108))))</f>
        <v>2.0310000000000001</v>
      </c>
      <c r="F138" cm="1">
        <f t="array" ref="F138">SUMPRODUCT(IF(LEFT($A$4:$A$108,3)=LEFT($A138,3),IF($B$4:$B$108=$B138,IF($C$3:$AZ$3=F$112,$C$4:$AZ$108))))</f>
        <v>99.129000000000005</v>
      </c>
      <c r="G138" cm="1">
        <f t="array" ref="G138">SUMPRODUCT(IF(LEFT($A$4:$A$108,3)=LEFT($A138,3),IF($B$4:$B$108=$B138,IF($C$3:$AZ$3=G$112,$C$4:$AZ$108))))</f>
        <v>0.223</v>
      </c>
      <c r="H138" cm="1">
        <f t="array" ref="H138">SUMPRODUCT(IF(LEFT($A$4:$A$108,3)=LEFT($A138,3),IF($B$4:$B$108=$B138,IF($C$3:$AZ$3=H$112,$C$4:$AZ$108))))</f>
        <v>1568.664</v>
      </c>
      <c r="I138" cm="1">
        <f t="array" ref="I138">SUMPRODUCT(IF(LEFT($A$4:$A$108,3)=LEFT($A138,3),IF($B$4:$B$108=$B138,IF($C$3:$AZ$3=I$112,$C$4:$AZ$108))))</f>
        <v>400.87099999999998</v>
      </c>
      <c r="J138" cm="1">
        <f t="array" ref="J138">SUMPRODUCT(IF(LEFT($A$4:$A$108,3)=LEFT($A138,3),IF($B$4:$B$108=$B138,IF($C$3:$AZ$3=J$112,$C$4:$AZ$108))))</f>
        <v>127.34</v>
      </c>
      <c r="K138" cm="1">
        <f t="array" ref="K138">SUMPRODUCT(IF(LEFT($A$4:$A$108,3)=LEFT($A138,3),IF($B$4:$B$108=$B138,IF($C$3:$AZ$3=K$112,$C$4:$AZ$108))))</f>
        <v>330.738</v>
      </c>
      <c r="L138" cm="1">
        <f t="array" ref="L138">SUMPRODUCT(IF(LEFT($A$4:$A$108,3)=LEFT($A138,3),IF($B$4:$B$108=$B138,IF($C$3:$AZ$3=L$112,$C$4:$AZ$108))))</f>
        <v>1512.5060000000001</v>
      </c>
      <c r="M138" cm="1">
        <f t="array" ref="M138">SUMPRODUCT(IF(LEFT($A$4:$A$108,3)=LEFT($A138,3),IF($B$4:$B$108=$B138,IF($C$3:$AZ$3=M$112,$C$4:$AZ$108))))</f>
        <v>1597.79</v>
      </c>
      <c r="N138" cm="1">
        <f t="array" ref="N138">SUMPRODUCT(IF(LEFT($A$4:$A$108,3)=LEFT($A138,3),IF($B$4:$B$108=$B138,IF($C$3:$AZ$3=N$112,$C$4:$AZ$108))))</f>
        <v>154.76900000000001</v>
      </c>
      <c r="O138" cm="1">
        <f t="array" ref="O138">SUMPRODUCT(IF(LEFT($A$4:$A$108,3)=LEFT($A138,3),IF($B$4:$B$108=$B138,IF($C$3:$AZ$3=O$112,$C$4:$AZ$108))))</f>
        <v>461.65699999999998</v>
      </c>
      <c r="P138" s="4" cm="1">
        <f t="array" ref="P138">SUMPRODUCT(IF(LEFT($A$4:$A$108,3)=LEFT($A138,3),IF($B$4:$B$108=$B138,IF($C$3:$AZ$3=P$112,$C$4:$AZ$108))))*'Cement and Glass Split'!O73</f>
        <v>639.74162759313379</v>
      </c>
      <c r="Q138" s="4" cm="1">
        <f t="array" ref="Q138">SUMPRODUCT(IF(LEFT($A$4:$A$108,3)=LEFT($A138,3),IF($B$4:$B$108=$B138,IF($C$3:$AZ$3=P$112,$C$4:$AZ$108))))*'Cement and Glass Split'!P73</f>
        <v>0.44437240686624041</v>
      </c>
      <c r="R138" cm="1">
        <f t="array" ref="R138">SUMPRODUCT(IF(LEFT($A$4:$A$108,3)=LEFT($A138,3),IF($B$4:$B$108=$B138,IF($C$3:$AZ$3=R$112,$C$4:$AZ$108))))</f>
        <v>976.19500000000005</v>
      </c>
      <c r="S138" cm="1">
        <f t="array" ref="S138">SUMPRODUCT(IF(LEFT($A$4:$A$108,3)=LEFT($A138,3),IF($B$4:$B$108=$B138,IF($C$3:$AZ$3=S$112,$C$4:$AZ$108))))</f>
        <v>417.65199999999999</v>
      </c>
      <c r="T138" cm="1">
        <f t="array" ref="T138">SUMPRODUCT(IF(LEFT($A$4:$A$108,3)=LEFT($A138,3),IF($B$4:$B$108=$B138,IF($C$3:$AZ$3=T$112,$C$4:$AZ$108))))</f>
        <v>598.202</v>
      </c>
      <c r="U138" cm="1">
        <f t="array" ref="U138">SUMPRODUCT(IF(LEFT($A$4:$A$108,3)=LEFT($A138,3),IF($B$4:$B$108=$B138,IF($C$3:$AZ$3=U$112,$C$4:$AZ$108))))</f>
        <v>1272.107</v>
      </c>
      <c r="V138" cm="1">
        <f t="array" ref="V138">SUMPRODUCT(IF(LEFT($A$4:$A$108,3)=LEFT($A138,3),IF($B$4:$B$108=$B138,IF($C$3:$AZ$3=V$112,$C$4:$AZ$108))))</f>
        <v>619.35</v>
      </c>
      <c r="W138" cm="1">
        <f t="array" ref="W138">SUMPRODUCT(IF(LEFT($A$4:$A$108,3)=LEFT($A138,3),IF($B$4:$B$108=$B138,IF($C$3:$AZ$3=W$112,$C$4:$AZ$108))))</f>
        <v>795.85299999999995</v>
      </c>
      <c r="X138" cm="1">
        <f t="array" ref="X138">SUMPRODUCT(IF(LEFT($A$4:$A$108,3)=LEFT($A138,3),IF($B$4:$B$108=$B138,IF($C$3:$AZ$3=X$112,$C$4:$AZ$108))))</f>
        <v>1105.99</v>
      </c>
      <c r="Y138" cm="1">
        <f t="array" ref="Y138">SUMPRODUCT(IF(LEFT($A$4:$A$108,3)=LEFT($A138,3),IF($B$4:$B$108=$B138,IF($C$3:$AZ$3=Y$112,$C$4:$AZ$108))))</f>
        <v>203.51900000000001</v>
      </c>
      <c r="Z138" cm="1">
        <f t="array" ref="Z138">SUMPRODUCT(IF(LEFT($A$4:$A$108,3)=LEFT($A138,3),IF($B$4:$B$108=$B138,IF($C$3:$AZ$3=Z$112,$C$4:$AZ$108))))</f>
        <v>183.768</v>
      </c>
      <c r="AA138" cm="1">
        <f t="array" ref="AA138">SUMPRODUCT(IF(LEFT($A$4:$A$108,3)=LEFT($A138,3),IF($B$4:$B$108=$B138,IF($C$3:$AZ$3=AA$112,$C$4:$AZ$108))))</f>
        <v>890.13900000000001</v>
      </c>
      <c r="AB138" cm="1">
        <f t="array" ref="AB138">SUMPRODUCT(IF(LEFT($A$4:$A$108,3)=LEFT($A138,3),IF($B$4:$B$108=$B138,IF($C$3:$AZ$3=AB$112,$C$4:$AZ$108))))</f>
        <v>581.09</v>
      </c>
      <c r="AC138" cm="1">
        <f t="array" ref="AC138">SUMPRODUCT(IF(LEFT($A$4:$A$108,3)=LEFT($A138,3),IF($B$4:$B$108=$B138,IF($C$3:$AZ$3=AC$112,$C$4:$AZ$108))))</f>
        <v>182.55500000000001</v>
      </c>
      <c r="AD138" cm="1">
        <f t="array" ref="AD138">SUMPRODUCT(IF(LEFT($A$4:$A$108,3)=LEFT($A138,3),IF($B$4:$B$108=$B138,IF($C$3:$AZ$3=AD$112,$C$4:$AZ$108))))</f>
        <v>1096.8879999999999</v>
      </c>
      <c r="AE138" cm="1">
        <f t="array" ref="AE138">SUMPRODUCT(IF(LEFT($A$4:$A$108,3)=LEFT($A138,3),IF($B$4:$B$108=$B138,IF($C$3:$AZ$3=AE$112,$C$4:$AZ$108))))</f>
        <v>3647.9079999999999</v>
      </c>
      <c r="AF138" cm="1">
        <f t="array" ref="AF138">SUMPRODUCT(IF(LEFT($A$4:$A$108,3)=LEFT($A138,3),IF($B$4:$B$108=$B138,IF($C$3:$AZ$3=AF$112,$C$4:$AZ$108))))</f>
        <v>2153.1480000000001</v>
      </c>
      <c r="AG138" cm="1">
        <f t="array" ref="AG138">SUMPRODUCT(IF(LEFT($A$4:$A$108,3)=LEFT($A138,3),IF($B$4:$B$108=$B138,IF($C$3:$AZ$3=AG$112,$C$4:$AZ$108))))</f>
        <v>670.60299999999995</v>
      </c>
      <c r="AH138" cm="1">
        <f t="array" ref="AH138">SUMPRODUCT(IF(LEFT($A$4:$A$108,3)=LEFT($A138,3),IF($B$4:$B$108=$B138,IF($C$3:$AZ$3=AH$112,$C$4:$AZ$108))))</f>
        <v>189.80099999999999</v>
      </c>
      <c r="AI138" cm="1">
        <f t="array" ref="AI138">SUMPRODUCT(IF(LEFT($A$4:$A$108,3)=LEFT($A138,3),IF($B$4:$B$108=$B138,IF($C$3:$AZ$3=AI$112,$C$4:$AZ$108))))</f>
        <v>113.96299999999999</v>
      </c>
      <c r="AJ138" cm="1">
        <f t="array" ref="AJ138">SUMPRODUCT(IF(LEFT($A$4:$A$108,3)=LEFT($A138,3),IF($B$4:$B$108=$B138,IF($C$3:$AZ$3=AJ$112,$C$4:$AZ$108))))</f>
        <v>80.680000000000007</v>
      </c>
      <c r="AK138" cm="1">
        <f t="array" ref="AK138">SUMPRODUCT(IF(LEFT($A$4:$A$108,3)=LEFT($A138,3),IF($B$4:$B$108=$B138,IF($C$3:$AZ$3=AK$112,$C$4:$AZ$108))))</f>
        <v>253.31800000000001</v>
      </c>
      <c r="AL138" cm="1">
        <f t="array" ref="AL138">SUMPRODUCT(IF(LEFT($A$4:$A$108,3)=LEFT($A138,3),IF($B$4:$B$108=$B138,IF($C$3:$AZ$3=AL$112,$C$4:$AZ$108))))</f>
        <v>160.31</v>
      </c>
      <c r="AM138" cm="1">
        <f t="array" ref="AM138">SUMPRODUCT(IF(LEFT($A$4:$A$108,3)=LEFT($A138,3),IF($B$4:$B$108=$B138,IF($C$3:$AZ$3=AM$112,$C$4:$AZ$108))))</f>
        <v>974.55099999999993</v>
      </c>
      <c r="AN138" cm="1">
        <f t="array" ref="AN138">SUMPRODUCT(IF(LEFT($A$4:$A$108,3)=LEFT($A138,3),IF($B$4:$B$108=$B138,IF($C$3:$AZ$3=AN$112,$C$4:$AZ$108))))</f>
        <v>436.62799999999999</v>
      </c>
      <c r="AO138" cm="1">
        <f t="array" ref="AO138">SUMPRODUCT(IF(LEFT($A$4:$A$108,3)=LEFT($A138,3),IF($B$4:$B$108=$B138,IF($C$3:$AZ$3=AO$112,$C$4:$AZ$108))))</f>
        <v>510.041</v>
      </c>
      <c r="AP138" cm="1">
        <f t="array" ref="AP138">SUMPRODUCT(IF(LEFT($A$4:$A$108,3)=LEFT($A138,3),IF($B$4:$B$108=$B138,IF($C$3:$AZ$3=AP$112,$C$4:$AZ$108))))</f>
        <v>537.72400000000005</v>
      </c>
      <c r="AQ138" cm="1">
        <f t="array" ref="AQ138">SUMPRODUCT(IF(LEFT($A$4:$A$108,3)=LEFT($A138,3),IF($B$4:$B$108=$B138,IF($C$3:$AZ$3=AQ$112,$C$4:$AZ$108))))</f>
        <v>449.54</v>
      </c>
      <c r="AR138" cm="1">
        <f t="array" ref="AR138">SUMPRODUCT(IF(LEFT($A$4:$A$108,3)=LEFT($A138,3),IF($B$4:$B$108=$B138,IF($C$3:$AZ$3=AR$112,$C$4:$AZ$108))))</f>
        <v>0</v>
      </c>
      <c r="AS138">
        <f t="shared" si="1"/>
        <v>41931.622000000003</v>
      </c>
    </row>
    <row r="139" spans="1:45">
      <c r="A139" t="s">
        <v>384</v>
      </c>
      <c r="B139" t="s">
        <v>138</v>
      </c>
      <c r="C139" cm="1">
        <f t="array" ref="C139">SUMPRODUCT(IF(LEFT($A$4:$A$108,3)=LEFT($A139,3),IF($B$4:$B$108=$B139,IF($C$3:$AZ$3=C$112,$C$4:$AZ$108))))</f>
        <v>145.48000000000002</v>
      </c>
      <c r="D139" cm="1">
        <f t="array" ref="D139">SUMPRODUCT(IF(LEFT($A$4:$A$108,3)=LEFT($A139,3),IF($B$4:$B$108=$B139,IF($C$3:$AZ$3=D$112,$C$4:$AZ$108))))</f>
        <v>0.98799999999999999</v>
      </c>
      <c r="E139" cm="1">
        <f t="array" ref="E139">SUMPRODUCT(IF(LEFT($A$4:$A$108,3)=LEFT($A139,3),IF($B$4:$B$108=$B139,IF($C$3:$AZ$3=E$112,$C$4:$AZ$108))))</f>
        <v>0.45</v>
      </c>
      <c r="F139" cm="1">
        <f t="array" ref="F139">SUMPRODUCT(IF(LEFT($A$4:$A$108,3)=LEFT($A139,3),IF($B$4:$B$108=$B139,IF($C$3:$AZ$3=F$112,$C$4:$AZ$108))))</f>
        <v>16.908000000000001</v>
      </c>
      <c r="G139" cm="1">
        <f t="array" ref="G139">SUMPRODUCT(IF(LEFT($A$4:$A$108,3)=LEFT($A139,3),IF($B$4:$B$108=$B139,IF($C$3:$AZ$3=G$112,$C$4:$AZ$108))))</f>
        <v>7.4999999999999997E-2</v>
      </c>
      <c r="H139" cm="1">
        <f t="array" ref="H139">SUMPRODUCT(IF(LEFT($A$4:$A$108,3)=LEFT($A139,3),IF($B$4:$B$108=$B139,IF($C$3:$AZ$3=H$112,$C$4:$AZ$108))))</f>
        <v>550.76800000000003</v>
      </c>
      <c r="I139" cm="1">
        <f t="array" ref="I139">SUMPRODUCT(IF(LEFT($A$4:$A$108,3)=LEFT($A139,3),IF($B$4:$B$108=$B139,IF($C$3:$AZ$3=I$112,$C$4:$AZ$108))))</f>
        <v>131.024</v>
      </c>
      <c r="J139" cm="1">
        <f t="array" ref="J139">SUMPRODUCT(IF(LEFT($A$4:$A$108,3)=LEFT($A139,3),IF($B$4:$B$108=$B139,IF($C$3:$AZ$3=J$112,$C$4:$AZ$108))))</f>
        <v>35.066000000000003</v>
      </c>
      <c r="K139" cm="1">
        <f t="array" ref="K139">SUMPRODUCT(IF(LEFT($A$4:$A$108,3)=LEFT($A139,3),IF($B$4:$B$108=$B139,IF($C$3:$AZ$3=K$112,$C$4:$AZ$108))))</f>
        <v>661.54600000000005</v>
      </c>
      <c r="L139" cm="1">
        <f t="array" ref="L139">SUMPRODUCT(IF(LEFT($A$4:$A$108,3)=LEFT($A139,3),IF($B$4:$B$108=$B139,IF($C$3:$AZ$3=L$112,$C$4:$AZ$108))))</f>
        <v>158.24600000000001</v>
      </c>
      <c r="M139" cm="1">
        <f t="array" ref="M139">SUMPRODUCT(IF(LEFT($A$4:$A$108,3)=LEFT($A139,3),IF($B$4:$B$108=$B139,IF($C$3:$AZ$3=M$112,$C$4:$AZ$108))))</f>
        <v>541.09799999999996</v>
      </c>
      <c r="N139" cm="1">
        <f t="array" ref="N139">SUMPRODUCT(IF(LEFT($A$4:$A$108,3)=LEFT($A139,3),IF($B$4:$B$108=$B139,IF($C$3:$AZ$3=N$112,$C$4:$AZ$108))))</f>
        <v>49.86</v>
      </c>
      <c r="O139" cm="1">
        <f t="array" ref="O139">SUMPRODUCT(IF(LEFT($A$4:$A$108,3)=LEFT($A139,3),IF($B$4:$B$108=$B139,IF($C$3:$AZ$3=O$112,$C$4:$AZ$108))))</f>
        <v>164.851</v>
      </c>
      <c r="P139" s="4" cm="1">
        <f t="array" ref="P139">SUMPRODUCT(IF(LEFT($A$4:$A$108,3)=LEFT($A139,3),IF($B$4:$B$108=$B139,IF($C$3:$AZ$3=P$112,$C$4:$AZ$108))))*'Cement and Glass Split'!O74</f>
        <v>195.78146594126102</v>
      </c>
      <c r="Q139" s="4" cm="1">
        <f t="array" ref="Q139">SUMPRODUCT(IF(LEFT($A$4:$A$108,3)=LEFT($A139,3),IF($B$4:$B$108=$B139,IF($C$3:$AZ$3=P$112,$C$4:$AZ$108))))*'Cement and Glass Split'!P74</f>
        <v>1.458534058739015</v>
      </c>
      <c r="R139" cm="1">
        <f t="array" ref="R139">SUMPRODUCT(IF(LEFT($A$4:$A$108,3)=LEFT($A139,3),IF($B$4:$B$108=$B139,IF($C$3:$AZ$3=R$112,$C$4:$AZ$108))))</f>
        <v>4369.558</v>
      </c>
      <c r="S139" cm="1">
        <f t="array" ref="S139">SUMPRODUCT(IF(LEFT($A$4:$A$108,3)=LEFT($A139,3),IF($B$4:$B$108=$B139,IF($C$3:$AZ$3=S$112,$C$4:$AZ$108))))</f>
        <v>1950.65</v>
      </c>
      <c r="T139" cm="1">
        <f t="array" ref="T139">SUMPRODUCT(IF(LEFT($A$4:$A$108,3)=LEFT($A139,3),IF($B$4:$B$108=$B139,IF($C$3:$AZ$3=T$112,$C$4:$AZ$108))))</f>
        <v>313.916</v>
      </c>
      <c r="U139" cm="1">
        <f t="array" ref="U139">SUMPRODUCT(IF(LEFT($A$4:$A$108,3)=LEFT($A139,3),IF($B$4:$B$108=$B139,IF($C$3:$AZ$3=U$112,$C$4:$AZ$108))))</f>
        <v>207.54499999999999</v>
      </c>
      <c r="V139" cm="1">
        <f t="array" ref="V139">SUMPRODUCT(IF(LEFT($A$4:$A$108,3)=LEFT($A139,3),IF($B$4:$B$108=$B139,IF($C$3:$AZ$3=V$112,$C$4:$AZ$108))))</f>
        <v>138.88999999999999</v>
      </c>
      <c r="W139" cm="1">
        <f t="array" ref="W139">SUMPRODUCT(IF(LEFT($A$4:$A$108,3)=LEFT($A139,3),IF($B$4:$B$108=$B139,IF($C$3:$AZ$3=W$112,$C$4:$AZ$108))))</f>
        <v>269.34699999999998</v>
      </c>
      <c r="X139" cm="1">
        <f t="array" ref="X139">SUMPRODUCT(IF(LEFT($A$4:$A$108,3)=LEFT($A139,3),IF($B$4:$B$108=$B139,IF($C$3:$AZ$3=X$112,$C$4:$AZ$108))))</f>
        <v>208.875</v>
      </c>
      <c r="Y139" cm="1">
        <f t="array" ref="Y139">SUMPRODUCT(IF(LEFT($A$4:$A$108,3)=LEFT($A139,3),IF($B$4:$B$108=$B139,IF($C$3:$AZ$3=Y$112,$C$4:$AZ$108))))</f>
        <v>106.241</v>
      </c>
      <c r="Z139" cm="1">
        <f t="array" ref="Z139">SUMPRODUCT(IF(LEFT($A$4:$A$108,3)=LEFT($A139,3),IF($B$4:$B$108=$B139,IF($C$3:$AZ$3=Z$112,$C$4:$AZ$108))))</f>
        <v>44.72</v>
      </c>
      <c r="AA139" cm="1">
        <f t="array" ref="AA139">SUMPRODUCT(IF(LEFT($A$4:$A$108,3)=LEFT($A139,3),IF($B$4:$B$108=$B139,IF($C$3:$AZ$3=AA$112,$C$4:$AZ$108))))</f>
        <v>500.74400000000003</v>
      </c>
      <c r="AB139" cm="1">
        <f t="array" ref="AB139">SUMPRODUCT(IF(LEFT($A$4:$A$108,3)=LEFT($A139,3),IF($B$4:$B$108=$B139,IF($C$3:$AZ$3=AB$112,$C$4:$AZ$108))))</f>
        <v>21.510999999999999</v>
      </c>
      <c r="AC139" cm="1">
        <f t="array" ref="AC139">SUMPRODUCT(IF(LEFT($A$4:$A$108,3)=LEFT($A139,3),IF($B$4:$B$108=$B139,IF($C$3:$AZ$3=AC$112,$C$4:$AZ$108))))</f>
        <v>4001.8290000000002</v>
      </c>
      <c r="AD139" cm="1">
        <f t="array" ref="AD139">SUMPRODUCT(IF(LEFT($A$4:$A$108,3)=LEFT($A139,3),IF($B$4:$B$108=$B139,IF($C$3:$AZ$3=AD$112,$C$4:$AZ$108))))</f>
        <v>404.726</v>
      </c>
      <c r="AE139" cm="1">
        <f t="array" ref="AE139">SUMPRODUCT(IF(LEFT($A$4:$A$108,3)=LEFT($A139,3),IF($B$4:$B$108=$B139,IF($C$3:$AZ$3=AE$112,$C$4:$AZ$108))))</f>
        <v>996.54</v>
      </c>
      <c r="AF139" cm="1">
        <f t="array" ref="AF139">SUMPRODUCT(IF(LEFT($A$4:$A$108,3)=LEFT($A139,3),IF($B$4:$B$108=$B139,IF($C$3:$AZ$3=AF$112,$C$4:$AZ$108))))</f>
        <v>166.41899999999998</v>
      </c>
      <c r="AG139" cm="1">
        <f t="array" ref="AG139">SUMPRODUCT(IF(LEFT($A$4:$A$108,3)=LEFT($A139,3),IF($B$4:$B$108=$B139,IF($C$3:$AZ$3=AG$112,$C$4:$AZ$108))))</f>
        <v>849.85699999999997</v>
      </c>
      <c r="AH139" cm="1">
        <f t="array" ref="AH139">SUMPRODUCT(IF(LEFT($A$4:$A$108,3)=LEFT($A139,3),IF($B$4:$B$108=$B139,IF($C$3:$AZ$3=AH$112,$C$4:$AZ$108))))</f>
        <v>31.742999999999999</v>
      </c>
      <c r="AI139" cm="1">
        <f t="array" ref="AI139">SUMPRODUCT(IF(LEFT($A$4:$A$108,3)=LEFT($A139,3),IF($B$4:$B$108=$B139,IF($C$3:$AZ$3=AI$112,$C$4:$AZ$108))))</f>
        <v>28.893000000000001</v>
      </c>
      <c r="AJ139" cm="1">
        <f t="array" ref="AJ139">SUMPRODUCT(IF(LEFT($A$4:$A$108,3)=LEFT($A139,3),IF($B$4:$B$108=$B139,IF($C$3:$AZ$3=AJ$112,$C$4:$AZ$108))))</f>
        <v>28.113</v>
      </c>
      <c r="AK139" cm="1">
        <f t="array" ref="AK139">SUMPRODUCT(IF(LEFT($A$4:$A$108,3)=LEFT($A139,3),IF($B$4:$B$108=$B139,IF($C$3:$AZ$3=AK$112,$C$4:$AZ$108))))</f>
        <v>111.405</v>
      </c>
      <c r="AL139" cm="1">
        <f t="array" ref="AL139">SUMPRODUCT(IF(LEFT($A$4:$A$108,3)=LEFT($A139,3),IF($B$4:$B$108=$B139,IF($C$3:$AZ$3=AL$112,$C$4:$AZ$108))))</f>
        <v>511.50900000000001</v>
      </c>
      <c r="AM139" cm="1">
        <f t="array" ref="AM139">SUMPRODUCT(IF(LEFT($A$4:$A$108,3)=LEFT($A139,3),IF($B$4:$B$108=$B139,IF($C$3:$AZ$3=AM$112,$C$4:$AZ$108))))</f>
        <v>489.66</v>
      </c>
      <c r="AN139" cm="1">
        <f t="array" ref="AN139">SUMPRODUCT(IF(LEFT($A$4:$A$108,3)=LEFT($A139,3),IF($B$4:$B$108=$B139,IF($C$3:$AZ$3=AN$112,$C$4:$AZ$108))))</f>
        <v>1301.0119999999999</v>
      </c>
      <c r="AO139" cm="1">
        <f t="array" ref="AO139">SUMPRODUCT(IF(LEFT($A$4:$A$108,3)=LEFT($A139,3),IF($B$4:$B$108=$B139,IF($C$3:$AZ$3=AO$112,$C$4:$AZ$108))))</f>
        <v>570.63400000000001</v>
      </c>
      <c r="AP139" cm="1">
        <f t="array" ref="AP139">SUMPRODUCT(IF(LEFT($A$4:$A$108,3)=LEFT($A139,3),IF($B$4:$B$108=$B139,IF($C$3:$AZ$3=AP$112,$C$4:$AZ$108))))</f>
        <v>725.99900000000002</v>
      </c>
      <c r="AQ139" cm="1">
        <f t="array" ref="AQ139">SUMPRODUCT(IF(LEFT($A$4:$A$108,3)=LEFT($A139,3),IF($B$4:$B$108=$B139,IF($C$3:$AZ$3=AQ$112,$C$4:$AZ$108))))</f>
        <v>297.70600000000002</v>
      </c>
      <c r="AR139" cm="1">
        <f t="array" ref="AR139">SUMPRODUCT(IF(LEFT($A$4:$A$108,3)=LEFT($A139,3),IF($B$4:$B$108=$B139,IF($C$3:$AZ$3=AR$112,$C$4:$AZ$108))))</f>
        <v>0</v>
      </c>
      <c r="AS139">
        <f t="shared" si="1"/>
        <v>25019.687000000002</v>
      </c>
    </row>
    <row r="140" spans="1:45">
      <c r="A140" t="s">
        <v>384</v>
      </c>
      <c r="B140" t="s">
        <v>20</v>
      </c>
      <c r="C140" cm="1">
        <f t="array" ref="C140">SUMPRODUCT(IF(LEFT($A$4:$A$108,3)=LEFT($A140,3),IF($B$4:$B$108=$B140,IF($C$3:$AZ$3=C$112,$C$4:$AZ$108))))</f>
        <v>271.61799999999999</v>
      </c>
      <c r="D140" cm="1">
        <f t="array" ref="D140">SUMPRODUCT(IF(LEFT($A$4:$A$108,3)=LEFT($A140,3),IF($B$4:$B$108=$B140,IF($C$3:$AZ$3=D$112,$C$4:$AZ$108))))</f>
        <v>1.8049999999999999</v>
      </c>
      <c r="E140" cm="1">
        <f t="array" ref="E140">SUMPRODUCT(IF(LEFT($A$4:$A$108,3)=LEFT($A140,3),IF($B$4:$B$108=$B140,IF($C$3:$AZ$3=E$112,$C$4:$AZ$108))))</f>
        <v>0.504</v>
      </c>
      <c r="F140" cm="1">
        <f t="array" ref="F140">SUMPRODUCT(IF(LEFT($A$4:$A$108,3)=LEFT($A140,3),IF($B$4:$B$108=$B140,IF($C$3:$AZ$3=F$112,$C$4:$AZ$108))))</f>
        <v>17.87</v>
      </c>
      <c r="G140" cm="1">
        <f t="array" ref="G140">SUMPRODUCT(IF(LEFT($A$4:$A$108,3)=LEFT($A140,3),IF($B$4:$B$108=$B140,IF($C$3:$AZ$3=G$112,$C$4:$AZ$108))))</f>
        <v>0.13400000000000001</v>
      </c>
      <c r="H140" cm="1">
        <f t="array" ref="H140">SUMPRODUCT(IF(LEFT($A$4:$A$108,3)=LEFT($A140,3),IF($B$4:$B$108=$B140,IF($C$3:$AZ$3=H$112,$C$4:$AZ$108))))</f>
        <v>165.363</v>
      </c>
      <c r="I140" cm="1">
        <f t="array" ref="I140">SUMPRODUCT(IF(LEFT($A$4:$A$108,3)=LEFT($A140,3),IF($B$4:$B$108=$B140,IF($C$3:$AZ$3=I$112,$C$4:$AZ$108))))</f>
        <v>73.129000000000005</v>
      </c>
      <c r="J140" cm="1">
        <f t="array" ref="J140">SUMPRODUCT(IF(LEFT($A$4:$A$108,3)=LEFT($A140,3),IF($B$4:$B$108=$B140,IF($C$3:$AZ$3=J$112,$C$4:$AZ$108))))</f>
        <v>15.984999999999999</v>
      </c>
      <c r="K140" cm="1">
        <f t="array" ref="K140">SUMPRODUCT(IF(LEFT($A$4:$A$108,3)=LEFT($A140,3),IF($B$4:$B$108=$B140,IF($C$3:$AZ$3=K$112,$C$4:$AZ$108))))</f>
        <v>50.929000000000002</v>
      </c>
      <c r="L140" cm="1">
        <f t="array" ref="L140">SUMPRODUCT(IF(LEFT($A$4:$A$108,3)=LEFT($A140,3),IF($B$4:$B$108=$B140,IF($C$3:$AZ$3=L$112,$C$4:$AZ$108))))</f>
        <v>98.725999999999999</v>
      </c>
      <c r="M140" cm="1">
        <f t="array" ref="M140">SUMPRODUCT(IF(LEFT($A$4:$A$108,3)=LEFT($A140,3),IF($B$4:$B$108=$B140,IF($C$3:$AZ$3=M$112,$C$4:$AZ$108))))</f>
        <v>216.12700000000001</v>
      </c>
      <c r="N140" cm="1">
        <f t="array" ref="N140">SUMPRODUCT(IF(LEFT($A$4:$A$108,3)=LEFT($A140,3),IF($B$4:$B$108=$B140,IF($C$3:$AZ$3=N$112,$C$4:$AZ$108))))</f>
        <v>20.949000000000002</v>
      </c>
      <c r="O140" cm="1">
        <f t="array" ref="O140">SUMPRODUCT(IF(LEFT($A$4:$A$108,3)=LEFT($A140,3),IF($B$4:$B$108=$B140,IF($C$3:$AZ$3=O$112,$C$4:$AZ$108))))</f>
        <v>82.873000000000005</v>
      </c>
      <c r="P140" s="4" cm="1">
        <f t="array" ref="P140">SUMPRODUCT(IF(LEFT($A$4:$A$108,3)=LEFT($A140,3),IF($B$4:$B$108=$B140,IF($C$3:$AZ$3=P$112,$C$4:$AZ$108))))*'Cement and Glass Split'!O75</f>
        <v>57.17163803976058</v>
      </c>
      <c r="Q140" s="4" cm="1">
        <f t="array" ref="Q140">SUMPRODUCT(IF(LEFT($A$4:$A$108,3)=LEFT($A140,3),IF($B$4:$B$108=$B140,IF($C$3:$AZ$3=P$112,$C$4:$AZ$108))))*'Cement and Glass Split'!P75</f>
        <v>62.195361960239431</v>
      </c>
      <c r="R140" cm="1">
        <f t="array" ref="R140">SUMPRODUCT(IF(LEFT($A$4:$A$108,3)=LEFT($A140,3),IF($B$4:$B$108=$B140,IF($C$3:$AZ$3=R$112,$C$4:$AZ$108))))</f>
        <v>195.84299999999999</v>
      </c>
      <c r="S140" cm="1">
        <f t="array" ref="S140">SUMPRODUCT(IF(LEFT($A$4:$A$108,3)=LEFT($A140,3),IF($B$4:$B$108=$B140,IF($C$3:$AZ$3=S$112,$C$4:$AZ$108))))</f>
        <v>102.017</v>
      </c>
      <c r="T140" cm="1">
        <f t="array" ref="T140">SUMPRODUCT(IF(LEFT($A$4:$A$108,3)=LEFT($A140,3),IF($B$4:$B$108=$B140,IF($C$3:$AZ$3=T$112,$C$4:$AZ$108))))</f>
        <v>260.00400000000002</v>
      </c>
      <c r="U140" cm="1">
        <f t="array" ref="U140">SUMPRODUCT(IF(LEFT($A$4:$A$108,3)=LEFT($A140,3),IF($B$4:$B$108=$B140,IF($C$3:$AZ$3=U$112,$C$4:$AZ$108))))</f>
        <v>159.61099999999999</v>
      </c>
      <c r="V140" cm="1">
        <f t="array" ref="V140">SUMPRODUCT(IF(LEFT($A$4:$A$108,3)=LEFT($A140,3),IF($B$4:$B$108=$B140,IF($C$3:$AZ$3=V$112,$C$4:$AZ$108))))</f>
        <v>131.798</v>
      </c>
      <c r="W140" cm="1">
        <f t="array" ref="W140">SUMPRODUCT(IF(LEFT($A$4:$A$108,3)=LEFT($A140,3),IF($B$4:$B$108=$B140,IF($C$3:$AZ$3=W$112,$C$4:$AZ$108))))</f>
        <v>187.649</v>
      </c>
      <c r="X140" cm="1">
        <f t="array" ref="X140">SUMPRODUCT(IF(LEFT($A$4:$A$108,3)=LEFT($A140,3),IF($B$4:$B$108=$B140,IF($C$3:$AZ$3=X$112,$C$4:$AZ$108))))</f>
        <v>192.90700000000001</v>
      </c>
      <c r="Y140" cm="1">
        <f t="array" ref="Y140">SUMPRODUCT(IF(LEFT($A$4:$A$108,3)=LEFT($A140,3),IF($B$4:$B$108=$B140,IF($C$3:$AZ$3=Y$112,$C$4:$AZ$108))))</f>
        <v>114.633</v>
      </c>
      <c r="Z140" cm="1">
        <f t="array" ref="Z140">SUMPRODUCT(IF(LEFT($A$4:$A$108,3)=LEFT($A140,3),IF($B$4:$B$108=$B140,IF($C$3:$AZ$3=Z$112,$C$4:$AZ$108))))</f>
        <v>81.010000000000005</v>
      </c>
      <c r="AA140" cm="1">
        <f t="array" ref="AA140">SUMPRODUCT(IF(LEFT($A$4:$A$108,3)=LEFT($A140,3),IF($B$4:$B$108=$B140,IF($C$3:$AZ$3=AA$112,$C$4:$AZ$108))))</f>
        <v>1094.174</v>
      </c>
      <c r="AB140" cm="1">
        <f t="array" ref="AB140">SUMPRODUCT(IF(LEFT($A$4:$A$108,3)=LEFT($A140,3),IF($B$4:$B$108=$B140,IF($C$3:$AZ$3=AB$112,$C$4:$AZ$108))))</f>
        <v>75.123999999999995</v>
      </c>
      <c r="AC140" cm="1">
        <f t="array" ref="AC140">SUMPRODUCT(IF(LEFT($A$4:$A$108,3)=LEFT($A140,3),IF($B$4:$B$108=$B140,IF($C$3:$AZ$3=AC$112,$C$4:$AZ$108))))</f>
        <v>280.87200000000001</v>
      </c>
      <c r="AD140" cm="1">
        <f t="array" ref="AD140">SUMPRODUCT(IF(LEFT($A$4:$A$108,3)=LEFT($A140,3),IF($B$4:$B$108=$B140,IF($C$3:$AZ$3=AD$112,$C$4:$AZ$108))))</f>
        <v>19201.334999999999</v>
      </c>
      <c r="AE140" cm="1">
        <f t="array" ref="AE140">SUMPRODUCT(IF(LEFT($A$4:$A$108,3)=LEFT($A140,3),IF($B$4:$B$108=$B140,IF($C$3:$AZ$3=AE$112,$C$4:$AZ$108))))</f>
        <v>1343.4639999999999</v>
      </c>
      <c r="AF140" cm="1">
        <f t="array" ref="AF140">SUMPRODUCT(IF(LEFT($A$4:$A$108,3)=LEFT($A140,3),IF($B$4:$B$108=$B140,IF($C$3:$AZ$3=AF$112,$C$4:$AZ$108))))</f>
        <v>681.10199999999998</v>
      </c>
      <c r="AG140" cm="1">
        <f t="array" ref="AG140">SUMPRODUCT(IF(LEFT($A$4:$A$108,3)=LEFT($A140,3),IF($B$4:$B$108=$B140,IF($C$3:$AZ$3=AG$112,$C$4:$AZ$108))))</f>
        <v>578.32600000000002</v>
      </c>
      <c r="AH140" cm="1">
        <f t="array" ref="AH140">SUMPRODUCT(IF(LEFT($A$4:$A$108,3)=LEFT($A140,3),IF($B$4:$B$108=$B140,IF($C$3:$AZ$3=AH$112,$C$4:$AZ$108))))</f>
        <v>82.82</v>
      </c>
      <c r="AI140" cm="1">
        <f t="array" ref="AI140">SUMPRODUCT(IF(LEFT($A$4:$A$108,3)=LEFT($A140,3),IF($B$4:$B$108=$B140,IF($C$3:$AZ$3=AI$112,$C$4:$AZ$108))))</f>
        <v>346.31200000000001</v>
      </c>
      <c r="AJ140" cm="1">
        <f t="array" ref="AJ140">SUMPRODUCT(IF(LEFT($A$4:$A$108,3)=LEFT($A140,3),IF($B$4:$B$108=$B140,IF($C$3:$AZ$3=AJ$112,$C$4:$AZ$108))))</f>
        <v>63.232999999999997</v>
      </c>
      <c r="AK140" cm="1">
        <f t="array" ref="AK140">SUMPRODUCT(IF(LEFT($A$4:$A$108,3)=LEFT($A140,3),IF($B$4:$B$108=$B140,IF($C$3:$AZ$3=AK$112,$C$4:$AZ$108))))</f>
        <v>356.84500000000003</v>
      </c>
      <c r="AL140" cm="1">
        <f t="array" ref="AL140">SUMPRODUCT(IF(LEFT($A$4:$A$108,3)=LEFT($A140,3),IF($B$4:$B$108=$B140,IF($C$3:$AZ$3=AL$112,$C$4:$AZ$108))))</f>
        <v>13360.632</v>
      </c>
      <c r="AM140" cm="1">
        <f t="array" ref="AM140">SUMPRODUCT(IF(LEFT($A$4:$A$108,3)=LEFT($A140,3),IF($B$4:$B$108=$B140,IF($C$3:$AZ$3=AM$112,$C$4:$AZ$108))))</f>
        <v>1389.2470000000001</v>
      </c>
      <c r="AN140" cm="1">
        <f t="array" ref="AN140">SUMPRODUCT(IF(LEFT($A$4:$A$108,3)=LEFT($A140,3),IF($B$4:$B$108=$B140,IF($C$3:$AZ$3=AN$112,$C$4:$AZ$108))))</f>
        <v>1901.5139999999999</v>
      </c>
      <c r="AO140" cm="1">
        <f t="array" ref="AO140">SUMPRODUCT(IF(LEFT($A$4:$A$108,3)=LEFT($A140,3),IF($B$4:$B$108=$B140,IF($C$3:$AZ$3=AO$112,$C$4:$AZ$108))))</f>
        <v>865.69100000000003</v>
      </c>
      <c r="AP140" cm="1">
        <f t="array" ref="AP140">SUMPRODUCT(IF(LEFT($A$4:$A$108,3)=LEFT($A140,3),IF($B$4:$B$108=$B140,IF($C$3:$AZ$3=AP$112,$C$4:$AZ$108))))</f>
        <v>576.67100000000005</v>
      </c>
      <c r="AQ140" cm="1">
        <f t="array" ref="AQ140">SUMPRODUCT(IF(LEFT($A$4:$A$108,3)=LEFT($A140,3),IF($B$4:$B$108=$B140,IF($C$3:$AZ$3=AQ$112,$C$4:$AZ$108))))</f>
        <v>368.05200000000002</v>
      </c>
      <c r="AR140" cm="1">
        <f t="array" ref="AR140">SUMPRODUCT(IF(LEFT($A$4:$A$108,3)=LEFT($A140,3),IF($B$4:$B$108=$B140,IF($C$3:$AZ$3=AR$112,$C$4:$AZ$108))))</f>
        <v>0</v>
      </c>
      <c r="AS140">
        <f t="shared" si="1"/>
        <v>240135.149</v>
      </c>
    </row>
    <row r="141" spans="1:45">
      <c r="A141" t="s">
        <v>384</v>
      </c>
      <c r="B141" t="s">
        <v>21</v>
      </c>
      <c r="C141" cm="1">
        <f t="array" ref="C141">SUMPRODUCT(IF(LEFT($A$4:$A$108,3)=LEFT($A141,3),IF($B$4:$B$108=$B141,IF($C$3:$AZ$3=C$112,$C$4:$AZ$108))))</f>
        <v>2518.5700000000002</v>
      </c>
      <c r="D141" cm="1">
        <f t="array" ref="D141">SUMPRODUCT(IF(LEFT($A$4:$A$108,3)=LEFT($A141,3),IF($B$4:$B$108=$B141,IF($C$3:$AZ$3=D$112,$C$4:$AZ$108))))</f>
        <v>6.8209999999999997</v>
      </c>
      <c r="E141" cm="1">
        <f t="array" ref="E141">SUMPRODUCT(IF(LEFT($A$4:$A$108,3)=LEFT($A141,3),IF($B$4:$B$108=$B141,IF($C$3:$AZ$3=E$112,$C$4:$AZ$108))))</f>
        <v>2.4289999999999998</v>
      </c>
      <c r="F141" cm="1">
        <f t="array" ref="F141">SUMPRODUCT(IF(LEFT($A$4:$A$108,3)=LEFT($A141,3),IF($B$4:$B$108=$B141,IF($C$3:$AZ$3=F$112,$C$4:$AZ$108))))</f>
        <v>103.657</v>
      </c>
      <c r="G141" cm="1">
        <f t="array" ref="G141">SUMPRODUCT(IF(LEFT($A$4:$A$108,3)=LEFT($A141,3),IF($B$4:$B$108=$B141,IF($C$3:$AZ$3=G$112,$C$4:$AZ$108))))</f>
        <v>0.35799999999999998</v>
      </c>
      <c r="H141" cm="1">
        <f t="array" ref="H141">SUMPRODUCT(IF(LEFT($A$4:$A$108,3)=LEFT($A141,3),IF($B$4:$B$108=$B141,IF($C$3:$AZ$3=H$112,$C$4:$AZ$108))))</f>
        <v>9601.2780000000002</v>
      </c>
      <c r="I141" cm="1">
        <f t="array" ref="I141">SUMPRODUCT(IF(LEFT($A$4:$A$108,3)=LEFT($A141,3),IF($B$4:$B$108=$B141,IF($C$3:$AZ$3=I$112,$C$4:$AZ$108))))</f>
        <v>5466.299</v>
      </c>
      <c r="J141" cm="1">
        <f t="array" ref="J141">SUMPRODUCT(IF(LEFT($A$4:$A$108,3)=LEFT($A141,3),IF($B$4:$B$108=$B141,IF($C$3:$AZ$3=J$112,$C$4:$AZ$108))))</f>
        <v>406.63499999999999</v>
      </c>
      <c r="K141" cm="1">
        <f t="array" ref="K141">SUMPRODUCT(IF(LEFT($A$4:$A$108,3)=LEFT($A141,3),IF($B$4:$B$108=$B141,IF($C$3:$AZ$3=K$112,$C$4:$AZ$108))))</f>
        <v>1654.79</v>
      </c>
      <c r="L141" cm="1">
        <f t="array" ref="L141">SUMPRODUCT(IF(LEFT($A$4:$A$108,3)=LEFT($A141,3),IF($B$4:$B$108=$B141,IF($C$3:$AZ$3=L$112,$C$4:$AZ$108))))</f>
        <v>2479.7020000000002</v>
      </c>
      <c r="M141" cm="1">
        <f t="array" ref="M141">SUMPRODUCT(IF(LEFT($A$4:$A$108,3)=LEFT($A141,3),IF($B$4:$B$108=$B141,IF($C$3:$AZ$3=M$112,$C$4:$AZ$108))))</f>
        <v>11888.115</v>
      </c>
      <c r="N141" cm="1">
        <f t="array" ref="N141">SUMPRODUCT(IF(LEFT($A$4:$A$108,3)=LEFT($A141,3),IF($B$4:$B$108=$B141,IF($C$3:$AZ$3=N$112,$C$4:$AZ$108))))</f>
        <v>1977.854</v>
      </c>
      <c r="O141" cm="1">
        <f t="array" ref="O141">SUMPRODUCT(IF(LEFT($A$4:$A$108,3)=LEFT($A141,3),IF($B$4:$B$108=$B141,IF($C$3:$AZ$3=O$112,$C$4:$AZ$108))))</f>
        <v>4378.8990000000003</v>
      </c>
      <c r="P141" s="4" cm="1">
        <f t="array" ref="P141">SUMPRODUCT(IF(LEFT($A$4:$A$108,3)=LEFT($A141,3),IF($B$4:$B$108=$B141,IF($C$3:$AZ$3=P$112,$C$4:$AZ$108))))*'Cement and Glass Split'!O76</f>
        <v>0</v>
      </c>
      <c r="Q141" s="4" cm="1">
        <f t="array" ref="Q141">SUMPRODUCT(IF(LEFT($A$4:$A$108,3)=LEFT($A141,3),IF($B$4:$B$108=$B141,IF($C$3:$AZ$3=P$112,$C$4:$AZ$108))))*'Cement and Glass Split'!P76</f>
        <v>0</v>
      </c>
      <c r="R141" cm="1">
        <f t="array" ref="R141">SUMPRODUCT(IF(LEFT($A$4:$A$108,3)=LEFT($A141,3),IF($B$4:$B$108=$B141,IF($C$3:$AZ$3=R$112,$C$4:$AZ$108))))</f>
        <v>4141.826</v>
      </c>
      <c r="S141" cm="1">
        <f t="array" ref="S141">SUMPRODUCT(IF(LEFT($A$4:$A$108,3)=LEFT($A141,3),IF($B$4:$B$108=$B141,IF($C$3:$AZ$3=S$112,$C$4:$AZ$108))))</f>
        <v>1189.175</v>
      </c>
      <c r="T141" cm="1">
        <f t="array" ref="T141">SUMPRODUCT(IF(LEFT($A$4:$A$108,3)=LEFT($A141,3),IF($B$4:$B$108=$B141,IF($C$3:$AZ$3=T$112,$C$4:$AZ$108))))</f>
        <v>4082.4969999999998</v>
      </c>
      <c r="U141" cm="1">
        <f t="array" ref="U141">SUMPRODUCT(IF(LEFT($A$4:$A$108,3)=LEFT($A141,3),IF($B$4:$B$108=$B141,IF($C$3:$AZ$3=U$112,$C$4:$AZ$108))))</f>
        <v>17602.647000000001</v>
      </c>
      <c r="V141" cm="1">
        <f t="array" ref="V141">SUMPRODUCT(IF(LEFT($A$4:$A$108,3)=LEFT($A141,3),IF($B$4:$B$108=$B141,IF($C$3:$AZ$3=V$112,$C$4:$AZ$108))))</f>
        <v>5747.9459999999999</v>
      </c>
      <c r="W141" cm="1">
        <f t="array" ref="W141">SUMPRODUCT(IF(LEFT($A$4:$A$108,3)=LEFT($A141,3),IF($B$4:$B$108=$B141,IF($C$3:$AZ$3=W$112,$C$4:$AZ$108))))</f>
        <v>7426.5190000000002</v>
      </c>
      <c r="X141" cm="1">
        <f t="array" ref="X141">SUMPRODUCT(IF(LEFT($A$4:$A$108,3)=LEFT($A141,3),IF($B$4:$B$108=$B141,IF($C$3:$AZ$3=X$112,$C$4:$AZ$108))))</f>
        <v>12340.152</v>
      </c>
      <c r="Y141" cm="1">
        <f t="array" ref="Y141">SUMPRODUCT(IF(LEFT($A$4:$A$108,3)=LEFT($A141,3),IF($B$4:$B$108=$B141,IF($C$3:$AZ$3=Y$112,$C$4:$AZ$108))))</f>
        <v>2083.8890000000001</v>
      </c>
      <c r="Z141" cm="1">
        <f t="array" ref="Z141">SUMPRODUCT(IF(LEFT($A$4:$A$108,3)=LEFT($A141,3),IF($B$4:$B$108=$B141,IF($C$3:$AZ$3=Z$112,$C$4:$AZ$108))))</f>
        <v>1396.972</v>
      </c>
      <c r="AA141" cm="1">
        <f t="array" ref="AA141">SUMPRODUCT(IF(LEFT($A$4:$A$108,3)=LEFT($A141,3),IF($B$4:$B$108=$B141,IF($C$3:$AZ$3=AA$112,$C$4:$AZ$108))))</f>
        <v>1942.2809999999999</v>
      </c>
      <c r="AB141" cm="1">
        <f t="array" ref="AB141">SUMPRODUCT(IF(LEFT($A$4:$A$108,3)=LEFT($A141,3),IF($B$4:$B$108=$B141,IF($C$3:$AZ$3=AB$112,$C$4:$AZ$108))))</f>
        <v>964.58600000000001</v>
      </c>
      <c r="AC141" cm="1">
        <f t="array" ref="AC141">SUMPRODUCT(IF(LEFT($A$4:$A$108,3)=LEFT($A141,3),IF($B$4:$B$108=$B141,IF($C$3:$AZ$3=AC$112,$C$4:$AZ$108))))</f>
        <v>477.95400000000001</v>
      </c>
      <c r="AD141" cm="1">
        <f t="array" ref="AD141">SUMPRODUCT(IF(LEFT($A$4:$A$108,3)=LEFT($A141,3),IF($B$4:$B$108=$B141,IF($C$3:$AZ$3=AD$112,$C$4:$AZ$108))))</f>
        <v>8186.13</v>
      </c>
      <c r="AE141" cm="1">
        <f t="array" ref="AE141">SUMPRODUCT(IF(LEFT($A$4:$A$108,3)=LEFT($A141,3),IF($B$4:$B$108=$B141,IF($C$3:$AZ$3=AE$112,$C$4:$AZ$108))))</f>
        <v>5716.9880000000003</v>
      </c>
      <c r="AF141" cm="1">
        <f t="array" ref="AF141">SUMPRODUCT(IF(LEFT($A$4:$A$108,3)=LEFT($A141,3),IF($B$4:$B$108=$B141,IF($C$3:$AZ$3=AF$112,$C$4:$AZ$108))))</f>
        <v>2503.913</v>
      </c>
      <c r="AG141" cm="1">
        <f t="array" ref="AG141">SUMPRODUCT(IF(LEFT($A$4:$A$108,3)=LEFT($A141,3),IF($B$4:$B$108=$B141,IF($C$3:$AZ$3=AG$112,$C$4:$AZ$108))))</f>
        <v>7979.8540000000003</v>
      </c>
      <c r="AH141" cm="1">
        <f t="array" ref="AH141">SUMPRODUCT(IF(LEFT($A$4:$A$108,3)=LEFT($A141,3),IF($B$4:$B$108=$B141,IF($C$3:$AZ$3=AH$112,$C$4:$AZ$108))))</f>
        <v>543.101</v>
      </c>
      <c r="AI141" cm="1">
        <f t="array" ref="AI141">SUMPRODUCT(IF(LEFT($A$4:$A$108,3)=LEFT($A141,3),IF($B$4:$B$108=$B141,IF($C$3:$AZ$3=AI$112,$C$4:$AZ$108))))</f>
        <v>760.88199999999995</v>
      </c>
      <c r="AJ141" cm="1">
        <f t="array" ref="AJ141">SUMPRODUCT(IF(LEFT($A$4:$A$108,3)=LEFT($A141,3),IF($B$4:$B$108=$B141,IF($C$3:$AZ$3=AJ$112,$C$4:$AZ$108))))</f>
        <v>464.25900000000001</v>
      </c>
      <c r="AK141" cm="1">
        <f t="array" ref="AK141">SUMPRODUCT(IF(LEFT($A$4:$A$108,3)=LEFT($A141,3),IF($B$4:$B$108=$B141,IF($C$3:$AZ$3=AK$112,$C$4:$AZ$108))))</f>
        <v>502.56799999999998</v>
      </c>
      <c r="AL141" cm="1">
        <f t="array" ref="AL141">SUMPRODUCT(IF(LEFT($A$4:$A$108,3)=LEFT($A141,3),IF($B$4:$B$108=$B141,IF($C$3:$AZ$3=AL$112,$C$4:$AZ$108))))</f>
        <v>889.42100000000005</v>
      </c>
      <c r="AM141" cm="1">
        <f t="array" ref="AM141">SUMPRODUCT(IF(LEFT($A$4:$A$108,3)=LEFT($A141,3),IF($B$4:$B$108=$B141,IF($C$3:$AZ$3=AM$112,$C$4:$AZ$108))))</f>
        <v>3254.6509999999998</v>
      </c>
      <c r="AN141" cm="1">
        <f t="array" ref="AN141">SUMPRODUCT(IF(LEFT($A$4:$A$108,3)=LEFT($A141,3),IF($B$4:$B$108=$B141,IF($C$3:$AZ$3=AN$112,$C$4:$AZ$108))))</f>
        <v>1362.201</v>
      </c>
      <c r="AO141" cm="1">
        <f t="array" ref="AO141">SUMPRODUCT(IF(LEFT($A$4:$A$108,3)=LEFT($A141,3),IF($B$4:$B$108=$B141,IF($C$3:$AZ$3=AO$112,$C$4:$AZ$108))))</f>
        <v>1066.701</v>
      </c>
      <c r="AP141" cm="1">
        <f t="array" ref="AP141">SUMPRODUCT(IF(LEFT($A$4:$A$108,3)=LEFT($A141,3),IF($B$4:$B$108=$B141,IF($C$3:$AZ$3=AP$112,$C$4:$AZ$108))))</f>
        <v>5050.2240000000002</v>
      </c>
      <c r="AQ141" cm="1">
        <f t="array" ref="AQ141">SUMPRODUCT(IF(LEFT($A$4:$A$108,3)=LEFT($A141,3),IF($B$4:$B$108=$B141,IF($C$3:$AZ$3=AQ$112,$C$4:$AZ$108))))</f>
        <v>2005.385</v>
      </c>
      <c r="AR141" cm="1">
        <f t="array" ref="AR141">SUMPRODUCT(IF(LEFT($A$4:$A$108,3)=LEFT($A141,3),IF($B$4:$B$108=$B141,IF($C$3:$AZ$3=AR$112,$C$4:$AZ$108))))</f>
        <v>0</v>
      </c>
      <c r="AS141">
        <f t="shared" si="1"/>
        <v>289787.13299999997</v>
      </c>
    </row>
    <row r="142" spans="1:45">
      <c r="A142" t="s">
        <v>384</v>
      </c>
      <c r="B142" t="s">
        <v>22</v>
      </c>
      <c r="C142" cm="1">
        <f t="array" ref="C142">SUMPRODUCT(IF(LEFT($A$4:$A$108,3)=LEFT($A142,3),IF($B$4:$B$108=$B142,IF($C$3:$AZ$3=C$112,$C$4:$AZ$108))))</f>
        <v>585.2940000000001</v>
      </c>
      <c r="D142" cm="1">
        <f t="array" ref="D142">SUMPRODUCT(IF(LEFT($A$4:$A$108,3)=LEFT($A142,3),IF($B$4:$B$108=$B142,IF($C$3:$AZ$3=D$112,$C$4:$AZ$108))))</f>
        <v>7.0069999999999997</v>
      </c>
      <c r="E142" cm="1">
        <f t="array" ref="E142">SUMPRODUCT(IF(LEFT($A$4:$A$108,3)=LEFT($A142,3),IF($B$4:$B$108=$B142,IF($C$3:$AZ$3=E$112,$C$4:$AZ$108))))</f>
        <v>3.351</v>
      </c>
      <c r="F142" cm="1">
        <f t="array" ref="F142">SUMPRODUCT(IF(LEFT($A$4:$A$108,3)=LEFT($A142,3),IF($B$4:$B$108=$B142,IF($C$3:$AZ$3=F$112,$C$4:$AZ$108))))</f>
        <v>75.140999999999991</v>
      </c>
      <c r="G142" cm="1">
        <f t="array" ref="G142">SUMPRODUCT(IF(LEFT($A$4:$A$108,3)=LEFT($A142,3),IF($B$4:$B$108=$B142,IF($C$3:$AZ$3=G$112,$C$4:$AZ$108))))</f>
        <v>0.35899999999999999</v>
      </c>
      <c r="H142" cm="1">
        <f t="array" ref="H142">SUMPRODUCT(IF(LEFT($A$4:$A$108,3)=LEFT($A142,3),IF($B$4:$B$108=$B142,IF($C$3:$AZ$3=H$112,$C$4:$AZ$108))))</f>
        <v>2276.2750000000001</v>
      </c>
      <c r="I142" cm="1">
        <f t="array" ref="I142">SUMPRODUCT(IF(LEFT($A$4:$A$108,3)=LEFT($A142,3),IF($B$4:$B$108=$B142,IF($C$3:$AZ$3=I$112,$C$4:$AZ$108))))</f>
        <v>763.57099999999991</v>
      </c>
      <c r="J142" cm="1">
        <f t="array" ref="J142">SUMPRODUCT(IF(LEFT($A$4:$A$108,3)=LEFT($A142,3),IF($B$4:$B$108=$B142,IF($C$3:$AZ$3=J$112,$C$4:$AZ$108))))</f>
        <v>173.072</v>
      </c>
      <c r="K142" cm="1">
        <f t="array" ref="K142">SUMPRODUCT(IF(LEFT($A$4:$A$108,3)=LEFT($A142,3),IF($B$4:$B$108=$B142,IF($C$3:$AZ$3=K$112,$C$4:$AZ$108))))</f>
        <v>563.05399999999997</v>
      </c>
      <c r="L142" cm="1">
        <f t="array" ref="L142">SUMPRODUCT(IF(LEFT($A$4:$A$108,3)=LEFT($A142,3),IF($B$4:$B$108=$B142,IF($C$3:$AZ$3=L$112,$C$4:$AZ$108))))</f>
        <v>2099.4079999999999</v>
      </c>
      <c r="M142" cm="1">
        <f t="array" ref="M142">SUMPRODUCT(IF(LEFT($A$4:$A$108,3)=LEFT($A142,3),IF($B$4:$B$108=$B142,IF($C$3:$AZ$3=M$112,$C$4:$AZ$108))))</f>
        <v>2155.877</v>
      </c>
      <c r="N142" cm="1">
        <f t="array" ref="N142">SUMPRODUCT(IF(LEFT($A$4:$A$108,3)=LEFT($A142,3),IF($B$4:$B$108=$B142,IF($C$3:$AZ$3=N$112,$C$4:$AZ$108))))</f>
        <v>298.62</v>
      </c>
      <c r="O142" cm="1">
        <f t="array" ref="O142">SUMPRODUCT(IF(LEFT($A$4:$A$108,3)=LEFT($A142,3),IF($B$4:$B$108=$B142,IF($C$3:$AZ$3=O$112,$C$4:$AZ$108))))</f>
        <v>655.89699999999993</v>
      </c>
      <c r="P142" s="4" cm="1">
        <f t="array" ref="P142">SUMPRODUCT(IF(LEFT($A$4:$A$108,3)=LEFT($A142,3),IF($B$4:$B$108=$B142,IF($C$3:$AZ$3=P$112,$C$4:$AZ$108))))*'Cement and Glass Split'!O77</f>
        <v>32.980827408101</v>
      </c>
      <c r="Q142" s="4" cm="1">
        <f t="array" ref="Q142">SUMPRODUCT(IF(LEFT($A$4:$A$108,3)=LEFT($A142,3),IF($B$4:$B$108=$B142,IF($C$3:$AZ$3=P$112,$C$4:$AZ$108))))*'Cement and Glass Split'!P77</f>
        <v>569.05217259189908</v>
      </c>
      <c r="R142" cm="1">
        <f t="array" ref="R142">SUMPRODUCT(IF(LEFT($A$4:$A$108,3)=LEFT($A142,3),IF($B$4:$B$108=$B142,IF($C$3:$AZ$3=R$112,$C$4:$AZ$108))))</f>
        <v>1015.198</v>
      </c>
      <c r="S142" cm="1">
        <f t="array" ref="S142">SUMPRODUCT(IF(LEFT($A$4:$A$108,3)=LEFT($A142,3),IF($B$4:$B$108=$B142,IF($C$3:$AZ$3=S$112,$C$4:$AZ$108))))</f>
        <v>502.46900000000005</v>
      </c>
      <c r="T142" cm="1">
        <f t="array" ref="T142">SUMPRODUCT(IF(LEFT($A$4:$A$108,3)=LEFT($A142,3),IF($B$4:$B$108=$B142,IF($C$3:$AZ$3=T$112,$C$4:$AZ$108))))</f>
        <v>879.70500000000004</v>
      </c>
      <c r="U142" cm="1">
        <f t="array" ref="U142">SUMPRODUCT(IF(LEFT($A$4:$A$108,3)=LEFT($A142,3),IF($B$4:$B$108=$B142,IF($C$3:$AZ$3=U$112,$C$4:$AZ$108))))</f>
        <v>2245.7490000000003</v>
      </c>
      <c r="V142" cm="1">
        <f t="array" ref="V142">SUMPRODUCT(IF(LEFT($A$4:$A$108,3)=LEFT($A142,3),IF($B$4:$B$108=$B142,IF($C$3:$AZ$3=V$112,$C$4:$AZ$108))))</f>
        <v>1283.9009999999998</v>
      </c>
      <c r="W142" cm="1">
        <f t="array" ref="W142">SUMPRODUCT(IF(LEFT($A$4:$A$108,3)=LEFT($A142,3),IF($B$4:$B$108=$B142,IF($C$3:$AZ$3=W$112,$C$4:$AZ$108))))</f>
        <v>1506.0940000000001</v>
      </c>
      <c r="X142" cm="1">
        <f t="array" ref="X142">SUMPRODUCT(IF(LEFT($A$4:$A$108,3)=LEFT($A142,3),IF($B$4:$B$108=$B142,IF($C$3:$AZ$3=X$112,$C$4:$AZ$108))))</f>
        <v>2253.2059999999997</v>
      </c>
      <c r="Y142" cm="1">
        <f t="array" ref="Y142">SUMPRODUCT(IF(LEFT($A$4:$A$108,3)=LEFT($A142,3),IF($B$4:$B$108=$B142,IF($C$3:$AZ$3=Y$112,$C$4:$AZ$108))))</f>
        <v>424.858</v>
      </c>
      <c r="Z142" cm="1">
        <f t="array" ref="Z142">SUMPRODUCT(IF(LEFT($A$4:$A$108,3)=LEFT($A142,3),IF($B$4:$B$108=$B142,IF($C$3:$AZ$3=Z$112,$C$4:$AZ$108))))</f>
        <v>343.95899999999995</v>
      </c>
      <c r="AA142" cm="1">
        <f t="array" ref="AA142">SUMPRODUCT(IF(LEFT($A$4:$A$108,3)=LEFT($A142,3),IF($B$4:$B$108=$B142,IF($C$3:$AZ$3=AA$112,$C$4:$AZ$108))))</f>
        <v>1232.6020000000001</v>
      </c>
      <c r="AB142" cm="1">
        <f t="array" ref="AB142">SUMPRODUCT(IF(LEFT($A$4:$A$108,3)=LEFT($A142,3),IF($B$4:$B$108=$B142,IF($C$3:$AZ$3=AB$112,$C$4:$AZ$108))))</f>
        <v>1372.2230000000002</v>
      </c>
      <c r="AC142" cm="1">
        <f t="array" ref="AC142">SUMPRODUCT(IF(LEFT($A$4:$A$108,3)=LEFT($A142,3),IF($B$4:$B$108=$B142,IF($C$3:$AZ$3=AC$112,$C$4:$AZ$108))))</f>
        <v>299.84800000000001</v>
      </c>
      <c r="AD142" cm="1">
        <f t="array" ref="AD142">SUMPRODUCT(IF(LEFT($A$4:$A$108,3)=LEFT($A142,3),IF($B$4:$B$108=$B142,IF($C$3:$AZ$3=AD$112,$C$4:$AZ$108))))</f>
        <v>1869.424</v>
      </c>
      <c r="AE142" cm="1">
        <f t="array" ref="AE142">SUMPRODUCT(IF(LEFT($A$4:$A$108,3)=LEFT($A142,3),IF($B$4:$B$108=$B142,IF($C$3:$AZ$3=AE$112,$C$4:$AZ$108))))</f>
        <v>13886.724000000002</v>
      </c>
      <c r="AF142" cm="1">
        <f t="array" ref="AF142">SUMPRODUCT(IF(LEFT($A$4:$A$108,3)=LEFT($A142,3),IF($B$4:$B$108=$B142,IF($C$3:$AZ$3=AF$112,$C$4:$AZ$108))))</f>
        <v>24718.531999999996</v>
      </c>
      <c r="AG142" cm="1">
        <f t="array" ref="AG142">SUMPRODUCT(IF(LEFT($A$4:$A$108,3)=LEFT($A142,3),IF($B$4:$B$108=$B142,IF($C$3:$AZ$3=AG$112,$C$4:$AZ$108))))</f>
        <v>1561.1200000000001</v>
      </c>
      <c r="AH142" cm="1">
        <f t="array" ref="AH142">SUMPRODUCT(IF(LEFT($A$4:$A$108,3)=LEFT($A142,3),IF($B$4:$B$108=$B142,IF($C$3:$AZ$3=AH$112,$C$4:$AZ$108))))</f>
        <v>724.03500000000008</v>
      </c>
      <c r="AI142" cm="1">
        <f t="array" ref="AI142">SUMPRODUCT(IF(LEFT($A$4:$A$108,3)=LEFT($A142,3),IF($B$4:$B$108=$B142,IF($C$3:$AZ$3=AI$112,$C$4:$AZ$108))))</f>
        <v>933.53700000000003</v>
      </c>
      <c r="AJ142" cm="1">
        <f t="array" ref="AJ142">SUMPRODUCT(IF(LEFT($A$4:$A$108,3)=LEFT($A142,3),IF($B$4:$B$108=$B142,IF($C$3:$AZ$3=AJ$112,$C$4:$AZ$108))))</f>
        <v>561.10500000000002</v>
      </c>
      <c r="AK142" cm="1">
        <f t="array" ref="AK142">SUMPRODUCT(IF(LEFT($A$4:$A$108,3)=LEFT($A142,3),IF($B$4:$B$108=$B142,IF($C$3:$AZ$3=AK$112,$C$4:$AZ$108))))</f>
        <v>2912.7240000000002</v>
      </c>
      <c r="AL142" cm="1">
        <f t="array" ref="AL142">SUMPRODUCT(IF(LEFT($A$4:$A$108,3)=LEFT($A142,3),IF($B$4:$B$108=$B142,IF($C$3:$AZ$3=AL$112,$C$4:$AZ$108))))</f>
        <v>639.80799999999999</v>
      </c>
      <c r="AM142" cm="1">
        <f t="array" ref="AM142">SUMPRODUCT(IF(LEFT($A$4:$A$108,3)=LEFT($A142,3),IF($B$4:$B$108=$B142,IF($C$3:$AZ$3=AM$112,$C$4:$AZ$108))))</f>
        <v>5055.6980000000003</v>
      </c>
      <c r="AN142" cm="1">
        <f t="array" ref="AN142">SUMPRODUCT(IF(LEFT($A$4:$A$108,3)=LEFT($A142,3),IF($B$4:$B$108=$B142,IF($C$3:$AZ$3=AN$112,$C$4:$AZ$108))))</f>
        <v>2219.1010000000001</v>
      </c>
      <c r="AO142" cm="1">
        <f t="array" ref="AO142">SUMPRODUCT(IF(LEFT($A$4:$A$108,3)=LEFT($A142,3),IF($B$4:$B$108=$B142,IF($C$3:$AZ$3=AO$112,$C$4:$AZ$108))))</f>
        <v>967.05799999999999</v>
      </c>
      <c r="AP142" cm="1">
        <f t="array" ref="AP142">SUMPRODUCT(IF(LEFT($A$4:$A$108,3)=LEFT($A142,3),IF($B$4:$B$108=$B142,IF($C$3:$AZ$3=AP$112,$C$4:$AZ$108))))</f>
        <v>1044.5430000000001</v>
      </c>
      <c r="AQ142" cm="1">
        <f t="array" ref="AQ142">SUMPRODUCT(IF(LEFT($A$4:$A$108,3)=LEFT($A142,3),IF($B$4:$B$108=$B142,IF($C$3:$AZ$3=AQ$112,$C$4:$AZ$108))))</f>
        <v>1470.057</v>
      </c>
      <c r="AR142" cm="1">
        <f t="array" ref="AR142">SUMPRODUCT(IF(LEFT($A$4:$A$108,3)=LEFT($A142,3),IF($B$4:$B$108=$B142,IF($C$3:$AZ$3=AR$112,$C$4:$AZ$108))))</f>
        <v>0</v>
      </c>
      <c r="AS142">
        <f t="shared" si="1"/>
        <v>131009.96799999999</v>
      </c>
    </row>
    <row r="143" spans="1:45">
      <c r="A143" t="s">
        <v>384</v>
      </c>
      <c r="B143" t="s">
        <v>23</v>
      </c>
      <c r="C143" cm="1">
        <f t="array" ref="C143">SUMPRODUCT(IF(LEFT($A$4:$A$108,3)=LEFT($A143,3),IF($B$4:$B$108=$B143,IF($C$3:$AZ$3=C$112,$C$4:$AZ$108))))</f>
        <v>414.71799999999996</v>
      </c>
      <c r="D143" cm="1">
        <f t="array" ref="D143">SUMPRODUCT(IF(LEFT($A$4:$A$108,3)=LEFT($A143,3),IF($B$4:$B$108=$B143,IF($C$3:$AZ$3=D$112,$C$4:$AZ$108))))</f>
        <v>3.8340000000000001</v>
      </c>
      <c r="E143" cm="1">
        <f t="array" ref="E143">SUMPRODUCT(IF(LEFT($A$4:$A$108,3)=LEFT($A143,3),IF($B$4:$B$108=$B143,IF($C$3:$AZ$3=E$112,$C$4:$AZ$108))))</f>
        <v>2.911</v>
      </c>
      <c r="F143" cm="1">
        <f t="array" ref="F143">SUMPRODUCT(IF(LEFT($A$4:$A$108,3)=LEFT($A143,3),IF($B$4:$B$108=$B143,IF($C$3:$AZ$3=F$112,$C$4:$AZ$108))))</f>
        <v>71.492999999999995</v>
      </c>
      <c r="G143" cm="1">
        <f t="array" ref="G143">SUMPRODUCT(IF(LEFT($A$4:$A$108,3)=LEFT($A143,3),IF($B$4:$B$108=$B143,IF($C$3:$AZ$3=G$112,$C$4:$AZ$108))))</f>
        <v>0.376</v>
      </c>
      <c r="H143" cm="1">
        <f t="array" ref="H143">SUMPRODUCT(IF(LEFT($A$4:$A$108,3)=LEFT($A143,3),IF($B$4:$B$108=$B143,IF($C$3:$AZ$3=H$112,$C$4:$AZ$108))))</f>
        <v>1906.6489999999999</v>
      </c>
      <c r="I143" cm="1">
        <f t="array" ref="I143">SUMPRODUCT(IF(LEFT($A$4:$A$108,3)=LEFT($A143,3),IF($B$4:$B$108=$B143,IF($C$3:$AZ$3=I$112,$C$4:$AZ$108))))</f>
        <v>1147.3320000000001</v>
      </c>
      <c r="J143" cm="1">
        <f t="array" ref="J143">SUMPRODUCT(IF(LEFT($A$4:$A$108,3)=LEFT($A143,3),IF($B$4:$B$108=$B143,IF($C$3:$AZ$3=J$112,$C$4:$AZ$108))))</f>
        <v>151.864</v>
      </c>
      <c r="K143" cm="1">
        <f t="array" ref="K143">SUMPRODUCT(IF(LEFT($A$4:$A$108,3)=LEFT($A143,3),IF($B$4:$B$108=$B143,IF($C$3:$AZ$3=K$112,$C$4:$AZ$108))))</f>
        <v>476.71100000000001</v>
      </c>
      <c r="L143" cm="1">
        <f t="array" ref="L143">SUMPRODUCT(IF(LEFT($A$4:$A$108,3)=LEFT($A143,3),IF($B$4:$B$108=$B143,IF($C$3:$AZ$3=L$112,$C$4:$AZ$108))))</f>
        <v>534.47500000000002</v>
      </c>
      <c r="M143" cm="1">
        <f t="array" ref="M143">SUMPRODUCT(IF(LEFT($A$4:$A$108,3)=LEFT($A143,3),IF($B$4:$B$108=$B143,IF($C$3:$AZ$3=M$112,$C$4:$AZ$108))))</f>
        <v>2719.4389999999999</v>
      </c>
      <c r="N143" cm="1">
        <f t="array" ref="N143">SUMPRODUCT(IF(LEFT($A$4:$A$108,3)=LEFT($A143,3),IF($B$4:$B$108=$B143,IF($C$3:$AZ$3=N$112,$C$4:$AZ$108))))</f>
        <v>421.33499999999998</v>
      </c>
      <c r="O143" cm="1">
        <f t="array" ref="O143">SUMPRODUCT(IF(LEFT($A$4:$A$108,3)=LEFT($A143,3),IF($B$4:$B$108=$B143,IF($C$3:$AZ$3=O$112,$C$4:$AZ$108))))</f>
        <v>1272.9680000000001</v>
      </c>
      <c r="P143" s="4" cm="1">
        <f t="array" ref="P143">SUMPRODUCT(IF(LEFT($A$4:$A$108,3)=LEFT($A143,3),IF($B$4:$B$108=$B143,IF($C$3:$AZ$3=P$112,$C$4:$AZ$108))))*'Cement and Glass Split'!O78</f>
        <v>72.270482306584583</v>
      </c>
      <c r="Q143" s="4" cm="1">
        <f t="array" ref="Q143">SUMPRODUCT(IF(LEFT($A$4:$A$108,3)=LEFT($A143,3),IF($B$4:$B$108=$B143,IF($C$3:$AZ$3=P$112,$C$4:$AZ$108))))*'Cement and Glass Split'!P78</f>
        <v>497.42151769341535</v>
      </c>
      <c r="R143" cm="1">
        <f t="array" ref="R143">SUMPRODUCT(IF(LEFT($A$4:$A$108,3)=LEFT($A143,3),IF($B$4:$B$108=$B143,IF($C$3:$AZ$3=R$112,$C$4:$AZ$108))))</f>
        <v>1034.3510000000001</v>
      </c>
      <c r="S143" cm="1">
        <f t="array" ref="S143">SUMPRODUCT(IF(LEFT($A$4:$A$108,3)=LEFT($A143,3),IF($B$4:$B$108=$B143,IF($C$3:$AZ$3=S$112,$C$4:$AZ$108))))</f>
        <v>501.23200000000003</v>
      </c>
      <c r="T143" cm="1">
        <f t="array" ref="T143">SUMPRODUCT(IF(LEFT($A$4:$A$108,3)=LEFT($A143,3),IF($B$4:$B$108=$B143,IF($C$3:$AZ$3=T$112,$C$4:$AZ$108))))</f>
        <v>1548.5119999999999</v>
      </c>
      <c r="U143" cm="1">
        <f t="array" ref="U143">SUMPRODUCT(IF(LEFT($A$4:$A$108,3)=LEFT($A143,3),IF($B$4:$B$108=$B143,IF($C$3:$AZ$3=U$112,$C$4:$AZ$108))))</f>
        <v>2540.2829999999999</v>
      </c>
      <c r="V143" cm="1">
        <f t="array" ref="V143">SUMPRODUCT(IF(LEFT($A$4:$A$108,3)=LEFT($A143,3),IF($B$4:$B$108=$B143,IF($C$3:$AZ$3=V$112,$C$4:$AZ$108))))</f>
        <v>1731.825</v>
      </c>
      <c r="W143" cm="1">
        <f t="array" ref="W143">SUMPRODUCT(IF(LEFT($A$4:$A$108,3)=LEFT($A143,3),IF($B$4:$B$108=$B143,IF($C$3:$AZ$3=W$112,$C$4:$AZ$108))))</f>
        <v>2041.8630000000001</v>
      </c>
      <c r="X143" cm="1">
        <f t="array" ref="X143">SUMPRODUCT(IF(LEFT($A$4:$A$108,3)=LEFT($A143,3),IF($B$4:$B$108=$B143,IF($C$3:$AZ$3=X$112,$C$4:$AZ$108))))</f>
        <v>1411.239</v>
      </c>
      <c r="Y143" cm="1">
        <f t="array" ref="Y143">SUMPRODUCT(IF(LEFT($A$4:$A$108,3)=LEFT($A143,3),IF($B$4:$B$108=$B143,IF($C$3:$AZ$3=Y$112,$C$4:$AZ$108))))</f>
        <v>582.57400000000007</v>
      </c>
      <c r="Z143" cm="1">
        <f t="array" ref="Z143">SUMPRODUCT(IF(LEFT($A$4:$A$108,3)=LEFT($A143,3),IF($B$4:$B$108=$B143,IF($C$3:$AZ$3=Z$112,$C$4:$AZ$108))))</f>
        <v>431.87200000000001</v>
      </c>
      <c r="AA143" cm="1">
        <f t="array" ref="AA143">SUMPRODUCT(IF(LEFT($A$4:$A$108,3)=LEFT($A143,3),IF($B$4:$B$108=$B143,IF($C$3:$AZ$3=AA$112,$C$4:$AZ$108))))</f>
        <v>1725.057</v>
      </c>
      <c r="AB143" cm="1">
        <f t="array" ref="AB143">SUMPRODUCT(IF(LEFT($A$4:$A$108,3)=LEFT($A143,3),IF($B$4:$B$108=$B143,IF($C$3:$AZ$3=AB$112,$C$4:$AZ$108))))</f>
        <v>859.154</v>
      </c>
      <c r="AC143" cm="1">
        <f t="array" ref="AC143">SUMPRODUCT(IF(LEFT($A$4:$A$108,3)=LEFT($A143,3),IF($B$4:$B$108=$B143,IF($C$3:$AZ$3=AC$112,$C$4:$AZ$108))))</f>
        <v>574.66899999999998</v>
      </c>
      <c r="AD143" cm="1">
        <f t="array" ref="AD143">SUMPRODUCT(IF(LEFT($A$4:$A$108,3)=LEFT($A143,3),IF($B$4:$B$108=$B143,IF($C$3:$AZ$3=AD$112,$C$4:$AZ$108))))</f>
        <v>4218.3</v>
      </c>
      <c r="AE143" cm="1">
        <f t="array" ref="AE143">SUMPRODUCT(IF(LEFT($A$4:$A$108,3)=LEFT($A143,3),IF($B$4:$B$108=$B143,IF($C$3:$AZ$3=AE$112,$C$4:$AZ$108))))</f>
        <v>11656.967000000001</v>
      </c>
      <c r="AF143" cm="1">
        <f t="array" ref="AF143">SUMPRODUCT(IF(LEFT($A$4:$A$108,3)=LEFT($A143,3),IF($B$4:$B$108=$B143,IF($C$3:$AZ$3=AF$112,$C$4:$AZ$108))))</f>
        <v>5121.1960000000008</v>
      </c>
      <c r="AG143" cm="1">
        <f t="array" ref="AG143">SUMPRODUCT(IF(LEFT($A$4:$A$108,3)=LEFT($A143,3),IF($B$4:$B$108=$B143,IF($C$3:$AZ$3=AG$112,$C$4:$AZ$108))))</f>
        <v>7438.2920000000004</v>
      </c>
      <c r="AH143" cm="1">
        <f t="array" ref="AH143">SUMPRODUCT(IF(LEFT($A$4:$A$108,3)=LEFT($A143,3),IF($B$4:$B$108=$B143,IF($C$3:$AZ$3=AH$112,$C$4:$AZ$108))))</f>
        <v>1896.768</v>
      </c>
      <c r="AI143" cm="1">
        <f t="array" ref="AI143">SUMPRODUCT(IF(LEFT($A$4:$A$108,3)=LEFT($A143,3),IF($B$4:$B$108=$B143,IF($C$3:$AZ$3=AI$112,$C$4:$AZ$108))))</f>
        <v>1247.068</v>
      </c>
      <c r="AJ143" cm="1">
        <f t="array" ref="AJ143">SUMPRODUCT(IF(LEFT($A$4:$A$108,3)=LEFT($A143,3),IF($B$4:$B$108=$B143,IF($C$3:$AZ$3=AJ$112,$C$4:$AZ$108))))</f>
        <v>2265.7020000000002</v>
      </c>
      <c r="AK143" cm="1">
        <f t="array" ref="AK143">SUMPRODUCT(IF(LEFT($A$4:$A$108,3)=LEFT($A143,3),IF($B$4:$B$108=$B143,IF($C$3:$AZ$3=AK$112,$C$4:$AZ$108))))</f>
        <v>6325.6959999999999</v>
      </c>
      <c r="AL143" cm="1">
        <f t="array" ref="AL143">SUMPRODUCT(IF(LEFT($A$4:$A$108,3)=LEFT($A143,3),IF($B$4:$B$108=$B143,IF($C$3:$AZ$3=AL$112,$C$4:$AZ$108))))</f>
        <v>2107.4140000000002</v>
      </c>
      <c r="AM143" cm="1">
        <f t="array" ref="AM143">SUMPRODUCT(IF(LEFT($A$4:$A$108,3)=LEFT($A143,3),IF($B$4:$B$108=$B143,IF($C$3:$AZ$3=AM$112,$C$4:$AZ$108))))</f>
        <v>16026.627</v>
      </c>
      <c r="AN143" cm="1">
        <f t="array" ref="AN143">SUMPRODUCT(IF(LEFT($A$4:$A$108,3)=LEFT($A143,3),IF($B$4:$B$108=$B143,IF($C$3:$AZ$3=AN$112,$C$4:$AZ$108))))</f>
        <v>6901.9480000000003</v>
      </c>
      <c r="AO143" cm="1">
        <f t="array" ref="AO143">SUMPRODUCT(IF(LEFT($A$4:$A$108,3)=LEFT($A143,3),IF($B$4:$B$108=$B143,IF($C$3:$AZ$3=AO$112,$C$4:$AZ$108))))</f>
        <v>7204.884</v>
      </c>
      <c r="AP143" cm="1">
        <f t="array" ref="AP143">SUMPRODUCT(IF(LEFT($A$4:$A$108,3)=LEFT($A143,3),IF($B$4:$B$108=$B143,IF($C$3:$AZ$3=AP$112,$C$4:$AZ$108))))</f>
        <v>9752.741</v>
      </c>
      <c r="AQ143" cm="1">
        <f t="array" ref="AQ143">SUMPRODUCT(IF(LEFT($A$4:$A$108,3)=LEFT($A143,3),IF($B$4:$B$108=$B143,IF($C$3:$AZ$3=AQ$112,$C$4:$AZ$108))))</f>
        <v>7374.9650000000001</v>
      </c>
      <c r="AR143" cm="1">
        <f t="array" ref="AR143">SUMPRODUCT(IF(LEFT($A$4:$A$108,3)=LEFT($A143,3),IF($B$4:$B$108=$B143,IF($C$3:$AZ$3=AR$112,$C$4:$AZ$108))))</f>
        <v>0</v>
      </c>
      <c r="AS143">
        <f t="shared" si="1"/>
        <v>146964.497</v>
      </c>
    </row>
    <row r="144" spans="1:45">
      <c r="A144" t="s">
        <v>384</v>
      </c>
      <c r="B144" t="s">
        <v>24</v>
      </c>
      <c r="C144" cm="1">
        <f t="array" ref="C144">SUMPRODUCT(IF(LEFT($A$4:$A$108,3)=LEFT($A144,3),IF($B$4:$B$108=$B144,IF($C$3:$AZ$3=C$112,$C$4:$AZ$108))))</f>
        <v>51.679000000000002</v>
      </c>
      <c r="D144" cm="1">
        <f t="array" ref="D144">SUMPRODUCT(IF(LEFT($A$4:$A$108,3)=LEFT($A144,3),IF($B$4:$B$108=$B144,IF($C$3:$AZ$3=D$112,$C$4:$AZ$108))))</f>
        <v>0.36399999999999999</v>
      </c>
      <c r="E144" cm="1">
        <f t="array" ref="E144">SUMPRODUCT(IF(LEFT($A$4:$A$108,3)=LEFT($A144,3),IF($B$4:$B$108=$B144,IF($C$3:$AZ$3=E$112,$C$4:$AZ$108))))</f>
        <v>0.31900000000000001</v>
      </c>
      <c r="F144" cm="1">
        <f t="array" ref="F144">SUMPRODUCT(IF(LEFT($A$4:$A$108,3)=LEFT($A144,3),IF($B$4:$B$108=$B144,IF($C$3:$AZ$3=F$112,$C$4:$AZ$108))))</f>
        <v>7.024</v>
      </c>
      <c r="G144" cm="1">
        <f t="array" ref="G144">SUMPRODUCT(IF(LEFT($A$4:$A$108,3)=LEFT($A144,3),IF($B$4:$B$108=$B144,IF($C$3:$AZ$3=G$112,$C$4:$AZ$108))))</f>
        <v>5.0999999999999997E-2</v>
      </c>
      <c r="H144" cm="1">
        <f t="array" ref="H144">SUMPRODUCT(IF(LEFT($A$4:$A$108,3)=LEFT($A144,3),IF($B$4:$B$108=$B144,IF($C$3:$AZ$3=H$112,$C$4:$AZ$108))))</f>
        <v>488.411</v>
      </c>
      <c r="I144" cm="1">
        <f t="array" ref="I144">SUMPRODUCT(IF(LEFT($A$4:$A$108,3)=LEFT($A144,3),IF($B$4:$B$108=$B144,IF($C$3:$AZ$3=I$112,$C$4:$AZ$108))))</f>
        <v>201.5</v>
      </c>
      <c r="J144" cm="1">
        <f t="array" ref="J144">SUMPRODUCT(IF(LEFT($A$4:$A$108,3)=LEFT($A144,3),IF($B$4:$B$108=$B144,IF($C$3:$AZ$3=J$112,$C$4:$AZ$108))))</f>
        <v>29.689</v>
      </c>
      <c r="K144" cm="1">
        <f t="array" ref="K144">SUMPRODUCT(IF(LEFT($A$4:$A$108,3)=LEFT($A144,3),IF($B$4:$B$108=$B144,IF($C$3:$AZ$3=K$112,$C$4:$AZ$108))))</f>
        <v>214.727</v>
      </c>
      <c r="L144" cm="1">
        <f t="array" ref="L144">SUMPRODUCT(IF(LEFT($A$4:$A$108,3)=LEFT($A144,3),IF($B$4:$B$108=$B144,IF($C$3:$AZ$3=L$112,$C$4:$AZ$108))))</f>
        <v>67.869</v>
      </c>
      <c r="M144" cm="1">
        <f t="array" ref="M144">SUMPRODUCT(IF(LEFT($A$4:$A$108,3)=LEFT($A144,3),IF($B$4:$B$108=$B144,IF($C$3:$AZ$3=M$112,$C$4:$AZ$108))))</f>
        <v>534.35</v>
      </c>
      <c r="N144" cm="1">
        <f t="array" ref="N144">SUMPRODUCT(IF(LEFT($A$4:$A$108,3)=LEFT($A144,3),IF($B$4:$B$108=$B144,IF($C$3:$AZ$3=N$112,$C$4:$AZ$108))))</f>
        <v>101.029</v>
      </c>
      <c r="O144" cm="1">
        <f t="array" ref="O144">SUMPRODUCT(IF(LEFT($A$4:$A$108,3)=LEFT($A144,3),IF($B$4:$B$108=$B144,IF($C$3:$AZ$3=O$112,$C$4:$AZ$108))))</f>
        <v>120.761</v>
      </c>
      <c r="P144" s="4" cm="1">
        <f t="array" ref="P144">SUMPRODUCT(IF(LEFT($A$4:$A$108,3)=LEFT($A144,3),IF($B$4:$B$108=$B144,IF($C$3:$AZ$3=P$112,$C$4:$AZ$108))))*'Cement and Glass Split'!O79</f>
        <v>0</v>
      </c>
      <c r="Q144" s="4" cm="1">
        <f t="array" ref="Q144">SUMPRODUCT(IF(LEFT($A$4:$A$108,3)=LEFT($A144,3),IF($B$4:$B$108=$B144,IF($C$3:$AZ$3=P$112,$C$4:$AZ$108))))*'Cement and Glass Split'!P79</f>
        <v>0</v>
      </c>
      <c r="R144" cm="1">
        <f t="array" ref="R144">SUMPRODUCT(IF(LEFT($A$4:$A$108,3)=LEFT($A144,3),IF($B$4:$B$108=$B144,IF($C$3:$AZ$3=R$112,$C$4:$AZ$108))))</f>
        <v>153.24199999999999</v>
      </c>
      <c r="S144" cm="1">
        <f t="array" ref="S144">SUMPRODUCT(IF(LEFT($A$4:$A$108,3)=LEFT($A144,3),IF($B$4:$B$108=$B144,IF($C$3:$AZ$3=S$112,$C$4:$AZ$108))))</f>
        <v>94.450999999999993</v>
      </c>
      <c r="T144" cm="1">
        <f t="array" ref="T144">SUMPRODUCT(IF(LEFT($A$4:$A$108,3)=LEFT($A144,3),IF($B$4:$B$108=$B144,IF($C$3:$AZ$3=T$112,$C$4:$AZ$108))))</f>
        <v>175.92400000000001</v>
      </c>
      <c r="U144" cm="1">
        <f t="array" ref="U144">SUMPRODUCT(IF(LEFT($A$4:$A$108,3)=LEFT($A144,3),IF($B$4:$B$108=$B144,IF($C$3:$AZ$3=U$112,$C$4:$AZ$108))))</f>
        <v>643.49</v>
      </c>
      <c r="V144" cm="1">
        <f t="array" ref="V144">SUMPRODUCT(IF(LEFT($A$4:$A$108,3)=LEFT($A144,3),IF($B$4:$B$108=$B144,IF($C$3:$AZ$3=V$112,$C$4:$AZ$108))))</f>
        <v>404.3</v>
      </c>
      <c r="W144" cm="1">
        <f t="array" ref="W144">SUMPRODUCT(IF(LEFT($A$4:$A$108,3)=LEFT($A144,3),IF($B$4:$B$108=$B144,IF($C$3:$AZ$3=W$112,$C$4:$AZ$108))))</f>
        <v>289.11599999999999</v>
      </c>
      <c r="X144" cm="1">
        <f t="array" ref="X144">SUMPRODUCT(IF(LEFT($A$4:$A$108,3)=LEFT($A144,3),IF($B$4:$B$108=$B144,IF($C$3:$AZ$3=X$112,$C$4:$AZ$108))))</f>
        <v>332.839</v>
      </c>
      <c r="Y144" cm="1">
        <f t="array" ref="Y144">SUMPRODUCT(IF(LEFT($A$4:$A$108,3)=LEFT($A144,3),IF($B$4:$B$108=$B144,IF($C$3:$AZ$3=Y$112,$C$4:$AZ$108))))</f>
        <v>141.751</v>
      </c>
      <c r="Z144" cm="1">
        <f t="array" ref="Z144">SUMPRODUCT(IF(LEFT($A$4:$A$108,3)=LEFT($A144,3),IF($B$4:$B$108=$B144,IF($C$3:$AZ$3=Z$112,$C$4:$AZ$108))))</f>
        <v>110.29</v>
      </c>
      <c r="AA144" cm="1">
        <f t="array" ref="AA144">SUMPRODUCT(IF(LEFT($A$4:$A$108,3)=LEFT($A144,3),IF($B$4:$B$108=$B144,IF($C$3:$AZ$3=AA$112,$C$4:$AZ$108))))</f>
        <v>250.06800000000001</v>
      </c>
      <c r="AB144" cm="1">
        <f t="array" ref="AB144">SUMPRODUCT(IF(LEFT($A$4:$A$108,3)=LEFT($A144,3),IF($B$4:$B$108=$B144,IF($C$3:$AZ$3=AB$112,$C$4:$AZ$108))))</f>
        <v>56.854999999999997</v>
      </c>
      <c r="AC144" cm="1">
        <f t="array" ref="AC144">SUMPRODUCT(IF(LEFT($A$4:$A$108,3)=LEFT($A144,3),IF($B$4:$B$108=$B144,IF($C$3:$AZ$3=AC$112,$C$4:$AZ$108))))</f>
        <v>66.864000000000004</v>
      </c>
      <c r="AD144" cm="1">
        <f t="array" ref="AD144">SUMPRODUCT(IF(LEFT($A$4:$A$108,3)=LEFT($A144,3),IF($B$4:$B$108=$B144,IF($C$3:$AZ$3=AD$112,$C$4:$AZ$108))))</f>
        <v>388.959</v>
      </c>
      <c r="AE144" cm="1">
        <f t="array" ref="AE144">SUMPRODUCT(IF(LEFT($A$4:$A$108,3)=LEFT($A144,3),IF($B$4:$B$108=$B144,IF($C$3:$AZ$3=AE$112,$C$4:$AZ$108))))</f>
        <v>2681.127</v>
      </c>
      <c r="AF144" cm="1">
        <f t="array" ref="AF144">SUMPRODUCT(IF(LEFT($A$4:$A$108,3)=LEFT($A144,3),IF($B$4:$B$108=$B144,IF($C$3:$AZ$3=AF$112,$C$4:$AZ$108))))</f>
        <v>476.03800000000001</v>
      </c>
      <c r="AG144" cm="1">
        <f t="array" ref="AG144">SUMPRODUCT(IF(LEFT($A$4:$A$108,3)=LEFT($A144,3),IF($B$4:$B$108=$B144,IF($C$3:$AZ$3=AG$112,$C$4:$AZ$108))))</f>
        <v>1077.8309999999999</v>
      </c>
      <c r="AH144" cm="1">
        <f t="array" ref="AH144">SUMPRODUCT(IF(LEFT($A$4:$A$108,3)=LEFT($A144,3),IF($B$4:$B$108=$B144,IF($C$3:$AZ$3=AH$112,$C$4:$AZ$108))))</f>
        <v>9007.1980000000003</v>
      </c>
      <c r="AI144" cm="1">
        <f t="array" ref="AI144">SUMPRODUCT(IF(LEFT($A$4:$A$108,3)=LEFT($A144,3),IF($B$4:$B$108=$B144,IF($C$3:$AZ$3=AI$112,$C$4:$AZ$108))))</f>
        <v>1503.614</v>
      </c>
      <c r="AJ144" cm="1">
        <f t="array" ref="AJ144">SUMPRODUCT(IF(LEFT($A$4:$A$108,3)=LEFT($A144,3),IF($B$4:$B$108=$B144,IF($C$3:$AZ$3=AJ$112,$C$4:$AZ$108))))</f>
        <v>1594.0250000000001</v>
      </c>
      <c r="AK144" cm="1">
        <f t="array" ref="AK144">SUMPRODUCT(IF(LEFT($A$4:$A$108,3)=LEFT($A144,3),IF($B$4:$B$108=$B144,IF($C$3:$AZ$3=AK$112,$C$4:$AZ$108))))</f>
        <v>1262.6089999999999</v>
      </c>
      <c r="AL144" cm="1">
        <f t="array" ref="AL144">SUMPRODUCT(IF(LEFT($A$4:$A$108,3)=LEFT($A144,3),IF($B$4:$B$108=$B144,IF($C$3:$AZ$3=AL$112,$C$4:$AZ$108))))</f>
        <v>531.56399999999996</v>
      </c>
      <c r="AM144" cm="1">
        <f t="array" ref="AM144">SUMPRODUCT(IF(LEFT($A$4:$A$108,3)=LEFT($A144,3),IF($B$4:$B$108=$B144,IF($C$3:$AZ$3=AM$112,$C$4:$AZ$108))))</f>
        <v>5103.8639999999996</v>
      </c>
      <c r="AN144" cm="1">
        <f t="array" ref="AN144">SUMPRODUCT(IF(LEFT($A$4:$A$108,3)=LEFT($A144,3),IF($B$4:$B$108=$B144,IF($C$3:$AZ$3=AN$112,$C$4:$AZ$108))))</f>
        <v>1076.999</v>
      </c>
      <c r="AO144" cm="1">
        <f t="array" ref="AO144">SUMPRODUCT(IF(LEFT($A$4:$A$108,3)=LEFT($A144,3),IF($B$4:$B$108=$B144,IF($C$3:$AZ$3=AO$112,$C$4:$AZ$108))))</f>
        <v>3232.8890000000001</v>
      </c>
      <c r="AP144" cm="1">
        <f t="array" ref="AP144">SUMPRODUCT(IF(LEFT($A$4:$A$108,3)=LEFT($A144,3),IF($B$4:$B$108=$B144,IF($C$3:$AZ$3=AP$112,$C$4:$AZ$108))))</f>
        <v>834.95899999999995</v>
      </c>
      <c r="AQ144" cm="1">
        <f t="array" ref="AQ144">SUMPRODUCT(IF(LEFT($A$4:$A$108,3)=LEFT($A144,3),IF($B$4:$B$108=$B144,IF($C$3:$AZ$3=AQ$112,$C$4:$AZ$108))))</f>
        <v>1783.5170000000001</v>
      </c>
      <c r="AR144" cm="1">
        <f t="array" ref="AR144">SUMPRODUCT(IF(LEFT($A$4:$A$108,3)=LEFT($A144,3),IF($B$4:$B$108=$B144,IF($C$3:$AZ$3=AR$112,$C$4:$AZ$108))))</f>
        <v>0</v>
      </c>
      <c r="AS144">
        <f t="shared" si="1"/>
        <v>53469.514999999999</v>
      </c>
    </row>
    <row r="145" spans="1:45">
      <c r="A145" t="s">
        <v>384</v>
      </c>
      <c r="B145" t="s">
        <v>25</v>
      </c>
      <c r="C145" cm="1">
        <f t="array" ref="C145">SUMPRODUCT(IF(LEFT($A$4:$A$108,3)=LEFT($A145,3),IF($B$4:$B$108=$B145,IF($C$3:$AZ$3=C$112,$C$4:$AZ$108))))</f>
        <v>76.695999999999998</v>
      </c>
      <c r="D145" cm="1">
        <f t="array" ref="D145">SUMPRODUCT(IF(LEFT($A$4:$A$108,3)=LEFT($A145,3),IF($B$4:$B$108=$B145,IF($C$3:$AZ$3=D$112,$C$4:$AZ$108))))</f>
        <v>1.167</v>
      </c>
      <c r="E145" cm="1">
        <f t="array" ref="E145">SUMPRODUCT(IF(LEFT($A$4:$A$108,3)=LEFT($A145,3),IF($B$4:$B$108=$B145,IF($C$3:$AZ$3=E$112,$C$4:$AZ$108))))</f>
        <v>0.68200000000000005</v>
      </c>
      <c r="F145" cm="1">
        <f t="array" ref="F145">SUMPRODUCT(IF(LEFT($A$4:$A$108,3)=LEFT($A145,3),IF($B$4:$B$108=$B145,IF($C$3:$AZ$3=F$112,$C$4:$AZ$108))))</f>
        <v>11.31</v>
      </c>
      <c r="G145" cm="1">
        <f t="array" ref="G145">SUMPRODUCT(IF(LEFT($A$4:$A$108,3)=LEFT($A145,3),IF($B$4:$B$108=$B145,IF($C$3:$AZ$3=G$112,$C$4:$AZ$108))))</f>
        <v>5.0999999999999997E-2</v>
      </c>
      <c r="H145" cm="1">
        <f t="array" ref="H145">SUMPRODUCT(IF(LEFT($A$4:$A$108,3)=LEFT($A145,3),IF($B$4:$B$108=$B145,IF($C$3:$AZ$3=H$112,$C$4:$AZ$108))))</f>
        <v>220.47800000000001</v>
      </c>
      <c r="I145" cm="1">
        <f t="array" ref="I145">SUMPRODUCT(IF(LEFT($A$4:$A$108,3)=LEFT($A145,3),IF($B$4:$B$108=$B145,IF($C$3:$AZ$3=I$112,$C$4:$AZ$108))))</f>
        <v>161.727</v>
      </c>
      <c r="J145" cm="1">
        <f t="array" ref="J145">SUMPRODUCT(IF(LEFT($A$4:$A$108,3)=LEFT($A145,3),IF($B$4:$B$108=$B145,IF($C$3:$AZ$3=J$112,$C$4:$AZ$108))))</f>
        <v>25.446999999999999</v>
      </c>
      <c r="K145" cm="1">
        <f t="array" ref="K145">SUMPRODUCT(IF(LEFT($A$4:$A$108,3)=LEFT($A145,3),IF($B$4:$B$108=$B145,IF($C$3:$AZ$3=K$112,$C$4:$AZ$108))))</f>
        <v>91.399000000000001</v>
      </c>
      <c r="L145" cm="1">
        <f t="array" ref="L145">SUMPRODUCT(IF(LEFT($A$4:$A$108,3)=LEFT($A145,3),IF($B$4:$B$108=$B145,IF($C$3:$AZ$3=L$112,$C$4:$AZ$108))))</f>
        <v>64.263999999999996</v>
      </c>
      <c r="M145" cm="1">
        <f t="array" ref="M145">SUMPRODUCT(IF(LEFT($A$4:$A$108,3)=LEFT($A145,3),IF($B$4:$B$108=$B145,IF($C$3:$AZ$3=M$112,$C$4:$AZ$108))))</f>
        <v>210.828</v>
      </c>
      <c r="N145" cm="1">
        <f t="array" ref="N145">SUMPRODUCT(IF(LEFT($A$4:$A$108,3)=LEFT($A145,3),IF($B$4:$B$108=$B145,IF($C$3:$AZ$3=N$112,$C$4:$AZ$108))))</f>
        <v>79.441999999999993</v>
      </c>
      <c r="O145" cm="1">
        <f t="array" ref="O145">SUMPRODUCT(IF(LEFT($A$4:$A$108,3)=LEFT($A145,3),IF($B$4:$B$108=$B145,IF($C$3:$AZ$3=O$112,$C$4:$AZ$108))))</f>
        <v>104.178</v>
      </c>
      <c r="P145" s="4" cm="1">
        <f t="array" ref="P145">SUMPRODUCT(IF(LEFT($A$4:$A$108,3)=LEFT($A145,3),IF($B$4:$B$108=$B145,IF($C$3:$AZ$3=P$112,$C$4:$AZ$108))))*'Cement and Glass Split'!O80</f>
        <v>10.654437147798014</v>
      </c>
      <c r="Q145" s="4" cm="1">
        <f t="array" ref="Q145">SUMPRODUCT(IF(LEFT($A$4:$A$108,3)=LEFT($A145,3),IF($B$4:$B$108=$B145,IF($C$3:$AZ$3=P$112,$C$4:$AZ$108))))*'Cement and Glass Split'!P80</f>
        <v>58.883562852201983</v>
      </c>
      <c r="R145" cm="1">
        <f t="array" ref="R145">SUMPRODUCT(IF(LEFT($A$4:$A$108,3)=LEFT($A145,3),IF($B$4:$B$108=$B145,IF($C$3:$AZ$3=R$112,$C$4:$AZ$108))))</f>
        <v>88.650999999999996</v>
      </c>
      <c r="S145" cm="1">
        <f t="array" ref="S145">SUMPRODUCT(IF(LEFT($A$4:$A$108,3)=LEFT($A145,3),IF($B$4:$B$108=$B145,IF($C$3:$AZ$3=S$112,$C$4:$AZ$108))))</f>
        <v>64.379000000000005</v>
      </c>
      <c r="T145" cm="1">
        <f t="array" ref="T145">SUMPRODUCT(IF(LEFT($A$4:$A$108,3)=LEFT($A145,3),IF($B$4:$B$108=$B145,IF($C$3:$AZ$3=T$112,$C$4:$AZ$108))))</f>
        <v>186.51599999999999</v>
      </c>
      <c r="U145" cm="1">
        <f t="array" ref="U145">SUMPRODUCT(IF(LEFT($A$4:$A$108,3)=LEFT($A145,3),IF($B$4:$B$108=$B145,IF($C$3:$AZ$3=U$112,$C$4:$AZ$108))))</f>
        <v>520.25400000000002</v>
      </c>
      <c r="V145" cm="1">
        <f t="array" ref="V145">SUMPRODUCT(IF(LEFT($A$4:$A$108,3)=LEFT($A145,3),IF($B$4:$B$108=$B145,IF($C$3:$AZ$3=V$112,$C$4:$AZ$108))))</f>
        <v>231.54300000000001</v>
      </c>
      <c r="W145" cm="1">
        <f t="array" ref="W145">SUMPRODUCT(IF(LEFT($A$4:$A$108,3)=LEFT($A145,3),IF($B$4:$B$108=$B145,IF($C$3:$AZ$3=W$112,$C$4:$AZ$108))))</f>
        <v>395.00299999999999</v>
      </c>
      <c r="X145" cm="1">
        <f t="array" ref="X145">SUMPRODUCT(IF(LEFT($A$4:$A$108,3)=LEFT($A145,3),IF($B$4:$B$108=$B145,IF($C$3:$AZ$3=X$112,$C$4:$AZ$108))))</f>
        <v>413.822</v>
      </c>
      <c r="Y145" cm="1">
        <f t="array" ref="Y145">SUMPRODUCT(IF(LEFT($A$4:$A$108,3)=LEFT($A145,3),IF($B$4:$B$108=$B145,IF($C$3:$AZ$3=Y$112,$C$4:$AZ$108))))</f>
        <v>83.567999999999998</v>
      </c>
      <c r="Z145" cm="1">
        <f t="array" ref="Z145">SUMPRODUCT(IF(LEFT($A$4:$A$108,3)=LEFT($A145,3),IF($B$4:$B$108=$B145,IF($C$3:$AZ$3=Z$112,$C$4:$AZ$108))))</f>
        <v>85.941000000000003</v>
      </c>
      <c r="AA145" cm="1">
        <f t="array" ref="AA145">SUMPRODUCT(IF(LEFT($A$4:$A$108,3)=LEFT($A145,3),IF($B$4:$B$108=$B145,IF($C$3:$AZ$3=AA$112,$C$4:$AZ$108))))</f>
        <v>240.809</v>
      </c>
      <c r="AB145" cm="1">
        <f t="array" ref="AB145">SUMPRODUCT(IF(LEFT($A$4:$A$108,3)=LEFT($A145,3),IF($B$4:$B$108=$B145,IF($C$3:$AZ$3=AB$112,$C$4:$AZ$108))))</f>
        <v>87.801000000000002</v>
      </c>
      <c r="AC145" cm="1">
        <f t="array" ref="AC145">SUMPRODUCT(IF(LEFT($A$4:$A$108,3)=LEFT($A145,3),IF($B$4:$B$108=$B145,IF($C$3:$AZ$3=AC$112,$C$4:$AZ$108))))</f>
        <v>61.616999999999997</v>
      </c>
      <c r="AD145" cm="1">
        <f t="array" ref="AD145">SUMPRODUCT(IF(LEFT($A$4:$A$108,3)=LEFT($A145,3),IF($B$4:$B$108=$B145,IF($C$3:$AZ$3=AD$112,$C$4:$AZ$108))))</f>
        <v>563.69799999999998</v>
      </c>
      <c r="AE145" cm="1">
        <f t="array" ref="AE145">SUMPRODUCT(IF(LEFT($A$4:$A$108,3)=LEFT($A145,3),IF($B$4:$B$108=$B145,IF($C$3:$AZ$3=AE$112,$C$4:$AZ$108))))</f>
        <v>2560.6880000000001</v>
      </c>
      <c r="AF145" cm="1">
        <f t="array" ref="AF145">SUMPRODUCT(IF(LEFT($A$4:$A$108,3)=LEFT($A145,3),IF($B$4:$B$108=$B145,IF($C$3:$AZ$3=AF$112,$C$4:$AZ$108))))</f>
        <v>663.77800000000002</v>
      </c>
      <c r="AG145" cm="1">
        <f t="array" ref="AG145">SUMPRODUCT(IF(LEFT($A$4:$A$108,3)=LEFT($A145,3),IF($B$4:$B$108=$B145,IF($C$3:$AZ$3=AG$112,$C$4:$AZ$108))))</f>
        <v>990.69200000000001</v>
      </c>
      <c r="AH145" cm="1">
        <f t="array" ref="AH145">SUMPRODUCT(IF(LEFT($A$4:$A$108,3)=LEFT($A145,3),IF($B$4:$B$108=$B145,IF($C$3:$AZ$3=AH$112,$C$4:$AZ$108))))</f>
        <v>614.71600000000001</v>
      </c>
      <c r="AI145" cm="1">
        <f t="array" ref="AI145">SUMPRODUCT(IF(LEFT($A$4:$A$108,3)=LEFT($A145,3),IF($B$4:$B$108=$B145,IF($C$3:$AZ$3=AI$112,$C$4:$AZ$108))))</f>
        <v>7624.9709999999995</v>
      </c>
      <c r="AJ145" cm="1">
        <f t="array" ref="AJ145">SUMPRODUCT(IF(LEFT($A$4:$A$108,3)=LEFT($A145,3),IF($B$4:$B$108=$B145,IF($C$3:$AZ$3=AJ$112,$C$4:$AZ$108))))</f>
        <v>797.26900000000001</v>
      </c>
      <c r="AK145" cm="1">
        <f t="array" ref="AK145">SUMPRODUCT(IF(LEFT($A$4:$A$108,3)=LEFT($A145,3),IF($B$4:$B$108=$B145,IF($C$3:$AZ$3=AK$112,$C$4:$AZ$108))))</f>
        <v>1630.9090000000001</v>
      </c>
      <c r="AL145" cm="1">
        <f t="array" ref="AL145">SUMPRODUCT(IF(LEFT($A$4:$A$108,3)=LEFT($A145,3),IF($B$4:$B$108=$B145,IF($C$3:$AZ$3=AL$112,$C$4:$AZ$108))))</f>
        <v>855.68799999999999</v>
      </c>
      <c r="AM145" cm="1">
        <f t="array" ref="AM145">SUMPRODUCT(IF(LEFT($A$4:$A$108,3)=LEFT($A145,3),IF($B$4:$B$108=$B145,IF($C$3:$AZ$3=AM$112,$C$4:$AZ$108))))</f>
        <v>2554.857</v>
      </c>
      <c r="AN145" cm="1">
        <f t="array" ref="AN145">SUMPRODUCT(IF(LEFT($A$4:$A$108,3)=LEFT($A145,3),IF($B$4:$B$108=$B145,IF($C$3:$AZ$3=AN$112,$C$4:$AZ$108))))</f>
        <v>1334.9079999999999</v>
      </c>
      <c r="AO145" cm="1">
        <f t="array" ref="AO145">SUMPRODUCT(IF(LEFT($A$4:$A$108,3)=LEFT($A145,3),IF($B$4:$B$108=$B145,IF($C$3:$AZ$3=AO$112,$C$4:$AZ$108))))</f>
        <v>610.096</v>
      </c>
      <c r="AP145" cm="1">
        <f t="array" ref="AP145">SUMPRODUCT(IF(LEFT($A$4:$A$108,3)=LEFT($A145,3),IF($B$4:$B$108=$B145,IF($C$3:$AZ$3=AP$112,$C$4:$AZ$108))))</f>
        <v>788.23800000000006</v>
      </c>
      <c r="AQ145" cm="1">
        <f t="array" ref="AQ145">SUMPRODUCT(IF(LEFT($A$4:$A$108,3)=LEFT($A145,3),IF($B$4:$B$108=$B145,IF($C$3:$AZ$3=AQ$112,$C$4:$AZ$108))))</f>
        <v>1027.481</v>
      </c>
      <c r="AR145" cm="1">
        <f t="array" ref="AR145">SUMPRODUCT(IF(LEFT($A$4:$A$108,3)=LEFT($A145,3),IF($B$4:$B$108=$B145,IF($C$3:$AZ$3=AR$112,$C$4:$AZ$108))))</f>
        <v>0</v>
      </c>
      <c r="AS145">
        <f t="shared" si="1"/>
        <v>47660.142999999996</v>
      </c>
    </row>
    <row r="146" spans="1:45">
      <c r="A146" t="s">
        <v>384</v>
      </c>
      <c r="B146" t="s">
        <v>26</v>
      </c>
      <c r="C146" cm="1">
        <f t="array" ref="C146">SUMPRODUCT(IF(LEFT($A$4:$A$108,3)=LEFT($A146,3),IF($B$4:$B$108=$B146,IF($C$3:$AZ$3=C$112,$C$4:$AZ$108))))</f>
        <v>31.033000000000001</v>
      </c>
      <c r="D146" cm="1">
        <f t="array" ref="D146">SUMPRODUCT(IF(LEFT($A$4:$A$108,3)=LEFT($A146,3),IF($B$4:$B$108=$B146,IF($C$3:$AZ$3=D$112,$C$4:$AZ$108))))</f>
        <v>0.72499999999999998</v>
      </c>
      <c r="E146" cm="1">
        <f t="array" ref="E146">SUMPRODUCT(IF(LEFT($A$4:$A$108,3)=LEFT($A146,3),IF($B$4:$B$108=$B146,IF($C$3:$AZ$3=E$112,$C$4:$AZ$108))))</f>
        <v>0.45300000000000001</v>
      </c>
      <c r="F146" cm="1">
        <f t="array" ref="F146">SUMPRODUCT(IF(LEFT($A$4:$A$108,3)=LEFT($A146,3),IF($B$4:$B$108=$B146,IF($C$3:$AZ$3=F$112,$C$4:$AZ$108))))</f>
        <v>9.8919999999999995</v>
      </c>
      <c r="G146" cm="1">
        <f t="array" ref="G146">SUMPRODUCT(IF(LEFT($A$4:$A$108,3)=LEFT($A146,3),IF($B$4:$B$108=$B146,IF($C$3:$AZ$3=G$112,$C$4:$AZ$108))))</f>
        <v>3.7999999999999999E-2</v>
      </c>
      <c r="H146" cm="1">
        <f t="array" ref="H146">SUMPRODUCT(IF(LEFT($A$4:$A$108,3)=LEFT($A146,3),IF($B$4:$B$108=$B146,IF($C$3:$AZ$3=H$112,$C$4:$AZ$108))))</f>
        <v>338.84699999999998</v>
      </c>
      <c r="I146" cm="1">
        <f t="array" ref="I146">SUMPRODUCT(IF(LEFT($A$4:$A$108,3)=LEFT($A146,3),IF($B$4:$B$108=$B146,IF($C$3:$AZ$3=I$112,$C$4:$AZ$108))))</f>
        <v>136.47</v>
      </c>
      <c r="J146" cm="1">
        <f t="array" ref="J146">SUMPRODUCT(IF(LEFT($A$4:$A$108,3)=LEFT($A146,3),IF($B$4:$B$108=$B146,IF($C$3:$AZ$3=J$112,$C$4:$AZ$108))))</f>
        <v>17.454999999999998</v>
      </c>
      <c r="K146" cm="1">
        <f t="array" ref="K146">SUMPRODUCT(IF(LEFT($A$4:$A$108,3)=LEFT($A146,3),IF($B$4:$B$108=$B146,IF($C$3:$AZ$3=K$112,$C$4:$AZ$108))))</f>
        <v>103.959</v>
      </c>
      <c r="L146" cm="1">
        <f t="array" ref="L146">SUMPRODUCT(IF(LEFT($A$4:$A$108,3)=LEFT($A146,3),IF($B$4:$B$108=$B146,IF($C$3:$AZ$3=L$112,$C$4:$AZ$108))))</f>
        <v>76.971999999999994</v>
      </c>
      <c r="M146" cm="1">
        <f t="array" ref="M146">SUMPRODUCT(IF(LEFT($A$4:$A$108,3)=LEFT($A146,3),IF($B$4:$B$108=$B146,IF($C$3:$AZ$3=M$112,$C$4:$AZ$108))))</f>
        <v>379.00900000000001</v>
      </c>
      <c r="N146" cm="1">
        <f t="array" ref="N146">SUMPRODUCT(IF(LEFT($A$4:$A$108,3)=LEFT($A146,3),IF($B$4:$B$108=$B146,IF($C$3:$AZ$3=N$112,$C$4:$AZ$108))))</f>
        <v>110.815</v>
      </c>
      <c r="O146" cm="1">
        <f t="array" ref="O146">SUMPRODUCT(IF(LEFT($A$4:$A$108,3)=LEFT($A146,3),IF($B$4:$B$108=$B146,IF($C$3:$AZ$3=O$112,$C$4:$AZ$108))))</f>
        <v>110.124</v>
      </c>
      <c r="P146" s="4" cm="1">
        <f t="array" ref="P146">SUMPRODUCT(IF(LEFT($A$4:$A$108,3)=LEFT($A146,3),IF($B$4:$B$108=$B146,IF($C$3:$AZ$3=P$112,$C$4:$AZ$108))))*'Cement and Glass Split'!O81</f>
        <v>31.416132620736136</v>
      </c>
      <c r="Q146" s="4" cm="1">
        <f t="array" ref="Q146">SUMPRODUCT(IF(LEFT($A$4:$A$108,3)=LEFT($A146,3),IF($B$4:$B$108=$B146,IF($C$3:$AZ$3=P$112,$C$4:$AZ$108))))*'Cement and Glass Split'!P81</f>
        <v>54.382867379263871</v>
      </c>
      <c r="R146" cm="1">
        <f t="array" ref="R146">SUMPRODUCT(IF(LEFT($A$4:$A$108,3)=LEFT($A146,3),IF($B$4:$B$108=$B146,IF($C$3:$AZ$3=R$112,$C$4:$AZ$108))))</f>
        <v>132.36199999999999</v>
      </c>
      <c r="S146" cm="1">
        <f t="array" ref="S146">SUMPRODUCT(IF(LEFT($A$4:$A$108,3)=LEFT($A146,3),IF($B$4:$B$108=$B146,IF($C$3:$AZ$3=S$112,$C$4:$AZ$108))))</f>
        <v>67.027000000000001</v>
      </c>
      <c r="T146" cm="1">
        <f t="array" ref="T146">SUMPRODUCT(IF(LEFT($A$4:$A$108,3)=LEFT($A146,3),IF($B$4:$B$108=$B146,IF($C$3:$AZ$3=T$112,$C$4:$AZ$108))))</f>
        <v>189.053</v>
      </c>
      <c r="U146" cm="1">
        <f t="array" ref="U146">SUMPRODUCT(IF(LEFT($A$4:$A$108,3)=LEFT($A146,3),IF($B$4:$B$108=$B146,IF($C$3:$AZ$3=U$112,$C$4:$AZ$108))))</f>
        <v>682.89700000000005</v>
      </c>
      <c r="V146" cm="1">
        <f t="array" ref="V146">SUMPRODUCT(IF(LEFT($A$4:$A$108,3)=LEFT($A146,3),IF($B$4:$B$108=$B146,IF($C$3:$AZ$3=V$112,$C$4:$AZ$108))))</f>
        <v>308.01600000000002</v>
      </c>
      <c r="W146" cm="1">
        <f t="array" ref="W146">SUMPRODUCT(IF(LEFT($A$4:$A$108,3)=LEFT($A146,3),IF($B$4:$B$108=$B146,IF($C$3:$AZ$3=W$112,$C$4:$AZ$108))))</f>
        <v>323.10300000000001</v>
      </c>
      <c r="X146" cm="1">
        <f t="array" ref="X146">SUMPRODUCT(IF(LEFT($A$4:$A$108,3)=LEFT($A146,3),IF($B$4:$B$108=$B146,IF($C$3:$AZ$3=X$112,$C$4:$AZ$108))))</f>
        <v>262.81099999999998</v>
      </c>
      <c r="Y146" cm="1">
        <f t="array" ref="Y146">SUMPRODUCT(IF(LEFT($A$4:$A$108,3)=LEFT($A146,3),IF($B$4:$B$108=$B146,IF($C$3:$AZ$3=Y$112,$C$4:$AZ$108))))</f>
        <v>112.584</v>
      </c>
      <c r="Z146" cm="1">
        <f t="array" ref="Z146">SUMPRODUCT(IF(LEFT($A$4:$A$108,3)=LEFT($A146,3),IF($B$4:$B$108=$B146,IF($C$3:$AZ$3=Z$112,$C$4:$AZ$108))))</f>
        <v>78.771000000000001</v>
      </c>
      <c r="AA146" cm="1">
        <f t="array" ref="AA146">SUMPRODUCT(IF(LEFT($A$4:$A$108,3)=LEFT($A146,3),IF($B$4:$B$108=$B146,IF($C$3:$AZ$3=AA$112,$C$4:$AZ$108))))</f>
        <v>422.20299999999997</v>
      </c>
      <c r="AB146" cm="1">
        <f t="array" ref="AB146">SUMPRODUCT(IF(LEFT($A$4:$A$108,3)=LEFT($A146,3),IF($B$4:$B$108=$B146,IF($C$3:$AZ$3=AB$112,$C$4:$AZ$108))))</f>
        <v>52.41</v>
      </c>
      <c r="AC146" cm="1">
        <f t="array" ref="AC146">SUMPRODUCT(IF(LEFT($A$4:$A$108,3)=LEFT($A146,3),IF($B$4:$B$108=$B146,IF($C$3:$AZ$3=AC$112,$C$4:$AZ$108))))</f>
        <v>81.489999999999995</v>
      </c>
      <c r="AD146" cm="1">
        <f t="array" ref="AD146">SUMPRODUCT(IF(LEFT($A$4:$A$108,3)=LEFT($A146,3),IF($B$4:$B$108=$B146,IF($C$3:$AZ$3=AD$112,$C$4:$AZ$108))))</f>
        <v>479.14</v>
      </c>
      <c r="AE146" cm="1">
        <f t="array" ref="AE146">SUMPRODUCT(IF(LEFT($A$4:$A$108,3)=LEFT($A146,3),IF($B$4:$B$108=$B146,IF($C$3:$AZ$3=AE$112,$C$4:$AZ$108))))</f>
        <v>1955.818</v>
      </c>
      <c r="AF146" cm="1">
        <f t="array" ref="AF146">SUMPRODUCT(IF(LEFT($A$4:$A$108,3)=LEFT($A146,3),IF($B$4:$B$108=$B146,IF($C$3:$AZ$3=AF$112,$C$4:$AZ$108))))</f>
        <v>645.423</v>
      </c>
      <c r="AG146" cm="1">
        <f t="array" ref="AG146">SUMPRODUCT(IF(LEFT($A$4:$A$108,3)=LEFT($A146,3),IF($B$4:$B$108=$B146,IF($C$3:$AZ$3=AG$112,$C$4:$AZ$108))))</f>
        <v>450.82299999999998</v>
      </c>
      <c r="AH146" cm="1">
        <f t="array" ref="AH146">SUMPRODUCT(IF(LEFT($A$4:$A$108,3)=LEFT($A146,3),IF($B$4:$B$108=$B146,IF($C$3:$AZ$3=AH$112,$C$4:$AZ$108))))</f>
        <v>582.12400000000002</v>
      </c>
      <c r="AI146" cm="1">
        <f t="array" ref="AI146">SUMPRODUCT(IF(LEFT($A$4:$A$108,3)=LEFT($A146,3),IF($B$4:$B$108=$B146,IF($C$3:$AZ$3=AI$112,$C$4:$AZ$108))))</f>
        <v>1103.7760000000001</v>
      </c>
      <c r="AJ146" cm="1">
        <f t="array" ref="AJ146">SUMPRODUCT(IF(LEFT($A$4:$A$108,3)=LEFT($A146,3),IF($B$4:$B$108=$B146,IF($C$3:$AZ$3=AJ$112,$C$4:$AZ$108))))</f>
        <v>4724.3109999999997</v>
      </c>
      <c r="AK146" cm="1">
        <f t="array" ref="AK146">SUMPRODUCT(IF(LEFT($A$4:$A$108,3)=LEFT($A146,3),IF($B$4:$B$108=$B146,IF($C$3:$AZ$3=AK$112,$C$4:$AZ$108))))</f>
        <v>2119.2159999999999</v>
      </c>
      <c r="AL146" cm="1">
        <f t="array" ref="AL146">SUMPRODUCT(IF(LEFT($A$4:$A$108,3)=LEFT($A146,3),IF($B$4:$B$108=$B146,IF($C$3:$AZ$3=AL$112,$C$4:$AZ$108))))</f>
        <v>401.96600000000001</v>
      </c>
      <c r="AM146" cm="1">
        <f t="array" ref="AM146">SUMPRODUCT(IF(LEFT($A$4:$A$108,3)=LEFT($A146,3),IF($B$4:$B$108=$B146,IF($C$3:$AZ$3=AM$112,$C$4:$AZ$108))))</f>
        <v>3340.6010000000001</v>
      </c>
      <c r="AN146" cm="1">
        <f t="array" ref="AN146">SUMPRODUCT(IF(LEFT($A$4:$A$108,3)=LEFT($A146,3),IF($B$4:$B$108=$B146,IF($C$3:$AZ$3=AN$112,$C$4:$AZ$108))))</f>
        <v>992.86900000000003</v>
      </c>
      <c r="AO146" cm="1">
        <f t="array" ref="AO146">SUMPRODUCT(IF(LEFT($A$4:$A$108,3)=LEFT($A146,3),IF($B$4:$B$108=$B146,IF($C$3:$AZ$3=AO$112,$C$4:$AZ$108))))</f>
        <v>644.48599999999999</v>
      </c>
      <c r="AP146" cm="1">
        <f t="array" ref="AP146">SUMPRODUCT(IF(LEFT($A$4:$A$108,3)=LEFT($A146,3),IF($B$4:$B$108=$B146,IF($C$3:$AZ$3=AP$112,$C$4:$AZ$108))))</f>
        <v>515.54499999999996</v>
      </c>
      <c r="AQ146" cm="1">
        <f t="array" ref="AQ146">SUMPRODUCT(IF(LEFT($A$4:$A$108,3)=LEFT($A146,3),IF($B$4:$B$108=$B146,IF($C$3:$AZ$3=AQ$112,$C$4:$AZ$108))))</f>
        <v>575.09199999999998</v>
      </c>
      <c r="AR146" cm="1">
        <f t="array" ref="AR146">SUMPRODUCT(IF(LEFT($A$4:$A$108,3)=LEFT($A146,3),IF($B$4:$B$108=$B146,IF($C$3:$AZ$3=AR$112,$C$4:$AZ$108))))</f>
        <v>0</v>
      </c>
      <c r="AS146">
        <f t="shared" si="1"/>
        <v>54186.557000000001</v>
      </c>
    </row>
    <row r="147" spans="1:45">
      <c r="A147" t="s">
        <v>384</v>
      </c>
      <c r="B147" t="s">
        <v>27</v>
      </c>
      <c r="C147" cm="1">
        <f t="array" ref="C147">SUMPRODUCT(IF(LEFT($A$4:$A$108,3)=LEFT($A147,3),IF($B$4:$B$108=$B147,IF($C$3:$AZ$3=C$112,$C$4:$AZ$108))))</f>
        <v>794.62599999999998</v>
      </c>
      <c r="D147" cm="1">
        <f t="array" ref="D147">SUMPRODUCT(IF(LEFT($A$4:$A$108,3)=LEFT($A147,3),IF($B$4:$B$108=$B147,IF($C$3:$AZ$3=D$112,$C$4:$AZ$108))))</f>
        <v>3.98</v>
      </c>
      <c r="E147" cm="1">
        <f t="array" ref="E147">SUMPRODUCT(IF(LEFT($A$4:$A$108,3)=LEFT($A147,3),IF($B$4:$B$108=$B147,IF($C$3:$AZ$3=E$112,$C$4:$AZ$108))))</f>
        <v>4.1130000000000004</v>
      </c>
      <c r="F147" cm="1">
        <f t="array" ref="F147">SUMPRODUCT(IF(LEFT($A$4:$A$108,3)=LEFT($A147,3),IF($B$4:$B$108=$B147,IF($C$3:$AZ$3=F$112,$C$4:$AZ$108))))</f>
        <v>52.893000000000001</v>
      </c>
      <c r="G147" cm="1">
        <f t="array" ref="G147">SUMPRODUCT(IF(LEFT($A$4:$A$108,3)=LEFT($A147,3),IF($B$4:$B$108=$B147,IF($C$3:$AZ$3=G$112,$C$4:$AZ$108))))</f>
        <v>0.496</v>
      </c>
      <c r="H147" cm="1">
        <f t="array" ref="H147">SUMPRODUCT(IF(LEFT($A$4:$A$108,3)=LEFT($A147,3),IF($B$4:$B$108=$B147,IF($C$3:$AZ$3=H$112,$C$4:$AZ$108))))</f>
        <v>2059.6590000000001</v>
      </c>
      <c r="I147" cm="1">
        <f t="array" ref="I147">SUMPRODUCT(IF(LEFT($A$4:$A$108,3)=LEFT($A147,3),IF($B$4:$B$108=$B147,IF($C$3:$AZ$3=I$112,$C$4:$AZ$108))))</f>
        <v>762.39300000000003</v>
      </c>
      <c r="J147" cm="1">
        <f t="array" ref="J147">SUMPRODUCT(IF(LEFT($A$4:$A$108,3)=LEFT($A147,3),IF($B$4:$B$108=$B147,IF($C$3:$AZ$3=J$112,$C$4:$AZ$108))))</f>
        <v>111.544</v>
      </c>
      <c r="K147" cm="1">
        <f t="array" ref="K147">SUMPRODUCT(IF(LEFT($A$4:$A$108,3)=LEFT($A147,3),IF($B$4:$B$108=$B147,IF($C$3:$AZ$3=K$112,$C$4:$AZ$108))))</f>
        <v>546.21900000000005</v>
      </c>
      <c r="L147" cm="1">
        <f t="array" ref="L147">SUMPRODUCT(IF(LEFT($A$4:$A$108,3)=LEFT($A147,3),IF($B$4:$B$108=$B147,IF($C$3:$AZ$3=L$112,$C$4:$AZ$108))))</f>
        <v>810.07899999999995</v>
      </c>
      <c r="M147" cm="1">
        <f t="array" ref="M147">SUMPRODUCT(IF(LEFT($A$4:$A$108,3)=LEFT($A147,3),IF($B$4:$B$108=$B147,IF($C$3:$AZ$3=M$112,$C$4:$AZ$108))))</f>
        <v>2003.7619999999999</v>
      </c>
      <c r="N147" cm="1">
        <f t="array" ref="N147">SUMPRODUCT(IF(LEFT($A$4:$A$108,3)=LEFT($A147,3),IF($B$4:$B$108=$B147,IF($C$3:$AZ$3=N$112,$C$4:$AZ$108))))</f>
        <v>314.84100000000001</v>
      </c>
      <c r="O147" cm="1">
        <f t="array" ref="O147">SUMPRODUCT(IF(LEFT($A$4:$A$108,3)=LEFT($A147,3),IF($B$4:$B$108=$B147,IF($C$3:$AZ$3=O$112,$C$4:$AZ$108))))</f>
        <v>723.71199999999999</v>
      </c>
      <c r="P147" s="4" cm="1">
        <f t="array" ref="P147">SUMPRODUCT(IF(LEFT($A$4:$A$108,3)=LEFT($A147,3),IF($B$4:$B$108=$B147,IF($C$3:$AZ$3=P$112,$C$4:$AZ$108))))*'Cement and Glass Split'!O82</f>
        <v>81.003195965122501</v>
      </c>
      <c r="Q147" s="4" cm="1">
        <f t="array" ref="Q147">SUMPRODUCT(IF(LEFT($A$4:$A$108,3)=LEFT($A147,3),IF($B$4:$B$108=$B147,IF($C$3:$AZ$3=P$112,$C$4:$AZ$108))))*'Cement and Glass Split'!P82</f>
        <v>431.74180403487753</v>
      </c>
      <c r="R147" cm="1">
        <f t="array" ref="R147">SUMPRODUCT(IF(LEFT($A$4:$A$108,3)=LEFT($A147,3),IF($B$4:$B$108=$B147,IF($C$3:$AZ$3=R$112,$C$4:$AZ$108))))</f>
        <v>889.41499999999996</v>
      </c>
      <c r="S147" cm="1">
        <f t="array" ref="S147">SUMPRODUCT(IF(LEFT($A$4:$A$108,3)=LEFT($A147,3),IF($B$4:$B$108=$B147,IF($C$3:$AZ$3=S$112,$C$4:$AZ$108))))</f>
        <v>564.85299999999995</v>
      </c>
      <c r="T147" cm="1">
        <f t="array" ref="T147">SUMPRODUCT(IF(LEFT($A$4:$A$108,3)=LEFT($A147,3),IF($B$4:$B$108=$B147,IF($C$3:$AZ$3=T$112,$C$4:$AZ$108))))</f>
        <v>956.12800000000004</v>
      </c>
      <c r="U147" cm="1">
        <f t="array" ref="U147">SUMPRODUCT(IF(LEFT($A$4:$A$108,3)=LEFT($A147,3),IF($B$4:$B$108=$B147,IF($C$3:$AZ$3=U$112,$C$4:$AZ$108))))</f>
        <v>1971.586</v>
      </c>
      <c r="V147" cm="1">
        <f t="array" ref="V147">SUMPRODUCT(IF(LEFT($A$4:$A$108,3)=LEFT($A147,3),IF($B$4:$B$108=$B147,IF($C$3:$AZ$3=V$112,$C$4:$AZ$108))))</f>
        <v>1271.97</v>
      </c>
      <c r="W147" cm="1">
        <f t="array" ref="W147">SUMPRODUCT(IF(LEFT($A$4:$A$108,3)=LEFT($A147,3),IF($B$4:$B$108=$B147,IF($C$3:$AZ$3=W$112,$C$4:$AZ$108))))</f>
        <v>1448.4280000000001</v>
      </c>
      <c r="X147" cm="1">
        <f t="array" ref="X147">SUMPRODUCT(IF(LEFT($A$4:$A$108,3)=LEFT($A147,3),IF($B$4:$B$108=$B147,IF($C$3:$AZ$3=X$112,$C$4:$AZ$108))))</f>
        <v>1332.037</v>
      </c>
      <c r="Y147" cm="1">
        <f t="array" ref="Y147">SUMPRODUCT(IF(LEFT($A$4:$A$108,3)=LEFT($A147,3),IF($B$4:$B$108=$B147,IF($C$3:$AZ$3=Y$112,$C$4:$AZ$108))))</f>
        <v>483.36300000000006</v>
      </c>
      <c r="Z147" cm="1">
        <f t="array" ref="Z147">SUMPRODUCT(IF(LEFT($A$4:$A$108,3)=LEFT($A147,3),IF($B$4:$B$108=$B147,IF($C$3:$AZ$3=Z$112,$C$4:$AZ$108))))</f>
        <v>366.66399999999999</v>
      </c>
      <c r="AA147" cm="1">
        <f t="array" ref="AA147">SUMPRODUCT(IF(LEFT($A$4:$A$108,3)=LEFT($A147,3),IF($B$4:$B$108=$B147,IF($C$3:$AZ$3=AA$112,$C$4:$AZ$108))))</f>
        <v>1921.2840000000001</v>
      </c>
      <c r="AB147" cm="1">
        <f t="array" ref="AB147">SUMPRODUCT(IF(LEFT($A$4:$A$108,3)=LEFT($A147,3),IF($B$4:$B$108=$B147,IF($C$3:$AZ$3=AB$112,$C$4:$AZ$108))))</f>
        <v>374.19</v>
      </c>
      <c r="AC147" cm="1">
        <f t="array" ref="AC147">SUMPRODUCT(IF(LEFT($A$4:$A$108,3)=LEFT($A147,3),IF($B$4:$B$108=$B147,IF($C$3:$AZ$3=AC$112,$C$4:$AZ$108))))</f>
        <v>328.17</v>
      </c>
      <c r="AD147" cm="1">
        <f t="array" ref="AD147">SUMPRODUCT(IF(LEFT($A$4:$A$108,3)=LEFT($A147,3),IF($B$4:$B$108=$B147,IF($C$3:$AZ$3=AD$112,$C$4:$AZ$108))))</f>
        <v>2473.857</v>
      </c>
      <c r="AE147" cm="1">
        <f t="array" ref="AE147">SUMPRODUCT(IF(LEFT($A$4:$A$108,3)=LEFT($A147,3),IF($B$4:$B$108=$B147,IF($C$3:$AZ$3=AE$112,$C$4:$AZ$108))))</f>
        <v>7822.1639999999998</v>
      </c>
      <c r="AF147" cm="1">
        <f t="array" ref="AF147">SUMPRODUCT(IF(LEFT($A$4:$A$108,3)=LEFT($A147,3),IF($B$4:$B$108=$B147,IF($C$3:$AZ$3=AF$112,$C$4:$AZ$108))))</f>
        <v>2102.0419999999999</v>
      </c>
      <c r="AG147" cm="1">
        <f t="array" ref="AG147">SUMPRODUCT(IF(LEFT($A$4:$A$108,3)=LEFT($A147,3),IF($B$4:$B$108=$B147,IF($C$3:$AZ$3=AG$112,$C$4:$AZ$108))))</f>
        <v>1974.9970000000001</v>
      </c>
      <c r="AH147" cm="1">
        <f t="array" ref="AH147">SUMPRODUCT(IF(LEFT($A$4:$A$108,3)=LEFT($A147,3),IF($B$4:$B$108=$B147,IF($C$3:$AZ$3=AH$112,$C$4:$AZ$108))))</f>
        <v>502.19400000000002</v>
      </c>
      <c r="AI147" cm="1">
        <f t="array" ref="AI147">SUMPRODUCT(IF(LEFT($A$4:$A$108,3)=LEFT($A147,3),IF($B$4:$B$108=$B147,IF($C$3:$AZ$3=AI$112,$C$4:$AZ$108))))</f>
        <v>906.49300000000005</v>
      </c>
      <c r="AJ147" cm="1">
        <f t="array" ref="AJ147">SUMPRODUCT(IF(LEFT($A$4:$A$108,3)=LEFT($A147,3),IF($B$4:$B$108=$B147,IF($C$3:$AZ$3=AJ$112,$C$4:$AZ$108))))</f>
        <v>679.28700000000003</v>
      </c>
      <c r="AK147" cm="1">
        <f t="array" ref="AK147">SUMPRODUCT(IF(LEFT($A$4:$A$108,3)=LEFT($A147,3),IF($B$4:$B$108=$B147,IF($C$3:$AZ$3=AK$112,$C$4:$AZ$108))))</f>
        <v>28199.837</v>
      </c>
      <c r="AL147" cm="1">
        <f t="array" ref="AL147">SUMPRODUCT(IF(LEFT($A$4:$A$108,3)=LEFT($A147,3),IF($B$4:$B$108=$B147,IF($C$3:$AZ$3=AL$112,$C$4:$AZ$108))))</f>
        <v>21695.446</v>
      </c>
      <c r="AM147" cm="1">
        <f t="array" ref="AM147">SUMPRODUCT(IF(LEFT($A$4:$A$108,3)=LEFT($A147,3),IF($B$4:$B$108=$B147,IF($C$3:$AZ$3=AM$112,$C$4:$AZ$108))))</f>
        <v>6333.9810000000007</v>
      </c>
      <c r="AN147" cm="1">
        <f t="array" ref="AN147">SUMPRODUCT(IF(LEFT($A$4:$A$108,3)=LEFT($A147,3),IF($B$4:$B$108=$B147,IF($C$3:$AZ$3=AN$112,$C$4:$AZ$108))))</f>
        <v>1928.674</v>
      </c>
      <c r="AO147" cm="1">
        <f t="array" ref="AO147">SUMPRODUCT(IF(LEFT($A$4:$A$108,3)=LEFT($A147,3),IF($B$4:$B$108=$B147,IF($C$3:$AZ$3=AO$112,$C$4:$AZ$108))))</f>
        <v>1004.046</v>
      </c>
      <c r="AP147" cm="1">
        <f t="array" ref="AP147">SUMPRODUCT(IF(LEFT($A$4:$A$108,3)=LEFT($A147,3),IF($B$4:$B$108=$B147,IF($C$3:$AZ$3=AP$112,$C$4:$AZ$108))))</f>
        <v>951.19200000000001</v>
      </c>
      <c r="AQ147" cm="1">
        <f t="array" ref="AQ147">SUMPRODUCT(IF(LEFT($A$4:$A$108,3)=LEFT($A147,3),IF($B$4:$B$108=$B147,IF($C$3:$AZ$3=AQ$112,$C$4:$AZ$108))))</f>
        <v>1726.3740000000003</v>
      </c>
      <c r="AR147" cm="1">
        <f t="array" ref="AR147">SUMPRODUCT(IF(LEFT($A$4:$A$108,3)=LEFT($A147,3),IF($B$4:$B$108=$B147,IF($C$3:$AZ$3=AR$112,$C$4:$AZ$108))))</f>
        <v>0</v>
      </c>
      <c r="AS147">
        <f t="shared" si="1"/>
        <v>170656.31899999999</v>
      </c>
    </row>
    <row r="148" spans="1:45">
      <c r="A148" t="s">
        <v>384</v>
      </c>
      <c r="B148" t="s">
        <v>28</v>
      </c>
      <c r="C148" cm="1">
        <f t="array" ref="C148">SUMPRODUCT(IF(LEFT($A$4:$A$108,3)=LEFT($A148,3),IF($B$4:$B$108=$B148,IF($C$3:$AZ$3=C$112,$C$4:$AZ$108))))</f>
        <v>52.887</v>
      </c>
      <c r="D148" cm="1">
        <f t="array" ref="D148">SUMPRODUCT(IF(LEFT($A$4:$A$108,3)=LEFT($A148,3),IF($B$4:$B$108=$B148,IF($C$3:$AZ$3=D$112,$C$4:$AZ$108))))</f>
        <v>0.78800000000000003</v>
      </c>
      <c r="E148" cm="1">
        <f t="array" ref="E148">SUMPRODUCT(IF(LEFT($A$4:$A$108,3)=LEFT($A148,3),IF($B$4:$B$108=$B148,IF($C$3:$AZ$3=E$112,$C$4:$AZ$108))))</f>
        <v>0.60799999999999998</v>
      </c>
      <c r="F148" cm="1">
        <f t="array" ref="F148">SUMPRODUCT(IF(LEFT($A$4:$A$108,3)=LEFT($A148,3),IF($B$4:$B$108=$B148,IF($C$3:$AZ$3=F$112,$C$4:$AZ$108))))</f>
        <v>13.494</v>
      </c>
      <c r="G148" cm="1">
        <f t="array" ref="G148">SUMPRODUCT(IF(LEFT($A$4:$A$108,3)=LEFT($A148,3),IF($B$4:$B$108=$B148,IF($C$3:$AZ$3=G$112,$C$4:$AZ$108))))</f>
        <v>0.06</v>
      </c>
      <c r="H148" cm="1">
        <f t="array" ref="H148">SUMPRODUCT(IF(LEFT($A$4:$A$108,3)=LEFT($A148,3),IF($B$4:$B$108=$B148,IF($C$3:$AZ$3=H$112,$C$4:$AZ$108))))</f>
        <v>437.35399999999998</v>
      </c>
      <c r="I148" cm="1">
        <f t="array" ref="I148">SUMPRODUCT(IF(LEFT($A$4:$A$108,3)=LEFT($A148,3),IF($B$4:$B$108=$B148,IF($C$3:$AZ$3=I$112,$C$4:$AZ$108))))</f>
        <v>276.77699999999999</v>
      </c>
      <c r="J148" cm="1">
        <f t="array" ref="J148">SUMPRODUCT(IF(LEFT($A$4:$A$108,3)=LEFT($A148,3),IF($B$4:$B$108=$B148,IF($C$3:$AZ$3=J$112,$C$4:$AZ$108))))</f>
        <v>27.172999999999998</v>
      </c>
      <c r="K148" cm="1">
        <f t="array" ref="K148">SUMPRODUCT(IF(LEFT($A$4:$A$108,3)=LEFT($A148,3),IF($B$4:$B$108=$B148,IF($C$3:$AZ$3=K$112,$C$4:$AZ$108))))</f>
        <v>121.718</v>
      </c>
      <c r="L148" cm="1">
        <f t="array" ref="L148">SUMPRODUCT(IF(LEFT($A$4:$A$108,3)=LEFT($A148,3),IF($B$4:$B$108=$B148,IF($C$3:$AZ$3=L$112,$C$4:$AZ$108))))</f>
        <v>88.728999999999999</v>
      </c>
      <c r="M148" cm="1">
        <f t="array" ref="M148">SUMPRODUCT(IF(LEFT($A$4:$A$108,3)=LEFT($A148,3),IF($B$4:$B$108=$B148,IF($C$3:$AZ$3=M$112,$C$4:$AZ$108))))</f>
        <v>315.36900000000003</v>
      </c>
      <c r="N148" cm="1">
        <f t="array" ref="N148">SUMPRODUCT(IF(LEFT($A$4:$A$108,3)=LEFT($A148,3),IF($B$4:$B$108=$B148,IF($C$3:$AZ$3=N$112,$C$4:$AZ$108))))</f>
        <v>69.373000000000005</v>
      </c>
      <c r="O148" cm="1">
        <f t="array" ref="O148">SUMPRODUCT(IF(LEFT($A$4:$A$108,3)=LEFT($A148,3),IF($B$4:$B$108=$B148,IF($C$3:$AZ$3=O$112,$C$4:$AZ$108))))</f>
        <v>160.53800000000001</v>
      </c>
      <c r="P148" s="4" cm="1">
        <f t="array" ref="P148">SUMPRODUCT(IF(LEFT($A$4:$A$108,3)=LEFT($A148,3),IF($B$4:$B$108=$B148,IF($C$3:$AZ$3=P$112,$C$4:$AZ$108))))*'Cement and Glass Split'!O83</f>
        <v>15.92396736416363</v>
      </c>
      <c r="Q148" s="4" cm="1">
        <f t="array" ref="Q148">SUMPRODUCT(IF(LEFT($A$4:$A$108,3)=LEFT($A148,3),IF($B$4:$B$108=$B148,IF($C$3:$AZ$3=P$112,$C$4:$AZ$108))))*'Cement and Glass Split'!P83</f>
        <v>85.793032635836369</v>
      </c>
      <c r="R148" cm="1">
        <f t="array" ref="R148">SUMPRODUCT(IF(LEFT($A$4:$A$108,3)=LEFT($A148,3),IF($B$4:$B$108=$B148,IF($C$3:$AZ$3=R$112,$C$4:$AZ$108))))</f>
        <v>152.56800000000001</v>
      </c>
      <c r="S148" cm="1">
        <f t="array" ref="S148">SUMPRODUCT(IF(LEFT($A$4:$A$108,3)=LEFT($A148,3),IF($B$4:$B$108=$B148,IF($C$3:$AZ$3=S$112,$C$4:$AZ$108))))</f>
        <v>93.114000000000004</v>
      </c>
      <c r="T148" cm="1">
        <f t="array" ref="T148">SUMPRODUCT(IF(LEFT($A$4:$A$108,3)=LEFT($A148,3),IF($B$4:$B$108=$B148,IF($C$3:$AZ$3=T$112,$C$4:$AZ$108))))</f>
        <v>316.29000000000002</v>
      </c>
      <c r="U148" cm="1">
        <f t="array" ref="U148">SUMPRODUCT(IF(LEFT($A$4:$A$108,3)=LEFT($A148,3),IF($B$4:$B$108=$B148,IF($C$3:$AZ$3=U$112,$C$4:$AZ$108))))</f>
        <v>521.84900000000005</v>
      </c>
      <c r="V148" cm="1">
        <f t="array" ref="V148">SUMPRODUCT(IF(LEFT($A$4:$A$108,3)=LEFT($A148,3),IF($B$4:$B$108=$B148,IF($C$3:$AZ$3=V$112,$C$4:$AZ$108))))</f>
        <v>277.39600000000002</v>
      </c>
      <c r="W148" cm="1">
        <f t="array" ref="W148">SUMPRODUCT(IF(LEFT($A$4:$A$108,3)=LEFT($A148,3),IF($B$4:$B$108=$B148,IF($C$3:$AZ$3=W$112,$C$4:$AZ$108))))</f>
        <v>329.08199999999999</v>
      </c>
      <c r="X148" cm="1">
        <f t="array" ref="X148">SUMPRODUCT(IF(LEFT($A$4:$A$108,3)=LEFT($A148,3),IF($B$4:$B$108=$B148,IF($C$3:$AZ$3=X$112,$C$4:$AZ$108))))</f>
        <v>377.49099999999999</v>
      </c>
      <c r="Y148" cm="1">
        <f t="array" ref="Y148">SUMPRODUCT(IF(LEFT($A$4:$A$108,3)=LEFT($A148,3),IF($B$4:$B$108=$B148,IF($C$3:$AZ$3=Y$112,$C$4:$AZ$108))))</f>
        <v>179.24699999999999</v>
      </c>
      <c r="Z148" cm="1">
        <f t="array" ref="Z148">SUMPRODUCT(IF(LEFT($A$4:$A$108,3)=LEFT($A148,3),IF($B$4:$B$108=$B148,IF($C$3:$AZ$3=Z$112,$C$4:$AZ$108))))</f>
        <v>133.37</v>
      </c>
      <c r="AA148" cm="1">
        <f t="array" ref="AA148">SUMPRODUCT(IF(LEFT($A$4:$A$108,3)=LEFT($A148,3),IF($B$4:$B$108=$B148,IF($C$3:$AZ$3=AA$112,$C$4:$AZ$108))))</f>
        <v>251.345</v>
      </c>
      <c r="AB148" cm="1">
        <f t="array" ref="AB148">SUMPRODUCT(IF(LEFT($A$4:$A$108,3)=LEFT($A148,3),IF($B$4:$B$108=$B148,IF($C$3:$AZ$3=AB$112,$C$4:$AZ$108))))</f>
        <v>103.176</v>
      </c>
      <c r="AC148" cm="1">
        <f t="array" ref="AC148">SUMPRODUCT(IF(LEFT($A$4:$A$108,3)=LEFT($A148,3),IF($B$4:$B$108=$B148,IF($C$3:$AZ$3=AC$112,$C$4:$AZ$108))))</f>
        <v>76.244</v>
      </c>
      <c r="AD148" cm="1">
        <f t="array" ref="AD148">SUMPRODUCT(IF(LEFT($A$4:$A$108,3)=LEFT($A148,3),IF($B$4:$B$108=$B148,IF($C$3:$AZ$3=AD$112,$C$4:$AZ$108))))</f>
        <v>881.55899999999997</v>
      </c>
      <c r="AE148" cm="1">
        <f t="array" ref="AE148">SUMPRODUCT(IF(LEFT($A$4:$A$108,3)=LEFT($A148,3),IF($B$4:$B$108=$B148,IF($C$3:$AZ$3=AE$112,$C$4:$AZ$108))))</f>
        <v>7753.1779999999999</v>
      </c>
      <c r="AF148" cm="1">
        <f t="array" ref="AF148">SUMPRODUCT(IF(LEFT($A$4:$A$108,3)=LEFT($A148,3),IF($B$4:$B$108=$B148,IF($C$3:$AZ$3=AF$112,$C$4:$AZ$108))))</f>
        <v>1097.636</v>
      </c>
      <c r="AG148" cm="1">
        <f t="array" ref="AG148">SUMPRODUCT(IF(LEFT($A$4:$A$108,3)=LEFT($A148,3),IF($B$4:$B$108=$B148,IF($C$3:$AZ$3=AG$112,$C$4:$AZ$108))))</f>
        <v>3778.5219999999999</v>
      </c>
      <c r="AH148" cm="1">
        <f t="array" ref="AH148">SUMPRODUCT(IF(LEFT($A$4:$A$108,3)=LEFT($A148,3),IF($B$4:$B$108=$B148,IF($C$3:$AZ$3=AH$112,$C$4:$AZ$108))))</f>
        <v>417.61799999999999</v>
      </c>
      <c r="AI148" cm="1">
        <f t="array" ref="AI148">SUMPRODUCT(IF(LEFT($A$4:$A$108,3)=LEFT($A148,3),IF($B$4:$B$108=$B148,IF($C$3:$AZ$3=AI$112,$C$4:$AZ$108))))</f>
        <v>617.75</v>
      </c>
      <c r="AJ148" cm="1">
        <f t="array" ref="AJ148">SUMPRODUCT(IF(LEFT($A$4:$A$108,3)=LEFT($A148,3),IF($B$4:$B$108=$B148,IF($C$3:$AZ$3=AJ$112,$C$4:$AZ$108))))</f>
        <v>592.64700000000005</v>
      </c>
      <c r="AK148" cm="1">
        <f t="array" ref="AK148">SUMPRODUCT(IF(LEFT($A$4:$A$108,3)=LEFT($A148,3),IF($B$4:$B$108=$B148,IF($C$3:$AZ$3=AK$112,$C$4:$AZ$108))))</f>
        <v>1373.7339999999999</v>
      </c>
      <c r="AL148" cm="1">
        <f t="array" ref="AL148">SUMPRODUCT(IF(LEFT($A$4:$A$108,3)=LEFT($A148,3),IF($B$4:$B$108=$B148,IF($C$3:$AZ$3=AL$112,$C$4:$AZ$108))))</f>
        <v>2836.1860000000001</v>
      </c>
      <c r="AM148" cm="1">
        <f t="array" ref="AM148">SUMPRODUCT(IF(LEFT($A$4:$A$108,3)=LEFT($A148,3),IF($B$4:$B$108=$B148,IF($C$3:$AZ$3=AM$112,$C$4:$AZ$108))))</f>
        <v>3119.4480000000003</v>
      </c>
      <c r="AN148" cm="1">
        <f t="array" ref="AN148">SUMPRODUCT(IF(LEFT($A$4:$A$108,3)=LEFT($A148,3),IF($B$4:$B$108=$B148,IF($C$3:$AZ$3=AN$112,$C$4:$AZ$108))))</f>
        <v>799.58299999999997</v>
      </c>
      <c r="AO148" cm="1">
        <f t="array" ref="AO148">SUMPRODUCT(IF(LEFT($A$4:$A$108,3)=LEFT($A148,3),IF($B$4:$B$108=$B148,IF($C$3:$AZ$3=AO$112,$C$4:$AZ$108))))</f>
        <v>969.72699999999998</v>
      </c>
      <c r="AP148" cm="1">
        <f t="array" ref="AP148">SUMPRODUCT(IF(LEFT($A$4:$A$108,3)=LEFT($A148,3),IF($B$4:$B$108=$B148,IF($C$3:$AZ$3=AP$112,$C$4:$AZ$108))))</f>
        <v>1040.386</v>
      </c>
      <c r="AQ148" cm="1">
        <f t="array" ref="AQ148">SUMPRODUCT(IF(LEFT($A$4:$A$108,3)=LEFT($A148,3),IF($B$4:$B$108=$B148,IF($C$3:$AZ$3=AQ$112,$C$4:$AZ$108))))</f>
        <v>1442.2840000000001</v>
      </c>
      <c r="AR148" cm="1">
        <f t="array" ref="AR148">SUMPRODUCT(IF(LEFT($A$4:$A$108,3)=LEFT($A148,3),IF($B$4:$B$108=$B148,IF($C$3:$AZ$3=AR$112,$C$4:$AZ$108))))</f>
        <v>0</v>
      </c>
      <c r="AS148">
        <f t="shared" si="1"/>
        <v>201295.33499999999</v>
      </c>
    </row>
    <row r="149" spans="1:45">
      <c r="A149" t="s">
        <v>384</v>
      </c>
      <c r="B149" t="s">
        <v>29</v>
      </c>
      <c r="C149" cm="1">
        <f t="array" ref="C149">SUMPRODUCT(IF(LEFT($A$4:$A$108,3)=LEFT($A149,3),IF($B$4:$B$108=$B149,IF($C$3:$AZ$3=C$112,$C$4:$AZ$108))))</f>
        <v>800.68499999999995</v>
      </c>
      <c r="D149" cm="1">
        <f t="array" ref="D149">SUMPRODUCT(IF(LEFT($A$4:$A$108,3)=LEFT($A149,3),IF($B$4:$B$108=$B149,IF($C$3:$AZ$3=D$112,$C$4:$AZ$108))))</f>
        <v>10.849</v>
      </c>
      <c r="E149" cm="1">
        <f t="array" ref="E149">SUMPRODUCT(IF(LEFT($A$4:$A$108,3)=LEFT($A149,3),IF($B$4:$B$108=$B149,IF($C$3:$AZ$3=E$112,$C$4:$AZ$108))))</f>
        <v>9.2740000000000009</v>
      </c>
      <c r="F149" cm="1">
        <f t="array" ref="F149">SUMPRODUCT(IF(LEFT($A$4:$A$108,3)=LEFT($A149,3),IF($B$4:$B$108=$B149,IF($C$3:$AZ$3=F$112,$C$4:$AZ$108))))</f>
        <v>173.458</v>
      </c>
      <c r="G149" cm="1">
        <f t="array" ref="G149">SUMPRODUCT(IF(LEFT($A$4:$A$108,3)=LEFT($A149,3),IF($B$4:$B$108=$B149,IF($C$3:$AZ$3=G$112,$C$4:$AZ$108))))</f>
        <v>1.927</v>
      </c>
      <c r="H149" cm="1">
        <f t="array" ref="H149">SUMPRODUCT(IF(LEFT($A$4:$A$108,3)=LEFT($A149,3),IF($B$4:$B$108=$B149,IF($C$3:$AZ$3=H$112,$C$4:$AZ$108))))</f>
        <v>3929.2460000000001</v>
      </c>
      <c r="I149" cm="1">
        <f t="array" ref="I149">SUMPRODUCT(IF(LEFT($A$4:$A$108,3)=LEFT($A149,3),IF($B$4:$B$108=$B149,IF($C$3:$AZ$3=I$112,$C$4:$AZ$108))))</f>
        <v>1388.931</v>
      </c>
      <c r="J149" cm="1">
        <f t="array" ref="J149">SUMPRODUCT(IF(LEFT($A$4:$A$108,3)=LEFT($A149,3),IF($B$4:$B$108=$B149,IF($C$3:$AZ$3=J$112,$C$4:$AZ$108))))</f>
        <v>174.42599999999999</v>
      </c>
      <c r="K149" cm="1">
        <f t="array" ref="K149">SUMPRODUCT(IF(LEFT($A$4:$A$108,3)=LEFT($A149,3),IF($B$4:$B$108=$B149,IF($C$3:$AZ$3=K$112,$C$4:$AZ$108))))</f>
        <v>904.15300000000002</v>
      </c>
      <c r="L149" cm="1">
        <f t="array" ref="L149">SUMPRODUCT(IF(LEFT($A$4:$A$108,3)=LEFT($A149,3),IF($B$4:$B$108=$B149,IF($C$3:$AZ$3=L$112,$C$4:$AZ$108))))</f>
        <v>1034.9270000000001</v>
      </c>
      <c r="M149" cm="1">
        <f t="array" ref="M149">SUMPRODUCT(IF(LEFT($A$4:$A$108,3)=LEFT($A149,3),IF($B$4:$B$108=$B149,IF($C$3:$AZ$3=M$112,$C$4:$AZ$108))))</f>
        <v>3904.2659999999996</v>
      </c>
      <c r="N149" cm="1">
        <f t="array" ref="N149">SUMPRODUCT(IF(LEFT($A$4:$A$108,3)=LEFT($A149,3),IF($B$4:$B$108=$B149,IF($C$3:$AZ$3=N$112,$C$4:$AZ$108))))</f>
        <v>932.10799999999995</v>
      </c>
      <c r="O149" cm="1">
        <f t="array" ref="O149">SUMPRODUCT(IF(LEFT($A$4:$A$108,3)=LEFT($A149,3),IF($B$4:$B$108=$B149,IF($C$3:$AZ$3=O$112,$C$4:$AZ$108))))</f>
        <v>1630.4470000000001</v>
      </c>
      <c r="P149" s="4" cm="1">
        <f t="array" ref="P149">SUMPRODUCT(IF(LEFT($A$4:$A$108,3)=LEFT($A149,3),IF($B$4:$B$108=$B149,IF($C$3:$AZ$3=P$112,$C$4:$AZ$108))))*'Cement and Glass Split'!O84</f>
        <v>658.32733461256703</v>
      </c>
      <c r="Q149" s="4" cm="1">
        <f t="array" ref="Q149">SUMPRODUCT(IF(LEFT($A$4:$A$108,3)=LEFT($A149,3),IF($B$4:$B$108=$B149,IF($C$3:$AZ$3=P$112,$C$4:$AZ$108))))*'Cement and Glass Split'!P84</f>
        <v>433.13566538743282</v>
      </c>
      <c r="R149" cm="1">
        <f t="array" ref="R149">SUMPRODUCT(IF(LEFT($A$4:$A$108,3)=LEFT($A149,3),IF($B$4:$B$108=$B149,IF($C$3:$AZ$3=R$112,$C$4:$AZ$108))))</f>
        <v>1547.0530000000001</v>
      </c>
      <c r="S149" cm="1">
        <f t="array" ref="S149">SUMPRODUCT(IF(LEFT($A$4:$A$108,3)=LEFT($A149,3),IF($B$4:$B$108=$B149,IF($C$3:$AZ$3=S$112,$C$4:$AZ$108))))</f>
        <v>717.76800000000003</v>
      </c>
      <c r="T149" cm="1">
        <f t="array" ref="T149">SUMPRODUCT(IF(LEFT($A$4:$A$108,3)=LEFT($A149,3),IF($B$4:$B$108=$B149,IF($C$3:$AZ$3=T$112,$C$4:$AZ$108))))</f>
        <v>2245.605</v>
      </c>
      <c r="U149" cm="1">
        <f t="array" ref="U149">SUMPRODUCT(IF(LEFT($A$4:$A$108,3)=LEFT($A149,3),IF($B$4:$B$108=$B149,IF($C$3:$AZ$3=U$112,$C$4:$AZ$108))))</f>
        <v>6891.7690000000002</v>
      </c>
      <c r="V149" cm="1">
        <f t="array" ref="V149">SUMPRODUCT(IF(LEFT($A$4:$A$108,3)=LEFT($A149,3),IF($B$4:$B$108=$B149,IF($C$3:$AZ$3=V$112,$C$4:$AZ$108))))</f>
        <v>2615.1840000000002</v>
      </c>
      <c r="W149" cm="1">
        <f t="array" ref="W149">SUMPRODUCT(IF(LEFT($A$4:$A$108,3)=LEFT($A149,3),IF($B$4:$B$108=$B149,IF($C$3:$AZ$3=W$112,$C$4:$AZ$108))))</f>
        <v>3488.5720000000001</v>
      </c>
      <c r="X149" cm="1">
        <f t="array" ref="X149">SUMPRODUCT(IF(LEFT($A$4:$A$108,3)=LEFT($A149,3),IF($B$4:$B$108=$B149,IF($C$3:$AZ$3=X$112,$C$4:$AZ$108))))</f>
        <v>5144.7090000000007</v>
      </c>
      <c r="Y149" cm="1">
        <f t="array" ref="Y149">SUMPRODUCT(IF(LEFT($A$4:$A$108,3)=LEFT($A149,3),IF($B$4:$B$108=$B149,IF($C$3:$AZ$3=Y$112,$C$4:$AZ$108))))</f>
        <v>1587.9390000000001</v>
      </c>
      <c r="Z149" cm="1">
        <f t="array" ref="Z149">SUMPRODUCT(IF(LEFT($A$4:$A$108,3)=LEFT($A149,3),IF($B$4:$B$108=$B149,IF($C$3:$AZ$3=Z$112,$C$4:$AZ$108))))</f>
        <v>734.096</v>
      </c>
      <c r="AA149" cm="1">
        <f t="array" ref="AA149">SUMPRODUCT(IF(LEFT($A$4:$A$108,3)=LEFT($A149,3),IF($B$4:$B$108=$B149,IF($C$3:$AZ$3=AA$112,$C$4:$AZ$108))))</f>
        <v>3681.3</v>
      </c>
      <c r="AB149" cm="1">
        <f t="array" ref="AB149">SUMPRODUCT(IF(LEFT($A$4:$A$108,3)=LEFT($A149,3),IF($B$4:$B$108=$B149,IF($C$3:$AZ$3=AB$112,$C$4:$AZ$108))))</f>
        <v>551.65300000000002</v>
      </c>
      <c r="AC149" cm="1">
        <f t="array" ref="AC149">SUMPRODUCT(IF(LEFT($A$4:$A$108,3)=LEFT($A149,3),IF($B$4:$B$108=$B149,IF($C$3:$AZ$3=AC$112,$C$4:$AZ$108))))</f>
        <v>917.76400000000001</v>
      </c>
      <c r="AD149" cm="1">
        <f t="array" ref="AD149">SUMPRODUCT(IF(LEFT($A$4:$A$108,3)=LEFT($A149,3),IF($B$4:$B$108=$B149,IF($C$3:$AZ$3=AD$112,$C$4:$AZ$108))))</f>
        <v>11930.906000000001</v>
      </c>
      <c r="AE149" cm="1">
        <f t="array" ref="AE149">SUMPRODUCT(IF(LEFT($A$4:$A$108,3)=LEFT($A149,3),IF($B$4:$B$108=$B149,IF($C$3:$AZ$3=AE$112,$C$4:$AZ$108))))</f>
        <v>16406.010000000002</v>
      </c>
      <c r="AF149" cm="1">
        <f t="array" ref="AF149">SUMPRODUCT(IF(LEFT($A$4:$A$108,3)=LEFT($A149,3),IF($B$4:$B$108=$B149,IF($C$3:$AZ$3=AF$112,$C$4:$AZ$108))))</f>
        <v>5567.982</v>
      </c>
      <c r="AG149" cm="1">
        <f t="array" ref="AG149">SUMPRODUCT(IF(LEFT($A$4:$A$108,3)=LEFT($A149,3),IF($B$4:$B$108=$B149,IF($C$3:$AZ$3=AG$112,$C$4:$AZ$108))))</f>
        <v>5594.4619999999995</v>
      </c>
      <c r="AH149" cm="1">
        <f t="array" ref="AH149">SUMPRODUCT(IF(LEFT($A$4:$A$108,3)=LEFT($A149,3),IF($B$4:$B$108=$B149,IF($C$3:$AZ$3=AH$112,$C$4:$AZ$108))))</f>
        <v>2489.5699999999997</v>
      </c>
      <c r="AI149" cm="1">
        <f t="array" ref="AI149">SUMPRODUCT(IF(LEFT($A$4:$A$108,3)=LEFT($A149,3),IF($B$4:$B$108=$B149,IF($C$3:$AZ$3=AI$112,$C$4:$AZ$108))))</f>
        <v>3523.317</v>
      </c>
      <c r="AJ149" cm="1">
        <f t="array" ref="AJ149">SUMPRODUCT(IF(LEFT($A$4:$A$108,3)=LEFT($A149,3),IF($B$4:$B$108=$B149,IF($C$3:$AZ$3=AJ$112,$C$4:$AZ$108))))</f>
        <v>3327.0569999999998</v>
      </c>
      <c r="AK149" cm="1">
        <f t="array" ref="AK149">SUMPRODUCT(IF(LEFT($A$4:$A$108,3)=LEFT($A149,3),IF($B$4:$B$108=$B149,IF($C$3:$AZ$3=AK$112,$C$4:$AZ$108))))</f>
        <v>7937.5760000000009</v>
      </c>
      <c r="AL149" cm="1">
        <f t="array" ref="AL149">SUMPRODUCT(IF(LEFT($A$4:$A$108,3)=LEFT($A149,3),IF($B$4:$B$108=$B149,IF($C$3:$AZ$3=AL$112,$C$4:$AZ$108))))</f>
        <v>7492.7439999999997</v>
      </c>
      <c r="AM149" cm="1">
        <f t="array" ref="AM149">SUMPRODUCT(IF(LEFT($A$4:$A$108,3)=LEFT($A149,3),IF($B$4:$B$108=$B149,IF($C$3:$AZ$3=AM$112,$C$4:$AZ$108))))</f>
        <v>37795.004999999997</v>
      </c>
      <c r="AN149" cm="1">
        <f t="array" ref="AN149">SUMPRODUCT(IF(LEFT($A$4:$A$108,3)=LEFT($A149,3),IF($B$4:$B$108=$B149,IF($C$3:$AZ$3=AN$112,$C$4:$AZ$108))))</f>
        <v>6619.6769999999997</v>
      </c>
      <c r="AO149" cm="1">
        <f t="array" ref="AO149">SUMPRODUCT(IF(LEFT($A$4:$A$108,3)=LEFT($A149,3),IF($B$4:$B$108=$B149,IF($C$3:$AZ$3=AO$112,$C$4:$AZ$108))))</f>
        <v>4409.7579999999998</v>
      </c>
      <c r="AP149" cm="1">
        <f t="array" ref="AP149">SUMPRODUCT(IF(LEFT($A$4:$A$108,3)=LEFT($A149,3),IF($B$4:$B$108=$B149,IF($C$3:$AZ$3=AP$112,$C$4:$AZ$108))))</f>
        <v>4058.0340000000001</v>
      </c>
      <c r="AQ149" cm="1">
        <f t="array" ref="AQ149">SUMPRODUCT(IF(LEFT($A$4:$A$108,3)=LEFT($A149,3),IF($B$4:$B$108=$B149,IF($C$3:$AZ$3=AQ$112,$C$4:$AZ$108))))</f>
        <v>4990.4809999999998</v>
      </c>
      <c r="AR149" cm="1">
        <f t="array" ref="AR149">SUMPRODUCT(IF(LEFT($A$4:$A$108,3)=LEFT($A149,3),IF($B$4:$B$108=$B149,IF($C$3:$AZ$3=AR$112,$C$4:$AZ$108))))</f>
        <v>0</v>
      </c>
      <c r="AS149">
        <f t="shared" si="1"/>
        <v>284616.24899999995</v>
      </c>
    </row>
    <row r="150" spans="1:45">
      <c r="A150" t="s">
        <v>384</v>
      </c>
      <c r="B150" t="s">
        <v>30</v>
      </c>
      <c r="C150" cm="1">
        <f t="array" ref="C150">SUMPRODUCT(IF(LEFT($A$4:$A$108,3)=LEFT($A150,3),IF($B$4:$B$108=$B150,IF($C$3:$AZ$3=C$112,$C$4:$AZ$108))))</f>
        <v>23.837</v>
      </c>
      <c r="D150" cm="1">
        <f t="array" ref="D150">SUMPRODUCT(IF(LEFT($A$4:$A$108,3)=LEFT($A150,3),IF($B$4:$B$108=$B150,IF($C$3:$AZ$3=D$112,$C$4:$AZ$108))))</f>
        <v>0.161</v>
      </c>
      <c r="E150" cm="1">
        <f t="array" ref="E150">SUMPRODUCT(IF(LEFT($A$4:$A$108,3)=LEFT($A150,3),IF($B$4:$B$108=$B150,IF($C$3:$AZ$3=E$112,$C$4:$AZ$108))))</f>
        <v>4.5999999999999999E-2</v>
      </c>
      <c r="F150" cm="1">
        <f t="array" ref="F150">SUMPRODUCT(IF(LEFT($A$4:$A$108,3)=LEFT($A150,3),IF($B$4:$B$108=$B150,IF($C$3:$AZ$3=F$112,$C$4:$AZ$108))))</f>
        <v>1.804</v>
      </c>
      <c r="G150" cm="1">
        <f t="array" ref="G150">SUMPRODUCT(IF(LEFT($A$4:$A$108,3)=LEFT($A150,3),IF($B$4:$B$108=$B150,IF($C$3:$AZ$3=G$112,$C$4:$AZ$108))))</f>
        <v>1.2999999999999999E-2</v>
      </c>
      <c r="H150" cm="1">
        <f t="array" ref="H150">SUMPRODUCT(IF(LEFT($A$4:$A$108,3)=LEFT($A150,3),IF($B$4:$B$108=$B150,IF($C$3:$AZ$3=H$112,$C$4:$AZ$108))))</f>
        <v>78.153999999999996</v>
      </c>
      <c r="I150" cm="1">
        <f t="array" ref="I150">SUMPRODUCT(IF(LEFT($A$4:$A$108,3)=LEFT($A150,3),IF($B$4:$B$108=$B150,IF($C$3:$AZ$3=I$112,$C$4:$AZ$108))))</f>
        <v>28.422000000000001</v>
      </c>
      <c r="J150" cm="1">
        <f t="array" ref="J150">SUMPRODUCT(IF(LEFT($A$4:$A$108,3)=LEFT($A150,3),IF($B$4:$B$108=$B150,IF($C$3:$AZ$3=J$112,$C$4:$AZ$108))))</f>
        <v>6.04</v>
      </c>
      <c r="K150" cm="1">
        <f t="array" ref="K150">SUMPRODUCT(IF(LEFT($A$4:$A$108,3)=LEFT($A150,3),IF($B$4:$B$108=$B150,IF($C$3:$AZ$3=K$112,$C$4:$AZ$108))))</f>
        <v>26.007000000000001</v>
      </c>
      <c r="L150" cm="1">
        <f t="array" ref="L150">SUMPRODUCT(IF(LEFT($A$4:$A$108,3)=LEFT($A150,3),IF($B$4:$B$108=$B150,IF($C$3:$AZ$3=L$112,$C$4:$AZ$108))))</f>
        <v>12.69</v>
      </c>
      <c r="M150" cm="1">
        <f t="array" ref="M150">SUMPRODUCT(IF(LEFT($A$4:$A$108,3)=LEFT($A150,3),IF($B$4:$B$108=$B150,IF($C$3:$AZ$3=M$112,$C$4:$AZ$108))))</f>
        <v>61.496000000000002</v>
      </c>
      <c r="N150" cm="1">
        <f t="array" ref="N150">SUMPRODUCT(IF(LEFT($A$4:$A$108,3)=LEFT($A150,3),IF($B$4:$B$108=$B150,IF($C$3:$AZ$3=N$112,$C$4:$AZ$108))))</f>
        <v>16.324000000000002</v>
      </c>
      <c r="O150" cm="1">
        <f t="array" ref="O150">SUMPRODUCT(IF(LEFT($A$4:$A$108,3)=LEFT($A150,3),IF($B$4:$B$108=$B150,IF($C$3:$AZ$3=O$112,$C$4:$AZ$108))))</f>
        <v>24.164999999999999</v>
      </c>
      <c r="P150" s="4" cm="1">
        <f t="array" ref="P150">SUMPRODUCT(IF(LEFT($A$4:$A$108,3)=LEFT($A150,3),IF($B$4:$B$108=$B150,IF($C$3:$AZ$3=P$112,$C$4:$AZ$108))))*'Cement and Glass Split'!O85</f>
        <v>0</v>
      </c>
      <c r="Q150" s="4" cm="1">
        <f t="array" ref="Q150">SUMPRODUCT(IF(LEFT($A$4:$A$108,3)=LEFT($A150,3),IF($B$4:$B$108=$B150,IF($C$3:$AZ$3=P$112,$C$4:$AZ$108))))*'Cement and Glass Split'!P85</f>
        <v>0</v>
      </c>
      <c r="R150" cm="1">
        <f t="array" ref="R150">SUMPRODUCT(IF(LEFT($A$4:$A$108,3)=LEFT($A150,3),IF($B$4:$B$108=$B150,IF($C$3:$AZ$3=R$112,$C$4:$AZ$108))))</f>
        <v>77.521000000000001</v>
      </c>
      <c r="S150" cm="1">
        <f t="array" ref="S150">SUMPRODUCT(IF(LEFT($A$4:$A$108,3)=LEFT($A150,3),IF($B$4:$B$108=$B150,IF($C$3:$AZ$3=S$112,$C$4:$AZ$108))))</f>
        <v>43.941000000000003</v>
      </c>
      <c r="T150" cm="1">
        <f t="array" ref="T150">SUMPRODUCT(IF(LEFT($A$4:$A$108,3)=LEFT($A150,3),IF($B$4:$B$108=$B150,IF($C$3:$AZ$3=T$112,$C$4:$AZ$108))))</f>
        <v>49.365000000000002</v>
      </c>
      <c r="U150" cm="1">
        <f t="array" ref="U150">SUMPRODUCT(IF(LEFT($A$4:$A$108,3)=LEFT($A150,3),IF($B$4:$B$108=$B150,IF($C$3:$AZ$3=U$112,$C$4:$AZ$108))))</f>
        <v>45.069000000000003</v>
      </c>
      <c r="V150" cm="1">
        <f t="array" ref="V150">SUMPRODUCT(IF(LEFT($A$4:$A$108,3)=LEFT($A150,3),IF($B$4:$B$108=$B150,IF($C$3:$AZ$3=V$112,$C$4:$AZ$108))))</f>
        <v>41.28</v>
      </c>
      <c r="W150" cm="1">
        <f t="array" ref="W150">SUMPRODUCT(IF(LEFT($A$4:$A$108,3)=LEFT($A150,3),IF($B$4:$B$108=$B150,IF($C$3:$AZ$3=W$112,$C$4:$AZ$108))))</f>
        <v>51.433</v>
      </c>
      <c r="X150" cm="1">
        <f t="array" ref="X150">SUMPRODUCT(IF(LEFT($A$4:$A$108,3)=LEFT($A150,3),IF($B$4:$B$108=$B150,IF($C$3:$AZ$3=X$112,$C$4:$AZ$108))))</f>
        <v>70.028000000000006</v>
      </c>
      <c r="Y150" cm="1">
        <f t="array" ref="Y150">SUMPRODUCT(IF(LEFT($A$4:$A$108,3)=LEFT($A150,3),IF($B$4:$B$108=$B150,IF($C$3:$AZ$3=Y$112,$C$4:$AZ$108))))</f>
        <v>21.399000000000001</v>
      </c>
      <c r="Z150" cm="1">
        <f t="array" ref="Z150">SUMPRODUCT(IF(LEFT($A$4:$A$108,3)=LEFT($A150,3),IF($B$4:$B$108=$B150,IF($C$3:$AZ$3=Z$112,$C$4:$AZ$108))))</f>
        <v>13.029</v>
      </c>
      <c r="AA150" cm="1">
        <f t="array" ref="AA150">SUMPRODUCT(IF(LEFT($A$4:$A$108,3)=LEFT($A150,3),IF($B$4:$B$108=$B150,IF($C$3:$AZ$3=AA$112,$C$4:$AZ$108))))</f>
        <v>83.24</v>
      </c>
      <c r="AB150" cm="1">
        <f t="array" ref="AB150">SUMPRODUCT(IF(LEFT($A$4:$A$108,3)=LEFT($A150,3),IF($B$4:$B$108=$B150,IF($C$3:$AZ$3=AB$112,$C$4:$AZ$108))))</f>
        <v>23.42</v>
      </c>
      <c r="AC150" cm="1">
        <f t="array" ref="AC150">SUMPRODUCT(IF(LEFT($A$4:$A$108,3)=LEFT($A150,3),IF($B$4:$B$108=$B150,IF($C$3:$AZ$3=AC$112,$C$4:$AZ$108))))</f>
        <v>71.355000000000004</v>
      </c>
      <c r="AD150" cm="1">
        <f t="array" ref="AD150">SUMPRODUCT(IF(LEFT($A$4:$A$108,3)=LEFT($A150,3),IF($B$4:$B$108=$B150,IF($C$3:$AZ$3=AD$112,$C$4:$AZ$108))))</f>
        <v>153.21700000000001</v>
      </c>
      <c r="AE150" cm="1">
        <f t="array" ref="AE150">SUMPRODUCT(IF(LEFT($A$4:$A$108,3)=LEFT($A150,3),IF($B$4:$B$108=$B150,IF($C$3:$AZ$3=AE$112,$C$4:$AZ$108))))</f>
        <v>288.85399999999998</v>
      </c>
      <c r="AF150" cm="1">
        <f t="array" ref="AF150">SUMPRODUCT(IF(LEFT($A$4:$A$108,3)=LEFT($A150,3),IF($B$4:$B$108=$B150,IF($C$3:$AZ$3=AF$112,$C$4:$AZ$108))))</f>
        <v>75.179000000000002</v>
      </c>
      <c r="AG150" cm="1">
        <f t="array" ref="AG150">SUMPRODUCT(IF(LEFT($A$4:$A$108,3)=LEFT($A150,3),IF($B$4:$B$108=$B150,IF($C$3:$AZ$3=AG$112,$C$4:$AZ$108))))</f>
        <v>121.673</v>
      </c>
      <c r="AH150" cm="1">
        <f t="array" ref="AH150">SUMPRODUCT(IF(LEFT($A$4:$A$108,3)=LEFT($A150,3),IF($B$4:$B$108=$B150,IF($C$3:$AZ$3=AH$112,$C$4:$AZ$108))))</f>
        <v>24.675000000000001</v>
      </c>
      <c r="AI150" cm="1">
        <f t="array" ref="AI150">SUMPRODUCT(IF(LEFT($A$4:$A$108,3)=LEFT($A150,3),IF($B$4:$B$108=$B150,IF($C$3:$AZ$3=AI$112,$C$4:$AZ$108))))</f>
        <v>48.682000000000002</v>
      </c>
      <c r="AJ150" cm="1">
        <f t="array" ref="AJ150">SUMPRODUCT(IF(LEFT($A$4:$A$108,3)=LEFT($A150,3),IF($B$4:$B$108=$B150,IF($C$3:$AZ$3=AJ$112,$C$4:$AZ$108))))</f>
        <v>31.446000000000002</v>
      </c>
      <c r="AK150" cm="1">
        <f t="array" ref="AK150">SUMPRODUCT(IF(LEFT($A$4:$A$108,3)=LEFT($A150,3),IF($B$4:$B$108=$B150,IF($C$3:$AZ$3=AK$112,$C$4:$AZ$108))))</f>
        <v>142.88</v>
      </c>
      <c r="AL150" cm="1">
        <f t="array" ref="AL150">SUMPRODUCT(IF(LEFT($A$4:$A$108,3)=LEFT($A150,3),IF($B$4:$B$108=$B150,IF($C$3:$AZ$3=AL$112,$C$4:$AZ$108))))</f>
        <v>123.18600000000001</v>
      </c>
      <c r="AM150" cm="1">
        <f t="array" ref="AM150">SUMPRODUCT(IF(LEFT($A$4:$A$108,3)=LEFT($A150,3),IF($B$4:$B$108=$B150,IF($C$3:$AZ$3=AM$112,$C$4:$AZ$108))))</f>
        <v>236.423</v>
      </c>
      <c r="AN150" cm="1">
        <f t="array" ref="AN150">SUMPRODUCT(IF(LEFT($A$4:$A$108,3)=LEFT($A150,3),IF($B$4:$B$108=$B150,IF($C$3:$AZ$3=AN$112,$C$4:$AZ$108))))</f>
        <v>265.51400000000001</v>
      </c>
      <c r="AO150" cm="1">
        <f t="array" ref="AO150">SUMPRODUCT(IF(LEFT($A$4:$A$108,3)=LEFT($A150,3),IF($B$4:$B$108=$B150,IF($C$3:$AZ$3=AO$112,$C$4:$AZ$108))))</f>
        <v>78.515000000000001</v>
      </c>
      <c r="AP150" cm="1">
        <f t="array" ref="AP150">SUMPRODUCT(IF(LEFT($A$4:$A$108,3)=LEFT($A150,3),IF($B$4:$B$108=$B150,IF($C$3:$AZ$3=AP$112,$C$4:$AZ$108))))</f>
        <v>89.733000000000004</v>
      </c>
      <c r="AQ150" cm="1">
        <f t="array" ref="AQ150">SUMPRODUCT(IF(LEFT($A$4:$A$108,3)=LEFT($A150,3),IF($B$4:$B$108=$B150,IF($C$3:$AZ$3=AQ$112,$C$4:$AZ$108))))</f>
        <v>121.05800000000001</v>
      </c>
      <c r="AR150" cm="1">
        <f t="array" ref="AR150">SUMPRODUCT(IF(LEFT($A$4:$A$108,3)=LEFT($A150,3),IF($B$4:$B$108=$B150,IF($C$3:$AZ$3=AR$112,$C$4:$AZ$108))))</f>
        <v>0</v>
      </c>
      <c r="AS150">
        <f t="shared" si="1"/>
        <v>158136.86300000001</v>
      </c>
    </row>
    <row r="151" spans="1:45">
      <c r="A151" t="s">
        <v>384</v>
      </c>
      <c r="B151" t="s">
        <v>31</v>
      </c>
      <c r="C151" cm="1">
        <f t="array" ref="C151">SUMPRODUCT(IF(LEFT($A$4:$A$108,3)=LEFT($A151,3),IF($B$4:$B$108=$B151,IF($C$3:$AZ$3=C$112,$C$4:$AZ$108))))</f>
        <v>19.539000000000001</v>
      </c>
      <c r="D151" cm="1">
        <f t="array" ref="D151">SUMPRODUCT(IF(LEFT($A$4:$A$108,3)=LEFT($A151,3),IF($B$4:$B$108=$B151,IF($C$3:$AZ$3=D$112,$C$4:$AZ$108))))</f>
        <v>0.154</v>
      </c>
      <c r="E151" cm="1">
        <f t="array" ref="E151">SUMPRODUCT(IF(LEFT($A$4:$A$108,3)=LEFT($A151,3),IF($B$4:$B$108=$B151,IF($C$3:$AZ$3=E$112,$C$4:$AZ$108))))</f>
        <v>0.13100000000000001</v>
      </c>
      <c r="F151" cm="1">
        <f t="array" ref="F151">SUMPRODUCT(IF(LEFT($A$4:$A$108,3)=LEFT($A151,3),IF($B$4:$B$108=$B151,IF($C$3:$AZ$3=F$112,$C$4:$AZ$108))))</f>
        <v>3.3109999999999999</v>
      </c>
      <c r="G151" cm="1">
        <f t="array" ref="G151">SUMPRODUCT(IF(LEFT($A$4:$A$108,3)=LEFT($A151,3),IF($B$4:$B$108=$B151,IF($C$3:$AZ$3=G$112,$C$4:$AZ$108))))</f>
        <v>1.7000000000000001E-2</v>
      </c>
      <c r="H151" cm="1">
        <f t="array" ref="H151">SUMPRODUCT(IF(LEFT($A$4:$A$108,3)=LEFT($A151,3),IF($B$4:$B$108=$B151,IF($C$3:$AZ$3=H$112,$C$4:$AZ$108))))</f>
        <v>85.772000000000006</v>
      </c>
      <c r="I151" cm="1">
        <f t="array" ref="I151">SUMPRODUCT(IF(LEFT($A$4:$A$108,3)=LEFT($A151,3),IF($B$4:$B$108=$B151,IF($C$3:$AZ$3=I$112,$C$4:$AZ$108))))</f>
        <v>47.718000000000004</v>
      </c>
      <c r="J151" cm="1">
        <f t="array" ref="J151">SUMPRODUCT(IF(LEFT($A$4:$A$108,3)=LEFT($A151,3),IF($B$4:$B$108=$B151,IF($C$3:$AZ$3=J$112,$C$4:$AZ$108))))</f>
        <v>6.3289999999999997</v>
      </c>
      <c r="K151" cm="1">
        <f t="array" ref="K151">SUMPRODUCT(IF(LEFT($A$4:$A$108,3)=LEFT($A151,3),IF($B$4:$B$108=$B151,IF($C$3:$AZ$3=K$112,$C$4:$AZ$108))))</f>
        <v>20.736999999999998</v>
      </c>
      <c r="L151" cm="1">
        <f t="array" ref="L151">SUMPRODUCT(IF(LEFT($A$4:$A$108,3)=LEFT($A151,3),IF($B$4:$B$108=$B151,IF($C$3:$AZ$3=L$112,$C$4:$AZ$108))))</f>
        <v>26.741</v>
      </c>
      <c r="M151" cm="1">
        <f t="array" ref="M151">SUMPRODUCT(IF(LEFT($A$4:$A$108,3)=LEFT($A151,3),IF($B$4:$B$108=$B151,IF($C$3:$AZ$3=M$112,$C$4:$AZ$108))))</f>
        <v>115.178</v>
      </c>
      <c r="N151" cm="1">
        <f t="array" ref="N151">SUMPRODUCT(IF(LEFT($A$4:$A$108,3)=LEFT($A151,3),IF($B$4:$B$108=$B151,IF($C$3:$AZ$3=N$112,$C$4:$AZ$108))))</f>
        <v>21.657</v>
      </c>
      <c r="O151" cm="1">
        <f t="array" ref="O151">SUMPRODUCT(IF(LEFT($A$4:$A$108,3)=LEFT($A151,3),IF($B$4:$B$108=$B151,IF($C$3:$AZ$3=O$112,$C$4:$AZ$108))))</f>
        <v>51.965000000000003</v>
      </c>
      <c r="P151" s="4" cm="1">
        <f t="array" ref="P151">SUMPRODUCT(IF(LEFT($A$4:$A$108,3)=LEFT($A151,3),IF($B$4:$B$108=$B151,IF($C$3:$AZ$3=P$112,$C$4:$AZ$108))))*'Cement and Glass Split'!O86</f>
        <v>24.669548112407011</v>
      </c>
      <c r="Q151" s="4" cm="1">
        <f t="array" ref="Q151">SUMPRODUCT(IF(LEFT($A$4:$A$108,3)=LEFT($A151,3),IF($B$4:$B$108=$B151,IF($C$3:$AZ$3=P$112,$C$4:$AZ$108))))*'Cement and Glass Split'!P86</f>
        <v>0.49545188759299058</v>
      </c>
      <c r="R151" cm="1">
        <f t="array" ref="R151">SUMPRODUCT(IF(LEFT($A$4:$A$108,3)=LEFT($A151,3),IF($B$4:$B$108=$B151,IF($C$3:$AZ$3=R$112,$C$4:$AZ$108))))</f>
        <v>47.987000000000002</v>
      </c>
      <c r="S151" cm="1">
        <f t="array" ref="S151">SUMPRODUCT(IF(LEFT($A$4:$A$108,3)=LEFT($A151,3),IF($B$4:$B$108=$B151,IF($C$3:$AZ$3=S$112,$C$4:$AZ$108))))</f>
        <v>25.106000000000002</v>
      </c>
      <c r="T151" cm="1">
        <f t="array" ref="T151">SUMPRODUCT(IF(LEFT($A$4:$A$108,3)=LEFT($A151,3),IF($B$4:$B$108=$B151,IF($C$3:$AZ$3=T$112,$C$4:$AZ$108))))</f>
        <v>67.775000000000006</v>
      </c>
      <c r="U151" cm="1">
        <f t="array" ref="U151">SUMPRODUCT(IF(LEFT($A$4:$A$108,3)=LEFT($A151,3),IF($B$4:$B$108=$B151,IF($C$3:$AZ$3=U$112,$C$4:$AZ$108))))</f>
        <v>125.45399999999999</v>
      </c>
      <c r="V151" cm="1">
        <f t="array" ref="V151">SUMPRODUCT(IF(LEFT($A$4:$A$108,3)=LEFT($A151,3),IF($B$4:$B$108=$B151,IF($C$3:$AZ$3=V$112,$C$4:$AZ$108))))</f>
        <v>81.688000000000002</v>
      </c>
      <c r="W151" cm="1">
        <f t="array" ref="W151">SUMPRODUCT(IF(LEFT($A$4:$A$108,3)=LEFT($A151,3),IF($B$4:$B$108=$B151,IF($C$3:$AZ$3=W$112,$C$4:$AZ$108))))</f>
        <v>94.289000000000001</v>
      </c>
      <c r="X151" cm="1">
        <f t="array" ref="X151">SUMPRODUCT(IF(LEFT($A$4:$A$108,3)=LEFT($A151,3),IF($B$4:$B$108=$B151,IF($C$3:$AZ$3=X$112,$C$4:$AZ$108))))</f>
        <v>65.313999999999993</v>
      </c>
      <c r="Y151" cm="1">
        <f t="array" ref="Y151">SUMPRODUCT(IF(LEFT($A$4:$A$108,3)=LEFT($A151,3),IF($B$4:$B$108=$B151,IF($C$3:$AZ$3=Y$112,$C$4:$AZ$108))))</f>
        <v>30.618000000000002</v>
      </c>
      <c r="Z151" cm="1">
        <f t="array" ref="Z151">SUMPRODUCT(IF(LEFT($A$4:$A$108,3)=LEFT($A151,3),IF($B$4:$B$108=$B151,IF($C$3:$AZ$3=Z$112,$C$4:$AZ$108))))</f>
        <v>19.634</v>
      </c>
      <c r="AA151" cm="1">
        <f t="array" ref="AA151">SUMPRODUCT(IF(LEFT($A$4:$A$108,3)=LEFT($A151,3),IF($B$4:$B$108=$B151,IF($C$3:$AZ$3=AA$112,$C$4:$AZ$108))))</f>
        <v>79.427999999999997</v>
      </c>
      <c r="AB151" cm="1">
        <f t="array" ref="AB151">SUMPRODUCT(IF(LEFT($A$4:$A$108,3)=LEFT($A151,3),IF($B$4:$B$108=$B151,IF($C$3:$AZ$3=AB$112,$C$4:$AZ$108))))</f>
        <v>35.259</v>
      </c>
      <c r="AC151" cm="1">
        <f t="array" ref="AC151">SUMPRODUCT(IF(LEFT($A$4:$A$108,3)=LEFT($A151,3),IF($B$4:$B$108=$B151,IF($C$3:$AZ$3=AC$112,$C$4:$AZ$108))))</f>
        <v>25.673999999999999</v>
      </c>
      <c r="AD151" cm="1">
        <f t="array" ref="AD151">SUMPRODUCT(IF(LEFT($A$4:$A$108,3)=LEFT($A151,3),IF($B$4:$B$108=$B151,IF($C$3:$AZ$3=AD$112,$C$4:$AZ$108))))</f>
        <v>177.69499999999999</v>
      </c>
      <c r="AE151" cm="1">
        <f t="array" ref="AE151">SUMPRODUCT(IF(LEFT($A$4:$A$108,3)=LEFT($A151,3),IF($B$4:$B$108=$B151,IF($C$3:$AZ$3=AE$112,$C$4:$AZ$108))))</f>
        <v>492.66199999999998</v>
      </c>
      <c r="AF151" cm="1">
        <f t="array" ref="AF151">SUMPRODUCT(IF(LEFT($A$4:$A$108,3)=LEFT($A151,3),IF($B$4:$B$108=$B151,IF($C$3:$AZ$3=AF$112,$C$4:$AZ$108))))</f>
        <v>218.47800000000001</v>
      </c>
      <c r="AG151" cm="1">
        <f t="array" ref="AG151">SUMPRODUCT(IF(LEFT($A$4:$A$108,3)=LEFT($A151,3),IF($B$4:$B$108=$B151,IF($C$3:$AZ$3=AG$112,$C$4:$AZ$108))))</f>
        <v>300.21100000000001</v>
      </c>
      <c r="AH151" cm="1">
        <f t="array" ref="AH151">SUMPRODUCT(IF(LEFT($A$4:$A$108,3)=LEFT($A151,3),IF($B$4:$B$108=$B151,IF($C$3:$AZ$3=AH$112,$C$4:$AZ$108))))</f>
        <v>90.725999999999999</v>
      </c>
      <c r="AI151" cm="1">
        <f t="array" ref="AI151">SUMPRODUCT(IF(LEFT($A$4:$A$108,3)=LEFT($A151,3),IF($B$4:$B$108=$B151,IF($C$3:$AZ$3=AI$112,$C$4:$AZ$108))))</f>
        <v>79.430000000000007</v>
      </c>
      <c r="AJ151" cm="1">
        <f t="array" ref="AJ151">SUMPRODUCT(IF(LEFT($A$4:$A$108,3)=LEFT($A151,3),IF($B$4:$B$108=$B151,IF($C$3:$AZ$3=AJ$112,$C$4:$AZ$108))))</f>
        <v>118.824</v>
      </c>
      <c r="AK151" cm="1">
        <f t="array" ref="AK151">SUMPRODUCT(IF(LEFT($A$4:$A$108,3)=LEFT($A151,3),IF($B$4:$B$108=$B151,IF($C$3:$AZ$3=AK$112,$C$4:$AZ$108))))</f>
        <v>306.62</v>
      </c>
      <c r="AL151" cm="1">
        <f t="array" ref="AL151">SUMPRODUCT(IF(LEFT($A$4:$A$108,3)=LEFT($A151,3),IF($B$4:$B$108=$B151,IF($C$3:$AZ$3=AL$112,$C$4:$AZ$108))))</f>
        <v>95.634</v>
      </c>
      <c r="AM151" cm="1">
        <f t="array" ref="AM151">SUMPRODUCT(IF(LEFT($A$4:$A$108,3)=LEFT($A151,3),IF($B$4:$B$108=$B151,IF($C$3:$AZ$3=AM$112,$C$4:$AZ$108))))</f>
        <v>768.25600000000009</v>
      </c>
      <c r="AN151" cm="1">
        <f t="array" ref="AN151">SUMPRODUCT(IF(LEFT($A$4:$A$108,3)=LEFT($A151,3),IF($B$4:$B$108=$B151,IF($C$3:$AZ$3=AN$112,$C$4:$AZ$108))))</f>
        <v>375.428</v>
      </c>
      <c r="AO151" cm="1">
        <f t="array" ref="AO151">SUMPRODUCT(IF(LEFT($A$4:$A$108,3)=LEFT($A151,3),IF($B$4:$B$108=$B151,IF($C$3:$AZ$3=AO$112,$C$4:$AZ$108))))</f>
        <v>726.13300000000004</v>
      </c>
      <c r="AP151" cm="1">
        <f t="array" ref="AP151">SUMPRODUCT(IF(LEFT($A$4:$A$108,3)=LEFT($A151,3),IF($B$4:$B$108=$B151,IF($C$3:$AZ$3=AP$112,$C$4:$AZ$108))))</f>
        <v>414.82600000000002</v>
      </c>
      <c r="AQ151" cm="1">
        <f t="array" ref="AQ151">SUMPRODUCT(IF(LEFT($A$4:$A$108,3)=LEFT($A151,3),IF($B$4:$B$108=$B151,IF($C$3:$AZ$3=AQ$112,$C$4:$AZ$108))))</f>
        <v>314.065</v>
      </c>
      <c r="AR151" cm="1">
        <f t="array" ref="AR151">SUMPRODUCT(IF(LEFT($A$4:$A$108,3)=LEFT($A151,3),IF($B$4:$B$108=$B151,IF($C$3:$AZ$3=AR$112,$C$4:$AZ$108))))</f>
        <v>0</v>
      </c>
      <c r="AS151">
        <f t="shared" si="1"/>
        <v>115880.268</v>
      </c>
    </row>
    <row r="152" spans="1:45">
      <c r="A152" t="s">
        <v>384</v>
      </c>
      <c r="B152" t="s">
        <v>32</v>
      </c>
      <c r="C152" cm="1">
        <f t="array" ref="C152">SUMPRODUCT(IF(LEFT($A$4:$A$108,3)=LEFT($A152,3),IF($B$4:$B$108=$B152,IF($C$3:$AZ$3=C$112,$C$4:$AZ$108))))</f>
        <v>7.282</v>
      </c>
      <c r="D152" cm="1">
        <f t="array" ref="D152">SUMPRODUCT(IF(LEFT($A$4:$A$108,3)=LEFT($A152,3),IF($B$4:$B$108=$B152,IF($C$3:$AZ$3=D$112,$C$4:$AZ$108))))</f>
        <v>0.13100000000000001</v>
      </c>
      <c r="E152" cm="1">
        <f t="array" ref="E152">SUMPRODUCT(IF(LEFT($A$4:$A$108,3)=LEFT($A152,3),IF($B$4:$B$108=$B152,IF($C$3:$AZ$3=E$112,$C$4:$AZ$108))))</f>
        <v>2.5999999999999999E-2</v>
      </c>
      <c r="F152" cm="1">
        <f t="array" ref="F152">SUMPRODUCT(IF(LEFT($A$4:$A$108,3)=LEFT($A152,3),IF($B$4:$B$108=$B152,IF($C$3:$AZ$3=F$112,$C$4:$AZ$108))))</f>
        <v>0.36</v>
      </c>
      <c r="G152" cm="1">
        <f t="array" ref="G152">SUMPRODUCT(IF(LEFT($A$4:$A$108,3)=LEFT($A152,3),IF($B$4:$B$108=$B152,IF($C$3:$AZ$3=G$112,$C$4:$AZ$108))))</f>
        <v>3.0000000000000001E-3</v>
      </c>
      <c r="H152" cm="1">
        <f t="array" ref="H152">SUMPRODUCT(IF(LEFT($A$4:$A$108,3)=LEFT($A152,3),IF($B$4:$B$108=$B152,IF($C$3:$AZ$3=H$112,$C$4:$AZ$108))))</f>
        <v>28.585000000000001</v>
      </c>
      <c r="I152" cm="1">
        <f t="array" ref="I152">SUMPRODUCT(IF(LEFT($A$4:$A$108,3)=LEFT($A152,3),IF($B$4:$B$108=$B152,IF($C$3:$AZ$3=I$112,$C$4:$AZ$108))))</f>
        <v>9.6910000000000007</v>
      </c>
      <c r="J152" cm="1">
        <f t="array" ref="J152">SUMPRODUCT(IF(LEFT($A$4:$A$108,3)=LEFT($A152,3),IF($B$4:$B$108=$B152,IF($C$3:$AZ$3=J$112,$C$4:$AZ$108))))</f>
        <v>1.0980000000000001</v>
      </c>
      <c r="K152" cm="1">
        <f t="array" ref="K152">SUMPRODUCT(IF(LEFT($A$4:$A$108,3)=LEFT($A152,3),IF($B$4:$B$108=$B152,IF($C$3:$AZ$3=K$112,$C$4:$AZ$108))))</f>
        <v>6.0709999999999997</v>
      </c>
      <c r="L152" cm="1">
        <f t="array" ref="L152">SUMPRODUCT(IF(LEFT($A$4:$A$108,3)=LEFT($A152,3),IF($B$4:$B$108=$B152,IF($C$3:$AZ$3=L$112,$C$4:$AZ$108))))</f>
        <v>4.6890000000000001</v>
      </c>
      <c r="M152" cm="1">
        <f t="array" ref="M152">SUMPRODUCT(IF(LEFT($A$4:$A$108,3)=LEFT($A152,3),IF($B$4:$B$108=$B152,IF($C$3:$AZ$3=M$112,$C$4:$AZ$108))))</f>
        <v>23.428000000000001</v>
      </c>
      <c r="N152" cm="1">
        <f t="array" ref="N152">SUMPRODUCT(IF(LEFT($A$4:$A$108,3)=LEFT($A152,3),IF($B$4:$B$108=$B152,IF($C$3:$AZ$3=N$112,$C$4:$AZ$108))))</f>
        <v>7.1269999999999998</v>
      </c>
      <c r="O152" cm="1">
        <f t="array" ref="O152">SUMPRODUCT(IF(LEFT($A$4:$A$108,3)=LEFT($A152,3),IF($B$4:$B$108=$B152,IF($C$3:$AZ$3=O$112,$C$4:$AZ$108))))</f>
        <v>14.042</v>
      </c>
      <c r="P152" s="4" cm="1">
        <f t="array" ref="P152">SUMPRODUCT(IF(LEFT($A$4:$A$108,3)=LEFT($A152,3),IF($B$4:$B$108=$B152,IF($C$3:$AZ$3=P$112,$C$4:$AZ$108))))*'Cement and Glass Split'!O87</f>
        <v>0.23281783529442118</v>
      </c>
      <c r="Q152" s="4" cm="1">
        <f t="array" ref="Q152">SUMPRODUCT(IF(LEFT($A$4:$A$108,3)=LEFT($A152,3),IF($B$4:$B$108=$B152,IF($C$3:$AZ$3=P$112,$C$4:$AZ$108))))*'Cement and Glass Split'!P87</f>
        <v>10.825182164705577</v>
      </c>
      <c r="R152" cm="1">
        <f t="array" ref="R152">SUMPRODUCT(IF(LEFT($A$4:$A$108,3)=LEFT($A152,3),IF($B$4:$B$108=$B152,IF($C$3:$AZ$3=R$112,$C$4:$AZ$108))))</f>
        <v>7.5060000000000002</v>
      </c>
      <c r="S152" cm="1">
        <f t="array" ref="S152">SUMPRODUCT(IF(LEFT($A$4:$A$108,3)=LEFT($A152,3),IF($B$4:$B$108=$B152,IF($C$3:$AZ$3=S$112,$C$4:$AZ$108))))</f>
        <v>5.6349999999999998</v>
      </c>
      <c r="T152" cm="1">
        <f t="array" ref="T152">SUMPRODUCT(IF(LEFT($A$4:$A$108,3)=LEFT($A152,3),IF($B$4:$B$108=$B152,IF($C$3:$AZ$3=T$112,$C$4:$AZ$108))))</f>
        <v>23.286000000000001</v>
      </c>
      <c r="U152" cm="1">
        <f t="array" ref="U152">SUMPRODUCT(IF(LEFT($A$4:$A$108,3)=LEFT($A152,3),IF($B$4:$B$108=$B152,IF($C$3:$AZ$3=U$112,$C$4:$AZ$108))))</f>
        <v>33.326999999999998</v>
      </c>
      <c r="V152" cm="1">
        <f t="array" ref="V152">SUMPRODUCT(IF(LEFT($A$4:$A$108,3)=LEFT($A152,3),IF($B$4:$B$108=$B152,IF($C$3:$AZ$3=V$112,$C$4:$AZ$108))))</f>
        <v>18.867000000000001</v>
      </c>
      <c r="W152" cm="1">
        <f t="array" ref="W152">SUMPRODUCT(IF(LEFT($A$4:$A$108,3)=LEFT($A152,3),IF($B$4:$B$108=$B152,IF($C$3:$AZ$3=W$112,$C$4:$AZ$108))))</f>
        <v>19.332000000000001</v>
      </c>
      <c r="X152" cm="1">
        <f t="array" ref="X152">SUMPRODUCT(IF(LEFT($A$4:$A$108,3)=LEFT($A152,3),IF($B$4:$B$108=$B152,IF($C$3:$AZ$3=X$112,$C$4:$AZ$108))))</f>
        <v>21.041</v>
      </c>
      <c r="Y152" cm="1">
        <f t="array" ref="Y152">SUMPRODUCT(IF(LEFT($A$4:$A$108,3)=LEFT($A152,3),IF($B$4:$B$108=$B152,IF($C$3:$AZ$3=Y$112,$C$4:$AZ$108))))</f>
        <v>9.5010000000000012</v>
      </c>
      <c r="Z152" cm="1">
        <f t="array" ref="Z152">SUMPRODUCT(IF(LEFT($A$4:$A$108,3)=LEFT($A152,3),IF($B$4:$B$108=$B152,IF($C$3:$AZ$3=Z$112,$C$4:$AZ$108))))</f>
        <v>5.74</v>
      </c>
      <c r="AA152" cm="1">
        <f t="array" ref="AA152">SUMPRODUCT(IF(LEFT($A$4:$A$108,3)=LEFT($A152,3),IF($B$4:$B$108=$B152,IF($C$3:$AZ$3=AA$112,$C$4:$AZ$108))))</f>
        <v>14.311999999999999</v>
      </c>
      <c r="AB152" cm="1">
        <f t="array" ref="AB152">SUMPRODUCT(IF(LEFT($A$4:$A$108,3)=LEFT($A152,3),IF($B$4:$B$108=$B152,IF($C$3:$AZ$3=AB$112,$C$4:$AZ$108))))</f>
        <v>6.9020000000000001</v>
      </c>
      <c r="AC152" cm="1">
        <f t="array" ref="AC152">SUMPRODUCT(IF(LEFT($A$4:$A$108,3)=LEFT($A152,3),IF($B$4:$B$108=$B152,IF($C$3:$AZ$3=AC$112,$C$4:$AZ$108))))</f>
        <v>6.2359999999999998</v>
      </c>
      <c r="AD152" cm="1">
        <f t="array" ref="AD152">SUMPRODUCT(IF(LEFT($A$4:$A$108,3)=LEFT($A152,3),IF($B$4:$B$108=$B152,IF($C$3:$AZ$3=AD$112,$C$4:$AZ$108))))</f>
        <v>36.829000000000001</v>
      </c>
      <c r="AE152" cm="1">
        <f t="array" ref="AE152">SUMPRODUCT(IF(LEFT($A$4:$A$108,3)=LEFT($A152,3),IF($B$4:$B$108=$B152,IF($C$3:$AZ$3=AE$112,$C$4:$AZ$108))))</f>
        <v>105.518</v>
      </c>
      <c r="AF152" cm="1">
        <f t="array" ref="AF152">SUMPRODUCT(IF(LEFT($A$4:$A$108,3)=LEFT($A152,3),IF($B$4:$B$108=$B152,IF($C$3:$AZ$3=AF$112,$C$4:$AZ$108))))</f>
        <v>26.274000000000001</v>
      </c>
      <c r="AG152" cm="1">
        <f t="array" ref="AG152">SUMPRODUCT(IF(LEFT($A$4:$A$108,3)=LEFT($A152,3),IF($B$4:$B$108=$B152,IF($C$3:$AZ$3=AG$112,$C$4:$AZ$108))))</f>
        <v>60.271000000000001</v>
      </c>
      <c r="AH152" cm="1">
        <f t="array" ref="AH152">SUMPRODUCT(IF(LEFT($A$4:$A$108,3)=LEFT($A152,3),IF($B$4:$B$108=$B152,IF($C$3:$AZ$3=AH$112,$C$4:$AZ$108))))</f>
        <v>14.587999999999999</v>
      </c>
      <c r="AI152" cm="1">
        <f t="array" ref="AI152">SUMPRODUCT(IF(LEFT($A$4:$A$108,3)=LEFT($A152,3),IF($B$4:$B$108=$B152,IF($C$3:$AZ$3=AI$112,$C$4:$AZ$108))))</f>
        <v>9.86</v>
      </c>
      <c r="AJ152" cm="1">
        <f t="array" ref="AJ152">SUMPRODUCT(IF(LEFT($A$4:$A$108,3)=LEFT($A152,3),IF($B$4:$B$108=$B152,IF($C$3:$AZ$3=AJ$112,$C$4:$AZ$108))))</f>
        <v>15.757</v>
      </c>
      <c r="AK152" cm="1">
        <f t="array" ref="AK152">SUMPRODUCT(IF(LEFT($A$4:$A$108,3)=LEFT($A152,3),IF($B$4:$B$108=$B152,IF($C$3:$AZ$3=AK$112,$C$4:$AZ$108))))</f>
        <v>58.430999999999997</v>
      </c>
      <c r="AL152" cm="1">
        <f t="array" ref="AL152">SUMPRODUCT(IF(LEFT($A$4:$A$108,3)=LEFT($A152,3),IF($B$4:$B$108=$B152,IF($C$3:$AZ$3=AL$112,$C$4:$AZ$108))))</f>
        <v>14.131</v>
      </c>
      <c r="AM152" cm="1">
        <f t="array" ref="AM152">SUMPRODUCT(IF(LEFT($A$4:$A$108,3)=LEFT($A152,3),IF($B$4:$B$108=$B152,IF($C$3:$AZ$3=AM$112,$C$4:$AZ$108))))</f>
        <v>115.313</v>
      </c>
      <c r="AN152" cm="1">
        <f t="array" ref="AN152">SUMPRODUCT(IF(LEFT($A$4:$A$108,3)=LEFT($A152,3),IF($B$4:$B$108=$B152,IF($C$3:$AZ$3=AN$112,$C$4:$AZ$108))))</f>
        <v>225.60900000000001</v>
      </c>
      <c r="AO152" cm="1">
        <f t="array" ref="AO152">SUMPRODUCT(IF(LEFT($A$4:$A$108,3)=LEFT($A152,3),IF($B$4:$B$108=$B152,IF($C$3:$AZ$3=AO$112,$C$4:$AZ$108))))</f>
        <v>92.379000000000005</v>
      </c>
      <c r="AP152" cm="1">
        <f t="array" ref="AP152">SUMPRODUCT(IF(LEFT($A$4:$A$108,3)=LEFT($A152,3),IF($B$4:$B$108=$B152,IF($C$3:$AZ$3=AP$112,$C$4:$AZ$108))))</f>
        <v>3033.7179999999998</v>
      </c>
      <c r="AQ152" cm="1">
        <f t="array" ref="AQ152">SUMPRODUCT(IF(LEFT($A$4:$A$108,3)=LEFT($A152,3),IF($B$4:$B$108=$B152,IF($C$3:$AZ$3=AQ$112,$C$4:$AZ$108))))</f>
        <v>73.239000000000004</v>
      </c>
      <c r="AR152" cm="1">
        <f t="array" ref="AR152">SUMPRODUCT(IF(LEFT($A$4:$A$108,3)=LEFT($A152,3),IF($B$4:$B$108=$B152,IF($C$3:$AZ$3=AR$112,$C$4:$AZ$108))))</f>
        <v>0</v>
      </c>
      <c r="AS152">
        <f t="shared" si="1"/>
        <v>144675.85699999999</v>
      </c>
    </row>
    <row r="153" spans="1:45">
      <c r="A153" t="s">
        <v>384</v>
      </c>
      <c r="B153" t="s">
        <v>33</v>
      </c>
      <c r="C153" cm="1">
        <f t="array" ref="C153">SUMPRODUCT(IF(LEFT($A$4:$A$108,3)=LEFT($A153,3),IF($B$4:$B$108=$B153,IF($C$3:$AZ$3=C$112,$C$4:$AZ$108))))</f>
        <v>100.26300000000001</v>
      </c>
      <c r="D153" cm="1">
        <f t="array" ref="D153">SUMPRODUCT(IF(LEFT($A$4:$A$108,3)=LEFT($A153,3),IF($B$4:$B$108=$B153,IF($C$3:$AZ$3=D$112,$C$4:$AZ$108))))</f>
        <v>0.90100000000000002</v>
      </c>
      <c r="E153" cm="1">
        <f t="array" ref="E153">SUMPRODUCT(IF(LEFT($A$4:$A$108,3)=LEFT($A153,3),IF($B$4:$B$108=$B153,IF($C$3:$AZ$3=E$112,$C$4:$AZ$108))))</f>
        <v>0.58600000000000008</v>
      </c>
      <c r="F153" cm="1">
        <f t="array" ref="F153">SUMPRODUCT(IF(LEFT($A$4:$A$108,3)=LEFT($A153,3),IF($B$4:$B$108=$B153,IF($C$3:$AZ$3=F$112,$C$4:$AZ$108))))</f>
        <v>17.494</v>
      </c>
      <c r="G153" cm="1">
        <f t="array" ref="G153">SUMPRODUCT(IF(LEFT($A$4:$A$108,3)=LEFT($A153,3),IF($B$4:$B$108=$B153,IF($C$3:$AZ$3=G$112,$C$4:$AZ$108))))</f>
        <v>7.8E-2</v>
      </c>
      <c r="H153" cm="1">
        <f t="array" ref="H153">SUMPRODUCT(IF(LEFT($A$4:$A$108,3)=LEFT($A153,3),IF($B$4:$B$108=$B153,IF($C$3:$AZ$3=H$112,$C$4:$AZ$108))))</f>
        <v>358.73099999999999</v>
      </c>
      <c r="I153" cm="1">
        <f t="array" ref="I153">SUMPRODUCT(IF(LEFT($A$4:$A$108,3)=LEFT($A153,3),IF($B$4:$B$108=$B153,IF($C$3:$AZ$3=I$112,$C$4:$AZ$108))))</f>
        <v>204.92599999999999</v>
      </c>
      <c r="J153" cm="1">
        <f t="array" ref="J153">SUMPRODUCT(IF(LEFT($A$4:$A$108,3)=LEFT($A153,3),IF($B$4:$B$108=$B153,IF($C$3:$AZ$3=J$112,$C$4:$AZ$108))))</f>
        <v>20.898</v>
      </c>
      <c r="K153" cm="1">
        <f t="array" ref="K153">SUMPRODUCT(IF(LEFT($A$4:$A$108,3)=LEFT($A153,3),IF($B$4:$B$108=$B153,IF($C$3:$AZ$3=K$112,$C$4:$AZ$108))))</f>
        <v>73.364000000000004</v>
      </c>
      <c r="L153" cm="1">
        <f t="array" ref="L153">SUMPRODUCT(IF(LEFT($A$4:$A$108,3)=LEFT($A153,3),IF($B$4:$B$108=$B153,IF($C$3:$AZ$3=L$112,$C$4:$AZ$108))))</f>
        <v>51.291999999999994</v>
      </c>
      <c r="M153" cm="1">
        <f t="array" ref="M153">SUMPRODUCT(IF(LEFT($A$4:$A$108,3)=LEFT($A153,3),IF($B$4:$B$108=$B153,IF($C$3:$AZ$3=M$112,$C$4:$AZ$108))))</f>
        <v>211.60300000000001</v>
      </c>
      <c r="N153" cm="1">
        <f t="array" ref="N153">SUMPRODUCT(IF(LEFT($A$4:$A$108,3)=LEFT($A153,3),IF($B$4:$B$108=$B153,IF($C$3:$AZ$3=N$112,$C$4:$AZ$108))))</f>
        <v>36.861000000000004</v>
      </c>
      <c r="O153" cm="1">
        <f t="array" ref="O153">SUMPRODUCT(IF(LEFT($A$4:$A$108,3)=LEFT($A153,3),IF($B$4:$B$108=$B153,IF($C$3:$AZ$3=O$112,$C$4:$AZ$108))))</f>
        <v>97.556000000000012</v>
      </c>
      <c r="P153" s="4" cm="1">
        <f t="array" ref="P153">SUMPRODUCT(IF(LEFT($A$4:$A$108,3)=LEFT($A153,3),IF($B$4:$B$108=$B153,IF($C$3:$AZ$3=P$112,$C$4:$AZ$108))))*'Cement and Glass Split'!O88</f>
        <v>25.005901277378136</v>
      </c>
      <c r="Q153" s="4" cm="1">
        <f t="array" ref="Q153">SUMPRODUCT(IF(LEFT($A$4:$A$108,3)=LEFT($A153,3),IF($B$4:$B$108=$B153,IF($C$3:$AZ$3=P$112,$C$4:$AZ$108))))*'Cement and Glass Split'!P88</f>
        <v>82.693098722621869</v>
      </c>
      <c r="R153" cm="1">
        <f t="array" ref="R153">SUMPRODUCT(IF(LEFT($A$4:$A$108,3)=LEFT($A153,3),IF($B$4:$B$108=$B153,IF($C$3:$AZ$3=R$112,$C$4:$AZ$108))))</f>
        <v>142.94000000000003</v>
      </c>
      <c r="S153" cm="1">
        <f t="array" ref="S153">SUMPRODUCT(IF(LEFT($A$4:$A$108,3)=LEFT($A153,3),IF($B$4:$B$108=$B153,IF($C$3:$AZ$3=S$112,$C$4:$AZ$108))))</f>
        <v>51.749000000000002</v>
      </c>
      <c r="T153" cm="1">
        <f t="array" ref="T153">SUMPRODUCT(IF(LEFT($A$4:$A$108,3)=LEFT($A153,3),IF($B$4:$B$108=$B153,IF($C$3:$AZ$3=T$112,$C$4:$AZ$108))))</f>
        <v>220.38400000000001</v>
      </c>
      <c r="U153" cm="1">
        <f t="array" ref="U153">SUMPRODUCT(IF(LEFT($A$4:$A$108,3)=LEFT($A153,3),IF($B$4:$B$108=$B153,IF($C$3:$AZ$3=U$112,$C$4:$AZ$108))))</f>
        <v>432.70799999999997</v>
      </c>
      <c r="V153" cm="1">
        <f t="array" ref="V153">SUMPRODUCT(IF(LEFT($A$4:$A$108,3)=LEFT($A153,3),IF($B$4:$B$108=$B153,IF($C$3:$AZ$3=V$112,$C$4:$AZ$108))))</f>
        <v>130.185</v>
      </c>
      <c r="W153" cm="1">
        <f t="array" ref="W153">SUMPRODUCT(IF(LEFT($A$4:$A$108,3)=LEFT($A153,3),IF($B$4:$B$108=$B153,IF($C$3:$AZ$3=W$112,$C$4:$AZ$108))))</f>
        <v>163.596</v>
      </c>
      <c r="X153" cm="1">
        <f t="array" ref="X153">SUMPRODUCT(IF(LEFT($A$4:$A$108,3)=LEFT($A153,3),IF($B$4:$B$108=$B153,IF($C$3:$AZ$3=X$112,$C$4:$AZ$108))))</f>
        <v>210.05600000000001</v>
      </c>
      <c r="Y153" cm="1">
        <f t="array" ref="Y153">SUMPRODUCT(IF(LEFT($A$4:$A$108,3)=LEFT($A153,3),IF($B$4:$B$108=$B153,IF($C$3:$AZ$3=Y$112,$C$4:$AZ$108))))</f>
        <v>83.103999999999999</v>
      </c>
      <c r="Z153" cm="1">
        <f t="array" ref="Z153">SUMPRODUCT(IF(LEFT($A$4:$A$108,3)=LEFT($A153,3),IF($B$4:$B$108=$B153,IF($C$3:$AZ$3=Z$112,$C$4:$AZ$108))))</f>
        <v>77.277999999999992</v>
      </c>
      <c r="AA153" cm="1">
        <f t="array" ref="AA153">SUMPRODUCT(IF(LEFT($A$4:$A$108,3)=LEFT($A153,3),IF($B$4:$B$108=$B153,IF($C$3:$AZ$3=AA$112,$C$4:$AZ$108))))</f>
        <v>134.36600000000001</v>
      </c>
      <c r="AB153" cm="1">
        <f t="array" ref="AB153">SUMPRODUCT(IF(LEFT($A$4:$A$108,3)=LEFT($A153,3),IF($B$4:$B$108=$B153,IF($C$3:$AZ$3=AB$112,$C$4:$AZ$108))))</f>
        <v>61.519999999999996</v>
      </c>
      <c r="AC153" cm="1">
        <f t="array" ref="AC153">SUMPRODUCT(IF(LEFT($A$4:$A$108,3)=LEFT($A153,3),IF($B$4:$B$108=$B153,IF($C$3:$AZ$3=AC$112,$C$4:$AZ$108))))</f>
        <v>138.965</v>
      </c>
      <c r="AD153" cm="1">
        <f t="array" ref="AD153">SUMPRODUCT(IF(LEFT($A$4:$A$108,3)=LEFT($A153,3),IF($B$4:$B$108=$B153,IF($C$3:$AZ$3=AD$112,$C$4:$AZ$108))))</f>
        <v>377.76800000000003</v>
      </c>
      <c r="AE153" cm="1">
        <f t="array" ref="AE153">SUMPRODUCT(IF(LEFT($A$4:$A$108,3)=LEFT($A153,3),IF($B$4:$B$108=$B153,IF($C$3:$AZ$3=AE$112,$C$4:$AZ$108))))</f>
        <v>1726.202</v>
      </c>
      <c r="AF153" cm="1">
        <f t="array" ref="AF153">SUMPRODUCT(IF(LEFT($A$4:$A$108,3)=LEFT($A153,3),IF($B$4:$B$108=$B153,IF($C$3:$AZ$3=AF$112,$C$4:$AZ$108))))</f>
        <v>439.74</v>
      </c>
      <c r="AG153" cm="1">
        <f t="array" ref="AG153">SUMPRODUCT(IF(LEFT($A$4:$A$108,3)=LEFT($A153,3),IF($B$4:$B$108=$B153,IF($C$3:$AZ$3=AG$112,$C$4:$AZ$108))))</f>
        <v>1908.0720000000001</v>
      </c>
      <c r="AH153" cm="1">
        <f t="array" ref="AH153">SUMPRODUCT(IF(LEFT($A$4:$A$108,3)=LEFT($A153,3),IF($B$4:$B$108=$B153,IF($C$3:$AZ$3=AH$112,$C$4:$AZ$108))))</f>
        <v>1533.1489999999999</v>
      </c>
      <c r="AI153" cm="1">
        <f t="array" ref="AI153">SUMPRODUCT(IF(LEFT($A$4:$A$108,3)=LEFT($A153,3),IF($B$4:$B$108=$B153,IF($C$3:$AZ$3=AI$112,$C$4:$AZ$108))))</f>
        <v>441.68200000000002</v>
      </c>
      <c r="AJ153" cm="1">
        <f t="array" ref="AJ153">SUMPRODUCT(IF(LEFT($A$4:$A$108,3)=LEFT($A153,3),IF($B$4:$B$108=$B153,IF($C$3:$AZ$3=AJ$112,$C$4:$AZ$108))))</f>
        <v>415.96100000000001</v>
      </c>
      <c r="AK153" cm="1">
        <f t="array" ref="AK153">SUMPRODUCT(IF(LEFT($A$4:$A$108,3)=LEFT($A153,3),IF($B$4:$B$108=$B153,IF($C$3:$AZ$3=AK$112,$C$4:$AZ$108))))</f>
        <v>1371.4680000000001</v>
      </c>
      <c r="AL153" cm="1">
        <f t="array" ref="AL153">SUMPRODUCT(IF(LEFT($A$4:$A$108,3)=LEFT($A153,3),IF($B$4:$B$108=$B153,IF($C$3:$AZ$3=AL$112,$C$4:$AZ$108))))</f>
        <v>418.49200000000002</v>
      </c>
      <c r="AM153" cm="1">
        <f t="array" ref="AM153">SUMPRODUCT(IF(LEFT($A$4:$A$108,3)=LEFT($A153,3),IF($B$4:$B$108=$B153,IF($C$3:$AZ$3=AM$112,$C$4:$AZ$108))))</f>
        <v>2508.3090000000002</v>
      </c>
      <c r="AN153" cm="1">
        <f t="array" ref="AN153">SUMPRODUCT(IF(LEFT($A$4:$A$108,3)=LEFT($A153,3),IF($B$4:$B$108=$B153,IF($C$3:$AZ$3=AN$112,$C$4:$AZ$108))))</f>
        <v>865.29300000000001</v>
      </c>
      <c r="AO153" cm="1">
        <f t="array" ref="AO153">SUMPRODUCT(IF(LEFT($A$4:$A$108,3)=LEFT($A153,3),IF($B$4:$B$108=$B153,IF($C$3:$AZ$3=AO$112,$C$4:$AZ$108))))</f>
        <v>918.45900000000006</v>
      </c>
      <c r="AP153" cm="1">
        <f t="array" ref="AP153">SUMPRODUCT(IF(LEFT($A$4:$A$108,3)=LEFT($A153,3),IF($B$4:$B$108=$B153,IF($C$3:$AZ$3=AP$112,$C$4:$AZ$108))))</f>
        <v>1524.365</v>
      </c>
      <c r="AQ153" cm="1">
        <f t="array" ref="AQ153">SUMPRODUCT(IF(LEFT($A$4:$A$108,3)=LEFT($A153,3),IF($B$4:$B$108=$B153,IF($C$3:$AZ$3=AQ$112,$C$4:$AZ$108))))</f>
        <v>7690.7939999999999</v>
      </c>
      <c r="AR153" cm="1">
        <f t="array" ref="AR153">SUMPRODUCT(IF(LEFT($A$4:$A$108,3)=LEFT($A153,3),IF($B$4:$B$108=$B153,IF($C$3:$AZ$3=AR$112,$C$4:$AZ$108))))</f>
        <v>0</v>
      </c>
      <c r="AS153">
        <f t="shared" si="1"/>
        <v>92652.595000000001</v>
      </c>
    </row>
    <row r="154" spans="1:45">
      <c r="A154" t="s">
        <v>384</v>
      </c>
      <c r="B154" t="s">
        <v>34</v>
      </c>
      <c r="C154" cm="1">
        <f t="array" ref="C154">SUMPRODUCT(IF(LEFT($A$4:$A$108,3)=LEFT($A154,3),IF($B$4:$B$108=$B154,IF($C$3:$AZ$3=C$112,$C$4:$AZ$108))))</f>
        <v>0</v>
      </c>
      <c r="D154" cm="1">
        <f t="array" ref="D154">SUMPRODUCT(IF(LEFT($A$4:$A$108,3)=LEFT($A154,3),IF($B$4:$B$108=$B154,IF($C$3:$AZ$3=D$112,$C$4:$AZ$108))))</f>
        <v>0</v>
      </c>
      <c r="E154" cm="1">
        <f t="array" ref="E154">SUMPRODUCT(IF(LEFT($A$4:$A$108,3)=LEFT($A154,3),IF($B$4:$B$108=$B154,IF($C$3:$AZ$3=E$112,$C$4:$AZ$108))))</f>
        <v>0</v>
      </c>
      <c r="F154" cm="1">
        <f t="array" ref="F154">SUMPRODUCT(IF(LEFT($A$4:$A$108,3)=LEFT($A154,3),IF($B$4:$B$108=$B154,IF($C$3:$AZ$3=F$112,$C$4:$AZ$108))))</f>
        <v>0</v>
      </c>
      <c r="G154" cm="1">
        <f t="array" ref="G154">SUMPRODUCT(IF(LEFT($A$4:$A$108,3)=LEFT($A154,3),IF($B$4:$B$108=$B154,IF($C$3:$AZ$3=G$112,$C$4:$AZ$108))))</f>
        <v>0</v>
      </c>
      <c r="H154" cm="1">
        <f t="array" ref="H154">SUMPRODUCT(IF(LEFT($A$4:$A$108,3)=LEFT($A154,3),IF($B$4:$B$108=$B154,IF($C$3:$AZ$3=H$112,$C$4:$AZ$108))))</f>
        <v>0</v>
      </c>
      <c r="I154" cm="1">
        <f t="array" ref="I154">SUMPRODUCT(IF(LEFT($A$4:$A$108,3)=LEFT($A154,3),IF($B$4:$B$108=$B154,IF($C$3:$AZ$3=I$112,$C$4:$AZ$108))))</f>
        <v>0</v>
      </c>
      <c r="J154" cm="1">
        <f t="array" ref="J154">SUMPRODUCT(IF(LEFT($A$4:$A$108,3)=LEFT($A154,3),IF($B$4:$B$108=$B154,IF($C$3:$AZ$3=J$112,$C$4:$AZ$108))))</f>
        <v>0</v>
      </c>
      <c r="K154" cm="1">
        <f t="array" ref="K154">SUMPRODUCT(IF(LEFT($A$4:$A$108,3)=LEFT($A154,3),IF($B$4:$B$108=$B154,IF($C$3:$AZ$3=K$112,$C$4:$AZ$108))))</f>
        <v>0</v>
      </c>
      <c r="L154" cm="1">
        <f t="array" ref="L154">SUMPRODUCT(IF(LEFT($A$4:$A$108,3)=LEFT($A154,3),IF($B$4:$B$108=$B154,IF($C$3:$AZ$3=L$112,$C$4:$AZ$108))))</f>
        <v>0</v>
      </c>
      <c r="M154" cm="1">
        <f t="array" ref="M154">SUMPRODUCT(IF(LEFT($A$4:$A$108,3)=LEFT($A154,3),IF($B$4:$B$108=$B154,IF($C$3:$AZ$3=M$112,$C$4:$AZ$108))))</f>
        <v>0</v>
      </c>
      <c r="N154" cm="1">
        <f t="array" ref="N154">SUMPRODUCT(IF(LEFT($A$4:$A$108,3)=LEFT($A154,3),IF($B$4:$B$108=$B154,IF($C$3:$AZ$3=N$112,$C$4:$AZ$108))))</f>
        <v>0</v>
      </c>
      <c r="O154" cm="1">
        <f t="array" ref="O154">SUMPRODUCT(IF(LEFT($A$4:$A$108,3)=LEFT($A154,3),IF($B$4:$B$108=$B154,IF($C$3:$AZ$3=O$112,$C$4:$AZ$108))))</f>
        <v>0</v>
      </c>
      <c r="P154" s="4" cm="1">
        <f t="array" ref="P154">SUMPRODUCT(IF(LEFT($A$4:$A$108,3)=LEFT($A154,3),IF($B$4:$B$108=$B154,IF($C$3:$AZ$3=P$112,$C$4:$AZ$108))))*'Cement and Glass Split'!O89</f>
        <v>0</v>
      </c>
      <c r="Q154" s="4" cm="1">
        <f t="array" ref="Q154">SUMPRODUCT(IF(LEFT($A$4:$A$108,3)=LEFT($A154,3),IF($B$4:$B$108=$B154,IF($C$3:$AZ$3=P$112,$C$4:$AZ$108))))*'Cement and Glass Split'!P89</f>
        <v>0</v>
      </c>
      <c r="R154" cm="1">
        <f t="array" ref="R154">SUMPRODUCT(IF(LEFT($A$4:$A$108,3)=LEFT($A154,3),IF($B$4:$B$108=$B154,IF($C$3:$AZ$3=R$112,$C$4:$AZ$108))))</f>
        <v>0</v>
      </c>
      <c r="S154" cm="1">
        <f t="array" ref="S154">SUMPRODUCT(IF(LEFT($A$4:$A$108,3)=LEFT($A154,3),IF($B$4:$B$108=$B154,IF($C$3:$AZ$3=S$112,$C$4:$AZ$108))))</f>
        <v>0</v>
      </c>
      <c r="T154" cm="1">
        <f t="array" ref="T154">SUMPRODUCT(IF(LEFT($A$4:$A$108,3)=LEFT($A154,3),IF($B$4:$B$108=$B154,IF($C$3:$AZ$3=T$112,$C$4:$AZ$108))))</f>
        <v>0</v>
      </c>
      <c r="U154" cm="1">
        <f t="array" ref="U154">SUMPRODUCT(IF(LEFT($A$4:$A$108,3)=LEFT($A154,3),IF($B$4:$B$108=$B154,IF($C$3:$AZ$3=U$112,$C$4:$AZ$108))))</f>
        <v>0</v>
      </c>
      <c r="V154" cm="1">
        <f t="array" ref="V154">SUMPRODUCT(IF(LEFT($A$4:$A$108,3)=LEFT($A154,3),IF($B$4:$B$108=$B154,IF($C$3:$AZ$3=V$112,$C$4:$AZ$108))))</f>
        <v>0</v>
      </c>
      <c r="W154" cm="1">
        <f t="array" ref="W154">SUMPRODUCT(IF(LEFT($A$4:$A$108,3)=LEFT($A154,3),IF($B$4:$B$108=$B154,IF($C$3:$AZ$3=W$112,$C$4:$AZ$108))))</f>
        <v>0</v>
      </c>
      <c r="X154" cm="1">
        <f t="array" ref="X154">SUMPRODUCT(IF(LEFT($A$4:$A$108,3)=LEFT($A154,3),IF($B$4:$B$108=$B154,IF($C$3:$AZ$3=X$112,$C$4:$AZ$108))))</f>
        <v>0</v>
      </c>
      <c r="Y154" cm="1">
        <f t="array" ref="Y154">SUMPRODUCT(IF(LEFT($A$4:$A$108,3)=LEFT($A154,3),IF($B$4:$B$108=$B154,IF($C$3:$AZ$3=Y$112,$C$4:$AZ$108))))</f>
        <v>0</v>
      </c>
      <c r="Z154" cm="1">
        <f t="array" ref="Z154">SUMPRODUCT(IF(LEFT($A$4:$A$108,3)=LEFT($A154,3),IF($B$4:$B$108=$B154,IF($C$3:$AZ$3=Z$112,$C$4:$AZ$108))))</f>
        <v>0</v>
      </c>
      <c r="AA154" cm="1">
        <f t="array" ref="AA154">SUMPRODUCT(IF(LEFT($A$4:$A$108,3)=LEFT($A154,3),IF($B$4:$B$108=$B154,IF($C$3:$AZ$3=AA$112,$C$4:$AZ$108))))</f>
        <v>0</v>
      </c>
      <c r="AB154" cm="1">
        <f t="array" ref="AB154">SUMPRODUCT(IF(LEFT($A$4:$A$108,3)=LEFT($A154,3),IF($B$4:$B$108=$B154,IF($C$3:$AZ$3=AB$112,$C$4:$AZ$108))))</f>
        <v>0</v>
      </c>
      <c r="AC154" cm="1">
        <f t="array" ref="AC154">SUMPRODUCT(IF(LEFT($A$4:$A$108,3)=LEFT($A154,3),IF($B$4:$B$108=$B154,IF($C$3:$AZ$3=AC$112,$C$4:$AZ$108))))</f>
        <v>0</v>
      </c>
      <c r="AD154" cm="1">
        <f t="array" ref="AD154">SUMPRODUCT(IF(LEFT($A$4:$A$108,3)=LEFT($A154,3),IF($B$4:$B$108=$B154,IF($C$3:$AZ$3=AD$112,$C$4:$AZ$108))))</f>
        <v>0</v>
      </c>
      <c r="AE154" cm="1">
        <f t="array" ref="AE154">SUMPRODUCT(IF(LEFT($A$4:$A$108,3)=LEFT($A154,3),IF($B$4:$B$108=$B154,IF($C$3:$AZ$3=AE$112,$C$4:$AZ$108))))</f>
        <v>0</v>
      </c>
      <c r="AF154" cm="1">
        <f t="array" ref="AF154">SUMPRODUCT(IF(LEFT($A$4:$A$108,3)=LEFT($A154,3),IF($B$4:$B$108=$B154,IF($C$3:$AZ$3=AF$112,$C$4:$AZ$108))))</f>
        <v>0</v>
      </c>
      <c r="AG154" cm="1">
        <f t="array" ref="AG154">SUMPRODUCT(IF(LEFT($A$4:$A$108,3)=LEFT($A154,3),IF($B$4:$B$108=$B154,IF($C$3:$AZ$3=AG$112,$C$4:$AZ$108))))</f>
        <v>0</v>
      </c>
      <c r="AH154" cm="1">
        <f t="array" ref="AH154">SUMPRODUCT(IF(LEFT($A$4:$A$108,3)=LEFT($A154,3),IF($B$4:$B$108=$B154,IF($C$3:$AZ$3=AH$112,$C$4:$AZ$108))))</f>
        <v>0</v>
      </c>
      <c r="AI154" cm="1">
        <f t="array" ref="AI154">SUMPRODUCT(IF(LEFT($A$4:$A$108,3)=LEFT($A154,3),IF($B$4:$B$108=$B154,IF($C$3:$AZ$3=AI$112,$C$4:$AZ$108))))</f>
        <v>0</v>
      </c>
      <c r="AJ154" cm="1">
        <f t="array" ref="AJ154">SUMPRODUCT(IF(LEFT($A$4:$A$108,3)=LEFT($A154,3),IF($B$4:$B$108=$B154,IF($C$3:$AZ$3=AJ$112,$C$4:$AZ$108))))</f>
        <v>0</v>
      </c>
      <c r="AK154" cm="1">
        <f t="array" ref="AK154">SUMPRODUCT(IF(LEFT($A$4:$A$108,3)=LEFT($A154,3),IF($B$4:$B$108=$B154,IF($C$3:$AZ$3=AK$112,$C$4:$AZ$108))))</f>
        <v>0</v>
      </c>
      <c r="AL154" cm="1">
        <f t="array" ref="AL154">SUMPRODUCT(IF(LEFT($A$4:$A$108,3)=LEFT($A154,3),IF($B$4:$B$108=$B154,IF($C$3:$AZ$3=AL$112,$C$4:$AZ$108))))</f>
        <v>0</v>
      </c>
      <c r="AM154" cm="1">
        <f t="array" ref="AM154">SUMPRODUCT(IF(LEFT($A$4:$A$108,3)=LEFT($A154,3),IF($B$4:$B$108=$B154,IF($C$3:$AZ$3=AM$112,$C$4:$AZ$108))))</f>
        <v>0</v>
      </c>
      <c r="AN154" cm="1">
        <f t="array" ref="AN154">SUMPRODUCT(IF(LEFT($A$4:$A$108,3)=LEFT($A154,3),IF($B$4:$B$108=$B154,IF($C$3:$AZ$3=AN$112,$C$4:$AZ$108))))</f>
        <v>0</v>
      </c>
      <c r="AO154" cm="1">
        <f t="array" ref="AO154">SUMPRODUCT(IF(LEFT($A$4:$A$108,3)=LEFT($A154,3),IF($B$4:$B$108=$B154,IF($C$3:$AZ$3=AO$112,$C$4:$AZ$108))))</f>
        <v>0</v>
      </c>
      <c r="AP154" cm="1">
        <f t="array" ref="AP154">SUMPRODUCT(IF(LEFT($A$4:$A$108,3)=LEFT($A154,3),IF($B$4:$B$108=$B154,IF($C$3:$AZ$3=AP$112,$C$4:$AZ$108))))</f>
        <v>0</v>
      </c>
      <c r="AQ154" cm="1">
        <f t="array" ref="AQ154">SUMPRODUCT(IF(LEFT($A$4:$A$108,3)=LEFT($A154,3),IF($B$4:$B$108=$B154,IF($C$3:$AZ$3=AQ$112,$C$4:$AZ$108))))</f>
        <v>0</v>
      </c>
      <c r="AR154" cm="1">
        <f t="array" ref="AR154">SUMPRODUCT(IF(LEFT($A$4:$A$108,3)=LEFT($A154,3),IF($B$4:$B$108=$B154,IF($C$3:$AZ$3=AR$112,$C$4:$AZ$108))))</f>
        <v>0</v>
      </c>
      <c r="AS154">
        <f t="shared" si="1"/>
        <v>2100.7310000000002</v>
      </c>
    </row>
    <row r="155" spans="1:45">
      <c r="A155" t="s">
        <v>385</v>
      </c>
      <c r="B155" t="s">
        <v>4</v>
      </c>
      <c r="C155" cm="1">
        <f t="array" ref="C155">SUMPRODUCT(IF(LEFT($A$4:$A$108,3)=LEFT($A155,3),IF($B$4:$B$108=$B155,IF($C$3:$AZ$3=C$112,$C$4:$AZ$108))))</f>
        <v>751.08399999999995</v>
      </c>
      <c r="D155" cm="1">
        <f t="array" ref="D155">SUMPRODUCT(IF(LEFT($A$4:$A$108,3)=LEFT($A155,3),IF($B$4:$B$108=$B155,IF($C$3:$AZ$3=D$112,$C$4:$AZ$108))))</f>
        <v>2.8999999999999998E-2</v>
      </c>
      <c r="E155" cm="1">
        <f t="array" ref="E155">SUMPRODUCT(IF(LEFT($A$4:$A$108,3)=LEFT($A155,3),IF($B$4:$B$108=$B155,IF($C$3:$AZ$3=E$112,$C$4:$AZ$108))))</f>
        <v>4.0000000000000001E-3</v>
      </c>
      <c r="F155" cm="1">
        <f t="array" ref="F155">SUMPRODUCT(IF(LEFT($A$4:$A$108,3)=LEFT($A155,3),IF($B$4:$B$108=$B155,IF($C$3:$AZ$3=F$112,$C$4:$AZ$108))))</f>
        <v>0.27400000000000002</v>
      </c>
      <c r="G155" cm="1">
        <f t="array" ref="G155">SUMPRODUCT(IF(LEFT($A$4:$A$108,3)=LEFT($A155,3),IF($B$4:$B$108=$B155,IF($C$3:$AZ$3=G$112,$C$4:$AZ$108))))</f>
        <v>0</v>
      </c>
      <c r="H155" cm="1">
        <f t="array" ref="H155">SUMPRODUCT(IF(LEFT($A$4:$A$108,3)=LEFT($A155,3),IF($B$4:$B$108=$B155,IF($C$3:$AZ$3=H$112,$C$4:$AZ$108))))</f>
        <v>4764.5870000000004</v>
      </c>
      <c r="I155" cm="1">
        <f t="array" ref="I155">SUMPRODUCT(IF(LEFT($A$4:$A$108,3)=LEFT($A155,3),IF($B$4:$B$108=$B155,IF($C$3:$AZ$3=I$112,$C$4:$AZ$108))))</f>
        <v>108.184</v>
      </c>
      <c r="J155" cm="1">
        <f t="array" ref="J155">SUMPRODUCT(IF(LEFT($A$4:$A$108,3)=LEFT($A155,3),IF($B$4:$B$108=$B155,IF($C$3:$AZ$3=J$112,$C$4:$AZ$108))))</f>
        <v>122.13500000000001</v>
      </c>
      <c r="K155" cm="1">
        <f t="array" ref="K155">SUMPRODUCT(IF(LEFT($A$4:$A$108,3)=LEFT($A155,3),IF($B$4:$B$108=$B155,IF($C$3:$AZ$3=K$112,$C$4:$AZ$108))))</f>
        <v>18.797999999999998</v>
      </c>
      <c r="L155" cm="1">
        <f t="array" ref="L155">SUMPRODUCT(IF(LEFT($A$4:$A$108,3)=LEFT($A155,3),IF($B$4:$B$108=$B155,IF($C$3:$AZ$3=L$112,$C$4:$AZ$108))))</f>
        <v>2.0369999999999999</v>
      </c>
      <c r="M155" cm="1">
        <f t="array" ref="M155">SUMPRODUCT(IF(LEFT($A$4:$A$108,3)=LEFT($A155,3),IF($B$4:$B$108=$B155,IF($C$3:$AZ$3=M$112,$C$4:$AZ$108))))</f>
        <v>65.541000000000011</v>
      </c>
      <c r="N155" cm="1">
        <f t="array" ref="N155">SUMPRODUCT(IF(LEFT($A$4:$A$108,3)=LEFT($A155,3),IF($B$4:$B$108=$B155,IF($C$3:$AZ$3=N$112,$C$4:$AZ$108))))</f>
        <v>10.965999999999999</v>
      </c>
      <c r="O155" cm="1">
        <f t="array" ref="O155">SUMPRODUCT(IF(LEFT($A$4:$A$108,3)=LEFT($A155,3),IF($B$4:$B$108=$B155,IF($C$3:$AZ$3=O$112,$C$4:$AZ$108))))</f>
        <v>30.693999999999999</v>
      </c>
      <c r="P155" s="4" cm="1">
        <f t="array" ref="P155">SUMPRODUCT(IF(LEFT($A$4:$A$108,3)=LEFT($A155,3),IF($B$4:$B$108=$B155,IF($C$3:$AZ$3=P$112,$C$4:$AZ$108))))*'Cement and Glass Split'!O48</f>
        <v>0</v>
      </c>
      <c r="Q155" s="4" cm="1">
        <f t="array" ref="Q155">SUMPRODUCT(IF(LEFT($A$4:$A$108,3)=LEFT($A155,3),IF($B$4:$B$108=$B155,IF($C$3:$AZ$3=P$112,$C$4:$AZ$108))))*'Cement and Glass Split'!P48</f>
        <v>0</v>
      </c>
      <c r="R155" cm="1">
        <f t="array" ref="R155">SUMPRODUCT(IF(LEFT($A$4:$A$108,3)=LEFT($A155,3),IF($B$4:$B$108=$B155,IF($C$3:$AZ$3=R$112,$C$4:$AZ$108))))</f>
        <v>1.7250000000000001</v>
      </c>
      <c r="S155" cm="1">
        <f t="array" ref="S155">SUMPRODUCT(IF(LEFT($A$4:$A$108,3)=LEFT($A155,3),IF($B$4:$B$108=$B155,IF($C$3:$AZ$3=S$112,$C$4:$AZ$108))))</f>
        <v>0.99299999999999999</v>
      </c>
      <c r="T155" cm="1">
        <f t="array" ref="T155">SUMPRODUCT(IF(LEFT($A$4:$A$108,3)=LEFT($A155,3),IF($B$4:$B$108=$B155,IF($C$3:$AZ$3=T$112,$C$4:$AZ$108))))</f>
        <v>1.3109999999999999</v>
      </c>
      <c r="U155" cm="1">
        <f t="array" ref="U155">SUMPRODUCT(IF(LEFT($A$4:$A$108,3)=LEFT($A155,3),IF($B$4:$B$108=$B155,IF($C$3:$AZ$3=U$112,$C$4:$AZ$108))))</f>
        <v>3.1579999999999999</v>
      </c>
      <c r="V155" cm="1">
        <f t="array" ref="V155">SUMPRODUCT(IF(LEFT($A$4:$A$108,3)=LEFT($A155,3),IF($B$4:$B$108=$B155,IF($C$3:$AZ$3=V$112,$C$4:$AZ$108))))</f>
        <v>1.5740000000000003</v>
      </c>
      <c r="W155" cm="1">
        <f t="array" ref="W155">SUMPRODUCT(IF(LEFT($A$4:$A$108,3)=LEFT($A155,3),IF($B$4:$B$108=$B155,IF($C$3:$AZ$3=W$112,$C$4:$AZ$108))))</f>
        <v>3.2119999999999997</v>
      </c>
      <c r="X155" cm="1">
        <f t="array" ref="X155">SUMPRODUCT(IF(LEFT($A$4:$A$108,3)=LEFT($A155,3),IF($B$4:$B$108=$B155,IF($C$3:$AZ$3=X$112,$C$4:$AZ$108))))</f>
        <v>4.3019999999999996</v>
      </c>
      <c r="Y155" cm="1">
        <f t="array" ref="Y155">SUMPRODUCT(IF(LEFT($A$4:$A$108,3)=LEFT($A155,3),IF($B$4:$B$108=$B155,IF($C$3:$AZ$3=Y$112,$C$4:$AZ$108))))</f>
        <v>1.2909999999999999</v>
      </c>
      <c r="Z155" cm="1">
        <f t="array" ref="Z155">SUMPRODUCT(IF(LEFT($A$4:$A$108,3)=LEFT($A155,3),IF($B$4:$B$108=$B155,IF($C$3:$AZ$3=Z$112,$C$4:$AZ$108))))</f>
        <v>13.308000000000002</v>
      </c>
      <c r="AA155" cm="1">
        <f t="array" ref="AA155">SUMPRODUCT(IF(LEFT($A$4:$A$108,3)=LEFT($A155,3),IF($B$4:$B$108=$B155,IF($C$3:$AZ$3=AA$112,$C$4:$AZ$108))))</f>
        <v>16.893000000000001</v>
      </c>
      <c r="AB155" cm="1">
        <f t="array" ref="AB155">SUMPRODUCT(IF(LEFT($A$4:$A$108,3)=LEFT($A155,3),IF($B$4:$B$108=$B155,IF($C$3:$AZ$3=AB$112,$C$4:$AZ$108))))</f>
        <v>0.93800000000000006</v>
      </c>
      <c r="AC155" cm="1">
        <f t="array" ref="AC155">SUMPRODUCT(IF(LEFT($A$4:$A$108,3)=LEFT($A155,3),IF($B$4:$B$108=$B155,IF($C$3:$AZ$3=AC$112,$C$4:$AZ$108))))</f>
        <v>1.468</v>
      </c>
      <c r="AD155" cm="1">
        <f t="array" ref="AD155">SUMPRODUCT(IF(LEFT($A$4:$A$108,3)=LEFT($A155,3),IF($B$4:$B$108=$B155,IF($C$3:$AZ$3=AD$112,$C$4:$AZ$108))))</f>
        <v>22.822999999999997</v>
      </c>
      <c r="AE155" cm="1">
        <f t="array" ref="AE155">SUMPRODUCT(IF(LEFT($A$4:$A$108,3)=LEFT($A155,3),IF($B$4:$B$108=$B155,IF($C$3:$AZ$3=AE$112,$C$4:$AZ$108))))</f>
        <v>99.793999999999997</v>
      </c>
      <c r="AF155" cm="1">
        <f t="array" ref="AF155">SUMPRODUCT(IF(LEFT($A$4:$A$108,3)=LEFT($A155,3),IF($B$4:$B$108=$B155,IF($C$3:$AZ$3=AF$112,$C$4:$AZ$108))))</f>
        <v>8.0969999999999995</v>
      </c>
      <c r="AG155" cm="1">
        <f t="array" ref="AG155">SUMPRODUCT(IF(LEFT($A$4:$A$108,3)=LEFT($A155,3),IF($B$4:$B$108=$B155,IF($C$3:$AZ$3=AG$112,$C$4:$AZ$108))))</f>
        <v>1135.6179999999999</v>
      </c>
      <c r="AH155" cm="1">
        <f t="array" ref="AH155">SUMPRODUCT(IF(LEFT($A$4:$A$108,3)=LEFT($A155,3),IF($B$4:$B$108=$B155,IF($C$3:$AZ$3=AH$112,$C$4:$AZ$108))))</f>
        <v>1.3079999999999998</v>
      </c>
      <c r="AI155" cm="1">
        <f t="array" ref="AI155">SUMPRODUCT(IF(LEFT($A$4:$A$108,3)=LEFT($A155,3),IF($B$4:$B$108=$B155,IF($C$3:$AZ$3=AI$112,$C$4:$AZ$108))))</f>
        <v>0.79099999999999993</v>
      </c>
      <c r="AJ155" cm="1">
        <f t="array" ref="AJ155">SUMPRODUCT(IF(LEFT($A$4:$A$108,3)=LEFT($A155,3),IF($B$4:$B$108=$B155,IF($C$3:$AZ$3=AJ$112,$C$4:$AZ$108))))</f>
        <v>0.7569999999999999</v>
      </c>
      <c r="AK155" cm="1">
        <f t="array" ref="AK155">SUMPRODUCT(IF(LEFT($A$4:$A$108,3)=LEFT($A155,3),IF($B$4:$B$108=$B155,IF($C$3:$AZ$3=AK$112,$C$4:$AZ$108))))</f>
        <v>1.3340000000000001</v>
      </c>
      <c r="AL155" cm="1">
        <f t="array" ref="AL155">SUMPRODUCT(IF(LEFT($A$4:$A$108,3)=LEFT($A155,3),IF($B$4:$B$108=$B155,IF($C$3:$AZ$3=AL$112,$C$4:$AZ$108))))</f>
        <v>3.831</v>
      </c>
      <c r="AM155" cm="1">
        <f t="array" ref="AM155">SUMPRODUCT(IF(LEFT($A$4:$A$108,3)=LEFT($A155,3),IF($B$4:$B$108=$B155,IF($C$3:$AZ$3=AM$112,$C$4:$AZ$108))))</f>
        <v>22.283999999999999</v>
      </c>
      <c r="AN155" cm="1">
        <f t="array" ref="AN155">SUMPRODUCT(IF(LEFT($A$4:$A$108,3)=LEFT($A155,3),IF($B$4:$B$108=$B155,IF($C$3:$AZ$3=AN$112,$C$4:$AZ$108))))</f>
        <v>14.182</v>
      </c>
      <c r="AO155" cm="1">
        <f t="array" ref="AO155">SUMPRODUCT(IF(LEFT($A$4:$A$108,3)=LEFT($A155,3),IF($B$4:$B$108=$B155,IF($C$3:$AZ$3=AO$112,$C$4:$AZ$108))))</f>
        <v>15.257999999999999</v>
      </c>
      <c r="AP155" cm="1">
        <f t="array" ref="AP155">SUMPRODUCT(IF(LEFT($A$4:$A$108,3)=LEFT($A155,3),IF($B$4:$B$108=$B155,IF($C$3:$AZ$3=AP$112,$C$4:$AZ$108))))</f>
        <v>35.29</v>
      </c>
      <c r="AQ155" cm="1">
        <f t="array" ref="AQ155">SUMPRODUCT(IF(LEFT($A$4:$A$108,3)=LEFT($A155,3),IF($B$4:$B$108=$B155,IF($C$3:$AZ$3=AQ$112,$C$4:$AZ$108))))</f>
        <v>20.017000000000003</v>
      </c>
      <c r="AR155" cm="1">
        <f t="array" ref="AR155">SUMPRODUCT(IF(LEFT($A$4:$A$108,3)=LEFT($A155,3),IF($B$4:$B$108=$B155,IF($C$3:$AZ$3=AR$112,$C$4:$AZ$108))))</f>
        <v>0</v>
      </c>
      <c r="AS155">
        <v>0</v>
      </c>
    </row>
    <row r="156" spans="1:45">
      <c r="A156" t="s">
        <v>385</v>
      </c>
      <c r="B156" t="s">
        <v>120</v>
      </c>
      <c r="C156" cm="1">
        <f t="array" ref="C156">SUMPRODUCT(IF(LEFT($A$4:$A$108,3)=LEFT($A156,3),IF($B$4:$B$108=$B156,IF($C$3:$AZ$3=C$112,$C$4:$AZ$108))))</f>
        <v>10.829000000000001</v>
      </c>
      <c r="D156" cm="1">
        <f t="array" ref="D156">SUMPRODUCT(IF(LEFT($A$4:$A$108,3)=LEFT($A156,3),IF($B$4:$B$108=$B156,IF($C$3:$AZ$3=D$112,$C$4:$AZ$108))))</f>
        <v>10.596</v>
      </c>
      <c r="E156" cm="1">
        <f t="array" ref="E156">SUMPRODUCT(IF(LEFT($A$4:$A$108,3)=LEFT($A156,3),IF($B$4:$B$108=$B156,IF($C$3:$AZ$3=E$112,$C$4:$AZ$108))))</f>
        <v>0.156</v>
      </c>
      <c r="F156" cm="1">
        <f t="array" ref="F156">SUMPRODUCT(IF(LEFT($A$4:$A$108,3)=LEFT($A156,3),IF($B$4:$B$108=$B156,IF($C$3:$AZ$3=F$112,$C$4:$AZ$108))))</f>
        <v>14.03</v>
      </c>
      <c r="G156" cm="1">
        <f t="array" ref="G156">SUMPRODUCT(IF(LEFT($A$4:$A$108,3)=LEFT($A156,3),IF($B$4:$B$108=$B156,IF($C$3:$AZ$3=G$112,$C$4:$AZ$108))))</f>
        <v>5.2999999999999999E-2</v>
      </c>
      <c r="H156" cm="1">
        <f t="array" ref="H156">SUMPRODUCT(IF(LEFT($A$4:$A$108,3)=LEFT($A156,3),IF($B$4:$B$108=$B156,IF($C$3:$AZ$3=H$112,$C$4:$AZ$108))))</f>
        <v>70.018000000000001</v>
      </c>
      <c r="I156" cm="1">
        <f t="array" ref="I156">SUMPRODUCT(IF(LEFT($A$4:$A$108,3)=LEFT($A156,3),IF($B$4:$B$108=$B156,IF($C$3:$AZ$3=I$112,$C$4:$AZ$108))))</f>
        <v>29.077000000000002</v>
      </c>
      <c r="J156" cm="1">
        <f t="array" ref="J156">SUMPRODUCT(IF(LEFT($A$4:$A$108,3)=LEFT($A156,3),IF($B$4:$B$108=$B156,IF($C$3:$AZ$3=J$112,$C$4:$AZ$108))))</f>
        <v>2.3340000000000001</v>
      </c>
      <c r="K156" cm="1">
        <f t="array" ref="K156">SUMPRODUCT(IF(LEFT($A$4:$A$108,3)=LEFT($A156,3),IF($B$4:$B$108=$B156,IF($C$3:$AZ$3=K$112,$C$4:$AZ$108))))</f>
        <v>46.058</v>
      </c>
      <c r="L156" cm="1">
        <f t="array" ref="L156">SUMPRODUCT(IF(LEFT($A$4:$A$108,3)=LEFT($A156,3),IF($B$4:$B$108=$B156,IF($C$3:$AZ$3=L$112,$C$4:$AZ$108))))</f>
        <v>1003.035</v>
      </c>
      <c r="M156" cm="1">
        <f t="array" ref="M156">SUMPRODUCT(IF(LEFT($A$4:$A$108,3)=LEFT($A156,3),IF($B$4:$B$108=$B156,IF($C$3:$AZ$3=M$112,$C$4:$AZ$108))))</f>
        <v>461.053</v>
      </c>
      <c r="N156" cm="1">
        <f t="array" ref="N156">SUMPRODUCT(IF(LEFT($A$4:$A$108,3)=LEFT($A156,3),IF($B$4:$B$108=$B156,IF($C$3:$AZ$3=N$112,$C$4:$AZ$108))))</f>
        <v>2.113</v>
      </c>
      <c r="O156" cm="1">
        <f t="array" ref="O156">SUMPRODUCT(IF(LEFT($A$4:$A$108,3)=LEFT($A156,3),IF($B$4:$B$108=$B156,IF($C$3:$AZ$3=O$112,$C$4:$AZ$108))))</f>
        <v>26.966999999999999</v>
      </c>
      <c r="P156" s="4" cm="1">
        <f t="array" ref="P156">SUMPRODUCT(IF(LEFT($A$4:$A$108,3)=LEFT($A156,3),IF($B$4:$B$108=$B156,IF($C$3:$AZ$3=P$112,$C$4:$AZ$108))))*'Cement and Glass Split'!O49</f>
        <v>0</v>
      </c>
      <c r="Q156" s="4" cm="1">
        <f t="array" ref="Q156">SUMPRODUCT(IF(LEFT($A$4:$A$108,3)=LEFT($A156,3),IF($B$4:$B$108=$B156,IF($C$3:$AZ$3=P$112,$C$4:$AZ$108))))*'Cement and Glass Split'!P49</f>
        <v>0</v>
      </c>
      <c r="R156" cm="1">
        <f t="array" ref="R156">SUMPRODUCT(IF(LEFT($A$4:$A$108,3)=LEFT($A156,3),IF($B$4:$B$108=$B156,IF($C$3:$AZ$3=R$112,$C$4:$AZ$108))))</f>
        <v>3702.5479999999998</v>
      </c>
      <c r="S156" cm="1">
        <f t="array" ref="S156">SUMPRODUCT(IF(LEFT($A$4:$A$108,3)=LEFT($A156,3),IF($B$4:$B$108=$B156,IF($C$3:$AZ$3=S$112,$C$4:$AZ$108))))</f>
        <v>461.86099999999999</v>
      </c>
      <c r="T156" cm="1">
        <f t="array" ref="T156">SUMPRODUCT(IF(LEFT($A$4:$A$108,3)=LEFT($A156,3),IF($B$4:$B$108=$B156,IF($C$3:$AZ$3=T$112,$C$4:$AZ$108))))</f>
        <v>6.7220000000000004</v>
      </c>
      <c r="U156" cm="1">
        <f t="array" ref="U156">SUMPRODUCT(IF(LEFT($A$4:$A$108,3)=LEFT($A156,3),IF($B$4:$B$108=$B156,IF($C$3:$AZ$3=U$112,$C$4:$AZ$108))))</f>
        <v>5.7050000000000001</v>
      </c>
      <c r="V156" cm="1">
        <f t="array" ref="V156">SUMPRODUCT(IF(LEFT($A$4:$A$108,3)=LEFT($A156,3),IF($B$4:$B$108=$B156,IF($C$3:$AZ$3=V$112,$C$4:$AZ$108))))</f>
        <v>13.46</v>
      </c>
      <c r="W156" cm="1">
        <f t="array" ref="W156">SUMPRODUCT(IF(LEFT($A$4:$A$108,3)=LEFT($A156,3),IF($B$4:$B$108=$B156,IF($C$3:$AZ$3=W$112,$C$4:$AZ$108))))</f>
        <v>14.983000000000001</v>
      </c>
      <c r="X156" cm="1">
        <f t="array" ref="X156">SUMPRODUCT(IF(LEFT($A$4:$A$108,3)=LEFT($A156,3),IF($B$4:$B$108=$B156,IF($C$3:$AZ$3=X$112,$C$4:$AZ$108))))</f>
        <v>11.935</v>
      </c>
      <c r="Y156" cm="1">
        <f t="array" ref="Y156">SUMPRODUCT(IF(LEFT($A$4:$A$108,3)=LEFT($A156,3),IF($B$4:$B$108=$B156,IF($C$3:$AZ$3=Y$112,$C$4:$AZ$108))))</f>
        <v>11.429</v>
      </c>
      <c r="Z156" cm="1">
        <f t="array" ref="Z156">SUMPRODUCT(IF(LEFT($A$4:$A$108,3)=LEFT($A156,3),IF($B$4:$B$108=$B156,IF($C$3:$AZ$3=Z$112,$C$4:$AZ$108))))</f>
        <v>1.89</v>
      </c>
      <c r="AA156" cm="1">
        <f t="array" ref="AA156">SUMPRODUCT(IF(LEFT($A$4:$A$108,3)=LEFT($A156,3),IF($B$4:$B$108=$B156,IF($C$3:$AZ$3=AA$112,$C$4:$AZ$108))))</f>
        <v>8686.4670000000006</v>
      </c>
      <c r="AB156" cm="1">
        <f t="array" ref="AB156">SUMPRODUCT(IF(LEFT($A$4:$A$108,3)=LEFT($A156,3),IF($B$4:$B$108=$B156,IF($C$3:$AZ$3=AB$112,$C$4:$AZ$108))))</f>
        <v>2.6749999999999998</v>
      </c>
      <c r="AC156" cm="1">
        <f t="array" ref="AC156">SUMPRODUCT(IF(LEFT($A$4:$A$108,3)=LEFT($A156,3),IF($B$4:$B$108=$B156,IF($C$3:$AZ$3=AC$112,$C$4:$AZ$108))))</f>
        <v>3.0619999999999998</v>
      </c>
      <c r="AD156" cm="1">
        <f t="array" ref="AD156">SUMPRODUCT(IF(LEFT($A$4:$A$108,3)=LEFT($A156,3),IF($B$4:$B$108=$B156,IF($C$3:$AZ$3=AD$112,$C$4:$AZ$108))))</f>
        <v>134.44999999999999</v>
      </c>
      <c r="AE156" cm="1">
        <f t="array" ref="AE156">SUMPRODUCT(IF(LEFT($A$4:$A$108,3)=LEFT($A156,3),IF($B$4:$B$108=$B156,IF($C$3:$AZ$3=AE$112,$C$4:$AZ$108))))</f>
        <v>18.475999999999999</v>
      </c>
      <c r="AF156" cm="1">
        <f t="array" ref="AF156">SUMPRODUCT(IF(LEFT($A$4:$A$108,3)=LEFT($A156,3),IF($B$4:$B$108=$B156,IF($C$3:$AZ$3=AF$112,$C$4:$AZ$108))))</f>
        <v>5.637999999999999</v>
      </c>
      <c r="AG156" cm="1">
        <f t="array" ref="AG156">SUMPRODUCT(IF(LEFT($A$4:$A$108,3)=LEFT($A156,3),IF($B$4:$B$108=$B156,IF($C$3:$AZ$3=AG$112,$C$4:$AZ$108))))</f>
        <v>11.7</v>
      </c>
      <c r="AH156" cm="1">
        <f t="array" ref="AH156">SUMPRODUCT(IF(LEFT($A$4:$A$108,3)=LEFT($A156,3),IF($B$4:$B$108=$B156,IF($C$3:$AZ$3=AH$112,$C$4:$AZ$108))))</f>
        <v>0.44500000000000001</v>
      </c>
      <c r="AI156" cm="1">
        <f t="array" ref="AI156">SUMPRODUCT(IF(LEFT($A$4:$A$108,3)=LEFT($A156,3),IF($B$4:$B$108=$B156,IF($C$3:$AZ$3=AI$112,$C$4:$AZ$108))))</f>
        <v>0.94399999999999995</v>
      </c>
      <c r="AJ156" cm="1">
        <f t="array" ref="AJ156">SUMPRODUCT(IF(LEFT($A$4:$A$108,3)=LEFT($A156,3),IF($B$4:$B$108=$B156,IF($C$3:$AZ$3=AJ$112,$C$4:$AZ$108))))</f>
        <v>0.432</v>
      </c>
      <c r="AK156" cm="1">
        <f t="array" ref="AK156">SUMPRODUCT(IF(LEFT($A$4:$A$108,3)=LEFT($A156,3),IF($B$4:$B$108=$B156,IF($C$3:$AZ$3=AK$112,$C$4:$AZ$108))))</f>
        <v>0.54800000000000004</v>
      </c>
      <c r="AL156" cm="1">
        <f t="array" ref="AL156">SUMPRODUCT(IF(LEFT($A$4:$A$108,3)=LEFT($A156,3),IF($B$4:$B$108=$B156,IF($C$3:$AZ$3=AL$112,$C$4:$AZ$108))))</f>
        <v>8.8030000000000008</v>
      </c>
      <c r="AM156" cm="1">
        <f t="array" ref="AM156">SUMPRODUCT(IF(LEFT($A$4:$A$108,3)=LEFT($A156,3),IF($B$4:$B$108=$B156,IF($C$3:$AZ$3=AM$112,$C$4:$AZ$108))))</f>
        <v>4.6059999999999999</v>
      </c>
      <c r="AN156" cm="1">
        <f t="array" ref="AN156">SUMPRODUCT(IF(LEFT($A$4:$A$108,3)=LEFT($A156,3),IF($B$4:$B$108=$B156,IF($C$3:$AZ$3=AN$112,$C$4:$AZ$108))))</f>
        <v>22.376999999999999</v>
      </c>
      <c r="AO156" cm="1">
        <f t="array" ref="AO156">SUMPRODUCT(IF(LEFT($A$4:$A$108,3)=LEFT($A156,3),IF($B$4:$B$108=$B156,IF($C$3:$AZ$3=AO$112,$C$4:$AZ$108))))</f>
        <v>25.602</v>
      </c>
      <c r="AP156" cm="1">
        <f t="array" ref="AP156">SUMPRODUCT(IF(LEFT($A$4:$A$108,3)=LEFT($A156,3),IF($B$4:$B$108=$B156,IF($C$3:$AZ$3=AP$112,$C$4:$AZ$108))))</f>
        <v>6.0780000000000003</v>
      </c>
      <c r="AQ156" cm="1">
        <f t="array" ref="AQ156">SUMPRODUCT(IF(LEFT($A$4:$A$108,3)=LEFT($A156,3),IF($B$4:$B$108=$B156,IF($C$3:$AZ$3=AQ$112,$C$4:$AZ$108))))</f>
        <v>11.423999999999999</v>
      </c>
      <c r="AR156" cm="1">
        <f t="array" ref="AR156">SUMPRODUCT(IF(LEFT($A$4:$A$108,3)=LEFT($A156,3),IF($B$4:$B$108=$B156,IF($C$3:$AZ$3=AR$112,$C$4:$AZ$108))))</f>
        <v>0</v>
      </c>
      <c r="AS156">
        <v>0</v>
      </c>
    </row>
    <row r="157" spans="1:45">
      <c r="A157" t="s">
        <v>385</v>
      </c>
      <c r="B157" t="s">
        <v>119</v>
      </c>
      <c r="C157" cm="1">
        <f t="array" ref="C157">SUMPRODUCT(IF(LEFT($A$4:$A$108,3)=LEFT($A157,3),IF($B$4:$B$108=$B157,IF($C$3:$AZ$3=C$112,$C$4:$AZ$108))))</f>
        <v>35.591999999999999</v>
      </c>
      <c r="D157" cm="1">
        <f t="array" ref="D157">SUMPRODUCT(IF(LEFT($A$4:$A$108,3)=LEFT($A157,3),IF($B$4:$B$108=$B157,IF($C$3:$AZ$3=D$112,$C$4:$AZ$108))))</f>
        <v>6.58</v>
      </c>
      <c r="E157" cm="1">
        <f t="array" ref="E157">SUMPRODUCT(IF(LEFT($A$4:$A$108,3)=LEFT($A157,3),IF($B$4:$B$108=$B157,IF($C$3:$AZ$3=E$112,$C$4:$AZ$108))))</f>
        <v>8.85</v>
      </c>
      <c r="F157" cm="1">
        <f t="array" ref="F157">SUMPRODUCT(IF(LEFT($A$4:$A$108,3)=LEFT($A157,3),IF($B$4:$B$108=$B157,IF($C$3:$AZ$3=F$112,$C$4:$AZ$108))))</f>
        <v>80.740000000000009</v>
      </c>
      <c r="G157" cm="1">
        <f t="array" ref="G157">SUMPRODUCT(IF(LEFT($A$4:$A$108,3)=LEFT($A157,3),IF($B$4:$B$108=$B157,IF($C$3:$AZ$3=G$112,$C$4:$AZ$108))))</f>
        <v>0.26600000000000001</v>
      </c>
      <c r="H157" cm="1">
        <f t="array" ref="H157">SUMPRODUCT(IF(LEFT($A$4:$A$108,3)=LEFT($A157,3),IF($B$4:$B$108=$B157,IF($C$3:$AZ$3=H$112,$C$4:$AZ$108))))</f>
        <v>423.22</v>
      </c>
      <c r="I157" cm="1">
        <f t="array" ref="I157">SUMPRODUCT(IF(LEFT($A$4:$A$108,3)=LEFT($A157,3),IF($B$4:$B$108=$B157,IF($C$3:$AZ$3=I$112,$C$4:$AZ$108))))</f>
        <v>83.378</v>
      </c>
      <c r="J157" cm="1">
        <f t="array" ref="J157">SUMPRODUCT(IF(LEFT($A$4:$A$108,3)=LEFT($A157,3),IF($B$4:$B$108=$B157,IF($C$3:$AZ$3=J$112,$C$4:$AZ$108))))</f>
        <v>20.048999999999999</v>
      </c>
      <c r="K157" cm="1">
        <f t="array" ref="K157">SUMPRODUCT(IF(LEFT($A$4:$A$108,3)=LEFT($A157,3),IF($B$4:$B$108=$B157,IF($C$3:$AZ$3=K$112,$C$4:$AZ$108))))</f>
        <v>264.233</v>
      </c>
      <c r="L157" cm="1">
        <f t="array" ref="L157">SUMPRODUCT(IF(LEFT($A$4:$A$108,3)=LEFT($A157,3),IF($B$4:$B$108=$B157,IF($C$3:$AZ$3=L$112,$C$4:$AZ$108))))</f>
        <v>99813.858999999997</v>
      </c>
      <c r="M157" cm="1">
        <f t="array" ref="M157">SUMPRODUCT(IF(LEFT($A$4:$A$108,3)=LEFT($A157,3),IF($B$4:$B$108=$B157,IF($C$3:$AZ$3=M$112,$C$4:$AZ$108))))</f>
        <v>7701.8969999999999</v>
      </c>
      <c r="N157" cm="1">
        <f t="array" ref="N157">SUMPRODUCT(IF(LEFT($A$4:$A$108,3)=LEFT($A157,3),IF($B$4:$B$108=$B157,IF($C$3:$AZ$3=N$112,$C$4:$AZ$108))))</f>
        <v>17.452999999999999</v>
      </c>
      <c r="O157" cm="1">
        <f t="array" ref="O157">SUMPRODUCT(IF(LEFT($A$4:$A$108,3)=LEFT($A157,3),IF($B$4:$B$108=$B157,IF($C$3:$AZ$3=O$112,$C$4:$AZ$108))))</f>
        <v>243.381</v>
      </c>
      <c r="P157" s="4" cm="1">
        <f t="array" ref="P157">SUMPRODUCT(IF(LEFT($A$4:$A$108,3)=LEFT($A157,3),IF($B$4:$B$108=$B157,IF($C$3:$AZ$3=P$112,$C$4:$AZ$108))))*'Cement and Glass Split'!O50</f>
        <v>12.575537340080578</v>
      </c>
      <c r="Q157" s="4" cm="1">
        <f t="array" ref="Q157">SUMPRODUCT(IF(LEFT($A$4:$A$108,3)=LEFT($A157,3),IF($B$4:$B$108=$B157,IF($C$3:$AZ$3=P$112,$C$4:$AZ$108))))*'Cement and Glass Split'!P50</f>
        <v>1060.1094626599192</v>
      </c>
      <c r="R157" cm="1">
        <f t="array" ref="R157">SUMPRODUCT(IF(LEFT($A$4:$A$108,3)=LEFT($A157,3),IF($B$4:$B$108=$B157,IF($C$3:$AZ$3=R$112,$C$4:$AZ$108))))</f>
        <v>2462.652</v>
      </c>
      <c r="S157" cm="1">
        <f t="array" ref="S157">SUMPRODUCT(IF(LEFT($A$4:$A$108,3)=LEFT($A157,3),IF($B$4:$B$108=$B157,IF($C$3:$AZ$3=S$112,$C$4:$AZ$108))))</f>
        <v>1278.3599999999999</v>
      </c>
      <c r="T157" cm="1">
        <f t="array" ref="T157">SUMPRODUCT(IF(LEFT($A$4:$A$108,3)=LEFT($A157,3),IF($B$4:$B$108=$B157,IF($C$3:$AZ$3=T$112,$C$4:$AZ$108))))</f>
        <v>336.76</v>
      </c>
      <c r="U157" cm="1">
        <f t="array" ref="U157">SUMPRODUCT(IF(LEFT($A$4:$A$108,3)=LEFT($A157,3),IF($B$4:$B$108=$B157,IF($C$3:$AZ$3=U$112,$C$4:$AZ$108))))</f>
        <v>72.837999999999994</v>
      </c>
      <c r="V157" cm="1">
        <f t="array" ref="V157">SUMPRODUCT(IF(LEFT($A$4:$A$108,3)=LEFT($A157,3),IF($B$4:$B$108=$B157,IF($C$3:$AZ$3=V$112,$C$4:$AZ$108))))</f>
        <v>76.739999999999995</v>
      </c>
      <c r="W157" cm="1">
        <f t="array" ref="W157">SUMPRODUCT(IF(LEFT($A$4:$A$108,3)=LEFT($A157,3),IF($B$4:$B$108=$B157,IF($C$3:$AZ$3=W$112,$C$4:$AZ$108))))</f>
        <v>146.47399999999999</v>
      </c>
      <c r="X157" cm="1">
        <f t="array" ref="X157">SUMPRODUCT(IF(LEFT($A$4:$A$108,3)=LEFT($A157,3),IF($B$4:$B$108=$B157,IF($C$3:$AZ$3=X$112,$C$4:$AZ$108))))</f>
        <v>188.70500000000001</v>
      </c>
      <c r="Y157" cm="1">
        <f t="array" ref="Y157">SUMPRODUCT(IF(LEFT($A$4:$A$108,3)=LEFT($A157,3),IF($B$4:$B$108=$B157,IF($C$3:$AZ$3=Y$112,$C$4:$AZ$108))))</f>
        <v>68.953000000000003</v>
      </c>
      <c r="Z157" cm="1">
        <f t="array" ref="Z157">SUMPRODUCT(IF(LEFT($A$4:$A$108,3)=LEFT($A157,3),IF($B$4:$B$108=$B157,IF($C$3:$AZ$3=Z$112,$C$4:$AZ$108))))</f>
        <v>50.048999999999999</v>
      </c>
      <c r="AA157" cm="1">
        <f t="array" ref="AA157">SUMPRODUCT(IF(LEFT($A$4:$A$108,3)=LEFT($A157,3),IF($B$4:$B$108=$B157,IF($C$3:$AZ$3=AA$112,$C$4:$AZ$108))))</f>
        <v>28457.401000000002</v>
      </c>
      <c r="AB157" cm="1">
        <f t="array" ref="AB157">SUMPRODUCT(IF(LEFT($A$4:$A$108,3)=LEFT($A157,3),IF($B$4:$B$108=$B157,IF($C$3:$AZ$3=AB$112,$C$4:$AZ$108))))</f>
        <v>55.29</v>
      </c>
      <c r="AC157" cm="1">
        <f t="array" ref="AC157">SUMPRODUCT(IF(LEFT($A$4:$A$108,3)=LEFT($A157,3),IF($B$4:$B$108=$B157,IF($C$3:$AZ$3=AC$112,$C$4:$AZ$108))))</f>
        <v>58.695999999999998</v>
      </c>
      <c r="AD157" cm="1">
        <f t="array" ref="AD157">SUMPRODUCT(IF(LEFT($A$4:$A$108,3)=LEFT($A157,3),IF($B$4:$B$108=$B157,IF($C$3:$AZ$3=AD$112,$C$4:$AZ$108))))</f>
        <v>250.14500000000001</v>
      </c>
      <c r="AE157" cm="1">
        <f t="array" ref="AE157">SUMPRODUCT(IF(LEFT($A$4:$A$108,3)=LEFT($A157,3),IF($B$4:$B$108=$B157,IF($C$3:$AZ$3=AE$112,$C$4:$AZ$108))))</f>
        <v>576.93700000000001</v>
      </c>
      <c r="AF157" cm="1">
        <f t="array" ref="AF157">SUMPRODUCT(IF(LEFT($A$4:$A$108,3)=LEFT($A157,3),IF($B$4:$B$108=$B157,IF($C$3:$AZ$3=AF$112,$C$4:$AZ$108))))</f>
        <v>270.08299999999997</v>
      </c>
      <c r="AG157" cm="1">
        <f t="array" ref="AG157">SUMPRODUCT(IF(LEFT($A$4:$A$108,3)=LEFT($A157,3),IF($B$4:$B$108=$B157,IF($C$3:$AZ$3=AG$112,$C$4:$AZ$108))))</f>
        <v>93.712999999999994</v>
      </c>
      <c r="AH157" cm="1">
        <f t="array" ref="AH157">SUMPRODUCT(IF(LEFT($A$4:$A$108,3)=LEFT($A157,3),IF($B$4:$B$108=$B157,IF($C$3:$AZ$3=AH$112,$C$4:$AZ$108))))</f>
        <v>12.914999999999999</v>
      </c>
      <c r="AI157" cm="1">
        <f t="array" ref="AI157">SUMPRODUCT(IF(LEFT($A$4:$A$108,3)=LEFT($A157,3),IF($B$4:$B$108=$B157,IF($C$3:$AZ$3=AI$112,$C$4:$AZ$108))))</f>
        <v>9.6679999999999993</v>
      </c>
      <c r="AJ157" cm="1">
        <f t="array" ref="AJ157">SUMPRODUCT(IF(LEFT($A$4:$A$108,3)=LEFT($A157,3),IF($B$4:$B$108=$B157,IF($C$3:$AZ$3=AJ$112,$C$4:$AZ$108))))</f>
        <v>13.145</v>
      </c>
      <c r="AK157" cm="1">
        <f t="array" ref="AK157">SUMPRODUCT(IF(LEFT($A$4:$A$108,3)=LEFT($A157,3),IF($B$4:$B$108=$B157,IF($C$3:$AZ$3=AK$112,$C$4:$AZ$108))))</f>
        <v>26.946999999999999</v>
      </c>
      <c r="AL157" cm="1">
        <f t="array" ref="AL157">SUMPRODUCT(IF(LEFT($A$4:$A$108,3)=LEFT($A157,3),IF($B$4:$B$108=$B157,IF($C$3:$AZ$3=AL$112,$C$4:$AZ$108))))</f>
        <v>99.980999999999995</v>
      </c>
      <c r="AM157" cm="1">
        <f t="array" ref="AM157">SUMPRODUCT(IF(LEFT($A$4:$A$108,3)=LEFT($A157,3),IF($B$4:$B$108=$B157,IF($C$3:$AZ$3=AM$112,$C$4:$AZ$108))))</f>
        <v>202.09100000000001</v>
      </c>
      <c r="AN157" cm="1">
        <f t="array" ref="AN157">SUMPRODUCT(IF(LEFT($A$4:$A$108,3)=LEFT($A157,3),IF($B$4:$B$108=$B157,IF($C$3:$AZ$3=AN$112,$C$4:$AZ$108))))</f>
        <v>148.904</v>
      </c>
      <c r="AO157" cm="1">
        <f t="array" ref="AO157">SUMPRODUCT(IF(LEFT($A$4:$A$108,3)=LEFT($A157,3),IF($B$4:$B$108=$B157,IF($C$3:$AZ$3=AO$112,$C$4:$AZ$108))))</f>
        <v>89.796999999999997</v>
      </c>
      <c r="AP157" cm="1">
        <f t="array" ref="AP157">SUMPRODUCT(IF(LEFT($A$4:$A$108,3)=LEFT($A157,3),IF($B$4:$B$108=$B157,IF($C$3:$AZ$3=AP$112,$C$4:$AZ$108))))</f>
        <v>41.582000000000001</v>
      </c>
      <c r="AQ157" cm="1">
        <f t="array" ref="AQ157">SUMPRODUCT(IF(LEFT($A$4:$A$108,3)=LEFT($A157,3),IF($B$4:$B$108=$B157,IF($C$3:$AZ$3=AQ$112,$C$4:$AZ$108))))</f>
        <v>44.768000000000001</v>
      </c>
      <c r="AR157" cm="1">
        <f t="array" ref="AR157">SUMPRODUCT(IF(LEFT($A$4:$A$108,3)=LEFT($A157,3),IF($B$4:$B$108=$B157,IF($C$3:$AZ$3=AR$112,$C$4:$AZ$108))))</f>
        <v>0</v>
      </c>
      <c r="AS157">
        <v>0</v>
      </c>
    </row>
    <row r="158" spans="1:45">
      <c r="A158" t="s">
        <v>385</v>
      </c>
      <c r="B158" t="s">
        <v>5</v>
      </c>
      <c r="C158" cm="1">
        <f t="array" ref="C158">SUMPRODUCT(IF(LEFT($A$4:$A$108,3)=LEFT($A158,3),IF($B$4:$B$108=$B158,IF($C$3:$AZ$3=C$112,$C$4:$AZ$108))))</f>
        <v>10.542</v>
      </c>
      <c r="D158" cm="1">
        <f t="array" ref="D158">SUMPRODUCT(IF(LEFT($A$4:$A$108,3)=LEFT($A158,3),IF($B$4:$B$108=$B158,IF($C$3:$AZ$3=D$112,$C$4:$AZ$108))))</f>
        <v>0.65399999999999991</v>
      </c>
      <c r="E158" cm="1">
        <f t="array" ref="E158">SUMPRODUCT(IF(LEFT($A$4:$A$108,3)=LEFT($A158,3),IF($B$4:$B$108=$B158,IF($C$3:$AZ$3=E$112,$C$4:$AZ$108))))</f>
        <v>0.109</v>
      </c>
      <c r="F158" cm="1">
        <f t="array" ref="F158">SUMPRODUCT(IF(LEFT($A$4:$A$108,3)=LEFT($A158,3),IF($B$4:$B$108=$B158,IF($C$3:$AZ$3=F$112,$C$4:$AZ$108))))</f>
        <v>47.951999999999998</v>
      </c>
      <c r="G158" cm="1">
        <f t="array" ref="G158">SUMPRODUCT(IF(LEFT($A$4:$A$108,3)=LEFT($A158,3),IF($B$4:$B$108=$B158,IF($C$3:$AZ$3=G$112,$C$4:$AZ$108))))</f>
        <v>5.3999999999999999E-2</v>
      </c>
      <c r="H158" cm="1">
        <f t="array" ref="H158">SUMPRODUCT(IF(LEFT($A$4:$A$108,3)=LEFT($A158,3),IF($B$4:$B$108=$B158,IF($C$3:$AZ$3=H$112,$C$4:$AZ$108))))</f>
        <v>28.707999999999998</v>
      </c>
      <c r="I158" cm="1">
        <f t="array" ref="I158">SUMPRODUCT(IF(LEFT($A$4:$A$108,3)=LEFT($A158,3),IF($B$4:$B$108=$B158,IF($C$3:$AZ$3=I$112,$C$4:$AZ$108))))</f>
        <v>10.36</v>
      </c>
      <c r="J158" cm="1">
        <f t="array" ref="J158">SUMPRODUCT(IF(LEFT($A$4:$A$108,3)=LEFT($A158,3),IF($B$4:$B$108=$B158,IF($C$3:$AZ$3=J$112,$C$4:$AZ$108))))</f>
        <v>0.99900000000000011</v>
      </c>
      <c r="K158" cm="1">
        <f t="array" ref="K158">SUMPRODUCT(IF(LEFT($A$4:$A$108,3)=LEFT($A158,3),IF($B$4:$B$108=$B158,IF($C$3:$AZ$3=K$112,$C$4:$AZ$108))))</f>
        <v>7.2989999999999995</v>
      </c>
      <c r="L158" cm="1">
        <f t="array" ref="L158">SUMPRODUCT(IF(LEFT($A$4:$A$108,3)=LEFT($A158,3),IF($B$4:$B$108=$B158,IF($C$3:$AZ$3=L$112,$C$4:$AZ$108))))</f>
        <v>131.96199999999999</v>
      </c>
      <c r="M158" cm="1">
        <f t="array" ref="M158">SUMPRODUCT(IF(LEFT($A$4:$A$108,3)=LEFT($A158,3),IF($B$4:$B$108=$B158,IF($C$3:$AZ$3=M$112,$C$4:$AZ$108))))</f>
        <v>457.01599999999996</v>
      </c>
      <c r="N158" cm="1">
        <f t="array" ref="N158">SUMPRODUCT(IF(LEFT($A$4:$A$108,3)=LEFT($A158,3),IF($B$4:$B$108=$B158,IF($C$3:$AZ$3=N$112,$C$4:$AZ$108))))</f>
        <v>4.5069999999999997</v>
      </c>
      <c r="O158" cm="1">
        <f t="array" ref="O158">SUMPRODUCT(IF(LEFT($A$4:$A$108,3)=LEFT($A158,3),IF($B$4:$B$108=$B158,IF($C$3:$AZ$3=O$112,$C$4:$AZ$108))))</f>
        <v>31.542000000000002</v>
      </c>
      <c r="P158" s="4" cm="1">
        <f t="array" ref="P158">SUMPRODUCT(IF(LEFT($A$4:$A$108,3)=LEFT($A158,3),IF($B$4:$B$108=$B158,IF($C$3:$AZ$3=P$112,$C$4:$AZ$108))))*'Cement and Glass Split'!O51</f>
        <v>6.2028952149944168</v>
      </c>
      <c r="Q158" s="4" cm="1">
        <f t="array" ref="Q158">SUMPRODUCT(IF(LEFT($A$4:$A$108,3)=LEFT($A158,3),IF($B$4:$B$108=$B158,IF($C$3:$AZ$3=P$112,$C$4:$AZ$108))))*'Cement and Glass Split'!P51</f>
        <v>512.66310478500554</v>
      </c>
      <c r="R158" cm="1">
        <f t="array" ref="R158">SUMPRODUCT(IF(LEFT($A$4:$A$108,3)=LEFT($A158,3),IF($B$4:$B$108=$B158,IF($C$3:$AZ$3=R$112,$C$4:$AZ$108))))</f>
        <v>5641.1059999999998</v>
      </c>
      <c r="S158" cm="1">
        <f t="array" ref="S158">SUMPRODUCT(IF(LEFT($A$4:$A$108,3)=LEFT($A158,3),IF($B$4:$B$108=$B158,IF($C$3:$AZ$3=S$112,$C$4:$AZ$108))))</f>
        <v>5971.6750000000002</v>
      </c>
      <c r="T158" cm="1">
        <f t="array" ref="T158">SUMPRODUCT(IF(LEFT($A$4:$A$108,3)=LEFT($A158,3),IF($B$4:$B$108=$B158,IF($C$3:$AZ$3=T$112,$C$4:$AZ$108))))</f>
        <v>185.52700000000002</v>
      </c>
      <c r="U158" cm="1">
        <f t="array" ref="U158">SUMPRODUCT(IF(LEFT($A$4:$A$108,3)=LEFT($A158,3),IF($B$4:$B$108=$B158,IF($C$3:$AZ$3=U$112,$C$4:$AZ$108))))</f>
        <v>46.320999999999998</v>
      </c>
      <c r="V158" cm="1">
        <f t="array" ref="V158">SUMPRODUCT(IF(LEFT($A$4:$A$108,3)=LEFT($A158,3),IF($B$4:$B$108=$B158,IF($C$3:$AZ$3=V$112,$C$4:$AZ$108))))</f>
        <v>70.39500000000001</v>
      </c>
      <c r="W158" cm="1">
        <f t="array" ref="W158">SUMPRODUCT(IF(LEFT($A$4:$A$108,3)=LEFT($A158,3),IF($B$4:$B$108=$B158,IF($C$3:$AZ$3=W$112,$C$4:$AZ$108))))</f>
        <v>56.395000000000003</v>
      </c>
      <c r="X158" cm="1">
        <f t="array" ref="X158">SUMPRODUCT(IF(LEFT($A$4:$A$108,3)=LEFT($A158,3),IF($B$4:$B$108=$B158,IF($C$3:$AZ$3=X$112,$C$4:$AZ$108))))</f>
        <v>46.515000000000001</v>
      </c>
      <c r="Y158" cm="1">
        <f t="array" ref="Y158">SUMPRODUCT(IF(LEFT($A$4:$A$108,3)=LEFT($A158,3),IF($B$4:$B$108=$B158,IF($C$3:$AZ$3=Y$112,$C$4:$AZ$108))))</f>
        <v>9.4609999999999985</v>
      </c>
      <c r="Z158" cm="1">
        <f t="array" ref="Z158">SUMPRODUCT(IF(LEFT($A$4:$A$108,3)=LEFT($A158,3),IF($B$4:$B$108=$B158,IF($C$3:$AZ$3=Z$112,$C$4:$AZ$108))))</f>
        <v>15.655999999999999</v>
      </c>
      <c r="AA158" cm="1">
        <f t="array" ref="AA158">SUMPRODUCT(IF(LEFT($A$4:$A$108,3)=LEFT($A158,3),IF($B$4:$B$108=$B158,IF($C$3:$AZ$3=AA$112,$C$4:$AZ$108))))</f>
        <v>125.893</v>
      </c>
      <c r="AB158" cm="1">
        <f t="array" ref="AB158">SUMPRODUCT(IF(LEFT($A$4:$A$108,3)=LEFT($A158,3),IF($B$4:$B$108=$B158,IF($C$3:$AZ$3=AB$112,$C$4:$AZ$108))))</f>
        <v>1.145</v>
      </c>
      <c r="AC158" cm="1">
        <f t="array" ref="AC158">SUMPRODUCT(IF(LEFT($A$4:$A$108,3)=LEFT($A158,3),IF($B$4:$B$108=$B158,IF($C$3:$AZ$3=AC$112,$C$4:$AZ$108))))</f>
        <v>6.3339999999999996</v>
      </c>
      <c r="AD158" cm="1">
        <f t="array" ref="AD158">SUMPRODUCT(IF(LEFT($A$4:$A$108,3)=LEFT($A158,3),IF($B$4:$B$108=$B158,IF($C$3:$AZ$3=AD$112,$C$4:$AZ$108))))</f>
        <v>494.75200000000001</v>
      </c>
      <c r="AE158" cm="1">
        <f t="array" ref="AE158">SUMPRODUCT(IF(LEFT($A$4:$A$108,3)=LEFT($A158,3),IF($B$4:$B$108=$B158,IF($C$3:$AZ$3=AE$112,$C$4:$AZ$108))))</f>
        <v>8.4009999999999998</v>
      </c>
      <c r="AF158" cm="1">
        <f t="array" ref="AF158">SUMPRODUCT(IF(LEFT($A$4:$A$108,3)=LEFT($A158,3),IF($B$4:$B$108=$B158,IF($C$3:$AZ$3=AF$112,$C$4:$AZ$108))))</f>
        <v>5.08</v>
      </c>
      <c r="AG158" cm="1">
        <f t="array" ref="AG158">SUMPRODUCT(IF(LEFT($A$4:$A$108,3)=LEFT($A158,3),IF($B$4:$B$108=$B158,IF($C$3:$AZ$3=AG$112,$C$4:$AZ$108))))</f>
        <v>7.7509999999999994</v>
      </c>
      <c r="AH158" cm="1">
        <f t="array" ref="AH158">SUMPRODUCT(IF(LEFT($A$4:$A$108,3)=LEFT($A158,3),IF($B$4:$B$108=$B158,IF($C$3:$AZ$3=AH$112,$C$4:$AZ$108))))</f>
        <v>0.83</v>
      </c>
      <c r="AI158" cm="1">
        <f t="array" ref="AI158">SUMPRODUCT(IF(LEFT($A$4:$A$108,3)=LEFT($A158,3),IF($B$4:$B$108=$B158,IF($C$3:$AZ$3=AI$112,$C$4:$AZ$108))))</f>
        <v>0.438</v>
      </c>
      <c r="AJ158" cm="1">
        <f t="array" ref="AJ158">SUMPRODUCT(IF(LEFT($A$4:$A$108,3)=LEFT($A158,3),IF($B$4:$B$108=$B158,IF($C$3:$AZ$3=AJ$112,$C$4:$AZ$108))))</f>
        <v>0.51100000000000001</v>
      </c>
      <c r="AK158" cm="1">
        <f t="array" ref="AK158">SUMPRODUCT(IF(LEFT($A$4:$A$108,3)=LEFT($A158,3),IF($B$4:$B$108=$B158,IF($C$3:$AZ$3=AK$112,$C$4:$AZ$108))))</f>
        <v>0.76200000000000001</v>
      </c>
      <c r="AL158" cm="1">
        <f t="array" ref="AL158">SUMPRODUCT(IF(LEFT($A$4:$A$108,3)=LEFT($A158,3),IF($B$4:$B$108=$B158,IF($C$3:$AZ$3=AL$112,$C$4:$AZ$108))))</f>
        <v>8.5640000000000001</v>
      </c>
      <c r="AM158" cm="1">
        <f t="array" ref="AM158">SUMPRODUCT(IF(LEFT($A$4:$A$108,3)=LEFT($A158,3),IF($B$4:$B$108=$B158,IF($C$3:$AZ$3=AM$112,$C$4:$AZ$108))))</f>
        <v>10.989000000000001</v>
      </c>
      <c r="AN158" cm="1">
        <f t="array" ref="AN158">SUMPRODUCT(IF(LEFT($A$4:$A$108,3)=LEFT($A158,3),IF($B$4:$B$108=$B158,IF($C$3:$AZ$3=AN$112,$C$4:$AZ$108))))</f>
        <v>4.4139999999999997</v>
      </c>
      <c r="AO158" cm="1">
        <f t="array" ref="AO158">SUMPRODUCT(IF(LEFT($A$4:$A$108,3)=LEFT($A158,3),IF($B$4:$B$108=$B158,IF($C$3:$AZ$3=AO$112,$C$4:$AZ$108))))</f>
        <v>2</v>
      </c>
      <c r="AP158" cm="1">
        <f t="array" ref="AP158">SUMPRODUCT(IF(LEFT($A$4:$A$108,3)=LEFT($A158,3),IF($B$4:$B$108=$B158,IF($C$3:$AZ$3=AP$112,$C$4:$AZ$108))))</f>
        <v>3.2</v>
      </c>
      <c r="AQ158" cm="1">
        <f t="array" ref="AQ158">SUMPRODUCT(IF(LEFT($A$4:$A$108,3)=LEFT($A158,3),IF($B$4:$B$108=$B158,IF($C$3:$AZ$3=AQ$112,$C$4:$AZ$108))))</f>
        <v>5.1869999999999994</v>
      </c>
      <c r="AR158" cm="1">
        <f t="array" ref="AR158">SUMPRODUCT(IF(LEFT($A$4:$A$108,3)=LEFT($A158,3),IF($B$4:$B$108=$B158,IF($C$3:$AZ$3=AR$112,$C$4:$AZ$108))))</f>
        <v>0</v>
      </c>
      <c r="AS158">
        <v>0</v>
      </c>
    </row>
    <row r="159" spans="1:45">
      <c r="A159" t="s">
        <v>385</v>
      </c>
      <c r="B159" t="s">
        <v>6</v>
      </c>
      <c r="C159" cm="1">
        <f t="array" ref="C159">SUMPRODUCT(IF(LEFT($A$4:$A$108,3)=LEFT($A159,3),IF($B$4:$B$108=$B159,IF($C$3:$AZ$3=C$112,$C$4:$AZ$108))))</f>
        <v>0.44</v>
      </c>
      <c r="D159" cm="1">
        <f t="array" ref="D159">SUMPRODUCT(IF(LEFT($A$4:$A$108,3)=LEFT($A159,3),IF($B$4:$B$108=$B159,IF($C$3:$AZ$3=D$112,$C$4:$AZ$108))))</f>
        <v>1.4E-2</v>
      </c>
      <c r="E159" cm="1">
        <f t="array" ref="E159">SUMPRODUCT(IF(LEFT($A$4:$A$108,3)=LEFT($A159,3),IF($B$4:$B$108=$B159,IF($C$3:$AZ$3=E$112,$C$4:$AZ$108))))</f>
        <v>1.4999999999999999E-2</v>
      </c>
      <c r="F159" cm="1">
        <f t="array" ref="F159">SUMPRODUCT(IF(LEFT($A$4:$A$108,3)=LEFT($A159,3),IF($B$4:$B$108=$B159,IF($C$3:$AZ$3=F$112,$C$4:$AZ$108))))</f>
        <v>0.216</v>
      </c>
      <c r="G159" cm="1">
        <f t="array" ref="G159">SUMPRODUCT(IF(LEFT($A$4:$A$108,3)=LEFT($A159,3),IF($B$4:$B$108=$B159,IF($C$3:$AZ$3=G$112,$C$4:$AZ$108))))</f>
        <v>1E-3</v>
      </c>
      <c r="H159" cm="1">
        <f t="array" ref="H159">SUMPRODUCT(IF(LEFT($A$4:$A$108,3)=LEFT($A159,3),IF($B$4:$B$108=$B159,IF($C$3:$AZ$3=H$112,$C$4:$AZ$108))))</f>
        <v>1.502</v>
      </c>
      <c r="I159" cm="1">
        <f t="array" ref="I159">SUMPRODUCT(IF(LEFT($A$4:$A$108,3)=LEFT($A159,3),IF($B$4:$B$108=$B159,IF($C$3:$AZ$3=I$112,$C$4:$AZ$108))))</f>
        <v>0.45400000000000001</v>
      </c>
      <c r="J159" cm="1">
        <f t="array" ref="J159">SUMPRODUCT(IF(LEFT($A$4:$A$108,3)=LEFT($A159,3),IF($B$4:$B$108=$B159,IF($C$3:$AZ$3=J$112,$C$4:$AZ$108))))</f>
        <v>9.2999999999999999E-2</v>
      </c>
      <c r="K159" cm="1">
        <f t="array" ref="K159">SUMPRODUCT(IF(LEFT($A$4:$A$108,3)=LEFT($A159,3),IF($B$4:$B$108=$B159,IF($C$3:$AZ$3=K$112,$C$4:$AZ$108))))</f>
        <v>0.52400000000000002</v>
      </c>
      <c r="L159" cm="1">
        <f t="array" ref="L159">SUMPRODUCT(IF(LEFT($A$4:$A$108,3)=LEFT($A159,3),IF($B$4:$B$108=$B159,IF($C$3:$AZ$3=L$112,$C$4:$AZ$108))))</f>
        <v>107.84099999999999</v>
      </c>
      <c r="M159" cm="1">
        <f t="array" ref="M159">SUMPRODUCT(IF(LEFT($A$4:$A$108,3)=LEFT($A159,3),IF($B$4:$B$108=$B159,IF($C$3:$AZ$3=M$112,$C$4:$AZ$108))))</f>
        <v>10.430999999999999</v>
      </c>
      <c r="N159" cm="1">
        <f t="array" ref="N159">SUMPRODUCT(IF(LEFT($A$4:$A$108,3)=LEFT($A159,3),IF($B$4:$B$108=$B159,IF($C$3:$AZ$3=N$112,$C$4:$AZ$108))))</f>
        <v>0.16800000000000001</v>
      </c>
      <c r="O159" cm="1">
        <f t="array" ref="O159">SUMPRODUCT(IF(LEFT($A$4:$A$108,3)=LEFT($A159,3),IF($B$4:$B$108=$B159,IF($C$3:$AZ$3=O$112,$C$4:$AZ$108))))</f>
        <v>0.84499999999999997</v>
      </c>
      <c r="P159" s="4" cm="1">
        <f t="array" ref="P159">SUMPRODUCT(IF(LEFT($A$4:$A$108,3)=LEFT($A159,3),IF($B$4:$B$108=$B159,IF($C$3:$AZ$3=P$112,$C$4:$AZ$108))))*'Cement and Glass Split'!O52</f>
        <v>0</v>
      </c>
      <c r="Q159" s="4" cm="1">
        <f t="array" ref="Q159">SUMPRODUCT(IF(LEFT($A$4:$A$108,3)=LEFT($A159,3),IF($B$4:$B$108=$B159,IF($C$3:$AZ$3=P$112,$C$4:$AZ$108))))*'Cement and Glass Split'!P52</f>
        <v>0</v>
      </c>
      <c r="R159" cm="1">
        <f t="array" ref="R159">SUMPRODUCT(IF(LEFT($A$4:$A$108,3)=LEFT($A159,3),IF($B$4:$B$108=$B159,IF($C$3:$AZ$3=R$112,$C$4:$AZ$108))))</f>
        <v>5.58</v>
      </c>
      <c r="S159" cm="1">
        <f t="array" ref="S159">SUMPRODUCT(IF(LEFT($A$4:$A$108,3)=LEFT($A159,3),IF($B$4:$B$108=$B159,IF($C$3:$AZ$3=S$112,$C$4:$AZ$108))))</f>
        <v>3.3780000000000001</v>
      </c>
      <c r="T159" cm="1">
        <f t="array" ref="T159">SUMPRODUCT(IF(LEFT($A$4:$A$108,3)=LEFT($A159,3),IF($B$4:$B$108=$B159,IF($C$3:$AZ$3=T$112,$C$4:$AZ$108))))</f>
        <v>1.018</v>
      </c>
      <c r="U159" cm="1">
        <f t="array" ref="U159">SUMPRODUCT(IF(LEFT($A$4:$A$108,3)=LEFT($A159,3),IF($B$4:$B$108=$B159,IF($C$3:$AZ$3=U$112,$C$4:$AZ$108))))</f>
        <v>1.04</v>
      </c>
      <c r="V159" cm="1">
        <f t="array" ref="V159">SUMPRODUCT(IF(LEFT($A$4:$A$108,3)=LEFT($A159,3),IF($B$4:$B$108=$B159,IF($C$3:$AZ$3=V$112,$C$4:$AZ$108))))</f>
        <v>0.57999999999999996</v>
      </c>
      <c r="W159" cm="1">
        <f t="array" ref="W159">SUMPRODUCT(IF(LEFT($A$4:$A$108,3)=LEFT($A159,3),IF($B$4:$B$108=$B159,IF($C$3:$AZ$3=W$112,$C$4:$AZ$108))))</f>
        <v>0.95099999999999996</v>
      </c>
      <c r="X159" cm="1">
        <f t="array" ref="X159">SUMPRODUCT(IF(LEFT($A$4:$A$108,3)=LEFT($A159,3),IF($B$4:$B$108=$B159,IF($C$3:$AZ$3=X$112,$C$4:$AZ$108))))</f>
        <v>1.0820000000000001</v>
      </c>
      <c r="Y159" cm="1">
        <f t="array" ref="Y159">SUMPRODUCT(IF(LEFT($A$4:$A$108,3)=LEFT($A159,3),IF($B$4:$B$108=$B159,IF($C$3:$AZ$3=Y$112,$C$4:$AZ$108))))</f>
        <v>0.34199999999999997</v>
      </c>
      <c r="Z159" cm="1">
        <f t="array" ref="Z159">SUMPRODUCT(IF(LEFT($A$4:$A$108,3)=LEFT($A159,3),IF($B$4:$B$108=$B159,IF($C$3:$AZ$3=Z$112,$C$4:$AZ$108))))</f>
        <v>0.24199999999999999</v>
      </c>
      <c r="AA159" cm="1">
        <f t="array" ref="AA159">SUMPRODUCT(IF(LEFT($A$4:$A$108,3)=LEFT($A159,3),IF($B$4:$B$108=$B159,IF($C$3:$AZ$3=AA$112,$C$4:$AZ$108))))</f>
        <v>33.036000000000001</v>
      </c>
      <c r="AB159" cm="1">
        <f t="array" ref="AB159">SUMPRODUCT(IF(LEFT($A$4:$A$108,3)=LEFT($A159,3),IF($B$4:$B$108=$B159,IF($C$3:$AZ$3=AB$112,$C$4:$AZ$108))))</f>
        <v>0.35699999999999998</v>
      </c>
      <c r="AC159" cm="1">
        <f t="array" ref="AC159">SUMPRODUCT(IF(LEFT($A$4:$A$108,3)=LEFT($A159,3),IF($B$4:$B$108=$B159,IF($C$3:$AZ$3=AC$112,$C$4:$AZ$108))))</f>
        <v>0.19700000000000001</v>
      </c>
      <c r="AD159" cm="1">
        <f t="array" ref="AD159">SUMPRODUCT(IF(LEFT($A$4:$A$108,3)=LEFT($A159,3),IF($B$4:$B$108=$B159,IF($C$3:$AZ$3=AD$112,$C$4:$AZ$108))))</f>
        <v>1.7290000000000001</v>
      </c>
      <c r="AE159" cm="1">
        <f t="array" ref="AE159">SUMPRODUCT(IF(LEFT($A$4:$A$108,3)=LEFT($A159,3),IF($B$4:$B$108=$B159,IF($C$3:$AZ$3=AE$112,$C$4:$AZ$108))))</f>
        <v>2.597</v>
      </c>
      <c r="AF159" cm="1">
        <f t="array" ref="AF159">SUMPRODUCT(IF(LEFT($A$4:$A$108,3)=LEFT($A159,3),IF($B$4:$B$108=$B159,IF($C$3:$AZ$3=AF$112,$C$4:$AZ$108))))</f>
        <v>2.9980000000000002</v>
      </c>
      <c r="AG159" cm="1">
        <f t="array" ref="AG159">SUMPRODUCT(IF(LEFT($A$4:$A$108,3)=LEFT($A159,3),IF($B$4:$B$108=$B159,IF($C$3:$AZ$3=AG$112,$C$4:$AZ$108))))</f>
        <v>0.80300000000000005</v>
      </c>
      <c r="AH159" cm="1">
        <f t="array" ref="AH159">SUMPRODUCT(IF(LEFT($A$4:$A$108,3)=LEFT($A159,3),IF($B$4:$B$108=$B159,IF($C$3:$AZ$3=AH$112,$C$4:$AZ$108))))</f>
        <v>0.16600000000000001</v>
      </c>
      <c r="AI159" cm="1">
        <f t="array" ref="AI159">SUMPRODUCT(IF(LEFT($A$4:$A$108,3)=LEFT($A159,3),IF($B$4:$B$108=$B159,IF($C$3:$AZ$3=AI$112,$C$4:$AZ$108))))</f>
        <v>0.224</v>
      </c>
      <c r="AJ159" cm="1">
        <f t="array" ref="AJ159">SUMPRODUCT(IF(LEFT($A$4:$A$108,3)=LEFT($A159,3),IF($B$4:$B$108=$B159,IF($C$3:$AZ$3=AJ$112,$C$4:$AZ$108))))</f>
        <v>0.20300000000000001</v>
      </c>
      <c r="AK159" cm="1">
        <f t="array" ref="AK159">SUMPRODUCT(IF(LEFT($A$4:$A$108,3)=LEFT($A159,3),IF($B$4:$B$108=$B159,IF($C$3:$AZ$3=AK$112,$C$4:$AZ$108))))</f>
        <v>0.29099999999999998</v>
      </c>
      <c r="AL159" cm="1">
        <f t="array" ref="AL159">SUMPRODUCT(IF(LEFT($A$4:$A$108,3)=LEFT($A159,3),IF($B$4:$B$108=$B159,IF($C$3:$AZ$3=AL$112,$C$4:$AZ$108))))</f>
        <v>0.433</v>
      </c>
      <c r="AM159" cm="1">
        <f t="array" ref="AM159">SUMPRODUCT(IF(LEFT($A$4:$A$108,3)=LEFT($A159,3),IF($B$4:$B$108=$B159,IF($C$3:$AZ$3=AM$112,$C$4:$AZ$108))))</f>
        <v>1.4730000000000001</v>
      </c>
      <c r="AN159" cm="1">
        <f t="array" ref="AN159">SUMPRODUCT(IF(LEFT($A$4:$A$108,3)=LEFT($A159,3),IF($B$4:$B$108=$B159,IF($C$3:$AZ$3=AN$112,$C$4:$AZ$108))))</f>
        <v>0.58199999999999996</v>
      </c>
      <c r="AO159" cm="1">
        <f t="array" ref="AO159">SUMPRODUCT(IF(LEFT($A$4:$A$108,3)=LEFT($A159,3),IF($B$4:$B$108=$B159,IF($C$3:$AZ$3=AO$112,$C$4:$AZ$108))))</f>
        <v>0.373</v>
      </c>
      <c r="AP159" cm="1">
        <f t="array" ref="AP159">SUMPRODUCT(IF(LEFT($A$4:$A$108,3)=LEFT($A159,3),IF($B$4:$B$108=$B159,IF($C$3:$AZ$3=AP$112,$C$4:$AZ$108))))</f>
        <v>0.41</v>
      </c>
      <c r="AQ159" cm="1">
        <f t="array" ref="AQ159">SUMPRODUCT(IF(LEFT($A$4:$A$108,3)=LEFT($A159,3),IF($B$4:$B$108=$B159,IF($C$3:$AZ$3=AQ$112,$C$4:$AZ$108))))</f>
        <v>0.40800000000000003</v>
      </c>
      <c r="AR159" cm="1">
        <f t="array" ref="AR159">SUMPRODUCT(IF(LEFT($A$4:$A$108,3)=LEFT($A159,3),IF($B$4:$B$108=$B159,IF($C$3:$AZ$3=AR$112,$C$4:$AZ$108))))</f>
        <v>0</v>
      </c>
      <c r="AS159">
        <v>0</v>
      </c>
    </row>
    <row r="160" spans="1:45">
      <c r="A160" t="s">
        <v>385</v>
      </c>
      <c r="B160" t="s">
        <v>7</v>
      </c>
      <c r="C160" cm="1">
        <f t="array" ref="C160">SUMPRODUCT(IF(LEFT($A$4:$A$108,3)=LEFT($A160,3),IF($B$4:$B$108=$B160,IF($C$3:$AZ$3=C$112,$C$4:$AZ$108))))</f>
        <v>818.94899999999996</v>
      </c>
      <c r="D160" cm="1">
        <f t="array" ref="D160">SUMPRODUCT(IF(LEFT($A$4:$A$108,3)=LEFT($A160,3),IF($B$4:$B$108=$B160,IF($C$3:$AZ$3=D$112,$C$4:$AZ$108))))</f>
        <v>5.0999999999999997E-2</v>
      </c>
      <c r="E160" cm="1">
        <f t="array" ref="E160">SUMPRODUCT(IF(LEFT($A$4:$A$108,3)=LEFT($A160,3),IF($B$4:$B$108=$B160,IF($C$3:$AZ$3=E$112,$C$4:$AZ$108))))</f>
        <v>1.7999999999999999E-2</v>
      </c>
      <c r="F160" cm="1">
        <f t="array" ref="F160">SUMPRODUCT(IF(LEFT($A$4:$A$108,3)=LEFT($A160,3),IF($B$4:$B$108=$B160,IF($C$3:$AZ$3=F$112,$C$4:$AZ$108))))</f>
        <v>1.613</v>
      </c>
      <c r="G160" cm="1">
        <f t="array" ref="G160">SUMPRODUCT(IF(LEFT($A$4:$A$108,3)=LEFT($A160,3),IF($B$4:$B$108=$B160,IF($C$3:$AZ$3=G$112,$C$4:$AZ$108))))</f>
        <v>3.0000000000000001E-3</v>
      </c>
      <c r="H160" cm="1">
        <f t="array" ref="H160">SUMPRODUCT(IF(LEFT($A$4:$A$108,3)=LEFT($A160,3),IF($B$4:$B$108=$B160,IF($C$3:$AZ$3=H$112,$C$4:$AZ$108))))</f>
        <v>4477.7920000000004</v>
      </c>
      <c r="I160" cm="1">
        <f t="array" ref="I160">SUMPRODUCT(IF(LEFT($A$4:$A$108,3)=LEFT($A160,3),IF($B$4:$B$108=$B160,IF($C$3:$AZ$3=I$112,$C$4:$AZ$108))))</f>
        <v>45.654000000000003</v>
      </c>
      <c r="J160" cm="1">
        <f t="array" ref="J160">SUMPRODUCT(IF(LEFT($A$4:$A$108,3)=LEFT($A160,3),IF($B$4:$B$108=$B160,IF($C$3:$AZ$3=J$112,$C$4:$AZ$108))))</f>
        <v>2.1970000000000001</v>
      </c>
      <c r="K160" cm="1">
        <f t="array" ref="K160">SUMPRODUCT(IF(LEFT($A$4:$A$108,3)=LEFT($A160,3),IF($B$4:$B$108=$B160,IF($C$3:$AZ$3=K$112,$C$4:$AZ$108))))</f>
        <v>18.678999999999998</v>
      </c>
      <c r="L160" cm="1">
        <f t="array" ref="L160">SUMPRODUCT(IF(LEFT($A$4:$A$108,3)=LEFT($A160,3),IF($B$4:$B$108=$B160,IF($C$3:$AZ$3=L$112,$C$4:$AZ$108))))</f>
        <v>17.814</v>
      </c>
      <c r="M160" cm="1">
        <f t="array" ref="M160">SUMPRODUCT(IF(LEFT($A$4:$A$108,3)=LEFT($A160,3),IF($B$4:$B$108=$B160,IF($C$3:$AZ$3=M$112,$C$4:$AZ$108))))</f>
        <v>360.351</v>
      </c>
      <c r="N160" cm="1">
        <f t="array" ref="N160">SUMPRODUCT(IF(LEFT($A$4:$A$108,3)=LEFT($A160,3),IF($B$4:$B$108=$B160,IF($C$3:$AZ$3=N$112,$C$4:$AZ$108))))</f>
        <v>41.26</v>
      </c>
      <c r="O160" cm="1">
        <f t="array" ref="O160">SUMPRODUCT(IF(LEFT($A$4:$A$108,3)=LEFT($A160,3),IF($B$4:$B$108=$B160,IF($C$3:$AZ$3=O$112,$C$4:$AZ$108))))</f>
        <v>35.451000000000001</v>
      </c>
      <c r="P160" s="4" cm="1">
        <f t="array" ref="P160">SUMPRODUCT(IF(LEFT($A$4:$A$108,3)=LEFT($A160,3),IF($B$4:$B$108=$B160,IF($C$3:$AZ$3=P$112,$C$4:$AZ$108))))*'Cement and Glass Split'!O53</f>
        <v>0</v>
      </c>
      <c r="Q160" s="4" cm="1">
        <f t="array" ref="Q160">SUMPRODUCT(IF(LEFT($A$4:$A$108,3)=LEFT($A160,3),IF($B$4:$B$108=$B160,IF($C$3:$AZ$3=P$112,$C$4:$AZ$108))))*'Cement and Glass Split'!P53</f>
        <v>15.39</v>
      </c>
      <c r="R160" cm="1">
        <f t="array" ref="R160">SUMPRODUCT(IF(LEFT($A$4:$A$108,3)=LEFT($A160,3),IF($B$4:$B$108=$B160,IF($C$3:$AZ$3=R$112,$C$4:$AZ$108))))</f>
        <v>15.132999999999999</v>
      </c>
      <c r="S160" cm="1">
        <f t="array" ref="S160">SUMPRODUCT(IF(LEFT($A$4:$A$108,3)=LEFT($A160,3),IF($B$4:$B$108=$B160,IF($C$3:$AZ$3=S$112,$C$4:$AZ$108))))</f>
        <v>9.3320000000000007</v>
      </c>
      <c r="T160" cm="1">
        <f t="array" ref="T160">SUMPRODUCT(IF(LEFT($A$4:$A$108,3)=LEFT($A160,3),IF($B$4:$B$108=$B160,IF($C$3:$AZ$3=T$112,$C$4:$AZ$108))))</f>
        <v>9.3510000000000009</v>
      </c>
      <c r="U160" cm="1">
        <f t="array" ref="U160">SUMPRODUCT(IF(LEFT($A$4:$A$108,3)=LEFT($A160,3),IF($B$4:$B$108=$B160,IF($C$3:$AZ$3=U$112,$C$4:$AZ$108))))</f>
        <v>22.841000000000001</v>
      </c>
      <c r="V160" cm="1">
        <f t="array" ref="V160">SUMPRODUCT(IF(LEFT($A$4:$A$108,3)=LEFT($A160,3),IF($B$4:$B$108=$B160,IF($C$3:$AZ$3=V$112,$C$4:$AZ$108))))</f>
        <v>11.257999999999999</v>
      </c>
      <c r="W160" cm="1">
        <f t="array" ref="W160">SUMPRODUCT(IF(LEFT($A$4:$A$108,3)=LEFT($A160,3),IF($B$4:$B$108=$B160,IF($C$3:$AZ$3=W$112,$C$4:$AZ$108))))</f>
        <v>15.561999999999999</v>
      </c>
      <c r="X160" cm="1">
        <f t="array" ref="X160">SUMPRODUCT(IF(LEFT($A$4:$A$108,3)=LEFT($A160,3),IF($B$4:$B$108=$B160,IF($C$3:$AZ$3=X$112,$C$4:$AZ$108))))</f>
        <v>14.077</v>
      </c>
      <c r="Y160" cm="1">
        <f t="array" ref="Y160">SUMPRODUCT(IF(LEFT($A$4:$A$108,3)=LEFT($A160,3),IF($B$4:$B$108=$B160,IF($C$3:$AZ$3=Y$112,$C$4:$AZ$108))))</f>
        <v>4.9580000000000002</v>
      </c>
      <c r="Z160" cm="1">
        <f t="array" ref="Z160">SUMPRODUCT(IF(LEFT($A$4:$A$108,3)=LEFT($A160,3),IF($B$4:$B$108=$B160,IF($C$3:$AZ$3=Z$112,$C$4:$AZ$108))))</f>
        <v>10.461</v>
      </c>
      <c r="AA160" cm="1">
        <f t="array" ref="AA160">SUMPRODUCT(IF(LEFT($A$4:$A$108,3)=LEFT($A160,3),IF($B$4:$B$108=$B160,IF($C$3:$AZ$3=AA$112,$C$4:$AZ$108))))</f>
        <v>18.324999999999999</v>
      </c>
      <c r="AB160" cm="1">
        <f t="array" ref="AB160">SUMPRODUCT(IF(LEFT($A$4:$A$108,3)=LEFT($A160,3),IF($B$4:$B$108=$B160,IF($C$3:$AZ$3=AB$112,$C$4:$AZ$108))))</f>
        <v>3.0880000000000001</v>
      </c>
      <c r="AC160" cm="1">
        <f t="array" ref="AC160">SUMPRODUCT(IF(LEFT($A$4:$A$108,3)=LEFT($A160,3),IF($B$4:$B$108=$B160,IF($C$3:$AZ$3=AC$112,$C$4:$AZ$108))))</f>
        <v>5.8840000000000003</v>
      </c>
      <c r="AD160" cm="1">
        <f t="array" ref="AD160">SUMPRODUCT(IF(LEFT($A$4:$A$108,3)=LEFT($A160,3),IF($B$4:$B$108=$B160,IF($C$3:$AZ$3=AD$112,$C$4:$AZ$108))))</f>
        <v>28.219000000000001</v>
      </c>
      <c r="AE160" cm="1">
        <f t="array" ref="AE160">SUMPRODUCT(IF(LEFT($A$4:$A$108,3)=LEFT($A160,3),IF($B$4:$B$108=$B160,IF($C$3:$AZ$3=AE$112,$C$4:$AZ$108))))</f>
        <v>294.322</v>
      </c>
      <c r="AF160" cm="1">
        <f t="array" ref="AF160">SUMPRODUCT(IF(LEFT($A$4:$A$108,3)=LEFT($A160,3),IF($B$4:$B$108=$B160,IF($C$3:$AZ$3=AF$112,$C$4:$AZ$108))))</f>
        <v>34.021999999999998</v>
      </c>
      <c r="AG160" cm="1">
        <f t="array" ref="AG160">SUMPRODUCT(IF(LEFT($A$4:$A$108,3)=LEFT($A160,3),IF($B$4:$B$108=$B160,IF($C$3:$AZ$3=AG$112,$C$4:$AZ$108))))</f>
        <v>6178.1090000000004</v>
      </c>
      <c r="AH160" cm="1">
        <f t="array" ref="AH160">SUMPRODUCT(IF(LEFT($A$4:$A$108,3)=LEFT($A160,3),IF($B$4:$B$108=$B160,IF($C$3:$AZ$3=AH$112,$C$4:$AZ$108))))</f>
        <v>17.312999999999999</v>
      </c>
      <c r="AI160" cm="1">
        <f t="array" ref="AI160">SUMPRODUCT(IF(LEFT($A$4:$A$108,3)=LEFT($A160,3),IF($B$4:$B$108=$B160,IF($C$3:$AZ$3=AI$112,$C$4:$AZ$108))))</f>
        <v>7.3289999999999997</v>
      </c>
      <c r="AJ160" cm="1">
        <f t="array" ref="AJ160">SUMPRODUCT(IF(LEFT($A$4:$A$108,3)=LEFT($A160,3),IF($B$4:$B$108=$B160,IF($C$3:$AZ$3=AJ$112,$C$4:$AZ$108))))</f>
        <v>8.4960000000000004</v>
      </c>
      <c r="AK160" cm="1">
        <f t="array" ref="AK160">SUMPRODUCT(IF(LEFT($A$4:$A$108,3)=LEFT($A160,3),IF($B$4:$B$108=$B160,IF($C$3:$AZ$3=AK$112,$C$4:$AZ$108))))</f>
        <v>11.532</v>
      </c>
      <c r="AL160" cm="1">
        <f t="array" ref="AL160">SUMPRODUCT(IF(LEFT($A$4:$A$108,3)=LEFT($A160,3),IF($B$4:$B$108=$B160,IF($C$3:$AZ$3=AL$112,$C$4:$AZ$108))))</f>
        <v>18.45</v>
      </c>
      <c r="AM160" cm="1">
        <f t="array" ref="AM160">SUMPRODUCT(IF(LEFT($A$4:$A$108,3)=LEFT($A160,3),IF($B$4:$B$108=$B160,IF($C$3:$AZ$3=AM$112,$C$4:$AZ$108))))</f>
        <v>46.916000000000004</v>
      </c>
      <c r="AN160" cm="1">
        <f t="array" ref="AN160">SUMPRODUCT(IF(LEFT($A$4:$A$108,3)=LEFT($A160,3),IF($B$4:$B$108=$B160,IF($C$3:$AZ$3=AN$112,$C$4:$AZ$108))))</f>
        <v>55.305999999999997</v>
      </c>
      <c r="AO160" cm="1">
        <f t="array" ref="AO160">SUMPRODUCT(IF(LEFT($A$4:$A$108,3)=LEFT($A160,3),IF($B$4:$B$108=$B160,IF($C$3:$AZ$3=AO$112,$C$4:$AZ$108))))</f>
        <v>109.02200000000001</v>
      </c>
      <c r="AP160" cm="1">
        <f t="array" ref="AP160">SUMPRODUCT(IF(LEFT($A$4:$A$108,3)=LEFT($A160,3),IF($B$4:$B$108=$B160,IF($C$3:$AZ$3=AP$112,$C$4:$AZ$108))))</f>
        <v>159.768</v>
      </c>
      <c r="AQ160" cm="1">
        <f t="array" ref="AQ160">SUMPRODUCT(IF(LEFT($A$4:$A$108,3)=LEFT($A160,3),IF($B$4:$B$108=$B160,IF($C$3:$AZ$3=AQ$112,$C$4:$AZ$108))))</f>
        <v>97.912999999999997</v>
      </c>
      <c r="AR160" cm="1">
        <f t="array" ref="AR160">SUMPRODUCT(IF(LEFT($A$4:$A$108,3)=LEFT($A160,3),IF($B$4:$B$108=$B160,IF($C$3:$AZ$3=AR$112,$C$4:$AZ$108))))</f>
        <v>0</v>
      </c>
      <c r="AS160">
        <v>0</v>
      </c>
    </row>
    <row r="161" spans="1:45">
      <c r="A161" t="s">
        <v>385</v>
      </c>
      <c r="B161" t="s">
        <v>8</v>
      </c>
      <c r="C161" cm="1">
        <f t="array" ref="C161">SUMPRODUCT(IF(LEFT($A$4:$A$108,3)=LEFT($A161,3),IF($B$4:$B$108=$B161,IF($C$3:$AZ$3=C$112,$C$4:$AZ$108))))</f>
        <v>44.103999999999999</v>
      </c>
      <c r="D161" cm="1">
        <f t="array" ref="D161">SUMPRODUCT(IF(LEFT($A$4:$A$108,3)=LEFT($A161,3),IF($B$4:$B$108=$B161,IF($C$3:$AZ$3=D$112,$C$4:$AZ$108))))</f>
        <v>0.27700000000000002</v>
      </c>
      <c r="E161" cm="1">
        <f t="array" ref="E161">SUMPRODUCT(IF(LEFT($A$4:$A$108,3)=LEFT($A161,3),IF($B$4:$B$108=$B161,IF($C$3:$AZ$3=E$112,$C$4:$AZ$108))))</f>
        <v>8.3000000000000004E-2</v>
      </c>
      <c r="F161" cm="1">
        <f t="array" ref="F161">SUMPRODUCT(IF(LEFT($A$4:$A$108,3)=LEFT($A161,3),IF($B$4:$B$108=$B161,IF($C$3:$AZ$3=F$112,$C$4:$AZ$108))))</f>
        <v>2.58</v>
      </c>
      <c r="G161" cm="1">
        <f t="array" ref="G161">SUMPRODUCT(IF(LEFT($A$4:$A$108,3)=LEFT($A161,3),IF($B$4:$B$108=$B161,IF($C$3:$AZ$3=G$112,$C$4:$AZ$108))))</f>
        <v>1.0999999999999999E-2</v>
      </c>
      <c r="H161" cm="1">
        <f t="array" ref="H161">SUMPRODUCT(IF(LEFT($A$4:$A$108,3)=LEFT($A161,3),IF($B$4:$B$108=$B161,IF($C$3:$AZ$3=H$112,$C$4:$AZ$108))))</f>
        <v>72.992000000000004</v>
      </c>
      <c r="I161" cm="1">
        <f t="array" ref="I161">SUMPRODUCT(IF(LEFT($A$4:$A$108,3)=LEFT($A161,3),IF($B$4:$B$108=$B161,IF($C$3:$AZ$3=I$112,$C$4:$AZ$108))))</f>
        <v>5523.0969999999998</v>
      </c>
      <c r="J161" cm="1">
        <f t="array" ref="J161">SUMPRODUCT(IF(LEFT($A$4:$A$108,3)=LEFT($A161,3),IF($B$4:$B$108=$B161,IF($C$3:$AZ$3=J$112,$C$4:$AZ$108))))</f>
        <v>12.012</v>
      </c>
      <c r="K161" cm="1">
        <f t="array" ref="K161">SUMPRODUCT(IF(LEFT($A$4:$A$108,3)=LEFT($A161,3),IF($B$4:$B$108=$B161,IF($C$3:$AZ$3=K$112,$C$4:$AZ$108))))</f>
        <v>67.88</v>
      </c>
      <c r="L161" cm="1">
        <f t="array" ref="L161">SUMPRODUCT(IF(LEFT($A$4:$A$108,3)=LEFT($A161,3),IF($B$4:$B$108=$B161,IF($C$3:$AZ$3=L$112,$C$4:$AZ$108))))</f>
        <v>13.542</v>
      </c>
      <c r="M161" cm="1">
        <f t="array" ref="M161">SUMPRODUCT(IF(LEFT($A$4:$A$108,3)=LEFT($A161,3),IF($B$4:$B$108=$B161,IF($C$3:$AZ$3=M$112,$C$4:$AZ$108))))</f>
        <v>145.589</v>
      </c>
      <c r="N161" cm="1">
        <f t="array" ref="N161">SUMPRODUCT(IF(LEFT($A$4:$A$108,3)=LEFT($A161,3),IF($B$4:$B$108=$B161,IF($C$3:$AZ$3=N$112,$C$4:$AZ$108))))</f>
        <v>18.103999999999999</v>
      </c>
      <c r="O161" cm="1">
        <f t="array" ref="O161">SUMPRODUCT(IF(LEFT($A$4:$A$108,3)=LEFT($A161,3),IF($B$4:$B$108=$B161,IF($C$3:$AZ$3=O$112,$C$4:$AZ$108))))</f>
        <v>128.04900000000001</v>
      </c>
      <c r="P161" s="4" cm="1">
        <f t="array" ref="P161">SUMPRODUCT(IF(LEFT($A$4:$A$108,3)=LEFT($A161,3),IF($B$4:$B$108=$B161,IF($C$3:$AZ$3=P$112,$C$4:$AZ$108))))*'Cement and Glass Split'!O54</f>
        <v>7.5413779351975068</v>
      </c>
      <c r="Q161" s="4" cm="1">
        <f t="array" ref="Q161">SUMPRODUCT(IF(LEFT($A$4:$A$108,3)=LEFT($A161,3),IF($B$4:$B$108=$B161,IF($C$3:$AZ$3=P$112,$C$4:$AZ$108))))*'Cement and Glass Split'!P54</f>
        <v>32.414622064802501</v>
      </c>
      <c r="R161" cm="1">
        <f t="array" ref="R161">SUMPRODUCT(IF(LEFT($A$4:$A$108,3)=LEFT($A161,3),IF($B$4:$B$108=$B161,IF($C$3:$AZ$3=R$112,$C$4:$AZ$108))))</f>
        <v>35.777000000000001</v>
      </c>
      <c r="S161" cm="1">
        <f t="array" ref="S161">SUMPRODUCT(IF(LEFT($A$4:$A$108,3)=LEFT($A161,3),IF($B$4:$B$108=$B161,IF($C$3:$AZ$3=S$112,$C$4:$AZ$108))))</f>
        <v>16.547999999999998</v>
      </c>
      <c r="T161" cm="1">
        <f t="array" ref="T161">SUMPRODUCT(IF(LEFT($A$4:$A$108,3)=LEFT($A161,3),IF($B$4:$B$108=$B161,IF($C$3:$AZ$3=T$112,$C$4:$AZ$108))))</f>
        <v>55.841000000000001</v>
      </c>
      <c r="U161" cm="1">
        <f t="array" ref="U161">SUMPRODUCT(IF(LEFT($A$4:$A$108,3)=LEFT($A161,3),IF($B$4:$B$108=$B161,IF($C$3:$AZ$3=U$112,$C$4:$AZ$108))))</f>
        <v>135.09200000000001</v>
      </c>
      <c r="V161" cm="1">
        <f t="array" ref="V161">SUMPRODUCT(IF(LEFT($A$4:$A$108,3)=LEFT($A161,3),IF($B$4:$B$108=$B161,IF($C$3:$AZ$3=V$112,$C$4:$AZ$108))))</f>
        <v>50.796999999999997</v>
      </c>
      <c r="W161" cm="1">
        <f t="array" ref="W161">SUMPRODUCT(IF(LEFT($A$4:$A$108,3)=LEFT($A161,3),IF($B$4:$B$108=$B161,IF($C$3:$AZ$3=W$112,$C$4:$AZ$108))))</f>
        <v>81.024000000000001</v>
      </c>
      <c r="X161" cm="1">
        <f t="array" ref="X161">SUMPRODUCT(IF(LEFT($A$4:$A$108,3)=LEFT($A161,3),IF($B$4:$B$108=$B161,IF($C$3:$AZ$3=X$112,$C$4:$AZ$108))))</f>
        <v>435.68299999999999</v>
      </c>
      <c r="Y161" cm="1">
        <f t="array" ref="Y161">SUMPRODUCT(IF(LEFT($A$4:$A$108,3)=LEFT($A161,3),IF($B$4:$B$108=$B161,IF($C$3:$AZ$3=Y$112,$C$4:$AZ$108))))</f>
        <v>48.331999999999994</v>
      </c>
      <c r="Z161" cm="1">
        <f t="array" ref="Z161">SUMPRODUCT(IF(LEFT($A$4:$A$108,3)=LEFT($A161,3),IF($B$4:$B$108=$B161,IF($C$3:$AZ$3=Z$112,$C$4:$AZ$108))))</f>
        <v>321.80099999999999</v>
      </c>
      <c r="AA161" cm="1">
        <f t="array" ref="AA161">SUMPRODUCT(IF(LEFT($A$4:$A$108,3)=LEFT($A161,3),IF($B$4:$B$108=$B161,IF($C$3:$AZ$3=AA$112,$C$4:$AZ$108))))</f>
        <v>33.375</v>
      </c>
      <c r="AB161" cm="1">
        <f t="array" ref="AB161">SUMPRODUCT(IF(LEFT($A$4:$A$108,3)=LEFT($A161,3),IF($B$4:$B$108=$B161,IF($C$3:$AZ$3=AB$112,$C$4:$AZ$108))))</f>
        <v>6.5259999999999998</v>
      </c>
      <c r="AC161" cm="1">
        <f t="array" ref="AC161">SUMPRODUCT(IF(LEFT($A$4:$A$108,3)=LEFT($A161,3),IF($B$4:$B$108=$B161,IF($C$3:$AZ$3=AC$112,$C$4:$AZ$108))))</f>
        <v>25.257000000000001</v>
      </c>
      <c r="AD161" cm="1">
        <f t="array" ref="AD161">SUMPRODUCT(IF(LEFT($A$4:$A$108,3)=LEFT($A161,3),IF($B$4:$B$108=$B161,IF($C$3:$AZ$3=AD$112,$C$4:$AZ$108))))</f>
        <v>147.01</v>
      </c>
      <c r="AE161" cm="1">
        <f t="array" ref="AE161">SUMPRODUCT(IF(LEFT($A$4:$A$108,3)=LEFT($A161,3),IF($B$4:$B$108=$B161,IF($C$3:$AZ$3=AE$112,$C$4:$AZ$108))))</f>
        <v>397.85</v>
      </c>
      <c r="AF161" cm="1">
        <f t="array" ref="AF161">SUMPRODUCT(IF(LEFT($A$4:$A$108,3)=LEFT($A161,3),IF($B$4:$B$108=$B161,IF($C$3:$AZ$3=AF$112,$C$4:$AZ$108))))</f>
        <v>55.929999999999993</v>
      </c>
      <c r="AG161" cm="1">
        <f t="array" ref="AG161">SUMPRODUCT(IF(LEFT($A$4:$A$108,3)=LEFT($A161,3),IF($B$4:$B$108=$B161,IF($C$3:$AZ$3=AG$112,$C$4:$AZ$108))))</f>
        <v>207.79900000000001</v>
      </c>
      <c r="AH161" cm="1">
        <f t="array" ref="AH161">SUMPRODUCT(IF(LEFT($A$4:$A$108,3)=LEFT($A161,3),IF($B$4:$B$108=$B161,IF($C$3:$AZ$3=AH$112,$C$4:$AZ$108))))</f>
        <v>22.103999999999999</v>
      </c>
      <c r="AI161" cm="1">
        <f t="array" ref="AI161">SUMPRODUCT(IF(LEFT($A$4:$A$108,3)=LEFT($A161,3),IF($B$4:$B$108=$B161,IF($C$3:$AZ$3=AI$112,$C$4:$AZ$108))))</f>
        <v>14.862</v>
      </c>
      <c r="AJ161" cm="1">
        <f t="array" ref="AJ161">SUMPRODUCT(IF(LEFT($A$4:$A$108,3)=LEFT($A161,3),IF($B$4:$B$108=$B161,IF($C$3:$AZ$3=AJ$112,$C$4:$AZ$108))))</f>
        <v>9.9429999999999996</v>
      </c>
      <c r="AK161" cm="1">
        <f t="array" ref="AK161">SUMPRODUCT(IF(LEFT($A$4:$A$108,3)=LEFT($A161,3),IF($B$4:$B$108=$B161,IF($C$3:$AZ$3=AK$112,$C$4:$AZ$108))))</f>
        <v>19.809000000000001</v>
      </c>
      <c r="AL161" cm="1">
        <f t="array" ref="AL161">SUMPRODUCT(IF(LEFT($A$4:$A$108,3)=LEFT($A161,3),IF($B$4:$B$108=$B161,IF($C$3:$AZ$3=AL$112,$C$4:$AZ$108))))</f>
        <v>22.346</v>
      </c>
      <c r="AM161" cm="1">
        <f t="array" ref="AM161">SUMPRODUCT(IF(LEFT($A$4:$A$108,3)=LEFT($A161,3),IF($B$4:$B$108=$B161,IF($C$3:$AZ$3=AM$112,$C$4:$AZ$108))))</f>
        <v>253.983</v>
      </c>
      <c r="AN161" cm="1">
        <f t="array" ref="AN161">SUMPRODUCT(IF(LEFT($A$4:$A$108,3)=LEFT($A161,3),IF($B$4:$B$108=$B161,IF($C$3:$AZ$3=AN$112,$C$4:$AZ$108))))</f>
        <v>227.09</v>
      </c>
      <c r="AO161" cm="1">
        <f t="array" ref="AO161">SUMPRODUCT(IF(LEFT($A$4:$A$108,3)=LEFT($A161,3),IF($B$4:$B$108=$B161,IF($C$3:$AZ$3=AO$112,$C$4:$AZ$108))))</f>
        <v>122.955</v>
      </c>
      <c r="AP161" cm="1">
        <f t="array" ref="AP161">SUMPRODUCT(IF(LEFT($A$4:$A$108,3)=LEFT($A161,3),IF($B$4:$B$108=$B161,IF($C$3:$AZ$3=AP$112,$C$4:$AZ$108))))</f>
        <v>256.86200000000002</v>
      </c>
      <c r="AQ161" cm="1">
        <f t="array" ref="AQ161">SUMPRODUCT(IF(LEFT($A$4:$A$108,3)=LEFT($A161,3),IF($B$4:$B$108=$B161,IF($C$3:$AZ$3=AQ$112,$C$4:$AZ$108))))</f>
        <v>448.29700000000003</v>
      </c>
      <c r="AR161" cm="1">
        <f t="array" ref="AR161">SUMPRODUCT(IF(LEFT($A$4:$A$108,3)=LEFT($A161,3),IF($B$4:$B$108=$B161,IF($C$3:$AZ$3=AR$112,$C$4:$AZ$108))))</f>
        <v>0</v>
      </c>
      <c r="AS161">
        <v>0</v>
      </c>
    </row>
    <row r="162" spans="1:45">
      <c r="A162" t="s">
        <v>385</v>
      </c>
      <c r="B162" t="s">
        <v>9</v>
      </c>
      <c r="C162" cm="1">
        <f t="array" ref="C162">SUMPRODUCT(IF(LEFT($A$4:$A$108,3)=LEFT($A162,3),IF($B$4:$B$108=$B162,IF($C$3:$AZ$3=C$112,$C$4:$AZ$108))))</f>
        <v>18.716000000000001</v>
      </c>
      <c r="D162" cm="1">
        <f t="array" ref="D162">SUMPRODUCT(IF(LEFT($A$4:$A$108,3)=LEFT($A162,3),IF($B$4:$B$108=$B162,IF($C$3:$AZ$3=D$112,$C$4:$AZ$108))))</f>
        <v>0.107</v>
      </c>
      <c r="E162" cm="1">
        <f t="array" ref="E162">SUMPRODUCT(IF(LEFT($A$4:$A$108,3)=LEFT($A162,3),IF($B$4:$B$108=$B162,IF($C$3:$AZ$3=E$112,$C$4:$AZ$108))))</f>
        <v>1.2999999999999999E-2</v>
      </c>
      <c r="F162" cm="1">
        <f t="array" ref="F162">SUMPRODUCT(IF(LEFT($A$4:$A$108,3)=LEFT($A162,3),IF($B$4:$B$108=$B162,IF($C$3:$AZ$3=F$112,$C$4:$AZ$108))))</f>
        <v>1.0449999999999999</v>
      </c>
      <c r="G162" cm="1">
        <f t="array" ref="G162">SUMPRODUCT(IF(LEFT($A$4:$A$108,3)=LEFT($A162,3),IF($B$4:$B$108=$B162,IF($C$3:$AZ$3=G$112,$C$4:$AZ$108))))</f>
        <v>2E-3</v>
      </c>
      <c r="H162" cm="1">
        <f t="array" ref="H162">SUMPRODUCT(IF(LEFT($A$4:$A$108,3)=LEFT($A162,3),IF($B$4:$B$108=$B162,IF($C$3:$AZ$3=H$112,$C$4:$AZ$108))))</f>
        <v>50.595999999999997</v>
      </c>
      <c r="I162" cm="1">
        <f t="array" ref="I162">SUMPRODUCT(IF(LEFT($A$4:$A$108,3)=LEFT($A162,3),IF($B$4:$B$108=$B162,IF($C$3:$AZ$3=I$112,$C$4:$AZ$108))))</f>
        <v>16.716999999999999</v>
      </c>
      <c r="J162" cm="1">
        <f t="array" ref="J162">SUMPRODUCT(IF(LEFT($A$4:$A$108,3)=LEFT($A162,3),IF($B$4:$B$108=$B162,IF($C$3:$AZ$3=J$112,$C$4:$AZ$108))))</f>
        <v>387.92399999999998</v>
      </c>
      <c r="K162" cm="1">
        <f t="array" ref="K162">SUMPRODUCT(IF(LEFT($A$4:$A$108,3)=LEFT($A162,3),IF($B$4:$B$108=$B162,IF($C$3:$AZ$3=K$112,$C$4:$AZ$108))))</f>
        <v>78.256</v>
      </c>
      <c r="L162" cm="1">
        <f t="array" ref="L162">SUMPRODUCT(IF(LEFT($A$4:$A$108,3)=LEFT($A162,3),IF($B$4:$B$108=$B162,IF($C$3:$AZ$3=L$112,$C$4:$AZ$108))))</f>
        <v>2.7890000000000001</v>
      </c>
      <c r="M162" cm="1">
        <f t="array" ref="M162">SUMPRODUCT(IF(LEFT($A$4:$A$108,3)=LEFT($A162,3),IF($B$4:$B$108=$B162,IF($C$3:$AZ$3=M$112,$C$4:$AZ$108))))</f>
        <v>67.25</v>
      </c>
      <c r="N162" cm="1">
        <f t="array" ref="N162">SUMPRODUCT(IF(LEFT($A$4:$A$108,3)=LEFT($A162,3),IF($B$4:$B$108=$B162,IF($C$3:$AZ$3=N$112,$C$4:$AZ$108))))</f>
        <v>3.0510000000000002</v>
      </c>
      <c r="O162" cm="1">
        <f t="array" ref="O162">SUMPRODUCT(IF(LEFT($A$4:$A$108,3)=LEFT($A162,3),IF($B$4:$B$108=$B162,IF($C$3:$AZ$3=O$112,$C$4:$AZ$108))))</f>
        <v>26.870999999999999</v>
      </c>
      <c r="P162" s="4" cm="1">
        <f t="array" ref="P162">SUMPRODUCT(IF(LEFT($A$4:$A$108,3)=LEFT($A162,3),IF($B$4:$B$108=$B162,IF($C$3:$AZ$3=P$112,$C$4:$AZ$108))))*'Cement and Glass Split'!O55</f>
        <v>9.442787974747155</v>
      </c>
      <c r="Q162" s="4" cm="1">
        <f t="array" ref="Q162">SUMPRODUCT(IF(LEFT($A$4:$A$108,3)=LEFT($A162,3),IF($B$4:$B$108=$B162,IF($C$3:$AZ$3=P$112,$C$4:$AZ$108))))*'Cement and Glass Split'!P55</f>
        <v>30.442212025252843</v>
      </c>
      <c r="R162" cm="1">
        <f t="array" ref="R162">SUMPRODUCT(IF(LEFT($A$4:$A$108,3)=LEFT($A162,3),IF($B$4:$B$108=$B162,IF($C$3:$AZ$3=R$112,$C$4:$AZ$108))))</f>
        <v>9.4979999999999993</v>
      </c>
      <c r="S162" cm="1">
        <f t="array" ref="S162">SUMPRODUCT(IF(LEFT($A$4:$A$108,3)=LEFT($A162,3),IF($B$4:$B$108=$B162,IF($C$3:$AZ$3=S$112,$C$4:$AZ$108))))</f>
        <v>9.4009999999999998</v>
      </c>
      <c r="T162" cm="1">
        <f t="array" ref="T162">SUMPRODUCT(IF(LEFT($A$4:$A$108,3)=LEFT($A162,3),IF($B$4:$B$108=$B162,IF($C$3:$AZ$3=T$112,$C$4:$AZ$108))))</f>
        <v>38.072000000000003</v>
      </c>
      <c r="U162" cm="1">
        <f t="array" ref="U162">SUMPRODUCT(IF(LEFT($A$4:$A$108,3)=LEFT($A162,3),IF($B$4:$B$108=$B162,IF($C$3:$AZ$3=U$112,$C$4:$AZ$108))))</f>
        <v>28.434000000000001</v>
      </c>
      <c r="V162" cm="1">
        <f t="array" ref="V162">SUMPRODUCT(IF(LEFT($A$4:$A$108,3)=LEFT($A162,3),IF($B$4:$B$108=$B162,IF($C$3:$AZ$3=V$112,$C$4:$AZ$108))))</f>
        <v>30.140999999999998</v>
      </c>
      <c r="W162" cm="1">
        <f t="array" ref="W162">SUMPRODUCT(IF(LEFT($A$4:$A$108,3)=LEFT($A162,3),IF($B$4:$B$108=$B162,IF($C$3:$AZ$3=W$112,$C$4:$AZ$108))))</f>
        <v>30.78</v>
      </c>
      <c r="X162" cm="1">
        <f t="array" ref="X162">SUMPRODUCT(IF(LEFT($A$4:$A$108,3)=LEFT($A162,3),IF($B$4:$B$108=$B162,IF($C$3:$AZ$3=X$112,$C$4:$AZ$108))))</f>
        <v>81.688999999999993</v>
      </c>
      <c r="Y162" cm="1">
        <f t="array" ref="Y162">SUMPRODUCT(IF(LEFT($A$4:$A$108,3)=LEFT($A162,3),IF($B$4:$B$108=$B162,IF($C$3:$AZ$3=Y$112,$C$4:$AZ$108))))</f>
        <v>58.68</v>
      </c>
      <c r="Z162" cm="1">
        <f t="array" ref="Z162">SUMPRODUCT(IF(LEFT($A$4:$A$108,3)=LEFT($A162,3),IF($B$4:$B$108=$B162,IF($C$3:$AZ$3=Z$112,$C$4:$AZ$108))))</f>
        <v>325.755</v>
      </c>
      <c r="AA162" cm="1">
        <f t="array" ref="AA162">SUMPRODUCT(IF(LEFT($A$4:$A$108,3)=LEFT($A162,3),IF($B$4:$B$108=$B162,IF($C$3:$AZ$3=AA$112,$C$4:$AZ$108))))</f>
        <v>21.9</v>
      </c>
      <c r="AB162" cm="1">
        <f t="array" ref="AB162">SUMPRODUCT(IF(LEFT($A$4:$A$108,3)=LEFT($A162,3),IF($B$4:$B$108=$B162,IF($C$3:$AZ$3=AB$112,$C$4:$AZ$108))))</f>
        <v>2.125</v>
      </c>
      <c r="AC162" cm="1">
        <f t="array" ref="AC162">SUMPRODUCT(IF(LEFT($A$4:$A$108,3)=LEFT($A162,3),IF($B$4:$B$108=$B162,IF($C$3:$AZ$3=AC$112,$C$4:$AZ$108))))</f>
        <v>2.9550000000000001</v>
      </c>
      <c r="AD162" cm="1">
        <f t="array" ref="AD162">SUMPRODUCT(IF(LEFT($A$4:$A$108,3)=LEFT($A162,3),IF($B$4:$B$108=$B162,IF($C$3:$AZ$3=AD$112,$C$4:$AZ$108))))</f>
        <v>1019.725</v>
      </c>
      <c r="AE162" cm="1">
        <f t="array" ref="AE162">SUMPRODUCT(IF(LEFT($A$4:$A$108,3)=LEFT($A162,3),IF($B$4:$B$108=$B162,IF($C$3:$AZ$3=AE$112,$C$4:$AZ$108))))</f>
        <v>74.814999999999998</v>
      </c>
      <c r="AF162" cm="1">
        <f t="array" ref="AF162">SUMPRODUCT(IF(LEFT($A$4:$A$108,3)=LEFT($A162,3),IF($B$4:$B$108=$B162,IF($C$3:$AZ$3=AF$112,$C$4:$AZ$108))))</f>
        <v>19.903000000000002</v>
      </c>
      <c r="AG162" cm="1">
        <f t="array" ref="AG162">SUMPRODUCT(IF(LEFT($A$4:$A$108,3)=LEFT($A162,3),IF($B$4:$B$108=$B162,IF($C$3:$AZ$3=AG$112,$C$4:$AZ$108))))</f>
        <v>40.090000000000003</v>
      </c>
      <c r="AH162" cm="1">
        <f t="array" ref="AH162">SUMPRODUCT(IF(LEFT($A$4:$A$108,3)=LEFT($A162,3),IF($B$4:$B$108=$B162,IF($C$3:$AZ$3=AH$112,$C$4:$AZ$108))))</f>
        <v>5.4909999999999997</v>
      </c>
      <c r="AI162" cm="1">
        <f t="array" ref="AI162">SUMPRODUCT(IF(LEFT($A$4:$A$108,3)=LEFT($A162,3),IF($B$4:$B$108=$B162,IF($C$3:$AZ$3=AI$112,$C$4:$AZ$108))))</f>
        <v>1.962</v>
      </c>
      <c r="AJ162" cm="1">
        <f t="array" ref="AJ162">SUMPRODUCT(IF(LEFT($A$4:$A$108,3)=LEFT($A162,3),IF($B$4:$B$108=$B162,IF($C$3:$AZ$3=AJ$112,$C$4:$AZ$108))))</f>
        <v>1.6040000000000001</v>
      </c>
      <c r="AK162" cm="1">
        <f t="array" ref="AK162">SUMPRODUCT(IF(LEFT($A$4:$A$108,3)=LEFT($A162,3),IF($B$4:$B$108=$B162,IF($C$3:$AZ$3=AK$112,$C$4:$AZ$108))))</f>
        <v>2.7210000000000001</v>
      </c>
      <c r="AL162" cm="1">
        <f t="array" ref="AL162">SUMPRODUCT(IF(LEFT($A$4:$A$108,3)=LEFT($A162,3),IF($B$4:$B$108=$B162,IF($C$3:$AZ$3=AL$112,$C$4:$AZ$108))))</f>
        <v>129.624</v>
      </c>
      <c r="AM162" cm="1">
        <f t="array" ref="AM162">SUMPRODUCT(IF(LEFT($A$4:$A$108,3)=LEFT($A162,3),IF($B$4:$B$108=$B162,IF($C$3:$AZ$3=AM$112,$C$4:$AZ$108))))</f>
        <v>42.383000000000003</v>
      </c>
      <c r="AN162" cm="1">
        <f t="array" ref="AN162">SUMPRODUCT(IF(LEFT($A$4:$A$108,3)=LEFT($A162,3),IF($B$4:$B$108=$B162,IF($C$3:$AZ$3=AN$112,$C$4:$AZ$108))))</f>
        <v>5.8360000000000003</v>
      </c>
      <c r="AO162" cm="1">
        <f t="array" ref="AO162">SUMPRODUCT(IF(LEFT($A$4:$A$108,3)=LEFT($A162,3),IF($B$4:$B$108=$B162,IF($C$3:$AZ$3=AO$112,$C$4:$AZ$108))))</f>
        <v>11.648999999999999</v>
      </c>
      <c r="AP162" cm="1">
        <f t="array" ref="AP162">SUMPRODUCT(IF(LEFT($A$4:$A$108,3)=LEFT($A162,3),IF($B$4:$B$108=$B162,IF($C$3:$AZ$3=AP$112,$C$4:$AZ$108))))</f>
        <v>14.409000000000001</v>
      </c>
      <c r="AQ162" cm="1">
        <f t="array" ref="AQ162">SUMPRODUCT(IF(LEFT($A$4:$A$108,3)=LEFT($A162,3),IF($B$4:$B$108=$B162,IF($C$3:$AZ$3=AQ$112,$C$4:$AZ$108))))</f>
        <v>50.071999999999996</v>
      </c>
      <c r="AR162" cm="1">
        <f t="array" ref="AR162">SUMPRODUCT(IF(LEFT($A$4:$A$108,3)=LEFT($A162,3),IF($B$4:$B$108=$B162,IF($C$3:$AZ$3=AR$112,$C$4:$AZ$108))))</f>
        <v>0</v>
      </c>
      <c r="AS162">
        <v>0</v>
      </c>
    </row>
    <row r="163" spans="1:45">
      <c r="A163" t="s">
        <v>385</v>
      </c>
      <c r="B163" t="s">
        <v>10</v>
      </c>
      <c r="C163" cm="1">
        <f t="array" ref="C163">SUMPRODUCT(IF(LEFT($A$4:$A$108,3)=LEFT($A163,3),IF($B$4:$B$108=$B163,IF($C$3:$AZ$3=C$112,$C$4:$AZ$108))))</f>
        <v>14.115000000000002</v>
      </c>
      <c r="D163" cm="1">
        <f t="array" ref="D163">SUMPRODUCT(IF(LEFT($A$4:$A$108,3)=LEFT($A163,3),IF($B$4:$B$108=$B163,IF($C$3:$AZ$3=D$112,$C$4:$AZ$108))))</f>
        <v>2.1999999999999999E-2</v>
      </c>
      <c r="E163" cm="1">
        <f t="array" ref="E163">SUMPRODUCT(IF(LEFT($A$4:$A$108,3)=LEFT($A163,3),IF($B$4:$B$108=$B163,IF($C$3:$AZ$3=E$112,$C$4:$AZ$108))))</f>
        <v>1.6E-2</v>
      </c>
      <c r="F163" cm="1">
        <f t="array" ref="F163">SUMPRODUCT(IF(LEFT($A$4:$A$108,3)=LEFT($A163,3),IF($B$4:$B$108=$B163,IF($C$3:$AZ$3=F$112,$C$4:$AZ$108))))</f>
        <v>0.60399999999999998</v>
      </c>
      <c r="G163" cm="1">
        <f t="array" ref="G163">SUMPRODUCT(IF(LEFT($A$4:$A$108,3)=LEFT($A163,3),IF($B$4:$B$108=$B163,IF($C$3:$AZ$3=G$112,$C$4:$AZ$108))))</f>
        <v>2E-3</v>
      </c>
      <c r="H163" cm="1">
        <f t="array" ref="H163">SUMPRODUCT(IF(LEFT($A$4:$A$108,3)=LEFT($A163,3),IF($B$4:$B$108=$B163,IF($C$3:$AZ$3=H$112,$C$4:$AZ$108))))</f>
        <v>377.32100000000003</v>
      </c>
      <c r="I163" cm="1">
        <f t="array" ref="I163">SUMPRODUCT(IF(LEFT($A$4:$A$108,3)=LEFT($A163,3),IF($B$4:$B$108=$B163,IF($C$3:$AZ$3=I$112,$C$4:$AZ$108))))</f>
        <v>52.237000000000002</v>
      </c>
      <c r="J163" cm="1">
        <f t="array" ref="J163">SUMPRODUCT(IF(LEFT($A$4:$A$108,3)=LEFT($A163,3),IF($B$4:$B$108=$B163,IF($C$3:$AZ$3=J$112,$C$4:$AZ$108))))</f>
        <v>12.05</v>
      </c>
      <c r="K163" cm="1">
        <f t="array" ref="K163">SUMPRODUCT(IF(LEFT($A$4:$A$108,3)=LEFT($A163,3),IF($B$4:$B$108=$B163,IF($C$3:$AZ$3=K$112,$C$4:$AZ$108))))</f>
        <v>1227.652</v>
      </c>
      <c r="L163" cm="1">
        <f t="array" ref="L163">SUMPRODUCT(IF(LEFT($A$4:$A$108,3)=LEFT($A163,3),IF($B$4:$B$108=$B163,IF($C$3:$AZ$3=L$112,$C$4:$AZ$108))))</f>
        <v>5.7679999999999998</v>
      </c>
      <c r="M163" cm="1">
        <f t="array" ref="M163">SUMPRODUCT(IF(LEFT($A$4:$A$108,3)=LEFT($A163,3),IF($B$4:$B$108=$B163,IF($C$3:$AZ$3=M$112,$C$4:$AZ$108))))</f>
        <v>144.38399999999999</v>
      </c>
      <c r="N163" cm="1">
        <f t="array" ref="N163">SUMPRODUCT(IF(LEFT($A$4:$A$108,3)=LEFT($A163,3),IF($B$4:$B$108=$B163,IF($C$3:$AZ$3=N$112,$C$4:$AZ$108))))</f>
        <v>40.662999999999997</v>
      </c>
      <c r="O163" cm="1">
        <f t="array" ref="O163">SUMPRODUCT(IF(LEFT($A$4:$A$108,3)=LEFT($A163,3),IF($B$4:$B$108=$B163,IF($C$3:$AZ$3=O$112,$C$4:$AZ$108))))</f>
        <v>68.353999999999999</v>
      </c>
      <c r="P163" s="4" cm="1">
        <f t="array" ref="P163">SUMPRODUCT(IF(LEFT($A$4:$A$108,3)=LEFT($A163,3),IF($B$4:$B$108=$B163,IF($C$3:$AZ$3=P$112,$C$4:$AZ$108))))*'Cement and Glass Split'!O56</f>
        <v>8.5423077200275888</v>
      </c>
      <c r="Q163" s="4" cm="1">
        <f t="array" ref="Q163">SUMPRODUCT(IF(LEFT($A$4:$A$108,3)=LEFT($A163,3),IF($B$4:$B$108=$B163,IF($C$3:$AZ$3=P$112,$C$4:$AZ$108))))*'Cement and Glass Split'!P56</f>
        <v>46.585692279972406</v>
      </c>
      <c r="R163" cm="1">
        <f t="array" ref="R163">SUMPRODUCT(IF(LEFT($A$4:$A$108,3)=LEFT($A163,3),IF($B$4:$B$108=$B163,IF($C$3:$AZ$3=R$112,$C$4:$AZ$108))))</f>
        <v>13.596</v>
      </c>
      <c r="S163" cm="1">
        <f t="array" ref="S163">SUMPRODUCT(IF(LEFT($A$4:$A$108,3)=LEFT($A163,3),IF($B$4:$B$108=$B163,IF($C$3:$AZ$3=S$112,$C$4:$AZ$108))))</f>
        <v>12.419</v>
      </c>
      <c r="T163" cm="1">
        <f t="array" ref="T163">SUMPRODUCT(IF(LEFT($A$4:$A$108,3)=LEFT($A163,3),IF($B$4:$B$108=$B163,IF($C$3:$AZ$3=T$112,$C$4:$AZ$108))))</f>
        <v>38.863</v>
      </c>
      <c r="U163" cm="1">
        <f t="array" ref="U163">SUMPRODUCT(IF(LEFT($A$4:$A$108,3)=LEFT($A163,3),IF($B$4:$B$108=$B163,IF($C$3:$AZ$3=U$112,$C$4:$AZ$108))))</f>
        <v>87.367000000000004</v>
      </c>
      <c r="V163" cm="1">
        <f t="array" ref="V163">SUMPRODUCT(IF(LEFT($A$4:$A$108,3)=LEFT($A163,3),IF($B$4:$B$108=$B163,IF($C$3:$AZ$3=V$112,$C$4:$AZ$108))))</f>
        <v>53.960999999999999</v>
      </c>
      <c r="W163" cm="1">
        <f t="array" ref="W163">SUMPRODUCT(IF(LEFT($A$4:$A$108,3)=LEFT($A163,3),IF($B$4:$B$108=$B163,IF($C$3:$AZ$3=W$112,$C$4:$AZ$108))))</f>
        <v>54.505000000000003</v>
      </c>
      <c r="X163" cm="1">
        <f t="array" ref="X163">SUMPRODUCT(IF(LEFT($A$4:$A$108,3)=LEFT($A163,3),IF($B$4:$B$108=$B163,IF($C$3:$AZ$3=X$112,$C$4:$AZ$108))))</f>
        <v>54.225000000000001</v>
      </c>
      <c r="Y163" cm="1">
        <f t="array" ref="Y163">SUMPRODUCT(IF(LEFT($A$4:$A$108,3)=LEFT($A163,3),IF($B$4:$B$108=$B163,IF($C$3:$AZ$3=Y$112,$C$4:$AZ$108))))</f>
        <v>8.7620000000000005</v>
      </c>
      <c r="Z163" cm="1">
        <f t="array" ref="Z163">SUMPRODUCT(IF(LEFT($A$4:$A$108,3)=LEFT($A163,3),IF($B$4:$B$108=$B163,IF($C$3:$AZ$3=Z$112,$C$4:$AZ$108))))</f>
        <v>44.832000000000001</v>
      </c>
      <c r="AA163" cm="1">
        <f t="array" ref="AA163">SUMPRODUCT(IF(LEFT($A$4:$A$108,3)=LEFT($A163,3),IF($B$4:$B$108=$B163,IF($C$3:$AZ$3=AA$112,$C$4:$AZ$108))))</f>
        <v>13.917</v>
      </c>
      <c r="AB163" cm="1">
        <f t="array" ref="AB163">SUMPRODUCT(IF(LEFT($A$4:$A$108,3)=LEFT($A163,3),IF($B$4:$B$108=$B163,IF($C$3:$AZ$3=AB$112,$C$4:$AZ$108))))</f>
        <v>3.2589999999999999</v>
      </c>
      <c r="AC163" cm="1">
        <f t="array" ref="AC163">SUMPRODUCT(IF(LEFT($A$4:$A$108,3)=LEFT($A163,3),IF($B$4:$B$108=$B163,IF($C$3:$AZ$3=AC$112,$C$4:$AZ$108))))</f>
        <v>5.9660000000000002</v>
      </c>
      <c r="AD163" cm="1">
        <f t="array" ref="AD163">SUMPRODUCT(IF(LEFT($A$4:$A$108,3)=LEFT($A163,3),IF($B$4:$B$108=$B163,IF($C$3:$AZ$3=AD$112,$C$4:$AZ$108))))</f>
        <v>48.03</v>
      </c>
      <c r="AE163" cm="1">
        <f t="array" ref="AE163">SUMPRODUCT(IF(LEFT($A$4:$A$108,3)=LEFT($A163,3),IF($B$4:$B$108=$B163,IF($C$3:$AZ$3=AE$112,$C$4:$AZ$108))))</f>
        <v>197.136</v>
      </c>
      <c r="AF163" cm="1">
        <f t="array" ref="AF163">SUMPRODUCT(IF(LEFT($A$4:$A$108,3)=LEFT($A163,3),IF($B$4:$B$108=$B163,IF($C$3:$AZ$3=AF$112,$C$4:$AZ$108))))</f>
        <v>35.659999999999997</v>
      </c>
      <c r="AG163" cm="1">
        <f t="array" ref="AG163">SUMPRODUCT(IF(LEFT($A$4:$A$108,3)=LEFT($A163,3),IF($B$4:$B$108=$B163,IF($C$3:$AZ$3=AG$112,$C$4:$AZ$108))))</f>
        <v>94.876999999999995</v>
      </c>
      <c r="AH163" cm="1">
        <f t="array" ref="AH163">SUMPRODUCT(IF(LEFT($A$4:$A$108,3)=LEFT($A163,3),IF($B$4:$B$108=$B163,IF($C$3:$AZ$3=AH$112,$C$4:$AZ$108))))</f>
        <v>199.10300000000001</v>
      </c>
      <c r="AI163" cm="1">
        <f t="array" ref="AI163">SUMPRODUCT(IF(LEFT($A$4:$A$108,3)=LEFT($A163,3),IF($B$4:$B$108=$B163,IF($C$3:$AZ$3=AI$112,$C$4:$AZ$108))))</f>
        <v>14.859</v>
      </c>
      <c r="AJ163" cm="1">
        <f t="array" ref="AJ163">SUMPRODUCT(IF(LEFT($A$4:$A$108,3)=LEFT($A163,3),IF($B$4:$B$108=$B163,IF($C$3:$AZ$3=AJ$112,$C$4:$AZ$108))))</f>
        <v>40.039000000000001</v>
      </c>
      <c r="AK163" cm="1">
        <f t="array" ref="AK163">SUMPRODUCT(IF(LEFT($A$4:$A$108,3)=LEFT($A163,3),IF($B$4:$B$108=$B163,IF($C$3:$AZ$3=AK$112,$C$4:$AZ$108))))</f>
        <v>62.07</v>
      </c>
      <c r="AL163" cm="1">
        <f t="array" ref="AL163">SUMPRODUCT(IF(LEFT($A$4:$A$108,3)=LEFT($A163,3),IF($B$4:$B$108=$B163,IF($C$3:$AZ$3=AL$112,$C$4:$AZ$108))))</f>
        <v>16.632000000000001</v>
      </c>
      <c r="AM163" cm="1">
        <f t="array" ref="AM163">SUMPRODUCT(IF(LEFT($A$4:$A$108,3)=LEFT($A163,3),IF($B$4:$B$108=$B163,IF($C$3:$AZ$3=AM$112,$C$4:$AZ$108))))</f>
        <v>210.25</v>
      </c>
      <c r="AN163" cm="1">
        <f t="array" ref="AN163">SUMPRODUCT(IF(LEFT($A$4:$A$108,3)=LEFT($A163,3),IF($B$4:$B$108=$B163,IF($C$3:$AZ$3=AN$112,$C$4:$AZ$108))))</f>
        <v>63.829000000000001</v>
      </c>
      <c r="AO163" cm="1">
        <f t="array" ref="AO163">SUMPRODUCT(IF(LEFT($A$4:$A$108,3)=LEFT($A163,3),IF($B$4:$B$108=$B163,IF($C$3:$AZ$3=AO$112,$C$4:$AZ$108))))</f>
        <v>111.19</v>
      </c>
      <c r="AP163" cm="1">
        <f t="array" ref="AP163">SUMPRODUCT(IF(LEFT($A$4:$A$108,3)=LEFT($A163,3),IF($B$4:$B$108=$B163,IF($C$3:$AZ$3=AP$112,$C$4:$AZ$108))))</f>
        <v>73.105999999999995</v>
      </c>
      <c r="AQ163" cm="1">
        <f t="array" ref="AQ163">SUMPRODUCT(IF(LEFT($A$4:$A$108,3)=LEFT($A163,3),IF($B$4:$B$108=$B163,IF($C$3:$AZ$3=AQ$112,$C$4:$AZ$108))))</f>
        <v>63.509</v>
      </c>
      <c r="AR163" cm="1">
        <f t="array" ref="AR163">SUMPRODUCT(IF(LEFT($A$4:$A$108,3)=LEFT($A163,3),IF($B$4:$B$108=$B163,IF($C$3:$AZ$3=AR$112,$C$4:$AZ$108))))</f>
        <v>0</v>
      </c>
      <c r="AS163">
        <v>0</v>
      </c>
    </row>
    <row r="164" spans="1:45">
      <c r="A164" t="s">
        <v>385</v>
      </c>
      <c r="B164" t="s">
        <v>11</v>
      </c>
      <c r="C164" cm="1">
        <f t="array" ref="C164">SUMPRODUCT(IF(LEFT($A$4:$A$108,3)=LEFT($A164,3),IF($B$4:$B$108=$B164,IF($C$3:$AZ$3=C$112,$C$4:$AZ$108))))</f>
        <v>919.96100000000001</v>
      </c>
      <c r="D164" cm="1">
        <f t="array" ref="D164">SUMPRODUCT(IF(LEFT($A$4:$A$108,3)=LEFT($A164,3),IF($B$4:$B$108=$B164,IF($C$3:$AZ$3=D$112,$C$4:$AZ$108))))</f>
        <v>4.0890000000000004</v>
      </c>
      <c r="E164" cm="1">
        <f t="array" ref="E164">SUMPRODUCT(IF(LEFT($A$4:$A$108,3)=LEFT($A164,3),IF($B$4:$B$108=$B164,IF($C$3:$AZ$3=E$112,$C$4:$AZ$108))))</f>
        <v>1.306</v>
      </c>
      <c r="F164" cm="1">
        <f t="array" ref="F164">SUMPRODUCT(IF(LEFT($A$4:$A$108,3)=LEFT($A164,3),IF($B$4:$B$108=$B164,IF($C$3:$AZ$3=F$112,$C$4:$AZ$108))))</f>
        <v>80.105000000000004</v>
      </c>
      <c r="G164" cm="1">
        <f t="array" ref="G164">SUMPRODUCT(IF(LEFT($A$4:$A$108,3)=LEFT($A164,3),IF($B$4:$B$108=$B164,IF($C$3:$AZ$3=G$112,$C$4:$AZ$108))))</f>
        <v>0.26900000000000002</v>
      </c>
      <c r="H164" cm="1">
        <f t="array" ref="H164">SUMPRODUCT(IF(LEFT($A$4:$A$108,3)=LEFT($A164,3),IF($B$4:$B$108=$B164,IF($C$3:$AZ$3=H$112,$C$4:$AZ$108))))</f>
        <v>695.99099999999999</v>
      </c>
      <c r="I164" cm="1">
        <f t="array" ref="I164">SUMPRODUCT(IF(LEFT($A$4:$A$108,3)=LEFT($A164,3),IF($B$4:$B$108=$B164,IF($C$3:$AZ$3=I$112,$C$4:$AZ$108))))</f>
        <v>159.071</v>
      </c>
      <c r="J164" cm="1">
        <f t="array" ref="J164">SUMPRODUCT(IF(LEFT($A$4:$A$108,3)=LEFT($A164,3),IF($B$4:$B$108=$B164,IF($C$3:$AZ$3=J$112,$C$4:$AZ$108))))</f>
        <v>68.376000000000005</v>
      </c>
      <c r="K164" cm="1">
        <f t="array" ref="K164">SUMPRODUCT(IF(LEFT($A$4:$A$108,3)=LEFT($A164,3),IF($B$4:$B$108=$B164,IF($C$3:$AZ$3=K$112,$C$4:$AZ$108))))</f>
        <v>187.73</v>
      </c>
      <c r="L164" cm="1">
        <f t="array" ref="L164">SUMPRODUCT(IF(LEFT($A$4:$A$108,3)=LEFT($A164,3),IF($B$4:$B$108=$B164,IF($C$3:$AZ$3=L$112,$C$4:$AZ$108))))</f>
        <v>3724.2379999999998</v>
      </c>
      <c r="M164" cm="1">
        <f t="array" ref="M164">SUMPRODUCT(IF(LEFT($A$4:$A$108,3)=LEFT($A164,3),IF($B$4:$B$108=$B164,IF($C$3:$AZ$3=M$112,$C$4:$AZ$108))))</f>
        <v>4511.9269999999997</v>
      </c>
      <c r="N164" cm="1">
        <f t="array" ref="N164">SUMPRODUCT(IF(LEFT($A$4:$A$108,3)=LEFT($A164,3),IF($B$4:$B$108=$B164,IF($C$3:$AZ$3=N$112,$C$4:$AZ$108))))</f>
        <v>67.054000000000002</v>
      </c>
      <c r="O164" cm="1">
        <f t="array" ref="O164">SUMPRODUCT(IF(LEFT($A$4:$A$108,3)=LEFT($A164,3),IF($B$4:$B$108=$B164,IF($C$3:$AZ$3=O$112,$C$4:$AZ$108))))</f>
        <v>248.01499999999999</v>
      </c>
      <c r="P164" s="4" cm="1">
        <f t="array" ref="P164">SUMPRODUCT(IF(LEFT($A$4:$A$108,3)=LEFT($A164,3),IF($B$4:$B$108=$B164,IF($C$3:$AZ$3=P$112,$C$4:$AZ$108))))*'Cement and Glass Split'!O57</f>
        <v>83.05478994150991</v>
      </c>
      <c r="Q164" s="4" cm="1">
        <f t="array" ref="Q164">SUMPRODUCT(IF(LEFT($A$4:$A$108,3)=LEFT($A164,3),IF($B$4:$B$108=$B164,IF($C$3:$AZ$3=P$112,$C$4:$AZ$108))))*'Cement and Glass Split'!P57</f>
        <v>377.04621005849009</v>
      </c>
      <c r="R164" cm="1">
        <f t="array" ref="R164">SUMPRODUCT(IF(LEFT($A$4:$A$108,3)=LEFT($A164,3),IF($B$4:$B$108=$B164,IF($C$3:$AZ$3=R$112,$C$4:$AZ$108))))</f>
        <v>1279.6199999999999</v>
      </c>
      <c r="S164" cm="1">
        <f t="array" ref="S164">SUMPRODUCT(IF(LEFT($A$4:$A$108,3)=LEFT($A164,3),IF($B$4:$B$108=$B164,IF($C$3:$AZ$3=S$112,$C$4:$AZ$108))))</f>
        <v>262.97199999999998</v>
      </c>
      <c r="T164" cm="1">
        <f t="array" ref="T164">SUMPRODUCT(IF(LEFT($A$4:$A$108,3)=LEFT($A164,3),IF($B$4:$B$108=$B164,IF($C$3:$AZ$3=T$112,$C$4:$AZ$108))))</f>
        <v>261.18400000000003</v>
      </c>
      <c r="U164" cm="1">
        <f t="array" ref="U164">SUMPRODUCT(IF(LEFT($A$4:$A$108,3)=LEFT($A164,3),IF($B$4:$B$108=$B164,IF($C$3:$AZ$3=U$112,$C$4:$AZ$108))))</f>
        <v>181.81800000000001</v>
      </c>
      <c r="V164" cm="1">
        <f t="array" ref="V164">SUMPRODUCT(IF(LEFT($A$4:$A$108,3)=LEFT($A164,3),IF($B$4:$B$108=$B164,IF($C$3:$AZ$3=V$112,$C$4:$AZ$108))))</f>
        <v>325.37599999999998</v>
      </c>
      <c r="W164" cm="1">
        <f t="array" ref="W164">SUMPRODUCT(IF(LEFT($A$4:$A$108,3)=LEFT($A164,3),IF($B$4:$B$108=$B164,IF($C$3:$AZ$3=W$112,$C$4:$AZ$108))))</f>
        <v>260.10599999999999</v>
      </c>
      <c r="X164" cm="1">
        <f t="array" ref="X164">SUMPRODUCT(IF(LEFT($A$4:$A$108,3)=LEFT($A164,3),IF($B$4:$B$108=$B164,IF($C$3:$AZ$3=X$112,$C$4:$AZ$108))))</f>
        <v>508.78800000000001</v>
      </c>
      <c r="Y164" cm="1">
        <f t="array" ref="Y164">SUMPRODUCT(IF(LEFT($A$4:$A$108,3)=LEFT($A164,3),IF($B$4:$B$108=$B164,IF($C$3:$AZ$3=Y$112,$C$4:$AZ$108))))</f>
        <v>91.766999999999996</v>
      </c>
      <c r="Z164" cm="1">
        <f t="array" ref="Z164">SUMPRODUCT(IF(LEFT($A$4:$A$108,3)=LEFT($A164,3),IF($B$4:$B$108=$B164,IF($C$3:$AZ$3=Z$112,$C$4:$AZ$108))))</f>
        <v>114.483</v>
      </c>
      <c r="AA164" cm="1">
        <f t="array" ref="AA164">SUMPRODUCT(IF(LEFT($A$4:$A$108,3)=LEFT($A164,3),IF($B$4:$B$108=$B164,IF($C$3:$AZ$3=AA$112,$C$4:$AZ$108))))</f>
        <v>1792.02</v>
      </c>
      <c r="AB164" cm="1">
        <f t="array" ref="AB164">SUMPRODUCT(IF(LEFT($A$4:$A$108,3)=LEFT($A164,3),IF($B$4:$B$108=$B164,IF($C$3:$AZ$3=AB$112,$C$4:$AZ$108))))</f>
        <v>1174.204</v>
      </c>
      <c r="AC164" cm="1">
        <f t="array" ref="AC164">SUMPRODUCT(IF(LEFT($A$4:$A$108,3)=LEFT($A164,3),IF($B$4:$B$108=$B164,IF($C$3:$AZ$3=AC$112,$C$4:$AZ$108))))</f>
        <v>251.37100000000001</v>
      </c>
      <c r="AD164" cm="1">
        <f t="array" ref="AD164">SUMPRODUCT(IF(LEFT($A$4:$A$108,3)=LEFT($A164,3),IF($B$4:$B$108=$B164,IF($C$3:$AZ$3=AD$112,$C$4:$AZ$108))))</f>
        <v>1386.57</v>
      </c>
      <c r="AE164" cm="1">
        <f t="array" ref="AE164">SUMPRODUCT(IF(LEFT($A$4:$A$108,3)=LEFT($A164,3),IF($B$4:$B$108=$B164,IF($C$3:$AZ$3=AE$112,$C$4:$AZ$108))))</f>
        <v>1906.0609999999999</v>
      </c>
      <c r="AF164" cm="1">
        <f t="array" ref="AF164">SUMPRODUCT(IF(LEFT($A$4:$A$108,3)=LEFT($A164,3),IF($B$4:$B$108=$B164,IF($C$3:$AZ$3=AF$112,$C$4:$AZ$108))))</f>
        <v>3847.6319999999996</v>
      </c>
      <c r="AG164" cm="1">
        <f t="array" ref="AG164">SUMPRODUCT(IF(LEFT($A$4:$A$108,3)=LEFT($A164,3),IF($B$4:$B$108=$B164,IF($C$3:$AZ$3=AG$112,$C$4:$AZ$108))))</f>
        <v>560.61199999999997</v>
      </c>
      <c r="AH164" cm="1">
        <f t="array" ref="AH164">SUMPRODUCT(IF(LEFT($A$4:$A$108,3)=LEFT($A164,3),IF($B$4:$B$108=$B164,IF($C$3:$AZ$3=AH$112,$C$4:$AZ$108))))</f>
        <v>83.051000000000002</v>
      </c>
      <c r="AI164" cm="1">
        <f t="array" ref="AI164">SUMPRODUCT(IF(LEFT($A$4:$A$108,3)=LEFT($A164,3),IF($B$4:$B$108=$B164,IF($C$3:$AZ$3=AI$112,$C$4:$AZ$108))))</f>
        <v>108.584</v>
      </c>
      <c r="AJ164" cm="1">
        <f t="array" ref="AJ164">SUMPRODUCT(IF(LEFT($A$4:$A$108,3)=LEFT($A164,3),IF($B$4:$B$108=$B164,IF($C$3:$AZ$3=AJ$112,$C$4:$AZ$108))))</f>
        <v>95.947000000000003</v>
      </c>
      <c r="AK164" cm="1">
        <f t="array" ref="AK164">SUMPRODUCT(IF(LEFT($A$4:$A$108,3)=LEFT($A164,3),IF($B$4:$B$108=$B164,IF($C$3:$AZ$3=AK$112,$C$4:$AZ$108))))</f>
        <v>257.45499999999998</v>
      </c>
      <c r="AL164" cm="1">
        <f t="array" ref="AL164">SUMPRODUCT(IF(LEFT($A$4:$A$108,3)=LEFT($A164,3),IF($B$4:$B$108=$B164,IF($C$3:$AZ$3=AL$112,$C$4:$AZ$108))))</f>
        <v>160.60599999999999</v>
      </c>
      <c r="AM164" cm="1">
        <f t="array" ref="AM164">SUMPRODUCT(IF(LEFT($A$4:$A$108,3)=LEFT($A164,3),IF($B$4:$B$108=$B164,IF($C$3:$AZ$3=AM$112,$C$4:$AZ$108))))</f>
        <v>953.35799999999995</v>
      </c>
      <c r="AN164" cm="1">
        <f t="array" ref="AN164">SUMPRODUCT(IF(LEFT($A$4:$A$108,3)=LEFT($A164,3),IF($B$4:$B$108=$B164,IF($C$3:$AZ$3=AN$112,$C$4:$AZ$108))))</f>
        <v>673.673</v>
      </c>
      <c r="AO164" cm="1">
        <f t="array" ref="AO164">SUMPRODUCT(IF(LEFT($A$4:$A$108,3)=LEFT($A164,3),IF($B$4:$B$108=$B164,IF($C$3:$AZ$3=AO$112,$C$4:$AZ$108))))</f>
        <v>308.49700000000001</v>
      </c>
      <c r="AP164" cm="1">
        <f t="array" ref="AP164">SUMPRODUCT(IF(LEFT($A$4:$A$108,3)=LEFT($A164,3),IF($B$4:$B$108=$B164,IF($C$3:$AZ$3=AP$112,$C$4:$AZ$108))))</f>
        <v>336.86599999999999</v>
      </c>
      <c r="AQ164" cm="1">
        <f t="array" ref="AQ164">SUMPRODUCT(IF(LEFT($A$4:$A$108,3)=LEFT($A164,3),IF($B$4:$B$108=$B164,IF($C$3:$AZ$3=AQ$112,$C$4:$AZ$108))))</f>
        <v>468.61800000000005</v>
      </c>
      <c r="AR164" cm="1">
        <f t="array" ref="AR164">SUMPRODUCT(IF(LEFT($A$4:$A$108,3)=LEFT($A164,3),IF($B$4:$B$108=$B164,IF($C$3:$AZ$3=AR$112,$C$4:$AZ$108))))</f>
        <v>0</v>
      </c>
      <c r="AS164">
        <v>0</v>
      </c>
    </row>
    <row r="165" spans="1:45">
      <c r="A165" t="s">
        <v>385</v>
      </c>
      <c r="B165" t="s">
        <v>58</v>
      </c>
      <c r="C165" cm="1">
        <f t="array" ref="C165">SUMPRODUCT(IF(LEFT($A$4:$A$108,3)=LEFT($A165,3),IF($B$4:$B$108=$B165,IF($C$3:$AZ$3=C$112,$C$4:$AZ$108))))</f>
        <v>1150.0849999999998</v>
      </c>
      <c r="D165" cm="1">
        <f t="array" ref="D165">SUMPRODUCT(IF(LEFT($A$4:$A$108,3)=LEFT($A165,3),IF($B$4:$B$108=$B165,IF($C$3:$AZ$3=D$112,$C$4:$AZ$108))))</f>
        <v>1.7150000000000001</v>
      </c>
      <c r="E165" cm="1">
        <f t="array" ref="E165">SUMPRODUCT(IF(LEFT($A$4:$A$108,3)=LEFT($A165,3),IF($B$4:$B$108=$B165,IF($C$3:$AZ$3=E$112,$C$4:$AZ$108))))</f>
        <v>0.47399999999999998</v>
      </c>
      <c r="F165" cm="1">
        <f t="array" ref="F165">SUMPRODUCT(IF(LEFT($A$4:$A$108,3)=LEFT($A165,3),IF($B$4:$B$108=$B165,IF($C$3:$AZ$3=F$112,$C$4:$AZ$108))))</f>
        <v>37.335999999999999</v>
      </c>
      <c r="G165" cm="1">
        <f t="array" ref="G165">SUMPRODUCT(IF(LEFT($A$4:$A$108,3)=LEFT($A165,3),IF($B$4:$B$108=$B165,IF($C$3:$AZ$3=G$112,$C$4:$AZ$108))))</f>
        <v>8.1000000000000003E-2</v>
      </c>
      <c r="H165" cm="1">
        <f t="array" ref="H165">SUMPRODUCT(IF(LEFT($A$4:$A$108,3)=LEFT($A165,3),IF($B$4:$B$108=$B165,IF($C$3:$AZ$3=H$112,$C$4:$AZ$108))))</f>
        <v>808.40099999999995</v>
      </c>
      <c r="I165" cm="1">
        <f t="array" ref="I165">SUMPRODUCT(IF(LEFT($A$4:$A$108,3)=LEFT($A165,3),IF($B$4:$B$108=$B165,IF($C$3:$AZ$3=I$112,$C$4:$AZ$108))))</f>
        <v>1585.2439999999999</v>
      </c>
      <c r="J165" cm="1">
        <f t="array" ref="J165">SUMPRODUCT(IF(LEFT($A$4:$A$108,3)=LEFT($A165,3),IF($B$4:$B$108=$B165,IF($C$3:$AZ$3=J$112,$C$4:$AZ$108))))</f>
        <v>151.46199999999999</v>
      </c>
      <c r="K165" cm="1">
        <f t="array" ref="K165">SUMPRODUCT(IF(LEFT($A$4:$A$108,3)=LEFT($A165,3),IF($B$4:$B$108=$B165,IF($C$3:$AZ$3=K$112,$C$4:$AZ$108))))</f>
        <v>804.85599999999999</v>
      </c>
      <c r="L165" cm="1">
        <f t="array" ref="L165">SUMPRODUCT(IF(LEFT($A$4:$A$108,3)=LEFT($A165,3),IF($B$4:$B$108=$B165,IF($C$3:$AZ$3=L$112,$C$4:$AZ$108))))</f>
        <v>699.86800000000005</v>
      </c>
      <c r="M165" cm="1">
        <f t="array" ref="M165">SUMPRODUCT(IF(LEFT($A$4:$A$108,3)=LEFT($A165,3),IF($B$4:$B$108=$B165,IF($C$3:$AZ$3=M$112,$C$4:$AZ$108))))</f>
        <v>18670.744999999999</v>
      </c>
      <c r="N165" cm="1">
        <f t="array" ref="N165">SUMPRODUCT(IF(LEFT($A$4:$A$108,3)=LEFT($A165,3),IF($B$4:$B$108=$B165,IF($C$3:$AZ$3=N$112,$C$4:$AZ$108))))</f>
        <v>786.34400000000005</v>
      </c>
      <c r="O165" cm="1">
        <f t="array" ref="O165">SUMPRODUCT(IF(LEFT($A$4:$A$108,3)=LEFT($A165,3),IF($B$4:$B$108=$B165,IF($C$3:$AZ$3=O$112,$C$4:$AZ$108))))</f>
        <v>6159.0860000000002</v>
      </c>
      <c r="P165" s="4" cm="1">
        <f t="array" ref="P165">SUMPRODUCT(IF(LEFT($A$4:$A$108,3)=LEFT($A165,3),IF($B$4:$B$108=$B165,IF($C$3:$AZ$3=P$112,$C$4:$AZ$108))))*'Cement and Glass Split'!O58</f>
        <v>555.42641739935766</v>
      </c>
      <c r="Q165" s="4" cm="1">
        <f t="array" ref="Q165">SUMPRODUCT(IF(LEFT($A$4:$A$108,3)=LEFT($A165,3),IF($B$4:$B$108=$B165,IF($C$3:$AZ$3=P$112,$C$4:$AZ$108))))*'Cement and Glass Split'!P58</f>
        <v>49.565582600642351</v>
      </c>
      <c r="R165" cm="1">
        <f t="array" ref="R165">SUMPRODUCT(IF(LEFT($A$4:$A$108,3)=LEFT($A165,3),IF($B$4:$B$108=$B165,IF($C$3:$AZ$3=R$112,$C$4:$AZ$108))))</f>
        <v>390.31599999999997</v>
      </c>
      <c r="S165" cm="1">
        <f t="array" ref="S165">SUMPRODUCT(IF(LEFT($A$4:$A$108,3)=LEFT($A165,3),IF($B$4:$B$108=$B165,IF($C$3:$AZ$3=S$112,$C$4:$AZ$108))))</f>
        <v>285.63400000000001</v>
      </c>
      <c r="T165" cm="1">
        <f t="array" ref="T165">SUMPRODUCT(IF(LEFT($A$4:$A$108,3)=LEFT($A165,3),IF($B$4:$B$108=$B165,IF($C$3:$AZ$3=T$112,$C$4:$AZ$108))))</f>
        <v>547.70399999999995</v>
      </c>
      <c r="U165" cm="1">
        <f t="array" ref="U165">SUMPRODUCT(IF(LEFT($A$4:$A$108,3)=LEFT($A165,3),IF($B$4:$B$108=$B165,IF($C$3:$AZ$3=U$112,$C$4:$AZ$108))))</f>
        <v>1229.8009999999999</v>
      </c>
      <c r="V165" cm="1">
        <f t="array" ref="V165">SUMPRODUCT(IF(LEFT($A$4:$A$108,3)=LEFT($A165,3),IF($B$4:$B$108=$B165,IF($C$3:$AZ$3=V$112,$C$4:$AZ$108))))</f>
        <v>780</v>
      </c>
      <c r="W165" cm="1">
        <f t="array" ref="W165">SUMPRODUCT(IF(LEFT($A$4:$A$108,3)=LEFT($A165,3),IF($B$4:$B$108=$B165,IF($C$3:$AZ$3=W$112,$C$4:$AZ$108))))</f>
        <v>511.37400000000002</v>
      </c>
      <c r="X165" cm="1">
        <f t="array" ref="X165">SUMPRODUCT(IF(LEFT($A$4:$A$108,3)=LEFT($A165,3),IF($B$4:$B$108=$B165,IF($C$3:$AZ$3=X$112,$C$4:$AZ$108))))</f>
        <v>1094.886</v>
      </c>
      <c r="Y165" cm="1">
        <f t="array" ref="Y165">SUMPRODUCT(IF(LEFT($A$4:$A$108,3)=LEFT($A165,3),IF($B$4:$B$108=$B165,IF($C$3:$AZ$3=Y$112,$C$4:$AZ$108))))</f>
        <v>347.12799999999999</v>
      </c>
      <c r="Z165" cm="1">
        <f t="array" ref="Z165">SUMPRODUCT(IF(LEFT($A$4:$A$108,3)=LEFT($A165,3),IF($B$4:$B$108=$B165,IF($C$3:$AZ$3=Z$112,$C$4:$AZ$108))))</f>
        <v>442.8</v>
      </c>
      <c r="AA165" cm="1">
        <f t="array" ref="AA165">SUMPRODUCT(IF(LEFT($A$4:$A$108,3)=LEFT($A165,3),IF($B$4:$B$108=$B165,IF($C$3:$AZ$3=AA$112,$C$4:$AZ$108))))</f>
        <v>109.227</v>
      </c>
      <c r="AB165" cm="1">
        <f t="array" ref="AB165">SUMPRODUCT(IF(LEFT($A$4:$A$108,3)=LEFT($A165,3),IF($B$4:$B$108=$B165,IF($C$3:$AZ$3=AB$112,$C$4:$AZ$108))))</f>
        <v>18.693000000000001</v>
      </c>
      <c r="AC165" cm="1">
        <f t="array" ref="AC165">SUMPRODUCT(IF(LEFT($A$4:$A$108,3)=LEFT($A165,3),IF($B$4:$B$108=$B165,IF($C$3:$AZ$3=AC$112,$C$4:$AZ$108))))</f>
        <v>154.018</v>
      </c>
      <c r="AD165" cm="1">
        <f t="array" ref="AD165">SUMPRODUCT(IF(LEFT($A$4:$A$108,3)=LEFT($A165,3),IF($B$4:$B$108=$B165,IF($C$3:$AZ$3=AD$112,$C$4:$AZ$108))))</f>
        <v>867.91700000000003</v>
      </c>
      <c r="AE165" cm="1">
        <f t="array" ref="AE165">SUMPRODUCT(IF(LEFT($A$4:$A$108,3)=LEFT($A165,3),IF($B$4:$B$108=$B165,IF($C$3:$AZ$3=AE$112,$C$4:$AZ$108))))</f>
        <v>324.12</v>
      </c>
      <c r="AF165" cm="1">
        <f t="array" ref="AF165">SUMPRODUCT(IF(LEFT($A$4:$A$108,3)=LEFT($A165,3),IF($B$4:$B$108=$B165,IF($C$3:$AZ$3=AF$112,$C$4:$AZ$108))))</f>
        <v>128.33699999999999</v>
      </c>
      <c r="AG165" cm="1">
        <f t="array" ref="AG165">SUMPRODUCT(IF(LEFT($A$4:$A$108,3)=LEFT($A165,3),IF($B$4:$B$108=$B165,IF($C$3:$AZ$3=AG$112,$C$4:$AZ$108))))</f>
        <v>296.43900000000002</v>
      </c>
      <c r="AH165" cm="1">
        <f t="array" ref="AH165">SUMPRODUCT(IF(LEFT($A$4:$A$108,3)=LEFT($A165,3),IF($B$4:$B$108=$B165,IF($C$3:$AZ$3=AH$112,$C$4:$AZ$108))))</f>
        <v>117.256</v>
      </c>
      <c r="AI165" cm="1">
        <f t="array" ref="AI165">SUMPRODUCT(IF(LEFT($A$4:$A$108,3)=LEFT($A165,3),IF($B$4:$B$108=$B165,IF($C$3:$AZ$3=AI$112,$C$4:$AZ$108))))</f>
        <v>10.441000000000001</v>
      </c>
      <c r="AJ165" cm="1">
        <f t="array" ref="AJ165">SUMPRODUCT(IF(LEFT($A$4:$A$108,3)=LEFT($A165,3),IF($B$4:$B$108=$B165,IF($C$3:$AZ$3=AJ$112,$C$4:$AZ$108))))</f>
        <v>34.625</v>
      </c>
      <c r="AK165" cm="1">
        <f t="array" ref="AK165">SUMPRODUCT(IF(LEFT($A$4:$A$108,3)=LEFT($A165,3),IF($B$4:$B$108=$B165,IF($C$3:$AZ$3=AK$112,$C$4:$AZ$108))))</f>
        <v>24.707000000000001</v>
      </c>
      <c r="AL165" cm="1">
        <f t="array" ref="AL165">SUMPRODUCT(IF(LEFT($A$4:$A$108,3)=LEFT($A165,3),IF($B$4:$B$108=$B165,IF($C$3:$AZ$3=AL$112,$C$4:$AZ$108))))</f>
        <v>306.79300000000001</v>
      </c>
      <c r="AM165" cm="1">
        <f t="array" ref="AM165">SUMPRODUCT(IF(LEFT($A$4:$A$108,3)=LEFT($A165,3),IF($B$4:$B$108=$B165,IF($C$3:$AZ$3=AM$112,$C$4:$AZ$108))))</f>
        <v>565.15599999999995</v>
      </c>
      <c r="AN165" cm="1">
        <f t="array" ref="AN165">SUMPRODUCT(IF(LEFT($A$4:$A$108,3)=LEFT($A165,3),IF($B$4:$B$108=$B165,IF($C$3:$AZ$3=AN$112,$C$4:$AZ$108))))</f>
        <v>99.001000000000005</v>
      </c>
      <c r="AO165" cm="1">
        <f t="array" ref="AO165">SUMPRODUCT(IF(LEFT($A$4:$A$108,3)=LEFT($A165,3),IF($B$4:$B$108=$B165,IF($C$3:$AZ$3=AO$112,$C$4:$AZ$108))))</f>
        <v>161.072</v>
      </c>
      <c r="AP165" cm="1">
        <f t="array" ref="AP165">SUMPRODUCT(IF(LEFT($A$4:$A$108,3)=LEFT($A165,3),IF($B$4:$B$108=$B165,IF($C$3:$AZ$3=AP$112,$C$4:$AZ$108))))</f>
        <v>723.58900000000006</v>
      </c>
      <c r="AQ165" cm="1">
        <f t="array" ref="AQ165">SUMPRODUCT(IF(LEFT($A$4:$A$108,3)=LEFT($A165,3),IF($B$4:$B$108=$B165,IF($C$3:$AZ$3=AQ$112,$C$4:$AZ$108))))</f>
        <v>427.30499999999995</v>
      </c>
      <c r="AR165" cm="1">
        <f t="array" ref="AR165">SUMPRODUCT(IF(LEFT($A$4:$A$108,3)=LEFT($A165,3),IF($B$4:$B$108=$B165,IF($C$3:$AZ$3=AR$112,$C$4:$AZ$108))))</f>
        <v>0</v>
      </c>
      <c r="AS165">
        <v>0</v>
      </c>
    </row>
    <row r="166" spans="1:45">
      <c r="A166" t="s">
        <v>385</v>
      </c>
      <c r="B166" t="s">
        <v>59</v>
      </c>
      <c r="C166" cm="1">
        <f t="array" ref="C166">SUMPRODUCT(IF(LEFT($A$4:$A$108,3)=LEFT($A166,3),IF($B$4:$B$108=$B166,IF($C$3:$AZ$3=C$112,$C$4:$AZ$108))))</f>
        <v>104.98399999999999</v>
      </c>
      <c r="D166" cm="1">
        <f t="array" ref="D166">SUMPRODUCT(IF(LEFT($A$4:$A$108,3)=LEFT($A166,3),IF($B$4:$B$108=$B166,IF($C$3:$AZ$3=D$112,$C$4:$AZ$108))))</f>
        <v>0.114</v>
      </c>
      <c r="E166" cm="1">
        <f t="array" ref="E166">SUMPRODUCT(IF(LEFT($A$4:$A$108,3)=LEFT($A166,3),IF($B$4:$B$108=$B166,IF($C$3:$AZ$3=E$112,$C$4:$AZ$108))))</f>
        <v>4.3999999999999997E-2</v>
      </c>
      <c r="F166" cm="1">
        <f t="array" ref="F166">SUMPRODUCT(IF(LEFT($A$4:$A$108,3)=LEFT($A166,3),IF($B$4:$B$108=$B166,IF($C$3:$AZ$3=F$112,$C$4:$AZ$108))))</f>
        <v>1.1990000000000001</v>
      </c>
      <c r="G166" cm="1">
        <f t="array" ref="G166">SUMPRODUCT(IF(LEFT($A$4:$A$108,3)=LEFT($A166,3),IF($B$4:$B$108=$B166,IF($C$3:$AZ$3=G$112,$C$4:$AZ$108))))</f>
        <v>3.0000000000000001E-3</v>
      </c>
      <c r="H166" cm="1">
        <f t="array" ref="H166">SUMPRODUCT(IF(LEFT($A$4:$A$108,3)=LEFT($A166,3),IF($B$4:$B$108=$B166,IF($C$3:$AZ$3=H$112,$C$4:$AZ$108))))</f>
        <v>130.923</v>
      </c>
      <c r="I166" cm="1">
        <f t="array" ref="I166">SUMPRODUCT(IF(LEFT($A$4:$A$108,3)=LEFT($A166,3),IF($B$4:$B$108=$B166,IF($C$3:$AZ$3=I$112,$C$4:$AZ$108))))</f>
        <v>25.594000000000001</v>
      </c>
      <c r="J166" cm="1">
        <f t="array" ref="J166">SUMPRODUCT(IF(LEFT($A$4:$A$108,3)=LEFT($A166,3),IF($B$4:$B$108=$B166,IF($C$3:$AZ$3=J$112,$C$4:$AZ$108))))</f>
        <v>2.0030000000000001</v>
      </c>
      <c r="K166" cm="1">
        <f t="array" ref="K166">SUMPRODUCT(IF(LEFT($A$4:$A$108,3)=LEFT($A166,3),IF($B$4:$B$108=$B166,IF($C$3:$AZ$3=K$112,$C$4:$AZ$108))))</f>
        <v>7.9749999999999996</v>
      </c>
      <c r="L166" cm="1">
        <f t="array" ref="L166">SUMPRODUCT(IF(LEFT($A$4:$A$108,3)=LEFT($A166,3),IF($B$4:$B$108=$B166,IF($C$3:$AZ$3=L$112,$C$4:$AZ$108))))</f>
        <v>13.093999999999999</v>
      </c>
      <c r="M166" cm="1">
        <f t="array" ref="M166">SUMPRODUCT(IF(LEFT($A$4:$A$108,3)=LEFT($A166,3),IF($B$4:$B$108=$B166,IF($C$3:$AZ$3=M$112,$C$4:$AZ$108))))</f>
        <v>330.51900000000001</v>
      </c>
      <c r="N166" cm="1">
        <f t="array" ref="N166">SUMPRODUCT(IF(LEFT($A$4:$A$108,3)=LEFT($A166,3),IF($B$4:$B$108=$B166,IF($C$3:$AZ$3=N$112,$C$4:$AZ$108))))</f>
        <v>1675.7529999999999</v>
      </c>
      <c r="O166" cm="1">
        <f t="array" ref="O166">SUMPRODUCT(IF(LEFT($A$4:$A$108,3)=LEFT($A166,3),IF($B$4:$B$108=$B166,IF($C$3:$AZ$3=O$112,$C$4:$AZ$108))))</f>
        <v>49.904000000000003</v>
      </c>
      <c r="P166" s="4" cm="1">
        <f t="array" ref="P166">SUMPRODUCT(IF(LEFT($A$4:$A$108,3)=LEFT($A166,3),IF($B$4:$B$108=$B166,IF($C$3:$AZ$3=P$112,$C$4:$AZ$108))))*'Cement and Glass Split'!O59</f>
        <v>0</v>
      </c>
      <c r="Q166" s="4" cm="1">
        <f t="array" ref="Q166">SUMPRODUCT(IF(LEFT($A$4:$A$108,3)=LEFT($A166,3),IF($B$4:$B$108=$B166,IF($C$3:$AZ$3=P$112,$C$4:$AZ$108))))*'Cement and Glass Split'!P59</f>
        <v>0</v>
      </c>
      <c r="R166" cm="1">
        <f t="array" ref="R166">SUMPRODUCT(IF(LEFT($A$4:$A$108,3)=LEFT($A166,3),IF($B$4:$B$108=$B166,IF($C$3:$AZ$3=R$112,$C$4:$AZ$108))))</f>
        <v>12.188000000000001</v>
      </c>
      <c r="S166" cm="1">
        <f t="array" ref="S166">SUMPRODUCT(IF(LEFT($A$4:$A$108,3)=LEFT($A166,3),IF($B$4:$B$108=$B166,IF($C$3:$AZ$3=S$112,$C$4:$AZ$108))))</f>
        <v>6.7110000000000003</v>
      </c>
      <c r="T166" cm="1">
        <f t="array" ref="T166">SUMPRODUCT(IF(LEFT($A$4:$A$108,3)=LEFT($A166,3),IF($B$4:$B$108=$B166,IF($C$3:$AZ$3=T$112,$C$4:$AZ$108))))</f>
        <v>8.2230000000000008</v>
      </c>
      <c r="U166" cm="1">
        <f t="array" ref="U166">SUMPRODUCT(IF(LEFT($A$4:$A$108,3)=LEFT($A166,3),IF($B$4:$B$108=$B166,IF($C$3:$AZ$3=U$112,$C$4:$AZ$108))))</f>
        <v>36.533999999999999</v>
      </c>
      <c r="V166" cm="1">
        <f t="array" ref="V166">SUMPRODUCT(IF(LEFT($A$4:$A$108,3)=LEFT($A166,3),IF($B$4:$B$108=$B166,IF($C$3:$AZ$3=V$112,$C$4:$AZ$108))))</f>
        <v>11.188000000000001</v>
      </c>
      <c r="W166" cm="1">
        <f t="array" ref="W166">SUMPRODUCT(IF(LEFT($A$4:$A$108,3)=LEFT($A166,3),IF($B$4:$B$108=$B166,IF($C$3:$AZ$3=W$112,$C$4:$AZ$108))))</f>
        <v>31.614000000000001</v>
      </c>
      <c r="X166" cm="1">
        <f t="array" ref="X166">SUMPRODUCT(IF(LEFT($A$4:$A$108,3)=LEFT($A166,3),IF($B$4:$B$108=$B166,IF($C$3:$AZ$3=X$112,$C$4:$AZ$108))))</f>
        <v>18.09</v>
      </c>
      <c r="Y166" cm="1">
        <f t="array" ref="Y166">SUMPRODUCT(IF(LEFT($A$4:$A$108,3)=LEFT($A166,3),IF($B$4:$B$108=$B166,IF($C$3:$AZ$3=Y$112,$C$4:$AZ$108))))</f>
        <v>5.6360000000000001</v>
      </c>
      <c r="Z166" cm="1">
        <f t="array" ref="Z166">SUMPRODUCT(IF(LEFT($A$4:$A$108,3)=LEFT($A166,3),IF($B$4:$B$108=$B166,IF($C$3:$AZ$3=Z$112,$C$4:$AZ$108))))</f>
        <v>20.53</v>
      </c>
      <c r="AA166" cm="1">
        <f t="array" ref="AA166">SUMPRODUCT(IF(LEFT($A$4:$A$108,3)=LEFT($A166,3),IF($B$4:$B$108=$B166,IF($C$3:$AZ$3=AA$112,$C$4:$AZ$108))))</f>
        <v>14.08</v>
      </c>
      <c r="AB166" cm="1">
        <f t="array" ref="AB166">SUMPRODUCT(IF(LEFT($A$4:$A$108,3)=LEFT($A166,3),IF($B$4:$B$108=$B166,IF($C$3:$AZ$3=AB$112,$C$4:$AZ$108))))</f>
        <v>2.601</v>
      </c>
      <c r="AC166" cm="1">
        <f t="array" ref="AC166">SUMPRODUCT(IF(LEFT($A$4:$A$108,3)=LEFT($A166,3),IF($B$4:$B$108=$B166,IF($C$3:$AZ$3=AC$112,$C$4:$AZ$108))))</f>
        <v>13.105</v>
      </c>
      <c r="AD166" cm="1">
        <f t="array" ref="AD166">SUMPRODUCT(IF(LEFT($A$4:$A$108,3)=LEFT($A166,3),IF($B$4:$B$108=$B166,IF($C$3:$AZ$3=AD$112,$C$4:$AZ$108))))</f>
        <v>19.8</v>
      </c>
      <c r="AE166" cm="1">
        <f t="array" ref="AE166">SUMPRODUCT(IF(LEFT($A$4:$A$108,3)=LEFT($A166,3),IF($B$4:$B$108=$B166,IF($C$3:$AZ$3=AE$112,$C$4:$AZ$108))))</f>
        <v>55.56</v>
      </c>
      <c r="AF166" cm="1">
        <f t="array" ref="AF166">SUMPRODUCT(IF(LEFT($A$4:$A$108,3)=LEFT($A166,3),IF($B$4:$B$108=$B166,IF($C$3:$AZ$3=AF$112,$C$4:$AZ$108))))</f>
        <v>14.283000000000001</v>
      </c>
      <c r="AG166" cm="1">
        <f t="array" ref="AG166">SUMPRODUCT(IF(LEFT($A$4:$A$108,3)=LEFT($A166,3),IF($B$4:$B$108=$B166,IF($C$3:$AZ$3=AG$112,$C$4:$AZ$108))))</f>
        <v>16.57</v>
      </c>
      <c r="AH166" cm="1">
        <f t="array" ref="AH166">SUMPRODUCT(IF(LEFT($A$4:$A$108,3)=LEFT($A166,3),IF($B$4:$B$108=$B166,IF($C$3:$AZ$3=AH$112,$C$4:$AZ$108))))</f>
        <v>5.2889999999999997</v>
      </c>
      <c r="AI166" cm="1">
        <f t="array" ref="AI166">SUMPRODUCT(IF(LEFT($A$4:$A$108,3)=LEFT($A166,3),IF($B$4:$B$108=$B166,IF($C$3:$AZ$3=AI$112,$C$4:$AZ$108))))</f>
        <v>2.5609999999999999</v>
      </c>
      <c r="AJ166" cm="1">
        <f t="array" ref="AJ166">SUMPRODUCT(IF(LEFT($A$4:$A$108,3)=LEFT($A166,3),IF($B$4:$B$108=$B166,IF($C$3:$AZ$3=AJ$112,$C$4:$AZ$108))))</f>
        <v>2.8050000000000002</v>
      </c>
      <c r="AK166" cm="1">
        <f t="array" ref="AK166">SUMPRODUCT(IF(LEFT($A$4:$A$108,3)=LEFT($A166,3),IF($B$4:$B$108=$B166,IF($C$3:$AZ$3=AK$112,$C$4:$AZ$108))))</f>
        <v>4.7990000000000004</v>
      </c>
      <c r="AL166" cm="1">
        <f t="array" ref="AL166">SUMPRODUCT(IF(LEFT($A$4:$A$108,3)=LEFT($A166,3),IF($B$4:$B$108=$B166,IF($C$3:$AZ$3=AL$112,$C$4:$AZ$108))))</f>
        <v>6.78</v>
      </c>
      <c r="AM166" cm="1">
        <f t="array" ref="AM166">SUMPRODUCT(IF(LEFT($A$4:$A$108,3)=LEFT($A166,3),IF($B$4:$B$108=$B166,IF($C$3:$AZ$3=AM$112,$C$4:$AZ$108))))</f>
        <v>218.833</v>
      </c>
      <c r="AN166" cm="1">
        <f t="array" ref="AN166">SUMPRODUCT(IF(LEFT($A$4:$A$108,3)=LEFT($A166,3),IF($B$4:$B$108=$B166,IF($C$3:$AZ$3=AN$112,$C$4:$AZ$108))))</f>
        <v>149.471</v>
      </c>
      <c r="AO166" cm="1">
        <f t="array" ref="AO166">SUMPRODUCT(IF(LEFT($A$4:$A$108,3)=LEFT($A166,3),IF($B$4:$B$108=$B166,IF($C$3:$AZ$3=AO$112,$C$4:$AZ$108))))</f>
        <v>59.947000000000003</v>
      </c>
      <c r="AP166" cm="1">
        <f t="array" ref="AP166">SUMPRODUCT(IF(LEFT($A$4:$A$108,3)=LEFT($A166,3),IF($B$4:$B$108=$B166,IF($C$3:$AZ$3=AP$112,$C$4:$AZ$108))))</f>
        <v>4009.279</v>
      </c>
      <c r="AQ166" cm="1">
        <f t="array" ref="AQ166">SUMPRODUCT(IF(LEFT($A$4:$A$108,3)=LEFT($A166,3),IF($B$4:$B$108=$B166,IF($C$3:$AZ$3=AQ$112,$C$4:$AZ$108))))</f>
        <v>63.371000000000002</v>
      </c>
      <c r="AR166" cm="1">
        <f t="array" ref="AR166">SUMPRODUCT(IF(LEFT($A$4:$A$108,3)=LEFT($A166,3),IF($B$4:$B$108=$B166,IF($C$3:$AZ$3=AR$112,$C$4:$AZ$108))))</f>
        <v>0</v>
      </c>
      <c r="AS166">
        <v>0</v>
      </c>
    </row>
    <row r="167" spans="1:45">
      <c r="A167" t="s">
        <v>385</v>
      </c>
      <c r="B167" t="s">
        <v>12</v>
      </c>
      <c r="C167" cm="1">
        <f t="array" ref="C167">SUMPRODUCT(IF(LEFT($A$4:$A$108,3)=LEFT($A167,3),IF($B$4:$B$108=$B167,IF($C$3:$AZ$3=C$112,$C$4:$AZ$108))))</f>
        <v>58.326999999999998</v>
      </c>
      <c r="D167" cm="1">
        <f t="array" ref="D167">SUMPRODUCT(IF(LEFT($A$4:$A$108,3)=LEFT($A167,3),IF($B$4:$B$108=$B167,IF($C$3:$AZ$3=D$112,$C$4:$AZ$108))))</f>
        <v>0.371</v>
      </c>
      <c r="E167" cm="1">
        <f t="array" ref="E167">SUMPRODUCT(IF(LEFT($A$4:$A$108,3)=LEFT($A167,3),IF($B$4:$B$108=$B167,IF($C$3:$AZ$3=E$112,$C$4:$AZ$108))))</f>
        <v>0.11600000000000001</v>
      </c>
      <c r="F167" cm="1">
        <f t="array" ref="F167">SUMPRODUCT(IF(LEFT($A$4:$A$108,3)=LEFT($A167,3),IF($B$4:$B$108=$B167,IF($C$3:$AZ$3=F$112,$C$4:$AZ$108))))</f>
        <v>4.1379999999999999</v>
      </c>
      <c r="G167" cm="1">
        <f t="array" ref="G167">SUMPRODUCT(IF(LEFT($A$4:$A$108,3)=LEFT($A167,3),IF($B$4:$B$108=$B167,IF($C$3:$AZ$3=G$112,$C$4:$AZ$108))))</f>
        <v>1.0999999999999999E-2</v>
      </c>
      <c r="H167" cm="1">
        <f t="array" ref="H167">SUMPRODUCT(IF(LEFT($A$4:$A$108,3)=LEFT($A167,3),IF($B$4:$B$108=$B167,IF($C$3:$AZ$3=H$112,$C$4:$AZ$108))))</f>
        <v>618.21299999999997</v>
      </c>
      <c r="I167" cm="1">
        <f t="array" ref="I167">SUMPRODUCT(IF(LEFT($A$4:$A$108,3)=LEFT($A167,3),IF($B$4:$B$108=$B167,IF($C$3:$AZ$3=I$112,$C$4:$AZ$108))))</f>
        <v>181.49700000000001</v>
      </c>
      <c r="J167" cm="1">
        <f t="array" ref="J167">SUMPRODUCT(IF(LEFT($A$4:$A$108,3)=LEFT($A167,3),IF($B$4:$B$108=$B167,IF($C$3:$AZ$3=J$112,$C$4:$AZ$108))))</f>
        <v>21.04</v>
      </c>
      <c r="K167" cm="1">
        <f t="array" ref="K167">SUMPRODUCT(IF(LEFT($A$4:$A$108,3)=LEFT($A167,3),IF($B$4:$B$108=$B167,IF($C$3:$AZ$3=K$112,$C$4:$AZ$108))))</f>
        <v>131.989</v>
      </c>
      <c r="L167" cm="1">
        <f t="array" ref="L167">SUMPRODUCT(IF(LEFT($A$4:$A$108,3)=LEFT($A167,3),IF($B$4:$B$108=$B167,IF($C$3:$AZ$3=L$112,$C$4:$AZ$108))))</f>
        <v>21.852</v>
      </c>
      <c r="M167" cm="1">
        <f t="array" ref="M167">SUMPRODUCT(IF(LEFT($A$4:$A$108,3)=LEFT($A167,3),IF($B$4:$B$108=$B167,IF($C$3:$AZ$3=M$112,$C$4:$AZ$108))))</f>
        <v>508.46699999999998</v>
      </c>
      <c r="N167" cm="1">
        <f t="array" ref="N167">SUMPRODUCT(IF(LEFT($A$4:$A$108,3)=LEFT($A167,3),IF($B$4:$B$108=$B167,IF($C$3:$AZ$3=N$112,$C$4:$AZ$108))))</f>
        <v>83.296999999999997</v>
      </c>
      <c r="O167" cm="1">
        <f t="array" ref="O167">SUMPRODUCT(IF(LEFT($A$4:$A$108,3)=LEFT($A167,3),IF($B$4:$B$108=$B167,IF($C$3:$AZ$3=O$112,$C$4:$AZ$108))))</f>
        <v>1336.432</v>
      </c>
      <c r="P167" s="4" cm="1">
        <f t="array" ref="P167">SUMPRODUCT(IF(LEFT($A$4:$A$108,3)=LEFT($A167,3),IF($B$4:$B$108=$B167,IF($C$3:$AZ$3=P$112,$C$4:$AZ$108))))*'Cement and Glass Split'!O60</f>
        <v>40.479893173694329</v>
      </c>
      <c r="Q167" s="4" cm="1">
        <f t="array" ref="Q167">SUMPRODUCT(IF(LEFT($A$4:$A$108,3)=LEFT($A167,3),IF($B$4:$B$108=$B167,IF($C$3:$AZ$3=P$112,$C$4:$AZ$108))))*'Cement and Glass Split'!P60</f>
        <v>30.628106826305675</v>
      </c>
      <c r="R167" cm="1">
        <f t="array" ref="R167">SUMPRODUCT(IF(LEFT($A$4:$A$108,3)=LEFT($A167,3),IF($B$4:$B$108=$B167,IF($C$3:$AZ$3=R$112,$C$4:$AZ$108))))</f>
        <v>37.186999999999998</v>
      </c>
      <c r="S167" cm="1">
        <f t="array" ref="S167">SUMPRODUCT(IF(LEFT($A$4:$A$108,3)=LEFT($A167,3),IF($B$4:$B$108=$B167,IF($C$3:$AZ$3=S$112,$C$4:$AZ$108))))</f>
        <v>40.183999999999997</v>
      </c>
      <c r="T167" cm="1">
        <f t="array" ref="T167">SUMPRODUCT(IF(LEFT($A$4:$A$108,3)=LEFT($A167,3),IF($B$4:$B$108=$B167,IF($C$3:$AZ$3=T$112,$C$4:$AZ$108))))</f>
        <v>192.22399999999999</v>
      </c>
      <c r="U167" cm="1">
        <f t="array" ref="U167">SUMPRODUCT(IF(LEFT($A$4:$A$108,3)=LEFT($A167,3),IF($B$4:$B$108=$B167,IF($C$3:$AZ$3=U$112,$C$4:$AZ$108))))</f>
        <v>576.53099999999995</v>
      </c>
      <c r="V167" cm="1">
        <f t="array" ref="V167">SUMPRODUCT(IF(LEFT($A$4:$A$108,3)=LEFT($A167,3),IF($B$4:$B$108=$B167,IF($C$3:$AZ$3=V$112,$C$4:$AZ$108))))</f>
        <v>471.59300000000002</v>
      </c>
      <c r="W167" cm="1">
        <f t="array" ref="W167">SUMPRODUCT(IF(LEFT($A$4:$A$108,3)=LEFT($A167,3),IF($B$4:$B$108=$B167,IF($C$3:$AZ$3=W$112,$C$4:$AZ$108))))</f>
        <v>434.22500000000002</v>
      </c>
      <c r="X167" cm="1">
        <f t="array" ref="X167">SUMPRODUCT(IF(LEFT($A$4:$A$108,3)=LEFT($A167,3),IF($B$4:$B$108=$B167,IF($C$3:$AZ$3=X$112,$C$4:$AZ$108))))</f>
        <v>1270.4269999999999</v>
      </c>
      <c r="Y167" cm="1">
        <f t="array" ref="Y167">SUMPRODUCT(IF(LEFT($A$4:$A$108,3)=LEFT($A167,3),IF($B$4:$B$108=$B167,IF($C$3:$AZ$3=Y$112,$C$4:$AZ$108))))</f>
        <v>106.434</v>
      </c>
      <c r="Z167" cm="1">
        <f t="array" ref="Z167">SUMPRODUCT(IF(LEFT($A$4:$A$108,3)=LEFT($A167,3),IF($B$4:$B$108=$B167,IF($C$3:$AZ$3=Z$112,$C$4:$AZ$108))))</f>
        <v>153.464</v>
      </c>
      <c r="AA167" cm="1">
        <f t="array" ref="AA167">SUMPRODUCT(IF(LEFT($A$4:$A$108,3)=LEFT($A167,3),IF($B$4:$B$108=$B167,IF($C$3:$AZ$3=AA$112,$C$4:$AZ$108))))</f>
        <v>20.166</v>
      </c>
      <c r="AB167" cm="1">
        <f t="array" ref="AB167">SUMPRODUCT(IF(LEFT($A$4:$A$108,3)=LEFT($A167,3),IF($B$4:$B$108=$B167,IF($C$3:$AZ$3=AB$112,$C$4:$AZ$108))))</f>
        <v>32.384999999999998</v>
      </c>
      <c r="AC167" cm="1">
        <f t="array" ref="AC167">SUMPRODUCT(IF(LEFT($A$4:$A$108,3)=LEFT($A167,3),IF($B$4:$B$108=$B167,IF($C$3:$AZ$3=AC$112,$C$4:$AZ$108))))</f>
        <v>33.439</v>
      </c>
      <c r="AD167" cm="1">
        <f t="array" ref="AD167">SUMPRODUCT(IF(LEFT($A$4:$A$108,3)=LEFT($A167,3),IF($B$4:$B$108=$B167,IF($C$3:$AZ$3=AD$112,$C$4:$AZ$108))))</f>
        <v>730.52499999999998</v>
      </c>
      <c r="AE167" cm="1">
        <f t="array" ref="AE167">SUMPRODUCT(IF(LEFT($A$4:$A$108,3)=LEFT($A167,3),IF($B$4:$B$108=$B167,IF($C$3:$AZ$3=AE$112,$C$4:$AZ$108))))</f>
        <v>508.22199999999998</v>
      </c>
      <c r="AF167" cm="1">
        <f t="array" ref="AF167">SUMPRODUCT(IF(LEFT($A$4:$A$108,3)=LEFT($A167,3),IF($B$4:$B$108=$B167,IF($C$3:$AZ$3=AF$112,$C$4:$AZ$108))))</f>
        <v>56.452999999999996</v>
      </c>
      <c r="AG167" cm="1">
        <f t="array" ref="AG167">SUMPRODUCT(IF(LEFT($A$4:$A$108,3)=LEFT($A167,3),IF($B$4:$B$108=$B167,IF($C$3:$AZ$3=AG$112,$C$4:$AZ$108))))</f>
        <v>88.35</v>
      </c>
      <c r="AH167" cm="1">
        <f t="array" ref="AH167">SUMPRODUCT(IF(LEFT($A$4:$A$108,3)=LEFT($A167,3),IF($B$4:$B$108=$B167,IF($C$3:$AZ$3=AH$112,$C$4:$AZ$108))))</f>
        <v>18.507999999999999</v>
      </c>
      <c r="AI167" cm="1">
        <f t="array" ref="AI167">SUMPRODUCT(IF(LEFT($A$4:$A$108,3)=LEFT($A167,3),IF($B$4:$B$108=$B167,IF($C$3:$AZ$3=AI$112,$C$4:$AZ$108))))</f>
        <v>10.284000000000001</v>
      </c>
      <c r="AJ167" cm="1">
        <f t="array" ref="AJ167">SUMPRODUCT(IF(LEFT($A$4:$A$108,3)=LEFT($A167,3),IF($B$4:$B$108=$B167,IF($C$3:$AZ$3=AJ$112,$C$4:$AZ$108))))</f>
        <v>6.4489999999999998</v>
      </c>
      <c r="AK167" cm="1">
        <f t="array" ref="AK167">SUMPRODUCT(IF(LEFT($A$4:$A$108,3)=LEFT($A167,3),IF($B$4:$B$108=$B167,IF($C$3:$AZ$3=AK$112,$C$4:$AZ$108))))</f>
        <v>14.173</v>
      </c>
      <c r="AL167" cm="1">
        <f t="array" ref="AL167">SUMPRODUCT(IF(LEFT($A$4:$A$108,3)=LEFT($A167,3),IF($B$4:$B$108=$B167,IF($C$3:$AZ$3=AL$112,$C$4:$AZ$108))))</f>
        <v>103.742</v>
      </c>
      <c r="AM167" cm="1">
        <f t="array" ref="AM167">SUMPRODUCT(IF(LEFT($A$4:$A$108,3)=LEFT($A167,3),IF($B$4:$B$108=$B167,IF($C$3:$AZ$3=AM$112,$C$4:$AZ$108))))</f>
        <v>123.009</v>
      </c>
      <c r="AN167" cm="1">
        <f t="array" ref="AN167">SUMPRODUCT(IF(LEFT($A$4:$A$108,3)=LEFT($A167,3),IF($B$4:$B$108=$B167,IF($C$3:$AZ$3=AN$112,$C$4:$AZ$108))))</f>
        <v>24.9</v>
      </c>
      <c r="AO167" cm="1">
        <f t="array" ref="AO167">SUMPRODUCT(IF(LEFT($A$4:$A$108,3)=LEFT($A167,3),IF($B$4:$B$108=$B167,IF($C$3:$AZ$3=AO$112,$C$4:$AZ$108))))</f>
        <v>33.762999999999998</v>
      </c>
      <c r="AP167" cm="1">
        <f t="array" ref="AP167">SUMPRODUCT(IF(LEFT($A$4:$A$108,3)=LEFT($A167,3),IF($B$4:$B$108=$B167,IF($C$3:$AZ$3=AP$112,$C$4:$AZ$108))))</f>
        <v>61.540999999999997</v>
      </c>
      <c r="AQ167" cm="1">
        <f t="array" ref="AQ167">SUMPRODUCT(IF(LEFT($A$4:$A$108,3)=LEFT($A167,3),IF($B$4:$B$108=$B167,IF($C$3:$AZ$3=AQ$112,$C$4:$AZ$108))))</f>
        <v>76.477999999999994</v>
      </c>
      <c r="AR167" cm="1">
        <f t="array" ref="AR167">SUMPRODUCT(IF(LEFT($A$4:$A$108,3)=LEFT($A167,3),IF($B$4:$B$108=$B167,IF($C$3:$AZ$3=AR$112,$C$4:$AZ$108))))</f>
        <v>0</v>
      </c>
      <c r="AS167">
        <v>0</v>
      </c>
    </row>
    <row r="168" spans="1:45">
      <c r="A168" t="s">
        <v>385</v>
      </c>
      <c r="B168" t="s">
        <v>132</v>
      </c>
      <c r="C168" s="4" cm="1">
        <f t="array" ref="C168">SUMPRODUCT(IF(LEFT($A$4:$A$108,3)=LEFT($A168,3),IF($B$4:$B$108=$B168,IF($C$3:$AZ$3=C$112,$C$4:$AZ$108))))*'Cement and Glass Split'!B61</f>
        <v>15.219411307062403</v>
      </c>
      <c r="D168" s="4" cm="1">
        <f t="array" ref="D168">SUMPRODUCT(IF(LEFT($A$4:$A$108,3)=LEFT($A168,3),IF($B$4:$B$108=$B168,IF($C$3:$AZ$3=D$112,$C$4:$AZ$108))))*'Cement and Glass Split'!C61</f>
        <v>1.4626094521838934E-2</v>
      </c>
      <c r="E168" s="4" cm="1">
        <f t="array" ref="E168">SUMPRODUCT(IF(LEFT($A$4:$A$108,3)=LEFT($A168,3),IF($B$4:$B$108=$B168,IF($C$3:$AZ$3=E$112,$C$4:$AZ$108))))*'Cement and Glass Split'!D61</f>
        <v>3.4029495033924967E-5</v>
      </c>
      <c r="F168" s="4" cm="1">
        <f t="array" ref="F168">SUMPRODUCT(IF(LEFT($A$4:$A$108,3)=LEFT($A168,3),IF($B$4:$B$108=$B168,IF($C$3:$AZ$3=F$112,$C$4:$AZ$108))))*'Cement and Glass Split'!E61</f>
        <v>2.473885908519978</v>
      </c>
      <c r="G168" s="4" cm="1">
        <f t="array" ref="G168">SUMPRODUCT(IF(LEFT($A$4:$A$108,3)=LEFT($A168,3),IF($B$4:$B$108=$B168,IF($C$3:$AZ$3=G$112,$C$4:$AZ$108))))*'Cement and Glass Split'!F61</f>
        <v>0</v>
      </c>
      <c r="H168" s="4" cm="1">
        <f t="array" ref="H168">SUMPRODUCT(IF(LEFT($A$4:$A$108,3)=LEFT($A168,3),IF($B$4:$B$108=$B168,IF($C$3:$AZ$3=H$112,$C$4:$AZ$108))))*'Cement and Glass Split'!G61</f>
        <v>136.75341251544936</v>
      </c>
      <c r="I168" s="4" cm="1">
        <f t="array" ref="I168">SUMPRODUCT(IF(LEFT($A$4:$A$108,3)=LEFT($A168,3),IF($B$4:$B$108=$B168,IF($C$3:$AZ$3=I$112,$C$4:$AZ$108))))*'Cement and Glass Split'!H61</f>
        <v>9.5724979634593321</v>
      </c>
      <c r="J168" s="4" cm="1">
        <f t="array" ref="J168">SUMPRODUCT(IF(LEFT($A$4:$A$108,3)=LEFT($A168,3),IF($B$4:$B$108=$B168,IF($C$3:$AZ$3=J$112,$C$4:$AZ$108))))*'Cement and Glass Split'!I61</f>
        <v>2.2324521887365396</v>
      </c>
      <c r="K168" s="4" cm="1">
        <f t="array" ref="K168">SUMPRODUCT(IF(LEFT($A$4:$A$108,3)=LEFT($A168,3),IF($B$4:$B$108=$B168,IF($C$3:$AZ$3=K$112,$C$4:$AZ$108))))*'Cement and Glass Split'!J61</f>
        <v>1.7287855892191051E-2</v>
      </c>
      <c r="L168" s="4" cm="1">
        <f t="array" ref="L168">SUMPRODUCT(IF(LEFT($A$4:$A$108,3)=LEFT($A168,3),IF($B$4:$B$108=$B168,IF($C$3:$AZ$3=L$112,$C$4:$AZ$108))))*'Cement and Glass Split'!K61</f>
        <v>1.5270500516339807</v>
      </c>
      <c r="M168" s="4" cm="1">
        <f t="array" ref="M168">SUMPRODUCT(IF(LEFT($A$4:$A$108,3)=LEFT($A168,3),IF($B$4:$B$108=$B168,IF($C$3:$AZ$3=M$112,$C$4:$AZ$108))))*'Cement and Glass Split'!L61</f>
        <v>89.939553612459136</v>
      </c>
      <c r="N168" s="4" cm="1">
        <f t="array" ref="N168">SUMPRODUCT(IF(LEFT($A$4:$A$108,3)=LEFT($A168,3),IF($B$4:$B$108=$B168,IF($C$3:$AZ$3=N$112,$C$4:$AZ$108))))*'Cement and Glass Split'!M61</f>
        <v>0</v>
      </c>
      <c r="O168" s="4" cm="1">
        <f t="array" ref="O168">SUMPRODUCT(IF(LEFT($A$4:$A$108,3)=LEFT($A168,3),IF($B$4:$B$108=$B168,IF($C$3:$AZ$3=O$112,$C$4:$AZ$108))))*'Cement and Glass Split'!N61</f>
        <v>68.922057687486998</v>
      </c>
      <c r="P168" s="4" cm="1">
        <f t="array" ref="P168">SUMPRODUCT(IF(LEFT($A$4:$A$108,3)=LEFT($A168,3),IF($B$4:$B$108=$B168,IF($C$3:$AZ$3=P$112,$C$4:$AZ$108))))*'Cement and Glass Split'!O61</f>
        <v>145.84654650384755</v>
      </c>
      <c r="Q168" s="4" cm="1">
        <f t="array" ref="Q168">SUMPRODUCT(IF(LEFT($A$4:$A$108,3)=LEFT($A168,3),IF($B$4:$B$108=$B168,IF($C$3:$AZ$3=P$112,$C$4:$AZ$108))))*'Cement and Glass Split'!P61</f>
        <v>1.0809987905513443</v>
      </c>
      <c r="R168" s="4" cm="1">
        <f t="array" ref="R168">SUMPRODUCT(IF(LEFT($A$4:$A$108,3)=LEFT($A168,3),IF($B$4:$B$108=$B168,IF($C$3:$AZ$3=R$112,$C$4:$AZ$108))))*'Cement and Glass Split'!Q61</f>
        <v>0.25896237875758893</v>
      </c>
      <c r="S168" s="4" cm="1">
        <f t="array" ref="S168">SUMPRODUCT(IF(LEFT($A$4:$A$108,3)=LEFT($A168,3),IF($B$4:$B$108=$B168,IF($C$3:$AZ$3=S$112,$C$4:$AZ$108))))*'Cement and Glass Split'!R61</f>
        <v>0.73333481661953093</v>
      </c>
      <c r="T168" s="4" cm="1">
        <f t="array" ref="T168">SUMPRODUCT(IF(LEFT($A$4:$A$108,3)=LEFT($A168,3),IF($B$4:$B$108=$B168,IF($C$3:$AZ$3=T$112,$C$4:$AZ$108))))*'Cement and Glass Split'!S61</f>
        <v>16.487867857775431</v>
      </c>
      <c r="U168" s="4" cm="1">
        <f t="array" ref="U168">SUMPRODUCT(IF(LEFT($A$4:$A$108,3)=LEFT($A168,3),IF($B$4:$B$108=$B168,IF($C$3:$AZ$3=U$112,$C$4:$AZ$108))))*'Cement and Glass Split'!T61</f>
        <v>194.08324379747543</v>
      </c>
      <c r="V168" s="4" cm="1">
        <f t="array" ref="V168">SUMPRODUCT(IF(LEFT($A$4:$A$108,3)=LEFT($A168,3),IF($B$4:$B$108=$B168,IF($C$3:$AZ$3=V$112,$C$4:$AZ$108))))*'Cement and Glass Split'!U61</f>
        <v>63.503898816145863</v>
      </c>
      <c r="W168" s="4" cm="1">
        <f t="array" ref="W168">SUMPRODUCT(IF(LEFT($A$4:$A$108,3)=LEFT($A168,3),IF($B$4:$B$108=$B168,IF($C$3:$AZ$3=W$112,$C$4:$AZ$108))))*'Cement and Glass Split'!V61</f>
        <v>27.226841097152676</v>
      </c>
      <c r="X168" s="4" cm="1">
        <f t="array" ref="X168">SUMPRODUCT(IF(LEFT($A$4:$A$108,3)=LEFT($A168,3),IF($B$4:$B$108=$B168,IF($C$3:$AZ$3=X$112,$C$4:$AZ$108))))*'Cement and Glass Split'!W61</f>
        <v>164.74653840193884</v>
      </c>
      <c r="Y168" s="4" cm="1">
        <f t="array" ref="Y168">SUMPRODUCT(IF(LEFT($A$4:$A$108,3)=LEFT($A168,3),IF($B$4:$B$108=$B168,IF($C$3:$AZ$3=Y$112,$C$4:$AZ$108))))*'Cement and Glass Split'!X61</f>
        <v>18.963489253313739</v>
      </c>
      <c r="Z168" s="4" cm="1">
        <f t="array" ref="Z168">SUMPRODUCT(IF(LEFT($A$4:$A$108,3)=LEFT($A168,3),IF($B$4:$B$108=$B168,IF($C$3:$AZ$3=Z$112,$C$4:$AZ$108))))*'Cement and Glass Split'!Y61</f>
        <v>22.682786938108997</v>
      </c>
      <c r="AA168" s="4" cm="1">
        <f t="array" ref="AA168">SUMPRODUCT(IF(LEFT($A$4:$A$108,3)=LEFT($A168,3),IF($B$4:$B$108=$B168,IF($C$3:$AZ$3=AA$112,$C$4:$AZ$108))))*'Cement and Glass Split'!Z61</f>
        <v>1.1269918844140252</v>
      </c>
      <c r="AB168" s="4" cm="1">
        <f t="array" ref="AB168">SUMPRODUCT(IF(LEFT($A$4:$A$108,3)=LEFT($A168,3),IF($B$4:$B$108=$B168,IF($C$3:$AZ$3=AB$112,$C$4:$AZ$108))))*'Cement and Glass Split'!AA61</f>
        <v>7.7040789417731168E-2</v>
      </c>
      <c r="AC168" s="4" cm="1">
        <f t="array" ref="AC168">SUMPRODUCT(IF(LEFT($A$4:$A$108,3)=LEFT($A168,3),IF($B$4:$B$108=$B168,IF($C$3:$AZ$3=AC$112,$C$4:$AZ$108))))*'Cement and Glass Split'!AB61</f>
        <v>2.0759318955056152</v>
      </c>
      <c r="AD168" s="4" cm="1">
        <f t="array" ref="AD168">SUMPRODUCT(IF(LEFT($A$4:$A$108,3)=LEFT($A168,3),IF($B$4:$B$108=$B168,IF($C$3:$AZ$3=AD$112,$C$4:$AZ$108))))*'Cement and Glass Split'!AC61</f>
        <v>91.139032233835337</v>
      </c>
      <c r="AE168" s="4" cm="1">
        <f t="array" ref="AE168">SUMPRODUCT(IF(LEFT($A$4:$A$108,3)=LEFT($A168,3),IF($B$4:$B$108=$B168,IF($C$3:$AZ$3=AE$112,$C$4:$AZ$108))))*'Cement and Glass Split'!AD61</f>
        <v>29.139391398333487</v>
      </c>
      <c r="AF168" s="4" cm="1">
        <f t="array" ref="AF168">SUMPRODUCT(IF(LEFT($A$4:$A$108,3)=LEFT($A168,3),IF($B$4:$B$108=$B168,IF($C$3:$AZ$3=AF$112,$C$4:$AZ$108))))*'Cement and Glass Split'!AE61</f>
        <v>7.6920521895051621</v>
      </c>
      <c r="AG168" s="4" cm="1">
        <f t="array" ref="AG168">SUMPRODUCT(IF(LEFT($A$4:$A$108,3)=LEFT($A168,3),IF($B$4:$B$108=$B168,IF($C$3:$AZ$3=AG$112,$C$4:$AZ$108))))*'Cement and Glass Split'!AF61</f>
        <v>20.429358519272832</v>
      </c>
      <c r="AH168" s="4" cm="1">
        <f t="array" ref="AH168">SUMPRODUCT(IF(LEFT($A$4:$A$108,3)=LEFT($A168,3),IF($B$4:$B$108=$B168,IF($C$3:$AZ$3=AH$112,$C$4:$AZ$108))))*'Cement and Glass Split'!AG61</f>
        <v>0</v>
      </c>
      <c r="AI168" s="4" cm="1">
        <f t="array" ref="AI168">SUMPRODUCT(IF(LEFT($A$4:$A$108,3)=LEFT($A168,3),IF($B$4:$B$108=$B168,IF($C$3:$AZ$3=AI$112,$C$4:$AZ$108))))*'Cement and Glass Split'!AH61</f>
        <v>2.3650000000000002</v>
      </c>
      <c r="AJ168" s="4" cm="1">
        <f t="array" ref="AJ168">SUMPRODUCT(IF(LEFT($A$4:$A$108,3)=LEFT($A168,3),IF($B$4:$B$108=$B168,IF($C$3:$AZ$3=AJ$112,$C$4:$AZ$108))))*'Cement and Glass Split'!AI61</f>
        <v>0.85171175388881881</v>
      </c>
      <c r="AK168" s="4" cm="1">
        <f t="array" ref="AK168">SUMPRODUCT(IF(LEFT($A$4:$A$108,3)=LEFT($A168,3),IF($B$4:$B$108=$B168,IF($C$3:$AZ$3=AK$112,$C$4:$AZ$108))))*'Cement and Glass Split'!AJ61</f>
        <v>4.7692754946871068</v>
      </c>
      <c r="AL168" s="4" cm="1">
        <f t="array" ref="AL168">SUMPRODUCT(IF(LEFT($A$4:$A$108,3)=LEFT($A168,3),IF($B$4:$B$108=$B168,IF($C$3:$AZ$3=AL$112,$C$4:$AZ$108))))*'Cement and Glass Split'!AK61</f>
        <v>259.29559931024056</v>
      </c>
      <c r="AM168" s="4" cm="1">
        <f t="array" ref="AM168">SUMPRODUCT(IF(LEFT($A$4:$A$108,3)=LEFT($A168,3),IF($B$4:$B$108=$B168,IF($C$3:$AZ$3=AM$112,$C$4:$AZ$108))))*'Cement and Glass Split'!AL61</f>
        <v>14.555045050648866</v>
      </c>
      <c r="AN168" s="4" cm="1">
        <f t="array" ref="AN168">SUMPRODUCT(IF(LEFT($A$4:$A$108,3)=LEFT($A168,3),IF($B$4:$B$108=$B168,IF($C$3:$AZ$3=AN$112,$C$4:$AZ$108))))*'Cement and Glass Split'!AM61</f>
        <v>0.56868301645951869</v>
      </c>
      <c r="AO168" s="4" cm="1">
        <f t="array" ref="AO168">SUMPRODUCT(IF(LEFT($A$4:$A$108,3)=LEFT($A168,3),IF($B$4:$B$108=$B168,IF($C$3:$AZ$3=AO$112,$C$4:$AZ$108))))*'Cement and Glass Split'!AN61</f>
        <v>25.447426845442102</v>
      </c>
      <c r="AP168" s="4" cm="1">
        <f t="array" ref="AP168">SUMPRODUCT(IF(LEFT($A$4:$A$108,3)=LEFT($A168,3),IF($B$4:$B$108=$B168,IF($C$3:$AZ$3=AP$112,$C$4:$AZ$108))))*'Cement and Glass Split'!AO61</f>
        <v>15.063020429956298</v>
      </c>
      <c r="AQ168" s="4" cm="1">
        <f t="array" ref="AQ168">SUMPRODUCT(IF(LEFT($A$4:$A$108,3)=LEFT($A168,3),IF($B$4:$B$108=$B168,IF($C$3:$AZ$3=AQ$112,$C$4:$AZ$108))))*'Cement and Glass Split'!AP61</f>
        <v>15.578028309512376</v>
      </c>
      <c r="AR168" s="4" cm="1">
        <f t="array" ref="AR168">SUMPRODUCT(IF(LEFT($A$4:$A$108,3)=LEFT($A168,3),IF($B$4:$B$108=$B168,IF($C$3:$AZ$3=AR$112,$C$4:$AZ$108))))*'Cement and Glass Split'!AQ61</f>
        <v>0</v>
      </c>
      <c r="AS168" s="4" cm="1">
        <f t="array" ref="AS168">SUMPRODUCT(IF(LEFT($A$4:$A$108,3)=LEFT($A168,3),IF($B$4:$B$108=$B168,IF($C$3:$AZ$3=AS$112,$C$4:$AZ$108))))*'Cement and Glass Split'!AR61</f>
        <v>0</v>
      </c>
    </row>
    <row r="169" spans="1:45">
      <c r="A169" t="s">
        <v>385</v>
      </c>
      <c r="B169" t="s">
        <v>133</v>
      </c>
      <c r="C169" s="4" cm="1">
        <f t="array" ref="C169">SUMPRODUCT(IF(LEFT($A$4:$A$108,3)=LEFT($A168,3),IF($B$4:$B$108=$B168,IF($C$3:$AZ$3=C$112,$C$4:$AZ$108))))*'Cement and Glass Split'!B62</f>
        <v>1.9255499735717192</v>
      </c>
      <c r="D169" s="4" cm="1">
        <f t="array" ref="D169">SUMPRODUCT(IF(LEFT($A$4:$A$108,3)=LEFT($A168,3),IF($B$4:$B$108=$B168,IF($C$3:$AZ$3=D$112,$C$4:$AZ$108))))*'Cement and Glass Split'!C62</f>
        <v>2.1649429607183356E-3</v>
      </c>
      <c r="E169" s="4" cm="1">
        <f t="array" ref="E169">SUMPRODUCT(IF(LEFT($A$4:$A$108,3)=LEFT($A168,3),IF($B$4:$B$108=$B168,IF($C$3:$AZ$3=E$112,$C$4:$AZ$108))))*'Cement and Glass Split'!D62</f>
        <v>1.5692139116191627E-2</v>
      </c>
      <c r="F169" s="4" cm="1">
        <f t="array" ref="F169">SUMPRODUCT(IF(LEFT($A$4:$A$108,3)=LEFT($A168,3),IF($B$4:$B$108=$B168,IF($C$3:$AZ$3=F$112,$C$4:$AZ$108))))*'Cement and Glass Split'!E62</f>
        <v>3.0609372983848027E-2</v>
      </c>
      <c r="G169" s="4" cm="1">
        <f t="array" ref="G169">SUMPRODUCT(IF(LEFT($A$4:$A$108,3)=LEFT($A168,3),IF($B$4:$B$108=$B168,IF($C$3:$AZ$3=G$112,$C$4:$AZ$108))))*'Cement and Glass Split'!F62</f>
        <v>0</v>
      </c>
      <c r="H169" s="4" cm="1">
        <f t="array" ref="H169">SUMPRODUCT(IF(LEFT($A$4:$A$108,3)=LEFT($A168,3),IF($B$4:$B$108=$B168,IF($C$3:$AZ$3=H$112,$C$4:$AZ$108))))*'Cement and Glass Split'!G62</f>
        <v>24.713840000891146</v>
      </c>
      <c r="I169" s="4" cm="1">
        <f t="array" ref="I169">SUMPRODUCT(IF(LEFT($A$4:$A$108,3)=LEFT($A168,3),IF($B$4:$B$108=$B168,IF($C$3:$AZ$3=I$112,$C$4:$AZ$108))))*'Cement and Glass Split'!H62</f>
        <v>15.16009131788314</v>
      </c>
      <c r="J169" s="4" cm="1">
        <f t="array" ref="J169">SUMPRODUCT(IF(LEFT($A$4:$A$108,3)=LEFT($A168,3),IF($B$4:$B$108=$B168,IF($C$3:$AZ$3=J$112,$C$4:$AZ$108))))*'Cement and Glass Split'!I62</f>
        <v>9.9397227404153483</v>
      </c>
      <c r="K169" s="4" cm="1">
        <f t="array" ref="K169">SUMPRODUCT(IF(LEFT($A$4:$A$108,3)=LEFT($A168,3),IF($B$4:$B$108=$B168,IF($C$3:$AZ$3=K$112,$C$4:$AZ$108))))*'Cement and Glass Split'!J62</f>
        <v>5.1056978953354824</v>
      </c>
      <c r="L169" s="4" cm="1">
        <f t="array" ref="L169">SUMPRODUCT(IF(LEFT($A$4:$A$108,3)=LEFT($A168,3),IF($B$4:$B$108=$B168,IF($C$3:$AZ$3=L$112,$C$4:$AZ$108))))*'Cement and Glass Split'!K62</f>
        <v>7.7034108357510318</v>
      </c>
      <c r="M169" s="4" cm="1">
        <f t="array" ref="M169">SUMPRODUCT(IF(LEFT($A$4:$A$108,3)=LEFT($A168,3),IF($B$4:$B$108=$B168,IF($C$3:$AZ$3=M$112,$C$4:$AZ$108))))*'Cement and Glass Split'!L62</f>
        <v>72.784951013699143</v>
      </c>
      <c r="N169" s="4" cm="1">
        <f t="array" ref="N169">SUMPRODUCT(IF(LEFT($A$4:$A$108,3)=LEFT($A168,3),IF($B$4:$B$108=$B168,IF($C$3:$AZ$3=N$112,$C$4:$AZ$108))))*'Cement and Glass Split'!M62</f>
        <v>0</v>
      </c>
      <c r="O169" s="4" cm="1">
        <f t="array" ref="O169">SUMPRODUCT(IF(LEFT($A$4:$A$108,3)=LEFT($A168,3),IF($B$4:$B$108=$B168,IF($C$3:$AZ$3=O$112,$C$4:$AZ$108))))*'Cement and Glass Split'!N62</f>
        <v>21.359601966877676</v>
      </c>
      <c r="P169" s="4" cm="1">
        <f t="array" ref="P169">SUMPRODUCT(IF(LEFT($A$4:$A$108,3)=LEFT($A169,3),IF($B$4:$B$108=$B169,IF($C$3:$AZ$3=P$112,$C$4:$AZ$108))))*'Cement and Glass Split'!O62</f>
        <v>0</v>
      </c>
      <c r="Q169" s="4" cm="1">
        <f t="array" ref="Q169">SUMPRODUCT(IF(LEFT($A$4:$A$108,3)=LEFT($A169,3),IF($B$4:$B$108=$B169,IF($C$3:$AZ$3=P$112,$C$4:$AZ$108))))*'Cement and Glass Split'!P62</f>
        <v>0</v>
      </c>
      <c r="R169" s="4" cm="1">
        <f t="array" ref="R169">SUMPRODUCT(IF(LEFT($A$4:$A$108,3)=LEFT($A168,3),IF($B$4:$B$108=$B168,IF($C$3:$AZ$3=R$112,$C$4:$AZ$108))))*'Cement and Glass Split'!Q62</f>
        <v>3.1176067235679135</v>
      </c>
      <c r="S169" s="4" cm="1">
        <f t="array" ref="S169">SUMPRODUCT(IF(LEFT($A$4:$A$108,3)=LEFT($A168,3),IF($B$4:$B$108=$B168,IF($C$3:$AZ$3=S$112,$C$4:$AZ$108))))*'Cement and Glass Split'!R62</f>
        <v>11.925792309633445</v>
      </c>
      <c r="T169" s="4" cm="1">
        <f t="array" ref="T169">SUMPRODUCT(IF(LEFT($A$4:$A$108,3)=LEFT($A168,3),IF($B$4:$B$108=$B168,IF($C$3:$AZ$3=T$112,$C$4:$AZ$108))))*'Cement and Glass Split'!S62</f>
        <v>0.58287580470673162</v>
      </c>
      <c r="U169" s="4" cm="1">
        <f t="array" ref="U169">SUMPRODUCT(IF(LEFT($A$4:$A$108,3)=LEFT($A168,3),IF($B$4:$B$108=$B168,IF($C$3:$AZ$3=U$112,$C$4:$AZ$108))))*'Cement and Glass Split'!T62</f>
        <v>31.7254922258618</v>
      </c>
      <c r="V169" s="4" cm="1">
        <f t="array" ref="V169">SUMPRODUCT(IF(LEFT($A$4:$A$108,3)=LEFT($A168,3),IF($B$4:$B$108=$B168,IF($C$3:$AZ$3=V$112,$C$4:$AZ$108))))*'Cement and Glass Split'!U62</f>
        <v>13.730695271891403</v>
      </c>
      <c r="W169" s="4" cm="1">
        <f t="array" ref="W169">SUMPRODUCT(IF(LEFT($A$4:$A$108,3)=LEFT($A168,3),IF($B$4:$B$108=$B168,IF($C$3:$AZ$3=W$112,$C$4:$AZ$108))))*'Cement and Glass Split'!V62</f>
        <v>0.99412488968623591</v>
      </c>
      <c r="X169" s="4" cm="1">
        <f t="array" ref="X169">SUMPRODUCT(IF(LEFT($A$4:$A$108,3)=LEFT($A168,3),IF($B$4:$B$108=$B168,IF($C$3:$AZ$3=X$112,$C$4:$AZ$108))))*'Cement and Glass Split'!W62</f>
        <v>5.3112395908890182</v>
      </c>
      <c r="Y169" s="4" cm="1">
        <f t="array" ref="Y169">SUMPRODUCT(IF(LEFT($A$4:$A$108,3)=LEFT($A168,3),IF($B$4:$B$108=$B168,IF($C$3:$AZ$3=Y$112,$C$4:$AZ$108))))*'Cement and Glass Split'!X62</f>
        <v>6.187602784990565</v>
      </c>
      <c r="Z169" s="4" cm="1">
        <f t="array" ref="Z169">SUMPRODUCT(IF(LEFT($A$4:$A$108,3)=LEFT($A168,3),IF($B$4:$B$108=$B168,IF($C$3:$AZ$3=Z$112,$C$4:$AZ$108))))*'Cement and Glass Split'!Y62</f>
        <v>4.189150616133011</v>
      </c>
      <c r="AA169" s="4" cm="1">
        <f t="array" ref="AA169">SUMPRODUCT(IF(LEFT($A$4:$A$108,3)=LEFT($A168,3),IF($B$4:$B$108=$B168,IF($C$3:$AZ$3=AA$112,$C$4:$AZ$108))))*'Cement and Glass Split'!Z62</f>
        <v>13.837117225860899</v>
      </c>
      <c r="AB169" s="4" cm="1">
        <f t="array" ref="AB169">SUMPRODUCT(IF(LEFT($A$4:$A$108,3)=LEFT($A168,3),IF($B$4:$B$108=$B168,IF($C$3:$AZ$3=AB$112,$C$4:$AZ$108))))*'Cement and Glass Split'!AA62</f>
        <v>4.3181927645649994E-2</v>
      </c>
      <c r="AC169" s="4" cm="1">
        <f t="array" ref="AC169">SUMPRODUCT(IF(LEFT($A$4:$A$108,3)=LEFT($A168,3),IF($B$4:$B$108=$B168,IF($C$3:$AZ$3=AC$112,$C$4:$AZ$108))))*'Cement and Glass Split'!AB62</f>
        <v>4.9635853345791174</v>
      </c>
      <c r="AD169" s="4" cm="1">
        <f t="array" ref="AD169">SUMPRODUCT(IF(LEFT($A$4:$A$108,3)=LEFT($A168,3),IF($B$4:$B$108=$B168,IF($C$3:$AZ$3=AD$112,$C$4:$AZ$108))))*'Cement and Glass Split'!AC62</f>
        <v>1962.0403570745166</v>
      </c>
      <c r="AE169" s="4" cm="1">
        <f t="array" ref="AE169">SUMPRODUCT(IF(LEFT($A$4:$A$108,3)=LEFT($A168,3),IF($B$4:$B$108=$B168,IF($C$3:$AZ$3=AE$112,$C$4:$AZ$108))))*'Cement and Glass Split'!AD62</f>
        <v>57.411000000000001</v>
      </c>
      <c r="AF169" s="4" cm="1">
        <f t="array" ref="AF169">SUMPRODUCT(IF(LEFT($A$4:$A$108,3)=LEFT($A168,3),IF($B$4:$B$108=$B168,IF($C$3:$AZ$3=AF$112,$C$4:$AZ$108))))*'Cement and Glass Split'!AE62</f>
        <v>20.274402268349476</v>
      </c>
      <c r="AG169" s="4" cm="1">
        <f t="array" ref="AG169">SUMPRODUCT(IF(LEFT($A$4:$A$108,3)=LEFT($A168,3),IF($B$4:$B$108=$B168,IF($C$3:$AZ$3=AG$112,$C$4:$AZ$108))))*'Cement and Glass Split'!AF62</f>
        <v>64.248999999999995</v>
      </c>
      <c r="AH169" s="4" cm="1">
        <f t="array" ref="AH169">SUMPRODUCT(IF(LEFT($A$4:$A$108,3)=LEFT($A168,3),IF($B$4:$B$108=$B168,IF($C$3:$AZ$3=AH$112,$C$4:$AZ$108))))*'Cement and Glass Split'!AG62</f>
        <v>0</v>
      </c>
      <c r="AI169" s="4" cm="1">
        <f t="array" ref="AI169">SUMPRODUCT(IF(LEFT($A$4:$A$108,3)=LEFT($A168,3),IF($B$4:$B$108=$B168,IF($C$3:$AZ$3=AI$112,$C$4:$AZ$108))))*'Cement and Glass Split'!AH62</f>
        <v>0</v>
      </c>
      <c r="AJ169" s="4" cm="1">
        <f t="array" ref="AJ169">SUMPRODUCT(IF(LEFT($A$4:$A$108,3)=LEFT($A168,3),IF($B$4:$B$108=$B168,IF($C$3:$AZ$3=AJ$112,$C$4:$AZ$108))))*'Cement and Glass Split'!AI62</f>
        <v>1.1686280522313581</v>
      </c>
      <c r="AK169" s="4" cm="1">
        <f t="array" ref="AK169">SUMPRODUCT(IF(LEFT($A$4:$A$108,3)=LEFT($A168,3),IF($B$4:$B$108=$B168,IF($C$3:$AZ$3=AK$112,$C$4:$AZ$108))))*'Cement and Glass Split'!AJ62</f>
        <v>4.8099999999999996</v>
      </c>
      <c r="AL169" s="4" cm="1">
        <f t="array" ref="AL169">SUMPRODUCT(IF(LEFT($A$4:$A$108,3)=LEFT($A168,3),IF($B$4:$B$108=$B168,IF($C$3:$AZ$3=AL$112,$C$4:$AZ$108))))*'Cement and Glass Split'!AK62</f>
        <v>30.174850658986852</v>
      </c>
      <c r="AM169" s="4" cm="1">
        <f t="array" ref="AM169">SUMPRODUCT(IF(LEFT($A$4:$A$108,3)=LEFT($A168,3),IF($B$4:$B$108=$B168,IF($C$3:$AZ$3=AM$112,$C$4:$AZ$108))))*'Cement and Glass Split'!AL62</f>
        <v>12.315931634835456</v>
      </c>
      <c r="AN169" s="4" cm="1">
        <f t="array" ref="AN169">SUMPRODUCT(IF(LEFT($A$4:$A$108,3)=LEFT($A168,3),IF($B$4:$B$108=$B168,IF($C$3:$AZ$3=AN$112,$C$4:$AZ$108))))*'Cement and Glass Split'!AM62</f>
        <v>11.894419772643626</v>
      </c>
      <c r="AO169" s="4" cm="1">
        <f t="array" ref="AO169">SUMPRODUCT(IF(LEFT($A$4:$A$108,3)=LEFT($A168,3),IF($B$4:$B$108=$B168,IF($C$3:$AZ$3=AO$112,$C$4:$AZ$108))))*'Cement and Glass Split'!AN62</f>
        <v>27.588999999999999</v>
      </c>
      <c r="AP169" s="4" cm="1">
        <f t="array" ref="AP169">SUMPRODUCT(IF(LEFT($A$4:$A$108,3)=LEFT($A168,3),IF($B$4:$B$108=$B168,IF($C$3:$AZ$3=AP$112,$C$4:$AZ$108))))*'Cement and Glass Split'!AO62</f>
        <v>10.630826912550766</v>
      </c>
      <c r="AQ169" s="4" cm="1">
        <f t="array" ref="AQ169">SUMPRODUCT(IF(LEFT($A$4:$A$108,3)=LEFT($A168,3),IF($B$4:$B$108=$B168,IF($C$3:$AZ$3=AQ$112,$C$4:$AZ$108))))*'Cement and Glass Split'!AP62</f>
        <v>19.972991286376296</v>
      </c>
      <c r="AR169" s="4" cm="1">
        <f t="array" ref="AR169">SUMPRODUCT(IF(LEFT($A$4:$A$108,3)=LEFT($A168,3),IF($B$4:$B$108=$B168,IF($C$3:$AZ$3=AR$112,$C$4:$AZ$108))))*'Cement and Glass Split'!AQ62</f>
        <v>0</v>
      </c>
      <c r="AS169" s="4" cm="1">
        <f t="array" ref="AS169">SUMPRODUCT(IF(LEFT($A$4:$A$108,3)=LEFT($A168,3),IF($B$4:$B$108=$B168,IF($C$3:$AZ$3=AS$112,$C$4:$AZ$108))))*'Cement and Glass Split'!AR62</f>
        <v>0</v>
      </c>
    </row>
    <row r="170" spans="1:45">
      <c r="A170" t="s">
        <v>385</v>
      </c>
      <c r="B170" t="s">
        <v>134</v>
      </c>
      <c r="C170" cm="1">
        <f t="array" ref="C170">SUMPRODUCT(IF(LEFT($A$4:$A$108,3)=LEFT($A170,3),IF($B$4:$B$108=$B170,IF($C$3:$AZ$3=C$112,$C$4:$AZ$108))))</f>
        <v>13.739999999999998</v>
      </c>
      <c r="D170" cm="1">
        <f t="array" ref="D170">SUMPRODUCT(IF(LEFT($A$4:$A$108,3)=LEFT($A170,3),IF($B$4:$B$108=$B170,IF($C$3:$AZ$3=D$112,$C$4:$AZ$108))))</f>
        <v>0.40500000000000003</v>
      </c>
      <c r="E170" cm="1">
        <f t="array" ref="E170">SUMPRODUCT(IF(LEFT($A$4:$A$108,3)=LEFT($A170,3),IF($B$4:$B$108=$B170,IF($C$3:$AZ$3=E$112,$C$4:$AZ$108))))</f>
        <v>0.33900000000000002</v>
      </c>
      <c r="F170" cm="1">
        <f t="array" ref="F170">SUMPRODUCT(IF(LEFT($A$4:$A$108,3)=LEFT($A170,3),IF($B$4:$B$108=$B170,IF($C$3:$AZ$3=F$112,$C$4:$AZ$108))))</f>
        <v>2.3149999999999999</v>
      </c>
      <c r="G170" cm="1">
        <f t="array" ref="G170">SUMPRODUCT(IF(LEFT($A$4:$A$108,3)=LEFT($A170,3),IF($B$4:$B$108=$B170,IF($C$3:$AZ$3=G$112,$C$4:$AZ$108))))</f>
        <v>1.4999999999999999E-2</v>
      </c>
      <c r="H170" cm="1">
        <f t="array" ref="H170">SUMPRODUCT(IF(LEFT($A$4:$A$108,3)=LEFT($A170,3),IF($B$4:$B$108=$B170,IF($C$3:$AZ$3=H$112,$C$4:$AZ$108))))</f>
        <v>22.846</v>
      </c>
      <c r="I170" cm="1">
        <f t="array" ref="I170">SUMPRODUCT(IF(LEFT($A$4:$A$108,3)=LEFT($A170,3),IF($B$4:$B$108=$B170,IF($C$3:$AZ$3=I$112,$C$4:$AZ$108))))</f>
        <v>10.874000000000001</v>
      </c>
      <c r="J170" cm="1">
        <f t="array" ref="J170">SUMPRODUCT(IF(LEFT($A$4:$A$108,3)=LEFT($A170,3),IF($B$4:$B$108=$B170,IF($C$3:$AZ$3=J$112,$C$4:$AZ$108))))</f>
        <v>6.8520000000000003</v>
      </c>
      <c r="K170" cm="1">
        <f t="array" ref="K170">SUMPRODUCT(IF(LEFT($A$4:$A$108,3)=LEFT($A170,3),IF($B$4:$B$108=$B170,IF($C$3:$AZ$3=K$112,$C$4:$AZ$108))))</f>
        <v>8.6129999999999995</v>
      </c>
      <c r="L170" cm="1">
        <f t="array" ref="L170">SUMPRODUCT(IF(LEFT($A$4:$A$108,3)=LEFT($A170,3),IF($B$4:$B$108=$B170,IF($C$3:$AZ$3=L$112,$C$4:$AZ$108))))</f>
        <v>33.244</v>
      </c>
      <c r="M170" cm="1">
        <f t="array" ref="M170">SUMPRODUCT(IF(LEFT($A$4:$A$108,3)=LEFT($A170,3),IF($B$4:$B$108=$B170,IF($C$3:$AZ$3=M$112,$C$4:$AZ$108))))</f>
        <v>69.866</v>
      </c>
      <c r="N170" cm="1">
        <f t="array" ref="N170">SUMPRODUCT(IF(LEFT($A$4:$A$108,3)=LEFT($A170,3),IF($B$4:$B$108=$B170,IF($C$3:$AZ$3=N$112,$C$4:$AZ$108))))</f>
        <v>2.774</v>
      </c>
      <c r="O170" cm="1">
        <f t="array" ref="O170">SUMPRODUCT(IF(LEFT($A$4:$A$108,3)=LEFT($A170,3),IF($B$4:$B$108=$B170,IF($C$3:$AZ$3=O$112,$C$4:$AZ$108))))</f>
        <v>86.028000000000006</v>
      </c>
      <c r="P170" s="4" cm="1">
        <f t="array" ref="P170">SUMPRODUCT(IF(LEFT($A$4:$A$108,3)=LEFT($A170,3),IF($B$4:$B$108=$B170,IF($C$3:$AZ$3=P$112,$C$4:$AZ$108))))*'Cement and Glass Split'!O63</f>
        <v>5.4821075736631997</v>
      </c>
      <c r="Q170" s="4" cm="1">
        <f t="array" ref="Q170">SUMPRODUCT(IF(LEFT($A$4:$A$108,3)=LEFT($A170,3),IF($B$4:$B$108=$B170,IF($C$3:$AZ$3=P$112,$C$4:$AZ$108))))*'Cement and Glass Split'!P63</f>
        <v>74.584892426336793</v>
      </c>
      <c r="R170" cm="1">
        <f t="array" ref="R170">SUMPRODUCT(IF(LEFT($A$4:$A$108,3)=LEFT($A170,3),IF($B$4:$B$108=$B170,IF($C$3:$AZ$3=R$112,$C$4:$AZ$108))))</f>
        <v>5235.13</v>
      </c>
      <c r="S170" cm="1">
        <f t="array" ref="S170">SUMPRODUCT(IF(LEFT($A$4:$A$108,3)=LEFT($A170,3),IF($B$4:$B$108=$B170,IF($C$3:$AZ$3=S$112,$C$4:$AZ$108))))</f>
        <v>235.714</v>
      </c>
      <c r="T170" cm="1">
        <f t="array" ref="T170">SUMPRODUCT(IF(LEFT($A$4:$A$108,3)=LEFT($A170,3),IF($B$4:$B$108=$B170,IF($C$3:$AZ$3=T$112,$C$4:$AZ$108))))</f>
        <v>3309.98</v>
      </c>
      <c r="U170" cm="1">
        <f t="array" ref="U170">SUMPRODUCT(IF(LEFT($A$4:$A$108,3)=LEFT($A170,3),IF($B$4:$B$108=$B170,IF($C$3:$AZ$3=U$112,$C$4:$AZ$108))))</f>
        <v>378.06</v>
      </c>
      <c r="V170" cm="1">
        <f t="array" ref="V170">SUMPRODUCT(IF(LEFT($A$4:$A$108,3)=LEFT($A170,3),IF($B$4:$B$108=$B170,IF($C$3:$AZ$3=V$112,$C$4:$AZ$108))))</f>
        <v>593.00900000000001</v>
      </c>
      <c r="W170" cm="1">
        <f t="array" ref="W170">SUMPRODUCT(IF(LEFT($A$4:$A$108,3)=LEFT($A170,3),IF($B$4:$B$108=$B170,IF($C$3:$AZ$3=W$112,$C$4:$AZ$108))))</f>
        <v>2119.4630000000002</v>
      </c>
      <c r="X170" cm="1">
        <f t="array" ref="X170">SUMPRODUCT(IF(LEFT($A$4:$A$108,3)=LEFT($A170,3),IF($B$4:$B$108=$B170,IF($C$3:$AZ$3=X$112,$C$4:$AZ$108))))</f>
        <v>1653.6189999999999</v>
      </c>
      <c r="Y170" cm="1">
        <f t="array" ref="Y170">SUMPRODUCT(IF(LEFT($A$4:$A$108,3)=LEFT($A170,3),IF($B$4:$B$108=$B170,IF($C$3:$AZ$3=Y$112,$C$4:$AZ$108))))</f>
        <v>590.42900000000009</v>
      </c>
      <c r="Z170" cm="1">
        <f t="array" ref="Z170">SUMPRODUCT(IF(LEFT($A$4:$A$108,3)=LEFT($A170,3),IF($B$4:$B$108=$B170,IF($C$3:$AZ$3=Z$112,$C$4:$AZ$108))))</f>
        <v>101.059</v>
      </c>
      <c r="AA170" cm="1">
        <f t="array" ref="AA170">SUMPRODUCT(IF(LEFT($A$4:$A$108,3)=LEFT($A170,3),IF($B$4:$B$108=$B170,IF($C$3:$AZ$3=AA$112,$C$4:$AZ$108))))</f>
        <v>49.411000000000001</v>
      </c>
      <c r="AB170" cm="1">
        <f t="array" ref="AB170">SUMPRODUCT(IF(LEFT($A$4:$A$108,3)=LEFT($A170,3),IF($B$4:$B$108=$B170,IF($C$3:$AZ$3=AB$112,$C$4:$AZ$108))))</f>
        <v>10.287000000000001</v>
      </c>
      <c r="AC170" cm="1">
        <f t="array" ref="AC170">SUMPRODUCT(IF(LEFT($A$4:$A$108,3)=LEFT($A170,3),IF($B$4:$B$108=$B170,IF($C$3:$AZ$3=AC$112,$C$4:$AZ$108))))</f>
        <v>68.438000000000002</v>
      </c>
      <c r="AD170" cm="1">
        <f t="array" ref="AD170">SUMPRODUCT(IF(LEFT($A$4:$A$108,3)=LEFT($A170,3),IF($B$4:$B$108=$B170,IF($C$3:$AZ$3=AD$112,$C$4:$AZ$108))))</f>
        <v>1280.6859999999999</v>
      </c>
      <c r="AE170" cm="1">
        <f t="array" ref="AE170">SUMPRODUCT(IF(LEFT($A$4:$A$108,3)=LEFT($A170,3),IF($B$4:$B$108=$B170,IF($C$3:$AZ$3=AE$112,$C$4:$AZ$108))))</f>
        <v>53.3</v>
      </c>
      <c r="AF170" cm="1">
        <f t="array" ref="AF170">SUMPRODUCT(IF(LEFT($A$4:$A$108,3)=LEFT($A170,3),IF($B$4:$B$108=$B170,IF($C$3:$AZ$3=AF$112,$C$4:$AZ$108))))</f>
        <v>47.524000000000001</v>
      </c>
      <c r="AG170" cm="1">
        <f t="array" ref="AG170">SUMPRODUCT(IF(LEFT($A$4:$A$108,3)=LEFT($A170,3),IF($B$4:$B$108=$B170,IF($C$3:$AZ$3=AG$112,$C$4:$AZ$108))))</f>
        <v>8.2449999999999992</v>
      </c>
      <c r="AH170" cm="1">
        <f t="array" ref="AH170">SUMPRODUCT(IF(LEFT($A$4:$A$108,3)=LEFT($A170,3),IF($B$4:$B$108=$B170,IF($C$3:$AZ$3=AH$112,$C$4:$AZ$108))))</f>
        <v>1.3009999999999999</v>
      </c>
      <c r="AI170" cm="1">
        <f t="array" ref="AI170">SUMPRODUCT(IF(LEFT($A$4:$A$108,3)=LEFT($A170,3),IF($B$4:$B$108=$B170,IF($C$3:$AZ$3=AI$112,$C$4:$AZ$108))))</f>
        <v>2.2000000000000002</v>
      </c>
      <c r="AJ170" cm="1">
        <f t="array" ref="AJ170">SUMPRODUCT(IF(LEFT($A$4:$A$108,3)=LEFT($A170,3),IF($B$4:$B$108=$B170,IF($C$3:$AZ$3=AJ$112,$C$4:$AZ$108))))</f>
        <v>1.5509999999999999</v>
      </c>
      <c r="AK170" cm="1">
        <f t="array" ref="AK170">SUMPRODUCT(IF(LEFT($A$4:$A$108,3)=LEFT($A170,3),IF($B$4:$B$108=$B170,IF($C$3:$AZ$3=AK$112,$C$4:$AZ$108))))</f>
        <v>3.044</v>
      </c>
      <c r="AL170" cm="1">
        <f t="array" ref="AL170">SUMPRODUCT(IF(LEFT($A$4:$A$108,3)=LEFT($A170,3),IF($B$4:$B$108=$B170,IF($C$3:$AZ$3=AL$112,$C$4:$AZ$108))))</f>
        <v>32.457000000000001</v>
      </c>
      <c r="AM170" cm="1">
        <f t="array" ref="AM170">SUMPRODUCT(IF(LEFT($A$4:$A$108,3)=LEFT($A170,3),IF($B$4:$B$108=$B170,IF($C$3:$AZ$3=AM$112,$C$4:$AZ$108))))</f>
        <v>51.677999999999997</v>
      </c>
      <c r="AN170" cm="1">
        <f t="array" ref="AN170">SUMPRODUCT(IF(LEFT($A$4:$A$108,3)=LEFT($A170,3),IF($B$4:$B$108=$B170,IF($C$3:$AZ$3=AN$112,$C$4:$AZ$108))))</f>
        <v>10.603</v>
      </c>
      <c r="AO170" cm="1">
        <f t="array" ref="AO170">SUMPRODUCT(IF(LEFT($A$4:$A$108,3)=LEFT($A170,3),IF($B$4:$B$108=$B170,IF($C$3:$AZ$3=AO$112,$C$4:$AZ$108))))</f>
        <v>7.8659999999999997</v>
      </c>
      <c r="AP170" cm="1">
        <f t="array" ref="AP170">SUMPRODUCT(IF(LEFT($A$4:$A$108,3)=LEFT($A170,3),IF($B$4:$B$108=$B170,IF($C$3:$AZ$3=AP$112,$C$4:$AZ$108))))</f>
        <v>5.452</v>
      </c>
      <c r="AQ170" cm="1">
        <f t="array" ref="AQ170">SUMPRODUCT(IF(LEFT($A$4:$A$108,3)=LEFT($A170,3),IF($B$4:$B$108=$B170,IF($C$3:$AZ$3=AQ$112,$C$4:$AZ$108))))</f>
        <v>24.387</v>
      </c>
      <c r="AR170" cm="1">
        <f t="array" ref="AR170">SUMPRODUCT(IF(LEFT($A$4:$A$108,3)=LEFT($A170,3),IF($B$4:$B$108=$B170,IF($C$3:$AZ$3=AR$112,$C$4:$AZ$108))))</f>
        <v>0</v>
      </c>
      <c r="AS170">
        <v>0</v>
      </c>
    </row>
    <row r="171" spans="1:45">
      <c r="A171" t="s">
        <v>385</v>
      </c>
      <c r="B171" t="s">
        <v>135</v>
      </c>
      <c r="C171" cm="1">
        <f t="array" ref="C171">SUMPRODUCT(IF(LEFT($A$4:$A$108,3)=LEFT($A171,3),IF($B$4:$B$108=$B171,IF($C$3:$AZ$3=C$112,$C$4:$AZ$108))))</f>
        <v>5.338000000000001</v>
      </c>
      <c r="D171" cm="1">
        <f t="array" ref="D171">SUMPRODUCT(IF(LEFT($A$4:$A$108,3)=LEFT($A171,3),IF($B$4:$B$108=$B171,IF($C$3:$AZ$3=D$112,$C$4:$AZ$108))))</f>
        <v>6.2E-2</v>
      </c>
      <c r="E171" cm="1">
        <f t="array" ref="E171">SUMPRODUCT(IF(LEFT($A$4:$A$108,3)=LEFT($A171,3),IF($B$4:$B$108=$B171,IF($C$3:$AZ$3=E$112,$C$4:$AZ$108))))</f>
        <v>9.4E-2</v>
      </c>
      <c r="F171" cm="1">
        <f t="array" ref="F171">SUMPRODUCT(IF(LEFT($A$4:$A$108,3)=LEFT($A171,3),IF($B$4:$B$108=$B171,IF($C$3:$AZ$3=F$112,$C$4:$AZ$108))))</f>
        <v>1.1299999999999999</v>
      </c>
      <c r="G171" cm="1">
        <f t="array" ref="G171">SUMPRODUCT(IF(LEFT($A$4:$A$108,3)=LEFT($A171,3),IF($B$4:$B$108=$B171,IF($C$3:$AZ$3=G$112,$C$4:$AZ$108))))</f>
        <v>3.0000000000000001E-3</v>
      </c>
      <c r="H171" cm="1">
        <f t="array" ref="H171">SUMPRODUCT(IF(LEFT($A$4:$A$108,3)=LEFT($A171,3),IF($B$4:$B$108=$B171,IF($C$3:$AZ$3=H$112,$C$4:$AZ$108))))</f>
        <v>83.855999999999995</v>
      </c>
      <c r="I171" cm="1">
        <f t="array" ref="I171">SUMPRODUCT(IF(LEFT($A$4:$A$108,3)=LEFT($A171,3),IF($B$4:$B$108=$B171,IF($C$3:$AZ$3=I$112,$C$4:$AZ$108))))</f>
        <v>22.152000000000001</v>
      </c>
      <c r="J171" cm="1">
        <f t="array" ref="J171">SUMPRODUCT(IF(LEFT($A$4:$A$108,3)=LEFT($A171,3),IF($B$4:$B$108=$B171,IF($C$3:$AZ$3=J$112,$C$4:$AZ$108))))</f>
        <v>8.4190000000000005</v>
      </c>
      <c r="K171" cm="1">
        <f t="array" ref="K171">SUMPRODUCT(IF(LEFT($A$4:$A$108,3)=LEFT($A171,3),IF($B$4:$B$108=$B171,IF($C$3:$AZ$3=K$112,$C$4:$AZ$108))))</f>
        <v>20.936</v>
      </c>
      <c r="L171" cm="1">
        <f t="array" ref="L171">SUMPRODUCT(IF(LEFT($A$4:$A$108,3)=LEFT($A171,3),IF($B$4:$B$108=$B171,IF($C$3:$AZ$3=L$112,$C$4:$AZ$108))))</f>
        <v>9.4939999999999998</v>
      </c>
      <c r="M171" cm="1">
        <f t="array" ref="M171">SUMPRODUCT(IF(LEFT($A$4:$A$108,3)=LEFT($A171,3),IF($B$4:$B$108=$B171,IF($C$3:$AZ$3=M$112,$C$4:$AZ$108))))</f>
        <v>383.1</v>
      </c>
      <c r="N171" cm="1">
        <f t="array" ref="N171">SUMPRODUCT(IF(LEFT($A$4:$A$108,3)=LEFT($A171,3),IF($B$4:$B$108=$B171,IF($C$3:$AZ$3=N$112,$C$4:$AZ$108))))</f>
        <v>12.647</v>
      </c>
      <c r="O171" cm="1">
        <f t="array" ref="O171">SUMPRODUCT(IF(LEFT($A$4:$A$108,3)=LEFT($A171,3),IF($B$4:$B$108=$B171,IF($C$3:$AZ$3=O$112,$C$4:$AZ$108))))</f>
        <v>107.675</v>
      </c>
      <c r="P171" s="4" cm="1">
        <f t="array" ref="P171">SUMPRODUCT(IF(LEFT($A$4:$A$108,3)=LEFT($A171,3),IF($B$4:$B$108=$B171,IF($C$3:$AZ$3=P$112,$C$4:$AZ$108))))*'Cement and Glass Split'!O64</f>
        <v>9.6285867106436243</v>
      </c>
      <c r="Q171" s="4" cm="1">
        <f t="array" ref="Q171">SUMPRODUCT(IF(LEFT($A$4:$A$108,3)=LEFT($A171,3),IF($B$4:$B$108=$B171,IF($C$3:$AZ$3=P$112,$C$4:$AZ$108))))*'Cement and Glass Split'!P64</f>
        <v>45.083413289356386</v>
      </c>
      <c r="R171" cm="1">
        <f t="array" ref="R171">SUMPRODUCT(IF(LEFT($A$4:$A$108,3)=LEFT($A171,3),IF($B$4:$B$108=$B171,IF($C$3:$AZ$3=R$112,$C$4:$AZ$108))))</f>
        <v>1384.2239999999999</v>
      </c>
      <c r="S171" cm="1">
        <f t="array" ref="S171">SUMPRODUCT(IF(LEFT($A$4:$A$108,3)=LEFT($A171,3),IF($B$4:$B$108=$B171,IF($C$3:$AZ$3=S$112,$C$4:$AZ$108))))</f>
        <v>6700.3860000000004</v>
      </c>
      <c r="T171" cm="1">
        <f t="array" ref="T171">SUMPRODUCT(IF(LEFT($A$4:$A$108,3)=LEFT($A171,3),IF($B$4:$B$108=$B171,IF($C$3:$AZ$3=T$112,$C$4:$AZ$108))))</f>
        <v>2610.143</v>
      </c>
      <c r="U171" cm="1">
        <f t="array" ref="U171">SUMPRODUCT(IF(LEFT($A$4:$A$108,3)=LEFT($A171,3),IF($B$4:$B$108=$B171,IF($C$3:$AZ$3=U$112,$C$4:$AZ$108))))</f>
        <v>1666.6990000000001</v>
      </c>
      <c r="V171" cm="1">
        <f t="array" ref="V171">SUMPRODUCT(IF(LEFT($A$4:$A$108,3)=LEFT($A171,3),IF($B$4:$B$108=$B171,IF($C$3:$AZ$3=V$112,$C$4:$AZ$108))))</f>
        <v>2564.1179999999999</v>
      </c>
      <c r="W171" cm="1">
        <f t="array" ref="W171">SUMPRODUCT(IF(LEFT($A$4:$A$108,3)=LEFT($A171,3),IF($B$4:$B$108=$B171,IF($C$3:$AZ$3=W$112,$C$4:$AZ$108))))</f>
        <v>1463.9559999999999</v>
      </c>
      <c r="X171" cm="1">
        <f t="array" ref="X171">SUMPRODUCT(IF(LEFT($A$4:$A$108,3)=LEFT($A171,3),IF($B$4:$B$108=$B171,IF($C$3:$AZ$3=X$112,$C$4:$AZ$108))))</f>
        <v>1512.982</v>
      </c>
      <c r="Y171" cm="1">
        <f t="array" ref="Y171">SUMPRODUCT(IF(LEFT($A$4:$A$108,3)=LEFT($A171,3),IF($B$4:$B$108=$B171,IF($C$3:$AZ$3=Y$112,$C$4:$AZ$108))))</f>
        <v>320.10000000000002</v>
      </c>
      <c r="Z171" cm="1">
        <f t="array" ref="Z171">SUMPRODUCT(IF(LEFT($A$4:$A$108,3)=LEFT($A171,3),IF($B$4:$B$108=$B171,IF($C$3:$AZ$3=Z$112,$C$4:$AZ$108))))</f>
        <v>280.59199999999998</v>
      </c>
      <c r="AA171" cm="1">
        <f t="array" ref="AA171">SUMPRODUCT(IF(LEFT($A$4:$A$108,3)=LEFT($A171,3),IF($B$4:$B$108=$B171,IF($C$3:$AZ$3=AA$112,$C$4:$AZ$108))))</f>
        <v>28.687000000000001</v>
      </c>
      <c r="AB171" cm="1">
        <f t="array" ref="AB171">SUMPRODUCT(IF(LEFT($A$4:$A$108,3)=LEFT($A171,3),IF($B$4:$B$108=$B171,IF($C$3:$AZ$3=AB$112,$C$4:$AZ$108))))</f>
        <v>1.8859999999999999</v>
      </c>
      <c r="AC171" cm="1">
        <f t="array" ref="AC171">SUMPRODUCT(IF(LEFT($A$4:$A$108,3)=LEFT($A171,3),IF($B$4:$B$108=$B171,IF($C$3:$AZ$3=AC$112,$C$4:$AZ$108))))</f>
        <v>106.238</v>
      </c>
      <c r="AD171" cm="1">
        <f t="array" ref="AD171">SUMPRODUCT(IF(LEFT($A$4:$A$108,3)=LEFT($A171,3),IF($B$4:$B$108=$B171,IF($C$3:$AZ$3=AD$112,$C$4:$AZ$108))))</f>
        <v>531.13599999999997</v>
      </c>
      <c r="AE171" cm="1">
        <f t="array" ref="AE171">SUMPRODUCT(IF(LEFT($A$4:$A$108,3)=LEFT($A171,3),IF($B$4:$B$108=$B171,IF($C$3:$AZ$3=AE$112,$C$4:$AZ$108))))</f>
        <v>63.741999999999997</v>
      </c>
      <c r="AF171" cm="1">
        <f t="array" ref="AF171">SUMPRODUCT(IF(LEFT($A$4:$A$108,3)=LEFT($A171,3),IF($B$4:$B$108=$B171,IF($C$3:$AZ$3=AF$112,$C$4:$AZ$108))))</f>
        <v>11.592000000000001</v>
      </c>
      <c r="AG171" cm="1">
        <f t="array" ref="AG171">SUMPRODUCT(IF(LEFT($A$4:$A$108,3)=LEFT($A171,3),IF($B$4:$B$108=$B171,IF($C$3:$AZ$3=AG$112,$C$4:$AZ$108))))</f>
        <v>16.995999999999999</v>
      </c>
      <c r="AH171" cm="1">
        <f t="array" ref="AH171">SUMPRODUCT(IF(LEFT($A$4:$A$108,3)=LEFT($A171,3),IF($B$4:$B$108=$B171,IF($C$3:$AZ$3=AH$112,$C$4:$AZ$108))))</f>
        <v>2.4180000000000001</v>
      </c>
      <c r="AI171" cm="1">
        <f t="array" ref="AI171">SUMPRODUCT(IF(LEFT($A$4:$A$108,3)=LEFT($A171,3),IF($B$4:$B$108=$B171,IF($C$3:$AZ$3=AI$112,$C$4:$AZ$108))))</f>
        <v>1.232</v>
      </c>
      <c r="AJ171" cm="1">
        <f t="array" ref="AJ171">SUMPRODUCT(IF(LEFT($A$4:$A$108,3)=LEFT($A171,3),IF($B$4:$B$108=$B171,IF($C$3:$AZ$3=AJ$112,$C$4:$AZ$108))))</f>
        <v>0.89</v>
      </c>
      <c r="AK171" cm="1">
        <f t="array" ref="AK171">SUMPRODUCT(IF(LEFT($A$4:$A$108,3)=LEFT($A171,3),IF($B$4:$B$108=$B171,IF($C$3:$AZ$3=AK$112,$C$4:$AZ$108))))</f>
        <v>2.11</v>
      </c>
      <c r="AL171" cm="1">
        <f t="array" ref="AL171">SUMPRODUCT(IF(LEFT($A$4:$A$108,3)=LEFT($A171,3),IF($B$4:$B$108=$B171,IF($C$3:$AZ$3=AL$112,$C$4:$AZ$108))))</f>
        <v>23.253</v>
      </c>
      <c r="AM171" cm="1">
        <f t="array" ref="AM171">SUMPRODUCT(IF(LEFT($A$4:$A$108,3)=LEFT($A171,3),IF($B$4:$B$108=$B171,IF($C$3:$AZ$3=AM$112,$C$4:$AZ$108))))</f>
        <v>28.082000000000001</v>
      </c>
      <c r="AN171" cm="1">
        <f t="array" ref="AN171">SUMPRODUCT(IF(LEFT($A$4:$A$108,3)=LEFT($A171,3),IF($B$4:$B$108=$B171,IF($C$3:$AZ$3=AN$112,$C$4:$AZ$108))))</f>
        <v>6.1950000000000003</v>
      </c>
      <c r="AO171" cm="1">
        <f t="array" ref="AO171">SUMPRODUCT(IF(LEFT($A$4:$A$108,3)=LEFT($A171,3),IF($B$4:$B$108=$B171,IF($C$3:$AZ$3=AO$112,$C$4:$AZ$108))))</f>
        <v>2.0990000000000002</v>
      </c>
      <c r="AP171" cm="1">
        <f t="array" ref="AP171">SUMPRODUCT(IF(LEFT($A$4:$A$108,3)=LEFT($A171,3),IF($B$4:$B$108=$B171,IF($C$3:$AZ$3=AP$112,$C$4:$AZ$108))))</f>
        <v>6.8550000000000004</v>
      </c>
      <c r="AQ171" cm="1">
        <f t="array" ref="AQ171">SUMPRODUCT(IF(LEFT($A$4:$A$108,3)=LEFT($A171,3),IF($B$4:$B$108=$B171,IF($C$3:$AZ$3=AQ$112,$C$4:$AZ$108))))</f>
        <v>36.308999999999997</v>
      </c>
      <c r="AR171" cm="1">
        <f t="array" ref="AR171">SUMPRODUCT(IF(LEFT($A$4:$A$108,3)=LEFT($A171,3),IF($B$4:$B$108=$B171,IF($C$3:$AZ$3=AR$112,$C$4:$AZ$108))))</f>
        <v>0</v>
      </c>
      <c r="AS171">
        <v>0</v>
      </c>
    </row>
    <row r="172" spans="1:45">
      <c r="A172" t="s">
        <v>385</v>
      </c>
      <c r="B172" t="s">
        <v>13</v>
      </c>
      <c r="C172" cm="1">
        <f t="array" ref="C172">SUMPRODUCT(IF(LEFT($A$4:$A$108,3)=LEFT($A172,3),IF($B$4:$B$108=$B172,IF($C$3:$AZ$3=C$112,$C$4:$AZ$108))))</f>
        <v>30.961000000000002</v>
      </c>
      <c r="D172" cm="1">
        <f t="array" ref="D172">SUMPRODUCT(IF(LEFT($A$4:$A$108,3)=LEFT($A172,3),IF($B$4:$B$108=$B172,IF($C$3:$AZ$3=D$112,$C$4:$AZ$108))))</f>
        <v>0.66300000000000003</v>
      </c>
      <c r="E172" cm="1">
        <f t="array" ref="E172">SUMPRODUCT(IF(LEFT($A$4:$A$108,3)=LEFT($A172,3),IF($B$4:$B$108=$B172,IF($C$3:$AZ$3=E$112,$C$4:$AZ$108))))</f>
        <v>0.254</v>
      </c>
      <c r="F172" cm="1">
        <f t="array" ref="F172">SUMPRODUCT(IF(LEFT($A$4:$A$108,3)=LEFT($A172,3),IF($B$4:$B$108=$B172,IF($C$3:$AZ$3=F$112,$C$4:$AZ$108))))</f>
        <v>4.875</v>
      </c>
      <c r="G172" cm="1">
        <f t="array" ref="G172">SUMPRODUCT(IF(LEFT($A$4:$A$108,3)=LEFT($A172,3),IF($B$4:$B$108=$B172,IF($C$3:$AZ$3=G$112,$C$4:$AZ$108))))</f>
        <v>3.3000000000000002E-2</v>
      </c>
      <c r="H172" cm="1">
        <f t="array" ref="H172">SUMPRODUCT(IF(LEFT($A$4:$A$108,3)=LEFT($A172,3),IF($B$4:$B$108=$B172,IF($C$3:$AZ$3=H$112,$C$4:$AZ$108))))</f>
        <v>191.053</v>
      </c>
      <c r="I172" cm="1">
        <f t="array" ref="I172">SUMPRODUCT(IF(LEFT($A$4:$A$108,3)=LEFT($A172,3),IF($B$4:$B$108=$B172,IF($C$3:$AZ$3=I$112,$C$4:$AZ$108))))</f>
        <v>35.131</v>
      </c>
      <c r="J172" cm="1">
        <f t="array" ref="J172">SUMPRODUCT(IF(LEFT($A$4:$A$108,3)=LEFT($A172,3),IF($B$4:$B$108=$B172,IF($C$3:$AZ$3=J$112,$C$4:$AZ$108))))</f>
        <v>23.776</v>
      </c>
      <c r="K172" cm="1">
        <f t="array" ref="K172">SUMPRODUCT(IF(LEFT($A$4:$A$108,3)=LEFT($A172,3),IF($B$4:$B$108=$B172,IF($C$3:$AZ$3=K$112,$C$4:$AZ$108))))</f>
        <v>20.437000000000001</v>
      </c>
      <c r="L172" cm="1">
        <f t="array" ref="L172">SUMPRODUCT(IF(LEFT($A$4:$A$108,3)=LEFT($A172,3),IF($B$4:$B$108=$B172,IF($C$3:$AZ$3=L$112,$C$4:$AZ$108))))</f>
        <v>27.369</v>
      </c>
      <c r="M172" cm="1">
        <f t="array" ref="M172">SUMPRODUCT(IF(LEFT($A$4:$A$108,3)=LEFT($A172,3),IF($B$4:$B$108=$B172,IF($C$3:$AZ$3=M$112,$C$4:$AZ$108))))</f>
        <v>165.03800000000001</v>
      </c>
      <c r="N172" cm="1">
        <f t="array" ref="N172">SUMPRODUCT(IF(LEFT($A$4:$A$108,3)=LEFT($A172,3),IF($B$4:$B$108=$B172,IF($C$3:$AZ$3=N$112,$C$4:$AZ$108))))</f>
        <v>12.993</v>
      </c>
      <c r="O172" cm="1">
        <f t="array" ref="O172">SUMPRODUCT(IF(LEFT($A$4:$A$108,3)=LEFT($A172,3),IF($B$4:$B$108=$B172,IF($C$3:$AZ$3=O$112,$C$4:$AZ$108))))</f>
        <v>94.588999999999999</v>
      </c>
      <c r="P172" s="4" cm="1">
        <f t="array" ref="P172">SUMPRODUCT(IF(LEFT($A$4:$A$108,3)=LEFT($A172,3),IF($B$4:$B$108=$B172,IF($C$3:$AZ$3=P$112,$C$4:$AZ$108))))*'Cement and Glass Split'!O65</f>
        <v>21.606759646809977</v>
      </c>
      <c r="Q172" s="4" cm="1">
        <f t="array" ref="Q172">SUMPRODUCT(IF(LEFT($A$4:$A$108,3)=LEFT($A172,3),IF($B$4:$B$108=$B172,IF($C$3:$AZ$3=P$112,$C$4:$AZ$108))))*'Cement and Glass Split'!P65</f>
        <v>37.055240353190023</v>
      </c>
      <c r="R172" cm="1">
        <f t="array" ref="R172">SUMPRODUCT(IF(LEFT($A$4:$A$108,3)=LEFT($A172,3),IF($B$4:$B$108=$B172,IF($C$3:$AZ$3=R$112,$C$4:$AZ$108))))</f>
        <v>306.91800000000001</v>
      </c>
      <c r="S172" cm="1">
        <f t="array" ref="S172">SUMPRODUCT(IF(LEFT($A$4:$A$108,3)=LEFT($A172,3),IF($B$4:$B$108=$B172,IF($C$3:$AZ$3=S$112,$C$4:$AZ$108))))</f>
        <v>101.715</v>
      </c>
      <c r="T172" cm="1">
        <f t="array" ref="T172">SUMPRODUCT(IF(LEFT($A$4:$A$108,3)=LEFT($A172,3),IF($B$4:$B$108=$B172,IF($C$3:$AZ$3=T$112,$C$4:$AZ$108))))</f>
        <v>1377.3340000000001</v>
      </c>
      <c r="U172" cm="1">
        <f t="array" ref="U172">SUMPRODUCT(IF(LEFT($A$4:$A$108,3)=LEFT($A172,3),IF($B$4:$B$108=$B172,IF($C$3:$AZ$3=U$112,$C$4:$AZ$108))))</f>
        <v>438.86700000000002</v>
      </c>
      <c r="V172" cm="1">
        <f t="array" ref="V172">SUMPRODUCT(IF(LEFT($A$4:$A$108,3)=LEFT($A172,3),IF($B$4:$B$108=$B172,IF($C$3:$AZ$3=V$112,$C$4:$AZ$108))))</f>
        <v>407.488</v>
      </c>
      <c r="W172" cm="1">
        <f t="array" ref="W172">SUMPRODUCT(IF(LEFT($A$4:$A$108,3)=LEFT($A172,3),IF($B$4:$B$108=$B172,IF($C$3:$AZ$3=W$112,$C$4:$AZ$108))))</f>
        <v>1342.8810000000001</v>
      </c>
      <c r="X172" cm="1">
        <f t="array" ref="X172">SUMPRODUCT(IF(LEFT($A$4:$A$108,3)=LEFT($A172,3),IF($B$4:$B$108=$B172,IF($C$3:$AZ$3=X$112,$C$4:$AZ$108))))</f>
        <v>1063.8779999999999</v>
      </c>
      <c r="Y172" cm="1">
        <f t="array" ref="Y172">SUMPRODUCT(IF(LEFT($A$4:$A$108,3)=LEFT($A172,3),IF($B$4:$B$108=$B172,IF($C$3:$AZ$3=Y$112,$C$4:$AZ$108))))</f>
        <v>409.61400000000003</v>
      </c>
      <c r="Z172" cm="1">
        <f t="array" ref="Z172">SUMPRODUCT(IF(LEFT($A$4:$A$108,3)=LEFT($A172,3),IF($B$4:$B$108=$B172,IF($C$3:$AZ$3=Z$112,$C$4:$AZ$108))))</f>
        <v>120.878</v>
      </c>
      <c r="AA172" cm="1">
        <f t="array" ref="AA172">SUMPRODUCT(IF(LEFT($A$4:$A$108,3)=LEFT($A172,3),IF($B$4:$B$108=$B172,IF($C$3:$AZ$3=AA$112,$C$4:$AZ$108))))</f>
        <v>59.734000000000002</v>
      </c>
      <c r="AB172" cm="1">
        <f t="array" ref="AB172">SUMPRODUCT(IF(LEFT($A$4:$A$108,3)=LEFT($A172,3),IF($B$4:$B$108=$B172,IF($C$3:$AZ$3=AB$112,$C$4:$AZ$108))))</f>
        <v>6.2640000000000002</v>
      </c>
      <c r="AC172" cm="1">
        <f t="array" ref="AC172">SUMPRODUCT(IF(LEFT($A$4:$A$108,3)=LEFT($A172,3),IF($B$4:$B$108=$B172,IF($C$3:$AZ$3=AC$112,$C$4:$AZ$108))))</f>
        <v>19.837</v>
      </c>
      <c r="AD172" cm="1">
        <f t="array" ref="AD172">SUMPRODUCT(IF(LEFT($A$4:$A$108,3)=LEFT($A172,3),IF($B$4:$B$108=$B172,IF($C$3:$AZ$3=AD$112,$C$4:$AZ$108))))</f>
        <v>1264.7470000000001</v>
      </c>
      <c r="AE172" cm="1">
        <f t="array" ref="AE172">SUMPRODUCT(IF(LEFT($A$4:$A$108,3)=LEFT($A172,3),IF($B$4:$B$108=$B172,IF($C$3:$AZ$3=AE$112,$C$4:$AZ$108))))</f>
        <v>122.471</v>
      </c>
      <c r="AF172" cm="1">
        <f t="array" ref="AF172">SUMPRODUCT(IF(LEFT($A$4:$A$108,3)=LEFT($A172,3),IF($B$4:$B$108=$B172,IF($C$3:$AZ$3=AF$112,$C$4:$AZ$108))))</f>
        <v>39.92</v>
      </c>
      <c r="AG172" cm="1">
        <f t="array" ref="AG172">SUMPRODUCT(IF(LEFT($A$4:$A$108,3)=LEFT($A172,3),IF($B$4:$B$108=$B172,IF($C$3:$AZ$3=AG$112,$C$4:$AZ$108))))</f>
        <v>55.777999999999999</v>
      </c>
      <c r="AH172" cm="1">
        <f t="array" ref="AH172">SUMPRODUCT(IF(LEFT($A$4:$A$108,3)=LEFT($A172,3),IF($B$4:$B$108=$B172,IF($C$3:$AZ$3=AH$112,$C$4:$AZ$108))))</f>
        <v>5.2720000000000002</v>
      </c>
      <c r="AI172" cm="1">
        <f t="array" ref="AI172">SUMPRODUCT(IF(LEFT($A$4:$A$108,3)=LEFT($A172,3),IF($B$4:$B$108=$B172,IF($C$3:$AZ$3=AI$112,$C$4:$AZ$108))))</f>
        <v>13.347</v>
      </c>
      <c r="AJ172" cm="1">
        <f t="array" ref="AJ172">SUMPRODUCT(IF(LEFT($A$4:$A$108,3)=LEFT($A172,3),IF($B$4:$B$108=$B172,IF($C$3:$AZ$3=AJ$112,$C$4:$AZ$108))))</f>
        <v>7.11</v>
      </c>
      <c r="AK172" cm="1">
        <f t="array" ref="AK172">SUMPRODUCT(IF(LEFT($A$4:$A$108,3)=LEFT($A172,3),IF($B$4:$B$108=$B172,IF($C$3:$AZ$3=AK$112,$C$4:$AZ$108))))</f>
        <v>5.2450000000000001</v>
      </c>
      <c r="AL172" cm="1">
        <f t="array" ref="AL172">SUMPRODUCT(IF(LEFT($A$4:$A$108,3)=LEFT($A172,3),IF($B$4:$B$108=$B172,IF($C$3:$AZ$3=AL$112,$C$4:$AZ$108))))</f>
        <v>97.697000000000003</v>
      </c>
      <c r="AM172" cm="1">
        <f t="array" ref="AM172">SUMPRODUCT(IF(LEFT($A$4:$A$108,3)=LEFT($A172,3),IF($B$4:$B$108=$B172,IF($C$3:$AZ$3=AM$112,$C$4:$AZ$108))))</f>
        <v>104.28400000000001</v>
      </c>
      <c r="AN172" cm="1">
        <f t="array" ref="AN172">SUMPRODUCT(IF(LEFT($A$4:$A$108,3)=LEFT($A172,3),IF($B$4:$B$108=$B172,IF($C$3:$AZ$3=AN$112,$C$4:$AZ$108))))</f>
        <v>67.834000000000003</v>
      </c>
      <c r="AO172" cm="1">
        <f t="array" ref="AO172">SUMPRODUCT(IF(LEFT($A$4:$A$108,3)=LEFT($A172,3),IF($B$4:$B$108=$B172,IF($C$3:$AZ$3=AO$112,$C$4:$AZ$108))))</f>
        <v>21.783999999999999</v>
      </c>
      <c r="AP172" cm="1">
        <f t="array" ref="AP172">SUMPRODUCT(IF(LEFT($A$4:$A$108,3)=LEFT($A172,3),IF($B$4:$B$108=$B172,IF($C$3:$AZ$3=AP$112,$C$4:$AZ$108))))</f>
        <v>22.550999999999998</v>
      </c>
      <c r="AQ172" cm="1">
        <f t="array" ref="AQ172">SUMPRODUCT(IF(LEFT($A$4:$A$108,3)=LEFT($A172,3),IF($B$4:$B$108=$B172,IF($C$3:$AZ$3=AQ$112,$C$4:$AZ$108))))</f>
        <v>60.105999999999995</v>
      </c>
      <c r="AR172" cm="1">
        <f t="array" ref="AR172">SUMPRODUCT(IF(LEFT($A$4:$A$108,3)=LEFT($A172,3),IF($B$4:$B$108=$B172,IF($C$3:$AZ$3=AR$112,$C$4:$AZ$108))))</f>
        <v>0</v>
      </c>
      <c r="AS172">
        <v>0</v>
      </c>
    </row>
    <row r="173" spans="1:45">
      <c r="A173" t="s">
        <v>385</v>
      </c>
      <c r="B173" t="s">
        <v>14</v>
      </c>
      <c r="C173" cm="1">
        <f t="array" ref="C173">SUMPRODUCT(IF(LEFT($A$4:$A$108,3)=LEFT($A173,3),IF($B$4:$B$108=$B173,IF($C$3:$AZ$3=C$112,$C$4:$AZ$108))))</f>
        <v>26.888000000000002</v>
      </c>
      <c r="D173" cm="1">
        <f t="array" ref="D173">SUMPRODUCT(IF(LEFT($A$4:$A$108,3)=LEFT($A173,3),IF($B$4:$B$108=$B173,IF($C$3:$AZ$3=D$112,$C$4:$AZ$108))))</f>
        <v>0.32200000000000001</v>
      </c>
      <c r="E173" cm="1">
        <f t="array" ref="E173">SUMPRODUCT(IF(LEFT($A$4:$A$108,3)=LEFT($A173,3),IF($B$4:$B$108=$B173,IF($C$3:$AZ$3=E$112,$C$4:$AZ$108))))</f>
        <v>0.24</v>
      </c>
      <c r="F173" cm="1">
        <f t="array" ref="F173">SUMPRODUCT(IF(LEFT($A$4:$A$108,3)=LEFT($A173,3),IF($B$4:$B$108=$B173,IF($C$3:$AZ$3=F$112,$C$4:$AZ$108))))</f>
        <v>3.7750000000000004</v>
      </c>
      <c r="G173" cm="1">
        <f t="array" ref="G173">SUMPRODUCT(IF(LEFT($A$4:$A$108,3)=LEFT($A173,3),IF($B$4:$B$108=$B173,IF($C$3:$AZ$3=G$112,$C$4:$AZ$108))))</f>
        <v>2.1999999999999999E-2</v>
      </c>
      <c r="H173" cm="1">
        <f t="array" ref="H173">SUMPRODUCT(IF(LEFT($A$4:$A$108,3)=LEFT($A173,3),IF($B$4:$B$108=$B173,IF($C$3:$AZ$3=H$112,$C$4:$AZ$108))))</f>
        <v>69.861999999999995</v>
      </c>
      <c r="I173" cm="1">
        <f t="array" ref="I173">SUMPRODUCT(IF(LEFT($A$4:$A$108,3)=LEFT($A173,3),IF($B$4:$B$108=$B173,IF($C$3:$AZ$3=I$112,$C$4:$AZ$108))))</f>
        <v>32.198</v>
      </c>
      <c r="J173" cm="1">
        <f t="array" ref="J173">SUMPRODUCT(IF(LEFT($A$4:$A$108,3)=LEFT($A173,3),IF($B$4:$B$108=$B173,IF($C$3:$AZ$3=J$112,$C$4:$AZ$108))))</f>
        <v>5.468</v>
      </c>
      <c r="K173" cm="1">
        <f t="array" ref="K173">SUMPRODUCT(IF(LEFT($A$4:$A$108,3)=LEFT($A173,3),IF($B$4:$B$108=$B173,IF($C$3:$AZ$3=K$112,$C$4:$AZ$108))))</f>
        <v>41.970999999999997</v>
      </c>
      <c r="L173" cm="1">
        <f t="array" ref="L173">SUMPRODUCT(IF(LEFT($A$4:$A$108,3)=LEFT($A173,3),IF($B$4:$B$108=$B173,IF($C$3:$AZ$3=L$112,$C$4:$AZ$108))))</f>
        <v>44.298000000000002</v>
      </c>
      <c r="M173" cm="1">
        <f t="array" ref="M173">SUMPRODUCT(IF(LEFT($A$4:$A$108,3)=LEFT($A173,3),IF($B$4:$B$108=$B173,IF($C$3:$AZ$3=M$112,$C$4:$AZ$108))))</f>
        <v>239.57499999999999</v>
      </c>
      <c r="N173" cm="1">
        <f t="array" ref="N173">SUMPRODUCT(IF(LEFT($A$4:$A$108,3)=LEFT($A173,3),IF($B$4:$B$108=$B173,IF($C$3:$AZ$3=N$112,$C$4:$AZ$108))))</f>
        <v>26.15</v>
      </c>
      <c r="O173" cm="1">
        <f t="array" ref="O173">SUMPRODUCT(IF(LEFT($A$4:$A$108,3)=LEFT($A173,3),IF($B$4:$B$108=$B173,IF($C$3:$AZ$3=O$112,$C$4:$AZ$108))))</f>
        <v>76.796999999999997</v>
      </c>
      <c r="P173" s="4" cm="1">
        <f t="array" ref="P173">SUMPRODUCT(IF(LEFT($A$4:$A$108,3)=LEFT($A173,3),IF($B$4:$B$108=$B173,IF($C$3:$AZ$3=P$112,$C$4:$AZ$108))))*'Cement and Glass Split'!O66</f>
        <v>14.955632613763971</v>
      </c>
      <c r="Q173" s="4" cm="1">
        <f t="array" ref="Q173">SUMPRODUCT(IF(LEFT($A$4:$A$108,3)=LEFT($A173,3),IF($B$4:$B$108=$B173,IF($C$3:$AZ$3=P$112,$C$4:$AZ$108))))*'Cement and Glass Split'!P66</f>
        <v>24.922367386236029</v>
      </c>
      <c r="R173" cm="1">
        <f t="array" ref="R173">SUMPRODUCT(IF(LEFT($A$4:$A$108,3)=LEFT($A173,3),IF($B$4:$B$108=$B173,IF($C$3:$AZ$3=R$112,$C$4:$AZ$108))))</f>
        <v>62.076000000000001</v>
      </c>
      <c r="S173" cm="1">
        <f t="array" ref="S173">SUMPRODUCT(IF(LEFT($A$4:$A$108,3)=LEFT($A173,3),IF($B$4:$B$108=$B173,IF($C$3:$AZ$3=S$112,$C$4:$AZ$108))))</f>
        <v>48.856999999999999</v>
      </c>
      <c r="T173" cm="1">
        <f t="array" ref="T173">SUMPRODUCT(IF(LEFT($A$4:$A$108,3)=LEFT($A173,3),IF($B$4:$B$108=$B173,IF($C$3:$AZ$3=T$112,$C$4:$AZ$108))))</f>
        <v>277.80200000000002</v>
      </c>
      <c r="U173" cm="1">
        <f t="array" ref="U173">SUMPRODUCT(IF(LEFT($A$4:$A$108,3)=LEFT($A173,3),IF($B$4:$B$108=$B173,IF($C$3:$AZ$3=U$112,$C$4:$AZ$108))))</f>
        <v>45007.983</v>
      </c>
      <c r="V173" cm="1">
        <f t="array" ref="V173">SUMPRODUCT(IF(LEFT($A$4:$A$108,3)=LEFT($A173,3),IF($B$4:$B$108=$B173,IF($C$3:$AZ$3=V$112,$C$4:$AZ$108))))</f>
        <v>3493.8090000000002</v>
      </c>
      <c r="W173" cm="1">
        <f t="array" ref="W173">SUMPRODUCT(IF(LEFT($A$4:$A$108,3)=LEFT($A173,3),IF($B$4:$B$108=$B173,IF($C$3:$AZ$3=W$112,$C$4:$AZ$108))))</f>
        <v>2296.623</v>
      </c>
      <c r="X173" cm="1">
        <f t="array" ref="X173">SUMPRODUCT(IF(LEFT($A$4:$A$108,3)=LEFT($A173,3),IF($B$4:$B$108=$B173,IF($C$3:$AZ$3=X$112,$C$4:$AZ$108))))</f>
        <v>1738.075</v>
      </c>
      <c r="Y173" cm="1">
        <f t="array" ref="Y173">SUMPRODUCT(IF(LEFT($A$4:$A$108,3)=LEFT($A173,3),IF($B$4:$B$108=$B173,IF($C$3:$AZ$3=Y$112,$C$4:$AZ$108))))</f>
        <v>782.125</v>
      </c>
      <c r="Z173" cm="1">
        <f t="array" ref="Z173">SUMPRODUCT(IF(LEFT($A$4:$A$108,3)=LEFT($A173,3),IF($B$4:$B$108=$B173,IF($C$3:$AZ$3=Z$112,$C$4:$AZ$108))))</f>
        <v>205.80199999999999</v>
      </c>
      <c r="AA173" cm="1">
        <f t="array" ref="AA173">SUMPRODUCT(IF(LEFT($A$4:$A$108,3)=LEFT($A173,3),IF($B$4:$B$108=$B173,IF($C$3:$AZ$3=AA$112,$C$4:$AZ$108))))</f>
        <v>248.83699999999999</v>
      </c>
      <c r="AB173" cm="1">
        <f t="array" ref="AB173">SUMPRODUCT(IF(LEFT($A$4:$A$108,3)=LEFT($A173,3),IF($B$4:$B$108=$B173,IF($C$3:$AZ$3=AB$112,$C$4:$AZ$108))))</f>
        <v>14.701000000000001</v>
      </c>
      <c r="AC173" cm="1">
        <f t="array" ref="AC173">SUMPRODUCT(IF(LEFT($A$4:$A$108,3)=LEFT($A173,3),IF($B$4:$B$108=$B173,IF($C$3:$AZ$3=AC$112,$C$4:$AZ$108))))</f>
        <v>34.948999999999998</v>
      </c>
      <c r="AD173" cm="1">
        <f t="array" ref="AD173">SUMPRODUCT(IF(LEFT($A$4:$A$108,3)=LEFT($A173,3),IF($B$4:$B$108=$B173,IF($C$3:$AZ$3=AD$112,$C$4:$AZ$108))))</f>
        <v>770.56399999999996</v>
      </c>
      <c r="AE173" cm="1">
        <f t="array" ref="AE173">SUMPRODUCT(IF(LEFT($A$4:$A$108,3)=LEFT($A173,3),IF($B$4:$B$108=$B173,IF($C$3:$AZ$3=AE$112,$C$4:$AZ$108))))</f>
        <v>853.495</v>
      </c>
      <c r="AF173" cm="1">
        <f t="array" ref="AF173">SUMPRODUCT(IF(LEFT($A$4:$A$108,3)=LEFT($A173,3),IF($B$4:$B$108=$B173,IF($C$3:$AZ$3=AF$112,$C$4:$AZ$108))))</f>
        <v>205.36399999999998</v>
      </c>
      <c r="AG173" cm="1">
        <f t="array" ref="AG173">SUMPRODUCT(IF(LEFT($A$4:$A$108,3)=LEFT($A173,3),IF($B$4:$B$108=$B173,IF($C$3:$AZ$3=AG$112,$C$4:$AZ$108))))</f>
        <v>123.255</v>
      </c>
      <c r="AH173" cm="1">
        <f t="array" ref="AH173">SUMPRODUCT(IF(LEFT($A$4:$A$108,3)=LEFT($A173,3),IF($B$4:$B$108=$B173,IF($C$3:$AZ$3=AH$112,$C$4:$AZ$108))))</f>
        <v>227.102</v>
      </c>
      <c r="AI173" cm="1">
        <f t="array" ref="AI173">SUMPRODUCT(IF(LEFT($A$4:$A$108,3)=LEFT($A173,3),IF($B$4:$B$108=$B173,IF($C$3:$AZ$3=AI$112,$C$4:$AZ$108))))</f>
        <v>1463.2929999999999</v>
      </c>
      <c r="AJ173" cm="1">
        <f t="array" ref="AJ173">SUMPRODUCT(IF(LEFT($A$4:$A$108,3)=LEFT($A173,3),IF($B$4:$B$108=$B173,IF($C$3:$AZ$3=AJ$112,$C$4:$AZ$108))))</f>
        <v>769.87599999999998</v>
      </c>
      <c r="AK173" cm="1">
        <f t="array" ref="AK173">SUMPRODUCT(IF(LEFT($A$4:$A$108,3)=LEFT($A173,3),IF($B$4:$B$108=$B173,IF($C$3:$AZ$3=AK$112,$C$4:$AZ$108))))</f>
        <v>160.22999999999999</v>
      </c>
      <c r="AL173" cm="1">
        <f t="array" ref="AL173">SUMPRODUCT(IF(LEFT($A$4:$A$108,3)=LEFT($A173,3),IF($B$4:$B$108=$B173,IF($C$3:$AZ$3=AL$112,$C$4:$AZ$108))))</f>
        <v>70.010000000000005</v>
      </c>
      <c r="AM173" cm="1">
        <f t="array" ref="AM173">SUMPRODUCT(IF(LEFT($A$4:$A$108,3)=LEFT($A173,3),IF($B$4:$B$108=$B173,IF($C$3:$AZ$3=AM$112,$C$4:$AZ$108))))</f>
        <v>1058.3989999999999</v>
      </c>
      <c r="AN173" cm="1">
        <f t="array" ref="AN173">SUMPRODUCT(IF(LEFT($A$4:$A$108,3)=LEFT($A173,3),IF($B$4:$B$108=$B173,IF($C$3:$AZ$3=AN$112,$C$4:$AZ$108))))</f>
        <v>275.09300000000002</v>
      </c>
      <c r="AO173" cm="1">
        <f t="array" ref="AO173">SUMPRODUCT(IF(LEFT($A$4:$A$108,3)=LEFT($A173,3),IF($B$4:$B$108=$B173,IF($C$3:$AZ$3=AO$112,$C$4:$AZ$108))))</f>
        <v>322.49599999999998</v>
      </c>
      <c r="AP173" cm="1">
        <f t="array" ref="AP173">SUMPRODUCT(IF(LEFT($A$4:$A$108,3)=LEFT($A173,3),IF($B$4:$B$108=$B173,IF($C$3:$AZ$3=AP$112,$C$4:$AZ$108))))</f>
        <v>612.72900000000004</v>
      </c>
      <c r="AQ173" cm="1">
        <f t="array" ref="AQ173">SUMPRODUCT(IF(LEFT($A$4:$A$108,3)=LEFT($A173,3),IF($B$4:$B$108=$B173,IF($C$3:$AZ$3=AQ$112,$C$4:$AZ$108))))</f>
        <v>1062.068</v>
      </c>
      <c r="AR173" cm="1">
        <f t="array" ref="AR173">SUMPRODUCT(IF(LEFT($A$4:$A$108,3)=LEFT($A173,3),IF($B$4:$B$108=$B173,IF($C$3:$AZ$3=AR$112,$C$4:$AZ$108))))</f>
        <v>0</v>
      </c>
      <c r="AS173">
        <v>0</v>
      </c>
    </row>
    <row r="174" spans="1:45">
      <c r="A174" t="s">
        <v>385</v>
      </c>
      <c r="B174" t="s">
        <v>15</v>
      </c>
      <c r="C174" cm="1">
        <f t="array" ref="C174">SUMPRODUCT(IF(LEFT($A$4:$A$108,3)=LEFT($A174,3),IF($B$4:$B$108=$B174,IF($C$3:$AZ$3=C$112,$C$4:$AZ$108))))</f>
        <v>30.981000000000002</v>
      </c>
      <c r="D174" cm="1">
        <f t="array" ref="D174">SUMPRODUCT(IF(LEFT($A$4:$A$108,3)=LEFT($A174,3),IF($B$4:$B$108=$B174,IF($C$3:$AZ$3=D$112,$C$4:$AZ$108))))</f>
        <v>0.442</v>
      </c>
      <c r="E174" cm="1">
        <f t="array" ref="E174">SUMPRODUCT(IF(LEFT($A$4:$A$108,3)=LEFT($A174,3),IF($B$4:$B$108=$B174,IF($C$3:$AZ$3=E$112,$C$4:$AZ$108))))</f>
        <v>0.123</v>
      </c>
      <c r="F174" cm="1">
        <f t="array" ref="F174">SUMPRODUCT(IF(LEFT($A$4:$A$108,3)=LEFT($A174,3),IF($B$4:$B$108=$B174,IF($C$3:$AZ$3=F$112,$C$4:$AZ$108))))</f>
        <v>7.9190000000000005</v>
      </c>
      <c r="G174" cm="1">
        <f t="array" ref="G174">SUMPRODUCT(IF(LEFT($A$4:$A$108,3)=LEFT($A174,3),IF($B$4:$B$108=$B174,IF($C$3:$AZ$3=G$112,$C$4:$AZ$108))))</f>
        <v>3.4000000000000002E-2</v>
      </c>
      <c r="H174" cm="1">
        <f t="array" ref="H174">SUMPRODUCT(IF(LEFT($A$4:$A$108,3)=LEFT($A174,3),IF($B$4:$B$108=$B174,IF($C$3:$AZ$3=H$112,$C$4:$AZ$108))))</f>
        <v>64.295000000000002</v>
      </c>
      <c r="I174" cm="1">
        <f t="array" ref="I174">SUMPRODUCT(IF(LEFT($A$4:$A$108,3)=LEFT($A174,3),IF($B$4:$B$108=$B174,IF($C$3:$AZ$3=I$112,$C$4:$AZ$108))))</f>
        <v>19.13</v>
      </c>
      <c r="J174" cm="1">
        <f t="array" ref="J174">SUMPRODUCT(IF(LEFT($A$4:$A$108,3)=LEFT($A174,3),IF($B$4:$B$108=$B174,IF($C$3:$AZ$3=J$112,$C$4:$AZ$108))))</f>
        <v>4.931</v>
      </c>
      <c r="K174" cm="1">
        <f t="array" ref="K174">SUMPRODUCT(IF(LEFT($A$4:$A$108,3)=LEFT($A174,3),IF($B$4:$B$108=$B174,IF($C$3:$AZ$3=K$112,$C$4:$AZ$108))))</f>
        <v>27.638000000000002</v>
      </c>
      <c r="L174" cm="1">
        <f t="array" ref="L174">SUMPRODUCT(IF(LEFT($A$4:$A$108,3)=LEFT($A174,3),IF($B$4:$B$108=$B174,IF($C$3:$AZ$3=L$112,$C$4:$AZ$108))))</f>
        <v>17.454999999999998</v>
      </c>
      <c r="M174" cm="1">
        <f t="array" ref="M174">SUMPRODUCT(IF(LEFT($A$4:$A$108,3)=LEFT($A174,3),IF($B$4:$B$108=$B174,IF($C$3:$AZ$3=M$112,$C$4:$AZ$108))))</f>
        <v>104.122</v>
      </c>
      <c r="N174" cm="1">
        <f t="array" ref="N174">SUMPRODUCT(IF(LEFT($A$4:$A$108,3)=LEFT($A174,3),IF($B$4:$B$108=$B174,IF($C$3:$AZ$3=N$112,$C$4:$AZ$108))))</f>
        <v>12.053000000000001</v>
      </c>
      <c r="O174" cm="1">
        <f t="array" ref="O174">SUMPRODUCT(IF(LEFT($A$4:$A$108,3)=LEFT($A174,3),IF($B$4:$B$108=$B174,IF($C$3:$AZ$3=O$112,$C$4:$AZ$108))))</f>
        <v>61.405000000000001</v>
      </c>
      <c r="P174" s="4" cm="1">
        <f t="array" ref="P174">SUMPRODUCT(IF(LEFT($A$4:$A$108,3)=LEFT($A174,3),IF($B$4:$B$108=$B174,IF($C$3:$AZ$3=P$112,$C$4:$AZ$108))))*'Cement and Glass Split'!O67</f>
        <v>16.885268593631373</v>
      </c>
      <c r="Q174" s="4" cm="1">
        <f t="array" ref="Q174">SUMPRODUCT(IF(LEFT($A$4:$A$108,3)=LEFT($A174,3),IF($B$4:$B$108=$B174,IF($C$3:$AZ$3=P$112,$C$4:$AZ$108))))*'Cement and Glass Split'!P67</f>
        <v>22.804731406368621</v>
      </c>
      <c r="R174" cm="1">
        <f t="array" ref="R174">SUMPRODUCT(IF(LEFT($A$4:$A$108,3)=LEFT($A174,3),IF($B$4:$B$108=$B174,IF($C$3:$AZ$3=R$112,$C$4:$AZ$108))))</f>
        <v>92.662999999999997</v>
      </c>
      <c r="S174" cm="1">
        <f t="array" ref="S174">SUMPRODUCT(IF(LEFT($A$4:$A$108,3)=LEFT($A174,3),IF($B$4:$B$108=$B174,IF($C$3:$AZ$3=S$112,$C$4:$AZ$108))))</f>
        <v>73.784999999999997</v>
      </c>
      <c r="T174" cm="1">
        <f t="array" ref="T174">SUMPRODUCT(IF(LEFT($A$4:$A$108,3)=LEFT($A174,3),IF($B$4:$B$108=$B174,IF($C$3:$AZ$3=T$112,$C$4:$AZ$108))))</f>
        <v>266.79300000000001</v>
      </c>
      <c r="U174" cm="1">
        <f t="array" ref="U174">SUMPRODUCT(IF(LEFT($A$4:$A$108,3)=LEFT($A174,3),IF($B$4:$B$108=$B174,IF($C$3:$AZ$3=U$112,$C$4:$AZ$108))))</f>
        <v>3187.9290000000001</v>
      </c>
      <c r="V174" cm="1">
        <f t="array" ref="V174">SUMPRODUCT(IF(LEFT($A$4:$A$108,3)=LEFT($A174,3),IF($B$4:$B$108=$B174,IF($C$3:$AZ$3=V$112,$C$4:$AZ$108))))</f>
        <v>6645.2719999999999</v>
      </c>
      <c r="W174" cm="1">
        <f t="array" ref="W174">SUMPRODUCT(IF(LEFT($A$4:$A$108,3)=LEFT($A174,3),IF($B$4:$B$108=$B174,IF($C$3:$AZ$3=W$112,$C$4:$AZ$108))))</f>
        <v>1797.481</v>
      </c>
      <c r="X174" cm="1">
        <f t="array" ref="X174">SUMPRODUCT(IF(LEFT($A$4:$A$108,3)=LEFT($A174,3),IF($B$4:$B$108=$B174,IF($C$3:$AZ$3=X$112,$C$4:$AZ$108))))</f>
        <v>2571.848</v>
      </c>
      <c r="Y174" cm="1">
        <f t="array" ref="Y174">SUMPRODUCT(IF(LEFT($A$4:$A$108,3)=LEFT($A174,3),IF($B$4:$B$108=$B174,IF($C$3:$AZ$3=Y$112,$C$4:$AZ$108))))</f>
        <v>361.71800000000002</v>
      </c>
      <c r="Z174" cm="1">
        <f t="array" ref="Z174">SUMPRODUCT(IF(LEFT($A$4:$A$108,3)=LEFT($A174,3),IF($B$4:$B$108=$B174,IF($C$3:$AZ$3=Z$112,$C$4:$AZ$108))))</f>
        <v>119.764</v>
      </c>
      <c r="AA174" cm="1">
        <f t="array" ref="AA174">SUMPRODUCT(IF(LEFT($A$4:$A$108,3)=LEFT($A174,3),IF($B$4:$B$108=$B174,IF($C$3:$AZ$3=AA$112,$C$4:$AZ$108))))</f>
        <v>659.17499999999995</v>
      </c>
      <c r="AB174" cm="1">
        <f t="array" ref="AB174">SUMPRODUCT(IF(LEFT($A$4:$A$108,3)=LEFT($A174,3),IF($B$4:$B$108=$B174,IF($C$3:$AZ$3=AB$112,$C$4:$AZ$108))))</f>
        <v>21.728999999999999</v>
      </c>
      <c r="AC174" cm="1">
        <f t="array" ref="AC174">SUMPRODUCT(IF(LEFT($A$4:$A$108,3)=LEFT($A174,3),IF($B$4:$B$108=$B174,IF($C$3:$AZ$3=AC$112,$C$4:$AZ$108))))</f>
        <v>36.212000000000003</v>
      </c>
      <c r="AD174" cm="1">
        <f t="array" ref="AD174">SUMPRODUCT(IF(LEFT($A$4:$A$108,3)=LEFT($A174,3),IF($B$4:$B$108=$B174,IF($C$3:$AZ$3=AD$112,$C$4:$AZ$108))))</f>
        <v>2071.5569999999998</v>
      </c>
      <c r="AE174" cm="1">
        <f t="array" ref="AE174">SUMPRODUCT(IF(LEFT($A$4:$A$108,3)=LEFT($A174,3),IF($B$4:$B$108=$B174,IF($C$3:$AZ$3=AE$112,$C$4:$AZ$108))))</f>
        <v>480.13200000000001</v>
      </c>
      <c r="AF174" cm="1">
        <f t="array" ref="AF174">SUMPRODUCT(IF(LEFT($A$4:$A$108,3)=LEFT($A174,3),IF($B$4:$B$108=$B174,IF($C$3:$AZ$3=AF$112,$C$4:$AZ$108))))</f>
        <v>103.714</v>
      </c>
      <c r="AG174" cm="1">
        <f t="array" ref="AG174">SUMPRODUCT(IF(LEFT($A$4:$A$108,3)=LEFT($A174,3),IF($B$4:$B$108=$B174,IF($C$3:$AZ$3=AG$112,$C$4:$AZ$108))))</f>
        <v>82.203999999999994</v>
      </c>
      <c r="AH174" cm="1">
        <f t="array" ref="AH174">SUMPRODUCT(IF(LEFT($A$4:$A$108,3)=LEFT($A174,3),IF($B$4:$B$108=$B174,IF($C$3:$AZ$3=AH$112,$C$4:$AZ$108))))</f>
        <v>36.305</v>
      </c>
      <c r="AI174" cm="1">
        <f t="array" ref="AI174">SUMPRODUCT(IF(LEFT($A$4:$A$108,3)=LEFT($A174,3),IF($B$4:$B$108=$B174,IF($C$3:$AZ$3=AI$112,$C$4:$AZ$108))))</f>
        <v>254.965</v>
      </c>
      <c r="AJ174" cm="1">
        <f t="array" ref="AJ174">SUMPRODUCT(IF(LEFT($A$4:$A$108,3)=LEFT($A174,3),IF($B$4:$B$108=$B174,IF($C$3:$AZ$3=AJ$112,$C$4:$AZ$108))))</f>
        <v>73.494</v>
      </c>
      <c r="AK174" cm="1">
        <f t="array" ref="AK174">SUMPRODUCT(IF(LEFT($A$4:$A$108,3)=LEFT($A174,3),IF($B$4:$B$108=$B174,IF($C$3:$AZ$3=AK$112,$C$4:$AZ$108))))</f>
        <v>18.82</v>
      </c>
      <c r="AL174" cm="1">
        <f t="array" ref="AL174">SUMPRODUCT(IF(LEFT($A$4:$A$108,3)=LEFT($A174,3),IF($B$4:$B$108=$B174,IF($C$3:$AZ$3=AL$112,$C$4:$AZ$108))))</f>
        <v>81.507000000000005</v>
      </c>
      <c r="AM174" cm="1">
        <f t="array" ref="AM174">SUMPRODUCT(IF(LEFT($A$4:$A$108,3)=LEFT($A174,3),IF($B$4:$B$108=$B174,IF($C$3:$AZ$3=AM$112,$C$4:$AZ$108))))</f>
        <v>375.13400000000001</v>
      </c>
      <c r="AN174" cm="1">
        <f t="array" ref="AN174">SUMPRODUCT(IF(LEFT($A$4:$A$108,3)=LEFT($A174,3),IF($B$4:$B$108=$B174,IF($C$3:$AZ$3=AN$112,$C$4:$AZ$108))))</f>
        <v>128.41300000000001</v>
      </c>
      <c r="AO174" cm="1">
        <f t="array" ref="AO174">SUMPRODUCT(IF(LEFT($A$4:$A$108,3)=LEFT($A174,3),IF($B$4:$B$108=$B174,IF($C$3:$AZ$3=AO$112,$C$4:$AZ$108))))</f>
        <v>68.319999999999993</v>
      </c>
      <c r="AP174" cm="1">
        <f t="array" ref="AP174">SUMPRODUCT(IF(LEFT($A$4:$A$108,3)=LEFT($A174,3),IF($B$4:$B$108=$B174,IF($C$3:$AZ$3=AP$112,$C$4:$AZ$108))))</f>
        <v>98.313000000000002</v>
      </c>
      <c r="AQ174" cm="1">
        <f t="array" ref="AQ174">SUMPRODUCT(IF(LEFT($A$4:$A$108,3)=LEFT($A174,3),IF($B$4:$B$108=$B174,IF($C$3:$AZ$3=AQ$112,$C$4:$AZ$108))))</f>
        <v>356.41699999999997</v>
      </c>
      <c r="AR174" cm="1">
        <f t="array" ref="AR174">SUMPRODUCT(IF(LEFT($A$4:$A$108,3)=LEFT($A174,3),IF($B$4:$B$108=$B174,IF($C$3:$AZ$3=AR$112,$C$4:$AZ$108))))</f>
        <v>0</v>
      </c>
      <c r="AS174">
        <v>0</v>
      </c>
    </row>
    <row r="175" spans="1:45">
      <c r="A175" t="s">
        <v>385</v>
      </c>
      <c r="B175" t="s">
        <v>16</v>
      </c>
      <c r="C175" cm="1">
        <f t="array" ref="C175">SUMPRODUCT(IF(LEFT($A$4:$A$108,3)=LEFT($A175,3),IF($B$4:$B$108=$B175,IF($C$3:$AZ$3=C$112,$C$4:$AZ$108))))</f>
        <v>96.981999999999999</v>
      </c>
      <c r="D175" cm="1">
        <f t="array" ref="D175">SUMPRODUCT(IF(LEFT($A$4:$A$108,3)=LEFT($A175,3),IF($B$4:$B$108=$B175,IF($C$3:$AZ$3=D$112,$C$4:$AZ$108))))</f>
        <v>3.5110000000000001</v>
      </c>
      <c r="E175" cm="1">
        <f t="array" ref="E175">SUMPRODUCT(IF(LEFT($A$4:$A$108,3)=LEFT($A175,3),IF($B$4:$B$108=$B175,IF($C$3:$AZ$3=E$112,$C$4:$AZ$108))))</f>
        <v>1.31</v>
      </c>
      <c r="F175" cm="1">
        <f t="array" ref="F175">SUMPRODUCT(IF(LEFT($A$4:$A$108,3)=LEFT($A175,3),IF($B$4:$B$108=$B175,IF($C$3:$AZ$3=F$112,$C$4:$AZ$108))))</f>
        <v>29.111999999999998</v>
      </c>
      <c r="G175" cm="1">
        <f t="array" ref="G175">SUMPRODUCT(IF(LEFT($A$4:$A$108,3)=LEFT($A175,3),IF($B$4:$B$108=$B175,IF($C$3:$AZ$3=G$112,$C$4:$AZ$108))))</f>
        <v>0.16200000000000001</v>
      </c>
      <c r="H175" cm="1">
        <f t="array" ref="H175">SUMPRODUCT(IF(LEFT($A$4:$A$108,3)=LEFT($A175,3),IF($B$4:$B$108=$B175,IF($C$3:$AZ$3=H$112,$C$4:$AZ$108))))</f>
        <v>229.52199999999999</v>
      </c>
      <c r="I175" cm="1">
        <f t="array" ref="I175">SUMPRODUCT(IF(LEFT($A$4:$A$108,3)=LEFT($A175,3),IF($B$4:$B$108=$B175,IF($C$3:$AZ$3=I$112,$C$4:$AZ$108))))</f>
        <v>74.063000000000002</v>
      </c>
      <c r="J175" cm="1">
        <f t="array" ref="J175">SUMPRODUCT(IF(LEFT($A$4:$A$108,3)=LEFT($A175,3),IF($B$4:$B$108=$B175,IF($C$3:$AZ$3=J$112,$C$4:$AZ$108))))</f>
        <v>23.036999999999999</v>
      </c>
      <c r="K175" cm="1">
        <f t="array" ref="K175">SUMPRODUCT(IF(LEFT($A$4:$A$108,3)=LEFT($A175,3),IF($B$4:$B$108=$B175,IF($C$3:$AZ$3=K$112,$C$4:$AZ$108))))</f>
        <v>83.287000000000006</v>
      </c>
      <c r="L175" cm="1">
        <f t="array" ref="L175">SUMPRODUCT(IF(LEFT($A$4:$A$108,3)=LEFT($A175,3),IF($B$4:$B$108=$B175,IF($C$3:$AZ$3=L$112,$C$4:$AZ$108))))</f>
        <v>108.771</v>
      </c>
      <c r="M175" cm="1">
        <f t="array" ref="M175">SUMPRODUCT(IF(LEFT($A$4:$A$108,3)=LEFT($A175,3),IF($B$4:$B$108=$B175,IF($C$3:$AZ$3=M$112,$C$4:$AZ$108))))</f>
        <v>273.52</v>
      </c>
      <c r="N175" cm="1">
        <f t="array" ref="N175">SUMPRODUCT(IF(LEFT($A$4:$A$108,3)=LEFT($A175,3),IF($B$4:$B$108=$B175,IF($C$3:$AZ$3=N$112,$C$4:$AZ$108))))</f>
        <v>25.843</v>
      </c>
      <c r="O175" cm="1">
        <f t="array" ref="O175">SUMPRODUCT(IF(LEFT($A$4:$A$108,3)=LEFT($A175,3),IF($B$4:$B$108=$B175,IF($C$3:$AZ$3=O$112,$C$4:$AZ$108))))</f>
        <v>140.13399999999999</v>
      </c>
      <c r="P175" s="4" cm="1">
        <f t="array" ref="P175">SUMPRODUCT(IF(LEFT($A$4:$A$108,3)=LEFT($A175,3),IF($B$4:$B$108=$B175,IF($C$3:$AZ$3=P$112,$C$4:$AZ$108))))*'Cement and Glass Split'!O68</f>
        <v>73.849680879429911</v>
      </c>
      <c r="Q175" s="4" cm="1">
        <f t="array" ref="Q175">SUMPRODUCT(IF(LEFT($A$4:$A$108,3)=LEFT($A175,3),IF($B$4:$B$108=$B175,IF($C$3:$AZ$3=P$112,$C$4:$AZ$108))))*'Cement and Glass Split'!P68</f>
        <v>139.67831912057005</v>
      </c>
      <c r="R175" cm="1">
        <f t="array" ref="R175">SUMPRODUCT(IF(LEFT($A$4:$A$108,3)=LEFT($A175,3),IF($B$4:$B$108=$B175,IF($C$3:$AZ$3=R$112,$C$4:$AZ$108))))</f>
        <v>300.92200000000003</v>
      </c>
      <c r="S175" cm="1">
        <f t="array" ref="S175">SUMPRODUCT(IF(LEFT($A$4:$A$108,3)=LEFT($A175,3),IF($B$4:$B$108=$B175,IF($C$3:$AZ$3=S$112,$C$4:$AZ$108))))</f>
        <v>102.771</v>
      </c>
      <c r="T175" cm="1">
        <f t="array" ref="T175">SUMPRODUCT(IF(LEFT($A$4:$A$108,3)=LEFT($A175,3),IF($B$4:$B$108=$B175,IF($C$3:$AZ$3=T$112,$C$4:$AZ$108))))</f>
        <v>470.77300000000002</v>
      </c>
      <c r="U175" cm="1">
        <f t="array" ref="U175">SUMPRODUCT(IF(LEFT($A$4:$A$108,3)=LEFT($A175,3),IF($B$4:$B$108=$B175,IF($C$3:$AZ$3=U$112,$C$4:$AZ$108))))</f>
        <v>751.87400000000002</v>
      </c>
      <c r="V175" cm="1">
        <f t="array" ref="V175">SUMPRODUCT(IF(LEFT($A$4:$A$108,3)=LEFT($A175,3),IF($B$4:$B$108=$B175,IF($C$3:$AZ$3=V$112,$C$4:$AZ$108))))</f>
        <v>891.20399999999995</v>
      </c>
      <c r="W175" cm="1">
        <f t="array" ref="W175">SUMPRODUCT(IF(LEFT($A$4:$A$108,3)=LEFT($A175,3),IF($B$4:$B$108=$B175,IF($C$3:$AZ$3=W$112,$C$4:$AZ$108))))</f>
        <v>6882.4279999999999</v>
      </c>
      <c r="X175" cm="1">
        <f t="array" ref="X175">SUMPRODUCT(IF(LEFT($A$4:$A$108,3)=LEFT($A175,3),IF($B$4:$B$108=$B175,IF($C$3:$AZ$3=X$112,$C$4:$AZ$108))))</f>
        <v>2038.059</v>
      </c>
      <c r="Y175" cm="1">
        <f t="array" ref="Y175">SUMPRODUCT(IF(LEFT($A$4:$A$108,3)=LEFT($A175,3),IF($B$4:$B$108=$B175,IF($C$3:$AZ$3=Y$112,$C$4:$AZ$108))))</f>
        <v>829.25099999999998</v>
      </c>
      <c r="Z175" cm="1">
        <f t="array" ref="Z175">SUMPRODUCT(IF(LEFT($A$4:$A$108,3)=LEFT($A175,3),IF($B$4:$B$108=$B175,IF($C$3:$AZ$3=Z$112,$C$4:$AZ$108))))</f>
        <v>171.15799999999999</v>
      </c>
      <c r="AA175" cm="1">
        <f t="array" ref="AA175">SUMPRODUCT(IF(LEFT($A$4:$A$108,3)=LEFT($A175,3),IF($B$4:$B$108=$B175,IF($C$3:$AZ$3=AA$112,$C$4:$AZ$108))))</f>
        <v>343.65499999999997</v>
      </c>
      <c r="AB175" cm="1">
        <f t="array" ref="AB175">SUMPRODUCT(IF(LEFT($A$4:$A$108,3)=LEFT($A175,3),IF($B$4:$B$108=$B175,IF($C$3:$AZ$3=AB$112,$C$4:$AZ$108))))</f>
        <v>25.11</v>
      </c>
      <c r="AC175" cm="1">
        <f t="array" ref="AC175">SUMPRODUCT(IF(LEFT($A$4:$A$108,3)=LEFT($A175,3),IF($B$4:$B$108=$B175,IF($C$3:$AZ$3=AC$112,$C$4:$AZ$108))))</f>
        <v>74.581999999999994</v>
      </c>
      <c r="AD175" cm="1">
        <f t="array" ref="AD175">SUMPRODUCT(IF(LEFT($A$4:$A$108,3)=LEFT($A175,3),IF($B$4:$B$108=$B175,IF($C$3:$AZ$3=AD$112,$C$4:$AZ$108))))</f>
        <v>1198.4280000000001</v>
      </c>
      <c r="AE175" cm="1">
        <f t="array" ref="AE175">SUMPRODUCT(IF(LEFT($A$4:$A$108,3)=LEFT($A175,3),IF($B$4:$B$108=$B175,IF($C$3:$AZ$3=AE$112,$C$4:$AZ$108))))</f>
        <v>453.81900000000002</v>
      </c>
      <c r="AF175" cm="1">
        <f t="array" ref="AF175">SUMPRODUCT(IF(LEFT($A$4:$A$108,3)=LEFT($A175,3),IF($B$4:$B$108=$B175,IF($C$3:$AZ$3=AF$112,$C$4:$AZ$108))))</f>
        <v>129.78700000000001</v>
      </c>
      <c r="AG175" cm="1">
        <f t="array" ref="AG175">SUMPRODUCT(IF(LEFT($A$4:$A$108,3)=LEFT($A175,3),IF($B$4:$B$108=$B175,IF($C$3:$AZ$3=AG$112,$C$4:$AZ$108))))</f>
        <v>53.02</v>
      </c>
      <c r="AH175" cm="1">
        <f t="array" ref="AH175">SUMPRODUCT(IF(LEFT($A$4:$A$108,3)=LEFT($A175,3),IF($B$4:$B$108=$B175,IF($C$3:$AZ$3=AH$112,$C$4:$AZ$108))))</f>
        <v>23.667999999999999</v>
      </c>
      <c r="AI175" cm="1">
        <f t="array" ref="AI175">SUMPRODUCT(IF(LEFT($A$4:$A$108,3)=LEFT($A175,3),IF($B$4:$B$108=$B175,IF($C$3:$AZ$3=AI$112,$C$4:$AZ$108))))</f>
        <v>48.902000000000001</v>
      </c>
      <c r="AJ175" cm="1">
        <f t="array" ref="AJ175">SUMPRODUCT(IF(LEFT($A$4:$A$108,3)=LEFT($A175,3),IF($B$4:$B$108=$B175,IF($C$3:$AZ$3=AJ$112,$C$4:$AZ$108))))</f>
        <v>35.25</v>
      </c>
      <c r="AK175" cm="1">
        <f t="array" ref="AK175">SUMPRODUCT(IF(LEFT($A$4:$A$108,3)=LEFT($A175,3),IF($B$4:$B$108=$B175,IF($C$3:$AZ$3=AK$112,$C$4:$AZ$108))))</f>
        <v>51.512</v>
      </c>
      <c r="AL175" cm="1">
        <f t="array" ref="AL175">SUMPRODUCT(IF(LEFT($A$4:$A$108,3)=LEFT($A175,3),IF($B$4:$B$108=$B175,IF($C$3:$AZ$3=AL$112,$C$4:$AZ$108))))</f>
        <v>37.76</v>
      </c>
      <c r="AM175" cm="1">
        <f t="array" ref="AM175">SUMPRODUCT(IF(LEFT($A$4:$A$108,3)=LEFT($A175,3),IF($B$4:$B$108=$B175,IF($C$3:$AZ$3=AM$112,$C$4:$AZ$108))))</f>
        <v>360.42</v>
      </c>
      <c r="AN175" cm="1">
        <f t="array" ref="AN175">SUMPRODUCT(IF(LEFT($A$4:$A$108,3)=LEFT($A175,3),IF($B$4:$B$108=$B175,IF($C$3:$AZ$3=AN$112,$C$4:$AZ$108))))</f>
        <v>110.492</v>
      </c>
      <c r="AO175" cm="1">
        <f t="array" ref="AO175">SUMPRODUCT(IF(LEFT($A$4:$A$108,3)=LEFT($A175,3),IF($B$4:$B$108=$B175,IF($C$3:$AZ$3=AO$112,$C$4:$AZ$108))))</f>
        <v>62.698999999999998</v>
      </c>
      <c r="AP175" cm="1">
        <f t="array" ref="AP175">SUMPRODUCT(IF(LEFT($A$4:$A$108,3)=LEFT($A175,3),IF($B$4:$B$108=$B175,IF($C$3:$AZ$3=AP$112,$C$4:$AZ$108))))</f>
        <v>92.468000000000004</v>
      </c>
      <c r="AQ175" cm="1">
        <f t="array" ref="AQ175">SUMPRODUCT(IF(LEFT($A$4:$A$108,3)=LEFT($A175,3),IF($B$4:$B$108=$B175,IF($C$3:$AZ$3=AQ$112,$C$4:$AZ$108))))</f>
        <v>149.108</v>
      </c>
      <c r="AR175" cm="1">
        <f t="array" ref="AR175">SUMPRODUCT(IF(LEFT($A$4:$A$108,3)=LEFT($A175,3),IF($B$4:$B$108=$B175,IF($C$3:$AZ$3=AR$112,$C$4:$AZ$108))))</f>
        <v>0</v>
      </c>
      <c r="AS175">
        <v>0</v>
      </c>
    </row>
    <row r="176" spans="1:45">
      <c r="A176" t="s">
        <v>385</v>
      </c>
      <c r="B176" t="s">
        <v>17</v>
      </c>
      <c r="C176" cm="1">
        <f t="array" ref="C176">SUMPRODUCT(IF(LEFT($A$4:$A$108,3)=LEFT($A176,3),IF($B$4:$B$108=$B176,IF($C$3:$AZ$3=C$112,$C$4:$AZ$108))))</f>
        <v>9.386000000000001</v>
      </c>
      <c r="D176" cm="1">
        <f t="array" ref="D176">SUMPRODUCT(IF(LEFT($A$4:$A$108,3)=LEFT($A176,3),IF($B$4:$B$108=$B176,IF($C$3:$AZ$3=D$112,$C$4:$AZ$108))))</f>
        <v>6.3E-2</v>
      </c>
      <c r="E176" cm="1">
        <f t="array" ref="E176">SUMPRODUCT(IF(LEFT($A$4:$A$108,3)=LEFT($A176,3),IF($B$4:$B$108=$B176,IF($C$3:$AZ$3=E$112,$C$4:$AZ$108))))</f>
        <v>4.1000000000000002E-2</v>
      </c>
      <c r="F176" cm="1">
        <f t="array" ref="F176">SUMPRODUCT(IF(LEFT($A$4:$A$108,3)=LEFT($A176,3),IF($B$4:$B$108=$B176,IF($C$3:$AZ$3=F$112,$C$4:$AZ$108))))</f>
        <v>1.6620000000000001</v>
      </c>
      <c r="G176" cm="1">
        <f t="array" ref="G176">SUMPRODUCT(IF(LEFT($A$4:$A$108,3)=LEFT($A176,3),IF($B$4:$B$108=$B176,IF($C$3:$AZ$3=G$112,$C$4:$AZ$108))))</f>
        <v>6.0000000000000001E-3</v>
      </c>
      <c r="H176" cm="1">
        <f t="array" ref="H176">SUMPRODUCT(IF(LEFT($A$4:$A$108,3)=LEFT($A176,3),IF($B$4:$B$108=$B176,IF($C$3:$AZ$3=H$112,$C$4:$AZ$108))))</f>
        <v>16.466999999999999</v>
      </c>
      <c r="I176" cm="1">
        <f t="array" ref="I176">SUMPRODUCT(IF(LEFT($A$4:$A$108,3)=LEFT($A176,3),IF($B$4:$B$108=$B176,IF($C$3:$AZ$3=I$112,$C$4:$AZ$108))))</f>
        <v>4.5860000000000003</v>
      </c>
      <c r="J176" cm="1">
        <f t="array" ref="J176">SUMPRODUCT(IF(LEFT($A$4:$A$108,3)=LEFT($A176,3),IF($B$4:$B$108=$B176,IF($C$3:$AZ$3=J$112,$C$4:$AZ$108))))</f>
        <v>1.5620000000000001</v>
      </c>
      <c r="K176" cm="1">
        <f t="array" ref="K176">SUMPRODUCT(IF(LEFT($A$4:$A$108,3)=LEFT($A176,3),IF($B$4:$B$108=$B176,IF($C$3:$AZ$3=K$112,$C$4:$AZ$108))))</f>
        <v>3.3780000000000001</v>
      </c>
      <c r="L176" cm="1">
        <f t="array" ref="L176">SUMPRODUCT(IF(LEFT($A$4:$A$108,3)=LEFT($A176,3),IF($B$4:$B$108=$B176,IF($C$3:$AZ$3=L$112,$C$4:$AZ$108))))</f>
        <v>6.7709999999999999</v>
      </c>
      <c r="M176" cm="1">
        <f t="array" ref="M176">SUMPRODUCT(IF(LEFT($A$4:$A$108,3)=LEFT($A176,3),IF($B$4:$B$108=$B176,IF($C$3:$AZ$3=M$112,$C$4:$AZ$108))))</f>
        <v>22.893999999999998</v>
      </c>
      <c r="N176" cm="1">
        <f t="array" ref="N176">SUMPRODUCT(IF(LEFT($A$4:$A$108,3)=LEFT($A176,3),IF($B$4:$B$108=$B176,IF($C$3:$AZ$3=N$112,$C$4:$AZ$108))))</f>
        <v>2.5939999999999999</v>
      </c>
      <c r="O176" cm="1">
        <f t="array" ref="O176">SUMPRODUCT(IF(LEFT($A$4:$A$108,3)=LEFT($A176,3),IF($B$4:$B$108=$B176,IF($C$3:$AZ$3=O$112,$C$4:$AZ$108))))</f>
        <v>14.215</v>
      </c>
      <c r="P176" s="4" cm="1">
        <f t="array" ref="P176">SUMPRODUCT(IF(LEFT($A$4:$A$108,3)=LEFT($A176,3),IF($B$4:$B$108=$B176,IF($C$3:$AZ$3=P$112,$C$4:$AZ$108))))*'Cement and Glass Split'!O69</f>
        <v>1.1522228272042849</v>
      </c>
      <c r="Q176" s="4" cm="1">
        <f t="array" ref="Q176">SUMPRODUCT(IF(LEFT($A$4:$A$108,3)=LEFT($A176,3),IF($B$4:$B$108=$B176,IF($C$3:$AZ$3=P$112,$C$4:$AZ$108))))*'Cement and Glass Split'!P69</f>
        <v>13.287777172795714</v>
      </c>
      <c r="R176" cm="1">
        <f t="array" ref="R176">SUMPRODUCT(IF(LEFT($A$4:$A$108,3)=LEFT($A176,3),IF($B$4:$B$108=$B176,IF($C$3:$AZ$3=R$112,$C$4:$AZ$108))))</f>
        <v>18.443999999999999</v>
      </c>
      <c r="S176" cm="1">
        <f t="array" ref="S176">SUMPRODUCT(IF(LEFT($A$4:$A$108,3)=LEFT($A176,3),IF($B$4:$B$108=$B176,IF($C$3:$AZ$3=S$112,$C$4:$AZ$108))))</f>
        <v>19.757999999999999</v>
      </c>
      <c r="T176" cm="1">
        <f t="array" ref="T176">SUMPRODUCT(IF(LEFT($A$4:$A$108,3)=LEFT($A176,3),IF($B$4:$B$108=$B176,IF($C$3:$AZ$3=T$112,$C$4:$AZ$108))))</f>
        <v>32.497</v>
      </c>
      <c r="U176" cm="1">
        <f t="array" ref="U176">SUMPRODUCT(IF(LEFT($A$4:$A$108,3)=LEFT($A176,3),IF($B$4:$B$108=$B176,IF($C$3:$AZ$3=U$112,$C$4:$AZ$108))))</f>
        <v>102.032</v>
      </c>
      <c r="V176" cm="1">
        <f t="array" ref="V176">SUMPRODUCT(IF(LEFT($A$4:$A$108,3)=LEFT($A176,3),IF($B$4:$B$108=$B176,IF($C$3:$AZ$3=V$112,$C$4:$AZ$108))))</f>
        <v>90.153000000000006</v>
      </c>
      <c r="W176" cm="1">
        <f t="array" ref="W176">SUMPRODUCT(IF(LEFT($A$4:$A$108,3)=LEFT($A176,3),IF($B$4:$B$108=$B176,IF($C$3:$AZ$3=W$112,$C$4:$AZ$108))))</f>
        <v>183.011</v>
      </c>
      <c r="X176" cm="1">
        <f t="array" ref="X176">SUMPRODUCT(IF(LEFT($A$4:$A$108,3)=LEFT($A176,3),IF($B$4:$B$108=$B176,IF($C$3:$AZ$3=X$112,$C$4:$AZ$108))))</f>
        <v>8510.5239999999994</v>
      </c>
      <c r="Y176" cm="1">
        <f t="array" ref="Y176">SUMPRODUCT(IF(LEFT($A$4:$A$108,3)=LEFT($A176,3),IF($B$4:$B$108=$B176,IF($C$3:$AZ$3=Y$112,$C$4:$AZ$108))))</f>
        <v>47.076000000000001</v>
      </c>
      <c r="Z176" cm="1">
        <f t="array" ref="Z176">SUMPRODUCT(IF(LEFT($A$4:$A$108,3)=LEFT($A176,3),IF($B$4:$B$108=$B176,IF($C$3:$AZ$3=Z$112,$C$4:$AZ$108))))</f>
        <v>10.916</v>
      </c>
      <c r="AA176" cm="1">
        <f t="array" ref="AA176">SUMPRODUCT(IF(LEFT($A$4:$A$108,3)=LEFT($A176,3),IF($B$4:$B$108=$B176,IF($C$3:$AZ$3=AA$112,$C$4:$AZ$108))))</f>
        <v>20.762</v>
      </c>
      <c r="AB176" cm="1">
        <f t="array" ref="AB176">SUMPRODUCT(IF(LEFT($A$4:$A$108,3)=LEFT($A176,3),IF($B$4:$B$108=$B176,IF($C$3:$AZ$3=AB$112,$C$4:$AZ$108))))</f>
        <v>46.36</v>
      </c>
      <c r="AC176" cm="1">
        <f t="array" ref="AC176">SUMPRODUCT(IF(LEFT($A$4:$A$108,3)=LEFT($A176,3),IF($B$4:$B$108=$B176,IF($C$3:$AZ$3=AC$112,$C$4:$AZ$108))))</f>
        <v>9.7680000000000007</v>
      </c>
      <c r="AD176" cm="1">
        <f t="array" ref="AD176">SUMPRODUCT(IF(LEFT($A$4:$A$108,3)=LEFT($A176,3),IF($B$4:$B$108=$B176,IF($C$3:$AZ$3=AD$112,$C$4:$AZ$108))))</f>
        <v>71.849999999999994</v>
      </c>
      <c r="AE176" cm="1">
        <f t="array" ref="AE176">SUMPRODUCT(IF(LEFT($A$4:$A$108,3)=LEFT($A176,3),IF($B$4:$B$108=$B176,IF($C$3:$AZ$3=AE$112,$C$4:$AZ$108))))</f>
        <v>1011.545</v>
      </c>
      <c r="AF176" cm="1">
        <f t="array" ref="AF176">SUMPRODUCT(IF(LEFT($A$4:$A$108,3)=LEFT($A176,3),IF($B$4:$B$108=$B176,IF($C$3:$AZ$3=AF$112,$C$4:$AZ$108))))</f>
        <v>59.347000000000008</v>
      </c>
      <c r="AG176" cm="1">
        <f t="array" ref="AG176">SUMPRODUCT(IF(LEFT($A$4:$A$108,3)=LEFT($A176,3),IF($B$4:$B$108=$B176,IF($C$3:$AZ$3=AG$112,$C$4:$AZ$108))))</f>
        <v>9.1210000000000004</v>
      </c>
      <c r="AH176" cm="1">
        <f t="array" ref="AH176">SUMPRODUCT(IF(LEFT($A$4:$A$108,3)=LEFT($A176,3),IF($B$4:$B$108=$B176,IF($C$3:$AZ$3=AH$112,$C$4:$AZ$108))))</f>
        <v>3.5720000000000001</v>
      </c>
      <c r="AI176" cm="1">
        <f t="array" ref="AI176">SUMPRODUCT(IF(LEFT($A$4:$A$108,3)=LEFT($A176,3),IF($B$4:$B$108=$B176,IF($C$3:$AZ$3=AI$112,$C$4:$AZ$108))))</f>
        <v>7.391</v>
      </c>
      <c r="AJ176" cm="1">
        <f t="array" ref="AJ176">SUMPRODUCT(IF(LEFT($A$4:$A$108,3)=LEFT($A176,3),IF($B$4:$B$108=$B176,IF($C$3:$AZ$3=AJ$112,$C$4:$AZ$108))))</f>
        <v>6.9029999999999996</v>
      </c>
      <c r="AK176" cm="1">
        <f t="array" ref="AK176">SUMPRODUCT(IF(LEFT($A$4:$A$108,3)=LEFT($A176,3),IF($B$4:$B$108=$B176,IF($C$3:$AZ$3=AK$112,$C$4:$AZ$108))))</f>
        <v>6.4779999999999998</v>
      </c>
      <c r="AL176" cm="1">
        <f t="array" ref="AL176">SUMPRODUCT(IF(LEFT($A$4:$A$108,3)=LEFT($A176,3),IF($B$4:$B$108=$B176,IF($C$3:$AZ$3=AL$112,$C$4:$AZ$108))))</f>
        <v>7.5010000000000003</v>
      </c>
      <c r="AM176" cm="1">
        <f t="array" ref="AM176">SUMPRODUCT(IF(LEFT($A$4:$A$108,3)=LEFT($A176,3),IF($B$4:$B$108=$B176,IF($C$3:$AZ$3=AM$112,$C$4:$AZ$108))))</f>
        <v>78.741</v>
      </c>
      <c r="AN176" cm="1">
        <f t="array" ref="AN176">SUMPRODUCT(IF(LEFT($A$4:$A$108,3)=LEFT($A176,3),IF($B$4:$B$108=$B176,IF($C$3:$AZ$3=AN$112,$C$4:$AZ$108))))</f>
        <v>17.701000000000001</v>
      </c>
      <c r="AO176" cm="1">
        <f t="array" ref="AO176">SUMPRODUCT(IF(LEFT($A$4:$A$108,3)=LEFT($A176,3),IF($B$4:$B$108=$B176,IF($C$3:$AZ$3=AO$112,$C$4:$AZ$108))))</f>
        <v>11.79</v>
      </c>
      <c r="AP176" cm="1">
        <f t="array" ref="AP176">SUMPRODUCT(IF(LEFT($A$4:$A$108,3)=LEFT($A176,3),IF($B$4:$B$108=$B176,IF($C$3:$AZ$3=AP$112,$C$4:$AZ$108))))</f>
        <v>12.202999999999999</v>
      </c>
      <c r="AQ176" cm="1">
        <f t="array" ref="AQ176">SUMPRODUCT(IF(LEFT($A$4:$A$108,3)=LEFT($A176,3),IF($B$4:$B$108=$B176,IF($C$3:$AZ$3=AQ$112,$C$4:$AZ$108))))</f>
        <v>20.847000000000001</v>
      </c>
      <c r="AR176" cm="1">
        <f t="array" ref="AR176">SUMPRODUCT(IF(LEFT($A$4:$A$108,3)=LEFT($A176,3),IF($B$4:$B$108=$B176,IF($C$3:$AZ$3=AR$112,$C$4:$AZ$108))))</f>
        <v>0</v>
      </c>
      <c r="AS176">
        <v>0</v>
      </c>
    </row>
    <row r="177" spans="1:45">
      <c r="A177" t="s">
        <v>385</v>
      </c>
      <c r="B177" t="s">
        <v>18</v>
      </c>
      <c r="C177" cm="1">
        <f t="array" ref="C177">SUMPRODUCT(IF(LEFT($A$4:$A$108,3)=LEFT($A177,3),IF($B$4:$B$108=$B177,IF($C$3:$AZ$3=C$112,$C$4:$AZ$108))))</f>
        <v>9.5940000000000012</v>
      </c>
      <c r="D177" cm="1">
        <f t="array" ref="D177">SUMPRODUCT(IF(LEFT($A$4:$A$108,3)=LEFT($A177,3),IF($B$4:$B$108=$B177,IF($C$3:$AZ$3=D$112,$C$4:$AZ$108))))</f>
        <v>3.2000000000000001E-2</v>
      </c>
      <c r="E177" cm="1">
        <f t="array" ref="E177">SUMPRODUCT(IF(LEFT($A$4:$A$108,3)=LEFT($A177,3),IF($B$4:$B$108=$B177,IF($C$3:$AZ$3=E$112,$C$4:$AZ$108))))</f>
        <v>1.0999999999999999E-2</v>
      </c>
      <c r="F177" cm="1">
        <f t="array" ref="F177">SUMPRODUCT(IF(LEFT($A$4:$A$108,3)=LEFT($A177,3),IF($B$4:$B$108=$B177,IF($C$3:$AZ$3=F$112,$C$4:$AZ$108))))</f>
        <v>0.30499999999999999</v>
      </c>
      <c r="G177" cm="1">
        <f t="array" ref="G177">SUMPRODUCT(IF(LEFT($A$4:$A$108,3)=LEFT($A177,3),IF($B$4:$B$108=$B177,IF($C$3:$AZ$3=G$112,$C$4:$AZ$108))))</f>
        <v>1E-3</v>
      </c>
      <c r="H177" cm="1">
        <f t="array" ref="H177">SUMPRODUCT(IF(LEFT($A$4:$A$108,3)=LEFT($A177,3),IF($B$4:$B$108=$B177,IF($C$3:$AZ$3=H$112,$C$4:$AZ$108))))</f>
        <v>5.1609999999999996</v>
      </c>
      <c r="I177" cm="1">
        <f t="array" ref="I177">SUMPRODUCT(IF(LEFT($A$4:$A$108,3)=LEFT($A177,3),IF($B$4:$B$108=$B177,IF($C$3:$AZ$3=I$112,$C$4:$AZ$108))))</f>
        <v>1.2149999999999999</v>
      </c>
      <c r="J177" cm="1">
        <f t="array" ref="J177">SUMPRODUCT(IF(LEFT($A$4:$A$108,3)=LEFT($A177,3),IF($B$4:$B$108=$B177,IF($C$3:$AZ$3=J$112,$C$4:$AZ$108))))</f>
        <v>0.33400000000000002</v>
      </c>
      <c r="K177" cm="1">
        <f t="array" ref="K177">SUMPRODUCT(IF(LEFT($A$4:$A$108,3)=LEFT($A177,3),IF($B$4:$B$108=$B177,IF($C$3:$AZ$3=K$112,$C$4:$AZ$108))))</f>
        <v>1.0920000000000001</v>
      </c>
      <c r="L177" cm="1">
        <f t="array" ref="L177">SUMPRODUCT(IF(LEFT($A$4:$A$108,3)=LEFT($A177,3),IF($B$4:$B$108=$B177,IF($C$3:$AZ$3=L$112,$C$4:$AZ$108))))</f>
        <v>1.9949999999999999</v>
      </c>
      <c r="M177" cm="1">
        <f t="array" ref="M177">SUMPRODUCT(IF(LEFT($A$4:$A$108,3)=LEFT($A177,3),IF($B$4:$B$108=$B177,IF($C$3:$AZ$3=M$112,$C$4:$AZ$108))))</f>
        <v>5.5780000000000003</v>
      </c>
      <c r="N177" cm="1">
        <f t="array" ref="N177">SUMPRODUCT(IF(LEFT($A$4:$A$108,3)=LEFT($A177,3),IF($B$4:$B$108=$B177,IF($C$3:$AZ$3=N$112,$C$4:$AZ$108))))</f>
        <v>0.60599999999999998</v>
      </c>
      <c r="O177" cm="1">
        <f t="array" ref="O177">SUMPRODUCT(IF(LEFT($A$4:$A$108,3)=LEFT($A177,3),IF($B$4:$B$108=$B177,IF($C$3:$AZ$3=O$112,$C$4:$AZ$108))))</f>
        <v>2.1390000000000002</v>
      </c>
      <c r="P177" s="4" cm="1">
        <f t="array" ref="P177">SUMPRODUCT(IF(LEFT($A$4:$A$108,3)=LEFT($A177,3),IF($B$4:$B$108=$B177,IF($C$3:$AZ$3=P$112,$C$4:$AZ$108))))*'Cement and Glass Split'!O70</f>
        <v>0.64079811021157829</v>
      </c>
      <c r="Q177" s="4" cm="1">
        <f t="array" ref="Q177">SUMPRODUCT(IF(LEFT($A$4:$A$108,3)=LEFT($A177,3),IF($B$4:$B$108=$B177,IF($C$3:$AZ$3=P$112,$C$4:$AZ$108))))*'Cement and Glass Split'!P70</f>
        <v>1.0942018897884218</v>
      </c>
      <c r="R177" cm="1">
        <f t="array" ref="R177">SUMPRODUCT(IF(LEFT($A$4:$A$108,3)=LEFT($A177,3),IF($B$4:$B$108=$B177,IF($C$3:$AZ$3=R$112,$C$4:$AZ$108))))</f>
        <v>4.6859999999999999</v>
      </c>
      <c r="S177" cm="1">
        <f t="array" ref="S177">SUMPRODUCT(IF(LEFT($A$4:$A$108,3)=LEFT($A177,3),IF($B$4:$B$108=$B177,IF($C$3:$AZ$3=S$112,$C$4:$AZ$108))))</f>
        <v>3.2650000000000001</v>
      </c>
      <c r="T177" cm="1">
        <f t="array" ref="T177">SUMPRODUCT(IF(LEFT($A$4:$A$108,3)=LEFT($A177,3),IF($B$4:$B$108=$B177,IF($C$3:$AZ$3=T$112,$C$4:$AZ$108))))</f>
        <v>9.5890000000000004</v>
      </c>
      <c r="U177" cm="1">
        <f t="array" ref="U177">SUMPRODUCT(IF(LEFT($A$4:$A$108,3)=LEFT($A177,3),IF($B$4:$B$108=$B177,IF($C$3:$AZ$3=U$112,$C$4:$AZ$108))))</f>
        <v>23.747999999999998</v>
      </c>
      <c r="V177" cm="1">
        <f t="array" ref="V177">SUMPRODUCT(IF(LEFT($A$4:$A$108,3)=LEFT($A177,3),IF($B$4:$B$108=$B177,IF($C$3:$AZ$3=V$112,$C$4:$AZ$108))))</f>
        <v>13.734999999999999</v>
      </c>
      <c r="W177" cm="1">
        <f t="array" ref="W177">SUMPRODUCT(IF(LEFT($A$4:$A$108,3)=LEFT($A177,3),IF($B$4:$B$108=$B177,IF($C$3:$AZ$3=W$112,$C$4:$AZ$108))))</f>
        <v>27.827999999999999</v>
      </c>
      <c r="X177" cm="1">
        <f t="array" ref="X177">SUMPRODUCT(IF(LEFT($A$4:$A$108,3)=LEFT($A177,3),IF($B$4:$B$108=$B177,IF($C$3:$AZ$3=X$112,$C$4:$AZ$108))))</f>
        <v>218.7</v>
      </c>
      <c r="Y177" cm="1">
        <f t="array" ref="Y177">SUMPRODUCT(IF(LEFT($A$4:$A$108,3)=LEFT($A177,3),IF($B$4:$B$108=$B177,IF($C$3:$AZ$3=Y$112,$C$4:$AZ$108))))</f>
        <v>1793.4780000000001</v>
      </c>
      <c r="Z177" cm="1">
        <f t="array" ref="Z177">SUMPRODUCT(IF(LEFT($A$4:$A$108,3)=LEFT($A177,3),IF($B$4:$B$108=$B177,IF($C$3:$AZ$3=Z$112,$C$4:$AZ$108))))</f>
        <v>11.057</v>
      </c>
      <c r="AA177" cm="1">
        <f t="array" ref="AA177">SUMPRODUCT(IF(LEFT($A$4:$A$108,3)=LEFT($A177,3),IF($B$4:$B$108=$B177,IF($C$3:$AZ$3=AA$112,$C$4:$AZ$108))))</f>
        <v>5.6159999999999997</v>
      </c>
      <c r="AB177" cm="1">
        <f t="array" ref="AB177">SUMPRODUCT(IF(LEFT($A$4:$A$108,3)=LEFT($A177,3),IF($B$4:$B$108=$B177,IF($C$3:$AZ$3=AB$112,$C$4:$AZ$108))))</f>
        <v>18.478999999999999</v>
      </c>
      <c r="AC177" cm="1">
        <f t="array" ref="AC177">SUMPRODUCT(IF(LEFT($A$4:$A$108,3)=LEFT($A177,3),IF($B$4:$B$108=$B177,IF($C$3:$AZ$3=AC$112,$C$4:$AZ$108))))</f>
        <v>0.96299999999999997</v>
      </c>
      <c r="AD177" cm="1">
        <f t="array" ref="AD177">SUMPRODUCT(IF(LEFT($A$4:$A$108,3)=LEFT($A177,3),IF($B$4:$B$108=$B177,IF($C$3:$AZ$3=AD$112,$C$4:$AZ$108))))</f>
        <v>9.5340000000000007</v>
      </c>
      <c r="AE177" cm="1">
        <f t="array" ref="AE177">SUMPRODUCT(IF(LEFT($A$4:$A$108,3)=LEFT($A177,3),IF($B$4:$B$108=$B177,IF($C$3:$AZ$3=AE$112,$C$4:$AZ$108))))</f>
        <v>41.397000000000006</v>
      </c>
      <c r="AF177" cm="1">
        <f t="array" ref="AF177">SUMPRODUCT(IF(LEFT($A$4:$A$108,3)=LEFT($A177,3),IF($B$4:$B$108=$B177,IF($C$3:$AZ$3=AF$112,$C$4:$AZ$108))))</f>
        <v>183.36099999999999</v>
      </c>
      <c r="AG177" cm="1">
        <f t="array" ref="AG177">SUMPRODUCT(IF(LEFT($A$4:$A$108,3)=LEFT($A177,3),IF($B$4:$B$108=$B177,IF($C$3:$AZ$3=AG$112,$C$4:$AZ$108))))</f>
        <v>2.2010000000000001</v>
      </c>
      <c r="AH177" cm="1">
        <f t="array" ref="AH177">SUMPRODUCT(IF(LEFT($A$4:$A$108,3)=LEFT($A177,3),IF($B$4:$B$108=$B177,IF($C$3:$AZ$3=AH$112,$C$4:$AZ$108))))</f>
        <v>0.51300000000000001</v>
      </c>
      <c r="AI177" cm="1">
        <f t="array" ref="AI177">SUMPRODUCT(IF(LEFT($A$4:$A$108,3)=LEFT($A177,3),IF($B$4:$B$108=$B177,IF($C$3:$AZ$3=AI$112,$C$4:$AZ$108))))</f>
        <v>1.538</v>
      </c>
      <c r="AJ177" cm="1">
        <f t="array" ref="AJ177">SUMPRODUCT(IF(LEFT($A$4:$A$108,3)=LEFT($A177,3),IF($B$4:$B$108=$B177,IF($C$3:$AZ$3=AJ$112,$C$4:$AZ$108))))</f>
        <v>1.7290000000000001</v>
      </c>
      <c r="AK177" cm="1">
        <f t="array" ref="AK177">SUMPRODUCT(IF(LEFT($A$4:$A$108,3)=LEFT($A177,3),IF($B$4:$B$108=$B177,IF($C$3:$AZ$3=AK$112,$C$4:$AZ$108))))</f>
        <v>1.502</v>
      </c>
      <c r="AL177" cm="1">
        <f t="array" ref="AL177">SUMPRODUCT(IF(LEFT($A$4:$A$108,3)=LEFT($A177,3),IF($B$4:$B$108=$B177,IF($C$3:$AZ$3=AL$112,$C$4:$AZ$108))))</f>
        <v>1.1639999999999999</v>
      </c>
      <c r="AM177" cm="1">
        <f t="array" ref="AM177">SUMPRODUCT(IF(LEFT($A$4:$A$108,3)=LEFT($A177,3),IF($B$4:$B$108=$B177,IF($C$3:$AZ$3=AM$112,$C$4:$AZ$108))))</f>
        <v>16.402000000000001</v>
      </c>
      <c r="AN177" cm="1">
        <f t="array" ref="AN177">SUMPRODUCT(IF(LEFT($A$4:$A$108,3)=LEFT($A177,3),IF($B$4:$B$108=$B177,IF($C$3:$AZ$3=AN$112,$C$4:$AZ$108))))</f>
        <v>66.067000000000007</v>
      </c>
      <c r="AO177" cm="1">
        <f t="array" ref="AO177">SUMPRODUCT(IF(LEFT($A$4:$A$108,3)=LEFT($A177,3),IF($B$4:$B$108=$B177,IF($C$3:$AZ$3=AO$112,$C$4:$AZ$108))))</f>
        <v>2.0680000000000001</v>
      </c>
      <c r="AP177" cm="1">
        <f t="array" ref="AP177">SUMPRODUCT(IF(LEFT($A$4:$A$108,3)=LEFT($A177,3),IF($B$4:$B$108=$B177,IF($C$3:$AZ$3=AP$112,$C$4:$AZ$108))))</f>
        <v>5.4649999999999999</v>
      </c>
      <c r="AQ177" cm="1">
        <f t="array" ref="AQ177">SUMPRODUCT(IF(LEFT($A$4:$A$108,3)=LEFT($A177,3),IF($B$4:$B$108=$B177,IF($C$3:$AZ$3=AQ$112,$C$4:$AZ$108))))</f>
        <v>21.195999999999998</v>
      </c>
      <c r="AR177" cm="1">
        <f t="array" ref="AR177">SUMPRODUCT(IF(LEFT($A$4:$A$108,3)=LEFT($A177,3),IF($B$4:$B$108=$B177,IF($C$3:$AZ$3=AR$112,$C$4:$AZ$108))))</f>
        <v>0</v>
      </c>
      <c r="AS177">
        <v>0</v>
      </c>
    </row>
    <row r="178" spans="1:45">
      <c r="A178" t="s">
        <v>385</v>
      </c>
      <c r="B178" t="s">
        <v>19</v>
      </c>
      <c r="C178" cm="1">
        <f t="array" ref="C178">SUMPRODUCT(IF(LEFT($A$4:$A$108,3)=LEFT($A178,3),IF($B$4:$B$108=$B178,IF($C$3:$AZ$3=C$112,$C$4:$AZ$108))))</f>
        <v>394.09199999999998</v>
      </c>
      <c r="D178" cm="1">
        <f t="array" ref="D178">SUMPRODUCT(IF(LEFT($A$4:$A$108,3)=LEFT($A178,3),IF($B$4:$B$108=$B178,IF($C$3:$AZ$3=D$112,$C$4:$AZ$108))))</f>
        <v>2.4540000000000002</v>
      </c>
      <c r="E178" cm="1">
        <f t="array" ref="E178">SUMPRODUCT(IF(LEFT($A$4:$A$108,3)=LEFT($A178,3),IF($B$4:$B$108=$B178,IF($C$3:$AZ$3=E$112,$C$4:$AZ$108))))</f>
        <v>1.321</v>
      </c>
      <c r="F178" cm="1">
        <f t="array" ref="F178">SUMPRODUCT(IF(LEFT($A$4:$A$108,3)=LEFT($A178,3),IF($B$4:$B$108=$B178,IF($C$3:$AZ$3=F$112,$C$4:$AZ$108))))</f>
        <v>53.546999999999997</v>
      </c>
      <c r="G178" cm="1">
        <f t="array" ref="G178">SUMPRODUCT(IF(LEFT($A$4:$A$108,3)=LEFT($A178,3),IF($B$4:$B$108=$B178,IF($C$3:$AZ$3=G$112,$C$4:$AZ$108))))</f>
        <v>0.157</v>
      </c>
      <c r="H178" cm="1">
        <f t="array" ref="H178">SUMPRODUCT(IF(LEFT($A$4:$A$108,3)=LEFT($A178,3),IF($B$4:$B$108=$B178,IF($C$3:$AZ$3=H$112,$C$4:$AZ$108))))</f>
        <v>565.197</v>
      </c>
      <c r="I178" cm="1">
        <f t="array" ref="I178">SUMPRODUCT(IF(LEFT($A$4:$A$108,3)=LEFT($A178,3),IF($B$4:$B$108=$B178,IF($C$3:$AZ$3=I$112,$C$4:$AZ$108))))</f>
        <v>250.047</v>
      </c>
      <c r="J178" cm="1">
        <f t="array" ref="J178">SUMPRODUCT(IF(LEFT($A$4:$A$108,3)=LEFT($A178,3),IF($B$4:$B$108=$B178,IF($C$3:$AZ$3=J$112,$C$4:$AZ$108))))</f>
        <v>44.183999999999997</v>
      </c>
      <c r="K178" cm="1">
        <f t="array" ref="K178">SUMPRODUCT(IF(LEFT($A$4:$A$108,3)=LEFT($A178,3),IF($B$4:$B$108=$B178,IF($C$3:$AZ$3=K$112,$C$4:$AZ$108))))</f>
        <v>181.75</v>
      </c>
      <c r="L178" cm="1">
        <f t="array" ref="L178">SUMPRODUCT(IF(LEFT($A$4:$A$108,3)=LEFT($A178,3),IF($B$4:$B$108=$B178,IF($C$3:$AZ$3=L$112,$C$4:$AZ$108))))</f>
        <v>209.64099999999999</v>
      </c>
      <c r="M178" cm="1">
        <f t="array" ref="M178">SUMPRODUCT(IF(LEFT($A$4:$A$108,3)=LEFT($A178,3),IF($B$4:$B$108=$B178,IF($C$3:$AZ$3=M$112,$C$4:$AZ$108))))</f>
        <v>656.399</v>
      </c>
      <c r="N178" cm="1">
        <f t="array" ref="N178">SUMPRODUCT(IF(LEFT($A$4:$A$108,3)=LEFT($A178,3),IF($B$4:$B$108=$B178,IF($C$3:$AZ$3=N$112,$C$4:$AZ$108))))</f>
        <v>78.293999999999997</v>
      </c>
      <c r="O178" cm="1">
        <f t="array" ref="O178">SUMPRODUCT(IF(LEFT($A$4:$A$108,3)=LEFT($A178,3),IF($B$4:$B$108=$B178,IF($C$3:$AZ$3=O$112,$C$4:$AZ$108))))</f>
        <v>190.779</v>
      </c>
      <c r="P178" s="4" cm="1">
        <f t="array" ref="P178">SUMPRODUCT(IF(LEFT($A$4:$A$108,3)=LEFT($A178,3),IF($B$4:$B$108=$B178,IF($C$3:$AZ$3=P$112,$C$4:$AZ$108))))*'Cement and Glass Split'!O71</f>
        <v>149.07123196796059</v>
      </c>
      <c r="Q178" s="4" cm="1">
        <f t="array" ref="Q178">SUMPRODUCT(IF(LEFT($A$4:$A$108,3)=LEFT($A178,3),IF($B$4:$B$108=$B178,IF($C$3:$AZ$3=P$112,$C$4:$AZ$108))))*'Cement and Glass Split'!P71</f>
        <v>121.68976803203945</v>
      </c>
      <c r="R178" cm="1">
        <f t="array" ref="R178">SUMPRODUCT(IF(LEFT($A$4:$A$108,3)=LEFT($A178,3),IF($B$4:$B$108=$B178,IF($C$3:$AZ$3=R$112,$C$4:$AZ$108))))</f>
        <v>667.32100000000003</v>
      </c>
      <c r="S178" cm="1">
        <f t="array" ref="S178">SUMPRODUCT(IF(LEFT($A$4:$A$108,3)=LEFT($A178,3),IF($B$4:$B$108=$B178,IF($C$3:$AZ$3=S$112,$C$4:$AZ$108))))</f>
        <v>210.72900000000001</v>
      </c>
      <c r="T178" cm="1">
        <f t="array" ref="T178">SUMPRODUCT(IF(LEFT($A$4:$A$108,3)=LEFT($A178,3),IF($B$4:$B$108=$B178,IF($C$3:$AZ$3=T$112,$C$4:$AZ$108))))</f>
        <v>400.51499999999999</v>
      </c>
      <c r="U178" cm="1">
        <f t="array" ref="U178">SUMPRODUCT(IF(LEFT($A$4:$A$108,3)=LEFT($A178,3),IF($B$4:$B$108=$B178,IF($C$3:$AZ$3=U$112,$C$4:$AZ$108))))</f>
        <v>681.73599999999999</v>
      </c>
      <c r="V178" cm="1">
        <f t="array" ref="V178">SUMPRODUCT(IF(LEFT($A$4:$A$108,3)=LEFT($A178,3),IF($B$4:$B$108=$B178,IF($C$3:$AZ$3=V$112,$C$4:$AZ$108))))</f>
        <v>347.42099999999999</v>
      </c>
      <c r="W178" cm="1">
        <f t="array" ref="W178">SUMPRODUCT(IF(LEFT($A$4:$A$108,3)=LEFT($A178,3),IF($B$4:$B$108=$B178,IF($C$3:$AZ$3=W$112,$C$4:$AZ$108))))</f>
        <v>677.26199999999994</v>
      </c>
      <c r="X178" cm="1">
        <f t="array" ref="X178">SUMPRODUCT(IF(LEFT($A$4:$A$108,3)=LEFT($A178,3),IF($B$4:$B$108=$B178,IF($C$3:$AZ$3=X$112,$C$4:$AZ$108))))</f>
        <v>649.50900000000001</v>
      </c>
      <c r="Y178" cm="1">
        <f t="array" ref="Y178">SUMPRODUCT(IF(LEFT($A$4:$A$108,3)=LEFT($A178,3),IF($B$4:$B$108=$B178,IF($C$3:$AZ$3=Y$112,$C$4:$AZ$108))))</f>
        <v>231.08800000000002</v>
      </c>
      <c r="Z178" cm="1">
        <f t="array" ref="Z178">SUMPRODUCT(IF(LEFT($A$4:$A$108,3)=LEFT($A178,3),IF($B$4:$B$108=$B178,IF($C$3:$AZ$3=Z$112,$C$4:$AZ$108))))</f>
        <v>565.62400000000002</v>
      </c>
      <c r="AA178" cm="1">
        <f t="array" ref="AA178">SUMPRODUCT(IF(LEFT($A$4:$A$108,3)=LEFT($A178,3),IF($B$4:$B$108=$B178,IF($C$3:$AZ$3=AA$112,$C$4:$AZ$108))))</f>
        <v>893.976</v>
      </c>
      <c r="AB178" cm="1">
        <f t="array" ref="AB178">SUMPRODUCT(IF(LEFT($A$4:$A$108,3)=LEFT($A178,3),IF($B$4:$B$108=$B178,IF($C$3:$AZ$3=AB$112,$C$4:$AZ$108))))</f>
        <v>133.38300000000001</v>
      </c>
      <c r="AC178" cm="1">
        <f t="array" ref="AC178">SUMPRODUCT(IF(LEFT($A$4:$A$108,3)=LEFT($A178,3),IF($B$4:$B$108=$B178,IF($C$3:$AZ$3=AC$112,$C$4:$AZ$108))))</f>
        <v>145.15199999999999</v>
      </c>
      <c r="AD178" cm="1">
        <f t="array" ref="AD178">SUMPRODUCT(IF(LEFT($A$4:$A$108,3)=LEFT($A178,3),IF($B$4:$B$108=$B178,IF($C$3:$AZ$3=AD$112,$C$4:$AZ$108))))</f>
        <v>701.39800000000002</v>
      </c>
      <c r="AE178" cm="1">
        <f t="array" ref="AE178">SUMPRODUCT(IF(LEFT($A$4:$A$108,3)=LEFT($A178,3),IF($B$4:$B$108=$B178,IF($C$3:$AZ$3=AE$112,$C$4:$AZ$108))))</f>
        <v>719.59699999999998</v>
      </c>
      <c r="AF178" cm="1">
        <f t="array" ref="AF178">SUMPRODUCT(IF(LEFT($A$4:$A$108,3)=LEFT($A178,3),IF($B$4:$B$108=$B178,IF($C$3:$AZ$3=AF$112,$C$4:$AZ$108))))</f>
        <v>851.35300000000007</v>
      </c>
      <c r="AG178" cm="1">
        <f t="array" ref="AG178">SUMPRODUCT(IF(LEFT($A$4:$A$108,3)=LEFT($A178,3),IF($B$4:$B$108=$B178,IF($C$3:$AZ$3=AG$112,$C$4:$AZ$108))))</f>
        <v>348.48200000000003</v>
      </c>
      <c r="AH178" cm="1">
        <f t="array" ref="AH178">SUMPRODUCT(IF(LEFT($A$4:$A$108,3)=LEFT($A178,3),IF($B$4:$B$108=$B178,IF($C$3:$AZ$3=AH$112,$C$4:$AZ$108))))</f>
        <v>55.600999999999999</v>
      </c>
      <c r="AI178" cm="1">
        <f t="array" ref="AI178">SUMPRODUCT(IF(LEFT($A$4:$A$108,3)=LEFT($A178,3),IF($B$4:$B$108=$B178,IF($C$3:$AZ$3=AI$112,$C$4:$AZ$108))))</f>
        <v>185.804</v>
      </c>
      <c r="AJ178" cm="1">
        <f t="array" ref="AJ178">SUMPRODUCT(IF(LEFT($A$4:$A$108,3)=LEFT($A178,3),IF($B$4:$B$108=$B178,IF($C$3:$AZ$3=AJ$112,$C$4:$AZ$108))))</f>
        <v>112.06399999999999</v>
      </c>
      <c r="AK178" cm="1">
        <f t="array" ref="AK178">SUMPRODUCT(IF(LEFT($A$4:$A$108,3)=LEFT($A178,3),IF($B$4:$B$108=$B178,IF($C$3:$AZ$3=AK$112,$C$4:$AZ$108))))</f>
        <v>133.82499999999999</v>
      </c>
      <c r="AL178" cm="1">
        <f t="array" ref="AL178">SUMPRODUCT(IF(LEFT($A$4:$A$108,3)=LEFT($A178,3),IF($B$4:$B$108=$B178,IF($C$3:$AZ$3=AL$112,$C$4:$AZ$108))))</f>
        <v>168.26300000000001</v>
      </c>
      <c r="AM178" cm="1">
        <f t="array" ref="AM178">SUMPRODUCT(IF(LEFT($A$4:$A$108,3)=LEFT($A178,3),IF($B$4:$B$108=$B178,IF($C$3:$AZ$3=AM$112,$C$4:$AZ$108))))</f>
        <v>767.57899999999995</v>
      </c>
      <c r="AN178" cm="1">
        <f t="array" ref="AN178">SUMPRODUCT(IF(LEFT($A$4:$A$108,3)=LEFT($A178,3),IF($B$4:$B$108=$B178,IF($C$3:$AZ$3=AN$112,$C$4:$AZ$108))))</f>
        <v>321.108</v>
      </c>
      <c r="AO178" cm="1">
        <f t="array" ref="AO178">SUMPRODUCT(IF(LEFT($A$4:$A$108,3)=LEFT($A178,3),IF($B$4:$B$108=$B178,IF($C$3:$AZ$3=AO$112,$C$4:$AZ$108))))</f>
        <v>337.29500000000002</v>
      </c>
      <c r="AP178" cm="1">
        <f t="array" ref="AP178">SUMPRODUCT(IF(LEFT($A$4:$A$108,3)=LEFT($A178,3),IF($B$4:$B$108=$B178,IF($C$3:$AZ$3=AP$112,$C$4:$AZ$108))))</f>
        <v>677.96799999999996</v>
      </c>
      <c r="AQ178" cm="1">
        <f t="array" ref="AQ178">SUMPRODUCT(IF(LEFT($A$4:$A$108,3)=LEFT($A178,3),IF($B$4:$B$108=$B178,IF($C$3:$AZ$3=AQ$112,$C$4:$AZ$108))))</f>
        <v>396.37699999999995</v>
      </c>
      <c r="AR178" cm="1">
        <f t="array" ref="AR178">SUMPRODUCT(IF(LEFT($A$4:$A$108,3)=LEFT($A178,3),IF($B$4:$B$108=$B178,IF($C$3:$AZ$3=AR$112,$C$4:$AZ$108))))</f>
        <v>0</v>
      </c>
      <c r="AS178">
        <v>0</v>
      </c>
    </row>
    <row r="179" spans="1:45">
      <c r="A179" t="s">
        <v>385</v>
      </c>
      <c r="B179" t="s">
        <v>136</v>
      </c>
      <c r="C179" cm="1">
        <f t="array" ref="C179">SUMPRODUCT(IF(LEFT($A$4:$A$108,3)=LEFT($A179,3),IF($B$4:$B$108=$B179,IF($C$3:$AZ$3=C$112,$C$4:$AZ$108))))</f>
        <v>2.9550000000000001</v>
      </c>
      <c r="D179" cm="1">
        <f t="array" ref="D179">SUMPRODUCT(IF(LEFT($A$4:$A$108,3)=LEFT($A179,3),IF($B$4:$B$108=$B179,IF($C$3:$AZ$3=D$112,$C$4:$AZ$108))))</f>
        <v>4.2000000000000003E-2</v>
      </c>
      <c r="E179" cm="1">
        <f t="array" ref="E179">SUMPRODUCT(IF(LEFT($A$4:$A$108,3)=LEFT($A179,3),IF($B$4:$B$108=$B179,IF($C$3:$AZ$3=E$112,$C$4:$AZ$108))))</f>
        <v>1.4E-2</v>
      </c>
      <c r="F179" cm="1">
        <f t="array" ref="F179">SUMPRODUCT(IF(LEFT($A$4:$A$108,3)=LEFT($A179,3),IF($B$4:$B$108=$B179,IF($C$3:$AZ$3=F$112,$C$4:$AZ$108))))</f>
        <v>0.42299999999999999</v>
      </c>
      <c r="G179" cm="1">
        <f t="array" ref="G179">SUMPRODUCT(IF(LEFT($A$4:$A$108,3)=LEFT($A179,3),IF($B$4:$B$108=$B179,IF($C$3:$AZ$3=G$112,$C$4:$AZ$108))))</f>
        <v>2E-3</v>
      </c>
      <c r="H179" cm="1">
        <f t="array" ref="H179">SUMPRODUCT(IF(LEFT($A$4:$A$108,3)=LEFT($A179,3),IF($B$4:$B$108=$B179,IF($C$3:$AZ$3=H$112,$C$4:$AZ$108))))</f>
        <v>6.3029999999999999</v>
      </c>
      <c r="I179" cm="1">
        <f t="array" ref="I179">SUMPRODUCT(IF(LEFT($A$4:$A$108,3)=LEFT($A179,3),IF($B$4:$B$108=$B179,IF($C$3:$AZ$3=I$112,$C$4:$AZ$108))))</f>
        <v>2.1829999999999998</v>
      </c>
      <c r="J179" cm="1">
        <f t="array" ref="J179">SUMPRODUCT(IF(LEFT($A$4:$A$108,3)=LEFT($A179,3),IF($B$4:$B$108=$B179,IF($C$3:$AZ$3=J$112,$C$4:$AZ$108))))</f>
        <v>0.51300000000000001</v>
      </c>
      <c r="K179" cm="1">
        <f t="array" ref="K179">SUMPRODUCT(IF(LEFT($A$4:$A$108,3)=LEFT($A179,3),IF($B$4:$B$108=$B179,IF($C$3:$AZ$3=K$112,$C$4:$AZ$108))))</f>
        <v>1.8560000000000001</v>
      </c>
      <c r="L179" cm="1">
        <f t="array" ref="L179">SUMPRODUCT(IF(LEFT($A$4:$A$108,3)=LEFT($A179,3),IF($B$4:$B$108=$B179,IF($C$3:$AZ$3=L$112,$C$4:$AZ$108))))</f>
        <v>62.161999999999999</v>
      </c>
      <c r="M179" cm="1">
        <f t="array" ref="M179">SUMPRODUCT(IF(LEFT($A$4:$A$108,3)=LEFT($A179,3),IF($B$4:$B$108=$B179,IF($C$3:$AZ$3=M$112,$C$4:$AZ$108))))</f>
        <v>17.869</v>
      </c>
      <c r="N179" cm="1">
        <f t="array" ref="N179">SUMPRODUCT(IF(LEFT($A$4:$A$108,3)=LEFT($A179,3),IF($B$4:$B$108=$B179,IF($C$3:$AZ$3=N$112,$C$4:$AZ$108))))</f>
        <v>2.722</v>
      </c>
      <c r="O179" cm="1">
        <f t="array" ref="O179">SUMPRODUCT(IF(LEFT($A$4:$A$108,3)=LEFT($A179,3),IF($B$4:$B$108=$B179,IF($C$3:$AZ$3=O$112,$C$4:$AZ$108))))</f>
        <v>3.782</v>
      </c>
      <c r="P179" s="4" cm="1">
        <f t="array" ref="P179">SUMPRODUCT(IF(LEFT($A$4:$A$108,3)=LEFT($A179,3),IF($B$4:$B$108=$B179,IF($C$3:$AZ$3=P$112,$C$4:$AZ$108))))*'Cement and Glass Split'!O72</f>
        <v>0.60001369410793426</v>
      </c>
      <c r="Q179" s="4" cm="1">
        <f t="array" ref="Q179">SUMPRODUCT(IF(LEFT($A$4:$A$108,3)=LEFT($A179,3),IF($B$4:$B$108=$B179,IF($C$3:$AZ$3=P$112,$C$4:$AZ$108))))*'Cement and Glass Split'!P72</f>
        <v>2.9569863058920656</v>
      </c>
      <c r="R179" cm="1">
        <f t="array" ref="R179">SUMPRODUCT(IF(LEFT($A$4:$A$108,3)=LEFT($A179,3),IF($B$4:$B$108=$B179,IF($C$3:$AZ$3=R$112,$C$4:$AZ$108))))</f>
        <v>12.682</v>
      </c>
      <c r="S179" cm="1">
        <f t="array" ref="S179">SUMPRODUCT(IF(LEFT($A$4:$A$108,3)=LEFT($A179,3),IF($B$4:$B$108=$B179,IF($C$3:$AZ$3=S$112,$C$4:$AZ$108))))</f>
        <v>3.1469999999999998</v>
      </c>
      <c r="T179" cm="1">
        <f t="array" ref="T179">SUMPRODUCT(IF(LEFT($A$4:$A$108,3)=LEFT($A179,3),IF($B$4:$B$108=$B179,IF($C$3:$AZ$3=T$112,$C$4:$AZ$108))))</f>
        <v>3.5659999999999998</v>
      </c>
      <c r="U179" cm="1">
        <f t="array" ref="U179">SUMPRODUCT(IF(LEFT($A$4:$A$108,3)=LEFT($A179,3),IF($B$4:$B$108=$B179,IF($C$3:$AZ$3=U$112,$C$4:$AZ$108))))</f>
        <v>9.7159999999999993</v>
      </c>
      <c r="V179" cm="1">
        <f t="array" ref="V179">SUMPRODUCT(IF(LEFT($A$4:$A$108,3)=LEFT($A179,3),IF($B$4:$B$108=$B179,IF($C$3:$AZ$3=V$112,$C$4:$AZ$108))))</f>
        <v>9.0679999999999996</v>
      </c>
      <c r="W179" cm="1">
        <f t="array" ref="W179">SUMPRODUCT(IF(LEFT($A$4:$A$108,3)=LEFT($A179,3),IF($B$4:$B$108=$B179,IF($C$3:$AZ$3=W$112,$C$4:$AZ$108))))</f>
        <v>7.9130000000000003</v>
      </c>
      <c r="X179" cm="1">
        <f t="array" ref="X179">SUMPRODUCT(IF(LEFT($A$4:$A$108,3)=LEFT($A179,3),IF($B$4:$B$108=$B179,IF($C$3:$AZ$3=X$112,$C$4:$AZ$108))))</f>
        <v>8.5640000000000001</v>
      </c>
      <c r="Y179" cm="1">
        <f t="array" ref="Y179">SUMPRODUCT(IF(LEFT($A$4:$A$108,3)=LEFT($A179,3),IF($B$4:$B$108=$B179,IF($C$3:$AZ$3=Y$112,$C$4:$AZ$108))))</f>
        <v>2.0710000000000002</v>
      </c>
      <c r="Z179" cm="1">
        <f t="array" ref="Z179">SUMPRODUCT(IF(LEFT($A$4:$A$108,3)=LEFT($A179,3),IF($B$4:$B$108=$B179,IF($C$3:$AZ$3=Z$112,$C$4:$AZ$108))))</f>
        <v>1.5269999999999999</v>
      </c>
      <c r="AA179" cm="1">
        <f t="array" ref="AA179">SUMPRODUCT(IF(LEFT($A$4:$A$108,3)=LEFT($A179,3),IF($B$4:$B$108=$B179,IF($C$3:$AZ$3=AA$112,$C$4:$AZ$108))))</f>
        <v>38.012999999999998</v>
      </c>
      <c r="AB179" cm="1">
        <f t="array" ref="AB179">SUMPRODUCT(IF(LEFT($A$4:$A$108,3)=LEFT($A179,3),IF($B$4:$B$108=$B179,IF($C$3:$AZ$3=AB$112,$C$4:$AZ$108))))</f>
        <v>1.6180000000000001</v>
      </c>
      <c r="AC179" cm="1">
        <f t="array" ref="AC179">SUMPRODUCT(IF(LEFT($A$4:$A$108,3)=LEFT($A179,3),IF($B$4:$B$108=$B179,IF($C$3:$AZ$3=AC$112,$C$4:$AZ$108))))</f>
        <v>1.0820000000000001</v>
      </c>
      <c r="AD179" cm="1">
        <f t="array" ref="AD179">SUMPRODUCT(IF(LEFT($A$4:$A$108,3)=LEFT($A179,3),IF($B$4:$B$108=$B179,IF($C$3:$AZ$3=AD$112,$C$4:$AZ$108))))</f>
        <v>8.9120000000000008</v>
      </c>
      <c r="AE179" cm="1">
        <f t="array" ref="AE179">SUMPRODUCT(IF(LEFT($A$4:$A$108,3)=LEFT($A179,3),IF($B$4:$B$108=$B179,IF($C$3:$AZ$3=AE$112,$C$4:$AZ$108))))</f>
        <v>11.823</v>
      </c>
      <c r="AF179" cm="1">
        <f t="array" ref="AF179">SUMPRODUCT(IF(LEFT($A$4:$A$108,3)=LEFT($A179,3),IF($B$4:$B$108=$B179,IF($C$3:$AZ$3=AF$112,$C$4:$AZ$108))))</f>
        <v>9.0750000000000011</v>
      </c>
      <c r="AG179" cm="1">
        <f t="array" ref="AG179">SUMPRODUCT(IF(LEFT($A$4:$A$108,3)=LEFT($A179,3),IF($B$4:$B$108=$B179,IF($C$3:$AZ$3=AG$112,$C$4:$AZ$108))))</f>
        <v>4.4050000000000002</v>
      </c>
      <c r="AH179" cm="1">
        <f t="array" ref="AH179">SUMPRODUCT(IF(LEFT($A$4:$A$108,3)=LEFT($A179,3),IF($B$4:$B$108=$B179,IF($C$3:$AZ$3=AH$112,$C$4:$AZ$108))))</f>
        <v>1.407</v>
      </c>
      <c r="AI179" cm="1">
        <f t="array" ref="AI179">SUMPRODUCT(IF(LEFT($A$4:$A$108,3)=LEFT($A179,3),IF($B$4:$B$108=$B179,IF($C$3:$AZ$3=AI$112,$C$4:$AZ$108))))</f>
        <v>2.1909999999999998</v>
      </c>
      <c r="AJ179" cm="1">
        <f t="array" ref="AJ179">SUMPRODUCT(IF(LEFT($A$4:$A$108,3)=LEFT($A179,3),IF($B$4:$B$108=$B179,IF($C$3:$AZ$3=AJ$112,$C$4:$AZ$108))))</f>
        <v>2.0019999999999998</v>
      </c>
      <c r="AK179" cm="1">
        <f t="array" ref="AK179">SUMPRODUCT(IF(LEFT($A$4:$A$108,3)=LEFT($A179,3),IF($B$4:$B$108=$B179,IF($C$3:$AZ$3=AK$112,$C$4:$AZ$108))))</f>
        <v>3.141</v>
      </c>
      <c r="AL179" cm="1">
        <f t="array" ref="AL179">SUMPRODUCT(IF(LEFT($A$4:$A$108,3)=LEFT($A179,3),IF($B$4:$B$108=$B179,IF($C$3:$AZ$3=AL$112,$C$4:$AZ$108))))</f>
        <v>3.0649999999999999</v>
      </c>
      <c r="AM179" cm="1">
        <f t="array" ref="AM179">SUMPRODUCT(IF(LEFT($A$4:$A$108,3)=LEFT($A179,3),IF($B$4:$B$108=$B179,IF($C$3:$AZ$3=AM$112,$C$4:$AZ$108))))</f>
        <v>14.43</v>
      </c>
      <c r="AN179" cm="1">
        <f t="array" ref="AN179">SUMPRODUCT(IF(LEFT($A$4:$A$108,3)=LEFT($A179,3),IF($B$4:$B$108=$B179,IF($C$3:$AZ$3=AN$112,$C$4:$AZ$108))))</f>
        <v>3.7320000000000002</v>
      </c>
      <c r="AO179" cm="1">
        <f t="array" ref="AO179">SUMPRODUCT(IF(LEFT($A$4:$A$108,3)=LEFT($A179,3),IF($B$4:$B$108=$B179,IF($C$3:$AZ$3=AO$112,$C$4:$AZ$108))))</f>
        <v>2.7109999999999999</v>
      </c>
      <c r="AP179" cm="1">
        <f t="array" ref="AP179">SUMPRODUCT(IF(LEFT($A$4:$A$108,3)=LEFT($A179,3),IF($B$4:$B$108=$B179,IF($C$3:$AZ$3=AP$112,$C$4:$AZ$108))))</f>
        <v>7.2069999999999999</v>
      </c>
      <c r="AQ179" cm="1">
        <f t="array" ref="AQ179">SUMPRODUCT(IF(LEFT($A$4:$A$108,3)=LEFT($A179,3),IF($B$4:$B$108=$B179,IF($C$3:$AZ$3=AQ$112,$C$4:$AZ$108))))</f>
        <v>3.472</v>
      </c>
      <c r="AR179" cm="1">
        <f t="array" ref="AR179">SUMPRODUCT(IF(LEFT($A$4:$A$108,3)=LEFT($A179,3),IF($B$4:$B$108=$B179,IF($C$3:$AZ$3=AR$112,$C$4:$AZ$108))))</f>
        <v>0</v>
      </c>
      <c r="AS179">
        <v>0</v>
      </c>
    </row>
    <row r="180" spans="1:45">
      <c r="A180" t="s">
        <v>385</v>
      </c>
      <c r="B180" t="s">
        <v>137</v>
      </c>
      <c r="C180" cm="1">
        <f t="array" ref="C180">SUMPRODUCT(IF(LEFT($A$4:$A$108,3)=LEFT($A180,3),IF($B$4:$B$108=$B180,IF($C$3:$AZ$3=C$112,$C$4:$AZ$108))))</f>
        <v>151.542</v>
      </c>
      <c r="D180" cm="1">
        <f t="array" ref="D180">SUMPRODUCT(IF(LEFT($A$4:$A$108,3)=LEFT($A180,3),IF($B$4:$B$108=$B180,IF($C$3:$AZ$3=D$112,$C$4:$AZ$108))))</f>
        <v>2.44</v>
      </c>
      <c r="E180" cm="1">
        <f t="array" ref="E180">SUMPRODUCT(IF(LEFT($A$4:$A$108,3)=LEFT($A180,3),IF($B$4:$B$108=$B180,IF($C$3:$AZ$3=E$112,$C$4:$AZ$108))))</f>
        <v>0.75900000000000001</v>
      </c>
      <c r="F180" cm="1">
        <f t="array" ref="F180">SUMPRODUCT(IF(LEFT($A$4:$A$108,3)=LEFT($A180,3),IF($B$4:$B$108=$B180,IF($C$3:$AZ$3=F$112,$C$4:$AZ$108))))</f>
        <v>36.173999999999999</v>
      </c>
      <c r="G180" cm="1">
        <f t="array" ref="G180">SUMPRODUCT(IF(LEFT($A$4:$A$108,3)=LEFT($A180,3),IF($B$4:$B$108=$B180,IF($C$3:$AZ$3=G$112,$C$4:$AZ$108))))</f>
        <v>8.4000000000000005E-2</v>
      </c>
      <c r="H180" cm="1">
        <f t="array" ref="H180">SUMPRODUCT(IF(LEFT($A$4:$A$108,3)=LEFT($A180,3),IF($B$4:$B$108=$B180,IF($C$3:$AZ$3=H$112,$C$4:$AZ$108))))</f>
        <v>655.92700000000002</v>
      </c>
      <c r="I180" cm="1">
        <f t="array" ref="I180">SUMPRODUCT(IF(LEFT($A$4:$A$108,3)=LEFT($A180,3),IF($B$4:$B$108=$B180,IF($C$3:$AZ$3=I$112,$C$4:$AZ$108))))</f>
        <v>166.81399999999999</v>
      </c>
      <c r="J180" cm="1">
        <f t="array" ref="J180">SUMPRODUCT(IF(LEFT($A$4:$A$108,3)=LEFT($A180,3),IF($B$4:$B$108=$B180,IF($C$3:$AZ$3=J$112,$C$4:$AZ$108))))</f>
        <v>51.49</v>
      </c>
      <c r="K180" cm="1">
        <f t="array" ref="K180">SUMPRODUCT(IF(LEFT($A$4:$A$108,3)=LEFT($A180,3),IF($B$4:$B$108=$B180,IF($C$3:$AZ$3=K$112,$C$4:$AZ$108))))</f>
        <v>134.38</v>
      </c>
      <c r="L180" cm="1">
        <f t="array" ref="L180">SUMPRODUCT(IF(LEFT($A$4:$A$108,3)=LEFT($A180,3),IF($B$4:$B$108=$B180,IF($C$3:$AZ$3=L$112,$C$4:$AZ$108))))</f>
        <v>958.82399999999996</v>
      </c>
      <c r="M180" cm="1">
        <f t="array" ref="M180">SUMPRODUCT(IF(LEFT($A$4:$A$108,3)=LEFT($A180,3),IF($B$4:$B$108=$B180,IF($C$3:$AZ$3=M$112,$C$4:$AZ$108))))</f>
        <v>765.16899999999998</v>
      </c>
      <c r="N180" cm="1">
        <f t="array" ref="N180">SUMPRODUCT(IF(LEFT($A$4:$A$108,3)=LEFT($A180,3),IF($B$4:$B$108=$B180,IF($C$3:$AZ$3=N$112,$C$4:$AZ$108))))</f>
        <v>70.965999999999994</v>
      </c>
      <c r="O180" cm="1">
        <f t="array" ref="O180">SUMPRODUCT(IF(LEFT($A$4:$A$108,3)=LEFT($A180,3),IF($B$4:$B$108=$B180,IF($C$3:$AZ$3=O$112,$C$4:$AZ$108))))</f>
        <v>211.37</v>
      </c>
      <c r="P180" s="4" cm="1">
        <f t="array" ref="P180">SUMPRODUCT(IF(LEFT($A$4:$A$108,3)=LEFT($A180,3),IF($B$4:$B$108=$B180,IF($C$3:$AZ$3=P$112,$C$4:$AZ$108))))*'Cement and Glass Split'!O73</f>
        <v>269.99545783256065</v>
      </c>
      <c r="Q180" s="4" cm="1">
        <f t="array" ref="Q180">SUMPRODUCT(IF(LEFT($A$4:$A$108,3)=LEFT($A180,3),IF($B$4:$B$108=$B180,IF($C$3:$AZ$3=P$112,$C$4:$AZ$108))))*'Cement and Glass Split'!P73</f>
        <v>0.18754216743937141</v>
      </c>
      <c r="R180" cm="1">
        <f t="array" ref="R180">SUMPRODUCT(IF(LEFT($A$4:$A$108,3)=LEFT($A180,3),IF($B$4:$B$108=$B180,IF($C$3:$AZ$3=R$112,$C$4:$AZ$108))))</f>
        <v>646.12699999999995</v>
      </c>
      <c r="S180" cm="1">
        <f t="array" ref="S180">SUMPRODUCT(IF(LEFT($A$4:$A$108,3)=LEFT($A180,3),IF($B$4:$B$108=$B180,IF($C$3:$AZ$3=S$112,$C$4:$AZ$108))))</f>
        <v>295.07</v>
      </c>
      <c r="T180" cm="1">
        <f t="array" ref="T180">SUMPRODUCT(IF(LEFT($A$4:$A$108,3)=LEFT($A180,3),IF($B$4:$B$108=$B180,IF($C$3:$AZ$3=T$112,$C$4:$AZ$108))))</f>
        <v>282.93900000000002</v>
      </c>
      <c r="U180" cm="1">
        <f t="array" ref="U180">SUMPRODUCT(IF(LEFT($A$4:$A$108,3)=LEFT($A180,3),IF($B$4:$B$108=$B180,IF($C$3:$AZ$3=U$112,$C$4:$AZ$108))))</f>
        <v>830.80499999999995</v>
      </c>
      <c r="V180" cm="1">
        <f t="array" ref="V180">SUMPRODUCT(IF(LEFT($A$4:$A$108,3)=LEFT($A180,3),IF($B$4:$B$108=$B180,IF($C$3:$AZ$3=V$112,$C$4:$AZ$108))))</f>
        <v>348.86799999999999</v>
      </c>
      <c r="W180" cm="1">
        <f t="array" ref="W180">SUMPRODUCT(IF(LEFT($A$4:$A$108,3)=LEFT($A180,3),IF($B$4:$B$108=$B180,IF($C$3:$AZ$3=W$112,$C$4:$AZ$108))))</f>
        <v>417.524</v>
      </c>
      <c r="X180" cm="1">
        <f t="array" ref="X180">SUMPRODUCT(IF(LEFT($A$4:$A$108,3)=LEFT($A180,3),IF($B$4:$B$108=$B180,IF($C$3:$AZ$3=X$112,$C$4:$AZ$108))))</f>
        <v>510.185</v>
      </c>
      <c r="Y180" cm="1">
        <f t="array" ref="Y180">SUMPRODUCT(IF(LEFT($A$4:$A$108,3)=LEFT($A180,3),IF($B$4:$B$108=$B180,IF($C$3:$AZ$3=Y$112,$C$4:$AZ$108))))</f>
        <v>118.21199999999999</v>
      </c>
      <c r="Z180" cm="1">
        <f t="array" ref="Z180">SUMPRODUCT(IF(LEFT($A$4:$A$108,3)=LEFT($A180,3),IF($B$4:$B$108=$B180,IF($C$3:$AZ$3=Z$112,$C$4:$AZ$108))))</f>
        <v>92.388000000000005</v>
      </c>
      <c r="AA180" cm="1">
        <f t="array" ref="AA180">SUMPRODUCT(IF(LEFT($A$4:$A$108,3)=LEFT($A180,3),IF($B$4:$B$108=$B180,IF($C$3:$AZ$3=AA$112,$C$4:$AZ$108))))</f>
        <v>689.697</v>
      </c>
      <c r="AB180" cm="1">
        <f t="array" ref="AB180">SUMPRODUCT(IF(LEFT($A$4:$A$108,3)=LEFT($A180,3),IF($B$4:$B$108=$B180,IF($C$3:$AZ$3=AB$112,$C$4:$AZ$108))))</f>
        <v>207.31299999999999</v>
      </c>
      <c r="AC180" cm="1">
        <f t="array" ref="AC180">SUMPRODUCT(IF(LEFT($A$4:$A$108,3)=LEFT($A180,3),IF($B$4:$B$108=$B180,IF($C$3:$AZ$3=AC$112,$C$4:$AZ$108))))</f>
        <v>68.456000000000003</v>
      </c>
      <c r="AD180" cm="1">
        <f t="array" ref="AD180">SUMPRODUCT(IF(LEFT($A$4:$A$108,3)=LEFT($A180,3),IF($B$4:$B$108=$B180,IF($C$3:$AZ$3=AD$112,$C$4:$AZ$108))))</f>
        <v>544.48699999999997</v>
      </c>
      <c r="AE180" cm="1">
        <f t="array" ref="AE180">SUMPRODUCT(IF(LEFT($A$4:$A$108,3)=LEFT($A180,3),IF($B$4:$B$108=$B180,IF($C$3:$AZ$3=AE$112,$C$4:$AZ$108))))</f>
        <v>1289.5450000000001</v>
      </c>
      <c r="AF180" cm="1">
        <f t="array" ref="AF180">SUMPRODUCT(IF(LEFT($A$4:$A$108,3)=LEFT($A180,3),IF($B$4:$B$108=$B180,IF($C$3:$AZ$3=AF$112,$C$4:$AZ$108))))</f>
        <v>832.20600000000002</v>
      </c>
      <c r="AG180" cm="1">
        <f t="array" ref="AG180">SUMPRODUCT(IF(LEFT($A$4:$A$108,3)=LEFT($A180,3),IF($B$4:$B$108=$B180,IF($C$3:$AZ$3=AG$112,$C$4:$AZ$108))))</f>
        <v>319.786</v>
      </c>
      <c r="AH180" cm="1">
        <f t="array" ref="AH180">SUMPRODUCT(IF(LEFT($A$4:$A$108,3)=LEFT($A180,3),IF($B$4:$B$108=$B180,IF($C$3:$AZ$3=AH$112,$C$4:$AZ$108))))</f>
        <v>82.93</v>
      </c>
      <c r="AI180" cm="1">
        <f t="array" ref="AI180">SUMPRODUCT(IF(LEFT($A$4:$A$108,3)=LEFT($A180,3),IF($B$4:$B$108=$B180,IF($C$3:$AZ$3=AI$112,$C$4:$AZ$108))))</f>
        <v>57.375</v>
      </c>
      <c r="AJ180" cm="1">
        <f t="array" ref="AJ180">SUMPRODUCT(IF(LEFT($A$4:$A$108,3)=LEFT($A180,3),IF($B$4:$B$108=$B180,IF($C$3:$AZ$3=AJ$112,$C$4:$AZ$108))))</f>
        <v>37.067</v>
      </c>
      <c r="AK180" cm="1">
        <f t="array" ref="AK180">SUMPRODUCT(IF(LEFT($A$4:$A$108,3)=LEFT($A180,3),IF($B$4:$B$108=$B180,IF($C$3:$AZ$3=AK$112,$C$4:$AZ$108))))</f>
        <v>93.988</v>
      </c>
      <c r="AL180" cm="1">
        <f t="array" ref="AL180">SUMPRODUCT(IF(LEFT($A$4:$A$108,3)=LEFT($A180,3),IF($B$4:$B$108=$B180,IF($C$3:$AZ$3=AL$112,$C$4:$AZ$108))))</f>
        <v>69.853999999999999</v>
      </c>
      <c r="AM180" cm="1">
        <f t="array" ref="AM180">SUMPRODUCT(IF(LEFT($A$4:$A$108,3)=LEFT($A180,3),IF($B$4:$B$108=$B180,IF($C$3:$AZ$3=AM$112,$C$4:$AZ$108))))</f>
        <v>374.036</v>
      </c>
      <c r="AN180" cm="1">
        <f t="array" ref="AN180">SUMPRODUCT(IF(LEFT($A$4:$A$108,3)=LEFT($A180,3),IF($B$4:$B$108=$B180,IF($C$3:$AZ$3=AN$112,$C$4:$AZ$108))))</f>
        <v>166.60400000000001</v>
      </c>
      <c r="AO180" cm="1">
        <f t="array" ref="AO180">SUMPRODUCT(IF(LEFT($A$4:$A$108,3)=LEFT($A180,3),IF($B$4:$B$108=$B180,IF($C$3:$AZ$3=AO$112,$C$4:$AZ$108))))</f>
        <v>190.24799999999999</v>
      </c>
      <c r="AP180" cm="1">
        <f t="array" ref="AP180">SUMPRODUCT(IF(LEFT($A$4:$A$108,3)=LEFT($A180,3),IF($B$4:$B$108=$B180,IF($C$3:$AZ$3=AP$112,$C$4:$AZ$108))))</f>
        <v>237.18700000000001</v>
      </c>
      <c r="AQ180" cm="1">
        <f t="array" ref="AQ180">SUMPRODUCT(IF(LEFT($A$4:$A$108,3)=LEFT($A180,3),IF($B$4:$B$108=$B180,IF($C$3:$AZ$3=AQ$112,$C$4:$AZ$108))))</f>
        <v>183.86</v>
      </c>
      <c r="AR180" cm="1">
        <f t="array" ref="AR180">SUMPRODUCT(IF(LEFT($A$4:$A$108,3)=LEFT($A180,3),IF($B$4:$B$108=$B180,IF($C$3:$AZ$3=AR$112,$C$4:$AZ$108))))</f>
        <v>0</v>
      </c>
      <c r="AS180">
        <v>0</v>
      </c>
    </row>
    <row r="181" spans="1:45">
      <c r="A181" t="s">
        <v>385</v>
      </c>
      <c r="B181" t="s">
        <v>138</v>
      </c>
      <c r="C181" cm="1">
        <f t="array" ref="C181">SUMPRODUCT(IF(LEFT($A$4:$A$108,3)=LEFT($A181,3),IF($B$4:$B$108=$B181,IF($C$3:$AZ$3=C$112,$C$4:$AZ$108))))</f>
        <v>1.2879999999999998</v>
      </c>
      <c r="D181" cm="1">
        <f t="array" ref="D181">SUMPRODUCT(IF(LEFT($A$4:$A$108,3)=LEFT($A181,3),IF($B$4:$B$108=$B181,IF($C$3:$AZ$3=D$112,$C$4:$AZ$108))))</f>
        <v>5.0000000000000001E-3</v>
      </c>
      <c r="E181" cm="1">
        <f t="array" ref="E181">SUMPRODUCT(IF(LEFT($A$4:$A$108,3)=LEFT($A181,3),IF($B$4:$B$108=$B181,IF($C$3:$AZ$3=E$112,$C$4:$AZ$108))))</f>
        <v>2E-3</v>
      </c>
      <c r="F181" cm="1">
        <f t="array" ref="F181">SUMPRODUCT(IF(LEFT($A$4:$A$108,3)=LEFT($A181,3),IF($B$4:$B$108=$B181,IF($C$3:$AZ$3=F$112,$C$4:$AZ$108))))</f>
        <v>6.7000000000000004E-2</v>
      </c>
      <c r="G181" cm="1">
        <f t="array" ref="G181">SUMPRODUCT(IF(LEFT($A$4:$A$108,3)=LEFT($A181,3),IF($B$4:$B$108=$B181,IF($C$3:$AZ$3=G$112,$C$4:$AZ$108))))</f>
        <v>0</v>
      </c>
      <c r="H181" cm="1">
        <f t="array" ref="H181">SUMPRODUCT(IF(LEFT($A$4:$A$108,3)=LEFT($A181,3),IF($B$4:$B$108=$B181,IF($C$3:$AZ$3=H$112,$C$4:$AZ$108))))</f>
        <v>4.6210000000000004</v>
      </c>
      <c r="I181" cm="1">
        <f t="array" ref="I181">SUMPRODUCT(IF(LEFT($A$4:$A$108,3)=LEFT($A181,3),IF($B$4:$B$108=$B181,IF($C$3:$AZ$3=I$112,$C$4:$AZ$108))))</f>
        <v>1.2929999999999999</v>
      </c>
      <c r="J181" cm="1">
        <f t="array" ref="J181">SUMPRODUCT(IF(LEFT($A$4:$A$108,3)=LEFT($A181,3),IF($B$4:$B$108=$B181,IF($C$3:$AZ$3=J$112,$C$4:$AZ$108))))</f>
        <v>0.14799999999999999</v>
      </c>
      <c r="K181" cm="1">
        <f t="array" ref="K181">SUMPRODUCT(IF(LEFT($A$4:$A$108,3)=LEFT($A181,3),IF($B$4:$B$108=$B181,IF($C$3:$AZ$3=K$112,$C$4:$AZ$108))))</f>
        <v>0.64900000000000002</v>
      </c>
      <c r="L181" cm="1">
        <f t="array" ref="L181">SUMPRODUCT(IF(LEFT($A$4:$A$108,3)=LEFT($A181,3),IF($B$4:$B$108=$B181,IF($C$3:$AZ$3=L$112,$C$4:$AZ$108))))</f>
        <v>4.6020000000000003</v>
      </c>
      <c r="M181" cm="1">
        <f t="array" ref="M181">SUMPRODUCT(IF(LEFT($A$4:$A$108,3)=LEFT($A181,3),IF($B$4:$B$108=$B181,IF($C$3:$AZ$3=M$112,$C$4:$AZ$108))))</f>
        <v>8.1479999999999997</v>
      </c>
      <c r="N181" cm="1">
        <f t="array" ref="N181">SUMPRODUCT(IF(LEFT($A$4:$A$108,3)=LEFT($A181,3),IF($B$4:$B$108=$B181,IF($C$3:$AZ$3=N$112,$C$4:$AZ$108))))</f>
        <v>0.63900000000000001</v>
      </c>
      <c r="O181" cm="1">
        <f t="array" ref="O181">SUMPRODUCT(IF(LEFT($A$4:$A$108,3)=LEFT($A181,3),IF($B$4:$B$108=$B181,IF($C$3:$AZ$3=O$112,$C$4:$AZ$108))))</f>
        <v>2.629</v>
      </c>
      <c r="P181" s="4" cm="1">
        <f t="array" ref="P181">SUMPRODUCT(IF(LEFT($A$4:$A$108,3)=LEFT($A181,3),IF($B$4:$B$108=$B181,IF($C$3:$AZ$3=P$112,$C$4:$AZ$108))))*'Cement and Glass Split'!O74</f>
        <v>0.82386238456320537</v>
      </c>
      <c r="Q181" s="4" cm="1">
        <f t="array" ref="Q181">SUMPRODUCT(IF(LEFT($A$4:$A$108,3)=LEFT($A181,3),IF($B$4:$B$108=$B181,IF($C$3:$AZ$3=P$112,$C$4:$AZ$108))))*'Cement and Glass Split'!P74</f>
        <v>6.1376154367946785E-3</v>
      </c>
      <c r="R181" cm="1">
        <f t="array" ref="R181">SUMPRODUCT(IF(LEFT($A$4:$A$108,3)=LEFT($A181,3),IF($B$4:$B$108=$B181,IF($C$3:$AZ$3=R$112,$C$4:$AZ$108))))</f>
        <v>1.6259999999999999</v>
      </c>
      <c r="S181" cm="1">
        <f t="array" ref="S181">SUMPRODUCT(IF(LEFT($A$4:$A$108,3)=LEFT($A181,3),IF($B$4:$B$108=$B181,IF($C$3:$AZ$3=S$112,$C$4:$AZ$108))))</f>
        <v>0.81</v>
      </c>
      <c r="T181" cm="1">
        <f t="array" ref="T181">SUMPRODUCT(IF(LEFT($A$4:$A$108,3)=LEFT($A181,3),IF($B$4:$B$108=$B181,IF($C$3:$AZ$3=T$112,$C$4:$AZ$108))))</f>
        <v>1.111</v>
      </c>
      <c r="U181" cm="1">
        <f t="array" ref="U181">SUMPRODUCT(IF(LEFT($A$4:$A$108,3)=LEFT($A181,3),IF($B$4:$B$108=$B181,IF($C$3:$AZ$3=U$112,$C$4:$AZ$108))))</f>
        <v>3.0379999999999998</v>
      </c>
      <c r="V181" cm="1">
        <f t="array" ref="V181">SUMPRODUCT(IF(LEFT($A$4:$A$108,3)=LEFT($A181,3),IF($B$4:$B$108=$B181,IF($C$3:$AZ$3=V$112,$C$4:$AZ$108))))</f>
        <v>2.1070000000000002</v>
      </c>
      <c r="W181" cm="1">
        <f t="array" ref="W181">SUMPRODUCT(IF(LEFT($A$4:$A$108,3)=LEFT($A181,3),IF($B$4:$B$108=$B181,IF($C$3:$AZ$3=W$112,$C$4:$AZ$108))))</f>
        <v>2.419</v>
      </c>
      <c r="X181" cm="1">
        <f t="array" ref="X181">SUMPRODUCT(IF(LEFT($A$4:$A$108,3)=LEFT($A181,3),IF($B$4:$B$108=$B181,IF($C$3:$AZ$3=X$112,$C$4:$AZ$108))))</f>
        <v>2.5720000000000001</v>
      </c>
      <c r="Y181" cm="1">
        <f t="array" ref="Y181">SUMPRODUCT(IF(LEFT($A$4:$A$108,3)=LEFT($A181,3),IF($B$4:$B$108=$B181,IF($C$3:$AZ$3=Y$112,$C$4:$AZ$108))))</f>
        <v>0.63600000000000001</v>
      </c>
      <c r="Z181" cm="1">
        <f t="array" ref="Z181">SUMPRODUCT(IF(LEFT($A$4:$A$108,3)=LEFT($A181,3),IF($B$4:$B$108=$B181,IF($C$3:$AZ$3=Z$112,$C$4:$AZ$108))))</f>
        <v>0.46600000000000003</v>
      </c>
      <c r="AA181" cm="1">
        <f t="array" ref="AA181">SUMPRODUCT(IF(LEFT($A$4:$A$108,3)=LEFT($A181,3),IF($B$4:$B$108=$B181,IF($C$3:$AZ$3=AA$112,$C$4:$AZ$108))))</f>
        <v>2.831</v>
      </c>
      <c r="AB181" cm="1">
        <f t="array" ref="AB181">SUMPRODUCT(IF(LEFT($A$4:$A$108,3)=LEFT($A181,3),IF($B$4:$B$108=$B181,IF($C$3:$AZ$3=AB$112,$C$4:$AZ$108))))</f>
        <v>0.23</v>
      </c>
      <c r="AC181" cm="1">
        <f t="array" ref="AC181">SUMPRODUCT(IF(LEFT($A$4:$A$108,3)=LEFT($A181,3),IF($B$4:$B$108=$B181,IF($C$3:$AZ$3=AC$112,$C$4:$AZ$108))))</f>
        <v>0.249</v>
      </c>
      <c r="AD181" cm="1">
        <f t="array" ref="AD181">SUMPRODUCT(IF(LEFT($A$4:$A$108,3)=LEFT($A181,3),IF($B$4:$B$108=$B181,IF($C$3:$AZ$3=AD$112,$C$4:$AZ$108))))</f>
        <v>2.964</v>
      </c>
      <c r="AE181" cm="1">
        <f t="array" ref="AE181">SUMPRODUCT(IF(LEFT($A$4:$A$108,3)=LEFT($A181,3),IF($B$4:$B$108=$B181,IF($C$3:$AZ$3=AE$112,$C$4:$AZ$108))))</f>
        <v>3.052</v>
      </c>
      <c r="AF181" cm="1">
        <f t="array" ref="AF181">SUMPRODUCT(IF(LEFT($A$4:$A$108,3)=LEFT($A181,3),IF($B$4:$B$108=$B181,IF($C$3:$AZ$3=AF$112,$C$4:$AZ$108))))</f>
        <v>1.6289999999999998</v>
      </c>
      <c r="AG181" cm="1">
        <f t="array" ref="AG181">SUMPRODUCT(IF(LEFT($A$4:$A$108,3)=LEFT($A181,3),IF($B$4:$B$108=$B181,IF($C$3:$AZ$3=AG$112,$C$4:$AZ$108))))</f>
        <v>5.0519999999999996</v>
      </c>
      <c r="AH181" cm="1">
        <f t="array" ref="AH181">SUMPRODUCT(IF(LEFT($A$4:$A$108,3)=LEFT($A181,3),IF($B$4:$B$108=$B181,IF($C$3:$AZ$3=AH$112,$C$4:$AZ$108))))</f>
        <v>0.41299999999999998</v>
      </c>
      <c r="AI181" cm="1">
        <f t="array" ref="AI181">SUMPRODUCT(IF(LEFT($A$4:$A$108,3)=LEFT($A181,3),IF($B$4:$B$108=$B181,IF($C$3:$AZ$3=AI$112,$C$4:$AZ$108))))</f>
        <v>0.53700000000000003</v>
      </c>
      <c r="AJ181" cm="1">
        <f t="array" ref="AJ181">SUMPRODUCT(IF(LEFT($A$4:$A$108,3)=LEFT($A181,3),IF($B$4:$B$108=$B181,IF($C$3:$AZ$3=AJ$112,$C$4:$AZ$108))))</f>
        <v>0.60399999999999998</v>
      </c>
      <c r="AK181" cm="1">
        <f t="array" ref="AK181">SUMPRODUCT(IF(LEFT($A$4:$A$108,3)=LEFT($A181,3),IF($B$4:$B$108=$B181,IF($C$3:$AZ$3=AK$112,$C$4:$AZ$108))))</f>
        <v>0.90600000000000003</v>
      </c>
      <c r="AL181" cm="1">
        <f t="array" ref="AL181">SUMPRODUCT(IF(LEFT($A$4:$A$108,3)=LEFT($A181,3),IF($B$4:$B$108=$B181,IF($C$3:$AZ$3=AL$112,$C$4:$AZ$108))))</f>
        <v>1.1890000000000001</v>
      </c>
      <c r="AM181" cm="1">
        <f t="array" ref="AM181">SUMPRODUCT(IF(LEFT($A$4:$A$108,3)=LEFT($A181,3),IF($B$4:$B$108=$B181,IF($C$3:$AZ$3=AM$112,$C$4:$AZ$108))))</f>
        <v>3.6079999999999997</v>
      </c>
      <c r="AN181" cm="1">
        <f t="array" ref="AN181">SUMPRODUCT(IF(LEFT($A$4:$A$108,3)=LEFT($A181,3),IF($B$4:$B$108=$B181,IF($C$3:$AZ$3=AN$112,$C$4:$AZ$108))))</f>
        <v>1.0489999999999999</v>
      </c>
      <c r="AO181" cm="1">
        <f t="array" ref="AO181">SUMPRODUCT(IF(LEFT($A$4:$A$108,3)=LEFT($A181,3),IF($B$4:$B$108=$B181,IF($C$3:$AZ$3=AO$112,$C$4:$AZ$108))))</f>
        <v>0.92</v>
      </c>
      <c r="AP181" cm="1">
        <f t="array" ref="AP181">SUMPRODUCT(IF(LEFT($A$4:$A$108,3)=LEFT($A181,3),IF($B$4:$B$108=$B181,IF($C$3:$AZ$3=AP$112,$C$4:$AZ$108))))</f>
        <v>1.518</v>
      </c>
      <c r="AQ181" cm="1">
        <f t="array" ref="AQ181">SUMPRODUCT(IF(LEFT($A$4:$A$108,3)=LEFT($A181,3),IF($B$4:$B$108=$B181,IF($C$3:$AZ$3=AQ$112,$C$4:$AZ$108))))</f>
        <v>1.097</v>
      </c>
      <c r="AR181" cm="1">
        <f t="array" ref="AR181">SUMPRODUCT(IF(LEFT($A$4:$A$108,3)=LEFT($A181,3),IF($B$4:$B$108=$B181,IF($C$3:$AZ$3=AR$112,$C$4:$AZ$108))))</f>
        <v>0</v>
      </c>
      <c r="AS181">
        <v>0</v>
      </c>
    </row>
    <row r="182" spans="1:45">
      <c r="A182" t="s">
        <v>385</v>
      </c>
      <c r="B182" t="s">
        <v>20</v>
      </c>
      <c r="C182" cm="1">
        <f t="array" ref="C182">SUMPRODUCT(IF(LEFT($A$4:$A$108,3)=LEFT($A182,3),IF($B$4:$B$108=$B182,IF($C$3:$AZ$3=C$112,$C$4:$AZ$108))))</f>
        <v>6.8800000000000008</v>
      </c>
      <c r="D182" cm="1">
        <f t="array" ref="D182">SUMPRODUCT(IF(LEFT($A$4:$A$108,3)=LEFT($A182,3),IF($B$4:$B$108=$B182,IF($C$3:$AZ$3=D$112,$C$4:$AZ$108))))</f>
        <v>6.6000000000000003E-2</v>
      </c>
      <c r="E182" cm="1">
        <f t="array" ref="E182">SUMPRODUCT(IF(LEFT($A$4:$A$108,3)=LEFT($A182,3),IF($B$4:$B$108=$B182,IF($C$3:$AZ$3=E$112,$C$4:$AZ$108))))</f>
        <v>2.4E-2</v>
      </c>
      <c r="F182" cm="1">
        <f t="array" ref="F182">SUMPRODUCT(IF(LEFT($A$4:$A$108,3)=LEFT($A182,3),IF($B$4:$B$108=$B182,IF($C$3:$AZ$3=F$112,$C$4:$AZ$108))))</f>
        <v>0.98199999999999998</v>
      </c>
      <c r="G182" cm="1">
        <f t="array" ref="G182">SUMPRODUCT(IF(LEFT($A$4:$A$108,3)=LEFT($A182,3),IF($B$4:$B$108=$B182,IF($C$3:$AZ$3=G$112,$C$4:$AZ$108))))</f>
        <v>3.0000000000000001E-3</v>
      </c>
      <c r="H182" cm="1">
        <f t="array" ref="H182">SUMPRODUCT(IF(LEFT($A$4:$A$108,3)=LEFT($A182,3),IF($B$4:$B$108=$B182,IF($C$3:$AZ$3=H$112,$C$4:$AZ$108))))</f>
        <v>16.573</v>
      </c>
      <c r="I182" cm="1">
        <f t="array" ref="I182">SUMPRODUCT(IF(LEFT($A$4:$A$108,3)=LEFT($A182,3),IF($B$4:$B$108=$B182,IF($C$3:$AZ$3=I$112,$C$4:$AZ$108))))</f>
        <v>5.6189999999999998</v>
      </c>
      <c r="J182" cm="1">
        <f t="array" ref="J182">SUMPRODUCT(IF(LEFT($A$4:$A$108,3)=LEFT($A182,3),IF($B$4:$B$108=$B182,IF($C$3:$AZ$3=J$112,$C$4:$AZ$108))))</f>
        <v>1.204</v>
      </c>
      <c r="K182" cm="1">
        <f t="array" ref="K182">SUMPRODUCT(IF(LEFT($A$4:$A$108,3)=LEFT($A182,3),IF($B$4:$B$108=$B182,IF($C$3:$AZ$3=K$112,$C$4:$AZ$108))))</f>
        <v>3.6</v>
      </c>
      <c r="L182" cm="1">
        <f t="array" ref="L182">SUMPRODUCT(IF(LEFT($A$4:$A$108,3)=LEFT($A182,3),IF($B$4:$B$108=$B182,IF($C$3:$AZ$3=L$112,$C$4:$AZ$108))))</f>
        <v>16.311</v>
      </c>
      <c r="M182" cm="1">
        <f t="array" ref="M182">SUMPRODUCT(IF(LEFT($A$4:$A$108,3)=LEFT($A182,3),IF($B$4:$B$108=$B182,IF($C$3:$AZ$3=M$112,$C$4:$AZ$108))))</f>
        <v>18.562999999999999</v>
      </c>
      <c r="N182" cm="1">
        <f t="array" ref="N182">SUMPRODUCT(IF(LEFT($A$4:$A$108,3)=LEFT($A182,3),IF($B$4:$B$108=$B182,IF($C$3:$AZ$3=N$112,$C$4:$AZ$108))))</f>
        <v>2.7040000000000002</v>
      </c>
      <c r="O182" cm="1">
        <f t="array" ref="O182">SUMPRODUCT(IF(LEFT($A$4:$A$108,3)=LEFT($A182,3),IF($B$4:$B$108=$B182,IF($C$3:$AZ$3=O$112,$C$4:$AZ$108))))</f>
        <v>6.6429999999999998</v>
      </c>
      <c r="P182" s="4" cm="1">
        <f t="array" ref="P182">SUMPRODUCT(IF(LEFT($A$4:$A$108,3)=LEFT($A182,3),IF($B$4:$B$108=$B182,IF($C$3:$AZ$3=P$112,$C$4:$AZ$108))))*'Cement and Glass Split'!O75</f>
        <v>4.017968714264005</v>
      </c>
      <c r="Q182" s="4" cm="1">
        <f t="array" ref="Q182">SUMPRODUCT(IF(LEFT($A$4:$A$108,3)=LEFT($A182,3),IF($B$4:$B$108=$B182,IF($C$3:$AZ$3=P$112,$C$4:$AZ$108))))*'Cement and Glass Split'!P75</f>
        <v>4.3710312857359952</v>
      </c>
      <c r="R182" cm="1">
        <f t="array" ref="R182">SUMPRODUCT(IF(LEFT($A$4:$A$108,3)=LEFT($A182,3),IF($B$4:$B$108=$B182,IF($C$3:$AZ$3=R$112,$C$4:$AZ$108))))</f>
        <v>21.186</v>
      </c>
      <c r="S182" cm="1">
        <f t="array" ref="S182">SUMPRODUCT(IF(LEFT($A$4:$A$108,3)=LEFT($A182,3),IF($B$4:$B$108=$B182,IF($C$3:$AZ$3=S$112,$C$4:$AZ$108))))</f>
        <v>8.6389999999999993</v>
      </c>
      <c r="T182" cm="1">
        <f t="array" ref="T182">SUMPRODUCT(IF(LEFT($A$4:$A$108,3)=LEFT($A182,3),IF($B$4:$B$108=$B182,IF($C$3:$AZ$3=T$112,$C$4:$AZ$108))))</f>
        <v>10.474</v>
      </c>
      <c r="U182" cm="1">
        <f t="array" ref="U182">SUMPRODUCT(IF(LEFT($A$4:$A$108,3)=LEFT($A182,3),IF($B$4:$B$108=$B182,IF($C$3:$AZ$3=U$112,$C$4:$AZ$108))))</f>
        <v>17.478000000000002</v>
      </c>
      <c r="V182" cm="1">
        <f t="array" ref="V182">SUMPRODUCT(IF(LEFT($A$4:$A$108,3)=LEFT($A182,3),IF($B$4:$B$108=$B182,IF($C$3:$AZ$3=V$112,$C$4:$AZ$108))))</f>
        <v>10.869</v>
      </c>
      <c r="W182" cm="1">
        <f t="array" ref="W182">SUMPRODUCT(IF(LEFT($A$4:$A$108,3)=LEFT($A182,3),IF($B$4:$B$108=$B182,IF($C$3:$AZ$3=W$112,$C$4:$AZ$108))))</f>
        <v>17.95</v>
      </c>
      <c r="X182" cm="1">
        <f t="array" ref="X182">SUMPRODUCT(IF(LEFT($A$4:$A$108,3)=LEFT($A182,3),IF($B$4:$B$108=$B182,IF($C$3:$AZ$3=X$112,$C$4:$AZ$108))))</f>
        <v>20.527999999999999</v>
      </c>
      <c r="Y182" cm="1">
        <f t="array" ref="Y182">SUMPRODUCT(IF(LEFT($A$4:$A$108,3)=LEFT($A182,3),IF($B$4:$B$108=$B182,IF($C$3:$AZ$3=Y$112,$C$4:$AZ$108))))</f>
        <v>4.99</v>
      </c>
      <c r="Z182" cm="1">
        <f t="array" ref="Z182">SUMPRODUCT(IF(LEFT($A$4:$A$108,3)=LEFT($A182,3),IF($B$4:$B$108=$B182,IF($C$3:$AZ$3=Z$112,$C$4:$AZ$108))))</f>
        <v>3.964</v>
      </c>
      <c r="AA182" cm="1">
        <f t="array" ref="AA182">SUMPRODUCT(IF(LEFT($A$4:$A$108,3)=LEFT($A182,3),IF($B$4:$B$108=$B182,IF($C$3:$AZ$3=AA$112,$C$4:$AZ$108))))</f>
        <v>32.161000000000001</v>
      </c>
      <c r="AB182" cm="1">
        <f t="array" ref="AB182">SUMPRODUCT(IF(LEFT($A$4:$A$108,3)=LEFT($A182,3),IF($B$4:$B$108=$B182,IF($C$3:$AZ$3=AB$112,$C$4:$AZ$108))))</f>
        <v>3.129</v>
      </c>
      <c r="AC182" cm="1">
        <f t="array" ref="AC182">SUMPRODUCT(IF(LEFT($A$4:$A$108,3)=LEFT($A182,3),IF($B$4:$B$108=$B182,IF($C$3:$AZ$3=AC$112,$C$4:$AZ$108))))</f>
        <v>2.4169999999999998</v>
      </c>
      <c r="AD182" cm="1">
        <f t="array" ref="AD182">SUMPRODUCT(IF(LEFT($A$4:$A$108,3)=LEFT($A182,3),IF($B$4:$B$108=$B182,IF($C$3:$AZ$3=AD$112,$C$4:$AZ$108))))</f>
        <v>26.71</v>
      </c>
      <c r="AE182" cm="1">
        <f t="array" ref="AE182">SUMPRODUCT(IF(LEFT($A$4:$A$108,3)=LEFT($A182,3),IF($B$4:$B$108=$B182,IF($C$3:$AZ$3=AE$112,$C$4:$AZ$108))))</f>
        <v>22.956</v>
      </c>
      <c r="AF182" cm="1">
        <f t="array" ref="AF182">SUMPRODUCT(IF(LEFT($A$4:$A$108,3)=LEFT($A182,3),IF($B$4:$B$108=$B182,IF($C$3:$AZ$3=AF$112,$C$4:$AZ$108))))</f>
        <v>22.446000000000002</v>
      </c>
      <c r="AG182" cm="1">
        <f t="array" ref="AG182">SUMPRODUCT(IF(LEFT($A$4:$A$108,3)=LEFT($A182,3),IF($B$4:$B$108=$B182,IF($C$3:$AZ$3=AG$112,$C$4:$AZ$108))))</f>
        <v>10.675000000000001</v>
      </c>
      <c r="AH182" cm="1">
        <f t="array" ref="AH182">SUMPRODUCT(IF(LEFT($A$4:$A$108,3)=LEFT($A182,3),IF($B$4:$B$108=$B182,IF($C$3:$AZ$3=AH$112,$C$4:$AZ$108))))</f>
        <v>2.5649999999999999</v>
      </c>
      <c r="AI182" cm="1">
        <f t="array" ref="AI182">SUMPRODUCT(IF(LEFT($A$4:$A$108,3)=LEFT($A182,3),IF($B$4:$B$108=$B182,IF($C$3:$AZ$3=AI$112,$C$4:$AZ$108))))</f>
        <v>4.6849999999999996</v>
      </c>
      <c r="AJ182" cm="1">
        <f t="array" ref="AJ182">SUMPRODUCT(IF(LEFT($A$4:$A$108,3)=LEFT($A182,3),IF($B$4:$B$108=$B182,IF($C$3:$AZ$3=AJ$112,$C$4:$AZ$108))))</f>
        <v>5.3150000000000004</v>
      </c>
      <c r="AK182" cm="1">
        <f t="array" ref="AK182">SUMPRODUCT(IF(LEFT($A$4:$A$108,3)=LEFT($A182,3),IF($B$4:$B$108=$B182,IF($C$3:$AZ$3=AK$112,$C$4:$AZ$108))))</f>
        <v>4.8609999999999998</v>
      </c>
      <c r="AL182" cm="1">
        <f t="array" ref="AL182">SUMPRODUCT(IF(LEFT($A$4:$A$108,3)=LEFT($A182,3),IF($B$4:$B$108=$B182,IF($C$3:$AZ$3=AL$112,$C$4:$AZ$108))))</f>
        <v>5.7489999999999997</v>
      </c>
      <c r="AM182" cm="1">
        <f t="array" ref="AM182">SUMPRODUCT(IF(LEFT($A$4:$A$108,3)=LEFT($A182,3),IF($B$4:$B$108=$B182,IF($C$3:$AZ$3=AM$112,$C$4:$AZ$108))))</f>
        <v>21.794</v>
      </c>
      <c r="AN182" cm="1">
        <f t="array" ref="AN182">SUMPRODUCT(IF(LEFT($A$4:$A$108,3)=LEFT($A182,3),IF($B$4:$B$108=$B182,IF($C$3:$AZ$3=AN$112,$C$4:$AZ$108))))</f>
        <v>7.1280000000000001</v>
      </c>
      <c r="AO182" cm="1">
        <f t="array" ref="AO182">SUMPRODUCT(IF(LEFT($A$4:$A$108,3)=LEFT($A182,3),IF($B$4:$B$108=$B182,IF($C$3:$AZ$3=AO$112,$C$4:$AZ$108))))</f>
        <v>4.3209999999999997</v>
      </c>
      <c r="AP182" cm="1">
        <f t="array" ref="AP182">SUMPRODUCT(IF(LEFT($A$4:$A$108,3)=LEFT($A182,3),IF($B$4:$B$108=$B182,IF($C$3:$AZ$3=AP$112,$C$4:$AZ$108))))</f>
        <v>7.6630000000000003</v>
      </c>
      <c r="AQ182" cm="1">
        <f t="array" ref="AQ182">SUMPRODUCT(IF(LEFT($A$4:$A$108,3)=LEFT($A182,3),IF($B$4:$B$108=$B182,IF($C$3:$AZ$3=AQ$112,$C$4:$AZ$108))))</f>
        <v>6.6530000000000005</v>
      </c>
      <c r="AR182" cm="1">
        <f t="array" ref="AR182">SUMPRODUCT(IF(LEFT($A$4:$A$108,3)=LEFT($A182,3),IF($B$4:$B$108=$B182,IF($C$3:$AZ$3=AR$112,$C$4:$AZ$108))))</f>
        <v>0</v>
      </c>
      <c r="AS182">
        <v>0</v>
      </c>
    </row>
    <row r="183" spans="1:45">
      <c r="A183" t="s">
        <v>385</v>
      </c>
      <c r="B183" t="s">
        <v>21</v>
      </c>
      <c r="C183" cm="1">
        <f t="array" ref="C183">SUMPRODUCT(IF(LEFT($A$4:$A$108,3)=LEFT($A183,3),IF($B$4:$B$108=$B183,IF($C$3:$AZ$3=C$112,$C$4:$AZ$108))))</f>
        <v>860.99400000000014</v>
      </c>
      <c r="D183" cm="1">
        <f t="array" ref="D183">SUMPRODUCT(IF(LEFT($A$4:$A$108,3)=LEFT($A183,3),IF($B$4:$B$108=$B183,IF($C$3:$AZ$3=D$112,$C$4:$AZ$108))))</f>
        <v>3.524</v>
      </c>
      <c r="E183" cm="1">
        <f t="array" ref="E183">SUMPRODUCT(IF(LEFT($A$4:$A$108,3)=LEFT($A183,3),IF($B$4:$B$108=$B183,IF($C$3:$AZ$3=E$112,$C$4:$AZ$108))))</f>
        <v>1.0609999999999999</v>
      </c>
      <c r="F183" cm="1">
        <f t="array" ref="F183">SUMPRODUCT(IF(LEFT($A$4:$A$108,3)=LEFT($A183,3),IF($B$4:$B$108=$B183,IF($C$3:$AZ$3=F$112,$C$4:$AZ$108))))</f>
        <v>40.21</v>
      </c>
      <c r="G183" cm="1">
        <f t="array" ref="G183">SUMPRODUCT(IF(LEFT($A$4:$A$108,3)=LEFT($A183,3),IF($B$4:$B$108=$B183,IF($C$3:$AZ$3=G$112,$C$4:$AZ$108))))</f>
        <v>0.14199999999999999</v>
      </c>
      <c r="H183" cm="1">
        <f t="array" ref="H183">SUMPRODUCT(IF(LEFT($A$4:$A$108,3)=LEFT($A183,3),IF($B$4:$B$108=$B183,IF($C$3:$AZ$3=H$112,$C$4:$AZ$108))))</f>
        <v>2807.4679999999998</v>
      </c>
      <c r="I183" cm="1">
        <f t="array" ref="I183">SUMPRODUCT(IF(LEFT($A$4:$A$108,3)=LEFT($A183,3),IF($B$4:$B$108=$B183,IF($C$3:$AZ$3=I$112,$C$4:$AZ$108))))</f>
        <v>1408.8489999999999</v>
      </c>
      <c r="J183" cm="1">
        <f t="array" ref="J183">SUMPRODUCT(IF(LEFT($A$4:$A$108,3)=LEFT($A183,3),IF($B$4:$B$108=$B183,IF($C$3:$AZ$3=J$112,$C$4:$AZ$108))))</f>
        <v>124.881</v>
      </c>
      <c r="K183" cm="1">
        <f t="array" ref="K183">SUMPRODUCT(IF(LEFT($A$4:$A$108,3)=LEFT($A183,3),IF($B$4:$B$108=$B183,IF($C$3:$AZ$3=K$112,$C$4:$AZ$108))))</f>
        <v>477.16699999999997</v>
      </c>
      <c r="L183" cm="1">
        <f t="array" ref="L183">SUMPRODUCT(IF(LEFT($A$4:$A$108,3)=LEFT($A183,3),IF($B$4:$B$108=$B183,IF($C$3:$AZ$3=L$112,$C$4:$AZ$108))))</f>
        <v>2723</v>
      </c>
      <c r="M183" cm="1">
        <f t="array" ref="M183">SUMPRODUCT(IF(LEFT($A$4:$A$108,3)=LEFT($A183,3),IF($B$4:$B$108=$B183,IF($C$3:$AZ$3=M$112,$C$4:$AZ$108))))</f>
        <v>5051.7870000000003</v>
      </c>
      <c r="N183" cm="1">
        <f t="array" ref="N183">SUMPRODUCT(IF(LEFT($A$4:$A$108,3)=LEFT($A183,3),IF($B$4:$B$108=$B183,IF($C$3:$AZ$3=N$112,$C$4:$AZ$108))))</f>
        <v>837.11900000000003</v>
      </c>
      <c r="O183" cm="1">
        <f t="array" ref="O183">SUMPRODUCT(IF(LEFT($A$4:$A$108,3)=LEFT($A183,3),IF($B$4:$B$108=$B183,IF($C$3:$AZ$3=O$112,$C$4:$AZ$108))))</f>
        <v>1509.479</v>
      </c>
      <c r="P183" s="4" cm="1">
        <f t="array" ref="P183">SUMPRODUCT(IF(LEFT($A$4:$A$108,3)=LEFT($A183,3),IF($B$4:$B$108=$B183,IF($C$3:$AZ$3=P$112,$C$4:$AZ$108))))*'Cement and Glass Split'!O76</f>
        <v>0</v>
      </c>
      <c r="Q183" s="4" cm="1">
        <f t="array" ref="Q183">SUMPRODUCT(IF(LEFT($A$4:$A$108,3)=LEFT($A183,3),IF($B$4:$B$108=$B183,IF($C$3:$AZ$3=P$112,$C$4:$AZ$108))))*'Cement and Glass Split'!P76</f>
        <v>0</v>
      </c>
      <c r="R183" cm="1">
        <f t="array" ref="R183">SUMPRODUCT(IF(LEFT($A$4:$A$108,3)=LEFT($A183,3),IF($B$4:$B$108=$B183,IF($C$3:$AZ$3=R$112,$C$4:$AZ$108))))</f>
        <v>1735.2760000000001</v>
      </c>
      <c r="S183" cm="1">
        <f t="array" ref="S183">SUMPRODUCT(IF(LEFT($A$4:$A$108,3)=LEFT($A183,3),IF($B$4:$B$108=$B183,IF($C$3:$AZ$3=S$112,$C$4:$AZ$108))))</f>
        <v>777.202</v>
      </c>
      <c r="T183" cm="1">
        <f t="array" ref="T183">SUMPRODUCT(IF(LEFT($A$4:$A$108,3)=LEFT($A183,3),IF($B$4:$B$108=$B183,IF($C$3:$AZ$3=T$112,$C$4:$AZ$108))))</f>
        <v>1081.796</v>
      </c>
      <c r="U183" cm="1">
        <f t="array" ref="U183">SUMPRODUCT(IF(LEFT($A$4:$A$108,3)=LEFT($A183,3),IF($B$4:$B$108=$B183,IF($C$3:$AZ$3=U$112,$C$4:$AZ$108))))</f>
        <v>7887.2510000000002</v>
      </c>
      <c r="V183" cm="1">
        <f t="array" ref="V183">SUMPRODUCT(IF(LEFT($A$4:$A$108,3)=LEFT($A183,3),IF($B$4:$B$108=$B183,IF($C$3:$AZ$3=V$112,$C$4:$AZ$108))))</f>
        <v>1955.4829999999999</v>
      </c>
      <c r="W183" cm="1">
        <f t="array" ref="W183">SUMPRODUCT(IF(LEFT($A$4:$A$108,3)=LEFT($A183,3),IF($B$4:$B$108=$B183,IF($C$3:$AZ$3=W$112,$C$4:$AZ$108))))</f>
        <v>2750.5949999999998</v>
      </c>
      <c r="X183" cm="1">
        <f t="array" ref="X183">SUMPRODUCT(IF(LEFT($A$4:$A$108,3)=LEFT($A183,3),IF($B$4:$B$108=$B183,IF($C$3:$AZ$3=X$112,$C$4:$AZ$108))))</f>
        <v>3263.913</v>
      </c>
      <c r="Y183" cm="1">
        <f t="array" ref="Y183">SUMPRODUCT(IF(LEFT($A$4:$A$108,3)=LEFT($A183,3),IF($B$4:$B$108=$B183,IF($C$3:$AZ$3=Y$112,$C$4:$AZ$108))))</f>
        <v>807.92799999999988</v>
      </c>
      <c r="Z183" cm="1">
        <f t="array" ref="Z183">SUMPRODUCT(IF(LEFT($A$4:$A$108,3)=LEFT($A183,3),IF($B$4:$B$108=$B183,IF($C$3:$AZ$3=Z$112,$C$4:$AZ$108))))</f>
        <v>475.08199999999999</v>
      </c>
      <c r="AA183" cm="1">
        <f t="array" ref="AA183">SUMPRODUCT(IF(LEFT($A$4:$A$108,3)=LEFT($A183,3),IF($B$4:$B$108=$B183,IF($C$3:$AZ$3=AA$112,$C$4:$AZ$108))))</f>
        <v>1931.2539999999999</v>
      </c>
      <c r="AB183" cm="1">
        <f t="array" ref="AB183">SUMPRODUCT(IF(LEFT($A$4:$A$108,3)=LEFT($A183,3),IF($B$4:$B$108=$B183,IF($C$3:$AZ$3=AB$112,$C$4:$AZ$108))))</f>
        <v>281.05200000000002</v>
      </c>
      <c r="AC183" cm="1">
        <f t="array" ref="AC183">SUMPRODUCT(IF(LEFT($A$4:$A$108,3)=LEFT($A183,3),IF($B$4:$B$108=$B183,IF($C$3:$AZ$3=AC$112,$C$4:$AZ$108))))</f>
        <v>150.809</v>
      </c>
      <c r="AD183" cm="1">
        <f t="array" ref="AD183">SUMPRODUCT(IF(LEFT($A$4:$A$108,3)=LEFT($A183,3),IF($B$4:$B$108=$B183,IF($C$3:$AZ$3=AD$112,$C$4:$AZ$108))))</f>
        <v>2127.79</v>
      </c>
      <c r="AE183" cm="1">
        <f t="array" ref="AE183">SUMPRODUCT(IF(LEFT($A$4:$A$108,3)=LEFT($A183,3),IF($B$4:$B$108=$B183,IF($C$3:$AZ$3=AE$112,$C$4:$AZ$108))))</f>
        <v>1424.588</v>
      </c>
      <c r="AF183" cm="1">
        <f t="array" ref="AF183">SUMPRODUCT(IF(LEFT($A$4:$A$108,3)=LEFT($A183,3),IF($B$4:$B$108=$B183,IF($C$3:$AZ$3=AF$112,$C$4:$AZ$108))))</f>
        <v>1145.4420000000002</v>
      </c>
      <c r="AG183" cm="1">
        <f t="array" ref="AG183">SUMPRODUCT(IF(LEFT($A$4:$A$108,3)=LEFT($A183,3),IF($B$4:$B$108=$B183,IF($C$3:$AZ$3=AG$112,$C$4:$AZ$108))))</f>
        <v>2224.8589999999999</v>
      </c>
      <c r="AH183" cm="1">
        <f t="array" ref="AH183">SUMPRODUCT(IF(LEFT($A$4:$A$108,3)=LEFT($A183,3),IF($B$4:$B$108=$B183,IF($C$3:$AZ$3=AH$112,$C$4:$AZ$108))))</f>
        <v>260.04300000000001</v>
      </c>
      <c r="AI183" cm="1">
        <f t="array" ref="AI183">SUMPRODUCT(IF(LEFT($A$4:$A$108,3)=LEFT($A183,3),IF($B$4:$B$108=$B183,IF($C$3:$AZ$3=AI$112,$C$4:$AZ$108))))</f>
        <v>323.89499999999998</v>
      </c>
      <c r="AJ183" cm="1">
        <f t="array" ref="AJ183">SUMPRODUCT(IF(LEFT($A$4:$A$108,3)=LEFT($A183,3),IF($B$4:$B$108=$B183,IF($C$3:$AZ$3=AJ$112,$C$4:$AZ$108))))</f>
        <v>206.369</v>
      </c>
      <c r="AK183" cm="1">
        <f t="array" ref="AK183">SUMPRODUCT(IF(LEFT($A$4:$A$108,3)=LEFT($A183,3),IF($B$4:$B$108=$B183,IF($C$3:$AZ$3=AK$112,$C$4:$AZ$108))))</f>
        <v>174.256</v>
      </c>
      <c r="AL183" cm="1">
        <f t="array" ref="AL183">SUMPRODUCT(IF(LEFT($A$4:$A$108,3)=LEFT($A183,3),IF($B$4:$B$108=$B183,IF($C$3:$AZ$3=AL$112,$C$4:$AZ$108))))</f>
        <v>252.58699999999999</v>
      </c>
      <c r="AM183" cm="1">
        <f t="array" ref="AM183">SUMPRODUCT(IF(LEFT($A$4:$A$108,3)=LEFT($A183,3),IF($B$4:$B$108=$B183,IF($C$3:$AZ$3=AM$112,$C$4:$AZ$108))))</f>
        <v>1014.135</v>
      </c>
      <c r="AN183" cm="1">
        <f t="array" ref="AN183">SUMPRODUCT(IF(LEFT($A$4:$A$108,3)=LEFT($A183,3),IF($B$4:$B$108=$B183,IF($C$3:$AZ$3=AN$112,$C$4:$AZ$108))))</f>
        <v>447.06900000000002</v>
      </c>
      <c r="AO183" cm="1">
        <f t="array" ref="AO183">SUMPRODUCT(IF(LEFT($A$4:$A$108,3)=LEFT($A183,3),IF($B$4:$B$108=$B183,IF($C$3:$AZ$3=AO$112,$C$4:$AZ$108))))</f>
        <v>414.06900000000002</v>
      </c>
      <c r="AP183" cm="1">
        <f t="array" ref="AP183">SUMPRODUCT(IF(LEFT($A$4:$A$108,3)=LEFT($A183,3),IF($B$4:$B$108=$B183,IF($C$3:$AZ$3=AP$112,$C$4:$AZ$108))))</f>
        <v>2086.4589999999998</v>
      </c>
      <c r="AQ183" cm="1">
        <f t="array" ref="AQ183">SUMPRODUCT(IF(LEFT($A$4:$A$108,3)=LEFT($A183,3),IF($B$4:$B$108=$B183,IF($C$3:$AZ$3=AQ$112,$C$4:$AZ$108))))</f>
        <v>691.82299999999998</v>
      </c>
      <c r="AR183" cm="1">
        <f t="array" ref="AR183">SUMPRODUCT(IF(LEFT($A$4:$A$108,3)=LEFT($A183,3),IF($B$4:$B$108=$B183,IF($C$3:$AZ$3=AR$112,$C$4:$AZ$108))))</f>
        <v>0</v>
      </c>
      <c r="AS183">
        <v>0</v>
      </c>
    </row>
    <row r="184" spans="1:45">
      <c r="A184" t="s">
        <v>385</v>
      </c>
      <c r="B184" t="s">
        <v>22</v>
      </c>
      <c r="C184" cm="1">
        <f t="array" ref="C184">SUMPRODUCT(IF(LEFT($A$4:$A$108,3)=LEFT($A184,3),IF($B$4:$B$108=$B184,IF($C$3:$AZ$3=C$112,$C$4:$AZ$108))))</f>
        <v>190.82900000000001</v>
      </c>
      <c r="D184" cm="1">
        <f t="array" ref="D184">SUMPRODUCT(IF(LEFT($A$4:$A$108,3)=LEFT($A184,3),IF($B$4:$B$108=$B184,IF($C$3:$AZ$3=D$112,$C$4:$AZ$108))))</f>
        <v>1.91</v>
      </c>
      <c r="E184" cm="1">
        <f t="array" ref="E184">SUMPRODUCT(IF(LEFT($A$4:$A$108,3)=LEFT($A184,3),IF($B$4:$B$108=$B184,IF($C$3:$AZ$3=E$112,$C$4:$AZ$108))))</f>
        <v>1.2019999999999997</v>
      </c>
      <c r="F184" cm="1">
        <f t="array" ref="F184">SUMPRODUCT(IF(LEFT($A$4:$A$108,3)=LEFT($A184,3),IF($B$4:$B$108=$B184,IF($C$3:$AZ$3=F$112,$C$4:$AZ$108))))</f>
        <v>30.435000000000002</v>
      </c>
      <c r="G184" cm="1">
        <f t="array" ref="G184">SUMPRODUCT(IF(LEFT($A$4:$A$108,3)=LEFT($A184,3),IF($B$4:$B$108=$B184,IF($C$3:$AZ$3=G$112,$C$4:$AZ$108))))</f>
        <v>8.8000000000000009E-2</v>
      </c>
      <c r="H184" cm="1">
        <f t="array" ref="H184">SUMPRODUCT(IF(LEFT($A$4:$A$108,3)=LEFT($A184,3),IF($B$4:$B$108=$B184,IF($C$3:$AZ$3=H$112,$C$4:$AZ$108))))</f>
        <v>571.50800000000004</v>
      </c>
      <c r="I184" cm="1">
        <f t="array" ref="I184">SUMPRODUCT(IF(LEFT($A$4:$A$108,3)=LEFT($A184,3),IF($B$4:$B$108=$B184,IF($C$3:$AZ$3=I$112,$C$4:$AZ$108))))</f>
        <v>191.45400000000001</v>
      </c>
      <c r="J184" cm="1">
        <f t="array" ref="J184">SUMPRODUCT(IF(LEFT($A$4:$A$108,3)=LEFT($A184,3),IF($B$4:$B$108=$B184,IF($C$3:$AZ$3=J$112,$C$4:$AZ$108))))</f>
        <v>54.249000000000002</v>
      </c>
      <c r="K184" cm="1">
        <f t="array" ref="K184">SUMPRODUCT(IF(LEFT($A$4:$A$108,3)=LEFT($A184,3),IF($B$4:$B$108=$B184,IF($C$3:$AZ$3=K$112,$C$4:$AZ$108))))</f>
        <v>143.59</v>
      </c>
      <c r="L184" cm="1">
        <f t="array" ref="L184">SUMPRODUCT(IF(LEFT($A$4:$A$108,3)=LEFT($A184,3),IF($B$4:$B$108=$B184,IF($C$3:$AZ$3=L$112,$C$4:$AZ$108))))</f>
        <v>804.07099999999991</v>
      </c>
      <c r="M184" cm="1">
        <f t="array" ref="M184">SUMPRODUCT(IF(LEFT($A$4:$A$108,3)=LEFT($A184,3),IF($B$4:$B$108=$B184,IF($C$3:$AZ$3=M$112,$C$4:$AZ$108))))</f>
        <v>665.07500000000005</v>
      </c>
      <c r="N184" cm="1">
        <f t="array" ref="N184">SUMPRODUCT(IF(LEFT($A$4:$A$108,3)=LEFT($A184,3),IF($B$4:$B$108=$B184,IF($C$3:$AZ$3=N$112,$C$4:$AZ$108))))</f>
        <v>72.979000000000013</v>
      </c>
      <c r="O184" cm="1">
        <f t="array" ref="O184">SUMPRODUCT(IF(LEFT($A$4:$A$108,3)=LEFT($A184,3),IF($B$4:$B$108=$B184,IF($C$3:$AZ$3=O$112,$C$4:$AZ$108))))</f>
        <v>179.39400000000003</v>
      </c>
      <c r="P184" s="4" cm="1">
        <f t="array" ref="P184">SUMPRODUCT(IF(LEFT($A$4:$A$108,3)=LEFT($A184,3),IF($B$4:$B$108=$B184,IF($C$3:$AZ$3=P$112,$C$4:$AZ$108))))*'Cement and Glass Split'!O77</f>
        <v>9.6275180754660941</v>
      </c>
      <c r="Q184" s="4" cm="1">
        <f t="array" ref="Q184">SUMPRODUCT(IF(LEFT($A$4:$A$108,3)=LEFT($A184,3),IF($B$4:$B$108=$B184,IF($C$3:$AZ$3=P$112,$C$4:$AZ$108))))*'Cement and Glass Split'!P77</f>
        <v>166.11348192453394</v>
      </c>
      <c r="R184" cm="1">
        <f t="array" ref="R184">SUMPRODUCT(IF(LEFT($A$4:$A$108,3)=LEFT($A184,3),IF($B$4:$B$108=$B184,IF($C$3:$AZ$3=R$112,$C$4:$AZ$108))))</f>
        <v>442.01500000000004</v>
      </c>
      <c r="S184" cm="1">
        <f t="array" ref="S184">SUMPRODUCT(IF(LEFT($A$4:$A$108,3)=LEFT($A184,3),IF($B$4:$B$108=$B184,IF($C$3:$AZ$3=S$112,$C$4:$AZ$108))))</f>
        <v>200.18299999999999</v>
      </c>
      <c r="T184" cm="1">
        <f t="array" ref="T184">SUMPRODUCT(IF(LEFT($A$4:$A$108,3)=LEFT($A184,3),IF($B$4:$B$108=$B184,IF($C$3:$AZ$3=T$112,$C$4:$AZ$108))))</f>
        <v>231.47200000000004</v>
      </c>
      <c r="U184" cm="1">
        <f t="array" ref="U184">SUMPRODUCT(IF(LEFT($A$4:$A$108,3)=LEFT($A184,3),IF($B$4:$B$108=$B184,IF($C$3:$AZ$3=U$112,$C$4:$AZ$108))))</f>
        <v>932.9899999999999</v>
      </c>
      <c r="V184" cm="1">
        <f t="array" ref="V184">SUMPRODUCT(IF(LEFT($A$4:$A$108,3)=LEFT($A184,3),IF($B$4:$B$108=$B184,IF($C$3:$AZ$3=V$112,$C$4:$AZ$108))))</f>
        <v>372.62</v>
      </c>
      <c r="W184" cm="1">
        <f t="array" ref="W184">SUMPRODUCT(IF(LEFT($A$4:$A$108,3)=LEFT($A184,3),IF($B$4:$B$108=$B184,IF($C$3:$AZ$3=W$112,$C$4:$AZ$108))))</f>
        <v>409.67600000000004</v>
      </c>
      <c r="X184" cm="1">
        <f t="array" ref="X184">SUMPRODUCT(IF(LEFT($A$4:$A$108,3)=LEFT($A184,3),IF($B$4:$B$108=$B184,IF($C$3:$AZ$3=X$112,$C$4:$AZ$108))))</f>
        <v>508.11</v>
      </c>
      <c r="Y184" cm="1">
        <f t="array" ref="Y184">SUMPRODUCT(IF(LEFT($A$4:$A$108,3)=LEFT($A184,3),IF($B$4:$B$108=$B184,IF($C$3:$AZ$3=Y$112,$C$4:$AZ$108))))</f>
        <v>114.773</v>
      </c>
      <c r="Z184" cm="1">
        <f t="array" ref="Z184">SUMPRODUCT(IF(LEFT($A$4:$A$108,3)=LEFT($A184,3),IF($B$4:$B$108=$B184,IF($C$3:$AZ$3=Z$112,$C$4:$AZ$108))))</f>
        <v>87.385000000000005</v>
      </c>
      <c r="AA184" cm="1">
        <f t="array" ref="AA184">SUMPRODUCT(IF(LEFT($A$4:$A$108,3)=LEFT($A184,3),IF($B$4:$B$108=$B184,IF($C$3:$AZ$3=AA$112,$C$4:$AZ$108))))</f>
        <v>472.24700000000001</v>
      </c>
      <c r="AB184" cm="1">
        <f t="array" ref="AB184">SUMPRODUCT(IF(LEFT($A$4:$A$108,3)=LEFT($A184,3),IF($B$4:$B$108=$B184,IF($C$3:$AZ$3=AB$112,$C$4:$AZ$108))))</f>
        <v>323.43599999999998</v>
      </c>
      <c r="AC184" cm="1">
        <f t="array" ref="AC184">SUMPRODUCT(IF(LEFT($A$4:$A$108,3)=LEFT($A184,3),IF($B$4:$B$108=$B184,IF($C$3:$AZ$3=AC$112,$C$4:$AZ$108))))</f>
        <v>64.055000000000007</v>
      </c>
      <c r="AD184" cm="1">
        <f t="array" ref="AD184">SUMPRODUCT(IF(LEFT($A$4:$A$108,3)=LEFT($A184,3),IF($B$4:$B$108=$B184,IF($C$3:$AZ$3=AD$112,$C$4:$AZ$108))))</f>
        <v>441</v>
      </c>
      <c r="AE184" cm="1">
        <f t="array" ref="AE184">SUMPRODUCT(IF(LEFT($A$4:$A$108,3)=LEFT($A184,3),IF($B$4:$B$108=$B184,IF($C$3:$AZ$3=AE$112,$C$4:$AZ$108))))</f>
        <v>3083.4160000000002</v>
      </c>
      <c r="AF184" cm="1">
        <f t="array" ref="AF184">SUMPRODUCT(IF(LEFT($A$4:$A$108,3)=LEFT($A184,3),IF($B$4:$B$108=$B184,IF($C$3:$AZ$3=AF$112,$C$4:$AZ$108))))</f>
        <v>8965.3490000000002</v>
      </c>
      <c r="AG184" cm="1">
        <f t="array" ref="AG184">SUMPRODUCT(IF(LEFT($A$4:$A$108,3)=LEFT($A184,3),IF($B$4:$B$108=$B184,IF($C$3:$AZ$3=AG$112,$C$4:$AZ$108))))</f>
        <v>296.08</v>
      </c>
      <c r="AH184" cm="1">
        <f t="array" ref="AH184">SUMPRODUCT(IF(LEFT($A$4:$A$108,3)=LEFT($A184,3),IF($B$4:$B$108=$B184,IF($C$3:$AZ$3=AH$112,$C$4:$AZ$108))))</f>
        <v>127.01599999999999</v>
      </c>
      <c r="AI184" cm="1">
        <f t="array" ref="AI184">SUMPRODUCT(IF(LEFT($A$4:$A$108,3)=LEFT($A184,3),IF($B$4:$B$108=$B184,IF($C$3:$AZ$3=AI$112,$C$4:$AZ$108))))</f>
        <v>163.79300000000001</v>
      </c>
      <c r="AJ184" cm="1">
        <f t="array" ref="AJ184">SUMPRODUCT(IF(LEFT($A$4:$A$108,3)=LEFT($A184,3),IF($B$4:$B$108=$B184,IF($C$3:$AZ$3=AJ$112,$C$4:$AZ$108))))</f>
        <v>114.35400000000001</v>
      </c>
      <c r="AK184" cm="1">
        <f t="array" ref="AK184">SUMPRODUCT(IF(LEFT($A$4:$A$108,3)=LEFT($A184,3),IF($B$4:$B$108=$B184,IF($C$3:$AZ$3=AK$112,$C$4:$AZ$108))))</f>
        <v>431.60899999999998</v>
      </c>
      <c r="AL184" cm="1">
        <f t="array" ref="AL184">SUMPRODUCT(IF(LEFT($A$4:$A$108,3)=LEFT($A184,3),IF($B$4:$B$108=$B184,IF($C$3:$AZ$3=AL$112,$C$4:$AZ$108))))</f>
        <v>112.935</v>
      </c>
      <c r="AM184" cm="1">
        <f t="array" ref="AM184">SUMPRODUCT(IF(LEFT($A$4:$A$108,3)=LEFT($A184,3),IF($B$4:$B$108=$B184,IF($C$3:$AZ$3=AM$112,$C$4:$AZ$108))))</f>
        <v>1032.9389999999999</v>
      </c>
      <c r="AN184" cm="1">
        <f t="array" ref="AN184">SUMPRODUCT(IF(LEFT($A$4:$A$108,3)=LEFT($A184,3),IF($B$4:$B$108=$B184,IF($C$3:$AZ$3=AN$112,$C$4:$AZ$108))))</f>
        <v>415.02499999999998</v>
      </c>
      <c r="AO184" cm="1">
        <f t="array" ref="AO184">SUMPRODUCT(IF(LEFT($A$4:$A$108,3)=LEFT($A184,3),IF($B$4:$B$108=$B184,IF($C$3:$AZ$3=AO$112,$C$4:$AZ$108))))</f>
        <v>182.46799999999999</v>
      </c>
      <c r="AP184" cm="1">
        <f t="array" ref="AP184">SUMPRODUCT(IF(LEFT($A$4:$A$108,3)=LEFT($A184,3),IF($B$4:$B$108=$B184,IF($C$3:$AZ$3=AP$112,$C$4:$AZ$108))))</f>
        <v>211.86500000000001</v>
      </c>
      <c r="AQ184" cm="1">
        <f t="array" ref="AQ184">SUMPRODUCT(IF(LEFT($A$4:$A$108,3)=LEFT($A184,3),IF($B$4:$B$108=$B184,IF($C$3:$AZ$3=AQ$112,$C$4:$AZ$108))))</f>
        <v>279.37799999999999</v>
      </c>
      <c r="AR184" cm="1">
        <f t="array" ref="AR184">SUMPRODUCT(IF(LEFT($A$4:$A$108,3)=LEFT($A184,3),IF($B$4:$B$108=$B184,IF($C$3:$AZ$3=AR$112,$C$4:$AZ$108))))</f>
        <v>0</v>
      </c>
      <c r="AS184">
        <v>0</v>
      </c>
    </row>
    <row r="185" spans="1:45">
      <c r="A185" t="s">
        <v>385</v>
      </c>
      <c r="B185" t="s">
        <v>23</v>
      </c>
      <c r="C185" cm="1">
        <f t="array" ref="C185">SUMPRODUCT(IF(LEFT($A$4:$A$108,3)=LEFT($A185,3),IF($B$4:$B$108=$B185,IF($C$3:$AZ$3=C$112,$C$4:$AZ$108))))</f>
        <v>1.655</v>
      </c>
      <c r="D185" cm="1">
        <f t="array" ref="D185">SUMPRODUCT(IF(LEFT($A$4:$A$108,3)=LEFT($A185,3),IF($B$4:$B$108=$B185,IF($C$3:$AZ$3=D$112,$C$4:$AZ$108))))</f>
        <v>5.0000000000000001E-3</v>
      </c>
      <c r="E185" cm="1">
        <f t="array" ref="E185">SUMPRODUCT(IF(LEFT($A$4:$A$108,3)=LEFT($A185,3),IF($B$4:$B$108=$B185,IF($C$3:$AZ$3=E$112,$C$4:$AZ$108))))</f>
        <v>3.0000000000000001E-3</v>
      </c>
      <c r="F185" cm="1">
        <f t="array" ref="F185">SUMPRODUCT(IF(LEFT($A$4:$A$108,3)=LEFT($A185,3),IF($B$4:$B$108=$B185,IF($C$3:$AZ$3=F$112,$C$4:$AZ$108))))</f>
        <v>8.5000000000000006E-2</v>
      </c>
      <c r="G185" cm="1">
        <f t="array" ref="G185">SUMPRODUCT(IF(LEFT($A$4:$A$108,3)=LEFT($A185,3),IF($B$4:$B$108=$B185,IF($C$3:$AZ$3=G$112,$C$4:$AZ$108))))</f>
        <v>0</v>
      </c>
      <c r="H185" cm="1">
        <f t="array" ref="H185">SUMPRODUCT(IF(LEFT($A$4:$A$108,3)=LEFT($A185,3),IF($B$4:$B$108=$B185,IF($C$3:$AZ$3=H$112,$C$4:$AZ$108))))</f>
        <v>5.9779999999999998</v>
      </c>
      <c r="I185" cm="1">
        <f t="array" ref="I185">SUMPRODUCT(IF(LEFT($A$4:$A$108,3)=LEFT($A185,3),IF($B$4:$B$108=$B185,IF($C$3:$AZ$3=I$112,$C$4:$AZ$108))))</f>
        <v>0.89600000000000002</v>
      </c>
      <c r="J185" cm="1">
        <f t="array" ref="J185">SUMPRODUCT(IF(LEFT($A$4:$A$108,3)=LEFT($A185,3),IF($B$4:$B$108=$B185,IF($C$3:$AZ$3=J$112,$C$4:$AZ$108))))</f>
        <v>0.52200000000000002</v>
      </c>
      <c r="K185" cm="1">
        <f t="array" ref="K185">SUMPRODUCT(IF(LEFT($A$4:$A$108,3)=LEFT($A185,3),IF($B$4:$B$108=$B185,IF($C$3:$AZ$3=K$112,$C$4:$AZ$108))))</f>
        <v>0.69899999999999995</v>
      </c>
      <c r="L185" cm="1">
        <f t="array" ref="L185">SUMPRODUCT(IF(LEFT($A$4:$A$108,3)=LEFT($A185,3),IF($B$4:$B$108=$B185,IF($C$3:$AZ$3=L$112,$C$4:$AZ$108))))</f>
        <v>3.4569999999999999</v>
      </c>
      <c r="M185" cm="1">
        <f t="array" ref="M185">SUMPRODUCT(IF(LEFT($A$4:$A$108,3)=LEFT($A185,3),IF($B$4:$B$108=$B185,IF($C$3:$AZ$3=M$112,$C$4:$AZ$108))))</f>
        <v>4.5010000000000003</v>
      </c>
      <c r="N185" cm="1">
        <f t="array" ref="N185">SUMPRODUCT(IF(LEFT($A$4:$A$108,3)=LEFT($A185,3),IF($B$4:$B$108=$B185,IF($C$3:$AZ$3=N$112,$C$4:$AZ$108))))</f>
        <v>0.90100000000000002</v>
      </c>
      <c r="O185" cm="1">
        <f t="array" ref="O185">SUMPRODUCT(IF(LEFT($A$4:$A$108,3)=LEFT($A185,3),IF($B$4:$B$108=$B185,IF($C$3:$AZ$3=O$112,$C$4:$AZ$108))))</f>
        <v>1.1879999999999999</v>
      </c>
      <c r="P185" s="4" cm="1">
        <f t="array" ref="P185">SUMPRODUCT(IF(LEFT($A$4:$A$108,3)=LEFT($A185,3),IF($B$4:$B$108=$B185,IF($C$3:$AZ$3=P$112,$C$4:$AZ$108))))*'Cement and Glass Split'!O78</f>
        <v>7.5227308805116896E-2</v>
      </c>
      <c r="Q185" s="4" cm="1">
        <f t="array" ref="Q185">SUMPRODUCT(IF(LEFT($A$4:$A$108,3)=LEFT($A185,3),IF($B$4:$B$108=$B185,IF($C$3:$AZ$3=P$112,$C$4:$AZ$108))))*'Cement and Glass Split'!P78</f>
        <v>0.51777269119488301</v>
      </c>
      <c r="R185" cm="1">
        <f t="array" ref="R185">SUMPRODUCT(IF(LEFT($A$4:$A$108,3)=LEFT($A185,3),IF($B$4:$B$108=$B185,IF($C$3:$AZ$3=R$112,$C$4:$AZ$108))))</f>
        <v>1.365</v>
      </c>
      <c r="S185" cm="1">
        <f t="array" ref="S185">SUMPRODUCT(IF(LEFT($A$4:$A$108,3)=LEFT($A185,3),IF($B$4:$B$108=$B185,IF($C$3:$AZ$3=S$112,$C$4:$AZ$108))))</f>
        <v>0.80800000000000005</v>
      </c>
      <c r="T185" cm="1">
        <f t="array" ref="T185">SUMPRODUCT(IF(LEFT($A$4:$A$108,3)=LEFT($A185,3),IF($B$4:$B$108=$B185,IF($C$3:$AZ$3=T$112,$C$4:$AZ$108))))</f>
        <v>1.0549999999999999</v>
      </c>
      <c r="U185" cm="1">
        <f t="array" ref="U185">SUMPRODUCT(IF(LEFT($A$4:$A$108,3)=LEFT($A185,3),IF($B$4:$B$108=$B185,IF($C$3:$AZ$3=U$112,$C$4:$AZ$108))))</f>
        <v>5.7750000000000004</v>
      </c>
      <c r="V185" cm="1">
        <f t="array" ref="V185">SUMPRODUCT(IF(LEFT($A$4:$A$108,3)=LEFT($A185,3),IF($B$4:$B$108=$B185,IF($C$3:$AZ$3=V$112,$C$4:$AZ$108))))</f>
        <v>1.5369999999999999</v>
      </c>
      <c r="W185" cm="1">
        <f t="array" ref="W185">SUMPRODUCT(IF(LEFT($A$4:$A$108,3)=LEFT($A185,3),IF($B$4:$B$108=$B185,IF($C$3:$AZ$3=W$112,$C$4:$AZ$108))))</f>
        <v>2.1419999999999999</v>
      </c>
      <c r="X185" cm="1">
        <f t="array" ref="X185">SUMPRODUCT(IF(LEFT($A$4:$A$108,3)=LEFT($A185,3),IF($B$4:$B$108=$B185,IF($C$3:$AZ$3=X$112,$C$4:$AZ$108))))</f>
        <v>2.077</v>
      </c>
      <c r="Y185" cm="1">
        <f t="array" ref="Y185">SUMPRODUCT(IF(LEFT($A$4:$A$108,3)=LEFT($A185,3),IF($B$4:$B$108=$B185,IF($C$3:$AZ$3=Y$112,$C$4:$AZ$108))))</f>
        <v>0.59899999999999998</v>
      </c>
      <c r="Z185" cm="1">
        <f t="array" ref="Z185">SUMPRODUCT(IF(LEFT($A$4:$A$108,3)=LEFT($A185,3),IF($B$4:$B$108=$B185,IF($C$3:$AZ$3=Z$112,$C$4:$AZ$108))))</f>
        <v>0.52</v>
      </c>
      <c r="AA185" cm="1">
        <f t="array" ref="AA185">SUMPRODUCT(IF(LEFT($A$4:$A$108,3)=LEFT($A185,3),IF($B$4:$B$108=$B185,IF($C$3:$AZ$3=AA$112,$C$4:$AZ$108))))</f>
        <v>2.0550000000000002</v>
      </c>
      <c r="AB185" cm="1">
        <f t="array" ref="AB185">SUMPRODUCT(IF(LEFT($A$4:$A$108,3)=LEFT($A185,3),IF($B$4:$B$108=$B185,IF($C$3:$AZ$3=AB$112,$C$4:$AZ$108))))</f>
        <v>0.52</v>
      </c>
      <c r="AC185" cm="1">
        <f t="array" ref="AC185">SUMPRODUCT(IF(LEFT($A$4:$A$108,3)=LEFT($A185,3),IF($B$4:$B$108=$B185,IF($C$3:$AZ$3=AC$112,$C$4:$AZ$108))))</f>
        <v>0.315</v>
      </c>
      <c r="AD185" cm="1">
        <f t="array" ref="AD185">SUMPRODUCT(IF(LEFT($A$4:$A$108,3)=LEFT($A185,3),IF($B$4:$B$108=$B185,IF($C$3:$AZ$3=AD$112,$C$4:$AZ$108))))</f>
        <v>2.5390000000000001</v>
      </c>
      <c r="AE185" cm="1">
        <f t="array" ref="AE185">SUMPRODUCT(IF(LEFT($A$4:$A$108,3)=LEFT($A185,3),IF($B$4:$B$108=$B185,IF($C$3:$AZ$3=AE$112,$C$4:$AZ$108))))</f>
        <v>4.4169999999999998</v>
      </c>
      <c r="AF185" cm="1">
        <f t="array" ref="AF185">SUMPRODUCT(IF(LEFT($A$4:$A$108,3)=LEFT($A185,3),IF($B$4:$B$108=$B185,IF($C$3:$AZ$3=AF$112,$C$4:$AZ$108))))</f>
        <v>3.0840000000000001</v>
      </c>
      <c r="AG185" cm="1">
        <f t="array" ref="AG185">SUMPRODUCT(IF(LEFT($A$4:$A$108,3)=LEFT($A185,3),IF($B$4:$B$108=$B185,IF($C$3:$AZ$3=AG$112,$C$4:$AZ$108))))</f>
        <v>7.51</v>
      </c>
      <c r="AH185" cm="1">
        <f t="array" ref="AH185">SUMPRODUCT(IF(LEFT($A$4:$A$108,3)=LEFT($A185,3),IF($B$4:$B$108=$B185,IF($C$3:$AZ$3=AH$112,$C$4:$AZ$108))))</f>
        <v>4.7130000000000001</v>
      </c>
      <c r="AI185" cm="1">
        <f t="array" ref="AI185">SUMPRODUCT(IF(LEFT($A$4:$A$108,3)=LEFT($A185,3),IF($B$4:$B$108=$B185,IF($C$3:$AZ$3=AI$112,$C$4:$AZ$108))))</f>
        <v>1.204</v>
      </c>
      <c r="AJ185" cm="1">
        <f t="array" ref="AJ185">SUMPRODUCT(IF(LEFT($A$4:$A$108,3)=LEFT($A185,3),IF($B$4:$B$108=$B185,IF($C$3:$AZ$3=AJ$112,$C$4:$AZ$108))))</f>
        <v>0.755</v>
      </c>
      <c r="AK185" cm="1">
        <f t="array" ref="AK185">SUMPRODUCT(IF(LEFT($A$4:$A$108,3)=LEFT($A185,3),IF($B$4:$B$108=$B185,IF($C$3:$AZ$3=AK$112,$C$4:$AZ$108))))</f>
        <v>1.06</v>
      </c>
      <c r="AL185" cm="1">
        <f t="array" ref="AL185">SUMPRODUCT(IF(LEFT($A$4:$A$108,3)=LEFT($A185,3),IF($B$4:$B$108=$B185,IF($C$3:$AZ$3=AL$112,$C$4:$AZ$108))))</f>
        <v>1.212</v>
      </c>
      <c r="AM185" cm="1">
        <f t="array" ref="AM185">SUMPRODUCT(IF(LEFT($A$4:$A$108,3)=LEFT($A185,3),IF($B$4:$B$108=$B185,IF($C$3:$AZ$3=AM$112,$C$4:$AZ$108))))</f>
        <v>4.5890000000000004</v>
      </c>
      <c r="AN185" cm="1">
        <f t="array" ref="AN185">SUMPRODUCT(IF(LEFT($A$4:$A$108,3)=LEFT($A185,3),IF($B$4:$B$108=$B185,IF($C$3:$AZ$3=AN$112,$C$4:$AZ$108))))</f>
        <v>1.56</v>
      </c>
      <c r="AO185" cm="1">
        <f t="array" ref="AO185">SUMPRODUCT(IF(LEFT($A$4:$A$108,3)=LEFT($A185,3),IF($B$4:$B$108=$B185,IF($C$3:$AZ$3=AO$112,$C$4:$AZ$108))))</f>
        <v>1.3959999999999999</v>
      </c>
      <c r="AP185" cm="1">
        <f t="array" ref="AP185">SUMPRODUCT(IF(LEFT($A$4:$A$108,3)=LEFT($A185,3),IF($B$4:$B$108=$B185,IF($C$3:$AZ$3=AP$112,$C$4:$AZ$108))))</f>
        <v>2.6840000000000002</v>
      </c>
      <c r="AQ185" cm="1">
        <f t="array" ref="AQ185">SUMPRODUCT(IF(LEFT($A$4:$A$108,3)=LEFT($A185,3),IF($B$4:$B$108=$B185,IF($C$3:$AZ$3=AQ$112,$C$4:$AZ$108))))</f>
        <v>5.7069999999999999</v>
      </c>
      <c r="AR185" cm="1">
        <f t="array" ref="AR185">SUMPRODUCT(IF(LEFT($A$4:$A$108,3)=LEFT($A185,3),IF($B$4:$B$108=$B185,IF($C$3:$AZ$3=AR$112,$C$4:$AZ$108))))</f>
        <v>0</v>
      </c>
      <c r="AS185">
        <v>0</v>
      </c>
    </row>
    <row r="186" spans="1:45">
      <c r="A186" t="s">
        <v>385</v>
      </c>
      <c r="B186" t="s">
        <v>24</v>
      </c>
      <c r="C186" cm="1">
        <f t="array" ref="C186">SUMPRODUCT(IF(LEFT($A$4:$A$108,3)=LEFT($A186,3),IF($B$4:$B$108=$B186,IF($C$3:$AZ$3=C$112,$C$4:$AZ$108))))</f>
        <v>9.1989999999999998</v>
      </c>
      <c r="D186" cm="1">
        <f t="array" ref="D186">SUMPRODUCT(IF(LEFT($A$4:$A$108,3)=LEFT($A186,3),IF($B$4:$B$108=$B186,IF($C$3:$AZ$3=D$112,$C$4:$AZ$108))))</f>
        <v>4.9000000000000002E-2</v>
      </c>
      <c r="E186" cm="1">
        <f t="array" ref="E186">SUMPRODUCT(IF(LEFT($A$4:$A$108,3)=LEFT($A186,3),IF($B$4:$B$108=$B186,IF($C$3:$AZ$3=E$112,$C$4:$AZ$108))))</f>
        <v>4.1000000000000002E-2</v>
      </c>
      <c r="F186" cm="1">
        <f t="array" ref="F186">SUMPRODUCT(IF(LEFT($A$4:$A$108,3)=LEFT($A186,3),IF($B$4:$B$108=$B186,IF($C$3:$AZ$3=F$112,$C$4:$AZ$108))))</f>
        <v>0.95300000000000007</v>
      </c>
      <c r="G186" cm="1">
        <f t="array" ref="G186">SUMPRODUCT(IF(LEFT($A$4:$A$108,3)=LEFT($A186,3),IF($B$4:$B$108=$B186,IF($C$3:$AZ$3=G$112,$C$4:$AZ$108))))</f>
        <v>7.0000000000000001E-3</v>
      </c>
      <c r="H186" cm="1">
        <f t="array" ref="H186">SUMPRODUCT(IF(LEFT($A$4:$A$108,3)=LEFT($A186,3),IF($B$4:$B$108=$B186,IF($C$3:$AZ$3=H$112,$C$4:$AZ$108))))</f>
        <v>73.983999999999995</v>
      </c>
      <c r="I186" cm="1">
        <f t="array" ref="I186">SUMPRODUCT(IF(LEFT($A$4:$A$108,3)=LEFT($A186,3),IF($B$4:$B$108=$B186,IF($C$3:$AZ$3=I$112,$C$4:$AZ$108))))</f>
        <v>25.687000000000001</v>
      </c>
      <c r="J186" cm="1">
        <f t="array" ref="J186">SUMPRODUCT(IF(LEFT($A$4:$A$108,3)=LEFT($A186,3),IF($B$4:$B$108=$B186,IF($C$3:$AZ$3=J$112,$C$4:$AZ$108))))</f>
        <v>3.7930000000000001</v>
      </c>
      <c r="K186" cm="1">
        <f t="array" ref="K186">SUMPRODUCT(IF(LEFT($A$4:$A$108,3)=LEFT($A186,3),IF($B$4:$B$108=$B186,IF($C$3:$AZ$3=K$112,$C$4:$AZ$108))))</f>
        <v>27.837</v>
      </c>
      <c r="L186" cm="1">
        <f t="array" ref="L186">SUMPRODUCT(IF(LEFT($A$4:$A$108,3)=LEFT($A186,3),IF($B$4:$B$108=$B186,IF($C$3:$AZ$3=L$112,$C$4:$AZ$108))))</f>
        <v>17.052</v>
      </c>
      <c r="M186" cm="1">
        <f t="array" ref="M186">SUMPRODUCT(IF(LEFT($A$4:$A$108,3)=LEFT($A186,3),IF($B$4:$B$108=$B186,IF($C$3:$AZ$3=M$112,$C$4:$AZ$108))))</f>
        <v>82.468999999999994</v>
      </c>
      <c r="N186" cm="1">
        <f t="array" ref="N186">SUMPRODUCT(IF(LEFT($A$4:$A$108,3)=LEFT($A186,3),IF($B$4:$B$108=$B186,IF($C$3:$AZ$3=N$112,$C$4:$AZ$108))))</f>
        <v>16.474</v>
      </c>
      <c r="O186" cm="1">
        <f t="array" ref="O186">SUMPRODUCT(IF(LEFT($A$4:$A$108,3)=LEFT($A186,3),IF($B$4:$B$108=$B186,IF($C$3:$AZ$3=O$112,$C$4:$AZ$108))))</f>
        <v>19.478999999999999</v>
      </c>
      <c r="P186" s="4" cm="1">
        <f t="array" ref="P186">SUMPRODUCT(IF(LEFT($A$4:$A$108,3)=LEFT($A186,3),IF($B$4:$B$108=$B186,IF($C$3:$AZ$3=P$112,$C$4:$AZ$108))))*'Cement and Glass Split'!O79</f>
        <v>0</v>
      </c>
      <c r="Q186" s="4" cm="1">
        <f t="array" ref="Q186">SUMPRODUCT(IF(LEFT($A$4:$A$108,3)=LEFT($A186,3),IF($B$4:$B$108=$B186,IF($C$3:$AZ$3=P$112,$C$4:$AZ$108))))*'Cement and Glass Split'!P79</f>
        <v>0</v>
      </c>
      <c r="R186" cm="1">
        <f t="array" ref="R186">SUMPRODUCT(IF(LEFT($A$4:$A$108,3)=LEFT($A186,3),IF($B$4:$B$108=$B186,IF($C$3:$AZ$3=R$112,$C$4:$AZ$108))))</f>
        <v>20.673999999999999</v>
      </c>
      <c r="S186" cm="1">
        <f t="array" ref="S186">SUMPRODUCT(IF(LEFT($A$4:$A$108,3)=LEFT($A186,3),IF($B$4:$B$108=$B186,IF($C$3:$AZ$3=S$112,$C$4:$AZ$108))))</f>
        <v>12.459</v>
      </c>
      <c r="T186" cm="1">
        <f t="array" ref="T186">SUMPRODUCT(IF(LEFT($A$4:$A$108,3)=LEFT($A186,3),IF($B$4:$B$108=$B186,IF($C$3:$AZ$3=T$112,$C$4:$AZ$108))))</f>
        <v>22.27</v>
      </c>
      <c r="U186" cm="1">
        <f t="array" ref="U186">SUMPRODUCT(IF(LEFT($A$4:$A$108,3)=LEFT($A186,3),IF($B$4:$B$108=$B186,IF($C$3:$AZ$3=U$112,$C$4:$AZ$108))))</f>
        <v>96.406000000000006</v>
      </c>
      <c r="V186" cm="1">
        <f t="array" ref="V186">SUMPRODUCT(IF(LEFT($A$4:$A$108,3)=LEFT($A186,3),IF($B$4:$B$108=$B186,IF($C$3:$AZ$3=V$112,$C$4:$AZ$108))))</f>
        <v>52.094999999999999</v>
      </c>
      <c r="W186" cm="1">
        <f t="array" ref="W186">SUMPRODUCT(IF(LEFT($A$4:$A$108,3)=LEFT($A186,3),IF($B$4:$B$108=$B186,IF($C$3:$AZ$3=W$112,$C$4:$AZ$108))))</f>
        <v>42.542000000000002</v>
      </c>
      <c r="X186" cm="1">
        <f t="array" ref="X186">SUMPRODUCT(IF(LEFT($A$4:$A$108,3)=LEFT($A186,3),IF($B$4:$B$108=$B186,IF($C$3:$AZ$3=X$112,$C$4:$AZ$108))))</f>
        <v>49.374000000000002</v>
      </c>
      <c r="Y186" cm="1">
        <f t="array" ref="Y186">SUMPRODUCT(IF(LEFT($A$4:$A$108,3)=LEFT($A186,3),IF($B$4:$B$108=$B186,IF($C$3:$AZ$3=Y$112,$C$4:$AZ$108))))</f>
        <v>19.693000000000001</v>
      </c>
      <c r="Z186" cm="1">
        <f t="array" ref="Z186">SUMPRODUCT(IF(LEFT($A$4:$A$108,3)=LEFT($A186,3),IF($B$4:$B$108=$B186,IF($C$3:$AZ$3=Z$112,$C$4:$AZ$108))))</f>
        <v>14.478</v>
      </c>
      <c r="AA186" cm="1">
        <f t="array" ref="AA186">SUMPRODUCT(IF(LEFT($A$4:$A$108,3)=LEFT($A186,3),IF($B$4:$B$108=$B186,IF($C$3:$AZ$3=AA$112,$C$4:$AZ$108))))</f>
        <v>30.245000000000001</v>
      </c>
      <c r="AB186" cm="1">
        <f t="array" ref="AB186">SUMPRODUCT(IF(LEFT($A$4:$A$108,3)=LEFT($A186,3),IF($B$4:$B$108=$B186,IF($C$3:$AZ$3=AB$112,$C$4:$AZ$108))))</f>
        <v>7.6589999999999998</v>
      </c>
      <c r="AC186" cm="1">
        <f t="array" ref="AC186">SUMPRODUCT(IF(LEFT($A$4:$A$108,3)=LEFT($A186,3),IF($B$4:$B$108=$B186,IF($C$3:$AZ$3=AC$112,$C$4:$AZ$108))))</f>
        <v>7.9</v>
      </c>
      <c r="AD186" cm="1">
        <f t="array" ref="AD186">SUMPRODUCT(IF(LEFT($A$4:$A$108,3)=LEFT($A186,3),IF($B$4:$B$108=$B186,IF($C$3:$AZ$3=AD$112,$C$4:$AZ$108))))</f>
        <v>49.533999999999999</v>
      </c>
      <c r="AE186" cm="1">
        <f t="array" ref="AE186">SUMPRODUCT(IF(LEFT($A$4:$A$108,3)=LEFT($A186,3),IF($B$4:$B$108=$B186,IF($C$3:$AZ$3=AE$112,$C$4:$AZ$108))))</f>
        <v>329.101</v>
      </c>
      <c r="AF186" cm="1">
        <f t="array" ref="AF186">SUMPRODUCT(IF(LEFT($A$4:$A$108,3)=LEFT($A186,3),IF($B$4:$B$108=$B186,IF($C$3:$AZ$3=AF$112,$C$4:$AZ$108))))</f>
        <v>55.526000000000003</v>
      </c>
      <c r="AG186" cm="1">
        <f t="array" ref="AG186">SUMPRODUCT(IF(LEFT($A$4:$A$108,3)=LEFT($A186,3),IF($B$4:$B$108=$B186,IF($C$3:$AZ$3=AG$112,$C$4:$AZ$108))))</f>
        <v>148.53700000000001</v>
      </c>
      <c r="AH186" cm="1">
        <f t="array" ref="AH186">SUMPRODUCT(IF(LEFT($A$4:$A$108,3)=LEFT($A186,3),IF($B$4:$B$108=$B186,IF($C$3:$AZ$3=AH$112,$C$4:$AZ$108))))</f>
        <v>1246.4110000000001</v>
      </c>
      <c r="AI186" cm="1">
        <f t="array" ref="AI186">SUMPRODUCT(IF(LEFT($A$4:$A$108,3)=LEFT($A186,3),IF($B$4:$B$108=$B186,IF($C$3:$AZ$3=AI$112,$C$4:$AZ$108))))</f>
        <v>203.22300000000001</v>
      </c>
      <c r="AJ186" cm="1">
        <f t="array" ref="AJ186">SUMPRODUCT(IF(LEFT($A$4:$A$108,3)=LEFT($A186,3),IF($B$4:$B$108=$B186,IF($C$3:$AZ$3=AJ$112,$C$4:$AZ$108))))</f>
        <v>135.80699999999999</v>
      </c>
      <c r="AK186" cm="1">
        <f t="array" ref="AK186">SUMPRODUCT(IF(LEFT($A$4:$A$108,3)=LEFT($A186,3),IF($B$4:$B$108=$B186,IF($C$3:$AZ$3=AK$112,$C$4:$AZ$108))))</f>
        <v>131.655</v>
      </c>
      <c r="AL186" cm="1">
        <f t="array" ref="AL186">SUMPRODUCT(IF(LEFT($A$4:$A$108,3)=LEFT($A186,3),IF($B$4:$B$108=$B186,IF($C$3:$AZ$3=AL$112,$C$4:$AZ$108))))</f>
        <v>65.364999999999995</v>
      </c>
      <c r="AM186" cm="1">
        <f t="array" ref="AM186">SUMPRODUCT(IF(LEFT($A$4:$A$108,3)=LEFT($A186,3),IF($B$4:$B$108=$B186,IF($C$3:$AZ$3=AM$112,$C$4:$AZ$108))))</f>
        <v>618.84100000000001</v>
      </c>
      <c r="AN186" cm="1">
        <f t="array" ref="AN186">SUMPRODUCT(IF(LEFT($A$4:$A$108,3)=LEFT($A186,3),IF($B$4:$B$108=$B186,IF($C$3:$AZ$3=AN$112,$C$4:$AZ$108))))</f>
        <v>121.54300000000001</v>
      </c>
      <c r="AO186" cm="1">
        <f t="array" ref="AO186">SUMPRODUCT(IF(LEFT($A$4:$A$108,3)=LEFT($A186,3),IF($B$4:$B$108=$B186,IF($C$3:$AZ$3=AO$112,$C$4:$AZ$108))))</f>
        <v>378.33100000000002</v>
      </c>
      <c r="AP186" cm="1">
        <f t="array" ref="AP186">SUMPRODUCT(IF(LEFT($A$4:$A$108,3)=LEFT($A186,3),IF($B$4:$B$108=$B186,IF($C$3:$AZ$3=AP$112,$C$4:$AZ$108))))</f>
        <v>101.983</v>
      </c>
      <c r="AQ186" cm="1">
        <f t="array" ref="AQ186">SUMPRODUCT(IF(LEFT($A$4:$A$108,3)=LEFT($A186,3),IF($B$4:$B$108=$B186,IF($C$3:$AZ$3=AQ$112,$C$4:$AZ$108))))</f>
        <v>225.90899999999999</v>
      </c>
      <c r="AR186" cm="1">
        <f t="array" ref="AR186">SUMPRODUCT(IF(LEFT($A$4:$A$108,3)=LEFT($A186,3),IF($B$4:$B$108=$B186,IF($C$3:$AZ$3=AR$112,$C$4:$AZ$108))))</f>
        <v>0</v>
      </c>
      <c r="AS186">
        <v>0</v>
      </c>
    </row>
    <row r="187" spans="1:45">
      <c r="A187" t="s">
        <v>385</v>
      </c>
      <c r="B187" t="s">
        <v>25</v>
      </c>
      <c r="C187" cm="1">
        <f t="array" ref="C187">SUMPRODUCT(IF(LEFT($A$4:$A$108,3)=LEFT($A187,3),IF($B$4:$B$108=$B187,IF($C$3:$AZ$3=C$112,$C$4:$AZ$108))))</f>
        <v>4.0069999999999997</v>
      </c>
      <c r="D187" cm="1">
        <f t="array" ref="D187">SUMPRODUCT(IF(LEFT($A$4:$A$108,3)=LEFT($A187,3),IF($B$4:$B$108=$B187,IF($C$3:$AZ$3=D$112,$C$4:$AZ$108))))</f>
        <v>5.1999999999999998E-2</v>
      </c>
      <c r="E187" cm="1">
        <f t="array" ref="E187">SUMPRODUCT(IF(LEFT($A$4:$A$108,3)=LEFT($A187,3),IF($B$4:$B$108=$B187,IF($C$3:$AZ$3=E$112,$C$4:$AZ$108))))</f>
        <v>3.2000000000000001E-2</v>
      </c>
      <c r="F187" cm="1">
        <f t="array" ref="F187">SUMPRODUCT(IF(LEFT($A$4:$A$108,3)=LEFT($A187,3),IF($B$4:$B$108=$B187,IF($C$3:$AZ$3=F$112,$C$4:$AZ$108))))</f>
        <v>0.58299999999999996</v>
      </c>
      <c r="G187" cm="1">
        <f t="array" ref="G187">SUMPRODUCT(IF(LEFT($A$4:$A$108,3)=LEFT($A187,3),IF($B$4:$B$108=$B187,IF($C$3:$AZ$3=G$112,$C$4:$AZ$108))))</f>
        <v>3.0000000000000001E-3</v>
      </c>
      <c r="H187" cm="1">
        <f t="array" ref="H187">SUMPRODUCT(IF(LEFT($A$4:$A$108,3)=LEFT($A187,3),IF($B$4:$B$108=$B187,IF($C$3:$AZ$3=H$112,$C$4:$AZ$108))))</f>
        <v>11.984</v>
      </c>
      <c r="I187" cm="1">
        <f t="array" ref="I187">SUMPRODUCT(IF(LEFT($A$4:$A$108,3)=LEFT($A187,3),IF($B$4:$B$108=$B187,IF($C$3:$AZ$3=I$112,$C$4:$AZ$108))))</f>
        <v>7.2610000000000001</v>
      </c>
      <c r="J187" cm="1">
        <f t="array" ref="J187">SUMPRODUCT(IF(LEFT($A$4:$A$108,3)=LEFT($A187,3),IF($B$4:$B$108=$B187,IF($C$3:$AZ$3=J$112,$C$4:$AZ$108))))</f>
        <v>1.0860000000000001</v>
      </c>
      <c r="K187" cm="1">
        <f t="array" ref="K187">SUMPRODUCT(IF(LEFT($A$4:$A$108,3)=LEFT($A187,3),IF($B$4:$B$108=$B187,IF($C$3:$AZ$3=K$112,$C$4:$AZ$108))))</f>
        <v>4.085</v>
      </c>
      <c r="L187" cm="1">
        <f t="array" ref="L187">SUMPRODUCT(IF(LEFT($A$4:$A$108,3)=LEFT($A187,3),IF($B$4:$B$108=$B187,IF($C$3:$AZ$3=L$112,$C$4:$AZ$108))))</f>
        <v>4.6219999999999999</v>
      </c>
      <c r="M187" cm="1">
        <f t="array" ref="M187">SUMPRODUCT(IF(LEFT($A$4:$A$108,3)=LEFT($A187,3),IF($B$4:$B$108=$B187,IF($C$3:$AZ$3=M$112,$C$4:$AZ$108))))</f>
        <v>13.199</v>
      </c>
      <c r="N187" cm="1">
        <f t="array" ref="N187">SUMPRODUCT(IF(LEFT($A$4:$A$108,3)=LEFT($A187,3),IF($B$4:$B$108=$B187,IF($C$3:$AZ$3=N$112,$C$4:$AZ$108))))</f>
        <v>4.1120000000000001</v>
      </c>
      <c r="O187" cm="1">
        <f t="array" ref="O187">SUMPRODUCT(IF(LEFT($A$4:$A$108,3)=LEFT($A187,3),IF($B$4:$B$108=$B187,IF($C$3:$AZ$3=O$112,$C$4:$AZ$108))))</f>
        <v>5.3250000000000002</v>
      </c>
      <c r="P187" s="4" cm="1">
        <f t="array" ref="P187">SUMPRODUCT(IF(LEFT($A$4:$A$108,3)=LEFT($A187,3),IF($B$4:$B$108=$B187,IF($C$3:$AZ$3=P$112,$C$4:$AZ$108))))*'Cement and Glass Split'!O80</f>
        <v>0.53365648401996724</v>
      </c>
      <c r="Q187" s="4" cm="1">
        <f t="array" ref="Q187">SUMPRODUCT(IF(LEFT($A$4:$A$108,3)=LEFT($A187,3),IF($B$4:$B$108=$B187,IF($C$3:$AZ$3=P$112,$C$4:$AZ$108))))*'Cement and Glass Split'!P80</f>
        <v>2.9493435159800327</v>
      </c>
      <c r="R187" cm="1">
        <f t="array" ref="R187">SUMPRODUCT(IF(LEFT($A$4:$A$108,3)=LEFT($A187,3),IF($B$4:$B$108=$B187,IF($C$3:$AZ$3=R$112,$C$4:$AZ$108))))</f>
        <v>4.8070000000000004</v>
      </c>
      <c r="S187" cm="1">
        <f t="array" ref="S187">SUMPRODUCT(IF(LEFT($A$4:$A$108,3)=LEFT($A187,3),IF($B$4:$B$108=$B187,IF($C$3:$AZ$3=S$112,$C$4:$AZ$108))))</f>
        <v>3.161</v>
      </c>
      <c r="T187" cm="1">
        <f t="array" ref="T187">SUMPRODUCT(IF(LEFT($A$4:$A$108,3)=LEFT($A187,3),IF($B$4:$B$108=$B187,IF($C$3:$AZ$3=T$112,$C$4:$AZ$108))))</f>
        <v>8.4770000000000003</v>
      </c>
      <c r="U187" cm="1">
        <f t="array" ref="U187">SUMPRODUCT(IF(LEFT($A$4:$A$108,3)=LEFT($A187,3),IF($B$4:$B$108=$B187,IF($C$3:$AZ$3=U$112,$C$4:$AZ$108))))</f>
        <v>34.597000000000001</v>
      </c>
      <c r="V187" cm="1">
        <f t="array" ref="V187">SUMPRODUCT(IF(LEFT($A$4:$A$108,3)=LEFT($A187,3),IF($B$4:$B$108=$B187,IF($C$3:$AZ$3=V$112,$C$4:$AZ$108))))</f>
        <v>11.718</v>
      </c>
      <c r="W187" cm="1">
        <f t="array" ref="W187">SUMPRODUCT(IF(LEFT($A$4:$A$108,3)=LEFT($A187,3),IF($B$4:$B$108=$B187,IF($C$3:$AZ$3=W$112,$C$4:$AZ$108))))</f>
        <v>19.698</v>
      </c>
      <c r="X187" cm="1">
        <f t="array" ref="X187">SUMPRODUCT(IF(LEFT($A$4:$A$108,3)=LEFT($A187,3),IF($B$4:$B$108=$B187,IF($C$3:$AZ$3=X$112,$C$4:$AZ$108))))</f>
        <v>19.189</v>
      </c>
      <c r="Y187" cm="1">
        <f t="array" ref="Y187">SUMPRODUCT(IF(LEFT($A$4:$A$108,3)=LEFT($A187,3),IF($B$4:$B$108=$B187,IF($C$3:$AZ$3=Y$112,$C$4:$AZ$108))))</f>
        <v>4.3659999999999997</v>
      </c>
      <c r="Z187" cm="1">
        <f t="array" ref="Z187">SUMPRODUCT(IF(LEFT($A$4:$A$108,3)=LEFT($A187,3),IF($B$4:$B$108=$B187,IF($C$3:$AZ$3=Z$112,$C$4:$AZ$108))))</f>
        <v>3.8029999999999999</v>
      </c>
      <c r="AA187" cm="1">
        <f t="array" ref="AA187">SUMPRODUCT(IF(LEFT($A$4:$A$108,3)=LEFT($A187,3),IF($B$4:$B$108=$B187,IF($C$3:$AZ$3=AA$112,$C$4:$AZ$108))))</f>
        <v>10.964</v>
      </c>
      <c r="AB187" cm="1">
        <f t="array" ref="AB187">SUMPRODUCT(IF(LEFT($A$4:$A$108,3)=LEFT($A187,3),IF($B$4:$B$108=$B187,IF($C$3:$AZ$3=AB$112,$C$4:$AZ$108))))</f>
        <v>3.9039999999999999</v>
      </c>
      <c r="AC187" cm="1">
        <f t="array" ref="AC187">SUMPRODUCT(IF(LEFT($A$4:$A$108,3)=LEFT($A187,3),IF($B$4:$B$108=$B187,IF($C$3:$AZ$3=AC$112,$C$4:$AZ$108))))</f>
        <v>2.891</v>
      </c>
      <c r="AD187" cm="1">
        <f t="array" ref="AD187">SUMPRODUCT(IF(LEFT($A$4:$A$108,3)=LEFT($A187,3),IF($B$4:$B$108=$B187,IF($C$3:$AZ$3=AD$112,$C$4:$AZ$108))))</f>
        <v>26.617000000000001</v>
      </c>
      <c r="AE187" cm="1">
        <f t="array" ref="AE187">SUMPRODUCT(IF(LEFT($A$4:$A$108,3)=LEFT($A187,3),IF($B$4:$B$108=$B187,IF($C$3:$AZ$3=AE$112,$C$4:$AZ$108))))</f>
        <v>98.632000000000005</v>
      </c>
      <c r="AF187" cm="1">
        <f t="array" ref="AF187">SUMPRODUCT(IF(LEFT($A$4:$A$108,3)=LEFT($A187,3),IF($B$4:$B$108=$B187,IF($C$3:$AZ$3=AF$112,$C$4:$AZ$108))))</f>
        <v>29.426000000000002</v>
      </c>
      <c r="AG187" cm="1">
        <f t="array" ref="AG187">SUMPRODUCT(IF(LEFT($A$4:$A$108,3)=LEFT($A187,3),IF($B$4:$B$108=$B187,IF($C$3:$AZ$3=AG$112,$C$4:$AZ$108))))</f>
        <v>39.485999999999997</v>
      </c>
      <c r="AH187" cm="1">
        <f t="array" ref="AH187">SUMPRODUCT(IF(LEFT($A$4:$A$108,3)=LEFT($A187,3),IF($B$4:$B$108=$B187,IF($C$3:$AZ$3=AH$112,$C$4:$AZ$108))))</f>
        <v>25.178999999999998</v>
      </c>
      <c r="AI187" cm="1">
        <f t="array" ref="AI187">SUMPRODUCT(IF(LEFT($A$4:$A$108,3)=LEFT($A187,3),IF($B$4:$B$108=$B187,IF($C$3:$AZ$3=AI$112,$C$4:$AZ$108))))</f>
        <v>262.75099999999998</v>
      </c>
      <c r="AJ187" cm="1">
        <f t="array" ref="AJ187">SUMPRODUCT(IF(LEFT($A$4:$A$108,3)=LEFT($A187,3),IF($B$4:$B$108=$B187,IF($C$3:$AZ$3=AJ$112,$C$4:$AZ$108))))</f>
        <v>33.917999999999999</v>
      </c>
      <c r="AK187" cm="1">
        <f t="array" ref="AK187">SUMPRODUCT(IF(LEFT($A$4:$A$108,3)=LEFT($A187,3),IF($B$4:$B$108=$B187,IF($C$3:$AZ$3=AK$112,$C$4:$AZ$108))))</f>
        <v>60.908000000000001</v>
      </c>
      <c r="AL187" cm="1">
        <f t="array" ref="AL187">SUMPRODUCT(IF(LEFT($A$4:$A$108,3)=LEFT($A187,3),IF($B$4:$B$108=$B187,IF($C$3:$AZ$3=AL$112,$C$4:$AZ$108))))</f>
        <v>31.655999999999999</v>
      </c>
      <c r="AM187" cm="1">
        <f t="array" ref="AM187">SUMPRODUCT(IF(LEFT($A$4:$A$108,3)=LEFT($A187,3),IF($B$4:$B$108=$B187,IF($C$3:$AZ$3=AM$112,$C$4:$AZ$108))))</f>
        <v>101.941</v>
      </c>
      <c r="AN187" cm="1">
        <f t="array" ref="AN187">SUMPRODUCT(IF(LEFT($A$4:$A$108,3)=LEFT($A187,3),IF($B$4:$B$108=$B187,IF($C$3:$AZ$3=AN$112,$C$4:$AZ$108))))</f>
        <v>49.576999999999998</v>
      </c>
      <c r="AO187" cm="1">
        <f t="array" ref="AO187">SUMPRODUCT(IF(LEFT($A$4:$A$108,3)=LEFT($A187,3),IF($B$4:$B$108=$B187,IF($C$3:$AZ$3=AO$112,$C$4:$AZ$108))))</f>
        <v>23.765999999999998</v>
      </c>
      <c r="AP187" cm="1">
        <f t="array" ref="AP187">SUMPRODUCT(IF(LEFT($A$4:$A$108,3)=LEFT($A187,3),IF($B$4:$B$108=$B187,IF($C$3:$AZ$3=AP$112,$C$4:$AZ$108))))</f>
        <v>31.513000000000002</v>
      </c>
      <c r="AQ187" cm="1">
        <f t="array" ref="AQ187">SUMPRODUCT(IF(LEFT($A$4:$A$108,3)=LEFT($A187,3),IF($B$4:$B$108=$B187,IF($C$3:$AZ$3=AQ$112,$C$4:$AZ$108))))</f>
        <v>38.945</v>
      </c>
      <c r="AR187" cm="1">
        <f t="array" ref="AR187">SUMPRODUCT(IF(LEFT($A$4:$A$108,3)=LEFT($A187,3),IF($B$4:$B$108=$B187,IF($C$3:$AZ$3=AR$112,$C$4:$AZ$108))))</f>
        <v>0</v>
      </c>
      <c r="AS187">
        <v>0</v>
      </c>
    </row>
    <row r="188" spans="1:45">
      <c r="A188" t="s">
        <v>385</v>
      </c>
      <c r="B188" t="s">
        <v>26</v>
      </c>
      <c r="C188" cm="1">
        <f t="array" ref="C188">SUMPRODUCT(IF(LEFT($A$4:$A$108,3)=LEFT($A188,3),IF($B$4:$B$108=$B188,IF($C$3:$AZ$3=C$112,$C$4:$AZ$108))))</f>
        <v>14.321</v>
      </c>
      <c r="D188" cm="1">
        <f t="array" ref="D188">SUMPRODUCT(IF(LEFT($A$4:$A$108,3)=LEFT($A188,3),IF($B$4:$B$108=$B188,IF($C$3:$AZ$3=D$112,$C$4:$AZ$108))))</f>
        <v>0.25900000000000001</v>
      </c>
      <c r="E188" cm="1">
        <f t="array" ref="E188">SUMPRODUCT(IF(LEFT($A$4:$A$108,3)=LEFT($A188,3),IF($B$4:$B$108=$B188,IF($C$3:$AZ$3=E$112,$C$4:$AZ$108))))</f>
        <v>0.161</v>
      </c>
      <c r="F188" cm="1">
        <f t="array" ref="F188">SUMPRODUCT(IF(LEFT($A$4:$A$108,3)=LEFT($A188,3),IF($B$4:$B$108=$B188,IF($C$3:$AZ$3=F$112,$C$4:$AZ$108))))</f>
        <v>3.5510000000000002</v>
      </c>
      <c r="G188" cm="1">
        <f t="array" ref="G188">SUMPRODUCT(IF(LEFT($A$4:$A$108,3)=LEFT($A188,3),IF($B$4:$B$108=$B188,IF($C$3:$AZ$3=G$112,$C$4:$AZ$108))))</f>
        <v>1.4999999999999999E-2</v>
      </c>
      <c r="H188" cm="1">
        <f t="array" ref="H188">SUMPRODUCT(IF(LEFT($A$4:$A$108,3)=LEFT($A188,3),IF($B$4:$B$108=$B188,IF($C$3:$AZ$3=H$112,$C$4:$AZ$108))))</f>
        <v>129.08699999999999</v>
      </c>
      <c r="I188" cm="1">
        <f t="array" ref="I188">SUMPRODUCT(IF(LEFT($A$4:$A$108,3)=LEFT($A188,3),IF($B$4:$B$108=$B188,IF($C$3:$AZ$3=I$112,$C$4:$AZ$108))))</f>
        <v>48.951999999999998</v>
      </c>
      <c r="J188" cm="1">
        <f t="array" ref="J188">SUMPRODUCT(IF(LEFT($A$4:$A$108,3)=LEFT($A188,3),IF($B$4:$B$108=$B188,IF($C$3:$AZ$3=J$112,$C$4:$AZ$108))))</f>
        <v>6.383</v>
      </c>
      <c r="K188" cm="1">
        <f t="array" ref="K188">SUMPRODUCT(IF(LEFT($A$4:$A$108,3)=LEFT($A188,3),IF($B$4:$B$108=$B188,IF($C$3:$AZ$3=K$112,$C$4:$AZ$108))))</f>
        <v>37.326000000000001</v>
      </c>
      <c r="L188" cm="1">
        <f t="array" ref="L188">SUMPRODUCT(IF(LEFT($A$4:$A$108,3)=LEFT($A188,3),IF($B$4:$B$108=$B188,IF($C$3:$AZ$3=L$112,$C$4:$AZ$108))))</f>
        <v>34.264000000000003</v>
      </c>
      <c r="M188" cm="1">
        <f t="array" ref="M188">SUMPRODUCT(IF(LEFT($A$4:$A$108,3)=LEFT($A188,3),IF($B$4:$B$108=$B188,IF($C$3:$AZ$3=M$112,$C$4:$AZ$108))))</f>
        <v>149.63200000000001</v>
      </c>
      <c r="N188" cm="1">
        <f t="array" ref="N188">SUMPRODUCT(IF(LEFT($A$4:$A$108,3)=LEFT($A188,3),IF($B$4:$B$108=$B188,IF($C$3:$AZ$3=N$112,$C$4:$AZ$108))))</f>
        <v>42.633000000000003</v>
      </c>
      <c r="O188" cm="1">
        <f t="array" ref="O188">SUMPRODUCT(IF(LEFT($A$4:$A$108,3)=LEFT($A188,3),IF($B$4:$B$108=$B188,IF($C$3:$AZ$3=O$112,$C$4:$AZ$108))))</f>
        <v>43.786000000000001</v>
      </c>
      <c r="P188" s="4" cm="1">
        <f t="array" ref="P188">SUMPRODUCT(IF(LEFT($A$4:$A$108,3)=LEFT($A188,3),IF($B$4:$B$108=$B188,IF($C$3:$AZ$3=P$112,$C$4:$AZ$108))))*'Cement and Glass Split'!O81</f>
        <v>11.235242990415594</v>
      </c>
      <c r="Q188" s="4" cm="1">
        <f t="array" ref="Q188">SUMPRODUCT(IF(LEFT($A$4:$A$108,3)=LEFT($A188,3),IF($B$4:$B$108=$B188,IF($C$3:$AZ$3=P$112,$C$4:$AZ$108))))*'Cement and Glass Split'!P81</f>
        <v>19.448757009584405</v>
      </c>
      <c r="R188" cm="1">
        <f t="array" ref="R188">SUMPRODUCT(IF(LEFT($A$4:$A$108,3)=LEFT($A188,3),IF($B$4:$B$108=$B188,IF($C$3:$AZ$3=R$112,$C$4:$AZ$108))))</f>
        <v>48.704999999999998</v>
      </c>
      <c r="S188" cm="1">
        <f t="array" ref="S188">SUMPRODUCT(IF(LEFT($A$4:$A$108,3)=LEFT($A188,3),IF($B$4:$B$108=$B188,IF($C$3:$AZ$3=S$112,$C$4:$AZ$108))))</f>
        <v>25.298999999999999</v>
      </c>
      <c r="T188" cm="1">
        <f t="array" ref="T188">SUMPRODUCT(IF(LEFT($A$4:$A$108,3)=LEFT($A188,3),IF($B$4:$B$108=$B188,IF($C$3:$AZ$3=T$112,$C$4:$AZ$108))))</f>
        <v>66.652000000000001</v>
      </c>
      <c r="U188" cm="1">
        <f t="array" ref="U188">SUMPRODUCT(IF(LEFT($A$4:$A$108,3)=LEFT($A188,3),IF($B$4:$B$108=$B188,IF($C$3:$AZ$3=U$112,$C$4:$AZ$108))))</f>
        <v>365.05099999999999</v>
      </c>
      <c r="V188" cm="1">
        <f t="array" ref="V188">SUMPRODUCT(IF(LEFT($A$4:$A$108,3)=LEFT($A188,3),IF($B$4:$B$108=$B188,IF($C$3:$AZ$3=V$112,$C$4:$AZ$108))))</f>
        <v>118.245</v>
      </c>
      <c r="W188" cm="1">
        <f t="array" ref="W188">SUMPRODUCT(IF(LEFT($A$4:$A$108,3)=LEFT($A188,3),IF($B$4:$B$108=$B188,IF($C$3:$AZ$3=W$112,$C$4:$AZ$108))))</f>
        <v>125.754</v>
      </c>
      <c r="X188" cm="1">
        <f t="array" ref="X188">SUMPRODUCT(IF(LEFT($A$4:$A$108,3)=LEFT($A188,3),IF($B$4:$B$108=$B188,IF($C$3:$AZ$3=X$112,$C$4:$AZ$108))))</f>
        <v>110.971</v>
      </c>
      <c r="Y188" cm="1">
        <f t="array" ref="Y188">SUMPRODUCT(IF(LEFT($A$4:$A$108,3)=LEFT($A188,3),IF($B$4:$B$108=$B188,IF($C$3:$AZ$3=Y$112,$C$4:$AZ$108))))</f>
        <v>42.866</v>
      </c>
      <c r="Z188" cm="1">
        <f t="array" ref="Z188">SUMPRODUCT(IF(LEFT($A$4:$A$108,3)=LEFT($A188,3),IF($B$4:$B$108=$B188,IF($C$3:$AZ$3=Z$112,$C$4:$AZ$108))))</f>
        <v>28.574000000000002</v>
      </c>
      <c r="AA188" cm="1">
        <f t="array" ref="AA188">SUMPRODUCT(IF(LEFT($A$4:$A$108,3)=LEFT($A188,3),IF($B$4:$B$108=$B188,IF($C$3:$AZ$3=AA$112,$C$4:$AZ$108))))</f>
        <v>144.178</v>
      </c>
      <c r="AB188" cm="1">
        <f t="array" ref="AB188">SUMPRODUCT(IF(LEFT($A$4:$A$108,3)=LEFT($A188,3),IF($B$4:$B$108=$B188,IF($C$3:$AZ$3=AB$112,$C$4:$AZ$108))))</f>
        <v>18.667999999999999</v>
      </c>
      <c r="AC188" cm="1">
        <f t="array" ref="AC188">SUMPRODUCT(IF(LEFT($A$4:$A$108,3)=LEFT($A188,3),IF($B$4:$B$108=$B188,IF($C$3:$AZ$3=AC$112,$C$4:$AZ$108))))</f>
        <v>27.532</v>
      </c>
      <c r="AD188" cm="1">
        <f t="array" ref="AD188">SUMPRODUCT(IF(LEFT($A$4:$A$108,3)=LEFT($A188,3),IF($B$4:$B$108=$B188,IF($C$3:$AZ$3=AD$112,$C$4:$AZ$108))))</f>
        <v>171.02099999999999</v>
      </c>
      <c r="AE188" cm="1">
        <f t="array" ref="AE188">SUMPRODUCT(IF(LEFT($A$4:$A$108,3)=LEFT($A188,3),IF($B$4:$B$108=$B188,IF($C$3:$AZ$3=AE$112,$C$4:$AZ$108))))</f>
        <v>662.75300000000004</v>
      </c>
      <c r="AF188" cm="1">
        <f t="array" ref="AF188">SUMPRODUCT(IF(LEFT($A$4:$A$108,3)=LEFT($A188,3),IF($B$4:$B$108=$B188,IF($C$3:$AZ$3=AF$112,$C$4:$AZ$108))))</f>
        <v>217.547</v>
      </c>
      <c r="AG188" cm="1">
        <f t="array" ref="AG188">SUMPRODUCT(IF(LEFT($A$4:$A$108,3)=LEFT($A188,3),IF($B$4:$B$108=$B188,IF($C$3:$AZ$3=AG$112,$C$4:$AZ$108))))</f>
        <v>163.97800000000001</v>
      </c>
      <c r="AH188" cm="1">
        <f t="array" ref="AH188">SUMPRODUCT(IF(LEFT($A$4:$A$108,3)=LEFT($A188,3),IF($B$4:$B$108=$B188,IF($C$3:$AZ$3=AH$112,$C$4:$AZ$108))))</f>
        <v>210.20500000000001</v>
      </c>
      <c r="AI188" cm="1">
        <f t="array" ref="AI188">SUMPRODUCT(IF(LEFT($A$4:$A$108,3)=LEFT($A188,3),IF($B$4:$B$108=$B188,IF($C$3:$AZ$3=AI$112,$C$4:$AZ$108))))</f>
        <v>361.99299999999999</v>
      </c>
      <c r="AJ188" cm="1">
        <f t="array" ref="AJ188">SUMPRODUCT(IF(LEFT($A$4:$A$108,3)=LEFT($A188,3),IF($B$4:$B$108=$B188,IF($C$3:$AZ$3=AJ$112,$C$4:$AZ$108))))</f>
        <v>1479.4970000000001</v>
      </c>
      <c r="AK188" cm="1">
        <f t="array" ref="AK188">SUMPRODUCT(IF(LEFT($A$4:$A$108,3)=LEFT($A188,3),IF($B$4:$B$108=$B188,IF($C$3:$AZ$3=AK$112,$C$4:$AZ$108))))</f>
        <v>680.03899999999999</v>
      </c>
      <c r="AL188" cm="1">
        <f t="array" ref="AL188">SUMPRODUCT(IF(LEFT($A$4:$A$108,3)=LEFT($A188,3),IF($B$4:$B$108=$B188,IF($C$3:$AZ$3=AL$112,$C$4:$AZ$108))))</f>
        <v>135.983</v>
      </c>
      <c r="AM188" cm="1">
        <f t="array" ref="AM188">SUMPRODUCT(IF(LEFT($A$4:$A$108,3)=LEFT($A188,3),IF($B$4:$B$108=$B188,IF($C$3:$AZ$3=AM$112,$C$4:$AZ$108))))</f>
        <v>1114.4549999999999</v>
      </c>
      <c r="AN188" cm="1">
        <f t="array" ref="AN188">SUMPRODUCT(IF(LEFT($A$4:$A$108,3)=LEFT($A188,3),IF($B$4:$B$108=$B188,IF($C$3:$AZ$3=AN$112,$C$4:$AZ$108))))</f>
        <v>323.41399999999999</v>
      </c>
      <c r="AO188" cm="1">
        <f t="array" ref="AO188">SUMPRODUCT(IF(LEFT($A$4:$A$108,3)=LEFT($A188,3),IF($B$4:$B$108=$B188,IF($C$3:$AZ$3=AO$112,$C$4:$AZ$108))))</f>
        <v>223.47300000000001</v>
      </c>
      <c r="AP188" cm="1">
        <f t="array" ref="AP188">SUMPRODUCT(IF(LEFT($A$4:$A$108,3)=LEFT($A188,3),IF($B$4:$B$108=$B188,IF($C$3:$AZ$3=AP$112,$C$4:$AZ$108))))</f>
        <v>182.26599999999999</v>
      </c>
      <c r="AQ188" cm="1">
        <f t="array" ref="AQ188">SUMPRODUCT(IF(LEFT($A$4:$A$108,3)=LEFT($A188,3),IF($B$4:$B$108=$B188,IF($C$3:$AZ$3=AQ$112,$C$4:$AZ$108))))</f>
        <v>198.39400000000001</v>
      </c>
      <c r="AR188" cm="1">
        <f t="array" ref="AR188">SUMPRODUCT(IF(LEFT($A$4:$A$108,3)=LEFT($A188,3),IF($B$4:$B$108=$B188,IF($C$3:$AZ$3=AR$112,$C$4:$AZ$108))))</f>
        <v>0</v>
      </c>
      <c r="AS188">
        <v>0</v>
      </c>
    </row>
    <row r="189" spans="1:45">
      <c r="A189" t="s">
        <v>385</v>
      </c>
      <c r="B189" t="s">
        <v>27</v>
      </c>
      <c r="C189" cm="1">
        <f t="array" ref="C189">SUMPRODUCT(IF(LEFT($A$4:$A$108,3)=LEFT($A189,3),IF($B$4:$B$108=$B189,IF($C$3:$AZ$3=C$112,$C$4:$AZ$108))))</f>
        <v>29.802</v>
      </c>
      <c r="D189" cm="1">
        <f t="array" ref="D189">SUMPRODUCT(IF(LEFT($A$4:$A$108,3)=LEFT($A189,3),IF($B$4:$B$108=$B189,IF($C$3:$AZ$3=D$112,$C$4:$AZ$108))))</f>
        <v>0.16800000000000001</v>
      </c>
      <c r="E189" cm="1">
        <f t="array" ref="E189">SUMPRODUCT(IF(LEFT($A$4:$A$108,3)=LEFT($A189,3),IF($B$4:$B$108=$B189,IF($C$3:$AZ$3=E$112,$C$4:$AZ$108))))</f>
        <v>0.17499999999999999</v>
      </c>
      <c r="F189" cm="1">
        <f t="array" ref="F189">SUMPRODUCT(IF(LEFT($A$4:$A$108,3)=LEFT($A189,3),IF($B$4:$B$108=$B189,IF($C$3:$AZ$3=F$112,$C$4:$AZ$108))))</f>
        <v>2.3220000000000001</v>
      </c>
      <c r="G189" cm="1">
        <f t="array" ref="G189">SUMPRODUCT(IF(LEFT($A$4:$A$108,3)=LEFT($A189,3),IF($B$4:$B$108=$B189,IF($C$3:$AZ$3=G$112,$C$4:$AZ$108))))</f>
        <v>2.1000000000000001E-2</v>
      </c>
      <c r="H189" cm="1">
        <f t="array" ref="H189">SUMPRODUCT(IF(LEFT($A$4:$A$108,3)=LEFT($A189,3),IF($B$4:$B$108=$B189,IF($C$3:$AZ$3=H$112,$C$4:$AZ$108))))</f>
        <v>81.289000000000001</v>
      </c>
      <c r="I189" cm="1">
        <f t="array" ref="I189">SUMPRODUCT(IF(LEFT($A$4:$A$108,3)=LEFT($A189,3),IF($B$4:$B$108=$B189,IF($C$3:$AZ$3=I$112,$C$4:$AZ$108))))</f>
        <v>29.013000000000002</v>
      </c>
      <c r="J189" cm="1">
        <f t="array" ref="J189">SUMPRODUCT(IF(LEFT($A$4:$A$108,3)=LEFT($A189,3),IF($B$4:$B$108=$B189,IF($C$3:$AZ$3=J$112,$C$4:$AZ$108))))</f>
        <v>4.1959999999999997</v>
      </c>
      <c r="K189" cm="1">
        <f t="array" ref="K189">SUMPRODUCT(IF(LEFT($A$4:$A$108,3)=LEFT($A189,3),IF($B$4:$B$108=$B189,IF($C$3:$AZ$3=K$112,$C$4:$AZ$108))))</f>
        <v>20.943000000000001</v>
      </c>
      <c r="L189" cm="1">
        <f t="array" ref="L189">SUMPRODUCT(IF(LEFT($A$4:$A$108,3)=LEFT($A189,3),IF($B$4:$B$108=$B189,IF($C$3:$AZ$3=L$112,$C$4:$AZ$108))))</f>
        <v>26.741</v>
      </c>
      <c r="M189" cm="1">
        <f t="array" ref="M189">SUMPRODUCT(IF(LEFT($A$4:$A$108,3)=LEFT($A189,3),IF($B$4:$B$108=$B189,IF($C$3:$AZ$3=M$112,$C$4:$AZ$108))))</f>
        <v>78.754000000000005</v>
      </c>
      <c r="N189" cm="1">
        <f t="array" ref="N189">SUMPRODUCT(IF(LEFT($A$4:$A$108,3)=LEFT($A189,3),IF($B$4:$B$108=$B189,IF($C$3:$AZ$3=N$112,$C$4:$AZ$108))))</f>
        <v>13.474</v>
      </c>
      <c r="O189" cm="1">
        <f t="array" ref="O189">SUMPRODUCT(IF(LEFT($A$4:$A$108,3)=LEFT($A189,3),IF($B$4:$B$108=$B189,IF($C$3:$AZ$3=O$112,$C$4:$AZ$108))))</f>
        <v>28.666</v>
      </c>
      <c r="P189" s="4" cm="1">
        <f t="array" ref="P189">SUMPRODUCT(IF(LEFT($A$4:$A$108,3)=LEFT($A189,3),IF($B$4:$B$108=$B189,IF($C$3:$AZ$3=P$112,$C$4:$AZ$108))))*'Cement and Glass Split'!O82</f>
        <v>3.1780734931210826</v>
      </c>
      <c r="Q189" s="4" cm="1">
        <f t="array" ref="Q189">SUMPRODUCT(IF(LEFT($A$4:$A$108,3)=LEFT($A189,3),IF($B$4:$B$108=$B189,IF($C$3:$AZ$3=P$112,$C$4:$AZ$108))))*'Cement and Glass Split'!P82</f>
        <v>16.938926506878918</v>
      </c>
      <c r="R189" cm="1">
        <f t="array" ref="R189">SUMPRODUCT(IF(LEFT($A$4:$A$108,3)=LEFT($A189,3),IF($B$4:$B$108=$B189,IF($C$3:$AZ$3=R$112,$C$4:$AZ$108))))</f>
        <v>34.045999999999999</v>
      </c>
      <c r="S189" cm="1">
        <f t="array" ref="S189">SUMPRODUCT(IF(LEFT($A$4:$A$108,3)=LEFT($A189,3),IF($B$4:$B$108=$B189,IF($C$3:$AZ$3=S$112,$C$4:$AZ$108))))</f>
        <v>21.414000000000001</v>
      </c>
      <c r="T189" cm="1">
        <f t="array" ref="T189">SUMPRODUCT(IF(LEFT($A$4:$A$108,3)=LEFT($A189,3),IF($B$4:$B$108=$B189,IF($C$3:$AZ$3=T$112,$C$4:$AZ$108))))</f>
        <v>37.825000000000003</v>
      </c>
      <c r="U189" cm="1">
        <f t="array" ref="U189">SUMPRODUCT(IF(LEFT($A$4:$A$108,3)=LEFT($A189,3),IF($B$4:$B$108=$B189,IF($C$3:$AZ$3=U$112,$C$4:$AZ$108))))</f>
        <v>84.247</v>
      </c>
      <c r="V189" cm="1">
        <f t="array" ref="V189">SUMPRODUCT(IF(LEFT($A$4:$A$108,3)=LEFT($A189,3),IF($B$4:$B$108=$B189,IF($C$3:$AZ$3=V$112,$C$4:$AZ$108))))</f>
        <v>49.692999999999998</v>
      </c>
      <c r="W189" cm="1">
        <f t="array" ref="W189">SUMPRODUCT(IF(LEFT($A$4:$A$108,3)=LEFT($A189,3),IF($B$4:$B$108=$B189,IF($C$3:$AZ$3=W$112,$C$4:$AZ$108))))</f>
        <v>57.194000000000003</v>
      </c>
      <c r="X189" cm="1">
        <f t="array" ref="X189">SUMPRODUCT(IF(LEFT($A$4:$A$108,3)=LEFT($A189,3),IF($B$4:$B$108=$B189,IF($C$3:$AZ$3=X$112,$C$4:$AZ$108))))</f>
        <v>60.441000000000003</v>
      </c>
      <c r="Y189" cm="1">
        <f t="array" ref="Y189">SUMPRODUCT(IF(LEFT($A$4:$A$108,3)=LEFT($A189,3),IF($B$4:$B$108=$B189,IF($C$3:$AZ$3=Y$112,$C$4:$AZ$108))))</f>
        <v>19.152000000000001</v>
      </c>
      <c r="Z189" cm="1">
        <f t="array" ref="Z189">SUMPRODUCT(IF(LEFT($A$4:$A$108,3)=LEFT($A189,3),IF($B$4:$B$108=$B189,IF($C$3:$AZ$3=Z$112,$C$4:$AZ$108))))</f>
        <v>14.237</v>
      </c>
      <c r="AA189" cm="1">
        <f t="array" ref="AA189">SUMPRODUCT(IF(LEFT($A$4:$A$108,3)=LEFT($A189,3),IF($B$4:$B$108=$B189,IF($C$3:$AZ$3=AA$112,$C$4:$AZ$108))))</f>
        <v>71.900999999999996</v>
      </c>
      <c r="AB189" cm="1">
        <f t="array" ref="AB189">SUMPRODUCT(IF(LEFT($A$4:$A$108,3)=LEFT($A189,3),IF($B$4:$B$108=$B189,IF($C$3:$AZ$3=AB$112,$C$4:$AZ$108))))</f>
        <v>14.342000000000001</v>
      </c>
      <c r="AC189" cm="1">
        <f t="array" ref="AC189">SUMPRODUCT(IF(LEFT($A$4:$A$108,3)=LEFT($A189,3),IF($B$4:$B$108=$B189,IF($C$3:$AZ$3=AC$112,$C$4:$AZ$108))))</f>
        <v>13.597</v>
      </c>
      <c r="AD189" cm="1">
        <f t="array" ref="AD189">SUMPRODUCT(IF(LEFT($A$4:$A$108,3)=LEFT($A189,3),IF($B$4:$B$108=$B189,IF($C$3:$AZ$3=AD$112,$C$4:$AZ$108))))</f>
        <v>105.69199999999999</v>
      </c>
      <c r="AE189" cm="1">
        <f t="array" ref="AE189">SUMPRODUCT(IF(LEFT($A$4:$A$108,3)=LEFT($A189,3),IF($B$4:$B$108=$B189,IF($C$3:$AZ$3=AE$112,$C$4:$AZ$108))))</f>
        <v>301.85899999999998</v>
      </c>
      <c r="AF189" cm="1">
        <f t="array" ref="AF189">SUMPRODUCT(IF(LEFT($A$4:$A$108,3)=LEFT($A189,3),IF($B$4:$B$108=$B189,IF($C$3:$AZ$3=AF$112,$C$4:$AZ$108))))</f>
        <v>89.169999999999987</v>
      </c>
      <c r="AG189" cm="1">
        <f t="array" ref="AG189">SUMPRODUCT(IF(LEFT($A$4:$A$108,3)=LEFT($A189,3),IF($B$4:$B$108=$B189,IF($C$3:$AZ$3=AG$112,$C$4:$AZ$108))))</f>
        <v>80.347999999999999</v>
      </c>
      <c r="AH189" cm="1">
        <f t="array" ref="AH189">SUMPRODUCT(IF(LEFT($A$4:$A$108,3)=LEFT($A189,3),IF($B$4:$B$108=$B189,IF($C$3:$AZ$3=AH$112,$C$4:$AZ$108))))</f>
        <v>25.602</v>
      </c>
      <c r="AI189" cm="1">
        <f t="array" ref="AI189">SUMPRODUCT(IF(LEFT($A$4:$A$108,3)=LEFT($A189,3),IF($B$4:$B$108=$B189,IF($C$3:$AZ$3=AI$112,$C$4:$AZ$108))))</f>
        <v>40.953000000000003</v>
      </c>
      <c r="AJ189" cm="1">
        <f t="array" ref="AJ189">SUMPRODUCT(IF(LEFT($A$4:$A$108,3)=LEFT($A189,3),IF($B$4:$B$108=$B189,IF($C$3:$AZ$3=AJ$112,$C$4:$AZ$108))))</f>
        <v>36.036999999999999</v>
      </c>
      <c r="AK189" cm="1">
        <f t="array" ref="AK189">SUMPRODUCT(IF(LEFT($A$4:$A$108,3)=LEFT($A189,3),IF($B$4:$B$108=$B189,IF($C$3:$AZ$3=AK$112,$C$4:$AZ$108))))</f>
        <v>834.75</v>
      </c>
      <c r="AL189" cm="1">
        <f t="array" ref="AL189">SUMPRODUCT(IF(LEFT($A$4:$A$108,3)=LEFT($A189,3),IF($B$4:$B$108=$B189,IF($C$3:$AZ$3=AL$112,$C$4:$AZ$108))))</f>
        <v>801.03499999999997</v>
      </c>
      <c r="AM189" cm="1">
        <f t="array" ref="AM189">SUMPRODUCT(IF(LEFT($A$4:$A$108,3)=LEFT($A189,3),IF($B$4:$B$108=$B189,IF($C$3:$AZ$3=AM$112,$C$4:$AZ$108))))</f>
        <v>269.351</v>
      </c>
      <c r="AN189" cm="1">
        <f t="array" ref="AN189">SUMPRODUCT(IF(LEFT($A$4:$A$108,3)=LEFT($A189,3),IF($B$4:$B$108=$B189,IF($C$3:$AZ$3=AN$112,$C$4:$AZ$108))))</f>
        <v>79.17</v>
      </c>
      <c r="AO189" cm="1">
        <f t="array" ref="AO189">SUMPRODUCT(IF(LEFT($A$4:$A$108,3)=LEFT($A189,3),IF($B$4:$B$108=$B189,IF($C$3:$AZ$3=AO$112,$C$4:$AZ$108))))</f>
        <v>43.026000000000003</v>
      </c>
      <c r="AP189" cm="1">
        <f t="array" ref="AP189">SUMPRODUCT(IF(LEFT($A$4:$A$108,3)=LEFT($A189,3),IF($B$4:$B$108=$B189,IF($C$3:$AZ$3=AP$112,$C$4:$AZ$108))))</f>
        <v>42.027000000000001</v>
      </c>
      <c r="AQ189" cm="1">
        <f t="array" ref="AQ189">SUMPRODUCT(IF(LEFT($A$4:$A$108,3)=LEFT($A189,3),IF($B$4:$B$108=$B189,IF($C$3:$AZ$3=AQ$112,$C$4:$AZ$108))))</f>
        <v>70.067999999999998</v>
      </c>
      <c r="AR189" cm="1">
        <f t="array" ref="AR189">SUMPRODUCT(IF(LEFT($A$4:$A$108,3)=LEFT($A189,3),IF($B$4:$B$108=$B189,IF($C$3:$AZ$3=AR$112,$C$4:$AZ$108))))</f>
        <v>0</v>
      </c>
      <c r="AS189">
        <v>0</v>
      </c>
    </row>
    <row r="190" spans="1:45">
      <c r="A190" t="s">
        <v>385</v>
      </c>
      <c r="B190" t="s">
        <v>28</v>
      </c>
      <c r="C190" cm="1">
        <f t="array" ref="C190">SUMPRODUCT(IF(LEFT($A$4:$A$108,3)=LEFT($A190,3),IF($B$4:$B$108=$B190,IF($C$3:$AZ$3=C$112,$C$4:$AZ$108))))</f>
        <v>2.903</v>
      </c>
      <c r="D190" cm="1">
        <f t="array" ref="D190">SUMPRODUCT(IF(LEFT($A$4:$A$108,3)=LEFT($A190,3),IF($B$4:$B$108=$B190,IF($C$3:$AZ$3=D$112,$C$4:$AZ$108))))</f>
        <v>4.5999999999999999E-2</v>
      </c>
      <c r="E190" cm="1">
        <f t="array" ref="E190">SUMPRODUCT(IF(LEFT($A$4:$A$108,3)=LEFT($A190,3),IF($B$4:$B$108=$B190,IF($C$3:$AZ$3=E$112,$C$4:$AZ$108))))</f>
        <v>3.5999999999999997E-2</v>
      </c>
      <c r="F190" cm="1">
        <f t="array" ref="F190">SUMPRODUCT(IF(LEFT($A$4:$A$108,3)=LEFT($A190,3),IF($B$4:$B$108=$B190,IF($C$3:$AZ$3=F$112,$C$4:$AZ$108))))</f>
        <v>0.747</v>
      </c>
      <c r="G190" cm="1">
        <f t="array" ref="G190">SUMPRODUCT(IF(LEFT($A$4:$A$108,3)=LEFT($A190,3),IF($B$4:$B$108=$B190,IF($C$3:$AZ$3=G$112,$C$4:$AZ$108))))</f>
        <v>3.0000000000000001E-3</v>
      </c>
      <c r="H190" cm="1">
        <f t="array" ref="H190">SUMPRODUCT(IF(LEFT($A$4:$A$108,3)=LEFT($A190,3),IF($B$4:$B$108=$B190,IF($C$3:$AZ$3=H$112,$C$4:$AZ$108))))</f>
        <v>23.777000000000001</v>
      </c>
      <c r="I190" cm="1">
        <f t="array" ref="I190">SUMPRODUCT(IF(LEFT($A$4:$A$108,3)=LEFT($A190,3),IF($B$4:$B$108=$B190,IF($C$3:$AZ$3=I$112,$C$4:$AZ$108))))</f>
        <v>14.337</v>
      </c>
      <c r="J190" cm="1">
        <f t="array" ref="J190">SUMPRODUCT(IF(LEFT($A$4:$A$108,3)=LEFT($A190,3),IF($B$4:$B$108=$B190,IF($C$3:$AZ$3=J$112,$C$4:$AZ$108))))</f>
        <v>1.4730000000000001</v>
      </c>
      <c r="K190" cm="1">
        <f t="array" ref="K190">SUMPRODUCT(IF(LEFT($A$4:$A$108,3)=LEFT($A190,3),IF($B$4:$B$108=$B190,IF($C$3:$AZ$3=K$112,$C$4:$AZ$108))))</f>
        <v>6.54</v>
      </c>
      <c r="L190" cm="1">
        <f t="array" ref="L190">SUMPRODUCT(IF(LEFT($A$4:$A$108,3)=LEFT($A190,3),IF($B$4:$B$108=$B190,IF($C$3:$AZ$3=L$112,$C$4:$AZ$108))))</f>
        <v>47.615000000000002</v>
      </c>
      <c r="M190" cm="1">
        <f t="array" ref="M190">SUMPRODUCT(IF(LEFT($A$4:$A$108,3)=LEFT($A190,3),IF($B$4:$B$108=$B190,IF($C$3:$AZ$3=M$112,$C$4:$AZ$108))))</f>
        <v>19.472000000000001</v>
      </c>
      <c r="N190" cm="1">
        <f t="array" ref="N190">SUMPRODUCT(IF(LEFT($A$4:$A$108,3)=LEFT($A190,3),IF($B$4:$B$108=$B190,IF($C$3:$AZ$3=N$112,$C$4:$AZ$108))))</f>
        <v>3.698</v>
      </c>
      <c r="O190" cm="1">
        <f t="array" ref="O190">SUMPRODUCT(IF(LEFT($A$4:$A$108,3)=LEFT($A190,3),IF($B$4:$B$108=$B190,IF($C$3:$AZ$3=O$112,$C$4:$AZ$108))))</f>
        <v>8.2569999999999997</v>
      </c>
      <c r="P190" s="4" cm="1">
        <f t="array" ref="P190">SUMPRODUCT(IF(LEFT($A$4:$A$108,3)=LEFT($A190,3),IF($B$4:$B$108=$B190,IF($C$3:$AZ$3=P$112,$C$4:$AZ$108))))*'Cement and Glass Split'!O83</f>
        <v>0.89406665175672206</v>
      </c>
      <c r="Q190" s="4" cm="1">
        <f t="array" ref="Q190">SUMPRODUCT(IF(LEFT($A$4:$A$108,3)=LEFT($A190,3),IF($B$4:$B$108=$B190,IF($C$3:$AZ$3=P$112,$C$4:$AZ$108))))*'Cement and Glass Split'!P83</f>
        <v>4.8169333482432783</v>
      </c>
      <c r="R190" cm="1">
        <f t="array" ref="R190">SUMPRODUCT(IF(LEFT($A$4:$A$108,3)=LEFT($A190,3),IF($B$4:$B$108=$B190,IF($C$3:$AZ$3=R$112,$C$4:$AZ$108))))</f>
        <v>8.8800000000000008</v>
      </c>
      <c r="S190" cm="1">
        <f t="array" ref="S190">SUMPRODUCT(IF(LEFT($A$4:$A$108,3)=LEFT($A190,3),IF($B$4:$B$108=$B190,IF($C$3:$AZ$3=S$112,$C$4:$AZ$108))))</f>
        <v>5.4290000000000003</v>
      </c>
      <c r="T190" cm="1">
        <f t="array" ref="T190">SUMPRODUCT(IF(LEFT($A$4:$A$108,3)=LEFT($A190,3),IF($B$4:$B$108=$B190,IF($C$3:$AZ$3=T$112,$C$4:$AZ$108))))</f>
        <v>16.640999999999998</v>
      </c>
      <c r="U190" cm="1">
        <f t="array" ref="U190">SUMPRODUCT(IF(LEFT($A$4:$A$108,3)=LEFT($A190,3),IF($B$4:$B$108=$B190,IF($C$3:$AZ$3=U$112,$C$4:$AZ$108))))</f>
        <v>31.271999999999998</v>
      </c>
      <c r="V190" cm="1">
        <f t="array" ref="V190">SUMPRODUCT(IF(LEFT($A$4:$A$108,3)=LEFT($A190,3),IF($B$4:$B$108=$B190,IF($C$3:$AZ$3=V$112,$C$4:$AZ$108))))</f>
        <v>14.617000000000001</v>
      </c>
      <c r="W190" cm="1">
        <f t="array" ref="W190">SUMPRODUCT(IF(LEFT($A$4:$A$108,3)=LEFT($A190,3),IF($B$4:$B$108=$B190,IF($C$3:$AZ$3=W$112,$C$4:$AZ$108))))</f>
        <v>17.57</v>
      </c>
      <c r="X190" cm="1">
        <f t="array" ref="X190">SUMPRODUCT(IF(LEFT($A$4:$A$108,3)=LEFT($A190,3),IF($B$4:$B$108=$B190,IF($C$3:$AZ$3=X$112,$C$4:$AZ$108))))</f>
        <v>20.818000000000001</v>
      </c>
      <c r="Y190" cm="1">
        <f t="array" ref="Y190">SUMPRODUCT(IF(LEFT($A$4:$A$108,3)=LEFT($A190,3),IF($B$4:$B$108=$B190,IF($C$3:$AZ$3=Y$112,$C$4:$AZ$108))))</f>
        <v>9.6159999999999997</v>
      </c>
      <c r="Z190" cm="1">
        <f t="array" ref="Z190">SUMPRODUCT(IF(LEFT($A$4:$A$108,3)=LEFT($A190,3),IF($B$4:$B$108=$B190,IF($C$3:$AZ$3=Z$112,$C$4:$AZ$108))))</f>
        <v>7.1150000000000002</v>
      </c>
      <c r="AA190" cm="1">
        <f t="array" ref="AA190">SUMPRODUCT(IF(LEFT($A$4:$A$108,3)=LEFT($A190,3),IF($B$4:$B$108=$B190,IF($C$3:$AZ$3=AA$112,$C$4:$AZ$108))))</f>
        <v>24.376999999999999</v>
      </c>
      <c r="AB190" cm="1">
        <f t="array" ref="AB190">SUMPRODUCT(IF(LEFT($A$4:$A$108,3)=LEFT($A190,3),IF($B$4:$B$108=$B190,IF($C$3:$AZ$3=AB$112,$C$4:$AZ$108))))</f>
        <v>5.3230000000000004</v>
      </c>
      <c r="AC190" cm="1">
        <f t="array" ref="AC190">SUMPRODUCT(IF(LEFT($A$4:$A$108,3)=LEFT($A190,3),IF($B$4:$B$108=$B190,IF($C$3:$AZ$3=AC$112,$C$4:$AZ$108))))</f>
        <v>3.7879999999999998</v>
      </c>
      <c r="AD190" cm="1">
        <f t="array" ref="AD190">SUMPRODUCT(IF(LEFT($A$4:$A$108,3)=LEFT($A190,3),IF($B$4:$B$108=$B190,IF($C$3:$AZ$3=AD$112,$C$4:$AZ$108))))</f>
        <v>46.192</v>
      </c>
      <c r="AE190" cm="1">
        <f t="array" ref="AE190">SUMPRODUCT(IF(LEFT($A$4:$A$108,3)=LEFT($A190,3),IF($B$4:$B$108=$B190,IF($C$3:$AZ$3=AE$112,$C$4:$AZ$108))))</f>
        <v>411.46800000000002</v>
      </c>
      <c r="AF190" cm="1">
        <f t="array" ref="AF190">SUMPRODUCT(IF(LEFT($A$4:$A$108,3)=LEFT($A190,3),IF($B$4:$B$108=$B190,IF($C$3:$AZ$3=AF$112,$C$4:$AZ$108))))</f>
        <v>60.252000000000002</v>
      </c>
      <c r="AG190" cm="1">
        <f t="array" ref="AG190">SUMPRODUCT(IF(LEFT($A$4:$A$108,3)=LEFT($A190,3),IF($B$4:$B$108=$B190,IF($C$3:$AZ$3=AG$112,$C$4:$AZ$108))))</f>
        <v>197.84</v>
      </c>
      <c r="AH190" cm="1">
        <f t="array" ref="AH190">SUMPRODUCT(IF(LEFT($A$4:$A$108,3)=LEFT($A190,3),IF($B$4:$B$108=$B190,IF($C$3:$AZ$3=AH$112,$C$4:$AZ$108))))</f>
        <v>20.728999999999999</v>
      </c>
      <c r="AI190" cm="1">
        <f t="array" ref="AI190">SUMPRODUCT(IF(LEFT($A$4:$A$108,3)=LEFT($A190,3),IF($B$4:$B$108=$B190,IF($C$3:$AZ$3=AI$112,$C$4:$AZ$108))))</f>
        <v>33.085999999999999</v>
      </c>
      <c r="AJ190" cm="1">
        <f t="array" ref="AJ190">SUMPRODUCT(IF(LEFT($A$4:$A$108,3)=LEFT($A190,3),IF($B$4:$B$108=$B190,IF($C$3:$AZ$3=AJ$112,$C$4:$AZ$108))))</f>
        <v>30.916</v>
      </c>
      <c r="AK190" cm="1">
        <f t="array" ref="AK190">SUMPRODUCT(IF(LEFT($A$4:$A$108,3)=LEFT($A190,3),IF($B$4:$B$108=$B190,IF($C$3:$AZ$3=AK$112,$C$4:$AZ$108))))</f>
        <v>69.402000000000001</v>
      </c>
      <c r="AL190" cm="1">
        <f t="array" ref="AL190">SUMPRODUCT(IF(LEFT($A$4:$A$108,3)=LEFT($A190,3),IF($B$4:$B$108=$B190,IF($C$3:$AZ$3=AL$112,$C$4:$AZ$108))))</f>
        <v>143.26</v>
      </c>
      <c r="AM190" cm="1">
        <f t="array" ref="AM190">SUMPRODUCT(IF(LEFT($A$4:$A$108,3)=LEFT($A190,3),IF($B$4:$B$108=$B190,IF($C$3:$AZ$3=AM$112,$C$4:$AZ$108))))</f>
        <v>158.583</v>
      </c>
      <c r="AN190" cm="1">
        <f t="array" ref="AN190">SUMPRODUCT(IF(LEFT($A$4:$A$108,3)=LEFT($A190,3),IF($B$4:$B$108=$B190,IF($C$3:$AZ$3=AN$112,$C$4:$AZ$108))))</f>
        <v>38.090000000000003</v>
      </c>
      <c r="AO190" cm="1">
        <f t="array" ref="AO190">SUMPRODUCT(IF(LEFT($A$4:$A$108,3)=LEFT($A190,3),IF($B$4:$B$108=$B190,IF($C$3:$AZ$3=AO$112,$C$4:$AZ$108))))</f>
        <v>46.442</v>
      </c>
      <c r="AP190" cm="1">
        <f t="array" ref="AP190">SUMPRODUCT(IF(LEFT($A$4:$A$108,3)=LEFT($A190,3),IF($B$4:$B$108=$B190,IF($C$3:$AZ$3=AP$112,$C$4:$AZ$108))))</f>
        <v>48.537999999999997</v>
      </c>
      <c r="AQ190" cm="1">
        <f t="array" ref="AQ190">SUMPRODUCT(IF(LEFT($A$4:$A$108,3)=LEFT($A190,3),IF($B$4:$B$108=$B190,IF($C$3:$AZ$3=AQ$112,$C$4:$AZ$108))))</f>
        <v>69.194000000000003</v>
      </c>
      <c r="AR190" cm="1">
        <f t="array" ref="AR190">SUMPRODUCT(IF(LEFT($A$4:$A$108,3)=LEFT($A190,3),IF($B$4:$B$108=$B190,IF($C$3:$AZ$3=AR$112,$C$4:$AZ$108))))</f>
        <v>0</v>
      </c>
      <c r="AS190">
        <v>0</v>
      </c>
    </row>
    <row r="191" spans="1:45">
      <c r="A191" t="s">
        <v>385</v>
      </c>
      <c r="B191" t="s">
        <v>29</v>
      </c>
      <c r="C191" cm="1">
        <f t="array" ref="C191">SUMPRODUCT(IF(LEFT($A$4:$A$108,3)=LEFT($A191,3),IF($B$4:$B$108=$B191,IF($C$3:$AZ$3=C$112,$C$4:$AZ$108))))</f>
        <v>164.78100000000001</v>
      </c>
      <c r="D191" cm="1">
        <f t="array" ref="D191">SUMPRODUCT(IF(LEFT($A$4:$A$108,3)=LEFT($A191,3),IF($B$4:$B$108=$B191,IF($C$3:$AZ$3=D$112,$C$4:$AZ$108))))</f>
        <v>2.0060000000000002</v>
      </c>
      <c r="E191" cm="1">
        <f t="array" ref="E191">SUMPRODUCT(IF(LEFT($A$4:$A$108,3)=LEFT($A191,3),IF($B$4:$B$108=$B191,IF($C$3:$AZ$3=E$112,$C$4:$AZ$108))))</f>
        <v>1.794</v>
      </c>
      <c r="F191" cm="1">
        <f t="array" ref="F191">SUMPRODUCT(IF(LEFT($A$4:$A$108,3)=LEFT($A191,3),IF($B$4:$B$108=$B191,IF($C$3:$AZ$3=F$112,$C$4:$AZ$108))))</f>
        <v>34.546999999999997</v>
      </c>
      <c r="G191" cm="1">
        <f t="array" ref="G191">SUMPRODUCT(IF(LEFT($A$4:$A$108,3)=LEFT($A191,3),IF($B$4:$B$108=$B191,IF($C$3:$AZ$3=G$112,$C$4:$AZ$108))))</f>
        <v>0.27300000000000002</v>
      </c>
      <c r="H191" cm="1">
        <f t="array" ref="H191">SUMPRODUCT(IF(LEFT($A$4:$A$108,3)=LEFT($A191,3),IF($B$4:$B$108=$B191,IF($C$3:$AZ$3=H$112,$C$4:$AZ$108))))</f>
        <v>849.95699999999999</v>
      </c>
      <c r="I191" cm="1">
        <f t="array" ref="I191">SUMPRODUCT(IF(LEFT($A$4:$A$108,3)=LEFT($A191,3),IF($B$4:$B$108=$B191,IF($C$3:$AZ$3=I$112,$C$4:$AZ$108))))</f>
        <v>272.54899999999998</v>
      </c>
      <c r="J191" cm="1">
        <f t="array" ref="J191">SUMPRODUCT(IF(LEFT($A$4:$A$108,3)=LEFT($A191,3),IF($B$4:$B$108=$B191,IF($C$3:$AZ$3=J$112,$C$4:$AZ$108))))</f>
        <v>35.808</v>
      </c>
      <c r="K191" cm="1">
        <f t="array" ref="K191">SUMPRODUCT(IF(LEFT($A$4:$A$108,3)=LEFT($A191,3),IF($B$4:$B$108=$B191,IF($C$3:$AZ$3=K$112,$C$4:$AZ$108))))</f>
        <v>178.047</v>
      </c>
      <c r="L191" cm="1">
        <f t="array" ref="L191">SUMPRODUCT(IF(LEFT($A$4:$A$108,3)=LEFT($A191,3),IF($B$4:$B$108=$B191,IF($C$3:$AZ$3=L$112,$C$4:$AZ$108))))</f>
        <v>190.54500000000002</v>
      </c>
      <c r="M191" cm="1">
        <f t="array" ref="M191">SUMPRODUCT(IF(LEFT($A$4:$A$108,3)=LEFT($A191,3),IF($B$4:$B$108=$B191,IF($C$3:$AZ$3=M$112,$C$4:$AZ$108))))</f>
        <v>768.72</v>
      </c>
      <c r="N191" cm="1">
        <f t="array" ref="N191">SUMPRODUCT(IF(LEFT($A$4:$A$108,3)=LEFT($A191,3),IF($B$4:$B$108=$B191,IF($C$3:$AZ$3=N$112,$C$4:$AZ$108))))</f>
        <v>195.17099999999999</v>
      </c>
      <c r="O191" cm="1">
        <f t="array" ref="O191">SUMPRODUCT(IF(LEFT($A$4:$A$108,3)=LEFT($A191,3),IF($B$4:$B$108=$B191,IF($C$3:$AZ$3=O$112,$C$4:$AZ$108))))</f>
        <v>303.45600000000002</v>
      </c>
      <c r="P191" s="4" cm="1">
        <f t="array" ref="P191">SUMPRODUCT(IF(LEFT($A$4:$A$108,3)=LEFT($A191,3),IF($B$4:$B$108=$B191,IF($C$3:$AZ$3=P$112,$C$4:$AZ$108))))*'Cement and Glass Split'!O84</f>
        <v>126.84645604205245</v>
      </c>
      <c r="Q191" s="4" cm="1">
        <f t="array" ref="Q191">SUMPRODUCT(IF(LEFT($A$4:$A$108,3)=LEFT($A191,3),IF($B$4:$B$108=$B191,IF($C$3:$AZ$3=P$112,$C$4:$AZ$108))))*'Cement and Glass Split'!P84</f>
        <v>83.456543957947531</v>
      </c>
      <c r="R191" cm="1">
        <f t="array" ref="R191">SUMPRODUCT(IF(LEFT($A$4:$A$108,3)=LEFT($A191,3),IF($B$4:$B$108=$B191,IF($C$3:$AZ$3=R$112,$C$4:$AZ$108))))</f>
        <v>270.90800000000002</v>
      </c>
      <c r="S191" cm="1">
        <f t="array" ref="S191">SUMPRODUCT(IF(LEFT($A$4:$A$108,3)=LEFT($A191,3),IF($B$4:$B$108=$B191,IF($C$3:$AZ$3=S$112,$C$4:$AZ$108))))</f>
        <v>127.93600000000001</v>
      </c>
      <c r="T191" cm="1">
        <f t="array" ref="T191">SUMPRODUCT(IF(LEFT($A$4:$A$108,3)=LEFT($A191,3),IF($B$4:$B$108=$B191,IF($C$3:$AZ$3=T$112,$C$4:$AZ$108))))</f>
        <v>405.11199999999997</v>
      </c>
      <c r="U191" cm="1">
        <f t="array" ref="U191">SUMPRODUCT(IF(LEFT($A$4:$A$108,3)=LEFT($A191,3),IF($B$4:$B$108=$B191,IF($C$3:$AZ$3=U$112,$C$4:$AZ$108))))</f>
        <v>1266.3489999999999</v>
      </c>
      <c r="V191" cm="1">
        <f t="array" ref="V191">SUMPRODUCT(IF(LEFT($A$4:$A$108,3)=LEFT($A191,3),IF($B$4:$B$108=$B191,IF($C$3:$AZ$3=V$112,$C$4:$AZ$108))))</f>
        <v>478.56400000000002</v>
      </c>
      <c r="W191" cm="1">
        <f t="array" ref="W191">SUMPRODUCT(IF(LEFT($A$4:$A$108,3)=LEFT($A191,3),IF($B$4:$B$108=$B191,IF($C$3:$AZ$3=W$112,$C$4:$AZ$108))))</f>
        <v>673.928</v>
      </c>
      <c r="X191" cm="1">
        <f t="array" ref="X191">SUMPRODUCT(IF(LEFT($A$4:$A$108,3)=LEFT($A191,3),IF($B$4:$B$108=$B191,IF($C$3:$AZ$3=X$112,$C$4:$AZ$108))))</f>
        <v>944.88300000000004</v>
      </c>
      <c r="Y191" cm="1">
        <f t="array" ref="Y191">SUMPRODUCT(IF(LEFT($A$4:$A$108,3)=LEFT($A191,3),IF($B$4:$B$108=$B191,IF($C$3:$AZ$3=Y$112,$C$4:$AZ$108))))</f>
        <v>261.45599999999996</v>
      </c>
      <c r="Z191" cm="1">
        <f t="array" ref="Z191">SUMPRODUCT(IF(LEFT($A$4:$A$108,3)=LEFT($A191,3),IF($B$4:$B$108=$B191,IF($C$3:$AZ$3=Z$112,$C$4:$AZ$108))))</f>
        <v>144.477</v>
      </c>
      <c r="AA191" cm="1">
        <f t="array" ref="AA191">SUMPRODUCT(IF(LEFT($A$4:$A$108,3)=LEFT($A191,3),IF($B$4:$B$108=$B191,IF($C$3:$AZ$3=AA$112,$C$4:$AZ$108))))</f>
        <v>627.72299999999996</v>
      </c>
      <c r="AB191" cm="1">
        <f t="array" ref="AB191">SUMPRODUCT(IF(LEFT($A$4:$A$108,3)=LEFT($A191,3),IF($B$4:$B$108=$B191,IF($C$3:$AZ$3=AB$112,$C$4:$AZ$108))))</f>
        <v>130.25700000000001</v>
      </c>
      <c r="AC191" cm="1">
        <f t="array" ref="AC191">SUMPRODUCT(IF(LEFT($A$4:$A$108,3)=LEFT($A191,3),IF($B$4:$B$108=$B191,IF($C$3:$AZ$3=AC$112,$C$4:$AZ$108))))</f>
        <v>177.83499999999998</v>
      </c>
      <c r="AD191" cm="1">
        <f t="array" ref="AD191">SUMPRODUCT(IF(LEFT($A$4:$A$108,3)=LEFT($A191,3),IF($B$4:$B$108=$B191,IF($C$3:$AZ$3=AD$112,$C$4:$AZ$108))))</f>
        <v>1612.64</v>
      </c>
      <c r="AE191" cm="1">
        <f t="array" ref="AE191">SUMPRODUCT(IF(LEFT($A$4:$A$108,3)=LEFT($A191,3),IF($B$4:$B$108=$B191,IF($C$3:$AZ$3=AE$112,$C$4:$AZ$108))))</f>
        <v>3339.819</v>
      </c>
      <c r="AF191" cm="1">
        <f t="array" ref="AF191">SUMPRODUCT(IF(LEFT($A$4:$A$108,3)=LEFT($A191,3),IF($B$4:$B$108=$B191,IF($C$3:$AZ$3=AF$112,$C$4:$AZ$108))))</f>
        <v>1277.348</v>
      </c>
      <c r="AG191" cm="1">
        <f t="array" ref="AG191">SUMPRODUCT(IF(LEFT($A$4:$A$108,3)=LEFT($A191,3),IF($B$4:$B$108=$B191,IF($C$3:$AZ$3=AG$112,$C$4:$AZ$108))))</f>
        <v>1208.8319999999999</v>
      </c>
      <c r="AH191" cm="1">
        <f t="array" ref="AH191">SUMPRODUCT(IF(LEFT($A$4:$A$108,3)=LEFT($A191,3),IF($B$4:$B$108=$B191,IF($C$3:$AZ$3=AH$112,$C$4:$AZ$108))))</f>
        <v>575.51800000000003</v>
      </c>
      <c r="AI191" cm="1">
        <f t="array" ref="AI191">SUMPRODUCT(IF(LEFT($A$4:$A$108,3)=LEFT($A191,3),IF($B$4:$B$108=$B191,IF($C$3:$AZ$3=AI$112,$C$4:$AZ$108))))</f>
        <v>728.38</v>
      </c>
      <c r="AJ191" cm="1">
        <f t="array" ref="AJ191">SUMPRODUCT(IF(LEFT($A$4:$A$108,3)=LEFT($A191,3),IF($B$4:$B$108=$B191,IF($C$3:$AZ$3=AJ$112,$C$4:$AZ$108))))</f>
        <v>662.3</v>
      </c>
      <c r="AK191" cm="1">
        <f t="array" ref="AK191">SUMPRODUCT(IF(LEFT($A$4:$A$108,3)=LEFT($A191,3),IF($B$4:$B$108=$B191,IF($C$3:$AZ$3=AK$112,$C$4:$AZ$108))))</f>
        <v>1525.7860000000001</v>
      </c>
      <c r="AL191" cm="1">
        <f t="array" ref="AL191">SUMPRODUCT(IF(LEFT($A$4:$A$108,3)=LEFT($A191,3),IF($B$4:$B$108=$B191,IF($C$3:$AZ$3=AL$112,$C$4:$AZ$108))))</f>
        <v>1267.3809999999999</v>
      </c>
      <c r="AM191" cm="1">
        <f t="array" ref="AM191">SUMPRODUCT(IF(LEFT($A$4:$A$108,3)=LEFT($A191,3),IF($B$4:$B$108=$B191,IF($C$3:$AZ$3=AM$112,$C$4:$AZ$108))))</f>
        <v>6163.0590000000002</v>
      </c>
      <c r="AN191" cm="1">
        <f t="array" ref="AN191">SUMPRODUCT(IF(LEFT($A$4:$A$108,3)=LEFT($A191,3),IF($B$4:$B$108=$B191,IF($C$3:$AZ$3=AN$112,$C$4:$AZ$108))))</f>
        <v>1086.1209999999999</v>
      </c>
      <c r="AO191" cm="1">
        <f t="array" ref="AO191">SUMPRODUCT(IF(LEFT($A$4:$A$108,3)=LEFT($A191,3),IF($B$4:$B$108=$B191,IF($C$3:$AZ$3=AO$112,$C$4:$AZ$108))))</f>
        <v>888.37699999999995</v>
      </c>
      <c r="AP191" cm="1">
        <f t="array" ref="AP191">SUMPRODUCT(IF(LEFT($A$4:$A$108,3)=LEFT($A191,3),IF($B$4:$B$108=$B191,IF($C$3:$AZ$3=AP$112,$C$4:$AZ$108))))</f>
        <v>791.73399999999992</v>
      </c>
      <c r="AQ191" cm="1">
        <f t="array" ref="AQ191">SUMPRODUCT(IF(LEFT($A$4:$A$108,3)=LEFT($A191,3),IF($B$4:$B$108=$B191,IF($C$3:$AZ$3=AQ$112,$C$4:$AZ$108))))</f>
        <v>996.23300000000006</v>
      </c>
      <c r="AR191" cm="1">
        <f t="array" ref="AR191">SUMPRODUCT(IF(LEFT($A$4:$A$108,3)=LEFT($A191,3),IF($B$4:$B$108=$B191,IF($C$3:$AZ$3=AR$112,$C$4:$AZ$108))))</f>
        <v>0</v>
      </c>
      <c r="AS191">
        <v>0</v>
      </c>
    </row>
    <row r="192" spans="1:45">
      <c r="A192" t="s">
        <v>385</v>
      </c>
      <c r="B192" t="s">
        <v>30</v>
      </c>
      <c r="C192" cm="1">
        <f t="array" ref="C192">SUMPRODUCT(IF(LEFT($A$4:$A$108,3)=LEFT($A192,3),IF($B$4:$B$108=$B192,IF($C$3:$AZ$3=C$112,$C$4:$AZ$108))))</f>
        <v>2.7450000000000001</v>
      </c>
      <c r="D192" cm="1">
        <f t="array" ref="D192">SUMPRODUCT(IF(LEFT($A$4:$A$108,3)=LEFT($A192,3),IF($B$4:$B$108=$B192,IF($C$3:$AZ$3=D$112,$C$4:$AZ$108))))</f>
        <v>1.9E-2</v>
      </c>
      <c r="E192" cm="1">
        <f t="array" ref="E192">SUMPRODUCT(IF(LEFT($A$4:$A$108,3)=LEFT($A192,3),IF($B$4:$B$108=$B192,IF($C$3:$AZ$3=E$112,$C$4:$AZ$108))))</f>
        <v>8.0000000000000002E-3</v>
      </c>
      <c r="F192" cm="1">
        <f t="array" ref="F192">SUMPRODUCT(IF(LEFT($A$4:$A$108,3)=LEFT($A192,3),IF($B$4:$B$108=$B192,IF($C$3:$AZ$3=F$112,$C$4:$AZ$108))))</f>
        <v>0.23800000000000002</v>
      </c>
      <c r="G192" cm="1">
        <f t="array" ref="G192">SUMPRODUCT(IF(LEFT($A$4:$A$108,3)=LEFT($A192,3),IF($B$4:$B$108=$B192,IF($C$3:$AZ$3=G$112,$C$4:$AZ$108))))</f>
        <v>1E-3</v>
      </c>
      <c r="H192" cm="1">
        <f t="array" ref="H192">SUMPRODUCT(IF(LEFT($A$4:$A$108,3)=LEFT($A192,3),IF($B$4:$B$108=$B192,IF($C$3:$AZ$3=H$112,$C$4:$AZ$108))))</f>
        <v>11.983000000000001</v>
      </c>
      <c r="I192" cm="1">
        <f t="array" ref="I192">SUMPRODUCT(IF(LEFT($A$4:$A$108,3)=LEFT($A192,3),IF($B$4:$B$108=$B192,IF($C$3:$AZ$3=I$112,$C$4:$AZ$108))))</f>
        <v>2.1179999999999999</v>
      </c>
      <c r="J192" cm="1">
        <f t="array" ref="J192">SUMPRODUCT(IF(LEFT($A$4:$A$108,3)=LEFT($A192,3),IF($B$4:$B$108=$B192,IF($C$3:$AZ$3=J$112,$C$4:$AZ$108))))</f>
        <v>0.99</v>
      </c>
      <c r="K192" cm="1">
        <f t="array" ref="K192">SUMPRODUCT(IF(LEFT($A$4:$A$108,3)=LEFT($A192,3),IF($B$4:$B$108=$B192,IF($C$3:$AZ$3=K$112,$C$4:$AZ$108))))</f>
        <v>1.4750000000000001</v>
      </c>
      <c r="L192" cm="1">
        <f t="array" ref="L192">SUMPRODUCT(IF(LEFT($A$4:$A$108,3)=LEFT($A192,3),IF($B$4:$B$108=$B192,IF($C$3:$AZ$3=L$112,$C$4:$AZ$108))))</f>
        <v>4.891</v>
      </c>
      <c r="M192" cm="1">
        <f t="array" ref="M192">SUMPRODUCT(IF(LEFT($A$4:$A$108,3)=LEFT($A192,3),IF($B$4:$B$108=$B192,IF($C$3:$AZ$3=M$112,$C$4:$AZ$108))))</f>
        <v>9.0449999999999999</v>
      </c>
      <c r="N192" cm="1">
        <f t="array" ref="N192">SUMPRODUCT(IF(LEFT($A$4:$A$108,3)=LEFT($A192,3),IF($B$4:$B$108=$B192,IF($C$3:$AZ$3=N$112,$C$4:$AZ$108))))</f>
        <v>1.4970000000000001</v>
      </c>
      <c r="O192" cm="1">
        <f t="array" ref="O192">SUMPRODUCT(IF(LEFT($A$4:$A$108,3)=LEFT($A192,3),IF($B$4:$B$108=$B192,IF($C$3:$AZ$3=O$112,$C$4:$AZ$108))))</f>
        <v>2.8690000000000002</v>
      </c>
      <c r="P192" s="4" cm="1">
        <f t="array" ref="P192">SUMPRODUCT(IF(LEFT($A$4:$A$108,3)=LEFT($A192,3),IF($B$4:$B$108=$B192,IF($C$3:$AZ$3=P$112,$C$4:$AZ$108))))*'Cement and Glass Split'!O85</f>
        <v>0</v>
      </c>
      <c r="Q192" s="4" cm="1">
        <f t="array" ref="Q192">SUMPRODUCT(IF(LEFT($A$4:$A$108,3)=LEFT($A192,3),IF($B$4:$B$108=$B192,IF($C$3:$AZ$3=P$112,$C$4:$AZ$108))))*'Cement and Glass Split'!P85</f>
        <v>0</v>
      </c>
      <c r="R192" cm="1">
        <f t="array" ref="R192">SUMPRODUCT(IF(LEFT($A$4:$A$108,3)=LEFT($A192,3),IF($B$4:$B$108=$B192,IF($C$3:$AZ$3=R$112,$C$4:$AZ$108))))</f>
        <v>4.6230000000000002</v>
      </c>
      <c r="S192" cm="1">
        <f t="array" ref="S192">SUMPRODUCT(IF(LEFT($A$4:$A$108,3)=LEFT($A192,3),IF($B$4:$B$108=$B192,IF($C$3:$AZ$3=S$112,$C$4:$AZ$108))))</f>
        <v>2.97</v>
      </c>
      <c r="T192" cm="1">
        <f t="array" ref="T192">SUMPRODUCT(IF(LEFT($A$4:$A$108,3)=LEFT($A192,3),IF($B$4:$B$108=$B192,IF($C$3:$AZ$3=T$112,$C$4:$AZ$108))))</f>
        <v>2.5830000000000002</v>
      </c>
      <c r="U192" cm="1">
        <f t="array" ref="U192">SUMPRODUCT(IF(LEFT($A$4:$A$108,3)=LEFT($A192,3),IF($B$4:$B$108=$B192,IF($C$3:$AZ$3=U$112,$C$4:$AZ$108))))</f>
        <v>10.134</v>
      </c>
      <c r="V192" cm="1">
        <f t="array" ref="V192">SUMPRODUCT(IF(LEFT($A$4:$A$108,3)=LEFT($A192,3),IF($B$4:$B$108=$B192,IF($C$3:$AZ$3=V$112,$C$4:$AZ$108))))</f>
        <v>3.7989999999999999</v>
      </c>
      <c r="W192" cm="1">
        <f t="array" ref="W192">SUMPRODUCT(IF(LEFT($A$4:$A$108,3)=LEFT($A192,3),IF($B$4:$B$108=$B192,IF($C$3:$AZ$3=W$112,$C$4:$AZ$108))))</f>
        <v>10.63</v>
      </c>
      <c r="X192" cm="1">
        <f t="array" ref="X192">SUMPRODUCT(IF(LEFT($A$4:$A$108,3)=LEFT($A192,3),IF($B$4:$B$108=$B192,IF($C$3:$AZ$3=X$112,$C$4:$AZ$108))))</f>
        <v>6.6909999999999998</v>
      </c>
      <c r="Y192" cm="1">
        <f t="array" ref="Y192">SUMPRODUCT(IF(LEFT($A$4:$A$108,3)=LEFT($A192,3),IF($B$4:$B$108=$B192,IF($C$3:$AZ$3=Y$112,$C$4:$AZ$108))))</f>
        <v>2.1419999999999999</v>
      </c>
      <c r="Z192" cm="1">
        <f t="array" ref="Z192">SUMPRODUCT(IF(LEFT($A$4:$A$108,3)=LEFT($A192,3),IF($B$4:$B$108=$B192,IF($C$3:$AZ$3=Z$112,$C$4:$AZ$108))))</f>
        <v>1.2350000000000001</v>
      </c>
      <c r="AA192" cm="1">
        <f t="array" ref="AA192">SUMPRODUCT(IF(LEFT($A$4:$A$108,3)=LEFT($A192,3),IF($B$4:$B$108=$B192,IF($C$3:$AZ$3=AA$112,$C$4:$AZ$108))))</f>
        <v>4.8070000000000004</v>
      </c>
      <c r="AB192" cm="1">
        <f t="array" ref="AB192">SUMPRODUCT(IF(LEFT($A$4:$A$108,3)=LEFT($A192,3),IF($B$4:$B$108=$B192,IF($C$3:$AZ$3=AB$112,$C$4:$AZ$108))))</f>
        <v>1.9530000000000001</v>
      </c>
      <c r="AC192" cm="1">
        <f t="array" ref="AC192">SUMPRODUCT(IF(LEFT($A$4:$A$108,3)=LEFT($A192,3),IF($B$4:$B$108=$B192,IF($C$3:$AZ$3=AC$112,$C$4:$AZ$108))))</f>
        <v>0.83</v>
      </c>
      <c r="AD192" cm="1">
        <f t="array" ref="AD192">SUMPRODUCT(IF(LEFT($A$4:$A$108,3)=LEFT($A192,3),IF($B$4:$B$108=$B192,IF($C$3:$AZ$3=AD$112,$C$4:$AZ$108))))</f>
        <v>6.782</v>
      </c>
      <c r="AE192" cm="1">
        <f t="array" ref="AE192">SUMPRODUCT(IF(LEFT($A$4:$A$108,3)=LEFT($A192,3),IF($B$4:$B$108=$B192,IF($C$3:$AZ$3=AE$112,$C$4:$AZ$108))))</f>
        <v>20.221</v>
      </c>
      <c r="AF192" cm="1">
        <f t="array" ref="AF192">SUMPRODUCT(IF(LEFT($A$4:$A$108,3)=LEFT($A192,3),IF($B$4:$B$108=$B192,IF($C$3:$AZ$3=AF$112,$C$4:$AZ$108))))</f>
        <v>23.746999999999996</v>
      </c>
      <c r="AG192" cm="1">
        <f t="array" ref="AG192">SUMPRODUCT(IF(LEFT($A$4:$A$108,3)=LEFT($A192,3),IF($B$4:$B$108=$B192,IF($C$3:$AZ$3=AG$112,$C$4:$AZ$108))))</f>
        <v>8.7070000000000007</v>
      </c>
      <c r="AH192" cm="1">
        <f t="array" ref="AH192">SUMPRODUCT(IF(LEFT($A$4:$A$108,3)=LEFT($A192,3),IF($B$4:$B$108=$B192,IF($C$3:$AZ$3=AH$112,$C$4:$AZ$108))))</f>
        <v>3.6349999999999998</v>
      </c>
      <c r="AI192" cm="1">
        <f t="array" ref="AI192">SUMPRODUCT(IF(LEFT($A$4:$A$108,3)=LEFT($A192,3),IF($B$4:$B$108=$B192,IF($C$3:$AZ$3=AI$112,$C$4:$AZ$108))))</f>
        <v>2.9140000000000001</v>
      </c>
      <c r="AJ192" cm="1">
        <f t="array" ref="AJ192">SUMPRODUCT(IF(LEFT($A$4:$A$108,3)=LEFT($A192,3),IF($B$4:$B$108=$B192,IF($C$3:$AZ$3=AJ$112,$C$4:$AZ$108))))</f>
        <v>6.008</v>
      </c>
      <c r="AK192" cm="1">
        <f t="array" ref="AK192">SUMPRODUCT(IF(LEFT($A$4:$A$108,3)=LEFT($A192,3),IF($B$4:$B$108=$B192,IF($C$3:$AZ$3=AK$112,$C$4:$AZ$108))))</f>
        <v>5.4109999999999996</v>
      </c>
      <c r="AL192" cm="1">
        <f t="array" ref="AL192">SUMPRODUCT(IF(LEFT($A$4:$A$108,3)=LEFT($A192,3),IF($B$4:$B$108=$B192,IF($C$3:$AZ$3=AL$112,$C$4:$AZ$108))))</f>
        <v>3.9990000000000001</v>
      </c>
      <c r="AM192" cm="1">
        <f t="array" ref="AM192">SUMPRODUCT(IF(LEFT($A$4:$A$108,3)=LEFT($A192,3),IF($B$4:$B$108=$B192,IF($C$3:$AZ$3=AM$112,$C$4:$AZ$108))))</f>
        <v>16.651</v>
      </c>
      <c r="AN192" cm="1">
        <f t="array" ref="AN192">SUMPRODUCT(IF(LEFT($A$4:$A$108,3)=LEFT($A192,3),IF($B$4:$B$108=$B192,IF($C$3:$AZ$3=AN$112,$C$4:$AZ$108))))</f>
        <v>4.6070000000000002</v>
      </c>
      <c r="AO192" cm="1">
        <f t="array" ref="AO192">SUMPRODUCT(IF(LEFT($A$4:$A$108,3)=LEFT($A192,3),IF($B$4:$B$108=$B192,IF($C$3:$AZ$3=AO$112,$C$4:$AZ$108))))</f>
        <v>3.629</v>
      </c>
      <c r="AP192" cm="1">
        <f t="array" ref="AP192">SUMPRODUCT(IF(LEFT($A$4:$A$108,3)=LEFT($A192,3),IF($B$4:$B$108=$B192,IF($C$3:$AZ$3=AP$112,$C$4:$AZ$108))))</f>
        <v>4.819</v>
      </c>
      <c r="AQ192" cm="1">
        <f t="array" ref="AQ192">SUMPRODUCT(IF(LEFT($A$4:$A$108,3)=LEFT($A192,3),IF($B$4:$B$108=$B192,IF($C$3:$AZ$3=AQ$112,$C$4:$AZ$108))))</f>
        <v>5.76</v>
      </c>
      <c r="AR192" cm="1">
        <f t="array" ref="AR192">SUMPRODUCT(IF(LEFT($A$4:$A$108,3)=LEFT($A192,3),IF($B$4:$B$108=$B192,IF($C$3:$AZ$3=AR$112,$C$4:$AZ$108))))</f>
        <v>0</v>
      </c>
      <c r="AS192">
        <v>0</v>
      </c>
    </row>
    <row r="193" spans="1:53">
      <c r="A193" t="s">
        <v>385</v>
      </c>
      <c r="B193" t="s">
        <v>31</v>
      </c>
      <c r="C193" cm="1">
        <f t="array" ref="C193">SUMPRODUCT(IF(LEFT($A$4:$A$108,3)=LEFT($A193,3),IF($B$4:$B$108=$B193,IF($C$3:$AZ$3=C$112,$C$4:$AZ$108))))</f>
        <v>1.163</v>
      </c>
      <c r="D193" cm="1">
        <f t="array" ref="D193">SUMPRODUCT(IF(LEFT($A$4:$A$108,3)=LEFT($A193,3),IF($B$4:$B$108=$B193,IF($C$3:$AZ$3=D$112,$C$4:$AZ$108))))</f>
        <v>1.2999999999999999E-2</v>
      </c>
      <c r="E193" cm="1">
        <f t="array" ref="E193">SUMPRODUCT(IF(LEFT($A$4:$A$108,3)=LEFT($A193,3),IF($B$4:$B$108=$B193,IF($C$3:$AZ$3=E$112,$C$4:$AZ$108))))</f>
        <v>6.0000000000000001E-3</v>
      </c>
      <c r="F193" cm="1">
        <f t="array" ref="F193">SUMPRODUCT(IF(LEFT($A$4:$A$108,3)=LEFT($A193,3),IF($B$4:$B$108=$B193,IF($C$3:$AZ$3=F$112,$C$4:$AZ$108))))</f>
        <v>0.14599999999999999</v>
      </c>
      <c r="G193" cm="1">
        <f t="array" ref="G193">SUMPRODUCT(IF(LEFT($A$4:$A$108,3)=LEFT($A193,3),IF($B$4:$B$108=$B193,IF($C$3:$AZ$3=G$112,$C$4:$AZ$108))))</f>
        <v>1E-3</v>
      </c>
      <c r="H193" cm="1">
        <f t="array" ref="H193">SUMPRODUCT(IF(LEFT($A$4:$A$108,3)=LEFT($A193,3),IF($B$4:$B$108=$B193,IF($C$3:$AZ$3=H$112,$C$4:$AZ$108))))</f>
        <v>4.2160000000000002</v>
      </c>
      <c r="I193" cm="1">
        <f t="array" ref="I193">SUMPRODUCT(IF(LEFT($A$4:$A$108,3)=LEFT($A193,3),IF($B$4:$B$108=$B193,IF($C$3:$AZ$3=I$112,$C$4:$AZ$108))))</f>
        <v>2.218</v>
      </c>
      <c r="J193" cm="1">
        <f t="array" ref="J193">SUMPRODUCT(IF(LEFT($A$4:$A$108,3)=LEFT($A193,3),IF($B$4:$B$108=$B193,IF($C$3:$AZ$3=J$112,$C$4:$AZ$108))))</f>
        <v>0.34100000000000003</v>
      </c>
      <c r="K193" cm="1">
        <f t="array" ref="K193">SUMPRODUCT(IF(LEFT($A$4:$A$108,3)=LEFT($A193,3),IF($B$4:$B$108=$B193,IF($C$3:$AZ$3=K$112,$C$4:$AZ$108))))</f>
        <v>1.8460000000000001</v>
      </c>
      <c r="L193" cm="1">
        <f t="array" ref="L193">SUMPRODUCT(IF(LEFT($A$4:$A$108,3)=LEFT($A193,3),IF($B$4:$B$108=$B193,IF($C$3:$AZ$3=L$112,$C$4:$AZ$108))))</f>
        <v>2.3479999999999999</v>
      </c>
      <c r="M193" cm="1">
        <f t="array" ref="M193">SUMPRODUCT(IF(LEFT($A$4:$A$108,3)=LEFT($A193,3),IF($B$4:$B$108=$B193,IF($C$3:$AZ$3=M$112,$C$4:$AZ$108))))</f>
        <v>7.1479999999999997</v>
      </c>
      <c r="N193" cm="1">
        <f t="array" ref="N193">SUMPRODUCT(IF(LEFT($A$4:$A$108,3)=LEFT($A193,3),IF($B$4:$B$108=$B193,IF($C$3:$AZ$3=N$112,$C$4:$AZ$108))))</f>
        <v>1.4019999999999999</v>
      </c>
      <c r="O193" cm="1">
        <f t="array" ref="O193">SUMPRODUCT(IF(LEFT($A$4:$A$108,3)=LEFT($A193,3),IF($B$4:$B$108=$B193,IF($C$3:$AZ$3=O$112,$C$4:$AZ$108))))</f>
        <v>2.806</v>
      </c>
      <c r="P193" s="4" cm="1">
        <f t="array" ref="P193">SUMPRODUCT(IF(LEFT($A$4:$A$108,3)=LEFT($A193,3),IF($B$4:$B$108=$B193,IF($C$3:$AZ$3=P$112,$C$4:$AZ$108))))*'Cement and Glass Split'!O86</f>
        <v>0.96462687632062383</v>
      </c>
      <c r="Q193" s="4" cm="1">
        <f t="array" ref="Q193">SUMPRODUCT(IF(LEFT($A$4:$A$108,3)=LEFT($A193,3),IF($B$4:$B$108=$B193,IF($C$3:$AZ$3=P$112,$C$4:$AZ$108))))*'Cement and Glass Split'!P86</f>
        <v>1.9373123679376228E-2</v>
      </c>
      <c r="R193" cm="1">
        <f t="array" ref="R193">SUMPRODUCT(IF(LEFT($A$4:$A$108,3)=LEFT($A193,3),IF($B$4:$B$108=$B193,IF($C$3:$AZ$3=R$112,$C$4:$AZ$108))))</f>
        <v>1.79</v>
      </c>
      <c r="S193" cm="1">
        <f t="array" ref="S193">SUMPRODUCT(IF(LEFT($A$4:$A$108,3)=LEFT($A193,3),IF($B$4:$B$108=$B193,IF($C$3:$AZ$3=S$112,$C$4:$AZ$108))))</f>
        <v>0.76800000000000002</v>
      </c>
      <c r="T193" cm="1">
        <f t="array" ref="T193">SUMPRODUCT(IF(LEFT($A$4:$A$108,3)=LEFT($A193,3),IF($B$4:$B$108=$B193,IF($C$3:$AZ$3=T$112,$C$4:$AZ$108))))</f>
        <v>1.3779999999999999</v>
      </c>
      <c r="U193" cm="1">
        <f t="array" ref="U193">SUMPRODUCT(IF(LEFT($A$4:$A$108,3)=LEFT($A193,3),IF($B$4:$B$108=$B193,IF($C$3:$AZ$3=U$112,$C$4:$AZ$108))))</f>
        <v>5.3330000000000002</v>
      </c>
      <c r="V193" cm="1">
        <f t="array" ref="V193">SUMPRODUCT(IF(LEFT($A$4:$A$108,3)=LEFT($A193,3),IF($B$4:$B$108=$B193,IF($C$3:$AZ$3=V$112,$C$4:$AZ$108))))</f>
        <v>2.65</v>
      </c>
      <c r="W193" cm="1">
        <f t="array" ref="W193">SUMPRODUCT(IF(LEFT($A$4:$A$108,3)=LEFT($A193,3),IF($B$4:$B$108=$B193,IF($C$3:$AZ$3=W$112,$C$4:$AZ$108))))</f>
        <v>2.9649999999999999</v>
      </c>
      <c r="X193" cm="1">
        <f t="array" ref="X193">SUMPRODUCT(IF(LEFT($A$4:$A$108,3)=LEFT($A193,3),IF($B$4:$B$108=$B193,IF($C$3:$AZ$3=X$112,$C$4:$AZ$108))))</f>
        <v>7.1219999999999999</v>
      </c>
      <c r="Y193" cm="1">
        <f t="array" ref="Y193">SUMPRODUCT(IF(LEFT($A$4:$A$108,3)=LEFT($A193,3),IF($B$4:$B$108=$B193,IF($C$3:$AZ$3=Y$112,$C$4:$AZ$108))))</f>
        <v>1.48</v>
      </c>
      <c r="Z193" cm="1">
        <f t="array" ref="Z193">SUMPRODUCT(IF(LEFT($A$4:$A$108,3)=LEFT($A193,3),IF($B$4:$B$108=$B193,IF($C$3:$AZ$3=Z$112,$C$4:$AZ$108))))</f>
        <v>0.88100000000000001</v>
      </c>
      <c r="AA193" cm="1">
        <f t="array" ref="AA193">SUMPRODUCT(IF(LEFT($A$4:$A$108,3)=LEFT($A193,3),IF($B$4:$B$108=$B193,IF($C$3:$AZ$3=AA$112,$C$4:$AZ$108))))</f>
        <v>2.7690000000000001</v>
      </c>
      <c r="AB193" cm="1">
        <f t="array" ref="AB193">SUMPRODUCT(IF(LEFT($A$4:$A$108,3)=LEFT($A193,3),IF($B$4:$B$108=$B193,IF($C$3:$AZ$3=AB$112,$C$4:$AZ$108))))</f>
        <v>0.79700000000000004</v>
      </c>
      <c r="AC193" cm="1">
        <f t="array" ref="AC193">SUMPRODUCT(IF(LEFT($A$4:$A$108,3)=LEFT($A193,3),IF($B$4:$B$108=$B193,IF($C$3:$AZ$3=AC$112,$C$4:$AZ$108))))</f>
        <v>0.498</v>
      </c>
      <c r="AD193" cm="1">
        <f t="array" ref="AD193">SUMPRODUCT(IF(LEFT($A$4:$A$108,3)=LEFT($A193,3),IF($B$4:$B$108=$B193,IF($C$3:$AZ$3=AD$112,$C$4:$AZ$108))))</f>
        <v>3.5030000000000001</v>
      </c>
      <c r="AE193" cm="1">
        <f t="array" ref="AE193">SUMPRODUCT(IF(LEFT($A$4:$A$108,3)=LEFT($A193,3),IF($B$4:$B$108=$B193,IF($C$3:$AZ$3=AE$112,$C$4:$AZ$108))))</f>
        <v>9.9830000000000005</v>
      </c>
      <c r="AF193" cm="1">
        <f t="array" ref="AF193">SUMPRODUCT(IF(LEFT($A$4:$A$108,3)=LEFT($A193,3),IF($B$4:$B$108=$B193,IF($C$3:$AZ$3=AF$112,$C$4:$AZ$108))))</f>
        <v>10.221</v>
      </c>
      <c r="AG193" cm="1">
        <f t="array" ref="AG193">SUMPRODUCT(IF(LEFT($A$4:$A$108,3)=LEFT($A193,3),IF($B$4:$B$108=$B193,IF($C$3:$AZ$3=AG$112,$C$4:$AZ$108))))</f>
        <v>3.4740000000000002</v>
      </c>
      <c r="AH193" cm="1">
        <f t="array" ref="AH193">SUMPRODUCT(IF(LEFT($A$4:$A$108,3)=LEFT($A193,3),IF($B$4:$B$108=$B193,IF($C$3:$AZ$3=AH$112,$C$4:$AZ$108))))</f>
        <v>2.4990000000000001</v>
      </c>
      <c r="AI193" cm="1">
        <f t="array" ref="AI193">SUMPRODUCT(IF(LEFT($A$4:$A$108,3)=LEFT($A193,3),IF($B$4:$B$108=$B193,IF($C$3:$AZ$3=AI$112,$C$4:$AZ$108))))</f>
        <v>3.024</v>
      </c>
      <c r="AJ193" cm="1">
        <f t="array" ref="AJ193">SUMPRODUCT(IF(LEFT($A$4:$A$108,3)=LEFT($A193,3),IF($B$4:$B$108=$B193,IF($C$3:$AZ$3=AJ$112,$C$4:$AZ$108))))</f>
        <v>7.7610000000000001</v>
      </c>
      <c r="AK193" cm="1">
        <f t="array" ref="AK193">SUMPRODUCT(IF(LEFT($A$4:$A$108,3)=LEFT($A193,3),IF($B$4:$B$108=$B193,IF($C$3:$AZ$3=AK$112,$C$4:$AZ$108))))</f>
        <v>4.4119999999999999</v>
      </c>
      <c r="AL193" cm="1">
        <f t="array" ref="AL193">SUMPRODUCT(IF(LEFT($A$4:$A$108,3)=LEFT($A193,3),IF($B$4:$B$108=$B193,IF($C$3:$AZ$3=AL$112,$C$4:$AZ$108))))</f>
        <v>1.7430000000000001</v>
      </c>
      <c r="AM193" cm="1">
        <f t="array" ref="AM193">SUMPRODUCT(IF(LEFT($A$4:$A$108,3)=LEFT($A193,3),IF($B$4:$B$108=$B193,IF($C$3:$AZ$3=AM$112,$C$4:$AZ$108))))</f>
        <v>33.722000000000001</v>
      </c>
      <c r="AN193" cm="1">
        <f t="array" ref="AN193">SUMPRODUCT(IF(LEFT($A$4:$A$108,3)=LEFT($A193,3),IF($B$4:$B$108=$B193,IF($C$3:$AZ$3=AN$112,$C$4:$AZ$108))))</f>
        <v>5.4210000000000003</v>
      </c>
      <c r="AO193" cm="1">
        <f t="array" ref="AO193">SUMPRODUCT(IF(LEFT($A$4:$A$108,3)=LEFT($A193,3),IF($B$4:$B$108=$B193,IF($C$3:$AZ$3=AO$112,$C$4:$AZ$108))))</f>
        <v>3.125</v>
      </c>
      <c r="AP193" cm="1">
        <f t="array" ref="AP193">SUMPRODUCT(IF(LEFT($A$4:$A$108,3)=LEFT($A193,3),IF($B$4:$B$108=$B193,IF($C$3:$AZ$3=AP$112,$C$4:$AZ$108))))</f>
        <v>4.3070000000000004</v>
      </c>
      <c r="AQ193" cm="1">
        <f t="array" ref="AQ193">SUMPRODUCT(IF(LEFT($A$4:$A$108,3)=LEFT($A193,3),IF($B$4:$B$108=$B193,IF($C$3:$AZ$3=AQ$112,$C$4:$AZ$108))))</f>
        <v>3.1970000000000001</v>
      </c>
      <c r="AR193" cm="1">
        <f t="array" ref="AR193">SUMPRODUCT(IF(LEFT($A$4:$A$108,3)=LEFT($A193,3),IF($B$4:$B$108=$B193,IF($C$3:$AZ$3=AR$112,$C$4:$AZ$108))))</f>
        <v>0</v>
      </c>
      <c r="AS193">
        <v>0</v>
      </c>
    </row>
    <row r="194" spans="1:53">
      <c r="A194" t="s">
        <v>385</v>
      </c>
      <c r="B194" t="s">
        <v>32</v>
      </c>
      <c r="C194" cm="1">
        <f t="array" ref="C194">SUMPRODUCT(IF(LEFT($A$4:$A$108,3)=LEFT($A194,3),IF($B$4:$B$108=$B194,IF($C$3:$AZ$3=C$112,$C$4:$AZ$108))))</f>
        <v>0.76900000000000002</v>
      </c>
      <c r="D194" cm="1">
        <f t="array" ref="D194">SUMPRODUCT(IF(LEFT($A$4:$A$108,3)=LEFT($A194,3),IF($B$4:$B$108=$B194,IF($C$3:$AZ$3=D$112,$C$4:$AZ$108))))</f>
        <v>5.0000000000000001E-3</v>
      </c>
      <c r="E194" cm="1">
        <f t="array" ref="E194">SUMPRODUCT(IF(LEFT($A$4:$A$108,3)=LEFT($A194,3),IF($B$4:$B$108=$B194,IF($C$3:$AZ$3=E$112,$C$4:$AZ$108))))</f>
        <v>2E-3</v>
      </c>
      <c r="F194" cm="1">
        <f t="array" ref="F194">SUMPRODUCT(IF(LEFT($A$4:$A$108,3)=LEFT($A194,3),IF($B$4:$B$108=$B194,IF($C$3:$AZ$3=F$112,$C$4:$AZ$108))))</f>
        <v>6.0999999999999999E-2</v>
      </c>
      <c r="G194" cm="1">
        <f t="array" ref="G194">SUMPRODUCT(IF(LEFT($A$4:$A$108,3)=LEFT($A194,3),IF($B$4:$B$108=$B194,IF($C$3:$AZ$3=G$112,$C$4:$AZ$108))))</f>
        <v>0</v>
      </c>
      <c r="H194" cm="1">
        <f t="array" ref="H194">SUMPRODUCT(IF(LEFT($A$4:$A$108,3)=LEFT($A194,3),IF($B$4:$B$108=$B194,IF($C$3:$AZ$3=H$112,$C$4:$AZ$108))))</f>
        <v>2.2069999999999999</v>
      </c>
      <c r="I194" cm="1">
        <f t="array" ref="I194">SUMPRODUCT(IF(LEFT($A$4:$A$108,3)=LEFT($A194,3),IF($B$4:$B$108=$B194,IF($C$3:$AZ$3=I$112,$C$4:$AZ$108))))</f>
        <v>1.01</v>
      </c>
      <c r="J194" cm="1">
        <f t="array" ref="J194">SUMPRODUCT(IF(LEFT($A$4:$A$108,3)=LEFT($A194,3),IF($B$4:$B$108=$B194,IF($C$3:$AZ$3=J$112,$C$4:$AZ$108))))</f>
        <v>0.11799999999999999</v>
      </c>
      <c r="K194" cm="1">
        <f t="array" ref="K194">SUMPRODUCT(IF(LEFT($A$4:$A$108,3)=LEFT($A194,3),IF($B$4:$B$108=$B194,IF($C$3:$AZ$3=K$112,$C$4:$AZ$108))))</f>
        <v>0.55900000000000005</v>
      </c>
      <c r="L194" cm="1">
        <f t="array" ref="L194">SUMPRODUCT(IF(LEFT($A$4:$A$108,3)=LEFT($A194,3),IF($B$4:$B$108=$B194,IF($C$3:$AZ$3=L$112,$C$4:$AZ$108))))</f>
        <v>1.6020000000000001</v>
      </c>
      <c r="M194" cm="1">
        <f t="array" ref="M194">SUMPRODUCT(IF(LEFT($A$4:$A$108,3)=LEFT($A194,3),IF($B$4:$B$108=$B194,IF($C$3:$AZ$3=M$112,$C$4:$AZ$108))))</f>
        <v>4.9950000000000001</v>
      </c>
      <c r="N194" cm="1">
        <f t="array" ref="N194">SUMPRODUCT(IF(LEFT($A$4:$A$108,3)=LEFT($A194,3),IF($B$4:$B$108=$B194,IF($C$3:$AZ$3=N$112,$C$4:$AZ$108))))</f>
        <v>1.5329999999999999</v>
      </c>
      <c r="O194" cm="1">
        <f t="array" ref="O194">SUMPRODUCT(IF(LEFT($A$4:$A$108,3)=LEFT($A194,3),IF($B$4:$B$108=$B194,IF($C$3:$AZ$3=O$112,$C$4:$AZ$108))))</f>
        <v>1.627</v>
      </c>
      <c r="P194" s="4" cm="1">
        <f t="array" ref="P194">SUMPRODUCT(IF(LEFT($A$4:$A$108,3)=LEFT($A194,3),IF($B$4:$B$108=$B194,IF($C$3:$AZ$3=P$112,$C$4:$AZ$108))))*'Cement and Glass Split'!O87</f>
        <v>1.1348237766656992E-2</v>
      </c>
      <c r="Q194" s="4" cm="1">
        <f t="array" ref="Q194">SUMPRODUCT(IF(LEFT($A$4:$A$108,3)=LEFT($A194,3),IF($B$4:$B$108=$B194,IF($C$3:$AZ$3=P$112,$C$4:$AZ$108))))*'Cement and Glass Split'!P87</f>
        <v>0.52765176223334298</v>
      </c>
      <c r="R194" cm="1">
        <f t="array" ref="R194">SUMPRODUCT(IF(LEFT($A$4:$A$108,3)=LEFT($A194,3),IF($B$4:$B$108=$B194,IF($C$3:$AZ$3=R$112,$C$4:$AZ$108))))</f>
        <v>1.593</v>
      </c>
      <c r="S194" cm="1">
        <f t="array" ref="S194">SUMPRODUCT(IF(LEFT($A$4:$A$108,3)=LEFT($A194,3),IF($B$4:$B$108=$B194,IF($C$3:$AZ$3=S$112,$C$4:$AZ$108))))</f>
        <v>0.626</v>
      </c>
      <c r="T194" cm="1">
        <f t="array" ref="T194">SUMPRODUCT(IF(LEFT($A$4:$A$108,3)=LEFT($A194,3),IF($B$4:$B$108=$B194,IF($C$3:$AZ$3=T$112,$C$4:$AZ$108))))</f>
        <v>1.63</v>
      </c>
      <c r="U194" cm="1">
        <f t="array" ref="U194">SUMPRODUCT(IF(LEFT($A$4:$A$108,3)=LEFT($A194,3),IF($B$4:$B$108=$B194,IF($C$3:$AZ$3=U$112,$C$4:$AZ$108))))</f>
        <v>34.851999999999997</v>
      </c>
      <c r="V194" cm="1">
        <f t="array" ref="V194">SUMPRODUCT(IF(LEFT($A$4:$A$108,3)=LEFT($A194,3),IF($B$4:$B$108=$B194,IF($C$3:$AZ$3=V$112,$C$4:$AZ$108))))</f>
        <v>5.1970000000000001</v>
      </c>
      <c r="W194" cm="1">
        <f t="array" ref="W194">SUMPRODUCT(IF(LEFT($A$4:$A$108,3)=LEFT($A194,3),IF($B$4:$B$108=$B194,IF($C$3:$AZ$3=W$112,$C$4:$AZ$108))))</f>
        <v>5.89</v>
      </c>
      <c r="X194" cm="1">
        <f t="array" ref="X194">SUMPRODUCT(IF(LEFT($A$4:$A$108,3)=LEFT($A194,3),IF($B$4:$B$108=$B194,IF($C$3:$AZ$3=X$112,$C$4:$AZ$108))))</f>
        <v>4.4370000000000003</v>
      </c>
      <c r="Y194" cm="1">
        <f t="array" ref="Y194">SUMPRODUCT(IF(LEFT($A$4:$A$108,3)=LEFT($A194,3),IF($B$4:$B$108=$B194,IF($C$3:$AZ$3=Y$112,$C$4:$AZ$108))))</f>
        <v>1.4529999999999998</v>
      </c>
      <c r="Z194" cm="1">
        <f t="array" ref="Z194">SUMPRODUCT(IF(LEFT($A$4:$A$108,3)=LEFT($A194,3),IF($B$4:$B$108=$B194,IF($C$3:$AZ$3=Z$112,$C$4:$AZ$108))))</f>
        <v>0.94299999999999995</v>
      </c>
      <c r="AA194" cm="1">
        <f t="array" ref="AA194">SUMPRODUCT(IF(LEFT($A$4:$A$108,3)=LEFT($A194,3),IF($B$4:$B$108=$B194,IF($C$3:$AZ$3=AA$112,$C$4:$AZ$108))))</f>
        <v>1.427</v>
      </c>
      <c r="AB194" cm="1">
        <f t="array" ref="AB194">SUMPRODUCT(IF(LEFT($A$4:$A$108,3)=LEFT($A194,3),IF($B$4:$B$108=$B194,IF($C$3:$AZ$3=AB$112,$C$4:$AZ$108))))</f>
        <v>0.46600000000000003</v>
      </c>
      <c r="AC194" cm="1">
        <f t="array" ref="AC194">SUMPRODUCT(IF(LEFT($A$4:$A$108,3)=LEFT($A194,3),IF($B$4:$B$108=$B194,IF($C$3:$AZ$3=AC$112,$C$4:$AZ$108))))</f>
        <v>0.29899999999999999</v>
      </c>
      <c r="AD194" cm="1">
        <f t="array" ref="AD194">SUMPRODUCT(IF(LEFT($A$4:$A$108,3)=LEFT($A194,3),IF($B$4:$B$108=$B194,IF($C$3:$AZ$3=AD$112,$C$4:$AZ$108))))</f>
        <v>3.528</v>
      </c>
      <c r="AE194" cm="1">
        <f t="array" ref="AE194">SUMPRODUCT(IF(LEFT($A$4:$A$108,3)=LEFT($A194,3),IF($B$4:$B$108=$B194,IF($C$3:$AZ$3=AE$112,$C$4:$AZ$108))))</f>
        <v>4.7759999999999998</v>
      </c>
      <c r="AF194" cm="1">
        <f t="array" ref="AF194">SUMPRODUCT(IF(LEFT($A$4:$A$108,3)=LEFT($A194,3),IF($B$4:$B$108=$B194,IF($C$3:$AZ$3=AF$112,$C$4:$AZ$108))))</f>
        <v>4.093</v>
      </c>
      <c r="AG194" cm="1">
        <f t="array" ref="AG194">SUMPRODUCT(IF(LEFT($A$4:$A$108,3)=LEFT($A194,3),IF($B$4:$B$108=$B194,IF($C$3:$AZ$3=AG$112,$C$4:$AZ$108))))</f>
        <v>2.3069999999999999</v>
      </c>
      <c r="AH194" cm="1">
        <f t="array" ref="AH194">SUMPRODUCT(IF(LEFT($A$4:$A$108,3)=LEFT($A194,3),IF($B$4:$B$108=$B194,IF($C$3:$AZ$3=AH$112,$C$4:$AZ$108))))</f>
        <v>0.70799999999999996</v>
      </c>
      <c r="AI194" cm="1">
        <f t="array" ref="AI194">SUMPRODUCT(IF(LEFT($A$4:$A$108,3)=LEFT($A194,3),IF($B$4:$B$108=$B194,IF($C$3:$AZ$3=AI$112,$C$4:$AZ$108))))</f>
        <v>1.681</v>
      </c>
      <c r="AJ194" cm="1">
        <f t="array" ref="AJ194">SUMPRODUCT(IF(LEFT($A$4:$A$108,3)=LEFT($A194,3),IF($B$4:$B$108=$B194,IF($C$3:$AZ$3=AJ$112,$C$4:$AZ$108))))</f>
        <v>1.5</v>
      </c>
      <c r="AK194" cm="1">
        <f t="array" ref="AK194">SUMPRODUCT(IF(LEFT($A$4:$A$108,3)=LEFT($A194,3),IF($B$4:$B$108=$B194,IF($C$3:$AZ$3=AK$112,$C$4:$AZ$108))))</f>
        <v>1.117</v>
      </c>
      <c r="AL194" cm="1">
        <f t="array" ref="AL194">SUMPRODUCT(IF(LEFT($A$4:$A$108,3)=LEFT($A194,3),IF($B$4:$B$108=$B194,IF($C$3:$AZ$3=AL$112,$C$4:$AZ$108))))</f>
        <v>1.0549999999999999</v>
      </c>
      <c r="AM194" cm="1">
        <f t="array" ref="AM194">SUMPRODUCT(IF(LEFT($A$4:$A$108,3)=LEFT($A194,3),IF($B$4:$B$108=$B194,IF($C$3:$AZ$3=AM$112,$C$4:$AZ$108))))</f>
        <v>5.0830000000000002</v>
      </c>
      <c r="AN194" cm="1">
        <f t="array" ref="AN194">SUMPRODUCT(IF(LEFT($A$4:$A$108,3)=LEFT($A194,3),IF($B$4:$B$108=$B194,IF($C$3:$AZ$3=AN$112,$C$4:$AZ$108))))</f>
        <v>1.431</v>
      </c>
      <c r="AO194" cm="1">
        <f t="array" ref="AO194">SUMPRODUCT(IF(LEFT($A$4:$A$108,3)=LEFT($A194,3),IF($B$4:$B$108=$B194,IF($C$3:$AZ$3=AO$112,$C$4:$AZ$108))))</f>
        <v>1.3049999999999999</v>
      </c>
      <c r="AP194" cm="1">
        <f t="array" ref="AP194">SUMPRODUCT(IF(LEFT($A$4:$A$108,3)=LEFT($A194,3),IF($B$4:$B$108=$B194,IF($C$3:$AZ$3=AP$112,$C$4:$AZ$108))))</f>
        <v>4.641</v>
      </c>
      <c r="AQ194" cm="1">
        <f t="array" ref="AQ194">SUMPRODUCT(IF(LEFT($A$4:$A$108,3)=LEFT($A194,3),IF($B$4:$B$108=$B194,IF($C$3:$AZ$3=AQ$112,$C$4:$AZ$108))))</f>
        <v>2.0209999999999999</v>
      </c>
      <c r="AR194" cm="1">
        <f t="array" ref="AR194">SUMPRODUCT(IF(LEFT($A$4:$A$108,3)=LEFT($A194,3),IF($B$4:$B$108=$B194,IF($C$3:$AZ$3=AR$112,$C$4:$AZ$108))))</f>
        <v>0</v>
      </c>
      <c r="AS194">
        <v>0</v>
      </c>
    </row>
    <row r="195" spans="1:53">
      <c r="A195" t="s">
        <v>385</v>
      </c>
      <c r="B195" t="s">
        <v>33</v>
      </c>
      <c r="C195" cm="1">
        <f t="array" ref="C195">SUMPRODUCT(IF(LEFT($A$4:$A$108,3)=LEFT($A195,3),IF($B$4:$B$108=$B195,IF($C$3:$AZ$3=C$112,$C$4:$AZ$108))))</f>
        <v>3.089</v>
      </c>
      <c r="D195" cm="1">
        <f t="array" ref="D195">SUMPRODUCT(IF(LEFT($A$4:$A$108,3)=LEFT($A195,3),IF($B$4:$B$108=$B195,IF($C$3:$AZ$3=D$112,$C$4:$AZ$108))))</f>
        <v>2.1999999999999999E-2</v>
      </c>
      <c r="E195" cm="1">
        <f t="array" ref="E195">SUMPRODUCT(IF(LEFT($A$4:$A$108,3)=LEFT($A195,3),IF($B$4:$B$108=$B195,IF($C$3:$AZ$3=E$112,$C$4:$AZ$108))))</f>
        <v>0.01</v>
      </c>
      <c r="F195" cm="1">
        <f t="array" ref="F195">SUMPRODUCT(IF(LEFT($A$4:$A$108,3)=LEFT($A195,3),IF($B$4:$B$108=$B195,IF($C$3:$AZ$3=F$112,$C$4:$AZ$108))))</f>
        <v>0.37</v>
      </c>
      <c r="G195" cm="1">
        <f t="array" ref="G195">SUMPRODUCT(IF(LEFT($A$4:$A$108,3)=LEFT($A195,3),IF($B$4:$B$108=$B195,IF($C$3:$AZ$3=G$112,$C$4:$AZ$108))))</f>
        <v>0</v>
      </c>
      <c r="H195" cm="1">
        <f t="array" ref="H195">SUMPRODUCT(IF(LEFT($A$4:$A$108,3)=LEFT($A195,3),IF($B$4:$B$108=$B195,IF($C$3:$AZ$3=H$112,$C$4:$AZ$108))))</f>
        <v>13.256999999999998</v>
      </c>
      <c r="I195" cm="1">
        <f t="array" ref="I195">SUMPRODUCT(IF(LEFT($A$4:$A$108,3)=LEFT($A195,3),IF($B$4:$B$108=$B195,IF($C$3:$AZ$3=I$112,$C$4:$AZ$108))))</f>
        <v>6.0549999999999997</v>
      </c>
      <c r="J195" cm="1">
        <f t="array" ref="J195">SUMPRODUCT(IF(LEFT($A$4:$A$108,3)=LEFT($A195,3),IF($B$4:$B$108=$B195,IF($C$3:$AZ$3=J$112,$C$4:$AZ$108))))</f>
        <v>0.58099999999999996</v>
      </c>
      <c r="K195" cm="1">
        <f t="array" ref="K195">SUMPRODUCT(IF(LEFT($A$4:$A$108,3)=LEFT($A195,3),IF($B$4:$B$108=$B195,IF($C$3:$AZ$3=K$112,$C$4:$AZ$108))))</f>
        <v>2.6760000000000002</v>
      </c>
      <c r="L195" cm="1">
        <f t="array" ref="L195">SUMPRODUCT(IF(LEFT($A$4:$A$108,3)=LEFT($A195,3),IF($B$4:$B$108=$B195,IF($C$3:$AZ$3=L$112,$C$4:$AZ$108))))</f>
        <v>4.0030000000000001</v>
      </c>
      <c r="M195" cm="1">
        <f t="array" ref="M195">SUMPRODUCT(IF(LEFT($A$4:$A$108,3)=LEFT($A195,3),IF($B$4:$B$108=$B195,IF($C$3:$AZ$3=M$112,$C$4:$AZ$108))))</f>
        <v>11.685</v>
      </c>
      <c r="N195" cm="1">
        <f t="array" ref="N195">SUMPRODUCT(IF(LEFT($A$4:$A$108,3)=LEFT($A195,3),IF($B$4:$B$108=$B195,IF($C$3:$AZ$3=N$112,$C$4:$AZ$108))))</f>
        <v>2.7590000000000003</v>
      </c>
      <c r="O195" cm="1">
        <f t="array" ref="O195">SUMPRODUCT(IF(LEFT($A$4:$A$108,3)=LEFT($A195,3),IF($B$4:$B$108=$B195,IF($C$3:$AZ$3=O$112,$C$4:$AZ$108))))</f>
        <v>3.8070000000000004</v>
      </c>
      <c r="P195" s="4" cm="1">
        <f t="array" ref="P195">SUMPRODUCT(IF(LEFT($A$4:$A$108,3)=LEFT($A195,3),IF($B$4:$B$108=$B195,IF($C$3:$AZ$3=P$112,$C$4:$AZ$108))))*'Cement and Glass Split'!O88</f>
        <v>0.62271541264011887</v>
      </c>
      <c r="Q195" s="4" cm="1">
        <f t="array" ref="Q195">SUMPRODUCT(IF(LEFT($A$4:$A$108,3)=LEFT($A195,3),IF($B$4:$B$108=$B195,IF($C$3:$AZ$3=P$112,$C$4:$AZ$108))))*'Cement and Glass Split'!P88</f>
        <v>2.0592845873598811</v>
      </c>
      <c r="R195" cm="1">
        <f t="array" ref="R195">SUMPRODUCT(IF(LEFT($A$4:$A$108,3)=LEFT($A195,3),IF($B$4:$B$108=$B195,IF($C$3:$AZ$3=R$112,$C$4:$AZ$108))))</f>
        <v>3.71</v>
      </c>
      <c r="S195" cm="1">
        <f t="array" ref="S195">SUMPRODUCT(IF(LEFT($A$4:$A$108,3)=LEFT($A195,3),IF($B$4:$B$108=$B195,IF($C$3:$AZ$3=S$112,$C$4:$AZ$108))))</f>
        <v>2.0180000000000002</v>
      </c>
      <c r="T195" cm="1">
        <f t="array" ref="T195">SUMPRODUCT(IF(LEFT($A$4:$A$108,3)=LEFT($A195,3),IF($B$4:$B$108=$B195,IF($C$3:$AZ$3=T$112,$C$4:$AZ$108))))</f>
        <v>4.3070000000000004</v>
      </c>
      <c r="U195" cm="1">
        <f t="array" ref="U195">SUMPRODUCT(IF(LEFT($A$4:$A$108,3)=LEFT($A195,3),IF($B$4:$B$108=$B195,IF($C$3:$AZ$3=U$112,$C$4:$AZ$108))))</f>
        <v>14.863</v>
      </c>
      <c r="V195" cm="1">
        <f t="array" ref="V195">SUMPRODUCT(IF(LEFT($A$4:$A$108,3)=LEFT($A195,3),IF($B$4:$B$108=$B195,IF($C$3:$AZ$3=V$112,$C$4:$AZ$108))))</f>
        <v>4.9809999999999999</v>
      </c>
      <c r="W195" cm="1">
        <f t="array" ref="W195">SUMPRODUCT(IF(LEFT($A$4:$A$108,3)=LEFT($A195,3),IF($B$4:$B$108=$B195,IF($C$3:$AZ$3=W$112,$C$4:$AZ$108))))</f>
        <v>8.4209999999999994</v>
      </c>
      <c r="X195" cm="1">
        <f t="array" ref="X195">SUMPRODUCT(IF(LEFT($A$4:$A$108,3)=LEFT($A195,3),IF($B$4:$B$108=$B195,IF($C$3:$AZ$3=X$112,$C$4:$AZ$108))))</f>
        <v>11.162000000000001</v>
      </c>
      <c r="Y195" cm="1">
        <f t="array" ref="Y195">SUMPRODUCT(IF(LEFT($A$4:$A$108,3)=LEFT($A195,3),IF($B$4:$B$108=$B195,IF($C$3:$AZ$3=Y$112,$C$4:$AZ$108))))</f>
        <v>3.6529999999999996</v>
      </c>
      <c r="Z195" cm="1">
        <f t="array" ref="Z195">SUMPRODUCT(IF(LEFT($A$4:$A$108,3)=LEFT($A195,3),IF($B$4:$B$108=$B195,IF($C$3:$AZ$3=Z$112,$C$4:$AZ$108))))</f>
        <v>2.6850000000000001</v>
      </c>
      <c r="AA195" cm="1">
        <f t="array" ref="AA195">SUMPRODUCT(IF(LEFT($A$4:$A$108,3)=LEFT($A195,3),IF($B$4:$B$108=$B195,IF($C$3:$AZ$3=AA$112,$C$4:$AZ$108))))</f>
        <v>7.141</v>
      </c>
      <c r="AB195" cm="1">
        <f t="array" ref="AB195">SUMPRODUCT(IF(LEFT($A$4:$A$108,3)=LEFT($A195,3),IF($B$4:$B$108=$B195,IF($C$3:$AZ$3=AB$112,$C$4:$AZ$108))))</f>
        <v>1.9489999999999998</v>
      </c>
      <c r="AC195" cm="1">
        <f t="array" ref="AC195">SUMPRODUCT(IF(LEFT($A$4:$A$108,3)=LEFT($A195,3),IF($B$4:$B$108=$B195,IF($C$3:$AZ$3=AC$112,$C$4:$AZ$108))))</f>
        <v>1.92</v>
      </c>
      <c r="AD195" cm="1">
        <f t="array" ref="AD195">SUMPRODUCT(IF(LEFT($A$4:$A$108,3)=LEFT($A195,3),IF($B$4:$B$108=$B195,IF($C$3:$AZ$3=AD$112,$C$4:$AZ$108))))</f>
        <v>12.507999999999999</v>
      </c>
      <c r="AE195" cm="1">
        <f t="array" ref="AE195">SUMPRODUCT(IF(LEFT($A$4:$A$108,3)=LEFT($A195,3),IF($B$4:$B$108=$B195,IF($C$3:$AZ$3=AE$112,$C$4:$AZ$108))))</f>
        <v>41.613</v>
      </c>
      <c r="AF195" cm="1">
        <f t="array" ref="AF195">SUMPRODUCT(IF(LEFT($A$4:$A$108,3)=LEFT($A195,3),IF($B$4:$B$108=$B195,IF($C$3:$AZ$3=AF$112,$C$4:$AZ$108))))</f>
        <v>16.082000000000001</v>
      </c>
      <c r="AG195" cm="1">
        <f t="array" ref="AG195">SUMPRODUCT(IF(LEFT($A$4:$A$108,3)=LEFT($A195,3),IF($B$4:$B$108=$B195,IF($C$3:$AZ$3=AG$112,$C$4:$AZ$108))))</f>
        <v>69.290999999999997</v>
      </c>
      <c r="AH195" cm="1">
        <f t="array" ref="AH195">SUMPRODUCT(IF(LEFT($A$4:$A$108,3)=LEFT($A195,3),IF($B$4:$B$108=$B195,IF($C$3:$AZ$3=AH$112,$C$4:$AZ$108))))</f>
        <v>153.25</v>
      </c>
      <c r="AI195" cm="1">
        <f t="array" ref="AI195">SUMPRODUCT(IF(LEFT($A$4:$A$108,3)=LEFT($A195,3),IF($B$4:$B$108=$B195,IF($C$3:$AZ$3=AI$112,$C$4:$AZ$108))))</f>
        <v>6.6229999999999993</v>
      </c>
      <c r="AJ195" cm="1">
        <f t="array" ref="AJ195">SUMPRODUCT(IF(LEFT($A$4:$A$108,3)=LEFT($A195,3),IF($B$4:$B$108=$B195,IF($C$3:$AZ$3=AJ$112,$C$4:$AZ$108))))</f>
        <v>6.6549999999999994</v>
      </c>
      <c r="AK195" cm="1">
        <f t="array" ref="AK195">SUMPRODUCT(IF(LEFT($A$4:$A$108,3)=LEFT($A195,3),IF($B$4:$B$108=$B195,IF($C$3:$AZ$3=AK$112,$C$4:$AZ$108))))</f>
        <v>11.09</v>
      </c>
      <c r="AL195" cm="1">
        <f t="array" ref="AL195">SUMPRODUCT(IF(LEFT($A$4:$A$108,3)=LEFT($A195,3),IF($B$4:$B$108=$B195,IF($C$3:$AZ$3=AL$112,$C$4:$AZ$108))))</f>
        <v>6.8719999999999999</v>
      </c>
      <c r="AM195" cm="1">
        <f t="array" ref="AM195">SUMPRODUCT(IF(LEFT($A$4:$A$108,3)=LEFT($A195,3),IF($B$4:$B$108=$B195,IF($C$3:$AZ$3=AM$112,$C$4:$AZ$108))))</f>
        <v>72.919000000000011</v>
      </c>
      <c r="AN195" cm="1">
        <f t="array" ref="AN195">SUMPRODUCT(IF(LEFT($A$4:$A$108,3)=LEFT($A195,3),IF($B$4:$B$108=$B195,IF($C$3:$AZ$3=AN$112,$C$4:$AZ$108))))</f>
        <v>37.488</v>
      </c>
      <c r="AO195" cm="1">
        <f t="array" ref="AO195">SUMPRODUCT(IF(LEFT($A$4:$A$108,3)=LEFT($A195,3),IF($B$4:$B$108=$B195,IF($C$3:$AZ$3=AO$112,$C$4:$AZ$108))))</f>
        <v>32.155999999999999</v>
      </c>
      <c r="AP195" cm="1">
        <f t="array" ref="AP195">SUMPRODUCT(IF(LEFT($A$4:$A$108,3)=LEFT($A195,3),IF($B$4:$B$108=$B195,IF($C$3:$AZ$3=AP$112,$C$4:$AZ$108))))</f>
        <v>17.496000000000002</v>
      </c>
      <c r="AQ195" cm="1">
        <f t="array" ref="AQ195">SUMPRODUCT(IF(LEFT($A$4:$A$108,3)=LEFT($A195,3),IF($B$4:$B$108=$B195,IF($C$3:$AZ$3=AQ$112,$C$4:$AZ$108))))</f>
        <v>363.67499999999995</v>
      </c>
      <c r="AR195" cm="1">
        <f t="array" ref="AR195">SUMPRODUCT(IF(LEFT($A$4:$A$108,3)=LEFT($A195,3),IF($B$4:$B$108=$B195,IF($C$3:$AZ$3=AR$112,$C$4:$AZ$108))))</f>
        <v>0</v>
      </c>
      <c r="AS195">
        <v>0</v>
      </c>
    </row>
    <row r="196" spans="1:53">
      <c r="A196" t="s">
        <v>385</v>
      </c>
      <c r="B196" t="s">
        <v>34</v>
      </c>
      <c r="C196" cm="1">
        <f t="array" ref="C196">SUMPRODUCT(IF(LEFT($A$4:$A$108,3)=LEFT($A196,3),IF($B$4:$B$108=$B196,IF($C$3:$AZ$3=C$112,$C$4:$AZ$108))))</f>
        <v>0</v>
      </c>
      <c r="D196" cm="1">
        <f t="array" ref="D196">SUMPRODUCT(IF(LEFT($A$4:$A$108,3)=LEFT($A196,3),IF($B$4:$B$108=$B196,IF($C$3:$AZ$3=D$112,$C$4:$AZ$108))))</f>
        <v>0</v>
      </c>
      <c r="E196" cm="1">
        <f t="array" ref="E196">SUMPRODUCT(IF(LEFT($A$4:$A$108,3)=LEFT($A196,3),IF($B$4:$B$108=$B196,IF($C$3:$AZ$3=E$112,$C$4:$AZ$108))))</f>
        <v>0</v>
      </c>
      <c r="F196" cm="1">
        <f t="array" ref="F196">SUMPRODUCT(IF(LEFT($A$4:$A$108,3)=LEFT($A196,3),IF($B$4:$B$108=$B196,IF($C$3:$AZ$3=F$112,$C$4:$AZ$108))))</f>
        <v>0</v>
      </c>
      <c r="G196" cm="1">
        <f t="array" ref="G196">SUMPRODUCT(IF(LEFT($A$4:$A$108,3)=LEFT($A196,3),IF($B$4:$B$108=$B196,IF($C$3:$AZ$3=G$112,$C$4:$AZ$108))))</f>
        <v>0</v>
      </c>
      <c r="H196" cm="1">
        <f t="array" ref="H196">SUMPRODUCT(IF(LEFT($A$4:$A$108,3)=LEFT($A196,3),IF($B$4:$B$108=$B196,IF($C$3:$AZ$3=H$112,$C$4:$AZ$108))))</f>
        <v>0</v>
      </c>
      <c r="I196" cm="1">
        <f t="array" ref="I196">SUMPRODUCT(IF(LEFT($A$4:$A$108,3)=LEFT($A196,3),IF($B$4:$B$108=$B196,IF($C$3:$AZ$3=I$112,$C$4:$AZ$108))))</f>
        <v>0</v>
      </c>
      <c r="J196" cm="1">
        <f t="array" ref="J196">SUMPRODUCT(IF(LEFT($A$4:$A$108,3)=LEFT($A196,3),IF($B$4:$B$108=$B196,IF($C$3:$AZ$3=J$112,$C$4:$AZ$108))))</f>
        <v>0</v>
      </c>
      <c r="K196" cm="1">
        <f t="array" ref="K196">SUMPRODUCT(IF(LEFT($A$4:$A$108,3)=LEFT($A196,3),IF($B$4:$B$108=$B196,IF($C$3:$AZ$3=K$112,$C$4:$AZ$108))))</f>
        <v>0</v>
      </c>
      <c r="L196" cm="1">
        <f t="array" ref="L196">SUMPRODUCT(IF(LEFT($A$4:$A$108,3)=LEFT($A196,3),IF($B$4:$B$108=$B196,IF($C$3:$AZ$3=L$112,$C$4:$AZ$108))))</f>
        <v>0</v>
      </c>
      <c r="M196" cm="1">
        <f t="array" ref="M196">SUMPRODUCT(IF(LEFT($A$4:$A$108,3)=LEFT($A196,3),IF($B$4:$B$108=$B196,IF($C$3:$AZ$3=M$112,$C$4:$AZ$108))))</f>
        <v>0</v>
      </c>
      <c r="N196" cm="1">
        <f t="array" ref="N196">SUMPRODUCT(IF(LEFT($A$4:$A$108,3)=LEFT($A196,3),IF($B$4:$B$108=$B196,IF($C$3:$AZ$3=N$112,$C$4:$AZ$108))))</f>
        <v>0</v>
      </c>
      <c r="O196" cm="1">
        <f t="array" ref="O196">SUMPRODUCT(IF(LEFT($A$4:$A$108,3)=LEFT($A196,3),IF($B$4:$B$108=$B196,IF($C$3:$AZ$3=O$112,$C$4:$AZ$108))))</f>
        <v>0</v>
      </c>
      <c r="P196" s="4" cm="1">
        <f t="array" ref="P196">SUMPRODUCT(IF(LEFT($A$4:$A$108,3)=LEFT($A196,3),IF($B$4:$B$108=$B196,IF($C$3:$AZ$3=P$112,$C$4:$AZ$108))))*'Cement and Glass Split'!O89</f>
        <v>0</v>
      </c>
      <c r="Q196" s="4" cm="1">
        <f t="array" ref="Q196">SUMPRODUCT(IF(LEFT($A$4:$A$108,3)=LEFT($A196,3),IF($B$4:$B$108=$B196,IF($C$3:$AZ$3=P$112,$C$4:$AZ$108))))*'Cement and Glass Split'!P89</f>
        <v>0</v>
      </c>
      <c r="R196" cm="1">
        <f t="array" ref="R196">SUMPRODUCT(IF(LEFT($A$4:$A$108,3)=LEFT($A196,3),IF($B$4:$B$108=$B196,IF($C$3:$AZ$3=R$112,$C$4:$AZ$108))))</f>
        <v>0</v>
      </c>
      <c r="S196" cm="1">
        <f t="array" ref="S196">SUMPRODUCT(IF(LEFT($A$4:$A$108,3)=LEFT($A196,3),IF($B$4:$B$108=$B196,IF($C$3:$AZ$3=S$112,$C$4:$AZ$108))))</f>
        <v>0</v>
      </c>
      <c r="T196" cm="1">
        <f t="array" ref="T196">SUMPRODUCT(IF(LEFT($A$4:$A$108,3)=LEFT($A196,3),IF($B$4:$B$108=$B196,IF($C$3:$AZ$3=T$112,$C$4:$AZ$108))))</f>
        <v>0</v>
      </c>
      <c r="U196" cm="1">
        <f t="array" ref="U196">SUMPRODUCT(IF(LEFT($A$4:$A$108,3)=LEFT($A196,3),IF($B$4:$B$108=$B196,IF($C$3:$AZ$3=U$112,$C$4:$AZ$108))))</f>
        <v>0</v>
      </c>
      <c r="V196" cm="1">
        <f t="array" ref="V196">SUMPRODUCT(IF(LEFT($A$4:$A$108,3)=LEFT($A196,3),IF($B$4:$B$108=$B196,IF($C$3:$AZ$3=V$112,$C$4:$AZ$108))))</f>
        <v>0</v>
      </c>
      <c r="W196" cm="1">
        <f t="array" ref="W196">SUMPRODUCT(IF(LEFT($A$4:$A$108,3)=LEFT($A196,3),IF($B$4:$B$108=$B196,IF($C$3:$AZ$3=W$112,$C$4:$AZ$108))))</f>
        <v>0</v>
      </c>
      <c r="X196" cm="1">
        <f t="array" ref="X196">SUMPRODUCT(IF(LEFT($A$4:$A$108,3)=LEFT($A196,3),IF($B$4:$B$108=$B196,IF($C$3:$AZ$3=X$112,$C$4:$AZ$108))))</f>
        <v>0</v>
      </c>
      <c r="Y196" cm="1">
        <f t="array" ref="Y196">SUMPRODUCT(IF(LEFT($A$4:$A$108,3)=LEFT($A196,3),IF($B$4:$B$108=$B196,IF($C$3:$AZ$3=Y$112,$C$4:$AZ$108))))</f>
        <v>0</v>
      </c>
      <c r="Z196" cm="1">
        <f t="array" ref="Z196">SUMPRODUCT(IF(LEFT($A$4:$A$108,3)=LEFT($A196,3),IF($B$4:$B$108=$B196,IF($C$3:$AZ$3=Z$112,$C$4:$AZ$108))))</f>
        <v>0</v>
      </c>
      <c r="AA196" cm="1">
        <f t="array" ref="AA196">SUMPRODUCT(IF(LEFT($A$4:$A$108,3)=LEFT($A196,3),IF($B$4:$B$108=$B196,IF($C$3:$AZ$3=AA$112,$C$4:$AZ$108))))</f>
        <v>0</v>
      </c>
      <c r="AB196" cm="1">
        <f t="array" ref="AB196">SUMPRODUCT(IF(LEFT($A$4:$A$108,3)=LEFT($A196,3),IF($B$4:$B$108=$B196,IF($C$3:$AZ$3=AB$112,$C$4:$AZ$108))))</f>
        <v>0</v>
      </c>
      <c r="AC196" cm="1">
        <f t="array" ref="AC196">SUMPRODUCT(IF(LEFT($A$4:$A$108,3)=LEFT($A196,3),IF($B$4:$B$108=$B196,IF($C$3:$AZ$3=AC$112,$C$4:$AZ$108))))</f>
        <v>0</v>
      </c>
      <c r="AD196" cm="1">
        <f t="array" ref="AD196">SUMPRODUCT(IF(LEFT($A$4:$A$108,3)=LEFT($A196,3),IF($B$4:$B$108=$B196,IF($C$3:$AZ$3=AD$112,$C$4:$AZ$108))))</f>
        <v>0</v>
      </c>
      <c r="AE196" cm="1">
        <f t="array" ref="AE196">SUMPRODUCT(IF(LEFT($A$4:$A$108,3)=LEFT($A196,3),IF($B$4:$B$108=$B196,IF($C$3:$AZ$3=AE$112,$C$4:$AZ$108))))</f>
        <v>0</v>
      </c>
      <c r="AF196" cm="1">
        <f t="array" ref="AF196">SUMPRODUCT(IF(LEFT($A$4:$A$108,3)=LEFT($A196,3),IF($B$4:$B$108=$B196,IF($C$3:$AZ$3=AF$112,$C$4:$AZ$108))))</f>
        <v>0</v>
      </c>
      <c r="AG196" cm="1">
        <f t="array" ref="AG196">SUMPRODUCT(IF(LEFT($A$4:$A$108,3)=LEFT($A196,3),IF($B$4:$B$108=$B196,IF($C$3:$AZ$3=AG$112,$C$4:$AZ$108))))</f>
        <v>0</v>
      </c>
      <c r="AH196" cm="1">
        <f t="array" ref="AH196">SUMPRODUCT(IF(LEFT($A$4:$A$108,3)=LEFT($A196,3),IF($B$4:$B$108=$B196,IF($C$3:$AZ$3=AH$112,$C$4:$AZ$108))))</f>
        <v>0</v>
      </c>
      <c r="AI196" cm="1">
        <f t="array" ref="AI196">SUMPRODUCT(IF(LEFT($A$4:$A$108,3)=LEFT($A196,3),IF($B$4:$B$108=$B196,IF($C$3:$AZ$3=AI$112,$C$4:$AZ$108))))</f>
        <v>0</v>
      </c>
      <c r="AJ196" cm="1">
        <f t="array" ref="AJ196">SUMPRODUCT(IF(LEFT($A$4:$A$108,3)=LEFT($A196,3),IF($B$4:$B$108=$B196,IF($C$3:$AZ$3=AJ$112,$C$4:$AZ$108))))</f>
        <v>0</v>
      </c>
      <c r="AK196" cm="1">
        <f t="array" ref="AK196">SUMPRODUCT(IF(LEFT($A$4:$A$108,3)=LEFT($A196,3),IF($B$4:$B$108=$B196,IF($C$3:$AZ$3=AK$112,$C$4:$AZ$108))))</f>
        <v>0</v>
      </c>
      <c r="AL196" cm="1">
        <f t="array" ref="AL196">SUMPRODUCT(IF(LEFT($A$4:$A$108,3)=LEFT($A196,3),IF($B$4:$B$108=$B196,IF($C$3:$AZ$3=AL$112,$C$4:$AZ$108))))</f>
        <v>0</v>
      </c>
      <c r="AM196" cm="1">
        <f t="array" ref="AM196">SUMPRODUCT(IF(LEFT($A$4:$A$108,3)=LEFT($A196,3),IF($B$4:$B$108=$B196,IF($C$3:$AZ$3=AM$112,$C$4:$AZ$108))))</f>
        <v>0</v>
      </c>
      <c r="AN196" cm="1">
        <f t="array" ref="AN196">SUMPRODUCT(IF(LEFT($A$4:$A$108,3)=LEFT($A196,3),IF($B$4:$B$108=$B196,IF($C$3:$AZ$3=AN$112,$C$4:$AZ$108))))</f>
        <v>0</v>
      </c>
      <c r="AO196" cm="1">
        <f t="array" ref="AO196">SUMPRODUCT(IF(LEFT($A$4:$A$108,3)=LEFT($A196,3),IF($B$4:$B$108=$B196,IF($C$3:$AZ$3=AO$112,$C$4:$AZ$108))))</f>
        <v>0</v>
      </c>
      <c r="AP196" cm="1">
        <f t="array" ref="AP196">SUMPRODUCT(IF(LEFT($A$4:$A$108,3)=LEFT($A196,3),IF($B$4:$B$108=$B196,IF($C$3:$AZ$3=AP$112,$C$4:$AZ$108))))</f>
        <v>0</v>
      </c>
      <c r="AQ196" cm="1">
        <f t="array" ref="AQ196">SUMPRODUCT(IF(LEFT($A$4:$A$108,3)=LEFT($A196,3),IF($B$4:$B$108=$B196,IF($C$3:$AZ$3=AQ$112,$C$4:$AZ$108))))</f>
        <v>0</v>
      </c>
      <c r="AR196" cm="1">
        <f t="array" ref="AR196">SUMPRODUCT(IF(LEFT($A$4:$A$108,3)=LEFT($A196,3),IF($B$4:$B$108=$B196,IF($C$3:$AZ$3=AR$112,$C$4:$AZ$108))))</f>
        <v>0</v>
      </c>
      <c r="AS196">
        <v>0</v>
      </c>
    </row>
    <row r="197" spans="1:53">
      <c r="A197" t="s">
        <v>552</v>
      </c>
      <c r="B197" t="s">
        <v>551</v>
      </c>
      <c r="C197" cm="1">
        <f t="array" ref="C197">SUMPRODUCT(IF(LEFT($A$4:$A$108,3)=LEFT($A197,3),IF($B$4:$B$108=$B197,IF($C$3:$AZ$3=C$112,$C$4:$AZ$108))))</f>
        <v>25.138000000000002</v>
      </c>
      <c r="D197" cm="1">
        <f t="array" ref="D197">SUMPRODUCT(IF(LEFT($A$4:$A$108,3)=LEFT($A197,3),IF($B$4:$B$108=$B197,IF($C$3:$AZ$3=D$112,$C$4:$AZ$108))))</f>
        <v>0.26900000000000002</v>
      </c>
      <c r="E197" cm="1">
        <f t="array" ref="E197">SUMPRODUCT(IF(LEFT($A$4:$A$108,3)=LEFT($A197,3),IF($B$4:$B$108=$B197,IF($C$3:$AZ$3=E$112,$C$4:$AZ$108))))</f>
        <v>0.191</v>
      </c>
      <c r="F197" cm="1">
        <f t="array" ref="F197">SUMPRODUCT(IF(LEFT($A$4:$A$108,3)=LEFT($A197,3),IF($B$4:$B$108=$B197,IF($C$3:$AZ$3=F$112,$C$4:$AZ$108))))</f>
        <v>3.669</v>
      </c>
      <c r="G197" cm="1">
        <f t="array" ref="G197">SUMPRODUCT(IF(LEFT($A$4:$A$108,3)=LEFT($A197,3),IF($B$4:$B$108=$B197,IF($C$3:$AZ$3=G$112,$C$4:$AZ$108))))</f>
        <v>1.2999999999999999E-2</v>
      </c>
      <c r="H197" cm="1">
        <f t="array" ref="H197">SUMPRODUCT(IF(LEFT($A$4:$A$108,3)=LEFT($A197,3),IF($B$4:$B$108=$B197,IF($C$3:$AZ$3=H$112,$C$4:$AZ$108))))</f>
        <v>18.120999999999999</v>
      </c>
      <c r="I197" cm="1">
        <f t="array" ref="I197">SUMPRODUCT(IF(LEFT($A$4:$A$108,3)=LEFT($A197,3),IF($B$4:$B$108=$B197,IF($C$3:$AZ$3=I$112,$C$4:$AZ$108))))</f>
        <v>121.259</v>
      </c>
      <c r="J197" cm="1">
        <f t="array" ref="J197">SUMPRODUCT(IF(LEFT($A$4:$A$108,3)=LEFT($A197,3),IF($B$4:$B$108=$B197,IF($C$3:$AZ$3=J$112,$C$4:$AZ$108))))</f>
        <v>6.6639999999999997</v>
      </c>
      <c r="K197" cm="1">
        <f t="array" ref="K197">SUMPRODUCT(IF(LEFT($A$4:$A$108,3)=LEFT($A197,3),IF($B$4:$B$108=$B197,IF($C$3:$AZ$3=K$112,$C$4:$AZ$108))))</f>
        <v>31.390999999999998</v>
      </c>
      <c r="L197" cm="1">
        <f t="array" ref="L197">SUMPRODUCT(IF(LEFT($A$4:$A$108,3)=LEFT($A197,3),IF($B$4:$B$108=$B197,IF($C$3:$AZ$3=L$112,$C$4:$AZ$108))))</f>
        <v>1464.431</v>
      </c>
      <c r="M197" cm="1">
        <f t="array" ref="M197">SUMPRODUCT(IF(LEFT($A$4:$A$108,3)=LEFT($A197,3),IF($B$4:$B$108=$B197,IF($C$3:$AZ$3=M$112,$C$4:$AZ$108))))</f>
        <v>370.05099999999999</v>
      </c>
      <c r="N197" cm="1">
        <f t="array" ref="N197">SUMPRODUCT(IF(LEFT($A$4:$A$108,3)=LEFT($A197,3),IF($B$4:$B$108=$B197,IF($C$3:$AZ$3=N$112,$C$4:$AZ$108))))</f>
        <v>30.678999999999998</v>
      </c>
      <c r="O197" cm="1">
        <f t="array" ref="O197">SUMPRODUCT(IF(LEFT($A$4:$A$108,3)=LEFT($A197,3),IF($B$4:$B$108=$B197,IF($C$3:$AZ$3=O$112,$C$4:$AZ$108))))</f>
        <v>92.34</v>
      </c>
      <c r="P197" s="4" cm="1">
        <f t="array" ref="P197">SUMPRODUCT(IF(LEFT($A$4:$A$108,3)=LEFT($A197,3),IF($B$4:$B$108=$B197,IF($C$3:$AZ$3=P$112,$C$4:$AZ$108))))*'Cement and Glass Split'!O90</f>
        <v>6.5868311203377985</v>
      </c>
      <c r="Q197" s="4" cm="1">
        <f t="array" ref="Q197">SUMPRODUCT(IF(LEFT($A$4:$A$108,3)=LEFT($A197,3),IF($B$4:$B$108=$B197,IF($C$3:$AZ$3=P$112,$C$4:$AZ$108))))*'Cement and Glass Split'!P90</f>
        <v>37.376168879662217</v>
      </c>
      <c r="R197" cm="1">
        <f t="array" ref="R197">SUMPRODUCT(IF(LEFT($A$4:$A$108,3)=LEFT($A197,3),IF($B$4:$B$108=$B197,IF($C$3:$AZ$3=R$112,$C$4:$AZ$108))))</f>
        <v>114.58</v>
      </c>
      <c r="S197" cm="1">
        <f t="array" ref="S197">SUMPRODUCT(IF(LEFT($A$4:$A$108,3)=LEFT($A197,3),IF($B$4:$B$108=$B197,IF($C$3:$AZ$3=S$112,$C$4:$AZ$108))))</f>
        <v>70.016999999999996</v>
      </c>
      <c r="T197" cm="1">
        <f t="array" ref="T197">SUMPRODUCT(IF(LEFT($A$4:$A$108,3)=LEFT($A197,3),IF($B$4:$B$108=$B197,IF($C$3:$AZ$3=T$112,$C$4:$AZ$108))))</f>
        <v>71.686000000000007</v>
      </c>
      <c r="U197" cm="1">
        <f t="array" ref="U197">SUMPRODUCT(IF(LEFT($A$4:$A$108,3)=LEFT($A197,3),IF($B$4:$B$108=$B197,IF($C$3:$AZ$3=U$112,$C$4:$AZ$108))))</f>
        <v>572.10199999999998</v>
      </c>
      <c r="V197" cm="1">
        <f t="array" ref="V197">SUMPRODUCT(IF(LEFT($A$4:$A$108,3)=LEFT($A197,3),IF($B$4:$B$108=$B197,IF($C$3:$AZ$3=V$112,$C$4:$AZ$108))))</f>
        <v>151.05500000000001</v>
      </c>
      <c r="W197" cm="1">
        <f t="array" ref="W197">SUMPRODUCT(IF(LEFT($A$4:$A$108,3)=LEFT($A197,3),IF($B$4:$B$108=$B197,IF($C$3:$AZ$3=W$112,$C$4:$AZ$108))))</f>
        <v>154.4</v>
      </c>
      <c r="X197" cm="1">
        <f t="array" ref="X197">SUMPRODUCT(IF(LEFT($A$4:$A$108,3)=LEFT($A197,3),IF($B$4:$B$108=$B197,IF($C$3:$AZ$3=X$112,$C$4:$AZ$108))))</f>
        <v>405.74400000000003</v>
      </c>
      <c r="Y197" cm="1">
        <f t="array" ref="Y197">SUMPRODUCT(IF(LEFT($A$4:$A$108,3)=LEFT($A197,3),IF($B$4:$B$108=$B197,IF($C$3:$AZ$3=Y$112,$C$4:$AZ$108))))</f>
        <v>55.266999999999996</v>
      </c>
      <c r="Z197" cm="1">
        <f t="array" ref="Z197">SUMPRODUCT(IF(LEFT($A$4:$A$108,3)=LEFT($A197,3),IF($B$4:$B$108=$B197,IF($C$3:$AZ$3=Z$112,$C$4:$AZ$108))))</f>
        <v>39.557000000000002</v>
      </c>
      <c r="AA197" cm="1">
        <f t="array" ref="AA197">SUMPRODUCT(IF(LEFT($A$4:$A$108,3)=LEFT($A197,3),IF($B$4:$B$108=$B197,IF($C$3:$AZ$3=AA$112,$C$4:$AZ$108))))</f>
        <v>462.50299999999999</v>
      </c>
      <c r="AB197" cm="1">
        <f t="array" ref="AB197">SUMPRODUCT(IF(LEFT($A$4:$A$108,3)=LEFT($A197,3),IF($B$4:$B$108=$B197,IF($C$3:$AZ$3=AB$112,$C$4:$AZ$108))))</f>
        <v>21.32</v>
      </c>
      <c r="AC197" cm="1">
        <f t="array" ref="AC197">SUMPRODUCT(IF(LEFT($A$4:$A$108,3)=LEFT($A197,3),IF($B$4:$B$108=$B197,IF($C$3:$AZ$3=AC$112,$C$4:$AZ$108))))</f>
        <v>11.366</v>
      </c>
      <c r="AD197" cm="1">
        <f t="array" ref="AD197">SUMPRODUCT(IF(LEFT($A$4:$A$108,3)=LEFT($A197,3),IF($B$4:$B$108=$B197,IF($C$3:$AZ$3=AD$112,$C$4:$AZ$108))))</f>
        <v>146.066</v>
      </c>
      <c r="AE197" cm="1">
        <f t="array" ref="AE197">SUMPRODUCT(IF(LEFT($A$4:$A$108,3)=LEFT($A197,3),IF($B$4:$B$108=$B197,IF($C$3:$AZ$3=AE$112,$C$4:$AZ$108))))</f>
        <v>142.38800000000001</v>
      </c>
      <c r="AF197" cm="1">
        <f t="array" ref="AF197">SUMPRODUCT(IF(LEFT($A$4:$A$108,3)=LEFT($A197,3),IF($B$4:$B$108=$B197,IF($C$3:$AZ$3=AF$112,$C$4:$AZ$108))))</f>
        <v>105.53100000000001</v>
      </c>
      <c r="AG197" cm="1">
        <f t="array" ref="AG197">SUMPRODUCT(IF(LEFT($A$4:$A$108,3)=LEFT($A197,3),IF($B$4:$B$108=$B197,IF($C$3:$AZ$3=AG$112,$C$4:$AZ$108))))</f>
        <v>65.393000000000001</v>
      </c>
      <c r="AH197" cm="1">
        <f t="array" ref="AH197">SUMPRODUCT(IF(LEFT($A$4:$A$108,3)=LEFT($A197,3),IF($B$4:$B$108=$B197,IF($C$3:$AZ$3=AH$112,$C$4:$AZ$108))))</f>
        <v>18.292999999999999</v>
      </c>
      <c r="AI197" cm="1">
        <f t="array" ref="AI197">SUMPRODUCT(IF(LEFT($A$4:$A$108,3)=LEFT($A197,3),IF($B$4:$B$108=$B197,IF($C$3:$AZ$3=AI$112,$C$4:$AZ$108))))</f>
        <v>29.802</v>
      </c>
      <c r="AJ197" cm="1">
        <f t="array" ref="AJ197">SUMPRODUCT(IF(LEFT($A$4:$A$108,3)=LEFT($A197,3),IF($B$4:$B$108=$B197,IF($C$3:$AZ$3=AJ$112,$C$4:$AZ$108))))</f>
        <v>21.501999999999999</v>
      </c>
      <c r="AK197" cm="1">
        <f t="array" ref="AK197">SUMPRODUCT(IF(LEFT($A$4:$A$108,3)=LEFT($A197,3),IF($B$4:$B$108=$B197,IF($C$3:$AZ$3=AK$112,$C$4:$AZ$108))))</f>
        <v>22.526</v>
      </c>
      <c r="AL197" cm="1">
        <f t="array" ref="AL197">SUMPRODUCT(IF(LEFT($A$4:$A$108,3)=LEFT($A197,3),IF($B$4:$B$108=$B197,IF($C$3:$AZ$3=AL$112,$C$4:$AZ$108))))</f>
        <v>23.707999999999998</v>
      </c>
      <c r="AM197" cm="1">
        <f t="array" ref="AM197">SUMPRODUCT(IF(LEFT($A$4:$A$108,3)=LEFT($A197,3),IF($B$4:$B$108=$B197,IF($C$3:$AZ$3=AM$112,$C$4:$AZ$108))))</f>
        <v>92.034999999999997</v>
      </c>
      <c r="AN197" cm="1">
        <f t="array" ref="AN197">SUMPRODUCT(IF(LEFT($A$4:$A$108,3)=LEFT($A197,3),IF($B$4:$B$108=$B197,IF($C$3:$AZ$3=AN$112,$C$4:$AZ$108))))</f>
        <v>35.012999999999998</v>
      </c>
      <c r="AO197" cm="1">
        <f t="array" ref="AO197">SUMPRODUCT(IF(LEFT($A$4:$A$108,3)=LEFT($A197,3),IF($B$4:$B$108=$B197,IF($C$3:$AZ$3=AO$112,$C$4:$AZ$108))))</f>
        <v>30.567</v>
      </c>
      <c r="AP197" cm="1">
        <f t="array" ref="AP197">SUMPRODUCT(IF(LEFT($A$4:$A$108,3)=LEFT($A197,3),IF($B$4:$B$108=$B197,IF($C$3:$AZ$3=AP$112,$C$4:$AZ$108))))</f>
        <v>90.302000000000007</v>
      </c>
      <c r="AQ197" cm="1">
        <f t="array" ref="AQ197">SUMPRODUCT(IF(LEFT($A$4:$A$108,3)=LEFT($A197,3),IF($B$4:$B$108=$B197,IF($C$3:$AZ$3=AQ$112,$C$4:$AZ$108))))</f>
        <v>54.16</v>
      </c>
      <c r="AR197" cm="1">
        <f t="array" ref="AR197">SUMPRODUCT(IF(LEFT($A$4:$A$108,3)=LEFT($A197,3),IF($B$4:$B$108=$B197,IF($C$3:$AZ$3=AR$112,$C$4:$AZ$108))))</f>
        <v>0</v>
      </c>
      <c r="AS197">
        <v>0</v>
      </c>
    </row>
    <row r="198" spans="1:53">
      <c r="A198" t="s">
        <v>696</v>
      </c>
      <c r="C198">
        <f>SUMIFS($C$108:$BA$108,$C$3:$BA$3,C112)</f>
        <v>55768.152000000002</v>
      </c>
      <c r="D198">
        <f t="shared" ref="D198:AS198" si="2">SUMIFS($C$108:$BA$108,$C$3:$BA$3,D112)</f>
        <v>257.66300000000001</v>
      </c>
      <c r="E198">
        <f t="shared" si="2"/>
        <v>139.39099999999999</v>
      </c>
      <c r="F198">
        <f t="shared" si="2"/>
        <v>3394.0699999999997</v>
      </c>
      <c r="G198">
        <f t="shared" si="2"/>
        <v>18.831</v>
      </c>
      <c r="H198">
        <f t="shared" si="2"/>
        <v>131256.53899999999</v>
      </c>
      <c r="I198">
        <f t="shared" si="2"/>
        <v>66294.570000000007</v>
      </c>
      <c r="J198">
        <f t="shared" si="2"/>
        <v>8744.1020000000008</v>
      </c>
      <c r="K198">
        <f t="shared" si="2"/>
        <v>39624.309000000001</v>
      </c>
      <c r="L198">
        <f t="shared" si="2"/>
        <v>156298.242</v>
      </c>
      <c r="M198">
        <f t="shared" si="2"/>
        <v>219022.614</v>
      </c>
      <c r="N198">
        <f t="shared" si="2"/>
        <v>32883.370999999999</v>
      </c>
      <c r="O198">
        <f t="shared" si="2"/>
        <v>85333.618000000002</v>
      </c>
      <c r="P198" s="4">
        <f>SUMIFS($C$108:$BA$108,$C$3:$BA$3,P112)*'Cement and Glass Split'!O90</f>
        <v>5426.6626182401924</v>
      </c>
      <c r="Q198" s="4">
        <f>SUMIFS($C$108:$BA$108,$C$3:$BA$3,P112)*'Cement and Glass Split'!P90</f>
        <v>30792.93438175982</v>
      </c>
      <c r="R198">
        <f t="shared" si="2"/>
        <v>113509.785</v>
      </c>
      <c r="S198">
        <f t="shared" si="2"/>
        <v>49961.974999999999</v>
      </c>
      <c r="T198">
        <f t="shared" si="2"/>
        <v>103590.673</v>
      </c>
      <c r="U198">
        <f t="shared" si="2"/>
        <v>341950.93400000001</v>
      </c>
      <c r="V198">
        <f t="shared" si="2"/>
        <v>118568.587</v>
      </c>
      <c r="W198">
        <f t="shared" si="2"/>
        <v>149990.606</v>
      </c>
      <c r="X198">
        <f t="shared" si="2"/>
        <v>216241.53400000001</v>
      </c>
      <c r="Y198">
        <f t="shared" si="2"/>
        <v>44810.934000000001</v>
      </c>
      <c r="Z198">
        <f t="shared" si="2"/>
        <v>28733.736000000001</v>
      </c>
      <c r="AA198">
        <f t="shared" si="2"/>
        <v>106796.651</v>
      </c>
      <c r="AB198">
        <f t="shared" si="2"/>
        <v>41931.631000000001</v>
      </c>
      <c r="AC198">
        <f t="shared" si="2"/>
        <v>25019.692999999999</v>
      </c>
      <c r="AD198">
        <f t="shared" si="2"/>
        <v>240135.20300000001</v>
      </c>
      <c r="AE198">
        <f t="shared" si="2"/>
        <v>289787.196</v>
      </c>
      <c r="AF198">
        <f t="shared" si="2"/>
        <v>131009.997</v>
      </c>
      <c r="AG198">
        <f t="shared" si="2"/>
        <v>146964.53</v>
      </c>
      <c r="AH198">
        <f t="shared" si="2"/>
        <v>53469.527000000002</v>
      </c>
      <c r="AI198">
        <f t="shared" si="2"/>
        <v>47660.154000000002</v>
      </c>
      <c r="AJ198">
        <f t="shared" si="2"/>
        <v>54186.567999999999</v>
      </c>
      <c r="AK198">
        <f t="shared" si="2"/>
        <v>170656.359</v>
      </c>
      <c r="AL198">
        <f t="shared" si="2"/>
        <v>201279.03400000001</v>
      </c>
      <c r="AM198">
        <f t="shared" si="2"/>
        <v>284616.31</v>
      </c>
      <c r="AN198">
        <f t="shared" si="2"/>
        <v>158136.92199999999</v>
      </c>
      <c r="AO198">
        <f t="shared" si="2"/>
        <v>115880.304</v>
      </c>
      <c r="AP198">
        <f t="shared" si="2"/>
        <v>144675.90400000001</v>
      </c>
      <c r="AQ198">
        <f t="shared" si="2"/>
        <v>92652.619000000006</v>
      </c>
      <c r="AR198">
        <f t="shared" si="2"/>
        <v>2100.7310000000002</v>
      </c>
      <c r="AS198">
        <f t="shared" si="2"/>
        <v>0</v>
      </c>
    </row>
    <row r="200" spans="1:53">
      <c r="A200" s="20" t="s">
        <v>694</v>
      </c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</row>
    <row r="201" spans="1:53">
      <c r="C201" t="s">
        <v>4</v>
      </c>
      <c r="D201" t="s">
        <v>120</v>
      </c>
      <c r="E201" t="s">
        <v>119</v>
      </c>
      <c r="F201" t="s">
        <v>5</v>
      </c>
      <c r="G201" t="s">
        <v>6</v>
      </c>
      <c r="H201" t="s">
        <v>7</v>
      </c>
      <c r="I201" t="s">
        <v>8</v>
      </c>
      <c r="J201" t="s">
        <v>9</v>
      </c>
      <c r="K201" t="s">
        <v>10</v>
      </c>
      <c r="L201" t="s">
        <v>11</v>
      </c>
      <c r="M201" t="s">
        <v>58</v>
      </c>
      <c r="N201" t="s">
        <v>59</v>
      </c>
      <c r="O201" t="s">
        <v>12</v>
      </c>
      <c r="P201" t="s">
        <v>132</v>
      </c>
      <c r="Q201" t="s">
        <v>133</v>
      </c>
      <c r="R201" t="s">
        <v>134</v>
      </c>
      <c r="S201" t="s">
        <v>135</v>
      </c>
      <c r="T201" t="s">
        <v>13</v>
      </c>
      <c r="U201" t="s">
        <v>14</v>
      </c>
      <c r="V201" t="s">
        <v>15</v>
      </c>
      <c r="W201" t="s">
        <v>16</v>
      </c>
      <c r="X201" t="s">
        <v>17</v>
      </c>
      <c r="Y201" t="s">
        <v>18</v>
      </c>
      <c r="Z201" t="s">
        <v>19</v>
      </c>
      <c r="AA201" t="s">
        <v>136</v>
      </c>
      <c r="AB201" t="s">
        <v>137</v>
      </c>
      <c r="AC201" t="s">
        <v>138</v>
      </c>
      <c r="AD201" t="s">
        <v>20</v>
      </c>
      <c r="AE201" t="s">
        <v>21</v>
      </c>
      <c r="AF201" t="s">
        <v>22</v>
      </c>
      <c r="AG201" t="s">
        <v>23</v>
      </c>
      <c r="AH201" t="s">
        <v>24</v>
      </c>
      <c r="AI201" t="s">
        <v>25</v>
      </c>
      <c r="AJ201" t="s">
        <v>26</v>
      </c>
      <c r="AK201" t="s">
        <v>27</v>
      </c>
      <c r="AL201" t="s">
        <v>28</v>
      </c>
      <c r="AM201" t="s">
        <v>29</v>
      </c>
      <c r="AN201" t="s">
        <v>30</v>
      </c>
      <c r="AO201" t="s">
        <v>31</v>
      </c>
      <c r="AP201" t="s">
        <v>32</v>
      </c>
      <c r="AQ201" t="s">
        <v>33</v>
      </c>
      <c r="AR201" t="s">
        <v>34</v>
      </c>
    </row>
    <row r="202" spans="1:53">
      <c r="A202" t="s">
        <v>384</v>
      </c>
      <c r="B202" t="s">
        <v>4</v>
      </c>
      <c r="C202">
        <f>IFERROR((C113)/C$198,0)</f>
        <v>7.0390856774310895E-2</v>
      </c>
      <c r="D202">
        <f t="shared" ref="D202:AR202" si="3">IFERROR((D113)/D$198,0)</f>
        <v>6.869437986827756E-4</v>
      </c>
      <c r="E202">
        <f t="shared" si="3"/>
        <v>7.1740643226607178E-5</v>
      </c>
      <c r="F202">
        <f t="shared" si="3"/>
        <v>3.0553288529700336E-4</v>
      </c>
      <c r="G202">
        <f t="shared" si="3"/>
        <v>5.3103924380011686E-5</v>
      </c>
      <c r="H202">
        <f t="shared" si="3"/>
        <v>0.18217793324567247</v>
      </c>
      <c r="I202">
        <f t="shared" si="3"/>
        <v>7.571298825831436E-3</v>
      </c>
      <c r="J202">
        <f t="shared" si="3"/>
        <v>0.10840518557537412</v>
      </c>
      <c r="K202">
        <f t="shared" si="3"/>
        <v>3.4765779764134182E-3</v>
      </c>
      <c r="L202">
        <f t="shared" si="3"/>
        <v>4.9136829062990997E-6</v>
      </c>
      <c r="M202">
        <f t="shared" si="3"/>
        <v>1.301340509067251E-3</v>
      </c>
      <c r="N202">
        <f t="shared" si="3"/>
        <v>1.5023703013903288E-3</v>
      </c>
      <c r="O202">
        <f t="shared" si="3"/>
        <v>2.0163682735214626E-3</v>
      </c>
      <c r="P202">
        <f t="shared" si="3"/>
        <v>0</v>
      </c>
      <c r="Q202">
        <f t="shared" si="3"/>
        <v>0</v>
      </c>
      <c r="R202">
        <f t="shared" si="3"/>
        <v>2.3566250257631978E-5</v>
      </c>
      <c r="S202">
        <f t="shared" si="3"/>
        <v>3.6888053364583765E-5</v>
      </c>
      <c r="T202">
        <f t="shared" si="3"/>
        <v>2.0909218342466024E-5</v>
      </c>
      <c r="U202">
        <f t="shared" si="3"/>
        <v>1.8552369270615884E-5</v>
      </c>
      <c r="V202">
        <f t="shared" si="3"/>
        <v>1.9946261145880065E-5</v>
      </c>
      <c r="W202">
        <f t="shared" si="3"/>
        <v>5.9417054425395143E-5</v>
      </c>
      <c r="X202">
        <f t="shared" si="3"/>
        <v>2.0033154222814565E-5</v>
      </c>
      <c r="Y202">
        <f t="shared" si="3"/>
        <v>5.4093940554776206E-5</v>
      </c>
      <c r="Z202">
        <f t="shared" si="3"/>
        <v>2.8325937149279857E-3</v>
      </c>
      <c r="AA202">
        <f t="shared" si="3"/>
        <v>9.6589171134214694E-4</v>
      </c>
      <c r="AB202">
        <f t="shared" si="3"/>
        <v>5.4660406603311E-5</v>
      </c>
      <c r="AC202">
        <f t="shared" si="3"/>
        <v>2.2909953371530179E-4</v>
      </c>
      <c r="AD202">
        <f t="shared" si="3"/>
        <v>3.9723038858238539E-4</v>
      </c>
      <c r="AE202">
        <f t="shared" si="3"/>
        <v>1.6485821547477895E-3</v>
      </c>
      <c r="AF202">
        <f t="shared" si="3"/>
        <v>1.2022746630549117E-4</v>
      </c>
      <c r="AG202">
        <f t="shared" si="3"/>
        <v>3.9430214896070501E-2</v>
      </c>
      <c r="AH202">
        <f t="shared" si="3"/>
        <v>7.370553324700253E-5</v>
      </c>
      <c r="AI202">
        <f t="shared" si="3"/>
        <v>3.2773708620412768E-5</v>
      </c>
      <c r="AJ202">
        <f t="shared" si="3"/>
        <v>2.517228992985863E-5</v>
      </c>
      <c r="AK202">
        <f t="shared" si="3"/>
        <v>2.0919232198080588E-5</v>
      </c>
      <c r="AL202">
        <f t="shared" si="3"/>
        <v>6.6519595876041412E-5</v>
      </c>
      <c r="AM202">
        <f t="shared" si="3"/>
        <v>3.2054382266427379E-4</v>
      </c>
      <c r="AN202">
        <f t="shared" si="3"/>
        <v>4.4893374110316879E-4</v>
      </c>
      <c r="AO202">
        <f t="shared" si="3"/>
        <v>5.9931668801973452E-4</v>
      </c>
      <c r="AP202">
        <f t="shared" si="3"/>
        <v>1.1410607809300435E-3</v>
      </c>
      <c r="AQ202">
        <f t="shared" si="3"/>
        <v>1.0040730742862218E-3</v>
      </c>
      <c r="AR202">
        <f t="shared" si="3"/>
        <v>0</v>
      </c>
    </row>
    <row r="203" spans="1:53">
      <c r="A203" t="s">
        <v>384</v>
      </c>
      <c r="B203" t="s">
        <v>120</v>
      </c>
      <c r="C203">
        <f t="shared" ref="C203:AR203" si="4">IFERROR((C114)/C$198,0)</f>
        <v>3.3890310727886412E-6</v>
      </c>
      <c r="D203">
        <f t="shared" si="4"/>
        <v>9.4697337219546459E-4</v>
      </c>
      <c r="E203">
        <f t="shared" si="4"/>
        <v>0</v>
      </c>
      <c r="F203">
        <f t="shared" si="4"/>
        <v>5.8926303818129866E-6</v>
      </c>
      <c r="G203">
        <f t="shared" si="4"/>
        <v>0</v>
      </c>
      <c r="H203">
        <f t="shared" si="4"/>
        <v>3.2531712572430394E-6</v>
      </c>
      <c r="I203">
        <f t="shared" si="4"/>
        <v>3.2280170155715616E-6</v>
      </c>
      <c r="J203">
        <f t="shared" si="4"/>
        <v>2.8590700337210155E-6</v>
      </c>
      <c r="K203">
        <f t="shared" si="4"/>
        <v>2.8265477134251099E-6</v>
      </c>
      <c r="L203">
        <f t="shared" si="4"/>
        <v>1.5465944908068767E-4</v>
      </c>
      <c r="M203">
        <f t="shared" si="4"/>
        <v>2.8627180935754882E-6</v>
      </c>
      <c r="N203">
        <f t="shared" si="4"/>
        <v>2.1287355241042657E-6</v>
      </c>
      <c r="O203">
        <f t="shared" si="4"/>
        <v>2.4960854232150336E-6</v>
      </c>
      <c r="P203">
        <f t="shared" si="4"/>
        <v>0</v>
      </c>
      <c r="Q203">
        <f t="shared" si="4"/>
        <v>0</v>
      </c>
      <c r="R203">
        <f t="shared" si="4"/>
        <v>3.4446369535454589E-6</v>
      </c>
      <c r="S203">
        <f t="shared" si="4"/>
        <v>2.6820396911851466E-6</v>
      </c>
      <c r="T203">
        <f t="shared" si="4"/>
        <v>2.4905717139225461E-6</v>
      </c>
      <c r="U203">
        <f t="shared" si="4"/>
        <v>2.2605582355274396E-6</v>
      </c>
      <c r="V203">
        <f t="shared" si="4"/>
        <v>2.4374078102153648E-6</v>
      </c>
      <c r="W203">
        <f t="shared" si="4"/>
        <v>2.8801803760963537E-6</v>
      </c>
      <c r="X203">
        <f t="shared" si="4"/>
        <v>1.8220366490740859E-6</v>
      </c>
      <c r="Y203">
        <f t="shared" si="4"/>
        <v>2.9457096341709817E-6</v>
      </c>
      <c r="Z203">
        <f t="shared" si="4"/>
        <v>3.3062181680795004E-6</v>
      </c>
      <c r="AA203">
        <f t="shared" si="4"/>
        <v>1.9551362148987235E-3</v>
      </c>
      <c r="AB203">
        <f t="shared" si="4"/>
        <v>1.4309006964217537E-6</v>
      </c>
      <c r="AC203">
        <f t="shared" si="4"/>
        <v>2.8777331520414737E-6</v>
      </c>
      <c r="AD203">
        <f t="shared" si="4"/>
        <v>1.9072588869862617E-6</v>
      </c>
      <c r="AE203">
        <f t="shared" si="4"/>
        <v>1.2008812149174458E-6</v>
      </c>
      <c r="AF203">
        <f t="shared" si="4"/>
        <v>2.5112587400486699E-6</v>
      </c>
      <c r="AG203">
        <f t="shared" si="4"/>
        <v>2.1501786859727312E-6</v>
      </c>
      <c r="AH203">
        <f t="shared" si="4"/>
        <v>5.6106724115962344E-7</v>
      </c>
      <c r="AI203">
        <f t="shared" si="4"/>
        <v>1.5736415790851198E-6</v>
      </c>
      <c r="AJ203">
        <f t="shared" si="4"/>
        <v>7.9355459456299204E-7</v>
      </c>
      <c r="AK203">
        <f t="shared" si="4"/>
        <v>2.2266969846696425E-7</v>
      </c>
      <c r="AL203">
        <f t="shared" si="4"/>
        <v>4.173310966903786E-7</v>
      </c>
      <c r="AM203">
        <f t="shared" si="4"/>
        <v>8.9242953083047144E-7</v>
      </c>
      <c r="AN203">
        <f t="shared" si="4"/>
        <v>7.9677787076189589E-7</v>
      </c>
      <c r="AO203">
        <f t="shared" si="4"/>
        <v>8.888482032287384E-7</v>
      </c>
      <c r="AP203">
        <f t="shared" si="4"/>
        <v>1.3271042011252959E-6</v>
      </c>
      <c r="AQ203">
        <f t="shared" si="4"/>
        <v>1.4786414186521809E-6</v>
      </c>
      <c r="AR203">
        <f t="shared" si="4"/>
        <v>0</v>
      </c>
    </row>
    <row r="204" spans="1:53">
      <c r="A204" t="s">
        <v>384</v>
      </c>
      <c r="B204" t="s">
        <v>119</v>
      </c>
      <c r="C204">
        <f t="shared" ref="C204:AR204" si="5">IFERROR((C115)/C$198,0)</f>
        <v>8.2484354152527764E-7</v>
      </c>
      <c r="D204">
        <f t="shared" si="5"/>
        <v>0</v>
      </c>
      <c r="E204">
        <f t="shared" si="5"/>
        <v>5.739251458128574E-5</v>
      </c>
      <c r="F204">
        <f t="shared" si="5"/>
        <v>8.8389455727194794E-7</v>
      </c>
      <c r="G204">
        <f t="shared" si="5"/>
        <v>0</v>
      </c>
      <c r="H204">
        <f t="shared" si="5"/>
        <v>1.2494615601589192E-6</v>
      </c>
      <c r="I204">
        <f t="shared" si="5"/>
        <v>1.6441768911088795E-6</v>
      </c>
      <c r="J204">
        <f t="shared" si="5"/>
        <v>1.0292652121395655E-6</v>
      </c>
      <c r="K204">
        <f t="shared" si="5"/>
        <v>1.0094813262232536E-6</v>
      </c>
      <c r="L204">
        <f t="shared" si="5"/>
        <v>6.5832474302558058E-4</v>
      </c>
      <c r="M204">
        <f t="shared" si="5"/>
        <v>1.3331956671834807E-6</v>
      </c>
      <c r="N204">
        <f t="shared" si="5"/>
        <v>1.033957254564929E-6</v>
      </c>
      <c r="O204">
        <f t="shared" si="5"/>
        <v>1.2421833561539602E-6</v>
      </c>
      <c r="P204">
        <f t="shared" si="5"/>
        <v>1.0369618023607431E-7</v>
      </c>
      <c r="Q204">
        <f t="shared" si="5"/>
        <v>1.5405246939751882E-6</v>
      </c>
      <c r="R204">
        <f t="shared" si="5"/>
        <v>9.690794498465485E-7</v>
      </c>
      <c r="S204">
        <f t="shared" si="5"/>
        <v>6.4048709043227375E-7</v>
      </c>
      <c r="T204">
        <f t="shared" si="5"/>
        <v>9.4603111614112218E-7</v>
      </c>
      <c r="U204">
        <f t="shared" si="5"/>
        <v>1.2662635394351634E-6</v>
      </c>
      <c r="V204">
        <f t="shared" si="5"/>
        <v>1.1807511883396233E-6</v>
      </c>
      <c r="W204">
        <f t="shared" si="5"/>
        <v>1.2067422409107408E-6</v>
      </c>
      <c r="X204">
        <f t="shared" si="5"/>
        <v>7.2603998452952149E-7</v>
      </c>
      <c r="Y204">
        <f t="shared" si="5"/>
        <v>1.2273790142379089E-6</v>
      </c>
      <c r="Z204">
        <f t="shared" si="5"/>
        <v>1.0440688951830002E-6</v>
      </c>
      <c r="AA204">
        <f t="shared" si="5"/>
        <v>2.7504607798984259E-4</v>
      </c>
      <c r="AB204">
        <f t="shared" si="5"/>
        <v>3.8157351904580103E-7</v>
      </c>
      <c r="AC204">
        <f t="shared" si="5"/>
        <v>3.9968516000576027E-7</v>
      </c>
      <c r="AD204">
        <f t="shared" si="5"/>
        <v>8.3702846350270432E-7</v>
      </c>
      <c r="AE204">
        <f t="shared" si="5"/>
        <v>3.8303969786159909E-7</v>
      </c>
      <c r="AF204">
        <f t="shared" si="5"/>
        <v>5.2667736493421955E-7</v>
      </c>
      <c r="AG204">
        <f t="shared" si="5"/>
        <v>8.5054536628668156E-7</v>
      </c>
      <c r="AH204">
        <f t="shared" si="5"/>
        <v>2.4312913783583684E-7</v>
      </c>
      <c r="AI204">
        <f t="shared" si="5"/>
        <v>3.986558667015637E-7</v>
      </c>
      <c r="AJ204">
        <f t="shared" si="5"/>
        <v>1.845475801309284E-7</v>
      </c>
      <c r="AK204">
        <f t="shared" si="5"/>
        <v>5.2737560163228368E-8</v>
      </c>
      <c r="AL204">
        <f t="shared" si="5"/>
        <v>1.0930100151414676E-7</v>
      </c>
      <c r="AM204">
        <f t="shared" si="5"/>
        <v>1.9324261494360601E-7</v>
      </c>
      <c r="AN204">
        <f t="shared" si="5"/>
        <v>1.5809084737339204E-7</v>
      </c>
      <c r="AO204">
        <f t="shared" si="5"/>
        <v>1.7259188412208515E-7</v>
      </c>
      <c r="AP204">
        <f t="shared" si="5"/>
        <v>5.5296008380220657E-7</v>
      </c>
      <c r="AQ204">
        <f t="shared" si="5"/>
        <v>4.4251312529006867E-7</v>
      </c>
      <c r="AR204">
        <f t="shared" si="5"/>
        <v>0</v>
      </c>
    </row>
    <row r="205" spans="1:53">
      <c r="A205" t="s">
        <v>384</v>
      </c>
      <c r="B205" t="s">
        <v>5</v>
      </c>
      <c r="C205">
        <f t="shared" ref="C205:AR205" si="6">IFERROR((C116)/C$198,0)</f>
        <v>2.350445465720291E-4</v>
      </c>
      <c r="D205">
        <f t="shared" si="6"/>
        <v>8.6547156557208443E-4</v>
      </c>
      <c r="E205">
        <f t="shared" si="6"/>
        <v>3.5870321613303588E-4</v>
      </c>
      <c r="F205">
        <f t="shared" si="6"/>
        <v>1.6482276440969102E-2</v>
      </c>
      <c r="G205">
        <f t="shared" si="6"/>
        <v>1.2744941851202804E-3</v>
      </c>
      <c r="H205">
        <f t="shared" si="6"/>
        <v>2.3175988207338E-4</v>
      </c>
      <c r="I205">
        <f t="shared" si="6"/>
        <v>6.9372197451465469E-5</v>
      </c>
      <c r="J205">
        <f t="shared" si="6"/>
        <v>5.4093605038001612E-5</v>
      </c>
      <c r="K205">
        <f t="shared" si="6"/>
        <v>2.8563274125486957E-4</v>
      </c>
      <c r="L205">
        <f t="shared" si="6"/>
        <v>3.6248648273343984E-4</v>
      </c>
      <c r="M205">
        <f t="shared" si="6"/>
        <v>1.3586359625860367E-3</v>
      </c>
      <c r="N205">
        <f t="shared" si="6"/>
        <v>4.7592444217473929E-5</v>
      </c>
      <c r="O205">
        <f t="shared" si="6"/>
        <v>9.9550449155923508E-5</v>
      </c>
      <c r="P205">
        <f t="shared" si="6"/>
        <v>1.8746784344579894E-3</v>
      </c>
      <c r="Q205">
        <f t="shared" si="6"/>
        <v>2.7305249385929205E-2</v>
      </c>
      <c r="R205">
        <f t="shared" si="6"/>
        <v>2.7613214138322963E-3</v>
      </c>
      <c r="S205">
        <f t="shared" si="6"/>
        <v>2.0990963627838971E-3</v>
      </c>
      <c r="T205">
        <f t="shared" si="6"/>
        <v>1.8244885811293069E-4</v>
      </c>
      <c r="U205">
        <f t="shared" si="6"/>
        <v>3.1311509738411764E-5</v>
      </c>
      <c r="V205">
        <f t="shared" si="6"/>
        <v>1.0628447482468523E-4</v>
      </c>
      <c r="W205">
        <f t="shared" si="6"/>
        <v>8.0798393467388223E-5</v>
      </c>
      <c r="X205">
        <f t="shared" si="6"/>
        <v>4.2059450059210181E-5</v>
      </c>
      <c r="Y205">
        <f t="shared" si="6"/>
        <v>6.1614426514743035E-5</v>
      </c>
      <c r="Z205">
        <f t="shared" si="6"/>
        <v>2.6244411795250017E-4</v>
      </c>
      <c r="AA205">
        <f t="shared" si="6"/>
        <v>6.0426988483000272E-4</v>
      </c>
      <c r="AB205">
        <f t="shared" si="6"/>
        <v>1.7886258705271921E-5</v>
      </c>
      <c r="AC205">
        <f t="shared" si="6"/>
        <v>8.4025811188010986E-4</v>
      </c>
      <c r="AD205">
        <f t="shared" si="6"/>
        <v>3.670390634062928E-3</v>
      </c>
      <c r="AE205">
        <f t="shared" si="6"/>
        <v>3.2058007145353655E-5</v>
      </c>
      <c r="AF205">
        <f t="shared" si="6"/>
        <v>2.1021296565635369E-5</v>
      </c>
      <c r="AG205">
        <f t="shared" si="6"/>
        <v>6.3328205792241159E-5</v>
      </c>
      <c r="AH205">
        <f t="shared" si="6"/>
        <v>8.0232615485826161E-6</v>
      </c>
      <c r="AI205">
        <f t="shared" si="6"/>
        <v>9.6936321271643388E-6</v>
      </c>
      <c r="AJ205">
        <f t="shared" si="6"/>
        <v>5.4995178879016655E-6</v>
      </c>
      <c r="AK205">
        <f t="shared" si="6"/>
        <v>4.0607921325685844E-6</v>
      </c>
      <c r="AL205">
        <f t="shared" si="6"/>
        <v>8.7540165758148464E-5</v>
      </c>
      <c r="AM205">
        <f t="shared" si="6"/>
        <v>3.668096181838631E-5</v>
      </c>
      <c r="AN205">
        <f t="shared" si="6"/>
        <v>7.6718326413359686E-5</v>
      </c>
      <c r="AO205">
        <f t="shared" si="6"/>
        <v>2.5586746821099122E-5</v>
      </c>
      <c r="AP205">
        <f t="shared" si="6"/>
        <v>2.8456708312671055E-5</v>
      </c>
      <c r="AQ205">
        <f t="shared" si="6"/>
        <v>3.7786303698549524E-5</v>
      </c>
      <c r="AR205">
        <f t="shared" si="6"/>
        <v>0</v>
      </c>
    </row>
    <row r="206" spans="1:53">
      <c r="A206" t="s">
        <v>384</v>
      </c>
      <c r="B206" t="s">
        <v>6</v>
      </c>
      <c r="C206">
        <f t="shared" ref="C206:AR206" si="7">IFERROR((C117)/C$198,0)</f>
        <v>4.303531521001449E-7</v>
      </c>
      <c r="D206">
        <f t="shared" si="7"/>
        <v>0</v>
      </c>
      <c r="E206">
        <f t="shared" si="7"/>
        <v>0</v>
      </c>
      <c r="F206">
        <f t="shared" si="7"/>
        <v>5.8926303818129859E-7</v>
      </c>
      <c r="G206">
        <f t="shared" si="7"/>
        <v>0</v>
      </c>
      <c r="H206">
        <f t="shared" si="7"/>
        <v>6.4758678422870808E-7</v>
      </c>
      <c r="I206">
        <f t="shared" si="7"/>
        <v>8.4471473304676375E-7</v>
      </c>
      <c r="J206">
        <f t="shared" si="7"/>
        <v>5.718140067442031E-7</v>
      </c>
      <c r="K206">
        <f t="shared" si="7"/>
        <v>5.2997769626720808E-7</v>
      </c>
      <c r="L206">
        <f t="shared" si="7"/>
        <v>4.9904592017100233E-7</v>
      </c>
      <c r="M206">
        <f t="shared" si="7"/>
        <v>6.8029504935047482E-7</v>
      </c>
      <c r="N206">
        <f t="shared" si="7"/>
        <v>5.4738913476966826E-7</v>
      </c>
      <c r="O206">
        <f t="shared" si="7"/>
        <v>6.4452909989120585E-7</v>
      </c>
      <c r="P206">
        <f t="shared" si="7"/>
        <v>0</v>
      </c>
      <c r="Q206">
        <f t="shared" si="7"/>
        <v>0</v>
      </c>
      <c r="R206">
        <f t="shared" si="7"/>
        <v>5.0215935128412055E-7</v>
      </c>
      <c r="S206">
        <f t="shared" si="7"/>
        <v>3.4025876679214545E-7</v>
      </c>
      <c r="T206">
        <f t="shared" si="7"/>
        <v>5.1162907301509668E-7</v>
      </c>
      <c r="U206">
        <f t="shared" si="7"/>
        <v>6.579891371198887E-7</v>
      </c>
      <c r="V206">
        <f t="shared" si="7"/>
        <v>6.1567740534851782E-7</v>
      </c>
      <c r="W206">
        <f t="shared" si="7"/>
        <v>6.2670591516911398E-7</v>
      </c>
      <c r="X206">
        <f t="shared" si="7"/>
        <v>3.7920559701541889E-7</v>
      </c>
      <c r="Y206">
        <f t="shared" si="7"/>
        <v>6.4716348023453379E-7</v>
      </c>
      <c r="Z206">
        <f t="shared" si="7"/>
        <v>5.5683674409760011E-7</v>
      </c>
      <c r="AA206">
        <f t="shared" si="7"/>
        <v>3.7454358002293536E-7</v>
      </c>
      <c r="AB206">
        <f t="shared" si="7"/>
        <v>1.9078675952290052E-7</v>
      </c>
      <c r="AC206">
        <f t="shared" si="7"/>
        <v>1.9984258000288013E-7</v>
      </c>
      <c r="AD206">
        <f t="shared" si="7"/>
        <v>4.5391095781987447E-7</v>
      </c>
      <c r="AE206">
        <f t="shared" si="7"/>
        <v>1.9669606106406442E-7</v>
      </c>
      <c r="AF206">
        <f t="shared" si="7"/>
        <v>2.5188917453375716E-7</v>
      </c>
      <c r="AG206">
        <f t="shared" si="7"/>
        <v>4.3547922753878096E-7</v>
      </c>
      <c r="AH206">
        <f t="shared" si="7"/>
        <v>1.3091568960391214E-7</v>
      </c>
      <c r="AI206">
        <f t="shared" si="7"/>
        <v>2.0981887721134934E-7</v>
      </c>
      <c r="AJ206">
        <f t="shared" si="7"/>
        <v>9.2273790065464201E-8</v>
      </c>
      <c r="AK206">
        <f t="shared" si="7"/>
        <v>2.9298644535126877E-8</v>
      </c>
      <c r="AL206">
        <f t="shared" si="7"/>
        <v>5.9618728098625504E-8</v>
      </c>
      <c r="AM206">
        <f t="shared" si="7"/>
        <v>1.0891856478639611E-7</v>
      </c>
      <c r="AN206">
        <f t="shared" si="7"/>
        <v>8.2207240634163853E-8</v>
      </c>
      <c r="AO206">
        <f t="shared" si="7"/>
        <v>8.6295942061042576E-8</v>
      </c>
      <c r="AP206">
        <f t="shared" si="7"/>
        <v>2.8339204294863089E-7</v>
      </c>
      <c r="AQ206">
        <f t="shared" si="7"/>
        <v>2.2665306417296202E-7</v>
      </c>
      <c r="AR206">
        <f t="shared" si="7"/>
        <v>0</v>
      </c>
    </row>
    <row r="207" spans="1:53">
      <c r="A207" t="s">
        <v>384</v>
      </c>
      <c r="B207" t="s">
        <v>7</v>
      </c>
      <c r="C207">
        <f t="shared" ref="C207:AR207" si="8">IFERROR((C118)/C$198,0)</f>
        <v>6.5777990993856131E-2</v>
      </c>
      <c r="D207">
        <f t="shared" si="8"/>
        <v>6.9470587550404979E-4</v>
      </c>
      <c r="E207">
        <f t="shared" si="8"/>
        <v>6.4566578903946454E-4</v>
      </c>
      <c r="F207">
        <f t="shared" si="8"/>
        <v>1.3320290978088255E-3</v>
      </c>
      <c r="G207">
        <f t="shared" si="8"/>
        <v>6.3724709256014018E-4</v>
      </c>
      <c r="H207">
        <f t="shared" si="8"/>
        <v>0.16086060291441939</v>
      </c>
      <c r="I207">
        <f t="shared" si="8"/>
        <v>2.7542225554822966E-3</v>
      </c>
      <c r="J207">
        <f t="shared" si="8"/>
        <v>8.5634865650011853E-4</v>
      </c>
      <c r="K207">
        <f t="shared" si="8"/>
        <v>1.8259245858394653E-3</v>
      </c>
      <c r="L207">
        <f t="shared" si="8"/>
        <v>2.4705972060773407E-4</v>
      </c>
      <c r="M207">
        <f t="shared" si="8"/>
        <v>6.00659436929193E-3</v>
      </c>
      <c r="N207">
        <f t="shared" si="8"/>
        <v>5.7808245997650297E-3</v>
      </c>
      <c r="O207">
        <f t="shared" si="8"/>
        <v>8.6288384022343916E-4</v>
      </c>
      <c r="P207">
        <f t="shared" si="8"/>
        <v>0</v>
      </c>
      <c r="Q207">
        <f t="shared" si="8"/>
        <v>8.543518351918916E-4</v>
      </c>
      <c r="R207">
        <f t="shared" si="8"/>
        <v>2.6662018609232673E-4</v>
      </c>
      <c r="S207">
        <f t="shared" si="8"/>
        <v>4.8819126946042464E-4</v>
      </c>
      <c r="T207">
        <f t="shared" si="8"/>
        <v>4.1213169838176452E-4</v>
      </c>
      <c r="U207">
        <f t="shared" si="8"/>
        <v>2.1288726762185126E-4</v>
      </c>
      <c r="V207">
        <f t="shared" si="8"/>
        <v>3.9944812701529455E-4</v>
      </c>
      <c r="W207">
        <f t="shared" si="8"/>
        <v>4.1649941730350764E-4</v>
      </c>
      <c r="X207">
        <f t="shared" si="8"/>
        <v>2.3829372205618927E-4</v>
      </c>
      <c r="Y207">
        <f t="shared" si="8"/>
        <v>4.0197778515395377E-4</v>
      </c>
      <c r="Z207">
        <f t="shared" si="8"/>
        <v>1.3636583839985166E-3</v>
      </c>
      <c r="AA207">
        <f t="shared" si="8"/>
        <v>4.6913456115772766E-4</v>
      </c>
      <c r="AB207">
        <f t="shared" si="8"/>
        <v>5.3968804600040474E-4</v>
      </c>
      <c r="AC207">
        <f t="shared" si="8"/>
        <v>1.1412610058804478E-3</v>
      </c>
      <c r="AD207">
        <f t="shared" si="8"/>
        <v>4.7510735025384844E-4</v>
      </c>
      <c r="AE207">
        <f t="shared" si="8"/>
        <v>5.4199703150445613E-3</v>
      </c>
      <c r="AF207">
        <f t="shared" si="8"/>
        <v>1.8157240321133659E-3</v>
      </c>
      <c r="AG207">
        <f t="shared" si="8"/>
        <v>0.2141455560739724</v>
      </c>
      <c r="AH207">
        <f t="shared" si="8"/>
        <v>1.8575627197899092E-3</v>
      </c>
      <c r="AI207">
        <f t="shared" si="8"/>
        <v>9.8142779815608636E-4</v>
      </c>
      <c r="AJ207">
        <f t="shared" si="8"/>
        <v>1.1347461607090525E-3</v>
      </c>
      <c r="AK207">
        <f t="shared" si="8"/>
        <v>7.2368823947544783E-4</v>
      </c>
      <c r="AL207">
        <f t="shared" si="8"/>
        <v>5.95079366289089E-4</v>
      </c>
      <c r="AM207">
        <f t="shared" si="8"/>
        <v>1.2593515810812108E-3</v>
      </c>
      <c r="AN207">
        <f t="shared" si="8"/>
        <v>2.1072181991755221E-3</v>
      </c>
      <c r="AO207">
        <f t="shared" si="8"/>
        <v>5.0235888231705012E-3</v>
      </c>
      <c r="AP207">
        <f t="shared" si="8"/>
        <v>5.8713094338086868E-3</v>
      </c>
      <c r="AQ207">
        <f t="shared" si="8"/>
        <v>6.0098031335735907E-3</v>
      </c>
      <c r="AR207">
        <f t="shared" si="8"/>
        <v>0</v>
      </c>
    </row>
    <row r="208" spans="1:53">
      <c r="A208" t="s">
        <v>384</v>
      </c>
      <c r="B208" t="s">
        <v>8</v>
      </c>
      <c r="C208">
        <f t="shared" ref="C208:AR208" si="9">IFERROR((C119)/C$198,0)</f>
        <v>3.1024696676339573E-3</v>
      </c>
      <c r="D208">
        <f t="shared" si="9"/>
        <v>3.0233289218863399E-3</v>
      </c>
      <c r="E208">
        <f t="shared" si="9"/>
        <v>1.6859051158252686E-3</v>
      </c>
      <c r="F208">
        <f t="shared" si="9"/>
        <v>2.6189795731967822E-3</v>
      </c>
      <c r="G208">
        <f t="shared" si="9"/>
        <v>1.8055334289203975E-3</v>
      </c>
      <c r="H208">
        <f t="shared" si="9"/>
        <v>1.855351374151348E-3</v>
      </c>
      <c r="I208">
        <f t="shared" si="9"/>
        <v>0.28987051277351972</v>
      </c>
      <c r="J208">
        <f t="shared" si="9"/>
        <v>3.5282067844130817E-3</v>
      </c>
      <c r="K208">
        <f t="shared" si="9"/>
        <v>7.6748341529438409E-3</v>
      </c>
      <c r="L208">
        <f t="shared" si="9"/>
        <v>2.7619632471617944E-4</v>
      </c>
      <c r="M208">
        <f t="shared" si="9"/>
        <v>3.4911052609389458E-3</v>
      </c>
      <c r="N208">
        <f t="shared" si="9"/>
        <v>1.8485026976096824E-3</v>
      </c>
      <c r="O208">
        <f t="shared" si="9"/>
        <v>7.8013450689504334E-3</v>
      </c>
      <c r="P208">
        <f t="shared" si="9"/>
        <v>5.6094693575999104E-3</v>
      </c>
      <c r="Q208">
        <f t="shared" si="9"/>
        <v>4.2490689814366159E-3</v>
      </c>
      <c r="R208">
        <f t="shared" si="9"/>
        <v>9.3269492141140082E-4</v>
      </c>
      <c r="S208">
        <f t="shared" si="9"/>
        <v>9.5888923526341789E-4</v>
      </c>
      <c r="T208">
        <f t="shared" si="9"/>
        <v>1.8109448907625112E-3</v>
      </c>
      <c r="U208">
        <f t="shared" si="9"/>
        <v>9.3430948195626215E-4</v>
      </c>
      <c r="V208">
        <f t="shared" si="9"/>
        <v>1.6509347454735208E-3</v>
      </c>
      <c r="W208">
        <f t="shared" si="9"/>
        <v>1.9024858130115164E-3</v>
      </c>
      <c r="X208">
        <f t="shared" si="9"/>
        <v>5.5901887932408014E-3</v>
      </c>
      <c r="Y208">
        <f t="shared" si="9"/>
        <v>4.2433170440053765E-3</v>
      </c>
      <c r="Z208">
        <f t="shared" si="9"/>
        <v>2.5073105704040713E-2</v>
      </c>
      <c r="AA208">
        <f t="shared" si="9"/>
        <v>8.8983127382898932E-4</v>
      </c>
      <c r="AB208">
        <f t="shared" si="9"/>
        <v>5.6372717770029033E-4</v>
      </c>
      <c r="AC208">
        <f t="shared" si="9"/>
        <v>2.6880425751027405E-3</v>
      </c>
      <c r="AD208">
        <f t="shared" si="9"/>
        <v>2.1623693382431725E-3</v>
      </c>
      <c r="AE208">
        <f t="shared" si="9"/>
        <v>4.8365559946961902E-3</v>
      </c>
      <c r="AF208">
        <f t="shared" si="9"/>
        <v>1.494160785302514E-3</v>
      </c>
      <c r="AG208">
        <f t="shared" si="9"/>
        <v>5.5407723210491675E-3</v>
      </c>
      <c r="AH208">
        <f t="shared" si="9"/>
        <v>1.2708547057092912E-3</v>
      </c>
      <c r="AI208">
        <f t="shared" si="9"/>
        <v>1.2829794884842377E-3</v>
      </c>
      <c r="AJ208">
        <f t="shared" si="9"/>
        <v>9.6878252189730853E-4</v>
      </c>
      <c r="AK208">
        <f t="shared" si="9"/>
        <v>6.5530520313046169E-4</v>
      </c>
      <c r="AL208">
        <f t="shared" si="9"/>
        <v>9.4876747073418491E-4</v>
      </c>
      <c r="AM208">
        <f t="shared" si="9"/>
        <v>2.6710240182651517E-3</v>
      </c>
      <c r="AN208">
        <f t="shared" si="9"/>
        <v>3.6593984041247501E-3</v>
      </c>
      <c r="AO208">
        <f t="shared" si="9"/>
        <v>2.5325183820712103E-3</v>
      </c>
      <c r="AP208">
        <f t="shared" si="9"/>
        <v>5.0652733436523049E-3</v>
      </c>
      <c r="AQ208">
        <f t="shared" si="9"/>
        <v>1.1695449213367622E-2</v>
      </c>
      <c r="AR208">
        <f t="shared" si="9"/>
        <v>0</v>
      </c>
    </row>
    <row r="209" spans="1:44">
      <c r="A209" t="s">
        <v>384</v>
      </c>
      <c r="B209" t="s">
        <v>9</v>
      </c>
      <c r="C209">
        <f t="shared" ref="C209:AR209" si="10">IFERROR((C120)/C$198,0)</f>
        <v>9.2897107295217534E-4</v>
      </c>
      <c r="D209">
        <f t="shared" si="10"/>
        <v>1.2225270993507023E-3</v>
      </c>
      <c r="E209">
        <f t="shared" si="10"/>
        <v>2.6544037993844651E-4</v>
      </c>
      <c r="F209">
        <f t="shared" si="10"/>
        <v>9.0275097449374949E-4</v>
      </c>
      <c r="G209">
        <f t="shared" si="10"/>
        <v>3.1862354628007009E-4</v>
      </c>
      <c r="H209">
        <f t="shared" si="10"/>
        <v>1.1796136114788156E-3</v>
      </c>
      <c r="I209">
        <f t="shared" si="10"/>
        <v>7.5816164129279364E-4</v>
      </c>
      <c r="J209">
        <f t="shared" si="10"/>
        <v>0.13687248844992886</v>
      </c>
      <c r="K209">
        <f t="shared" si="10"/>
        <v>6.0276382359122022E-3</v>
      </c>
      <c r="L209">
        <f t="shared" si="10"/>
        <v>2.1196655558032445E-5</v>
      </c>
      <c r="M209">
        <f t="shared" si="10"/>
        <v>8.7860333910543139E-4</v>
      </c>
      <c r="N209">
        <f t="shared" si="10"/>
        <v>2.4735906790091563E-4</v>
      </c>
      <c r="O209">
        <f t="shared" si="10"/>
        <v>9.8096157132350828E-4</v>
      </c>
      <c r="P209">
        <f t="shared" si="10"/>
        <v>5.271916665816642E-3</v>
      </c>
      <c r="Q209">
        <f t="shared" si="10"/>
        <v>2.9952029176462118E-3</v>
      </c>
      <c r="R209">
        <f t="shared" si="10"/>
        <v>2.1510920842639249E-4</v>
      </c>
      <c r="S209">
        <f t="shared" si="10"/>
        <v>5.4153183496048751E-4</v>
      </c>
      <c r="T209">
        <f t="shared" si="10"/>
        <v>1.1536945995128346E-3</v>
      </c>
      <c r="U209">
        <f t="shared" si="10"/>
        <v>2.489362991475262E-4</v>
      </c>
      <c r="V209">
        <f t="shared" si="10"/>
        <v>7.8769598561548174E-4</v>
      </c>
      <c r="W209">
        <f t="shared" si="10"/>
        <v>6.4370697988912716E-4</v>
      </c>
      <c r="X209">
        <f t="shared" si="10"/>
        <v>1.1803282897539932E-3</v>
      </c>
      <c r="Y209">
        <f t="shared" si="10"/>
        <v>4.0052724631894528E-3</v>
      </c>
      <c r="Z209">
        <f t="shared" si="10"/>
        <v>3.4644990125892436E-2</v>
      </c>
      <c r="AA209">
        <f t="shared" si="10"/>
        <v>5.2606518532121393E-4</v>
      </c>
      <c r="AB209">
        <f t="shared" si="10"/>
        <v>1.3998978479992825E-4</v>
      </c>
      <c r="AC209">
        <f t="shared" si="10"/>
        <v>3.4620728559698959E-4</v>
      </c>
      <c r="AD209">
        <f t="shared" si="10"/>
        <v>1.2979238200240053E-2</v>
      </c>
      <c r="AE209">
        <f t="shared" si="10"/>
        <v>8.1933571695831588E-4</v>
      </c>
      <c r="AF209">
        <f t="shared" si="10"/>
        <v>4.4074499139176379E-4</v>
      </c>
      <c r="AG209">
        <f t="shared" si="10"/>
        <v>8.4357769864606101E-4</v>
      </c>
      <c r="AH209">
        <f t="shared" si="10"/>
        <v>3.1623619935893579E-4</v>
      </c>
      <c r="AI209">
        <f t="shared" si="10"/>
        <v>1.2339448168799454E-4</v>
      </c>
      <c r="AJ209">
        <f t="shared" si="10"/>
        <v>9.0206857167997792E-5</v>
      </c>
      <c r="AK209">
        <f t="shared" si="10"/>
        <v>5.1436700345868741E-5</v>
      </c>
      <c r="AL209">
        <f t="shared" si="10"/>
        <v>1.9878722192198119E-3</v>
      </c>
      <c r="AM209">
        <f t="shared" si="10"/>
        <v>4.5448203583273216E-4</v>
      </c>
      <c r="AN209">
        <f t="shared" si="10"/>
        <v>1.069010309938877E-4</v>
      </c>
      <c r="AO209">
        <f t="shared" si="10"/>
        <v>2.9867025547326831E-4</v>
      </c>
      <c r="AP209">
        <f t="shared" si="10"/>
        <v>2.6508906417477783E-4</v>
      </c>
      <c r="AQ209">
        <f t="shared" si="10"/>
        <v>1.6473576424213114E-3</v>
      </c>
      <c r="AR209">
        <f t="shared" si="10"/>
        <v>0</v>
      </c>
    </row>
    <row r="210" spans="1:44">
      <c r="A210" t="s">
        <v>384</v>
      </c>
      <c r="B210" t="s">
        <v>10</v>
      </c>
      <c r="C210">
        <f t="shared" ref="C210:AR210" si="11">IFERROR((C121)/C$198,0)</f>
        <v>1.6786104011479526E-3</v>
      </c>
      <c r="D210">
        <f t="shared" si="11"/>
        <v>7.8008872053806722E-4</v>
      </c>
      <c r="E210">
        <f t="shared" si="11"/>
        <v>1.1550243559483755E-3</v>
      </c>
      <c r="F210">
        <f t="shared" si="11"/>
        <v>1.4410427598723658E-3</v>
      </c>
      <c r="G210">
        <f t="shared" si="11"/>
        <v>7.9655886570017523E-4</v>
      </c>
      <c r="H210">
        <f t="shared" si="11"/>
        <v>2.1015455847117837E-2</v>
      </c>
      <c r="I210">
        <f t="shared" si="11"/>
        <v>5.8868018904112349E-3</v>
      </c>
      <c r="J210">
        <f t="shared" si="11"/>
        <v>9.9566542110327613E-3</v>
      </c>
      <c r="K210">
        <f t="shared" si="11"/>
        <v>0.23080945083483981</v>
      </c>
      <c r="L210">
        <f t="shared" si="11"/>
        <v>2.2934998846628102E-4</v>
      </c>
      <c r="M210">
        <f t="shared" si="11"/>
        <v>4.353203455055102E-3</v>
      </c>
      <c r="N210">
        <f t="shared" si="11"/>
        <v>8.7965129852410825E-3</v>
      </c>
      <c r="O210">
        <f t="shared" si="11"/>
        <v>5.6711998312318134E-3</v>
      </c>
      <c r="P210">
        <f t="shared" si="11"/>
        <v>1.1251186917214903E-2</v>
      </c>
      <c r="Q210">
        <f t="shared" si="11"/>
        <v>1.0813279449676381E-2</v>
      </c>
      <c r="R210">
        <f t="shared" si="11"/>
        <v>8.0600099806373525E-4</v>
      </c>
      <c r="S210">
        <f t="shared" si="11"/>
        <v>1.7934639293182466E-3</v>
      </c>
      <c r="T210">
        <f t="shared" si="11"/>
        <v>3.1746583980586749E-3</v>
      </c>
      <c r="U210">
        <f t="shared" si="11"/>
        <v>2.2948701757311181E-3</v>
      </c>
      <c r="V210">
        <f t="shared" si="11"/>
        <v>3.7787074244209386E-3</v>
      </c>
      <c r="W210">
        <f t="shared" si="11"/>
        <v>2.9292367816688468E-3</v>
      </c>
      <c r="X210">
        <f t="shared" si="11"/>
        <v>2.0188443539250881E-3</v>
      </c>
      <c r="Y210">
        <f t="shared" si="11"/>
        <v>2.0988850622930552E-3</v>
      </c>
      <c r="Z210">
        <f t="shared" si="11"/>
        <v>1.2015910496289101E-2</v>
      </c>
      <c r="AA210">
        <f t="shared" si="11"/>
        <v>1.2206188001157453E-3</v>
      </c>
      <c r="AB210">
        <f t="shared" si="11"/>
        <v>7.6317088643654231E-4</v>
      </c>
      <c r="AC210">
        <f t="shared" si="11"/>
        <v>2.5020690701520599E-3</v>
      </c>
      <c r="AD210">
        <f t="shared" si="11"/>
        <v>1.5621574651010247E-3</v>
      </c>
      <c r="AE210">
        <f t="shared" si="11"/>
        <v>8.5134506770961679E-3</v>
      </c>
      <c r="AF210">
        <f t="shared" si="11"/>
        <v>2.8755362844562157E-3</v>
      </c>
      <c r="AG210">
        <f t="shared" si="11"/>
        <v>5.4112716857598227E-3</v>
      </c>
      <c r="AH210">
        <f t="shared" si="11"/>
        <v>5.6368387174997821E-2</v>
      </c>
      <c r="AI210">
        <f t="shared" si="11"/>
        <v>5.9279917559645311E-3</v>
      </c>
      <c r="AJ210">
        <f t="shared" si="11"/>
        <v>8.2834181341767208E-3</v>
      </c>
      <c r="AK210">
        <f t="shared" si="11"/>
        <v>6.3751565214162339E-3</v>
      </c>
      <c r="AL210">
        <f t="shared" si="11"/>
        <v>1.0839628731525012E-3</v>
      </c>
      <c r="AM210">
        <f t="shared" si="11"/>
        <v>8.6702655937040303E-3</v>
      </c>
      <c r="AN210">
        <f t="shared" si="11"/>
        <v>6.3389307653275309E-3</v>
      </c>
      <c r="AO210">
        <f t="shared" si="11"/>
        <v>1.3251035309676095E-2</v>
      </c>
      <c r="AP210">
        <f t="shared" si="11"/>
        <v>4.9851217795051752E-3</v>
      </c>
      <c r="AQ210">
        <f t="shared" si="11"/>
        <v>9.3068389140732229E-3</v>
      </c>
      <c r="AR210">
        <f t="shared" si="11"/>
        <v>0</v>
      </c>
    </row>
    <row r="211" spans="1:44">
      <c r="A211" t="s">
        <v>384</v>
      </c>
      <c r="B211" t="s">
        <v>11</v>
      </c>
      <c r="C211">
        <f t="shared" ref="C211:AR211" si="12">IFERROR((C122)/C$198,0)</f>
        <v>4.8222917625098997E-2</v>
      </c>
      <c r="D211">
        <f t="shared" si="12"/>
        <v>4.2730232901115023E-2</v>
      </c>
      <c r="E211">
        <f t="shared" si="12"/>
        <v>2.4736173784534153E-2</v>
      </c>
      <c r="F211">
        <f t="shared" si="12"/>
        <v>6.4065561405628052E-2</v>
      </c>
      <c r="G211">
        <f t="shared" si="12"/>
        <v>3.8287929477988425E-2</v>
      </c>
      <c r="H211">
        <f t="shared" si="12"/>
        <v>1.5233671520167084E-2</v>
      </c>
      <c r="I211">
        <f t="shared" si="12"/>
        <v>1.2201828897902195E-2</v>
      </c>
      <c r="J211">
        <f t="shared" si="12"/>
        <v>2.4622196767604035E-2</v>
      </c>
      <c r="K211">
        <f t="shared" si="12"/>
        <v>1.7277348609410447E-2</v>
      </c>
      <c r="L211">
        <f t="shared" si="12"/>
        <v>7.5778856169092426E-2</v>
      </c>
      <c r="M211">
        <f t="shared" si="12"/>
        <v>8.9863455834747738E-2</v>
      </c>
      <c r="N211">
        <f t="shared" si="12"/>
        <v>1.0420069158967918E-2</v>
      </c>
      <c r="O211">
        <f t="shared" si="12"/>
        <v>2.5399637924645363E-2</v>
      </c>
      <c r="P211">
        <f t="shared" si="12"/>
        <v>4.4101972094917674E-2</v>
      </c>
      <c r="Q211">
        <f t="shared" si="12"/>
        <v>3.5283336858127193E-2</v>
      </c>
      <c r="R211">
        <f t="shared" si="12"/>
        <v>2.9846369632362531E-2</v>
      </c>
      <c r="S211">
        <f t="shared" si="12"/>
        <v>1.4707164798829509E-2</v>
      </c>
      <c r="T211">
        <f t="shared" si="12"/>
        <v>7.7767426030719965E-3</v>
      </c>
      <c r="U211">
        <f t="shared" si="12"/>
        <v>2.1817399100889719E-3</v>
      </c>
      <c r="V211">
        <f t="shared" si="12"/>
        <v>8.6550664553335706E-3</v>
      </c>
      <c r="W211">
        <f t="shared" si="12"/>
        <v>5.1135669123171619E-3</v>
      </c>
      <c r="X211">
        <f t="shared" si="12"/>
        <v>7.2891038592058826E-3</v>
      </c>
      <c r="Y211">
        <f t="shared" si="12"/>
        <v>7.1089123025197378E-3</v>
      </c>
      <c r="Z211">
        <f t="shared" si="12"/>
        <v>1.4129593172290577E-2</v>
      </c>
      <c r="AA211">
        <f t="shared" si="12"/>
        <v>5.437594667645524E-2</v>
      </c>
      <c r="AB211">
        <f t="shared" si="12"/>
        <v>7.3879024643711086E-2</v>
      </c>
      <c r="AC211">
        <f t="shared" si="12"/>
        <v>2.7780556699876377E-2</v>
      </c>
      <c r="AD211">
        <f t="shared" si="12"/>
        <v>1.5826600817040556E-2</v>
      </c>
      <c r="AE211">
        <f t="shared" si="12"/>
        <v>1.7540916473065979E-2</v>
      </c>
      <c r="AF211">
        <f t="shared" si="12"/>
        <v>9.5557692440829525E-2</v>
      </c>
      <c r="AG211">
        <f t="shared" si="12"/>
        <v>1.0410790957518798E-2</v>
      </c>
      <c r="AH211">
        <f t="shared" si="12"/>
        <v>4.5887071340653526E-3</v>
      </c>
      <c r="AI211">
        <f t="shared" si="12"/>
        <v>5.9606185913708967E-3</v>
      </c>
      <c r="AJ211">
        <f t="shared" si="12"/>
        <v>4.750623807730359E-3</v>
      </c>
      <c r="AK211">
        <f t="shared" si="12"/>
        <v>3.9793887785921885E-3</v>
      </c>
      <c r="AL211">
        <f t="shared" si="12"/>
        <v>2.4577969705478612E-3</v>
      </c>
      <c r="AM211">
        <f t="shared" si="12"/>
        <v>9.207989521050286E-3</v>
      </c>
      <c r="AN211">
        <f t="shared" si="12"/>
        <v>1.1311336893227251E-2</v>
      </c>
      <c r="AO211">
        <f t="shared" si="12"/>
        <v>7.3151171574420441E-3</v>
      </c>
      <c r="AP211">
        <f t="shared" si="12"/>
        <v>6.8760655540814871E-3</v>
      </c>
      <c r="AQ211">
        <f t="shared" si="12"/>
        <v>1.4384623061761479E-2</v>
      </c>
      <c r="AR211">
        <f t="shared" si="12"/>
        <v>0</v>
      </c>
    </row>
    <row r="212" spans="1:44">
      <c r="A212" t="s">
        <v>384</v>
      </c>
      <c r="B212" t="s">
        <v>58</v>
      </c>
      <c r="C212">
        <f t="shared" ref="C212:AR212" si="13">IFERROR((C123)/C$198,0)</f>
        <v>6.8589936421059816E-2</v>
      </c>
      <c r="D212">
        <f t="shared" si="13"/>
        <v>2.3274587348590989E-2</v>
      </c>
      <c r="E212">
        <f t="shared" si="13"/>
        <v>1.2145690898264595E-2</v>
      </c>
      <c r="F212">
        <f t="shared" si="13"/>
        <v>3.8445288400062463E-2</v>
      </c>
      <c r="G212">
        <f t="shared" si="13"/>
        <v>1.582496946524348E-2</v>
      </c>
      <c r="H212">
        <f t="shared" si="13"/>
        <v>2.0609937002833818E-2</v>
      </c>
      <c r="I212">
        <f t="shared" si="13"/>
        <v>7.932340461669786E-2</v>
      </c>
      <c r="J212">
        <f t="shared" si="13"/>
        <v>5.7755730662794186E-2</v>
      </c>
      <c r="K212">
        <f t="shared" si="13"/>
        <v>6.65876596106698E-2</v>
      </c>
      <c r="L212">
        <f t="shared" si="13"/>
        <v>1.7544931823353458E-2</v>
      </c>
      <c r="M212">
        <f t="shared" si="13"/>
        <v>0.28161529932247087</v>
      </c>
      <c r="N212">
        <f t="shared" si="13"/>
        <v>6.9238035236715859E-2</v>
      </c>
      <c r="O212">
        <f t="shared" si="13"/>
        <v>0.23511263755393563</v>
      </c>
      <c r="P212">
        <f t="shared" si="13"/>
        <v>0.35259688303424547</v>
      </c>
      <c r="Q212">
        <f t="shared" si="13"/>
        <v>5.5451576460084067E-3</v>
      </c>
      <c r="R212">
        <f t="shared" si="13"/>
        <v>1.2471242016712479E-2</v>
      </c>
      <c r="S212">
        <f t="shared" si="13"/>
        <v>1.8916946337689814E-2</v>
      </c>
      <c r="T212">
        <f t="shared" si="13"/>
        <v>1.7560364725113815E-2</v>
      </c>
      <c r="U212">
        <f t="shared" si="13"/>
        <v>1.1587489917486232E-2</v>
      </c>
      <c r="V212">
        <f t="shared" si="13"/>
        <v>2.1671085613932467E-2</v>
      </c>
      <c r="W212">
        <f t="shared" si="13"/>
        <v>1.1185193824738596E-2</v>
      </c>
      <c r="X212">
        <f t="shared" si="13"/>
        <v>1.6927455758799784E-2</v>
      </c>
      <c r="Y212">
        <f t="shared" si="13"/>
        <v>2.5503262217207969E-2</v>
      </c>
      <c r="Z212">
        <f t="shared" si="13"/>
        <v>5.0982232174750966E-2</v>
      </c>
      <c r="AA212">
        <f t="shared" si="13"/>
        <v>5.3341092128441365E-3</v>
      </c>
      <c r="AB212">
        <f t="shared" si="13"/>
        <v>4.4291623190140161E-3</v>
      </c>
      <c r="AC212">
        <f t="shared" si="13"/>
        <v>2.2131006963194953E-2</v>
      </c>
      <c r="AD212">
        <f t="shared" si="13"/>
        <v>1.366666760641504E-2</v>
      </c>
      <c r="AE212">
        <f t="shared" si="13"/>
        <v>4.6947967984065104E-3</v>
      </c>
      <c r="AF212">
        <f t="shared" si="13"/>
        <v>7.2409817702690279E-3</v>
      </c>
      <c r="AG212">
        <f t="shared" si="13"/>
        <v>7.1717577023517167E-3</v>
      </c>
      <c r="AH212">
        <f t="shared" si="13"/>
        <v>7.4598565272514942E-3</v>
      </c>
      <c r="AI212">
        <f t="shared" si="13"/>
        <v>1.0908483426218052E-3</v>
      </c>
      <c r="AJ212">
        <f t="shared" si="13"/>
        <v>2.3725436901632156E-3</v>
      </c>
      <c r="AK212">
        <f t="shared" si="13"/>
        <v>7.3276495955243014E-4</v>
      </c>
      <c r="AL212">
        <f t="shared" si="13"/>
        <v>5.3567427196615025E-3</v>
      </c>
      <c r="AM212">
        <f t="shared" si="13"/>
        <v>6.9186337213071169E-3</v>
      </c>
      <c r="AN212">
        <f t="shared" si="13"/>
        <v>2.4512934430328676E-3</v>
      </c>
      <c r="AO212">
        <f t="shared" si="13"/>
        <v>4.8769892767972032E-3</v>
      </c>
      <c r="AP212">
        <f t="shared" si="13"/>
        <v>1.1803147260790573E-2</v>
      </c>
      <c r="AQ212">
        <f t="shared" si="13"/>
        <v>1.5739868076476069E-2</v>
      </c>
      <c r="AR212">
        <f t="shared" si="13"/>
        <v>0</v>
      </c>
    </row>
    <row r="213" spans="1:44">
      <c r="A213" t="s">
        <v>384</v>
      </c>
      <c r="B213" t="s">
        <v>59</v>
      </c>
      <c r="C213">
        <f t="shared" ref="C213:AR213" si="14">IFERROR((C124)/C$198,0)</f>
        <v>4.8646403058146886E-3</v>
      </c>
      <c r="D213">
        <f t="shared" si="14"/>
        <v>1.0517614092826677E-3</v>
      </c>
      <c r="E213">
        <f t="shared" si="14"/>
        <v>8.3936552575130394E-4</v>
      </c>
      <c r="F213">
        <f t="shared" si="14"/>
        <v>8.1200446661382946E-4</v>
      </c>
      <c r="G213">
        <f t="shared" si="14"/>
        <v>3.1862354628007009E-4</v>
      </c>
      <c r="H213">
        <f t="shared" si="14"/>
        <v>2.7786577551004907E-3</v>
      </c>
      <c r="I213">
        <f t="shared" si="14"/>
        <v>6.7240801169688553E-4</v>
      </c>
      <c r="J213">
        <f t="shared" si="14"/>
        <v>3.2604834664554458E-4</v>
      </c>
      <c r="K213">
        <f t="shared" si="14"/>
        <v>2.1047685651754834E-4</v>
      </c>
      <c r="L213">
        <f t="shared" si="14"/>
        <v>5.7620609705898041E-5</v>
      </c>
      <c r="M213">
        <f t="shared" si="14"/>
        <v>2.6858870381302269E-3</v>
      </c>
      <c r="N213">
        <f t="shared" si="14"/>
        <v>0.14786370290320902</v>
      </c>
      <c r="O213">
        <f t="shared" si="14"/>
        <v>3.6898705033226178E-4</v>
      </c>
      <c r="P213">
        <f t="shared" si="14"/>
        <v>0</v>
      </c>
      <c r="Q213">
        <f t="shared" si="14"/>
        <v>0</v>
      </c>
      <c r="R213">
        <f t="shared" si="14"/>
        <v>1.767072327729279E-4</v>
      </c>
      <c r="S213">
        <f t="shared" si="14"/>
        <v>2.0501591460305563E-4</v>
      </c>
      <c r="T213">
        <f t="shared" si="14"/>
        <v>1.4993627852963171E-4</v>
      </c>
      <c r="U213">
        <f t="shared" si="14"/>
        <v>1.3911937436029932E-4</v>
      </c>
      <c r="V213">
        <f t="shared" si="14"/>
        <v>1.2127158097953886E-4</v>
      </c>
      <c r="W213">
        <f t="shared" si="14"/>
        <v>4.6137556108013855E-4</v>
      </c>
      <c r="X213">
        <f t="shared" si="14"/>
        <v>1.3204678801436915E-4</v>
      </c>
      <c r="Y213">
        <f t="shared" si="14"/>
        <v>1.7692110590687533E-4</v>
      </c>
      <c r="Z213">
        <f t="shared" si="14"/>
        <v>1.6940365847309239E-3</v>
      </c>
      <c r="AA213">
        <f t="shared" si="14"/>
        <v>2.5998942607292056E-4</v>
      </c>
      <c r="AB213">
        <f t="shared" si="14"/>
        <v>1.6386197808523117E-4</v>
      </c>
      <c r="AC213">
        <f t="shared" si="14"/>
        <v>1.3859082923199737E-3</v>
      </c>
      <c r="AD213">
        <f t="shared" si="14"/>
        <v>1.7932814290456199E-4</v>
      </c>
      <c r="AE213">
        <f t="shared" si="14"/>
        <v>7.6165200894521244E-4</v>
      </c>
      <c r="AF213">
        <f t="shared" si="14"/>
        <v>3.6916266779244333E-4</v>
      </c>
      <c r="AG213">
        <f t="shared" si="14"/>
        <v>8.7938906074819549E-4</v>
      </c>
      <c r="AH213">
        <f t="shared" si="14"/>
        <v>3.9996613398132357E-4</v>
      </c>
      <c r="AI213">
        <f t="shared" si="14"/>
        <v>5.1669996702066886E-4</v>
      </c>
      <c r="AJ213">
        <f t="shared" si="14"/>
        <v>1.4715085849319708E-3</v>
      </c>
      <c r="AK213">
        <f t="shared" si="14"/>
        <v>3.0287180801742052E-4</v>
      </c>
      <c r="AL213">
        <f t="shared" si="14"/>
        <v>1.6776213264219064E-4</v>
      </c>
      <c r="AM213">
        <f t="shared" si="14"/>
        <v>2.2214222368352678E-3</v>
      </c>
      <c r="AN213">
        <f t="shared" si="14"/>
        <v>2.7040870316168164E-3</v>
      </c>
      <c r="AO213">
        <f t="shared" si="14"/>
        <v>1.5141313402146407E-3</v>
      </c>
      <c r="AP213">
        <f t="shared" si="14"/>
        <v>7.6701134696210357E-2</v>
      </c>
      <c r="AQ213">
        <f t="shared" si="14"/>
        <v>1.9664419847646181E-3</v>
      </c>
      <c r="AR213">
        <f t="shared" si="14"/>
        <v>0</v>
      </c>
    </row>
    <row r="214" spans="1:44">
      <c r="A214" t="s">
        <v>384</v>
      </c>
      <c r="B214" t="s">
        <v>12</v>
      </c>
      <c r="C214">
        <f t="shared" ref="C214:AR214" si="15">IFERROR((C125)/C$198,0)</f>
        <v>8.2827560791327633E-3</v>
      </c>
      <c r="D214">
        <f t="shared" si="15"/>
        <v>1.1720736000124193E-2</v>
      </c>
      <c r="E214">
        <f t="shared" si="15"/>
        <v>6.9444942643355741E-3</v>
      </c>
      <c r="F214">
        <f t="shared" si="15"/>
        <v>1.0092602686450193E-2</v>
      </c>
      <c r="G214">
        <f t="shared" si="15"/>
        <v>4.7262492698210397E-3</v>
      </c>
      <c r="H214">
        <f t="shared" si="15"/>
        <v>3.8756987185225113E-2</v>
      </c>
      <c r="I214">
        <f t="shared" si="15"/>
        <v>1.8753496704179543E-2</v>
      </c>
      <c r="J214">
        <f t="shared" si="15"/>
        <v>1.9810153175248871E-2</v>
      </c>
      <c r="K214">
        <f t="shared" si="15"/>
        <v>2.6726573326490057E-2</v>
      </c>
      <c r="L214">
        <f t="shared" si="15"/>
        <v>1.0215661926638946E-3</v>
      </c>
      <c r="M214">
        <f t="shared" si="15"/>
        <v>1.8206836852015653E-2</v>
      </c>
      <c r="N214">
        <f t="shared" si="15"/>
        <v>2.0141943476537125E-2</v>
      </c>
      <c r="O214">
        <f t="shared" si="15"/>
        <v>0.12790186629611788</v>
      </c>
      <c r="P214">
        <f t="shared" si="15"/>
        <v>7.2150002761059345E-2</v>
      </c>
      <c r="Q214">
        <f t="shared" si="15"/>
        <v>9.6205276651423234E-3</v>
      </c>
      <c r="R214">
        <f t="shared" si="15"/>
        <v>2.7449439711298893E-3</v>
      </c>
      <c r="S214">
        <f t="shared" si="15"/>
        <v>6.3895192293739389E-3</v>
      </c>
      <c r="T214">
        <f t="shared" si="15"/>
        <v>1.547798613104869E-2</v>
      </c>
      <c r="U214">
        <f t="shared" si="15"/>
        <v>1.3591464557894728E-2</v>
      </c>
      <c r="V214">
        <f t="shared" si="15"/>
        <v>3.2311787606948542E-2</v>
      </c>
      <c r="W214">
        <f t="shared" si="15"/>
        <v>2.3503505279523971E-2</v>
      </c>
      <c r="X214">
        <f t="shared" si="15"/>
        <v>4.7825687363094636E-2</v>
      </c>
      <c r="Y214">
        <f t="shared" si="15"/>
        <v>1.9477835476493306E-2</v>
      </c>
      <c r="Z214">
        <f t="shared" si="15"/>
        <v>4.3549122884681615E-2</v>
      </c>
      <c r="AA214">
        <f t="shared" si="15"/>
        <v>1.3353414986767705E-3</v>
      </c>
      <c r="AB214">
        <f t="shared" si="15"/>
        <v>6.4316124502764981E-3</v>
      </c>
      <c r="AC214">
        <f t="shared" si="15"/>
        <v>1.1023596492570873E-2</v>
      </c>
      <c r="AD214">
        <f t="shared" si="15"/>
        <v>2.6706634095626538E-2</v>
      </c>
      <c r="AE214">
        <f t="shared" si="15"/>
        <v>1.4981279573166511E-2</v>
      </c>
      <c r="AF214">
        <f t="shared" si="15"/>
        <v>3.7120068020458012E-3</v>
      </c>
      <c r="AG214">
        <f t="shared" si="15"/>
        <v>5.2917258334374967E-3</v>
      </c>
      <c r="AH214">
        <f t="shared" si="15"/>
        <v>3.2058634070206006E-3</v>
      </c>
      <c r="AI214">
        <f t="shared" si="15"/>
        <v>2.0251298390685014E-3</v>
      </c>
      <c r="AJ214">
        <f t="shared" si="15"/>
        <v>1.2171097457214857E-3</v>
      </c>
      <c r="AK214">
        <f t="shared" si="15"/>
        <v>9.2516329848570133E-4</v>
      </c>
      <c r="AL214">
        <f t="shared" si="15"/>
        <v>4.6691152144539795E-3</v>
      </c>
      <c r="AM214">
        <f t="shared" si="15"/>
        <v>3.9177023973081511E-3</v>
      </c>
      <c r="AN214">
        <f t="shared" si="15"/>
        <v>1.4158489818083093E-3</v>
      </c>
      <c r="AO214">
        <f t="shared" si="15"/>
        <v>2.6320434920502106E-3</v>
      </c>
      <c r="AP214">
        <f t="shared" si="15"/>
        <v>3.2921653629342448E-3</v>
      </c>
      <c r="AQ214">
        <f t="shared" si="15"/>
        <v>6.9788637059466172E-3</v>
      </c>
      <c r="AR214">
        <f t="shared" si="15"/>
        <v>0</v>
      </c>
    </row>
    <row r="215" spans="1:44">
      <c r="A215" t="s">
        <v>384</v>
      </c>
      <c r="B215" t="s">
        <v>132</v>
      </c>
      <c r="C215">
        <f t="shared" ref="C215:AR215" si="16">IFERROR((C126)/C$198,0)</f>
        <v>1.3777577916140005E-3</v>
      </c>
      <c r="D215">
        <f t="shared" si="16"/>
        <v>3.2010459532336063E-4</v>
      </c>
      <c r="E215">
        <f t="shared" si="16"/>
        <v>1.3770445755158728E-6</v>
      </c>
      <c r="F215">
        <f t="shared" si="16"/>
        <v>4.828635101259653E-3</v>
      </c>
      <c r="G215">
        <f t="shared" si="16"/>
        <v>0</v>
      </c>
      <c r="H215">
        <f t="shared" si="16"/>
        <v>5.5126177532438996E-3</v>
      </c>
      <c r="I215">
        <f t="shared" si="16"/>
        <v>6.4878239434285512E-4</v>
      </c>
      <c r="J215">
        <f t="shared" si="16"/>
        <v>1.3219152295022699E-3</v>
      </c>
      <c r="K215">
        <f t="shared" si="16"/>
        <v>3.7708462015563627E-6</v>
      </c>
      <c r="L215">
        <f t="shared" si="16"/>
        <v>3.5564890833654043E-5</v>
      </c>
      <c r="M215">
        <f t="shared" si="16"/>
        <v>1.9769608983115795E-3</v>
      </c>
      <c r="N215">
        <f t="shared" si="16"/>
        <v>0</v>
      </c>
      <c r="O215">
        <f t="shared" si="16"/>
        <v>3.9529664272625869E-3</v>
      </c>
      <c r="P215">
        <f t="shared" si="16"/>
        <v>0.14377585563735085</v>
      </c>
      <c r="Q215">
        <f t="shared" si="16"/>
        <v>1.8780050868195136E-4</v>
      </c>
      <c r="R215">
        <f t="shared" si="16"/>
        <v>1.3955866490284423E-5</v>
      </c>
      <c r="S215">
        <f t="shared" si="16"/>
        <v>9.6252751951568245E-5</v>
      </c>
      <c r="T215">
        <f t="shared" si="16"/>
        <v>8.1424598949463814E-4</v>
      </c>
      <c r="U215">
        <f t="shared" si="16"/>
        <v>2.6577122886728382E-3</v>
      </c>
      <c r="V215">
        <f t="shared" si="16"/>
        <v>2.6147148890143944E-3</v>
      </c>
      <c r="W215">
        <f t="shared" si="16"/>
        <v>8.9418828122160847E-4</v>
      </c>
      <c r="X215">
        <f t="shared" si="16"/>
        <v>3.8599729609425674E-3</v>
      </c>
      <c r="Y215">
        <f t="shared" si="16"/>
        <v>2.1497222493366262E-3</v>
      </c>
      <c r="Z215">
        <f t="shared" si="16"/>
        <v>3.9896530285577153E-3</v>
      </c>
      <c r="AA215">
        <f t="shared" si="16"/>
        <v>5.0801527022657784E-5</v>
      </c>
      <c r="AB215">
        <f t="shared" si="16"/>
        <v>1.1596758938281807E-5</v>
      </c>
      <c r="AC215">
        <f t="shared" si="16"/>
        <v>1.487064803928524E-3</v>
      </c>
      <c r="AD215">
        <f t="shared" si="16"/>
        <v>1.9705252397785498E-3</v>
      </c>
      <c r="AE215">
        <f t="shared" si="16"/>
        <v>6.7319863619413011E-4</v>
      </c>
      <c r="AF215">
        <f t="shared" si="16"/>
        <v>5.475845217490185E-4</v>
      </c>
      <c r="AG215">
        <f t="shared" si="16"/>
        <v>7.8418826109439156E-4</v>
      </c>
      <c r="AH215">
        <f t="shared" si="16"/>
        <v>0</v>
      </c>
      <c r="AI215">
        <f t="shared" si="16"/>
        <v>3.073636732269056E-4</v>
      </c>
      <c r="AJ215">
        <f t="shared" si="16"/>
        <v>1.0997735618455433E-4</v>
      </c>
      <c r="AK215">
        <f t="shared" si="16"/>
        <v>1.8603993776440352E-4</v>
      </c>
      <c r="AL215">
        <f t="shared" si="16"/>
        <v>6.7861041387950686E-3</v>
      </c>
      <c r="AM215">
        <f t="shared" si="16"/>
        <v>2.9259425166910767E-4</v>
      </c>
      <c r="AN215">
        <f t="shared" si="16"/>
        <v>3.0407943261885689E-5</v>
      </c>
      <c r="AO215">
        <f t="shared" si="16"/>
        <v>1.2579953920586404E-3</v>
      </c>
      <c r="AP215">
        <f t="shared" si="16"/>
        <v>5.8281677992210259E-4</v>
      </c>
      <c r="AQ215">
        <f t="shared" si="16"/>
        <v>9.0989730555375353E-4</v>
      </c>
      <c r="AR215">
        <f t="shared" si="16"/>
        <v>0</v>
      </c>
    </row>
    <row r="216" spans="1:44">
      <c r="A216" t="s">
        <v>384</v>
      </c>
      <c r="B216" t="s">
        <v>133</v>
      </c>
      <c r="C216">
        <f t="shared" ref="C216:AR216" si="17">IFERROR((C127)/C$198,0)</f>
        <v>1.7431301551062625E-4</v>
      </c>
      <c r="D216">
        <f t="shared" si="17"/>
        <v>4.7381629409281929E-5</v>
      </c>
      <c r="E216">
        <f t="shared" si="17"/>
        <v>6.3500134300111487E-4</v>
      </c>
      <c r="F216">
        <f t="shared" si="17"/>
        <v>5.9744668219473762E-5</v>
      </c>
      <c r="G216">
        <f t="shared" si="17"/>
        <v>0</v>
      </c>
      <c r="H216">
        <f t="shared" si="17"/>
        <v>9.9623073847865135E-4</v>
      </c>
      <c r="I216">
        <f t="shared" si="17"/>
        <v>1.0274852375229066E-3</v>
      </c>
      <c r="J216">
        <f t="shared" si="17"/>
        <v>5.8856673096418658E-3</v>
      </c>
      <c r="K216">
        <f t="shared" si="17"/>
        <v>1.1136604582420565E-3</v>
      </c>
      <c r="L216">
        <f t="shared" si="17"/>
        <v>1.7941190933926332E-4</v>
      </c>
      <c r="M216">
        <f t="shared" si="17"/>
        <v>1.5998856605362755E-3</v>
      </c>
      <c r="N216">
        <f t="shared" si="17"/>
        <v>0</v>
      </c>
      <c r="O216">
        <f t="shared" si="17"/>
        <v>1.2250619367402977E-3</v>
      </c>
      <c r="P216">
        <f t="shared" si="17"/>
        <v>1.0166749623406411E-2</v>
      </c>
      <c r="Q216">
        <f t="shared" si="17"/>
        <v>0.11736281593471511</v>
      </c>
      <c r="R216">
        <f t="shared" si="17"/>
        <v>1.6801244803228707E-4</v>
      </c>
      <c r="S216">
        <f t="shared" si="17"/>
        <v>1.5653018280197342E-3</v>
      </c>
      <c r="T216">
        <f t="shared" si="17"/>
        <v>2.8785061261398931E-5</v>
      </c>
      <c r="U216">
        <f t="shared" si="17"/>
        <v>4.344384857914471E-4</v>
      </c>
      <c r="V216">
        <f t="shared" si="17"/>
        <v>5.6534880587215169E-4</v>
      </c>
      <c r="W216">
        <f t="shared" si="17"/>
        <v>3.2649209038103191E-5</v>
      </c>
      <c r="X216">
        <f t="shared" si="17"/>
        <v>1.2444110455238556E-4</v>
      </c>
      <c r="Y216">
        <f t="shared" si="17"/>
        <v>7.0143353890566966E-4</v>
      </c>
      <c r="Z216">
        <f t="shared" si="17"/>
        <v>7.3682557122907173E-4</v>
      </c>
      <c r="AA216">
        <f t="shared" si="17"/>
        <v>6.2373713101825058E-4</v>
      </c>
      <c r="AB216">
        <f t="shared" si="17"/>
        <v>6.5000684596006496E-6</v>
      </c>
      <c r="AC216">
        <f t="shared" si="17"/>
        <v>3.5555949924603045E-3</v>
      </c>
      <c r="AD216">
        <f t="shared" si="17"/>
        <v>4.2421451603302289E-2</v>
      </c>
      <c r="AE216">
        <f t="shared" si="17"/>
        <v>1.326349146219697E-3</v>
      </c>
      <c r="AF216">
        <f t="shared" si="17"/>
        <v>1.4433012928602564E-3</v>
      </c>
      <c r="AG216">
        <f t="shared" si="17"/>
        <v>2.4662209309960709E-3</v>
      </c>
      <c r="AH216">
        <f t="shared" si="17"/>
        <v>0</v>
      </c>
      <c r="AI216">
        <f t="shared" si="17"/>
        <v>0</v>
      </c>
      <c r="AJ216">
        <f t="shared" si="17"/>
        <v>1.5089920147360933E-4</v>
      </c>
      <c r="AK216">
        <f t="shared" si="17"/>
        <v>1.8762851960295253E-4</v>
      </c>
      <c r="AL216">
        <f t="shared" si="17"/>
        <v>7.8971521109184775E-4</v>
      </c>
      <c r="AM216">
        <f t="shared" si="17"/>
        <v>2.4758224984964384E-4</v>
      </c>
      <c r="AN216">
        <f t="shared" si="17"/>
        <v>6.3600429608635055E-4</v>
      </c>
      <c r="AO216">
        <f t="shared" si="17"/>
        <v>1.3638642163037473E-3</v>
      </c>
      <c r="AP216">
        <f t="shared" si="17"/>
        <v>4.1132682106440207E-4</v>
      </c>
      <c r="AQ216">
        <f t="shared" si="17"/>
        <v>1.166602768607451E-3</v>
      </c>
      <c r="AR216">
        <f t="shared" si="17"/>
        <v>0</v>
      </c>
    </row>
    <row r="217" spans="1:44">
      <c r="A217" t="s">
        <v>384</v>
      </c>
      <c r="B217" t="s">
        <v>134</v>
      </c>
      <c r="C217">
        <f t="shared" ref="C217:AR217" si="18">IFERROR((C128)/C$198,0)</f>
        <v>4.6730972903674483E-4</v>
      </c>
      <c r="D217">
        <f t="shared" si="18"/>
        <v>7.3429246729254868E-3</v>
      </c>
      <c r="E217">
        <f t="shared" si="18"/>
        <v>1.2174387155555237E-2</v>
      </c>
      <c r="F217">
        <f t="shared" si="18"/>
        <v>2.2088524986225979E-3</v>
      </c>
      <c r="G217">
        <f t="shared" si="18"/>
        <v>3.3986511603207479E-3</v>
      </c>
      <c r="H217">
        <f t="shared" si="18"/>
        <v>5.6239483809640903E-4</v>
      </c>
      <c r="I217">
        <f t="shared" si="18"/>
        <v>6.5386954014484135E-4</v>
      </c>
      <c r="J217">
        <f t="shared" si="18"/>
        <v>3.6469153722131784E-3</v>
      </c>
      <c r="K217">
        <f t="shared" si="18"/>
        <v>7.9105480426169697E-4</v>
      </c>
      <c r="L217">
        <f t="shared" si="18"/>
        <v>2.8288865846616497E-4</v>
      </c>
      <c r="M217">
        <f t="shared" si="18"/>
        <v>6.710859546220191E-4</v>
      </c>
      <c r="N217">
        <f t="shared" si="18"/>
        <v>2.6627440355795641E-4</v>
      </c>
      <c r="O217">
        <f t="shared" si="18"/>
        <v>4.9713349784372201E-3</v>
      </c>
      <c r="P217">
        <f t="shared" si="18"/>
        <v>4.967711575300373E-3</v>
      </c>
      <c r="Q217">
        <f t="shared" si="18"/>
        <v>1.1910813719441226E-2</v>
      </c>
      <c r="R217">
        <f t="shared" si="18"/>
        <v>0.24276350272357575</v>
      </c>
      <c r="S217">
        <f t="shared" si="18"/>
        <v>1.9595722546996992E-2</v>
      </c>
      <c r="T217">
        <f t="shared" si="18"/>
        <v>0.16688310346241308</v>
      </c>
      <c r="U217">
        <f t="shared" si="18"/>
        <v>5.5573411593605997E-3</v>
      </c>
      <c r="V217">
        <f t="shared" si="18"/>
        <v>2.5339679556103674E-2</v>
      </c>
      <c r="W217">
        <f t="shared" si="18"/>
        <v>7.352613803027104E-2</v>
      </c>
      <c r="X217">
        <f t="shared" si="18"/>
        <v>3.975578068180001E-2</v>
      </c>
      <c r="Y217">
        <f t="shared" si="18"/>
        <v>6.8805149207557245E-2</v>
      </c>
      <c r="Z217">
        <f t="shared" si="18"/>
        <v>1.7894470806023969E-2</v>
      </c>
      <c r="AA217">
        <f t="shared" si="18"/>
        <v>1.5438780004440403E-3</v>
      </c>
      <c r="AB217">
        <f t="shared" si="18"/>
        <v>2.0876841160793387E-4</v>
      </c>
      <c r="AC217">
        <f t="shared" si="18"/>
        <v>1.3806364450594978E-2</v>
      </c>
      <c r="AD217">
        <f t="shared" si="18"/>
        <v>2.7723423791388053E-2</v>
      </c>
      <c r="AE217">
        <f t="shared" si="18"/>
        <v>6.6207549073355192E-4</v>
      </c>
      <c r="AF217">
        <f t="shared" si="18"/>
        <v>6.7767347555927355E-4</v>
      </c>
      <c r="AG217">
        <f t="shared" si="18"/>
        <v>9.7077845926496676E-5</v>
      </c>
      <c r="AH217">
        <f t="shared" si="18"/>
        <v>2.8259086713073033E-5</v>
      </c>
      <c r="AI217">
        <f t="shared" si="18"/>
        <v>3.5228589483785551E-5</v>
      </c>
      <c r="AJ217">
        <f t="shared" si="18"/>
        <v>1.9875774380100986E-5</v>
      </c>
      <c r="AK217">
        <f t="shared" si="18"/>
        <v>2.3034594333516748E-5</v>
      </c>
      <c r="AL217">
        <f t="shared" si="18"/>
        <v>8.0076397822934694E-4</v>
      </c>
      <c r="AM217">
        <f t="shared" si="18"/>
        <v>7.5883915436891162E-4</v>
      </c>
      <c r="AN217">
        <f t="shared" si="18"/>
        <v>1.5006615596071867E-4</v>
      </c>
      <c r="AO217">
        <f t="shared" si="18"/>
        <v>2.2696695721474805E-4</v>
      </c>
      <c r="AP217">
        <f t="shared" si="18"/>
        <v>6.7917322293006025E-5</v>
      </c>
      <c r="AQ217">
        <f t="shared" si="18"/>
        <v>1.1146581835965155E-3</v>
      </c>
      <c r="AR217">
        <f t="shared" si="18"/>
        <v>0</v>
      </c>
    </row>
    <row r="218" spans="1:44">
      <c r="A218" t="s">
        <v>384</v>
      </c>
      <c r="B218" t="s">
        <v>135</v>
      </c>
      <c r="C218">
        <f t="shared" ref="C218:AR218" si="19">IFERROR((C129)/C$198,0)</f>
        <v>1.0285440335193462E-4</v>
      </c>
      <c r="D218">
        <f t="shared" si="19"/>
        <v>3.0660203444033486E-4</v>
      </c>
      <c r="E218">
        <f t="shared" si="19"/>
        <v>1.0187171338178218E-3</v>
      </c>
      <c r="F218">
        <f t="shared" si="19"/>
        <v>4.6316074801050071E-4</v>
      </c>
      <c r="G218">
        <f t="shared" si="19"/>
        <v>2.1241569752004675E-4</v>
      </c>
      <c r="H218">
        <f t="shared" si="19"/>
        <v>9.6546047126840669E-4</v>
      </c>
      <c r="I218">
        <f t="shared" si="19"/>
        <v>4.5249558146315749E-4</v>
      </c>
      <c r="J218">
        <f t="shared" si="19"/>
        <v>1.3817313658966925E-3</v>
      </c>
      <c r="K218">
        <f t="shared" si="19"/>
        <v>7.8416509421022325E-4</v>
      </c>
      <c r="L218">
        <f t="shared" si="19"/>
        <v>7.9245932913308133E-5</v>
      </c>
      <c r="M218">
        <f t="shared" si="19"/>
        <v>2.6151728789064678E-3</v>
      </c>
      <c r="N218">
        <f t="shared" si="19"/>
        <v>5.6326341967798859E-4</v>
      </c>
      <c r="O218">
        <f t="shared" si="19"/>
        <v>1.8566539625684217E-3</v>
      </c>
      <c r="P218">
        <f t="shared" si="19"/>
        <v>2.721202456527576E-3</v>
      </c>
      <c r="Q218">
        <f t="shared" si="19"/>
        <v>2.2454161560340031E-3</v>
      </c>
      <c r="R218">
        <f t="shared" si="19"/>
        <v>1.9128289248367441E-2</v>
      </c>
      <c r="S218">
        <f t="shared" si="19"/>
        <v>0.21206725714906188</v>
      </c>
      <c r="T218">
        <f t="shared" si="19"/>
        <v>3.9491760035191587E-2</v>
      </c>
      <c r="U218">
        <f t="shared" si="19"/>
        <v>7.6146597102144491E-3</v>
      </c>
      <c r="V218">
        <f t="shared" si="19"/>
        <v>3.3994467691514277E-2</v>
      </c>
      <c r="W218">
        <f t="shared" si="19"/>
        <v>1.5190698009447338E-2</v>
      </c>
      <c r="X218">
        <f t="shared" si="19"/>
        <v>1.0931082277653468E-2</v>
      </c>
      <c r="Y218">
        <f t="shared" si="19"/>
        <v>1.1072364615296794E-2</v>
      </c>
      <c r="Z218">
        <f t="shared" si="19"/>
        <v>1.532874110070476E-2</v>
      </c>
      <c r="AA218">
        <f t="shared" si="19"/>
        <v>4.0382352439122834E-4</v>
      </c>
      <c r="AB218">
        <f t="shared" si="19"/>
        <v>5.8905412002695536E-5</v>
      </c>
      <c r="AC218">
        <f t="shared" si="19"/>
        <v>6.715030436224778E-3</v>
      </c>
      <c r="AD218">
        <f t="shared" si="19"/>
        <v>3.3789256629732875E-3</v>
      </c>
      <c r="AE218">
        <f t="shared" si="19"/>
        <v>3.3030789945598561E-4</v>
      </c>
      <c r="AF218">
        <f t="shared" si="19"/>
        <v>1.2238760680225035E-4</v>
      </c>
      <c r="AG218">
        <f t="shared" si="19"/>
        <v>1.6204590318493858E-4</v>
      </c>
      <c r="AH218">
        <f t="shared" si="19"/>
        <v>6.1362053941490827E-5</v>
      </c>
      <c r="AI218">
        <f t="shared" si="19"/>
        <v>2.3709533124882473E-5</v>
      </c>
      <c r="AJ218">
        <f t="shared" si="19"/>
        <v>1.6904558339993041E-5</v>
      </c>
      <c r="AK218">
        <f t="shared" si="19"/>
        <v>1.5961901542737123E-5</v>
      </c>
      <c r="AL218">
        <f t="shared" si="19"/>
        <v>1.6979413762488547E-4</v>
      </c>
      <c r="AM218">
        <f t="shared" si="19"/>
        <v>1.3953522199764307E-4</v>
      </c>
      <c r="AN218">
        <f t="shared" si="19"/>
        <v>4.8407417465732643E-5</v>
      </c>
      <c r="AO218">
        <f t="shared" si="19"/>
        <v>1.1365175569439306E-5</v>
      </c>
      <c r="AP218">
        <f t="shared" si="19"/>
        <v>4.8916231413352697E-5</v>
      </c>
      <c r="AQ218">
        <f t="shared" si="19"/>
        <v>5.855635877923752E-4</v>
      </c>
      <c r="AR218">
        <f t="shared" si="19"/>
        <v>0</v>
      </c>
    </row>
    <row r="219" spans="1:44">
      <c r="A219" t="s">
        <v>384</v>
      </c>
      <c r="B219" t="s">
        <v>13</v>
      </c>
      <c r="C219">
        <f t="shared" ref="C219:AR219" si="20">IFERROR((C130)/C$198,0)</f>
        <v>4.2543636733740073E-3</v>
      </c>
      <c r="D219">
        <f t="shared" si="20"/>
        <v>2.3014557775078298E-2</v>
      </c>
      <c r="E219">
        <f t="shared" si="20"/>
        <v>1.6378388848634417E-2</v>
      </c>
      <c r="F219">
        <f t="shared" si="20"/>
        <v>1.1559573020002533E-2</v>
      </c>
      <c r="G219">
        <f t="shared" si="20"/>
        <v>1.6090489087143538E-2</v>
      </c>
      <c r="H219">
        <f t="shared" si="20"/>
        <v>1.3776669823664938E-2</v>
      </c>
      <c r="I219">
        <f t="shared" si="20"/>
        <v>4.4355518106535723E-3</v>
      </c>
      <c r="J219">
        <f t="shared" si="20"/>
        <v>2.6086841164478635E-2</v>
      </c>
      <c r="K219">
        <f t="shared" si="20"/>
        <v>4.4258689785606105E-3</v>
      </c>
      <c r="L219">
        <f t="shared" si="20"/>
        <v>9.8380505137095516E-4</v>
      </c>
      <c r="M219">
        <f t="shared" si="20"/>
        <v>6.5623360700096476E-3</v>
      </c>
      <c r="N219">
        <f t="shared" si="20"/>
        <v>3.2039902478368174E-3</v>
      </c>
      <c r="O219">
        <f t="shared" si="20"/>
        <v>1.0230106498004104E-2</v>
      </c>
      <c r="P219">
        <f t="shared" si="20"/>
        <v>3.5464762313275375E-2</v>
      </c>
      <c r="Q219">
        <f t="shared" si="20"/>
        <v>1.0718617978976518E-2</v>
      </c>
      <c r="R219">
        <f t="shared" si="20"/>
        <v>2.4469643740405285E-2</v>
      </c>
      <c r="S219">
        <f t="shared" si="20"/>
        <v>1.6435619288468879E-2</v>
      </c>
      <c r="T219">
        <f t="shared" si="20"/>
        <v>0.13176064605739168</v>
      </c>
      <c r="U219">
        <f t="shared" si="20"/>
        <v>1.0626509942505377E-2</v>
      </c>
      <c r="V219">
        <f t="shared" si="20"/>
        <v>3.1938408779384371E-2</v>
      </c>
      <c r="W219">
        <f t="shared" si="20"/>
        <v>8.3978745975597957E-2</v>
      </c>
      <c r="X219">
        <f t="shared" si="20"/>
        <v>4.7064311891165181E-2</v>
      </c>
      <c r="Y219">
        <f t="shared" si="20"/>
        <v>8.8599492257849397E-2</v>
      </c>
      <c r="Z219">
        <f t="shared" si="20"/>
        <v>4.0047420217127351E-2</v>
      </c>
      <c r="AA219">
        <f t="shared" si="20"/>
        <v>3.1220173748706783E-3</v>
      </c>
      <c r="AB219">
        <f t="shared" si="20"/>
        <v>1.2025050969279014E-3</v>
      </c>
      <c r="AC219">
        <f t="shared" si="20"/>
        <v>8.4634531686699748E-3</v>
      </c>
      <c r="AD219">
        <f t="shared" si="20"/>
        <v>5.1935479863816553E-2</v>
      </c>
      <c r="AE219">
        <f t="shared" si="20"/>
        <v>4.8968347103921046E-3</v>
      </c>
      <c r="AF219">
        <f t="shared" si="20"/>
        <v>3.0680254118317404E-3</v>
      </c>
      <c r="AG219">
        <f t="shared" si="20"/>
        <v>4.3048754689311765E-3</v>
      </c>
      <c r="AH219">
        <f t="shared" si="20"/>
        <v>1.1498512040325323E-3</v>
      </c>
      <c r="AI219">
        <f t="shared" si="20"/>
        <v>2.4712467357952722E-3</v>
      </c>
      <c r="AJ219">
        <f t="shared" si="20"/>
        <v>1.6404618945418357E-3</v>
      </c>
      <c r="AK219">
        <f t="shared" si="20"/>
        <v>5.6313752715185961E-4</v>
      </c>
      <c r="AL219">
        <f t="shared" si="20"/>
        <v>5.3316730444960296E-3</v>
      </c>
      <c r="AM219">
        <f t="shared" si="20"/>
        <v>3.703561471933917E-3</v>
      </c>
      <c r="AN219">
        <f t="shared" si="20"/>
        <v>4.3154248316531673E-3</v>
      </c>
      <c r="AO219">
        <f t="shared" si="20"/>
        <v>1.9745719686755396E-3</v>
      </c>
      <c r="AP219">
        <f t="shared" si="20"/>
        <v>1.2336470349616755E-3</v>
      </c>
      <c r="AQ219">
        <f t="shared" si="20"/>
        <v>6.3841152725537089E-3</v>
      </c>
      <c r="AR219">
        <f t="shared" si="20"/>
        <v>0</v>
      </c>
    </row>
    <row r="220" spans="1:44">
      <c r="A220" t="s">
        <v>384</v>
      </c>
      <c r="B220" t="s">
        <v>14</v>
      </c>
      <c r="C220">
        <f t="shared" ref="C220:AR220" si="21">IFERROR((C131)/C$198,0)</f>
        <v>1.9005112451995899E-3</v>
      </c>
      <c r="D220">
        <f t="shared" si="21"/>
        <v>3.5783174146074522E-3</v>
      </c>
      <c r="E220">
        <f t="shared" si="21"/>
        <v>4.4120495584363409E-3</v>
      </c>
      <c r="F220">
        <f t="shared" si="21"/>
        <v>3.9306790961883518E-3</v>
      </c>
      <c r="G220">
        <f t="shared" si="21"/>
        <v>4.1421061016409114E-3</v>
      </c>
      <c r="H220">
        <f t="shared" si="21"/>
        <v>2.0264666585487223E-3</v>
      </c>
      <c r="I220">
        <f t="shared" si="21"/>
        <v>2.1126617157332791E-3</v>
      </c>
      <c r="J220">
        <f t="shared" si="21"/>
        <v>2.2685005275556022E-3</v>
      </c>
      <c r="K220">
        <f t="shared" si="21"/>
        <v>2.9947273023739037E-3</v>
      </c>
      <c r="L220">
        <f t="shared" si="21"/>
        <v>6.4989214657961412E-4</v>
      </c>
      <c r="M220">
        <f t="shared" si="21"/>
        <v>4.6090217880423983E-3</v>
      </c>
      <c r="N220">
        <f t="shared" si="21"/>
        <v>3.0195809304344131E-3</v>
      </c>
      <c r="O220">
        <f t="shared" si="21"/>
        <v>4.5546176185802872E-3</v>
      </c>
      <c r="P220">
        <f t="shared" si="21"/>
        <v>1.0622772837388824E-2</v>
      </c>
      <c r="Q220">
        <f t="shared" si="21"/>
        <v>3.1196375944667204E-3</v>
      </c>
      <c r="R220">
        <f t="shared" si="21"/>
        <v>1.6619272074209286E-3</v>
      </c>
      <c r="S220">
        <f t="shared" si="21"/>
        <v>2.4220619781343713E-3</v>
      </c>
      <c r="T220">
        <f t="shared" si="21"/>
        <v>5.681582935560231E-3</v>
      </c>
      <c r="U220">
        <f t="shared" si="21"/>
        <v>0.20484382709713553</v>
      </c>
      <c r="V220">
        <f t="shared" si="21"/>
        <v>5.4193333686265492E-2</v>
      </c>
      <c r="W220">
        <f t="shared" si="21"/>
        <v>2.6388679301689068E-2</v>
      </c>
      <c r="X220">
        <f t="shared" si="21"/>
        <v>1.764298434915838E-2</v>
      </c>
      <c r="Y220">
        <f t="shared" si="21"/>
        <v>2.922882616104364E-2</v>
      </c>
      <c r="Z220">
        <f t="shared" si="21"/>
        <v>1.3121301037915849E-2</v>
      </c>
      <c r="AA220">
        <f t="shared" si="21"/>
        <v>5.2550056087432928E-3</v>
      </c>
      <c r="AB220">
        <f t="shared" si="21"/>
        <v>1.1066824469575247E-3</v>
      </c>
      <c r="AC220">
        <f t="shared" si="21"/>
        <v>3.5511227096191788E-3</v>
      </c>
      <c r="AD220">
        <f t="shared" si="21"/>
        <v>8.173091556259662E-3</v>
      </c>
      <c r="AE220">
        <f t="shared" si="21"/>
        <v>7.3831867989088097E-3</v>
      </c>
      <c r="AF220">
        <f t="shared" si="21"/>
        <v>3.7727807901560364E-3</v>
      </c>
      <c r="AG220">
        <f t="shared" si="21"/>
        <v>3.4108093973423382E-3</v>
      </c>
      <c r="AH220">
        <f t="shared" si="21"/>
        <v>8.1952099557566684E-3</v>
      </c>
      <c r="AI220">
        <f t="shared" si="21"/>
        <v>5.0680931496780303E-2</v>
      </c>
      <c r="AJ220">
        <f t="shared" si="21"/>
        <v>2.8217675642421201E-2</v>
      </c>
      <c r="AK220">
        <f t="shared" si="21"/>
        <v>3.0712597120392099E-3</v>
      </c>
      <c r="AL220">
        <f t="shared" si="21"/>
        <v>1.9309760797043571E-3</v>
      </c>
      <c r="AM220">
        <f t="shared" si="21"/>
        <v>8.1812985348590876E-3</v>
      </c>
      <c r="AN220">
        <f t="shared" si="21"/>
        <v>3.9589046762905887E-3</v>
      </c>
      <c r="AO220">
        <f t="shared" si="21"/>
        <v>5.6026863719653335E-3</v>
      </c>
      <c r="AP220">
        <f t="shared" si="21"/>
        <v>7.9103497428293229E-3</v>
      </c>
      <c r="AQ220">
        <f t="shared" si="21"/>
        <v>2.1160243727163283E-2</v>
      </c>
      <c r="AR220">
        <f t="shared" si="21"/>
        <v>0</v>
      </c>
    </row>
    <row r="221" spans="1:44">
      <c r="A221" t="s">
        <v>384</v>
      </c>
      <c r="B221" t="s">
        <v>15</v>
      </c>
      <c r="C221">
        <f t="shared" ref="C221:AR221" si="22">IFERROR((C132)/C$198,0)</f>
        <v>1.6589934699647209E-3</v>
      </c>
      <c r="D221">
        <f t="shared" si="22"/>
        <v>5.9496318835067508E-3</v>
      </c>
      <c r="E221">
        <f t="shared" si="22"/>
        <v>3.3431139743598944E-3</v>
      </c>
      <c r="F221">
        <f t="shared" si="22"/>
        <v>7.4258928071607253E-3</v>
      </c>
      <c r="G221">
        <f t="shared" si="22"/>
        <v>6.2131591524613675E-3</v>
      </c>
      <c r="H221">
        <f t="shared" si="22"/>
        <v>1.6845027431357156E-3</v>
      </c>
      <c r="I221">
        <f t="shared" si="22"/>
        <v>1.3292038850240674E-3</v>
      </c>
      <c r="J221">
        <f t="shared" si="22"/>
        <v>2.0396605620565723E-3</v>
      </c>
      <c r="K221">
        <f t="shared" si="22"/>
        <v>2.3448232245513734E-3</v>
      </c>
      <c r="L221">
        <f t="shared" si="22"/>
        <v>2.7759749210742879E-4</v>
      </c>
      <c r="M221">
        <f t="shared" si="22"/>
        <v>1.9729332606723432E-3</v>
      </c>
      <c r="N221">
        <f t="shared" si="22"/>
        <v>1.1785592176665829E-3</v>
      </c>
      <c r="O221">
        <f t="shared" si="22"/>
        <v>2.9477479789969761E-3</v>
      </c>
      <c r="P221">
        <f t="shared" si="22"/>
        <v>1.0491661867984852E-2</v>
      </c>
      <c r="Q221">
        <f t="shared" si="22"/>
        <v>2.4971407331461997E-3</v>
      </c>
      <c r="R221">
        <f t="shared" si="22"/>
        <v>2.5754607851649087E-3</v>
      </c>
      <c r="S221">
        <f t="shared" si="22"/>
        <v>3.9706997171348813E-3</v>
      </c>
      <c r="T221">
        <f t="shared" si="22"/>
        <v>8.7354968723873435E-3</v>
      </c>
      <c r="U221">
        <f t="shared" si="22"/>
        <v>2.900460567246177E-2</v>
      </c>
      <c r="V221">
        <f t="shared" si="22"/>
        <v>0.17422658498915905</v>
      </c>
      <c r="W221">
        <f t="shared" si="22"/>
        <v>3.9740682159788064E-2</v>
      </c>
      <c r="X221">
        <f t="shared" si="22"/>
        <v>3.8804441703599826E-2</v>
      </c>
      <c r="Y221">
        <f t="shared" si="22"/>
        <v>2.6334978869219729E-2</v>
      </c>
      <c r="Z221">
        <f t="shared" si="22"/>
        <v>1.3597953290863395E-2</v>
      </c>
      <c r="AA221">
        <f t="shared" si="22"/>
        <v>1.8802565260215884E-2</v>
      </c>
      <c r="AB221">
        <f t="shared" si="22"/>
        <v>1.6440572034987144E-3</v>
      </c>
      <c r="AC221">
        <f t="shared" si="22"/>
        <v>4.9299166060910501E-3</v>
      </c>
      <c r="AD221">
        <f t="shared" si="22"/>
        <v>2.7233075027321169E-2</v>
      </c>
      <c r="AE221">
        <f t="shared" si="22"/>
        <v>6.0807137938558202E-3</v>
      </c>
      <c r="AF221">
        <f t="shared" si="22"/>
        <v>2.5144798682805863E-3</v>
      </c>
      <c r="AG221">
        <f t="shared" si="22"/>
        <v>2.5163146508888914E-3</v>
      </c>
      <c r="AH221">
        <f t="shared" si="22"/>
        <v>2.4944488474715702E-3</v>
      </c>
      <c r="AI221">
        <f t="shared" si="22"/>
        <v>1.7478374073235266E-2</v>
      </c>
      <c r="AJ221">
        <f t="shared" si="22"/>
        <v>5.0935132116136234E-3</v>
      </c>
      <c r="AK221">
        <f t="shared" si="22"/>
        <v>1.156927296216369E-3</v>
      </c>
      <c r="AL221">
        <f t="shared" si="22"/>
        <v>1.6370905277695242E-3</v>
      </c>
      <c r="AM221">
        <f t="shared" si="22"/>
        <v>4.8151035335958076E-3</v>
      </c>
      <c r="AN221">
        <f t="shared" si="22"/>
        <v>2.8419422505264144E-3</v>
      </c>
      <c r="AO221">
        <f t="shared" si="22"/>
        <v>2.405240497125379E-3</v>
      </c>
      <c r="AP221">
        <f t="shared" si="22"/>
        <v>2.6911323118464837E-3</v>
      </c>
      <c r="AQ221">
        <f t="shared" si="22"/>
        <v>1.5269854379399678E-2</v>
      </c>
      <c r="AR221">
        <f t="shared" si="22"/>
        <v>0</v>
      </c>
    </row>
    <row r="222" spans="1:44">
      <c r="A222" t="s">
        <v>384</v>
      </c>
      <c r="B222" t="s">
        <v>16</v>
      </c>
      <c r="C222">
        <f t="shared" ref="C222:AR222" si="23">IFERROR((C133)/C$198,0)</f>
        <v>3.94452733524324E-3</v>
      </c>
      <c r="D222">
        <f t="shared" si="23"/>
        <v>3.6221731486476519E-2</v>
      </c>
      <c r="E222">
        <f t="shared" si="23"/>
        <v>2.4958569778536638E-2</v>
      </c>
      <c r="F222">
        <f t="shared" si="23"/>
        <v>2.1930013228955211E-2</v>
      </c>
      <c r="G222">
        <f t="shared" si="23"/>
        <v>2.3312622802825131E-2</v>
      </c>
      <c r="H222">
        <f t="shared" si="23"/>
        <v>4.7320309123799163E-3</v>
      </c>
      <c r="I222">
        <f t="shared" si="23"/>
        <v>2.943182224426525E-3</v>
      </c>
      <c r="J222">
        <f t="shared" si="23"/>
        <v>7.1802684826869573E-3</v>
      </c>
      <c r="K222">
        <f t="shared" si="23"/>
        <v>6.7816703125346614E-3</v>
      </c>
      <c r="L222">
        <f t="shared" si="23"/>
        <v>1.6677218928668434E-3</v>
      </c>
      <c r="M222">
        <f t="shared" si="23"/>
        <v>2.9686386630377809E-3</v>
      </c>
      <c r="N222">
        <f t="shared" si="23"/>
        <v>1.795193077984614E-3</v>
      </c>
      <c r="O222">
        <f t="shared" si="23"/>
        <v>4.2659623315162839E-3</v>
      </c>
      <c r="P222">
        <f t="shared" si="23"/>
        <v>3.615455617757634E-2</v>
      </c>
      <c r="Q222">
        <f t="shared" si="23"/>
        <v>1.205105745725535E-2</v>
      </c>
      <c r="R222">
        <f t="shared" si="23"/>
        <v>1.0339787006027718E-2</v>
      </c>
      <c r="S222">
        <f t="shared" si="23"/>
        <v>8.9194832670245715E-3</v>
      </c>
      <c r="T222">
        <f t="shared" si="23"/>
        <v>1.379675369036361E-2</v>
      </c>
      <c r="U222">
        <f t="shared" si="23"/>
        <v>5.7549718521897643E-3</v>
      </c>
      <c r="V222">
        <f t="shared" si="23"/>
        <v>2.2297423515724279E-2</v>
      </c>
      <c r="W222">
        <f t="shared" si="23"/>
        <v>0.12454581988954695</v>
      </c>
      <c r="X222">
        <f t="shared" si="23"/>
        <v>2.745607141318189E-2</v>
      </c>
      <c r="Y222">
        <f t="shared" si="23"/>
        <v>5.0791286787282765E-2</v>
      </c>
      <c r="Z222">
        <f t="shared" si="23"/>
        <v>1.6063347975355521E-2</v>
      </c>
      <c r="AA222">
        <f t="shared" si="23"/>
        <v>8.1771665293137331E-3</v>
      </c>
      <c r="AB222">
        <f t="shared" si="23"/>
        <v>1.4214329034804298E-3</v>
      </c>
      <c r="AC222">
        <f t="shared" si="23"/>
        <v>2.2463505047803745E-2</v>
      </c>
      <c r="AD222">
        <f t="shared" si="23"/>
        <v>1.4610427609816125E-2</v>
      </c>
      <c r="AE222">
        <f t="shared" si="23"/>
        <v>5.2427816721067272E-3</v>
      </c>
      <c r="AF222">
        <f t="shared" si="23"/>
        <v>2.2946340499496384E-3</v>
      </c>
      <c r="AG222">
        <f t="shared" si="23"/>
        <v>1.7989987107773556E-3</v>
      </c>
      <c r="AH222">
        <f t="shared" si="23"/>
        <v>1.5714184267985015E-3</v>
      </c>
      <c r="AI222">
        <f t="shared" si="23"/>
        <v>2.9650974270876256E-3</v>
      </c>
      <c r="AJ222">
        <f t="shared" si="23"/>
        <v>2.0732444247068757E-3</v>
      </c>
      <c r="AK222">
        <f t="shared" si="23"/>
        <v>1.1159150535960984E-3</v>
      </c>
      <c r="AL222">
        <f t="shared" si="23"/>
        <v>1.1758403013798248E-3</v>
      </c>
      <c r="AM222">
        <f t="shared" si="23"/>
        <v>3.9830711036904385E-3</v>
      </c>
      <c r="AN222">
        <f t="shared" si="23"/>
        <v>2.7692394316363384E-3</v>
      </c>
      <c r="AO222">
        <f t="shared" si="23"/>
        <v>2.0326922856536518E-3</v>
      </c>
      <c r="AP222">
        <f t="shared" si="23"/>
        <v>2.048330038428514E-3</v>
      </c>
      <c r="AQ222">
        <f t="shared" si="23"/>
        <v>4.9877705022024254E-3</v>
      </c>
      <c r="AR222">
        <f t="shared" si="23"/>
        <v>0</v>
      </c>
    </row>
    <row r="223" spans="1:44">
      <c r="A223" t="s">
        <v>384</v>
      </c>
      <c r="B223" t="s">
        <v>17</v>
      </c>
      <c r="C223">
        <f t="shared" ref="C223:AR223" si="24">IFERROR((C134)/C$198,0)</f>
        <v>1.4293104064126061E-3</v>
      </c>
      <c r="D223">
        <f t="shared" si="24"/>
        <v>2.0297830887632297E-3</v>
      </c>
      <c r="E223">
        <f t="shared" si="24"/>
        <v>2.1952636827341793E-3</v>
      </c>
      <c r="F223">
        <f t="shared" si="24"/>
        <v>4.2559522932644296E-3</v>
      </c>
      <c r="G223">
        <f t="shared" si="24"/>
        <v>2.6551962190005845E-3</v>
      </c>
      <c r="H223">
        <f t="shared" si="24"/>
        <v>1.0672687324172095E-3</v>
      </c>
      <c r="I223">
        <f t="shared" si="24"/>
        <v>9.0521742580123828E-4</v>
      </c>
      <c r="J223">
        <f t="shared" si="24"/>
        <v>1.5223976115557661E-3</v>
      </c>
      <c r="K223">
        <f t="shared" si="24"/>
        <v>8.5222937263082618E-4</v>
      </c>
      <c r="L223">
        <f t="shared" si="24"/>
        <v>2.6066831896932017E-4</v>
      </c>
      <c r="M223">
        <f t="shared" si="24"/>
        <v>7.7838994287594441E-4</v>
      </c>
      <c r="N223">
        <f t="shared" si="24"/>
        <v>5.2728778932062653E-4</v>
      </c>
      <c r="O223">
        <f t="shared" si="24"/>
        <v>1.4064796830716821E-3</v>
      </c>
      <c r="P223">
        <f t="shared" si="24"/>
        <v>1.6445284254016433E-3</v>
      </c>
      <c r="Q223">
        <f t="shared" si="24"/>
        <v>3.3422504589300439E-3</v>
      </c>
      <c r="R223">
        <f t="shared" si="24"/>
        <v>1.2081161108709704E-3</v>
      </c>
      <c r="S223">
        <f t="shared" si="24"/>
        <v>1.9831882146372319E-3</v>
      </c>
      <c r="T223">
        <f t="shared" si="24"/>
        <v>2.6361253585059728E-3</v>
      </c>
      <c r="U223">
        <f t="shared" si="24"/>
        <v>3.6927256937979293E-3</v>
      </c>
      <c r="V223">
        <f t="shared" si="24"/>
        <v>1.9530527086402742E-2</v>
      </c>
      <c r="W223">
        <f t="shared" si="24"/>
        <v>9.3704601740191643E-3</v>
      </c>
      <c r="X223">
        <f t="shared" si="24"/>
        <v>0.25817419053270313</v>
      </c>
      <c r="Y223">
        <f t="shared" si="24"/>
        <v>8.0627196924750559E-3</v>
      </c>
      <c r="Z223">
        <f t="shared" si="24"/>
        <v>3.356159463565754E-3</v>
      </c>
      <c r="AA223">
        <f t="shared" si="24"/>
        <v>2.9937830166603258E-3</v>
      </c>
      <c r="AB223">
        <f t="shared" si="24"/>
        <v>8.8397944740093697E-3</v>
      </c>
      <c r="AC223">
        <f t="shared" si="24"/>
        <v>3.5341760588349347E-3</v>
      </c>
      <c r="AD223">
        <f t="shared" si="24"/>
        <v>4.4709979486014803E-3</v>
      </c>
      <c r="AE223">
        <f t="shared" si="24"/>
        <v>2.3719471028664774E-2</v>
      </c>
      <c r="AF223">
        <f t="shared" si="24"/>
        <v>3.5472254838689907E-3</v>
      </c>
      <c r="AG223">
        <f t="shared" si="24"/>
        <v>8.7984495306452526E-4</v>
      </c>
      <c r="AH223">
        <f t="shared" si="24"/>
        <v>8.7010307759034409E-4</v>
      </c>
      <c r="AI223">
        <f t="shared" si="24"/>
        <v>2.7874857475282183E-3</v>
      </c>
      <c r="AJ223">
        <f t="shared" si="24"/>
        <v>2.2987431128688573E-3</v>
      </c>
      <c r="AK223">
        <f t="shared" si="24"/>
        <v>7.6141903390778429E-4</v>
      </c>
      <c r="AL223">
        <f t="shared" si="24"/>
        <v>5.5638681175308106E-4</v>
      </c>
      <c r="AM223">
        <f t="shared" si="24"/>
        <v>3.0959223665010622E-3</v>
      </c>
      <c r="AN223">
        <f t="shared" si="24"/>
        <v>1.2536920378404734E-3</v>
      </c>
      <c r="AO223">
        <f t="shared" si="24"/>
        <v>1.1159187155739597E-3</v>
      </c>
      <c r="AP223">
        <f t="shared" si="24"/>
        <v>8.7703616491658482E-4</v>
      </c>
      <c r="AQ223">
        <f t="shared" si="24"/>
        <v>2.9187949884071814E-3</v>
      </c>
      <c r="AR223">
        <f t="shared" si="24"/>
        <v>0</v>
      </c>
    </row>
    <row r="224" spans="1:44">
      <c r="A224" t="s">
        <v>384</v>
      </c>
      <c r="B224" t="s">
        <v>18</v>
      </c>
      <c r="C224">
        <f t="shared" ref="C224:AR224" si="25">IFERROR((C135)/C$198,0)</f>
        <v>6.0835797463756728E-4</v>
      </c>
      <c r="D224">
        <f t="shared" si="25"/>
        <v>1.4398652503463825E-3</v>
      </c>
      <c r="E224">
        <f t="shared" si="25"/>
        <v>1.0976318413670897E-3</v>
      </c>
      <c r="F224">
        <f t="shared" si="25"/>
        <v>8.6533277156923701E-4</v>
      </c>
      <c r="G224">
        <f t="shared" si="25"/>
        <v>9.5587063884021038E-4</v>
      </c>
      <c r="H224">
        <f t="shared" si="25"/>
        <v>6.5942619437801885E-4</v>
      </c>
      <c r="I224">
        <f t="shared" si="25"/>
        <v>2.159000352517559E-4</v>
      </c>
      <c r="J224">
        <f t="shared" si="25"/>
        <v>1.190288036438733E-3</v>
      </c>
      <c r="K224">
        <f t="shared" si="25"/>
        <v>2.5900767127573124E-4</v>
      </c>
      <c r="L224">
        <f t="shared" si="25"/>
        <v>6.7473567616966541E-5</v>
      </c>
      <c r="M224">
        <f t="shared" si="25"/>
        <v>3.2314014844147556E-4</v>
      </c>
      <c r="N224">
        <f t="shared" si="25"/>
        <v>1.6011132192012795E-4</v>
      </c>
      <c r="O224">
        <f t="shared" si="25"/>
        <v>4.7338904580373001E-4</v>
      </c>
      <c r="P224">
        <f t="shared" si="25"/>
        <v>2.0349117734824473E-3</v>
      </c>
      <c r="Q224">
        <f t="shared" si="25"/>
        <v>6.1235542263212892E-4</v>
      </c>
      <c r="R224">
        <f t="shared" si="25"/>
        <v>1.8344233494936143E-3</v>
      </c>
      <c r="S224">
        <f t="shared" si="25"/>
        <v>8.0048877171088619E-4</v>
      </c>
      <c r="T224">
        <f t="shared" si="25"/>
        <v>6.1603712141150013E-3</v>
      </c>
      <c r="U224">
        <f t="shared" si="25"/>
        <v>5.6585896033844432E-4</v>
      </c>
      <c r="V224">
        <f t="shared" si="25"/>
        <v>1.7594963833042897E-3</v>
      </c>
      <c r="W224">
        <f t="shared" si="25"/>
        <v>4.8846259078385214E-3</v>
      </c>
      <c r="X224">
        <f t="shared" si="25"/>
        <v>3.7379128100339873E-3</v>
      </c>
      <c r="Y224">
        <f t="shared" si="25"/>
        <v>0.11625446146692681</v>
      </c>
      <c r="Z224">
        <f t="shared" si="25"/>
        <v>2.5162060373910304E-3</v>
      </c>
      <c r="AA224">
        <f t="shared" si="25"/>
        <v>2.9948504658633911E-4</v>
      </c>
      <c r="AB224">
        <f t="shared" si="25"/>
        <v>7.7092159854216021E-4</v>
      </c>
      <c r="AC224">
        <f t="shared" si="25"/>
        <v>4.5644045272657825E-4</v>
      </c>
      <c r="AD224">
        <f t="shared" si="25"/>
        <v>2.383111650647906E-3</v>
      </c>
      <c r="AE224">
        <f t="shared" si="25"/>
        <v>3.9285379606626925E-4</v>
      </c>
      <c r="AF224">
        <f t="shared" si="25"/>
        <v>3.8231738910733662E-3</v>
      </c>
      <c r="AG224">
        <f t="shared" si="25"/>
        <v>1.6972802893323988E-4</v>
      </c>
      <c r="AH224">
        <f t="shared" si="25"/>
        <v>5.6275044288310235E-5</v>
      </c>
      <c r="AI224">
        <f t="shared" si="25"/>
        <v>1.4876158394284668E-4</v>
      </c>
      <c r="AJ224">
        <f t="shared" si="25"/>
        <v>7.2527198991454857E-5</v>
      </c>
      <c r="AK224">
        <f t="shared" si="25"/>
        <v>2.4769074089996263E-5</v>
      </c>
      <c r="AL224">
        <f t="shared" si="25"/>
        <v>2.1010136604689784E-4</v>
      </c>
      <c r="AM224">
        <f t="shared" si="25"/>
        <v>2.4231569863301228E-4</v>
      </c>
      <c r="AN224">
        <f t="shared" si="25"/>
        <v>1.0451512392532845E-3</v>
      </c>
      <c r="AO224">
        <f t="shared" si="25"/>
        <v>1.0544501160438791E-4</v>
      </c>
      <c r="AP224">
        <f t="shared" si="25"/>
        <v>1.0535963196746293E-4</v>
      </c>
      <c r="AQ224">
        <f t="shared" si="25"/>
        <v>6.8551758909265147E-4</v>
      </c>
      <c r="AR224">
        <f t="shared" si="25"/>
        <v>0</v>
      </c>
    </row>
    <row r="225" spans="1:44">
      <c r="A225" t="s">
        <v>384</v>
      </c>
      <c r="B225" t="s">
        <v>19</v>
      </c>
      <c r="C225">
        <f t="shared" ref="C225:AR225" si="26">IFERROR((C136)/C$198,0)</f>
        <v>1.4712339759796952E-3</v>
      </c>
      <c r="D225">
        <f t="shared" si="26"/>
        <v>1.7193000159122574E-3</v>
      </c>
      <c r="E225">
        <f t="shared" si="26"/>
        <v>3.3144177170692517E-3</v>
      </c>
      <c r="F225">
        <f t="shared" si="26"/>
        <v>2.9778407634491921E-3</v>
      </c>
      <c r="G225">
        <f t="shared" si="26"/>
        <v>2.8145079921406192E-3</v>
      </c>
      <c r="H225">
        <f t="shared" si="26"/>
        <v>1.3854319288427986E-3</v>
      </c>
      <c r="I225">
        <f t="shared" si="26"/>
        <v>4.2379790682705986E-3</v>
      </c>
      <c r="J225">
        <f t="shared" si="26"/>
        <v>2.3933847066285366E-3</v>
      </c>
      <c r="K225">
        <f t="shared" si="26"/>
        <v>1.7861510215862694E-3</v>
      </c>
      <c r="L225">
        <f t="shared" si="26"/>
        <v>2.3993232118375328E-4</v>
      </c>
      <c r="M225">
        <f t="shared" si="26"/>
        <v>1.1270297413215971E-3</v>
      </c>
      <c r="N225">
        <f t="shared" si="26"/>
        <v>1.4718077413656892E-3</v>
      </c>
      <c r="O225">
        <f t="shared" si="26"/>
        <v>9.2230942323340834E-4</v>
      </c>
      <c r="P225">
        <f t="shared" si="26"/>
        <v>7.1670081075878795E-3</v>
      </c>
      <c r="Q225">
        <f t="shared" si="26"/>
        <v>1.0310503255167201E-3</v>
      </c>
      <c r="R225">
        <f t="shared" si="26"/>
        <v>1.2683576133987039E-3</v>
      </c>
      <c r="S225">
        <f t="shared" si="26"/>
        <v>1.3373570600441634E-3</v>
      </c>
      <c r="T225">
        <f t="shared" si="26"/>
        <v>1.3346568373004007E-3</v>
      </c>
      <c r="U225">
        <f t="shared" si="26"/>
        <v>1.5744656512621193E-3</v>
      </c>
      <c r="V225">
        <f t="shared" si="26"/>
        <v>1.8731099494337401E-3</v>
      </c>
      <c r="W225">
        <f t="shared" si="26"/>
        <v>1.8376950887177561E-3</v>
      </c>
      <c r="X225">
        <f t="shared" si="26"/>
        <v>1.841986563043897E-3</v>
      </c>
      <c r="Y225">
        <f t="shared" si="26"/>
        <v>4.0863910580395393E-3</v>
      </c>
      <c r="Z225">
        <f t="shared" si="26"/>
        <v>4.0094333712817572E-2</v>
      </c>
      <c r="AA225">
        <f t="shared" si="26"/>
        <v>1.4842412989148884E-3</v>
      </c>
      <c r="AB225">
        <f t="shared" si="26"/>
        <v>1.0607743829473266E-3</v>
      </c>
      <c r="AC225">
        <f t="shared" si="26"/>
        <v>3.3081940693676778E-3</v>
      </c>
      <c r="AD225">
        <f t="shared" si="26"/>
        <v>3.3928553157614298E-3</v>
      </c>
      <c r="AE225">
        <f t="shared" si="26"/>
        <v>2.4222843855392423E-3</v>
      </c>
      <c r="AF225">
        <f t="shared" si="26"/>
        <v>2.1604610829813239E-3</v>
      </c>
      <c r="AG225">
        <f t="shared" si="26"/>
        <v>2.9532500120947555E-3</v>
      </c>
      <c r="AH225">
        <f t="shared" si="26"/>
        <v>1.6875967502012876E-3</v>
      </c>
      <c r="AI225">
        <f t="shared" si="26"/>
        <v>2.0545884094289747E-3</v>
      </c>
      <c r="AJ225">
        <f t="shared" si="26"/>
        <v>1.5552009125213468E-3</v>
      </c>
      <c r="AK225">
        <f t="shared" si="26"/>
        <v>1.4938617083703281E-3</v>
      </c>
      <c r="AL225">
        <f t="shared" si="26"/>
        <v>1.2639170356908609E-3</v>
      </c>
      <c r="AM225">
        <f t="shared" si="26"/>
        <v>2.9168286244734185E-3</v>
      </c>
      <c r="AN225">
        <f t="shared" si="26"/>
        <v>2.1505730331592009E-3</v>
      </c>
      <c r="AO225">
        <f t="shared" si="26"/>
        <v>6.1151461943006295E-3</v>
      </c>
      <c r="AP225">
        <f t="shared" si="26"/>
        <v>9.988608745793633E-3</v>
      </c>
      <c r="AQ225">
        <f t="shared" si="26"/>
        <v>7.0766483136326663E-3</v>
      </c>
      <c r="AR225">
        <f t="shared" si="26"/>
        <v>0</v>
      </c>
    </row>
    <row r="226" spans="1:44">
      <c r="A226" t="s">
        <v>384</v>
      </c>
      <c r="B226" t="s">
        <v>136</v>
      </c>
      <c r="C226">
        <f t="shared" ref="C226:AR226" si="27">IFERROR((C137)/C$198,0)</f>
        <v>1.747450767240772E-2</v>
      </c>
      <c r="D226">
        <f t="shared" si="27"/>
        <v>4.7053709690564806E-2</v>
      </c>
      <c r="E226">
        <f t="shared" si="27"/>
        <v>4.5454871548378309E-2</v>
      </c>
      <c r="F226">
        <f t="shared" si="27"/>
        <v>5.8692955655010065E-2</v>
      </c>
      <c r="G226">
        <f t="shared" si="27"/>
        <v>1.0514577027242313E-2</v>
      </c>
      <c r="H226">
        <f t="shared" si="27"/>
        <v>2.7155348047079014E-2</v>
      </c>
      <c r="I226">
        <f t="shared" si="27"/>
        <v>2.3821272239943632E-2</v>
      </c>
      <c r="J226">
        <f t="shared" si="27"/>
        <v>2.282246936277733E-2</v>
      </c>
      <c r="K226">
        <f t="shared" si="27"/>
        <v>3.7615974577626075E-2</v>
      </c>
      <c r="L226">
        <f t="shared" si="27"/>
        <v>1.0570989019825316E-2</v>
      </c>
      <c r="M226">
        <f t="shared" si="27"/>
        <v>2.8737575929031693E-2</v>
      </c>
      <c r="N226">
        <f t="shared" si="27"/>
        <v>9.2354582503113812E-3</v>
      </c>
      <c r="O226">
        <f t="shared" si="27"/>
        <v>2.0655130314526215E-2</v>
      </c>
      <c r="P226">
        <f t="shared" si="27"/>
        <v>6.1169778498740307E-2</v>
      </c>
      <c r="Q226">
        <f t="shared" si="27"/>
        <v>5.3125961604486793E-2</v>
      </c>
      <c r="R226">
        <f t="shared" si="27"/>
        <v>4.0829713491220165E-2</v>
      </c>
      <c r="S226">
        <f t="shared" si="27"/>
        <v>3.7384771118435571E-2</v>
      </c>
      <c r="T226">
        <f t="shared" si="27"/>
        <v>1.7234601806284239E-2</v>
      </c>
      <c r="U226">
        <f t="shared" si="27"/>
        <v>6.6228215069007524E-3</v>
      </c>
      <c r="V226">
        <f t="shared" si="27"/>
        <v>9.7128339734705617E-3</v>
      </c>
      <c r="W226">
        <f t="shared" si="27"/>
        <v>9.7275958735709087E-3</v>
      </c>
      <c r="X226">
        <f t="shared" si="27"/>
        <v>1.0026464203680686E-2</v>
      </c>
      <c r="Y226">
        <f t="shared" si="27"/>
        <v>1.2992476345170579E-2</v>
      </c>
      <c r="Z226">
        <f t="shared" si="27"/>
        <v>1.1936770074034229E-2</v>
      </c>
      <c r="AA226">
        <f t="shared" si="27"/>
        <v>0.15080482252200961</v>
      </c>
      <c r="AB226">
        <f t="shared" si="27"/>
        <v>8.5411178019762692E-3</v>
      </c>
      <c r="AC226">
        <f t="shared" si="27"/>
        <v>3.0701735628810477E-2</v>
      </c>
      <c r="AD226">
        <f t="shared" si="27"/>
        <v>4.3468262335531038E-3</v>
      </c>
      <c r="AE226">
        <f t="shared" si="27"/>
        <v>2.3967490958434201E-2</v>
      </c>
      <c r="AF226">
        <f t="shared" si="27"/>
        <v>8.1930617859643194E-3</v>
      </c>
      <c r="AG226">
        <f t="shared" si="27"/>
        <v>3.7442075308919777E-2</v>
      </c>
      <c r="AH226">
        <f t="shared" si="27"/>
        <v>7.3750979693536474E-3</v>
      </c>
      <c r="AI226">
        <f t="shared" si="27"/>
        <v>1.9223332765563452E-2</v>
      </c>
      <c r="AJ226">
        <f t="shared" si="27"/>
        <v>5.757995228633044E-3</v>
      </c>
      <c r="AK226">
        <f t="shared" si="27"/>
        <v>5.4004492150216332E-3</v>
      </c>
      <c r="AL226">
        <f t="shared" si="27"/>
        <v>1.1148935661128023E-2</v>
      </c>
      <c r="AM226">
        <f t="shared" si="27"/>
        <v>7.0886450604324119E-3</v>
      </c>
      <c r="AN226">
        <f t="shared" si="27"/>
        <v>1.1353559796743736E-2</v>
      </c>
      <c r="AO226">
        <f t="shared" si="27"/>
        <v>2.3373307684798617E-2</v>
      </c>
      <c r="AP226">
        <f t="shared" si="27"/>
        <v>1.5067726827544134E-2</v>
      </c>
      <c r="AQ226">
        <f t="shared" si="27"/>
        <v>2.4291002502584411E-2</v>
      </c>
      <c r="AR226">
        <f t="shared" si="27"/>
        <v>0</v>
      </c>
    </row>
    <row r="227" spans="1:44">
      <c r="A227" t="s">
        <v>384</v>
      </c>
      <c r="B227" t="s">
        <v>137</v>
      </c>
      <c r="C227">
        <f t="shared" ref="C227:AR227" si="28">IFERROR((C138)/C$198,0)</f>
        <v>6.1121982309903329E-3</v>
      </c>
      <c r="D227">
        <f t="shared" si="28"/>
        <v>2.3270706310180352E-2</v>
      </c>
      <c r="E227">
        <f t="shared" si="28"/>
        <v>1.4570524639323918E-2</v>
      </c>
      <c r="F227">
        <f t="shared" si="28"/>
        <v>2.9206527855936977E-2</v>
      </c>
      <c r="G227">
        <f t="shared" si="28"/>
        <v>1.1842175136742605E-2</v>
      </c>
      <c r="H227">
        <f t="shared" si="28"/>
        <v>1.1951130297592261E-2</v>
      </c>
      <c r="I227">
        <f t="shared" si="28"/>
        <v>6.0468149955569504E-3</v>
      </c>
      <c r="J227">
        <f t="shared" si="28"/>
        <v>1.4562959123761364E-2</v>
      </c>
      <c r="K227">
        <f t="shared" si="28"/>
        <v>8.3468458718106604E-3</v>
      </c>
      <c r="L227">
        <f t="shared" si="28"/>
        <v>9.6770506222328464E-3</v>
      </c>
      <c r="M227">
        <f t="shared" si="28"/>
        <v>7.2950914557160752E-3</v>
      </c>
      <c r="N227">
        <f t="shared" si="28"/>
        <v>4.7066038332870437E-3</v>
      </c>
      <c r="O227">
        <f t="shared" si="28"/>
        <v>5.4100249212449885E-3</v>
      </c>
      <c r="P227">
        <f t="shared" si="28"/>
        <v>0.11788859426101471</v>
      </c>
      <c r="Q227">
        <f t="shared" si="28"/>
        <v>1.4430986061837101E-5</v>
      </c>
      <c r="R227">
        <f t="shared" si="28"/>
        <v>8.6000955776631954E-3</v>
      </c>
      <c r="S227">
        <f t="shared" si="28"/>
        <v>8.3593973216631243E-3</v>
      </c>
      <c r="T227">
        <f t="shared" si="28"/>
        <v>5.7746704667127708E-3</v>
      </c>
      <c r="U227">
        <f t="shared" si="28"/>
        <v>3.7201448322407562E-3</v>
      </c>
      <c r="V227">
        <f t="shared" si="28"/>
        <v>5.2235589178438978E-3</v>
      </c>
      <c r="W227">
        <f t="shared" si="28"/>
        <v>5.3060189649477112E-3</v>
      </c>
      <c r="X227">
        <f t="shared" si="28"/>
        <v>5.1146048566229644E-3</v>
      </c>
      <c r="Y227">
        <f t="shared" si="28"/>
        <v>4.5417263563397271E-3</v>
      </c>
      <c r="Z227">
        <f t="shared" si="28"/>
        <v>6.3955484243329863E-3</v>
      </c>
      <c r="AA227">
        <f t="shared" si="28"/>
        <v>8.3348961944508925E-3</v>
      </c>
      <c r="AB227">
        <f t="shared" si="28"/>
        <v>1.3858034761395282E-2</v>
      </c>
      <c r="AC227">
        <f t="shared" si="28"/>
        <v>7.2964524384851572E-3</v>
      </c>
      <c r="AD227">
        <f t="shared" si="28"/>
        <v>4.5677934192763893E-3</v>
      </c>
      <c r="AE227">
        <f t="shared" si="28"/>
        <v>1.2588230433755948E-2</v>
      </c>
      <c r="AF227">
        <f t="shared" si="28"/>
        <v>1.6434990071788187E-2</v>
      </c>
      <c r="AG227">
        <f t="shared" si="28"/>
        <v>4.5630261941435801E-3</v>
      </c>
      <c r="AH227">
        <f t="shared" si="28"/>
        <v>3.5497041146445897E-3</v>
      </c>
      <c r="AI227">
        <f t="shared" si="28"/>
        <v>2.3911588703637004E-3</v>
      </c>
      <c r="AJ227">
        <f t="shared" si="28"/>
        <v>1.4889298764963303E-3</v>
      </c>
      <c r="AK227">
        <f t="shared" si="28"/>
        <v>1.4843748072698539E-3</v>
      </c>
      <c r="AL227">
        <f t="shared" si="28"/>
        <v>7.9645652512422131E-4</v>
      </c>
      <c r="AM227">
        <f t="shared" si="28"/>
        <v>3.4240869751982939E-3</v>
      </c>
      <c r="AN227">
        <f t="shared" si="28"/>
        <v>2.7610756202779765E-3</v>
      </c>
      <c r="AO227">
        <f t="shared" si="28"/>
        <v>4.4014468584756212E-3</v>
      </c>
      <c r="AP227">
        <f t="shared" si="28"/>
        <v>3.7167488512807219E-3</v>
      </c>
      <c r="AQ227">
        <f t="shared" si="28"/>
        <v>4.851886593729207E-3</v>
      </c>
      <c r="AR227">
        <f t="shared" si="28"/>
        <v>0</v>
      </c>
    </row>
    <row r="228" spans="1:44">
      <c r="A228" t="s">
        <v>384</v>
      </c>
      <c r="B228" t="s">
        <v>138</v>
      </c>
      <c r="C228">
        <f t="shared" ref="C228:AR228" si="29">IFERROR((C139)/C$198,0)</f>
        <v>2.6086573569803788E-3</v>
      </c>
      <c r="D228">
        <f t="shared" si="29"/>
        <v>3.8344659497095042E-3</v>
      </c>
      <c r="E228">
        <f t="shared" si="29"/>
        <v>3.2283289451973231E-3</v>
      </c>
      <c r="F228">
        <f t="shared" si="29"/>
        <v>4.9816297247846988E-3</v>
      </c>
      <c r="G228">
        <f t="shared" si="29"/>
        <v>3.9827943285008762E-3</v>
      </c>
      <c r="H228">
        <f t="shared" si="29"/>
        <v>4.1961185644244364E-3</v>
      </c>
      <c r="I228">
        <f t="shared" si="29"/>
        <v>1.9763911282628423E-3</v>
      </c>
      <c r="J228">
        <f t="shared" si="29"/>
        <v>4.010245992098445E-3</v>
      </c>
      <c r="K228">
        <f t="shared" si="29"/>
        <v>1.6695458335942211E-2</v>
      </c>
      <c r="L228">
        <f t="shared" si="29"/>
        <v>1.0124618036330825E-3</v>
      </c>
      <c r="M228">
        <f t="shared" si="29"/>
        <v>2.4705120175398873E-3</v>
      </c>
      <c r="N228">
        <f t="shared" si="29"/>
        <v>1.5162679033119809E-3</v>
      </c>
      <c r="O228">
        <f t="shared" si="29"/>
        <v>1.9318412117484576E-3</v>
      </c>
      <c r="P228">
        <f t="shared" si="29"/>
        <v>3.6077692628835437E-2</v>
      </c>
      <c r="Q228">
        <f t="shared" si="29"/>
        <v>4.7365867788260444E-5</v>
      </c>
      <c r="R228">
        <f t="shared" si="29"/>
        <v>3.8494989661023493E-2</v>
      </c>
      <c r="S228">
        <f t="shared" si="29"/>
        <v>3.904269196724109E-2</v>
      </c>
      <c r="T228">
        <f t="shared" si="29"/>
        <v>3.0303500393322092E-3</v>
      </c>
      <c r="U228">
        <f t="shared" si="29"/>
        <v>6.0694380206021011E-4</v>
      </c>
      <c r="V228">
        <f t="shared" si="29"/>
        <v>1.1713895182035017E-3</v>
      </c>
      <c r="W228">
        <f t="shared" si="29"/>
        <v>1.7957591290750567E-3</v>
      </c>
      <c r="X228">
        <f t="shared" si="29"/>
        <v>9.6593376922677579E-4</v>
      </c>
      <c r="Y228">
        <f t="shared" si="29"/>
        <v>2.370872251848176E-3</v>
      </c>
      <c r="Z228">
        <f t="shared" si="29"/>
        <v>1.5563586997527923E-3</v>
      </c>
      <c r="AA228">
        <f t="shared" si="29"/>
        <v>4.6887612608751189E-3</v>
      </c>
      <c r="AB228">
        <f t="shared" si="29"/>
        <v>5.1300174801213901E-4</v>
      </c>
      <c r="AC228">
        <f t="shared" si="29"/>
        <v>0.15994716641806916</v>
      </c>
      <c r="AD228">
        <f t="shared" si="29"/>
        <v>1.6854088652716195E-3</v>
      </c>
      <c r="AE228">
        <f t="shared" si="29"/>
        <v>3.4388682928558375E-3</v>
      </c>
      <c r="AF228">
        <f t="shared" si="29"/>
        <v>1.2702771071737371E-3</v>
      </c>
      <c r="AG228">
        <f t="shared" si="29"/>
        <v>5.7827354668504027E-3</v>
      </c>
      <c r="AH228">
        <f t="shared" si="29"/>
        <v>5.9366524787099755E-4</v>
      </c>
      <c r="AI228">
        <f t="shared" si="29"/>
        <v>6.0622968192675162E-4</v>
      </c>
      <c r="AJ228">
        <f t="shared" si="29"/>
        <v>5.1881861202207895E-4</v>
      </c>
      <c r="AK228">
        <f t="shared" si="29"/>
        <v>6.5280309888716189E-4</v>
      </c>
      <c r="AL228">
        <f t="shared" si="29"/>
        <v>2.5412929992499863E-3</v>
      </c>
      <c r="AM228">
        <f t="shared" si="29"/>
        <v>1.7204214333324749E-3</v>
      </c>
      <c r="AN228">
        <f t="shared" si="29"/>
        <v>8.2271235809180613E-3</v>
      </c>
      <c r="AO228">
        <f t="shared" si="29"/>
        <v>4.9243398602060971E-3</v>
      </c>
      <c r="AP228">
        <f t="shared" si="29"/>
        <v>5.0181058485039773E-3</v>
      </c>
      <c r="AQ228">
        <f t="shared" si="29"/>
        <v>3.213141767746468E-3</v>
      </c>
      <c r="AR228">
        <f t="shared" si="29"/>
        <v>0</v>
      </c>
    </row>
    <row r="229" spans="1:44">
      <c r="A229" t="s">
        <v>384</v>
      </c>
      <c r="B229" t="s">
        <v>20</v>
      </c>
      <c r="C229">
        <f t="shared" ref="C229:AR229" si="30">IFERROR((C140)/C$198,0)</f>
        <v>4.8704859361307145E-3</v>
      </c>
      <c r="D229">
        <f t="shared" si="30"/>
        <v>7.0052743312000549E-3</v>
      </c>
      <c r="E229">
        <f t="shared" si="30"/>
        <v>3.6157284186210015E-3</v>
      </c>
      <c r="F229">
        <f t="shared" si="30"/>
        <v>5.2650652461499036E-3</v>
      </c>
      <c r="G229">
        <f t="shared" si="30"/>
        <v>7.1159258669215662E-3</v>
      </c>
      <c r="H229">
        <f t="shared" si="30"/>
        <v>1.2598458047107276E-3</v>
      </c>
      <c r="I229">
        <f t="shared" si="30"/>
        <v>1.1030918520174428E-3</v>
      </c>
      <c r="J229">
        <f t="shared" si="30"/>
        <v>1.8280893795612171E-3</v>
      </c>
      <c r="K229">
        <f t="shared" si="30"/>
        <v>1.285296861580602E-3</v>
      </c>
      <c r="L229">
        <f t="shared" si="30"/>
        <v>6.3165137839490222E-4</v>
      </c>
      <c r="M229">
        <f t="shared" si="30"/>
        <v>9.8677938342932943E-4</v>
      </c>
      <c r="N229">
        <f t="shared" si="30"/>
        <v>6.3706972134943232E-4</v>
      </c>
      <c r="O229">
        <f t="shared" si="30"/>
        <v>9.7116472900516185E-4</v>
      </c>
      <c r="P229">
        <f t="shared" si="30"/>
        <v>1.0535321994699703E-2</v>
      </c>
      <c r="Q229">
        <f t="shared" si="30"/>
        <v>2.0197932807949873E-3</v>
      </c>
      <c r="R229">
        <f t="shared" si="30"/>
        <v>1.7253402426936142E-3</v>
      </c>
      <c r="S229">
        <f t="shared" si="30"/>
        <v>2.0418928595196647E-3</v>
      </c>
      <c r="T229">
        <f t="shared" si="30"/>
        <v>2.5099170849097584E-3</v>
      </c>
      <c r="U229">
        <f t="shared" si="30"/>
        <v>4.6676579628818909E-4</v>
      </c>
      <c r="V229">
        <f t="shared" si="30"/>
        <v>1.1115760365770404E-3</v>
      </c>
      <c r="W229">
        <f t="shared" si="30"/>
        <v>1.2510716837826497E-3</v>
      </c>
      <c r="X229">
        <f t="shared" si="30"/>
        <v>8.9209041589577323E-4</v>
      </c>
      <c r="Y229">
        <f t="shared" si="30"/>
        <v>2.5581479734388037E-3</v>
      </c>
      <c r="Z229">
        <f t="shared" si="30"/>
        <v>2.8193340399591616E-3</v>
      </c>
      <c r="AA229">
        <f t="shared" si="30"/>
        <v>1.0245396178200382E-2</v>
      </c>
      <c r="AB229">
        <f t="shared" si="30"/>
        <v>1.7915830652997971E-3</v>
      </c>
      <c r="AC229">
        <f t="shared" si="30"/>
        <v>1.1226037026113791E-2</v>
      </c>
      <c r="AD229">
        <f t="shared" si="30"/>
        <v>7.9960517075874121E-2</v>
      </c>
      <c r="AE229">
        <f t="shared" si="30"/>
        <v>4.6360364382696875E-3</v>
      </c>
      <c r="AF229">
        <f t="shared" si="30"/>
        <v>5.1988551682815472E-3</v>
      </c>
      <c r="AG229">
        <f t="shared" si="30"/>
        <v>3.9351399960248917E-3</v>
      </c>
      <c r="AH229">
        <f t="shared" si="30"/>
        <v>1.5489196304280003E-3</v>
      </c>
      <c r="AI229">
        <f t="shared" si="30"/>
        <v>7.2662795004816809E-3</v>
      </c>
      <c r="AJ229">
        <f t="shared" si="30"/>
        <v>1.1669497134418993E-3</v>
      </c>
      <c r="AK229">
        <f t="shared" si="30"/>
        <v>2.0910149618274701E-3</v>
      </c>
      <c r="AL229">
        <f t="shared" si="30"/>
        <v>6.6378657202816257E-2</v>
      </c>
      <c r="AM229">
        <f t="shared" si="30"/>
        <v>4.8811222378647243E-3</v>
      </c>
      <c r="AN229">
        <f t="shared" si="30"/>
        <v>1.2024478382094727E-2</v>
      </c>
      <c r="AO229">
        <f t="shared" si="30"/>
        <v>7.4705620378766003E-3</v>
      </c>
      <c r="AP229">
        <f t="shared" si="30"/>
        <v>3.9859505560787788E-3</v>
      </c>
      <c r="AQ229">
        <f t="shared" si="30"/>
        <v>3.9723863607136678E-3</v>
      </c>
      <c r="AR229">
        <f t="shared" si="30"/>
        <v>0</v>
      </c>
    </row>
    <row r="230" spans="1:44">
      <c r="A230" t="s">
        <v>384</v>
      </c>
      <c r="B230" t="s">
        <v>21</v>
      </c>
      <c r="C230">
        <f t="shared" ref="C230:AR230" si="31">IFERROR((C141)/C$198,0)</f>
        <v>4.516143909520258E-2</v>
      </c>
      <c r="D230">
        <f t="shared" si="31"/>
        <v>2.6472562998955999E-2</v>
      </c>
      <c r="E230">
        <f t="shared" si="31"/>
        <v>1.7425802239742882E-2</v>
      </c>
      <c r="F230">
        <f t="shared" si="31"/>
        <v>3.0540619374379435E-2</v>
      </c>
      <c r="G230">
        <f t="shared" si="31"/>
        <v>1.9011204928044183E-2</v>
      </c>
      <c r="H230">
        <f t="shared" si="31"/>
        <v>7.3148949935362848E-2</v>
      </c>
      <c r="I230">
        <f t="shared" si="31"/>
        <v>8.2454701795335567E-2</v>
      </c>
      <c r="J230">
        <f t="shared" si="31"/>
        <v>4.6503917726485801E-2</v>
      </c>
      <c r="K230">
        <f t="shared" si="31"/>
        <v>4.1761990095524441E-2</v>
      </c>
      <c r="L230">
        <f t="shared" si="31"/>
        <v>1.5865194440254807E-2</v>
      </c>
      <c r="M230">
        <f t="shared" si="31"/>
        <v>5.427802537321557E-2</v>
      </c>
      <c r="N230">
        <f t="shared" si="31"/>
        <v>6.0147543875595968E-2</v>
      </c>
      <c r="O230">
        <f t="shared" si="31"/>
        <v>5.1315051472445479E-2</v>
      </c>
      <c r="P230">
        <f t="shared" si="31"/>
        <v>0</v>
      </c>
      <c r="Q230">
        <f t="shared" si="31"/>
        <v>0</v>
      </c>
      <c r="R230">
        <f t="shared" si="31"/>
        <v>3.6488713285819367E-2</v>
      </c>
      <c r="S230">
        <f t="shared" si="31"/>
        <v>2.3801601117649972E-2</v>
      </c>
      <c r="T230">
        <f t="shared" si="31"/>
        <v>3.9409889730130432E-2</v>
      </c>
      <c r="U230">
        <f t="shared" si="31"/>
        <v>5.1477113380248879E-2</v>
      </c>
      <c r="V230">
        <f t="shared" si="31"/>
        <v>4.8477814785799885E-2</v>
      </c>
      <c r="W230">
        <f t="shared" si="31"/>
        <v>4.9513227515061847E-2</v>
      </c>
      <c r="X230">
        <f t="shared" si="31"/>
        <v>5.7066520810012379E-2</v>
      </c>
      <c r="Y230">
        <f t="shared" si="31"/>
        <v>4.6504029574567673E-2</v>
      </c>
      <c r="Z230">
        <f t="shared" si="31"/>
        <v>4.8617833754719536E-2</v>
      </c>
      <c r="AA230">
        <f t="shared" si="31"/>
        <v>1.8186721978763174E-2</v>
      </c>
      <c r="AB230">
        <f t="shared" si="31"/>
        <v>2.3003779652644562E-2</v>
      </c>
      <c r="AC230">
        <f t="shared" si="31"/>
        <v>1.9103112096539313E-2</v>
      </c>
      <c r="AD230">
        <f t="shared" si="31"/>
        <v>3.4089670726036782E-2</v>
      </c>
      <c r="AE230">
        <f t="shared" si="31"/>
        <v>1.9728228434219709E-2</v>
      </c>
      <c r="AF230">
        <f t="shared" si="31"/>
        <v>1.9112381171949803E-2</v>
      </c>
      <c r="AG230">
        <f t="shared" si="31"/>
        <v>5.4297822746753932E-2</v>
      </c>
      <c r="AH230">
        <f t="shared" si="31"/>
        <v>1.0157205991367756E-2</v>
      </c>
      <c r="AI230">
        <f t="shared" si="31"/>
        <v>1.5964740693032588E-2</v>
      </c>
      <c r="AJ230">
        <f t="shared" si="31"/>
        <v>8.5677875004004679E-3</v>
      </c>
      <c r="AK230">
        <f t="shared" si="31"/>
        <v>2.9449122373459286E-3</v>
      </c>
      <c r="AL230">
        <f t="shared" si="31"/>
        <v>4.4188457303506335E-3</v>
      </c>
      <c r="AM230">
        <f t="shared" si="31"/>
        <v>1.1435223090342223E-2</v>
      </c>
      <c r="AN230">
        <f t="shared" si="31"/>
        <v>8.6140604153152802E-3</v>
      </c>
      <c r="AO230">
        <f t="shared" si="31"/>
        <v>9.2051967692456174E-3</v>
      </c>
      <c r="AP230">
        <f t="shared" si="31"/>
        <v>3.4907153578248938E-2</v>
      </c>
      <c r="AQ230">
        <f t="shared" si="31"/>
        <v>2.1644126433166447E-2</v>
      </c>
      <c r="AR230">
        <f t="shared" si="31"/>
        <v>0</v>
      </c>
    </row>
    <row r="231" spans="1:44">
      <c r="A231" t="s">
        <v>384</v>
      </c>
      <c r="B231" t="s">
        <v>22</v>
      </c>
      <c r="C231">
        <f t="shared" ref="C231:AR231" si="32">IFERROR((C142)/C$198,0)</f>
        <v>1.049512990855426E-2</v>
      </c>
      <c r="D231">
        <f t="shared" si="32"/>
        <v>2.719443614333451E-2</v>
      </c>
      <c r="E231">
        <f t="shared" si="32"/>
        <v>2.4040289545236064E-2</v>
      </c>
      <c r="F231">
        <f t="shared" si="32"/>
        <v>2.2138906975990476E-2</v>
      </c>
      <c r="G231">
        <f t="shared" si="32"/>
        <v>1.9064308852424192E-2</v>
      </c>
      <c r="H231">
        <f t="shared" si="32"/>
        <v>1.7342183614943558E-2</v>
      </c>
      <c r="I231">
        <f t="shared" si="32"/>
        <v>1.1517851311200899E-2</v>
      </c>
      <c r="J231">
        <f t="shared" si="32"/>
        <v>1.9792998755046542E-2</v>
      </c>
      <c r="K231">
        <f t="shared" si="32"/>
        <v>1.4209812466382693E-2</v>
      </c>
      <c r="L231">
        <f t="shared" si="32"/>
        <v>1.3432064066337995E-2</v>
      </c>
      <c r="M231">
        <f t="shared" si="32"/>
        <v>9.8431708060976748E-3</v>
      </c>
      <c r="N231">
        <f t="shared" si="32"/>
        <v>9.0811857458287966E-3</v>
      </c>
      <c r="O231">
        <f t="shared" si="32"/>
        <v>7.6862673278425848E-3</v>
      </c>
      <c r="P231">
        <f t="shared" si="32"/>
        <v>6.0775525821791963E-3</v>
      </c>
      <c r="Q231">
        <f t="shared" si="32"/>
        <v>1.8479959250943517E-2</v>
      </c>
      <c r="R231">
        <f t="shared" si="32"/>
        <v>8.9437047211392388E-3</v>
      </c>
      <c r="S231">
        <f t="shared" si="32"/>
        <v>1.0057028370075443E-2</v>
      </c>
      <c r="T231">
        <f t="shared" si="32"/>
        <v>8.4921255410706723E-3</v>
      </c>
      <c r="U231">
        <f t="shared" si="32"/>
        <v>6.5674597631015692E-3</v>
      </c>
      <c r="V231">
        <f t="shared" si="32"/>
        <v>1.082834022471736E-2</v>
      </c>
      <c r="W231">
        <f t="shared" si="32"/>
        <v>1.0041255517028847E-2</v>
      </c>
      <c r="X231">
        <f t="shared" si="32"/>
        <v>1.0419857639374679E-2</v>
      </c>
      <c r="Y231">
        <f t="shared" si="32"/>
        <v>9.4811235132925362E-3</v>
      </c>
      <c r="Z231">
        <f t="shared" si="32"/>
        <v>1.197056310394165E-2</v>
      </c>
      <c r="AA231">
        <f t="shared" si="32"/>
        <v>1.1541579145585755E-2</v>
      </c>
      <c r="AB231">
        <f t="shared" si="32"/>
        <v>3.2725247439099138E-2</v>
      </c>
      <c r="AC231">
        <f t="shared" si="32"/>
        <v>1.1984479585740721E-2</v>
      </c>
      <c r="AD231">
        <f t="shared" si="32"/>
        <v>7.7848810863436792E-3</v>
      </c>
      <c r="AE231">
        <f t="shared" si="32"/>
        <v>4.7920419506733494E-2</v>
      </c>
      <c r="AF231">
        <f t="shared" si="32"/>
        <v>0.18867668548988667</v>
      </c>
      <c r="AG231">
        <f t="shared" si="32"/>
        <v>1.0622427057739716E-2</v>
      </c>
      <c r="AH231">
        <f t="shared" si="32"/>
        <v>1.3541077331766934E-2</v>
      </c>
      <c r="AI231">
        <f t="shared" si="32"/>
        <v>1.9587368517525142E-2</v>
      </c>
      <c r="AJ231">
        <f t="shared" si="32"/>
        <v>1.0355056994936458E-2</v>
      </c>
      <c r="AK231">
        <f t="shared" si="32"/>
        <v>1.7067773020986578E-2</v>
      </c>
      <c r="AL231">
        <f t="shared" si="32"/>
        <v>3.1787115989437825E-3</v>
      </c>
      <c r="AM231">
        <f t="shared" si="32"/>
        <v>1.7763205488821075E-2</v>
      </c>
      <c r="AN231">
        <f t="shared" si="32"/>
        <v>1.4032782299885667E-2</v>
      </c>
      <c r="AO231">
        <f t="shared" si="32"/>
        <v>8.3453181137667712E-3</v>
      </c>
      <c r="AP231">
        <f t="shared" si="32"/>
        <v>7.2198823101876043E-3</v>
      </c>
      <c r="AQ231">
        <f t="shared" si="32"/>
        <v>1.5866329693281524E-2</v>
      </c>
      <c r="AR231">
        <f t="shared" si="32"/>
        <v>0</v>
      </c>
    </row>
    <row r="232" spans="1:44">
      <c r="A232" t="s">
        <v>384</v>
      </c>
      <c r="B232" t="s">
        <v>23</v>
      </c>
      <c r="C232">
        <f t="shared" ref="C232:AR232" si="33">IFERROR((C143)/C$198,0)</f>
        <v>7.4364666055278276E-3</v>
      </c>
      <c r="D232">
        <f t="shared" si="33"/>
        <v>1.4879901266382833E-2</v>
      </c>
      <c r="E232">
        <f t="shared" si="33"/>
        <v>2.088370124326535E-2</v>
      </c>
      <c r="F232">
        <f t="shared" si="33"/>
        <v>2.1064091194347788E-2</v>
      </c>
      <c r="G232">
        <f t="shared" si="33"/>
        <v>1.9967075566884394E-2</v>
      </c>
      <c r="H232">
        <f t="shared" si="33"/>
        <v>1.4526125818386847E-2</v>
      </c>
      <c r="I232">
        <f t="shared" si="33"/>
        <v>1.7306575787428745E-2</v>
      </c>
      <c r="J232">
        <f t="shared" si="33"/>
        <v>1.7367592464040332E-2</v>
      </c>
      <c r="K232">
        <f t="shared" si="33"/>
        <v>1.2030771312630336E-2</v>
      </c>
      <c r="L232">
        <f t="shared" si="33"/>
        <v>3.4195842074794419E-3</v>
      </c>
      <c r="M232">
        <f t="shared" si="33"/>
        <v>1.2416247575238966E-2</v>
      </c>
      <c r="N232">
        <f t="shared" si="33"/>
        <v>1.2813011172121009E-2</v>
      </c>
      <c r="O232">
        <f t="shared" si="33"/>
        <v>1.4917543986005609E-2</v>
      </c>
      <c r="P232">
        <f t="shared" si="33"/>
        <v>1.3317666380008182E-2</v>
      </c>
      <c r="Q232">
        <f t="shared" si="33"/>
        <v>1.6153754998681217E-2</v>
      </c>
      <c r="R232">
        <f t="shared" si="33"/>
        <v>9.1124390729838845E-3</v>
      </c>
      <c r="S232">
        <f t="shared" si="33"/>
        <v>1.0032269540985921E-2</v>
      </c>
      <c r="T232">
        <f t="shared" si="33"/>
        <v>1.4948372813448177E-2</v>
      </c>
      <c r="U232">
        <f t="shared" si="33"/>
        <v>7.4287938631569872E-3</v>
      </c>
      <c r="V232">
        <f t="shared" si="33"/>
        <v>1.4606103048187628E-2</v>
      </c>
      <c r="W232">
        <f t="shared" si="33"/>
        <v>1.3613272553882476E-2</v>
      </c>
      <c r="X232">
        <f t="shared" si="33"/>
        <v>6.5262161893468625E-3</v>
      </c>
      <c r="Y232">
        <f t="shared" si="33"/>
        <v>1.3000710942557012E-2</v>
      </c>
      <c r="Z232">
        <f t="shared" si="33"/>
        <v>1.5030137396682422E-2</v>
      </c>
      <c r="AA232">
        <f t="shared" si="33"/>
        <v>1.615272561309062E-2</v>
      </c>
      <c r="AB232">
        <f t="shared" si="33"/>
        <v>2.0489400948892258E-2</v>
      </c>
      <c r="AC232">
        <f t="shared" si="33"/>
        <v>2.2968667121535023E-2</v>
      </c>
      <c r="AD232">
        <f t="shared" si="33"/>
        <v>1.7566354067629145E-2</v>
      </c>
      <c r="AE232">
        <f t="shared" si="33"/>
        <v>4.0225956014978664E-2</v>
      </c>
      <c r="AF232">
        <f t="shared" si="33"/>
        <v>3.9090116153502399E-2</v>
      </c>
      <c r="AG232">
        <f t="shared" si="33"/>
        <v>5.0612838349498347E-2</v>
      </c>
      <c r="AH232">
        <f t="shared" si="33"/>
        <v>3.5473812962661888E-2</v>
      </c>
      <c r="AI232">
        <f t="shared" si="33"/>
        <v>2.6165840756620297E-2</v>
      </c>
      <c r="AJ232">
        <f t="shared" si="33"/>
        <v>4.1812982139780477E-2</v>
      </c>
      <c r="AK232">
        <f t="shared" si="33"/>
        <v>3.7066863708254787E-2</v>
      </c>
      <c r="AL232">
        <f t="shared" si="33"/>
        <v>1.0470111854769733E-2</v>
      </c>
      <c r="AM232">
        <f t="shared" si="33"/>
        <v>5.6309587458287264E-2</v>
      </c>
      <c r="AN232">
        <f t="shared" si="33"/>
        <v>4.3645392313883542E-2</v>
      </c>
      <c r="AO232">
        <f t="shared" si="33"/>
        <v>6.2175225222053265E-2</v>
      </c>
      <c r="AP232">
        <f t="shared" si="33"/>
        <v>6.7410956008265202E-2</v>
      </c>
      <c r="AQ232">
        <f t="shared" si="33"/>
        <v>7.9598019781826138E-2</v>
      </c>
      <c r="AR232">
        <f t="shared" si="33"/>
        <v>0</v>
      </c>
    </row>
    <row r="233" spans="1:44">
      <c r="A233" t="s">
        <v>384</v>
      </c>
      <c r="B233" t="s">
        <v>24</v>
      </c>
      <c r="C233">
        <f t="shared" ref="C233:AR233" si="34">IFERROR((C144)/C$198,0)</f>
        <v>9.2667585614097448E-4</v>
      </c>
      <c r="D233">
        <f t="shared" si="34"/>
        <v>1.4126979814719225E-3</v>
      </c>
      <c r="E233">
        <f t="shared" si="34"/>
        <v>2.2885265189287688E-3</v>
      </c>
      <c r="F233">
        <f t="shared" si="34"/>
        <v>2.0694917900927205E-3</v>
      </c>
      <c r="G233">
        <f t="shared" si="34"/>
        <v>2.7083001433805959E-3</v>
      </c>
      <c r="H233">
        <f t="shared" si="34"/>
        <v>3.7210412808462066E-3</v>
      </c>
      <c r="I233">
        <f t="shared" si="34"/>
        <v>3.0394646198021948E-3</v>
      </c>
      <c r="J233">
        <f t="shared" si="34"/>
        <v>3.3953172092457289E-3</v>
      </c>
      <c r="K233">
        <f t="shared" si="34"/>
        <v>5.4190724183985142E-3</v>
      </c>
      <c r="L233">
        <f t="shared" si="34"/>
        <v>4.3422753277033021E-4</v>
      </c>
      <c r="M233">
        <f t="shared" si="34"/>
        <v>2.4397024135599079E-3</v>
      </c>
      <c r="N233">
        <f t="shared" si="34"/>
        <v>3.0723431609247119E-3</v>
      </c>
      <c r="O233">
        <f t="shared" si="34"/>
        <v>1.4151632478538528E-3</v>
      </c>
      <c r="P233">
        <f t="shared" si="34"/>
        <v>0</v>
      </c>
      <c r="Q233">
        <f t="shared" si="34"/>
        <v>0</v>
      </c>
      <c r="R233">
        <f t="shared" si="34"/>
        <v>1.350033391394407E-3</v>
      </c>
      <c r="S233">
        <f t="shared" si="34"/>
        <v>1.8904576930755838E-3</v>
      </c>
      <c r="T233">
        <f t="shared" si="34"/>
        <v>1.6982610007756202E-3</v>
      </c>
      <c r="U233">
        <f t="shared" si="34"/>
        <v>1.8818196882012317E-3</v>
      </c>
      <c r="V233">
        <f t="shared" si="34"/>
        <v>3.4098407531836404E-3</v>
      </c>
      <c r="W233">
        <f t="shared" si="34"/>
        <v>1.9275607167024845E-3</v>
      </c>
      <c r="X233">
        <f t="shared" si="34"/>
        <v>1.5392001427440853E-3</v>
      </c>
      <c r="Y233">
        <f t="shared" si="34"/>
        <v>3.1633127754043242E-3</v>
      </c>
      <c r="Z233">
        <f t="shared" si="34"/>
        <v>3.83834528165777E-3</v>
      </c>
      <c r="AA233">
        <f t="shared" si="34"/>
        <v>2.3415340992293853E-3</v>
      </c>
      <c r="AB233">
        <f t="shared" si="34"/>
        <v>1.3558976515843134E-3</v>
      </c>
      <c r="AC233">
        <f t="shared" si="34"/>
        <v>2.6724548538625157E-3</v>
      </c>
      <c r="AD233">
        <f t="shared" si="34"/>
        <v>1.6197500205748674E-3</v>
      </c>
      <c r="AE233">
        <f t="shared" si="34"/>
        <v>9.2520547388159971E-3</v>
      </c>
      <c r="AF233">
        <f t="shared" si="34"/>
        <v>3.6336005717182026E-3</v>
      </c>
      <c r="AG233">
        <f t="shared" si="34"/>
        <v>7.3339533015211213E-3</v>
      </c>
      <c r="AH233">
        <f t="shared" si="34"/>
        <v>0.16845479108128261</v>
      </c>
      <c r="AI233">
        <f t="shared" si="34"/>
        <v>3.1548660123926583E-2</v>
      </c>
      <c r="AJ233">
        <f t="shared" si="34"/>
        <v>2.9417345641820313E-2</v>
      </c>
      <c r="AK233">
        <f t="shared" si="34"/>
        <v>7.3985464555704015E-3</v>
      </c>
      <c r="AL233">
        <f t="shared" si="34"/>
        <v>2.6409307985848138E-3</v>
      </c>
      <c r="AM233">
        <f t="shared" si="34"/>
        <v>1.7932436830482412E-2</v>
      </c>
      <c r="AN233">
        <f t="shared" si="34"/>
        <v>6.8105473812118339E-3</v>
      </c>
      <c r="AO233">
        <f t="shared" si="34"/>
        <v>2.7898520183378187E-2</v>
      </c>
      <c r="AP233">
        <f t="shared" si="34"/>
        <v>5.7712374826425824E-3</v>
      </c>
      <c r="AQ233">
        <f t="shared" si="34"/>
        <v>1.9249504431169937E-2</v>
      </c>
      <c r="AR233">
        <f t="shared" si="34"/>
        <v>0</v>
      </c>
    </row>
    <row r="234" spans="1:44">
      <c r="A234" t="s">
        <v>384</v>
      </c>
      <c r="B234" t="s">
        <v>25</v>
      </c>
      <c r="C234">
        <f t="shared" ref="C234:AR234" si="35">IFERROR((C145)/C$198,0)</f>
        <v>1.3752652230613629E-3</v>
      </c>
      <c r="D234">
        <f t="shared" si="35"/>
        <v>4.529171825213554E-3</v>
      </c>
      <c r="E234">
        <f t="shared" si="35"/>
        <v>4.8927118680546101E-3</v>
      </c>
      <c r="F234">
        <f t="shared" si="35"/>
        <v>3.3322824809152436E-3</v>
      </c>
      <c r="G234">
        <f t="shared" si="35"/>
        <v>2.7083001433805959E-3</v>
      </c>
      <c r="H234">
        <f t="shared" si="35"/>
        <v>1.6797486942726719E-3</v>
      </c>
      <c r="I234">
        <f t="shared" si="35"/>
        <v>2.4395210648473923E-3</v>
      </c>
      <c r="J234">
        <f t="shared" si="35"/>
        <v>2.9101902059239472E-3</v>
      </c>
      <c r="K234">
        <f t="shared" si="35"/>
        <v>2.3066395933869785E-3</v>
      </c>
      <c r="L234">
        <f t="shared" si="35"/>
        <v>4.1116265402396527E-4</v>
      </c>
      <c r="M234">
        <f t="shared" si="35"/>
        <v>9.6258553466081818E-4</v>
      </c>
      <c r="N234">
        <f t="shared" si="35"/>
        <v>2.4158715357984434E-3</v>
      </c>
      <c r="O234">
        <f t="shared" si="35"/>
        <v>1.2208318648812006E-3</v>
      </c>
      <c r="P234">
        <f t="shared" si="35"/>
        <v>1.9633498334659934E-3</v>
      </c>
      <c r="Q234">
        <f t="shared" si="35"/>
        <v>1.912242663274132E-3</v>
      </c>
      <c r="R234">
        <f t="shared" si="35"/>
        <v>7.8099874825769417E-4</v>
      </c>
      <c r="S234">
        <f t="shared" si="35"/>
        <v>1.2885599498418548E-3</v>
      </c>
      <c r="T234">
        <f t="shared" si="35"/>
        <v>1.8005095883487502E-3</v>
      </c>
      <c r="U234">
        <f t="shared" si="35"/>
        <v>1.5214288024140914E-3</v>
      </c>
      <c r="V234">
        <f t="shared" si="35"/>
        <v>1.9528190885837241E-3</v>
      </c>
      <c r="W234">
        <f t="shared" si="35"/>
        <v>2.633518261803676E-3</v>
      </c>
      <c r="X234">
        <f t="shared" si="35"/>
        <v>1.913702665464813E-3</v>
      </c>
      <c r="Y234">
        <f t="shared" si="35"/>
        <v>1.8649019902151559E-3</v>
      </c>
      <c r="Z234">
        <f t="shared" si="35"/>
        <v>2.9909441640307405E-3</v>
      </c>
      <c r="AA234">
        <f t="shared" si="35"/>
        <v>2.254836624043576E-3</v>
      </c>
      <c r="AB234">
        <f t="shared" si="35"/>
        <v>2.0939085341087735E-3</v>
      </c>
      <c r="AC234">
        <f t="shared" si="35"/>
        <v>2.462740050407493E-3</v>
      </c>
      <c r="AD234">
        <f t="shared" si="35"/>
        <v>2.3474192578086936E-3</v>
      </c>
      <c r="AE234">
        <f t="shared" si="35"/>
        <v>8.8364428634038067E-3</v>
      </c>
      <c r="AF234">
        <f t="shared" si="35"/>
        <v>5.066620984656614E-3</v>
      </c>
      <c r="AG234">
        <f t="shared" si="35"/>
        <v>6.7410279201382808E-3</v>
      </c>
      <c r="AH234">
        <f t="shared" si="35"/>
        <v>1.1496567007222637E-2</v>
      </c>
      <c r="AI234">
        <f t="shared" si="35"/>
        <v>0.15998628539890994</v>
      </c>
      <c r="AJ234">
        <f t="shared" si="35"/>
        <v>1.4713406466340515E-2</v>
      </c>
      <c r="AK234">
        <f t="shared" si="35"/>
        <v>9.5566846120278479E-3</v>
      </c>
      <c r="AL234">
        <f t="shared" si="35"/>
        <v>4.2512525174380556E-3</v>
      </c>
      <c r="AM234">
        <f t="shared" si="35"/>
        <v>8.9764954088541165E-3</v>
      </c>
      <c r="AN234">
        <f t="shared" si="35"/>
        <v>8.4414694754208E-3</v>
      </c>
      <c r="AO234">
        <f t="shared" si="35"/>
        <v>5.264880906767383E-3</v>
      </c>
      <c r="AP234">
        <f t="shared" si="35"/>
        <v>5.4483018817010464E-3</v>
      </c>
      <c r="AQ234">
        <f t="shared" si="35"/>
        <v>1.1089605572833294E-2</v>
      </c>
      <c r="AR234">
        <f t="shared" si="35"/>
        <v>0</v>
      </c>
    </row>
    <row r="235" spans="1:44">
      <c r="A235" t="s">
        <v>384</v>
      </c>
      <c r="B235" t="s">
        <v>26</v>
      </c>
      <c r="C235">
        <f t="shared" ref="C235:AR235" si="36">IFERROR((C146)/C$198,0)</f>
        <v>5.564645570468249E-4</v>
      </c>
      <c r="D235">
        <f t="shared" si="36"/>
        <v>2.8137528477119337E-3</v>
      </c>
      <c r="E235">
        <f t="shared" si="36"/>
        <v>3.2498511381653049E-3</v>
      </c>
      <c r="F235">
        <f t="shared" si="36"/>
        <v>2.9144949868447029E-3</v>
      </c>
      <c r="G235">
        <f t="shared" si="36"/>
        <v>2.0179491264404438E-3</v>
      </c>
      <c r="H235">
        <f t="shared" si="36"/>
        <v>2.5815628126534709E-3</v>
      </c>
      <c r="I235">
        <f t="shared" si="36"/>
        <v>2.05853963605164E-3</v>
      </c>
      <c r="J235">
        <f t="shared" si="36"/>
        <v>1.9962026975440129E-3</v>
      </c>
      <c r="K235">
        <f t="shared" si="36"/>
        <v>2.6236167298210804E-3</v>
      </c>
      <c r="L235">
        <f t="shared" si="36"/>
        <v>4.9246875086413316E-4</v>
      </c>
      <c r="M235">
        <f t="shared" si="36"/>
        <v>1.7304560158340546E-3</v>
      </c>
      <c r="N235">
        <f t="shared" si="36"/>
        <v>3.3699403871944879E-3</v>
      </c>
      <c r="O235">
        <f t="shared" si="36"/>
        <v>1.2905113199348935E-3</v>
      </c>
      <c r="P235">
        <f t="shared" si="36"/>
        <v>5.7892179467984037E-3</v>
      </c>
      <c r="Q235">
        <f t="shared" si="36"/>
        <v>1.7660826573084746E-3</v>
      </c>
      <c r="R235">
        <f t="shared" si="36"/>
        <v>1.1660844921871712E-3</v>
      </c>
      <c r="S235">
        <f t="shared" si="36"/>
        <v>1.3415602565751254E-3</v>
      </c>
      <c r="T235">
        <f t="shared" si="36"/>
        <v>1.8250002102023221E-3</v>
      </c>
      <c r="U235">
        <f t="shared" si="36"/>
        <v>1.9970613678744918E-3</v>
      </c>
      <c r="V235">
        <f t="shared" si="36"/>
        <v>2.5977875573401244E-3</v>
      </c>
      <c r="W235">
        <f t="shared" si="36"/>
        <v>2.154154907541343E-3</v>
      </c>
      <c r="X235">
        <f t="shared" si="36"/>
        <v>1.2153585628929175E-3</v>
      </c>
      <c r="Y235">
        <f t="shared" si="36"/>
        <v>2.5124225261629225E-3</v>
      </c>
      <c r="Z235">
        <f t="shared" si="36"/>
        <v>2.7414116980820037E-3</v>
      </c>
      <c r="AA235">
        <f t="shared" si="36"/>
        <v>3.9533355779105845E-3</v>
      </c>
      <c r="AB235">
        <f t="shared" si="36"/>
        <v>1.2498917583244019E-3</v>
      </c>
      <c r="AC235">
        <f t="shared" si="36"/>
        <v>3.2570343688869403E-3</v>
      </c>
      <c r="AD235">
        <f t="shared" si="36"/>
        <v>1.9952926268790336E-3</v>
      </c>
      <c r="AE235">
        <f t="shared" si="36"/>
        <v>6.7491525747051988E-3</v>
      </c>
      <c r="AF235">
        <f t="shared" si="36"/>
        <v>4.9265171725788219E-3</v>
      </c>
      <c r="AG235">
        <f t="shared" si="36"/>
        <v>3.0675633093236849E-3</v>
      </c>
      <c r="AH235">
        <f t="shared" si="36"/>
        <v>1.0887023556426822E-2</v>
      </c>
      <c r="AI235">
        <f t="shared" si="36"/>
        <v>2.3159304101283432E-2</v>
      </c>
      <c r="AJ235">
        <f t="shared" si="36"/>
        <v>8.7186016283592641E-2</v>
      </c>
      <c r="AK235">
        <f t="shared" si="36"/>
        <v>1.2418031255430687E-2</v>
      </c>
      <c r="AL235">
        <f t="shared" si="36"/>
        <v>1.997058471574342E-3</v>
      </c>
      <c r="AM235">
        <f t="shared" si="36"/>
        <v>1.173720859496773E-2</v>
      </c>
      <c r="AN235">
        <f t="shared" si="36"/>
        <v>6.2785400616308957E-3</v>
      </c>
      <c r="AO235">
        <f t="shared" si="36"/>
        <v>5.5616526515153081E-3</v>
      </c>
      <c r="AP235">
        <f t="shared" si="36"/>
        <v>3.5634475800476071E-3</v>
      </c>
      <c r="AQ235">
        <f t="shared" si="36"/>
        <v>6.206969713397955E-3</v>
      </c>
      <c r="AR235">
        <f t="shared" si="36"/>
        <v>0</v>
      </c>
    </row>
    <row r="236" spans="1:44">
      <c r="A236" t="s">
        <v>384</v>
      </c>
      <c r="B236" t="s">
        <v>27</v>
      </c>
      <c r="C236">
        <f t="shared" ref="C236:AR236" si="37">IFERROR((C147)/C$198,0)</f>
        <v>1.4248741826697072E-2</v>
      </c>
      <c r="D236">
        <f t="shared" si="37"/>
        <v>1.5446532874335856E-2</v>
      </c>
      <c r="E236">
        <f t="shared" si="37"/>
        <v>2.9506926559103534E-2</v>
      </c>
      <c r="F236">
        <f t="shared" si="37"/>
        <v>1.5583944939261714E-2</v>
      </c>
      <c r="G236">
        <f t="shared" si="37"/>
        <v>2.6339546492485794E-2</v>
      </c>
      <c r="H236">
        <f t="shared" si="37"/>
        <v>1.5691858216679021E-2</v>
      </c>
      <c r="I236">
        <f t="shared" si="37"/>
        <v>1.1500082133423597E-2</v>
      </c>
      <c r="J236">
        <f t="shared" si="37"/>
        <v>1.2756484313655078E-2</v>
      </c>
      <c r="K236">
        <f t="shared" si="37"/>
        <v>1.3784947013208483E-2</v>
      </c>
      <c r="L236">
        <f t="shared" si="37"/>
        <v>5.1829053841821199E-3</v>
      </c>
      <c r="M236">
        <f t="shared" si="37"/>
        <v>9.1486534810510476E-3</v>
      </c>
      <c r="N236">
        <f t="shared" si="37"/>
        <v>9.5744745877787297E-3</v>
      </c>
      <c r="O236">
        <f t="shared" si="37"/>
        <v>8.4809717080084421E-3</v>
      </c>
      <c r="P236">
        <f t="shared" si="37"/>
        <v>1.4926889999177977E-2</v>
      </c>
      <c r="Q236">
        <f t="shared" si="37"/>
        <v>1.4020807458045298E-2</v>
      </c>
      <c r="R236">
        <f t="shared" si="37"/>
        <v>7.8355799898660716E-3</v>
      </c>
      <c r="S236">
        <f t="shared" si="37"/>
        <v>1.1305657952873159E-2</v>
      </c>
      <c r="T236">
        <f t="shared" si="37"/>
        <v>9.2298657042222329E-3</v>
      </c>
      <c r="U236">
        <f t="shared" si="37"/>
        <v>5.7656985373229011E-3</v>
      </c>
      <c r="V236">
        <f t="shared" si="37"/>
        <v>1.0727714921659647E-2</v>
      </c>
      <c r="W236">
        <f t="shared" si="37"/>
        <v>9.6567914393252078E-3</v>
      </c>
      <c r="X236">
        <f t="shared" si="37"/>
        <v>6.1599498272149698E-3</v>
      </c>
      <c r="Y236">
        <f t="shared" si="37"/>
        <v>1.0786720044710518E-2</v>
      </c>
      <c r="Z236">
        <f t="shared" si="37"/>
        <v>1.2760749246112653E-2</v>
      </c>
      <c r="AA236">
        <f t="shared" si="37"/>
        <v>1.7990114690019637E-2</v>
      </c>
      <c r="AB236">
        <f t="shared" si="37"/>
        <v>8.9238121932342668E-3</v>
      </c>
      <c r="AC236">
        <f t="shared" si="37"/>
        <v>1.3116467895909036E-2</v>
      </c>
      <c r="AD236">
        <f t="shared" si="37"/>
        <v>1.0301933948434873E-2</v>
      </c>
      <c r="AE236">
        <f t="shared" si="37"/>
        <v>2.6992786803458357E-2</v>
      </c>
      <c r="AF236">
        <f t="shared" si="37"/>
        <v>1.6044897703493571E-2</v>
      </c>
      <c r="AG236">
        <f t="shared" si="37"/>
        <v>1.3438596374240778E-2</v>
      </c>
      <c r="AH236">
        <f t="shared" si="37"/>
        <v>9.3921534035638649E-3</v>
      </c>
      <c r="AI236">
        <f t="shared" si="37"/>
        <v>1.901993434599477E-2</v>
      </c>
      <c r="AJ236">
        <f t="shared" si="37"/>
        <v>1.2536077206439795E-2</v>
      </c>
      <c r="AK236">
        <f t="shared" si="37"/>
        <v>0.16524340004230373</v>
      </c>
      <c r="AL236">
        <f t="shared" si="37"/>
        <v>0.1077879080043677</v>
      </c>
      <c r="AM236">
        <f t="shared" si="37"/>
        <v>2.225445548078394E-2</v>
      </c>
      <c r="AN236">
        <f t="shared" si="37"/>
        <v>1.219622827868118E-2</v>
      </c>
      <c r="AO236">
        <f t="shared" si="37"/>
        <v>8.6645095442621552E-3</v>
      </c>
      <c r="AP236">
        <f t="shared" si="37"/>
        <v>6.5746401003998565E-3</v>
      </c>
      <c r="AQ236">
        <f t="shared" si="37"/>
        <v>1.8632759857549197E-2</v>
      </c>
      <c r="AR236">
        <f t="shared" si="37"/>
        <v>0</v>
      </c>
    </row>
    <row r="237" spans="1:44">
      <c r="A237" t="s">
        <v>384</v>
      </c>
      <c r="B237" t="s">
        <v>28</v>
      </c>
      <c r="C237">
        <f t="shared" ref="C237:AR237" si="38">IFERROR((C148)/C$198,0)</f>
        <v>9.4833696479668182E-4</v>
      </c>
      <c r="D237">
        <f t="shared" si="38"/>
        <v>3.0582582675820745E-3</v>
      </c>
      <c r="E237">
        <f t="shared" si="38"/>
        <v>4.361831108177716E-3</v>
      </c>
      <c r="F237">
        <f t="shared" si="38"/>
        <v>3.9757577186092215E-3</v>
      </c>
      <c r="G237">
        <f t="shared" si="38"/>
        <v>3.1862354628007009E-3</v>
      </c>
      <c r="H237">
        <f t="shared" si="38"/>
        <v>3.3320549462301455E-3</v>
      </c>
      <c r="I237">
        <f t="shared" si="38"/>
        <v>4.1749573155086452E-3</v>
      </c>
      <c r="J237">
        <f t="shared" si="38"/>
        <v>3.1075804010520457E-3</v>
      </c>
      <c r="K237">
        <f t="shared" si="38"/>
        <v>3.0718012016310494E-3</v>
      </c>
      <c r="L237">
        <f t="shared" si="38"/>
        <v>5.676903262929854E-4</v>
      </c>
      <c r="M237">
        <f t="shared" si="38"/>
        <v>1.4398924122054357E-3</v>
      </c>
      <c r="N237">
        <f t="shared" si="38"/>
        <v>2.1096681359097889E-3</v>
      </c>
      <c r="O237">
        <f t="shared" si="38"/>
        <v>1.8812984116060802E-3</v>
      </c>
      <c r="P237">
        <f t="shared" si="38"/>
        <v>2.9343942095533477E-3</v>
      </c>
      <c r="Q237">
        <f t="shared" si="38"/>
        <v>2.7861272190628193E-3</v>
      </c>
      <c r="R237">
        <f t="shared" si="38"/>
        <v>1.344095577310802E-3</v>
      </c>
      <c r="S237">
        <f t="shared" si="38"/>
        <v>1.8636973418284606E-3</v>
      </c>
      <c r="T237">
        <f t="shared" si="38"/>
        <v>3.0532671604517913E-3</v>
      </c>
      <c r="U237">
        <f t="shared" si="38"/>
        <v>1.5260932142972302E-3</v>
      </c>
      <c r="V237">
        <f t="shared" si="38"/>
        <v>2.3395404045761297E-3</v>
      </c>
      <c r="W237">
        <f t="shared" si="38"/>
        <v>2.1940174039966208E-3</v>
      </c>
      <c r="X237">
        <f t="shared" si="38"/>
        <v>1.7456914636944814E-3</v>
      </c>
      <c r="Y237">
        <f t="shared" si="38"/>
        <v>4.0000728393654993E-3</v>
      </c>
      <c r="Z237">
        <f t="shared" si="38"/>
        <v>4.6415822850185582E-3</v>
      </c>
      <c r="AA237">
        <f t="shared" si="38"/>
        <v>2.3534914030216175E-3</v>
      </c>
      <c r="AB237">
        <f t="shared" si="38"/>
        <v>2.4605768375668478E-3</v>
      </c>
      <c r="AC237">
        <f t="shared" si="38"/>
        <v>3.0473595339479188E-3</v>
      </c>
      <c r="AD237">
        <f t="shared" si="38"/>
        <v>3.6710944042635846E-3</v>
      </c>
      <c r="AE237">
        <f t="shared" si="38"/>
        <v>2.6754729356641416E-2</v>
      </c>
      <c r="AF237">
        <f t="shared" si="38"/>
        <v>8.378261393288941E-3</v>
      </c>
      <c r="AG237">
        <f t="shared" si="38"/>
        <v>2.5710435028098277E-2</v>
      </c>
      <c r="AH237">
        <f t="shared" si="38"/>
        <v>7.8103926372866542E-3</v>
      </c>
      <c r="AI237">
        <f t="shared" si="38"/>
        <v>1.2961561139731105E-2</v>
      </c>
      <c r="AJ237">
        <f t="shared" si="38"/>
        <v>1.0937156972185433E-2</v>
      </c>
      <c r="AK237">
        <f t="shared" si="38"/>
        <v>8.0497088303635965E-3</v>
      </c>
      <c r="AL237">
        <f t="shared" si="38"/>
        <v>1.4090816830927357E-2</v>
      </c>
      <c r="AM237">
        <f t="shared" si="38"/>
        <v>1.0960187067283671E-2</v>
      </c>
      <c r="AN237">
        <f t="shared" si="38"/>
        <v>5.0562701606143567E-3</v>
      </c>
      <c r="AO237">
        <f t="shared" si="38"/>
        <v>8.3683505007028629E-3</v>
      </c>
      <c r="AP237">
        <f t="shared" si="38"/>
        <v>7.1911491218330306E-3</v>
      </c>
      <c r="AQ237">
        <f t="shared" si="38"/>
        <v>1.5566575619411256E-2</v>
      </c>
      <c r="AR237">
        <f t="shared" si="38"/>
        <v>0</v>
      </c>
    </row>
    <row r="238" spans="1:44">
      <c r="A238" t="s">
        <v>384</v>
      </c>
      <c r="B238" t="s">
        <v>29</v>
      </c>
      <c r="C238">
        <f t="shared" ref="C238:AR238" si="39">IFERROR((C149)/C$198,0)</f>
        <v>1.435738806622102E-2</v>
      </c>
      <c r="D238">
        <f t="shared" si="39"/>
        <v>4.2105385717002439E-2</v>
      </c>
      <c r="E238">
        <f t="shared" si="39"/>
        <v>6.6532272528355502E-2</v>
      </c>
      <c r="F238">
        <f t="shared" si="39"/>
        <v>5.1106194038425846E-2</v>
      </c>
      <c r="G238">
        <f t="shared" si="39"/>
        <v>0.10233126228028251</v>
      </c>
      <c r="H238">
        <f t="shared" si="39"/>
        <v>2.993562095980605E-2</v>
      </c>
      <c r="I238">
        <f t="shared" si="39"/>
        <v>2.0950901408667406E-2</v>
      </c>
      <c r="J238">
        <f t="shared" si="39"/>
        <v>1.9947845988072872E-2</v>
      </c>
      <c r="K238">
        <f t="shared" si="39"/>
        <v>2.2818139238718334E-2</v>
      </c>
      <c r="L238">
        <f t="shared" si="39"/>
        <v>6.6214884233950638E-3</v>
      </c>
      <c r="M238">
        <f t="shared" si="39"/>
        <v>1.7825857927163628E-2</v>
      </c>
      <c r="N238">
        <f t="shared" si="39"/>
        <v>2.8345877312882552E-2</v>
      </c>
      <c r="O238">
        <f t="shared" si="39"/>
        <v>1.9106737042369398E-2</v>
      </c>
      <c r="P238">
        <f t="shared" si="39"/>
        <v>0.12131348140195519</v>
      </c>
      <c r="Q238">
        <f t="shared" si="39"/>
        <v>1.4066073080842874E-2</v>
      </c>
      <c r="R238">
        <f t="shared" si="39"/>
        <v>1.3629247910213204E-2</v>
      </c>
      <c r="S238">
        <f t="shared" si="39"/>
        <v>1.436628556016851E-2</v>
      </c>
      <c r="T238">
        <f t="shared" si="39"/>
        <v>2.1677675556755965E-2</v>
      </c>
      <c r="U238">
        <f t="shared" si="39"/>
        <v>2.0154262833509323E-2</v>
      </c>
      <c r="V238">
        <f t="shared" si="39"/>
        <v>2.2056297255191211E-2</v>
      </c>
      <c r="W238">
        <f t="shared" si="39"/>
        <v>2.3258603275461132E-2</v>
      </c>
      <c r="X238">
        <f t="shared" si="39"/>
        <v>2.3791493266043889E-2</v>
      </c>
      <c r="Y238">
        <f t="shared" si="39"/>
        <v>3.5436418263453291E-2</v>
      </c>
      <c r="Z238">
        <f t="shared" si="39"/>
        <v>2.5548226655941992E-2</v>
      </c>
      <c r="AA238">
        <f t="shared" si="39"/>
        <v>3.4470182028460798E-2</v>
      </c>
      <c r="AB238">
        <f t="shared" si="39"/>
        <v>1.3156011031385828E-2</v>
      </c>
      <c r="AC238">
        <f t="shared" si="39"/>
        <v>3.6681665118752656E-2</v>
      </c>
      <c r="AD238">
        <f t="shared" si="39"/>
        <v>4.9684118991916403E-2</v>
      </c>
      <c r="AE238">
        <f t="shared" si="39"/>
        <v>5.6613992013643012E-2</v>
      </c>
      <c r="AF238">
        <f t="shared" si="39"/>
        <v>4.2500436054509642E-2</v>
      </c>
      <c r="AG238">
        <f t="shared" si="39"/>
        <v>3.8066749847735365E-2</v>
      </c>
      <c r="AH238">
        <f t="shared" si="39"/>
        <v>4.6560539052458785E-2</v>
      </c>
      <c r="AI238">
        <f t="shared" si="39"/>
        <v>7.3925841699965966E-2</v>
      </c>
      <c r="AJ238">
        <f t="shared" si="39"/>
        <v>6.1400031830766616E-2</v>
      </c>
      <c r="AK238">
        <f t="shared" si="39"/>
        <v>4.6512043538910856E-2</v>
      </c>
      <c r="AL238">
        <f t="shared" si="39"/>
        <v>3.7225655604050639E-2</v>
      </c>
      <c r="AM238">
        <f t="shared" si="39"/>
        <v>0.13279282905466661</v>
      </c>
      <c r="AN238">
        <f t="shared" si="39"/>
        <v>4.1860413850726148E-2</v>
      </c>
      <c r="AO238">
        <f t="shared" si="39"/>
        <v>3.8054422087121897E-2</v>
      </c>
      <c r="AP238">
        <f t="shared" si="39"/>
        <v>2.8049135258902545E-2</v>
      </c>
      <c r="AQ238">
        <f t="shared" si="39"/>
        <v>5.3862276683187979E-2</v>
      </c>
      <c r="AR238">
        <f t="shared" si="39"/>
        <v>0</v>
      </c>
    </row>
    <row r="239" spans="1:44">
      <c r="A239" t="s">
        <v>384</v>
      </c>
      <c r="B239" t="s">
        <v>30</v>
      </c>
      <c r="C239">
        <f t="shared" ref="C239:AR239" si="40">IFERROR((C150)/C$198,0)</f>
        <v>4.2743033694213139E-4</v>
      </c>
      <c r="D239">
        <f t="shared" si="40"/>
        <v>6.2484718411258118E-4</v>
      </c>
      <c r="E239">
        <f t="shared" si="40"/>
        <v>3.30006958842393E-4</v>
      </c>
      <c r="F239">
        <f t="shared" si="40"/>
        <v>5.3151526043953136E-4</v>
      </c>
      <c r="G239">
        <f t="shared" si="40"/>
        <v>6.9035101694015183E-4</v>
      </c>
      <c r="H239">
        <f t="shared" si="40"/>
        <v>5.9542938276012293E-4</v>
      </c>
      <c r="I239">
        <f t="shared" si="40"/>
        <v>4.2872289540455571E-4</v>
      </c>
      <c r="J239">
        <f t="shared" si="40"/>
        <v>6.9075132014699732E-4</v>
      </c>
      <c r="K239">
        <f t="shared" si="40"/>
        <v>6.5633952127720383E-4</v>
      </c>
      <c r="L239">
        <f t="shared" si="40"/>
        <v>8.1190932397051522E-5</v>
      </c>
      <c r="M239">
        <f t="shared" si="40"/>
        <v>2.807746600997101E-4</v>
      </c>
      <c r="N239">
        <f t="shared" si="40"/>
        <v>4.9642112422111477E-4</v>
      </c>
      <c r="O239">
        <f t="shared" si="40"/>
        <v>2.8318264907038158E-4</v>
      </c>
      <c r="P239">
        <f t="shared" si="40"/>
        <v>0</v>
      </c>
      <c r="Q239">
        <f t="shared" si="40"/>
        <v>0</v>
      </c>
      <c r="R239">
        <f t="shared" si="40"/>
        <v>6.8294552755958436E-4</v>
      </c>
      <c r="S239">
        <f t="shared" si="40"/>
        <v>8.7948885127139202E-4</v>
      </c>
      <c r="T239">
        <f t="shared" si="40"/>
        <v>4.7653904130924997E-4</v>
      </c>
      <c r="U239">
        <f t="shared" si="40"/>
        <v>1.3179961075936118E-4</v>
      </c>
      <c r="V239">
        <f t="shared" si="40"/>
        <v>3.481529218189975E-4</v>
      </c>
      <c r="W239">
        <f t="shared" si="40"/>
        <v>3.4290814186056426E-4</v>
      </c>
      <c r="X239">
        <f t="shared" si="40"/>
        <v>3.2384157985116774E-4</v>
      </c>
      <c r="Y239">
        <f t="shared" si="40"/>
        <v>4.7753970046685479E-4</v>
      </c>
      <c r="Z239">
        <f t="shared" si="40"/>
        <v>4.5343912117797697E-4</v>
      </c>
      <c r="AA239">
        <f t="shared" si="40"/>
        <v>7.7942519002772851E-4</v>
      </c>
      <c r="AB239">
        <f t="shared" si="40"/>
        <v>5.585282385032912E-4</v>
      </c>
      <c r="AC239">
        <f t="shared" si="40"/>
        <v>2.8519534592211025E-3</v>
      </c>
      <c r="AD239">
        <f t="shared" si="40"/>
        <v>6.380447268283276E-4</v>
      </c>
      <c r="AE239">
        <f t="shared" si="40"/>
        <v>9.9677971969472389E-4</v>
      </c>
      <c r="AF239">
        <f t="shared" si="40"/>
        <v>5.7384170461434328E-4</v>
      </c>
      <c r="AG239">
        <f t="shared" si="40"/>
        <v>8.2790725081759522E-4</v>
      </c>
      <c r="AH239">
        <f t="shared" si="40"/>
        <v>4.6147780585379034E-4</v>
      </c>
      <c r="AI239">
        <f t="shared" si="40"/>
        <v>1.0214402580402909E-3</v>
      </c>
      <c r="AJ239">
        <f t="shared" si="40"/>
        <v>5.8032832047971749E-4</v>
      </c>
      <c r="AK239">
        <f t="shared" si="40"/>
        <v>8.3723806623578554E-4</v>
      </c>
      <c r="AL239">
        <f t="shared" si="40"/>
        <v>6.1201605329644024E-4</v>
      </c>
      <c r="AM239">
        <f t="shared" si="40"/>
        <v>8.3067270459658482E-4</v>
      </c>
      <c r="AN239">
        <f t="shared" si="40"/>
        <v>1.6790133299799527E-3</v>
      </c>
      <c r="AO239">
        <f t="shared" si="40"/>
        <v>6.7755258909227571E-4</v>
      </c>
      <c r="AP239">
        <f t="shared" si="40"/>
        <v>6.2023458999779259E-4</v>
      </c>
      <c r="AQ239">
        <f t="shared" si="40"/>
        <v>1.3065793639357351E-3</v>
      </c>
      <c r="AR239">
        <f t="shared" si="40"/>
        <v>0</v>
      </c>
    </row>
    <row r="240" spans="1:44">
      <c r="A240" t="s">
        <v>384</v>
      </c>
      <c r="B240" t="s">
        <v>31</v>
      </c>
      <c r="C240">
        <f t="shared" ref="C240:AR240" si="41">IFERROR((C151)/C$198,0)</f>
        <v>3.5036125995353048E-4</v>
      </c>
      <c r="D240">
        <f t="shared" si="41"/>
        <v>5.9767991523812113E-4</v>
      </c>
      <c r="E240">
        <f t="shared" si="41"/>
        <v>9.3980242626855398E-4</v>
      </c>
      <c r="F240">
        <f t="shared" si="41"/>
        <v>9.7552495970913982E-4</v>
      </c>
      <c r="G240">
        <f t="shared" si="41"/>
        <v>9.0276671446019874E-4</v>
      </c>
      <c r="H240">
        <f t="shared" si="41"/>
        <v>6.5346839596311477E-4</v>
      </c>
      <c r="I240">
        <f t="shared" si="41"/>
        <v>7.1978745770581211E-4</v>
      </c>
      <c r="J240">
        <f t="shared" si="41"/>
        <v>7.2380216973681223E-4</v>
      </c>
      <c r="K240">
        <f t="shared" si="41"/>
        <v>5.2334035654729013E-4</v>
      </c>
      <c r="L240">
        <f t="shared" si="41"/>
        <v>1.7108957629862528E-4</v>
      </c>
      <c r="M240">
        <f t="shared" si="41"/>
        <v>5.2587263888650331E-4</v>
      </c>
      <c r="N240">
        <f t="shared" si="41"/>
        <v>6.5860036065037248E-4</v>
      </c>
      <c r="O240">
        <f t="shared" si="41"/>
        <v>6.0896281228811839E-4</v>
      </c>
      <c r="P240">
        <f t="shared" si="41"/>
        <v>4.545988915818591E-3</v>
      </c>
      <c r="Q240">
        <f t="shared" si="41"/>
        <v>1.6089791295969224E-5</v>
      </c>
      <c r="R240">
        <f t="shared" si="41"/>
        <v>4.2275650508896657E-4</v>
      </c>
      <c r="S240">
        <f t="shared" si="41"/>
        <v>5.0250215288727082E-4</v>
      </c>
      <c r="T240">
        <f t="shared" si="41"/>
        <v>6.5425774384147506E-4</v>
      </c>
      <c r="U240">
        <f t="shared" si="41"/>
        <v>3.6687719648106004E-4</v>
      </c>
      <c r="V240">
        <f t="shared" si="41"/>
        <v>6.8895145052205102E-4</v>
      </c>
      <c r="W240">
        <f t="shared" si="41"/>
        <v>6.2863270250404881E-4</v>
      </c>
      <c r="X240">
        <f t="shared" si="41"/>
        <v>3.0204188248128126E-4</v>
      </c>
      <c r="Y240">
        <f t="shared" si="41"/>
        <v>6.8327073923520542E-4</v>
      </c>
      <c r="Z240">
        <f t="shared" si="41"/>
        <v>6.833082896007675E-4</v>
      </c>
      <c r="AA240">
        <f t="shared" si="41"/>
        <v>7.4373118685154278E-4</v>
      </c>
      <c r="AB240">
        <f t="shared" si="41"/>
        <v>8.4086879425224355E-4</v>
      </c>
      <c r="AC240">
        <f t="shared" si="41"/>
        <v>1.026151679798789E-3</v>
      </c>
      <c r="AD240">
        <f t="shared" si="41"/>
        <v>7.3997896926424392E-4</v>
      </c>
      <c r="AE240">
        <f t="shared" si="41"/>
        <v>1.7000820146656859E-3</v>
      </c>
      <c r="AF240">
        <f t="shared" si="41"/>
        <v>1.6676437295086726E-3</v>
      </c>
      <c r="AG240">
        <f t="shared" si="41"/>
        <v>2.0427445996663279E-3</v>
      </c>
      <c r="AH240">
        <f t="shared" si="41"/>
        <v>1.6967795507149333E-3</v>
      </c>
      <c r="AI240">
        <f t="shared" si="41"/>
        <v>1.6665913416897479E-3</v>
      </c>
      <c r="AJ240">
        <f t="shared" si="41"/>
        <v>2.1928681661477433E-3</v>
      </c>
      <c r="AK240">
        <f t="shared" si="41"/>
        <v>1.7967100774721205E-3</v>
      </c>
      <c r="AL240">
        <f t="shared" si="41"/>
        <v>4.7513145358199602E-4</v>
      </c>
      <c r="AM240">
        <f t="shared" si="41"/>
        <v>2.6992690615657271E-3</v>
      </c>
      <c r="AN240">
        <f t="shared" si="41"/>
        <v>2.374069225907913E-3</v>
      </c>
      <c r="AO240">
        <f t="shared" si="41"/>
        <v>6.2662331296611026E-3</v>
      </c>
      <c r="AP240">
        <f t="shared" si="41"/>
        <v>2.8672777465416771E-3</v>
      </c>
      <c r="AQ240">
        <f t="shared" si="41"/>
        <v>3.3897045047372055E-3</v>
      </c>
      <c r="AR240">
        <f t="shared" si="41"/>
        <v>0</v>
      </c>
    </row>
    <row r="241" spans="1:53">
      <c r="A241" t="s">
        <v>384</v>
      </c>
      <c r="B241" t="s">
        <v>32</v>
      </c>
      <c r="C241">
        <f t="shared" ref="C241:AR241" si="42">IFERROR((C152)/C$198,0)</f>
        <v>1.3057631889971897E-4</v>
      </c>
      <c r="D241">
        <f t="shared" si="42"/>
        <v>5.0841603179346666E-4</v>
      </c>
      <c r="E241">
        <f t="shared" si="42"/>
        <v>1.8652567238917864E-4</v>
      </c>
      <c r="F241">
        <f t="shared" si="42"/>
        <v>1.0606734687263375E-4</v>
      </c>
      <c r="G241">
        <f t="shared" si="42"/>
        <v>1.5931177314003505E-4</v>
      </c>
      <c r="H241">
        <f t="shared" si="42"/>
        <v>2.1777962620208967E-4</v>
      </c>
      <c r="I241">
        <f t="shared" si="42"/>
        <v>1.4618090139207479E-4</v>
      </c>
      <c r="J241">
        <f t="shared" si="42"/>
        <v>1.2557035588102699E-4</v>
      </c>
      <c r="K241">
        <f t="shared" si="42"/>
        <v>1.532140282875343E-4</v>
      </c>
      <c r="L241">
        <f t="shared" si="42"/>
        <v>3.0000337431818331E-5</v>
      </c>
      <c r="M241">
        <f t="shared" si="42"/>
        <v>1.0696612359854312E-4</v>
      </c>
      <c r="N241">
        <f t="shared" si="42"/>
        <v>2.1673568686130141E-4</v>
      </c>
      <c r="O241">
        <f t="shared" si="42"/>
        <v>1.645541385576784E-4</v>
      </c>
      <c r="P241">
        <f t="shared" si="42"/>
        <v>4.2902581507807364E-5</v>
      </c>
      <c r="Q241">
        <f t="shared" si="42"/>
        <v>3.5154759954016818E-4</v>
      </c>
      <c r="R241">
        <f t="shared" si="42"/>
        <v>6.6126457732256297E-5</v>
      </c>
      <c r="S241">
        <f t="shared" si="42"/>
        <v>1.127857735808082E-4</v>
      </c>
      <c r="T241">
        <f t="shared" si="42"/>
        <v>2.2478857724961398E-4</v>
      </c>
      <c r="U241">
        <f t="shared" si="42"/>
        <v>9.7461350990197905E-5</v>
      </c>
      <c r="V241">
        <f t="shared" si="42"/>
        <v>1.5912309050288337E-4</v>
      </c>
      <c r="W241">
        <f t="shared" si="42"/>
        <v>1.2888807183031184E-4</v>
      </c>
      <c r="X241">
        <f t="shared" si="42"/>
        <v>9.7303231302456436E-5</v>
      </c>
      <c r="Y241">
        <f t="shared" si="42"/>
        <v>2.1202414571407953E-4</v>
      </c>
      <c r="Z241">
        <f t="shared" si="42"/>
        <v>1.9976518194501404E-4</v>
      </c>
      <c r="AA241">
        <f t="shared" si="42"/>
        <v>1.3401169293220626E-4</v>
      </c>
      <c r="AB241">
        <f t="shared" si="42"/>
        <v>1.6460127677838242E-4</v>
      </c>
      <c r="AC241">
        <f t="shared" si="42"/>
        <v>2.4924366577959211E-4</v>
      </c>
      <c r="AD241">
        <f t="shared" si="42"/>
        <v>1.5336776757383632E-4</v>
      </c>
      <c r="AE241">
        <f t="shared" si="42"/>
        <v>3.6412236791856051E-4</v>
      </c>
      <c r="AF241">
        <f t="shared" si="42"/>
        <v>2.0054958096060409E-4</v>
      </c>
      <c r="AG241">
        <f t="shared" si="42"/>
        <v>4.1010575817171667E-4</v>
      </c>
      <c r="AH241">
        <f t="shared" si="42"/>
        <v>2.7282829713455288E-4</v>
      </c>
      <c r="AI241">
        <f t="shared" si="42"/>
        <v>2.0688141293039042E-4</v>
      </c>
      <c r="AJ241">
        <f t="shared" si="42"/>
        <v>2.9079162201230385E-4</v>
      </c>
      <c r="AK241">
        <f t="shared" si="42"/>
        <v>3.4238981976639969E-4</v>
      </c>
      <c r="AL241">
        <f t="shared" si="42"/>
        <v>7.0206020563473096E-5</v>
      </c>
      <c r="AM241">
        <f t="shared" si="42"/>
        <v>4.0515246649076435E-4</v>
      </c>
      <c r="AN241">
        <f t="shared" si="42"/>
        <v>1.4266687194025441E-3</v>
      </c>
      <c r="AO241">
        <f t="shared" si="42"/>
        <v>7.9719328316570526E-4</v>
      </c>
      <c r="AP241">
        <f t="shared" si="42"/>
        <v>2.096906199390328E-2</v>
      </c>
      <c r="AQ241">
        <f t="shared" si="42"/>
        <v>7.9046875080778878E-4</v>
      </c>
      <c r="AR241">
        <f t="shared" si="42"/>
        <v>0</v>
      </c>
    </row>
    <row r="242" spans="1:53">
      <c r="A242" t="s">
        <v>384</v>
      </c>
      <c r="B242" t="s">
        <v>33</v>
      </c>
      <c r="C242">
        <f t="shared" ref="C242:AR242" si="43">IFERROR((C153)/C$198,0)</f>
        <v>1.7978540870423679E-3</v>
      </c>
      <c r="D242">
        <f t="shared" si="43"/>
        <v>3.4968156079840723E-3</v>
      </c>
      <c r="E242">
        <f t="shared" si="43"/>
        <v>4.2040016930791806E-3</v>
      </c>
      <c r="F242">
        <f t="shared" si="43"/>
        <v>5.1542837949718192E-3</v>
      </c>
      <c r="G242">
        <f t="shared" si="43"/>
        <v>4.1421061016409114E-3</v>
      </c>
      <c r="H242">
        <f t="shared" si="43"/>
        <v>2.7330524081546903E-3</v>
      </c>
      <c r="I242">
        <f t="shared" si="43"/>
        <v>3.0911430604346627E-3</v>
      </c>
      <c r="J242">
        <f t="shared" si="43"/>
        <v>2.3899538225880712E-3</v>
      </c>
      <c r="K242">
        <f t="shared" si="43"/>
        <v>1.8514897004260694E-3</v>
      </c>
      <c r="L242">
        <f t="shared" si="43"/>
        <v>3.2816747868475701E-4</v>
      </c>
      <c r="M242">
        <f t="shared" si="43"/>
        <v>9.6612398206515797E-4</v>
      </c>
      <c r="N242">
        <f t="shared" si="43"/>
        <v>1.120961716485819E-3</v>
      </c>
      <c r="O242">
        <f t="shared" si="43"/>
        <v>1.1432305612542996E-3</v>
      </c>
      <c r="P242">
        <f t="shared" si="43"/>
        <v>4.6079705035149722E-3</v>
      </c>
      <c r="Q242">
        <f t="shared" si="43"/>
        <v>2.6854569200006183E-3</v>
      </c>
      <c r="R242">
        <f t="shared" si="43"/>
        <v>1.2592746960096877E-3</v>
      </c>
      <c r="S242">
        <f t="shared" si="43"/>
        <v>1.0357677013368668E-3</v>
      </c>
      <c r="T242">
        <f t="shared" si="43"/>
        <v>2.1274502193841336E-3</v>
      </c>
      <c r="U242">
        <f t="shared" si="43"/>
        <v>1.2654096157549901E-3</v>
      </c>
      <c r="V242">
        <f t="shared" si="43"/>
        <v>1.0979720960999561E-3</v>
      </c>
      <c r="W242">
        <f t="shared" si="43"/>
        <v>1.0907083074255996E-3</v>
      </c>
      <c r="X242">
        <f t="shared" si="43"/>
        <v>9.7139525471549794E-4</v>
      </c>
      <c r="Y242">
        <f t="shared" si="43"/>
        <v>1.8545473745314033E-3</v>
      </c>
      <c r="Z242">
        <f t="shared" si="43"/>
        <v>2.689451869398396E-3</v>
      </c>
      <c r="AA242">
        <f t="shared" si="43"/>
        <v>1.2581480668340435E-3</v>
      </c>
      <c r="AB242">
        <f t="shared" si="43"/>
        <v>1.4671501807311047E-3</v>
      </c>
      <c r="AC242">
        <f t="shared" si="43"/>
        <v>5.5542248260200475E-3</v>
      </c>
      <c r="AD242">
        <f t="shared" si="43"/>
        <v>1.5731471074651225E-3</v>
      </c>
      <c r="AE242">
        <f t="shared" si="43"/>
        <v>5.9567918245773703E-3</v>
      </c>
      <c r="AF242">
        <f t="shared" si="43"/>
        <v>3.3565377457416474E-3</v>
      </c>
      <c r="AG242">
        <f t="shared" si="43"/>
        <v>1.2983214385130889E-2</v>
      </c>
      <c r="AH242">
        <f t="shared" si="43"/>
        <v>2.8673322657221185E-2</v>
      </c>
      <c r="AI242">
        <f t="shared" si="43"/>
        <v>9.2673221324463192E-3</v>
      </c>
      <c r="AJ242">
        <f t="shared" si="43"/>
        <v>7.6764595978841103E-3</v>
      </c>
      <c r="AK242">
        <f t="shared" si="43"/>
        <v>8.036430684660277E-3</v>
      </c>
      <c r="AL242">
        <f t="shared" si="43"/>
        <v>2.0791633966208323E-3</v>
      </c>
      <c r="AM242">
        <f t="shared" si="43"/>
        <v>8.8129489135742086E-3</v>
      </c>
      <c r="AN242">
        <f t="shared" si="43"/>
        <v>5.4717961438505809E-3</v>
      </c>
      <c r="AO242">
        <f t="shared" si="43"/>
        <v>7.925928464944311E-3</v>
      </c>
      <c r="AP242">
        <f t="shared" si="43"/>
        <v>1.0536412476814383E-2</v>
      </c>
      <c r="AQ242">
        <f t="shared" si="43"/>
        <v>8.300676314395386E-2</v>
      </c>
      <c r="AR242">
        <f t="shared" si="43"/>
        <v>0</v>
      </c>
    </row>
    <row r="243" spans="1:53">
      <c r="A243" t="s">
        <v>384</v>
      </c>
      <c r="B243" t="s">
        <v>34</v>
      </c>
      <c r="C243">
        <f t="shared" ref="C243:AR243" si="44">IFERROR((C154)/C$198,0)</f>
        <v>0</v>
      </c>
      <c r="D243">
        <f t="shared" si="44"/>
        <v>0</v>
      </c>
      <c r="E243">
        <f t="shared" si="44"/>
        <v>0</v>
      </c>
      <c r="F243">
        <f t="shared" si="44"/>
        <v>0</v>
      </c>
      <c r="G243">
        <f t="shared" si="44"/>
        <v>0</v>
      </c>
      <c r="H243">
        <f t="shared" si="44"/>
        <v>0</v>
      </c>
      <c r="I243">
        <f t="shared" si="44"/>
        <v>0</v>
      </c>
      <c r="J243">
        <f t="shared" si="44"/>
        <v>0</v>
      </c>
      <c r="K243">
        <f t="shared" si="44"/>
        <v>0</v>
      </c>
      <c r="L243">
        <f t="shared" si="44"/>
        <v>0</v>
      </c>
      <c r="M243">
        <f t="shared" si="44"/>
        <v>0</v>
      </c>
      <c r="N243">
        <f t="shared" si="44"/>
        <v>0</v>
      </c>
      <c r="O243">
        <f t="shared" si="44"/>
        <v>0</v>
      </c>
      <c r="P243">
        <f t="shared" si="44"/>
        <v>0</v>
      </c>
      <c r="Q243">
        <f t="shared" si="44"/>
        <v>0</v>
      </c>
      <c r="R243">
        <f t="shared" si="44"/>
        <v>0</v>
      </c>
      <c r="S243">
        <f t="shared" si="44"/>
        <v>0</v>
      </c>
      <c r="T243">
        <f t="shared" si="44"/>
        <v>0</v>
      </c>
      <c r="U243">
        <f t="shared" si="44"/>
        <v>0</v>
      </c>
      <c r="V243">
        <f t="shared" si="44"/>
        <v>0</v>
      </c>
      <c r="W243">
        <f t="shared" si="44"/>
        <v>0</v>
      </c>
      <c r="X243">
        <f t="shared" si="44"/>
        <v>0</v>
      </c>
      <c r="Y243">
        <f t="shared" si="44"/>
        <v>0</v>
      </c>
      <c r="Z243">
        <f t="shared" si="44"/>
        <v>0</v>
      </c>
      <c r="AA243">
        <f t="shared" si="44"/>
        <v>0</v>
      </c>
      <c r="AB243">
        <f t="shared" si="44"/>
        <v>0</v>
      </c>
      <c r="AC243">
        <f t="shared" si="44"/>
        <v>0</v>
      </c>
      <c r="AD243">
        <f t="shared" si="44"/>
        <v>0</v>
      </c>
      <c r="AE243">
        <f t="shared" si="44"/>
        <v>0</v>
      </c>
      <c r="AF243">
        <f t="shared" si="44"/>
        <v>0</v>
      </c>
      <c r="AG243">
        <f t="shared" si="44"/>
        <v>0</v>
      </c>
      <c r="AH243">
        <f t="shared" si="44"/>
        <v>0</v>
      </c>
      <c r="AI243">
        <f t="shared" si="44"/>
        <v>0</v>
      </c>
      <c r="AJ243">
        <f t="shared" si="44"/>
        <v>0</v>
      </c>
      <c r="AK243">
        <f t="shared" si="44"/>
        <v>0</v>
      </c>
      <c r="AL243">
        <f t="shared" si="44"/>
        <v>0</v>
      </c>
      <c r="AM243">
        <f t="shared" si="44"/>
        <v>0</v>
      </c>
      <c r="AN243">
        <f t="shared" si="44"/>
        <v>0</v>
      </c>
      <c r="AO243">
        <f t="shared" si="44"/>
        <v>0</v>
      </c>
      <c r="AP243">
        <f t="shared" si="44"/>
        <v>0</v>
      </c>
      <c r="AQ243">
        <f t="shared" si="44"/>
        <v>0</v>
      </c>
      <c r="AR243">
        <f t="shared" si="44"/>
        <v>0</v>
      </c>
    </row>
    <row r="245" spans="1:53">
      <c r="A245" s="20" t="s">
        <v>550</v>
      </c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</row>
    <row r="246" spans="1:53">
      <c r="C246" t="s">
        <v>4</v>
      </c>
      <c r="D246" t="s">
        <v>120</v>
      </c>
      <c r="E246" t="s">
        <v>119</v>
      </c>
      <c r="F246" t="s">
        <v>5</v>
      </c>
      <c r="G246" t="s">
        <v>6</v>
      </c>
      <c r="H246" t="s">
        <v>7</v>
      </c>
      <c r="I246" t="s">
        <v>8</v>
      </c>
      <c r="J246" t="s">
        <v>9</v>
      </c>
      <c r="K246" t="s">
        <v>10</v>
      </c>
      <c r="L246" t="s">
        <v>11</v>
      </c>
      <c r="M246" t="s">
        <v>58</v>
      </c>
      <c r="N246" t="s">
        <v>59</v>
      </c>
      <c r="O246" t="s">
        <v>12</v>
      </c>
      <c r="P246" t="s">
        <v>132</v>
      </c>
      <c r="Q246" t="s">
        <v>133</v>
      </c>
      <c r="R246" t="s">
        <v>134</v>
      </c>
      <c r="S246" t="s">
        <v>135</v>
      </c>
      <c r="T246" t="s">
        <v>13</v>
      </c>
      <c r="U246" t="s">
        <v>14</v>
      </c>
      <c r="V246" t="s">
        <v>15</v>
      </c>
      <c r="W246" t="s">
        <v>16</v>
      </c>
      <c r="X246" t="s">
        <v>17</v>
      </c>
      <c r="Y246" t="s">
        <v>18</v>
      </c>
      <c r="Z246" t="s">
        <v>19</v>
      </c>
      <c r="AA246" t="s">
        <v>136</v>
      </c>
      <c r="AB246" t="s">
        <v>137</v>
      </c>
      <c r="AC246" t="s">
        <v>138</v>
      </c>
      <c r="AD246" t="s">
        <v>20</v>
      </c>
      <c r="AE246" t="s">
        <v>21</v>
      </c>
      <c r="AF246" t="s">
        <v>22</v>
      </c>
      <c r="AG246" t="s">
        <v>23</v>
      </c>
      <c r="AH246" t="s">
        <v>24</v>
      </c>
      <c r="AI246" t="s">
        <v>25</v>
      </c>
      <c r="AJ246" t="s">
        <v>26</v>
      </c>
      <c r="AK246" t="s">
        <v>27</v>
      </c>
      <c r="AL246" t="s">
        <v>28</v>
      </c>
      <c r="AM246" t="s">
        <v>29</v>
      </c>
      <c r="AN246" t="s">
        <v>30</v>
      </c>
      <c r="AO246" t="s">
        <v>31</v>
      </c>
      <c r="AP246" t="s">
        <v>32</v>
      </c>
      <c r="AQ246" t="s">
        <v>33</v>
      </c>
      <c r="AR246" t="s">
        <v>34</v>
      </c>
    </row>
    <row r="247" spans="1:53">
      <c r="A247" t="s">
        <v>384</v>
      </c>
      <c r="B247" t="s">
        <v>4</v>
      </c>
      <c r="C247">
        <f t="shared" ref="C247:L256" si="45">IF($B247=C$246,1,0)</f>
        <v>1</v>
      </c>
      <c r="D247">
        <f t="shared" si="45"/>
        <v>0</v>
      </c>
      <c r="E247">
        <f t="shared" si="45"/>
        <v>0</v>
      </c>
      <c r="F247">
        <f t="shared" si="45"/>
        <v>0</v>
      </c>
      <c r="G247">
        <f t="shared" si="45"/>
        <v>0</v>
      </c>
      <c r="H247">
        <f t="shared" si="45"/>
        <v>0</v>
      </c>
      <c r="I247">
        <f t="shared" si="45"/>
        <v>0</v>
      </c>
      <c r="J247">
        <f t="shared" si="45"/>
        <v>0</v>
      </c>
      <c r="K247">
        <f t="shared" si="45"/>
        <v>0</v>
      </c>
      <c r="L247">
        <f t="shared" si="45"/>
        <v>0</v>
      </c>
      <c r="M247">
        <f t="shared" ref="M247:V256" si="46">IF($B247=M$246,1,0)</f>
        <v>0</v>
      </c>
      <c r="N247">
        <f t="shared" si="46"/>
        <v>0</v>
      </c>
      <c r="O247">
        <f t="shared" si="46"/>
        <v>0</v>
      </c>
      <c r="P247">
        <f t="shared" si="46"/>
        <v>0</v>
      </c>
      <c r="Q247">
        <f t="shared" si="46"/>
        <v>0</v>
      </c>
      <c r="R247">
        <f t="shared" si="46"/>
        <v>0</v>
      </c>
      <c r="S247">
        <f t="shared" si="46"/>
        <v>0</v>
      </c>
      <c r="T247">
        <f t="shared" si="46"/>
        <v>0</v>
      </c>
      <c r="U247">
        <f t="shared" si="46"/>
        <v>0</v>
      </c>
      <c r="V247">
        <f t="shared" si="46"/>
        <v>0</v>
      </c>
      <c r="W247">
        <f t="shared" ref="W247:AF256" si="47">IF($B247=W$246,1,0)</f>
        <v>0</v>
      </c>
      <c r="X247">
        <f t="shared" si="47"/>
        <v>0</v>
      </c>
      <c r="Y247">
        <f t="shared" si="47"/>
        <v>0</v>
      </c>
      <c r="Z247">
        <f t="shared" si="47"/>
        <v>0</v>
      </c>
      <c r="AA247">
        <f t="shared" si="47"/>
        <v>0</v>
      </c>
      <c r="AB247">
        <f t="shared" si="47"/>
        <v>0</v>
      </c>
      <c r="AC247">
        <f t="shared" si="47"/>
        <v>0</v>
      </c>
      <c r="AD247">
        <f t="shared" si="47"/>
        <v>0</v>
      </c>
      <c r="AE247">
        <f t="shared" si="47"/>
        <v>0</v>
      </c>
      <c r="AF247">
        <f t="shared" si="47"/>
        <v>0</v>
      </c>
      <c r="AG247">
        <f t="shared" ref="AG247:AR256" si="48">IF($B247=AG$246,1,0)</f>
        <v>0</v>
      </c>
      <c r="AH247">
        <f t="shared" si="48"/>
        <v>0</v>
      </c>
      <c r="AI247">
        <f t="shared" si="48"/>
        <v>0</v>
      </c>
      <c r="AJ247">
        <f t="shared" si="48"/>
        <v>0</v>
      </c>
      <c r="AK247">
        <f t="shared" si="48"/>
        <v>0</v>
      </c>
      <c r="AL247">
        <f t="shared" si="48"/>
        <v>0</v>
      </c>
      <c r="AM247">
        <f t="shared" si="48"/>
        <v>0</v>
      </c>
      <c r="AN247">
        <f t="shared" si="48"/>
        <v>0</v>
      </c>
      <c r="AO247">
        <f t="shared" si="48"/>
        <v>0</v>
      </c>
      <c r="AP247">
        <f t="shared" si="48"/>
        <v>0</v>
      </c>
      <c r="AQ247">
        <f t="shared" si="48"/>
        <v>0</v>
      </c>
      <c r="AR247">
        <f t="shared" si="48"/>
        <v>0</v>
      </c>
    </row>
    <row r="248" spans="1:53">
      <c r="A248" t="s">
        <v>384</v>
      </c>
      <c r="B248" t="s">
        <v>120</v>
      </c>
      <c r="C248">
        <f t="shared" si="45"/>
        <v>0</v>
      </c>
      <c r="D248">
        <f t="shared" si="45"/>
        <v>1</v>
      </c>
      <c r="E248">
        <f t="shared" si="45"/>
        <v>0</v>
      </c>
      <c r="F248">
        <f t="shared" si="45"/>
        <v>0</v>
      </c>
      <c r="G248">
        <f t="shared" si="45"/>
        <v>0</v>
      </c>
      <c r="H248">
        <f t="shared" si="45"/>
        <v>0</v>
      </c>
      <c r="I248">
        <f t="shared" si="45"/>
        <v>0</v>
      </c>
      <c r="J248">
        <f t="shared" si="45"/>
        <v>0</v>
      </c>
      <c r="K248">
        <f t="shared" si="45"/>
        <v>0</v>
      </c>
      <c r="L248">
        <f t="shared" si="45"/>
        <v>0</v>
      </c>
      <c r="M248">
        <f t="shared" si="46"/>
        <v>0</v>
      </c>
      <c r="N248">
        <f t="shared" si="46"/>
        <v>0</v>
      </c>
      <c r="O248">
        <f t="shared" si="46"/>
        <v>0</v>
      </c>
      <c r="P248">
        <f t="shared" si="46"/>
        <v>0</v>
      </c>
      <c r="Q248">
        <f t="shared" si="46"/>
        <v>0</v>
      </c>
      <c r="R248">
        <f t="shared" si="46"/>
        <v>0</v>
      </c>
      <c r="S248">
        <f t="shared" si="46"/>
        <v>0</v>
      </c>
      <c r="T248">
        <f t="shared" si="46"/>
        <v>0</v>
      </c>
      <c r="U248">
        <f t="shared" si="46"/>
        <v>0</v>
      </c>
      <c r="V248">
        <f t="shared" si="46"/>
        <v>0</v>
      </c>
      <c r="W248">
        <f t="shared" si="47"/>
        <v>0</v>
      </c>
      <c r="X248">
        <f t="shared" si="47"/>
        <v>0</v>
      </c>
      <c r="Y248">
        <f t="shared" si="47"/>
        <v>0</v>
      </c>
      <c r="Z248">
        <f t="shared" si="47"/>
        <v>0</v>
      </c>
      <c r="AA248">
        <f t="shared" si="47"/>
        <v>0</v>
      </c>
      <c r="AB248">
        <f t="shared" si="47"/>
        <v>0</v>
      </c>
      <c r="AC248">
        <f t="shared" si="47"/>
        <v>0</v>
      </c>
      <c r="AD248">
        <f t="shared" si="47"/>
        <v>0</v>
      </c>
      <c r="AE248">
        <f t="shared" si="47"/>
        <v>0</v>
      </c>
      <c r="AF248">
        <f t="shared" si="47"/>
        <v>0</v>
      </c>
      <c r="AG248">
        <f t="shared" si="48"/>
        <v>0</v>
      </c>
      <c r="AH248">
        <f t="shared" si="48"/>
        <v>0</v>
      </c>
      <c r="AI248">
        <f t="shared" si="48"/>
        <v>0</v>
      </c>
      <c r="AJ248">
        <f t="shared" si="48"/>
        <v>0</v>
      </c>
      <c r="AK248">
        <f t="shared" si="48"/>
        <v>0</v>
      </c>
      <c r="AL248">
        <f t="shared" si="48"/>
        <v>0</v>
      </c>
      <c r="AM248">
        <f t="shared" si="48"/>
        <v>0</v>
      </c>
      <c r="AN248">
        <f t="shared" si="48"/>
        <v>0</v>
      </c>
      <c r="AO248">
        <f t="shared" si="48"/>
        <v>0</v>
      </c>
      <c r="AP248">
        <f t="shared" si="48"/>
        <v>0</v>
      </c>
      <c r="AQ248">
        <f t="shared" si="48"/>
        <v>0</v>
      </c>
      <c r="AR248">
        <f t="shared" si="48"/>
        <v>0</v>
      </c>
    </row>
    <row r="249" spans="1:53">
      <c r="A249" t="s">
        <v>384</v>
      </c>
      <c r="B249" t="s">
        <v>119</v>
      </c>
      <c r="C249">
        <f t="shared" si="45"/>
        <v>0</v>
      </c>
      <c r="D249">
        <f t="shared" si="45"/>
        <v>0</v>
      </c>
      <c r="E249">
        <f t="shared" si="45"/>
        <v>1</v>
      </c>
      <c r="F249">
        <f t="shared" si="45"/>
        <v>0</v>
      </c>
      <c r="G249">
        <f t="shared" si="45"/>
        <v>0</v>
      </c>
      <c r="H249">
        <f t="shared" si="45"/>
        <v>0</v>
      </c>
      <c r="I249">
        <f t="shared" si="45"/>
        <v>0</v>
      </c>
      <c r="J249">
        <f t="shared" si="45"/>
        <v>0</v>
      </c>
      <c r="K249">
        <f t="shared" si="45"/>
        <v>0</v>
      </c>
      <c r="L249">
        <f t="shared" si="45"/>
        <v>0</v>
      </c>
      <c r="M249">
        <f t="shared" si="46"/>
        <v>0</v>
      </c>
      <c r="N249">
        <f t="shared" si="46"/>
        <v>0</v>
      </c>
      <c r="O249">
        <f t="shared" si="46"/>
        <v>0</v>
      </c>
      <c r="P249">
        <f t="shared" si="46"/>
        <v>0</v>
      </c>
      <c r="Q249">
        <f t="shared" si="46"/>
        <v>0</v>
      </c>
      <c r="R249">
        <f t="shared" si="46"/>
        <v>0</v>
      </c>
      <c r="S249">
        <f t="shared" si="46"/>
        <v>0</v>
      </c>
      <c r="T249">
        <f t="shared" si="46"/>
        <v>0</v>
      </c>
      <c r="U249">
        <f t="shared" si="46"/>
        <v>0</v>
      </c>
      <c r="V249">
        <f t="shared" si="46"/>
        <v>0</v>
      </c>
      <c r="W249">
        <f t="shared" si="47"/>
        <v>0</v>
      </c>
      <c r="X249">
        <f t="shared" si="47"/>
        <v>0</v>
      </c>
      <c r="Y249">
        <f t="shared" si="47"/>
        <v>0</v>
      </c>
      <c r="Z249">
        <f t="shared" si="47"/>
        <v>0</v>
      </c>
      <c r="AA249">
        <f t="shared" si="47"/>
        <v>0</v>
      </c>
      <c r="AB249">
        <f t="shared" si="47"/>
        <v>0</v>
      </c>
      <c r="AC249">
        <f t="shared" si="47"/>
        <v>0</v>
      </c>
      <c r="AD249">
        <f t="shared" si="47"/>
        <v>0</v>
      </c>
      <c r="AE249">
        <f t="shared" si="47"/>
        <v>0</v>
      </c>
      <c r="AF249">
        <f t="shared" si="47"/>
        <v>0</v>
      </c>
      <c r="AG249">
        <f t="shared" si="48"/>
        <v>0</v>
      </c>
      <c r="AH249">
        <f t="shared" si="48"/>
        <v>0</v>
      </c>
      <c r="AI249">
        <f t="shared" si="48"/>
        <v>0</v>
      </c>
      <c r="AJ249">
        <f t="shared" si="48"/>
        <v>0</v>
      </c>
      <c r="AK249">
        <f t="shared" si="48"/>
        <v>0</v>
      </c>
      <c r="AL249">
        <f t="shared" si="48"/>
        <v>0</v>
      </c>
      <c r="AM249">
        <f t="shared" si="48"/>
        <v>0</v>
      </c>
      <c r="AN249">
        <f t="shared" si="48"/>
        <v>0</v>
      </c>
      <c r="AO249">
        <f t="shared" si="48"/>
        <v>0</v>
      </c>
      <c r="AP249">
        <f t="shared" si="48"/>
        <v>0</v>
      </c>
      <c r="AQ249">
        <f t="shared" si="48"/>
        <v>0</v>
      </c>
      <c r="AR249">
        <f t="shared" si="48"/>
        <v>0</v>
      </c>
    </row>
    <row r="250" spans="1:53">
      <c r="A250" t="s">
        <v>384</v>
      </c>
      <c r="B250" t="s">
        <v>5</v>
      </c>
      <c r="C250">
        <f t="shared" si="45"/>
        <v>0</v>
      </c>
      <c r="D250">
        <f t="shared" si="45"/>
        <v>0</v>
      </c>
      <c r="E250">
        <f t="shared" si="45"/>
        <v>0</v>
      </c>
      <c r="F250">
        <f t="shared" si="45"/>
        <v>1</v>
      </c>
      <c r="G250">
        <f t="shared" si="45"/>
        <v>0</v>
      </c>
      <c r="H250">
        <f t="shared" si="45"/>
        <v>0</v>
      </c>
      <c r="I250">
        <f t="shared" si="45"/>
        <v>0</v>
      </c>
      <c r="J250">
        <f t="shared" si="45"/>
        <v>0</v>
      </c>
      <c r="K250">
        <f t="shared" si="45"/>
        <v>0</v>
      </c>
      <c r="L250">
        <f t="shared" si="45"/>
        <v>0</v>
      </c>
      <c r="M250">
        <f t="shared" si="46"/>
        <v>0</v>
      </c>
      <c r="N250">
        <f t="shared" si="46"/>
        <v>0</v>
      </c>
      <c r="O250">
        <f t="shared" si="46"/>
        <v>0</v>
      </c>
      <c r="P250">
        <f t="shared" si="46"/>
        <v>0</v>
      </c>
      <c r="Q250">
        <f t="shared" si="46"/>
        <v>0</v>
      </c>
      <c r="R250">
        <f t="shared" si="46"/>
        <v>0</v>
      </c>
      <c r="S250">
        <f t="shared" si="46"/>
        <v>0</v>
      </c>
      <c r="T250">
        <f t="shared" si="46"/>
        <v>0</v>
      </c>
      <c r="U250">
        <f t="shared" si="46"/>
        <v>0</v>
      </c>
      <c r="V250">
        <f t="shared" si="46"/>
        <v>0</v>
      </c>
      <c r="W250">
        <f t="shared" si="47"/>
        <v>0</v>
      </c>
      <c r="X250">
        <f t="shared" si="47"/>
        <v>0</v>
      </c>
      <c r="Y250">
        <f t="shared" si="47"/>
        <v>0</v>
      </c>
      <c r="Z250">
        <f t="shared" si="47"/>
        <v>0</v>
      </c>
      <c r="AA250">
        <f t="shared" si="47"/>
        <v>0</v>
      </c>
      <c r="AB250">
        <f t="shared" si="47"/>
        <v>0</v>
      </c>
      <c r="AC250">
        <f t="shared" si="47"/>
        <v>0</v>
      </c>
      <c r="AD250">
        <f t="shared" si="47"/>
        <v>0</v>
      </c>
      <c r="AE250">
        <f t="shared" si="47"/>
        <v>0</v>
      </c>
      <c r="AF250">
        <f t="shared" si="47"/>
        <v>0</v>
      </c>
      <c r="AG250">
        <f t="shared" si="48"/>
        <v>0</v>
      </c>
      <c r="AH250">
        <f t="shared" si="48"/>
        <v>0</v>
      </c>
      <c r="AI250">
        <f t="shared" si="48"/>
        <v>0</v>
      </c>
      <c r="AJ250">
        <f t="shared" si="48"/>
        <v>0</v>
      </c>
      <c r="AK250">
        <f t="shared" si="48"/>
        <v>0</v>
      </c>
      <c r="AL250">
        <f t="shared" si="48"/>
        <v>0</v>
      </c>
      <c r="AM250">
        <f t="shared" si="48"/>
        <v>0</v>
      </c>
      <c r="AN250">
        <f t="shared" si="48"/>
        <v>0</v>
      </c>
      <c r="AO250">
        <f t="shared" si="48"/>
        <v>0</v>
      </c>
      <c r="AP250">
        <f t="shared" si="48"/>
        <v>0</v>
      </c>
      <c r="AQ250">
        <f t="shared" si="48"/>
        <v>0</v>
      </c>
      <c r="AR250">
        <f t="shared" si="48"/>
        <v>0</v>
      </c>
    </row>
    <row r="251" spans="1:53">
      <c r="A251" t="s">
        <v>384</v>
      </c>
      <c r="B251" t="s">
        <v>6</v>
      </c>
      <c r="C251">
        <f t="shared" si="45"/>
        <v>0</v>
      </c>
      <c r="D251">
        <f t="shared" si="45"/>
        <v>0</v>
      </c>
      <c r="E251">
        <f t="shared" si="45"/>
        <v>0</v>
      </c>
      <c r="F251">
        <f t="shared" si="45"/>
        <v>0</v>
      </c>
      <c r="G251">
        <f t="shared" si="45"/>
        <v>1</v>
      </c>
      <c r="H251">
        <f t="shared" si="45"/>
        <v>0</v>
      </c>
      <c r="I251">
        <f t="shared" si="45"/>
        <v>0</v>
      </c>
      <c r="J251">
        <f t="shared" si="45"/>
        <v>0</v>
      </c>
      <c r="K251">
        <f t="shared" si="45"/>
        <v>0</v>
      </c>
      <c r="L251">
        <f t="shared" si="45"/>
        <v>0</v>
      </c>
      <c r="M251">
        <f t="shared" si="46"/>
        <v>0</v>
      </c>
      <c r="N251">
        <f t="shared" si="46"/>
        <v>0</v>
      </c>
      <c r="O251">
        <f t="shared" si="46"/>
        <v>0</v>
      </c>
      <c r="P251">
        <f t="shared" si="46"/>
        <v>0</v>
      </c>
      <c r="Q251">
        <f t="shared" si="46"/>
        <v>0</v>
      </c>
      <c r="R251">
        <f t="shared" si="46"/>
        <v>0</v>
      </c>
      <c r="S251">
        <f t="shared" si="46"/>
        <v>0</v>
      </c>
      <c r="T251">
        <f t="shared" si="46"/>
        <v>0</v>
      </c>
      <c r="U251">
        <f t="shared" si="46"/>
        <v>0</v>
      </c>
      <c r="V251">
        <f t="shared" si="46"/>
        <v>0</v>
      </c>
      <c r="W251">
        <f t="shared" si="47"/>
        <v>0</v>
      </c>
      <c r="X251">
        <f t="shared" si="47"/>
        <v>0</v>
      </c>
      <c r="Y251">
        <f t="shared" si="47"/>
        <v>0</v>
      </c>
      <c r="Z251">
        <f t="shared" si="47"/>
        <v>0</v>
      </c>
      <c r="AA251">
        <f t="shared" si="47"/>
        <v>0</v>
      </c>
      <c r="AB251">
        <f t="shared" si="47"/>
        <v>0</v>
      </c>
      <c r="AC251">
        <f t="shared" si="47"/>
        <v>0</v>
      </c>
      <c r="AD251">
        <f t="shared" si="47"/>
        <v>0</v>
      </c>
      <c r="AE251">
        <f t="shared" si="47"/>
        <v>0</v>
      </c>
      <c r="AF251">
        <f t="shared" si="47"/>
        <v>0</v>
      </c>
      <c r="AG251">
        <f t="shared" si="48"/>
        <v>0</v>
      </c>
      <c r="AH251">
        <f t="shared" si="48"/>
        <v>0</v>
      </c>
      <c r="AI251">
        <f t="shared" si="48"/>
        <v>0</v>
      </c>
      <c r="AJ251">
        <f t="shared" si="48"/>
        <v>0</v>
      </c>
      <c r="AK251">
        <f t="shared" si="48"/>
        <v>0</v>
      </c>
      <c r="AL251">
        <f t="shared" si="48"/>
        <v>0</v>
      </c>
      <c r="AM251">
        <f t="shared" si="48"/>
        <v>0</v>
      </c>
      <c r="AN251">
        <f t="shared" si="48"/>
        <v>0</v>
      </c>
      <c r="AO251">
        <f t="shared" si="48"/>
        <v>0</v>
      </c>
      <c r="AP251">
        <f t="shared" si="48"/>
        <v>0</v>
      </c>
      <c r="AQ251">
        <f t="shared" si="48"/>
        <v>0</v>
      </c>
      <c r="AR251">
        <f t="shared" si="48"/>
        <v>0</v>
      </c>
    </row>
    <row r="252" spans="1:53">
      <c r="A252" t="s">
        <v>384</v>
      </c>
      <c r="B252" t="s">
        <v>7</v>
      </c>
      <c r="C252">
        <f t="shared" si="45"/>
        <v>0</v>
      </c>
      <c r="D252">
        <f t="shared" si="45"/>
        <v>0</v>
      </c>
      <c r="E252">
        <f t="shared" si="45"/>
        <v>0</v>
      </c>
      <c r="F252">
        <f t="shared" si="45"/>
        <v>0</v>
      </c>
      <c r="G252">
        <f t="shared" si="45"/>
        <v>0</v>
      </c>
      <c r="H252">
        <f t="shared" si="45"/>
        <v>1</v>
      </c>
      <c r="I252">
        <f t="shared" si="45"/>
        <v>0</v>
      </c>
      <c r="J252">
        <f t="shared" si="45"/>
        <v>0</v>
      </c>
      <c r="K252">
        <f t="shared" si="45"/>
        <v>0</v>
      </c>
      <c r="L252">
        <f t="shared" si="45"/>
        <v>0</v>
      </c>
      <c r="M252">
        <f t="shared" si="46"/>
        <v>0</v>
      </c>
      <c r="N252">
        <f t="shared" si="46"/>
        <v>0</v>
      </c>
      <c r="O252">
        <f t="shared" si="46"/>
        <v>0</v>
      </c>
      <c r="P252">
        <f t="shared" si="46"/>
        <v>0</v>
      </c>
      <c r="Q252">
        <f t="shared" si="46"/>
        <v>0</v>
      </c>
      <c r="R252">
        <f t="shared" si="46"/>
        <v>0</v>
      </c>
      <c r="S252">
        <f t="shared" si="46"/>
        <v>0</v>
      </c>
      <c r="T252">
        <f t="shared" si="46"/>
        <v>0</v>
      </c>
      <c r="U252">
        <f t="shared" si="46"/>
        <v>0</v>
      </c>
      <c r="V252">
        <f t="shared" si="46"/>
        <v>0</v>
      </c>
      <c r="W252">
        <f t="shared" si="47"/>
        <v>0</v>
      </c>
      <c r="X252">
        <f t="shared" si="47"/>
        <v>0</v>
      </c>
      <c r="Y252">
        <f t="shared" si="47"/>
        <v>0</v>
      </c>
      <c r="Z252">
        <f t="shared" si="47"/>
        <v>0</v>
      </c>
      <c r="AA252">
        <f t="shared" si="47"/>
        <v>0</v>
      </c>
      <c r="AB252">
        <f t="shared" si="47"/>
        <v>0</v>
      </c>
      <c r="AC252">
        <f t="shared" si="47"/>
        <v>0</v>
      </c>
      <c r="AD252">
        <f t="shared" si="47"/>
        <v>0</v>
      </c>
      <c r="AE252">
        <f t="shared" si="47"/>
        <v>0</v>
      </c>
      <c r="AF252">
        <f t="shared" si="47"/>
        <v>0</v>
      </c>
      <c r="AG252">
        <f t="shared" si="48"/>
        <v>0</v>
      </c>
      <c r="AH252">
        <f t="shared" si="48"/>
        <v>0</v>
      </c>
      <c r="AI252">
        <f t="shared" si="48"/>
        <v>0</v>
      </c>
      <c r="AJ252">
        <f t="shared" si="48"/>
        <v>0</v>
      </c>
      <c r="AK252">
        <f t="shared" si="48"/>
        <v>0</v>
      </c>
      <c r="AL252">
        <f t="shared" si="48"/>
        <v>0</v>
      </c>
      <c r="AM252">
        <f t="shared" si="48"/>
        <v>0</v>
      </c>
      <c r="AN252">
        <f t="shared" si="48"/>
        <v>0</v>
      </c>
      <c r="AO252">
        <f t="shared" si="48"/>
        <v>0</v>
      </c>
      <c r="AP252">
        <f t="shared" si="48"/>
        <v>0</v>
      </c>
      <c r="AQ252">
        <f t="shared" si="48"/>
        <v>0</v>
      </c>
      <c r="AR252">
        <f t="shared" si="48"/>
        <v>0</v>
      </c>
    </row>
    <row r="253" spans="1:53">
      <c r="A253" t="s">
        <v>384</v>
      </c>
      <c r="B253" t="s">
        <v>8</v>
      </c>
      <c r="C253">
        <f t="shared" si="45"/>
        <v>0</v>
      </c>
      <c r="D253">
        <f t="shared" si="45"/>
        <v>0</v>
      </c>
      <c r="E253">
        <f t="shared" si="45"/>
        <v>0</v>
      </c>
      <c r="F253">
        <f t="shared" si="45"/>
        <v>0</v>
      </c>
      <c r="G253">
        <f t="shared" si="45"/>
        <v>0</v>
      </c>
      <c r="H253">
        <f t="shared" si="45"/>
        <v>0</v>
      </c>
      <c r="I253">
        <f t="shared" si="45"/>
        <v>1</v>
      </c>
      <c r="J253">
        <f t="shared" si="45"/>
        <v>0</v>
      </c>
      <c r="K253">
        <f t="shared" si="45"/>
        <v>0</v>
      </c>
      <c r="L253">
        <f t="shared" si="45"/>
        <v>0</v>
      </c>
      <c r="M253">
        <f t="shared" si="46"/>
        <v>0</v>
      </c>
      <c r="N253">
        <f t="shared" si="46"/>
        <v>0</v>
      </c>
      <c r="O253">
        <f t="shared" si="46"/>
        <v>0</v>
      </c>
      <c r="P253">
        <f t="shared" si="46"/>
        <v>0</v>
      </c>
      <c r="Q253">
        <f t="shared" si="46"/>
        <v>0</v>
      </c>
      <c r="R253">
        <f t="shared" si="46"/>
        <v>0</v>
      </c>
      <c r="S253">
        <f t="shared" si="46"/>
        <v>0</v>
      </c>
      <c r="T253">
        <f t="shared" si="46"/>
        <v>0</v>
      </c>
      <c r="U253">
        <f t="shared" si="46"/>
        <v>0</v>
      </c>
      <c r="V253">
        <f t="shared" si="46"/>
        <v>0</v>
      </c>
      <c r="W253">
        <f t="shared" si="47"/>
        <v>0</v>
      </c>
      <c r="X253">
        <f t="shared" si="47"/>
        <v>0</v>
      </c>
      <c r="Y253">
        <f t="shared" si="47"/>
        <v>0</v>
      </c>
      <c r="Z253">
        <f t="shared" si="47"/>
        <v>0</v>
      </c>
      <c r="AA253">
        <f t="shared" si="47"/>
        <v>0</v>
      </c>
      <c r="AB253">
        <f t="shared" si="47"/>
        <v>0</v>
      </c>
      <c r="AC253">
        <f t="shared" si="47"/>
        <v>0</v>
      </c>
      <c r="AD253">
        <f t="shared" si="47"/>
        <v>0</v>
      </c>
      <c r="AE253">
        <f t="shared" si="47"/>
        <v>0</v>
      </c>
      <c r="AF253">
        <f t="shared" si="47"/>
        <v>0</v>
      </c>
      <c r="AG253">
        <f t="shared" si="48"/>
        <v>0</v>
      </c>
      <c r="AH253">
        <f t="shared" si="48"/>
        <v>0</v>
      </c>
      <c r="AI253">
        <f t="shared" si="48"/>
        <v>0</v>
      </c>
      <c r="AJ253">
        <f t="shared" si="48"/>
        <v>0</v>
      </c>
      <c r="AK253">
        <f t="shared" si="48"/>
        <v>0</v>
      </c>
      <c r="AL253">
        <f t="shared" si="48"/>
        <v>0</v>
      </c>
      <c r="AM253">
        <f t="shared" si="48"/>
        <v>0</v>
      </c>
      <c r="AN253">
        <f t="shared" si="48"/>
        <v>0</v>
      </c>
      <c r="AO253">
        <f t="shared" si="48"/>
        <v>0</v>
      </c>
      <c r="AP253">
        <f t="shared" si="48"/>
        <v>0</v>
      </c>
      <c r="AQ253">
        <f t="shared" si="48"/>
        <v>0</v>
      </c>
      <c r="AR253">
        <f t="shared" si="48"/>
        <v>0</v>
      </c>
    </row>
    <row r="254" spans="1:53">
      <c r="A254" t="s">
        <v>384</v>
      </c>
      <c r="B254" t="s">
        <v>9</v>
      </c>
      <c r="C254">
        <f t="shared" si="45"/>
        <v>0</v>
      </c>
      <c r="D254">
        <f t="shared" si="45"/>
        <v>0</v>
      </c>
      <c r="E254">
        <f t="shared" si="45"/>
        <v>0</v>
      </c>
      <c r="F254">
        <f t="shared" si="45"/>
        <v>0</v>
      </c>
      <c r="G254">
        <f t="shared" si="45"/>
        <v>0</v>
      </c>
      <c r="H254">
        <f t="shared" si="45"/>
        <v>0</v>
      </c>
      <c r="I254">
        <f t="shared" si="45"/>
        <v>0</v>
      </c>
      <c r="J254">
        <f t="shared" si="45"/>
        <v>1</v>
      </c>
      <c r="K254">
        <f t="shared" si="45"/>
        <v>0</v>
      </c>
      <c r="L254">
        <f t="shared" si="45"/>
        <v>0</v>
      </c>
      <c r="M254">
        <f t="shared" si="46"/>
        <v>0</v>
      </c>
      <c r="N254">
        <f t="shared" si="46"/>
        <v>0</v>
      </c>
      <c r="O254">
        <f t="shared" si="46"/>
        <v>0</v>
      </c>
      <c r="P254">
        <f t="shared" si="46"/>
        <v>0</v>
      </c>
      <c r="Q254">
        <f t="shared" si="46"/>
        <v>0</v>
      </c>
      <c r="R254">
        <f t="shared" si="46"/>
        <v>0</v>
      </c>
      <c r="S254">
        <f t="shared" si="46"/>
        <v>0</v>
      </c>
      <c r="T254">
        <f t="shared" si="46"/>
        <v>0</v>
      </c>
      <c r="U254">
        <f t="shared" si="46"/>
        <v>0</v>
      </c>
      <c r="V254">
        <f t="shared" si="46"/>
        <v>0</v>
      </c>
      <c r="W254">
        <f t="shared" si="47"/>
        <v>0</v>
      </c>
      <c r="X254">
        <f t="shared" si="47"/>
        <v>0</v>
      </c>
      <c r="Y254">
        <f t="shared" si="47"/>
        <v>0</v>
      </c>
      <c r="Z254">
        <f t="shared" si="47"/>
        <v>0</v>
      </c>
      <c r="AA254">
        <f t="shared" si="47"/>
        <v>0</v>
      </c>
      <c r="AB254">
        <f t="shared" si="47"/>
        <v>0</v>
      </c>
      <c r="AC254">
        <f t="shared" si="47"/>
        <v>0</v>
      </c>
      <c r="AD254">
        <f t="shared" si="47"/>
        <v>0</v>
      </c>
      <c r="AE254">
        <f t="shared" si="47"/>
        <v>0</v>
      </c>
      <c r="AF254">
        <f t="shared" si="47"/>
        <v>0</v>
      </c>
      <c r="AG254">
        <f t="shared" si="48"/>
        <v>0</v>
      </c>
      <c r="AH254">
        <f t="shared" si="48"/>
        <v>0</v>
      </c>
      <c r="AI254">
        <f t="shared" si="48"/>
        <v>0</v>
      </c>
      <c r="AJ254">
        <f t="shared" si="48"/>
        <v>0</v>
      </c>
      <c r="AK254">
        <f t="shared" si="48"/>
        <v>0</v>
      </c>
      <c r="AL254">
        <f t="shared" si="48"/>
        <v>0</v>
      </c>
      <c r="AM254">
        <f t="shared" si="48"/>
        <v>0</v>
      </c>
      <c r="AN254">
        <f t="shared" si="48"/>
        <v>0</v>
      </c>
      <c r="AO254">
        <f t="shared" si="48"/>
        <v>0</v>
      </c>
      <c r="AP254">
        <f t="shared" si="48"/>
        <v>0</v>
      </c>
      <c r="AQ254">
        <f t="shared" si="48"/>
        <v>0</v>
      </c>
      <c r="AR254">
        <f t="shared" si="48"/>
        <v>0</v>
      </c>
    </row>
    <row r="255" spans="1:53">
      <c r="A255" t="s">
        <v>384</v>
      </c>
      <c r="B255" t="s">
        <v>10</v>
      </c>
      <c r="C255">
        <f t="shared" si="45"/>
        <v>0</v>
      </c>
      <c r="D255">
        <f t="shared" si="45"/>
        <v>0</v>
      </c>
      <c r="E255">
        <f t="shared" si="45"/>
        <v>0</v>
      </c>
      <c r="F255">
        <f t="shared" si="45"/>
        <v>0</v>
      </c>
      <c r="G255">
        <f t="shared" si="45"/>
        <v>0</v>
      </c>
      <c r="H255">
        <f t="shared" si="45"/>
        <v>0</v>
      </c>
      <c r="I255">
        <f t="shared" si="45"/>
        <v>0</v>
      </c>
      <c r="J255">
        <f t="shared" si="45"/>
        <v>0</v>
      </c>
      <c r="K255">
        <f t="shared" si="45"/>
        <v>1</v>
      </c>
      <c r="L255">
        <f t="shared" si="45"/>
        <v>0</v>
      </c>
      <c r="M255">
        <f t="shared" si="46"/>
        <v>0</v>
      </c>
      <c r="N255">
        <f t="shared" si="46"/>
        <v>0</v>
      </c>
      <c r="O255">
        <f t="shared" si="46"/>
        <v>0</v>
      </c>
      <c r="P255">
        <f t="shared" si="46"/>
        <v>0</v>
      </c>
      <c r="Q255">
        <f t="shared" si="46"/>
        <v>0</v>
      </c>
      <c r="R255">
        <f t="shared" si="46"/>
        <v>0</v>
      </c>
      <c r="S255">
        <f t="shared" si="46"/>
        <v>0</v>
      </c>
      <c r="T255">
        <f t="shared" si="46"/>
        <v>0</v>
      </c>
      <c r="U255">
        <f t="shared" si="46"/>
        <v>0</v>
      </c>
      <c r="V255">
        <f t="shared" si="46"/>
        <v>0</v>
      </c>
      <c r="W255">
        <f t="shared" si="47"/>
        <v>0</v>
      </c>
      <c r="X255">
        <f t="shared" si="47"/>
        <v>0</v>
      </c>
      <c r="Y255">
        <f t="shared" si="47"/>
        <v>0</v>
      </c>
      <c r="Z255">
        <f t="shared" si="47"/>
        <v>0</v>
      </c>
      <c r="AA255">
        <f t="shared" si="47"/>
        <v>0</v>
      </c>
      <c r="AB255">
        <f t="shared" si="47"/>
        <v>0</v>
      </c>
      <c r="AC255">
        <f t="shared" si="47"/>
        <v>0</v>
      </c>
      <c r="AD255">
        <f t="shared" si="47"/>
        <v>0</v>
      </c>
      <c r="AE255">
        <f t="shared" si="47"/>
        <v>0</v>
      </c>
      <c r="AF255">
        <f t="shared" si="47"/>
        <v>0</v>
      </c>
      <c r="AG255">
        <f t="shared" si="48"/>
        <v>0</v>
      </c>
      <c r="AH255">
        <f t="shared" si="48"/>
        <v>0</v>
      </c>
      <c r="AI255">
        <f t="shared" si="48"/>
        <v>0</v>
      </c>
      <c r="AJ255">
        <f t="shared" si="48"/>
        <v>0</v>
      </c>
      <c r="AK255">
        <f t="shared" si="48"/>
        <v>0</v>
      </c>
      <c r="AL255">
        <f t="shared" si="48"/>
        <v>0</v>
      </c>
      <c r="AM255">
        <f t="shared" si="48"/>
        <v>0</v>
      </c>
      <c r="AN255">
        <f t="shared" si="48"/>
        <v>0</v>
      </c>
      <c r="AO255">
        <f t="shared" si="48"/>
        <v>0</v>
      </c>
      <c r="AP255">
        <f t="shared" si="48"/>
        <v>0</v>
      </c>
      <c r="AQ255">
        <f t="shared" si="48"/>
        <v>0</v>
      </c>
      <c r="AR255">
        <f t="shared" si="48"/>
        <v>0</v>
      </c>
    </row>
    <row r="256" spans="1:53">
      <c r="A256" t="s">
        <v>384</v>
      </c>
      <c r="B256" t="s">
        <v>11</v>
      </c>
      <c r="C256">
        <f t="shared" si="45"/>
        <v>0</v>
      </c>
      <c r="D256">
        <f t="shared" si="45"/>
        <v>0</v>
      </c>
      <c r="E256">
        <f t="shared" si="45"/>
        <v>0</v>
      </c>
      <c r="F256">
        <f t="shared" si="45"/>
        <v>0</v>
      </c>
      <c r="G256">
        <f t="shared" si="45"/>
        <v>0</v>
      </c>
      <c r="H256">
        <f t="shared" si="45"/>
        <v>0</v>
      </c>
      <c r="I256">
        <f t="shared" si="45"/>
        <v>0</v>
      </c>
      <c r="J256">
        <f t="shared" si="45"/>
        <v>0</v>
      </c>
      <c r="K256">
        <f t="shared" si="45"/>
        <v>0</v>
      </c>
      <c r="L256">
        <f t="shared" si="45"/>
        <v>1</v>
      </c>
      <c r="M256">
        <f t="shared" si="46"/>
        <v>0</v>
      </c>
      <c r="N256">
        <f t="shared" si="46"/>
        <v>0</v>
      </c>
      <c r="O256">
        <f t="shared" si="46"/>
        <v>0</v>
      </c>
      <c r="P256">
        <f t="shared" si="46"/>
        <v>0</v>
      </c>
      <c r="Q256">
        <f t="shared" si="46"/>
        <v>0</v>
      </c>
      <c r="R256">
        <f t="shared" si="46"/>
        <v>0</v>
      </c>
      <c r="S256">
        <f t="shared" si="46"/>
        <v>0</v>
      </c>
      <c r="T256">
        <f t="shared" si="46"/>
        <v>0</v>
      </c>
      <c r="U256">
        <f t="shared" si="46"/>
        <v>0</v>
      </c>
      <c r="V256">
        <f t="shared" si="46"/>
        <v>0</v>
      </c>
      <c r="W256">
        <f t="shared" si="47"/>
        <v>0</v>
      </c>
      <c r="X256">
        <f t="shared" si="47"/>
        <v>0</v>
      </c>
      <c r="Y256">
        <f t="shared" si="47"/>
        <v>0</v>
      </c>
      <c r="Z256">
        <f t="shared" si="47"/>
        <v>0</v>
      </c>
      <c r="AA256">
        <f t="shared" si="47"/>
        <v>0</v>
      </c>
      <c r="AB256">
        <f t="shared" si="47"/>
        <v>0</v>
      </c>
      <c r="AC256">
        <f t="shared" si="47"/>
        <v>0</v>
      </c>
      <c r="AD256">
        <f t="shared" si="47"/>
        <v>0</v>
      </c>
      <c r="AE256">
        <f t="shared" si="47"/>
        <v>0</v>
      </c>
      <c r="AF256">
        <f t="shared" si="47"/>
        <v>0</v>
      </c>
      <c r="AG256">
        <f t="shared" si="48"/>
        <v>0</v>
      </c>
      <c r="AH256">
        <f t="shared" si="48"/>
        <v>0</v>
      </c>
      <c r="AI256">
        <f t="shared" si="48"/>
        <v>0</v>
      </c>
      <c r="AJ256">
        <f t="shared" si="48"/>
        <v>0</v>
      </c>
      <c r="AK256">
        <f t="shared" si="48"/>
        <v>0</v>
      </c>
      <c r="AL256">
        <f t="shared" si="48"/>
        <v>0</v>
      </c>
      <c r="AM256">
        <f t="shared" si="48"/>
        <v>0</v>
      </c>
      <c r="AN256">
        <f t="shared" si="48"/>
        <v>0</v>
      </c>
      <c r="AO256">
        <f t="shared" si="48"/>
        <v>0</v>
      </c>
      <c r="AP256">
        <f t="shared" si="48"/>
        <v>0</v>
      </c>
      <c r="AQ256">
        <f t="shared" si="48"/>
        <v>0</v>
      </c>
      <c r="AR256">
        <f t="shared" si="48"/>
        <v>0</v>
      </c>
    </row>
    <row r="257" spans="1:44">
      <c r="A257" t="s">
        <v>384</v>
      </c>
      <c r="B257" t="s">
        <v>58</v>
      </c>
      <c r="C257">
        <f t="shared" ref="C257:L266" si="49">IF($B257=C$246,1,0)</f>
        <v>0</v>
      </c>
      <c r="D257">
        <f t="shared" si="49"/>
        <v>0</v>
      </c>
      <c r="E257">
        <f t="shared" si="49"/>
        <v>0</v>
      </c>
      <c r="F257">
        <f t="shared" si="49"/>
        <v>0</v>
      </c>
      <c r="G257">
        <f t="shared" si="49"/>
        <v>0</v>
      </c>
      <c r="H257">
        <f t="shared" si="49"/>
        <v>0</v>
      </c>
      <c r="I257">
        <f t="shared" si="49"/>
        <v>0</v>
      </c>
      <c r="J257">
        <f t="shared" si="49"/>
        <v>0</v>
      </c>
      <c r="K257">
        <f t="shared" si="49"/>
        <v>0</v>
      </c>
      <c r="L257">
        <f t="shared" si="49"/>
        <v>0</v>
      </c>
      <c r="M257">
        <f t="shared" ref="M257:V266" si="50">IF($B257=M$246,1,0)</f>
        <v>1</v>
      </c>
      <c r="N257">
        <f t="shared" si="50"/>
        <v>0</v>
      </c>
      <c r="O257">
        <f t="shared" si="50"/>
        <v>0</v>
      </c>
      <c r="P257">
        <f t="shared" si="50"/>
        <v>0</v>
      </c>
      <c r="Q257">
        <f t="shared" si="50"/>
        <v>0</v>
      </c>
      <c r="R257">
        <f t="shared" si="50"/>
        <v>0</v>
      </c>
      <c r="S257">
        <f t="shared" si="50"/>
        <v>0</v>
      </c>
      <c r="T257">
        <f t="shared" si="50"/>
        <v>0</v>
      </c>
      <c r="U257">
        <f t="shared" si="50"/>
        <v>0</v>
      </c>
      <c r="V257">
        <f t="shared" si="50"/>
        <v>0</v>
      </c>
      <c r="W257">
        <f t="shared" ref="W257:AF266" si="51">IF($B257=W$246,1,0)</f>
        <v>0</v>
      </c>
      <c r="X257">
        <f t="shared" si="51"/>
        <v>0</v>
      </c>
      <c r="Y257">
        <f t="shared" si="51"/>
        <v>0</v>
      </c>
      <c r="Z257">
        <f t="shared" si="51"/>
        <v>0</v>
      </c>
      <c r="AA257">
        <f t="shared" si="51"/>
        <v>0</v>
      </c>
      <c r="AB257">
        <f t="shared" si="51"/>
        <v>0</v>
      </c>
      <c r="AC257">
        <f t="shared" si="51"/>
        <v>0</v>
      </c>
      <c r="AD257">
        <f t="shared" si="51"/>
        <v>0</v>
      </c>
      <c r="AE257">
        <f t="shared" si="51"/>
        <v>0</v>
      </c>
      <c r="AF257">
        <f t="shared" si="51"/>
        <v>0</v>
      </c>
      <c r="AG257">
        <f t="shared" ref="AG257:AR266" si="52">IF($B257=AG$246,1,0)</f>
        <v>0</v>
      </c>
      <c r="AH257">
        <f t="shared" si="52"/>
        <v>0</v>
      </c>
      <c r="AI257">
        <f t="shared" si="52"/>
        <v>0</v>
      </c>
      <c r="AJ257">
        <f t="shared" si="52"/>
        <v>0</v>
      </c>
      <c r="AK257">
        <f t="shared" si="52"/>
        <v>0</v>
      </c>
      <c r="AL257">
        <f t="shared" si="52"/>
        <v>0</v>
      </c>
      <c r="AM257">
        <f t="shared" si="52"/>
        <v>0</v>
      </c>
      <c r="AN257">
        <f t="shared" si="52"/>
        <v>0</v>
      </c>
      <c r="AO257">
        <f t="shared" si="52"/>
        <v>0</v>
      </c>
      <c r="AP257">
        <f t="shared" si="52"/>
        <v>0</v>
      </c>
      <c r="AQ257">
        <f t="shared" si="52"/>
        <v>0</v>
      </c>
      <c r="AR257">
        <f t="shared" si="52"/>
        <v>0</v>
      </c>
    </row>
    <row r="258" spans="1:44">
      <c r="A258" t="s">
        <v>384</v>
      </c>
      <c r="B258" t="s">
        <v>59</v>
      </c>
      <c r="C258">
        <f t="shared" si="49"/>
        <v>0</v>
      </c>
      <c r="D258">
        <f t="shared" si="49"/>
        <v>0</v>
      </c>
      <c r="E258">
        <f t="shared" si="49"/>
        <v>0</v>
      </c>
      <c r="F258">
        <f t="shared" si="49"/>
        <v>0</v>
      </c>
      <c r="G258">
        <f t="shared" si="49"/>
        <v>0</v>
      </c>
      <c r="H258">
        <f t="shared" si="49"/>
        <v>0</v>
      </c>
      <c r="I258">
        <f t="shared" si="49"/>
        <v>0</v>
      </c>
      <c r="J258">
        <f t="shared" si="49"/>
        <v>0</v>
      </c>
      <c r="K258">
        <f t="shared" si="49"/>
        <v>0</v>
      </c>
      <c r="L258">
        <f t="shared" si="49"/>
        <v>0</v>
      </c>
      <c r="M258">
        <f t="shared" si="50"/>
        <v>0</v>
      </c>
      <c r="N258">
        <f t="shared" si="50"/>
        <v>1</v>
      </c>
      <c r="O258">
        <f t="shared" si="50"/>
        <v>0</v>
      </c>
      <c r="P258">
        <f t="shared" si="50"/>
        <v>0</v>
      </c>
      <c r="Q258">
        <f t="shared" si="50"/>
        <v>0</v>
      </c>
      <c r="R258">
        <f t="shared" si="50"/>
        <v>0</v>
      </c>
      <c r="S258">
        <f t="shared" si="50"/>
        <v>0</v>
      </c>
      <c r="T258">
        <f t="shared" si="50"/>
        <v>0</v>
      </c>
      <c r="U258">
        <f t="shared" si="50"/>
        <v>0</v>
      </c>
      <c r="V258">
        <f t="shared" si="50"/>
        <v>0</v>
      </c>
      <c r="W258">
        <f t="shared" si="51"/>
        <v>0</v>
      </c>
      <c r="X258">
        <f t="shared" si="51"/>
        <v>0</v>
      </c>
      <c r="Y258">
        <f t="shared" si="51"/>
        <v>0</v>
      </c>
      <c r="Z258">
        <f t="shared" si="51"/>
        <v>0</v>
      </c>
      <c r="AA258">
        <f t="shared" si="51"/>
        <v>0</v>
      </c>
      <c r="AB258">
        <f t="shared" si="51"/>
        <v>0</v>
      </c>
      <c r="AC258">
        <f t="shared" si="51"/>
        <v>0</v>
      </c>
      <c r="AD258">
        <f t="shared" si="51"/>
        <v>0</v>
      </c>
      <c r="AE258">
        <f t="shared" si="51"/>
        <v>0</v>
      </c>
      <c r="AF258">
        <f t="shared" si="51"/>
        <v>0</v>
      </c>
      <c r="AG258">
        <f t="shared" si="52"/>
        <v>0</v>
      </c>
      <c r="AH258">
        <f t="shared" si="52"/>
        <v>0</v>
      </c>
      <c r="AI258">
        <f t="shared" si="52"/>
        <v>0</v>
      </c>
      <c r="AJ258">
        <f t="shared" si="52"/>
        <v>0</v>
      </c>
      <c r="AK258">
        <f t="shared" si="52"/>
        <v>0</v>
      </c>
      <c r="AL258">
        <f t="shared" si="52"/>
        <v>0</v>
      </c>
      <c r="AM258">
        <f t="shared" si="52"/>
        <v>0</v>
      </c>
      <c r="AN258">
        <f t="shared" si="52"/>
        <v>0</v>
      </c>
      <c r="AO258">
        <f t="shared" si="52"/>
        <v>0</v>
      </c>
      <c r="AP258">
        <f t="shared" si="52"/>
        <v>0</v>
      </c>
      <c r="AQ258">
        <f t="shared" si="52"/>
        <v>0</v>
      </c>
      <c r="AR258">
        <f t="shared" si="52"/>
        <v>0</v>
      </c>
    </row>
    <row r="259" spans="1:44">
      <c r="A259" t="s">
        <v>384</v>
      </c>
      <c r="B259" t="s">
        <v>12</v>
      </c>
      <c r="C259">
        <f t="shared" si="49"/>
        <v>0</v>
      </c>
      <c r="D259">
        <f t="shared" si="49"/>
        <v>0</v>
      </c>
      <c r="E259">
        <f t="shared" si="49"/>
        <v>0</v>
      </c>
      <c r="F259">
        <f t="shared" si="49"/>
        <v>0</v>
      </c>
      <c r="G259">
        <f t="shared" si="49"/>
        <v>0</v>
      </c>
      <c r="H259">
        <f t="shared" si="49"/>
        <v>0</v>
      </c>
      <c r="I259">
        <f t="shared" si="49"/>
        <v>0</v>
      </c>
      <c r="J259">
        <f t="shared" si="49"/>
        <v>0</v>
      </c>
      <c r="K259">
        <f t="shared" si="49"/>
        <v>0</v>
      </c>
      <c r="L259">
        <f t="shared" si="49"/>
        <v>0</v>
      </c>
      <c r="M259">
        <f t="shared" si="50"/>
        <v>0</v>
      </c>
      <c r="N259">
        <f t="shared" si="50"/>
        <v>0</v>
      </c>
      <c r="O259">
        <f t="shared" si="50"/>
        <v>1</v>
      </c>
      <c r="P259">
        <f t="shared" si="50"/>
        <v>0</v>
      </c>
      <c r="Q259">
        <f t="shared" si="50"/>
        <v>0</v>
      </c>
      <c r="R259">
        <f t="shared" si="50"/>
        <v>0</v>
      </c>
      <c r="S259">
        <f t="shared" si="50"/>
        <v>0</v>
      </c>
      <c r="T259">
        <f t="shared" si="50"/>
        <v>0</v>
      </c>
      <c r="U259">
        <f t="shared" si="50"/>
        <v>0</v>
      </c>
      <c r="V259">
        <f t="shared" si="50"/>
        <v>0</v>
      </c>
      <c r="W259">
        <f t="shared" si="51"/>
        <v>0</v>
      </c>
      <c r="X259">
        <f t="shared" si="51"/>
        <v>0</v>
      </c>
      <c r="Y259">
        <f t="shared" si="51"/>
        <v>0</v>
      </c>
      <c r="Z259">
        <f t="shared" si="51"/>
        <v>0</v>
      </c>
      <c r="AA259">
        <f t="shared" si="51"/>
        <v>0</v>
      </c>
      <c r="AB259">
        <f t="shared" si="51"/>
        <v>0</v>
      </c>
      <c r="AC259">
        <f t="shared" si="51"/>
        <v>0</v>
      </c>
      <c r="AD259">
        <f t="shared" si="51"/>
        <v>0</v>
      </c>
      <c r="AE259">
        <f t="shared" si="51"/>
        <v>0</v>
      </c>
      <c r="AF259">
        <f t="shared" si="51"/>
        <v>0</v>
      </c>
      <c r="AG259">
        <f t="shared" si="52"/>
        <v>0</v>
      </c>
      <c r="AH259">
        <f t="shared" si="52"/>
        <v>0</v>
      </c>
      <c r="AI259">
        <f t="shared" si="52"/>
        <v>0</v>
      </c>
      <c r="AJ259">
        <f t="shared" si="52"/>
        <v>0</v>
      </c>
      <c r="AK259">
        <f t="shared" si="52"/>
        <v>0</v>
      </c>
      <c r="AL259">
        <f t="shared" si="52"/>
        <v>0</v>
      </c>
      <c r="AM259">
        <f t="shared" si="52"/>
        <v>0</v>
      </c>
      <c r="AN259">
        <f t="shared" si="52"/>
        <v>0</v>
      </c>
      <c r="AO259">
        <f t="shared" si="52"/>
        <v>0</v>
      </c>
      <c r="AP259">
        <f t="shared" si="52"/>
        <v>0</v>
      </c>
      <c r="AQ259">
        <f t="shared" si="52"/>
        <v>0</v>
      </c>
      <c r="AR259">
        <f t="shared" si="52"/>
        <v>0</v>
      </c>
    </row>
    <row r="260" spans="1:44">
      <c r="A260" t="s">
        <v>384</v>
      </c>
      <c r="B260" t="s">
        <v>132</v>
      </c>
      <c r="C260">
        <f t="shared" si="49"/>
        <v>0</v>
      </c>
      <c r="D260">
        <f t="shared" si="49"/>
        <v>0</v>
      </c>
      <c r="E260">
        <f t="shared" si="49"/>
        <v>0</v>
      </c>
      <c r="F260">
        <f t="shared" si="49"/>
        <v>0</v>
      </c>
      <c r="G260">
        <f t="shared" si="49"/>
        <v>0</v>
      </c>
      <c r="H260">
        <f t="shared" si="49"/>
        <v>0</v>
      </c>
      <c r="I260">
        <f t="shared" si="49"/>
        <v>0</v>
      </c>
      <c r="J260">
        <f t="shared" si="49"/>
        <v>0</v>
      </c>
      <c r="K260">
        <f t="shared" si="49"/>
        <v>0</v>
      </c>
      <c r="L260">
        <f t="shared" si="49"/>
        <v>0</v>
      </c>
      <c r="M260">
        <f t="shared" si="50"/>
        <v>0</v>
      </c>
      <c r="N260">
        <f t="shared" si="50"/>
        <v>0</v>
      </c>
      <c r="O260">
        <f t="shared" si="50"/>
        <v>0</v>
      </c>
      <c r="P260">
        <f t="shared" si="50"/>
        <v>1</v>
      </c>
      <c r="Q260">
        <f t="shared" si="50"/>
        <v>0</v>
      </c>
      <c r="R260">
        <f t="shared" si="50"/>
        <v>0</v>
      </c>
      <c r="S260">
        <f t="shared" si="50"/>
        <v>0</v>
      </c>
      <c r="T260">
        <f t="shared" si="50"/>
        <v>0</v>
      </c>
      <c r="U260">
        <f t="shared" si="50"/>
        <v>0</v>
      </c>
      <c r="V260">
        <f t="shared" si="50"/>
        <v>0</v>
      </c>
      <c r="W260">
        <f t="shared" si="51"/>
        <v>0</v>
      </c>
      <c r="X260">
        <f t="shared" si="51"/>
        <v>0</v>
      </c>
      <c r="Y260">
        <f t="shared" si="51"/>
        <v>0</v>
      </c>
      <c r="Z260">
        <f t="shared" si="51"/>
        <v>0</v>
      </c>
      <c r="AA260">
        <f t="shared" si="51"/>
        <v>0</v>
      </c>
      <c r="AB260">
        <f t="shared" si="51"/>
        <v>0</v>
      </c>
      <c r="AC260">
        <f t="shared" si="51"/>
        <v>0</v>
      </c>
      <c r="AD260">
        <f t="shared" si="51"/>
        <v>0</v>
      </c>
      <c r="AE260">
        <f t="shared" si="51"/>
        <v>0</v>
      </c>
      <c r="AF260">
        <f t="shared" si="51"/>
        <v>0</v>
      </c>
      <c r="AG260">
        <f t="shared" si="52"/>
        <v>0</v>
      </c>
      <c r="AH260">
        <f t="shared" si="52"/>
        <v>0</v>
      </c>
      <c r="AI260">
        <f t="shared" si="52"/>
        <v>0</v>
      </c>
      <c r="AJ260">
        <f t="shared" si="52"/>
        <v>0</v>
      </c>
      <c r="AK260">
        <f t="shared" si="52"/>
        <v>0</v>
      </c>
      <c r="AL260">
        <f t="shared" si="52"/>
        <v>0</v>
      </c>
      <c r="AM260">
        <f t="shared" si="52"/>
        <v>0</v>
      </c>
      <c r="AN260">
        <f t="shared" si="52"/>
        <v>0</v>
      </c>
      <c r="AO260">
        <f t="shared" si="52"/>
        <v>0</v>
      </c>
      <c r="AP260">
        <f t="shared" si="52"/>
        <v>0</v>
      </c>
      <c r="AQ260">
        <f t="shared" si="52"/>
        <v>0</v>
      </c>
      <c r="AR260">
        <f t="shared" si="52"/>
        <v>0</v>
      </c>
    </row>
    <row r="261" spans="1:44">
      <c r="A261" t="s">
        <v>384</v>
      </c>
      <c r="B261" t="s">
        <v>133</v>
      </c>
      <c r="C261">
        <f t="shared" si="49"/>
        <v>0</v>
      </c>
      <c r="D261">
        <f t="shared" si="49"/>
        <v>0</v>
      </c>
      <c r="E261">
        <f t="shared" si="49"/>
        <v>0</v>
      </c>
      <c r="F261">
        <f t="shared" si="49"/>
        <v>0</v>
      </c>
      <c r="G261">
        <f t="shared" si="49"/>
        <v>0</v>
      </c>
      <c r="H261">
        <f t="shared" si="49"/>
        <v>0</v>
      </c>
      <c r="I261">
        <f t="shared" si="49"/>
        <v>0</v>
      </c>
      <c r="J261">
        <f t="shared" si="49"/>
        <v>0</v>
      </c>
      <c r="K261">
        <f t="shared" si="49"/>
        <v>0</v>
      </c>
      <c r="L261">
        <f t="shared" si="49"/>
        <v>0</v>
      </c>
      <c r="M261">
        <f t="shared" si="50"/>
        <v>0</v>
      </c>
      <c r="N261">
        <f t="shared" si="50"/>
        <v>0</v>
      </c>
      <c r="O261">
        <f t="shared" si="50"/>
        <v>0</v>
      </c>
      <c r="P261">
        <f t="shared" si="50"/>
        <v>0</v>
      </c>
      <c r="Q261">
        <f t="shared" si="50"/>
        <v>1</v>
      </c>
      <c r="R261">
        <f t="shared" si="50"/>
        <v>0</v>
      </c>
      <c r="S261">
        <f t="shared" si="50"/>
        <v>0</v>
      </c>
      <c r="T261">
        <f t="shared" si="50"/>
        <v>0</v>
      </c>
      <c r="U261">
        <f t="shared" si="50"/>
        <v>0</v>
      </c>
      <c r="V261">
        <f t="shared" si="50"/>
        <v>0</v>
      </c>
      <c r="W261">
        <f t="shared" si="51"/>
        <v>0</v>
      </c>
      <c r="X261">
        <f t="shared" si="51"/>
        <v>0</v>
      </c>
      <c r="Y261">
        <f t="shared" si="51"/>
        <v>0</v>
      </c>
      <c r="Z261">
        <f t="shared" si="51"/>
        <v>0</v>
      </c>
      <c r="AA261">
        <f t="shared" si="51"/>
        <v>0</v>
      </c>
      <c r="AB261">
        <f t="shared" si="51"/>
        <v>0</v>
      </c>
      <c r="AC261">
        <f t="shared" si="51"/>
        <v>0</v>
      </c>
      <c r="AD261">
        <f t="shared" si="51"/>
        <v>0</v>
      </c>
      <c r="AE261">
        <f t="shared" si="51"/>
        <v>0</v>
      </c>
      <c r="AF261">
        <f t="shared" si="51"/>
        <v>0</v>
      </c>
      <c r="AG261">
        <f t="shared" si="52"/>
        <v>0</v>
      </c>
      <c r="AH261">
        <f t="shared" si="52"/>
        <v>0</v>
      </c>
      <c r="AI261">
        <f t="shared" si="52"/>
        <v>0</v>
      </c>
      <c r="AJ261">
        <f t="shared" si="52"/>
        <v>0</v>
      </c>
      <c r="AK261">
        <f t="shared" si="52"/>
        <v>0</v>
      </c>
      <c r="AL261">
        <f t="shared" si="52"/>
        <v>0</v>
      </c>
      <c r="AM261">
        <f t="shared" si="52"/>
        <v>0</v>
      </c>
      <c r="AN261">
        <f t="shared" si="52"/>
        <v>0</v>
      </c>
      <c r="AO261">
        <f t="shared" si="52"/>
        <v>0</v>
      </c>
      <c r="AP261">
        <f t="shared" si="52"/>
        <v>0</v>
      </c>
      <c r="AQ261">
        <f t="shared" si="52"/>
        <v>0</v>
      </c>
      <c r="AR261">
        <f t="shared" si="52"/>
        <v>0</v>
      </c>
    </row>
    <row r="262" spans="1:44">
      <c r="A262" t="s">
        <v>384</v>
      </c>
      <c r="B262" t="s">
        <v>134</v>
      </c>
      <c r="C262">
        <f t="shared" si="49"/>
        <v>0</v>
      </c>
      <c r="D262">
        <f t="shared" si="49"/>
        <v>0</v>
      </c>
      <c r="E262">
        <f t="shared" si="49"/>
        <v>0</v>
      </c>
      <c r="F262">
        <f t="shared" si="49"/>
        <v>0</v>
      </c>
      <c r="G262">
        <f t="shared" si="49"/>
        <v>0</v>
      </c>
      <c r="H262">
        <f t="shared" si="49"/>
        <v>0</v>
      </c>
      <c r="I262">
        <f t="shared" si="49"/>
        <v>0</v>
      </c>
      <c r="J262">
        <f t="shared" si="49"/>
        <v>0</v>
      </c>
      <c r="K262">
        <f t="shared" si="49"/>
        <v>0</v>
      </c>
      <c r="L262">
        <f t="shared" si="49"/>
        <v>0</v>
      </c>
      <c r="M262">
        <f t="shared" si="50"/>
        <v>0</v>
      </c>
      <c r="N262">
        <f t="shared" si="50"/>
        <v>0</v>
      </c>
      <c r="O262">
        <f t="shared" si="50"/>
        <v>0</v>
      </c>
      <c r="P262">
        <f t="shared" si="50"/>
        <v>0</v>
      </c>
      <c r="Q262">
        <f t="shared" si="50"/>
        <v>0</v>
      </c>
      <c r="R262">
        <f t="shared" si="50"/>
        <v>1</v>
      </c>
      <c r="S262">
        <f t="shared" si="50"/>
        <v>0</v>
      </c>
      <c r="T262">
        <f t="shared" si="50"/>
        <v>0</v>
      </c>
      <c r="U262">
        <f t="shared" si="50"/>
        <v>0</v>
      </c>
      <c r="V262">
        <f t="shared" si="50"/>
        <v>0</v>
      </c>
      <c r="W262">
        <f t="shared" si="51"/>
        <v>0</v>
      </c>
      <c r="X262">
        <f t="shared" si="51"/>
        <v>0</v>
      </c>
      <c r="Y262">
        <f t="shared" si="51"/>
        <v>0</v>
      </c>
      <c r="Z262">
        <f t="shared" si="51"/>
        <v>0</v>
      </c>
      <c r="AA262">
        <f t="shared" si="51"/>
        <v>0</v>
      </c>
      <c r="AB262">
        <f t="shared" si="51"/>
        <v>0</v>
      </c>
      <c r="AC262">
        <f t="shared" si="51"/>
        <v>0</v>
      </c>
      <c r="AD262">
        <f t="shared" si="51"/>
        <v>0</v>
      </c>
      <c r="AE262">
        <f t="shared" si="51"/>
        <v>0</v>
      </c>
      <c r="AF262">
        <f t="shared" si="51"/>
        <v>0</v>
      </c>
      <c r="AG262">
        <f t="shared" si="52"/>
        <v>0</v>
      </c>
      <c r="AH262">
        <f t="shared" si="52"/>
        <v>0</v>
      </c>
      <c r="AI262">
        <f t="shared" si="52"/>
        <v>0</v>
      </c>
      <c r="AJ262">
        <f t="shared" si="52"/>
        <v>0</v>
      </c>
      <c r="AK262">
        <f t="shared" si="52"/>
        <v>0</v>
      </c>
      <c r="AL262">
        <f t="shared" si="52"/>
        <v>0</v>
      </c>
      <c r="AM262">
        <f t="shared" si="52"/>
        <v>0</v>
      </c>
      <c r="AN262">
        <f t="shared" si="52"/>
        <v>0</v>
      </c>
      <c r="AO262">
        <f t="shared" si="52"/>
        <v>0</v>
      </c>
      <c r="AP262">
        <f t="shared" si="52"/>
        <v>0</v>
      </c>
      <c r="AQ262">
        <f t="shared" si="52"/>
        <v>0</v>
      </c>
      <c r="AR262">
        <f t="shared" si="52"/>
        <v>0</v>
      </c>
    </row>
    <row r="263" spans="1:44">
      <c r="A263" t="s">
        <v>384</v>
      </c>
      <c r="B263" t="s">
        <v>135</v>
      </c>
      <c r="C263">
        <f t="shared" si="49"/>
        <v>0</v>
      </c>
      <c r="D263">
        <f t="shared" si="49"/>
        <v>0</v>
      </c>
      <c r="E263">
        <f t="shared" si="49"/>
        <v>0</v>
      </c>
      <c r="F263">
        <f t="shared" si="49"/>
        <v>0</v>
      </c>
      <c r="G263">
        <f t="shared" si="49"/>
        <v>0</v>
      </c>
      <c r="H263">
        <f t="shared" si="49"/>
        <v>0</v>
      </c>
      <c r="I263">
        <f t="shared" si="49"/>
        <v>0</v>
      </c>
      <c r="J263">
        <f t="shared" si="49"/>
        <v>0</v>
      </c>
      <c r="K263">
        <f t="shared" si="49"/>
        <v>0</v>
      </c>
      <c r="L263">
        <f t="shared" si="49"/>
        <v>0</v>
      </c>
      <c r="M263">
        <f t="shared" si="50"/>
        <v>0</v>
      </c>
      <c r="N263">
        <f t="shared" si="50"/>
        <v>0</v>
      </c>
      <c r="O263">
        <f t="shared" si="50"/>
        <v>0</v>
      </c>
      <c r="P263">
        <f t="shared" si="50"/>
        <v>0</v>
      </c>
      <c r="Q263">
        <f t="shared" si="50"/>
        <v>0</v>
      </c>
      <c r="R263">
        <f t="shared" si="50"/>
        <v>0</v>
      </c>
      <c r="S263">
        <f t="shared" si="50"/>
        <v>1</v>
      </c>
      <c r="T263">
        <f t="shared" si="50"/>
        <v>0</v>
      </c>
      <c r="U263">
        <f t="shared" si="50"/>
        <v>0</v>
      </c>
      <c r="V263">
        <f t="shared" si="50"/>
        <v>0</v>
      </c>
      <c r="W263">
        <f t="shared" si="51"/>
        <v>0</v>
      </c>
      <c r="X263">
        <f t="shared" si="51"/>
        <v>0</v>
      </c>
      <c r="Y263">
        <f t="shared" si="51"/>
        <v>0</v>
      </c>
      <c r="Z263">
        <f t="shared" si="51"/>
        <v>0</v>
      </c>
      <c r="AA263">
        <f t="shared" si="51"/>
        <v>0</v>
      </c>
      <c r="AB263">
        <f t="shared" si="51"/>
        <v>0</v>
      </c>
      <c r="AC263">
        <f t="shared" si="51"/>
        <v>0</v>
      </c>
      <c r="AD263">
        <f t="shared" si="51"/>
        <v>0</v>
      </c>
      <c r="AE263">
        <f t="shared" si="51"/>
        <v>0</v>
      </c>
      <c r="AF263">
        <f t="shared" si="51"/>
        <v>0</v>
      </c>
      <c r="AG263">
        <f t="shared" si="52"/>
        <v>0</v>
      </c>
      <c r="AH263">
        <f t="shared" si="52"/>
        <v>0</v>
      </c>
      <c r="AI263">
        <f t="shared" si="52"/>
        <v>0</v>
      </c>
      <c r="AJ263">
        <f t="shared" si="52"/>
        <v>0</v>
      </c>
      <c r="AK263">
        <f t="shared" si="52"/>
        <v>0</v>
      </c>
      <c r="AL263">
        <f t="shared" si="52"/>
        <v>0</v>
      </c>
      <c r="AM263">
        <f t="shared" si="52"/>
        <v>0</v>
      </c>
      <c r="AN263">
        <f t="shared" si="52"/>
        <v>0</v>
      </c>
      <c r="AO263">
        <f t="shared" si="52"/>
        <v>0</v>
      </c>
      <c r="AP263">
        <f t="shared" si="52"/>
        <v>0</v>
      </c>
      <c r="AQ263">
        <f t="shared" si="52"/>
        <v>0</v>
      </c>
      <c r="AR263">
        <f t="shared" si="52"/>
        <v>0</v>
      </c>
    </row>
    <row r="264" spans="1:44">
      <c r="A264" t="s">
        <v>384</v>
      </c>
      <c r="B264" t="s">
        <v>13</v>
      </c>
      <c r="C264">
        <f t="shared" si="49"/>
        <v>0</v>
      </c>
      <c r="D264">
        <f t="shared" si="49"/>
        <v>0</v>
      </c>
      <c r="E264">
        <f t="shared" si="49"/>
        <v>0</v>
      </c>
      <c r="F264">
        <f t="shared" si="49"/>
        <v>0</v>
      </c>
      <c r="G264">
        <f t="shared" si="49"/>
        <v>0</v>
      </c>
      <c r="H264">
        <f t="shared" si="49"/>
        <v>0</v>
      </c>
      <c r="I264">
        <f t="shared" si="49"/>
        <v>0</v>
      </c>
      <c r="J264">
        <f t="shared" si="49"/>
        <v>0</v>
      </c>
      <c r="K264">
        <f t="shared" si="49"/>
        <v>0</v>
      </c>
      <c r="L264">
        <f t="shared" si="49"/>
        <v>0</v>
      </c>
      <c r="M264">
        <f t="shared" si="50"/>
        <v>0</v>
      </c>
      <c r="N264">
        <f t="shared" si="50"/>
        <v>0</v>
      </c>
      <c r="O264">
        <f t="shared" si="50"/>
        <v>0</v>
      </c>
      <c r="P264">
        <f t="shared" si="50"/>
        <v>0</v>
      </c>
      <c r="Q264">
        <f t="shared" si="50"/>
        <v>0</v>
      </c>
      <c r="R264">
        <f t="shared" si="50"/>
        <v>0</v>
      </c>
      <c r="S264">
        <f t="shared" si="50"/>
        <v>0</v>
      </c>
      <c r="T264">
        <f t="shared" si="50"/>
        <v>1</v>
      </c>
      <c r="U264">
        <f t="shared" si="50"/>
        <v>0</v>
      </c>
      <c r="V264">
        <f t="shared" si="50"/>
        <v>0</v>
      </c>
      <c r="W264">
        <f t="shared" si="51"/>
        <v>0</v>
      </c>
      <c r="X264">
        <f t="shared" si="51"/>
        <v>0</v>
      </c>
      <c r="Y264">
        <f t="shared" si="51"/>
        <v>0</v>
      </c>
      <c r="Z264">
        <f t="shared" si="51"/>
        <v>0</v>
      </c>
      <c r="AA264">
        <f t="shared" si="51"/>
        <v>0</v>
      </c>
      <c r="AB264">
        <f t="shared" si="51"/>
        <v>0</v>
      </c>
      <c r="AC264">
        <f t="shared" si="51"/>
        <v>0</v>
      </c>
      <c r="AD264">
        <f t="shared" si="51"/>
        <v>0</v>
      </c>
      <c r="AE264">
        <f t="shared" si="51"/>
        <v>0</v>
      </c>
      <c r="AF264">
        <f t="shared" si="51"/>
        <v>0</v>
      </c>
      <c r="AG264">
        <f t="shared" si="52"/>
        <v>0</v>
      </c>
      <c r="AH264">
        <f t="shared" si="52"/>
        <v>0</v>
      </c>
      <c r="AI264">
        <f t="shared" si="52"/>
        <v>0</v>
      </c>
      <c r="AJ264">
        <f t="shared" si="52"/>
        <v>0</v>
      </c>
      <c r="AK264">
        <f t="shared" si="52"/>
        <v>0</v>
      </c>
      <c r="AL264">
        <f t="shared" si="52"/>
        <v>0</v>
      </c>
      <c r="AM264">
        <f t="shared" si="52"/>
        <v>0</v>
      </c>
      <c r="AN264">
        <f t="shared" si="52"/>
        <v>0</v>
      </c>
      <c r="AO264">
        <f t="shared" si="52"/>
        <v>0</v>
      </c>
      <c r="AP264">
        <f t="shared" si="52"/>
        <v>0</v>
      </c>
      <c r="AQ264">
        <f t="shared" si="52"/>
        <v>0</v>
      </c>
      <c r="AR264">
        <f t="shared" si="52"/>
        <v>0</v>
      </c>
    </row>
    <row r="265" spans="1:44">
      <c r="A265" t="s">
        <v>384</v>
      </c>
      <c r="B265" t="s">
        <v>14</v>
      </c>
      <c r="C265">
        <f t="shared" si="49"/>
        <v>0</v>
      </c>
      <c r="D265">
        <f t="shared" si="49"/>
        <v>0</v>
      </c>
      <c r="E265">
        <f t="shared" si="49"/>
        <v>0</v>
      </c>
      <c r="F265">
        <f t="shared" si="49"/>
        <v>0</v>
      </c>
      <c r="G265">
        <f t="shared" si="49"/>
        <v>0</v>
      </c>
      <c r="H265">
        <f t="shared" si="49"/>
        <v>0</v>
      </c>
      <c r="I265">
        <f t="shared" si="49"/>
        <v>0</v>
      </c>
      <c r="J265">
        <f t="shared" si="49"/>
        <v>0</v>
      </c>
      <c r="K265">
        <f t="shared" si="49"/>
        <v>0</v>
      </c>
      <c r="L265">
        <f t="shared" si="49"/>
        <v>0</v>
      </c>
      <c r="M265">
        <f t="shared" si="50"/>
        <v>0</v>
      </c>
      <c r="N265">
        <f t="shared" si="50"/>
        <v>0</v>
      </c>
      <c r="O265">
        <f t="shared" si="50"/>
        <v>0</v>
      </c>
      <c r="P265">
        <f t="shared" si="50"/>
        <v>0</v>
      </c>
      <c r="Q265">
        <f t="shared" si="50"/>
        <v>0</v>
      </c>
      <c r="R265">
        <f t="shared" si="50"/>
        <v>0</v>
      </c>
      <c r="S265">
        <f t="shared" si="50"/>
        <v>0</v>
      </c>
      <c r="T265">
        <f t="shared" si="50"/>
        <v>0</v>
      </c>
      <c r="U265">
        <f t="shared" si="50"/>
        <v>1</v>
      </c>
      <c r="V265">
        <f t="shared" si="50"/>
        <v>0</v>
      </c>
      <c r="W265">
        <f t="shared" si="51"/>
        <v>0</v>
      </c>
      <c r="X265">
        <f t="shared" si="51"/>
        <v>0</v>
      </c>
      <c r="Y265">
        <f t="shared" si="51"/>
        <v>0</v>
      </c>
      <c r="Z265">
        <f t="shared" si="51"/>
        <v>0</v>
      </c>
      <c r="AA265">
        <f t="shared" si="51"/>
        <v>0</v>
      </c>
      <c r="AB265">
        <f t="shared" si="51"/>
        <v>0</v>
      </c>
      <c r="AC265">
        <f t="shared" si="51"/>
        <v>0</v>
      </c>
      <c r="AD265">
        <f t="shared" si="51"/>
        <v>0</v>
      </c>
      <c r="AE265">
        <f t="shared" si="51"/>
        <v>0</v>
      </c>
      <c r="AF265">
        <f t="shared" si="51"/>
        <v>0</v>
      </c>
      <c r="AG265">
        <f t="shared" si="52"/>
        <v>0</v>
      </c>
      <c r="AH265">
        <f t="shared" si="52"/>
        <v>0</v>
      </c>
      <c r="AI265">
        <f t="shared" si="52"/>
        <v>0</v>
      </c>
      <c r="AJ265">
        <f t="shared" si="52"/>
        <v>0</v>
      </c>
      <c r="AK265">
        <f t="shared" si="52"/>
        <v>0</v>
      </c>
      <c r="AL265">
        <f t="shared" si="52"/>
        <v>0</v>
      </c>
      <c r="AM265">
        <f t="shared" si="52"/>
        <v>0</v>
      </c>
      <c r="AN265">
        <f t="shared" si="52"/>
        <v>0</v>
      </c>
      <c r="AO265">
        <f t="shared" si="52"/>
        <v>0</v>
      </c>
      <c r="AP265">
        <f t="shared" si="52"/>
        <v>0</v>
      </c>
      <c r="AQ265">
        <f t="shared" si="52"/>
        <v>0</v>
      </c>
      <c r="AR265">
        <f t="shared" si="52"/>
        <v>0</v>
      </c>
    </row>
    <row r="266" spans="1:44">
      <c r="A266" t="s">
        <v>384</v>
      </c>
      <c r="B266" t="s">
        <v>15</v>
      </c>
      <c r="C266">
        <f t="shared" si="49"/>
        <v>0</v>
      </c>
      <c r="D266">
        <f t="shared" si="49"/>
        <v>0</v>
      </c>
      <c r="E266">
        <f t="shared" si="49"/>
        <v>0</v>
      </c>
      <c r="F266">
        <f t="shared" si="49"/>
        <v>0</v>
      </c>
      <c r="G266">
        <f t="shared" si="49"/>
        <v>0</v>
      </c>
      <c r="H266">
        <f t="shared" si="49"/>
        <v>0</v>
      </c>
      <c r="I266">
        <f t="shared" si="49"/>
        <v>0</v>
      </c>
      <c r="J266">
        <f t="shared" si="49"/>
        <v>0</v>
      </c>
      <c r="K266">
        <f t="shared" si="49"/>
        <v>0</v>
      </c>
      <c r="L266">
        <f t="shared" si="49"/>
        <v>0</v>
      </c>
      <c r="M266">
        <f t="shared" si="50"/>
        <v>0</v>
      </c>
      <c r="N266">
        <f t="shared" si="50"/>
        <v>0</v>
      </c>
      <c r="O266">
        <f t="shared" si="50"/>
        <v>0</v>
      </c>
      <c r="P266">
        <f t="shared" si="50"/>
        <v>0</v>
      </c>
      <c r="Q266">
        <f t="shared" si="50"/>
        <v>0</v>
      </c>
      <c r="R266">
        <f t="shared" si="50"/>
        <v>0</v>
      </c>
      <c r="S266">
        <f t="shared" si="50"/>
        <v>0</v>
      </c>
      <c r="T266">
        <f t="shared" si="50"/>
        <v>0</v>
      </c>
      <c r="U266">
        <f t="shared" si="50"/>
        <v>0</v>
      </c>
      <c r="V266">
        <f t="shared" si="50"/>
        <v>1</v>
      </c>
      <c r="W266">
        <f t="shared" si="51"/>
        <v>0</v>
      </c>
      <c r="X266">
        <f t="shared" si="51"/>
        <v>0</v>
      </c>
      <c r="Y266">
        <f t="shared" si="51"/>
        <v>0</v>
      </c>
      <c r="Z266">
        <f t="shared" si="51"/>
        <v>0</v>
      </c>
      <c r="AA266">
        <f t="shared" si="51"/>
        <v>0</v>
      </c>
      <c r="AB266">
        <f t="shared" si="51"/>
        <v>0</v>
      </c>
      <c r="AC266">
        <f t="shared" si="51"/>
        <v>0</v>
      </c>
      <c r="AD266">
        <f t="shared" si="51"/>
        <v>0</v>
      </c>
      <c r="AE266">
        <f t="shared" si="51"/>
        <v>0</v>
      </c>
      <c r="AF266">
        <f t="shared" si="51"/>
        <v>0</v>
      </c>
      <c r="AG266">
        <f t="shared" si="52"/>
        <v>0</v>
      </c>
      <c r="AH266">
        <f t="shared" si="52"/>
        <v>0</v>
      </c>
      <c r="AI266">
        <f t="shared" si="52"/>
        <v>0</v>
      </c>
      <c r="AJ266">
        <f t="shared" si="52"/>
        <v>0</v>
      </c>
      <c r="AK266">
        <f t="shared" si="52"/>
        <v>0</v>
      </c>
      <c r="AL266">
        <f t="shared" si="52"/>
        <v>0</v>
      </c>
      <c r="AM266">
        <f t="shared" si="52"/>
        <v>0</v>
      </c>
      <c r="AN266">
        <f t="shared" si="52"/>
        <v>0</v>
      </c>
      <c r="AO266">
        <f t="shared" si="52"/>
        <v>0</v>
      </c>
      <c r="AP266">
        <f t="shared" si="52"/>
        <v>0</v>
      </c>
      <c r="AQ266">
        <f t="shared" si="52"/>
        <v>0</v>
      </c>
      <c r="AR266">
        <f t="shared" si="52"/>
        <v>0</v>
      </c>
    </row>
    <row r="267" spans="1:44">
      <c r="A267" t="s">
        <v>384</v>
      </c>
      <c r="B267" t="s">
        <v>16</v>
      </c>
      <c r="C267">
        <f t="shared" ref="C267:L276" si="53">IF($B267=C$246,1,0)</f>
        <v>0</v>
      </c>
      <c r="D267">
        <f t="shared" si="53"/>
        <v>0</v>
      </c>
      <c r="E267">
        <f t="shared" si="53"/>
        <v>0</v>
      </c>
      <c r="F267">
        <f t="shared" si="53"/>
        <v>0</v>
      </c>
      <c r="G267">
        <f t="shared" si="53"/>
        <v>0</v>
      </c>
      <c r="H267">
        <f t="shared" si="53"/>
        <v>0</v>
      </c>
      <c r="I267">
        <f t="shared" si="53"/>
        <v>0</v>
      </c>
      <c r="J267">
        <f t="shared" si="53"/>
        <v>0</v>
      </c>
      <c r="K267">
        <f t="shared" si="53"/>
        <v>0</v>
      </c>
      <c r="L267">
        <f t="shared" si="53"/>
        <v>0</v>
      </c>
      <c r="M267">
        <f t="shared" ref="M267:V276" si="54">IF($B267=M$246,1,0)</f>
        <v>0</v>
      </c>
      <c r="N267">
        <f t="shared" si="54"/>
        <v>0</v>
      </c>
      <c r="O267">
        <f t="shared" si="54"/>
        <v>0</v>
      </c>
      <c r="P267">
        <f t="shared" si="54"/>
        <v>0</v>
      </c>
      <c r="Q267">
        <f t="shared" si="54"/>
        <v>0</v>
      </c>
      <c r="R267">
        <f t="shared" si="54"/>
        <v>0</v>
      </c>
      <c r="S267">
        <f t="shared" si="54"/>
        <v>0</v>
      </c>
      <c r="T267">
        <f t="shared" si="54"/>
        <v>0</v>
      </c>
      <c r="U267">
        <f t="shared" si="54"/>
        <v>0</v>
      </c>
      <c r="V267">
        <f t="shared" si="54"/>
        <v>0</v>
      </c>
      <c r="W267">
        <f t="shared" ref="W267:AF276" si="55">IF($B267=W$246,1,0)</f>
        <v>1</v>
      </c>
      <c r="X267">
        <f t="shared" si="55"/>
        <v>0</v>
      </c>
      <c r="Y267">
        <f t="shared" si="55"/>
        <v>0</v>
      </c>
      <c r="Z267">
        <f t="shared" si="55"/>
        <v>0</v>
      </c>
      <c r="AA267">
        <f t="shared" si="55"/>
        <v>0</v>
      </c>
      <c r="AB267">
        <f t="shared" si="55"/>
        <v>0</v>
      </c>
      <c r="AC267">
        <f t="shared" si="55"/>
        <v>0</v>
      </c>
      <c r="AD267">
        <f t="shared" si="55"/>
        <v>0</v>
      </c>
      <c r="AE267">
        <f t="shared" si="55"/>
        <v>0</v>
      </c>
      <c r="AF267">
        <f t="shared" si="55"/>
        <v>0</v>
      </c>
      <c r="AG267">
        <f t="shared" ref="AG267:AR276" si="56">IF($B267=AG$246,1,0)</f>
        <v>0</v>
      </c>
      <c r="AH267">
        <f t="shared" si="56"/>
        <v>0</v>
      </c>
      <c r="AI267">
        <f t="shared" si="56"/>
        <v>0</v>
      </c>
      <c r="AJ267">
        <f t="shared" si="56"/>
        <v>0</v>
      </c>
      <c r="AK267">
        <f t="shared" si="56"/>
        <v>0</v>
      </c>
      <c r="AL267">
        <f t="shared" si="56"/>
        <v>0</v>
      </c>
      <c r="AM267">
        <f t="shared" si="56"/>
        <v>0</v>
      </c>
      <c r="AN267">
        <f t="shared" si="56"/>
        <v>0</v>
      </c>
      <c r="AO267">
        <f t="shared" si="56"/>
        <v>0</v>
      </c>
      <c r="AP267">
        <f t="shared" si="56"/>
        <v>0</v>
      </c>
      <c r="AQ267">
        <f t="shared" si="56"/>
        <v>0</v>
      </c>
      <c r="AR267">
        <f t="shared" si="56"/>
        <v>0</v>
      </c>
    </row>
    <row r="268" spans="1:44">
      <c r="A268" t="s">
        <v>384</v>
      </c>
      <c r="B268" t="s">
        <v>17</v>
      </c>
      <c r="C268">
        <f t="shared" si="53"/>
        <v>0</v>
      </c>
      <c r="D268">
        <f t="shared" si="53"/>
        <v>0</v>
      </c>
      <c r="E268">
        <f t="shared" si="53"/>
        <v>0</v>
      </c>
      <c r="F268">
        <f t="shared" si="53"/>
        <v>0</v>
      </c>
      <c r="G268">
        <f t="shared" si="53"/>
        <v>0</v>
      </c>
      <c r="H268">
        <f t="shared" si="53"/>
        <v>0</v>
      </c>
      <c r="I268">
        <f t="shared" si="53"/>
        <v>0</v>
      </c>
      <c r="J268">
        <f t="shared" si="53"/>
        <v>0</v>
      </c>
      <c r="K268">
        <f t="shared" si="53"/>
        <v>0</v>
      </c>
      <c r="L268">
        <f t="shared" si="53"/>
        <v>0</v>
      </c>
      <c r="M268">
        <f t="shared" si="54"/>
        <v>0</v>
      </c>
      <c r="N268">
        <f t="shared" si="54"/>
        <v>0</v>
      </c>
      <c r="O268">
        <f t="shared" si="54"/>
        <v>0</v>
      </c>
      <c r="P268">
        <f t="shared" si="54"/>
        <v>0</v>
      </c>
      <c r="Q268">
        <f t="shared" si="54"/>
        <v>0</v>
      </c>
      <c r="R268">
        <f t="shared" si="54"/>
        <v>0</v>
      </c>
      <c r="S268">
        <f t="shared" si="54"/>
        <v>0</v>
      </c>
      <c r="T268">
        <f t="shared" si="54"/>
        <v>0</v>
      </c>
      <c r="U268">
        <f t="shared" si="54"/>
        <v>0</v>
      </c>
      <c r="V268">
        <f t="shared" si="54"/>
        <v>0</v>
      </c>
      <c r="W268">
        <f t="shared" si="55"/>
        <v>0</v>
      </c>
      <c r="X268">
        <f t="shared" si="55"/>
        <v>1</v>
      </c>
      <c r="Y268">
        <f t="shared" si="55"/>
        <v>0</v>
      </c>
      <c r="Z268">
        <f t="shared" si="55"/>
        <v>0</v>
      </c>
      <c r="AA268">
        <f t="shared" si="55"/>
        <v>0</v>
      </c>
      <c r="AB268">
        <f t="shared" si="55"/>
        <v>0</v>
      </c>
      <c r="AC268">
        <f t="shared" si="55"/>
        <v>0</v>
      </c>
      <c r="AD268">
        <f t="shared" si="55"/>
        <v>0</v>
      </c>
      <c r="AE268">
        <f t="shared" si="55"/>
        <v>0</v>
      </c>
      <c r="AF268">
        <f t="shared" si="55"/>
        <v>0</v>
      </c>
      <c r="AG268">
        <f t="shared" si="56"/>
        <v>0</v>
      </c>
      <c r="AH268">
        <f t="shared" si="56"/>
        <v>0</v>
      </c>
      <c r="AI268">
        <f t="shared" si="56"/>
        <v>0</v>
      </c>
      <c r="AJ268">
        <f t="shared" si="56"/>
        <v>0</v>
      </c>
      <c r="AK268">
        <f t="shared" si="56"/>
        <v>0</v>
      </c>
      <c r="AL268">
        <f t="shared" si="56"/>
        <v>0</v>
      </c>
      <c r="AM268">
        <f t="shared" si="56"/>
        <v>0</v>
      </c>
      <c r="AN268">
        <f t="shared" si="56"/>
        <v>0</v>
      </c>
      <c r="AO268">
        <f t="shared" si="56"/>
        <v>0</v>
      </c>
      <c r="AP268">
        <f t="shared" si="56"/>
        <v>0</v>
      </c>
      <c r="AQ268">
        <f t="shared" si="56"/>
        <v>0</v>
      </c>
      <c r="AR268">
        <f t="shared" si="56"/>
        <v>0</v>
      </c>
    </row>
    <row r="269" spans="1:44">
      <c r="A269" t="s">
        <v>384</v>
      </c>
      <c r="B269" t="s">
        <v>18</v>
      </c>
      <c r="C269">
        <f t="shared" si="53"/>
        <v>0</v>
      </c>
      <c r="D269">
        <f t="shared" si="53"/>
        <v>0</v>
      </c>
      <c r="E269">
        <f t="shared" si="53"/>
        <v>0</v>
      </c>
      <c r="F269">
        <f t="shared" si="53"/>
        <v>0</v>
      </c>
      <c r="G269">
        <f t="shared" si="53"/>
        <v>0</v>
      </c>
      <c r="H269">
        <f t="shared" si="53"/>
        <v>0</v>
      </c>
      <c r="I269">
        <f t="shared" si="53"/>
        <v>0</v>
      </c>
      <c r="J269">
        <f t="shared" si="53"/>
        <v>0</v>
      </c>
      <c r="K269">
        <f t="shared" si="53"/>
        <v>0</v>
      </c>
      <c r="L269">
        <f t="shared" si="53"/>
        <v>0</v>
      </c>
      <c r="M269">
        <f t="shared" si="54"/>
        <v>0</v>
      </c>
      <c r="N269">
        <f t="shared" si="54"/>
        <v>0</v>
      </c>
      <c r="O269">
        <f t="shared" si="54"/>
        <v>0</v>
      </c>
      <c r="P269">
        <f t="shared" si="54"/>
        <v>0</v>
      </c>
      <c r="Q269">
        <f t="shared" si="54"/>
        <v>0</v>
      </c>
      <c r="R269">
        <f t="shared" si="54"/>
        <v>0</v>
      </c>
      <c r="S269">
        <f t="shared" si="54"/>
        <v>0</v>
      </c>
      <c r="T269">
        <f t="shared" si="54"/>
        <v>0</v>
      </c>
      <c r="U269">
        <f t="shared" si="54"/>
        <v>0</v>
      </c>
      <c r="V269">
        <f t="shared" si="54"/>
        <v>0</v>
      </c>
      <c r="W269">
        <f t="shared" si="55"/>
        <v>0</v>
      </c>
      <c r="X269">
        <f t="shared" si="55"/>
        <v>0</v>
      </c>
      <c r="Y269">
        <f t="shared" si="55"/>
        <v>1</v>
      </c>
      <c r="Z269">
        <f t="shared" si="55"/>
        <v>0</v>
      </c>
      <c r="AA269">
        <f t="shared" si="55"/>
        <v>0</v>
      </c>
      <c r="AB269">
        <f t="shared" si="55"/>
        <v>0</v>
      </c>
      <c r="AC269">
        <f t="shared" si="55"/>
        <v>0</v>
      </c>
      <c r="AD269">
        <f t="shared" si="55"/>
        <v>0</v>
      </c>
      <c r="AE269">
        <f t="shared" si="55"/>
        <v>0</v>
      </c>
      <c r="AF269">
        <f t="shared" si="55"/>
        <v>0</v>
      </c>
      <c r="AG269">
        <f t="shared" si="56"/>
        <v>0</v>
      </c>
      <c r="AH269">
        <f t="shared" si="56"/>
        <v>0</v>
      </c>
      <c r="AI269">
        <f t="shared" si="56"/>
        <v>0</v>
      </c>
      <c r="AJ269">
        <f t="shared" si="56"/>
        <v>0</v>
      </c>
      <c r="AK269">
        <f t="shared" si="56"/>
        <v>0</v>
      </c>
      <c r="AL269">
        <f t="shared" si="56"/>
        <v>0</v>
      </c>
      <c r="AM269">
        <f t="shared" si="56"/>
        <v>0</v>
      </c>
      <c r="AN269">
        <f t="shared" si="56"/>
        <v>0</v>
      </c>
      <c r="AO269">
        <f t="shared" si="56"/>
        <v>0</v>
      </c>
      <c r="AP269">
        <f t="shared" si="56"/>
        <v>0</v>
      </c>
      <c r="AQ269">
        <f t="shared" si="56"/>
        <v>0</v>
      </c>
      <c r="AR269">
        <f t="shared" si="56"/>
        <v>0</v>
      </c>
    </row>
    <row r="270" spans="1:44">
      <c r="A270" t="s">
        <v>384</v>
      </c>
      <c r="B270" t="s">
        <v>19</v>
      </c>
      <c r="C270">
        <f t="shared" si="53"/>
        <v>0</v>
      </c>
      <c r="D270">
        <f t="shared" si="53"/>
        <v>0</v>
      </c>
      <c r="E270">
        <f t="shared" si="53"/>
        <v>0</v>
      </c>
      <c r="F270">
        <f t="shared" si="53"/>
        <v>0</v>
      </c>
      <c r="G270">
        <f t="shared" si="53"/>
        <v>0</v>
      </c>
      <c r="H270">
        <f t="shared" si="53"/>
        <v>0</v>
      </c>
      <c r="I270">
        <f t="shared" si="53"/>
        <v>0</v>
      </c>
      <c r="J270">
        <f t="shared" si="53"/>
        <v>0</v>
      </c>
      <c r="K270">
        <f t="shared" si="53"/>
        <v>0</v>
      </c>
      <c r="L270">
        <f t="shared" si="53"/>
        <v>0</v>
      </c>
      <c r="M270">
        <f t="shared" si="54"/>
        <v>0</v>
      </c>
      <c r="N270">
        <f t="shared" si="54"/>
        <v>0</v>
      </c>
      <c r="O270">
        <f t="shared" si="54"/>
        <v>0</v>
      </c>
      <c r="P270">
        <f t="shared" si="54"/>
        <v>0</v>
      </c>
      <c r="Q270">
        <f t="shared" si="54"/>
        <v>0</v>
      </c>
      <c r="R270">
        <f t="shared" si="54"/>
        <v>0</v>
      </c>
      <c r="S270">
        <f t="shared" si="54"/>
        <v>0</v>
      </c>
      <c r="T270">
        <f t="shared" si="54"/>
        <v>0</v>
      </c>
      <c r="U270">
        <f t="shared" si="54"/>
        <v>0</v>
      </c>
      <c r="V270">
        <f t="shared" si="54"/>
        <v>0</v>
      </c>
      <c r="W270">
        <f t="shared" si="55"/>
        <v>0</v>
      </c>
      <c r="X270">
        <f t="shared" si="55"/>
        <v>0</v>
      </c>
      <c r="Y270">
        <f t="shared" si="55"/>
        <v>0</v>
      </c>
      <c r="Z270">
        <f t="shared" si="55"/>
        <v>1</v>
      </c>
      <c r="AA270">
        <f t="shared" si="55"/>
        <v>0</v>
      </c>
      <c r="AB270">
        <f t="shared" si="55"/>
        <v>0</v>
      </c>
      <c r="AC270">
        <f t="shared" si="55"/>
        <v>0</v>
      </c>
      <c r="AD270">
        <f t="shared" si="55"/>
        <v>0</v>
      </c>
      <c r="AE270">
        <f t="shared" si="55"/>
        <v>0</v>
      </c>
      <c r="AF270">
        <f t="shared" si="55"/>
        <v>0</v>
      </c>
      <c r="AG270">
        <f t="shared" si="56"/>
        <v>0</v>
      </c>
      <c r="AH270">
        <f t="shared" si="56"/>
        <v>0</v>
      </c>
      <c r="AI270">
        <f t="shared" si="56"/>
        <v>0</v>
      </c>
      <c r="AJ270">
        <f t="shared" si="56"/>
        <v>0</v>
      </c>
      <c r="AK270">
        <f t="shared" si="56"/>
        <v>0</v>
      </c>
      <c r="AL270">
        <f t="shared" si="56"/>
        <v>0</v>
      </c>
      <c r="AM270">
        <f t="shared" si="56"/>
        <v>0</v>
      </c>
      <c r="AN270">
        <f t="shared" si="56"/>
        <v>0</v>
      </c>
      <c r="AO270">
        <f t="shared" si="56"/>
        <v>0</v>
      </c>
      <c r="AP270">
        <f t="shared" si="56"/>
        <v>0</v>
      </c>
      <c r="AQ270">
        <f t="shared" si="56"/>
        <v>0</v>
      </c>
      <c r="AR270">
        <f t="shared" si="56"/>
        <v>0</v>
      </c>
    </row>
    <row r="271" spans="1:44">
      <c r="A271" t="s">
        <v>384</v>
      </c>
      <c r="B271" t="s">
        <v>136</v>
      </c>
      <c r="C271">
        <f t="shared" si="53"/>
        <v>0</v>
      </c>
      <c r="D271">
        <f t="shared" si="53"/>
        <v>0</v>
      </c>
      <c r="E271">
        <f t="shared" si="53"/>
        <v>0</v>
      </c>
      <c r="F271">
        <f t="shared" si="53"/>
        <v>0</v>
      </c>
      <c r="G271">
        <f t="shared" si="53"/>
        <v>0</v>
      </c>
      <c r="H271">
        <f t="shared" si="53"/>
        <v>0</v>
      </c>
      <c r="I271">
        <f t="shared" si="53"/>
        <v>0</v>
      </c>
      <c r="J271">
        <f t="shared" si="53"/>
        <v>0</v>
      </c>
      <c r="K271">
        <f t="shared" si="53"/>
        <v>0</v>
      </c>
      <c r="L271">
        <f t="shared" si="53"/>
        <v>0</v>
      </c>
      <c r="M271">
        <f t="shared" si="54"/>
        <v>0</v>
      </c>
      <c r="N271">
        <f t="shared" si="54"/>
        <v>0</v>
      </c>
      <c r="O271">
        <f t="shared" si="54"/>
        <v>0</v>
      </c>
      <c r="P271">
        <f t="shared" si="54"/>
        <v>0</v>
      </c>
      <c r="Q271">
        <f t="shared" si="54"/>
        <v>0</v>
      </c>
      <c r="R271">
        <f t="shared" si="54"/>
        <v>0</v>
      </c>
      <c r="S271">
        <f t="shared" si="54"/>
        <v>0</v>
      </c>
      <c r="T271">
        <f t="shared" si="54"/>
        <v>0</v>
      </c>
      <c r="U271">
        <f t="shared" si="54"/>
        <v>0</v>
      </c>
      <c r="V271">
        <f t="shared" si="54"/>
        <v>0</v>
      </c>
      <c r="W271">
        <f t="shared" si="55"/>
        <v>0</v>
      </c>
      <c r="X271">
        <f t="shared" si="55"/>
        <v>0</v>
      </c>
      <c r="Y271">
        <f t="shared" si="55"/>
        <v>0</v>
      </c>
      <c r="Z271">
        <f t="shared" si="55"/>
        <v>0</v>
      </c>
      <c r="AA271">
        <f t="shared" si="55"/>
        <v>1</v>
      </c>
      <c r="AB271">
        <f t="shared" si="55"/>
        <v>0</v>
      </c>
      <c r="AC271">
        <f t="shared" si="55"/>
        <v>0</v>
      </c>
      <c r="AD271">
        <f t="shared" si="55"/>
        <v>0</v>
      </c>
      <c r="AE271">
        <f t="shared" si="55"/>
        <v>0</v>
      </c>
      <c r="AF271">
        <f t="shared" si="55"/>
        <v>0</v>
      </c>
      <c r="AG271">
        <f t="shared" si="56"/>
        <v>0</v>
      </c>
      <c r="AH271">
        <f t="shared" si="56"/>
        <v>0</v>
      </c>
      <c r="AI271">
        <f t="shared" si="56"/>
        <v>0</v>
      </c>
      <c r="AJ271">
        <f t="shared" si="56"/>
        <v>0</v>
      </c>
      <c r="AK271">
        <f t="shared" si="56"/>
        <v>0</v>
      </c>
      <c r="AL271">
        <f t="shared" si="56"/>
        <v>0</v>
      </c>
      <c r="AM271">
        <f t="shared" si="56"/>
        <v>0</v>
      </c>
      <c r="AN271">
        <f t="shared" si="56"/>
        <v>0</v>
      </c>
      <c r="AO271">
        <f t="shared" si="56"/>
        <v>0</v>
      </c>
      <c r="AP271">
        <f t="shared" si="56"/>
        <v>0</v>
      </c>
      <c r="AQ271">
        <f t="shared" si="56"/>
        <v>0</v>
      </c>
      <c r="AR271">
        <f t="shared" si="56"/>
        <v>0</v>
      </c>
    </row>
    <row r="272" spans="1:44">
      <c r="A272" t="s">
        <v>384</v>
      </c>
      <c r="B272" t="s">
        <v>137</v>
      </c>
      <c r="C272">
        <f t="shared" si="53"/>
        <v>0</v>
      </c>
      <c r="D272">
        <f t="shared" si="53"/>
        <v>0</v>
      </c>
      <c r="E272">
        <f t="shared" si="53"/>
        <v>0</v>
      </c>
      <c r="F272">
        <f t="shared" si="53"/>
        <v>0</v>
      </c>
      <c r="G272">
        <f t="shared" si="53"/>
        <v>0</v>
      </c>
      <c r="H272">
        <f t="shared" si="53"/>
        <v>0</v>
      </c>
      <c r="I272">
        <f t="shared" si="53"/>
        <v>0</v>
      </c>
      <c r="J272">
        <f t="shared" si="53"/>
        <v>0</v>
      </c>
      <c r="K272">
        <f t="shared" si="53"/>
        <v>0</v>
      </c>
      <c r="L272">
        <f t="shared" si="53"/>
        <v>0</v>
      </c>
      <c r="M272">
        <f t="shared" si="54"/>
        <v>0</v>
      </c>
      <c r="N272">
        <f t="shared" si="54"/>
        <v>0</v>
      </c>
      <c r="O272">
        <f t="shared" si="54"/>
        <v>0</v>
      </c>
      <c r="P272">
        <f t="shared" si="54"/>
        <v>0</v>
      </c>
      <c r="Q272">
        <f t="shared" si="54"/>
        <v>0</v>
      </c>
      <c r="R272">
        <f t="shared" si="54"/>
        <v>0</v>
      </c>
      <c r="S272">
        <f t="shared" si="54"/>
        <v>0</v>
      </c>
      <c r="T272">
        <f t="shared" si="54"/>
        <v>0</v>
      </c>
      <c r="U272">
        <f t="shared" si="54"/>
        <v>0</v>
      </c>
      <c r="V272">
        <f t="shared" si="54"/>
        <v>0</v>
      </c>
      <c r="W272">
        <f t="shared" si="55"/>
        <v>0</v>
      </c>
      <c r="X272">
        <f t="shared" si="55"/>
        <v>0</v>
      </c>
      <c r="Y272">
        <f t="shared" si="55"/>
        <v>0</v>
      </c>
      <c r="Z272">
        <f t="shared" si="55"/>
        <v>0</v>
      </c>
      <c r="AA272">
        <f t="shared" si="55"/>
        <v>0</v>
      </c>
      <c r="AB272">
        <f t="shared" si="55"/>
        <v>1</v>
      </c>
      <c r="AC272">
        <f t="shared" si="55"/>
        <v>0</v>
      </c>
      <c r="AD272">
        <f t="shared" si="55"/>
        <v>0</v>
      </c>
      <c r="AE272">
        <f t="shared" si="55"/>
        <v>0</v>
      </c>
      <c r="AF272">
        <f t="shared" si="55"/>
        <v>0</v>
      </c>
      <c r="AG272">
        <f t="shared" si="56"/>
        <v>0</v>
      </c>
      <c r="AH272">
        <f t="shared" si="56"/>
        <v>0</v>
      </c>
      <c r="AI272">
        <f t="shared" si="56"/>
        <v>0</v>
      </c>
      <c r="AJ272">
        <f t="shared" si="56"/>
        <v>0</v>
      </c>
      <c r="AK272">
        <f t="shared" si="56"/>
        <v>0</v>
      </c>
      <c r="AL272">
        <f t="shared" si="56"/>
        <v>0</v>
      </c>
      <c r="AM272">
        <f t="shared" si="56"/>
        <v>0</v>
      </c>
      <c r="AN272">
        <f t="shared" si="56"/>
        <v>0</v>
      </c>
      <c r="AO272">
        <f t="shared" si="56"/>
        <v>0</v>
      </c>
      <c r="AP272">
        <f t="shared" si="56"/>
        <v>0</v>
      </c>
      <c r="AQ272">
        <f t="shared" si="56"/>
        <v>0</v>
      </c>
      <c r="AR272">
        <f t="shared" si="56"/>
        <v>0</v>
      </c>
    </row>
    <row r="273" spans="1:44">
      <c r="A273" t="s">
        <v>384</v>
      </c>
      <c r="B273" t="s">
        <v>138</v>
      </c>
      <c r="C273">
        <f t="shared" si="53"/>
        <v>0</v>
      </c>
      <c r="D273">
        <f t="shared" si="53"/>
        <v>0</v>
      </c>
      <c r="E273">
        <f t="shared" si="53"/>
        <v>0</v>
      </c>
      <c r="F273">
        <f t="shared" si="53"/>
        <v>0</v>
      </c>
      <c r="G273">
        <f t="shared" si="53"/>
        <v>0</v>
      </c>
      <c r="H273">
        <f t="shared" si="53"/>
        <v>0</v>
      </c>
      <c r="I273">
        <f t="shared" si="53"/>
        <v>0</v>
      </c>
      <c r="J273">
        <f t="shared" si="53"/>
        <v>0</v>
      </c>
      <c r="K273">
        <f t="shared" si="53"/>
        <v>0</v>
      </c>
      <c r="L273">
        <f t="shared" si="53"/>
        <v>0</v>
      </c>
      <c r="M273">
        <f t="shared" si="54"/>
        <v>0</v>
      </c>
      <c r="N273">
        <f t="shared" si="54"/>
        <v>0</v>
      </c>
      <c r="O273">
        <f t="shared" si="54"/>
        <v>0</v>
      </c>
      <c r="P273">
        <f t="shared" si="54"/>
        <v>0</v>
      </c>
      <c r="Q273">
        <f t="shared" si="54"/>
        <v>0</v>
      </c>
      <c r="R273">
        <f t="shared" si="54"/>
        <v>0</v>
      </c>
      <c r="S273">
        <f t="shared" si="54"/>
        <v>0</v>
      </c>
      <c r="T273">
        <f t="shared" si="54"/>
        <v>0</v>
      </c>
      <c r="U273">
        <f t="shared" si="54"/>
        <v>0</v>
      </c>
      <c r="V273">
        <f t="shared" si="54"/>
        <v>0</v>
      </c>
      <c r="W273">
        <f t="shared" si="55"/>
        <v>0</v>
      </c>
      <c r="X273">
        <f t="shared" si="55"/>
        <v>0</v>
      </c>
      <c r="Y273">
        <f t="shared" si="55"/>
        <v>0</v>
      </c>
      <c r="Z273">
        <f t="shared" si="55"/>
        <v>0</v>
      </c>
      <c r="AA273">
        <f t="shared" si="55"/>
        <v>0</v>
      </c>
      <c r="AB273">
        <f t="shared" si="55"/>
        <v>0</v>
      </c>
      <c r="AC273">
        <f t="shared" si="55"/>
        <v>1</v>
      </c>
      <c r="AD273">
        <f t="shared" si="55"/>
        <v>0</v>
      </c>
      <c r="AE273">
        <f t="shared" si="55"/>
        <v>0</v>
      </c>
      <c r="AF273">
        <f t="shared" si="55"/>
        <v>0</v>
      </c>
      <c r="AG273">
        <f t="shared" si="56"/>
        <v>0</v>
      </c>
      <c r="AH273">
        <f t="shared" si="56"/>
        <v>0</v>
      </c>
      <c r="AI273">
        <f t="shared" si="56"/>
        <v>0</v>
      </c>
      <c r="AJ273">
        <f t="shared" si="56"/>
        <v>0</v>
      </c>
      <c r="AK273">
        <f t="shared" si="56"/>
        <v>0</v>
      </c>
      <c r="AL273">
        <f t="shared" si="56"/>
        <v>0</v>
      </c>
      <c r="AM273">
        <f t="shared" si="56"/>
        <v>0</v>
      </c>
      <c r="AN273">
        <f t="shared" si="56"/>
        <v>0</v>
      </c>
      <c r="AO273">
        <f t="shared" si="56"/>
        <v>0</v>
      </c>
      <c r="AP273">
        <f t="shared" si="56"/>
        <v>0</v>
      </c>
      <c r="AQ273">
        <f t="shared" si="56"/>
        <v>0</v>
      </c>
      <c r="AR273">
        <f t="shared" si="56"/>
        <v>0</v>
      </c>
    </row>
    <row r="274" spans="1:44">
      <c r="A274" t="s">
        <v>384</v>
      </c>
      <c r="B274" t="s">
        <v>20</v>
      </c>
      <c r="C274">
        <f t="shared" si="53"/>
        <v>0</v>
      </c>
      <c r="D274">
        <f t="shared" si="53"/>
        <v>0</v>
      </c>
      <c r="E274">
        <f t="shared" si="53"/>
        <v>0</v>
      </c>
      <c r="F274">
        <f t="shared" si="53"/>
        <v>0</v>
      </c>
      <c r="G274">
        <f t="shared" si="53"/>
        <v>0</v>
      </c>
      <c r="H274">
        <f t="shared" si="53"/>
        <v>0</v>
      </c>
      <c r="I274">
        <f t="shared" si="53"/>
        <v>0</v>
      </c>
      <c r="J274">
        <f t="shared" si="53"/>
        <v>0</v>
      </c>
      <c r="K274">
        <f t="shared" si="53"/>
        <v>0</v>
      </c>
      <c r="L274">
        <f t="shared" si="53"/>
        <v>0</v>
      </c>
      <c r="M274">
        <f t="shared" si="54"/>
        <v>0</v>
      </c>
      <c r="N274">
        <f t="shared" si="54"/>
        <v>0</v>
      </c>
      <c r="O274">
        <f t="shared" si="54"/>
        <v>0</v>
      </c>
      <c r="P274">
        <f t="shared" si="54"/>
        <v>0</v>
      </c>
      <c r="Q274">
        <f t="shared" si="54"/>
        <v>0</v>
      </c>
      <c r="R274">
        <f t="shared" si="54"/>
        <v>0</v>
      </c>
      <c r="S274">
        <f t="shared" si="54"/>
        <v>0</v>
      </c>
      <c r="T274">
        <f t="shared" si="54"/>
        <v>0</v>
      </c>
      <c r="U274">
        <f t="shared" si="54"/>
        <v>0</v>
      </c>
      <c r="V274">
        <f t="shared" si="54"/>
        <v>0</v>
      </c>
      <c r="W274">
        <f t="shared" si="55"/>
        <v>0</v>
      </c>
      <c r="X274">
        <f t="shared" si="55"/>
        <v>0</v>
      </c>
      <c r="Y274">
        <f t="shared" si="55"/>
        <v>0</v>
      </c>
      <c r="Z274">
        <f t="shared" si="55"/>
        <v>0</v>
      </c>
      <c r="AA274">
        <f t="shared" si="55"/>
        <v>0</v>
      </c>
      <c r="AB274">
        <f t="shared" si="55"/>
        <v>0</v>
      </c>
      <c r="AC274">
        <f t="shared" si="55"/>
        <v>0</v>
      </c>
      <c r="AD274">
        <f t="shared" si="55"/>
        <v>1</v>
      </c>
      <c r="AE274">
        <f t="shared" si="55"/>
        <v>0</v>
      </c>
      <c r="AF274">
        <f t="shared" si="55"/>
        <v>0</v>
      </c>
      <c r="AG274">
        <f t="shared" si="56"/>
        <v>0</v>
      </c>
      <c r="AH274">
        <f t="shared" si="56"/>
        <v>0</v>
      </c>
      <c r="AI274">
        <f t="shared" si="56"/>
        <v>0</v>
      </c>
      <c r="AJ274">
        <f t="shared" si="56"/>
        <v>0</v>
      </c>
      <c r="AK274">
        <f t="shared" si="56"/>
        <v>0</v>
      </c>
      <c r="AL274">
        <f t="shared" si="56"/>
        <v>0</v>
      </c>
      <c r="AM274">
        <f t="shared" si="56"/>
        <v>0</v>
      </c>
      <c r="AN274">
        <f t="shared" si="56"/>
        <v>0</v>
      </c>
      <c r="AO274">
        <f t="shared" si="56"/>
        <v>0</v>
      </c>
      <c r="AP274">
        <f t="shared" si="56"/>
        <v>0</v>
      </c>
      <c r="AQ274">
        <f t="shared" si="56"/>
        <v>0</v>
      </c>
      <c r="AR274">
        <f t="shared" si="56"/>
        <v>0</v>
      </c>
    </row>
    <row r="275" spans="1:44">
      <c r="A275" t="s">
        <v>384</v>
      </c>
      <c r="B275" t="s">
        <v>21</v>
      </c>
      <c r="C275">
        <f t="shared" si="53"/>
        <v>0</v>
      </c>
      <c r="D275">
        <f t="shared" si="53"/>
        <v>0</v>
      </c>
      <c r="E275">
        <f t="shared" si="53"/>
        <v>0</v>
      </c>
      <c r="F275">
        <f t="shared" si="53"/>
        <v>0</v>
      </c>
      <c r="G275">
        <f t="shared" si="53"/>
        <v>0</v>
      </c>
      <c r="H275">
        <f t="shared" si="53"/>
        <v>0</v>
      </c>
      <c r="I275">
        <f t="shared" si="53"/>
        <v>0</v>
      </c>
      <c r="J275">
        <f t="shared" si="53"/>
        <v>0</v>
      </c>
      <c r="K275">
        <f t="shared" si="53"/>
        <v>0</v>
      </c>
      <c r="L275">
        <f t="shared" si="53"/>
        <v>0</v>
      </c>
      <c r="M275">
        <f t="shared" si="54"/>
        <v>0</v>
      </c>
      <c r="N275">
        <f t="shared" si="54"/>
        <v>0</v>
      </c>
      <c r="O275">
        <f t="shared" si="54"/>
        <v>0</v>
      </c>
      <c r="P275">
        <f t="shared" si="54"/>
        <v>0</v>
      </c>
      <c r="Q275">
        <f t="shared" si="54"/>
        <v>0</v>
      </c>
      <c r="R275">
        <f t="shared" si="54"/>
        <v>0</v>
      </c>
      <c r="S275">
        <f t="shared" si="54"/>
        <v>0</v>
      </c>
      <c r="T275">
        <f t="shared" si="54"/>
        <v>0</v>
      </c>
      <c r="U275">
        <f t="shared" si="54"/>
        <v>0</v>
      </c>
      <c r="V275">
        <f t="shared" si="54"/>
        <v>0</v>
      </c>
      <c r="W275">
        <f t="shared" si="55"/>
        <v>0</v>
      </c>
      <c r="X275">
        <f t="shared" si="55"/>
        <v>0</v>
      </c>
      <c r="Y275">
        <f t="shared" si="55"/>
        <v>0</v>
      </c>
      <c r="Z275">
        <f t="shared" si="55"/>
        <v>0</v>
      </c>
      <c r="AA275">
        <f t="shared" si="55"/>
        <v>0</v>
      </c>
      <c r="AB275">
        <f t="shared" si="55"/>
        <v>0</v>
      </c>
      <c r="AC275">
        <f t="shared" si="55"/>
        <v>0</v>
      </c>
      <c r="AD275">
        <f t="shared" si="55"/>
        <v>0</v>
      </c>
      <c r="AE275">
        <f t="shared" si="55"/>
        <v>1</v>
      </c>
      <c r="AF275">
        <f t="shared" si="55"/>
        <v>0</v>
      </c>
      <c r="AG275">
        <f t="shared" si="56"/>
        <v>0</v>
      </c>
      <c r="AH275">
        <f t="shared" si="56"/>
        <v>0</v>
      </c>
      <c r="AI275">
        <f t="shared" si="56"/>
        <v>0</v>
      </c>
      <c r="AJ275">
        <f t="shared" si="56"/>
        <v>0</v>
      </c>
      <c r="AK275">
        <f t="shared" si="56"/>
        <v>0</v>
      </c>
      <c r="AL275">
        <f t="shared" si="56"/>
        <v>0</v>
      </c>
      <c r="AM275">
        <f t="shared" si="56"/>
        <v>0</v>
      </c>
      <c r="AN275">
        <f t="shared" si="56"/>
        <v>0</v>
      </c>
      <c r="AO275">
        <f t="shared" si="56"/>
        <v>0</v>
      </c>
      <c r="AP275">
        <f t="shared" si="56"/>
        <v>0</v>
      </c>
      <c r="AQ275">
        <f t="shared" si="56"/>
        <v>0</v>
      </c>
      <c r="AR275">
        <f t="shared" si="56"/>
        <v>0</v>
      </c>
    </row>
    <row r="276" spans="1:44">
      <c r="A276" t="s">
        <v>384</v>
      </c>
      <c r="B276" t="s">
        <v>22</v>
      </c>
      <c r="C276">
        <f t="shared" si="53"/>
        <v>0</v>
      </c>
      <c r="D276">
        <f t="shared" si="53"/>
        <v>0</v>
      </c>
      <c r="E276">
        <f t="shared" si="53"/>
        <v>0</v>
      </c>
      <c r="F276">
        <f t="shared" si="53"/>
        <v>0</v>
      </c>
      <c r="G276">
        <f t="shared" si="53"/>
        <v>0</v>
      </c>
      <c r="H276">
        <f t="shared" si="53"/>
        <v>0</v>
      </c>
      <c r="I276">
        <f t="shared" si="53"/>
        <v>0</v>
      </c>
      <c r="J276">
        <f t="shared" si="53"/>
        <v>0</v>
      </c>
      <c r="K276">
        <f t="shared" si="53"/>
        <v>0</v>
      </c>
      <c r="L276">
        <f t="shared" si="53"/>
        <v>0</v>
      </c>
      <c r="M276">
        <f t="shared" si="54"/>
        <v>0</v>
      </c>
      <c r="N276">
        <f t="shared" si="54"/>
        <v>0</v>
      </c>
      <c r="O276">
        <f t="shared" si="54"/>
        <v>0</v>
      </c>
      <c r="P276">
        <f t="shared" si="54"/>
        <v>0</v>
      </c>
      <c r="Q276">
        <f t="shared" si="54"/>
        <v>0</v>
      </c>
      <c r="R276">
        <f t="shared" si="54"/>
        <v>0</v>
      </c>
      <c r="S276">
        <f t="shared" si="54"/>
        <v>0</v>
      </c>
      <c r="T276">
        <f t="shared" si="54"/>
        <v>0</v>
      </c>
      <c r="U276">
        <f t="shared" si="54"/>
        <v>0</v>
      </c>
      <c r="V276">
        <f t="shared" si="54"/>
        <v>0</v>
      </c>
      <c r="W276">
        <f t="shared" si="55"/>
        <v>0</v>
      </c>
      <c r="X276">
        <f t="shared" si="55"/>
        <v>0</v>
      </c>
      <c r="Y276">
        <f t="shared" si="55"/>
        <v>0</v>
      </c>
      <c r="Z276">
        <f t="shared" si="55"/>
        <v>0</v>
      </c>
      <c r="AA276">
        <f t="shared" si="55"/>
        <v>0</v>
      </c>
      <c r="AB276">
        <f t="shared" si="55"/>
        <v>0</v>
      </c>
      <c r="AC276">
        <f t="shared" si="55"/>
        <v>0</v>
      </c>
      <c r="AD276">
        <f t="shared" si="55"/>
        <v>0</v>
      </c>
      <c r="AE276">
        <f t="shared" si="55"/>
        <v>0</v>
      </c>
      <c r="AF276">
        <f t="shared" si="55"/>
        <v>1</v>
      </c>
      <c r="AG276">
        <f t="shared" si="56"/>
        <v>0</v>
      </c>
      <c r="AH276">
        <f t="shared" si="56"/>
        <v>0</v>
      </c>
      <c r="AI276">
        <f t="shared" si="56"/>
        <v>0</v>
      </c>
      <c r="AJ276">
        <f t="shared" si="56"/>
        <v>0</v>
      </c>
      <c r="AK276">
        <f t="shared" si="56"/>
        <v>0</v>
      </c>
      <c r="AL276">
        <f t="shared" si="56"/>
        <v>0</v>
      </c>
      <c r="AM276">
        <f t="shared" si="56"/>
        <v>0</v>
      </c>
      <c r="AN276">
        <f t="shared" si="56"/>
        <v>0</v>
      </c>
      <c r="AO276">
        <f t="shared" si="56"/>
        <v>0</v>
      </c>
      <c r="AP276">
        <f t="shared" si="56"/>
        <v>0</v>
      </c>
      <c r="AQ276">
        <f t="shared" si="56"/>
        <v>0</v>
      </c>
      <c r="AR276">
        <f t="shared" si="56"/>
        <v>0</v>
      </c>
    </row>
    <row r="277" spans="1:44">
      <c r="A277" t="s">
        <v>384</v>
      </c>
      <c r="B277" t="s">
        <v>23</v>
      </c>
      <c r="C277">
        <f t="shared" ref="C277:L288" si="57">IF($B277=C$246,1,0)</f>
        <v>0</v>
      </c>
      <c r="D277">
        <f t="shared" si="57"/>
        <v>0</v>
      </c>
      <c r="E277">
        <f t="shared" si="57"/>
        <v>0</v>
      </c>
      <c r="F277">
        <f t="shared" si="57"/>
        <v>0</v>
      </c>
      <c r="G277">
        <f t="shared" si="57"/>
        <v>0</v>
      </c>
      <c r="H277">
        <f t="shared" si="57"/>
        <v>0</v>
      </c>
      <c r="I277">
        <f t="shared" si="57"/>
        <v>0</v>
      </c>
      <c r="J277">
        <f t="shared" si="57"/>
        <v>0</v>
      </c>
      <c r="K277">
        <f t="shared" si="57"/>
        <v>0</v>
      </c>
      <c r="L277">
        <f t="shared" si="57"/>
        <v>0</v>
      </c>
      <c r="M277">
        <f t="shared" ref="M277:V288" si="58">IF($B277=M$246,1,0)</f>
        <v>0</v>
      </c>
      <c r="N277">
        <f t="shared" si="58"/>
        <v>0</v>
      </c>
      <c r="O277">
        <f t="shared" si="58"/>
        <v>0</v>
      </c>
      <c r="P277">
        <f t="shared" si="58"/>
        <v>0</v>
      </c>
      <c r="Q277">
        <f t="shared" si="58"/>
        <v>0</v>
      </c>
      <c r="R277">
        <f t="shared" si="58"/>
        <v>0</v>
      </c>
      <c r="S277">
        <f t="shared" si="58"/>
        <v>0</v>
      </c>
      <c r="T277">
        <f t="shared" si="58"/>
        <v>0</v>
      </c>
      <c r="U277">
        <f t="shared" si="58"/>
        <v>0</v>
      </c>
      <c r="V277">
        <f t="shared" si="58"/>
        <v>0</v>
      </c>
      <c r="W277">
        <f t="shared" ref="W277:AF288" si="59">IF($B277=W$246,1,0)</f>
        <v>0</v>
      </c>
      <c r="X277">
        <f t="shared" si="59"/>
        <v>0</v>
      </c>
      <c r="Y277">
        <f t="shared" si="59"/>
        <v>0</v>
      </c>
      <c r="Z277">
        <f t="shared" si="59"/>
        <v>0</v>
      </c>
      <c r="AA277">
        <f t="shared" si="59"/>
        <v>0</v>
      </c>
      <c r="AB277">
        <f t="shared" si="59"/>
        <v>0</v>
      </c>
      <c r="AC277">
        <f t="shared" si="59"/>
        <v>0</v>
      </c>
      <c r="AD277">
        <f t="shared" si="59"/>
        <v>0</v>
      </c>
      <c r="AE277">
        <f t="shared" si="59"/>
        <v>0</v>
      </c>
      <c r="AF277">
        <f t="shared" si="59"/>
        <v>0</v>
      </c>
      <c r="AG277">
        <f t="shared" ref="AG277:AR288" si="60">IF($B277=AG$246,1,0)</f>
        <v>1</v>
      </c>
      <c r="AH277">
        <f t="shared" si="60"/>
        <v>0</v>
      </c>
      <c r="AI277">
        <f t="shared" si="60"/>
        <v>0</v>
      </c>
      <c r="AJ277">
        <f t="shared" si="60"/>
        <v>0</v>
      </c>
      <c r="AK277">
        <f t="shared" si="60"/>
        <v>0</v>
      </c>
      <c r="AL277">
        <f t="shared" si="60"/>
        <v>0</v>
      </c>
      <c r="AM277">
        <f t="shared" si="60"/>
        <v>0</v>
      </c>
      <c r="AN277">
        <f t="shared" si="60"/>
        <v>0</v>
      </c>
      <c r="AO277">
        <f t="shared" si="60"/>
        <v>0</v>
      </c>
      <c r="AP277">
        <f t="shared" si="60"/>
        <v>0</v>
      </c>
      <c r="AQ277">
        <f t="shared" si="60"/>
        <v>0</v>
      </c>
      <c r="AR277">
        <f t="shared" si="60"/>
        <v>0</v>
      </c>
    </row>
    <row r="278" spans="1:44">
      <c r="A278" t="s">
        <v>384</v>
      </c>
      <c r="B278" t="s">
        <v>24</v>
      </c>
      <c r="C278">
        <f t="shared" si="57"/>
        <v>0</v>
      </c>
      <c r="D278">
        <f t="shared" si="57"/>
        <v>0</v>
      </c>
      <c r="E278">
        <f t="shared" si="57"/>
        <v>0</v>
      </c>
      <c r="F278">
        <f t="shared" si="57"/>
        <v>0</v>
      </c>
      <c r="G278">
        <f t="shared" si="57"/>
        <v>0</v>
      </c>
      <c r="H278">
        <f t="shared" si="57"/>
        <v>0</v>
      </c>
      <c r="I278">
        <f t="shared" si="57"/>
        <v>0</v>
      </c>
      <c r="J278">
        <f t="shared" si="57"/>
        <v>0</v>
      </c>
      <c r="K278">
        <f t="shared" si="57"/>
        <v>0</v>
      </c>
      <c r="L278">
        <f t="shared" si="57"/>
        <v>0</v>
      </c>
      <c r="M278">
        <f t="shared" si="58"/>
        <v>0</v>
      </c>
      <c r="N278">
        <f t="shared" si="58"/>
        <v>0</v>
      </c>
      <c r="O278">
        <f t="shared" si="58"/>
        <v>0</v>
      </c>
      <c r="P278">
        <f t="shared" si="58"/>
        <v>0</v>
      </c>
      <c r="Q278">
        <f t="shared" si="58"/>
        <v>0</v>
      </c>
      <c r="R278">
        <f t="shared" si="58"/>
        <v>0</v>
      </c>
      <c r="S278">
        <f t="shared" si="58"/>
        <v>0</v>
      </c>
      <c r="T278">
        <f t="shared" si="58"/>
        <v>0</v>
      </c>
      <c r="U278">
        <f t="shared" si="58"/>
        <v>0</v>
      </c>
      <c r="V278">
        <f t="shared" si="58"/>
        <v>0</v>
      </c>
      <c r="W278">
        <f t="shared" si="59"/>
        <v>0</v>
      </c>
      <c r="X278">
        <f t="shared" si="59"/>
        <v>0</v>
      </c>
      <c r="Y278">
        <f t="shared" si="59"/>
        <v>0</v>
      </c>
      <c r="Z278">
        <f t="shared" si="59"/>
        <v>0</v>
      </c>
      <c r="AA278">
        <f t="shared" si="59"/>
        <v>0</v>
      </c>
      <c r="AB278">
        <f t="shared" si="59"/>
        <v>0</v>
      </c>
      <c r="AC278">
        <f t="shared" si="59"/>
        <v>0</v>
      </c>
      <c r="AD278">
        <f t="shared" si="59"/>
        <v>0</v>
      </c>
      <c r="AE278">
        <f t="shared" si="59"/>
        <v>0</v>
      </c>
      <c r="AF278">
        <f t="shared" si="59"/>
        <v>0</v>
      </c>
      <c r="AG278">
        <f t="shared" si="60"/>
        <v>0</v>
      </c>
      <c r="AH278">
        <f t="shared" si="60"/>
        <v>1</v>
      </c>
      <c r="AI278">
        <f t="shared" si="60"/>
        <v>0</v>
      </c>
      <c r="AJ278">
        <f t="shared" si="60"/>
        <v>0</v>
      </c>
      <c r="AK278">
        <f t="shared" si="60"/>
        <v>0</v>
      </c>
      <c r="AL278">
        <f t="shared" si="60"/>
        <v>0</v>
      </c>
      <c r="AM278">
        <f t="shared" si="60"/>
        <v>0</v>
      </c>
      <c r="AN278">
        <f t="shared" si="60"/>
        <v>0</v>
      </c>
      <c r="AO278">
        <f t="shared" si="60"/>
        <v>0</v>
      </c>
      <c r="AP278">
        <f t="shared" si="60"/>
        <v>0</v>
      </c>
      <c r="AQ278">
        <f t="shared" si="60"/>
        <v>0</v>
      </c>
      <c r="AR278">
        <f t="shared" si="60"/>
        <v>0</v>
      </c>
    </row>
    <row r="279" spans="1:44">
      <c r="A279" t="s">
        <v>384</v>
      </c>
      <c r="B279" t="s">
        <v>25</v>
      </c>
      <c r="C279">
        <f t="shared" si="57"/>
        <v>0</v>
      </c>
      <c r="D279">
        <f t="shared" si="57"/>
        <v>0</v>
      </c>
      <c r="E279">
        <f t="shared" si="57"/>
        <v>0</v>
      </c>
      <c r="F279">
        <f t="shared" si="57"/>
        <v>0</v>
      </c>
      <c r="G279">
        <f t="shared" si="57"/>
        <v>0</v>
      </c>
      <c r="H279">
        <f t="shared" si="57"/>
        <v>0</v>
      </c>
      <c r="I279">
        <f t="shared" si="57"/>
        <v>0</v>
      </c>
      <c r="J279">
        <f t="shared" si="57"/>
        <v>0</v>
      </c>
      <c r="K279">
        <f t="shared" si="57"/>
        <v>0</v>
      </c>
      <c r="L279">
        <f t="shared" si="57"/>
        <v>0</v>
      </c>
      <c r="M279">
        <f t="shared" si="58"/>
        <v>0</v>
      </c>
      <c r="N279">
        <f t="shared" si="58"/>
        <v>0</v>
      </c>
      <c r="O279">
        <f t="shared" si="58"/>
        <v>0</v>
      </c>
      <c r="P279">
        <f t="shared" si="58"/>
        <v>0</v>
      </c>
      <c r="Q279">
        <f t="shared" si="58"/>
        <v>0</v>
      </c>
      <c r="R279">
        <f t="shared" si="58"/>
        <v>0</v>
      </c>
      <c r="S279">
        <f t="shared" si="58"/>
        <v>0</v>
      </c>
      <c r="T279">
        <f t="shared" si="58"/>
        <v>0</v>
      </c>
      <c r="U279">
        <f t="shared" si="58"/>
        <v>0</v>
      </c>
      <c r="V279">
        <f t="shared" si="58"/>
        <v>0</v>
      </c>
      <c r="W279">
        <f t="shared" si="59"/>
        <v>0</v>
      </c>
      <c r="X279">
        <f t="shared" si="59"/>
        <v>0</v>
      </c>
      <c r="Y279">
        <f t="shared" si="59"/>
        <v>0</v>
      </c>
      <c r="Z279">
        <f t="shared" si="59"/>
        <v>0</v>
      </c>
      <c r="AA279">
        <f t="shared" si="59"/>
        <v>0</v>
      </c>
      <c r="AB279">
        <f t="shared" si="59"/>
        <v>0</v>
      </c>
      <c r="AC279">
        <f t="shared" si="59"/>
        <v>0</v>
      </c>
      <c r="AD279">
        <f t="shared" si="59"/>
        <v>0</v>
      </c>
      <c r="AE279">
        <f t="shared" si="59"/>
        <v>0</v>
      </c>
      <c r="AF279">
        <f t="shared" si="59"/>
        <v>0</v>
      </c>
      <c r="AG279">
        <f t="shared" si="60"/>
        <v>0</v>
      </c>
      <c r="AH279">
        <f t="shared" si="60"/>
        <v>0</v>
      </c>
      <c r="AI279">
        <f t="shared" si="60"/>
        <v>1</v>
      </c>
      <c r="AJ279">
        <f t="shared" si="60"/>
        <v>0</v>
      </c>
      <c r="AK279">
        <f t="shared" si="60"/>
        <v>0</v>
      </c>
      <c r="AL279">
        <f t="shared" si="60"/>
        <v>0</v>
      </c>
      <c r="AM279">
        <f t="shared" si="60"/>
        <v>0</v>
      </c>
      <c r="AN279">
        <f t="shared" si="60"/>
        <v>0</v>
      </c>
      <c r="AO279">
        <f t="shared" si="60"/>
        <v>0</v>
      </c>
      <c r="AP279">
        <f t="shared" si="60"/>
        <v>0</v>
      </c>
      <c r="AQ279">
        <f t="shared" si="60"/>
        <v>0</v>
      </c>
      <c r="AR279">
        <f t="shared" si="60"/>
        <v>0</v>
      </c>
    </row>
    <row r="280" spans="1:44">
      <c r="A280" t="s">
        <v>384</v>
      </c>
      <c r="B280" t="s">
        <v>26</v>
      </c>
      <c r="C280">
        <f t="shared" si="57"/>
        <v>0</v>
      </c>
      <c r="D280">
        <f t="shared" si="57"/>
        <v>0</v>
      </c>
      <c r="E280">
        <f t="shared" si="57"/>
        <v>0</v>
      </c>
      <c r="F280">
        <f t="shared" si="57"/>
        <v>0</v>
      </c>
      <c r="G280">
        <f t="shared" si="57"/>
        <v>0</v>
      </c>
      <c r="H280">
        <f t="shared" si="57"/>
        <v>0</v>
      </c>
      <c r="I280">
        <f t="shared" si="57"/>
        <v>0</v>
      </c>
      <c r="J280">
        <f t="shared" si="57"/>
        <v>0</v>
      </c>
      <c r="K280">
        <f t="shared" si="57"/>
        <v>0</v>
      </c>
      <c r="L280">
        <f t="shared" si="57"/>
        <v>0</v>
      </c>
      <c r="M280">
        <f t="shared" si="58"/>
        <v>0</v>
      </c>
      <c r="N280">
        <f t="shared" si="58"/>
        <v>0</v>
      </c>
      <c r="O280">
        <f t="shared" si="58"/>
        <v>0</v>
      </c>
      <c r="P280">
        <f t="shared" si="58"/>
        <v>0</v>
      </c>
      <c r="Q280">
        <f t="shared" si="58"/>
        <v>0</v>
      </c>
      <c r="R280">
        <f t="shared" si="58"/>
        <v>0</v>
      </c>
      <c r="S280">
        <f t="shared" si="58"/>
        <v>0</v>
      </c>
      <c r="T280">
        <f t="shared" si="58"/>
        <v>0</v>
      </c>
      <c r="U280">
        <f t="shared" si="58"/>
        <v>0</v>
      </c>
      <c r="V280">
        <f t="shared" si="58"/>
        <v>0</v>
      </c>
      <c r="W280">
        <f t="shared" si="59"/>
        <v>0</v>
      </c>
      <c r="X280">
        <f t="shared" si="59"/>
        <v>0</v>
      </c>
      <c r="Y280">
        <f t="shared" si="59"/>
        <v>0</v>
      </c>
      <c r="Z280">
        <f t="shared" si="59"/>
        <v>0</v>
      </c>
      <c r="AA280">
        <f t="shared" si="59"/>
        <v>0</v>
      </c>
      <c r="AB280">
        <f t="shared" si="59"/>
        <v>0</v>
      </c>
      <c r="AC280">
        <f t="shared" si="59"/>
        <v>0</v>
      </c>
      <c r="AD280">
        <f t="shared" si="59"/>
        <v>0</v>
      </c>
      <c r="AE280">
        <f t="shared" si="59"/>
        <v>0</v>
      </c>
      <c r="AF280">
        <f t="shared" si="59"/>
        <v>0</v>
      </c>
      <c r="AG280">
        <f t="shared" si="60"/>
        <v>0</v>
      </c>
      <c r="AH280">
        <f t="shared" si="60"/>
        <v>0</v>
      </c>
      <c r="AI280">
        <f t="shared" si="60"/>
        <v>0</v>
      </c>
      <c r="AJ280">
        <f t="shared" si="60"/>
        <v>1</v>
      </c>
      <c r="AK280">
        <f t="shared" si="60"/>
        <v>0</v>
      </c>
      <c r="AL280">
        <f t="shared" si="60"/>
        <v>0</v>
      </c>
      <c r="AM280">
        <f t="shared" si="60"/>
        <v>0</v>
      </c>
      <c r="AN280">
        <f t="shared" si="60"/>
        <v>0</v>
      </c>
      <c r="AO280">
        <f t="shared" si="60"/>
        <v>0</v>
      </c>
      <c r="AP280">
        <f t="shared" si="60"/>
        <v>0</v>
      </c>
      <c r="AQ280">
        <f t="shared" si="60"/>
        <v>0</v>
      </c>
      <c r="AR280">
        <f t="shared" si="60"/>
        <v>0</v>
      </c>
    </row>
    <row r="281" spans="1:44">
      <c r="A281" t="s">
        <v>384</v>
      </c>
      <c r="B281" t="s">
        <v>27</v>
      </c>
      <c r="C281">
        <f t="shared" si="57"/>
        <v>0</v>
      </c>
      <c r="D281">
        <f t="shared" si="57"/>
        <v>0</v>
      </c>
      <c r="E281">
        <f t="shared" si="57"/>
        <v>0</v>
      </c>
      <c r="F281">
        <f t="shared" si="57"/>
        <v>0</v>
      </c>
      <c r="G281">
        <f t="shared" si="57"/>
        <v>0</v>
      </c>
      <c r="H281">
        <f t="shared" si="57"/>
        <v>0</v>
      </c>
      <c r="I281">
        <f t="shared" si="57"/>
        <v>0</v>
      </c>
      <c r="J281">
        <f t="shared" si="57"/>
        <v>0</v>
      </c>
      <c r="K281">
        <f t="shared" si="57"/>
        <v>0</v>
      </c>
      <c r="L281">
        <f t="shared" si="57"/>
        <v>0</v>
      </c>
      <c r="M281">
        <f t="shared" si="58"/>
        <v>0</v>
      </c>
      <c r="N281">
        <f t="shared" si="58"/>
        <v>0</v>
      </c>
      <c r="O281">
        <f t="shared" si="58"/>
        <v>0</v>
      </c>
      <c r="P281">
        <f t="shared" si="58"/>
        <v>0</v>
      </c>
      <c r="Q281">
        <f t="shared" si="58"/>
        <v>0</v>
      </c>
      <c r="R281">
        <f t="shared" si="58"/>
        <v>0</v>
      </c>
      <c r="S281">
        <f t="shared" si="58"/>
        <v>0</v>
      </c>
      <c r="T281">
        <f t="shared" si="58"/>
        <v>0</v>
      </c>
      <c r="U281">
        <f t="shared" si="58"/>
        <v>0</v>
      </c>
      <c r="V281">
        <f t="shared" si="58"/>
        <v>0</v>
      </c>
      <c r="W281">
        <f t="shared" si="59"/>
        <v>0</v>
      </c>
      <c r="X281">
        <f t="shared" si="59"/>
        <v>0</v>
      </c>
      <c r="Y281">
        <f t="shared" si="59"/>
        <v>0</v>
      </c>
      <c r="Z281">
        <f t="shared" si="59"/>
        <v>0</v>
      </c>
      <c r="AA281">
        <f t="shared" si="59"/>
        <v>0</v>
      </c>
      <c r="AB281">
        <f t="shared" si="59"/>
        <v>0</v>
      </c>
      <c r="AC281">
        <f t="shared" si="59"/>
        <v>0</v>
      </c>
      <c r="AD281">
        <f t="shared" si="59"/>
        <v>0</v>
      </c>
      <c r="AE281">
        <f t="shared" si="59"/>
        <v>0</v>
      </c>
      <c r="AF281">
        <f t="shared" si="59"/>
        <v>0</v>
      </c>
      <c r="AG281">
        <f t="shared" si="60"/>
        <v>0</v>
      </c>
      <c r="AH281">
        <f t="shared" si="60"/>
        <v>0</v>
      </c>
      <c r="AI281">
        <f t="shared" si="60"/>
        <v>0</v>
      </c>
      <c r="AJ281">
        <f t="shared" si="60"/>
        <v>0</v>
      </c>
      <c r="AK281">
        <f t="shared" si="60"/>
        <v>1</v>
      </c>
      <c r="AL281">
        <f t="shared" si="60"/>
        <v>0</v>
      </c>
      <c r="AM281">
        <f t="shared" si="60"/>
        <v>0</v>
      </c>
      <c r="AN281">
        <f t="shared" si="60"/>
        <v>0</v>
      </c>
      <c r="AO281">
        <f t="shared" si="60"/>
        <v>0</v>
      </c>
      <c r="AP281">
        <f t="shared" si="60"/>
        <v>0</v>
      </c>
      <c r="AQ281">
        <f t="shared" si="60"/>
        <v>0</v>
      </c>
      <c r="AR281">
        <f t="shared" si="60"/>
        <v>0</v>
      </c>
    </row>
    <row r="282" spans="1:44">
      <c r="A282" t="s">
        <v>384</v>
      </c>
      <c r="B282" t="s">
        <v>28</v>
      </c>
      <c r="C282">
        <f t="shared" si="57"/>
        <v>0</v>
      </c>
      <c r="D282">
        <f t="shared" si="57"/>
        <v>0</v>
      </c>
      <c r="E282">
        <f t="shared" si="57"/>
        <v>0</v>
      </c>
      <c r="F282">
        <f t="shared" si="57"/>
        <v>0</v>
      </c>
      <c r="G282">
        <f t="shared" si="57"/>
        <v>0</v>
      </c>
      <c r="H282">
        <f t="shared" si="57"/>
        <v>0</v>
      </c>
      <c r="I282">
        <f t="shared" si="57"/>
        <v>0</v>
      </c>
      <c r="J282">
        <f t="shared" si="57"/>
        <v>0</v>
      </c>
      <c r="K282">
        <f t="shared" si="57"/>
        <v>0</v>
      </c>
      <c r="L282">
        <f t="shared" si="57"/>
        <v>0</v>
      </c>
      <c r="M282">
        <f t="shared" si="58"/>
        <v>0</v>
      </c>
      <c r="N282">
        <f t="shared" si="58"/>
        <v>0</v>
      </c>
      <c r="O282">
        <f t="shared" si="58"/>
        <v>0</v>
      </c>
      <c r="P282">
        <f t="shared" si="58"/>
        <v>0</v>
      </c>
      <c r="Q282">
        <f t="shared" si="58"/>
        <v>0</v>
      </c>
      <c r="R282">
        <f t="shared" si="58"/>
        <v>0</v>
      </c>
      <c r="S282">
        <f t="shared" si="58"/>
        <v>0</v>
      </c>
      <c r="T282">
        <f t="shared" si="58"/>
        <v>0</v>
      </c>
      <c r="U282">
        <f t="shared" si="58"/>
        <v>0</v>
      </c>
      <c r="V282">
        <f t="shared" si="58"/>
        <v>0</v>
      </c>
      <c r="W282">
        <f t="shared" si="59"/>
        <v>0</v>
      </c>
      <c r="X282">
        <f t="shared" si="59"/>
        <v>0</v>
      </c>
      <c r="Y282">
        <f t="shared" si="59"/>
        <v>0</v>
      </c>
      <c r="Z282">
        <f t="shared" si="59"/>
        <v>0</v>
      </c>
      <c r="AA282">
        <f t="shared" si="59"/>
        <v>0</v>
      </c>
      <c r="AB282">
        <f t="shared" si="59"/>
        <v>0</v>
      </c>
      <c r="AC282">
        <f t="shared" si="59"/>
        <v>0</v>
      </c>
      <c r="AD282">
        <f t="shared" si="59"/>
        <v>0</v>
      </c>
      <c r="AE282">
        <f t="shared" si="59"/>
        <v>0</v>
      </c>
      <c r="AF282">
        <f t="shared" si="59"/>
        <v>0</v>
      </c>
      <c r="AG282">
        <f t="shared" si="60"/>
        <v>0</v>
      </c>
      <c r="AH282">
        <f t="shared" si="60"/>
        <v>0</v>
      </c>
      <c r="AI282">
        <f t="shared" si="60"/>
        <v>0</v>
      </c>
      <c r="AJ282">
        <f t="shared" si="60"/>
        <v>0</v>
      </c>
      <c r="AK282">
        <f t="shared" si="60"/>
        <v>0</v>
      </c>
      <c r="AL282">
        <f t="shared" si="60"/>
        <v>1</v>
      </c>
      <c r="AM282">
        <f t="shared" si="60"/>
        <v>0</v>
      </c>
      <c r="AN282">
        <f t="shared" si="60"/>
        <v>0</v>
      </c>
      <c r="AO282">
        <f t="shared" si="60"/>
        <v>0</v>
      </c>
      <c r="AP282">
        <f t="shared" si="60"/>
        <v>0</v>
      </c>
      <c r="AQ282">
        <f t="shared" si="60"/>
        <v>0</v>
      </c>
      <c r="AR282">
        <f t="shared" si="60"/>
        <v>0</v>
      </c>
    </row>
    <row r="283" spans="1:44">
      <c r="A283" t="s">
        <v>384</v>
      </c>
      <c r="B283" t="s">
        <v>29</v>
      </c>
      <c r="C283">
        <f t="shared" si="57"/>
        <v>0</v>
      </c>
      <c r="D283">
        <f t="shared" si="57"/>
        <v>0</v>
      </c>
      <c r="E283">
        <f t="shared" si="57"/>
        <v>0</v>
      </c>
      <c r="F283">
        <f t="shared" si="57"/>
        <v>0</v>
      </c>
      <c r="G283">
        <f t="shared" si="57"/>
        <v>0</v>
      </c>
      <c r="H283">
        <f t="shared" si="57"/>
        <v>0</v>
      </c>
      <c r="I283">
        <f t="shared" si="57"/>
        <v>0</v>
      </c>
      <c r="J283">
        <f t="shared" si="57"/>
        <v>0</v>
      </c>
      <c r="K283">
        <f t="shared" si="57"/>
        <v>0</v>
      </c>
      <c r="L283">
        <f t="shared" si="57"/>
        <v>0</v>
      </c>
      <c r="M283">
        <f t="shared" si="58"/>
        <v>0</v>
      </c>
      <c r="N283">
        <f t="shared" si="58"/>
        <v>0</v>
      </c>
      <c r="O283">
        <f t="shared" si="58"/>
        <v>0</v>
      </c>
      <c r="P283">
        <f t="shared" si="58"/>
        <v>0</v>
      </c>
      <c r="Q283">
        <f t="shared" si="58"/>
        <v>0</v>
      </c>
      <c r="R283">
        <f t="shared" si="58"/>
        <v>0</v>
      </c>
      <c r="S283">
        <f t="shared" si="58"/>
        <v>0</v>
      </c>
      <c r="T283">
        <f t="shared" si="58"/>
        <v>0</v>
      </c>
      <c r="U283">
        <f t="shared" si="58"/>
        <v>0</v>
      </c>
      <c r="V283">
        <f t="shared" si="58"/>
        <v>0</v>
      </c>
      <c r="W283">
        <f t="shared" si="59"/>
        <v>0</v>
      </c>
      <c r="X283">
        <f t="shared" si="59"/>
        <v>0</v>
      </c>
      <c r="Y283">
        <f t="shared" si="59"/>
        <v>0</v>
      </c>
      <c r="Z283">
        <f t="shared" si="59"/>
        <v>0</v>
      </c>
      <c r="AA283">
        <f t="shared" si="59"/>
        <v>0</v>
      </c>
      <c r="AB283">
        <f t="shared" si="59"/>
        <v>0</v>
      </c>
      <c r="AC283">
        <f t="shared" si="59"/>
        <v>0</v>
      </c>
      <c r="AD283">
        <f t="shared" si="59"/>
        <v>0</v>
      </c>
      <c r="AE283">
        <f t="shared" si="59"/>
        <v>0</v>
      </c>
      <c r="AF283">
        <f t="shared" si="59"/>
        <v>0</v>
      </c>
      <c r="AG283">
        <f t="shared" si="60"/>
        <v>0</v>
      </c>
      <c r="AH283">
        <f t="shared" si="60"/>
        <v>0</v>
      </c>
      <c r="AI283">
        <f t="shared" si="60"/>
        <v>0</v>
      </c>
      <c r="AJ283">
        <f t="shared" si="60"/>
        <v>0</v>
      </c>
      <c r="AK283">
        <f t="shared" si="60"/>
        <v>0</v>
      </c>
      <c r="AL283">
        <f t="shared" si="60"/>
        <v>0</v>
      </c>
      <c r="AM283">
        <f t="shared" si="60"/>
        <v>1</v>
      </c>
      <c r="AN283">
        <f t="shared" si="60"/>
        <v>0</v>
      </c>
      <c r="AO283">
        <f t="shared" si="60"/>
        <v>0</v>
      </c>
      <c r="AP283">
        <f t="shared" si="60"/>
        <v>0</v>
      </c>
      <c r="AQ283">
        <f t="shared" si="60"/>
        <v>0</v>
      </c>
      <c r="AR283">
        <f t="shared" si="60"/>
        <v>0</v>
      </c>
    </row>
    <row r="284" spans="1:44">
      <c r="A284" t="s">
        <v>384</v>
      </c>
      <c r="B284" t="s">
        <v>30</v>
      </c>
      <c r="C284">
        <f t="shared" si="57"/>
        <v>0</v>
      </c>
      <c r="D284">
        <f t="shared" si="57"/>
        <v>0</v>
      </c>
      <c r="E284">
        <f t="shared" si="57"/>
        <v>0</v>
      </c>
      <c r="F284">
        <f t="shared" si="57"/>
        <v>0</v>
      </c>
      <c r="G284">
        <f t="shared" si="57"/>
        <v>0</v>
      </c>
      <c r="H284">
        <f t="shared" si="57"/>
        <v>0</v>
      </c>
      <c r="I284">
        <f t="shared" si="57"/>
        <v>0</v>
      </c>
      <c r="J284">
        <f t="shared" si="57"/>
        <v>0</v>
      </c>
      <c r="K284">
        <f t="shared" si="57"/>
        <v>0</v>
      </c>
      <c r="L284">
        <f t="shared" si="57"/>
        <v>0</v>
      </c>
      <c r="M284">
        <f t="shared" si="58"/>
        <v>0</v>
      </c>
      <c r="N284">
        <f t="shared" si="58"/>
        <v>0</v>
      </c>
      <c r="O284">
        <f t="shared" si="58"/>
        <v>0</v>
      </c>
      <c r="P284">
        <f t="shared" si="58"/>
        <v>0</v>
      </c>
      <c r="Q284">
        <f t="shared" si="58"/>
        <v>0</v>
      </c>
      <c r="R284">
        <f t="shared" si="58"/>
        <v>0</v>
      </c>
      <c r="S284">
        <f t="shared" si="58"/>
        <v>0</v>
      </c>
      <c r="T284">
        <f t="shared" si="58"/>
        <v>0</v>
      </c>
      <c r="U284">
        <f t="shared" si="58"/>
        <v>0</v>
      </c>
      <c r="V284">
        <f t="shared" si="58"/>
        <v>0</v>
      </c>
      <c r="W284">
        <f t="shared" si="59"/>
        <v>0</v>
      </c>
      <c r="X284">
        <f t="shared" si="59"/>
        <v>0</v>
      </c>
      <c r="Y284">
        <f t="shared" si="59"/>
        <v>0</v>
      </c>
      <c r="Z284">
        <f t="shared" si="59"/>
        <v>0</v>
      </c>
      <c r="AA284">
        <f t="shared" si="59"/>
        <v>0</v>
      </c>
      <c r="AB284">
        <f t="shared" si="59"/>
        <v>0</v>
      </c>
      <c r="AC284">
        <f t="shared" si="59"/>
        <v>0</v>
      </c>
      <c r="AD284">
        <f t="shared" si="59"/>
        <v>0</v>
      </c>
      <c r="AE284">
        <f t="shared" si="59"/>
        <v>0</v>
      </c>
      <c r="AF284">
        <f t="shared" si="59"/>
        <v>0</v>
      </c>
      <c r="AG284">
        <f t="shared" si="60"/>
        <v>0</v>
      </c>
      <c r="AH284">
        <f t="shared" si="60"/>
        <v>0</v>
      </c>
      <c r="AI284">
        <f t="shared" si="60"/>
        <v>0</v>
      </c>
      <c r="AJ284">
        <f t="shared" si="60"/>
        <v>0</v>
      </c>
      <c r="AK284">
        <f t="shared" si="60"/>
        <v>0</v>
      </c>
      <c r="AL284">
        <f t="shared" si="60"/>
        <v>0</v>
      </c>
      <c r="AM284">
        <f t="shared" si="60"/>
        <v>0</v>
      </c>
      <c r="AN284">
        <f t="shared" si="60"/>
        <v>1</v>
      </c>
      <c r="AO284">
        <f t="shared" si="60"/>
        <v>0</v>
      </c>
      <c r="AP284">
        <f t="shared" si="60"/>
        <v>0</v>
      </c>
      <c r="AQ284">
        <f t="shared" si="60"/>
        <v>0</v>
      </c>
      <c r="AR284">
        <f t="shared" si="60"/>
        <v>0</v>
      </c>
    </row>
    <row r="285" spans="1:44">
      <c r="A285" t="s">
        <v>384</v>
      </c>
      <c r="B285" t="s">
        <v>31</v>
      </c>
      <c r="C285">
        <f t="shared" si="57"/>
        <v>0</v>
      </c>
      <c r="D285">
        <f t="shared" si="57"/>
        <v>0</v>
      </c>
      <c r="E285">
        <f t="shared" si="57"/>
        <v>0</v>
      </c>
      <c r="F285">
        <f t="shared" si="57"/>
        <v>0</v>
      </c>
      <c r="G285">
        <f t="shared" si="57"/>
        <v>0</v>
      </c>
      <c r="H285">
        <f t="shared" si="57"/>
        <v>0</v>
      </c>
      <c r="I285">
        <f t="shared" si="57"/>
        <v>0</v>
      </c>
      <c r="J285">
        <f t="shared" si="57"/>
        <v>0</v>
      </c>
      <c r="K285">
        <f t="shared" si="57"/>
        <v>0</v>
      </c>
      <c r="L285">
        <f t="shared" si="57"/>
        <v>0</v>
      </c>
      <c r="M285">
        <f t="shared" si="58"/>
        <v>0</v>
      </c>
      <c r="N285">
        <f t="shared" si="58"/>
        <v>0</v>
      </c>
      <c r="O285">
        <f t="shared" si="58"/>
        <v>0</v>
      </c>
      <c r="P285">
        <f t="shared" si="58"/>
        <v>0</v>
      </c>
      <c r="Q285">
        <f t="shared" si="58"/>
        <v>0</v>
      </c>
      <c r="R285">
        <f t="shared" si="58"/>
        <v>0</v>
      </c>
      <c r="S285">
        <f t="shared" si="58"/>
        <v>0</v>
      </c>
      <c r="T285">
        <f t="shared" si="58"/>
        <v>0</v>
      </c>
      <c r="U285">
        <f t="shared" si="58"/>
        <v>0</v>
      </c>
      <c r="V285">
        <f t="shared" si="58"/>
        <v>0</v>
      </c>
      <c r="W285">
        <f t="shared" si="59"/>
        <v>0</v>
      </c>
      <c r="X285">
        <f t="shared" si="59"/>
        <v>0</v>
      </c>
      <c r="Y285">
        <f t="shared" si="59"/>
        <v>0</v>
      </c>
      <c r="Z285">
        <f t="shared" si="59"/>
        <v>0</v>
      </c>
      <c r="AA285">
        <f t="shared" si="59"/>
        <v>0</v>
      </c>
      <c r="AB285">
        <f t="shared" si="59"/>
        <v>0</v>
      </c>
      <c r="AC285">
        <f t="shared" si="59"/>
        <v>0</v>
      </c>
      <c r="AD285">
        <f t="shared" si="59"/>
        <v>0</v>
      </c>
      <c r="AE285">
        <f t="shared" si="59"/>
        <v>0</v>
      </c>
      <c r="AF285">
        <f t="shared" si="59"/>
        <v>0</v>
      </c>
      <c r="AG285">
        <f t="shared" si="60"/>
        <v>0</v>
      </c>
      <c r="AH285">
        <f t="shared" si="60"/>
        <v>0</v>
      </c>
      <c r="AI285">
        <f t="shared" si="60"/>
        <v>0</v>
      </c>
      <c r="AJ285">
        <f t="shared" si="60"/>
        <v>0</v>
      </c>
      <c r="AK285">
        <f t="shared" si="60"/>
        <v>0</v>
      </c>
      <c r="AL285">
        <f t="shared" si="60"/>
        <v>0</v>
      </c>
      <c r="AM285">
        <f t="shared" si="60"/>
        <v>0</v>
      </c>
      <c r="AN285">
        <f t="shared" si="60"/>
        <v>0</v>
      </c>
      <c r="AO285">
        <f t="shared" si="60"/>
        <v>1</v>
      </c>
      <c r="AP285">
        <f t="shared" si="60"/>
        <v>0</v>
      </c>
      <c r="AQ285">
        <f t="shared" si="60"/>
        <v>0</v>
      </c>
      <c r="AR285">
        <f t="shared" si="60"/>
        <v>0</v>
      </c>
    </row>
    <row r="286" spans="1:44">
      <c r="A286" t="s">
        <v>384</v>
      </c>
      <c r="B286" t="s">
        <v>32</v>
      </c>
      <c r="C286">
        <f t="shared" si="57"/>
        <v>0</v>
      </c>
      <c r="D286">
        <f t="shared" si="57"/>
        <v>0</v>
      </c>
      <c r="E286">
        <f t="shared" si="57"/>
        <v>0</v>
      </c>
      <c r="F286">
        <f t="shared" si="57"/>
        <v>0</v>
      </c>
      <c r="G286">
        <f t="shared" si="57"/>
        <v>0</v>
      </c>
      <c r="H286">
        <f t="shared" si="57"/>
        <v>0</v>
      </c>
      <c r="I286">
        <f t="shared" si="57"/>
        <v>0</v>
      </c>
      <c r="J286">
        <f t="shared" si="57"/>
        <v>0</v>
      </c>
      <c r="K286">
        <f t="shared" si="57"/>
        <v>0</v>
      </c>
      <c r="L286">
        <f t="shared" si="57"/>
        <v>0</v>
      </c>
      <c r="M286">
        <f t="shared" si="58"/>
        <v>0</v>
      </c>
      <c r="N286">
        <f t="shared" si="58"/>
        <v>0</v>
      </c>
      <c r="O286">
        <f t="shared" si="58"/>
        <v>0</v>
      </c>
      <c r="P286">
        <f t="shared" si="58"/>
        <v>0</v>
      </c>
      <c r="Q286">
        <f t="shared" si="58"/>
        <v>0</v>
      </c>
      <c r="R286">
        <f t="shared" si="58"/>
        <v>0</v>
      </c>
      <c r="S286">
        <f t="shared" si="58"/>
        <v>0</v>
      </c>
      <c r="T286">
        <f t="shared" si="58"/>
        <v>0</v>
      </c>
      <c r="U286">
        <f t="shared" si="58"/>
        <v>0</v>
      </c>
      <c r="V286">
        <f t="shared" si="58"/>
        <v>0</v>
      </c>
      <c r="W286">
        <f t="shared" si="59"/>
        <v>0</v>
      </c>
      <c r="X286">
        <f t="shared" si="59"/>
        <v>0</v>
      </c>
      <c r="Y286">
        <f t="shared" si="59"/>
        <v>0</v>
      </c>
      <c r="Z286">
        <f t="shared" si="59"/>
        <v>0</v>
      </c>
      <c r="AA286">
        <f t="shared" si="59"/>
        <v>0</v>
      </c>
      <c r="AB286">
        <f t="shared" si="59"/>
        <v>0</v>
      </c>
      <c r="AC286">
        <f t="shared" si="59"/>
        <v>0</v>
      </c>
      <c r="AD286">
        <f t="shared" si="59"/>
        <v>0</v>
      </c>
      <c r="AE286">
        <f t="shared" si="59"/>
        <v>0</v>
      </c>
      <c r="AF286">
        <f t="shared" si="59"/>
        <v>0</v>
      </c>
      <c r="AG286">
        <f t="shared" si="60"/>
        <v>0</v>
      </c>
      <c r="AH286">
        <f t="shared" si="60"/>
        <v>0</v>
      </c>
      <c r="AI286">
        <f t="shared" si="60"/>
        <v>0</v>
      </c>
      <c r="AJ286">
        <f t="shared" si="60"/>
        <v>0</v>
      </c>
      <c r="AK286">
        <f t="shared" si="60"/>
        <v>0</v>
      </c>
      <c r="AL286">
        <f t="shared" si="60"/>
        <v>0</v>
      </c>
      <c r="AM286">
        <f t="shared" si="60"/>
        <v>0</v>
      </c>
      <c r="AN286">
        <f t="shared" si="60"/>
        <v>0</v>
      </c>
      <c r="AO286">
        <f t="shared" si="60"/>
        <v>0</v>
      </c>
      <c r="AP286">
        <f t="shared" si="60"/>
        <v>1</v>
      </c>
      <c r="AQ286">
        <f t="shared" si="60"/>
        <v>0</v>
      </c>
      <c r="AR286">
        <f t="shared" si="60"/>
        <v>0</v>
      </c>
    </row>
    <row r="287" spans="1:44">
      <c r="A287" t="s">
        <v>384</v>
      </c>
      <c r="B287" t="s">
        <v>33</v>
      </c>
      <c r="C287">
        <f t="shared" si="57"/>
        <v>0</v>
      </c>
      <c r="D287">
        <f t="shared" si="57"/>
        <v>0</v>
      </c>
      <c r="E287">
        <f t="shared" si="57"/>
        <v>0</v>
      </c>
      <c r="F287">
        <f t="shared" si="57"/>
        <v>0</v>
      </c>
      <c r="G287">
        <f t="shared" si="57"/>
        <v>0</v>
      </c>
      <c r="H287">
        <f t="shared" si="57"/>
        <v>0</v>
      </c>
      <c r="I287">
        <f t="shared" si="57"/>
        <v>0</v>
      </c>
      <c r="J287">
        <f t="shared" si="57"/>
        <v>0</v>
      </c>
      <c r="K287">
        <f t="shared" si="57"/>
        <v>0</v>
      </c>
      <c r="L287">
        <f t="shared" si="57"/>
        <v>0</v>
      </c>
      <c r="M287">
        <f t="shared" si="58"/>
        <v>0</v>
      </c>
      <c r="N287">
        <f t="shared" si="58"/>
        <v>0</v>
      </c>
      <c r="O287">
        <f t="shared" si="58"/>
        <v>0</v>
      </c>
      <c r="P287">
        <f t="shared" si="58"/>
        <v>0</v>
      </c>
      <c r="Q287">
        <f t="shared" si="58"/>
        <v>0</v>
      </c>
      <c r="R287">
        <f t="shared" si="58"/>
        <v>0</v>
      </c>
      <c r="S287">
        <f t="shared" si="58"/>
        <v>0</v>
      </c>
      <c r="T287">
        <f t="shared" si="58"/>
        <v>0</v>
      </c>
      <c r="U287">
        <f t="shared" si="58"/>
        <v>0</v>
      </c>
      <c r="V287">
        <f t="shared" si="58"/>
        <v>0</v>
      </c>
      <c r="W287">
        <f t="shared" si="59"/>
        <v>0</v>
      </c>
      <c r="X287">
        <f t="shared" si="59"/>
        <v>0</v>
      </c>
      <c r="Y287">
        <f t="shared" si="59"/>
        <v>0</v>
      </c>
      <c r="Z287">
        <f t="shared" si="59"/>
        <v>0</v>
      </c>
      <c r="AA287">
        <f t="shared" si="59"/>
        <v>0</v>
      </c>
      <c r="AB287">
        <f t="shared" si="59"/>
        <v>0</v>
      </c>
      <c r="AC287">
        <f t="shared" si="59"/>
        <v>0</v>
      </c>
      <c r="AD287">
        <f t="shared" si="59"/>
        <v>0</v>
      </c>
      <c r="AE287">
        <f t="shared" si="59"/>
        <v>0</v>
      </c>
      <c r="AF287">
        <f t="shared" si="59"/>
        <v>0</v>
      </c>
      <c r="AG287">
        <f t="shared" si="60"/>
        <v>0</v>
      </c>
      <c r="AH287">
        <f t="shared" si="60"/>
        <v>0</v>
      </c>
      <c r="AI287">
        <f t="shared" si="60"/>
        <v>0</v>
      </c>
      <c r="AJ287">
        <f t="shared" si="60"/>
        <v>0</v>
      </c>
      <c r="AK287">
        <f t="shared" si="60"/>
        <v>0</v>
      </c>
      <c r="AL287">
        <f t="shared" si="60"/>
        <v>0</v>
      </c>
      <c r="AM287">
        <f t="shared" si="60"/>
        <v>0</v>
      </c>
      <c r="AN287">
        <f t="shared" si="60"/>
        <v>0</v>
      </c>
      <c r="AO287">
        <f t="shared" si="60"/>
        <v>0</v>
      </c>
      <c r="AP287">
        <f t="shared" si="60"/>
        <v>0</v>
      </c>
      <c r="AQ287">
        <f t="shared" si="60"/>
        <v>1</v>
      </c>
      <c r="AR287">
        <f t="shared" si="60"/>
        <v>0</v>
      </c>
    </row>
    <row r="288" spans="1:44">
      <c r="A288" t="s">
        <v>384</v>
      </c>
      <c r="B288" t="s">
        <v>34</v>
      </c>
      <c r="C288">
        <f t="shared" si="57"/>
        <v>0</v>
      </c>
      <c r="D288">
        <f t="shared" si="57"/>
        <v>0</v>
      </c>
      <c r="E288">
        <f t="shared" si="57"/>
        <v>0</v>
      </c>
      <c r="F288">
        <f t="shared" si="57"/>
        <v>0</v>
      </c>
      <c r="G288">
        <f t="shared" si="57"/>
        <v>0</v>
      </c>
      <c r="H288">
        <f t="shared" si="57"/>
        <v>0</v>
      </c>
      <c r="I288">
        <f t="shared" si="57"/>
        <v>0</v>
      </c>
      <c r="J288">
        <f t="shared" si="57"/>
        <v>0</v>
      </c>
      <c r="K288">
        <f t="shared" si="57"/>
        <v>0</v>
      </c>
      <c r="L288">
        <f t="shared" si="57"/>
        <v>0</v>
      </c>
      <c r="M288">
        <f t="shared" si="58"/>
        <v>0</v>
      </c>
      <c r="N288">
        <f t="shared" si="58"/>
        <v>0</v>
      </c>
      <c r="O288">
        <f t="shared" si="58"/>
        <v>0</v>
      </c>
      <c r="P288">
        <f t="shared" si="58"/>
        <v>0</v>
      </c>
      <c r="Q288">
        <f t="shared" si="58"/>
        <v>0</v>
      </c>
      <c r="R288">
        <f t="shared" si="58"/>
        <v>0</v>
      </c>
      <c r="S288">
        <f t="shared" si="58"/>
        <v>0</v>
      </c>
      <c r="T288">
        <f t="shared" si="58"/>
        <v>0</v>
      </c>
      <c r="U288">
        <f t="shared" si="58"/>
        <v>0</v>
      </c>
      <c r="V288">
        <f t="shared" si="58"/>
        <v>0</v>
      </c>
      <c r="W288">
        <f t="shared" si="59"/>
        <v>0</v>
      </c>
      <c r="X288">
        <f t="shared" si="59"/>
        <v>0</v>
      </c>
      <c r="Y288">
        <f t="shared" si="59"/>
        <v>0</v>
      </c>
      <c r="Z288">
        <f t="shared" si="59"/>
        <v>0</v>
      </c>
      <c r="AA288">
        <f t="shared" si="59"/>
        <v>0</v>
      </c>
      <c r="AB288">
        <f t="shared" si="59"/>
        <v>0</v>
      </c>
      <c r="AC288">
        <f t="shared" si="59"/>
        <v>0</v>
      </c>
      <c r="AD288">
        <f t="shared" si="59"/>
        <v>0</v>
      </c>
      <c r="AE288">
        <f t="shared" si="59"/>
        <v>0</v>
      </c>
      <c r="AF288">
        <f t="shared" si="59"/>
        <v>0</v>
      </c>
      <c r="AG288">
        <f t="shared" si="60"/>
        <v>0</v>
      </c>
      <c r="AH288">
        <f t="shared" si="60"/>
        <v>0</v>
      </c>
      <c r="AI288">
        <f t="shared" si="60"/>
        <v>0</v>
      </c>
      <c r="AJ288">
        <f t="shared" si="60"/>
        <v>0</v>
      </c>
      <c r="AK288">
        <f t="shared" si="60"/>
        <v>0</v>
      </c>
      <c r="AL288">
        <f t="shared" si="60"/>
        <v>0</v>
      </c>
      <c r="AM288">
        <f t="shared" si="60"/>
        <v>0</v>
      </c>
      <c r="AN288">
        <f t="shared" si="60"/>
        <v>0</v>
      </c>
      <c r="AO288">
        <f t="shared" si="60"/>
        <v>0</v>
      </c>
      <c r="AP288">
        <f t="shared" si="60"/>
        <v>0</v>
      </c>
      <c r="AQ288">
        <f t="shared" si="60"/>
        <v>0</v>
      </c>
      <c r="AR288">
        <f t="shared" si="60"/>
        <v>1</v>
      </c>
    </row>
    <row r="290" spans="1:53">
      <c r="A290" s="20" t="s">
        <v>549</v>
      </c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</row>
    <row r="291" spans="1:53">
      <c r="C291" t="s">
        <v>4</v>
      </c>
      <c r="D291" t="s">
        <v>120</v>
      </c>
      <c r="E291" t="s">
        <v>119</v>
      </c>
      <c r="F291" t="s">
        <v>5</v>
      </c>
      <c r="G291" t="s">
        <v>6</v>
      </c>
      <c r="H291" t="s">
        <v>7</v>
      </c>
      <c r="I291" t="s">
        <v>8</v>
      </c>
      <c r="J291" t="s">
        <v>9</v>
      </c>
      <c r="K291" t="s">
        <v>10</v>
      </c>
      <c r="L291" t="s">
        <v>11</v>
      </c>
      <c r="M291" t="s">
        <v>58</v>
      </c>
      <c r="N291" t="s">
        <v>59</v>
      </c>
      <c r="O291" t="s">
        <v>12</v>
      </c>
      <c r="P291" t="s">
        <v>132</v>
      </c>
      <c r="Q291" t="s">
        <v>133</v>
      </c>
      <c r="R291" t="s">
        <v>134</v>
      </c>
      <c r="S291" t="s">
        <v>135</v>
      </c>
      <c r="T291" t="s">
        <v>13</v>
      </c>
      <c r="U291" t="s">
        <v>14</v>
      </c>
      <c r="V291" t="s">
        <v>15</v>
      </c>
      <c r="W291" t="s">
        <v>16</v>
      </c>
      <c r="X291" t="s">
        <v>17</v>
      </c>
      <c r="Y291" t="s">
        <v>18</v>
      </c>
      <c r="Z291" t="s">
        <v>19</v>
      </c>
      <c r="AA291" t="s">
        <v>136</v>
      </c>
      <c r="AB291" t="s">
        <v>137</v>
      </c>
      <c r="AC291" t="s">
        <v>138</v>
      </c>
      <c r="AD291" t="s">
        <v>20</v>
      </c>
      <c r="AE291" t="s">
        <v>21</v>
      </c>
      <c r="AF291" t="s">
        <v>22</v>
      </c>
      <c r="AG291" t="s">
        <v>23</v>
      </c>
      <c r="AH291" t="s">
        <v>24</v>
      </c>
      <c r="AI291" t="s">
        <v>25</v>
      </c>
      <c r="AJ291" t="s">
        <v>26</v>
      </c>
      <c r="AK291" t="s">
        <v>27</v>
      </c>
      <c r="AL291" t="s">
        <v>28</v>
      </c>
      <c r="AM291" t="s">
        <v>29</v>
      </c>
      <c r="AN291" t="s">
        <v>30</v>
      </c>
      <c r="AO291" t="s">
        <v>31</v>
      </c>
      <c r="AP291" t="s">
        <v>32</v>
      </c>
      <c r="AQ291" t="s">
        <v>33</v>
      </c>
      <c r="AR291" t="s">
        <v>34</v>
      </c>
    </row>
    <row r="292" spans="1:53">
      <c r="A292" t="s">
        <v>384</v>
      </c>
      <c r="B292" t="s">
        <v>4</v>
      </c>
      <c r="C292">
        <f t="shared" ref="C292:AR292" si="61">IFERROR(C247-C202,0)</f>
        <v>0.92960914322568911</v>
      </c>
      <c r="D292">
        <f t="shared" si="61"/>
        <v>-6.869437986827756E-4</v>
      </c>
      <c r="E292">
        <f t="shared" si="61"/>
        <v>-7.1740643226607178E-5</v>
      </c>
      <c r="F292">
        <f t="shared" si="61"/>
        <v>-3.0553288529700336E-4</v>
      </c>
      <c r="G292">
        <f t="shared" si="61"/>
        <v>-5.3103924380011686E-5</v>
      </c>
      <c r="H292">
        <f t="shared" si="61"/>
        <v>-0.18217793324567247</v>
      </c>
      <c r="I292">
        <f t="shared" si="61"/>
        <v>-7.571298825831436E-3</v>
      </c>
      <c r="J292">
        <f t="shared" si="61"/>
        <v>-0.10840518557537412</v>
      </c>
      <c r="K292">
        <f t="shared" si="61"/>
        <v>-3.4765779764134182E-3</v>
      </c>
      <c r="L292">
        <f t="shared" si="61"/>
        <v>-4.9136829062990997E-6</v>
      </c>
      <c r="M292">
        <f t="shared" si="61"/>
        <v>-1.301340509067251E-3</v>
      </c>
      <c r="N292">
        <f t="shared" si="61"/>
        <v>-1.5023703013903288E-3</v>
      </c>
      <c r="O292">
        <f t="shared" si="61"/>
        <v>-2.0163682735214626E-3</v>
      </c>
      <c r="P292">
        <f t="shared" si="61"/>
        <v>0</v>
      </c>
      <c r="Q292">
        <f t="shared" si="61"/>
        <v>0</v>
      </c>
      <c r="R292">
        <f t="shared" si="61"/>
        <v>-2.3566250257631978E-5</v>
      </c>
      <c r="S292">
        <f t="shared" si="61"/>
        <v>-3.6888053364583765E-5</v>
      </c>
      <c r="T292">
        <f t="shared" si="61"/>
        <v>-2.0909218342466024E-5</v>
      </c>
      <c r="U292">
        <f t="shared" si="61"/>
        <v>-1.8552369270615884E-5</v>
      </c>
      <c r="V292">
        <f t="shared" si="61"/>
        <v>-1.9946261145880065E-5</v>
      </c>
      <c r="W292">
        <f t="shared" si="61"/>
        <v>-5.9417054425395143E-5</v>
      </c>
      <c r="X292">
        <f t="shared" si="61"/>
        <v>-2.0033154222814565E-5</v>
      </c>
      <c r="Y292">
        <f t="shared" si="61"/>
        <v>-5.4093940554776206E-5</v>
      </c>
      <c r="Z292">
        <f t="shared" si="61"/>
        <v>-2.8325937149279857E-3</v>
      </c>
      <c r="AA292">
        <f t="shared" si="61"/>
        <v>-9.6589171134214694E-4</v>
      </c>
      <c r="AB292">
        <f t="shared" si="61"/>
        <v>-5.4660406603311E-5</v>
      </c>
      <c r="AC292">
        <f t="shared" si="61"/>
        <v>-2.2909953371530179E-4</v>
      </c>
      <c r="AD292">
        <f t="shared" si="61"/>
        <v>-3.9723038858238539E-4</v>
      </c>
      <c r="AE292">
        <f t="shared" si="61"/>
        <v>-1.6485821547477895E-3</v>
      </c>
      <c r="AF292">
        <f t="shared" si="61"/>
        <v>-1.2022746630549117E-4</v>
      </c>
      <c r="AG292">
        <f t="shared" si="61"/>
        <v>-3.9430214896070501E-2</v>
      </c>
      <c r="AH292">
        <f t="shared" si="61"/>
        <v>-7.370553324700253E-5</v>
      </c>
      <c r="AI292">
        <f t="shared" si="61"/>
        <v>-3.2773708620412768E-5</v>
      </c>
      <c r="AJ292">
        <f t="shared" si="61"/>
        <v>-2.517228992985863E-5</v>
      </c>
      <c r="AK292">
        <f t="shared" si="61"/>
        <v>-2.0919232198080588E-5</v>
      </c>
      <c r="AL292">
        <f t="shared" si="61"/>
        <v>-6.6519595876041412E-5</v>
      </c>
      <c r="AM292">
        <f t="shared" si="61"/>
        <v>-3.2054382266427379E-4</v>
      </c>
      <c r="AN292">
        <f t="shared" si="61"/>
        <v>-4.4893374110316879E-4</v>
      </c>
      <c r="AO292">
        <f t="shared" si="61"/>
        <v>-5.9931668801973452E-4</v>
      </c>
      <c r="AP292">
        <f t="shared" si="61"/>
        <v>-1.1410607809300435E-3</v>
      </c>
      <c r="AQ292">
        <f t="shared" si="61"/>
        <v>-1.0040730742862218E-3</v>
      </c>
      <c r="AR292">
        <f t="shared" si="61"/>
        <v>0</v>
      </c>
    </row>
    <row r="293" spans="1:53">
      <c r="A293" t="s">
        <v>384</v>
      </c>
      <c r="B293" t="s">
        <v>120</v>
      </c>
      <c r="C293">
        <f t="shared" ref="C293:AR293" si="62">IFERROR(C248-C203,0)</f>
        <v>-3.3890310727886412E-6</v>
      </c>
      <c r="D293">
        <f t="shared" si="62"/>
        <v>0.99905302662780449</v>
      </c>
      <c r="E293">
        <f t="shared" si="62"/>
        <v>0</v>
      </c>
      <c r="F293">
        <f t="shared" si="62"/>
        <v>-5.8926303818129866E-6</v>
      </c>
      <c r="G293">
        <f t="shared" si="62"/>
        <v>0</v>
      </c>
      <c r="H293">
        <f t="shared" si="62"/>
        <v>-3.2531712572430394E-6</v>
      </c>
      <c r="I293">
        <f t="shared" si="62"/>
        <v>-3.2280170155715616E-6</v>
      </c>
      <c r="J293">
        <f t="shared" si="62"/>
        <v>-2.8590700337210155E-6</v>
      </c>
      <c r="K293">
        <f t="shared" si="62"/>
        <v>-2.8265477134251099E-6</v>
      </c>
      <c r="L293">
        <f t="shared" si="62"/>
        <v>-1.5465944908068767E-4</v>
      </c>
      <c r="M293">
        <f t="shared" si="62"/>
        <v>-2.8627180935754882E-6</v>
      </c>
      <c r="N293">
        <f t="shared" si="62"/>
        <v>-2.1287355241042657E-6</v>
      </c>
      <c r="O293">
        <f t="shared" si="62"/>
        <v>-2.4960854232150336E-6</v>
      </c>
      <c r="P293">
        <f t="shared" si="62"/>
        <v>0</v>
      </c>
      <c r="Q293">
        <f t="shared" si="62"/>
        <v>0</v>
      </c>
      <c r="R293">
        <f t="shared" si="62"/>
        <v>-3.4446369535454589E-6</v>
      </c>
      <c r="S293">
        <f t="shared" si="62"/>
        <v>-2.6820396911851466E-6</v>
      </c>
      <c r="T293">
        <f t="shared" si="62"/>
        <v>-2.4905717139225461E-6</v>
      </c>
      <c r="U293">
        <f t="shared" si="62"/>
        <v>-2.2605582355274396E-6</v>
      </c>
      <c r="V293">
        <f t="shared" si="62"/>
        <v>-2.4374078102153648E-6</v>
      </c>
      <c r="W293">
        <f t="shared" si="62"/>
        <v>-2.8801803760963537E-6</v>
      </c>
      <c r="X293">
        <f t="shared" si="62"/>
        <v>-1.8220366490740859E-6</v>
      </c>
      <c r="Y293">
        <f t="shared" si="62"/>
        <v>-2.9457096341709817E-6</v>
      </c>
      <c r="Z293">
        <f t="shared" si="62"/>
        <v>-3.3062181680795004E-6</v>
      </c>
      <c r="AA293">
        <f t="shared" si="62"/>
        <v>-1.9551362148987235E-3</v>
      </c>
      <c r="AB293">
        <f t="shared" si="62"/>
        <v>-1.4309006964217537E-6</v>
      </c>
      <c r="AC293">
        <f t="shared" si="62"/>
        <v>-2.8777331520414737E-6</v>
      </c>
      <c r="AD293">
        <f t="shared" si="62"/>
        <v>-1.9072588869862617E-6</v>
      </c>
      <c r="AE293">
        <f t="shared" si="62"/>
        <v>-1.2008812149174458E-6</v>
      </c>
      <c r="AF293">
        <f t="shared" si="62"/>
        <v>-2.5112587400486699E-6</v>
      </c>
      <c r="AG293">
        <f t="shared" si="62"/>
        <v>-2.1501786859727312E-6</v>
      </c>
      <c r="AH293">
        <f t="shared" si="62"/>
        <v>-5.6106724115962344E-7</v>
      </c>
      <c r="AI293">
        <f t="shared" si="62"/>
        <v>-1.5736415790851198E-6</v>
      </c>
      <c r="AJ293">
        <f t="shared" si="62"/>
        <v>-7.9355459456299204E-7</v>
      </c>
      <c r="AK293">
        <f t="shared" si="62"/>
        <v>-2.2266969846696425E-7</v>
      </c>
      <c r="AL293">
        <f t="shared" si="62"/>
        <v>-4.173310966903786E-7</v>
      </c>
      <c r="AM293">
        <f t="shared" si="62"/>
        <v>-8.9242953083047144E-7</v>
      </c>
      <c r="AN293">
        <f t="shared" si="62"/>
        <v>-7.9677787076189589E-7</v>
      </c>
      <c r="AO293">
        <f t="shared" si="62"/>
        <v>-8.888482032287384E-7</v>
      </c>
      <c r="AP293">
        <f t="shared" si="62"/>
        <v>-1.3271042011252959E-6</v>
      </c>
      <c r="AQ293">
        <f t="shared" si="62"/>
        <v>-1.4786414186521809E-6</v>
      </c>
      <c r="AR293">
        <f t="shared" si="62"/>
        <v>0</v>
      </c>
    </row>
    <row r="294" spans="1:53">
      <c r="A294" t="s">
        <v>384</v>
      </c>
      <c r="B294" t="s">
        <v>119</v>
      </c>
      <c r="C294">
        <f t="shared" ref="C294:AR294" si="63">IFERROR(C249-C204,0)</f>
        <v>-8.2484354152527764E-7</v>
      </c>
      <c r="D294">
        <f t="shared" si="63"/>
        <v>0</v>
      </c>
      <c r="E294">
        <f t="shared" si="63"/>
        <v>0.99994260748541874</v>
      </c>
      <c r="F294">
        <f t="shared" si="63"/>
        <v>-8.8389455727194794E-7</v>
      </c>
      <c r="G294">
        <f t="shared" si="63"/>
        <v>0</v>
      </c>
      <c r="H294">
        <f t="shared" si="63"/>
        <v>-1.2494615601589192E-6</v>
      </c>
      <c r="I294">
        <f t="shared" si="63"/>
        <v>-1.6441768911088795E-6</v>
      </c>
      <c r="J294">
        <f t="shared" si="63"/>
        <v>-1.0292652121395655E-6</v>
      </c>
      <c r="K294">
        <f t="shared" si="63"/>
        <v>-1.0094813262232536E-6</v>
      </c>
      <c r="L294">
        <f t="shared" si="63"/>
        <v>-6.5832474302558058E-4</v>
      </c>
      <c r="M294">
        <f t="shared" si="63"/>
        <v>-1.3331956671834807E-6</v>
      </c>
      <c r="N294">
        <f t="shared" si="63"/>
        <v>-1.033957254564929E-6</v>
      </c>
      <c r="O294">
        <f t="shared" si="63"/>
        <v>-1.2421833561539602E-6</v>
      </c>
      <c r="P294">
        <f t="shared" si="63"/>
        <v>-1.0369618023607431E-7</v>
      </c>
      <c r="Q294">
        <f t="shared" si="63"/>
        <v>-1.5405246939751882E-6</v>
      </c>
      <c r="R294">
        <f t="shared" si="63"/>
        <v>-9.690794498465485E-7</v>
      </c>
      <c r="S294">
        <f t="shared" si="63"/>
        <v>-6.4048709043227375E-7</v>
      </c>
      <c r="T294">
        <f t="shared" si="63"/>
        <v>-9.4603111614112218E-7</v>
      </c>
      <c r="U294">
        <f t="shared" si="63"/>
        <v>-1.2662635394351634E-6</v>
      </c>
      <c r="V294">
        <f t="shared" si="63"/>
        <v>-1.1807511883396233E-6</v>
      </c>
      <c r="W294">
        <f t="shared" si="63"/>
        <v>-1.2067422409107408E-6</v>
      </c>
      <c r="X294">
        <f t="shared" si="63"/>
        <v>-7.2603998452952149E-7</v>
      </c>
      <c r="Y294">
        <f t="shared" si="63"/>
        <v>-1.2273790142379089E-6</v>
      </c>
      <c r="Z294">
        <f t="shared" si="63"/>
        <v>-1.0440688951830002E-6</v>
      </c>
      <c r="AA294">
        <f t="shared" si="63"/>
        <v>-2.7504607798984259E-4</v>
      </c>
      <c r="AB294">
        <f t="shared" si="63"/>
        <v>-3.8157351904580103E-7</v>
      </c>
      <c r="AC294">
        <f t="shared" si="63"/>
        <v>-3.9968516000576027E-7</v>
      </c>
      <c r="AD294">
        <f t="shared" si="63"/>
        <v>-8.3702846350270432E-7</v>
      </c>
      <c r="AE294">
        <f t="shared" si="63"/>
        <v>-3.8303969786159909E-7</v>
      </c>
      <c r="AF294">
        <f t="shared" si="63"/>
        <v>-5.2667736493421955E-7</v>
      </c>
      <c r="AG294">
        <f t="shared" si="63"/>
        <v>-8.5054536628668156E-7</v>
      </c>
      <c r="AH294">
        <f t="shared" si="63"/>
        <v>-2.4312913783583684E-7</v>
      </c>
      <c r="AI294">
        <f t="shared" si="63"/>
        <v>-3.986558667015637E-7</v>
      </c>
      <c r="AJ294">
        <f t="shared" si="63"/>
        <v>-1.845475801309284E-7</v>
      </c>
      <c r="AK294">
        <f t="shared" si="63"/>
        <v>-5.2737560163228368E-8</v>
      </c>
      <c r="AL294">
        <f t="shared" si="63"/>
        <v>-1.0930100151414676E-7</v>
      </c>
      <c r="AM294">
        <f t="shared" si="63"/>
        <v>-1.9324261494360601E-7</v>
      </c>
      <c r="AN294">
        <f t="shared" si="63"/>
        <v>-1.5809084737339204E-7</v>
      </c>
      <c r="AO294">
        <f t="shared" si="63"/>
        <v>-1.7259188412208515E-7</v>
      </c>
      <c r="AP294">
        <f t="shared" si="63"/>
        <v>-5.5296008380220657E-7</v>
      </c>
      <c r="AQ294">
        <f t="shared" si="63"/>
        <v>-4.4251312529006867E-7</v>
      </c>
      <c r="AR294">
        <f t="shared" si="63"/>
        <v>0</v>
      </c>
    </row>
    <row r="295" spans="1:53">
      <c r="A295" t="s">
        <v>384</v>
      </c>
      <c r="B295" t="s">
        <v>5</v>
      </c>
      <c r="C295">
        <f t="shared" ref="C295:AR295" si="64">IFERROR(C250-C205,0)</f>
        <v>-2.350445465720291E-4</v>
      </c>
      <c r="D295">
        <f t="shared" si="64"/>
        <v>-8.6547156557208443E-4</v>
      </c>
      <c r="E295">
        <f t="shared" si="64"/>
        <v>-3.5870321613303588E-4</v>
      </c>
      <c r="F295">
        <f t="shared" si="64"/>
        <v>0.98351772355903089</v>
      </c>
      <c r="G295">
        <f t="shared" si="64"/>
        <v>-1.2744941851202804E-3</v>
      </c>
      <c r="H295">
        <f t="shared" si="64"/>
        <v>-2.3175988207338E-4</v>
      </c>
      <c r="I295">
        <f t="shared" si="64"/>
        <v>-6.9372197451465469E-5</v>
      </c>
      <c r="J295">
        <f t="shared" si="64"/>
        <v>-5.4093605038001612E-5</v>
      </c>
      <c r="K295">
        <f t="shared" si="64"/>
        <v>-2.8563274125486957E-4</v>
      </c>
      <c r="L295">
        <f t="shared" si="64"/>
        <v>-3.6248648273343984E-4</v>
      </c>
      <c r="M295">
        <f t="shared" si="64"/>
        <v>-1.3586359625860367E-3</v>
      </c>
      <c r="N295">
        <f t="shared" si="64"/>
        <v>-4.7592444217473929E-5</v>
      </c>
      <c r="O295">
        <f t="shared" si="64"/>
        <v>-9.9550449155923508E-5</v>
      </c>
      <c r="P295">
        <f t="shared" si="64"/>
        <v>-1.8746784344579894E-3</v>
      </c>
      <c r="Q295">
        <f t="shared" si="64"/>
        <v>-2.7305249385929205E-2</v>
      </c>
      <c r="R295">
        <f t="shared" si="64"/>
        <v>-2.7613214138322963E-3</v>
      </c>
      <c r="S295">
        <f t="shared" si="64"/>
        <v>-2.0990963627838971E-3</v>
      </c>
      <c r="T295">
        <f t="shared" si="64"/>
        <v>-1.8244885811293069E-4</v>
      </c>
      <c r="U295">
        <f t="shared" si="64"/>
        <v>-3.1311509738411764E-5</v>
      </c>
      <c r="V295">
        <f t="shared" si="64"/>
        <v>-1.0628447482468523E-4</v>
      </c>
      <c r="W295">
        <f t="shared" si="64"/>
        <v>-8.0798393467388223E-5</v>
      </c>
      <c r="X295">
        <f t="shared" si="64"/>
        <v>-4.2059450059210181E-5</v>
      </c>
      <c r="Y295">
        <f t="shared" si="64"/>
        <v>-6.1614426514743035E-5</v>
      </c>
      <c r="Z295">
        <f t="shared" si="64"/>
        <v>-2.6244411795250017E-4</v>
      </c>
      <c r="AA295">
        <f t="shared" si="64"/>
        <v>-6.0426988483000272E-4</v>
      </c>
      <c r="AB295">
        <f t="shared" si="64"/>
        <v>-1.7886258705271921E-5</v>
      </c>
      <c r="AC295">
        <f t="shared" si="64"/>
        <v>-8.4025811188010986E-4</v>
      </c>
      <c r="AD295">
        <f t="shared" si="64"/>
        <v>-3.670390634062928E-3</v>
      </c>
      <c r="AE295">
        <f t="shared" si="64"/>
        <v>-3.2058007145353655E-5</v>
      </c>
      <c r="AF295">
        <f t="shared" si="64"/>
        <v>-2.1021296565635369E-5</v>
      </c>
      <c r="AG295">
        <f t="shared" si="64"/>
        <v>-6.3328205792241159E-5</v>
      </c>
      <c r="AH295">
        <f t="shared" si="64"/>
        <v>-8.0232615485826161E-6</v>
      </c>
      <c r="AI295">
        <f t="shared" si="64"/>
        <v>-9.6936321271643388E-6</v>
      </c>
      <c r="AJ295">
        <f t="shared" si="64"/>
        <v>-5.4995178879016655E-6</v>
      </c>
      <c r="AK295">
        <f t="shared" si="64"/>
        <v>-4.0607921325685844E-6</v>
      </c>
      <c r="AL295">
        <f t="shared" si="64"/>
        <v>-8.7540165758148464E-5</v>
      </c>
      <c r="AM295">
        <f t="shared" si="64"/>
        <v>-3.668096181838631E-5</v>
      </c>
      <c r="AN295">
        <f t="shared" si="64"/>
        <v>-7.6718326413359686E-5</v>
      </c>
      <c r="AO295">
        <f t="shared" si="64"/>
        <v>-2.5586746821099122E-5</v>
      </c>
      <c r="AP295">
        <f t="shared" si="64"/>
        <v>-2.8456708312671055E-5</v>
      </c>
      <c r="AQ295">
        <f t="shared" si="64"/>
        <v>-3.7786303698549524E-5</v>
      </c>
      <c r="AR295">
        <f t="shared" si="64"/>
        <v>0</v>
      </c>
    </row>
    <row r="296" spans="1:53">
      <c r="A296" t="s">
        <v>384</v>
      </c>
      <c r="B296" t="s">
        <v>6</v>
      </c>
      <c r="C296">
        <f t="shared" ref="C296:AR296" si="65">IFERROR(C251-C206,0)</f>
        <v>-4.303531521001449E-7</v>
      </c>
      <c r="D296">
        <f t="shared" si="65"/>
        <v>0</v>
      </c>
      <c r="E296">
        <f t="shared" si="65"/>
        <v>0</v>
      </c>
      <c r="F296">
        <f t="shared" si="65"/>
        <v>-5.8926303818129859E-7</v>
      </c>
      <c r="G296">
        <f t="shared" si="65"/>
        <v>1</v>
      </c>
      <c r="H296">
        <f t="shared" si="65"/>
        <v>-6.4758678422870808E-7</v>
      </c>
      <c r="I296">
        <f t="shared" si="65"/>
        <v>-8.4471473304676375E-7</v>
      </c>
      <c r="J296">
        <f t="shared" si="65"/>
        <v>-5.718140067442031E-7</v>
      </c>
      <c r="K296">
        <f t="shared" si="65"/>
        <v>-5.2997769626720808E-7</v>
      </c>
      <c r="L296">
        <f t="shared" si="65"/>
        <v>-4.9904592017100233E-7</v>
      </c>
      <c r="M296">
        <f t="shared" si="65"/>
        <v>-6.8029504935047482E-7</v>
      </c>
      <c r="N296">
        <f t="shared" si="65"/>
        <v>-5.4738913476966826E-7</v>
      </c>
      <c r="O296">
        <f t="shared" si="65"/>
        <v>-6.4452909989120585E-7</v>
      </c>
      <c r="P296">
        <f t="shared" si="65"/>
        <v>0</v>
      </c>
      <c r="Q296">
        <f t="shared" si="65"/>
        <v>0</v>
      </c>
      <c r="R296">
        <f t="shared" si="65"/>
        <v>-5.0215935128412055E-7</v>
      </c>
      <c r="S296">
        <f t="shared" si="65"/>
        <v>-3.4025876679214545E-7</v>
      </c>
      <c r="T296">
        <f t="shared" si="65"/>
        <v>-5.1162907301509668E-7</v>
      </c>
      <c r="U296">
        <f t="shared" si="65"/>
        <v>-6.579891371198887E-7</v>
      </c>
      <c r="V296">
        <f t="shared" si="65"/>
        <v>-6.1567740534851782E-7</v>
      </c>
      <c r="W296">
        <f t="shared" si="65"/>
        <v>-6.2670591516911398E-7</v>
      </c>
      <c r="X296">
        <f t="shared" si="65"/>
        <v>-3.7920559701541889E-7</v>
      </c>
      <c r="Y296">
        <f t="shared" si="65"/>
        <v>-6.4716348023453379E-7</v>
      </c>
      <c r="Z296">
        <f t="shared" si="65"/>
        <v>-5.5683674409760011E-7</v>
      </c>
      <c r="AA296">
        <f t="shared" si="65"/>
        <v>-3.7454358002293536E-7</v>
      </c>
      <c r="AB296">
        <f t="shared" si="65"/>
        <v>-1.9078675952290052E-7</v>
      </c>
      <c r="AC296">
        <f t="shared" si="65"/>
        <v>-1.9984258000288013E-7</v>
      </c>
      <c r="AD296">
        <f t="shared" si="65"/>
        <v>-4.5391095781987447E-7</v>
      </c>
      <c r="AE296">
        <f t="shared" si="65"/>
        <v>-1.9669606106406442E-7</v>
      </c>
      <c r="AF296">
        <f t="shared" si="65"/>
        <v>-2.5188917453375716E-7</v>
      </c>
      <c r="AG296">
        <f t="shared" si="65"/>
        <v>-4.3547922753878096E-7</v>
      </c>
      <c r="AH296">
        <f t="shared" si="65"/>
        <v>-1.3091568960391214E-7</v>
      </c>
      <c r="AI296">
        <f t="shared" si="65"/>
        <v>-2.0981887721134934E-7</v>
      </c>
      <c r="AJ296">
        <f t="shared" si="65"/>
        <v>-9.2273790065464201E-8</v>
      </c>
      <c r="AK296">
        <f t="shared" si="65"/>
        <v>-2.9298644535126877E-8</v>
      </c>
      <c r="AL296">
        <f t="shared" si="65"/>
        <v>-5.9618728098625504E-8</v>
      </c>
      <c r="AM296">
        <f t="shared" si="65"/>
        <v>-1.0891856478639611E-7</v>
      </c>
      <c r="AN296">
        <f t="shared" si="65"/>
        <v>-8.2207240634163853E-8</v>
      </c>
      <c r="AO296">
        <f t="shared" si="65"/>
        <v>-8.6295942061042576E-8</v>
      </c>
      <c r="AP296">
        <f t="shared" si="65"/>
        <v>-2.8339204294863089E-7</v>
      </c>
      <c r="AQ296">
        <f t="shared" si="65"/>
        <v>-2.2665306417296202E-7</v>
      </c>
      <c r="AR296">
        <f t="shared" si="65"/>
        <v>0</v>
      </c>
    </row>
    <row r="297" spans="1:53">
      <c r="A297" t="s">
        <v>384</v>
      </c>
      <c r="B297" t="s">
        <v>7</v>
      </c>
      <c r="C297">
        <f t="shared" ref="C297:AR297" si="66">IFERROR(C252-C207,0)</f>
        <v>-6.5777990993856131E-2</v>
      </c>
      <c r="D297">
        <f t="shared" si="66"/>
        <v>-6.9470587550404979E-4</v>
      </c>
      <c r="E297">
        <f t="shared" si="66"/>
        <v>-6.4566578903946454E-4</v>
      </c>
      <c r="F297">
        <f t="shared" si="66"/>
        <v>-1.3320290978088255E-3</v>
      </c>
      <c r="G297">
        <f t="shared" si="66"/>
        <v>-6.3724709256014018E-4</v>
      </c>
      <c r="H297">
        <f t="shared" si="66"/>
        <v>0.83913939708558061</v>
      </c>
      <c r="I297">
        <f t="shared" si="66"/>
        <v>-2.7542225554822966E-3</v>
      </c>
      <c r="J297">
        <f t="shared" si="66"/>
        <v>-8.5634865650011853E-4</v>
      </c>
      <c r="K297">
        <f t="shared" si="66"/>
        <v>-1.8259245858394653E-3</v>
      </c>
      <c r="L297">
        <f t="shared" si="66"/>
        <v>-2.4705972060773407E-4</v>
      </c>
      <c r="M297">
        <f t="shared" si="66"/>
        <v>-6.00659436929193E-3</v>
      </c>
      <c r="N297">
        <f t="shared" si="66"/>
        <v>-5.7808245997650297E-3</v>
      </c>
      <c r="O297">
        <f t="shared" si="66"/>
        <v>-8.6288384022343916E-4</v>
      </c>
      <c r="P297">
        <f t="shared" si="66"/>
        <v>0</v>
      </c>
      <c r="Q297">
        <f t="shared" si="66"/>
        <v>-8.543518351918916E-4</v>
      </c>
      <c r="R297">
        <f t="shared" si="66"/>
        <v>-2.6662018609232673E-4</v>
      </c>
      <c r="S297">
        <f t="shared" si="66"/>
        <v>-4.8819126946042464E-4</v>
      </c>
      <c r="T297">
        <f t="shared" si="66"/>
        <v>-4.1213169838176452E-4</v>
      </c>
      <c r="U297">
        <f t="shared" si="66"/>
        <v>-2.1288726762185126E-4</v>
      </c>
      <c r="V297">
        <f t="shared" si="66"/>
        <v>-3.9944812701529455E-4</v>
      </c>
      <c r="W297">
        <f t="shared" si="66"/>
        <v>-4.1649941730350764E-4</v>
      </c>
      <c r="X297">
        <f t="shared" si="66"/>
        <v>-2.3829372205618927E-4</v>
      </c>
      <c r="Y297">
        <f t="shared" si="66"/>
        <v>-4.0197778515395377E-4</v>
      </c>
      <c r="Z297">
        <f t="shared" si="66"/>
        <v>-1.3636583839985166E-3</v>
      </c>
      <c r="AA297">
        <f t="shared" si="66"/>
        <v>-4.6913456115772766E-4</v>
      </c>
      <c r="AB297">
        <f t="shared" si="66"/>
        <v>-5.3968804600040474E-4</v>
      </c>
      <c r="AC297">
        <f t="shared" si="66"/>
        <v>-1.1412610058804478E-3</v>
      </c>
      <c r="AD297">
        <f t="shared" si="66"/>
        <v>-4.7510735025384844E-4</v>
      </c>
      <c r="AE297">
        <f t="shared" si="66"/>
        <v>-5.4199703150445613E-3</v>
      </c>
      <c r="AF297">
        <f t="shared" si="66"/>
        <v>-1.8157240321133659E-3</v>
      </c>
      <c r="AG297">
        <f t="shared" si="66"/>
        <v>-0.2141455560739724</v>
      </c>
      <c r="AH297">
        <f t="shared" si="66"/>
        <v>-1.8575627197899092E-3</v>
      </c>
      <c r="AI297">
        <f t="shared" si="66"/>
        <v>-9.8142779815608636E-4</v>
      </c>
      <c r="AJ297">
        <f t="shared" si="66"/>
        <v>-1.1347461607090525E-3</v>
      </c>
      <c r="AK297">
        <f t="shared" si="66"/>
        <v>-7.2368823947544783E-4</v>
      </c>
      <c r="AL297">
        <f t="shared" si="66"/>
        <v>-5.95079366289089E-4</v>
      </c>
      <c r="AM297">
        <f t="shared" si="66"/>
        <v>-1.2593515810812108E-3</v>
      </c>
      <c r="AN297">
        <f t="shared" si="66"/>
        <v>-2.1072181991755221E-3</v>
      </c>
      <c r="AO297">
        <f t="shared" si="66"/>
        <v>-5.0235888231705012E-3</v>
      </c>
      <c r="AP297">
        <f t="shared" si="66"/>
        <v>-5.8713094338086868E-3</v>
      </c>
      <c r="AQ297">
        <f t="shared" si="66"/>
        <v>-6.0098031335735907E-3</v>
      </c>
      <c r="AR297">
        <f t="shared" si="66"/>
        <v>0</v>
      </c>
    </row>
    <row r="298" spans="1:53">
      <c r="A298" t="s">
        <v>384</v>
      </c>
      <c r="B298" t="s">
        <v>8</v>
      </c>
      <c r="C298">
        <f t="shared" ref="C298:AR298" si="67">IFERROR(C253-C208,0)</f>
        <v>-3.1024696676339573E-3</v>
      </c>
      <c r="D298">
        <f t="shared" si="67"/>
        <v>-3.0233289218863399E-3</v>
      </c>
      <c r="E298">
        <f t="shared" si="67"/>
        <v>-1.6859051158252686E-3</v>
      </c>
      <c r="F298">
        <f t="shared" si="67"/>
        <v>-2.6189795731967822E-3</v>
      </c>
      <c r="G298">
        <f t="shared" si="67"/>
        <v>-1.8055334289203975E-3</v>
      </c>
      <c r="H298">
        <f t="shared" si="67"/>
        <v>-1.855351374151348E-3</v>
      </c>
      <c r="I298">
        <f t="shared" si="67"/>
        <v>0.71012948722648028</v>
      </c>
      <c r="J298">
        <f t="shared" si="67"/>
        <v>-3.5282067844130817E-3</v>
      </c>
      <c r="K298">
        <f t="shared" si="67"/>
        <v>-7.6748341529438409E-3</v>
      </c>
      <c r="L298">
        <f t="shared" si="67"/>
        <v>-2.7619632471617944E-4</v>
      </c>
      <c r="M298">
        <f t="shared" si="67"/>
        <v>-3.4911052609389458E-3</v>
      </c>
      <c r="N298">
        <f t="shared" si="67"/>
        <v>-1.8485026976096824E-3</v>
      </c>
      <c r="O298">
        <f t="shared" si="67"/>
        <v>-7.8013450689504334E-3</v>
      </c>
      <c r="P298">
        <f t="shared" si="67"/>
        <v>-5.6094693575999104E-3</v>
      </c>
      <c r="Q298">
        <f t="shared" si="67"/>
        <v>-4.2490689814366159E-3</v>
      </c>
      <c r="R298">
        <f t="shared" si="67"/>
        <v>-9.3269492141140082E-4</v>
      </c>
      <c r="S298">
        <f t="shared" si="67"/>
        <v>-9.5888923526341789E-4</v>
      </c>
      <c r="T298">
        <f t="shared" si="67"/>
        <v>-1.8109448907625112E-3</v>
      </c>
      <c r="U298">
        <f t="shared" si="67"/>
        <v>-9.3430948195626215E-4</v>
      </c>
      <c r="V298">
        <f t="shared" si="67"/>
        <v>-1.6509347454735208E-3</v>
      </c>
      <c r="W298">
        <f t="shared" si="67"/>
        <v>-1.9024858130115164E-3</v>
      </c>
      <c r="X298">
        <f t="shared" si="67"/>
        <v>-5.5901887932408014E-3</v>
      </c>
      <c r="Y298">
        <f t="shared" si="67"/>
        <v>-4.2433170440053765E-3</v>
      </c>
      <c r="Z298">
        <f t="shared" si="67"/>
        <v>-2.5073105704040713E-2</v>
      </c>
      <c r="AA298">
        <f t="shared" si="67"/>
        <v>-8.8983127382898932E-4</v>
      </c>
      <c r="AB298">
        <f t="shared" si="67"/>
        <v>-5.6372717770029033E-4</v>
      </c>
      <c r="AC298">
        <f t="shared" si="67"/>
        <v>-2.6880425751027405E-3</v>
      </c>
      <c r="AD298">
        <f t="shared" si="67"/>
        <v>-2.1623693382431725E-3</v>
      </c>
      <c r="AE298">
        <f t="shared" si="67"/>
        <v>-4.8365559946961902E-3</v>
      </c>
      <c r="AF298">
        <f t="shared" si="67"/>
        <v>-1.494160785302514E-3</v>
      </c>
      <c r="AG298">
        <f t="shared" si="67"/>
        <v>-5.5407723210491675E-3</v>
      </c>
      <c r="AH298">
        <f t="shared" si="67"/>
        <v>-1.2708547057092912E-3</v>
      </c>
      <c r="AI298">
        <f t="shared" si="67"/>
        <v>-1.2829794884842377E-3</v>
      </c>
      <c r="AJ298">
        <f t="shared" si="67"/>
        <v>-9.6878252189730853E-4</v>
      </c>
      <c r="AK298">
        <f t="shared" si="67"/>
        <v>-6.5530520313046169E-4</v>
      </c>
      <c r="AL298">
        <f t="shared" si="67"/>
        <v>-9.4876747073418491E-4</v>
      </c>
      <c r="AM298">
        <f t="shared" si="67"/>
        <v>-2.6710240182651517E-3</v>
      </c>
      <c r="AN298">
        <f t="shared" si="67"/>
        <v>-3.6593984041247501E-3</v>
      </c>
      <c r="AO298">
        <f t="shared" si="67"/>
        <v>-2.5325183820712103E-3</v>
      </c>
      <c r="AP298">
        <f t="shared" si="67"/>
        <v>-5.0652733436523049E-3</v>
      </c>
      <c r="AQ298">
        <f t="shared" si="67"/>
        <v>-1.1695449213367622E-2</v>
      </c>
      <c r="AR298">
        <f t="shared" si="67"/>
        <v>0</v>
      </c>
    </row>
    <row r="299" spans="1:53">
      <c r="A299" t="s">
        <v>384</v>
      </c>
      <c r="B299" t="s">
        <v>9</v>
      </c>
      <c r="C299">
        <f t="shared" ref="C299:AR299" si="68">IFERROR(C254-C209,0)</f>
        <v>-9.2897107295217534E-4</v>
      </c>
      <c r="D299">
        <f t="shared" si="68"/>
        <v>-1.2225270993507023E-3</v>
      </c>
      <c r="E299">
        <f t="shared" si="68"/>
        <v>-2.6544037993844651E-4</v>
      </c>
      <c r="F299">
        <f t="shared" si="68"/>
        <v>-9.0275097449374949E-4</v>
      </c>
      <c r="G299">
        <f t="shared" si="68"/>
        <v>-3.1862354628007009E-4</v>
      </c>
      <c r="H299">
        <f t="shared" si="68"/>
        <v>-1.1796136114788156E-3</v>
      </c>
      <c r="I299">
        <f t="shared" si="68"/>
        <v>-7.5816164129279364E-4</v>
      </c>
      <c r="J299">
        <f t="shared" si="68"/>
        <v>0.86312751155007117</v>
      </c>
      <c r="K299">
        <f t="shared" si="68"/>
        <v>-6.0276382359122022E-3</v>
      </c>
      <c r="L299">
        <f t="shared" si="68"/>
        <v>-2.1196655558032445E-5</v>
      </c>
      <c r="M299">
        <f t="shared" si="68"/>
        <v>-8.7860333910543139E-4</v>
      </c>
      <c r="N299">
        <f t="shared" si="68"/>
        <v>-2.4735906790091563E-4</v>
      </c>
      <c r="O299">
        <f t="shared" si="68"/>
        <v>-9.8096157132350828E-4</v>
      </c>
      <c r="P299">
        <f t="shared" si="68"/>
        <v>-5.271916665816642E-3</v>
      </c>
      <c r="Q299">
        <f t="shared" si="68"/>
        <v>-2.9952029176462118E-3</v>
      </c>
      <c r="R299">
        <f t="shared" si="68"/>
        <v>-2.1510920842639249E-4</v>
      </c>
      <c r="S299">
        <f t="shared" si="68"/>
        <v>-5.4153183496048751E-4</v>
      </c>
      <c r="T299">
        <f t="shared" si="68"/>
        <v>-1.1536945995128346E-3</v>
      </c>
      <c r="U299">
        <f t="shared" si="68"/>
        <v>-2.489362991475262E-4</v>
      </c>
      <c r="V299">
        <f t="shared" si="68"/>
        <v>-7.8769598561548174E-4</v>
      </c>
      <c r="W299">
        <f t="shared" si="68"/>
        <v>-6.4370697988912716E-4</v>
      </c>
      <c r="X299">
        <f t="shared" si="68"/>
        <v>-1.1803282897539932E-3</v>
      </c>
      <c r="Y299">
        <f t="shared" si="68"/>
        <v>-4.0052724631894528E-3</v>
      </c>
      <c r="Z299">
        <f t="shared" si="68"/>
        <v>-3.4644990125892436E-2</v>
      </c>
      <c r="AA299">
        <f t="shared" si="68"/>
        <v>-5.2606518532121393E-4</v>
      </c>
      <c r="AB299">
        <f t="shared" si="68"/>
        <v>-1.3998978479992825E-4</v>
      </c>
      <c r="AC299">
        <f t="shared" si="68"/>
        <v>-3.4620728559698959E-4</v>
      </c>
      <c r="AD299">
        <f t="shared" si="68"/>
        <v>-1.2979238200240053E-2</v>
      </c>
      <c r="AE299">
        <f t="shared" si="68"/>
        <v>-8.1933571695831588E-4</v>
      </c>
      <c r="AF299">
        <f t="shared" si="68"/>
        <v>-4.4074499139176379E-4</v>
      </c>
      <c r="AG299">
        <f t="shared" si="68"/>
        <v>-8.4357769864606101E-4</v>
      </c>
      <c r="AH299">
        <f t="shared" si="68"/>
        <v>-3.1623619935893579E-4</v>
      </c>
      <c r="AI299">
        <f t="shared" si="68"/>
        <v>-1.2339448168799454E-4</v>
      </c>
      <c r="AJ299">
        <f t="shared" si="68"/>
        <v>-9.0206857167997792E-5</v>
      </c>
      <c r="AK299">
        <f t="shared" si="68"/>
        <v>-5.1436700345868741E-5</v>
      </c>
      <c r="AL299">
        <f t="shared" si="68"/>
        <v>-1.9878722192198119E-3</v>
      </c>
      <c r="AM299">
        <f t="shared" si="68"/>
        <v>-4.5448203583273216E-4</v>
      </c>
      <c r="AN299">
        <f t="shared" si="68"/>
        <v>-1.069010309938877E-4</v>
      </c>
      <c r="AO299">
        <f t="shared" si="68"/>
        <v>-2.9867025547326831E-4</v>
      </c>
      <c r="AP299">
        <f t="shared" si="68"/>
        <v>-2.6508906417477783E-4</v>
      </c>
      <c r="AQ299">
        <f t="shared" si="68"/>
        <v>-1.6473576424213114E-3</v>
      </c>
      <c r="AR299">
        <f t="shared" si="68"/>
        <v>0</v>
      </c>
    </row>
    <row r="300" spans="1:53">
      <c r="A300" t="s">
        <v>384</v>
      </c>
      <c r="B300" t="s">
        <v>10</v>
      </c>
      <c r="C300">
        <f t="shared" ref="C300:AR300" si="69">IFERROR(C255-C210,0)</f>
        <v>-1.6786104011479526E-3</v>
      </c>
      <c r="D300">
        <f t="shared" si="69"/>
        <v>-7.8008872053806722E-4</v>
      </c>
      <c r="E300">
        <f t="shared" si="69"/>
        <v>-1.1550243559483755E-3</v>
      </c>
      <c r="F300">
        <f t="shared" si="69"/>
        <v>-1.4410427598723658E-3</v>
      </c>
      <c r="G300">
        <f t="shared" si="69"/>
        <v>-7.9655886570017523E-4</v>
      </c>
      <c r="H300">
        <f t="shared" si="69"/>
        <v>-2.1015455847117837E-2</v>
      </c>
      <c r="I300">
        <f t="shared" si="69"/>
        <v>-5.8868018904112349E-3</v>
      </c>
      <c r="J300">
        <f t="shared" si="69"/>
        <v>-9.9566542110327613E-3</v>
      </c>
      <c r="K300">
        <f t="shared" si="69"/>
        <v>0.76919054916516016</v>
      </c>
      <c r="L300">
        <f t="shared" si="69"/>
        <v>-2.2934998846628102E-4</v>
      </c>
      <c r="M300">
        <f t="shared" si="69"/>
        <v>-4.353203455055102E-3</v>
      </c>
      <c r="N300">
        <f t="shared" si="69"/>
        <v>-8.7965129852410825E-3</v>
      </c>
      <c r="O300">
        <f t="shared" si="69"/>
        <v>-5.6711998312318134E-3</v>
      </c>
      <c r="P300">
        <f t="shared" si="69"/>
        <v>-1.1251186917214903E-2</v>
      </c>
      <c r="Q300">
        <f t="shared" si="69"/>
        <v>-1.0813279449676381E-2</v>
      </c>
      <c r="R300">
        <f t="shared" si="69"/>
        <v>-8.0600099806373525E-4</v>
      </c>
      <c r="S300">
        <f t="shared" si="69"/>
        <v>-1.7934639293182466E-3</v>
      </c>
      <c r="T300">
        <f t="shared" si="69"/>
        <v>-3.1746583980586749E-3</v>
      </c>
      <c r="U300">
        <f t="shared" si="69"/>
        <v>-2.2948701757311181E-3</v>
      </c>
      <c r="V300">
        <f t="shared" si="69"/>
        <v>-3.7787074244209386E-3</v>
      </c>
      <c r="W300">
        <f t="shared" si="69"/>
        <v>-2.9292367816688468E-3</v>
      </c>
      <c r="X300">
        <f t="shared" si="69"/>
        <v>-2.0188443539250881E-3</v>
      </c>
      <c r="Y300">
        <f t="shared" si="69"/>
        <v>-2.0988850622930552E-3</v>
      </c>
      <c r="Z300">
        <f t="shared" si="69"/>
        <v>-1.2015910496289101E-2</v>
      </c>
      <c r="AA300">
        <f t="shared" si="69"/>
        <v>-1.2206188001157453E-3</v>
      </c>
      <c r="AB300">
        <f t="shared" si="69"/>
        <v>-7.6317088643654231E-4</v>
      </c>
      <c r="AC300">
        <f t="shared" si="69"/>
        <v>-2.5020690701520599E-3</v>
      </c>
      <c r="AD300">
        <f t="shared" si="69"/>
        <v>-1.5621574651010247E-3</v>
      </c>
      <c r="AE300">
        <f t="shared" si="69"/>
        <v>-8.5134506770961679E-3</v>
      </c>
      <c r="AF300">
        <f t="shared" si="69"/>
        <v>-2.8755362844562157E-3</v>
      </c>
      <c r="AG300">
        <f t="shared" si="69"/>
        <v>-5.4112716857598227E-3</v>
      </c>
      <c r="AH300">
        <f t="shared" si="69"/>
        <v>-5.6368387174997821E-2</v>
      </c>
      <c r="AI300">
        <f t="shared" si="69"/>
        <v>-5.9279917559645311E-3</v>
      </c>
      <c r="AJ300">
        <f t="shared" si="69"/>
        <v>-8.2834181341767208E-3</v>
      </c>
      <c r="AK300">
        <f t="shared" si="69"/>
        <v>-6.3751565214162339E-3</v>
      </c>
      <c r="AL300">
        <f t="shared" si="69"/>
        <v>-1.0839628731525012E-3</v>
      </c>
      <c r="AM300">
        <f t="shared" si="69"/>
        <v>-8.6702655937040303E-3</v>
      </c>
      <c r="AN300">
        <f t="shared" si="69"/>
        <v>-6.3389307653275309E-3</v>
      </c>
      <c r="AO300">
        <f t="shared" si="69"/>
        <v>-1.3251035309676095E-2</v>
      </c>
      <c r="AP300">
        <f t="shared" si="69"/>
        <v>-4.9851217795051752E-3</v>
      </c>
      <c r="AQ300">
        <f t="shared" si="69"/>
        <v>-9.3068389140732229E-3</v>
      </c>
      <c r="AR300">
        <f t="shared" si="69"/>
        <v>0</v>
      </c>
    </row>
    <row r="301" spans="1:53">
      <c r="A301" t="s">
        <v>384</v>
      </c>
      <c r="B301" t="s">
        <v>11</v>
      </c>
      <c r="C301">
        <f t="shared" ref="C301:AR301" si="70">IFERROR(C256-C211,0)</f>
        <v>-4.8222917625098997E-2</v>
      </c>
      <c r="D301">
        <f t="shared" si="70"/>
        <v>-4.2730232901115023E-2</v>
      </c>
      <c r="E301">
        <f t="shared" si="70"/>
        <v>-2.4736173784534153E-2</v>
      </c>
      <c r="F301">
        <f t="shared" si="70"/>
        <v>-6.4065561405628052E-2</v>
      </c>
      <c r="G301">
        <f t="shared" si="70"/>
        <v>-3.8287929477988425E-2</v>
      </c>
      <c r="H301">
        <f t="shared" si="70"/>
        <v>-1.5233671520167084E-2</v>
      </c>
      <c r="I301">
        <f t="shared" si="70"/>
        <v>-1.2201828897902195E-2</v>
      </c>
      <c r="J301">
        <f t="shared" si="70"/>
        <v>-2.4622196767604035E-2</v>
      </c>
      <c r="K301">
        <f t="shared" si="70"/>
        <v>-1.7277348609410447E-2</v>
      </c>
      <c r="L301">
        <f t="shared" si="70"/>
        <v>0.92422114383090759</v>
      </c>
      <c r="M301">
        <f t="shared" si="70"/>
        <v>-8.9863455834747738E-2</v>
      </c>
      <c r="N301">
        <f t="shared" si="70"/>
        <v>-1.0420069158967918E-2</v>
      </c>
      <c r="O301">
        <f t="shared" si="70"/>
        <v>-2.5399637924645363E-2</v>
      </c>
      <c r="P301">
        <f t="shared" si="70"/>
        <v>-4.4101972094917674E-2</v>
      </c>
      <c r="Q301">
        <f t="shared" si="70"/>
        <v>-3.5283336858127193E-2</v>
      </c>
      <c r="R301">
        <f t="shared" si="70"/>
        <v>-2.9846369632362531E-2</v>
      </c>
      <c r="S301">
        <f t="shared" si="70"/>
        <v>-1.4707164798829509E-2</v>
      </c>
      <c r="T301">
        <f t="shared" si="70"/>
        <v>-7.7767426030719965E-3</v>
      </c>
      <c r="U301">
        <f t="shared" si="70"/>
        <v>-2.1817399100889719E-3</v>
      </c>
      <c r="V301">
        <f t="shared" si="70"/>
        <v>-8.6550664553335706E-3</v>
      </c>
      <c r="W301">
        <f t="shared" si="70"/>
        <v>-5.1135669123171619E-3</v>
      </c>
      <c r="X301">
        <f t="shared" si="70"/>
        <v>-7.2891038592058826E-3</v>
      </c>
      <c r="Y301">
        <f t="shared" si="70"/>
        <v>-7.1089123025197378E-3</v>
      </c>
      <c r="Z301">
        <f t="shared" si="70"/>
        <v>-1.4129593172290577E-2</v>
      </c>
      <c r="AA301">
        <f t="shared" si="70"/>
        <v>-5.437594667645524E-2</v>
      </c>
      <c r="AB301">
        <f t="shared" si="70"/>
        <v>-7.3879024643711086E-2</v>
      </c>
      <c r="AC301">
        <f t="shared" si="70"/>
        <v>-2.7780556699876377E-2</v>
      </c>
      <c r="AD301">
        <f t="shared" si="70"/>
        <v>-1.5826600817040556E-2</v>
      </c>
      <c r="AE301">
        <f t="shared" si="70"/>
        <v>-1.7540916473065979E-2</v>
      </c>
      <c r="AF301">
        <f t="shared" si="70"/>
        <v>-9.5557692440829525E-2</v>
      </c>
      <c r="AG301">
        <f t="shared" si="70"/>
        <v>-1.0410790957518798E-2</v>
      </c>
      <c r="AH301">
        <f t="shared" si="70"/>
        <v>-4.5887071340653526E-3</v>
      </c>
      <c r="AI301">
        <f t="shared" si="70"/>
        <v>-5.9606185913708967E-3</v>
      </c>
      <c r="AJ301">
        <f t="shared" si="70"/>
        <v>-4.750623807730359E-3</v>
      </c>
      <c r="AK301">
        <f t="shared" si="70"/>
        <v>-3.9793887785921885E-3</v>
      </c>
      <c r="AL301">
        <f t="shared" si="70"/>
        <v>-2.4577969705478612E-3</v>
      </c>
      <c r="AM301">
        <f t="shared" si="70"/>
        <v>-9.207989521050286E-3</v>
      </c>
      <c r="AN301">
        <f t="shared" si="70"/>
        <v>-1.1311336893227251E-2</v>
      </c>
      <c r="AO301">
        <f t="shared" si="70"/>
        <v>-7.3151171574420441E-3</v>
      </c>
      <c r="AP301">
        <f t="shared" si="70"/>
        <v>-6.8760655540814871E-3</v>
      </c>
      <c r="AQ301">
        <f t="shared" si="70"/>
        <v>-1.4384623061761479E-2</v>
      </c>
      <c r="AR301">
        <f t="shared" si="70"/>
        <v>0</v>
      </c>
    </row>
    <row r="302" spans="1:53">
      <c r="A302" t="s">
        <v>384</v>
      </c>
      <c r="B302" t="s">
        <v>58</v>
      </c>
      <c r="C302">
        <f t="shared" ref="C302:AR302" si="71">IFERROR(C257-C212,0)</f>
        <v>-6.8589936421059816E-2</v>
      </c>
      <c r="D302">
        <f t="shared" si="71"/>
        <v>-2.3274587348590989E-2</v>
      </c>
      <c r="E302">
        <f t="shared" si="71"/>
        <v>-1.2145690898264595E-2</v>
      </c>
      <c r="F302">
        <f t="shared" si="71"/>
        <v>-3.8445288400062463E-2</v>
      </c>
      <c r="G302">
        <f t="shared" si="71"/>
        <v>-1.582496946524348E-2</v>
      </c>
      <c r="H302">
        <f t="shared" si="71"/>
        <v>-2.0609937002833818E-2</v>
      </c>
      <c r="I302">
        <f t="shared" si="71"/>
        <v>-7.932340461669786E-2</v>
      </c>
      <c r="J302">
        <f t="shared" si="71"/>
        <v>-5.7755730662794186E-2</v>
      </c>
      <c r="K302">
        <f t="shared" si="71"/>
        <v>-6.65876596106698E-2</v>
      </c>
      <c r="L302">
        <f t="shared" si="71"/>
        <v>-1.7544931823353458E-2</v>
      </c>
      <c r="M302">
        <f t="shared" si="71"/>
        <v>0.71838470067752913</v>
      </c>
      <c r="N302">
        <f t="shared" si="71"/>
        <v>-6.9238035236715859E-2</v>
      </c>
      <c r="O302">
        <f t="shared" si="71"/>
        <v>-0.23511263755393563</v>
      </c>
      <c r="P302">
        <f t="shared" si="71"/>
        <v>-0.35259688303424547</v>
      </c>
      <c r="Q302">
        <f t="shared" si="71"/>
        <v>-5.5451576460084067E-3</v>
      </c>
      <c r="R302">
        <f t="shared" si="71"/>
        <v>-1.2471242016712479E-2</v>
      </c>
      <c r="S302">
        <f t="shared" si="71"/>
        <v>-1.8916946337689814E-2</v>
      </c>
      <c r="T302">
        <f t="shared" si="71"/>
        <v>-1.7560364725113815E-2</v>
      </c>
      <c r="U302">
        <f t="shared" si="71"/>
        <v>-1.1587489917486232E-2</v>
      </c>
      <c r="V302">
        <f t="shared" si="71"/>
        <v>-2.1671085613932467E-2</v>
      </c>
      <c r="W302">
        <f t="shared" si="71"/>
        <v>-1.1185193824738596E-2</v>
      </c>
      <c r="X302">
        <f t="shared" si="71"/>
        <v>-1.6927455758799784E-2</v>
      </c>
      <c r="Y302">
        <f t="shared" si="71"/>
        <v>-2.5503262217207969E-2</v>
      </c>
      <c r="Z302">
        <f t="shared" si="71"/>
        <v>-5.0982232174750966E-2</v>
      </c>
      <c r="AA302">
        <f t="shared" si="71"/>
        <v>-5.3341092128441365E-3</v>
      </c>
      <c r="AB302">
        <f t="shared" si="71"/>
        <v>-4.4291623190140161E-3</v>
      </c>
      <c r="AC302">
        <f t="shared" si="71"/>
        <v>-2.2131006963194953E-2</v>
      </c>
      <c r="AD302">
        <f t="shared" si="71"/>
        <v>-1.366666760641504E-2</v>
      </c>
      <c r="AE302">
        <f t="shared" si="71"/>
        <v>-4.6947967984065104E-3</v>
      </c>
      <c r="AF302">
        <f t="shared" si="71"/>
        <v>-7.2409817702690279E-3</v>
      </c>
      <c r="AG302">
        <f t="shared" si="71"/>
        <v>-7.1717577023517167E-3</v>
      </c>
      <c r="AH302">
        <f t="shared" si="71"/>
        <v>-7.4598565272514942E-3</v>
      </c>
      <c r="AI302">
        <f t="shared" si="71"/>
        <v>-1.0908483426218052E-3</v>
      </c>
      <c r="AJ302">
        <f t="shared" si="71"/>
        <v>-2.3725436901632156E-3</v>
      </c>
      <c r="AK302">
        <f t="shared" si="71"/>
        <v>-7.3276495955243014E-4</v>
      </c>
      <c r="AL302">
        <f t="shared" si="71"/>
        <v>-5.3567427196615025E-3</v>
      </c>
      <c r="AM302">
        <f t="shared" si="71"/>
        <v>-6.9186337213071169E-3</v>
      </c>
      <c r="AN302">
        <f t="shared" si="71"/>
        <v>-2.4512934430328676E-3</v>
      </c>
      <c r="AO302">
        <f t="shared" si="71"/>
        <v>-4.8769892767972032E-3</v>
      </c>
      <c r="AP302">
        <f t="shared" si="71"/>
        <v>-1.1803147260790573E-2</v>
      </c>
      <c r="AQ302">
        <f t="shared" si="71"/>
        <v>-1.5739868076476069E-2</v>
      </c>
      <c r="AR302">
        <f t="shared" si="71"/>
        <v>0</v>
      </c>
    </row>
    <row r="303" spans="1:53">
      <c r="A303" t="s">
        <v>384</v>
      </c>
      <c r="B303" t="s">
        <v>59</v>
      </c>
      <c r="C303">
        <f t="shared" ref="C303:AR303" si="72">IFERROR(C258-C213,0)</f>
        <v>-4.8646403058146886E-3</v>
      </c>
      <c r="D303">
        <f t="shared" si="72"/>
        <v>-1.0517614092826677E-3</v>
      </c>
      <c r="E303">
        <f t="shared" si="72"/>
        <v>-8.3936552575130394E-4</v>
      </c>
      <c r="F303">
        <f t="shared" si="72"/>
        <v>-8.1200446661382946E-4</v>
      </c>
      <c r="G303">
        <f t="shared" si="72"/>
        <v>-3.1862354628007009E-4</v>
      </c>
      <c r="H303">
        <f t="shared" si="72"/>
        <v>-2.7786577551004907E-3</v>
      </c>
      <c r="I303">
        <f t="shared" si="72"/>
        <v>-6.7240801169688553E-4</v>
      </c>
      <c r="J303">
        <f t="shared" si="72"/>
        <v>-3.2604834664554458E-4</v>
      </c>
      <c r="K303">
        <f t="shared" si="72"/>
        <v>-2.1047685651754834E-4</v>
      </c>
      <c r="L303">
        <f t="shared" si="72"/>
        <v>-5.7620609705898041E-5</v>
      </c>
      <c r="M303">
        <f t="shared" si="72"/>
        <v>-2.6858870381302269E-3</v>
      </c>
      <c r="N303">
        <f t="shared" si="72"/>
        <v>0.85213629709679095</v>
      </c>
      <c r="O303">
        <f t="shared" si="72"/>
        <v>-3.6898705033226178E-4</v>
      </c>
      <c r="P303">
        <f t="shared" si="72"/>
        <v>0</v>
      </c>
      <c r="Q303">
        <f t="shared" si="72"/>
        <v>0</v>
      </c>
      <c r="R303">
        <f t="shared" si="72"/>
        <v>-1.767072327729279E-4</v>
      </c>
      <c r="S303">
        <f t="shared" si="72"/>
        <v>-2.0501591460305563E-4</v>
      </c>
      <c r="T303">
        <f t="shared" si="72"/>
        <v>-1.4993627852963171E-4</v>
      </c>
      <c r="U303">
        <f t="shared" si="72"/>
        <v>-1.3911937436029932E-4</v>
      </c>
      <c r="V303">
        <f t="shared" si="72"/>
        <v>-1.2127158097953886E-4</v>
      </c>
      <c r="W303">
        <f t="shared" si="72"/>
        <v>-4.6137556108013855E-4</v>
      </c>
      <c r="X303">
        <f t="shared" si="72"/>
        <v>-1.3204678801436915E-4</v>
      </c>
      <c r="Y303">
        <f t="shared" si="72"/>
        <v>-1.7692110590687533E-4</v>
      </c>
      <c r="Z303">
        <f t="shared" si="72"/>
        <v>-1.6940365847309239E-3</v>
      </c>
      <c r="AA303">
        <f t="shared" si="72"/>
        <v>-2.5998942607292056E-4</v>
      </c>
      <c r="AB303">
        <f t="shared" si="72"/>
        <v>-1.6386197808523117E-4</v>
      </c>
      <c r="AC303">
        <f t="shared" si="72"/>
        <v>-1.3859082923199737E-3</v>
      </c>
      <c r="AD303">
        <f t="shared" si="72"/>
        <v>-1.7932814290456199E-4</v>
      </c>
      <c r="AE303">
        <f t="shared" si="72"/>
        <v>-7.6165200894521244E-4</v>
      </c>
      <c r="AF303">
        <f t="shared" si="72"/>
        <v>-3.6916266779244333E-4</v>
      </c>
      <c r="AG303">
        <f t="shared" si="72"/>
        <v>-8.7938906074819549E-4</v>
      </c>
      <c r="AH303">
        <f t="shared" si="72"/>
        <v>-3.9996613398132357E-4</v>
      </c>
      <c r="AI303">
        <f t="shared" si="72"/>
        <v>-5.1669996702066886E-4</v>
      </c>
      <c r="AJ303">
        <f t="shared" si="72"/>
        <v>-1.4715085849319708E-3</v>
      </c>
      <c r="AK303">
        <f t="shared" si="72"/>
        <v>-3.0287180801742052E-4</v>
      </c>
      <c r="AL303">
        <f t="shared" si="72"/>
        <v>-1.6776213264219064E-4</v>
      </c>
      <c r="AM303">
        <f t="shared" si="72"/>
        <v>-2.2214222368352678E-3</v>
      </c>
      <c r="AN303">
        <f t="shared" si="72"/>
        <v>-2.7040870316168164E-3</v>
      </c>
      <c r="AO303">
        <f t="shared" si="72"/>
        <v>-1.5141313402146407E-3</v>
      </c>
      <c r="AP303">
        <f t="shared" si="72"/>
        <v>-7.6701134696210357E-2</v>
      </c>
      <c r="AQ303">
        <f t="shared" si="72"/>
        <v>-1.9664419847646181E-3</v>
      </c>
      <c r="AR303">
        <f t="shared" si="72"/>
        <v>0</v>
      </c>
    </row>
    <row r="304" spans="1:53">
      <c r="A304" t="s">
        <v>384</v>
      </c>
      <c r="B304" t="s">
        <v>12</v>
      </c>
      <c r="C304">
        <f t="shared" ref="C304:AR304" si="73">IFERROR(C259-C214,0)</f>
        <v>-8.2827560791327633E-3</v>
      </c>
      <c r="D304">
        <f t="shared" si="73"/>
        <v>-1.1720736000124193E-2</v>
      </c>
      <c r="E304">
        <f t="shared" si="73"/>
        <v>-6.9444942643355741E-3</v>
      </c>
      <c r="F304">
        <f t="shared" si="73"/>
        <v>-1.0092602686450193E-2</v>
      </c>
      <c r="G304">
        <f t="shared" si="73"/>
        <v>-4.7262492698210397E-3</v>
      </c>
      <c r="H304">
        <f t="shared" si="73"/>
        <v>-3.8756987185225113E-2</v>
      </c>
      <c r="I304">
        <f t="shared" si="73"/>
        <v>-1.8753496704179543E-2</v>
      </c>
      <c r="J304">
        <f t="shared" si="73"/>
        <v>-1.9810153175248871E-2</v>
      </c>
      <c r="K304">
        <f t="shared" si="73"/>
        <v>-2.6726573326490057E-2</v>
      </c>
      <c r="L304">
        <f t="shared" si="73"/>
        <v>-1.0215661926638946E-3</v>
      </c>
      <c r="M304">
        <f t="shared" si="73"/>
        <v>-1.8206836852015653E-2</v>
      </c>
      <c r="N304">
        <f t="shared" si="73"/>
        <v>-2.0141943476537125E-2</v>
      </c>
      <c r="O304">
        <f t="shared" si="73"/>
        <v>0.87209813370388212</v>
      </c>
      <c r="P304">
        <f t="shared" si="73"/>
        <v>-7.2150002761059345E-2</v>
      </c>
      <c r="Q304">
        <f t="shared" si="73"/>
        <v>-9.6205276651423234E-3</v>
      </c>
      <c r="R304">
        <f t="shared" si="73"/>
        <v>-2.7449439711298893E-3</v>
      </c>
      <c r="S304">
        <f t="shared" si="73"/>
        <v>-6.3895192293739389E-3</v>
      </c>
      <c r="T304">
        <f t="shared" si="73"/>
        <v>-1.547798613104869E-2</v>
      </c>
      <c r="U304">
        <f t="shared" si="73"/>
        <v>-1.3591464557894728E-2</v>
      </c>
      <c r="V304">
        <f t="shared" si="73"/>
        <v>-3.2311787606948542E-2</v>
      </c>
      <c r="W304">
        <f t="shared" si="73"/>
        <v>-2.3503505279523971E-2</v>
      </c>
      <c r="X304">
        <f t="shared" si="73"/>
        <v>-4.7825687363094636E-2</v>
      </c>
      <c r="Y304">
        <f t="shared" si="73"/>
        <v>-1.9477835476493306E-2</v>
      </c>
      <c r="Z304">
        <f t="shared" si="73"/>
        <v>-4.3549122884681615E-2</v>
      </c>
      <c r="AA304">
        <f t="shared" si="73"/>
        <v>-1.3353414986767705E-3</v>
      </c>
      <c r="AB304">
        <f t="shared" si="73"/>
        <v>-6.4316124502764981E-3</v>
      </c>
      <c r="AC304">
        <f t="shared" si="73"/>
        <v>-1.1023596492570873E-2</v>
      </c>
      <c r="AD304">
        <f t="shared" si="73"/>
        <v>-2.6706634095626538E-2</v>
      </c>
      <c r="AE304">
        <f t="shared" si="73"/>
        <v>-1.4981279573166511E-2</v>
      </c>
      <c r="AF304">
        <f t="shared" si="73"/>
        <v>-3.7120068020458012E-3</v>
      </c>
      <c r="AG304">
        <f t="shared" si="73"/>
        <v>-5.2917258334374967E-3</v>
      </c>
      <c r="AH304">
        <f t="shared" si="73"/>
        <v>-3.2058634070206006E-3</v>
      </c>
      <c r="AI304">
        <f t="shared" si="73"/>
        <v>-2.0251298390685014E-3</v>
      </c>
      <c r="AJ304">
        <f t="shared" si="73"/>
        <v>-1.2171097457214857E-3</v>
      </c>
      <c r="AK304">
        <f t="shared" si="73"/>
        <v>-9.2516329848570133E-4</v>
      </c>
      <c r="AL304">
        <f t="shared" si="73"/>
        <v>-4.6691152144539795E-3</v>
      </c>
      <c r="AM304">
        <f t="shared" si="73"/>
        <v>-3.9177023973081511E-3</v>
      </c>
      <c r="AN304">
        <f t="shared" si="73"/>
        <v>-1.4158489818083093E-3</v>
      </c>
      <c r="AO304">
        <f t="shared" si="73"/>
        <v>-2.6320434920502106E-3</v>
      </c>
      <c r="AP304">
        <f t="shared" si="73"/>
        <v>-3.2921653629342448E-3</v>
      </c>
      <c r="AQ304">
        <f t="shared" si="73"/>
        <v>-6.9788637059466172E-3</v>
      </c>
      <c r="AR304">
        <f t="shared" si="73"/>
        <v>0</v>
      </c>
    </row>
    <row r="305" spans="1:44">
      <c r="A305" t="s">
        <v>384</v>
      </c>
      <c r="B305" t="s">
        <v>132</v>
      </c>
      <c r="C305">
        <f t="shared" ref="C305:AR305" si="74">IFERROR(C260-C215,0)</f>
        <v>-1.3777577916140005E-3</v>
      </c>
      <c r="D305">
        <f t="shared" si="74"/>
        <v>-3.2010459532336063E-4</v>
      </c>
      <c r="E305">
        <f t="shared" si="74"/>
        <v>-1.3770445755158728E-6</v>
      </c>
      <c r="F305">
        <f t="shared" si="74"/>
        <v>-4.828635101259653E-3</v>
      </c>
      <c r="G305">
        <f t="shared" si="74"/>
        <v>0</v>
      </c>
      <c r="H305">
        <f t="shared" si="74"/>
        <v>-5.5126177532438996E-3</v>
      </c>
      <c r="I305">
        <f t="shared" si="74"/>
        <v>-6.4878239434285512E-4</v>
      </c>
      <c r="J305">
        <f t="shared" si="74"/>
        <v>-1.3219152295022699E-3</v>
      </c>
      <c r="K305">
        <f t="shared" si="74"/>
        <v>-3.7708462015563627E-6</v>
      </c>
      <c r="L305">
        <f t="shared" si="74"/>
        <v>-3.5564890833654043E-5</v>
      </c>
      <c r="M305">
        <f t="shared" si="74"/>
        <v>-1.9769608983115795E-3</v>
      </c>
      <c r="N305">
        <f t="shared" si="74"/>
        <v>0</v>
      </c>
      <c r="O305">
        <f t="shared" si="74"/>
        <v>-3.9529664272625869E-3</v>
      </c>
      <c r="P305">
        <f t="shared" si="74"/>
        <v>0.85622414436264915</v>
      </c>
      <c r="Q305">
        <f t="shared" si="74"/>
        <v>-1.8780050868195136E-4</v>
      </c>
      <c r="R305">
        <f t="shared" si="74"/>
        <v>-1.3955866490284423E-5</v>
      </c>
      <c r="S305">
        <f t="shared" si="74"/>
        <v>-9.6252751951568245E-5</v>
      </c>
      <c r="T305">
        <f t="shared" si="74"/>
        <v>-8.1424598949463814E-4</v>
      </c>
      <c r="U305">
        <f t="shared" si="74"/>
        <v>-2.6577122886728382E-3</v>
      </c>
      <c r="V305">
        <f t="shared" si="74"/>
        <v>-2.6147148890143944E-3</v>
      </c>
      <c r="W305">
        <f t="shared" si="74"/>
        <v>-8.9418828122160847E-4</v>
      </c>
      <c r="X305">
        <f t="shared" si="74"/>
        <v>-3.8599729609425674E-3</v>
      </c>
      <c r="Y305">
        <f t="shared" si="74"/>
        <v>-2.1497222493366262E-3</v>
      </c>
      <c r="Z305">
        <f t="shared" si="74"/>
        <v>-3.9896530285577153E-3</v>
      </c>
      <c r="AA305">
        <f t="shared" si="74"/>
        <v>-5.0801527022657784E-5</v>
      </c>
      <c r="AB305">
        <f t="shared" si="74"/>
        <v>-1.1596758938281807E-5</v>
      </c>
      <c r="AC305">
        <f t="shared" si="74"/>
        <v>-1.487064803928524E-3</v>
      </c>
      <c r="AD305">
        <f t="shared" si="74"/>
        <v>-1.9705252397785498E-3</v>
      </c>
      <c r="AE305">
        <f t="shared" si="74"/>
        <v>-6.7319863619413011E-4</v>
      </c>
      <c r="AF305">
        <f t="shared" si="74"/>
        <v>-5.475845217490185E-4</v>
      </c>
      <c r="AG305">
        <f t="shared" si="74"/>
        <v>-7.8418826109439156E-4</v>
      </c>
      <c r="AH305">
        <f t="shared" si="74"/>
        <v>0</v>
      </c>
      <c r="AI305">
        <f t="shared" si="74"/>
        <v>-3.073636732269056E-4</v>
      </c>
      <c r="AJ305">
        <f t="shared" si="74"/>
        <v>-1.0997735618455433E-4</v>
      </c>
      <c r="AK305">
        <f t="shared" si="74"/>
        <v>-1.8603993776440352E-4</v>
      </c>
      <c r="AL305">
        <f t="shared" si="74"/>
        <v>-6.7861041387950686E-3</v>
      </c>
      <c r="AM305">
        <f t="shared" si="74"/>
        <v>-2.9259425166910767E-4</v>
      </c>
      <c r="AN305">
        <f t="shared" si="74"/>
        <v>-3.0407943261885689E-5</v>
      </c>
      <c r="AO305">
        <f t="shared" si="74"/>
        <v>-1.2579953920586404E-3</v>
      </c>
      <c r="AP305">
        <f t="shared" si="74"/>
        <v>-5.8281677992210259E-4</v>
      </c>
      <c r="AQ305">
        <f t="shared" si="74"/>
        <v>-9.0989730555375353E-4</v>
      </c>
      <c r="AR305">
        <f t="shared" si="74"/>
        <v>0</v>
      </c>
    </row>
    <row r="306" spans="1:44">
      <c r="A306" t="s">
        <v>384</v>
      </c>
      <c r="B306" t="s">
        <v>133</v>
      </c>
      <c r="C306">
        <f t="shared" ref="C306:AR306" si="75">IFERROR(C261-C216,0)</f>
        <v>-1.7431301551062625E-4</v>
      </c>
      <c r="D306">
        <f t="shared" si="75"/>
        <v>-4.7381629409281929E-5</v>
      </c>
      <c r="E306">
        <f t="shared" si="75"/>
        <v>-6.3500134300111487E-4</v>
      </c>
      <c r="F306">
        <f t="shared" si="75"/>
        <v>-5.9744668219473762E-5</v>
      </c>
      <c r="G306">
        <f t="shared" si="75"/>
        <v>0</v>
      </c>
      <c r="H306">
        <f t="shared" si="75"/>
        <v>-9.9623073847865135E-4</v>
      </c>
      <c r="I306">
        <f t="shared" si="75"/>
        <v>-1.0274852375229066E-3</v>
      </c>
      <c r="J306">
        <f t="shared" si="75"/>
        <v>-5.8856673096418658E-3</v>
      </c>
      <c r="K306">
        <f t="shared" si="75"/>
        <v>-1.1136604582420565E-3</v>
      </c>
      <c r="L306">
        <f t="shared" si="75"/>
        <v>-1.7941190933926332E-4</v>
      </c>
      <c r="M306">
        <f t="shared" si="75"/>
        <v>-1.5998856605362755E-3</v>
      </c>
      <c r="N306">
        <f t="shared" si="75"/>
        <v>0</v>
      </c>
      <c r="O306">
        <f t="shared" si="75"/>
        <v>-1.2250619367402977E-3</v>
      </c>
      <c r="P306">
        <f t="shared" si="75"/>
        <v>-1.0166749623406411E-2</v>
      </c>
      <c r="Q306">
        <f t="shared" si="75"/>
        <v>0.88263718406528491</v>
      </c>
      <c r="R306">
        <f t="shared" si="75"/>
        <v>-1.6801244803228707E-4</v>
      </c>
      <c r="S306">
        <f t="shared" si="75"/>
        <v>-1.5653018280197342E-3</v>
      </c>
      <c r="T306">
        <f t="shared" si="75"/>
        <v>-2.8785061261398931E-5</v>
      </c>
      <c r="U306">
        <f t="shared" si="75"/>
        <v>-4.344384857914471E-4</v>
      </c>
      <c r="V306">
        <f t="shared" si="75"/>
        <v>-5.6534880587215169E-4</v>
      </c>
      <c r="W306">
        <f t="shared" si="75"/>
        <v>-3.2649209038103191E-5</v>
      </c>
      <c r="X306">
        <f t="shared" si="75"/>
        <v>-1.2444110455238556E-4</v>
      </c>
      <c r="Y306">
        <f t="shared" si="75"/>
        <v>-7.0143353890566966E-4</v>
      </c>
      <c r="Z306">
        <f t="shared" si="75"/>
        <v>-7.3682557122907173E-4</v>
      </c>
      <c r="AA306">
        <f t="shared" si="75"/>
        <v>-6.2373713101825058E-4</v>
      </c>
      <c r="AB306">
        <f t="shared" si="75"/>
        <v>-6.5000684596006496E-6</v>
      </c>
      <c r="AC306">
        <f t="shared" si="75"/>
        <v>-3.5555949924603045E-3</v>
      </c>
      <c r="AD306">
        <f t="shared" si="75"/>
        <v>-4.2421451603302289E-2</v>
      </c>
      <c r="AE306">
        <f t="shared" si="75"/>
        <v>-1.326349146219697E-3</v>
      </c>
      <c r="AF306">
        <f t="shared" si="75"/>
        <v>-1.4433012928602564E-3</v>
      </c>
      <c r="AG306">
        <f t="shared" si="75"/>
        <v>-2.4662209309960709E-3</v>
      </c>
      <c r="AH306">
        <f t="shared" si="75"/>
        <v>0</v>
      </c>
      <c r="AI306">
        <f t="shared" si="75"/>
        <v>0</v>
      </c>
      <c r="AJ306">
        <f t="shared" si="75"/>
        <v>-1.5089920147360933E-4</v>
      </c>
      <c r="AK306">
        <f t="shared" si="75"/>
        <v>-1.8762851960295253E-4</v>
      </c>
      <c r="AL306">
        <f t="shared" si="75"/>
        <v>-7.8971521109184775E-4</v>
      </c>
      <c r="AM306">
        <f t="shared" si="75"/>
        <v>-2.4758224984964384E-4</v>
      </c>
      <c r="AN306">
        <f t="shared" si="75"/>
        <v>-6.3600429608635055E-4</v>
      </c>
      <c r="AO306">
        <f t="shared" si="75"/>
        <v>-1.3638642163037473E-3</v>
      </c>
      <c r="AP306">
        <f t="shared" si="75"/>
        <v>-4.1132682106440207E-4</v>
      </c>
      <c r="AQ306">
        <f t="shared" si="75"/>
        <v>-1.166602768607451E-3</v>
      </c>
      <c r="AR306">
        <f t="shared" si="75"/>
        <v>0</v>
      </c>
    </row>
    <row r="307" spans="1:44">
      <c r="A307" t="s">
        <v>384</v>
      </c>
      <c r="B307" t="s">
        <v>134</v>
      </c>
      <c r="C307">
        <f t="shared" ref="C307:AR307" si="76">IFERROR(C262-C217,0)</f>
        <v>-4.6730972903674483E-4</v>
      </c>
      <c r="D307">
        <f t="shared" si="76"/>
        <v>-7.3429246729254868E-3</v>
      </c>
      <c r="E307">
        <f t="shared" si="76"/>
        <v>-1.2174387155555237E-2</v>
      </c>
      <c r="F307">
        <f t="shared" si="76"/>
        <v>-2.2088524986225979E-3</v>
      </c>
      <c r="G307">
        <f t="shared" si="76"/>
        <v>-3.3986511603207479E-3</v>
      </c>
      <c r="H307">
        <f t="shared" si="76"/>
        <v>-5.6239483809640903E-4</v>
      </c>
      <c r="I307">
        <f t="shared" si="76"/>
        <v>-6.5386954014484135E-4</v>
      </c>
      <c r="J307">
        <f t="shared" si="76"/>
        <v>-3.6469153722131784E-3</v>
      </c>
      <c r="K307">
        <f t="shared" si="76"/>
        <v>-7.9105480426169697E-4</v>
      </c>
      <c r="L307">
        <f t="shared" si="76"/>
        <v>-2.8288865846616497E-4</v>
      </c>
      <c r="M307">
        <f t="shared" si="76"/>
        <v>-6.710859546220191E-4</v>
      </c>
      <c r="N307">
        <f t="shared" si="76"/>
        <v>-2.6627440355795641E-4</v>
      </c>
      <c r="O307">
        <f t="shared" si="76"/>
        <v>-4.9713349784372201E-3</v>
      </c>
      <c r="P307">
        <f t="shared" si="76"/>
        <v>-4.967711575300373E-3</v>
      </c>
      <c r="Q307">
        <f t="shared" si="76"/>
        <v>-1.1910813719441226E-2</v>
      </c>
      <c r="R307">
        <f t="shared" si="76"/>
        <v>0.75723649727642428</v>
      </c>
      <c r="S307">
        <f t="shared" si="76"/>
        <v>-1.9595722546996992E-2</v>
      </c>
      <c r="T307">
        <f t="shared" si="76"/>
        <v>-0.16688310346241308</v>
      </c>
      <c r="U307">
        <f t="shared" si="76"/>
        <v>-5.5573411593605997E-3</v>
      </c>
      <c r="V307">
        <f t="shared" si="76"/>
        <v>-2.5339679556103674E-2</v>
      </c>
      <c r="W307">
        <f t="shared" si="76"/>
        <v>-7.352613803027104E-2</v>
      </c>
      <c r="X307">
        <f t="shared" si="76"/>
        <v>-3.975578068180001E-2</v>
      </c>
      <c r="Y307">
        <f t="shared" si="76"/>
        <v>-6.8805149207557245E-2</v>
      </c>
      <c r="Z307">
        <f t="shared" si="76"/>
        <v>-1.7894470806023969E-2</v>
      </c>
      <c r="AA307">
        <f t="shared" si="76"/>
        <v>-1.5438780004440403E-3</v>
      </c>
      <c r="AB307">
        <f t="shared" si="76"/>
        <v>-2.0876841160793387E-4</v>
      </c>
      <c r="AC307">
        <f t="shared" si="76"/>
        <v>-1.3806364450594978E-2</v>
      </c>
      <c r="AD307">
        <f t="shared" si="76"/>
        <v>-2.7723423791388053E-2</v>
      </c>
      <c r="AE307">
        <f t="shared" si="76"/>
        <v>-6.6207549073355192E-4</v>
      </c>
      <c r="AF307">
        <f t="shared" si="76"/>
        <v>-6.7767347555927355E-4</v>
      </c>
      <c r="AG307">
        <f t="shared" si="76"/>
        <v>-9.7077845926496676E-5</v>
      </c>
      <c r="AH307">
        <f t="shared" si="76"/>
        <v>-2.8259086713073033E-5</v>
      </c>
      <c r="AI307">
        <f t="shared" si="76"/>
        <v>-3.5228589483785551E-5</v>
      </c>
      <c r="AJ307">
        <f t="shared" si="76"/>
        <v>-1.9875774380100986E-5</v>
      </c>
      <c r="AK307">
        <f t="shared" si="76"/>
        <v>-2.3034594333516748E-5</v>
      </c>
      <c r="AL307">
        <f t="shared" si="76"/>
        <v>-8.0076397822934694E-4</v>
      </c>
      <c r="AM307">
        <f t="shared" si="76"/>
        <v>-7.5883915436891162E-4</v>
      </c>
      <c r="AN307">
        <f t="shared" si="76"/>
        <v>-1.5006615596071867E-4</v>
      </c>
      <c r="AO307">
        <f t="shared" si="76"/>
        <v>-2.2696695721474805E-4</v>
      </c>
      <c r="AP307">
        <f t="shared" si="76"/>
        <v>-6.7917322293006025E-5</v>
      </c>
      <c r="AQ307">
        <f t="shared" si="76"/>
        <v>-1.1146581835965155E-3</v>
      </c>
      <c r="AR307">
        <f t="shared" si="76"/>
        <v>0</v>
      </c>
    </row>
    <row r="308" spans="1:44">
      <c r="A308" t="s">
        <v>384</v>
      </c>
      <c r="B308" t="s">
        <v>135</v>
      </c>
      <c r="C308">
        <f t="shared" ref="C308:AR308" si="77">IFERROR(C263-C218,0)</f>
        <v>-1.0285440335193462E-4</v>
      </c>
      <c r="D308">
        <f t="shared" si="77"/>
        <v>-3.0660203444033486E-4</v>
      </c>
      <c r="E308">
        <f t="shared" si="77"/>
        <v>-1.0187171338178218E-3</v>
      </c>
      <c r="F308">
        <f t="shared" si="77"/>
        <v>-4.6316074801050071E-4</v>
      </c>
      <c r="G308">
        <f t="shared" si="77"/>
        <v>-2.1241569752004675E-4</v>
      </c>
      <c r="H308">
        <f t="shared" si="77"/>
        <v>-9.6546047126840669E-4</v>
      </c>
      <c r="I308">
        <f t="shared" si="77"/>
        <v>-4.5249558146315749E-4</v>
      </c>
      <c r="J308">
        <f t="shared" si="77"/>
        <v>-1.3817313658966925E-3</v>
      </c>
      <c r="K308">
        <f t="shared" si="77"/>
        <v>-7.8416509421022325E-4</v>
      </c>
      <c r="L308">
        <f t="shared" si="77"/>
        <v>-7.9245932913308133E-5</v>
      </c>
      <c r="M308">
        <f t="shared" si="77"/>
        <v>-2.6151728789064678E-3</v>
      </c>
      <c r="N308">
        <f t="shared" si="77"/>
        <v>-5.6326341967798859E-4</v>
      </c>
      <c r="O308">
        <f t="shared" si="77"/>
        <v>-1.8566539625684217E-3</v>
      </c>
      <c r="P308">
        <f t="shared" si="77"/>
        <v>-2.721202456527576E-3</v>
      </c>
      <c r="Q308">
        <f t="shared" si="77"/>
        <v>-2.2454161560340031E-3</v>
      </c>
      <c r="R308">
        <f t="shared" si="77"/>
        <v>-1.9128289248367441E-2</v>
      </c>
      <c r="S308">
        <f t="shared" si="77"/>
        <v>0.78793274285093817</v>
      </c>
      <c r="T308">
        <f t="shared" si="77"/>
        <v>-3.9491760035191587E-2</v>
      </c>
      <c r="U308">
        <f t="shared" si="77"/>
        <v>-7.6146597102144491E-3</v>
      </c>
      <c r="V308">
        <f t="shared" si="77"/>
        <v>-3.3994467691514277E-2</v>
      </c>
      <c r="W308">
        <f t="shared" si="77"/>
        <v>-1.5190698009447338E-2</v>
      </c>
      <c r="X308">
        <f t="shared" si="77"/>
        <v>-1.0931082277653468E-2</v>
      </c>
      <c r="Y308">
        <f t="shared" si="77"/>
        <v>-1.1072364615296794E-2</v>
      </c>
      <c r="Z308">
        <f t="shared" si="77"/>
        <v>-1.532874110070476E-2</v>
      </c>
      <c r="AA308">
        <f t="shared" si="77"/>
        <v>-4.0382352439122834E-4</v>
      </c>
      <c r="AB308">
        <f t="shared" si="77"/>
        <v>-5.8905412002695536E-5</v>
      </c>
      <c r="AC308">
        <f t="shared" si="77"/>
        <v>-6.715030436224778E-3</v>
      </c>
      <c r="AD308">
        <f t="shared" si="77"/>
        <v>-3.3789256629732875E-3</v>
      </c>
      <c r="AE308">
        <f t="shared" si="77"/>
        <v>-3.3030789945598561E-4</v>
      </c>
      <c r="AF308">
        <f t="shared" si="77"/>
        <v>-1.2238760680225035E-4</v>
      </c>
      <c r="AG308">
        <f t="shared" si="77"/>
        <v>-1.6204590318493858E-4</v>
      </c>
      <c r="AH308">
        <f t="shared" si="77"/>
        <v>-6.1362053941490827E-5</v>
      </c>
      <c r="AI308">
        <f t="shared" si="77"/>
        <v>-2.3709533124882473E-5</v>
      </c>
      <c r="AJ308">
        <f t="shared" si="77"/>
        <v>-1.6904558339993041E-5</v>
      </c>
      <c r="AK308">
        <f t="shared" si="77"/>
        <v>-1.5961901542737123E-5</v>
      </c>
      <c r="AL308">
        <f t="shared" si="77"/>
        <v>-1.6979413762488547E-4</v>
      </c>
      <c r="AM308">
        <f t="shared" si="77"/>
        <v>-1.3953522199764307E-4</v>
      </c>
      <c r="AN308">
        <f t="shared" si="77"/>
        <v>-4.8407417465732643E-5</v>
      </c>
      <c r="AO308">
        <f t="shared" si="77"/>
        <v>-1.1365175569439306E-5</v>
      </c>
      <c r="AP308">
        <f t="shared" si="77"/>
        <v>-4.8916231413352697E-5</v>
      </c>
      <c r="AQ308">
        <f t="shared" si="77"/>
        <v>-5.855635877923752E-4</v>
      </c>
      <c r="AR308">
        <f t="shared" si="77"/>
        <v>0</v>
      </c>
    </row>
    <row r="309" spans="1:44">
      <c r="A309" t="s">
        <v>384</v>
      </c>
      <c r="B309" t="s">
        <v>13</v>
      </c>
      <c r="C309">
        <f t="shared" ref="C309:AR309" si="78">IFERROR(C264-C219,0)</f>
        <v>-4.2543636733740073E-3</v>
      </c>
      <c r="D309">
        <f t="shared" si="78"/>
        <v>-2.3014557775078298E-2</v>
      </c>
      <c r="E309">
        <f t="shared" si="78"/>
        <v>-1.6378388848634417E-2</v>
      </c>
      <c r="F309">
        <f t="shared" si="78"/>
        <v>-1.1559573020002533E-2</v>
      </c>
      <c r="G309">
        <f t="shared" si="78"/>
        <v>-1.6090489087143538E-2</v>
      </c>
      <c r="H309">
        <f t="shared" si="78"/>
        <v>-1.3776669823664938E-2</v>
      </c>
      <c r="I309">
        <f t="shared" si="78"/>
        <v>-4.4355518106535723E-3</v>
      </c>
      <c r="J309">
        <f t="shared" si="78"/>
        <v>-2.6086841164478635E-2</v>
      </c>
      <c r="K309">
        <f t="shared" si="78"/>
        <v>-4.4258689785606105E-3</v>
      </c>
      <c r="L309">
        <f t="shared" si="78"/>
        <v>-9.8380505137095516E-4</v>
      </c>
      <c r="M309">
        <f t="shared" si="78"/>
        <v>-6.5623360700096476E-3</v>
      </c>
      <c r="N309">
        <f t="shared" si="78"/>
        <v>-3.2039902478368174E-3</v>
      </c>
      <c r="O309">
        <f t="shared" si="78"/>
        <v>-1.0230106498004104E-2</v>
      </c>
      <c r="P309">
        <f t="shared" si="78"/>
        <v>-3.5464762313275375E-2</v>
      </c>
      <c r="Q309">
        <f t="shared" si="78"/>
        <v>-1.0718617978976518E-2</v>
      </c>
      <c r="R309">
        <f t="shared" si="78"/>
        <v>-2.4469643740405285E-2</v>
      </c>
      <c r="S309">
        <f t="shared" si="78"/>
        <v>-1.6435619288468879E-2</v>
      </c>
      <c r="T309">
        <f t="shared" si="78"/>
        <v>0.86823935394260832</v>
      </c>
      <c r="U309">
        <f t="shared" si="78"/>
        <v>-1.0626509942505377E-2</v>
      </c>
      <c r="V309">
        <f t="shared" si="78"/>
        <v>-3.1938408779384371E-2</v>
      </c>
      <c r="W309">
        <f t="shared" si="78"/>
        <v>-8.3978745975597957E-2</v>
      </c>
      <c r="X309">
        <f t="shared" si="78"/>
        <v>-4.7064311891165181E-2</v>
      </c>
      <c r="Y309">
        <f t="shared" si="78"/>
        <v>-8.8599492257849397E-2</v>
      </c>
      <c r="Z309">
        <f t="shared" si="78"/>
        <v>-4.0047420217127351E-2</v>
      </c>
      <c r="AA309">
        <f t="shared" si="78"/>
        <v>-3.1220173748706783E-3</v>
      </c>
      <c r="AB309">
        <f t="shared" si="78"/>
        <v>-1.2025050969279014E-3</v>
      </c>
      <c r="AC309">
        <f t="shared" si="78"/>
        <v>-8.4634531686699748E-3</v>
      </c>
      <c r="AD309">
        <f t="shared" si="78"/>
        <v>-5.1935479863816553E-2</v>
      </c>
      <c r="AE309">
        <f t="shared" si="78"/>
        <v>-4.8968347103921046E-3</v>
      </c>
      <c r="AF309">
        <f t="shared" si="78"/>
        <v>-3.0680254118317404E-3</v>
      </c>
      <c r="AG309">
        <f t="shared" si="78"/>
        <v>-4.3048754689311765E-3</v>
      </c>
      <c r="AH309">
        <f t="shared" si="78"/>
        <v>-1.1498512040325323E-3</v>
      </c>
      <c r="AI309">
        <f t="shared" si="78"/>
        <v>-2.4712467357952722E-3</v>
      </c>
      <c r="AJ309">
        <f t="shared" si="78"/>
        <v>-1.6404618945418357E-3</v>
      </c>
      <c r="AK309">
        <f t="shared" si="78"/>
        <v>-5.6313752715185961E-4</v>
      </c>
      <c r="AL309">
        <f t="shared" si="78"/>
        <v>-5.3316730444960296E-3</v>
      </c>
      <c r="AM309">
        <f t="shared" si="78"/>
        <v>-3.703561471933917E-3</v>
      </c>
      <c r="AN309">
        <f t="shared" si="78"/>
        <v>-4.3154248316531673E-3</v>
      </c>
      <c r="AO309">
        <f t="shared" si="78"/>
        <v>-1.9745719686755396E-3</v>
      </c>
      <c r="AP309">
        <f t="shared" si="78"/>
        <v>-1.2336470349616755E-3</v>
      </c>
      <c r="AQ309">
        <f t="shared" si="78"/>
        <v>-6.3841152725537089E-3</v>
      </c>
      <c r="AR309">
        <f t="shared" si="78"/>
        <v>0</v>
      </c>
    </row>
    <row r="310" spans="1:44">
      <c r="A310" t="s">
        <v>384</v>
      </c>
      <c r="B310" t="s">
        <v>14</v>
      </c>
      <c r="C310">
        <f t="shared" ref="C310:AR310" si="79">IFERROR(C265-C220,0)</f>
        <v>-1.9005112451995899E-3</v>
      </c>
      <c r="D310">
        <f t="shared" si="79"/>
        <v>-3.5783174146074522E-3</v>
      </c>
      <c r="E310">
        <f t="shared" si="79"/>
        <v>-4.4120495584363409E-3</v>
      </c>
      <c r="F310">
        <f t="shared" si="79"/>
        <v>-3.9306790961883518E-3</v>
      </c>
      <c r="G310">
        <f t="shared" si="79"/>
        <v>-4.1421061016409114E-3</v>
      </c>
      <c r="H310">
        <f t="shared" si="79"/>
        <v>-2.0264666585487223E-3</v>
      </c>
      <c r="I310">
        <f t="shared" si="79"/>
        <v>-2.1126617157332791E-3</v>
      </c>
      <c r="J310">
        <f t="shared" si="79"/>
        <v>-2.2685005275556022E-3</v>
      </c>
      <c r="K310">
        <f t="shared" si="79"/>
        <v>-2.9947273023739037E-3</v>
      </c>
      <c r="L310">
        <f t="shared" si="79"/>
        <v>-6.4989214657961412E-4</v>
      </c>
      <c r="M310">
        <f t="shared" si="79"/>
        <v>-4.6090217880423983E-3</v>
      </c>
      <c r="N310">
        <f t="shared" si="79"/>
        <v>-3.0195809304344131E-3</v>
      </c>
      <c r="O310">
        <f t="shared" si="79"/>
        <v>-4.5546176185802872E-3</v>
      </c>
      <c r="P310">
        <f t="shared" si="79"/>
        <v>-1.0622772837388824E-2</v>
      </c>
      <c r="Q310">
        <f t="shared" si="79"/>
        <v>-3.1196375944667204E-3</v>
      </c>
      <c r="R310">
        <f t="shared" si="79"/>
        <v>-1.6619272074209286E-3</v>
      </c>
      <c r="S310">
        <f t="shared" si="79"/>
        <v>-2.4220619781343713E-3</v>
      </c>
      <c r="T310">
        <f t="shared" si="79"/>
        <v>-5.681582935560231E-3</v>
      </c>
      <c r="U310">
        <f t="shared" si="79"/>
        <v>0.79515617290286444</v>
      </c>
      <c r="V310">
        <f t="shared" si="79"/>
        <v>-5.4193333686265492E-2</v>
      </c>
      <c r="W310">
        <f t="shared" si="79"/>
        <v>-2.6388679301689068E-2</v>
      </c>
      <c r="X310">
        <f t="shared" si="79"/>
        <v>-1.764298434915838E-2</v>
      </c>
      <c r="Y310">
        <f t="shared" si="79"/>
        <v>-2.922882616104364E-2</v>
      </c>
      <c r="Z310">
        <f t="shared" si="79"/>
        <v>-1.3121301037915849E-2</v>
      </c>
      <c r="AA310">
        <f t="shared" si="79"/>
        <v>-5.2550056087432928E-3</v>
      </c>
      <c r="AB310">
        <f t="shared" si="79"/>
        <v>-1.1066824469575247E-3</v>
      </c>
      <c r="AC310">
        <f t="shared" si="79"/>
        <v>-3.5511227096191788E-3</v>
      </c>
      <c r="AD310">
        <f t="shared" si="79"/>
        <v>-8.173091556259662E-3</v>
      </c>
      <c r="AE310">
        <f t="shared" si="79"/>
        <v>-7.3831867989088097E-3</v>
      </c>
      <c r="AF310">
        <f t="shared" si="79"/>
        <v>-3.7727807901560364E-3</v>
      </c>
      <c r="AG310">
        <f t="shared" si="79"/>
        <v>-3.4108093973423382E-3</v>
      </c>
      <c r="AH310">
        <f t="shared" si="79"/>
        <v>-8.1952099557566684E-3</v>
      </c>
      <c r="AI310">
        <f t="shared" si="79"/>
        <v>-5.0680931496780303E-2</v>
      </c>
      <c r="AJ310">
        <f t="shared" si="79"/>
        <v>-2.8217675642421201E-2</v>
      </c>
      <c r="AK310">
        <f t="shared" si="79"/>
        <v>-3.0712597120392099E-3</v>
      </c>
      <c r="AL310">
        <f t="shared" si="79"/>
        <v>-1.9309760797043571E-3</v>
      </c>
      <c r="AM310">
        <f t="shared" si="79"/>
        <v>-8.1812985348590876E-3</v>
      </c>
      <c r="AN310">
        <f t="shared" si="79"/>
        <v>-3.9589046762905887E-3</v>
      </c>
      <c r="AO310">
        <f t="shared" si="79"/>
        <v>-5.6026863719653335E-3</v>
      </c>
      <c r="AP310">
        <f t="shared" si="79"/>
        <v>-7.9103497428293229E-3</v>
      </c>
      <c r="AQ310">
        <f t="shared" si="79"/>
        <v>-2.1160243727163283E-2</v>
      </c>
      <c r="AR310">
        <f t="shared" si="79"/>
        <v>0</v>
      </c>
    </row>
    <row r="311" spans="1:44">
      <c r="A311" t="s">
        <v>384</v>
      </c>
      <c r="B311" t="s">
        <v>15</v>
      </c>
      <c r="C311">
        <f t="shared" ref="C311:AR311" si="80">IFERROR(C266-C221,0)</f>
        <v>-1.6589934699647209E-3</v>
      </c>
      <c r="D311">
        <f t="shared" si="80"/>
        <v>-5.9496318835067508E-3</v>
      </c>
      <c r="E311">
        <f t="shared" si="80"/>
        <v>-3.3431139743598944E-3</v>
      </c>
      <c r="F311">
        <f t="shared" si="80"/>
        <v>-7.4258928071607253E-3</v>
      </c>
      <c r="G311">
        <f t="shared" si="80"/>
        <v>-6.2131591524613675E-3</v>
      </c>
      <c r="H311">
        <f t="shared" si="80"/>
        <v>-1.6845027431357156E-3</v>
      </c>
      <c r="I311">
        <f t="shared" si="80"/>
        <v>-1.3292038850240674E-3</v>
      </c>
      <c r="J311">
        <f t="shared" si="80"/>
        <v>-2.0396605620565723E-3</v>
      </c>
      <c r="K311">
        <f t="shared" si="80"/>
        <v>-2.3448232245513734E-3</v>
      </c>
      <c r="L311">
        <f t="shared" si="80"/>
        <v>-2.7759749210742879E-4</v>
      </c>
      <c r="M311">
        <f t="shared" si="80"/>
        <v>-1.9729332606723432E-3</v>
      </c>
      <c r="N311">
        <f t="shared" si="80"/>
        <v>-1.1785592176665829E-3</v>
      </c>
      <c r="O311">
        <f t="shared" si="80"/>
        <v>-2.9477479789969761E-3</v>
      </c>
      <c r="P311">
        <f t="shared" si="80"/>
        <v>-1.0491661867984852E-2</v>
      </c>
      <c r="Q311">
        <f t="shared" si="80"/>
        <v>-2.4971407331461997E-3</v>
      </c>
      <c r="R311">
        <f t="shared" si="80"/>
        <v>-2.5754607851649087E-3</v>
      </c>
      <c r="S311">
        <f t="shared" si="80"/>
        <v>-3.9706997171348813E-3</v>
      </c>
      <c r="T311">
        <f t="shared" si="80"/>
        <v>-8.7354968723873435E-3</v>
      </c>
      <c r="U311">
        <f t="shared" si="80"/>
        <v>-2.900460567246177E-2</v>
      </c>
      <c r="V311">
        <f t="shared" si="80"/>
        <v>0.82577341501084089</v>
      </c>
      <c r="W311">
        <f t="shared" si="80"/>
        <v>-3.9740682159788064E-2</v>
      </c>
      <c r="X311">
        <f t="shared" si="80"/>
        <v>-3.8804441703599826E-2</v>
      </c>
      <c r="Y311">
        <f t="shared" si="80"/>
        <v>-2.6334978869219729E-2</v>
      </c>
      <c r="Z311">
        <f t="shared" si="80"/>
        <v>-1.3597953290863395E-2</v>
      </c>
      <c r="AA311">
        <f t="shared" si="80"/>
        <v>-1.8802565260215884E-2</v>
      </c>
      <c r="AB311">
        <f t="shared" si="80"/>
        <v>-1.6440572034987144E-3</v>
      </c>
      <c r="AC311">
        <f t="shared" si="80"/>
        <v>-4.9299166060910501E-3</v>
      </c>
      <c r="AD311">
        <f t="shared" si="80"/>
        <v>-2.7233075027321169E-2</v>
      </c>
      <c r="AE311">
        <f t="shared" si="80"/>
        <v>-6.0807137938558202E-3</v>
      </c>
      <c r="AF311">
        <f t="shared" si="80"/>
        <v>-2.5144798682805863E-3</v>
      </c>
      <c r="AG311">
        <f t="shared" si="80"/>
        <v>-2.5163146508888914E-3</v>
      </c>
      <c r="AH311">
        <f t="shared" si="80"/>
        <v>-2.4944488474715702E-3</v>
      </c>
      <c r="AI311">
        <f t="shared" si="80"/>
        <v>-1.7478374073235266E-2</v>
      </c>
      <c r="AJ311">
        <f t="shared" si="80"/>
        <v>-5.0935132116136234E-3</v>
      </c>
      <c r="AK311">
        <f t="shared" si="80"/>
        <v>-1.156927296216369E-3</v>
      </c>
      <c r="AL311">
        <f t="shared" si="80"/>
        <v>-1.6370905277695242E-3</v>
      </c>
      <c r="AM311">
        <f t="shared" si="80"/>
        <v>-4.8151035335958076E-3</v>
      </c>
      <c r="AN311">
        <f t="shared" si="80"/>
        <v>-2.8419422505264144E-3</v>
      </c>
      <c r="AO311">
        <f t="shared" si="80"/>
        <v>-2.405240497125379E-3</v>
      </c>
      <c r="AP311">
        <f t="shared" si="80"/>
        <v>-2.6911323118464837E-3</v>
      </c>
      <c r="AQ311">
        <f t="shared" si="80"/>
        <v>-1.5269854379399678E-2</v>
      </c>
      <c r="AR311">
        <f t="shared" si="80"/>
        <v>0</v>
      </c>
    </row>
    <row r="312" spans="1:44">
      <c r="A312" t="s">
        <v>384</v>
      </c>
      <c r="B312" t="s">
        <v>16</v>
      </c>
      <c r="C312">
        <f t="shared" ref="C312:AR312" si="81">IFERROR(C267-C222,0)</f>
        <v>-3.94452733524324E-3</v>
      </c>
      <c r="D312">
        <f t="shared" si="81"/>
        <v>-3.6221731486476519E-2</v>
      </c>
      <c r="E312">
        <f t="shared" si="81"/>
        <v>-2.4958569778536638E-2</v>
      </c>
      <c r="F312">
        <f t="shared" si="81"/>
        <v>-2.1930013228955211E-2</v>
      </c>
      <c r="G312">
        <f t="shared" si="81"/>
        <v>-2.3312622802825131E-2</v>
      </c>
      <c r="H312">
        <f t="shared" si="81"/>
        <v>-4.7320309123799163E-3</v>
      </c>
      <c r="I312">
        <f t="shared" si="81"/>
        <v>-2.943182224426525E-3</v>
      </c>
      <c r="J312">
        <f t="shared" si="81"/>
        <v>-7.1802684826869573E-3</v>
      </c>
      <c r="K312">
        <f t="shared" si="81"/>
        <v>-6.7816703125346614E-3</v>
      </c>
      <c r="L312">
        <f t="shared" si="81"/>
        <v>-1.6677218928668434E-3</v>
      </c>
      <c r="M312">
        <f t="shared" si="81"/>
        <v>-2.9686386630377809E-3</v>
      </c>
      <c r="N312">
        <f t="shared" si="81"/>
        <v>-1.795193077984614E-3</v>
      </c>
      <c r="O312">
        <f t="shared" si="81"/>
        <v>-4.2659623315162839E-3</v>
      </c>
      <c r="P312">
        <f t="shared" si="81"/>
        <v>-3.615455617757634E-2</v>
      </c>
      <c r="Q312">
        <f t="shared" si="81"/>
        <v>-1.205105745725535E-2</v>
      </c>
      <c r="R312">
        <f t="shared" si="81"/>
        <v>-1.0339787006027718E-2</v>
      </c>
      <c r="S312">
        <f t="shared" si="81"/>
        <v>-8.9194832670245715E-3</v>
      </c>
      <c r="T312">
        <f t="shared" si="81"/>
        <v>-1.379675369036361E-2</v>
      </c>
      <c r="U312">
        <f t="shared" si="81"/>
        <v>-5.7549718521897643E-3</v>
      </c>
      <c r="V312">
        <f t="shared" si="81"/>
        <v>-2.2297423515724279E-2</v>
      </c>
      <c r="W312">
        <f t="shared" si="81"/>
        <v>0.87545418011045306</v>
      </c>
      <c r="X312">
        <f t="shared" si="81"/>
        <v>-2.745607141318189E-2</v>
      </c>
      <c r="Y312">
        <f t="shared" si="81"/>
        <v>-5.0791286787282765E-2</v>
      </c>
      <c r="Z312">
        <f t="shared" si="81"/>
        <v>-1.6063347975355521E-2</v>
      </c>
      <c r="AA312">
        <f t="shared" si="81"/>
        <v>-8.1771665293137331E-3</v>
      </c>
      <c r="AB312">
        <f t="shared" si="81"/>
        <v>-1.4214329034804298E-3</v>
      </c>
      <c r="AC312">
        <f t="shared" si="81"/>
        <v>-2.2463505047803745E-2</v>
      </c>
      <c r="AD312">
        <f t="shared" si="81"/>
        <v>-1.4610427609816125E-2</v>
      </c>
      <c r="AE312">
        <f t="shared" si="81"/>
        <v>-5.2427816721067272E-3</v>
      </c>
      <c r="AF312">
        <f t="shared" si="81"/>
        <v>-2.2946340499496384E-3</v>
      </c>
      <c r="AG312">
        <f t="shared" si="81"/>
        <v>-1.7989987107773556E-3</v>
      </c>
      <c r="AH312">
        <f t="shared" si="81"/>
        <v>-1.5714184267985015E-3</v>
      </c>
      <c r="AI312">
        <f t="shared" si="81"/>
        <v>-2.9650974270876256E-3</v>
      </c>
      <c r="AJ312">
        <f t="shared" si="81"/>
        <v>-2.0732444247068757E-3</v>
      </c>
      <c r="AK312">
        <f t="shared" si="81"/>
        <v>-1.1159150535960984E-3</v>
      </c>
      <c r="AL312">
        <f t="shared" si="81"/>
        <v>-1.1758403013798248E-3</v>
      </c>
      <c r="AM312">
        <f t="shared" si="81"/>
        <v>-3.9830711036904385E-3</v>
      </c>
      <c r="AN312">
        <f t="shared" si="81"/>
        <v>-2.7692394316363384E-3</v>
      </c>
      <c r="AO312">
        <f t="shared" si="81"/>
        <v>-2.0326922856536518E-3</v>
      </c>
      <c r="AP312">
        <f t="shared" si="81"/>
        <v>-2.048330038428514E-3</v>
      </c>
      <c r="AQ312">
        <f t="shared" si="81"/>
        <v>-4.9877705022024254E-3</v>
      </c>
      <c r="AR312">
        <f t="shared" si="81"/>
        <v>0</v>
      </c>
    </row>
    <row r="313" spans="1:44">
      <c r="A313" t="s">
        <v>384</v>
      </c>
      <c r="B313" t="s">
        <v>17</v>
      </c>
      <c r="C313">
        <f t="shared" ref="C313:AR313" si="82">IFERROR(C268-C223,0)</f>
        <v>-1.4293104064126061E-3</v>
      </c>
      <c r="D313">
        <f t="shared" si="82"/>
        <v>-2.0297830887632297E-3</v>
      </c>
      <c r="E313">
        <f t="shared" si="82"/>
        <v>-2.1952636827341793E-3</v>
      </c>
      <c r="F313">
        <f t="shared" si="82"/>
        <v>-4.2559522932644296E-3</v>
      </c>
      <c r="G313">
        <f t="shared" si="82"/>
        <v>-2.6551962190005845E-3</v>
      </c>
      <c r="H313">
        <f t="shared" si="82"/>
        <v>-1.0672687324172095E-3</v>
      </c>
      <c r="I313">
        <f t="shared" si="82"/>
        <v>-9.0521742580123828E-4</v>
      </c>
      <c r="J313">
        <f t="shared" si="82"/>
        <v>-1.5223976115557661E-3</v>
      </c>
      <c r="K313">
        <f t="shared" si="82"/>
        <v>-8.5222937263082618E-4</v>
      </c>
      <c r="L313">
        <f t="shared" si="82"/>
        <v>-2.6066831896932017E-4</v>
      </c>
      <c r="M313">
        <f t="shared" si="82"/>
        <v>-7.7838994287594441E-4</v>
      </c>
      <c r="N313">
        <f t="shared" si="82"/>
        <v>-5.2728778932062653E-4</v>
      </c>
      <c r="O313">
        <f t="shared" si="82"/>
        <v>-1.4064796830716821E-3</v>
      </c>
      <c r="P313">
        <f t="shared" si="82"/>
        <v>-1.6445284254016433E-3</v>
      </c>
      <c r="Q313">
        <f t="shared" si="82"/>
        <v>-3.3422504589300439E-3</v>
      </c>
      <c r="R313">
        <f t="shared" si="82"/>
        <v>-1.2081161108709704E-3</v>
      </c>
      <c r="S313">
        <f t="shared" si="82"/>
        <v>-1.9831882146372319E-3</v>
      </c>
      <c r="T313">
        <f t="shared" si="82"/>
        <v>-2.6361253585059728E-3</v>
      </c>
      <c r="U313">
        <f t="shared" si="82"/>
        <v>-3.6927256937979293E-3</v>
      </c>
      <c r="V313">
        <f t="shared" si="82"/>
        <v>-1.9530527086402742E-2</v>
      </c>
      <c r="W313">
        <f t="shared" si="82"/>
        <v>-9.3704601740191643E-3</v>
      </c>
      <c r="X313">
        <f t="shared" si="82"/>
        <v>0.74182580946729693</v>
      </c>
      <c r="Y313">
        <f t="shared" si="82"/>
        <v>-8.0627196924750559E-3</v>
      </c>
      <c r="Z313">
        <f t="shared" si="82"/>
        <v>-3.356159463565754E-3</v>
      </c>
      <c r="AA313">
        <f t="shared" si="82"/>
        <v>-2.9937830166603258E-3</v>
      </c>
      <c r="AB313">
        <f t="shared" si="82"/>
        <v>-8.8397944740093697E-3</v>
      </c>
      <c r="AC313">
        <f t="shared" si="82"/>
        <v>-3.5341760588349347E-3</v>
      </c>
      <c r="AD313">
        <f t="shared" si="82"/>
        <v>-4.4709979486014803E-3</v>
      </c>
      <c r="AE313">
        <f t="shared" si="82"/>
        <v>-2.3719471028664774E-2</v>
      </c>
      <c r="AF313">
        <f t="shared" si="82"/>
        <v>-3.5472254838689907E-3</v>
      </c>
      <c r="AG313">
        <f t="shared" si="82"/>
        <v>-8.7984495306452526E-4</v>
      </c>
      <c r="AH313">
        <f t="shared" si="82"/>
        <v>-8.7010307759034409E-4</v>
      </c>
      <c r="AI313">
        <f t="shared" si="82"/>
        <v>-2.7874857475282183E-3</v>
      </c>
      <c r="AJ313">
        <f t="shared" si="82"/>
        <v>-2.2987431128688573E-3</v>
      </c>
      <c r="AK313">
        <f t="shared" si="82"/>
        <v>-7.6141903390778429E-4</v>
      </c>
      <c r="AL313">
        <f t="shared" si="82"/>
        <v>-5.5638681175308106E-4</v>
      </c>
      <c r="AM313">
        <f t="shared" si="82"/>
        <v>-3.0959223665010622E-3</v>
      </c>
      <c r="AN313">
        <f t="shared" si="82"/>
        <v>-1.2536920378404734E-3</v>
      </c>
      <c r="AO313">
        <f t="shared" si="82"/>
        <v>-1.1159187155739597E-3</v>
      </c>
      <c r="AP313">
        <f t="shared" si="82"/>
        <v>-8.7703616491658482E-4</v>
      </c>
      <c r="AQ313">
        <f t="shared" si="82"/>
        <v>-2.9187949884071814E-3</v>
      </c>
      <c r="AR313">
        <f t="shared" si="82"/>
        <v>0</v>
      </c>
    </row>
    <row r="314" spans="1:44">
      <c r="A314" t="s">
        <v>384</v>
      </c>
      <c r="B314" t="s">
        <v>18</v>
      </c>
      <c r="C314">
        <f t="shared" ref="C314:AR314" si="83">IFERROR(C269-C224,0)</f>
        <v>-6.0835797463756728E-4</v>
      </c>
      <c r="D314">
        <f t="shared" si="83"/>
        <v>-1.4398652503463825E-3</v>
      </c>
      <c r="E314">
        <f t="shared" si="83"/>
        <v>-1.0976318413670897E-3</v>
      </c>
      <c r="F314">
        <f t="shared" si="83"/>
        <v>-8.6533277156923701E-4</v>
      </c>
      <c r="G314">
        <f t="shared" si="83"/>
        <v>-9.5587063884021038E-4</v>
      </c>
      <c r="H314">
        <f t="shared" si="83"/>
        <v>-6.5942619437801885E-4</v>
      </c>
      <c r="I314">
        <f t="shared" si="83"/>
        <v>-2.159000352517559E-4</v>
      </c>
      <c r="J314">
        <f t="shared" si="83"/>
        <v>-1.190288036438733E-3</v>
      </c>
      <c r="K314">
        <f t="shared" si="83"/>
        <v>-2.5900767127573124E-4</v>
      </c>
      <c r="L314">
        <f t="shared" si="83"/>
        <v>-6.7473567616966541E-5</v>
      </c>
      <c r="M314">
        <f t="shared" si="83"/>
        <v>-3.2314014844147556E-4</v>
      </c>
      <c r="N314">
        <f t="shared" si="83"/>
        <v>-1.6011132192012795E-4</v>
      </c>
      <c r="O314">
        <f t="shared" si="83"/>
        <v>-4.7338904580373001E-4</v>
      </c>
      <c r="P314">
        <f t="shared" si="83"/>
        <v>-2.0349117734824473E-3</v>
      </c>
      <c r="Q314">
        <f t="shared" si="83"/>
        <v>-6.1235542263212892E-4</v>
      </c>
      <c r="R314">
        <f t="shared" si="83"/>
        <v>-1.8344233494936143E-3</v>
      </c>
      <c r="S314">
        <f t="shared" si="83"/>
        <v>-8.0048877171088619E-4</v>
      </c>
      <c r="T314">
        <f t="shared" si="83"/>
        <v>-6.1603712141150013E-3</v>
      </c>
      <c r="U314">
        <f t="shared" si="83"/>
        <v>-5.6585896033844432E-4</v>
      </c>
      <c r="V314">
        <f t="shared" si="83"/>
        <v>-1.7594963833042897E-3</v>
      </c>
      <c r="W314">
        <f t="shared" si="83"/>
        <v>-4.8846259078385214E-3</v>
      </c>
      <c r="X314">
        <f t="shared" si="83"/>
        <v>-3.7379128100339873E-3</v>
      </c>
      <c r="Y314">
        <f t="shared" si="83"/>
        <v>0.88374553853307325</v>
      </c>
      <c r="Z314">
        <f t="shared" si="83"/>
        <v>-2.5162060373910304E-3</v>
      </c>
      <c r="AA314">
        <f t="shared" si="83"/>
        <v>-2.9948504658633911E-4</v>
      </c>
      <c r="AB314">
        <f t="shared" si="83"/>
        <v>-7.7092159854216021E-4</v>
      </c>
      <c r="AC314">
        <f t="shared" si="83"/>
        <v>-4.5644045272657825E-4</v>
      </c>
      <c r="AD314">
        <f t="shared" si="83"/>
        <v>-2.383111650647906E-3</v>
      </c>
      <c r="AE314">
        <f t="shared" si="83"/>
        <v>-3.9285379606626925E-4</v>
      </c>
      <c r="AF314">
        <f t="shared" si="83"/>
        <v>-3.8231738910733662E-3</v>
      </c>
      <c r="AG314">
        <f t="shared" si="83"/>
        <v>-1.6972802893323988E-4</v>
      </c>
      <c r="AH314">
        <f t="shared" si="83"/>
        <v>-5.6275044288310235E-5</v>
      </c>
      <c r="AI314">
        <f t="shared" si="83"/>
        <v>-1.4876158394284668E-4</v>
      </c>
      <c r="AJ314">
        <f t="shared" si="83"/>
        <v>-7.2527198991454857E-5</v>
      </c>
      <c r="AK314">
        <f t="shared" si="83"/>
        <v>-2.4769074089996263E-5</v>
      </c>
      <c r="AL314">
        <f t="shared" si="83"/>
        <v>-2.1010136604689784E-4</v>
      </c>
      <c r="AM314">
        <f t="shared" si="83"/>
        <v>-2.4231569863301228E-4</v>
      </c>
      <c r="AN314">
        <f t="shared" si="83"/>
        <v>-1.0451512392532845E-3</v>
      </c>
      <c r="AO314">
        <f t="shared" si="83"/>
        <v>-1.0544501160438791E-4</v>
      </c>
      <c r="AP314">
        <f t="shared" si="83"/>
        <v>-1.0535963196746293E-4</v>
      </c>
      <c r="AQ314">
        <f t="shared" si="83"/>
        <v>-6.8551758909265147E-4</v>
      </c>
      <c r="AR314">
        <f t="shared" si="83"/>
        <v>0</v>
      </c>
    </row>
    <row r="315" spans="1:44">
      <c r="A315" t="s">
        <v>384</v>
      </c>
      <c r="B315" t="s">
        <v>19</v>
      </c>
      <c r="C315">
        <f t="shared" ref="C315:AR315" si="84">IFERROR(C270-C225,0)</f>
        <v>-1.4712339759796952E-3</v>
      </c>
      <c r="D315">
        <f t="shared" si="84"/>
        <v>-1.7193000159122574E-3</v>
      </c>
      <c r="E315">
        <f t="shared" si="84"/>
        <v>-3.3144177170692517E-3</v>
      </c>
      <c r="F315">
        <f t="shared" si="84"/>
        <v>-2.9778407634491921E-3</v>
      </c>
      <c r="G315">
        <f t="shared" si="84"/>
        <v>-2.8145079921406192E-3</v>
      </c>
      <c r="H315">
        <f t="shared" si="84"/>
        <v>-1.3854319288427986E-3</v>
      </c>
      <c r="I315">
        <f t="shared" si="84"/>
        <v>-4.2379790682705986E-3</v>
      </c>
      <c r="J315">
        <f t="shared" si="84"/>
        <v>-2.3933847066285366E-3</v>
      </c>
      <c r="K315">
        <f t="shared" si="84"/>
        <v>-1.7861510215862694E-3</v>
      </c>
      <c r="L315">
        <f t="shared" si="84"/>
        <v>-2.3993232118375328E-4</v>
      </c>
      <c r="M315">
        <f t="shared" si="84"/>
        <v>-1.1270297413215971E-3</v>
      </c>
      <c r="N315">
        <f t="shared" si="84"/>
        <v>-1.4718077413656892E-3</v>
      </c>
      <c r="O315">
        <f t="shared" si="84"/>
        <v>-9.2230942323340834E-4</v>
      </c>
      <c r="P315">
        <f t="shared" si="84"/>
        <v>-7.1670081075878795E-3</v>
      </c>
      <c r="Q315">
        <f t="shared" si="84"/>
        <v>-1.0310503255167201E-3</v>
      </c>
      <c r="R315">
        <f t="shared" si="84"/>
        <v>-1.2683576133987039E-3</v>
      </c>
      <c r="S315">
        <f t="shared" si="84"/>
        <v>-1.3373570600441634E-3</v>
      </c>
      <c r="T315">
        <f t="shared" si="84"/>
        <v>-1.3346568373004007E-3</v>
      </c>
      <c r="U315">
        <f t="shared" si="84"/>
        <v>-1.5744656512621193E-3</v>
      </c>
      <c r="V315">
        <f t="shared" si="84"/>
        <v>-1.8731099494337401E-3</v>
      </c>
      <c r="W315">
        <f t="shared" si="84"/>
        <v>-1.8376950887177561E-3</v>
      </c>
      <c r="X315">
        <f t="shared" si="84"/>
        <v>-1.841986563043897E-3</v>
      </c>
      <c r="Y315">
        <f t="shared" si="84"/>
        <v>-4.0863910580395393E-3</v>
      </c>
      <c r="Z315">
        <f t="shared" si="84"/>
        <v>0.95990566628718244</v>
      </c>
      <c r="AA315">
        <f t="shared" si="84"/>
        <v>-1.4842412989148884E-3</v>
      </c>
      <c r="AB315">
        <f t="shared" si="84"/>
        <v>-1.0607743829473266E-3</v>
      </c>
      <c r="AC315">
        <f t="shared" si="84"/>
        <v>-3.3081940693676778E-3</v>
      </c>
      <c r="AD315">
        <f t="shared" si="84"/>
        <v>-3.3928553157614298E-3</v>
      </c>
      <c r="AE315">
        <f t="shared" si="84"/>
        <v>-2.4222843855392423E-3</v>
      </c>
      <c r="AF315">
        <f t="shared" si="84"/>
        <v>-2.1604610829813239E-3</v>
      </c>
      <c r="AG315">
        <f t="shared" si="84"/>
        <v>-2.9532500120947555E-3</v>
      </c>
      <c r="AH315">
        <f t="shared" si="84"/>
        <v>-1.6875967502012876E-3</v>
      </c>
      <c r="AI315">
        <f t="shared" si="84"/>
        <v>-2.0545884094289747E-3</v>
      </c>
      <c r="AJ315">
        <f t="shared" si="84"/>
        <v>-1.5552009125213468E-3</v>
      </c>
      <c r="AK315">
        <f t="shared" si="84"/>
        <v>-1.4938617083703281E-3</v>
      </c>
      <c r="AL315">
        <f t="shared" si="84"/>
        <v>-1.2639170356908609E-3</v>
      </c>
      <c r="AM315">
        <f t="shared" si="84"/>
        <v>-2.9168286244734185E-3</v>
      </c>
      <c r="AN315">
        <f t="shared" si="84"/>
        <v>-2.1505730331592009E-3</v>
      </c>
      <c r="AO315">
        <f t="shared" si="84"/>
        <v>-6.1151461943006295E-3</v>
      </c>
      <c r="AP315">
        <f t="shared" si="84"/>
        <v>-9.988608745793633E-3</v>
      </c>
      <c r="AQ315">
        <f t="shared" si="84"/>
        <v>-7.0766483136326663E-3</v>
      </c>
      <c r="AR315">
        <f t="shared" si="84"/>
        <v>0</v>
      </c>
    </row>
    <row r="316" spans="1:44">
      <c r="A316" t="s">
        <v>384</v>
      </c>
      <c r="B316" t="s">
        <v>136</v>
      </c>
      <c r="C316">
        <f t="shared" ref="C316:AR316" si="85">IFERROR(C271-C226,0)</f>
        <v>-1.747450767240772E-2</v>
      </c>
      <c r="D316">
        <f t="shared" si="85"/>
        <v>-4.7053709690564806E-2</v>
      </c>
      <c r="E316">
        <f t="shared" si="85"/>
        <v>-4.5454871548378309E-2</v>
      </c>
      <c r="F316">
        <f t="shared" si="85"/>
        <v>-5.8692955655010065E-2</v>
      </c>
      <c r="G316">
        <f t="shared" si="85"/>
        <v>-1.0514577027242313E-2</v>
      </c>
      <c r="H316">
        <f t="shared" si="85"/>
        <v>-2.7155348047079014E-2</v>
      </c>
      <c r="I316">
        <f t="shared" si="85"/>
        <v>-2.3821272239943632E-2</v>
      </c>
      <c r="J316">
        <f t="shared" si="85"/>
        <v>-2.282246936277733E-2</v>
      </c>
      <c r="K316">
        <f t="shared" si="85"/>
        <v>-3.7615974577626075E-2</v>
      </c>
      <c r="L316">
        <f t="shared" si="85"/>
        <v>-1.0570989019825316E-2</v>
      </c>
      <c r="M316">
        <f t="shared" si="85"/>
        <v>-2.8737575929031693E-2</v>
      </c>
      <c r="N316">
        <f t="shared" si="85"/>
        <v>-9.2354582503113812E-3</v>
      </c>
      <c r="O316">
        <f t="shared" si="85"/>
        <v>-2.0655130314526215E-2</v>
      </c>
      <c r="P316">
        <f t="shared" si="85"/>
        <v>-6.1169778498740307E-2</v>
      </c>
      <c r="Q316">
        <f t="shared" si="85"/>
        <v>-5.3125961604486793E-2</v>
      </c>
      <c r="R316">
        <f t="shared" si="85"/>
        <v>-4.0829713491220165E-2</v>
      </c>
      <c r="S316">
        <f t="shared" si="85"/>
        <v>-3.7384771118435571E-2</v>
      </c>
      <c r="T316">
        <f t="shared" si="85"/>
        <v>-1.7234601806284239E-2</v>
      </c>
      <c r="U316">
        <f t="shared" si="85"/>
        <v>-6.6228215069007524E-3</v>
      </c>
      <c r="V316">
        <f t="shared" si="85"/>
        <v>-9.7128339734705617E-3</v>
      </c>
      <c r="W316">
        <f t="shared" si="85"/>
        <v>-9.7275958735709087E-3</v>
      </c>
      <c r="X316">
        <f t="shared" si="85"/>
        <v>-1.0026464203680686E-2</v>
      </c>
      <c r="Y316">
        <f t="shared" si="85"/>
        <v>-1.2992476345170579E-2</v>
      </c>
      <c r="Z316">
        <f t="shared" si="85"/>
        <v>-1.1936770074034229E-2</v>
      </c>
      <c r="AA316">
        <f t="shared" si="85"/>
        <v>0.84919517747799045</v>
      </c>
      <c r="AB316">
        <f t="shared" si="85"/>
        <v>-8.5411178019762692E-3</v>
      </c>
      <c r="AC316">
        <f t="shared" si="85"/>
        <v>-3.0701735628810477E-2</v>
      </c>
      <c r="AD316">
        <f t="shared" si="85"/>
        <v>-4.3468262335531038E-3</v>
      </c>
      <c r="AE316">
        <f t="shared" si="85"/>
        <v>-2.3967490958434201E-2</v>
      </c>
      <c r="AF316">
        <f t="shared" si="85"/>
        <v>-8.1930617859643194E-3</v>
      </c>
      <c r="AG316">
        <f t="shared" si="85"/>
        <v>-3.7442075308919777E-2</v>
      </c>
      <c r="AH316">
        <f t="shared" si="85"/>
        <v>-7.3750979693536474E-3</v>
      </c>
      <c r="AI316">
        <f t="shared" si="85"/>
        <v>-1.9223332765563452E-2</v>
      </c>
      <c r="AJ316">
        <f t="shared" si="85"/>
        <v>-5.757995228633044E-3</v>
      </c>
      <c r="AK316">
        <f t="shared" si="85"/>
        <v>-5.4004492150216332E-3</v>
      </c>
      <c r="AL316">
        <f t="shared" si="85"/>
        <v>-1.1148935661128023E-2</v>
      </c>
      <c r="AM316">
        <f t="shared" si="85"/>
        <v>-7.0886450604324119E-3</v>
      </c>
      <c r="AN316">
        <f t="shared" si="85"/>
        <v>-1.1353559796743736E-2</v>
      </c>
      <c r="AO316">
        <f t="shared" si="85"/>
        <v>-2.3373307684798617E-2</v>
      </c>
      <c r="AP316">
        <f t="shared" si="85"/>
        <v>-1.5067726827544134E-2</v>
      </c>
      <c r="AQ316">
        <f t="shared" si="85"/>
        <v>-2.4291002502584411E-2</v>
      </c>
      <c r="AR316">
        <f t="shared" si="85"/>
        <v>0</v>
      </c>
    </row>
    <row r="317" spans="1:44">
      <c r="A317" t="s">
        <v>384</v>
      </c>
      <c r="B317" t="s">
        <v>137</v>
      </c>
      <c r="C317">
        <f t="shared" ref="C317:AR317" si="86">IFERROR(C272-C227,0)</f>
        <v>-6.1121982309903329E-3</v>
      </c>
      <c r="D317">
        <f t="shared" si="86"/>
        <v>-2.3270706310180352E-2</v>
      </c>
      <c r="E317">
        <f t="shared" si="86"/>
        <v>-1.4570524639323918E-2</v>
      </c>
      <c r="F317">
        <f t="shared" si="86"/>
        <v>-2.9206527855936977E-2</v>
      </c>
      <c r="G317">
        <f t="shared" si="86"/>
        <v>-1.1842175136742605E-2</v>
      </c>
      <c r="H317">
        <f t="shared" si="86"/>
        <v>-1.1951130297592261E-2</v>
      </c>
      <c r="I317">
        <f t="shared" si="86"/>
        <v>-6.0468149955569504E-3</v>
      </c>
      <c r="J317">
        <f t="shared" si="86"/>
        <v>-1.4562959123761364E-2</v>
      </c>
      <c r="K317">
        <f t="shared" si="86"/>
        <v>-8.3468458718106604E-3</v>
      </c>
      <c r="L317">
        <f t="shared" si="86"/>
        <v>-9.6770506222328464E-3</v>
      </c>
      <c r="M317">
        <f t="shared" si="86"/>
        <v>-7.2950914557160752E-3</v>
      </c>
      <c r="N317">
        <f t="shared" si="86"/>
        <v>-4.7066038332870437E-3</v>
      </c>
      <c r="O317">
        <f t="shared" si="86"/>
        <v>-5.4100249212449885E-3</v>
      </c>
      <c r="P317">
        <f t="shared" si="86"/>
        <v>-0.11788859426101471</v>
      </c>
      <c r="Q317">
        <f t="shared" si="86"/>
        <v>-1.4430986061837101E-5</v>
      </c>
      <c r="R317">
        <f t="shared" si="86"/>
        <v>-8.6000955776631954E-3</v>
      </c>
      <c r="S317">
        <f t="shared" si="86"/>
        <v>-8.3593973216631243E-3</v>
      </c>
      <c r="T317">
        <f t="shared" si="86"/>
        <v>-5.7746704667127708E-3</v>
      </c>
      <c r="U317">
        <f t="shared" si="86"/>
        <v>-3.7201448322407562E-3</v>
      </c>
      <c r="V317">
        <f t="shared" si="86"/>
        <v>-5.2235589178438978E-3</v>
      </c>
      <c r="W317">
        <f t="shared" si="86"/>
        <v>-5.3060189649477112E-3</v>
      </c>
      <c r="X317">
        <f t="shared" si="86"/>
        <v>-5.1146048566229644E-3</v>
      </c>
      <c r="Y317">
        <f t="shared" si="86"/>
        <v>-4.5417263563397271E-3</v>
      </c>
      <c r="Z317">
        <f t="shared" si="86"/>
        <v>-6.3955484243329863E-3</v>
      </c>
      <c r="AA317">
        <f t="shared" si="86"/>
        <v>-8.3348961944508925E-3</v>
      </c>
      <c r="AB317">
        <f t="shared" si="86"/>
        <v>0.98614196523860476</v>
      </c>
      <c r="AC317">
        <f t="shared" si="86"/>
        <v>-7.2964524384851572E-3</v>
      </c>
      <c r="AD317">
        <f t="shared" si="86"/>
        <v>-4.5677934192763893E-3</v>
      </c>
      <c r="AE317">
        <f t="shared" si="86"/>
        <v>-1.2588230433755948E-2</v>
      </c>
      <c r="AF317">
        <f t="shared" si="86"/>
        <v>-1.6434990071788187E-2</v>
      </c>
      <c r="AG317">
        <f t="shared" si="86"/>
        <v>-4.5630261941435801E-3</v>
      </c>
      <c r="AH317">
        <f t="shared" si="86"/>
        <v>-3.5497041146445897E-3</v>
      </c>
      <c r="AI317">
        <f t="shared" si="86"/>
        <v>-2.3911588703637004E-3</v>
      </c>
      <c r="AJ317">
        <f t="shared" si="86"/>
        <v>-1.4889298764963303E-3</v>
      </c>
      <c r="AK317">
        <f t="shared" si="86"/>
        <v>-1.4843748072698539E-3</v>
      </c>
      <c r="AL317">
        <f t="shared" si="86"/>
        <v>-7.9645652512422131E-4</v>
      </c>
      <c r="AM317">
        <f t="shared" si="86"/>
        <v>-3.4240869751982939E-3</v>
      </c>
      <c r="AN317">
        <f t="shared" si="86"/>
        <v>-2.7610756202779765E-3</v>
      </c>
      <c r="AO317">
        <f t="shared" si="86"/>
        <v>-4.4014468584756212E-3</v>
      </c>
      <c r="AP317">
        <f t="shared" si="86"/>
        <v>-3.7167488512807219E-3</v>
      </c>
      <c r="AQ317">
        <f t="shared" si="86"/>
        <v>-4.851886593729207E-3</v>
      </c>
      <c r="AR317">
        <f t="shared" si="86"/>
        <v>0</v>
      </c>
    </row>
    <row r="318" spans="1:44">
      <c r="A318" t="s">
        <v>384</v>
      </c>
      <c r="B318" t="s">
        <v>138</v>
      </c>
      <c r="C318">
        <f t="shared" ref="C318:AR318" si="87">IFERROR(C273-C228,0)</f>
        <v>-2.6086573569803788E-3</v>
      </c>
      <c r="D318">
        <f t="shared" si="87"/>
        <v>-3.8344659497095042E-3</v>
      </c>
      <c r="E318">
        <f t="shared" si="87"/>
        <v>-3.2283289451973231E-3</v>
      </c>
      <c r="F318">
        <f t="shared" si="87"/>
        <v>-4.9816297247846988E-3</v>
      </c>
      <c r="G318">
        <f t="shared" si="87"/>
        <v>-3.9827943285008762E-3</v>
      </c>
      <c r="H318">
        <f t="shared" si="87"/>
        <v>-4.1961185644244364E-3</v>
      </c>
      <c r="I318">
        <f t="shared" si="87"/>
        <v>-1.9763911282628423E-3</v>
      </c>
      <c r="J318">
        <f t="shared" si="87"/>
        <v>-4.010245992098445E-3</v>
      </c>
      <c r="K318">
        <f t="shared" si="87"/>
        <v>-1.6695458335942211E-2</v>
      </c>
      <c r="L318">
        <f t="shared" si="87"/>
        <v>-1.0124618036330825E-3</v>
      </c>
      <c r="M318">
        <f t="shared" si="87"/>
        <v>-2.4705120175398873E-3</v>
      </c>
      <c r="N318">
        <f t="shared" si="87"/>
        <v>-1.5162679033119809E-3</v>
      </c>
      <c r="O318">
        <f t="shared" si="87"/>
        <v>-1.9318412117484576E-3</v>
      </c>
      <c r="P318">
        <f t="shared" si="87"/>
        <v>-3.6077692628835437E-2</v>
      </c>
      <c r="Q318">
        <f t="shared" si="87"/>
        <v>-4.7365867788260444E-5</v>
      </c>
      <c r="R318">
        <f t="shared" si="87"/>
        <v>-3.8494989661023493E-2</v>
      </c>
      <c r="S318">
        <f t="shared" si="87"/>
        <v>-3.904269196724109E-2</v>
      </c>
      <c r="T318">
        <f t="shared" si="87"/>
        <v>-3.0303500393322092E-3</v>
      </c>
      <c r="U318">
        <f t="shared" si="87"/>
        <v>-6.0694380206021011E-4</v>
      </c>
      <c r="V318">
        <f t="shared" si="87"/>
        <v>-1.1713895182035017E-3</v>
      </c>
      <c r="W318">
        <f t="shared" si="87"/>
        <v>-1.7957591290750567E-3</v>
      </c>
      <c r="X318">
        <f t="shared" si="87"/>
        <v>-9.6593376922677579E-4</v>
      </c>
      <c r="Y318">
        <f t="shared" si="87"/>
        <v>-2.370872251848176E-3</v>
      </c>
      <c r="Z318">
        <f t="shared" si="87"/>
        <v>-1.5563586997527923E-3</v>
      </c>
      <c r="AA318">
        <f t="shared" si="87"/>
        <v>-4.6887612608751189E-3</v>
      </c>
      <c r="AB318">
        <f t="shared" si="87"/>
        <v>-5.1300174801213901E-4</v>
      </c>
      <c r="AC318">
        <f t="shared" si="87"/>
        <v>0.84005283358193084</v>
      </c>
      <c r="AD318">
        <f t="shared" si="87"/>
        <v>-1.6854088652716195E-3</v>
      </c>
      <c r="AE318">
        <f t="shared" si="87"/>
        <v>-3.4388682928558375E-3</v>
      </c>
      <c r="AF318">
        <f t="shared" si="87"/>
        <v>-1.2702771071737371E-3</v>
      </c>
      <c r="AG318">
        <f t="shared" si="87"/>
        <v>-5.7827354668504027E-3</v>
      </c>
      <c r="AH318">
        <f t="shared" si="87"/>
        <v>-5.9366524787099755E-4</v>
      </c>
      <c r="AI318">
        <f t="shared" si="87"/>
        <v>-6.0622968192675162E-4</v>
      </c>
      <c r="AJ318">
        <f t="shared" si="87"/>
        <v>-5.1881861202207895E-4</v>
      </c>
      <c r="AK318">
        <f t="shared" si="87"/>
        <v>-6.5280309888716189E-4</v>
      </c>
      <c r="AL318">
        <f t="shared" si="87"/>
        <v>-2.5412929992499863E-3</v>
      </c>
      <c r="AM318">
        <f t="shared" si="87"/>
        <v>-1.7204214333324749E-3</v>
      </c>
      <c r="AN318">
        <f t="shared" si="87"/>
        <v>-8.2271235809180613E-3</v>
      </c>
      <c r="AO318">
        <f t="shared" si="87"/>
        <v>-4.9243398602060971E-3</v>
      </c>
      <c r="AP318">
        <f t="shared" si="87"/>
        <v>-5.0181058485039773E-3</v>
      </c>
      <c r="AQ318">
        <f t="shared" si="87"/>
        <v>-3.213141767746468E-3</v>
      </c>
      <c r="AR318">
        <f t="shared" si="87"/>
        <v>0</v>
      </c>
    </row>
    <row r="319" spans="1:44">
      <c r="A319" t="s">
        <v>384</v>
      </c>
      <c r="B319" t="s">
        <v>20</v>
      </c>
      <c r="C319">
        <f t="shared" ref="C319:AR319" si="88">IFERROR(C274-C229,0)</f>
        <v>-4.8704859361307145E-3</v>
      </c>
      <c r="D319">
        <f t="shared" si="88"/>
        <v>-7.0052743312000549E-3</v>
      </c>
      <c r="E319">
        <f t="shared" si="88"/>
        <v>-3.6157284186210015E-3</v>
      </c>
      <c r="F319">
        <f t="shared" si="88"/>
        <v>-5.2650652461499036E-3</v>
      </c>
      <c r="G319">
        <f t="shared" si="88"/>
        <v>-7.1159258669215662E-3</v>
      </c>
      <c r="H319">
        <f t="shared" si="88"/>
        <v>-1.2598458047107276E-3</v>
      </c>
      <c r="I319">
        <f t="shared" si="88"/>
        <v>-1.1030918520174428E-3</v>
      </c>
      <c r="J319">
        <f t="shared" si="88"/>
        <v>-1.8280893795612171E-3</v>
      </c>
      <c r="K319">
        <f t="shared" si="88"/>
        <v>-1.285296861580602E-3</v>
      </c>
      <c r="L319">
        <f t="shared" si="88"/>
        <v>-6.3165137839490222E-4</v>
      </c>
      <c r="M319">
        <f t="shared" si="88"/>
        <v>-9.8677938342932943E-4</v>
      </c>
      <c r="N319">
        <f t="shared" si="88"/>
        <v>-6.3706972134943232E-4</v>
      </c>
      <c r="O319">
        <f t="shared" si="88"/>
        <v>-9.7116472900516185E-4</v>
      </c>
      <c r="P319">
        <f t="shared" si="88"/>
        <v>-1.0535321994699703E-2</v>
      </c>
      <c r="Q319">
        <f t="shared" si="88"/>
        <v>-2.0197932807949873E-3</v>
      </c>
      <c r="R319">
        <f t="shared" si="88"/>
        <v>-1.7253402426936142E-3</v>
      </c>
      <c r="S319">
        <f t="shared" si="88"/>
        <v>-2.0418928595196647E-3</v>
      </c>
      <c r="T319">
        <f t="shared" si="88"/>
        <v>-2.5099170849097584E-3</v>
      </c>
      <c r="U319">
        <f t="shared" si="88"/>
        <v>-4.6676579628818909E-4</v>
      </c>
      <c r="V319">
        <f t="shared" si="88"/>
        <v>-1.1115760365770404E-3</v>
      </c>
      <c r="W319">
        <f t="shared" si="88"/>
        <v>-1.2510716837826497E-3</v>
      </c>
      <c r="X319">
        <f t="shared" si="88"/>
        <v>-8.9209041589577323E-4</v>
      </c>
      <c r="Y319">
        <f t="shared" si="88"/>
        <v>-2.5581479734388037E-3</v>
      </c>
      <c r="Z319">
        <f t="shared" si="88"/>
        <v>-2.8193340399591616E-3</v>
      </c>
      <c r="AA319">
        <f t="shared" si="88"/>
        <v>-1.0245396178200382E-2</v>
      </c>
      <c r="AB319">
        <f t="shared" si="88"/>
        <v>-1.7915830652997971E-3</v>
      </c>
      <c r="AC319">
        <f t="shared" si="88"/>
        <v>-1.1226037026113791E-2</v>
      </c>
      <c r="AD319">
        <f t="shared" si="88"/>
        <v>0.92003948292412585</v>
      </c>
      <c r="AE319">
        <f t="shared" si="88"/>
        <v>-4.6360364382696875E-3</v>
      </c>
      <c r="AF319">
        <f t="shared" si="88"/>
        <v>-5.1988551682815472E-3</v>
      </c>
      <c r="AG319">
        <f t="shared" si="88"/>
        <v>-3.9351399960248917E-3</v>
      </c>
      <c r="AH319">
        <f t="shared" si="88"/>
        <v>-1.5489196304280003E-3</v>
      </c>
      <c r="AI319">
        <f t="shared" si="88"/>
        <v>-7.2662795004816809E-3</v>
      </c>
      <c r="AJ319">
        <f t="shared" si="88"/>
        <v>-1.1669497134418993E-3</v>
      </c>
      <c r="AK319">
        <f t="shared" si="88"/>
        <v>-2.0910149618274701E-3</v>
      </c>
      <c r="AL319">
        <f t="shared" si="88"/>
        <v>-6.6378657202816257E-2</v>
      </c>
      <c r="AM319">
        <f t="shared" si="88"/>
        <v>-4.8811222378647243E-3</v>
      </c>
      <c r="AN319">
        <f t="shared" si="88"/>
        <v>-1.2024478382094727E-2</v>
      </c>
      <c r="AO319">
        <f t="shared" si="88"/>
        <v>-7.4705620378766003E-3</v>
      </c>
      <c r="AP319">
        <f t="shared" si="88"/>
        <v>-3.9859505560787788E-3</v>
      </c>
      <c r="AQ319">
        <f t="shared" si="88"/>
        <v>-3.9723863607136678E-3</v>
      </c>
      <c r="AR319">
        <f t="shared" si="88"/>
        <v>0</v>
      </c>
    </row>
    <row r="320" spans="1:44">
      <c r="A320" t="s">
        <v>384</v>
      </c>
      <c r="B320" t="s">
        <v>21</v>
      </c>
      <c r="C320">
        <f t="shared" ref="C320:AR320" si="89">IFERROR(C275-C230,0)</f>
        <v>-4.516143909520258E-2</v>
      </c>
      <c r="D320">
        <f t="shared" si="89"/>
        <v>-2.6472562998955999E-2</v>
      </c>
      <c r="E320">
        <f t="shared" si="89"/>
        <v>-1.7425802239742882E-2</v>
      </c>
      <c r="F320">
        <f t="shared" si="89"/>
        <v>-3.0540619374379435E-2</v>
      </c>
      <c r="G320">
        <f t="shared" si="89"/>
        <v>-1.9011204928044183E-2</v>
      </c>
      <c r="H320">
        <f t="shared" si="89"/>
        <v>-7.3148949935362848E-2</v>
      </c>
      <c r="I320">
        <f t="shared" si="89"/>
        <v>-8.2454701795335567E-2</v>
      </c>
      <c r="J320">
        <f t="shared" si="89"/>
        <v>-4.6503917726485801E-2</v>
      </c>
      <c r="K320">
        <f t="shared" si="89"/>
        <v>-4.1761990095524441E-2</v>
      </c>
      <c r="L320">
        <f t="shared" si="89"/>
        <v>-1.5865194440254807E-2</v>
      </c>
      <c r="M320">
        <f t="shared" si="89"/>
        <v>-5.427802537321557E-2</v>
      </c>
      <c r="N320">
        <f t="shared" si="89"/>
        <v>-6.0147543875595968E-2</v>
      </c>
      <c r="O320">
        <f t="shared" si="89"/>
        <v>-5.1315051472445479E-2</v>
      </c>
      <c r="P320">
        <f t="shared" si="89"/>
        <v>0</v>
      </c>
      <c r="Q320">
        <f t="shared" si="89"/>
        <v>0</v>
      </c>
      <c r="R320">
        <f t="shared" si="89"/>
        <v>-3.6488713285819367E-2</v>
      </c>
      <c r="S320">
        <f t="shared" si="89"/>
        <v>-2.3801601117649972E-2</v>
      </c>
      <c r="T320">
        <f t="shared" si="89"/>
        <v>-3.9409889730130432E-2</v>
      </c>
      <c r="U320">
        <f t="shared" si="89"/>
        <v>-5.1477113380248879E-2</v>
      </c>
      <c r="V320">
        <f t="shared" si="89"/>
        <v>-4.8477814785799885E-2</v>
      </c>
      <c r="W320">
        <f t="shared" si="89"/>
        <v>-4.9513227515061847E-2</v>
      </c>
      <c r="X320">
        <f t="shared" si="89"/>
        <v>-5.7066520810012379E-2</v>
      </c>
      <c r="Y320">
        <f t="shared" si="89"/>
        <v>-4.6504029574567673E-2</v>
      </c>
      <c r="Z320">
        <f t="shared" si="89"/>
        <v>-4.8617833754719536E-2</v>
      </c>
      <c r="AA320">
        <f t="shared" si="89"/>
        <v>-1.8186721978763174E-2</v>
      </c>
      <c r="AB320">
        <f t="shared" si="89"/>
        <v>-2.3003779652644562E-2</v>
      </c>
      <c r="AC320">
        <f t="shared" si="89"/>
        <v>-1.9103112096539313E-2</v>
      </c>
      <c r="AD320">
        <f t="shared" si="89"/>
        <v>-3.4089670726036782E-2</v>
      </c>
      <c r="AE320">
        <f t="shared" si="89"/>
        <v>0.98027177156578027</v>
      </c>
      <c r="AF320">
        <f t="shared" si="89"/>
        <v>-1.9112381171949803E-2</v>
      </c>
      <c r="AG320">
        <f t="shared" si="89"/>
        <v>-5.4297822746753932E-2</v>
      </c>
      <c r="AH320">
        <f t="shared" si="89"/>
        <v>-1.0157205991367756E-2</v>
      </c>
      <c r="AI320">
        <f t="shared" si="89"/>
        <v>-1.5964740693032588E-2</v>
      </c>
      <c r="AJ320">
        <f t="shared" si="89"/>
        <v>-8.5677875004004679E-3</v>
      </c>
      <c r="AK320">
        <f t="shared" si="89"/>
        <v>-2.9449122373459286E-3</v>
      </c>
      <c r="AL320">
        <f t="shared" si="89"/>
        <v>-4.4188457303506335E-3</v>
      </c>
      <c r="AM320">
        <f t="shared" si="89"/>
        <v>-1.1435223090342223E-2</v>
      </c>
      <c r="AN320">
        <f t="shared" si="89"/>
        <v>-8.6140604153152802E-3</v>
      </c>
      <c r="AO320">
        <f t="shared" si="89"/>
        <v>-9.2051967692456174E-3</v>
      </c>
      <c r="AP320">
        <f t="shared" si="89"/>
        <v>-3.4907153578248938E-2</v>
      </c>
      <c r="AQ320">
        <f t="shared" si="89"/>
        <v>-2.1644126433166447E-2</v>
      </c>
      <c r="AR320">
        <f t="shared" si="89"/>
        <v>0</v>
      </c>
    </row>
    <row r="321" spans="1:53">
      <c r="A321" t="s">
        <v>384</v>
      </c>
      <c r="B321" t="s">
        <v>22</v>
      </c>
      <c r="C321">
        <f t="shared" ref="C321:AR321" si="90">IFERROR(C276-C231,0)</f>
        <v>-1.049512990855426E-2</v>
      </c>
      <c r="D321">
        <f t="shared" si="90"/>
        <v>-2.719443614333451E-2</v>
      </c>
      <c r="E321">
        <f t="shared" si="90"/>
        <v>-2.4040289545236064E-2</v>
      </c>
      <c r="F321">
        <f t="shared" si="90"/>
        <v>-2.2138906975990476E-2</v>
      </c>
      <c r="G321">
        <f t="shared" si="90"/>
        <v>-1.9064308852424192E-2</v>
      </c>
      <c r="H321">
        <f t="shared" si="90"/>
        <v>-1.7342183614943558E-2</v>
      </c>
      <c r="I321">
        <f t="shared" si="90"/>
        <v>-1.1517851311200899E-2</v>
      </c>
      <c r="J321">
        <f t="shared" si="90"/>
        <v>-1.9792998755046542E-2</v>
      </c>
      <c r="K321">
        <f t="shared" si="90"/>
        <v>-1.4209812466382693E-2</v>
      </c>
      <c r="L321">
        <f t="shared" si="90"/>
        <v>-1.3432064066337995E-2</v>
      </c>
      <c r="M321">
        <f t="shared" si="90"/>
        <v>-9.8431708060976748E-3</v>
      </c>
      <c r="N321">
        <f t="shared" si="90"/>
        <v>-9.0811857458287966E-3</v>
      </c>
      <c r="O321">
        <f t="shared" si="90"/>
        <v>-7.6862673278425848E-3</v>
      </c>
      <c r="P321">
        <f t="shared" si="90"/>
        <v>-6.0775525821791963E-3</v>
      </c>
      <c r="Q321">
        <f t="shared" si="90"/>
        <v>-1.8479959250943517E-2</v>
      </c>
      <c r="R321">
        <f t="shared" si="90"/>
        <v>-8.9437047211392388E-3</v>
      </c>
      <c r="S321">
        <f t="shared" si="90"/>
        <v>-1.0057028370075443E-2</v>
      </c>
      <c r="T321">
        <f t="shared" si="90"/>
        <v>-8.4921255410706723E-3</v>
      </c>
      <c r="U321">
        <f t="shared" si="90"/>
        <v>-6.5674597631015692E-3</v>
      </c>
      <c r="V321">
        <f t="shared" si="90"/>
        <v>-1.082834022471736E-2</v>
      </c>
      <c r="W321">
        <f t="shared" si="90"/>
        <v>-1.0041255517028847E-2</v>
      </c>
      <c r="X321">
        <f t="shared" si="90"/>
        <v>-1.0419857639374679E-2</v>
      </c>
      <c r="Y321">
        <f t="shared" si="90"/>
        <v>-9.4811235132925362E-3</v>
      </c>
      <c r="Z321">
        <f t="shared" si="90"/>
        <v>-1.197056310394165E-2</v>
      </c>
      <c r="AA321">
        <f t="shared" si="90"/>
        <v>-1.1541579145585755E-2</v>
      </c>
      <c r="AB321">
        <f t="shared" si="90"/>
        <v>-3.2725247439099138E-2</v>
      </c>
      <c r="AC321">
        <f t="shared" si="90"/>
        <v>-1.1984479585740721E-2</v>
      </c>
      <c r="AD321">
        <f t="shared" si="90"/>
        <v>-7.7848810863436792E-3</v>
      </c>
      <c r="AE321">
        <f t="shared" si="90"/>
        <v>-4.7920419506733494E-2</v>
      </c>
      <c r="AF321">
        <f t="shared" si="90"/>
        <v>0.8113233145101133</v>
      </c>
      <c r="AG321">
        <f t="shared" si="90"/>
        <v>-1.0622427057739716E-2</v>
      </c>
      <c r="AH321">
        <f t="shared" si="90"/>
        <v>-1.3541077331766934E-2</v>
      </c>
      <c r="AI321">
        <f t="shared" si="90"/>
        <v>-1.9587368517525142E-2</v>
      </c>
      <c r="AJ321">
        <f t="shared" si="90"/>
        <v>-1.0355056994936458E-2</v>
      </c>
      <c r="AK321">
        <f t="shared" si="90"/>
        <v>-1.7067773020986578E-2</v>
      </c>
      <c r="AL321">
        <f t="shared" si="90"/>
        <v>-3.1787115989437825E-3</v>
      </c>
      <c r="AM321">
        <f t="shared" si="90"/>
        <v>-1.7763205488821075E-2</v>
      </c>
      <c r="AN321">
        <f t="shared" si="90"/>
        <v>-1.4032782299885667E-2</v>
      </c>
      <c r="AO321">
        <f t="shared" si="90"/>
        <v>-8.3453181137667712E-3</v>
      </c>
      <c r="AP321">
        <f t="shared" si="90"/>
        <v>-7.2198823101876043E-3</v>
      </c>
      <c r="AQ321">
        <f t="shared" si="90"/>
        <v>-1.5866329693281524E-2</v>
      </c>
      <c r="AR321">
        <f t="shared" si="90"/>
        <v>0</v>
      </c>
    </row>
    <row r="322" spans="1:53">
      <c r="A322" t="s">
        <v>384</v>
      </c>
      <c r="B322" t="s">
        <v>23</v>
      </c>
      <c r="C322">
        <f t="shared" ref="C322:AR322" si="91">IFERROR(C277-C232,0)</f>
        <v>-7.4364666055278276E-3</v>
      </c>
      <c r="D322">
        <f t="shared" si="91"/>
        <v>-1.4879901266382833E-2</v>
      </c>
      <c r="E322">
        <f t="shared" si="91"/>
        <v>-2.088370124326535E-2</v>
      </c>
      <c r="F322">
        <f t="shared" si="91"/>
        <v>-2.1064091194347788E-2</v>
      </c>
      <c r="G322">
        <f t="shared" si="91"/>
        <v>-1.9967075566884394E-2</v>
      </c>
      <c r="H322">
        <f t="shared" si="91"/>
        <v>-1.4526125818386847E-2</v>
      </c>
      <c r="I322">
        <f t="shared" si="91"/>
        <v>-1.7306575787428745E-2</v>
      </c>
      <c r="J322">
        <f t="shared" si="91"/>
        <v>-1.7367592464040332E-2</v>
      </c>
      <c r="K322">
        <f t="shared" si="91"/>
        <v>-1.2030771312630336E-2</v>
      </c>
      <c r="L322">
        <f t="shared" si="91"/>
        <v>-3.4195842074794419E-3</v>
      </c>
      <c r="M322">
        <f t="shared" si="91"/>
        <v>-1.2416247575238966E-2</v>
      </c>
      <c r="N322">
        <f t="shared" si="91"/>
        <v>-1.2813011172121009E-2</v>
      </c>
      <c r="O322">
        <f t="shared" si="91"/>
        <v>-1.4917543986005609E-2</v>
      </c>
      <c r="P322">
        <f t="shared" si="91"/>
        <v>-1.3317666380008182E-2</v>
      </c>
      <c r="Q322">
        <f t="shared" si="91"/>
        <v>-1.6153754998681217E-2</v>
      </c>
      <c r="R322">
        <f t="shared" si="91"/>
        <v>-9.1124390729838845E-3</v>
      </c>
      <c r="S322">
        <f t="shared" si="91"/>
        <v>-1.0032269540985921E-2</v>
      </c>
      <c r="T322">
        <f t="shared" si="91"/>
        <v>-1.4948372813448177E-2</v>
      </c>
      <c r="U322">
        <f t="shared" si="91"/>
        <v>-7.4287938631569872E-3</v>
      </c>
      <c r="V322">
        <f t="shared" si="91"/>
        <v>-1.4606103048187628E-2</v>
      </c>
      <c r="W322">
        <f t="shared" si="91"/>
        <v>-1.3613272553882476E-2</v>
      </c>
      <c r="X322">
        <f t="shared" si="91"/>
        <v>-6.5262161893468625E-3</v>
      </c>
      <c r="Y322">
        <f t="shared" si="91"/>
        <v>-1.3000710942557012E-2</v>
      </c>
      <c r="Z322">
        <f t="shared" si="91"/>
        <v>-1.5030137396682422E-2</v>
      </c>
      <c r="AA322">
        <f t="shared" si="91"/>
        <v>-1.615272561309062E-2</v>
      </c>
      <c r="AB322">
        <f t="shared" si="91"/>
        <v>-2.0489400948892258E-2</v>
      </c>
      <c r="AC322">
        <f t="shared" si="91"/>
        <v>-2.2968667121535023E-2</v>
      </c>
      <c r="AD322">
        <f t="shared" si="91"/>
        <v>-1.7566354067629145E-2</v>
      </c>
      <c r="AE322">
        <f t="shared" si="91"/>
        <v>-4.0225956014978664E-2</v>
      </c>
      <c r="AF322">
        <f t="shared" si="91"/>
        <v>-3.9090116153502399E-2</v>
      </c>
      <c r="AG322">
        <f t="shared" si="91"/>
        <v>0.94938716165050163</v>
      </c>
      <c r="AH322">
        <f t="shared" si="91"/>
        <v>-3.5473812962661888E-2</v>
      </c>
      <c r="AI322">
        <f t="shared" si="91"/>
        <v>-2.6165840756620297E-2</v>
      </c>
      <c r="AJ322">
        <f t="shared" si="91"/>
        <v>-4.1812982139780477E-2</v>
      </c>
      <c r="AK322">
        <f t="shared" si="91"/>
        <v>-3.7066863708254787E-2</v>
      </c>
      <c r="AL322">
        <f t="shared" si="91"/>
        <v>-1.0470111854769733E-2</v>
      </c>
      <c r="AM322">
        <f t="shared" si="91"/>
        <v>-5.6309587458287264E-2</v>
      </c>
      <c r="AN322">
        <f t="shared" si="91"/>
        <v>-4.3645392313883542E-2</v>
      </c>
      <c r="AO322">
        <f t="shared" si="91"/>
        <v>-6.2175225222053265E-2</v>
      </c>
      <c r="AP322">
        <f t="shared" si="91"/>
        <v>-6.7410956008265202E-2</v>
      </c>
      <c r="AQ322">
        <f t="shared" si="91"/>
        <v>-7.9598019781826138E-2</v>
      </c>
      <c r="AR322">
        <f t="shared" si="91"/>
        <v>0</v>
      </c>
    </row>
    <row r="323" spans="1:53">
      <c r="A323" t="s">
        <v>384</v>
      </c>
      <c r="B323" t="s">
        <v>24</v>
      </c>
      <c r="C323">
        <f t="shared" ref="C323:AR323" si="92">IFERROR(C278-C233,0)</f>
        <v>-9.2667585614097448E-4</v>
      </c>
      <c r="D323">
        <f t="shared" si="92"/>
        <v>-1.4126979814719225E-3</v>
      </c>
      <c r="E323">
        <f t="shared" si="92"/>
        <v>-2.2885265189287688E-3</v>
      </c>
      <c r="F323">
        <f t="shared" si="92"/>
        <v>-2.0694917900927205E-3</v>
      </c>
      <c r="G323">
        <f t="shared" si="92"/>
        <v>-2.7083001433805959E-3</v>
      </c>
      <c r="H323">
        <f t="shared" si="92"/>
        <v>-3.7210412808462066E-3</v>
      </c>
      <c r="I323">
        <f t="shared" si="92"/>
        <v>-3.0394646198021948E-3</v>
      </c>
      <c r="J323">
        <f t="shared" si="92"/>
        <v>-3.3953172092457289E-3</v>
      </c>
      <c r="K323">
        <f t="shared" si="92"/>
        <v>-5.4190724183985142E-3</v>
      </c>
      <c r="L323">
        <f t="shared" si="92"/>
        <v>-4.3422753277033021E-4</v>
      </c>
      <c r="M323">
        <f t="shared" si="92"/>
        <v>-2.4397024135599079E-3</v>
      </c>
      <c r="N323">
        <f t="shared" si="92"/>
        <v>-3.0723431609247119E-3</v>
      </c>
      <c r="O323">
        <f t="shared" si="92"/>
        <v>-1.4151632478538528E-3</v>
      </c>
      <c r="P323">
        <f t="shared" si="92"/>
        <v>0</v>
      </c>
      <c r="Q323">
        <f t="shared" si="92"/>
        <v>0</v>
      </c>
      <c r="R323">
        <f t="shared" si="92"/>
        <v>-1.350033391394407E-3</v>
      </c>
      <c r="S323">
        <f t="shared" si="92"/>
        <v>-1.8904576930755838E-3</v>
      </c>
      <c r="T323">
        <f t="shared" si="92"/>
        <v>-1.6982610007756202E-3</v>
      </c>
      <c r="U323">
        <f t="shared" si="92"/>
        <v>-1.8818196882012317E-3</v>
      </c>
      <c r="V323">
        <f t="shared" si="92"/>
        <v>-3.4098407531836404E-3</v>
      </c>
      <c r="W323">
        <f t="shared" si="92"/>
        <v>-1.9275607167024845E-3</v>
      </c>
      <c r="X323">
        <f t="shared" si="92"/>
        <v>-1.5392001427440853E-3</v>
      </c>
      <c r="Y323">
        <f t="shared" si="92"/>
        <v>-3.1633127754043242E-3</v>
      </c>
      <c r="Z323">
        <f t="shared" si="92"/>
        <v>-3.83834528165777E-3</v>
      </c>
      <c r="AA323">
        <f t="shared" si="92"/>
        <v>-2.3415340992293853E-3</v>
      </c>
      <c r="AB323">
        <f t="shared" si="92"/>
        <v>-1.3558976515843134E-3</v>
      </c>
      <c r="AC323">
        <f t="shared" si="92"/>
        <v>-2.6724548538625157E-3</v>
      </c>
      <c r="AD323">
        <f t="shared" si="92"/>
        <v>-1.6197500205748674E-3</v>
      </c>
      <c r="AE323">
        <f t="shared" si="92"/>
        <v>-9.2520547388159971E-3</v>
      </c>
      <c r="AF323">
        <f t="shared" si="92"/>
        <v>-3.6336005717182026E-3</v>
      </c>
      <c r="AG323">
        <f t="shared" si="92"/>
        <v>-7.3339533015211213E-3</v>
      </c>
      <c r="AH323">
        <f t="shared" si="92"/>
        <v>0.83154520891871742</v>
      </c>
      <c r="AI323">
        <f t="shared" si="92"/>
        <v>-3.1548660123926583E-2</v>
      </c>
      <c r="AJ323">
        <f t="shared" si="92"/>
        <v>-2.9417345641820313E-2</v>
      </c>
      <c r="AK323">
        <f t="shared" si="92"/>
        <v>-7.3985464555704015E-3</v>
      </c>
      <c r="AL323">
        <f t="shared" si="92"/>
        <v>-2.6409307985848138E-3</v>
      </c>
      <c r="AM323">
        <f t="shared" si="92"/>
        <v>-1.7932436830482412E-2</v>
      </c>
      <c r="AN323">
        <f t="shared" si="92"/>
        <v>-6.8105473812118339E-3</v>
      </c>
      <c r="AO323">
        <f t="shared" si="92"/>
        <v>-2.7898520183378187E-2</v>
      </c>
      <c r="AP323">
        <f t="shared" si="92"/>
        <v>-5.7712374826425824E-3</v>
      </c>
      <c r="AQ323">
        <f t="shared" si="92"/>
        <v>-1.9249504431169937E-2</v>
      </c>
      <c r="AR323">
        <f t="shared" si="92"/>
        <v>0</v>
      </c>
    </row>
    <row r="324" spans="1:53">
      <c r="A324" t="s">
        <v>384</v>
      </c>
      <c r="B324" t="s">
        <v>25</v>
      </c>
      <c r="C324">
        <f t="shared" ref="C324:AR324" si="93">IFERROR(C279-C234,0)</f>
        <v>-1.3752652230613629E-3</v>
      </c>
      <c r="D324">
        <f t="shared" si="93"/>
        <v>-4.529171825213554E-3</v>
      </c>
      <c r="E324">
        <f t="shared" si="93"/>
        <v>-4.8927118680546101E-3</v>
      </c>
      <c r="F324">
        <f t="shared" si="93"/>
        <v>-3.3322824809152436E-3</v>
      </c>
      <c r="G324">
        <f t="shared" si="93"/>
        <v>-2.7083001433805959E-3</v>
      </c>
      <c r="H324">
        <f t="shared" si="93"/>
        <v>-1.6797486942726719E-3</v>
      </c>
      <c r="I324">
        <f t="shared" si="93"/>
        <v>-2.4395210648473923E-3</v>
      </c>
      <c r="J324">
        <f t="shared" si="93"/>
        <v>-2.9101902059239472E-3</v>
      </c>
      <c r="K324">
        <f t="shared" si="93"/>
        <v>-2.3066395933869785E-3</v>
      </c>
      <c r="L324">
        <f t="shared" si="93"/>
        <v>-4.1116265402396527E-4</v>
      </c>
      <c r="M324">
        <f t="shared" si="93"/>
        <v>-9.6258553466081818E-4</v>
      </c>
      <c r="N324">
        <f t="shared" si="93"/>
        <v>-2.4158715357984434E-3</v>
      </c>
      <c r="O324">
        <f t="shared" si="93"/>
        <v>-1.2208318648812006E-3</v>
      </c>
      <c r="P324">
        <f t="shared" si="93"/>
        <v>-1.9633498334659934E-3</v>
      </c>
      <c r="Q324">
        <f t="shared" si="93"/>
        <v>-1.912242663274132E-3</v>
      </c>
      <c r="R324">
        <f t="shared" si="93"/>
        <v>-7.8099874825769417E-4</v>
      </c>
      <c r="S324">
        <f t="shared" si="93"/>
        <v>-1.2885599498418548E-3</v>
      </c>
      <c r="T324">
        <f t="shared" si="93"/>
        <v>-1.8005095883487502E-3</v>
      </c>
      <c r="U324">
        <f t="shared" si="93"/>
        <v>-1.5214288024140914E-3</v>
      </c>
      <c r="V324">
        <f t="shared" si="93"/>
        <v>-1.9528190885837241E-3</v>
      </c>
      <c r="W324">
        <f t="shared" si="93"/>
        <v>-2.633518261803676E-3</v>
      </c>
      <c r="X324">
        <f t="shared" si="93"/>
        <v>-1.913702665464813E-3</v>
      </c>
      <c r="Y324">
        <f t="shared" si="93"/>
        <v>-1.8649019902151559E-3</v>
      </c>
      <c r="Z324">
        <f t="shared" si="93"/>
        <v>-2.9909441640307405E-3</v>
      </c>
      <c r="AA324">
        <f t="shared" si="93"/>
        <v>-2.254836624043576E-3</v>
      </c>
      <c r="AB324">
        <f t="shared" si="93"/>
        <v>-2.0939085341087735E-3</v>
      </c>
      <c r="AC324">
        <f t="shared" si="93"/>
        <v>-2.462740050407493E-3</v>
      </c>
      <c r="AD324">
        <f t="shared" si="93"/>
        <v>-2.3474192578086936E-3</v>
      </c>
      <c r="AE324">
        <f t="shared" si="93"/>
        <v>-8.8364428634038067E-3</v>
      </c>
      <c r="AF324">
        <f t="shared" si="93"/>
        <v>-5.066620984656614E-3</v>
      </c>
      <c r="AG324">
        <f t="shared" si="93"/>
        <v>-6.7410279201382808E-3</v>
      </c>
      <c r="AH324">
        <f t="shared" si="93"/>
        <v>-1.1496567007222637E-2</v>
      </c>
      <c r="AI324">
        <f t="shared" si="93"/>
        <v>0.84001371460109009</v>
      </c>
      <c r="AJ324">
        <f t="shared" si="93"/>
        <v>-1.4713406466340515E-2</v>
      </c>
      <c r="AK324">
        <f t="shared" si="93"/>
        <v>-9.5566846120278479E-3</v>
      </c>
      <c r="AL324">
        <f t="shared" si="93"/>
        <v>-4.2512525174380556E-3</v>
      </c>
      <c r="AM324">
        <f t="shared" si="93"/>
        <v>-8.9764954088541165E-3</v>
      </c>
      <c r="AN324">
        <f t="shared" si="93"/>
        <v>-8.4414694754208E-3</v>
      </c>
      <c r="AO324">
        <f t="shared" si="93"/>
        <v>-5.264880906767383E-3</v>
      </c>
      <c r="AP324">
        <f t="shared" si="93"/>
        <v>-5.4483018817010464E-3</v>
      </c>
      <c r="AQ324">
        <f t="shared" si="93"/>
        <v>-1.1089605572833294E-2</v>
      </c>
      <c r="AR324">
        <f t="shared" si="93"/>
        <v>0</v>
      </c>
    </row>
    <row r="325" spans="1:53">
      <c r="A325" t="s">
        <v>384</v>
      </c>
      <c r="B325" t="s">
        <v>26</v>
      </c>
      <c r="C325">
        <f t="shared" ref="C325:AR325" si="94">IFERROR(C280-C235,0)</f>
        <v>-5.564645570468249E-4</v>
      </c>
      <c r="D325">
        <f t="shared" si="94"/>
        <v>-2.8137528477119337E-3</v>
      </c>
      <c r="E325">
        <f t="shared" si="94"/>
        <v>-3.2498511381653049E-3</v>
      </c>
      <c r="F325">
        <f t="shared" si="94"/>
        <v>-2.9144949868447029E-3</v>
      </c>
      <c r="G325">
        <f t="shared" si="94"/>
        <v>-2.0179491264404438E-3</v>
      </c>
      <c r="H325">
        <f t="shared" si="94"/>
        <v>-2.5815628126534709E-3</v>
      </c>
      <c r="I325">
        <f t="shared" si="94"/>
        <v>-2.05853963605164E-3</v>
      </c>
      <c r="J325">
        <f t="shared" si="94"/>
        <v>-1.9962026975440129E-3</v>
      </c>
      <c r="K325">
        <f t="shared" si="94"/>
        <v>-2.6236167298210804E-3</v>
      </c>
      <c r="L325">
        <f t="shared" si="94"/>
        <v>-4.9246875086413316E-4</v>
      </c>
      <c r="M325">
        <f t="shared" si="94"/>
        <v>-1.7304560158340546E-3</v>
      </c>
      <c r="N325">
        <f t="shared" si="94"/>
        <v>-3.3699403871944879E-3</v>
      </c>
      <c r="O325">
        <f t="shared" si="94"/>
        <v>-1.2905113199348935E-3</v>
      </c>
      <c r="P325">
        <f t="shared" si="94"/>
        <v>-5.7892179467984037E-3</v>
      </c>
      <c r="Q325">
        <f t="shared" si="94"/>
        <v>-1.7660826573084746E-3</v>
      </c>
      <c r="R325">
        <f t="shared" si="94"/>
        <v>-1.1660844921871712E-3</v>
      </c>
      <c r="S325">
        <f t="shared" si="94"/>
        <v>-1.3415602565751254E-3</v>
      </c>
      <c r="T325">
        <f t="shared" si="94"/>
        <v>-1.8250002102023221E-3</v>
      </c>
      <c r="U325">
        <f t="shared" si="94"/>
        <v>-1.9970613678744918E-3</v>
      </c>
      <c r="V325">
        <f t="shared" si="94"/>
        <v>-2.5977875573401244E-3</v>
      </c>
      <c r="W325">
        <f t="shared" si="94"/>
        <v>-2.154154907541343E-3</v>
      </c>
      <c r="X325">
        <f t="shared" si="94"/>
        <v>-1.2153585628929175E-3</v>
      </c>
      <c r="Y325">
        <f t="shared" si="94"/>
        <v>-2.5124225261629225E-3</v>
      </c>
      <c r="Z325">
        <f t="shared" si="94"/>
        <v>-2.7414116980820037E-3</v>
      </c>
      <c r="AA325">
        <f t="shared" si="94"/>
        <v>-3.9533355779105845E-3</v>
      </c>
      <c r="AB325">
        <f t="shared" si="94"/>
        <v>-1.2498917583244019E-3</v>
      </c>
      <c r="AC325">
        <f t="shared" si="94"/>
        <v>-3.2570343688869403E-3</v>
      </c>
      <c r="AD325">
        <f t="shared" si="94"/>
        <v>-1.9952926268790336E-3</v>
      </c>
      <c r="AE325">
        <f t="shared" si="94"/>
        <v>-6.7491525747051988E-3</v>
      </c>
      <c r="AF325">
        <f t="shared" si="94"/>
        <v>-4.9265171725788219E-3</v>
      </c>
      <c r="AG325">
        <f t="shared" si="94"/>
        <v>-3.0675633093236849E-3</v>
      </c>
      <c r="AH325">
        <f t="shared" si="94"/>
        <v>-1.0887023556426822E-2</v>
      </c>
      <c r="AI325">
        <f t="shared" si="94"/>
        <v>-2.3159304101283432E-2</v>
      </c>
      <c r="AJ325">
        <f t="shared" si="94"/>
        <v>0.91281398371640732</v>
      </c>
      <c r="AK325">
        <f t="shared" si="94"/>
        <v>-1.2418031255430687E-2</v>
      </c>
      <c r="AL325">
        <f t="shared" si="94"/>
        <v>-1.997058471574342E-3</v>
      </c>
      <c r="AM325">
        <f t="shared" si="94"/>
        <v>-1.173720859496773E-2</v>
      </c>
      <c r="AN325">
        <f t="shared" si="94"/>
        <v>-6.2785400616308957E-3</v>
      </c>
      <c r="AO325">
        <f t="shared" si="94"/>
        <v>-5.5616526515153081E-3</v>
      </c>
      <c r="AP325">
        <f t="shared" si="94"/>
        <v>-3.5634475800476071E-3</v>
      </c>
      <c r="AQ325">
        <f t="shared" si="94"/>
        <v>-6.206969713397955E-3</v>
      </c>
      <c r="AR325">
        <f t="shared" si="94"/>
        <v>0</v>
      </c>
    </row>
    <row r="326" spans="1:53">
      <c r="A326" t="s">
        <v>384</v>
      </c>
      <c r="B326" t="s">
        <v>27</v>
      </c>
      <c r="C326">
        <f t="shared" ref="C326:AR326" si="95">IFERROR(C281-C236,0)</f>
        <v>-1.4248741826697072E-2</v>
      </c>
      <c r="D326">
        <f t="shared" si="95"/>
        <v>-1.5446532874335856E-2</v>
      </c>
      <c r="E326">
        <f t="shared" si="95"/>
        <v>-2.9506926559103534E-2</v>
      </c>
      <c r="F326">
        <f t="shared" si="95"/>
        <v>-1.5583944939261714E-2</v>
      </c>
      <c r="G326">
        <f t="shared" si="95"/>
        <v>-2.6339546492485794E-2</v>
      </c>
      <c r="H326">
        <f t="shared" si="95"/>
        <v>-1.5691858216679021E-2</v>
      </c>
      <c r="I326">
        <f t="shared" si="95"/>
        <v>-1.1500082133423597E-2</v>
      </c>
      <c r="J326">
        <f t="shared" si="95"/>
        <v>-1.2756484313655078E-2</v>
      </c>
      <c r="K326">
        <f t="shared" si="95"/>
        <v>-1.3784947013208483E-2</v>
      </c>
      <c r="L326">
        <f t="shared" si="95"/>
        <v>-5.1829053841821199E-3</v>
      </c>
      <c r="M326">
        <f t="shared" si="95"/>
        <v>-9.1486534810510476E-3</v>
      </c>
      <c r="N326">
        <f t="shared" si="95"/>
        <v>-9.5744745877787297E-3</v>
      </c>
      <c r="O326">
        <f t="shared" si="95"/>
        <v>-8.4809717080084421E-3</v>
      </c>
      <c r="P326">
        <f t="shared" si="95"/>
        <v>-1.4926889999177977E-2</v>
      </c>
      <c r="Q326">
        <f t="shared" si="95"/>
        <v>-1.4020807458045298E-2</v>
      </c>
      <c r="R326">
        <f t="shared" si="95"/>
        <v>-7.8355799898660716E-3</v>
      </c>
      <c r="S326">
        <f t="shared" si="95"/>
        <v>-1.1305657952873159E-2</v>
      </c>
      <c r="T326">
        <f t="shared" si="95"/>
        <v>-9.2298657042222329E-3</v>
      </c>
      <c r="U326">
        <f t="shared" si="95"/>
        <v>-5.7656985373229011E-3</v>
      </c>
      <c r="V326">
        <f t="shared" si="95"/>
        <v>-1.0727714921659647E-2</v>
      </c>
      <c r="W326">
        <f t="shared" si="95"/>
        <v>-9.6567914393252078E-3</v>
      </c>
      <c r="X326">
        <f t="shared" si="95"/>
        <v>-6.1599498272149698E-3</v>
      </c>
      <c r="Y326">
        <f t="shared" si="95"/>
        <v>-1.0786720044710518E-2</v>
      </c>
      <c r="Z326">
        <f t="shared" si="95"/>
        <v>-1.2760749246112653E-2</v>
      </c>
      <c r="AA326">
        <f t="shared" si="95"/>
        <v>-1.7990114690019637E-2</v>
      </c>
      <c r="AB326">
        <f t="shared" si="95"/>
        <v>-8.9238121932342668E-3</v>
      </c>
      <c r="AC326">
        <f t="shared" si="95"/>
        <v>-1.3116467895909036E-2</v>
      </c>
      <c r="AD326">
        <f t="shared" si="95"/>
        <v>-1.0301933948434873E-2</v>
      </c>
      <c r="AE326">
        <f t="shared" si="95"/>
        <v>-2.6992786803458357E-2</v>
      </c>
      <c r="AF326">
        <f t="shared" si="95"/>
        <v>-1.6044897703493571E-2</v>
      </c>
      <c r="AG326">
        <f t="shared" si="95"/>
        <v>-1.3438596374240778E-2</v>
      </c>
      <c r="AH326">
        <f t="shared" si="95"/>
        <v>-9.3921534035638649E-3</v>
      </c>
      <c r="AI326">
        <f t="shared" si="95"/>
        <v>-1.901993434599477E-2</v>
      </c>
      <c r="AJ326">
        <f t="shared" si="95"/>
        <v>-1.2536077206439795E-2</v>
      </c>
      <c r="AK326">
        <f t="shared" si="95"/>
        <v>0.83475659995769624</v>
      </c>
      <c r="AL326">
        <f t="shared" si="95"/>
        <v>-0.1077879080043677</v>
      </c>
      <c r="AM326">
        <f t="shared" si="95"/>
        <v>-2.225445548078394E-2</v>
      </c>
      <c r="AN326">
        <f t="shared" si="95"/>
        <v>-1.219622827868118E-2</v>
      </c>
      <c r="AO326">
        <f t="shared" si="95"/>
        <v>-8.6645095442621552E-3</v>
      </c>
      <c r="AP326">
        <f t="shared" si="95"/>
        <v>-6.5746401003998565E-3</v>
      </c>
      <c r="AQ326">
        <f t="shared" si="95"/>
        <v>-1.8632759857549197E-2</v>
      </c>
      <c r="AR326">
        <f t="shared" si="95"/>
        <v>0</v>
      </c>
    </row>
    <row r="327" spans="1:53">
      <c r="A327" t="s">
        <v>384</v>
      </c>
      <c r="B327" t="s">
        <v>28</v>
      </c>
      <c r="C327">
        <f t="shared" ref="C327:AR327" si="96">IFERROR(C282-C237,0)</f>
        <v>-9.4833696479668182E-4</v>
      </c>
      <c r="D327">
        <f t="shared" si="96"/>
        <v>-3.0582582675820745E-3</v>
      </c>
      <c r="E327">
        <f t="shared" si="96"/>
        <v>-4.361831108177716E-3</v>
      </c>
      <c r="F327">
        <f t="shared" si="96"/>
        <v>-3.9757577186092215E-3</v>
      </c>
      <c r="G327">
        <f t="shared" si="96"/>
        <v>-3.1862354628007009E-3</v>
      </c>
      <c r="H327">
        <f t="shared" si="96"/>
        <v>-3.3320549462301455E-3</v>
      </c>
      <c r="I327">
        <f t="shared" si="96"/>
        <v>-4.1749573155086452E-3</v>
      </c>
      <c r="J327">
        <f t="shared" si="96"/>
        <v>-3.1075804010520457E-3</v>
      </c>
      <c r="K327">
        <f t="shared" si="96"/>
        <v>-3.0718012016310494E-3</v>
      </c>
      <c r="L327">
        <f t="shared" si="96"/>
        <v>-5.676903262929854E-4</v>
      </c>
      <c r="M327">
        <f t="shared" si="96"/>
        <v>-1.4398924122054357E-3</v>
      </c>
      <c r="N327">
        <f t="shared" si="96"/>
        <v>-2.1096681359097889E-3</v>
      </c>
      <c r="O327">
        <f t="shared" si="96"/>
        <v>-1.8812984116060802E-3</v>
      </c>
      <c r="P327">
        <f t="shared" si="96"/>
        <v>-2.9343942095533477E-3</v>
      </c>
      <c r="Q327">
        <f t="shared" si="96"/>
        <v>-2.7861272190628193E-3</v>
      </c>
      <c r="R327">
        <f t="shared" si="96"/>
        <v>-1.344095577310802E-3</v>
      </c>
      <c r="S327">
        <f t="shared" si="96"/>
        <v>-1.8636973418284606E-3</v>
      </c>
      <c r="T327">
        <f t="shared" si="96"/>
        <v>-3.0532671604517913E-3</v>
      </c>
      <c r="U327">
        <f t="shared" si="96"/>
        <v>-1.5260932142972302E-3</v>
      </c>
      <c r="V327">
        <f t="shared" si="96"/>
        <v>-2.3395404045761297E-3</v>
      </c>
      <c r="W327">
        <f t="shared" si="96"/>
        <v>-2.1940174039966208E-3</v>
      </c>
      <c r="X327">
        <f t="shared" si="96"/>
        <v>-1.7456914636944814E-3</v>
      </c>
      <c r="Y327">
        <f t="shared" si="96"/>
        <v>-4.0000728393654993E-3</v>
      </c>
      <c r="Z327">
        <f t="shared" si="96"/>
        <v>-4.6415822850185582E-3</v>
      </c>
      <c r="AA327">
        <f t="shared" si="96"/>
        <v>-2.3534914030216175E-3</v>
      </c>
      <c r="AB327">
        <f t="shared" si="96"/>
        <v>-2.4605768375668478E-3</v>
      </c>
      <c r="AC327">
        <f t="shared" si="96"/>
        <v>-3.0473595339479188E-3</v>
      </c>
      <c r="AD327">
        <f t="shared" si="96"/>
        <v>-3.6710944042635846E-3</v>
      </c>
      <c r="AE327">
        <f t="shared" si="96"/>
        <v>-2.6754729356641416E-2</v>
      </c>
      <c r="AF327">
        <f t="shared" si="96"/>
        <v>-8.378261393288941E-3</v>
      </c>
      <c r="AG327">
        <f t="shared" si="96"/>
        <v>-2.5710435028098277E-2</v>
      </c>
      <c r="AH327">
        <f t="shared" si="96"/>
        <v>-7.8103926372866542E-3</v>
      </c>
      <c r="AI327">
        <f t="shared" si="96"/>
        <v>-1.2961561139731105E-2</v>
      </c>
      <c r="AJ327">
        <f t="shared" si="96"/>
        <v>-1.0937156972185433E-2</v>
      </c>
      <c r="AK327">
        <f t="shared" si="96"/>
        <v>-8.0497088303635965E-3</v>
      </c>
      <c r="AL327">
        <f t="shared" si="96"/>
        <v>0.98590918316907261</v>
      </c>
      <c r="AM327">
        <f t="shared" si="96"/>
        <v>-1.0960187067283671E-2</v>
      </c>
      <c r="AN327">
        <f t="shared" si="96"/>
        <v>-5.0562701606143567E-3</v>
      </c>
      <c r="AO327">
        <f t="shared" si="96"/>
        <v>-8.3683505007028629E-3</v>
      </c>
      <c r="AP327">
        <f t="shared" si="96"/>
        <v>-7.1911491218330306E-3</v>
      </c>
      <c r="AQ327">
        <f t="shared" si="96"/>
        <v>-1.5566575619411256E-2</v>
      </c>
      <c r="AR327">
        <f t="shared" si="96"/>
        <v>0</v>
      </c>
    </row>
    <row r="328" spans="1:53">
      <c r="A328" t="s">
        <v>384</v>
      </c>
      <c r="B328" t="s">
        <v>29</v>
      </c>
      <c r="C328">
        <f t="shared" ref="C328:AR328" si="97">IFERROR(C283-C238,0)</f>
        <v>-1.435738806622102E-2</v>
      </c>
      <c r="D328">
        <f t="shared" si="97"/>
        <v>-4.2105385717002439E-2</v>
      </c>
      <c r="E328">
        <f t="shared" si="97"/>
        <v>-6.6532272528355502E-2</v>
      </c>
      <c r="F328">
        <f t="shared" si="97"/>
        <v>-5.1106194038425846E-2</v>
      </c>
      <c r="G328">
        <f t="shared" si="97"/>
        <v>-0.10233126228028251</v>
      </c>
      <c r="H328">
        <f t="shared" si="97"/>
        <v>-2.993562095980605E-2</v>
      </c>
      <c r="I328">
        <f t="shared" si="97"/>
        <v>-2.0950901408667406E-2</v>
      </c>
      <c r="J328">
        <f t="shared" si="97"/>
        <v>-1.9947845988072872E-2</v>
      </c>
      <c r="K328">
        <f t="shared" si="97"/>
        <v>-2.2818139238718334E-2</v>
      </c>
      <c r="L328">
        <f t="shared" si="97"/>
        <v>-6.6214884233950638E-3</v>
      </c>
      <c r="M328">
        <f t="shared" si="97"/>
        <v>-1.7825857927163628E-2</v>
      </c>
      <c r="N328">
        <f t="shared" si="97"/>
        <v>-2.8345877312882552E-2</v>
      </c>
      <c r="O328">
        <f t="shared" si="97"/>
        <v>-1.9106737042369398E-2</v>
      </c>
      <c r="P328">
        <f t="shared" si="97"/>
        <v>-0.12131348140195519</v>
      </c>
      <c r="Q328">
        <f t="shared" si="97"/>
        <v>-1.4066073080842874E-2</v>
      </c>
      <c r="R328">
        <f t="shared" si="97"/>
        <v>-1.3629247910213204E-2</v>
      </c>
      <c r="S328">
        <f t="shared" si="97"/>
        <v>-1.436628556016851E-2</v>
      </c>
      <c r="T328">
        <f t="shared" si="97"/>
        <v>-2.1677675556755965E-2</v>
      </c>
      <c r="U328">
        <f t="shared" si="97"/>
        <v>-2.0154262833509323E-2</v>
      </c>
      <c r="V328">
        <f t="shared" si="97"/>
        <v>-2.2056297255191211E-2</v>
      </c>
      <c r="W328">
        <f t="shared" si="97"/>
        <v>-2.3258603275461132E-2</v>
      </c>
      <c r="X328">
        <f t="shared" si="97"/>
        <v>-2.3791493266043889E-2</v>
      </c>
      <c r="Y328">
        <f t="shared" si="97"/>
        <v>-3.5436418263453291E-2</v>
      </c>
      <c r="Z328">
        <f t="shared" si="97"/>
        <v>-2.5548226655941992E-2</v>
      </c>
      <c r="AA328">
        <f t="shared" si="97"/>
        <v>-3.4470182028460798E-2</v>
      </c>
      <c r="AB328">
        <f t="shared" si="97"/>
        <v>-1.3156011031385828E-2</v>
      </c>
      <c r="AC328">
        <f t="shared" si="97"/>
        <v>-3.6681665118752656E-2</v>
      </c>
      <c r="AD328">
        <f t="shared" si="97"/>
        <v>-4.9684118991916403E-2</v>
      </c>
      <c r="AE328">
        <f t="shared" si="97"/>
        <v>-5.6613992013643012E-2</v>
      </c>
      <c r="AF328">
        <f t="shared" si="97"/>
        <v>-4.2500436054509642E-2</v>
      </c>
      <c r="AG328">
        <f t="shared" si="97"/>
        <v>-3.8066749847735365E-2</v>
      </c>
      <c r="AH328">
        <f t="shared" si="97"/>
        <v>-4.6560539052458785E-2</v>
      </c>
      <c r="AI328">
        <f t="shared" si="97"/>
        <v>-7.3925841699965966E-2</v>
      </c>
      <c r="AJ328">
        <f t="shared" si="97"/>
        <v>-6.1400031830766616E-2</v>
      </c>
      <c r="AK328">
        <f t="shared" si="97"/>
        <v>-4.6512043538910856E-2</v>
      </c>
      <c r="AL328">
        <f t="shared" si="97"/>
        <v>-3.7225655604050639E-2</v>
      </c>
      <c r="AM328">
        <f t="shared" si="97"/>
        <v>0.86720717094533339</v>
      </c>
      <c r="AN328">
        <f t="shared" si="97"/>
        <v>-4.1860413850726148E-2</v>
      </c>
      <c r="AO328">
        <f t="shared" si="97"/>
        <v>-3.8054422087121897E-2</v>
      </c>
      <c r="AP328">
        <f t="shared" si="97"/>
        <v>-2.8049135258902545E-2</v>
      </c>
      <c r="AQ328">
        <f t="shared" si="97"/>
        <v>-5.3862276683187979E-2</v>
      </c>
      <c r="AR328">
        <f t="shared" si="97"/>
        <v>0</v>
      </c>
    </row>
    <row r="329" spans="1:53">
      <c r="A329" t="s">
        <v>384</v>
      </c>
      <c r="B329" t="s">
        <v>30</v>
      </c>
      <c r="C329">
        <f t="shared" ref="C329:AR329" si="98">IFERROR(C284-C239,0)</f>
        <v>-4.2743033694213139E-4</v>
      </c>
      <c r="D329">
        <f t="shared" si="98"/>
        <v>-6.2484718411258118E-4</v>
      </c>
      <c r="E329">
        <f t="shared" si="98"/>
        <v>-3.30006958842393E-4</v>
      </c>
      <c r="F329">
        <f t="shared" si="98"/>
        <v>-5.3151526043953136E-4</v>
      </c>
      <c r="G329">
        <f t="shared" si="98"/>
        <v>-6.9035101694015183E-4</v>
      </c>
      <c r="H329">
        <f t="shared" si="98"/>
        <v>-5.9542938276012293E-4</v>
      </c>
      <c r="I329">
        <f t="shared" si="98"/>
        <v>-4.2872289540455571E-4</v>
      </c>
      <c r="J329">
        <f t="shared" si="98"/>
        <v>-6.9075132014699732E-4</v>
      </c>
      <c r="K329">
        <f t="shared" si="98"/>
        <v>-6.5633952127720383E-4</v>
      </c>
      <c r="L329">
        <f t="shared" si="98"/>
        <v>-8.1190932397051522E-5</v>
      </c>
      <c r="M329">
        <f t="shared" si="98"/>
        <v>-2.807746600997101E-4</v>
      </c>
      <c r="N329">
        <f t="shared" si="98"/>
        <v>-4.9642112422111477E-4</v>
      </c>
      <c r="O329">
        <f t="shared" si="98"/>
        <v>-2.8318264907038158E-4</v>
      </c>
      <c r="P329">
        <f t="shared" si="98"/>
        <v>0</v>
      </c>
      <c r="Q329">
        <f t="shared" si="98"/>
        <v>0</v>
      </c>
      <c r="R329">
        <f t="shared" si="98"/>
        <v>-6.8294552755958436E-4</v>
      </c>
      <c r="S329">
        <f t="shared" si="98"/>
        <v>-8.7948885127139202E-4</v>
      </c>
      <c r="T329">
        <f t="shared" si="98"/>
        <v>-4.7653904130924997E-4</v>
      </c>
      <c r="U329">
        <f t="shared" si="98"/>
        <v>-1.3179961075936118E-4</v>
      </c>
      <c r="V329">
        <f t="shared" si="98"/>
        <v>-3.481529218189975E-4</v>
      </c>
      <c r="W329">
        <f t="shared" si="98"/>
        <v>-3.4290814186056426E-4</v>
      </c>
      <c r="X329">
        <f t="shared" si="98"/>
        <v>-3.2384157985116774E-4</v>
      </c>
      <c r="Y329">
        <f t="shared" si="98"/>
        <v>-4.7753970046685479E-4</v>
      </c>
      <c r="Z329">
        <f t="shared" si="98"/>
        <v>-4.5343912117797697E-4</v>
      </c>
      <c r="AA329">
        <f t="shared" si="98"/>
        <v>-7.7942519002772851E-4</v>
      </c>
      <c r="AB329">
        <f t="shared" si="98"/>
        <v>-5.585282385032912E-4</v>
      </c>
      <c r="AC329">
        <f t="shared" si="98"/>
        <v>-2.8519534592211025E-3</v>
      </c>
      <c r="AD329">
        <f t="shared" si="98"/>
        <v>-6.380447268283276E-4</v>
      </c>
      <c r="AE329">
        <f t="shared" si="98"/>
        <v>-9.9677971969472389E-4</v>
      </c>
      <c r="AF329">
        <f t="shared" si="98"/>
        <v>-5.7384170461434328E-4</v>
      </c>
      <c r="AG329">
        <f t="shared" si="98"/>
        <v>-8.2790725081759522E-4</v>
      </c>
      <c r="AH329">
        <f t="shared" si="98"/>
        <v>-4.6147780585379034E-4</v>
      </c>
      <c r="AI329">
        <f t="shared" si="98"/>
        <v>-1.0214402580402909E-3</v>
      </c>
      <c r="AJ329">
        <f t="shared" si="98"/>
        <v>-5.8032832047971749E-4</v>
      </c>
      <c r="AK329">
        <f t="shared" si="98"/>
        <v>-8.3723806623578554E-4</v>
      </c>
      <c r="AL329">
        <f t="shared" si="98"/>
        <v>-6.1201605329644024E-4</v>
      </c>
      <c r="AM329">
        <f t="shared" si="98"/>
        <v>-8.3067270459658482E-4</v>
      </c>
      <c r="AN329">
        <f t="shared" si="98"/>
        <v>0.99832098667002001</v>
      </c>
      <c r="AO329">
        <f t="shared" si="98"/>
        <v>-6.7755258909227571E-4</v>
      </c>
      <c r="AP329">
        <f t="shared" si="98"/>
        <v>-6.2023458999779259E-4</v>
      </c>
      <c r="AQ329">
        <f t="shared" si="98"/>
        <v>-1.3065793639357351E-3</v>
      </c>
      <c r="AR329">
        <f t="shared" si="98"/>
        <v>0</v>
      </c>
    </row>
    <row r="330" spans="1:53">
      <c r="A330" t="s">
        <v>384</v>
      </c>
      <c r="B330" t="s">
        <v>31</v>
      </c>
      <c r="C330">
        <f t="shared" ref="C330:AR330" si="99">IFERROR(C285-C240,0)</f>
        <v>-3.5036125995353048E-4</v>
      </c>
      <c r="D330">
        <f t="shared" si="99"/>
        <v>-5.9767991523812113E-4</v>
      </c>
      <c r="E330">
        <f t="shared" si="99"/>
        <v>-9.3980242626855398E-4</v>
      </c>
      <c r="F330">
        <f t="shared" si="99"/>
        <v>-9.7552495970913982E-4</v>
      </c>
      <c r="G330">
        <f t="shared" si="99"/>
        <v>-9.0276671446019874E-4</v>
      </c>
      <c r="H330">
        <f t="shared" si="99"/>
        <v>-6.5346839596311477E-4</v>
      </c>
      <c r="I330">
        <f t="shared" si="99"/>
        <v>-7.1978745770581211E-4</v>
      </c>
      <c r="J330">
        <f t="shared" si="99"/>
        <v>-7.2380216973681223E-4</v>
      </c>
      <c r="K330">
        <f t="shared" si="99"/>
        <v>-5.2334035654729013E-4</v>
      </c>
      <c r="L330">
        <f t="shared" si="99"/>
        <v>-1.7108957629862528E-4</v>
      </c>
      <c r="M330">
        <f t="shared" si="99"/>
        <v>-5.2587263888650331E-4</v>
      </c>
      <c r="N330">
        <f t="shared" si="99"/>
        <v>-6.5860036065037248E-4</v>
      </c>
      <c r="O330">
        <f t="shared" si="99"/>
        <v>-6.0896281228811839E-4</v>
      </c>
      <c r="P330">
        <f t="shared" si="99"/>
        <v>-4.545988915818591E-3</v>
      </c>
      <c r="Q330">
        <f t="shared" si="99"/>
        <v>-1.6089791295969224E-5</v>
      </c>
      <c r="R330">
        <f t="shared" si="99"/>
        <v>-4.2275650508896657E-4</v>
      </c>
      <c r="S330">
        <f t="shared" si="99"/>
        <v>-5.0250215288727082E-4</v>
      </c>
      <c r="T330">
        <f t="shared" si="99"/>
        <v>-6.5425774384147506E-4</v>
      </c>
      <c r="U330">
        <f t="shared" si="99"/>
        <v>-3.6687719648106004E-4</v>
      </c>
      <c r="V330">
        <f t="shared" si="99"/>
        <v>-6.8895145052205102E-4</v>
      </c>
      <c r="W330">
        <f t="shared" si="99"/>
        <v>-6.2863270250404881E-4</v>
      </c>
      <c r="X330">
        <f t="shared" si="99"/>
        <v>-3.0204188248128126E-4</v>
      </c>
      <c r="Y330">
        <f t="shared" si="99"/>
        <v>-6.8327073923520542E-4</v>
      </c>
      <c r="Z330">
        <f t="shared" si="99"/>
        <v>-6.833082896007675E-4</v>
      </c>
      <c r="AA330">
        <f t="shared" si="99"/>
        <v>-7.4373118685154278E-4</v>
      </c>
      <c r="AB330">
        <f t="shared" si="99"/>
        <v>-8.4086879425224355E-4</v>
      </c>
      <c r="AC330">
        <f t="shared" si="99"/>
        <v>-1.026151679798789E-3</v>
      </c>
      <c r="AD330">
        <f t="shared" si="99"/>
        <v>-7.3997896926424392E-4</v>
      </c>
      <c r="AE330">
        <f t="shared" si="99"/>
        <v>-1.7000820146656859E-3</v>
      </c>
      <c r="AF330">
        <f t="shared" si="99"/>
        <v>-1.6676437295086726E-3</v>
      </c>
      <c r="AG330">
        <f t="shared" si="99"/>
        <v>-2.0427445996663279E-3</v>
      </c>
      <c r="AH330">
        <f t="shared" si="99"/>
        <v>-1.6967795507149333E-3</v>
      </c>
      <c r="AI330">
        <f t="shared" si="99"/>
        <v>-1.6665913416897479E-3</v>
      </c>
      <c r="AJ330">
        <f t="shared" si="99"/>
        <v>-2.1928681661477433E-3</v>
      </c>
      <c r="AK330">
        <f t="shared" si="99"/>
        <v>-1.7967100774721205E-3</v>
      </c>
      <c r="AL330">
        <f t="shared" si="99"/>
        <v>-4.7513145358199602E-4</v>
      </c>
      <c r="AM330">
        <f t="shared" si="99"/>
        <v>-2.6992690615657271E-3</v>
      </c>
      <c r="AN330">
        <f t="shared" si="99"/>
        <v>-2.374069225907913E-3</v>
      </c>
      <c r="AO330">
        <f t="shared" si="99"/>
        <v>0.99373376687033887</v>
      </c>
      <c r="AP330">
        <f t="shared" si="99"/>
        <v>-2.8672777465416771E-3</v>
      </c>
      <c r="AQ330">
        <f t="shared" si="99"/>
        <v>-3.3897045047372055E-3</v>
      </c>
      <c r="AR330">
        <f t="shared" si="99"/>
        <v>0</v>
      </c>
    </row>
    <row r="331" spans="1:53">
      <c r="A331" t="s">
        <v>384</v>
      </c>
      <c r="B331" t="s">
        <v>32</v>
      </c>
      <c r="C331">
        <f t="shared" ref="C331:AR331" si="100">IFERROR(C286-C241,0)</f>
        <v>-1.3057631889971897E-4</v>
      </c>
      <c r="D331">
        <f t="shared" si="100"/>
        <v>-5.0841603179346666E-4</v>
      </c>
      <c r="E331">
        <f t="shared" si="100"/>
        <v>-1.8652567238917864E-4</v>
      </c>
      <c r="F331">
        <f t="shared" si="100"/>
        <v>-1.0606734687263375E-4</v>
      </c>
      <c r="G331">
        <f t="shared" si="100"/>
        <v>-1.5931177314003505E-4</v>
      </c>
      <c r="H331">
        <f t="shared" si="100"/>
        <v>-2.1777962620208967E-4</v>
      </c>
      <c r="I331">
        <f t="shared" si="100"/>
        <v>-1.4618090139207479E-4</v>
      </c>
      <c r="J331">
        <f t="shared" si="100"/>
        <v>-1.2557035588102699E-4</v>
      </c>
      <c r="K331">
        <f t="shared" si="100"/>
        <v>-1.532140282875343E-4</v>
      </c>
      <c r="L331">
        <f t="shared" si="100"/>
        <v>-3.0000337431818331E-5</v>
      </c>
      <c r="M331">
        <f t="shared" si="100"/>
        <v>-1.0696612359854312E-4</v>
      </c>
      <c r="N331">
        <f t="shared" si="100"/>
        <v>-2.1673568686130141E-4</v>
      </c>
      <c r="O331">
        <f t="shared" si="100"/>
        <v>-1.645541385576784E-4</v>
      </c>
      <c r="P331">
        <f t="shared" si="100"/>
        <v>-4.2902581507807364E-5</v>
      </c>
      <c r="Q331">
        <f t="shared" si="100"/>
        <v>-3.5154759954016818E-4</v>
      </c>
      <c r="R331">
        <f t="shared" si="100"/>
        <v>-6.6126457732256297E-5</v>
      </c>
      <c r="S331">
        <f t="shared" si="100"/>
        <v>-1.127857735808082E-4</v>
      </c>
      <c r="T331">
        <f t="shared" si="100"/>
        <v>-2.2478857724961398E-4</v>
      </c>
      <c r="U331">
        <f t="shared" si="100"/>
        <v>-9.7461350990197905E-5</v>
      </c>
      <c r="V331">
        <f t="shared" si="100"/>
        <v>-1.5912309050288337E-4</v>
      </c>
      <c r="W331">
        <f t="shared" si="100"/>
        <v>-1.2888807183031184E-4</v>
      </c>
      <c r="X331">
        <f t="shared" si="100"/>
        <v>-9.7303231302456436E-5</v>
      </c>
      <c r="Y331">
        <f t="shared" si="100"/>
        <v>-2.1202414571407953E-4</v>
      </c>
      <c r="Z331">
        <f t="shared" si="100"/>
        <v>-1.9976518194501404E-4</v>
      </c>
      <c r="AA331">
        <f t="shared" si="100"/>
        <v>-1.3401169293220626E-4</v>
      </c>
      <c r="AB331">
        <f t="shared" si="100"/>
        <v>-1.6460127677838242E-4</v>
      </c>
      <c r="AC331">
        <f t="shared" si="100"/>
        <v>-2.4924366577959211E-4</v>
      </c>
      <c r="AD331">
        <f t="shared" si="100"/>
        <v>-1.5336776757383632E-4</v>
      </c>
      <c r="AE331">
        <f t="shared" si="100"/>
        <v>-3.6412236791856051E-4</v>
      </c>
      <c r="AF331">
        <f t="shared" si="100"/>
        <v>-2.0054958096060409E-4</v>
      </c>
      <c r="AG331">
        <f t="shared" si="100"/>
        <v>-4.1010575817171667E-4</v>
      </c>
      <c r="AH331">
        <f t="shared" si="100"/>
        <v>-2.7282829713455288E-4</v>
      </c>
      <c r="AI331">
        <f t="shared" si="100"/>
        <v>-2.0688141293039042E-4</v>
      </c>
      <c r="AJ331">
        <f t="shared" si="100"/>
        <v>-2.9079162201230385E-4</v>
      </c>
      <c r="AK331">
        <f t="shared" si="100"/>
        <v>-3.4238981976639969E-4</v>
      </c>
      <c r="AL331">
        <f t="shared" si="100"/>
        <v>-7.0206020563473096E-5</v>
      </c>
      <c r="AM331">
        <f t="shared" si="100"/>
        <v>-4.0515246649076435E-4</v>
      </c>
      <c r="AN331">
        <f t="shared" si="100"/>
        <v>-1.4266687194025441E-3</v>
      </c>
      <c r="AO331">
        <f t="shared" si="100"/>
        <v>-7.9719328316570526E-4</v>
      </c>
      <c r="AP331">
        <f t="shared" si="100"/>
        <v>0.97903093800609675</v>
      </c>
      <c r="AQ331">
        <f t="shared" si="100"/>
        <v>-7.9046875080778878E-4</v>
      </c>
      <c r="AR331">
        <f t="shared" si="100"/>
        <v>0</v>
      </c>
    </row>
    <row r="332" spans="1:53">
      <c r="A332" t="s">
        <v>384</v>
      </c>
      <c r="B332" t="s">
        <v>33</v>
      </c>
      <c r="C332">
        <f t="shared" ref="C332:AR332" si="101">IFERROR(C287-C242,0)</f>
        <v>-1.7978540870423679E-3</v>
      </c>
      <c r="D332">
        <f t="shared" si="101"/>
        <v>-3.4968156079840723E-3</v>
      </c>
      <c r="E332">
        <f t="shared" si="101"/>
        <v>-4.2040016930791806E-3</v>
      </c>
      <c r="F332">
        <f t="shared" si="101"/>
        <v>-5.1542837949718192E-3</v>
      </c>
      <c r="G332">
        <f t="shared" si="101"/>
        <v>-4.1421061016409114E-3</v>
      </c>
      <c r="H332">
        <f t="shared" si="101"/>
        <v>-2.7330524081546903E-3</v>
      </c>
      <c r="I332">
        <f t="shared" si="101"/>
        <v>-3.0911430604346627E-3</v>
      </c>
      <c r="J332">
        <f t="shared" si="101"/>
        <v>-2.3899538225880712E-3</v>
      </c>
      <c r="K332">
        <f t="shared" si="101"/>
        <v>-1.8514897004260694E-3</v>
      </c>
      <c r="L332">
        <f t="shared" si="101"/>
        <v>-3.2816747868475701E-4</v>
      </c>
      <c r="M332">
        <f t="shared" si="101"/>
        <v>-9.6612398206515797E-4</v>
      </c>
      <c r="N332">
        <f t="shared" si="101"/>
        <v>-1.120961716485819E-3</v>
      </c>
      <c r="O332">
        <f t="shared" si="101"/>
        <v>-1.1432305612542996E-3</v>
      </c>
      <c r="P332">
        <f t="shared" si="101"/>
        <v>-4.6079705035149722E-3</v>
      </c>
      <c r="Q332">
        <f t="shared" si="101"/>
        <v>-2.6854569200006183E-3</v>
      </c>
      <c r="R332">
        <f t="shared" si="101"/>
        <v>-1.2592746960096877E-3</v>
      </c>
      <c r="S332">
        <f t="shared" si="101"/>
        <v>-1.0357677013368668E-3</v>
      </c>
      <c r="T332">
        <f t="shared" si="101"/>
        <v>-2.1274502193841336E-3</v>
      </c>
      <c r="U332">
        <f t="shared" si="101"/>
        <v>-1.2654096157549901E-3</v>
      </c>
      <c r="V332">
        <f t="shared" si="101"/>
        <v>-1.0979720960999561E-3</v>
      </c>
      <c r="W332">
        <f t="shared" si="101"/>
        <v>-1.0907083074255996E-3</v>
      </c>
      <c r="X332">
        <f t="shared" si="101"/>
        <v>-9.7139525471549794E-4</v>
      </c>
      <c r="Y332">
        <f t="shared" si="101"/>
        <v>-1.8545473745314033E-3</v>
      </c>
      <c r="Z332">
        <f t="shared" si="101"/>
        <v>-2.689451869398396E-3</v>
      </c>
      <c r="AA332">
        <f t="shared" si="101"/>
        <v>-1.2581480668340435E-3</v>
      </c>
      <c r="AB332">
        <f t="shared" si="101"/>
        <v>-1.4671501807311047E-3</v>
      </c>
      <c r="AC332">
        <f t="shared" si="101"/>
        <v>-5.5542248260200475E-3</v>
      </c>
      <c r="AD332">
        <f t="shared" si="101"/>
        <v>-1.5731471074651225E-3</v>
      </c>
      <c r="AE332">
        <f t="shared" si="101"/>
        <v>-5.9567918245773703E-3</v>
      </c>
      <c r="AF332">
        <f t="shared" si="101"/>
        <v>-3.3565377457416474E-3</v>
      </c>
      <c r="AG332">
        <f t="shared" si="101"/>
        <v>-1.2983214385130889E-2</v>
      </c>
      <c r="AH332">
        <f t="shared" si="101"/>
        <v>-2.8673322657221185E-2</v>
      </c>
      <c r="AI332">
        <f t="shared" si="101"/>
        <v>-9.2673221324463192E-3</v>
      </c>
      <c r="AJ332">
        <f t="shared" si="101"/>
        <v>-7.6764595978841103E-3</v>
      </c>
      <c r="AK332">
        <f t="shared" si="101"/>
        <v>-8.036430684660277E-3</v>
      </c>
      <c r="AL332">
        <f t="shared" si="101"/>
        <v>-2.0791633966208323E-3</v>
      </c>
      <c r="AM332">
        <f t="shared" si="101"/>
        <v>-8.8129489135742086E-3</v>
      </c>
      <c r="AN332">
        <f t="shared" si="101"/>
        <v>-5.4717961438505809E-3</v>
      </c>
      <c r="AO332">
        <f t="shared" si="101"/>
        <v>-7.925928464944311E-3</v>
      </c>
      <c r="AP332">
        <f t="shared" si="101"/>
        <v>-1.0536412476814383E-2</v>
      </c>
      <c r="AQ332">
        <f t="shared" si="101"/>
        <v>0.91699323685604617</v>
      </c>
      <c r="AR332">
        <f t="shared" si="101"/>
        <v>0</v>
      </c>
    </row>
    <row r="333" spans="1:53">
      <c r="A333" t="s">
        <v>384</v>
      </c>
      <c r="B333" t="s">
        <v>34</v>
      </c>
      <c r="C333">
        <f t="shared" ref="C333:AR333" si="102">IFERROR(C288-C243,0)</f>
        <v>0</v>
      </c>
      <c r="D333">
        <f t="shared" si="102"/>
        <v>0</v>
      </c>
      <c r="E333">
        <f t="shared" si="102"/>
        <v>0</v>
      </c>
      <c r="F333">
        <f t="shared" si="102"/>
        <v>0</v>
      </c>
      <c r="G333">
        <f t="shared" si="102"/>
        <v>0</v>
      </c>
      <c r="H333">
        <f t="shared" si="102"/>
        <v>0</v>
      </c>
      <c r="I333">
        <f t="shared" si="102"/>
        <v>0</v>
      </c>
      <c r="J333">
        <f t="shared" si="102"/>
        <v>0</v>
      </c>
      <c r="K333">
        <f t="shared" si="102"/>
        <v>0</v>
      </c>
      <c r="L333">
        <f t="shared" si="102"/>
        <v>0</v>
      </c>
      <c r="M333">
        <f t="shared" si="102"/>
        <v>0</v>
      </c>
      <c r="N333">
        <f t="shared" si="102"/>
        <v>0</v>
      </c>
      <c r="O333">
        <f t="shared" si="102"/>
        <v>0</v>
      </c>
      <c r="P333">
        <f t="shared" si="102"/>
        <v>0</v>
      </c>
      <c r="Q333">
        <f t="shared" si="102"/>
        <v>0</v>
      </c>
      <c r="R333">
        <f t="shared" si="102"/>
        <v>0</v>
      </c>
      <c r="S333">
        <f t="shared" si="102"/>
        <v>0</v>
      </c>
      <c r="T333">
        <f t="shared" si="102"/>
        <v>0</v>
      </c>
      <c r="U333">
        <f t="shared" si="102"/>
        <v>0</v>
      </c>
      <c r="V333">
        <f t="shared" si="102"/>
        <v>0</v>
      </c>
      <c r="W333">
        <f t="shared" si="102"/>
        <v>0</v>
      </c>
      <c r="X333">
        <f t="shared" si="102"/>
        <v>0</v>
      </c>
      <c r="Y333">
        <f t="shared" si="102"/>
        <v>0</v>
      </c>
      <c r="Z333">
        <f t="shared" si="102"/>
        <v>0</v>
      </c>
      <c r="AA333">
        <f t="shared" si="102"/>
        <v>0</v>
      </c>
      <c r="AB333">
        <f t="shared" si="102"/>
        <v>0</v>
      </c>
      <c r="AC333">
        <f t="shared" si="102"/>
        <v>0</v>
      </c>
      <c r="AD333">
        <f t="shared" si="102"/>
        <v>0</v>
      </c>
      <c r="AE333">
        <f t="shared" si="102"/>
        <v>0</v>
      </c>
      <c r="AF333">
        <f t="shared" si="102"/>
        <v>0</v>
      </c>
      <c r="AG333">
        <f t="shared" si="102"/>
        <v>0</v>
      </c>
      <c r="AH333">
        <f t="shared" si="102"/>
        <v>0</v>
      </c>
      <c r="AI333">
        <f t="shared" si="102"/>
        <v>0</v>
      </c>
      <c r="AJ333">
        <f t="shared" si="102"/>
        <v>0</v>
      </c>
      <c r="AK333">
        <f t="shared" si="102"/>
        <v>0</v>
      </c>
      <c r="AL333">
        <f t="shared" si="102"/>
        <v>0</v>
      </c>
      <c r="AM333">
        <f t="shared" si="102"/>
        <v>0</v>
      </c>
      <c r="AN333">
        <f t="shared" si="102"/>
        <v>0</v>
      </c>
      <c r="AO333">
        <f t="shared" si="102"/>
        <v>0</v>
      </c>
      <c r="AP333">
        <f t="shared" si="102"/>
        <v>0</v>
      </c>
      <c r="AQ333">
        <f t="shared" si="102"/>
        <v>0</v>
      </c>
      <c r="AR333">
        <f t="shared" si="102"/>
        <v>1</v>
      </c>
    </row>
    <row r="335" spans="1:53">
      <c r="A335" s="20" t="s">
        <v>697</v>
      </c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</row>
    <row r="336" spans="1:53">
      <c r="C336" t="s">
        <v>4</v>
      </c>
      <c r="D336" t="s">
        <v>120</v>
      </c>
      <c r="E336" t="s">
        <v>119</v>
      </c>
      <c r="F336" t="s">
        <v>5</v>
      </c>
      <c r="G336" t="s">
        <v>6</v>
      </c>
      <c r="H336" t="s">
        <v>7</v>
      </c>
      <c r="I336" t="s">
        <v>8</v>
      </c>
      <c r="J336" t="s">
        <v>9</v>
      </c>
      <c r="K336" t="s">
        <v>10</v>
      </c>
      <c r="L336" t="s">
        <v>11</v>
      </c>
      <c r="M336" t="s">
        <v>58</v>
      </c>
      <c r="N336" t="s">
        <v>59</v>
      </c>
      <c r="O336" t="s">
        <v>12</v>
      </c>
      <c r="P336" t="s">
        <v>132</v>
      </c>
      <c r="Q336" t="s">
        <v>133</v>
      </c>
      <c r="R336" t="s">
        <v>134</v>
      </c>
      <c r="S336" t="s">
        <v>135</v>
      </c>
      <c r="T336" t="s">
        <v>13</v>
      </c>
      <c r="U336" t="s">
        <v>14</v>
      </c>
      <c r="V336" t="s">
        <v>15</v>
      </c>
      <c r="W336" t="s">
        <v>16</v>
      </c>
      <c r="X336" t="s">
        <v>17</v>
      </c>
      <c r="Y336" t="s">
        <v>18</v>
      </c>
      <c r="Z336" t="s">
        <v>19</v>
      </c>
      <c r="AA336" t="s">
        <v>136</v>
      </c>
      <c r="AB336" t="s">
        <v>137</v>
      </c>
      <c r="AC336" t="s">
        <v>138</v>
      </c>
      <c r="AD336" t="s">
        <v>20</v>
      </c>
      <c r="AE336" t="s">
        <v>21</v>
      </c>
      <c r="AF336" t="s">
        <v>22</v>
      </c>
      <c r="AG336" t="s">
        <v>23</v>
      </c>
      <c r="AH336" t="s">
        <v>24</v>
      </c>
      <c r="AI336" t="s">
        <v>25</v>
      </c>
      <c r="AJ336" t="s">
        <v>26</v>
      </c>
      <c r="AK336" t="s">
        <v>27</v>
      </c>
      <c r="AL336" t="s">
        <v>28</v>
      </c>
      <c r="AM336" t="s">
        <v>29</v>
      </c>
      <c r="AN336" t="s">
        <v>30</v>
      </c>
      <c r="AO336" t="s">
        <v>31</v>
      </c>
      <c r="AP336" t="s">
        <v>32</v>
      </c>
      <c r="AQ336" t="s">
        <v>33</v>
      </c>
      <c r="AR336" t="s">
        <v>34</v>
      </c>
    </row>
    <row r="337" spans="1:44">
      <c r="A337" t="s">
        <v>384</v>
      </c>
      <c r="B337" t="s">
        <v>4</v>
      </c>
      <c r="C337">
        <f t="array" ref="C337:AR378">MINVERSE(C292:AR333)</f>
        <v>1.0958757314810184</v>
      </c>
      <c r="D337">
        <v>4.8984530977552792E-3</v>
      </c>
      <c r="E337">
        <v>4.610372766145546E-3</v>
      </c>
      <c r="F337">
        <v>5.5630043952172433E-3</v>
      </c>
      <c r="G337">
        <v>4.5985174415491175E-3</v>
      </c>
      <c r="H337">
        <v>0.24293883758565543</v>
      </c>
      <c r="I337">
        <v>1.8750603267517048E-2</v>
      </c>
      <c r="J337">
        <v>0.1426201476567229</v>
      </c>
      <c r="K337">
        <v>1.1253451186689212E-2</v>
      </c>
      <c r="L337">
        <v>1.1602973273986397E-3</v>
      </c>
      <c r="M337">
        <v>8.2052667869960769E-3</v>
      </c>
      <c r="N337">
        <v>7.6306325158532161E-3</v>
      </c>
      <c r="O337">
        <v>8.5302985913775064E-3</v>
      </c>
      <c r="P337">
        <v>1.0427963603675759E-2</v>
      </c>
      <c r="Q337">
        <v>4.2325042458356476E-3</v>
      </c>
      <c r="R337">
        <v>3.515582736177263E-3</v>
      </c>
      <c r="S337">
        <v>3.586652124810321E-3</v>
      </c>
      <c r="T337">
        <v>4.6566619750049495E-3</v>
      </c>
      <c r="U337">
        <v>2.9677158202357705E-3</v>
      </c>
      <c r="V337">
        <v>4.9033635188963339E-3</v>
      </c>
      <c r="W337">
        <v>4.6935725805171769E-3</v>
      </c>
      <c r="X337">
        <v>4.7054349939648224E-3</v>
      </c>
      <c r="Y337">
        <v>5.607006597418516E-3</v>
      </c>
      <c r="Z337">
        <v>1.3574542258400046E-2</v>
      </c>
      <c r="AA337">
        <v>4.9415595384594679E-3</v>
      </c>
      <c r="AB337">
        <v>3.4250754982485007E-3</v>
      </c>
      <c r="AC337">
        <v>5.7336822078773268E-3</v>
      </c>
      <c r="AD337">
        <v>7.117567516745079E-3</v>
      </c>
      <c r="AE337">
        <v>9.8442600896077349E-3</v>
      </c>
      <c r="AF337">
        <v>7.4645810723249694E-3</v>
      </c>
      <c r="AG337">
        <v>0.10269340924542575</v>
      </c>
      <c r="AH337">
        <v>7.7115063636950592E-3</v>
      </c>
      <c r="AI337">
        <v>6.2790055668226832E-3</v>
      </c>
      <c r="AJ337">
        <v>6.8684945360644846E-3</v>
      </c>
      <c r="AK337">
        <v>6.1959972160124882E-3</v>
      </c>
      <c r="AL337">
        <v>3.6066889606309539E-3</v>
      </c>
      <c r="AM337">
        <v>9.0773962405321668E-3</v>
      </c>
      <c r="AN337">
        <v>6.9535703304035839E-3</v>
      </c>
      <c r="AO337">
        <v>1.0012689324137253E-2</v>
      </c>
      <c r="AP337">
        <v>1.2113812190675052E-2</v>
      </c>
      <c r="AQ337">
        <v>1.4534133481749364E-2</v>
      </c>
      <c r="AR337">
        <v>0</v>
      </c>
    </row>
    <row r="338" spans="1:44">
      <c r="A338" t="s">
        <v>384</v>
      </c>
      <c r="B338" t="s">
        <v>120</v>
      </c>
      <c r="C338">
        <v>9.2369472732251628E-5</v>
      </c>
      <c r="D338">
        <v>1.0010929644961759</v>
      </c>
      <c r="E338">
        <v>1.3517637178833532E-4</v>
      </c>
      <c r="F338">
        <v>1.8765497166511733E-4</v>
      </c>
      <c r="G338">
        <v>5.6184164165357357E-5</v>
      </c>
      <c r="H338">
        <v>1.3954517905031755E-4</v>
      </c>
      <c r="I338">
        <v>1.3167513985813556E-4</v>
      </c>
      <c r="J338">
        <v>1.1910540942030608E-4</v>
      </c>
      <c r="K338">
        <v>1.6063566171113146E-4</v>
      </c>
      <c r="L338">
        <v>2.0253920051064973E-4</v>
      </c>
      <c r="M338">
        <v>1.4743996655897061E-4</v>
      </c>
      <c r="N338">
        <v>6.2474376746139384E-5</v>
      </c>
      <c r="O338">
        <v>1.2313985577572673E-4</v>
      </c>
      <c r="P338">
        <v>2.9147701820559296E-4</v>
      </c>
      <c r="Q338">
        <v>1.7246258870007923E-4</v>
      </c>
      <c r="R338">
        <v>1.6777575029823367E-4</v>
      </c>
      <c r="S338">
        <v>1.4712893833985615E-4</v>
      </c>
      <c r="T338">
        <v>1.1093691483108012E-4</v>
      </c>
      <c r="U338">
        <v>4.7528931284951075E-5</v>
      </c>
      <c r="V338">
        <v>7.9067109065735169E-5</v>
      </c>
      <c r="W338">
        <v>8.2389362784339665E-5</v>
      </c>
      <c r="X338">
        <v>9.0230674614069897E-5</v>
      </c>
      <c r="Y338">
        <v>9.6607516439896793E-5</v>
      </c>
      <c r="Z338">
        <v>8.5981457075941727E-5</v>
      </c>
      <c r="AA338">
        <v>2.3354218469196089E-3</v>
      </c>
      <c r="AB338">
        <v>4.9596049540935838E-5</v>
      </c>
      <c r="AC338">
        <v>1.2523284228341884E-4</v>
      </c>
      <c r="AD338">
        <v>6.220313569038017E-5</v>
      </c>
      <c r="AE338">
        <v>9.105512377201018E-5</v>
      </c>
      <c r="AF338">
        <v>7.288238054370119E-5</v>
      </c>
      <c r="AG338">
        <v>1.5147103884147255E-4</v>
      </c>
      <c r="AH338">
        <v>5.5283982457439227E-5</v>
      </c>
      <c r="AI338">
        <v>8.3752431655400219E-5</v>
      </c>
      <c r="AJ338">
        <v>3.9198050305982056E-5</v>
      </c>
      <c r="AK338">
        <v>3.4200182963256007E-5</v>
      </c>
      <c r="AL338">
        <v>4.6029209316966811E-5</v>
      </c>
      <c r="AM338">
        <v>4.7902338385231365E-5</v>
      </c>
      <c r="AN338">
        <v>4.9109879864100408E-5</v>
      </c>
      <c r="AO338">
        <v>8.17788212077782E-5</v>
      </c>
      <c r="AP338">
        <v>7.0009211776336851E-5</v>
      </c>
      <c r="AQ338">
        <v>1.0495929931677243E-4</v>
      </c>
      <c r="AR338">
        <v>0</v>
      </c>
    </row>
    <row r="339" spans="1:44">
      <c r="A339" t="s">
        <v>384</v>
      </c>
      <c r="B339" t="s">
        <v>119</v>
      </c>
      <c r="C339">
        <v>6.5600234384748937E-5</v>
      </c>
      <c r="D339">
        <v>6.413161343126569E-5</v>
      </c>
      <c r="E339">
        <v>1.0001054039971116</v>
      </c>
      <c r="F339">
        <v>8.8055928467998444E-5</v>
      </c>
      <c r="G339">
        <v>4.4440389156519551E-5</v>
      </c>
      <c r="H339">
        <v>6.0574395961714493E-5</v>
      </c>
      <c r="I339">
        <v>5.4960470976805525E-5</v>
      </c>
      <c r="J339">
        <v>6.1603940312677833E-5</v>
      </c>
      <c r="K339">
        <v>5.964036915976474E-5</v>
      </c>
      <c r="L339">
        <v>7.2273464028819014E-4</v>
      </c>
      <c r="M339">
        <v>1.1959985096934397E-4</v>
      </c>
      <c r="N339">
        <v>3.367668320740388E-5</v>
      </c>
      <c r="O339">
        <v>7.2516652577120781E-5</v>
      </c>
      <c r="P339">
        <v>1.4434266177564087E-4</v>
      </c>
      <c r="Q339">
        <v>6.530386124384315E-5</v>
      </c>
      <c r="R339">
        <v>6.4287446415788982E-5</v>
      </c>
      <c r="S339">
        <v>4.710123838268895E-5</v>
      </c>
      <c r="T339">
        <v>4.0731955119319701E-5</v>
      </c>
      <c r="U339">
        <v>1.8887599374270106E-5</v>
      </c>
      <c r="V339">
        <v>3.5284445774720701E-5</v>
      </c>
      <c r="W339">
        <v>3.2606570913557233E-5</v>
      </c>
      <c r="X339">
        <v>3.9100463885353993E-5</v>
      </c>
      <c r="Y339">
        <v>3.863554833326526E-5</v>
      </c>
      <c r="Z339">
        <v>4.2550486066219118E-5</v>
      </c>
      <c r="AA339">
        <v>3.7945180189264777E-4</v>
      </c>
      <c r="AB339">
        <v>6.5605381152779321E-5</v>
      </c>
      <c r="AC339">
        <v>5.3432983965096731E-5</v>
      </c>
      <c r="AD339">
        <v>3.579977598740091E-5</v>
      </c>
      <c r="AE339">
        <v>3.8785006413497414E-5</v>
      </c>
      <c r="AF339">
        <v>9.9891218184403537E-5</v>
      </c>
      <c r="AG339">
        <v>4.9816883237373944E-5</v>
      </c>
      <c r="AH339">
        <v>2.2059102665996415E-5</v>
      </c>
      <c r="AI339">
        <v>2.7140763026648627E-5</v>
      </c>
      <c r="AJ339">
        <v>1.6072621380303726E-5</v>
      </c>
      <c r="AK339">
        <v>1.4337730753475465E-5</v>
      </c>
      <c r="AL339">
        <v>1.541261012959559E-5</v>
      </c>
      <c r="AM339">
        <v>2.2789113458436783E-5</v>
      </c>
      <c r="AN339">
        <v>2.1553534944082167E-5</v>
      </c>
      <c r="AO339">
        <v>2.4957330607833941E-5</v>
      </c>
      <c r="AP339">
        <v>2.5745001541063892E-5</v>
      </c>
      <c r="AQ339">
        <v>3.9333009354568895E-5</v>
      </c>
      <c r="AR339">
        <v>0</v>
      </c>
    </row>
    <row r="340" spans="1:44">
      <c r="A340" t="s">
        <v>384</v>
      </c>
      <c r="B340" t="s">
        <v>5</v>
      </c>
      <c r="C340">
        <v>6.3020624120287009E-4</v>
      </c>
      <c r="D340">
        <v>1.2111346192398885E-3</v>
      </c>
      <c r="E340">
        <v>6.5991431584589094E-4</v>
      </c>
      <c r="F340">
        <v>1.0171217463356537</v>
      </c>
      <c r="G340">
        <v>1.5381449767635283E-3</v>
      </c>
      <c r="H340">
        <v>7.6117904387046353E-4</v>
      </c>
      <c r="I340">
        <v>5.9422581884260623E-4</v>
      </c>
      <c r="J340">
        <v>7.3586609550338868E-4</v>
      </c>
      <c r="K340">
        <v>8.4531579967013818E-4</v>
      </c>
      <c r="L340">
        <v>4.8874904094940827E-4</v>
      </c>
      <c r="M340">
        <v>2.246308112967194E-3</v>
      </c>
      <c r="N340">
        <v>3.6315703877571747E-4</v>
      </c>
      <c r="O340">
        <v>9.4206637629582585E-4</v>
      </c>
      <c r="P340">
        <v>4.0780016138819248E-3</v>
      </c>
      <c r="Q340">
        <v>3.1722183909682511E-2</v>
      </c>
      <c r="R340">
        <v>4.0991084854251373E-3</v>
      </c>
      <c r="S340">
        <v>3.1642168755755705E-3</v>
      </c>
      <c r="T340">
        <v>1.334735696504369E-3</v>
      </c>
      <c r="U340">
        <v>2.8969258294733659E-4</v>
      </c>
      <c r="V340">
        <v>7.0783882929408611E-4</v>
      </c>
      <c r="W340">
        <v>8.0736789947350818E-4</v>
      </c>
      <c r="X340">
        <v>7.0828332500567882E-4</v>
      </c>
      <c r="Y340">
        <v>8.6416283543388713E-4</v>
      </c>
      <c r="Z340">
        <v>8.3449579371840045E-4</v>
      </c>
      <c r="AA340">
        <v>9.6301645165222487E-4</v>
      </c>
      <c r="AB340">
        <v>1.4256962113873506E-4</v>
      </c>
      <c r="AC340">
        <v>1.5543737074470388E-3</v>
      </c>
      <c r="AD340">
        <v>5.9188061371645163E-3</v>
      </c>
      <c r="AE340">
        <v>3.0792195658156326E-4</v>
      </c>
      <c r="AF340">
        <v>3.1052315729623582E-4</v>
      </c>
      <c r="AG340">
        <v>5.3445328096174514E-4</v>
      </c>
      <c r="AH340">
        <v>1.9940076545721532E-4</v>
      </c>
      <c r="AI340">
        <v>2.2736800976420329E-4</v>
      </c>
      <c r="AJ340">
        <v>1.3650994713971417E-4</v>
      </c>
      <c r="AK340">
        <v>1.1609810031920102E-4</v>
      </c>
      <c r="AL340">
        <v>6.2663832978419084E-4</v>
      </c>
      <c r="AM340">
        <v>2.3360565966906003E-4</v>
      </c>
      <c r="AN340">
        <v>2.8427568908647794E-4</v>
      </c>
      <c r="AO340">
        <v>2.6493033045807114E-4</v>
      </c>
      <c r="AP340">
        <v>2.5506254317404775E-4</v>
      </c>
      <c r="AQ340">
        <v>3.6471541732086048E-4</v>
      </c>
      <c r="AR340">
        <v>0</v>
      </c>
    </row>
    <row r="341" spans="1:44">
      <c r="A341" t="s">
        <v>384</v>
      </c>
      <c r="B341" t="s">
        <v>6</v>
      </c>
      <c r="C341">
        <v>7.8042851268141181E-7</v>
      </c>
      <c r="D341">
        <v>2.7419821257477144E-7</v>
      </c>
      <c r="E341">
        <v>2.2838132485447924E-7</v>
      </c>
      <c r="F341">
        <v>9.0085784683812841E-7</v>
      </c>
      <c r="G341">
        <v>1.0000002177032776</v>
      </c>
      <c r="H341">
        <v>1.2290079996291127E-6</v>
      </c>
      <c r="I341">
        <v>1.5496732582990608E-6</v>
      </c>
      <c r="J341">
        <v>1.0646849428851797E-6</v>
      </c>
      <c r="K341">
        <v>1.0269382120943235E-6</v>
      </c>
      <c r="L341">
        <v>6.0648596685677547E-7</v>
      </c>
      <c r="M341">
        <v>1.2220506970614589E-6</v>
      </c>
      <c r="N341">
        <v>8.967564067416669E-7</v>
      </c>
      <c r="O341">
        <v>1.2305643207310374E-6</v>
      </c>
      <c r="P341">
        <v>1.0065896058270912E-6</v>
      </c>
      <c r="Q341">
        <v>2.3211863193069707E-7</v>
      </c>
      <c r="R341">
        <v>9.1071972767334387E-7</v>
      </c>
      <c r="S341">
        <v>6.66829608786545E-7</v>
      </c>
      <c r="T341">
        <v>9.8177638136350212E-7</v>
      </c>
      <c r="U341">
        <v>1.0237719634386043E-6</v>
      </c>
      <c r="V341">
        <v>1.1419647481216992E-6</v>
      </c>
      <c r="W341">
        <v>1.1346283148613505E-6</v>
      </c>
      <c r="X341">
        <v>9.8074407508880049E-7</v>
      </c>
      <c r="Y341">
        <v>1.2207992990378574E-6</v>
      </c>
      <c r="Z341">
        <v>1.0112334381015367E-6</v>
      </c>
      <c r="AA341">
        <v>6.2344110037127026E-7</v>
      </c>
      <c r="AB341">
        <v>3.3673150830981007E-7</v>
      </c>
      <c r="AC341">
        <v>5.0846869582907387E-7</v>
      </c>
      <c r="AD341">
        <v>8.2223314081089744E-7</v>
      </c>
      <c r="AE341">
        <v>4.5026195996180916E-7</v>
      </c>
      <c r="AF341">
        <v>5.4538386208595067E-7</v>
      </c>
      <c r="AG341">
        <v>9.2890907289444286E-7</v>
      </c>
      <c r="AH341">
        <v>3.8830679101564636E-7</v>
      </c>
      <c r="AI341">
        <v>5.0704370578688388E-7</v>
      </c>
      <c r="AJ341">
        <v>2.8166314236600665E-7</v>
      </c>
      <c r="AK341">
        <v>1.6259208693305626E-7</v>
      </c>
      <c r="AL341">
        <v>2.1376470773705515E-7</v>
      </c>
      <c r="AM341">
        <v>3.2188408768619719E-7</v>
      </c>
      <c r="AN341">
        <v>2.3558057819130808E-7</v>
      </c>
      <c r="AO341">
        <v>2.7624535241544237E-7</v>
      </c>
      <c r="AP341">
        <v>5.5779110352354598E-7</v>
      </c>
      <c r="AQ341">
        <v>5.6851083451140033E-7</v>
      </c>
      <c r="AR341">
        <v>0</v>
      </c>
    </row>
    <row r="342" spans="1:44">
      <c r="A342" t="s">
        <v>384</v>
      </c>
      <c r="B342" t="s">
        <v>7</v>
      </c>
      <c r="C342">
        <v>9.3747248847083325E-2</v>
      </c>
      <c r="D342">
        <v>1.0745569975997786E-2</v>
      </c>
      <c r="E342">
        <v>1.2208001598571008E-2</v>
      </c>
      <c r="F342">
        <v>1.406561741542391E-2</v>
      </c>
      <c r="G342">
        <v>1.2295936956846729E-2</v>
      </c>
      <c r="H342">
        <v>1.2240072966882294</v>
      </c>
      <c r="I342">
        <v>2.1061187767044475E-2</v>
      </c>
      <c r="J342">
        <v>2.5048756898522227E-2</v>
      </c>
      <c r="K342">
        <v>1.5027306715805737E-2</v>
      </c>
      <c r="L342">
        <v>3.1579568865262599E-3</v>
      </c>
      <c r="M342">
        <v>2.0603609628910738E-2</v>
      </c>
      <c r="N342">
        <v>1.8649719301424929E-2</v>
      </c>
      <c r="O342">
        <v>1.5630017677926791E-2</v>
      </c>
      <c r="P342">
        <v>2.3739930156224276E-2</v>
      </c>
      <c r="Q342">
        <v>1.0187103308202956E-2</v>
      </c>
      <c r="R342">
        <v>9.0626011700738161E-3</v>
      </c>
      <c r="S342">
        <v>9.2312309758619416E-3</v>
      </c>
      <c r="T342">
        <v>1.1775574750277266E-2</v>
      </c>
      <c r="U342">
        <v>7.5289226069412086E-3</v>
      </c>
      <c r="V342">
        <v>1.2381375462051439E-2</v>
      </c>
      <c r="W342">
        <v>1.1845686563693633E-2</v>
      </c>
      <c r="X342">
        <v>1.1045759927380853E-2</v>
      </c>
      <c r="Y342">
        <v>1.2791849222421416E-2</v>
      </c>
      <c r="Z342">
        <v>1.4463308346119367E-2</v>
      </c>
      <c r="AA342">
        <v>1.004200175879979E-2</v>
      </c>
      <c r="AB342">
        <v>9.3154453612172318E-3</v>
      </c>
      <c r="AC342">
        <v>1.4844477298827995E-2</v>
      </c>
      <c r="AD342">
        <v>1.2635228005666285E-2</v>
      </c>
      <c r="AE342">
        <v>2.430093654130875E-2</v>
      </c>
      <c r="AF342">
        <v>2.0804122381793497E-2</v>
      </c>
      <c r="AG342">
        <v>0.28537007059137742</v>
      </c>
      <c r="AH342">
        <v>2.0774977120156638E-2</v>
      </c>
      <c r="AI342">
        <v>1.7230653668391577E-2</v>
      </c>
      <c r="AJ342">
        <v>1.9181334949581245E-2</v>
      </c>
      <c r="AK342">
        <v>1.723575464056842E-2</v>
      </c>
      <c r="AL342">
        <v>8.642424881504629E-3</v>
      </c>
      <c r="AM342">
        <v>2.4143385769256207E-2</v>
      </c>
      <c r="AN342">
        <v>1.8570649844837101E-2</v>
      </c>
      <c r="AO342">
        <v>2.7948155146192852E-2</v>
      </c>
      <c r="AP342">
        <v>3.2396829069098868E-2</v>
      </c>
      <c r="AQ342">
        <v>3.8863273391413364E-2</v>
      </c>
      <c r="AR342">
        <v>0</v>
      </c>
    </row>
    <row r="343" spans="1:44">
      <c r="A343" t="s">
        <v>384</v>
      </c>
      <c r="B343" t="s">
        <v>8</v>
      </c>
      <c r="C343">
        <v>7.4858280824901978E-3</v>
      </c>
      <c r="D343">
        <v>6.7153824252450135E-3</v>
      </c>
      <c r="E343">
        <v>4.7092093127123315E-3</v>
      </c>
      <c r="F343">
        <v>6.6157058553037058E-3</v>
      </c>
      <c r="G343">
        <v>4.9412594349747922E-3</v>
      </c>
      <c r="H343">
        <v>8.4596740496109789E-3</v>
      </c>
      <c r="I343">
        <v>1.4125096809885778</v>
      </c>
      <c r="J343">
        <v>9.9177250830669358E-3</v>
      </c>
      <c r="K343">
        <v>1.750682181751019E-2</v>
      </c>
      <c r="L343">
        <v>1.123018698107972E-3</v>
      </c>
      <c r="M343">
        <v>9.4784552207286057E-3</v>
      </c>
      <c r="N343">
        <v>6.0137696387687076E-3</v>
      </c>
      <c r="O343">
        <v>1.6925713401040904E-2</v>
      </c>
      <c r="P343">
        <v>1.8508333709377732E-2</v>
      </c>
      <c r="Q343">
        <v>8.7264508262987466E-3</v>
      </c>
      <c r="R343">
        <v>4.0884551116085821E-3</v>
      </c>
      <c r="S343">
        <v>3.983532340681703E-3</v>
      </c>
      <c r="T343">
        <v>6.0475926142638204E-3</v>
      </c>
      <c r="U343">
        <v>3.9288088372773124E-3</v>
      </c>
      <c r="V343">
        <v>6.5953412375326682E-3</v>
      </c>
      <c r="W343">
        <v>6.6444773625283469E-3</v>
      </c>
      <c r="X343">
        <v>1.496697613814983E-2</v>
      </c>
      <c r="Y343">
        <v>1.0871363968158913E-2</v>
      </c>
      <c r="Z343">
        <v>4.082644284117929E-2</v>
      </c>
      <c r="AA343">
        <v>3.2125894860403092E-3</v>
      </c>
      <c r="AB343">
        <v>2.1805343358091271E-3</v>
      </c>
      <c r="AC343">
        <v>7.2580427723253609E-3</v>
      </c>
      <c r="AD343">
        <v>6.8675852166572666E-3</v>
      </c>
      <c r="AE343">
        <v>9.9170191822146314E-3</v>
      </c>
      <c r="AF343">
        <v>4.9375420664268576E-3</v>
      </c>
      <c r="AG343">
        <v>1.2655443084612908E-2</v>
      </c>
      <c r="AH343">
        <v>5.8340430325858738E-3</v>
      </c>
      <c r="AI343">
        <v>5.0741924478754979E-3</v>
      </c>
      <c r="AJ343">
        <v>3.8046416778557256E-3</v>
      </c>
      <c r="AK343">
        <v>2.9693601324294913E-3</v>
      </c>
      <c r="AL343">
        <v>3.1950862187536317E-3</v>
      </c>
      <c r="AM343">
        <v>6.7957636284128034E-3</v>
      </c>
      <c r="AN343">
        <v>7.0775465313618665E-3</v>
      </c>
      <c r="AO343">
        <v>6.1704330087349515E-3</v>
      </c>
      <c r="AP343">
        <v>1.0581442749498274E-2</v>
      </c>
      <c r="AQ343">
        <v>2.1618528085897426E-2</v>
      </c>
      <c r="AR343">
        <v>0</v>
      </c>
    </row>
    <row r="344" spans="1:44">
      <c r="A344" t="s">
        <v>384</v>
      </c>
      <c r="B344" t="s">
        <v>9</v>
      </c>
      <c r="C344">
        <v>2.029843726428537E-3</v>
      </c>
      <c r="D344">
        <v>2.2160044860140551E-3</v>
      </c>
      <c r="E344">
        <v>1.0731353394146691E-3</v>
      </c>
      <c r="F344">
        <v>1.9883019347115881E-3</v>
      </c>
      <c r="G344">
        <v>1.1545324606680658E-3</v>
      </c>
      <c r="H344">
        <v>3.1473953806065266E-3</v>
      </c>
      <c r="I344">
        <v>2.4781907240594941E-3</v>
      </c>
      <c r="J344">
        <v>1.1598136297079551</v>
      </c>
      <c r="K344">
        <v>9.971759024644488E-3</v>
      </c>
      <c r="L344">
        <v>2.1674743627728111E-4</v>
      </c>
      <c r="M344">
        <v>2.1486504095082092E-3</v>
      </c>
      <c r="N344">
        <v>1.1146159670813204E-3</v>
      </c>
      <c r="O344">
        <v>2.4403015022294392E-3</v>
      </c>
      <c r="P344">
        <v>9.8317968526207868E-3</v>
      </c>
      <c r="Q344">
        <v>4.5975893822804495E-3</v>
      </c>
      <c r="R344">
        <v>1.0440398360722987E-3</v>
      </c>
      <c r="S344">
        <v>1.4781244022383628E-3</v>
      </c>
      <c r="T344">
        <v>2.441323121236196E-3</v>
      </c>
      <c r="U344">
        <v>1.0071506457024601E-3</v>
      </c>
      <c r="V344">
        <v>2.1387091771179461E-3</v>
      </c>
      <c r="W344">
        <v>1.9181661440644902E-3</v>
      </c>
      <c r="X344">
        <v>3.0460595506594554E-3</v>
      </c>
      <c r="Y344">
        <v>6.5561538696617466E-3</v>
      </c>
      <c r="Z344">
        <v>4.2907228011281294E-2</v>
      </c>
      <c r="AA344">
        <v>1.392228587443072E-3</v>
      </c>
      <c r="AB344">
        <v>5.4694422601269939E-4</v>
      </c>
      <c r="AC344">
        <v>1.5175782172018747E-3</v>
      </c>
      <c r="AD344">
        <v>1.7466386341782623E-2</v>
      </c>
      <c r="AE344">
        <v>1.9538503381232785E-3</v>
      </c>
      <c r="AF344">
        <v>1.4142062240522768E-3</v>
      </c>
      <c r="AG344">
        <v>2.6274257744580915E-3</v>
      </c>
      <c r="AH344">
        <v>1.7538796949507498E-3</v>
      </c>
      <c r="AI344">
        <v>1.1698178040235867E-3</v>
      </c>
      <c r="AJ344">
        <v>8.0888175507160757E-4</v>
      </c>
      <c r="AK344">
        <v>6.5717101634556489E-4</v>
      </c>
      <c r="AL344">
        <v>3.9138935213850956E-3</v>
      </c>
      <c r="AM344">
        <v>1.4635588746012868E-3</v>
      </c>
      <c r="AN344">
        <v>8.8310474064517866E-4</v>
      </c>
      <c r="AO344">
        <v>1.3841334243326149E-3</v>
      </c>
      <c r="AP344">
        <v>1.4916110175940828E-3</v>
      </c>
      <c r="AQ344">
        <v>3.399668596844773E-3</v>
      </c>
      <c r="AR344">
        <v>0</v>
      </c>
    </row>
    <row r="345" spans="1:44">
      <c r="A345" t="s">
        <v>384</v>
      </c>
      <c r="B345" t="s">
        <v>10</v>
      </c>
      <c r="C345">
        <v>8.7684001008786587E-3</v>
      </c>
      <c r="D345">
        <v>5.3529682097433716E-3</v>
      </c>
      <c r="E345">
        <v>6.0521902473435803E-3</v>
      </c>
      <c r="F345">
        <v>6.9368463927186033E-3</v>
      </c>
      <c r="G345">
        <v>5.9601313703575376E-3</v>
      </c>
      <c r="H345">
        <v>4.023349452456175E-2</v>
      </c>
      <c r="I345">
        <v>1.7688240987167529E-2</v>
      </c>
      <c r="J345">
        <v>2.1299104102125835E-2</v>
      </c>
      <c r="K345">
        <v>1.3061511272106836</v>
      </c>
      <c r="L345">
        <v>1.5723153876905044E-3</v>
      </c>
      <c r="M345">
        <v>1.2637132587998234E-2</v>
      </c>
      <c r="N345">
        <v>1.8420651681028917E-2</v>
      </c>
      <c r="O345">
        <v>1.514403432437263E-2</v>
      </c>
      <c r="P345">
        <v>3.0613174600418257E-2</v>
      </c>
      <c r="Q345">
        <v>1.8816249689525336E-2</v>
      </c>
      <c r="R345">
        <v>5.2930794250092552E-3</v>
      </c>
      <c r="S345">
        <v>6.7090517098125167E-3</v>
      </c>
      <c r="T345">
        <v>9.6207139296260805E-3</v>
      </c>
      <c r="U345">
        <v>7.6065791297676537E-3</v>
      </c>
      <c r="V345">
        <v>1.1861566391683859E-2</v>
      </c>
      <c r="W345">
        <v>1.0071850671707173E-2</v>
      </c>
      <c r="X345">
        <v>1.0259148873208085E-2</v>
      </c>
      <c r="Y345">
        <v>9.8611546247911585E-3</v>
      </c>
      <c r="Z345">
        <v>2.3059974921926733E-2</v>
      </c>
      <c r="AA345">
        <v>5.3370927993060761E-3</v>
      </c>
      <c r="AB345">
        <v>3.3634625605892801E-3</v>
      </c>
      <c r="AC345">
        <v>8.6570425232218862E-3</v>
      </c>
      <c r="AD345">
        <v>8.3619361306315493E-3</v>
      </c>
      <c r="AE345">
        <v>1.7173124754391943E-2</v>
      </c>
      <c r="AF345">
        <v>9.2259962699967699E-3</v>
      </c>
      <c r="AG345">
        <v>2.1278433613413746E-2</v>
      </c>
      <c r="AH345">
        <v>9.2972292740535437E-2</v>
      </c>
      <c r="AI345">
        <v>1.8034943543716542E-2</v>
      </c>
      <c r="AJ345">
        <v>1.8789668084530229E-2</v>
      </c>
      <c r="AK345">
        <v>1.4145868155023536E-2</v>
      </c>
      <c r="AL345">
        <v>5.7044355926409839E-3</v>
      </c>
      <c r="AM345">
        <v>1.881044668706975E-2</v>
      </c>
      <c r="AN345">
        <v>1.2329521068783067E-2</v>
      </c>
      <c r="AO345">
        <v>2.3857862851345012E-2</v>
      </c>
      <c r="AP345">
        <v>1.3077440365599933E-2</v>
      </c>
      <c r="AQ345">
        <v>2.1509025278929804E-2</v>
      </c>
      <c r="AR345">
        <v>0</v>
      </c>
    </row>
    <row r="346" spans="1:44">
      <c r="A346" t="s">
        <v>384</v>
      </c>
      <c r="B346" t="s">
        <v>11</v>
      </c>
      <c r="C346">
        <v>8.1556436494212139E-2</v>
      </c>
      <c r="D346">
        <v>6.8308068506823763E-2</v>
      </c>
      <c r="E346">
        <v>4.5239102971687678E-2</v>
      </c>
      <c r="F346">
        <v>9.6384498114248582E-2</v>
      </c>
      <c r="G346">
        <v>5.70783321825451E-2</v>
      </c>
      <c r="H346">
        <v>6.2154236135468499E-2</v>
      </c>
      <c r="I346">
        <v>5.4022944615444657E-2</v>
      </c>
      <c r="J346">
        <v>6.8683914642580127E-2</v>
      </c>
      <c r="K346">
        <v>5.6422841069990327E-2</v>
      </c>
      <c r="L346">
        <v>1.0904750994136028</v>
      </c>
      <c r="M346">
        <v>0.1529512454957293</v>
      </c>
      <c r="N346">
        <v>3.7312024894014181E-2</v>
      </c>
      <c r="O346">
        <v>8.4244360070046403E-2</v>
      </c>
      <c r="P346">
        <v>0.16043118245988799</v>
      </c>
      <c r="Q346">
        <v>6.1478338175745932E-2</v>
      </c>
      <c r="R346">
        <v>6.2622193322227807E-2</v>
      </c>
      <c r="S346">
        <v>4.0649367147044486E-2</v>
      </c>
      <c r="T346">
        <v>3.7806071411295501E-2</v>
      </c>
      <c r="U346">
        <v>1.6959566521865491E-2</v>
      </c>
      <c r="V346">
        <v>3.5678259580810154E-2</v>
      </c>
      <c r="W346">
        <v>3.0874663443810641E-2</v>
      </c>
      <c r="X346">
        <v>3.9674237963646941E-2</v>
      </c>
      <c r="Y346">
        <v>3.7069614208249391E-2</v>
      </c>
      <c r="Z346">
        <v>4.6147560686866769E-2</v>
      </c>
      <c r="AA346">
        <v>8.016725191766752E-2</v>
      </c>
      <c r="AB346">
        <v>9.165355046135705E-2</v>
      </c>
      <c r="AC346">
        <v>5.5868588556120237E-2</v>
      </c>
      <c r="AD346">
        <v>4.0853514297355821E-2</v>
      </c>
      <c r="AE346">
        <v>4.0084406600516438E-2</v>
      </c>
      <c r="AF346">
        <v>0.14019103280023001</v>
      </c>
      <c r="AG346">
        <v>4.3128338429311998E-2</v>
      </c>
      <c r="AH346">
        <v>2.1749295942469351E-2</v>
      </c>
      <c r="AI346">
        <v>2.3370239863586089E-2</v>
      </c>
      <c r="AJ346">
        <v>1.6156127696997657E-2</v>
      </c>
      <c r="AK346">
        <v>1.4727424385448624E-2</v>
      </c>
      <c r="AL346">
        <v>1.3700620871908984E-2</v>
      </c>
      <c r="AM346">
        <v>2.476796162773624E-2</v>
      </c>
      <c r="AN346">
        <v>2.2697037447266172E-2</v>
      </c>
      <c r="AO346">
        <v>2.0764234682708028E-2</v>
      </c>
      <c r="AP346">
        <v>2.3924576802911542E-2</v>
      </c>
      <c r="AQ346">
        <v>3.7666236220864742E-2</v>
      </c>
      <c r="AR346">
        <v>0</v>
      </c>
    </row>
    <row r="347" spans="1:44">
      <c r="A347" t="s">
        <v>384</v>
      </c>
      <c r="B347" t="s">
        <v>58</v>
      </c>
      <c r="C347">
        <v>0.12424842518729694</v>
      </c>
      <c r="D347">
        <v>5.0690455109059292E-2</v>
      </c>
      <c r="E347">
        <v>3.1524523784588053E-2</v>
      </c>
      <c r="F347">
        <v>7.5999755565206481E-2</v>
      </c>
      <c r="G347">
        <v>3.6045117675168388E-2</v>
      </c>
      <c r="H347">
        <v>9.8385026974794287E-2</v>
      </c>
      <c r="I347">
        <v>0.18261804707372215</v>
      </c>
      <c r="J347">
        <v>0.13304351109682361</v>
      </c>
      <c r="K347">
        <v>0.14949883721230678</v>
      </c>
      <c r="L347">
        <v>2.9760602863592042E-2</v>
      </c>
      <c r="M347">
        <v>1.4186741734042299</v>
      </c>
      <c r="N347">
        <v>0.13361244802683978</v>
      </c>
      <c r="O347">
        <v>0.39592000022978152</v>
      </c>
      <c r="P347">
        <v>0.64317497469030971</v>
      </c>
      <c r="Q347">
        <v>2.6742670649734925E-2</v>
      </c>
      <c r="R347">
        <v>3.8726212048267455E-2</v>
      </c>
      <c r="S347">
        <v>4.9412878758572719E-2</v>
      </c>
      <c r="T347">
        <v>5.4680308106864521E-2</v>
      </c>
      <c r="U347">
        <v>3.947762936019554E-2</v>
      </c>
      <c r="V347">
        <v>7.2645962816143883E-2</v>
      </c>
      <c r="W347">
        <v>5.0448093202745001E-2</v>
      </c>
      <c r="X347">
        <v>8.1896199173453435E-2</v>
      </c>
      <c r="Y347">
        <v>7.5021186670584106E-2</v>
      </c>
      <c r="Z347">
        <v>0.11985929442418415</v>
      </c>
      <c r="AA347">
        <v>2.0257657307488838E-2</v>
      </c>
      <c r="AB347">
        <v>1.6402341100728426E-2</v>
      </c>
      <c r="AC347">
        <v>5.6728671146171167E-2</v>
      </c>
      <c r="AD347">
        <v>5.1836595131710295E-2</v>
      </c>
      <c r="AE347">
        <v>2.8590577870953322E-2</v>
      </c>
      <c r="AF347">
        <v>2.8001751383955508E-2</v>
      </c>
      <c r="AG347">
        <v>5.0854901627044466E-2</v>
      </c>
      <c r="AH347">
        <v>3.3577964418807664E-2</v>
      </c>
      <c r="AI347">
        <v>1.8503813810613889E-2</v>
      </c>
      <c r="AJ347">
        <v>1.5759951612369139E-2</v>
      </c>
      <c r="AK347">
        <v>1.0231107842866963E-2</v>
      </c>
      <c r="AL347">
        <v>2.2661024903478651E-2</v>
      </c>
      <c r="AM347">
        <v>2.5427650173921172E-2</v>
      </c>
      <c r="AN347">
        <v>1.4263853010911981E-2</v>
      </c>
      <c r="AO347">
        <v>2.1522483624402743E-2</v>
      </c>
      <c r="AP347">
        <v>4.1497439117153458E-2</v>
      </c>
      <c r="AQ347">
        <v>4.7633057480403883E-2</v>
      </c>
      <c r="AR347">
        <v>0</v>
      </c>
    </row>
    <row r="348" spans="1:44">
      <c r="A348" t="s">
        <v>384</v>
      </c>
      <c r="B348" t="s">
        <v>59</v>
      </c>
      <c r="C348">
        <v>7.2965873557494388E-3</v>
      </c>
      <c r="D348">
        <v>1.9650832120768386E-3</v>
      </c>
      <c r="E348">
        <v>1.6853316597731456E-3</v>
      </c>
      <c r="F348">
        <v>1.815267153276462E-3</v>
      </c>
      <c r="G348">
        <v>1.1683278398582663E-3</v>
      </c>
      <c r="H348">
        <v>6.3066064313617946E-3</v>
      </c>
      <c r="I348">
        <v>2.4284205362326708E-3</v>
      </c>
      <c r="J348">
        <v>2.2443367044267808E-3</v>
      </c>
      <c r="K348">
        <v>1.4299971454942303E-3</v>
      </c>
      <c r="L348">
        <v>3.012829043692758E-4</v>
      </c>
      <c r="M348">
        <v>5.0189239582747614E-3</v>
      </c>
      <c r="N348">
        <v>1.1744709989405511</v>
      </c>
      <c r="O348">
        <v>2.2958525891061785E-3</v>
      </c>
      <c r="P348">
        <v>3.410492725066167E-3</v>
      </c>
      <c r="Q348">
        <v>5.0294316844936432E-4</v>
      </c>
      <c r="R348">
        <v>9.1551935752940002E-4</v>
      </c>
      <c r="S348">
        <v>9.5473484317721365E-4</v>
      </c>
      <c r="T348">
        <v>9.7487385160877516E-4</v>
      </c>
      <c r="U348">
        <v>7.2569043509508754E-4</v>
      </c>
      <c r="V348">
        <v>1.0039784032685876E-3</v>
      </c>
      <c r="W348">
        <v>1.3744896230673727E-3</v>
      </c>
      <c r="X348">
        <v>1.1369994164882476E-3</v>
      </c>
      <c r="Y348">
        <v>1.199265971814996E-3</v>
      </c>
      <c r="Z348">
        <v>3.1249193960290311E-3</v>
      </c>
      <c r="AA348">
        <v>8.6171094938084739E-4</v>
      </c>
      <c r="AB348">
        <v>5.3752759884751942E-4</v>
      </c>
      <c r="AC348">
        <v>2.7024376414307946E-3</v>
      </c>
      <c r="AD348">
        <v>1.0230617719373793E-3</v>
      </c>
      <c r="AE348">
        <v>1.7225471025036263E-3</v>
      </c>
      <c r="AF348">
        <v>1.218328803110721E-3</v>
      </c>
      <c r="AG348">
        <v>3.3969083457937228E-3</v>
      </c>
      <c r="AH348">
        <v>1.3976520995122451E-3</v>
      </c>
      <c r="AI348">
        <v>1.5923965932503588E-3</v>
      </c>
      <c r="AJ348">
        <v>2.5772574074400209E-3</v>
      </c>
      <c r="AK348">
        <v>1.020592266068905E-3</v>
      </c>
      <c r="AL348">
        <v>7.0746604578151174E-4</v>
      </c>
      <c r="AM348">
        <v>3.6325459200382943E-3</v>
      </c>
      <c r="AN348">
        <v>3.8512129813496952E-3</v>
      </c>
      <c r="AO348">
        <v>2.5261726093166498E-3</v>
      </c>
      <c r="AP348">
        <v>9.2726885567717243E-2</v>
      </c>
      <c r="AQ348">
        <v>3.6110486695138323E-3</v>
      </c>
      <c r="AR348">
        <v>0</v>
      </c>
    </row>
    <row r="349" spans="1:44">
      <c r="A349" t="s">
        <v>384</v>
      </c>
      <c r="B349" t="s">
        <v>12</v>
      </c>
      <c r="C349">
        <v>2.1907578187492362E-2</v>
      </c>
      <c r="D349">
        <v>2.1431922486993233E-2</v>
      </c>
      <c r="E349">
        <v>1.4636632546525329E-2</v>
      </c>
      <c r="F349">
        <v>2.0864693808603174E-2</v>
      </c>
      <c r="G349">
        <v>1.2366579824245922E-2</v>
      </c>
      <c r="H349">
        <v>6.7337847140824691E-2</v>
      </c>
      <c r="I349">
        <v>4.2200648155896629E-2</v>
      </c>
      <c r="J349">
        <v>3.848174909507001E-2</v>
      </c>
      <c r="K349">
        <v>4.9659456939482212E-2</v>
      </c>
      <c r="L349">
        <v>3.3889720536085079E-3</v>
      </c>
      <c r="M349">
        <v>3.6386585180816187E-2</v>
      </c>
      <c r="N349">
        <v>3.5422653263081708E-2</v>
      </c>
      <c r="O349">
        <v>1.1622027259587957</v>
      </c>
      <c r="P349">
        <v>0.12581109777598729</v>
      </c>
      <c r="Q349">
        <v>1.8326579117991706E-2</v>
      </c>
      <c r="R349">
        <v>1.1738321740037727E-2</v>
      </c>
      <c r="S349">
        <v>1.6375365481257384E-2</v>
      </c>
      <c r="T349">
        <v>2.9849842643618604E-2</v>
      </c>
      <c r="U349">
        <v>2.7405714282635749E-2</v>
      </c>
      <c r="V349">
        <v>5.7797461139318523E-2</v>
      </c>
      <c r="W349">
        <v>4.3910405046250614E-2</v>
      </c>
      <c r="X349">
        <v>8.8695338745613375E-2</v>
      </c>
      <c r="Y349">
        <v>4.0962036999482629E-2</v>
      </c>
      <c r="Z349">
        <v>6.5547801271368222E-2</v>
      </c>
      <c r="AA349">
        <v>7.8398151813257547E-3</v>
      </c>
      <c r="AB349">
        <v>1.1320292465831596E-2</v>
      </c>
      <c r="AC349">
        <v>2.343698003309443E-2</v>
      </c>
      <c r="AD349">
        <v>4.4453820441422681E-2</v>
      </c>
      <c r="AE349">
        <v>2.64453712637608E-2</v>
      </c>
      <c r="AF349">
        <v>1.1659022298989326E-2</v>
      </c>
      <c r="AG349">
        <v>2.8123988976159441E-2</v>
      </c>
      <c r="AH349">
        <v>1.2965428248885554E-2</v>
      </c>
      <c r="AI349">
        <v>1.1557298678627445E-2</v>
      </c>
      <c r="AJ349">
        <v>7.6027394354785324E-3</v>
      </c>
      <c r="AK349">
        <v>5.4510916333585938E-3</v>
      </c>
      <c r="AL349">
        <v>1.2130097873594963E-2</v>
      </c>
      <c r="AM349">
        <v>1.1783170284326214E-2</v>
      </c>
      <c r="AN349">
        <v>6.813689640561906E-3</v>
      </c>
      <c r="AO349">
        <v>9.637009573379051E-3</v>
      </c>
      <c r="AP349">
        <v>1.3708730294723397E-2</v>
      </c>
      <c r="AQ349">
        <v>1.9548300071673436E-2</v>
      </c>
      <c r="AR349">
        <v>0</v>
      </c>
    </row>
    <row r="350" spans="1:44">
      <c r="A350" t="s">
        <v>384</v>
      </c>
      <c r="B350" t="s">
        <v>132</v>
      </c>
      <c r="C350">
        <v>3.086621666083653E-3</v>
      </c>
      <c r="D350">
        <v>1.1501140386929183E-3</v>
      </c>
      <c r="E350">
        <v>6.8267965540727029E-4</v>
      </c>
      <c r="F350">
        <v>6.6146158212794879E-3</v>
      </c>
      <c r="G350">
        <v>6.9843978697551993E-4</v>
      </c>
      <c r="H350">
        <v>9.3522042723349873E-3</v>
      </c>
      <c r="I350">
        <v>2.3955570039925727E-3</v>
      </c>
      <c r="J350">
        <v>3.1564828248879023E-3</v>
      </c>
      <c r="K350">
        <v>1.186300166297943E-3</v>
      </c>
      <c r="L350">
        <v>2.6120970844780063E-4</v>
      </c>
      <c r="M350">
        <v>4.0029079202854633E-3</v>
      </c>
      <c r="N350">
        <v>9.4908545693435376E-4</v>
      </c>
      <c r="O350">
        <v>6.8394579361447843E-3</v>
      </c>
      <c r="P350">
        <v>1.1712216307201762</v>
      </c>
      <c r="Q350">
        <v>9.7482853843596363E-4</v>
      </c>
      <c r="R350">
        <v>7.493361798046271E-4</v>
      </c>
      <c r="S350">
        <v>8.7936901367557572E-4</v>
      </c>
      <c r="T350">
        <v>1.9842918792043647E-3</v>
      </c>
      <c r="U350">
        <v>4.65079420729325E-3</v>
      </c>
      <c r="V350">
        <v>5.1226550905685859E-3</v>
      </c>
      <c r="W350">
        <v>2.4967196386306957E-3</v>
      </c>
      <c r="X350">
        <v>7.6506030184474126E-3</v>
      </c>
      <c r="Y350">
        <v>4.2894662249592245E-3</v>
      </c>
      <c r="Z350">
        <v>6.2495228157673196E-3</v>
      </c>
      <c r="AA350">
        <v>6.6832480926451096E-4</v>
      </c>
      <c r="AB350">
        <v>4.5085963857534274E-4</v>
      </c>
      <c r="AC350">
        <v>2.9085147061609111E-3</v>
      </c>
      <c r="AD350">
        <v>3.6354858284193799E-3</v>
      </c>
      <c r="AE350">
        <v>1.9680716215246538E-3</v>
      </c>
      <c r="AF350">
        <v>1.5254404509938541E-3</v>
      </c>
      <c r="AG350">
        <v>3.9182045556079492E-3</v>
      </c>
      <c r="AH350">
        <v>7.7223958335153296E-4</v>
      </c>
      <c r="AI350">
        <v>1.5071757034678614E-3</v>
      </c>
      <c r="AJ350">
        <v>8.9799034000244773E-4</v>
      </c>
      <c r="AK350">
        <v>7.8595716578767048E-4</v>
      </c>
      <c r="AL350">
        <v>8.6427159852376523E-3</v>
      </c>
      <c r="AM350">
        <v>1.1932256320355459E-3</v>
      </c>
      <c r="AN350">
        <v>6.1021847962635116E-4</v>
      </c>
      <c r="AO350">
        <v>2.2095486528586794E-3</v>
      </c>
      <c r="AP350">
        <v>1.6000291483970646E-3</v>
      </c>
      <c r="AQ350">
        <v>2.4434775178479272E-3</v>
      </c>
      <c r="AR350">
        <v>0</v>
      </c>
    </row>
    <row r="351" spans="1:44">
      <c r="A351" t="s">
        <v>384</v>
      </c>
      <c r="B351" t="s">
        <v>133</v>
      </c>
      <c r="C351">
        <v>1.388554000787168E-3</v>
      </c>
      <c r="D351">
        <v>1.1667645978365694E-3</v>
      </c>
      <c r="E351">
        <v>1.5966570111037881E-3</v>
      </c>
      <c r="F351">
        <v>1.2904617945431619E-3</v>
      </c>
      <c r="G351">
        <v>1.0198879861646074E-3</v>
      </c>
      <c r="H351">
        <v>2.810206322187214E-3</v>
      </c>
      <c r="I351">
        <v>2.9901798320793324E-3</v>
      </c>
      <c r="J351">
        <v>8.9700608594711333E-3</v>
      </c>
      <c r="K351">
        <v>2.9172601865951418E-3</v>
      </c>
      <c r="L351">
        <v>5.0093153342786582E-4</v>
      </c>
      <c r="M351">
        <v>3.4136231731226509E-3</v>
      </c>
      <c r="N351">
        <v>8.965697656646949E-4</v>
      </c>
      <c r="O351">
        <v>3.1698511356552652E-3</v>
      </c>
      <c r="P351">
        <v>1.6953904611440165E-2</v>
      </c>
      <c r="Q351">
        <v>1.133702010538058</v>
      </c>
      <c r="R351">
        <v>1.3438050412862615E-3</v>
      </c>
      <c r="S351">
        <v>3.2799026192078555E-3</v>
      </c>
      <c r="T351">
        <v>1.2199109687210758E-3</v>
      </c>
      <c r="U351">
        <v>1.3092312345726412E-3</v>
      </c>
      <c r="V351">
        <v>1.9301287789278768E-3</v>
      </c>
      <c r="W351">
        <v>1.1109257096471822E-3</v>
      </c>
      <c r="X351">
        <v>1.4705130285539315E-3</v>
      </c>
      <c r="Y351">
        <v>2.1872432851702422E-3</v>
      </c>
      <c r="Z351">
        <v>2.460947027193466E-3</v>
      </c>
      <c r="AA351">
        <v>1.9693858142801751E-3</v>
      </c>
      <c r="AB351">
        <v>5.4275340280212942E-4</v>
      </c>
      <c r="AC351">
        <v>6.2793944407984184E-3</v>
      </c>
      <c r="AD351">
        <v>5.3193560794346631E-2</v>
      </c>
      <c r="AE351">
        <v>2.7209961721919762E-3</v>
      </c>
      <c r="AF351">
        <v>3.0488051000763746E-3</v>
      </c>
      <c r="AG351">
        <v>4.5677909423133666E-3</v>
      </c>
      <c r="AH351">
        <v>9.5683290806790355E-4</v>
      </c>
      <c r="AI351">
        <v>1.2854292164340201E-3</v>
      </c>
      <c r="AJ351">
        <v>9.0719352573832705E-4</v>
      </c>
      <c r="AK351">
        <v>9.3443070280505513E-4</v>
      </c>
      <c r="AL351">
        <v>4.9689159326611393E-3</v>
      </c>
      <c r="AM351">
        <v>1.3723112398546563E-3</v>
      </c>
      <c r="AN351">
        <v>1.9333917433233272E-3</v>
      </c>
      <c r="AO351">
        <v>2.6887582347684914E-3</v>
      </c>
      <c r="AP351">
        <v>1.5626977162827768E-3</v>
      </c>
      <c r="AQ351">
        <v>2.8221085319941521E-3</v>
      </c>
      <c r="AR351">
        <v>0</v>
      </c>
    </row>
    <row r="352" spans="1:44">
      <c r="A352" t="s">
        <v>384</v>
      </c>
      <c r="B352" t="s">
        <v>134</v>
      </c>
      <c r="C352">
        <v>6.1211538599329077E-3</v>
      </c>
      <c r="D352">
        <v>2.4729790351231181E-2</v>
      </c>
      <c r="E352">
        <v>2.7323431054756334E-2</v>
      </c>
      <c r="F352">
        <v>1.371276704728561E-2</v>
      </c>
      <c r="G352">
        <v>1.5517368435905189E-2</v>
      </c>
      <c r="H352">
        <v>1.1482098016323973E-2</v>
      </c>
      <c r="I352">
        <v>7.9557457381990212E-3</v>
      </c>
      <c r="J352">
        <v>1.9398216817275396E-2</v>
      </c>
      <c r="K352">
        <v>8.7344355491209402E-3</v>
      </c>
      <c r="L352">
        <v>1.8160815769109391E-3</v>
      </c>
      <c r="M352">
        <v>7.7742590946868612E-3</v>
      </c>
      <c r="N352">
        <v>4.6631364757865595E-3</v>
      </c>
      <c r="O352">
        <v>1.5980159226710651E-2</v>
      </c>
      <c r="P352">
        <v>3.6737264370067309E-2</v>
      </c>
      <c r="Q352">
        <v>2.6277349737781525E-2</v>
      </c>
      <c r="R352">
        <v>1.3366125192165688</v>
      </c>
      <c r="S352">
        <v>4.4703622642854671E-2</v>
      </c>
      <c r="T352">
        <v>0.26537812666298483</v>
      </c>
      <c r="U352">
        <v>1.9021104961851637E-2</v>
      </c>
      <c r="V352">
        <v>6.3479448708293862E-2</v>
      </c>
      <c r="W352">
        <v>0.14583205329964494</v>
      </c>
      <c r="X352">
        <v>0.10207569637225712</v>
      </c>
      <c r="Y352">
        <v>0.14557745411276388</v>
      </c>
      <c r="Z352">
        <v>4.4783996057516443E-2</v>
      </c>
      <c r="AA352">
        <v>8.9805009879352967E-3</v>
      </c>
      <c r="AB352">
        <v>3.2795388727450757E-3</v>
      </c>
      <c r="AC352">
        <v>3.2968182217351392E-2</v>
      </c>
      <c r="AD352">
        <v>6.4190941922953521E-2</v>
      </c>
      <c r="AE352">
        <v>8.9358349640182248E-3</v>
      </c>
      <c r="AF352">
        <v>6.375118942043771E-3</v>
      </c>
      <c r="AG352">
        <v>7.519830132596046E-3</v>
      </c>
      <c r="AH352">
        <v>3.7704240142597953E-3</v>
      </c>
      <c r="AI352">
        <v>6.9052858911041745E-3</v>
      </c>
      <c r="AJ352">
        <v>3.8367946591566604E-3</v>
      </c>
      <c r="AK352">
        <v>2.3300299072667031E-3</v>
      </c>
      <c r="AL352">
        <v>8.6641671680917649E-3</v>
      </c>
      <c r="AM352">
        <v>6.1325013229037275E-3</v>
      </c>
      <c r="AN352">
        <v>4.7537737991834566E-3</v>
      </c>
      <c r="AO352">
        <v>4.2401900573356957E-3</v>
      </c>
      <c r="AP352">
        <v>4.265526670491464E-3</v>
      </c>
      <c r="AQ352">
        <v>9.6325631045125048E-3</v>
      </c>
      <c r="AR352">
        <v>0</v>
      </c>
    </row>
    <row r="353" spans="1:44">
      <c r="A353" t="s">
        <v>384</v>
      </c>
      <c r="B353" t="s">
        <v>135</v>
      </c>
      <c r="C353">
        <v>2.3699477283883144E-3</v>
      </c>
      <c r="D353">
        <v>5.1056443908028193E-3</v>
      </c>
      <c r="E353">
        <v>5.0770796052600122E-3</v>
      </c>
      <c r="F353">
        <v>4.3363055131701075E-3</v>
      </c>
      <c r="G353">
        <v>3.8158497032728857E-3</v>
      </c>
      <c r="H353">
        <v>5.0812615866155098E-3</v>
      </c>
      <c r="I353">
        <v>3.69672624403198E-3</v>
      </c>
      <c r="J353">
        <v>6.5773801520937203E-3</v>
      </c>
      <c r="K353">
        <v>4.2935849305001704E-3</v>
      </c>
      <c r="L353">
        <v>6.6061060421941176E-4</v>
      </c>
      <c r="M353">
        <v>6.8816756800137149E-3</v>
      </c>
      <c r="N353">
        <v>2.728300422470509E-3</v>
      </c>
      <c r="O353">
        <v>6.7983083421354583E-3</v>
      </c>
      <c r="P353">
        <v>1.51742501879873E-2</v>
      </c>
      <c r="Q353">
        <v>6.2624513585204057E-3</v>
      </c>
      <c r="R353">
        <v>3.6716678471364395E-2</v>
      </c>
      <c r="S353">
        <v>1.2738375871909193</v>
      </c>
      <c r="T353">
        <v>6.7460743046525495E-2</v>
      </c>
      <c r="U353">
        <v>1.6737064188292447E-2</v>
      </c>
      <c r="V353">
        <v>6.014151335110559E-2</v>
      </c>
      <c r="W353">
        <v>3.6242356137676228E-2</v>
      </c>
      <c r="X353">
        <v>3.1376979825113144E-2</v>
      </c>
      <c r="Y353">
        <v>3.1402288830221621E-2</v>
      </c>
      <c r="Z353">
        <v>2.7360564621666271E-2</v>
      </c>
      <c r="AA353">
        <v>3.5757364968701365E-3</v>
      </c>
      <c r="AB353">
        <v>1.1479851685311483E-3</v>
      </c>
      <c r="AC353">
        <v>1.4199907603489402E-2</v>
      </c>
      <c r="AD353">
        <v>1.361047766388954E-2</v>
      </c>
      <c r="AE353">
        <v>3.3450821967004308E-3</v>
      </c>
      <c r="AF353">
        <v>2.056689808389512E-3</v>
      </c>
      <c r="AG353">
        <v>3.1423498355102118E-3</v>
      </c>
      <c r="AH353">
        <v>1.7690452155898863E-3</v>
      </c>
      <c r="AI353">
        <v>3.7297958594194143E-3</v>
      </c>
      <c r="AJ353">
        <v>1.8948959794114924E-3</v>
      </c>
      <c r="AK353">
        <v>9.5062534775702356E-4</v>
      </c>
      <c r="AL353">
        <v>2.3282584966080821E-3</v>
      </c>
      <c r="AM353">
        <v>2.2055621353882669E-3</v>
      </c>
      <c r="AN353">
        <v>1.6502965094510917E-3</v>
      </c>
      <c r="AO353">
        <v>1.6000933505782575E-3</v>
      </c>
      <c r="AP353">
        <v>1.9673659382325312E-3</v>
      </c>
      <c r="AQ353">
        <v>4.4850219210462753E-3</v>
      </c>
      <c r="AR353">
        <v>0</v>
      </c>
    </row>
    <row r="354" spans="1:44">
      <c r="A354" t="s">
        <v>384</v>
      </c>
      <c r="B354" t="s">
        <v>13</v>
      </c>
      <c r="C354">
        <v>1.212234306532929E-2</v>
      </c>
      <c r="D354">
        <v>3.6443827030674586E-2</v>
      </c>
      <c r="E354">
        <v>2.6951932457460873E-2</v>
      </c>
      <c r="F354">
        <v>2.2523298871380049E-2</v>
      </c>
      <c r="G354">
        <v>2.6361471505158472E-2</v>
      </c>
      <c r="H354">
        <v>2.8505801233180056E-2</v>
      </c>
      <c r="I354">
        <v>1.4888917357233831E-2</v>
      </c>
      <c r="J354">
        <v>4.3432951583712472E-2</v>
      </c>
      <c r="K354">
        <v>1.4290429848144517E-2</v>
      </c>
      <c r="L354">
        <v>2.7731454091363354E-3</v>
      </c>
      <c r="M354">
        <v>1.6148059654270814E-2</v>
      </c>
      <c r="N354">
        <v>9.4235161411148662E-3</v>
      </c>
      <c r="O354">
        <v>2.2323828824344142E-2</v>
      </c>
      <c r="P354">
        <v>7.0908141541735553E-2</v>
      </c>
      <c r="Q354">
        <v>2.061209594879412E-2</v>
      </c>
      <c r="R354">
        <v>4.4897553880207587E-2</v>
      </c>
      <c r="S354">
        <v>3.1510888531933165E-2</v>
      </c>
      <c r="T354">
        <v>1.1688462181832819</v>
      </c>
      <c r="U354">
        <v>2.2585495377829775E-2</v>
      </c>
      <c r="V354">
        <v>5.9013830454950969E-2</v>
      </c>
      <c r="W354">
        <v>0.12458033550166896</v>
      </c>
      <c r="X354">
        <v>9.0653824933305122E-2</v>
      </c>
      <c r="Y354">
        <v>0.13550558881747599</v>
      </c>
      <c r="Z354">
        <v>6.0500155834660847E-2</v>
      </c>
      <c r="AA354">
        <v>1.0548988662324741E-2</v>
      </c>
      <c r="AB354">
        <v>4.7214678876102353E-3</v>
      </c>
      <c r="AC354">
        <v>2.1599388386414706E-2</v>
      </c>
      <c r="AD354">
        <v>7.6983956967836359E-2</v>
      </c>
      <c r="AE354">
        <v>1.3792883665216788E-2</v>
      </c>
      <c r="AF354">
        <v>9.9744117889511152E-3</v>
      </c>
      <c r="AG354">
        <v>1.6661999560369806E-2</v>
      </c>
      <c r="AH354">
        <v>6.6966248891876471E-3</v>
      </c>
      <c r="AI354">
        <v>1.1034605095682081E-2</v>
      </c>
      <c r="AJ354">
        <v>6.7108976970371888E-3</v>
      </c>
      <c r="AK354">
        <v>3.995297484499164E-3</v>
      </c>
      <c r="AL354">
        <v>1.4232428123318866E-2</v>
      </c>
      <c r="AM354">
        <v>1.0162291076408552E-2</v>
      </c>
      <c r="AN354">
        <v>9.4825731822289309E-3</v>
      </c>
      <c r="AO354">
        <v>7.2113659515582827E-3</v>
      </c>
      <c r="AP354">
        <v>7.2902799179996427E-3</v>
      </c>
      <c r="AQ354">
        <v>1.6415547153589914E-2</v>
      </c>
      <c r="AR354">
        <v>0</v>
      </c>
    </row>
    <row r="355" spans="1:44">
      <c r="A355" t="s">
        <v>384</v>
      </c>
      <c r="B355" t="s">
        <v>14</v>
      </c>
      <c r="C355">
        <v>7.4769666962658261E-3</v>
      </c>
      <c r="D355">
        <v>1.1594634643324421E-2</v>
      </c>
      <c r="E355">
        <v>1.1948201813128433E-2</v>
      </c>
      <c r="F355">
        <v>1.2306770649175687E-2</v>
      </c>
      <c r="G355">
        <v>1.1660437246207472E-2</v>
      </c>
      <c r="H355">
        <v>1.1010598165626528E-2</v>
      </c>
      <c r="I355">
        <v>1.1015022893461934E-2</v>
      </c>
      <c r="J355">
        <v>1.0297695415618625E-2</v>
      </c>
      <c r="K355">
        <v>1.1495676831621811E-2</v>
      </c>
      <c r="L355">
        <v>2.332886418427783E-3</v>
      </c>
      <c r="M355">
        <v>1.3129211795592427E-2</v>
      </c>
      <c r="N355">
        <v>9.4771597498612397E-3</v>
      </c>
      <c r="O355">
        <v>1.3981957345436202E-2</v>
      </c>
      <c r="P355">
        <v>3.317374160033365E-2</v>
      </c>
      <c r="Q355">
        <v>9.0737830033570215E-3</v>
      </c>
      <c r="R355">
        <v>8.394804765633394E-3</v>
      </c>
      <c r="S355">
        <v>9.1709070023845065E-3</v>
      </c>
      <c r="T355">
        <v>1.5664723733747925E-2</v>
      </c>
      <c r="U355">
        <v>1.2648844156894732</v>
      </c>
      <c r="V355">
        <v>9.0555346457668551E-2</v>
      </c>
      <c r="W355">
        <v>4.8648791966944001E-2</v>
      </c>
      <c r="X355">
        <v>4.2927101026646493E-2</v>
      </c>
      <c r="Y355">
        <v>5.3928508844427896E-2</v>
      </c>
      <c r="Z355">
        <v>2.568421365652044E-2</v>
      </c>
      <c r="AA355">
        <v>1.3544989097093587E-2</v>
      </c>
      <c r="AB355">
        <v>4.3217282701575833E-3</v>
      </c>
      <c r="AC355">
        <v>1.2091253786769642E-2</v>
      </c>
      <c r="AD355">
        <v>2.0259230873178991E-2</v>
      </c>
      <c r="AE355">
        <v>1.6732026602406292E-2</v>
      </c>
      <c r="AF355">
        <v>1.1101547795364961E-2</v>
      </c>
      <c r="AG355">
        <v>1.2555913253034226E-2</v>
      </c>
      <c r="AH355">
        <v>1.9320028252835495E-2</v>
      </c>
      <c r="AI355">
        <v>8.4592894606610583E-2</v>
      </c>
      <c r="AJ355">
        <v>4.4843032795171101E-2</v>
      </c>
      <c r="AK355">
        <v>9.3599786993846471E-3</v>
      </c>
      <c r="AL355">
        <v>7.3626851240590589E-3</v>
      </c>
      <c r="AM355">
        <v>1.7574549979669177E-2</v>
      </c>
      <c r="AN355">
        <v>9.53086195930717E-3</v>
      </c>
      <c r="AO355">
        <v>1.2088679452276228E-2</v>
      </c>
      <c r="AP355">
        <v>1.580554516611379E-2</v>
      </c>
      <c r="AQ355">
        <v>3.7590784930006962E-2</v>
      </c>
      <c r="AR355">
        <v>0</v>
      </c>
    </row>
    <row r="356" spans="1:44">
      <c r="A356" t="s">
        <v>384</v>
      </c>
      <c r="B356" t="s">
        <v>15</v>
      </c>
      <c r="C356">
        <v>6.5597157848202373E-3</v>
      </c>
      <c r="D356">
        <v>1.4551787785855133E-2</v>
      </c>
      <c r="E356">
        <v>1.0487020755023061E-2</v>
      </c>
      <c r="F356">
        <v>1.6413378804489485E-2</v>
      </c>
      <c r="G356">
        <v>1.3156521850542774E-2</v>
      </c>
      <c r="H356">
        <v>9.6244654997907093E-3</v>
      </c>
      <c r="I356">
        <v>8.5463787193586615E-3</v>
      </c>
      <c r="J356">
        <v>9.2211764399330164E-3</v>
      </c>
      <c r="K356">
        <v>9.8488639757901425E-3</v>
      </c>
      <c r="L356">
        <v>1.7620491678632022E-3</v>
      </c>
      <c r="M356">
        <v>8.3859094821100676E-3</v>
      </c>
      <c r="N356">
        <v>5.6423745015912775E-3</v>
      </c>
      <c r="O356">
        <v>1.0170197630391006E-2</v>
      </c>
      <c r="P356">
        <v>3.0608693070891764E-2</v>
      </c>
      <c r="Q356">
        <v>8.9590728080094391E-3</v>
      </c>
      <c r="R356">
        <v>1.0481156512965112E-2</v>
      </c>
      <c r="S356">
        <v>1.1808965285333201E-2</v>
      </c>
      <c r="T356">
        <v>1.9508489097535418E-2</v>
      </c>
      <c r="U356">
        <v>4.8259765099569168E-2</v>
      </c>
      <c r="V356">
        <v>1.2223113218480977</v>
      </c>
      <c r="W356">
        <v>6.3567323537309803E-2</v>
      </c>
      <c r="X356">
        <v>7.3247081497737135E-2</v>
      </c>
      <c r="Y356">
        <v>4.8413930234439524E-2</v>
      </c>
      <c r="Z356">
        <v>2.4610208656134266E-2</v>
      </c>
      <c r="AA356">
        <v>3.0714460156425687E-2</v>
      </c>
      <c r="AB356">
        <v>4.7133706157277532E-3</v>
      </c>
      <c r="AC356">
        <v>1.4004008332696541E-2</v>
      </c>
      <c r="AD356">
        <v>4.2673564024867466E-2</v>
      </c>
      <c r="AE356">
        <v>1.4218434539978463E-2</v>
      </c>
      <c r="AF356">
        <v>8.0765233142092024E-3</v>
      </c>
      <c r="AG356">
        <v>1.037858253816931E-2</v>
      </c>
      <c r="AH356">
        <v>8.6948919671033815E-3</v>
      </c>
      <c r="AI356">
        <v>3.3148041602461389E-2</v>
      </c>
      <c r="AJ356">
        <v>1.182321137755124E-2</v>
      </c>
      <c r="AK356">
        <v>4.819679653609966E-3</v>
      </c>
      <c r="AL356">
        <v>7.4222705462738134E-3</v>
      </c>
      <c r="AM356">
        <v>1.1064787505009705E-2</v>
      </c>
      <c r="AN356">
        <v>7.1587439846127589E-3</v>
      </c>
      <c r="AO356">
        <v>7.2140406934517272E-3</v>
      </c>
      <c r="AP356">
        <v>8.021789625781631E-3</v>
      </c>
      <c r="AQ356">
        <v>2.7057927905693745E-2</v>
      </c>
      <c r="AR356">
        <v>0</v>
      </c>
    </row>
    <row r="357" spans="1:44">
      <c r="A357" t="s">
        <v>384</v>
      </c>
      <c r="B357" t="s">
        <v>16</v>
      </c>
      <c r="C357">
        <v>8.7900059737243581E-3</v>
      </c>
      <c r="D357">
        <v>4.5900648655616501E-2</v>
      </c>
      <c r="E357">
        <v>3.2542709554631226E-2</v>
      </c>
      <c r="F357">
        <v>3.0424282651196861E-2</v>
      </c>
      <c r="G357">
        <v>3.0428382982748792E-2</v>
      </c>
      <c r="H357">
        <v>1.3284319316492198E-2</v>
      </c>
      <c r="I357">
        <v>9.7503474092625123E-3</v>
      </c>
      <c r="J357">
        <v>1.5354145135968882E-2</v>
      </c>
      <c r="K357">
        <v>1.5074372029104617E-2</v>
      </c>
      <c r="L357">
        <v>3.0797050006129284E-3</v>
      </c>
      <c r="M357">
        <v>8.8245989539986278E-3</v>
      </c>
      <c r="N357">
        <v>5.6959012186810695E-3</v>
      </c>
      <c r="O357">
        <v>1.1080510552721676E-2</v>
      </c>
      <c r="P357">
        <v>6.1378983128769715E-2</v>
      </c>
      <c r="Q357">
        <v>1.9881642606184066E-2</v>
      </c>
      <c r="R357">
        <v>2.1620887420527975E-2</v>
      </c>
      <c r="S357">
        <v>1.8513710810421267E-2</v>
      </c>
      <c r="T357">
        <v>2.664331627593057E-2</v>
      </c>
      <c r="U357">
        <v>1.2714881354014032E-2</v>
      </c>
      <c r="V357">
        <v>3.8393881309603826E-2</v>
      </c>
      <c r="W357">
        <v>1.152170107119981</v>
      </c>
      <c r="X357">
        <v>5.1618444812125949E-2</v>
      </c>
      <c r="Y357">
        <v>7.5475623366813516E-2</v>
      </c>
      <c r="Z357">
        <v>2.6046946172694135E-2</v>
      </c>
      <c r="AA357">
        <v>1.4462446580443282E-2</v>
      </c>
      <c r="AB357">
        <v>3.7668144698937366E-3</v>
      </c>
      <c r="AC357">
        <v>3.5131121261028221E-2</v>
      </c>
      <c r="AD357">
        <v>2.5626379338103123E-2</v>
      </c>
      <c r="AE357">
        <v>1.0931058296320897E-2</v>
      </c>
      <c r="AF357">
        <v>6.7522172048464666E-3</v>
      </c>
      <c r="AG357">
        <v>8.8225622091579626E-3</v>
      </c>
      <c r="AH357">
        <v>5.7748285359548821E-3</v>
      </c>
      <c r="AI357">
        <v>8.8182351560883564E-3</v>
      </c>
      <c r="AJ357">
        <v>5.53556745328437E-3</v>
      </c>
      <c r="AK357">
        <v>3.580311407343959E-3</v>
      </c>
      <c r="AL357">
        <v>5.2671600860815628E-3</v>
      </c>
      <c r="AM357">
        <v>8.2478362305760701E-3</v>
      </c>
      <c r="AN357">
        <v>5.9415416701532123E-3</v>
      </c>
      <c r="AO357">
        <v>5.4826961000321835E-3</v>
      </c>
      <c r="AP357">
        <v>5.9662128367645008E-3</v>
      </c>
      <c r="AQ357">
        <v>1.135418516502788E-2</v>
      </c>
      <c r="AR357">
        <v>0</v>
      </c>
    </row>
    <row r="358" spans="1:44">
      <c r="A358" t="s">
        <v>384</v>
      </c>
      <c r="B358" t="s">
        <v>17</v>
      </c>
      <c r="C358">
        <v>6.1123488981721895E-3</v>
      </c>
      <c r="D358">
        <v>7.0884358063251296E-3</v>
      </c>
      <c r="E358">
        <v>6.5483565274876386E-3</v>
      </c>
      <c r="F358">
        <v>1.0444940820001011E-2</v>
      </c>
      <c r="G358">
        <v>7.1613070935839188E-3</v>
      </c>
      <c r="H358">
        <v>8.6890500349851539E-3</v>
      </c>
      <c r="I358">
        <v>8.4843819100374213E-3</v>
      </c>
      <c r="J358">
        <v>7.7900626828842886E-3</v>
      </c>
      <c r="K358">
        <v>6.389436418105192E-3</v>
      </c>
      <c r="L358">
        <v>1.7185532566211643E-3</v>
      </c>
      <c r="M358">
        <v>6.2968080257585794E-3</v>
      </c>
      <c r="N358">
        <v>5.1963758385101446E-3</v>
      </c>
      <c r="O358">
        <v>7.4954240195656959E-3</v>
      </c>
      <c r="P358">
        <v>1.2798334299674132E-2</v>
      </c>
      <c r="Q358">
        <v>7.5630826304271589E-3</v>
      </c>
      <c r="R358">
        <v>6.6642602258459686E-3</v>
      </c>
      <c r="S358">
        <v>7.1706336398545218E-3</v>
      </c>
      <c r="T358">
        <v>9.476861257476904E-3</v>
      </c>
      <c r="U358">
        <v>1.1294032664837736E-2</v>
      </c>
      <c r="V358">
        <v>3.7797126336305741E-2</v>
      </c>
      <c r="W358">
        <v>2.14149507910378E-2</v>
      </c>
      <c r="X358">
        <v>1.3565628124734412</v>
      </c>
      <c r="Y358">
        <v>1.9967694379554996E-2</v>
      </c>
      <c r="Z358">
        <v>1.0486292054792528E-2</v>
      </c>
      <c r="AA358">
        <v>8.020507382750194E-3</v>
      </c>
      <c r="AB358">
        <v>1.4095305709942276E-2</v>
      </c>
      <c r="AC358">
        <v>9.5599920327977938E-3</v>
      </c>
      <c r="AD358">
        <v>1.2086173481246321E-2</v>
      </c>
      <c r="AE358">
        <v>3.5735477396306732E-2</v>
      </c>
      <c r="AF358">
        <v>8.9958390593112367E-3</v>
      </c>
      <c r="AG358">
        <v>7.2788745185057152E-3</v>
      </c>
      <c r="AH358">
        <v>4.3346790550748762E-3</v>
      </c>
      <c r="AI358">
        <v>8.8744097487574447E-3</v>
      </c>
      <c r="AJ358">
        <v>5.9978855395124483E-3</v>
      </c>
      <c r="AK358">
        <v>2.9960140947328825E-3</v>
      </c>
      <c r="AL358">
        <v>3.0571428572309721E-3</v>
      </c>
      <c r="AM358">
        <v>7.3995608405272827E-3</v>
      </c>
      <c r="AN358">
        <v>3.8370948346783539E-3</v>
      </c>
      <c r="AO358">
        <v>3.9297728970086451E-3</v>
      </c>
      <c r="AP358">
        <v>4.8229722327521266E-3</v>
      </c>
      <c r="AQ358">
        <v>8.7899779359063308E-3</v>
      </c>
      <c r="AR358">
        <v>0</v>
      </c>
    </row>
    <row r="359" spans="1:44">
      <c r="A359" t="s">
        <v>384</v>
      </c>
      <c r="B359" t="s">
        <v>18</v>
      </c>
      <c r="C359">
        <v>1.3342777127350117E-3</v>
      </c>
      <c r="D359">
        <v>2.6679606427967629E-3</v>
      </c>
      <c r="E359">
        <v>2.0880715222605963E-3</v>
      </c>
      <c r="F359">
        <v>1.8787468607391344E-3</v>
      </c>
      <c r="G359">
        <v>1.8723504481668333E-3</v>
      </c>
      <c r="H359">
        <v>1.9507236150806768E-3</v>
      </c>
      <c r="I359">
        <v>1.0759263225027533E-3</v>
      </c>
      <c r="J359">
        <v>2.6191106401883932E-3</v>
      </c>
      <c r="K359">
        <v>1.0901994458656762E-3</v>
      </c>
      <c r="L359">
        <v>2.9158344736293347E-4</v>
      </c>
      <c r="M359">
        <v>1.0998053067335846E-3</v>
      </c>
      <c r="N359">
        <v>6.8737439603981437E-4</v>
      </c>
      <c r="O359">
        <v>1.398543914933933E-3</v>
      </c>
      <c r="P359">
        <v>4.7791310460931855E-3</v>
      </c>
      <c r="Q359">
        <v>1.4751252075934963E-3</v>
      </c>
      <c r="R359">
        <v>3.6150909000156198E-3</v>
      </c>
      <c r="S359">
        <v>1.9400161521982075E-3</v>
      </c>
      <c r="T359">
        <v>9.3198881799551724E-3</v>
      </c>
      <c r="U359">
        <v>1.4765755859774713E-3</v>
      </c>
      <c r="V359">
        <v>3.8260654984652582E-3</v>
      </c>
      <c r="W359">
        <v>8.1569816638929933E-3</v>
      </c>
      <c r="X359">
        <v>7.4966150371346789E-3</v>
      </c>
      <c r="Y359">
        <v>1.133844108673725</v>
      </c>
      <c r="Z359">
        <v>4.2251873920255752E-3</v>
      </c>
      <c r="AA359">
        <v>9.4867506863667681E-4</v>
      </c>
      <c r="AB359">
        <v>1.316324370283399E-3</v>
      </c>
      <c r="AC359">
        <v>1.4811368619577013E-3</v>
      </c>
      <c r="AD359">
        <v>4.2731528520587635E-3</v>
      </c>
      <c r="AE359">
        <v>1.3463419901775064E-3</v>
      </c>
      <c r="AF359">
        <v>5.7683238704387104E-3</v>
      </c>
      <c r="AG359">
        <v>1.1442013215060365E-3</v>
      </c>
      <c r="AH359">
        <v>5.6265227669008119E-4</v>
      </c>
      <c r="AI359">
        <v>8.9151504445056579E-4</v>
      </c>
      <c r="AJ359">
        <v>5.046489751246734E-4</v>
      </c>
      <c r="AK359">
        <v>3.8171430936974132E-4</v>
      </c>
      <c r="AL359">
        <v>8.0465799144806087E-4</v>
      </c>
      <c r="AM359">
        <v>8.321438329342393E-4</v>
      </c>
      <c r="AN359">
        <v>1.6026556271967847E-3</v>
      </c>
      <c r="AO359">
        <v>5.3720975884727058E-4</v>
      </c>
      <c r="AP359">
        <v>6.019637398412054E-4</v>
      </c>
      <c r="AQ359">
        <v>1.5905710243852569E-3</v>
      </c>
      <c r="AR359">
        <v>0</v>
      </c>
    </row>
    <row r="360" spans="1:44">
      <c r="A360" t="s">
        <v>384</v>
      </c>
      <c r="B360" t="s">
        <v>19</v>
      </c>
      <c r="C360">
        <v>2.8821680077187298E-3</v>
      </c>
      <c r="D360">
        <v>3.1324415642439937E-3</v>
      </c>
      <c r="E360">
        <v>4.7670446701205604E-3</v>
      </c>
      <c r="F360">
        <v>4.652946936237151E-3</v>
      </c>
      <c r="G360">
        <v>4.2811992189027747E-3</v>
      </c>
      <c r="H360">
        <v>3.8862169915272913E-3</v>
      </c>
      <c r="I360">
        <v>7.905395834093127E-3</v>
      </c>
      <c r="J360">
        <v>4.6334616670617359E-3</v>
      </c>
      <c r="K360">
        <v>3.9706702571842434E-3</v>
      </c>
      <c r="L360">
        <v>6.2816153527264903E-4</v>
      </c>
      <c r="M360">
        <v>2.8740149109768775E-3</v>
      </c>
      <c r="N360">
        <v>2.9712162141747539E-3</v>
      </c>
      <c r="O360">
        <v>2.8343100741342639E-3</v>
      </c>
      <c r="P360">
        <v>1.2514434755752807E-2</v>
      </c>
      <c r="Q360">
        <v>2.2765979316766456E-3</v>
      </c>
      <c r="R360">
        <v>3.07990047174324E-3</v>
      </c>
      <c r="S360">
        <v>3.0167211352694432E-3</v>
      </c>
      <c r="T360">
        <v>3.3234281724233159E-3</v>
      </c>
      <c r="U360">
        <v>3.1048428461811599E-3</v>
      </c>
      <c r="V360">
        <v>4.101815980688023E-3</v>
      </c>
      <c r="W360">
        <v>3.9910224189839078E-3</v>
      </c>
      <c r="X360">
        <v>4.5898356993122509E-3</v>
      </c>
      <c r="Y360">
        <v>6.9036563505952327E-3</v>
      </c>
      <c r="Z360">
        <v>1.0436668413254018</v>
      </c>
      <c r="AA360">
        <v>2.7900347883133207E-3</v>
      </c>
      <c r="AB360">
        <v>1.7951838218446504E-3</v>
      </c>
      <c r="AC360">
        <v>5.4787090397237018E-3</v>
      </c>
      <c r="AD360">
        <v>5.4426470700609658E-3</v>
      </c>
      <c r="AE360">
        <v>4.1172171456226496E-3</v>
      </c>
      <c r="AF360">
        <v>3.9713942196220875E-3</v>
      </c>
      <c r="AG360">
        <v>5.4119377726323057E-3</v>
      </c>
      <c r="AH360">
        <v>3.6852039657794249E-3</v>
      </c>
      <c r="AI360">
        <v>4.2639892234501483E-3</v>
      </c>
      <c r="AJ360">
        <v>3.0388612879261837E-3</v>
      </c>
      <c r="AK360">
        <v>2.8588672063123537E-3</v>
      </c>
      <c r="AL360">
        <v>2.5782798848127879E-3</v>
      </c>
      <c r="AM360">
        <v>4.7035034657920216E-3</v>
      </c>
      <c r="AN360">
        <v>3.2943297560500805E-3</v>
      </c>
      <c r="AO360">
        <v>7.6292562966715277E-3</v>
      </c>
      <c r="AP360">
        <v>1.2089996420506666E-2</v>
      </c>
      <c r="AQ360">
        <v>9.8779674379882686E-3</v>
      </c>
      <c r="AR360">
        <v>0</v>
      </c>
    </row>
    <row r="361" spans="1:44">
      <c r="A361" t="s">
        <v>384</v>
      </c>
      <c r="B361" t="s">
        <v>136</v>
      </c>
      <c r="C361">
        <v>3.8203606692330035E-2</v>
      </c>
      <c r="D361">
        <v>6.8146868996330254E-2</v>
      </c>
      <c r="E361">
        <v>6.4976969180620917E-2</v>
      </c>
      <c r="F361">
        <v>8.4597625381502228E-2</v>
      </c>
      <c r="G361">
        <v>2.3683945421392707E-2</v>
      </c>
      <c r="H361">
        <v>6.319925033889788E-2</v>
      </c>
      <c r="I361">
        <v>5.9879548045572752E-2</v>
      </c>
      <c r="J361">
        <v>5.2736158944350513E-2</v>
      </c>
      <c r="K361">
        <v>7.5003447235625423E-2</v>
      </c>
      <c r="L361">
        <v>1.7075840886961246E-2</v>
      </c>
      <c r="M361">
        <v>6.0719628063582408E-2</v>
      </c>
      <c r="N361">
        <v>2.7118740703164251E-2</v>
      </c>
      <c r="O361">
        <v>5.3760969959052031E-2</v>
      </c>
      <c r="P361">
        <v>0.13405875305303896</v>
      </c>
      <c r="Q361">
        <v>8.2750545487244878E-2</v>
      </c>
      <c r="R361">
        <v>7.7865188471186703E-2</v>
      </c>
      <c r="S361">
        <v>6.9647429139431283E-2</v>
      </c>
      <c r="T361">
        <v>5.1141492568384864E-2</v>
      </c>
      <c r="U361">
        <v>2.1015269908045035E-2</v>
      </c>
      <c r="V361">
        <v>3.5115707290758066E-2</v>
      </c>
      <c r="W361">
        <v>3.6911825439814035E-2</v>
      </c>
      <c r="X361">
        <v>4.0584482114632697E-2</v>
      </c>
      <c r="Y361">
        <v>4.3509953236912306E-2</v>
      </c>
      <c r="Z361">
        <v>3.7517469575819584E-2</v>
      </c>
      <c r="AA361">
        <v>1.1866507264998329</v>
      </c>
      <c r="AB361">
        <v>1.7083257223565837E-2</v>
      </c>
      <c r="AC361">
        <v>5.7221753768296399E-2</v>
      </c>
      <c r="AD361">
        <v>2.6688816516630052E-2</v>
      </c>
      <c r="AE361">
        <v>4.2123672371549417E-2</v>
      </c>
      <c r="AF361">
        <v>2.4142429512080534E-2</v>
      </c>
      <c r="AG361">
        <v>7.1643422067855594E-2</v>
      </c>
      <c r="AH361">
        <v>2.5597772955054495E-2</v>
      </c>
      <c r="AI361">
        <v>3.9388776142271265E-2</v>
      </c>
      <c r="AJ361">
        <v>1.786430522873745E-2</v>
      </c>
      <c r="AK361">
        <v>1.5839094904452809E-2</v>
      </c>
      <c r="AL361">
        <v>2.185290705661452E-2</v>
      </c>
      <c r="AM361">
        <v>2.1514276374708517E-2</v>
      </c>
      <c r="AN361">
        <v>2.2512575636028445E-2</v>
      </c>
      <c r="AO361">
        <v>3.9236744345876227E-2</v>
      </c>
      <c r="AP361">
        <v>3.2563303186229867E-2</v>
      </c>
      <c r="AQ361">
        <v>4.9079798393805885E-2</v>
      </c>
      <c r="AR361">
        <v>0</v>
      </c>
    </row>
    <row r="362" spans="1:44">
      <c r="A362" t="s">
        <v>384</v>
      </c>
      <c r="B362" t="s">
        <v>137</v>
      </c>
      <c r="C362">
        <v>1.2858803203845455E-2</v>
      </c>
      <c r="D362">
        <v>2.876744764472269E-2</v>
      </c>
      <c r="E362">
        <v>1.9194676396120849E-2</v>
      </c>
      <c r="F362">
        <v>3.6442255627215252E-2</v>
      </c>
      <c r="G362">
        <v>1.6185252654665291E-2</v>
      </c>
      <c r="H362">
        <v>2.3950438832409982E-2</v>
      </c>
      <c r="I362">
        <v>1.5821020341283593E-2</v>
      </c>
      <c r="J362">
        <v>2.456562927758283E-2</v>
      </c>
      <c r="K362">
        <v>1.7217770689441032E-2</v>
      </c>
      <c r="L362">
        <v>1.2104495033742431E-2</v>
      </c>
      <c r="M362">
        <v>1.6486466468397108E-2</v>
      </c>
      <c r="N362">
        <v>1.0398432339802062E-2</v>
      </c>
      <c r="O362">
        <v>1.4828316188726326E-2</v>
      </c>
      <c r="P362">
        <v>0.15453248536336059</v>
      </c>
      <c r="Q362">
        <v>4.9914292258438318E-3</v>
      </c>
      <c r="R362">
        <v>1.6780245796958672E-2</v>
      </c>
      <c r="S362">
        <v>1.5481640931044189E-2</v>
      </c>
      <c r="T362">
        <v>1.4265949302869644E-2</v>
      </c>
      <c r="U362">
        <v>8.9919396779994162E-3</v>
      </c>
      <c r="V362">
        <v>1.3508686141583246E-2</v>
      </c>
      <c r="W362">
        <v>1.3403372498502882E-2</v>
      </c>
      <c r="X362">
        <v>1.5479533925069426E-2</v>
      </c>
      <c r="Y362">
        <v>1.3536314475147698E-2</v>
      </c>
      <c r="Z362">
        <v>1.4621776571060599E-2</v>
      </c>
      <c r="AA362">
        <v>1.3469974456082747E-2</v>
      </c>
      <c r="AB362">
        <v>1.0173233702722946</v>
      </c>
      <c r="AC362">
        <v>1.3907175456006022E-2</v>
      </c>
      <c r="AD362">
        <v>1.1100145335506149E-2</v>
      </c>
      <c r="AE362">
        <v>1.8042393693317216E-2</v>
      </c>
      <c r="AF362">
        <v>2.4960199887535742E-2</v>
      </c>
      <c r="AG362">
        <v>1.4532009532436975E-2</v>
      </c>
      <c r="AH362">
        <v>8.5870122697730509E-3</v>
      </c>
      <c r="AI362">
        <v>7.5209634284897856E-3</v>
      </c>
      <c r="AJ362">
        <v>4.872359079137448E-3</v>
      </c>
      <c r="AK362">
        <v>4.4064758837941212E-3</v>
      </c>
      <c r="AL362">
        <v>4.4814070902222817E-3</v>
      </c>
      <c r="AM362">
        <v>7.638027193726772E-3</v>
      </c>
      <c r="AN362">
        <v>5.7039313365478423E-3</v>
      </c>
      <c r="AO362">
        <v>8.1237074029332987E-3</v>
      </c>
      <c r="AP362">
        <v>8.4526803669093681E-3</v>
      </c>
      <c r="AQ362">
        <v>1.1087582285788915E-2</v>
      </c>
      <c r="AR362">
        <v>0</v>
      </c>
    </row>
    <row r="363" spans="1:44">
      <c r="A363" t="s">
        <v>384</v>
      </c>
      <c r="B363" t="s">
        <v>138</v>
      </c>
      <c r="C363">
        <v>6.1400676668249068E-3</v>
      </c>
      <c r="D363">
        <v>7.9253108554804119E-3</v>
      </c>
      <c r="E363">
        <v>7.1712145148126703E-3</v>
      </c>
      <c r="F363">
        <v>9.3740373059788204E-3</v>
      </c>
      <c r="G363">
        <v>7.3397311228691935E-3</v>
      </c>
      <c r="H363">
        <v>1.1154161441821979E-2</v>
      </c>
      <c r="I363">
        <v>6.939740715238436E-3</v>
      </c>
      <c r="J363">
        <v>9.9640838604286488E-3</v>
      </c>
      <c r="K363">
        <v>2.8889714536698433E-2</v>
      </c>
      <c r="L363">
        <v>1.9702788856560496E-3</v>
      </c>
      <c r="M363">
        <v>7.0656977680432151E-3</v>
      </c>
      <c r="N363">
        <v>4.6110210821990079E-3</v>
      </c>
      <c r="O363">
        <v>7.1339031088527216E-3</v>
      </c>
      <c r="P363">
        <v>5.8847852816296967E-2</v>
      </c>
      <c r="Q363">
        <v>3.5854986824704559E-3</v>
      </c>
      <c r="R363">
        <v>6.480357059379678E-2</v>
      </c>
      <c r="S363">
        <v>6.2965441706194294E-2</v>
      </c>
      <c r="T363">
        <v>2.14495052153553E-2</v>
      </c>
      <c r="U363">
        <v>4.1951177422986817E-3</v>
      </c>
      <c r="V363">
        <v>9.9152825135892173E-3</v>
      </c>
      <c r="W363">
        <v>1.3279014690479785E-2</v>
      </c>
      <c r="X363">
        <v>1.0689521870467423E-2</v>
      </c>
      <c r="Y363">
        <v>1.4257595065269892E-2</v>
      </c>
      <c r="Z363">
        <v>8.458376991015884E-3</v>
      </c>
      <c r="AA363">
        <v>8.4178865676397506E-3</v>
      </c>
      <c r="AB363">
        <v>1.8670327110185511E-3</v>
      </c>
      <c r="AC363">
        <v>1.194699721765929</v>
      </c>
      <c r="AD363">
        <v>8.0681215215065941E-3</v>
      </c>
      <c r="AE363">
        <v>7.0297873728859721E-3</v>
      </c>
      <c r="AF363">
        <v>4.1558300468260466E-3</v>
      </c>
      <c r="AG363">
        <v>1.2058794378846865E-2</v>
      </c>
      <c r="AH363">
        <v>4.608594534586381E-3</v>
      </c>
      <c r="AI363">
        <v>3.5867807004693951E-3</v>
      </c>
      <c r="AJ363">
        <v>2.7663944934544402E-3</v>
      </c>
      <c r="AK363">
        <v>2.5687928543487583E-3</v>
      </c>
      <c r="AL363">
        <v>5.2060667814500458E-3</v>
      </c>
      <c r="AM363">
        <v>4.7362358754400426E-3</v>
      </c>
      <c r="AN363">
        <v>1.1637820334276402E-2</v>
      </c>
      <c r="AO363">
        <v>8.3499272457793188E-3</v>
      </c>
      <c r="AP363">
        <v>8.7710831754989806E-3</v>
      </c>
      <c r="AQ363">
        <v>7.8428296595546444E-3</v>
      </c>
      <c r="AR363">
        <v>0</v>
      </c>
    </row>
    <row r="364" spans="1:44">
      <c r="A364" t="s">
        <v>384</v>
      </c>
      <c r="B364" t="s">
        <v>20</v>
      </c>
      <c r="C364">
        <v>8.2717395469888017E-3</v>
      </c>
      <c r="D364">
        <v>1.081016704890919E-2</v>
      </c>
      <c r="E364">
        <v>7.1948861483040845E-3</v>
      </c>
      <c r="F364">
        <v>9.5158670061102641E-3</v>
      </c>
      <c r="G364">
        <v>1.0611728919788226E-2</v>
      </c>
      <c r="H364">
        <v>7.0657652889210007E-3</v>
      </c>
      <c r="I364">
        <v>5.8414718469043704E-3</v>
      </c>
      <c r="J364">
        <v>6.5489443990297807E-3</v>
      </c>
      <c r="K364">
        <v>5.6199206696699736E-3</v>
      </c>
      <c r="L364">
        <v>1.6330698027123894E-3</v>
      </c>
      <c r="M364">
        <v>4.5512785132574684E-3</v>
      </c>
      <c r="N364">
        <v>3.3944186988126195E-3</v>
      </c>
      <c r="O364">
        <v>4.6937099713319792E-3</v>
      </c>
      <c r="P364">
        <v>2.1142434977316226E-2</v>
      </c>
      <c r="Q364">
        <v>5.2372246207413363E-3</v>
      </c>
      <c r="R364">
        <v>6.1200308656689179E-3</v>
      </c>
      <c r="S364">
        <v>6.1990382744886328E-3</v>
      </c>
      <c r="T364">
        <v>6.8736687117187962E-3</v>
      </c>
      <c r="U364">
        <v>2.8366024296564052E-3</v>
      </c>
      <c r="V364">
        <v>4.8736200786152718E-3</v>
      </c>
      <c r="W364">
        <v>5.1865204231409737E-3</v>
      </c>
      <c r="X364">
        <v>5.2103094633812377E-3</v>
      </c>
      <c r="Y364">
        <v>7.3639607771952432E-3</v>
      </c>
      <c r="Z364">
        <v>6.8612958743774011E-3</v>
      </c>
      <c r="AA364">
        <v>1.5118461498063021E-2</v>
      </c>
      <c r="AB364">
        <v>3.6310685047489847E-3</v>
      </c>
      <c r="AC364">
        <v>1.7606725831330317E-2</v>
      </c>
      <c r="AD364">
        <v>1.0902505522038253</v>
      </c>
      <c r="AE364">
        <v>1.0160182416167004E-2</v>
      </c>
      <c r="AF364">
        <v>1.0068436254308425E-2</v>
      </c>
      <c r="AG364">
        <v>1.0957003305125187E-2</v>
      </c>
      <c r="AH364">
        <v>5.4057765179349772E-3</v>
      </c>
      <c r="AI364">
        <v>1.3586523092904285E-2</v>
      </c>
      <c r="AJ364">
        <v>4.5931898646934038E-3</v>
      </c>
      <c r="AK364">
        <v>5.3492402634573903E-3</v>
      </c>
      <c r="AL364">
        <v>7.5178025153425962E-2</v>
      </c>
      <c r="AM364">
        <v>9.2541591215530294E-3</v>
      </c>
      <c r="AN364">
        <v>1.5498061057237134E-2</v>
      </c>
      <c r="AO364">
        <v>1.1216892559572809E-2</v>
      </c>
      <c r="AP364">
        <v>7.6972052205336273E-3</v>
      </c>
      <c r="AQ364">
        <v>9.5595535740430563E-3</v>
      </c>
      <c r="AR364">
        <v>0</v>
      </c>
    </row>
    <row r="365" spans="1:44">
      <c r="A365" t="s">
        <v>384</v>
      </c>
      <c r="B365" t="s">
        <v>21</v>
      </c>
      <c r="C365">
        <v>7.5062103813587924E-2</v>
      </c>
      <c r="D365">
        <v>4.7582967156509046E-2</v>
      </c>
      <c r="E365">
        <v>3.5559773871432755E-2</v>
      </c>
      <c r="F365">
        <v>5.4036330140385967E-2</v>
      </c>
      <c r="G365">
        <v>3.6624642809001247E-2</v>
      </c>
      <c r="H365">
        <v>0.12685712580075073</v>
      </c>
      <c r="I365">
        <v>0.14561761929117314</v>
      </c>
      <c r="J365">
        <v>8.7520389489850983E-2</v>
      </c>
      <c r="K365">
        <v>8.1260070894050102E-2</v>
      </c>
      <c r="L365">
        <v>2.2602864973345346E-2</v>
      </c>
      <c r="M365">
        <v>9.5261783569664887E-2</v>
      </c>
      <c r="N365">
        <v>9.1581316710462726E-2</v>
      </c>
      <c r="O365">
        <v>9.7618130298614006E-2</v>
      </c>
      <c r="P365">
        <v>7.9367628401916676E-2</v>
      </c>
      <c r="Q365">
        <v>1.6817328459759869E-2</v>
      </c>
      <c r="R365">
        <v>6.6946320206217866E-2</v>
      </c>
      <c r="S365">
        <v>4.8548613151940312E-2</v>
      </c>
      <c r="T365">
        <v>7.5927773992590333E-2</v>
      </c>
      <c r="U365">
        <v>8.1097125597858616E-2</v>
      </c>
      <c r="V365">
        <v>9.1276358888519982E-2</v>
      </c>
      <c r="W365">
        <v>9.0231575853021814E-2</v>
      </c>
      <c r="X365">
        <v>0.1144067319699522</v>
      </c>
      <c r="Y365">
        <v>9.1821010116257082E-2</v>
      </c>
      <c r="Z365">
        <v>8.589463645595298E-2</v>
      </c>
      <c r="AA365">
        <v>3.5507465326701709E-2</v>
      </c>
      <c r="AB365">
        <v>3.3795522727908235E-2</v>
      </c>
      <c r="AC365">
        <v>4.425063061923748E-2</v>
      </c>
      <c r="AD365">
        <v>6.3647137636854076E-2</v>
      </c>
      <c r="AE365">
        <v>1.0419486905965123</v>
      </c>
      <c r="AF365">
        <v>4.1327715206780281E-2</v>
      </c>
      <c r="AG365">
        <v>0.10178663553010835</v>
      </c>
      <c r="AH365">
        <v>3.2297825898525895E-2</v>
      </c>
      <c r="AI365">
        <v>4.0842758159306825E-2</v>
      </c>
      <c r="AJ365">
        <v>2.5534503960158408E-2</v>
      </c>
      <c r="AK365">
        <v>1.521167117742927E-2</v>
      </c>
      <c r="AL365">
        <v>1.7182667039640345E-2</v>
      </c>
      <c r="AM365">
        <v>3.0797219785193342E-2</v>
      </c>
      <c r="AN365">
        <v>2.2226955169604885E-2</v>
      </c>
      <c r="AO365">
        <v>2.627260367041992E-2</v>
      </c>
      <c r="AP365">
        <v>6.09885779622256E-2</v>
      </c>
      <c r="AQ365">
        <v>5.2033068387481091E-2</v>
      </c>
      <c r="AR365">
        <v>0</v>
      </c>
    </row>
    <row r="366" spans="1:44">
      <c r="A366" t="s">
        <v>384</v>
      </c>
      <c r="B366" t="s">
        <v>22</v>
      </c>
      <c r="C366">
        <v>2.822508924288409E-2</v>
      </c>
      <c r="D366">
        <v>4.6240841080040083E-2</v>
      </c>
      <c r="E366">
        <v>4.1246930401990137E-2</v>
      </c>
      <c r="F366">
        <v>4.2396988340722232E-2</v>
      </c>
      <c r="G366">
        <v>3.5319457114967472E-2</v>
      </c>
      <c r="H366">
        <v>4.7855495688197282E-2</v>
      </c>
      <c r="I366">
        <v>3.9436235057244945E-2</v>
      </c>
      <c r="J366">
        <v>4.6199130366584476E-2</v>
      </c>
      <c r="K366">
        <v>3.8332282913774496E-2</v>
      </c>
      <c r="L366">
        <v>2.1697576339712952E-2</v>
      </c>
      <c r="M366">
        <v>3.2007772167774742E-2</v>
      </c>
      <c r="N366">
        <v>2.6305932788208853E-2</v>
      </c>
      <c r="O366">
        <v>2.9497742328191655E-2</v>
      </c>
      <c r="P366">
        <v>4.7633657987952938E-2</v>
      </c>
      <c r="Q366">
        <v>3.4886908330673413E-2</v>
      </c>
      <c r="R366">
        <v>2.7498994651090857E-2</v>
      </c>
      <c r="S366">
        <v>2.7063582489314023E-2</v>
      </c>
      <c r="T366">
        <v>2.8265445760016755E-2</v>
      </c>
      <c r="U366">
        <v>2.1085793929595354E-2</v>
      </c>
      <c r="V366">
        <v>3.2659196814765451E-2</v>
      </c>
      <c r="W366">
        <v>3.1146268990879064E-2</v>
      </c>
      <c r="X366">
        <v>3.6652520317201023E-2</v>
      </c>
      <c r="Y366">
        <v>3.2357591237740617E-2</v>
      </c>
      <c r="Z366">
        <v>3.2956886815014241E-2</v>
      </c>
      <c r="AA366">
        <v>2.6157364582316458E-2</v>
      </c>
      <c r="AB366">
        <v>4.7691485018885212E-2</v>
      </c>
      <c r="AC366">
        <v>2.9815008373906739E-2</v>
      </c>
      <c r="AD366">
        <v>2.5899257819625154E-2</v>
      </c>
      <c r="AE366">
        <v>7.1876769788104228E-2</v>
      </c>
      <c r="AF366">
        <v>1.2450563568398225</v>
      </c>
      <c r="AG366">
        <v>3.6742176032876654E-2</v>
      </c>
      <c r="AH366">
        <v>3.1687108735401565E-2</v>
      </c>
      <c r="AI366">
        <v>4.1866616017000806E-2</v>
      </c>
      <c r="AJ366">
        <v>2.3625675916789962E-2</v>
      </c>
      <c r="AK366">
        <v>3.2117466739642359E-2</v>
      </c>
      <c r="AL366">
        <v>1.3432543661422524E-2</v>
      </c>
      <c r="AM366">
        <v>3.4557803558013883E-2</v>
      </c>
      <c r="AN366">
        <v>2.5132929312034289E-2</v>
      </c>
      <c r="AO366">
        <v>1.9874960549112152E-2</v>
      </c>
      <c r="AP366">
        <v>2.1603203585466992E-2</v>
      </c>
      <c r="AQ366">
        <v>3.6386480062728696E-2</v>
      </c>
      <c r="AR366">
        <v>0</v>
      </c>
    </row>
    <row r="367" spans="1:44">
      <c r="A367" t="s">
        <v>384</v>
      </c>
      <c r="B367" t="s">
        <v>23</v>
      </c>
      <c r="C367">
        <v>2.3658078958344281E-2</v>
      </c>
      <c r="D367">
        <v>3.248574195148822E-2</v>
      </c>
      <c r="E367">
        <v>3.9324987820011911E-2</v>
      </c>
      <c r="F367">
        <v>4.1166982524180565E-2</v>
      </c>
      <c r="G367">
        <v>3.9508808804500362E-2</v>
      </c>
      <c r="H367">
        <v>4.3051019951584404E-2</v>
      </c>
      <c r="I367">
        <v>4.7572087283503636E-2</v>
      </c>
      <c r="J367">
        <v>4.1371335908884123E-2</v>
      </c>
      <c r="K367">
        <v>3.5682988348862368E-2</v>
      </c>
      <c r="L367">
        <v>8.7962288036717573E-3</v>
      </c>
      <c r="M367">
        <v>3.3947727441629431E-2</v>
      </c>
      <c r="N367">
        <v>3.1332230793472783E-2</v>
      </c>
      <c r="O367">
        <v>3.8462829154001024E-2</v>
      </c>
      <c r="P367">
        <v>6.4041473309562877E-2</v>
      </c>
      <c r="Q367">
        <v>3.0987415454929727E-2</v>
      </c>
      <c r="R367">
        <v>2.8000517242773554E-2</v>
      </c>
      <c r="S367">
        <v>2.7651064675780886E-2</v>
      </c>
      <c r="T367">
        <v>3.6682864825893592E-2</v>
      </c>
      <c r="U367">
        <v>2.2753326346185831E-2</v>
      </c>
      <c r="V367">
        <v>3.8015447828882519E-2</v>
      </c>
      <c r="W367">
        <v>3.6591929969380918E-2</v>
      </c>
      <c r="X367">
        <v>3.2323795237470788E-2</v>
      </c>
      <c r="Y367">
        <v>3.89550264274705E-2</v>
      </c>
      <c r="Z367">
        <v>3.727082257613467E-2</v>
      </c>
      <c r="AA367">
        <v>3.2209277726921025E-2</v>
      </c>
      <c r="AB367">
        <v>3.0373631263039293E-2</v>
      </c>
      <c r="AC367">
        <v>4.5082980609661254E-2</v>
      </c>
      <c r="AD367">
        <v>3.9325408865361261E-2</v>
      </c>
      <c r="AE367">
        <v>6.2082689823293638E-2</v>
      </c>
      <c r="AF367">
        <v>6.5033649987142395E-2</v>
      </c>
      <c r="AG367">
        <v>1.0796627820314517</v>
      </c>
      <c r="AH367">
        <v>6.3233111248682805E-2</v>
      </c>
      <c r="AI367">
        <v>5.5274510148105145E-2</v>
      </c>
      <c r="AJ367">
        <v>6.3724430698866893E-2</v>
      </c>
      <c r="AK367">
        <v>5.8963587546648315E-2</v>
      </c>
      <c r="AL367">
        <v>2.6985764956472529E-2</v>
      </c>
      <c r="AM367">
        <v>8.1301203395117913E-2</v>
      </c>
      <c r="AN367">
        <v>5.7918455664417001E-2</v>
      </c>
      <c r="AO367">
        <v>7.9355086252875726E-2</v>
      </c>
      <c r="AP367">
        <v>8.8001107648861182E-2</v>
      </c>
      <c r="AQ367">
        <v>0.1115821685230776</v>
      </c>
      <c r="AR367">
        <v>0</v>
      </c>
    </row>
    <row r="368" spans="1:44">
      <c r="A368" t="s">
        <v>384</v>
      </c>
      <c r="B368" t="s">
        <v>24</v>
      </c>
      <c r="C368">
        <v>5.2997392830252113E-3</v>
      </c>
      <c r="D368">
        <v>6.3028375399135656E-3</v>
      </c>
      <c r="E368">
        <v>7.8995479152645185E-3</v>
      </c>
      <c r="F368">
        <v>7.7447713854854891E-3</v>
      </c>
      <c r="G368">
        <v>8.9567317793137254E-3</v>
      </c>
      <c r="H368">
        <v>1.193622262499993E-2</v>
      </c>
      <c r="I368">
        <v>1.1329332802312036E-2</v>
      </c>
      <c r="J368">
        <v>1.0042028356080321E-2</v>
      </c>
      <c r="K368">
        <v>1.3591605018807041E-2</v>
      </c>
      <c r="L368">
        <v>1.8067890680172536E-3</v>
      </c>
      <c r="M368">
        <v>8.385355108555306E-3</v>
      </c>
      <c r="N368">
        <v>8.8799849764090028E-3</v>
      </c>
      <c r="O368">
        <v>7.4698061884918418E-3</v>
      </c>
      <c r="P368">
        <v>1.2666014328944108E-2</v>
      </c>
      <c r="Q368">
        <v>3.1188193674309304E-3</v>
      </c>
      <c r="R368">
        <v>6.0111356568404509E-3</v>
      </c>
      <c r="S368">
        <v>6.5007740619304486E-3</v>
      </c>
      <c r="T368">
        <v>7.2621943806335651E-3</v>
      </c>
      <c r="U368">
        <v>6.5177320162051822E-3</v>
      </c>
      <c r="V368">
        <v>1.0215688637354935E-2</v>
      </c>
      <c r="W368">
        <v>8.0196751388886701E-3</v>
      </c>
      <c r="X368">
        <v>8.470502569932049E-3</v>
      </c>
      <c r="Y368">
        <v>1.0480240943729232E-2</v>
      </c>
      <c r="Z368">
        <v>1.0374469456325749E-2</v>
      </c>
      <c r="AA368">
        <v>7.0116056935667507E-3</v>
      </c>
      <c r="AB368">
        <v>4.0299662912349765E-3</v>
      </c>
      <c r="AC368">
        <v>8.5581412701488183E-3</v>
      </c>
      <c r="AD368">
        <v>7.3426706349919921E-3</v>
      </c>
      <c r="AE368">
        <v>1.7176533081722786E-2</v>
      </c>
      <c r="AF368">
        <v>1.0260436631106408E-2</v>
      </c>
      <c r="AG368">
        <v>1.683378798220548E-2</v>
      </c>
      <c r="AH368">
        <v>1.2094042445335462</v>
      </c>
      <c r="AI368">
        <v>5.2363178982367482E-2</v>
      </c>
      <c r="AJ368">
        <v>4.4125431455399516E-2</v>
      </c>
      <c r="AK368">
        <v>1.5425697802491794E-2</v>
      </c>
      <c r="AL368">
        <v>7.6686149177936976E-3</v>
      </c>
      <c r="AM368">
        <v>2.9369017039532184E-2</v>
      </c>
      <c r="AN368">
        <v>1.2381550249042812E-2</v>
      </c>
      <c r="AO368">
        <v>3.8208431117196323E-2</v>
      </c>
      <c r="AP368">
        <v>1.2366578315002364E-2</v>
      </c>
      <c r="AQ368">
        <v>3.2161556109986882E-2</v>
      </c>
      <c r="AR368">
        <v>0</v>
      </c>
    </row>
    <row r="369" spans="1:44">
      <c r="A369" t="s">
        <v>384</v>
      </c>
      <c r="B369" t="s">
        <v>25</v>
      </c>
      <c r="C369">
        <v>4.7516354587461181E-3</v>
      </c>
      <c r="D369">
        <v>8.7466849241824157E-3</v>
      </c>
      <c r="E369">
        <v>9.4389711302836458E-3</v>
      </c>
      <c r="F369">
        <v>7.7914225449179685E-3</v>
      </c>
      <c r="G369">
        <v>7.0683735432466319E-3</v>
      </c>
      <c r="H369">
        <v>7.5545632982896493E-3</v>
      </c>
      <c r="I369">
        <v>8.7123103086949576E-3</v>
      </c>
      <c r="J369">
        <v>8.1044947305947881E-3</v>
      </c>
      <c r="K369">
        <v>7.4244666026548499E-3</v>
      </c>
      <c r="L369">
        <v>1.5144457669341821E-3</v>
      </c>
      <c r="M369">
        <v>4.9663458586440574E-3</v>
      </c>
      <c r="N369">
        <v>6.6048292430803644E-3</v>
      </c>
      <c r="O369">
        <v>5.5103920229150928E-3</v>
      </c>
      <c r="P369">
        <v>1.1005580520582025E-2</v>
      </c>
      <c r="Q369">
        <v>4.9716100963021516E-3</v>
      </c>
      <c r="R369">
        <v>4.2774846027811226E-3</v>
      </c>
      <c r="S369">
        <v>4.7516207493113385E-3</v>
      </c>
      <c r="T369">
        <v>6.0678322999782241E-3</v>
      </c>
      <c r="U369">
        <v>4.9914128084814361E-3</v>
      </c>
      <c r="V369">
        <v>6.8276536066226032E-3</v>
      </c>
      <c r="W369">
        <v>7.5629643411774241E-3</v>
      </c>
      <c r="X369">
        <v>7.5474235683026959E-3</v>
      </c>
      <c r="Y369">
        <v>7.1569692927653866E-3</v>
      </c>
      <c r="Z369">
        <v>7.841366917485092E-3</v>
      </c>
      <c r="AA369">
        <v>5.8265804380157899E-3</v>
      </c>
      <c r="AB369">
        <v>4.3861381571016229E-3</v>
      </c>
      <c r="AC369">
        <v>6.9072452317399616E-3</v>
      </c>
      <c r="AD369">
        <v>6.8613043208916452E-3</v>
      </c>
      <c r="AE369">
        <v>1.4904100068813621E-2</v>
      </c>
      <c r="AF369">
        <v>1.0774106033180715E-2</v>
      </c>
      <c r="AG369">
        <v>1.3646469870817891E-2</v>
      </c>
      <c r="AH369">
        <v>2.0437537791215116E-2</v>
      </c>
      <c r="AI369">
        <v>1.195816293220886</v>
      </c>
      <c r="AJ369">
        <v>2.2846366760519606E-2</v>
      </c>
      <c r="AK369">
        <v>1.650126311230498E-2</v>
      </c>
      <c r="AL369">
        <v>8.7645978523668774E-3</v>
      </c>
      <c r="AM369">
        <v>1.5734825516357572E-2</v>
      </c>
      <c r="AN369">
        <v>1.2817122382112274E-2</v>
      </c>
      <c r="AO369">
        <v>9.7297616083433305E-3</v>
      </c>
      <c r="AP369">
        <v>1.0370941372200246E-2</v>
      </c>
      <c r="AQ369">
        <v>1.9319740269109473E-2</v>
      </c>
      <c r="AR369">
        <v>0</v>
      </c>
    </row>
    <row r="370" spans="1:44">
      <c r="A370" t="s">
        <v>384</v>
      </c>
      <c r="B370" t="s">
        <v>26</v>
      </c>
      <c r="C370">
        <v>3.6396690102291286E-3</v>
      </c>
      <c r="D370">
        <v>6.445946769140367E-3</v>
      </c>
      <c r="E370">
        <v>7.2836380634304547E-3</v>
      </c>
      <c r="F370">
        <v>7.0090454973215288E-3</v>
      </c>
      <c r="G370">
        <v>6.1335475511938922E-3</v>
      </c>
      <c r="H370">
        <v>8.0710017983133021E-3</v>
      </c>
      <c r="I370">
        <v>7.5002817379549646E-3</v>
      </c>
      <c r="J370">
        <v>6.3563694422201986E-3</v>
      </c>
      <c r="K370">
        <v>7.5210419968776776E-3</v>
      </c>
      <c r="L370">
        <v>1.5257147543357851E-3</v>
      </c>
      <c r="M370">
        <v>5.7849444328423125E-3</v>
      </c>
      <c r="N370">
        <v>7.4027376910913868E-3</v>
      </c>
      <c r="O370">
        <v>5.5031713625000962E-3</v>
      </c>
      <c r="P370">
        <v>1.6064237965324617E-2</v>
      </c>
      <c r="Q370">
        <v>4.6079209469189692E-3</v>
      </c>
      <c r="R370">
        <v>4.6505978332228182E-3</v>
      </c>
      <c r="S370">
        <v>4.6716427559174555E-3</v>
      </c>
      <c r="T370">
        <v>5.8264884642945172E-3</v>
      </c>
      <c r="U370">
        <v>5.2919725172464824E-3</v>
      </c>
      <c r="V370">
        <v>7.2412359918024279E-3</v>
      </c>
      <c r="W370">
        <v>6.5536931736458167E-3</v>
      </c>
      <c r="X370">
        <v>6.1183949500920008E-3</v>
      </c>
      <c r="Y370">
        <v>7.5835493608013282E-3</v>
      </c>
      <c r="Z370">
        <v>7.0561152450043076E-3</v>
      </c>
      <c r="AA370">
        <v>7.6618747575821532E-3</v>
      </c>
      <c r="AB370">
        <v>3.1084029287442656E-3</v>
      </c>
      <c r="AC370">
        <v>7.5517788102606124E-3</v>
      </c>
      <c r="AD370">
        <v>6.0888432992940956E-3</v>
      </c>
      <c r="AE370">
        <v>1.1642872174457008E-2</v>
      </c>
      <c r="AF370">
        <v>9.8274881976753922E-3</v>
      </c>
      <c r="AG370">
        <v>8.7477091983959848E-3</v>
      </c>
      <c r="AH370">
        <v>1.8109186858626673E-2</v>
      </c>
      <c r="AI370">
        <v>3.4882186255955162E-2</v>
      </c>
      <c r="AJ370">
        <v>1.0994022300282027</v>
      </c>
      <c r="AK370">
        <v>1.8981188546292934E-2</v>
      </c>
      <c r="AL370">
        <v>6.1970193147907722E-3</v>
      </c>
      <c r="AM370">
        <v>1.7818363844945166E-2</v>
      </c>
      <c r="AN370">
        <v>9.569397173317189E-3</v>
      </c>
      <c r="AO370">
        <v>9.2518468417790052E-3</v>
      </c>
      <c r="AP370">
        <v>7.4177744366020083E-3</v>
      </c>
      <c r="AQ370">
        <v>1.216234400710979E-2</v>
      </c>
      <c r="AR370">
        <v>0</v>
      </c>
    </row>
    <row r="371" spans="1:44">
      <c r="A371" t="s">
        <v>384</v>
      </c>
      <c r="B371" t="s">
        <v>27</v>
      </c>
      <c r="C371">
        <v>3.0286798055726327E-2</v>
      </c>
      <c r="D371">
        <v>3.0385799549722026E-2</v>
      </c>
      <c r="E371">
        <v>4.6855614639147572E-2</v>
      </c>
      <c r="F371">
        <v>3.2445788467039278E-2</v>
      </c>
      <c r="G371">
        <v>4.294725036754423E-2</v>
      </c>
      <c r="H371">
        <v>4.3291637719098212E-2</v>
      </c>
      <c r="I371">
        <v>3.6274300650197433E-2</v>
      </c>
      <c r="J371">
        <v>3.4314749762493602E-2</v>
      </c>
      <c r="K371">
        <v>3.5617862434518248E-2</v>
      </c>
      <c r="L371">
        <v>1.0092584997571796E-2</v>
      </c>
      <c r="M371">
        <v>2.742016734118469E-2</v>
      </c>
      <c r="N371">
        <v>2.479391394638707E-2</v>
      </c>
      <c r="O371">
        <v>2.7649376603411168E-2</v>
      </c>
      <c r="P371">
        <v>5.4248349601692045E-2</v>
      </c>
      <c r="Q371">
        <v>2.8203520030692826E-2</v>
      </c>
      <c r="R371">
        <v>2.4040524911181083E-2</v>
      </c>
      <c r="S371">
        <v>2.7711496752816017E-2</v>
      </c>
      <c r="T371">
        <v>2.7469337706448681E-2</v>
      </c>
      <c r="U371">
        <v>1.8138151740247212E-2</v>
      </c>
      <c r="V371">
        <v>3.0229855184601393E-2</v>
      </c>
      <c r="W371">
        <v>2.8490088808073782E-2</v>
      </c>
      <c r="X371">
        <v>2.7144471952412492E-2</v>
      </c>
      <c r="Y371">
        <v>3.2232289204934594E-2</v>
      </c>
      <c r="Z371">
        <v>3.1763026843385285E-2</v>
      </c>
      <c r="AA371">
        <v>3.3543760914211788E-2</v>
      </c>
      <c r="AB371">
        <v>1.716589661417485E-2</v>
      </c>
      <c r="AC371">
        <v>3.0477967841440426E-2</v>
      </c>
      <c r="AD371">
        <v>2.7590265388922161E-2</v>
      </c>
      <c r="AE371">
        <v>4.8217281524203265E-2</v>
      </c>
      <c r="AF371">
        <v>3.4974011353215581E-2</v>
      </c>
      <c r="AG371">
        <v>4.1102963932095241E-2</v>
      </c>
      <c r="AH371">
        <v>2.6470748274106556E-2</v>
      </c>
      <c r="AI371">
        <v>4.2102791056290868E-2</v>
      </c>
      <c r="AJ371">
        <v>2.7570902848604556E-2</v>
      </c>
      <c r="AK371">
        <v>1.2069472283404912</v>
      </c>
      <c r="AL371">
        <v>0.13825603138892292</v>
      </c>
      <c r="AM371">
        <v>4.1097284026833068E-2</v>
      </c>
      <c r="AN371">
        <v>2.3175159984773493E-2</v>
      </c>
      <c r="AO371">
        <v>2.1043876286979159E-2</v>
      </c>
      <c r="AP371">
        <v>2.0798098220192553E-2</v>
      </c>
      <c r="AQ371">
        <v>4.1039491985330787E-2</v>
      </c>
      <c r="AR371">
        <v>0</v>
      </c>
    </row>
    <row r="372" spans="1:44">
      <c r="A372" t="s">
        <v>384</v>
      </c>
      <c r="B372" t="s">
        <v>28</v>
      </c>
      <c r="C372">
        <v>5.8659908017968266E-3</v>
      </c>
      <c r="D372">
        <v>7.9437302837679444E-3</v>
      </c>
      <c r="E372">
        <v>9.3812932613684154E-3</v>
      </c>
      <c r="F372">
        <v>9.5819217916359931E-3</v>
      </c>
      <c r="G372">
        <v>8.4406182548322772E-3</v>
      </c>
      <c r="H372">
        <v>1.2021409134693694E-2</v>
      </c>
      <c r="I372">
        <v>1.3939064167947485E-2</v>
      </c>
      <c r="J372">
        <v>1.0007285025294431E-2</v>
      </c>
      <c r="K372">
        <v>9.9441614280249488E-3</v>
      </c>
      <c r="L372">
        <v>2.1750223870888831E-3</v>
      </c>
      <c r="M372">
        <v>7.642830282298718E-3</v>
      </c>
      <c r="N372">
        <v>7.8963625127045738E-3</v>
      </c>
      <c r="O372">
        <v>8.514682856346845E-3</v>
      </c>
      <c r="P372">
        <v>1.4577640686155528E-2</v>
      </c>
      <c r="Q372">
        <v>6.4917227740689774E-3</v>
      </c>
      <c r="R372">
        <v>6.5253726239925683E-3</v>
      </c>
      <c r="S372">
        <v>6.549691376987154E-3</v>
      </c>
      <c r="T372">
        <v>9.2602920381041273E-3</v>
      </c>
      <c r="U372">
        <v>6.4723225847600051E-3</v>
      </c>
      <c r="V372">
        <v>9.1658351734126738E-3</v>
      </c>
      <c r="W372">
        <v>8.9183793998757355E-3</v>
      </c>
      <c r="X372">
        <v>9.5613393208807528E-3</v>
      </c>
      <c r="Y372">
        <v>1.161610328342318E-2</v>
      </c>
      <c r="Z372">
        <v>1.1292788785189937E-2</v>
      </c>
      <c r="AA372">
        <v>6.6349430538947055E-3</v>
      </c>
      <c r="AB372">
        <v>5.5981022187477948E-3</v>
      </c>
      <c r="AC372">
        <v>8.6894473360791414E-3</v>
      </c>
      <c r="AD372">
        <v>9.7971092285108214E-3</v>
      </c>
      <c r="AE372">
        <v>3.3344871842063195E-2</v>
      </c>
      <c r="AF372">
        <v>1.5667942243870105E-2</v>
      </c>
      <c r="AG372">
        <v>3.5111916313288624E-2</v>
      </c>
      <c r="AH372">
        <v>1.544098346194929E-2</v>
      </c>
      <c r="AI372">
        <v>2.2221727280192508E-2</v>
      </c>
      <c r="AJ372">
        <v>1.7403198387476962E-2</v>
      </c>
      <c r="AK372">
        <v>1.4063645783568758E-2</v>
      </c>
      <c r="AL372">
        <v>1.0184511883720719</v>
      </c>
      <c r="AM372">
        <v>1.8110826046489621E-2</v>
      </c>
      <c r="AN372">
        <v>9.3970130559698495E-3</v>
      </c>
      <c r="AO372">
        <v>1.3722700262688417E-2</v>
      </c>
      <c r="AP372">
        <v>1.3821666501144407E-2</v>
      </c>
      <c r="AQ372">
        <v>2.5014813492706612E-2</v>
      </c>
      <c r="AR372">
        <v>0</v>
      </c>
    </row>
    <row r="373" spans="1:44">
      <c r="A373" t="s">
        <v>384</v>
      </c>
      <c r="B373" t="s">
        <v>29</v>
      </c>
      <c r="C373">
        <v>4.0545807343364069E-2</v>
      </c>
      <c r="D373">
        <v>7.0379868983852817E-2</v>
      </c>
      <c r="E373">
        <v>9.7003866347187023E-2</v>
      </c>
      <c r="F373">
        <v>8.4256217101230185E-2</v>
      </c>
      <c r="G373">
        <v>0.13607724896489737</v>
      </c>
      <c r="H373">
        <v>7.7114849349087827E-2</v>
      </c>
      <c r="I373">
        <v>6.4996767026689578E-2</v>
      </c>
      <c r="J373">
        <v>5.5953433784858057E-2</v>
      </c>
      <c r="K373">
        <v>6.076965735208744E-2</v>
      </c>
      <c r="L373">
        <v>1.4769932914816595E-2</v>
      </c>
      <c r="M373">
        <v>5.1184967274895229E-2</v>
      </c>
      <c r="N373">
        <v>5.8823527671467889E-2</v>
      </c>
      <c r="O373">
        <v>5.5206210156862529E-2</v>
      </c>
      <c r="P373">
        <v>0.22011691362094837</v>
      </c>
      <c r="Q373">
        <v>3.6512492573228701E-2</v>
      </c>
      <c r="R373">
        <v>4.3173805704518342E-2</v>
      </c>
      <c r="S373">
        <v>4.17293297472765E-2</v>
      </c>
      <c r="T373">
        <v>5.5455655709993265E-2</v>
      </c>
      <c r="U373">
        <v>4.6825314314338784E-2</v>
      </c>
      <c r="V373">
        <v>5.9536100719386358E-2</v>
      </c>
      <c r="W373">
        <v>5.9800391545372839E-2</v>
      </c>
      <c r="X373">
        <v>6.971129116701158E-2</v>
      </c>
      <c r="Y373">
        <v>7.9197991918520505E-2</v>
      </c>
      <c r="Z373">
        <v>6.0229159984919976E-2</v>
      </c>
      <c r="AA373">
        <v>6.201415230129656E-2</v>
      </c>
      <c r="AB373">
        <v>2.7482031204775704E-2</v>
      </c>
      <c r="AC373">
        <v>7.2086501390765154E-2</v>
      </c>
      <c r="AD373">
        <v>8.6500214934401617E-2</v>
      </c>
      <c r="AE373">
        <v>9.1359678253743776E-2</v>
      </c>
      <c r="AF373">
        <v>7.9150561003698286E-2</v>
      </c>
      <c r="AG373">
        <v>8.4948932903997243E-2</v>
      </c>
      <c r="AH373">
        <v>8.7007644797695224E-2</v>
      </c>
      <c r="AI373">
        <v>0.12783802610087805</v>
      </c>
      <c r="AJ373">
        <v>9.6473519506717523E-2</v>
      </c>
      <c r="AK373">
        <v>7.8763569266060249E-2</v>
      </c>
      <c r="AL373">
        <v>6.5705724105739535E-2</v>
      </c>
      <c r="AM373">
        <v>1.1750863392436206</v>
      </c>
      <c r="AN373">
        <v>6.4093545347277819E-2</v>
      </c>
      <c r="AO373">
        <v>6.3619177201390625E-2</v>
      </c>
      <c r="AP373">
        <v>5.7257566473284977E-2</v>
      </c>
      <c r="AQ373">
        <v>9.7083952834858198E-2</v>
      </c>
      <c r="AR373">
        <v>0</v>
      </c>
    </row>
    <row r="374" spans="1:44">
      <c r="A374" t="s">
        <v>384</v>
      </c>
      <c r="B374" t="s">
        <v>30</v>
      </c>
      <c r="C374">
        <v>8.5956933177250587E-4</v>
      </c>
      <c r="D374">
        <v>1.0513146772208365E-3</v>
      </c>
      <c r="E374">
        <v>7.5568179400826855E-4</v>
      </c>
      <c r="F374">
        <v>1.0092726159786956E-3</v>
      </c>
      <c r="G374">
        <v>1.1019368267318104E-3</v>
      </c>
      <c r="H374">
        <v>1.3897555906424222E-3</v>
      </c>
      <c r="I374">
        <v>1.1516608105070448E-3</v>
      </c>
      <c r="J374">
        <v>1.3520180190794613E-3</v>
      </c>
      <c r="K374">
        <v>1.3812624981428144E-3</v>
      </c>
      <c r="L374">
        <v>2.0533294895952331E-4</v>
      </c>
      <c r="M374">
        <v>7.9684936348683251E-4</v>
      </c>
      <c r="N374">
        <v>9.5492782651886631E-4</v>
      </c>
      <c r="O374">
        <v>8.3697403489834429E-4</v>
      </c>
      <c r="P374">
        <v>1.2271621508343994E-3</v>
      </c>
      <c r="Q374">
        <v>3.2951576510360629E-4</v>
      </c>
      <c r="R374">
        <v>1.462680768194613E-3</v>
      </c>
      <c r="S374">
        <v>1.6353032061442677E-3</v>
      </c>
      <c r="T374">
        <v>1.2069092589310898E-3</v>
      </c>
      <c r="U374">
        <v>4.8918146948468831E-4</v>
      </c>
      <c r="V374">
        <v>9.6646971836410612E-4</v>
      </c>
      <c r="W374">
        <v>9.9650085098076501E-4</v>
      </c>
      <c r="X374">
        <v>1.0580010086842823E-3</v>
      </c>
      <c r="Y374">
        <v>1.2125871021483959E-3</v>
      </c>
      <c r="Z374">
        <v>1.0314319352889177E-3</v>
      </c>
      <c r="AA374">
        <v>1.2159025600039682E-3</v>
      </c>
      <c r="AB374">
        <v>7.71967736051283E-4</v>
      </c>
      <c r="AC374">
        <v>3.8176052672738285E-3</v>
      </c>
      <c r="AD374">
        <v>1.1742591792107636E-3</v>
      </c>
      <c r="AE374">
        <v>1.4818800411286685E-3</v>
      </c>
      <c r="AF374">
        <v>1.0739125547657067E-3</v>
      </c>
      <c r="AG374">
        <v>1.5985293165261406E-3</v>
      </c>
      <c r="AH374">
        <v>1.0094708223414499E-3</v>
      </c>
      <c r="AI374">
        <v>1.6965107179394605E-3</v>
      </c>
      <c r="AJ374">
        <v>9.9782644705548405E-4</v>
      </c>
      <c r="AK374">
        <v>1.2905883206907958E-3</v>
      </c>
      <c r="AL374">
        <v>9.9796627464229315E-4</v>
      </c>
      <c r="AM374">
        <v>1.3183598312275762E-3</v>
      </c>
      <c r="AN374">
        <v>1.0020022785860261</v>
      </c>
      <c r="AO374">
        <v>1.0533582956412455E-3</v>
      </c>
      <c r="AP374">
        <v>1.0829831518080885E-3</v>
      </c>
      <c r="AQ374">
        <v>1.9731135869363713E-3</v>
      </c>
      <c r="AR374">
        <v>0</v>
      </c>
    </row>
    <row r="375" spans="1:44">
      <c r="A375" t="s">
        <v>384</v>
      </c>
      <c r="B375" t="s">
        <v>31</v>
      </c>
      <c r="C375">
        <v>1.0901562235331795E-3</v>
      </c>
      <c r="D375">
        <v>1.4007146018016178E-3</v>
      </c>
      <c r="E375">
        <v>1.788395019011315E-3</v>
      </c>
      <c r="F375">
        <v>1.9135724272770773E-3</v>
      </c>
      <c r="G375">
        <v>1.8058033006649456E-3</v>
      </c>
      <c r="H375">
        <v>1.9713407653682738E-3</v>
      </c>
      <c r="I375">
        <v>2.0557171877847889E-3</v>
      </c>
      <c r="J375">
        <v>1.7987207163323235E-3</v>
      </c>
      <c r="K375">
        <v>1.5829722077357361E-3</v>
      </c>
      <c r="L375">
        <v>4.1333984529836416E-4</v>
      </c>
      <c r="M375">
        <v>1.4953419955051001E-3</v>
      </c>
      <c r="N375">
        <v>1.5071960321930873E-3</v>
      </c>
      <c r="O375">
        <v>1.6717733993516547E-3</v>
      </c>
      <c r="P375">
        <v>7.5070800942018739E-3</v>
      </c>
      <c r="Q375">
        <v>5.9601035678495966E-4</v>
      </c>
      <c r="R375">
        <v>1.2815527479571084E-3</v>
      </c>
      <c r="S375">
        <v>1.313654069705285E-3</v>
      </c>
      <c r="T375">
        <v>1.6449203847747145E-3</v>
      </c>
      <c r="U375">
        <v>1.0834149175324276E-3</v>
      </c>
      <c r="V375">
        <v>1.7725275560677798E-3</v>
      </c>
      <c r="W375">
        <v>1.6789986172873273E-3</v>
      </c>
      <c r="X375">
        <v>1.4946036577754864E-3</v>
      </c>
      <c r="Y375">
        <v>1.8869080929799456E-3</v>
      </c>
      <c r="Z375">
        <v>1.7026384735900227E-3</v>
      </c>
      <c r="AA375">
        <v>1.4820173686422994E-3</v>
      </c>
      <c r="AB375">
        <v>1.2857476021969451E-3</v>
      </c>
      <c r="AC375">
        <v>2.0363795732135071E-3</v>
      </c>
      <c r="AD375">
        <v>1.6992401750242775E-3</v>
      </c>
      <c r="AE375">
        <v>2.7033515579581451E-3</v>
      </c>
      <c r="AF375">
        <v>2.8321143836273596E-3</v>
      </c>
      <c r="AG375">
        <v>3.3662180775650523E-3</v>
      </c>
      <c r="AH375">
        <v>2.9814434578351429E-3</v>
      </c>
      <c r="AI375">
        <v>3.1089695276377929E-3</v>
      </c>
      <c r="AJ375">
        <v>3.2376302010873187E-3</v>
      </c>
      <c r="AK375">
        <v>2.8284493226919658E-3</v>
      </c>
      <c r="AL375">
        <v>1.2740619382192943E-3</v>
      </c>
      <c r="AM375">
        <v>3.8624093321546894E-3</v>
      </c>
      <c r="AN375">
        <v>3.0316112970011078E-3</v>
      </c>
      <c r="AO375">
        <v>1.0070686488009308</v>
      </c>
      <c r="AP375">
        <v>3.8031011870288778E-3</v>
      </c>
      <c r="AQ375">
        <v>4.8367388817972925E-3</v>
      </c>
      <c r="AR375">
        <v>0</v>
      </c>
    </row>
    <row r="376" spans="1:44">
      <c r="A376" t="s">
        <v>384</v>
      </c>
      <c r="B376" t="s">
        <v>32</v>
      </c>
      <c r="C376">
        <v>2.9101902297522762E-4</v>
      </c>
      <c r="D376">
        <v>6.7202992479151722E-4</v>
      </c>
      <c r="E376">
        <v>3.4761749985371201E-4</v>
      </c>
      <c r="F376">
        <v>2.8003279347593507E-4</v>
      </c>
      <c r="G376">
        <v>3.2757289465094977E-4</v>
      </c>
      <c r="H376">
        <v>5.1110019911480441E-4</v>
      </c>
      <c r="I376">
        <v>4.1650390119652472E-4</v>
      </c>
      <c r="J376">
        <v>3.4958167021301997E-4</v>
      </c>
      <c r="K376">
        <v>3.8053673602633239E-4</v>
      </c>
      <c r="L376">
        <v>7.5565254595069486E-5</v>
      </c>
      <c r="M376">
        <v>3.0047343910319401E-4</v>
      </c>
      <c r="N376">
        <v>4.0338468636029538E-4</v>
      </c>
      <c r="O376">
        <v>3.8160647344454338E-4</v>
      </c>
      <c r="P376">
        <v>4.8144567649359362E-4</v>
      </c>
      <c r="Q376">
        <v>5.144820705243802E-4</v>
      </c>
      <c r="R376">
        <v>2.3652932258994675E-4</v>
      </c>
      <c r="S376">
        <v>2.8237176311460955E-4</v>
      </c>
      <c r="T376">
        <v>4.3653497500643413E-4</v>
      </c>
      <c r="U376">
        <v>2.4562458435760685E-4</v>
      </c>
      <c r="V376">
        <v>3.855807113028859E-4</v>
      </c>
      <c r="W376">
        <v>3.4977708271182226E-4</v>
      </c>
      <c r="X376">
        <v>3.5242728813398173E-4</v>
      </c>
      <c r="Y376">
        <v>4.7204974377464831E-4</v>
      </c>
      <c r="Z376">
        <v>4.0968713136833954E-4</v>
      </c>
      <c r="AA376">
        <v>2.7680071631801646E-4</v>
      </c>
      <c r="AB376">
        <v>2.5060341663245826E-4</v>
      </c>
      <c r="AC376">
        <v>4.6235537655269778E-4</v>
      </c>
      <c r="AD376">
        <v>3.6476008241719676E-4</v>
      </c>
      <c r="AE376">
        <v>5.5759033606727162E-4</v>
      </c>
      <c r="AF376">
        <v>4.0020103935213764E-4</v>
      </c>
      <c r="AG376">
        <v>7.0582676091160293E-4</v>
      </c>
      <c r="AH376">
        <v>5.1805655570825136E-4</v>
      </c>
      <c r="AI376">
        <v>4.5693354076846194E-4</v>
      </c>
      <c r="AJ376">
        <v>4.7896287018247641E-4</v>
      </c>
      <c r="AK376">
        <v>5.4039650596650628E-4</v>
      </c>
      <c r="AL376">
        <v>2.1805284427896276E-4</v>
      </c>
      <c r="AM376">
        <v>6.2245622885083148E-4</v>
      </c>
      <c r="AN376">
        <v>1.581381250166803E-3</v>
      </c>
      <c r="AO376">
        <v>9.656550518270722E-4</v>
      </c>
      <c r="AP376">
        <v>1.0215987695895579</v>
      </c>
      <c r="AQ376">
        <v>1.0974254010228317E-3</v>
      </c>
      <c r="AR376">
        <v>0</v>
      </c>
    </row>
    <row r="377" spans="1:44">
      <c r="A377" t="s">
        <v>384</v>
      </c>
      <c r="B377" t="s">
        <v>33</v>
      </c>
      <c r="C377">
        <v>4.7625276555001038E-3</v>
      </c>
      <c r="D377">
        <v>6.7266639348116152E-3</v>
      </c>
      <c r="E377">
        <v>7.8479908830897966E-3</v>
      </c>
      <c r="F377">
        <v>9.0274217973277046E-3</v>
      </c>
      <c r="G377">
        <v>8.0437185470890616E-3</v>
      </c>
      <c r="H377">
        <v>8.1845615838840209E-3</v>
      </c>
      <c r="I377">
        <v>8.7484979152701193E-3</v>
      </c>
      <c r="J377">
        <v>6.7660604341610916E-3</v>
      </c>
      <c r="K377">
        <v>6.163296016436985E-3</v>
      </c>
      <c r="L377">
        <v>1.2118395369868657E-3</v>
      </c>
      <c r="M377">
        <v>4.4056608089472482E-3</v>
      </c>
      <c r="N377">
        <v>4.3010052027935815E-3</v>
      </c>
      <c r="O377">
        <v>4.8380063204160962E-3</v>
      </c>
      <c r="P377">
        <v>1.330839922349825E-2</v>
      </c>
      <c r="Q377">
        <v>5.491576623410069E-3</v>
      </c>
      <c r="R377">
        <v>4.6278926505087343E-3</v>
      </c>
      <c r="S377">
        <v>4.1204573079373103E-3</v>
      </c>
      <c r="T377">
        <v>5.9983804449702466E-3</v>
      </c>
      <c r="U377">
        <v>4.0481311848086171E-3</v>
      </c>
      <c r="V377">
        <v>5.0041051240224755E-3</v>
      </c>
      <c r="W377">
        <v>4.9592990431000039E-3</v>
      </c>
      <c r="X377">
        <v>5.2752269011095967E-3</v>
      </c>
      <c r="Y377">
        <v>6.4166637420962347E-3</v>
      </c>
      <c r="Z377">
        <v>6.762470681604048E-3</v>
      </c>
      <c r="AA377">
        <v>4.0625843042818846E-3</v>
      </c>
      <c r="AB377">
        <v>3.3107612457039686E-3</v>
      </c>
      <c r="AC377">
        <v>1.0300074289958577E-2</v>
      </c>
      <c r="AD377">
        <v>5.4096697971998137E-3</v>
      </c>
      <c r="AE377">
        <v>1.067567231085966E-2</v>
      </c>
      <c r="AF377">
        <v>7.8427728655637626E-3</v>
      </c>
      <c r="AG377">
        <v>1.9744091326519914E-2</v>
      </c>
      <c r="AH377">
        <v>4.1064231107727396E-2</v>
      </c>
      <c r="AI377">
        <v>1.742444317237745E-2</v>
      </c>
      <c r="AJ377">
        <v>1.3561920003541445E-2</v>
      </c>
      <c r="AK377">
        <v>1.3501760750989316E-2</v>
      </c>
      <c r="AL377">
        <v>5.5497060816200863E-3</v>
      </c>
      <c r="AM377">
        <v>1.4859494155633158E-2</v>
      </c>
      <c r="AN377">
        <v>8.8972853710688887E-3</v>
      </c>
      <c r="AO377">
        <v>1.2748398130661396E-2</v>
      </c>
      <c r="AP377">
        <v>1.5429650780906278E-2</v>
      </c>
      <c r="AQ377">
        <v>1.0960197020501776</v>
      </c>
      <c r="AR377">
        <v>0</v>
      </c>
    </row>
    <row r="378" spans="1:44">
      <c r="A378" t="s">
        <v>384</v>
      </c>
      <c r="B378" t="s">
        <v>34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F3EAC-836E-4AA1-B316-2B20A8F2D09F}">
  <sheetPr>
    <tabColor theme="8" tint="-0.249977111117893"/>
  </sheetPr>
  <dimension ref="A1:AQ127"/>
  <sheetViews>
    <sheetView workbookViewId="0">
      <selection activeCell="Q17" sqref="Q17"/>
    </sheetView>
  </sheetViews>
  <sheetFormatPr defaultRowHeight="14.5"/>
  <cols>
    <col min="1" max="2" width="10.1796875" customWidth="1"/>
    <col min="3" max="4" width="10.1796875" style="4" customWidth="1"/>
    <col min="5" max="11" width="10.1796875" customWidth="1"/>
    <col min="12" max="13" width="10.1796875" style="4" customWidth="1"/>
    <col min="14" max="26" width="10.1796875" customWidth="1"/>
    <col min="27" max="27" width="16.7265625" customWidth="1"/>
    <col min="28" max="43" width="10.1796875" customWidth="1"/>
  </cols>
  <sheetData>
    <row r="1" spans="1:43" s="22" customFormat="1">
      <c r="B1" s="22" t="s">
        <v>4</v>
      </c>
      <c r="C1" s="22" t="s">
        <v>120</v>
      </c>
      <c r="D1" s="22" t="s">
        <v>119</v>
      </c>
      <c r="E1" s="22" t="s">
        <v>5</v>
      </c>
      <c r="F1" s="22" t="s">
        <v>6</v>
      </c>
      <c r="G1" s="22" t="s">
        <v>7</v>
      </c>
      <c r="H1" s="22" t="s">
        <v>8</v>
      </c>
      <c r="I1" s="22" t="s">
        <v>9</v>
      </c>
      <c r="J1" s="22" t="s">
        <v>10</v>
      </c>
      <c r="K1" s="22" t="s">
        <v>11</v>
      </c>
      <c r="L1" s="22" t="s">
        <v>58</v>
      </c>
      <c r="M1" s="22" t="s">
        <v>59</v>
      </c>
      <c r="N1" s="22" t="s">
        <v>12</v>
      </c>
      <c r="O1" s="22" t="s">
        <v>132</v>
      </c>
      <c r="P1" s="22" t="s">
        <v>133</v>
      </c>
      <c r="Q1" s="22" t="s">
        <v>134</v>
      </c>
      <c r="R1" s="22" t="s">
        <v>135</v>
      </c>
      <c r="S1" s="22" t="s">
        <v>13</v>
      </c>
      <c r="T1" s="22" t="s">
        <v>14</v>
      </c>
      <c r="U1" s="22" t="s">
        <v>15</v>
      </c>
      <c r="V1" s="22" t="s">
        <v>16</v>
      </c>
      <c r="W1" s="22" t="s">
        <v>17</v>
      </c>
      <c r="X1" s="22" t="s">
        <v>18</v>
      </c>
      <c r="Y1" s="22" t="s">
        <v>19</v>
      </c>
      <c r="Z1" s="22" t="s">
        <v>136</v>
      </c>
      <c r="AA1" s="22" t="s">
        <v>137</v>
      </c>
      <c r="AB1" s="22" t="s">
        <v>138</v>
      </c>
      <c r="AC1" s="22" t="s">
        <v>20</v>
      </c>
      <c r="AD1" s="22" t="s">
        <v>21</v>
      </c>
      <c r="AE1" s="22" t="s">
        <v>22</v>
      </c>
      <c r="AF1" s="22" t="s">
        <v>23</v>
      </c>
      <c r="AG1" s="22" t="s">
        <v>24</v>
      </c>
      <c r="AH1" s="22" t="s">
        <v>25</v>
      </c>
      <c r="AI1" s="22" t="s">
        <v>26</v>
      </c>
      <c r="AJ1" s="22" t="s">
        <v>27</v>
      </c>
      <c r="AK1" s="22" t="s">
        <v>28</v>
      </c>
      <c r="AL1" s="22" t="s">
        <v>29</v>
      </c>
      <c r="AM1" s="22" t="s">
        <v>30</v>
      </c>
      <c r="AN1" s="22" t="s">
        <v>31</v>
      </c>
      <c r="AO1" s="22" t="s">
        <v>32</v>
      </c>
      <c r="AP1" s="22" t="s">
        <v>33</v>
      </c>
      <c r="AQ1" s="22" t="s">
        <v>34</v>
      </c>
    </row>
    <row r="2" spans="1:43">
      <c r="A2" s="17" t="s">
        <v>4</v>
      </c>
      <c r="B2" s="21">
        <f>Reaggregated!C337</f>
        <v>1.0958757314810184</v>
      </c>
      <c r="C2" s="21">
        <f>Reaggregated!D337</f>
        <v>4.8984530977552792E-3</v>
      </c>
      <c r="D2" s="21">
        <f>Reaggregated!E337</f>
        <v>4.610372766145546E-3</v>
      </c>
      <c r="E2" s="21">
        <f>Reaggregated!F337</f>
        <v>5.5630043952172433E-3</v>
      </c>
      <c r="F2" s="21">
        <f>Reaggregated!G337</f>
        <v>4.5985174415491175E-3</v>
      </c>
      <c r="G2" s="21">
        <f>Reaggregated!H337</f>
        <v>0.24293883758565543</v>
      </c>
      <c r="H2" s="21">
        <f>Reaggregated!I337</f>
        <v>1.8750603267517048E-2</v>
      </c>
      <c r="I2" s="21">
        <f>Reaggregated!J337</f>
        <v>0.1426201476567229</v>
      </c>
      <c r="J2" s="21">
        <f>Reaggregated!K337</f>
        <v>1.1253451186689212E-2</v>
      </c>
      <c r="K2" s="21">
        <f>Reaggregated!L337</f>
        <v>1.1602973273986397E-3</v>
      </c>
      <c r="L2" s="21">
        <f>Reaggregated!M337</f>
        <v>8.2052667869960769E-3</v>
      </c>
      <c r="M2" s="21">
        <f>Reaggregated!N337</f>
        <v>7.6306325158532161E-3</v>
      </c>
      <c r="N2" s="21">
        <f>Reaggregated!O337</f>
        <v>8.5302985913775064E-3</v>
      </c>
      <c r="O2" s="21">
        <f>Reaggregated!P337</f>
        <v>1.0427963603675759E-2</v>
      </c>
      <c r="P2" s="21">
        <f>Reaggregated!Q337</f>
        <v>4.2325042458356476E-3</v>
      </c>
      <c r="Q2" s="21">
        <f>Reaggregated!R337</f>
        <v>3.515582736177263E-3</v>
      </c>
      <c r="R2" s="21">
        <f>Reaggregated!S337</f>
        <v>3.586652124810321E-3</v>
      </c>
      <c r="S2" s="21">
        <f>Reaggregated!T337</f>
        <v>4.6566619750049495E-3</v>
      </c>
      <c r="T2" s="21">
        <f>Reaggregated!U337</f>
        <v>2.9677158202357705E-3</v>
      </c>
      <c r="U2" s="21">
        <f>Reaggregated!V337</f>
        <v>4.9033635188963339E-3</v>
      </c>
      <c r="V2" s="21">
        <f>Reaggregated!W337</f>
        <v>4.6935725805171769E-3</v>
      </c>
      <c r="W2" s="21">
        <f>Reaggregated!X337</f>
        <v>4.7054349939648224E-3</v>
      </c>
      <c r="X2" s="21">
        <f>Reaggregated!Y337</f>
        <v>5.607006597418516E-3</v>
      </c>
      <c r="Y2" s="21">
        <f>Reaggregated!Z337</f>
        <v>1.3574542258400046E-2</v>
      </c>
      <c r="Z2" s="21">
        <f>Reaggregated!AA337</f>
        <v>4.9415595384594679E-3</v>
      </c>
      <c r="AA2" s="21">
        <f>Reaggregated!AB337</f>
        <v>3.4250754982485007E-3</v>
      </c>
      <c r="AB2" s="21">
        <f>Reaggregated!AC337</f>
        <v>5.7336822078773268E-3</v>
      </c>
      <c r="AC2" s="21">
        <f>Reaggregated!AD337</f>
        <v>7.117567516745079E-3</v>
      </c>
      <c r="AD2" s="21">
        <f>Reaggregated!AE337</f>
        <v>9.8442600896077349E-3</v>
      </c>
      <c r="AE2" s="21">
        <f>Reaggregated!AF337</f>
        <v>7.4645810723249694E-3</v>
      </c>
      <c r="AF2" s="21">
        <f>Reaggregated!AG337</f>
        <v>0.10269340924542575</v>
      </c>
      <c r="AG2" s="21">
        <f>Reaggregated!AH337</f>
        <v>7.7115063636950592E-3</v>
      </c>
      <c r="AH2" s="21">
        <f>Reaggregated!AI337</f>
        <v>6.2790055668226832E-3</v>
      </c>
      <c r="AI2" s="21">
        <f>Reaggregated!AJ337</f>
        <v>6.8684945360644846E-3</v>
      </c>
      <c r="AJ2" s="21">
        <f>Reaggregated!AK337</f>
        <v>6.1959972160124882E-3</v>
      </c>
      <c r="AK2" s="21">
        <f>Reaggregated!AL337</f>
        <v>3.6066889606309539E-3</v>
      </c>
      <c r="AL2" s="21">
        <f>Reaggregated!AM337</f>
        <v>9.0773962405321668E-3</v>
      </c>
      <c r="AM2" s="21">
        <f>Reaggregated!AN337</f>
        <v>6.9535703304035839E-3</v>
      </c>
      <c r="AN2" s="21">
        <f>Reaggregated!AO337</f>
        <v>1.0012689324137253E-2</v>
      </c>
      <c r="AO2" s="21">
        <f>Reaggregated!AP337</f>
        <v>1.2113812190675052E-2</v>
      </c>
      <c r="AP2" s="21">
        <f>Reaggregated!AQ337</f>
        <v>1.4534133481749364E-2</v>
      </c>
      <c r="AQ2" s="21">
        <f>Reaggregated!AR337</f>
        <v>0</v>
      </c>
    </row>
    <row r="3" spans="1:43">
      <c r="A3" s="17" t="s">
        <v>120</v>
      </c>
      <c r="B3" s="21">
        <f>Reaggregated!C338</f>
        <v>9.2369472732251628E-5</v>
      </c>
      <c r="C3" s="21">
        <f>Reaggregated!D338</f>
        <v>1.0010929644961759</v>
      </c>
      <c r="D3" s="21">
        <f>Reaggregated!E338</f>
        <v>1.3517637178833532E-4</v>
      </c>
      <c r="E3" s="21">
        <f>Reaggregated!F338</f>
        <v>1.8765497166511733E-4</v>
      </c>
      <c r="F3" s="21">
        <f>Reaggregated!G338</f>
        <v>5.6184164165357357E-5</v>
      </c>
      <c r="G3" s="21">
        <f>Reaggregated!H338</f>
        <v>1.3954517905031755E-4</v>
      </c>
      <c r="H3" s="21">
        <f>Reaggregated!I338</f>
        <v>1.3167513985813556E-4</v>
      </c>
      <c r="I3" s="21">
        <f>Reaggregated!J338</f>
        <v>1.1910540942030608E-4</v>
      </c>
      <c r="J3" s="21">
        <f>Reaggregated!K338</f>
        <v>1.6063566171113146E-4</v>
      </c>
      <c r="K3" s="21">
        <f>Reaggregated!L338</f>
        <v>2.0253920051064973E-4</v>
      </c>
      <c r="L3" s="21">
        <f>Reaggregated!M338</f>
        <v>1.4743996655897061E-4</v>
      </c>
      <c r="M3" s="21">
        <f>Reaggregated!N338</f>
        <v>6.2474376746139384E-5</v>
      </c>
      <c r="N3" s="21">
        <f>Reaggregated!O338</f>
        <v>1.2313985577572673E-4</v>
      </c>
      <c r="O3" s="21">
        <f>Reaggregated!P338</f>
        <v>2.9147701820559296E-4</v>
      </c>
      <c r="P3" s="21">
        <f>Reaggregated!Q338</f>
        <v>1.7246258870007923E-4</v>
      </c>
      <c r="Q3" s="21">
        <f>Reaggregated!R338</f>
        <v>1.6777575029823367E-4</v>
      </c>
      <c r="R3" s="21">
        <f>Reaggregated!S338</f>
        <v>1.4712893833985615E-4</v>
      </c>
      <c r="S3" s="21">
        <f>Reaggregated!T338</f>
        <v>1.1093691483108012E-4</v>
      </c>
      <c r="T3" s="21">
        <f>Reaggregated!U338</f>
        <v>4.7528931284951075E-5</v>
      </c>
      <c r="U3" s="21">
        <f>Reaggregated!V338</f>
        <v>7.9067109065735169E-5</v>
      </c>
      <c r="V3" s="21">
        <f>Reaggregated!W338</f>
        <v>8.2389362784339665E-5</v>
      </c>
      <c r="W3" s="21">
        <f>Reaggregated!X338</f>
        <v>9.0230674614069897E-5</v>
      </c>
      <c r="X3" s="21">
        <f>Reaggregated!Y338</f>
        <v>9.6607516439896793E-5</v>
      </c>
      <c r="Y3" s="21">
        <f>Reaggregated!Z338</f>
        <v>8.5981457075941727E-5</v>
      </c>
      <c r="Z3" s="21">
        <f>Reaggregated!AA338</f>
        <v>2.3354218469196089E-3</v>
      </c>
      <c r="AA3" s="21">
        <f>Reaggregated!AB338</f>
        <v>4.9596049540935838E-5</v>
      </c>
      <c r="AB3" s="21">
        <f>Reaggregated!AC338</f>
        <v>1.2523284228341884E-4</v>
      </c>
      <c r="AC3" s="21">
        <f>Reaggregated!AD338</f>
        <v>6.220313569038017E-5</v>
      </c>
      <c r="AD3" s="21">
        <f>Reaggregated!AE338</f>
        <v>9.105512377201018E-5</v>
      </c>
      <c r="AE3" s="21">
        <f>Reaggregated!AF338</f>
        <v>7.288238054370119E-5</v>
      </c>
      <c r="AF3" s="21">
        <f>Reaggregated!AG338</f>
        <v>1.5147103884147255E-4</v>
      </c>
      <c r="AG3" s="21">
        <f>Reaggregated!AH338</f>
        <v>5.5283982457439227E-5</v>
      </c>
      <c r="AH3" s="21">
        <f>Reaggregated!AI338</f>
        <v>8.3752431655400219E-5</v>
      </c>
      <c r="AI3" s="21">
        <f>Reaggregated!AJ338</f>
        <v>3.9198050305982056E-5</v>
      </c>
      <c r="AJ3" s="21">
        <f>Reaggregated!AK338</f>
        <v>3.4200182963256007E-5</v>
      </c>
      <c r="AK3" s="21">
        <f>Reaggregated!AL338</f>
        <v>4.6029209316966811E-5</v>
      </c>
      <c r="AL3" s="21">
        <f>Reaggregated!AM338</f>
        <v>4.7902338385231365E-5</v>
      </c>
      <c r="AM3" s="21">
        <f>Reaggregated!AN338</f>
        <v>4.9109879864100408E-5</v>
      </c>
      <c r="AN3" s="21">
        <f>Reaggregated!AO338</f>
        <v>8.17788212077782E-5</v>
      </c>
      <c r="AO3" s="21">
        <f>Reaggregated!AP338</f>
        <v>7.0009211776336851E-5</v>
      </c>
      <c r="AP3" s="21">
        <f>Reaggregated!AQ338</f>
        <v>1.0495929931677243E-4</v>
      </c>
      <c r="AQ3" s="21">
        <f>Reaggregated!AR338</f>
        <v>0</v>
      </c>
    </row>
    <row r="4" spans="1:43">
      <c r="A4" s="17" t="s">
        <v>119</v>
      </c>
      <c r="B4" s="21">
        <f>Reaggregated!C339</f>
        <v>6.5600234384748937E-5</v>
      </c>
      <c r="C4" s="21">
        <f>Reaggregated!D339</f>
        <v>6.413161343126569E-5</v>
      </c>
      <c r="D4" s="21">
        <f>Reaggregated!E339</f>
        <v>1.0001054039971116</v>
      </c>
      <c r="E4" s="21">
        <f>Reaggregated!F339</f>
        <v>8.8055928467998444E-5</v>
      </c>
      <c r="F4" s="21">
        <f>Reaggregated!G339</f>
        <v>4.4440389156519551E-5</v>
      </c>
      <c r="G4" s="21">
        <f>Reaggregated!H339</f>
        <v>6.0574395961714493E-5</v>
      </c>
      <c r="H4" s="21">
        <f>Reaggregated!I339</f>
        <v>5.4960470976805525E-5</v>
      </c>
      <c r="I4" s="21">
        <f>Reaggregated!J339</f>
        <v>6.1603940312677833E-5</v>
      </c>
      <c r="J4" s="21">
        <f>Reaggregated!K339</f>
        <v>5.964036915976474E-5</v>
      </c>
      <c r="K4" s="21">
        <f>Reaggregated!L339</f>
        <v>7.2273464028819014E-4</v>
      </c>
      <c r="L4" s="21">
        <f>Reaggregated!M339</f>
        <v>1.1959985096934397E-4</v>
      </c>
      <c r="M4" s="21">
        <f>Reaggregated!N339</f>
        <v>3.367668320740388E-5</v>
      </c>
      <c r="N4" s="21">
        <f>Reaggregated!O339</f>
        <v>7.2516652577120781E-5</v>
      </c>
      <c r="O4" s="21">
        <f>Reaggregated!P339</f>
        <v>1.4434266177564087E-4</v>
      </c>
      <c r="P4" s="21">
        <f>Reaggregated!Q339</f>
        <v>6.530386124384315E-5</v>
      </c>
      <c r="Q4" s="21">
        <f>Reaggregated!R339</f>
        <v>6.4287446415788982E-5</v>
      </c>
      <c r="R4" s="21">
        <f>Reaggregated!S339</f>
        <v>4.710123838268895E-5</v>
      </c>
      <c r="S4" s="21">
        <f>Reaggregated!T339</f>
        <v>4.0731955119319701E-5</v>
      </c>
      <c r="T4" s="21">
        <f>Reaggregated!U339</f>
        <v>1.8887599374270106E-5</v>
      </c>
      <c r="U4" s="21">
        <f>Reaggregated!V339</f>
        <v>3.5284445774720701E-5</v>
      </c>
      <c r="V4" s="21">
        <f>Reaggregated!W339</f>
        <v>3.2606570913557233E-5</v>
      </c>
      <c r="W4" s="21">
        <f>Reaggregated!X339</f>
        <v>3.9100463885353993E-5</v>
      </c>
      <c r="X4" s="21">
        <f>Reaggregated!Y339</f>
        <v>3.863554833326526E-5</v>
      </c>
      <c r="Y4" s="21">
        <f>Reaggregated!Z339</f>
        <v>4.2550486066219118E-5</v>
      </c>
      <c r="Z4" s="21">
        <f>Reaggregated!AA339</f>
        <v>3.7945180189264777E-4</v>
      </c>
      <c r="AA4" s="21">
        <f>Reaggregated!AB339</f>
        <v>6.5605381152779321E-5</v>
      </c>
      <c r="AB4" s="21">
        <f>Reaggregated!AC339</f>
        <v>5.3432983965096731E-5</v>
      </c>
      <c r="AC4" s="21">
        <f>Reaggregated!AD339</f>
        <v>3.579977598740091E-5</v>
      </c>
      <c r="AD4" s="21">
        <f>Reaggregated!AE339</f>
        <v>3.8785006413497414E-5</v>
      </c>
      <c r="AE4" s="21">
        <f>Reaggregated!AF339</f>
        <v>9.9891218184403537E-5</v>
      </c>
      <c r="AF4" s="21">
        <f>Reaggregated!AG339</f>
        <v>4.9816883237373944E-5</v>
      </c>
      <c r="AG4" s="21">
        <f>Reaggregated!AH339</f>
        <v>2.2059102665996415E-5</v>
      </c>
      <c r="AH4" s="21">
        <f>Reaggregated!AI339</f>
        <v>2.7140763026648627E-5</v>
      </c>
      <c r="AI4" s="21">
        <f>Reaggregated!AJ339</f>
        <v>1.6072621380303726E-5</v>
      </c>
      <c r="AJ4" s="21">
        <f>Reaggregated!AK339</f>
        <v>1.4337730753475465E-5</v>
      </c>
      <c r="AK4" s="21">
        <f>Reaggregated!AL339</f>
        <v>1.541261012959559E-5</v>
      </c>
      <c r="AL4" s="21">
        <f>Reaggregated!AM339</f>
        <v>2.2789113458436783E-5</v>
      </c>
      <c r="AM4" s="21">
        <f>Reaggregated!AN339</f>
        <v>2.1553534944082167E-5</v>
      </c>
      <c r="AN4" s="21">
        <f>Reaggregated!AO339</f>
        <v>2.4957330607833941E-5</v>
      </c>
      <c r="AO4" s="21">
        <f>Reaggregated!AP339</f>
        <v>2.5745001541063892E-5</v>
      </c>
      <c r="AP4" s="21">
        <f>Reaggregated!AQ339</f>
        <v>3.9333009354568895E-5</v>
      </c>
      <c r="AQ4" s="21">
        <f>Reaggregated!AR339</f>
        <v>0</v>
      </c>
    </row>
    <row r="5" spans="1:43">
      <c r="A5" s="17" t="s">
        <v>5</v>
      </c>
      <c r="B5" s="21">
        <f>Reaggregated!C340</f>
        <v>6.3020624120287009E-4</v>
      </c>
      <c r="C5" s="21">
        <f>Reaggregated!D340</f>
        <v>1.2111346192398885E-3</v>
      </c>
      <c r="D5" s="21">
        <f>Reaggregated!E340</f>
        <v>6.5991431584589094E-4</v>
      </c>
      <c r="E5" s="21">
        <f>Reaggregated!F340</f>
        <v>1.0171217463356537</v>
      </c>
      <c r="F5" s="21">
        <f>Reaggregated!G340</f>
        <v>1.5381449767635283E-3</v>
      </c>
      <c r="G5" s="21">
        <f>Reaggregated!H340</f>
        <v>7.6117904387046353E-4</v>
      </c>
      <c r="H5" s="21">
        <f>Reaggregated!I340</f>
        <v>5.9422581884260623E-4</v>
      </c>
      <c r="I5" s="21">
        <f>Reaggregated!J340</f>
        <v>7.3586609550338868E-4</v>
      </c>
      <c r="J5" s="21">
        <f>Reaggregated!K340</f>
        <v>8.4531579967013818E-4</v>
      </c>
      <c r="K5" s="21">
        <f>Reaggregated!L340</f>
        <v>4.8874904094940827E-4</v>
      </c>
      <c r="L5" s="21">
        <f>Reaggregated!M340</f>
        <v>2.246308112967194E-3</v>
      </c>
      <c r="M5" s="21">
        <f>Reaggregated!N340</f>
        <v>3.6315703877571747E-4</v>
      </c>
      <c r="N5" s="21">
        <f>Reaggregated!O340</f>
        <v>9.4206637629582585E-4</v>
      </c>
      <c r="O5" s="21">
        <f>Reaggregated!P340</f>
        <v>4.0780016138819248E-3</v>
      </c>
      <c r="P5" s="21">
        <f>Reaggregated!Q340</f>
        <v>3.1722183909682511E-2</v>
      </c>
      <c r="Q5" s="21">
        <f>Reaggregated!R340</f>
        <v>4.0991084854251373E-3</v>
      </c>
      <c r="R5" s="21">
        <f>Reaggregated!S340</f>
        <v>3.1642168755755705E-3</v>
      </c>
      <c r="S5" s="21">
        <f>Reaggregated!T340</f>
        <v>1.334735696504369E-3</v>
      </c>
      <c r="T5" s="21">
        <f>Reaggregated!U340</f>
        <v>2.8969258294733659E-4</v>
      </c>
      <c r="U5" s="21">
        <f>Reaggregated!V340</f>
        <v>7.0783882929408611E-4</v>
      </c>
      <c r="V5" s="21">
        <f>Reaggregated!W340</f>
        <v>8.0736789947350818E-4</v>
      </c>
      <c r="W5" s="21">
        <f>Reaggregated!X340</f>
        <v>7.0828332500567882E-4</v>
      </c>
      <c r="X5" s="21">
        <f>Reaggregated!Y340</f>
        <v>8.6416283543388713E-4</v>
      </c>
      <c r="Y5" s="21">
        <f>Reaggregated!Z340</f>
        <v>8.3449579371840045E-4</v>
      </c>
      <c r="Z5" s="21">
        <f>Reaggregated!AA340</f>
        <v>9.6301645165222487E-4</v>
      </c>
      <c r="AA5" s="21">
        <f>Reaggregated!AB340</f>
        <v>1.4256962113873506E-4</v>
      </c>
      <c r="AB5" s="21">
        <f>Reaggregated!AC340</f>
        <v>1.5543737074470388E-3</v>
      </c>
      <c r="AC5" s="21">
        <f>Reaggregated!AD340</f>
        <v>5.9188061371645163E-3</v>
      </c>
      <c r="AD5" s="21">
        <f>Reaggregated!AE340</f>
        <v>3.0792195658156326E-4</v>
      </c>
      <c r="AE5" s="21">
        <f>Reaggregated!AF340</f>
        <v>3.1052315729623582E-4</v>
      </c>
      <c r="AF5" s="21">
        <f>Reaggregated!AG340</f>
        <v>5.3445328096174514E-4</v>
      </c>
      <c r="AG5" s="21">
        <f>Reaggregated!AH340</f>
        <v>1.9940076545721532E-4</v>
      </c>
      <c r="AH5" s="21">
        <f>Reaggregated!AI340</f>
        <v>2.2736800976420329E-4</v>
      </c>
      <c r="AI5" s="21">
        <f>Reaggregated!AJ340</f>
        <v>1.3650994713971417E-4</v>
      </c>
      <c r="AJ5" s="21">
        <f>Reaggregated!AK340</f>
        <v>1.1609810031920102E-4</v>
      </c>
      <c r="AK5" s="21">
        <f>Reaggregated!AL340</f>
        <v>6.2663832978419084E-4</v>
      </c>
      <c r="AL5" s="21">
        <f>Reaggregated!AM340</f>
        <v>2.3360565966906003E-4</v>
      </c>
      <c r="AM5" s="21">
        <f>Reaggregated!AN340</f>
        <v>2.8427568908647794E-4</v>
      </c>
      <c r="AN5" s="21">
        <f>Reaggregated!AO340</f>
        <v>2.6493033045807114E-4</v>
      </c>
      <c r="AO5" s="21">
        <f>Reaggregated!AP340</f>
        <v>2.5506254317404775E-4</v>
      </c>
      <c r="AP5" s="21">
        <f>Reaggregated!AQ340</f>
        <v>3.6471541732086048E-4</v>
      </c>
      <c r="AQ5" s="21">
        <f>Reaggregated!AR340</f>
        <v>0</v>
      </c>
    </row>
    <row r="6" spans="1:43">
      <c r="A6" s="17" t="s">
        <v>6</v>
      </c>
      <c r="B6" s="21">
        <f>Reaggregated!C341</f>
        <v>7.8042851268141181E-7</v>
      </c>
      <c r="C6" s="21">
        <f>Reaggregated!D341</f>
        <v>2.7419821257477144E-7</v>
      </c>
      <c r="D6" s="21">
        <f>Reaggregated!E341</f>
        <v>2.2838132485447924E-7</v>
      </c>
      <c r="E6" s="21">
        <f>Reaggregated!F341</f>
        <v>9.0085784683812841E-7</v>
      </c>
      <c r="F6" s="21">
        <f>Reaggregated!G341</f>
        <v>1.0000002177032776</v>
      </c>
      <c r="G6" s="21">
        <f>Reaggregated!H341</f>
        <v>1.2290079996291127E-6</v>
      </c>
      <c r="H6" s="21">
        <f>Reaggregated!I341</f>
        <v>1.5496732582990608E-6</v>
      </c>
      <c r="I6" s="21">
        <f>Reaggregated!J341</f>
        <v>1.0646849428851797E-6</v>
      </c>
      <c r="J6" s="21">
        <f>Reaggregated!K341</f>
        <v>1.0269382120943235E-6</v>
      </c>
      <c r="K6" s="21">
        <f>Reaggregated!L341</f>
        <v>6.0648596685677547E-7</v>
      </c>
      <c r="L6" s="21">
        <f>Reaggregated!M341</f>
        <v>1.2220506970614589E-6</v>
      </c>
      <c r="M6" s="21">
        <f>Reaggregated!N341</f>
        <v>8.967564067416669E-7</v>
      </c>
      <c r="N6" s="21">
        <f>Reaggregated!O341</f>
        <v>1.2305643207310374E-6</v>
      </c>
      <c r="O6" s="21">
        <f>Reaggregated!P341</f>
        <v>1.0065896058270912E-6</v>
      </c>
      <c r="P6" s="21">
        <f>Reaggregated!Q341</f>
        <v>2.3211863193069707E-7</v>
      </c>
      <c r="Q6" s="21">
        <f>Reaggregated!R341</f>
        <v>9.1071972767334387E-7</v>
      </c>
      <c r="R6" s="21">
        <f>Reaggregated!S341</f>
        <v>6.66829608786545E-7</v>
      </c>
      <c r="S6" s="21">
        <f>Reaggregated!T341</f>
        <v>9.8177638136350212E-7</v>
      </c>
      <c r="T6" s="21">
        <f>Reaggregated!U341</f>
        <v>1.0237719634386043E-6</v>
      </c>
      <c r="U6" s="21">
        <f>Reaggregated!V341</f>
        <v>1.1419647481216992E-6</v>
      </c>
      <c r="V6" s="21">
        <f>Reaggregated!W341</f>
        <v>1.1346283148613505E-6</v>
      </c>
      <c r="W6" s="21">
        <f>Reaggregated!X341</f>
        <v>9.8074407508880049E-7</v>
      </c>
      <c r="X6" s="21">
        <f>Reaggregated!Y341</f>
        <v>1.2207992990378574E-6</v>
      </c>
      <c r="Y6" s="21">
        <f>Reaggregated!Z341</f>
        <v>1.0112334381015367E-6</v>
      </c>
      <c r="Z6" s="21">
        <f>Reaggregated!AA341</f>
        <v>6.2344110037127026E-7</v>
      </c>
      <c r="AA6" s="21">
        <f>Reaggregated!AB341</f>
        <v>3.3673150830981007E-7</v>
      </c>
      <c r="AB6" s="21">
        <f>Reaggregated!AC341</f>
        <v>5.0846869582907387E-7</v>
      </c>
      <c r="AC6" s="21">
        <f>Reaggregated!AD341</f>
        <v>8.2223314081089744E-7</v>
      </c>
      <c r="AD6" s="21">
        <f>Reaggregated!AE341</f>
        <v>4.5026195996180916E-7</v>
      </c>
      <c r="AE6" s="21">
        <f>Reaggregated!AF341</f>
        <v>5.4538386208595067E-7</v>
      </c>
      <c r="AF6" s="21">
        <f>Reaggregated!AG341</f>
        <v>9.2890907289444286E-7</v>
      </c>
      <c r="AG6" s="21">
        <f>Reaggregated!AH341</f>
        <v>3.8830679101564636E-7</v>
      </c>
      <c r="AH6" s="21">
        <f>Reaggregated!AI341</f>
        <v>5.0704370578688388E-7</v>
      </c>
      <c r="AI6" s="21">
        <f>Reaggregated!AJ341</f>
        <v>2.8166314236600665E-7</v>
      </c>
      <c r="AJ6" s="21">
        <f>Reaggregated!AK341</f>
        <v>1.6259208693305626E-7</v>
      </c>
      <c r="AK6" s="21">
        <f>Reaggregated!AL341</f>
        <v>2.1376470773705515E-7</v>
      </c>
      <c r="AL6" s="21">
        <f>Reaggregated!AM341</f>
        <v>3.2188408768619719E-7</v>
      </c>
      <c r="AM6" s="21">
        <f>Reaggregated!AN341</f>
        <v>2.3558057819130808E-7</v>
      </c>
      <c r="AN6" s="21">
        <f>Reaggregated!AO341</f>
        <v>2.7624535241544237E-7</v>
      </c>
      <c r="AO6" s="21">
        <f>Reaggregated!AP341</f>
        <v>5.5779110352354598E-7</v>
      </c>
      <c r="AP6" s="21">
        <f>Reaggregated!AQ341</f>
        <v>5.6851083451140033E-7</v>
      </c>
      <c r="AQ6" s="21">
        <f>Reaggregated!AR341</f>
        <v>0</v>
      </c>
    </row>
    <row r="7" spans="1:43">
      <c r="A7" s="17" t="s">
        <v>7</v>
      </c>
      <c r="B7" s="21">
        <f>Reaggregated!C342</f>
        <v>9.3747248847083325E-2</v>
      </c>
      <c r="C7" s="21">
        <f>Reaggregated!D342</f>
        <v>1.0745569975997786E-2</v>
      </c>
      <c r="D7" s="21">
        <f>Reaggregated!E342</f>
        <v>1.2208001598571008E-2</v>
      </c>
      <c r="E7" s="21">
        <f>Reaggregated!F342</f>
        <v>1.406561741542391E-2</v>
      </c>
      <c r="F7" s="21">
        <f>Reaggregated!G342</f>
        <v>1.2295936956846729E-2</v>
      </c>
      <c r="G7" s="21">
        <f>Reaggregated!H342</f>
        <v>1.2240072966882294</v>
      </c>
      <c r="H7" s="21">
        <f>Reaggregated!I342</f>
        <v>2.1061187767044475E-2</v>
      </c>
      <c r="I7" s="21">
        <f>Reaggregated!J342</f>
        <v>2.5048756898522227E-2</v>
      </c>
      <c r="J7" s="21">
        <f>Reaggregated!K342</f>
        <v>1.5027306715805737E-2</v>
      </c>
      <c r="K7" s="21">
        <f>Reaggregated!L342</f>
        <v>3.1579568865262599E-3</v>
      </c>
      <c r="L7" s="21">
        <f>Reaggregated!M342</f>
        <v>2.0603609628910738E-2</v>
      </c>
      <c r="M7" s="21">
        <f>Reaggregated!N342</f>
        <v>1.8649719301424929E-2</v>
      </c>
      <c r="N7" s="21">
        <f>Reaggregated!O342</f>
        <v>1.5630017677926791E-2</v>
      </c>
      <c r="O7" s="21">
        <f>Reaggregated!P342</f>
        <v>2.3739930156224276E-2</v>
      </c>
      <c r="P7" s="21">
        <f>Reaggregated!Q342</f>
        <v>1.0187103308202956E-2</v>
      </c>
      <c r="Q7" s="21">
        <f>Reaggregated!R342</f>
        <v>9.0626011700738161E-3</v>
      </c>
      <c r="R7" s="21">
        <f>Reaggregated!S342</f>
        <v>9.2312309758619416E-3</v>
      </c>
      <c r="S7" s="21">
        <f>Reaggregated!T342</f>
        <v>1.1775574750277266E-2</v>
      </c>
      <c r="T7" s="21">
        <f>Reaggregated!U342</f>
        <v>7.5289226069412086E-3</v>
      </c>
      <c r="U7" s="21">
        <f>Reaggregated!V342</f>
        <v>1.2381375462051439E-2</v>
      </c>
      <c r="V7" s="21">
        <f>Reaggregated!W342</f>
        <v>1.1845686563693633E-2</v>
      </c>
      <c r="W7" s="21">
        <f>Reaggregated!X342</f>
        <v>1.1045759927380853E-2</v>
      </c>
      <c r="X7" s="21">
        <f>Reaggregated!Y342</f>
        <v>1.2791849222421416E-2</v>
      </c>
      <c r="Y7" s="21">
        <f>Reaggregated!Z342</f>
        <v>1.4463308346119367E-2</v>
      </c>
      <c r="Z7" s="21">
        <f>Reaggregated!AA342</f>
        <v>1.004200175879979E-2</v>
      </c>
      <c r="AA7" s="21">
        <f>Reaggregated!AB342</f>
        <v>9.3154453612172318E-3</v>
      </c>
      <c r="AB7" s="21">
        <f>Reaggregated!AC342</f>
        <v>1.4844477298827995E-2</v>
      </c>
      <c r="AC7" s="21">
        <f>Reaggregated!AD342</f>
        <v>1.2635228005666285E-2</v>
      </c>
      <c r="AD7" s="21">
        <f>Reaggregated!AE342</f>
        <v>2.430093654130875E-2</v>
      </c>
      <c r="AE7" s="21">
        <f>Reaggregated!AF342</f>
        <v>2.0804122381793497E-2</v>
      </c>
      <c r="AF7" s="21">
        <f>Reaggregated!AG342</f>
        <v>0.28537007059137742</v>
      </c>
      <c r="AG7" s="21">
        <f>Reaggregated!AH342</f>
        <v>2.0774977120156638E-2</v>
      </c>
      <c r="AH7" s="21">
        <f>Reaggregated!AI342</f>
        <v>1.7230653668391577E-2</v>
      </c>
      <c r="AI7" s="21">
        <f>Reaggregated!AJ342</f>
        <v>1.9181334949581245E-2</v>
      </c>
      <c r="AJ7" s="21">
        <f>Reaggregated!AK342</f>
        <v>1.723575464056842E-2</v>
      </c>
      <c r="AK7" s="21">
        <f>Reaggregated!AL342</f>
        <v>8.642424881504629E-3</v>
      </c>
      <c r="AL7" s="21">
        <f>Reaggregated!AM342</f>
        <v>2.4143385769256207E-2</v>
      </c>
      <c r="AM7" s="21">
        <f>Reaggregated!AN342</f>
        <v>1.8570649844837101E-2</v>
      </c>
      <c r="AN7" s="21">
        <f>Reaggregated!AO342</f>
        <v>2.7948155146192852E-2</v>
      </c>
      <c r="AO7" s="21">
        <f>Reaggregated!AP342</f>
        <v>3.2396829069098868E-2</v>
      </c>
      <c r="AP7" s="21">
        <f>Reaggregated!AQ342</f>
        <v>3.8863273391413364E-2</v>
      </c>
      <c r="AQ7" s="21">
        <f>Reaggregated!AR342</f>
        <v>0</v>
      </c>
    </row>
    <row r="8" spans="1:43">
      <c r="A8" s="17" t="s">
        <v>8</v>
      </c>
      <c r="B8" s="21">
        <f>Reaggregated!C343</f>
        <v>7.4858280824901978E-3</v>
      </c>
      <c r="C8" s="21">
        <f>Reaggregated!D343</f>
        <v>6.7153824252450135E-3</v>
      </c>
      <c r="D8" s="21">
        <f>Reaggregated!E343</f>
        <v>4.7092093127123315E-3</v>
      </c>
      <c r="E8" s="21">
        <f>Reaggregated!F343</f>
        <v>6.6157058553037058E-3</v>
      </c>
      <c r="F8" s="21">
        <f>Reaggregated!G343</f>
        <v>4.9412594349747922E-3</v>
      </c>
      <c r="G8" s="21">
        <f>Reaggregated!H343</f>
        <v>8.4596740496109789E-3</v>
      </c>
      <c r="H8" s="21">
        <f>Reaggregated!I343</f>
        <v>1.4125096809885778</v>
      </c>
      <c r="I8" s="21">
        <f>Reaggregated!J343</f>
        <v>9.9177250830669358E-3</v>
      </c>
      <c r="J8" s="21">
        <f>Reaggregated!K343</f>
        <v>1.750682181751019E-2</v>
      </c>
      <c r="K8" s="21">
        <f>Reaggregated!L343</f>
        <v>1.123018698107972E-3</v>
      </c>
      <c r="L8" s="21">
        <f>Reaggregated!M343</f>
        <v>9.4784552207286057E-3</v>
      </c>
      <c r="M8" s="21">
        <f>Reaggregated!N343</f>
        <v>6.0137696387687076E-3</v>
      </c>
      <c r="N8" s="21">
        <f>Reaggregated!O343</f>
        <v>1.6925713401040904E-2</v>
      </c>
      <c r="O8" s="21">
        <f>Reaggregated!P343</f>
        <v>1.8508333709377732E-2</v>
      </c>
      <c r="P8" s="21">
        <f>Reaggregated!Q343</f>
        <v>8.7264508262987466E-3</v>
      </c>
      <c r="Q8" s="21">
        <f>Reaggregated!R343</f>
        <v>4.0884551116085821E-3</v>
      </c>
      <c r="R8" s="21">
        <f>Reaggregated!S343</f>
        <v>3.983532340681703E-3</v>
      </c>
      <c r="S8" s="21">
        <f>Reaggregated!T343</f>
        <v>6.0475926142638204E-3</v>
      </c>
      <c r="T8" s="21">
        <f>Reaggregated!U343</f>
        <v>3.9288088372773124E-3</v>
      </c>
      <c r="U8" s="21">
        <f>Reaggregated!V343</f>
        <v>6.5953412375326682E-3</v>
      </c>
      <c r="V8" s="21">
        <f>Reaggregated!W343</f>
        <v>6.6444773625283469E-3</v>
      </c>
      <c r="W8" s="21">
        <f>Reaggregated!X343</f>
        <v>1.496697613814983E-2</v>
      </c>
      <c r="X8" s="21">
        <f>Reaggregated!Y343</f>
        <v>1.0871363968158913E-2</v>
      </c>
      <c r="Y8" s="21">
        <f>Reaggregated!Z343</f>
        <v>4.082644284117929E-2</v>
      </c>
      <c r="Z8" s="21">
        <f>Reaggregated!AA343</f>
        <v>3.2125894860403092E-3</v>
      </c>
      <c r="AA8" s="21">
        <f>Reaggregated!AB343</f>
        <v>2.1805343358091271E-3</v>
      </c>
      <c r="AB8" s="21">
        <f>Reaggregated!AC343</f>
        <v>7.2580427723253609E-3</v>
      </c>
      <c r="AC8" s="21">
        <f>Reaggregated!AD343</f>
        <v>6.8675852166572666E-3</v>
      </c>
      <c r="AD8" s="21">
        <f>Reaggregated!AE343</f>
        <v>9.9170191822146314E-3</v>
      </c>
      <c r="AE8" s="21">
        <f>Reaggregated!AF343</f>
        <v>4.9375420664268576E-3</v>
      </c>
      <c r="AF8" s="21">
        <f>Reaggregated!AG343</f>
        <v>1.2655443084612908E-2</v>
      </c>
      <c r="AG8" s="21">
        <f>Reaggregated!AH343</f>
        <v>5.8340430325858738E-3</v>
      </c>
      <c r="AH8" s="21">
        <f>Reaggregated!AI343</f>
        <v>5.0741924478754979E-3</v>
      </c>
      <c r="AI8" s="21">
        <f>Reaggregated!AJ343</f>
        <v>3.8046416778557256E-3</v>
      </c>
      <c r="AJ8" s="21">
        <f>Reaggregated!AK343</f>
        <v>2.9693601324294913E-3</v>
      </c>
      <c r="AK8" s="21">
        <f>Reaggregated!AL343</f>
        <v>3.1950862187536317E-3</v>
      </c>
      <c r="AL8" s="21">
        <f>Reaggregated!AM343</f>
        <v>6.7957636284128034E-3</v>
      </c>
      <c r="AM8" s="21">
        <f>Reaggregated!AN343</f>
        <v>7.0775465313618665E-3</v>
      </c>
      <c r="AN8" s="21">
        <f>Reaggregated!AO343</f>
        <v>6.1704330087349515E-3</v>
      </c>
      <c r="AO8" s="21">
        <f>Reaggregated!AP343</f>
        <v>1.0581442749498274E-2</v>
      </c>
      <c r="AP8" s="21">
        <f>Reaggregated!AQ343</f>
        <v>2.1618528085897426E-2</v>
      </c>
      <c r="AQ8" s="21">
        <f>Reaggregated!AR343</f>
        <v>0</v>
      </c>
    </row>
    <row r="9" spans="1:43">
      <c r="A9" s="17" t="s">
        <v>9</v>
      </c>
      <c r="B9" s="21">
        <f>Reaggregated!C344</f>
        <v>2.029843726428537E-3</v>
      </c>
      <c r="C9" s="21">
        <f>Reaggregated!D344</f>
        <v>2.2160044860140551E-3</v>
      </c>
      <c r="D9" s="21">
        <f>Reaggregated!E344</f>
        <v>1.0731353394146691E-3</v>
      </c>
      <c r="E9" s="21">
        <f>Reaggregated!F344</f>
        <v>1.9883019347115881E-3</v>
      </c>
      <c r="F9" s="21">
        <f>Reaggregated!G344</f>
        <v>1.1545324606680658E-3</v>
      </c>
      <c r="G9" s="21">
        <f>Reaggregated!H344</f>
        <v>3.1473953806065266E-3</v>
      </c>
      <c r="H9" s="21">
        <f>Reaggregated!I344</f>
        <v>2.4781907240594941E-3</v>
      </c>
      <c r="I9" s="21">
        <f>Reaggregated!J344</f>
        <v>1.1598136297079551</v>
      </c>
      <c r="J9" s="21">
        <f>Reaggregated!K344</f>
        <v>9.971759024644488E-3</v>
      </c>
      <c r="K9" s="21">
        <f>Reaggregated!L344</f>
        <v>2.1674743627728111E-4</v>
      </c>
      <c r="L9" s="21">
        <f>Reaggregated!M344</f>
        <v>2.1486504095082092E-3</v>
      </c>
      <c r="M9" s="21">
        <f>Reaggregated!N344</f>
        <v>1.1146159670813204E-3</v>
      </c>
      <c r="N9" s="21">
        <f>Reaggregated!O344</f>
        <v>2.4403015022294392E-3</v>
      </c>
      <c r="O9" s="21">
        <f>Reaggregated!P344</f>
        <v>9.8317968526207868E-3</v>
      </c>
      <c r="P9" s="21">
        <f>Reaggregated!Q344</f>
        <v>4.5975893822804495E-3</v>
      </c>
      <c r="Q9" s="21">
        <f>Reaggregated!R344</f>
        <v>1.0440398360722987E-3</v>
      </c>
      <c r="R9" s="21">
        <f>Reaggregated!S344</f>
        <v>1.4781244022383628E-3</v>
      </c>
      <c r="S9" s="21">
        <f>Reaggregated!T344</f>
        <v>2.441323121236196E-3</v>
      </c>
      <c r="T9" s="21">
        <f>Reaggregated!U344</f>
        <v>1.0071506457024601E-3</v>
      </c>
      <c r="U9" s="21">
        <f>Reaggregated!V344</f>
        <v>2.1387091771179461E-3</v>
      </c>
      <c r="V9" s="21">
        <f>Reaggregated!W344</f>
        <v>1.9181661440644902E-3</v>
      </c>
      <c r="W9" s="21">
        <f>Reaggregated!X344</f>
        <v>3.0460595506594554E-3</v>
      </c>
      <c r="X9" s="21">
        <f>Reaggregated!Y344</f>
        <v>6.5561538696617466E-3</v>
      </c>
      <c r="Y9" s="21">
        <f>Reaggregated!Z344</f>
        <v>4.2907228011281294E-2</v>
      </c>
      <c r="Z9" s="21">
        <f>Reaggregated!AA344</f>
        <v>1.392228587443072E-3</v>
      </c>
      <c r="AA9" s="21">
        <f>Reaggregated!AB344</f>
        <v>5.4694422601269939E-4</v>
      </c>
      <c r="AB9" s="21">
        <f>Reaggregated!AC344</f>
        <v>1.5175782172018747E-3</v>
      </c>
      <c r="AC9" s="21">
        <f>Reaggregated!AD344</f>
        <v>1.7466386341782623E-2</v>
      </c>
      <c r="AD9" s="21">
        <f>Reaggregated!AE344</f>
        <v>1.9538503381232785E-3</v>
      </c>
      <c r="AE9" s="21">
        <f>Reaggregated!AF344</f>
        <v>1.4142062240522768E-3</v>
      </c>
      <c r="AF9" s="21">
        <f>Reaggregated!AG344</f>
        <v>2.6274257744580915E-3</v>
      </c>
      <c r="AG9" s="21">
        <f>Reaggregated!AH344</f>
        <v>1.7538796949507498E-3</v>
      </c>
      <c r="AH9" s="21">
        <f>Reaggregated!AI344</f>
        <v>1.1698178040235867E-3</v>
      </c>
      <c r="AI9" s="21">
        <f>Reaggregated!AJ344</f>
        <v>8.0888175507160757E-4</v>
      </c>
      <c r="AJ9" s="21">
        <f>Reaggregated!AK344</f>
        <v>6.5717101634556489E-4</v>
      </c>
      <c r="AK9" s="21">
        <f>Reaggregated!AL344</f>
        <v>3.9138935213850956E-3</v>
      </c>
      <c r="AL9" s="21">
        <f>Reaggregated!AM344</f>
        <v>1.4635588746012868E-3</v>
      </c>
      <c r="AM9" s="21">
        <f>Reaggregated!AN344</f>
        <v>8.8310474064517866E-4</v>
      </c>
      <c r="AN9" s="21">
        <f>Reaggregated!AO344</f>
        <v>1.3841334243326149E-3</v>
      </c>
      <c r="AO9" s="21">
        <f>Reaggregated!AP344</f>
        <v>1.4916110175940828E-3</v>
      </c>
      <c r="AP9" s="21">
        <f>Reaggregated!AQ344</f>
        <v>3.399668596844773E-3</v>
      </c>
      <c r="AQ9" s="21">
        <f>Reaggregated!AR344</f>
        <v>0</v>
      </c>
    </row>
    <row r="10" spans="1:43">
      <c r="A10" s="17" t="s">
        <v>10</v>
      </c>
      <c r="B10" s="21">
        <f>Reaggregated!C345</f>
        <v>8.7684001008786587E-3</v>
      </c>
      <c r="C10" s="21">
        <f>Reaggregated!D345</f>
        <v>5.3529682097433716E-3</v>
      </c>
      <c r="D10" s="21">
        <f>Reaggregated!E345</f>
        <v>6.0521902473435803E-3</v>
      </c>
      <c r="E10" s="21">
        <f>Reaggregated!F345</f>
        <v>6.9368463927186033E-3</v>
      </c>
      <c r="F10" s="21">
        <f>Reaggregated!G345</f>
        <v>5.9601313703575376E-3</v>
      </c>
      <c r="G10" s="21">
        <f>Reaggregated!H345</f>
        <v>4.023349452456175E-2</v>
      </c>
      <c r="H10" s="21">
        <f>Reaggregated!I345</f>
        <v>1.7688240987167529E-2</v>
      </c>
      <c r="I10" s="21">
        <f>Reaggregated!J345</f>
        <v>2.1299104102125835E-2</v>
      </c>
      <c r="J10" s="21">
        <f>Reaggregated!K345</f>
        <v>1.3061511272106836</v>
      </c>
      <c r="K10" s="21">
        <f>Reaggregated!L345</f>
        <v>1.5723153876905044E-3</v>
      </c>
      <c r="L10" s="21">
        <f>Reaggregated!M345</f>
        <v>1.2637132587998234E-2</v>
      </c>
      <c r="M10" s="21">
        <f>Reaggregated!N345</f>
        <v>1.8420651681028917E-2</v>
      </c>
      <c r="N10" s="21">
        <f>Reaggregated!O345</f>
        <v>1.514403432437263E-2</v>
      </c>
      <c r="O10" s="21">
        <f>Reaggregated!P345</f>
        <v>3.0613174600418257E-2</v>
      </c>
      <c r="P10" s="21">
        <f>Reaggregated!Q345</f>
        <v>1.8816249689525336E-2</v>
      </c>
      <c r="Q10" s="21">
        <f>Reaggregated!R345</f>
        <v>5.2930794250092552E-3</v>
      </c>
      <c r="R10" s="21">
        <f>Reaggregated!S345</f>
        <v>6.7090517098125167E-3</v>
      </c>
      <c r="S10" s="21">
        <f>Reaggregated!T345</f>
        <v>9.6207139296260805E-3</v>
      </c>
      <c r="T10" s="21">
        <f>Reaggregated!U345</f>
        <v>7.6065791297676537E-3</v>
      </c>
      <c r="U10" s="21">
        <f>Reaggregated!V345</f>
        <v>1.1861566391683859E-2</v>
      </c>
      <c r="V10" s="21">
        <f>Reaggregated!W345</f>
        <v>1.0071850671707173E-2</v>
      </c>
      <c r="W10" s="21">
        <f>Reaggregated!X345</f>
        <v>1.0259148873208085E-2</v>
      </c>
      <c r="X10" s="21">
        <f>Reaggregated!Y345</f>
        <v>9.8611546247911585E-3</v>
      </c>
      <c r="Y10" s="21">
        <f>Reaggregated!Z345</f>
        <v>2.3059974921926733E-2</v>
      </c>
      <c r="Z10" s="21">
        <f>Reaggregated!AA345</f>
        <v>5.3370927993060761E-3</v>
      </c>
      <c r="AA10" s="21">
        <f>Reaggregated!AB345</f>
        <v>3.3634625605892801E-3</v>
      </c>
      <c r="AB10" s="21">
        <f>Reaggregated!AC345</f>
        <v>8.6570425232218862E-3</v>
      </c>
      <c r="AC10" s="21">
        <f>Reaggregated!AD345</f>
        <v>8.3619361306315493E-3</v>
      </c>
      <c r="AD10" s="21">
        <f>Reaggregated!AE345</f>
        <v>1.7173124754391943E-2</v>
      </c>
      <c r="AE10" s="21">
        <f>Reaggregated!AF345</f>
        <v>9.2259962699967699E-3</v>
      </c>
      <c r="AF10" s="21">
        <f>Reaggregated!AG345</f>
        <v>2.1278433613413746E-2</v>
      </c>
      <c r="AG10" s="21">
        <f>Reaggregated!AH345</f>
        <v>9.2972292740535437E-2</v>
      </c>
      <c r="AH10" s="21">
        <f>Reaggregated!AI345</f>
        <v>1.8034943543716542E-2</v>
      </c>
      <c r="AI10" s="21">
        <f>Reaggregated!AJ345</f>
        <v>1.8789668084530229E-2</v>
      </c>
      <c r="AJ10" s="21">
        <f>Reaggregated!AK345</f>
        <v>1.4145868155023536E-2</v>
      </c>
      <c r="AK10" s="21">
        <f>Reaggregated!AL345</f>
        <v>5.7044355926409839E-3</v>
      </c>
      <c r="AL10" s="21">
        <f>Reaggregated!AM345</f>
        <v>1.881044668706975E-2</v>
      </c>
      <c r="AM10" s="21">
        <f>Reaggregated!AN345</f>
        <v>1.2329521068783067E-2</v>
      </c>
      <c r="AN10" s="21">
        <f>Reaggregated!AO345</f>
        <v>2.3857862851345012E-2</v>
      </c>
      <c r="AO10" s="21">
        <f>Reaggregated!AP345</f>
        <v>1.3077440365599933E-2</v>
      </c>
      <c r="AP10" s="21">
        <f>Reaggregated!AQ345</f>
        <v>2.1509025278929804E-2</v>
      </c>
      <c r="AQ10" s="21">
        <f>Reaggregated!AR345</f>
        <v>0</v>
      </c>
    </row>
    <row r="11" spans="1:43">
      <c r="A11" s="17" t="s">
        <v>11</v>
      </c>
      <c r="B11" s="21">
        <f>Reaggregated!C346</f>
        <v>8.1556436494212139E-2</v>
      </c>
      <c r="C11" s="21">
        <f>Reaggregated!D346</f>
        <v>6.8308068506823763E-2</v>
      </c>
      <c r="D11" s="21">
        <f>Reaggregated!E346</f>
        <v>4.5239102971687678E-2</v>
      </c>
      <c r="E11" s="21">
        <f>Reaggregated!F346</f>
        <v>9.6384498114248582E-2</v>
      </c>
      <c r="F11" s="21">
        <f>Reaggregated!G346</f>
        <v>5.70783321825451E-2</v>
      </c>
      <c r="G11" s="21">
        <f>Reaggregated!H346</f>
        <v>6.2154236135468499E-2</v>
      </c>
      <c r="H11" s="21">
        <f>Reaggregated!I346</f>
        <v>5.4022944615444657E-2</v>
      </c>
      <c r="I11" s="21">
        <f>Reaggregated!J346</f>
        <v>6.8683914642580127E-2</v>
      </c>
      <c r="J11" s="21">
        <f>Reaggregated!K346</f>
        <v>5.6422841069990327E-2</v>
      </c>
      <c r="K11" s="21">
        <f>Reaggregated!L346</f>
        <v>1.0904750994136028</v>
      </c>
      <c r="L11" s="21">
        <f>Reaggregated!M346</f>
        <v>0.1529512454957293</v>
      </c>
      <c r="M11" s="21">
        <f>Reaggregated!N346</f>
        <v>3.7312024894014181E-2</v>
      </c>
      <c r="N11" s="21">
        <f>Reaggregated!O346</f>
        <v>8.4244360070046403E-2</v>
      </c>
      <c r="O11" s="21">
        <f>Reaggregated!P346</f>
        <v>0.16043118245988799</v>
      </c>
      <c r="P11" s="21">
        <f>Reaggregated!Q346</f>
        <v>6.1478338175745932E-2</v>
      </c>
      <c r="Q11" s="21">
        <f>Reaggregated!R346</f>
        <v>6.2622193322227807E-2</v>
      </c>
      <c r="R11" s="21">
        <f>Reaggregated!S346</f>
        <v>4.0649367147044486E-2</v>
      </c>
      <c r="S11" s="21">
        <f>Reaggregated!T346</f>
        <v>3.7806071411295501E-2</v>
      </c>
      <c r="T11" s="21">
        <f>Reaggregated!U346</f>
        <v>1.6959566521865491E-2</v>
      </c>
      <c r="U11" s="21">
        <f>Reaggregated!V346</f>
        <v>3.5678259580810154E-2</v>
      </c>
      <c r="V11" s="21">
        <f>Reaggregated!W346</f>
        <v>3.0874663443810641E-2</v>
      </c>
      <c r="W11" s="21">
        <f>Reaggregated!X346</f>
        <v>3.9674237963646941E-2</v>
      </c>
      <c r="X11" s="21">
        <f>Reaggregated!Y346</f>
        <v>3.7069614208249391E-2</v>
      </c>
      <c r="Y11" s="21">
        <f>Reaggregated!Z346</f>
        <v>4.6147560686866769E-2</v>
      </c>
      <c r="Z11" s="21">
        <f>Reaggregated!AA346</f>
        <v>8.016725191766752E-2</v>
      </c>
      <c r="AA11" s="21">
        <f>Reaggregated!AB346</f>
        <v>9.165355046135705E-2</v>
      </c>
      <c r="AB11" s="21">
        <f>Reaggregated!AC346</f>
        <v>5.5868588556120237E-2</v>
      </c>
      <c r="AC11" s="21">
        <f>Reaggregated!AD346</f>
        <v>4.0853514297355821E-2</v>
      </c>
      <c r="AD11" s="21">
        <f>Reaggregated!AE346</f>
        <v>4.0084406600516438E-2</v>
      </c>
      <c r="AE11" s="21">
        <f>Reaggregated!AF346</f>
        <v>0.14019103280023001</v>
      </c>
      <c r="AF11" s="21">
        <f>Reaggregated!AG346</f>
        <v>4.3128338429311998E-2</v>
      </c>
      <c r="AG11" s="21">
        <f>Reaggregated!AH346</f>
        <v>2.1749295942469351E-2</v>
      </c>
      <c r="AH11" s="21">
        <f>Reaggregated!AI346</f>
        <v>2.3370239863586089E-2</v>
      </c>
      <c r="AI11" s="21">
        <f>Reaggregated!AJ346</f>
        <v>1.6156127696997657E-2</v>
      </c>
      <c r="AJ11" s="21">
        <f>Reaggregated!AK346</f>
        <v>1.4727424385448624E-2</v>
      </c>
      <c r="AK11" s="21">
        <f>Reaggregated!AL346</f>
        <v>1.3700620871908984E-2</v>
      </c>
      <c r="AL11" s="21">
        <f>Reaggregated!AM346</f>
        <v>2.476796162773624E-2</v>
      </c>
      <c r="AM11" s="21">
        <f>Reaggregated!AN346</f>
        <v>2.2697037447266172E-2</v>
      </c>
      <c r="AN11" s="21">
        <f>Reaggregated!AO346</f>
        <v>2.0764234682708028E-2</v>
      </c>
      <c r="AO11" s="21">
        <f>Reaggregated!AP346</f>
        <v>2.3924576802911542E-2</v>
      </c>
      <c r="AP11" s="21">
        <f>Reaggregated!AQ346</f>
        <v>3.7666236220864742E-2</v>
      </c>
      <c r="AQ11" s="21">
        <f>Reaggregated!AR346</f>
        <v>0</v>
      </c>
    </row>
    <row r="12" spans="1:43">
      <c r="A12" s="17" t="s">
        <v>58</v>
      </c>
      <c r="B12" s="21">
        <f>Reaggregated!C347</f>
        <v>0.12424842518729694</v>
      </c>
      <c r="C12" s="21">
        <f>Reaggregated!D347</f>
        <v>5.0690455109059292E-2</v>
      </c>
      <c r="D12" s="21">
        <f>Reaggregated!E347</f>
        <v>3.1524523784588053E-2</v>
      </c>
      <c r="E12" s="21">
        <f>Reaggregated!F347</f>
        <v>7.5999755565206481E-2</v>
      </c>
      <c r="F12" s="21">
        <f>Reaggregated!G347</f>
        <v>3.6045117675168388E-2</v>
      </c>
      <c r="G12" s="21">
        <f>Reaggregated!H347</f>
        <v>9.8385026974794287E-2</v>
      </c>
      <c r="H12" s="21">
        <f>Reaggregated!I347</f>
        <v>0.18261804707372215</v>
      </c>
      <c r="I12" s="21">
        <f>Reaggregated!J347</f>
        <v>0.13304351109682361</v>
      </c>
      <c r="J12" s="21">
        <f>Reaggregated!K347</f>
        <v>0.14949883721230678</v>
      </c>
      <c r="K12" s="21">
        <f>Reaggregated!L347</f>
        <v>2.9760602863592042E-2</v>
      </c>
      <c r="L12" s="21">
        <f>Reaggregated!M347</f>
        <v>1.4186741734042299</v>
      </c>
      <c r="M12" s="21">
        <f>Reaggregated!N347</f>
        <v>0.13361244802683978</v>
      </c>
      <c r="N12" s="21">
        <f>Reaggregated!O347</f>
        <v>0.39592000022978152</v>
      </c>
      <c r="O12" s="21">
        <f>Reaggregated!P347</f>
        <v>0.64317497469030971</v>
      </c>
      <c r="P12" s="21">
        <f>Reaggregated!Q347</f>
        <v>2.6742670649734925E-2</v>
      </c>
      <c r="Q12" s="21">
        <f>Reaggregated!R347</f>
        <v>3.8726212048267455E-2</v>
      </c>
      <c r="R12" s="21">
        <f>Reaggregated!S347</f>
        <v>4.9412878758572719E-2</v>
      </c>
      <c r="S12" s="21">
        <f>Reaggregated!T347</f>
        <v>5.4680308106864521E-2</v>
      </c>
      <c r="T12" s="21">
        <f>Reaggregated!U347</f>
        <v>3.947762936019554E-2</v>
      </c>
      <c r="U12" s="21">
        <f>Reaggregated!V347</f>
        <v>7.2645962816143883E-2</v>
      </c>
      <c r="V12" s="21">
        <f>Reaggregated!W347</f>
        <v>5.0448093202745001E-2</v>
      </c>
      <c r="W12" s="21">
        <f>Reaggregated!X347</f>
        <v>8.1896199173453435E-2</v>
      </c>
      <c r="X12" s="21">
        <f>Reaggregated!Y347</f>
        <v>7.5021186670584106E-2</v>
      </c>
      <c r="Y12" s="21">
        <f>Reaggregated!Z347</f>
        <v>0.11985929442418415</v>
      </c>
      <c r="Z12" s="21">
        <f>Reaggregated!AA347</f>
        <v>2.0257657307488838E-2</v>
      </c>
      <c r="AA12" s="21">
        <f>Reaggregated!AB347</f>
        <v>1.6402341100728426E-2</v>
      </c>
      <c r="AB12" s="21">
        <f>Reaggregated!AC347</f>
        <v>5.6728671146171167E-2</v>
      </c>
      <c r="AC12" s="21">
        <f>Reaggregated!AD347</f>
        <v>5.1836595131710295E-2</v>
      </c>
      <c r="AD12" s="21">
        <f>Reaggregated!AE347</f>
        <v>2.8590577870953322E-2</v>
      </c>
      <c r="AE12" s="21">
        <f>Reaggregated!AF347</f>
        <v>2.8001751383955508E-2</v>
      </c>
      <c r="AF12" s="21">
        <f>Reaggregated!AG347</f>
        <v>5.0854901627044466E-2</v>
      </c>
      <c r="AG12" s="21">
        <f>Reaggregated!AH347</f>
        <v>3.3577964418807664E-2</v>
      </c>
      <c r="AH12" s="21">
        <f>Reaggregated!AI347</f>
        <v>1.8503813810613889E-2</v>
      </c>
      <c r="AI12" s="21">
        <f>Reaggregated!AJ347</f>
        <v>1.5759951612369139E-2</v>
      </c>
      <c r="AJ12" s="21">
        <f>Reaggregated!AK347</f>
        <v>1.0231107842866963E-2</v>
      </c>
      <c r="AK12" s="21">
        <f>Reaggregated!AL347</f>
        <v>2.2661024903478651E-2</v>
      </c>
      <c r="AL12" s="21">
        <f>Reaggregated!AM347</f>
        <v>2.5427650173921172E-2</v>
      </c>
      <c r="AM12" s="21">
        <f>Reaggregated!AN347</f>
        <v>1.4263853010911981E-2</v>
      </c>
      <c r="AN12" s="21">
        <f>Reaggregated!AO347</f>
        <v>2.1522483624402743E-2</v>
      </c>
      <c r="AO12" s="21">
        <f>Reaggregated!AP347</f>
        <v>4.1497439117153458E-2</v>
      </c>
      <c r="AP12" s="21">
        <f>Reaggregated!AQ347</f>
        <v>4.7633057480403883E-2</v>
      </c>
      <c r="AQ12" s="21">
        <f>Reaggregated!AR347</f>
        <v>0</v>
      </c>
    </row>
    <row r="13" spans="1:43">
      <c r="A13" s="17" t="s">
        <v>59</v>
      </c>
      <c r="B13" s="21">
        <f>Reaggregated!C348</f>
        <v>7.2965873557494388E-3</v>
      </c>
      <c r="C13" s="21">
        <f>Reaggregated!D348</f>
        <v>1.9650832120768386E-3</v>
      </c>
      <c r="D13" s="21">
        <f>Reaggregated!E348</f>
        <v>1.6853316597731456E-3</v>
      </c>
      <c r="E13" s="21">
        <f>Reaggregated!F348</f>
        <v>1.815267153276462E-3</v>
      </c>
      <c r="F13" s="21">
        <f>Reaggregated!G348</f>
        <v>1.1683278398582663E-3</v>
      </c>
      <c r="G13" s="21">
        <f>Reaggregated!H348</f>
        <v>6.3066064313617946E-3</v>
      </c>
      <c r="H13" s="21">
        <f>Reaggregated!I348</f>
        <v>2.4284205362326708E-3</v>
      </c>
      <c r="I13" s="21">
        <f>Reaggregated!J348</f>
        <v>2.2443367044267808E-3</v>
      </c>
      <c r="J13" s="21">
        <f>Reaggregated!K348</f>
        <v>1.4299971454942303E-3</v>
      </c>
      <c r="K13" s="21">
        <f>Reaggregated!L348</f>
        <v>3.012829043692758E-4</v>
      </c>
      <c r="L13" s="21">
        <f>Reaggregated!M348</f>
        <v>5.0189239582747614E-3</v>
      </c>
      <c r="M13" s="21">
        <f>Reaggregated!N348</f>
        <v>1.1744709989405511</v>
      </c>
      <c r="N13" s="21">
        <f>Reaggregated!O348</f>
        <v>2.2958525891061785E-3</v>
      </c>
      <c r="O13" s="21">
        <f>Reaggregated!P348</f>
        <v>3.410492725066167E-3</v>
      </c>
      <c r="P13" s="21">
        <f>Reaggregated!Q348</f>
        <v>5.0294316844936432E-4</v>
      </c>
      <c r="Q13" s="21">
        <f>Reaggregated!R348</f>
        <v>9.1551935752940002E-4</v>
      </c>
      <c r="R13" s="21">
        <f>Reaggregated!S348</f>
        <v>9.5473484317721365E-4</v>
      </c>
      <c r="S13" s="21">
        <f>Reaggregated!T348</f>
        <v>9.7487385160877516E-4</v>
      </c>
      <c r="T13" s="21">
        <f>Reaggregated!U348</f>
        <v>7.2569043509508754E-4</v>
      </c>
      <c r="U13" s="21">
        <f>Reaggregated!V348</f>
        <v>1.0039784032685876E-3</v>
      </c>
      <c r="V13" s="21">
        <f>Reaggregated!W348</f>
        <v>1.3744896230673727E-3</v>
      </c>
      <c r="W13" s="21">
        <f>Reaggregated!X348</f>
        <v>1.1369994164882476E-3</v>
      </c>
      <c r="X13" s="21">
        <f>Reaggregated!Y348</f>
        <v>1.199265971814996E-3</v>
      </c>
      <c r="Y13" s="21">
        <f>Reaggregated!Z348</f>
        <v>3.1249193960290311E-3</v>
      </c>
      <c r="Z13" s="21">
        <f>Reaggregated!AA348</f>
        <v>8.6171094938084739E-4</v>
      </c>
      <c r="AA13" s="21">
        <f>Reaggregated!AB348</f>
        <v>5.3752759884751942E-4</v>
      </c>
      <c r="AB13" s="21">
        <f>Reaggregated!AC348</f>
        <v>2.7024376414307946E-3</v>
      </c>
      <c r="AC13" s="21">
        <f>Reaggregated!AD348</f>
        <v>1.0230617719373793E-3</v>
      </c>
      <c r="AD13" s="21">
        <f>Reaggregated!AE348</f>
        <v>1.7225471025036263E-3</v>
      </c>
      <c r="AE13" s="21">
        <f>Reaggregated!AF348</f>
        <v>1.218328803110721E-3</v>
      </c>
      <c r="AF13" s="21">
        <f>Reaggregated!AG348</f>
        <v>3.3969083457937228E-3</v>
      </c>
      <c r="AG13" s="21">
        <f>Reaggregated!AH348</f>
        <v>1.3976520995122451E-3</v>
      </c>
      <c r="AH13" s="21">
        <f>Reaggregated!AI348</f>
        <v>1.5923965932503588E-3</v>
      </c>
      <c r="AI13" s="21">
        <f>Reaggregated!AJ348</f>
        <v>2.5772574074400209E-3</v>
      </c>
      <c r="AJ13" s="21">
        <f>Reaggregated!AK348</f>
        <v>1.020592266068905E-3</v>
      </c>
      <c r="AK13" s="21">
        <f>Reaggregated!AL348</f>
        <v>7.0746604578151174E-4</v>
      </c>
      <c r="AL13" s="21">
        <f>Reaggregated!AM348</f>
        <v>3.6325459200382943E-3</v>
      </c>
      <c r="AM13" s="21">
        <f>Reaggregated!AN348</f>
        <v>3.8512129813496952E-3</v>
      </c>
      <c r="AN13" s="21">
        <f>Reaggregated!AO348</f>
        <v>2.5261726093166498E-3</v>
      </c>
      <c r="AO13" s="21">
        <f>Reaggregated!AP348</f>
        <v>9.2726885567717243E-2</v>
      </c>
      <c r="AP13" s="21">
        <f>Reaggregated!AQ348</f>
        <v>3.6110486695138323E-3</v>
      </c>
      <c r="AQ13" s="21">
        <f>Reaggregated!AR348</f>
        <v>0</v>
      </c>
    </row>
    <row r="14" spans="1:43">
      <c r="A14" s="17" t="s">
        <v>12</v>
      </c>
      <c r="B14" s="21">
        <f>Reaggregated!C349</f>
        <v>2.1907578187492362E-2</v>
      </c>
      <c r="C14" s="21">
        <f>Reaggregated!D349</f>
        <v>2.1431922486993233E-2</v>
      </c>
      <c r="D14" s="21">
        <f>Reaggregated!E349</f>
        <v>1.4636632546525329E-2</v>
      </c>
      <c r="E14" s="21">
        <f>Reaggregated!F349</f>
        <v>2.0864693808603174E-2</v>
      </c>
      <c r="F14" s="21">
        <f>Reaggregated!G349</f>
        <v>1.2366579824245922E-2</v>
      </c>
      <c r="G14" s="21">
        <f>Reaggregated!H349</f>
        <v>6.7337847140824691E-2</v>
      </c>
      <c r="H14" s="21">
        <f>Reaggregated!I349</f>
        <v>4.2200648155896629E-2</v>
      </c>
      <c r="I14" s="21">
        <f>Reaggregated!J349</f>
        <v>3.848174909507001E-2</v>
      </c>
      <c r="J14" s="21">
        <f>Reaggregated!K349</f>
        <v>4.9659456939482212E-2</v>
      </c>
      <c r="K14" s="21">
        <f>Reaggregated!L349</f>
        <v>3.3889720536085079E-3</v>
      </c>
      <c r="L14" s="21">
        <f>Reaggregated!M349</f>
        <v>3.6386585180816187E-2</v>
      </c>
      <c r="M14" s="21">
        <f>Reaggregated!N349</f>
        <v>3.5422653263081708E-2</v>
      </c>
      <c r="N14" s="21">
        <f>Reaggregated!O349</f>
        <v>1.1622027259587957</v>
      </c>
      <c r="O14" s="21">
        <f>Reaggregated!P349</f>
        <v>0.12581109777598729</v>
      </c>
      <c r="P14" s="21">
        <f>Reaggregated!Q349</f>
        <v>1.8326579117991706E-2</v>
      </c>
      <c r="Q14" s="21">
        <f>Reaggregated!R349</f>
        <v>1.1738321740037727E-2</v>
      </c>
      <c r="R14" s="21">
        <f>Reaggregated!S349</f>
        <v>1.6375365481257384E-2</v>
      </c>
      <c r="S14" s="21">
        <f>Reaggregated!T349</f>
        <v>2.9849842643618604E-2</v>
      </c>
      <c r="T14" s="21">
        <f>Reaggregated!U349</f>
        <v>2.7405714282635749E-2</v>
      </c>
      <c r="U14" s="21">
        <f>Reaggregated!V349</f>
        <v>5.7797461139318523E-2</v>
      </c>
      <c r="V14" s="21">
        <f>Reaggregated!W349</f>
        <v>4.3910405046250614E-2</v>
      </c>
      <c r="W14" s="21">
        <f>Reaggregated!X349</f>
        <v>8.8695338745613375E-2</v>
      </c>
      <c r="X14" s="21">
        <f>Reaggregated!Y349</f>
        <v>4.0962036999482629E-2</v>
      </c>
      <c r="Y14" s="21">
        <f>Reaggregated!Z349</f>
        <v>6.5547801271368222E-2</v>
      </c>
      <c r="Z14" s="21">
        <f>Reaggregated!AA349</f>
        <v>7.8398151813257547E-3</v>
      </c>
      <c r="AA14" s="21">
        <f>Reaggregated!AB349</f>
        <v>1.1320292465831596E-2</v>
      </c>
      <c r="AB14" s="21">
        <f>Reaggregated!AC349</f>
        <v>2.343698003309443E-2</v>
      </c>
      <c r="AC14" s="21">
        <f>Reaggregated!AD349</f>
        <v>4.4453820441422681E-2</v>
      </c>
      <c r="AD14" s="21">
        <f>Reaggregated!AE349</f>
        <v>2.64453712637608E-2</v>
      </c>
      <c r="AE14" s="21">
        <f>Reaggregated!AF349</f>
        <v>1.1659022298989326E-2</v>
      </c>
      <c r="AF14" s="21">
        <f>Reaggregated!AG349</f>
        <v>2.8123988976159441E-2</v>
      </c>
      <c r="AG14" s="21">
        <f>Reaggregated!AH349</f>
        <v>1.2965428248885554E-2</v>
      </c>
      <c r="AH14" s="21">
        <f>Reaggregated!AI349</f>
        <v>1.1557298678627445E-2</v>
      </c>
      <c r="AI14" s="21">
        <f>Reaggregated!AJ349</f>
        <v>7.6027394354785324E-3</v>
      </c>
      <c r="AJ14" s="21">
        <f>Reaggregated!AK349</f>
        <v>5.4510916333585938E-3</v>
      </c>
      <c r="AK14" s="21">
        <f>Reaggregated!AL349</f>
        <v>1.2130097873594963E-2</v>
      </c>
      <c r="AL14" s="21">
        <f>Reaggregated!AM349</f>
        <v>1.1783170284326214E-2</v>
      </c>
      <c r="AM14" s="21">
        <f>Reaggregated!AN349</f>
        <v>6.813689640561906E-3</v>
      </c>
      <c r="AN14" s="21">
        <f>Reaggregated!AO349</f>
        <v>9.637009573379051E-3</v>
      </c>
      <c r="AO14" s="21">
        <f>Reaggregated!AP349</f>
        <v>1.3708730294723397E-2</v>
      </c>
      <c r="AP14" s="21">
        <f>Reaggregated!AQ349</f>
        <v>1.9548300071673436E-2</v>
      </c>
      <c r="AQ14" s="21">
        <f>Reaggregated!AR349</f>
        <v>0</v>
      </c>
    </row>
    <row r="15" spans="1:43">
      <c r="A15" s="17" t="s">
        <v>132</v>
      </c>
      <c r="B15" s="21">
        <f>Reaggregated!C350</f>
        <v>3.086621666083653E-3</v>
      </c>
      <c r="C15" s="21">
        <f>Reaggregated!D350</f>
        <v>1.1501140386929183E-3</v>
      </c>
      <c r="D15" s="21">
        <f>Reaggregated!E350</f>
        <v>6.8267965540727029E-4</v>
      </c>
      <c r="E15" s="21">
        <f>Reaggregated!F350</f>
        <v>6.6146158212794879E-3</v>
      </c>
      <c r="F15" s="21">
        <f>Reaggregated!G350</f>
        <v>6.9843978697551993E-4</v>
      </c>
      <c r="G15" s="21">
        <f>Reaggregated!H350</f>
        <v>9.3522042723349873E-3</v>
      </c>
      <c r="H15" s="21">
        <f>Reaggregated!I350</f>
        <v>2.3955570039925727E-3</v>
      </c>
      <c r="I15" s="21">
        <f>Reaggregated!J350</f>
        <v>3.1564828248879023E-3</v>
      </c>
      <c r="J15" s="21">
        <f>Reaggregated!K350</f>
        <v>1.186300166297943E-3</v>
      </c>
      <c r="K15" s="21">
        <f>Reaggregated!L350</f>
        <v>2.6120970844780063E-4</v>
      </c>
      <c r="L15" s="21">
        <f>Reaggregated!M350</f>
        <v>4.0029079202854633E-3</v>
      </c>
      <c r="M15" s="21">
        <f>Reaggregated!N350</f>
        <v>9.4908545693435376E-4</v>
      </c>
      <c r="N15" s="21">
        <f>Reaggregated!O350</f>
        <v>6.8394579361447843E-3</v>
      </c>
      <c r="O15" s="21">
        <f>Reaggregated!P350</f>
        <v>1.1712216307201762</v>
      </c>
      <c r="P15" s="21">
        <f>Reaggregated!Q350</f>
        <v>9.7482853843596363E-4</v>
      </c>
      <c r="Q15" s="21">
        <f>Reaggregated!R350</f>
        <v>7.493361798046271E-4</v>
      </c>
      <c r="R15" s="21">
        <f>Reaggregated!S350</f>
        <v>8.7936901367557572E-4</v>
      </c>
      <c r="S15" s="21">
        <f>Reaggregated!T350</f>
        <v>1.9842918792043647E-3</v>
      </c>
      <c r="T15" s="21">
        <f>Reaggregated!U350</f>
        <v>4.65079420729325E-3</v>
      </c>
      <c r="U15" s="21">
        <f>Reaggregated!V350</f>
        <v>5.1226550905685859E-3</v>
      </c>
      <c r="V15" s="21">
        <f>Reaggregated!W350</f>
        <v>2.4967196386306957E-3</v>
      </c>
      <c r="W15" s="21">
        <f>Reaggregated!X350</f>
        <v>7.6506030184474126E-3</v>
      </c>
      <c r="X15" s="21">
        <f>Reaggregated!Y350</f>
        <v>4.2894662249592245E-3</v>
      </c>
      <c r="Y15" s="21">
        <f>Reaggregated!Z350</f>
        <v>6.2495228157673196E-3</v>
      </c>
      <c r="Z15" s="21">
        <f>Reaggregated!AA350</f>
        <v>6.6832480926451096E-4</v>
      </c>
      <c r="AA15" s="21">
        <f>Reaggregated!AB350</f>
        <v>4.5085963857534274E-4</v>
      </c>
      <c r="AB15" s="21">
        <f>Reaggregated!AC350</f>
        <v>2.9085147061609111E-3</v>
      </c>
      <c r="AC15" s="21">
        <f>Reaggregated!AD350</f>
        <v>3.6354858284193799E-3</v>
      </c>
      <c r="AD15" s="21">
        <f>Reaggregated!AE350</f>
        <v>1.9680716215246538E-3</v>
      </c>
      <c r="AE15" s="21">
        <f>Reaggregated!AF350</f>
        <v>1.5254404509938541E-3</v>
      </c>
      <c r="AF15" s="21">
        <f>Reaggregated!AG350</f>
        <v>3.9182045556079492E-3</v>
      </c>
      <c r="AG15" s="21">
        <f>Reaggregated!AH350</f>
        <v>7.7223958335153296E-4</v>
      </c>
      <c r="AH15" s="21">
        <f>Reaggregated!AI350</f>
        <v>1.5071757034678614E-3</v>
      </c>
      <c r="AI15" s="21">
        <f>Reaggregated!AJ350</f>
        <v>8.9799034000244773E-4</v>
      </c>
      <c r="AJ15" s="21">
        <f>Reaggregated!AK350</f>
        <v>7.8595716578767048E-4</v>
      </c>
      <c r="AK15" s="21">
        <f>Reaggregated!AL350</f>
        <v>8.6427159852376523E-3</v>
      </c>
      <c r="AL15" s="21">
        <f>Reaggregated!AM350</f>
        <v>1.1932256320355459E-3</v>
      </c>
      <c r="AM15" s="21">
        <f>Reaggregated!AN350</f>
        <v>6.1021847962635116E-4</v>
      </c>
      <c r="AN15" s="21">
        <f>Reaggregated!AO350</f>
        <v>2.2095486528586794E-3</v>
      </c>
      <c r="AO15" s="21">
        <f>Reaggregated!AP350</f>
        <v>1.6000291483970646E-3</v>
      </c>
      <c r="AP15" s="21">
        <f>Reaggregated!AQ350</f>
        <v>2.4434775178479272E-3</v>
      </c>
      <c r="AQ15" s="21">
        <f>Reaggregated!AR350</f>
        <v>0</v>
      </c>
    </row>
    <row r="16" spans="1:43">
      <c r="A16" s="17" t="s">
        <v>133</v>
      </c>
      <c r="B16" s="21">
        <f>Reaggregated!C351</f>
        <v>1.388554000787168E-3</v>
      </c>
      <c r="C16" s="21">
        <f>Reaggregated!D351</f>
        <v>1.1667645978365694E-3</v>
      </c>
      <c r="D16" s="21">
        <f>Reaggregated!E351</f>
        <v>1.5966570111037881E-3</v>
      </c>
      <c r="E16" s="21">
        <f>Reaggregated!F351</f>
        <v>1.2904617945431619E-3</v>
      </c>
      <c r="F16" s="21">
        <f>Reaggregated!G351</f>
        <v>1.0198879861646074E-3</v>
      </c>
      <c r="G16" s="21">
        <f>Reaggregated!H351</f>
        <v>2.810206322187214E-3</v>
      </c>
      <c r="H16" s="21">
        <f>Reaggregated!I351</f>
        <v>2.9901798320793324E-3</v>
      </c>
      <c r="I16" s="21">
        <f>Reaggregated!J351</f>
        <v>8.9700608594711333E-3</v>
      </c>
      <c r="J16" s="21">
        <f>Reaggregated!K351</f>
        <v>2.9172601865951418E-3</v>
      </c>
      <c r="K16" s="21">
        <f>Reaggregated!L351</f>
        <v>5.0093153342786582E-4</v>
      </c>
      <c r="L16" s="21">
        <f>Reaggregated!M351</f>
        <v>3.4136231731226509E-3</v>
      </c>
      <c r="M16" s="21">
        <f>Reaggregated!N351</f>
        <v>8.965697656646949E-4</v>
      </c>
      <c r="N16" s="21">
        <f>Reaggregated!O351</f>
        <v>3.1698511356552652E-3</v>
      </c>
      <c r="O16" s="21">
        <f>Reaggregated!P351</f>
        <v>1.6953904611440165E-2</v>
      </c>
      <c r="P16" s="21">
        <f>Reaggregated!Q351</f>
        <v>1.133702010538058</v>
      </c>
      <c r="Q16" s="21">
        <f>Reaggregated!R351</f>
        <v>1.3438050412862615E-3</v>
      </c>
      <c r="R16" s="21">
        <f>Reaggregated!S351</f>
        <v>3.2799026192078555E-3</v>
      </c>
      <c r="S16" s="21">
        <f>Reaggregated!T351</f>
        <v>1.2199109687210758E-3</v>
      </c>
      <c r="T16" s="21">
        <f>Reaggregated!U351</f>
        <v>1.3092312345726412E-3</v>
      </c>
      <c r="U16" s="21">
        <f>Reaggregated!V351</f>
        <v>1.9301287789278768E-3</v>
      </c>
      <c r="V16" s="21">
        <f>Reaggregated!W351</f>
        <v>1.1109257096471822E-3</v>
      </c>
      <c r="W16" s="21">
        <f>Reaggregated!X351</f>
        <v>1.4705130285539315E-3</v>
      </c>
      <c r="X16" s="21">
        <f>Reaggregated!Y351</f>
        <v>2.1872432851702422E-3</v>
      </c>
      <c r="Y16" s="21">
        <f>Reaggregated!Z351</f>
        <v>2.460947027193466E-3</v>
      </c>
      <c r="Z16" s="21">
        <f>Reaggregated!AA351</f>
        <v>1.9693858142801751E-3</v>
      </c>
      <c r="AA16" s="21">
        <f>Reaggregated!AB351</f>
        <v>5.4275340280212942E-4</v>
      </c>
      <c r="AB16" s="21">
        <f>Reaggregated!AC351</f>
        <v>6.2793944407984184E-3</v>
      </c>
      <c r="AC16" s="21">
        <f>Reaggregated!AD351</f>
        <v>5.3193560794346631E-2</v>
      </c>
      <c r="AD16" s="21">
        <f>Reaggregated!AE351</f>
        <v>2.7209961721919762E-3</v>
      </c>
      <c r="AE16" s="21">
        <f>Reaggregated!AF351</f>
        <v>3.0488051000763746E-3</v>
      </c>
      <c r="AF16" s="21">
        <f>Reaggregated!AG351</f>
        <v>4.5677909423133666E-3</v>
      </c>
      <c r="AG16" s="21">
        <f>Reaggregated!AH351</f>
        <v>9.5683290806790355E-4</v>
      </c>
      <c r="AH16" s="21">
        <f>Reaggregated!AI351</f>
        <v>1.2854292164340201E-3</v>
      </c>
      <c r="AI16" s="21">
        <f>Reaggregated!AJ351</f>
        <v>9.0719352573832705E-4</v>
      </c>
      <c r="AJ16" s="21">
        <f>Reaggregated!AK351</f>
        <v>9.3443070280505513E-4</v>
      </c>
      <c r="AK16" s="21">
        <f>Reaggregated!AL351</f>
        <v>4.9689159326611393E-3</v>
      </c>
      <c r="AL16" s="21">
        <f>Reaggregated!AM351</f>
        <v>1.3723112398546563E-3</v>
      </c>
      <c r="AM16" s="21">
        <f>Reaggregated!AN351</f>
        <v>1.9333917433233272E-3</v>
      </c>
      <c r="AN16" s="21">
        <f>Reaggregated!AO351</f>
        <v>2.6887582347684914E-3</v>
      </c>
      <c r="AO16" s="21">
        <f>Reaggregated!AP351</f>
        <v>1.5626977162827768E-3</v>
      </c>
      <c r="AP16" s="21">
        <f>Reaggregated!AQ351</f>
        <v>2.8221085319941521E-3</v>
      </c>
      <c r="AQ16" s="21">
        <f>Reaggregated!AR351</f>
        <v>0</v>
      </c>
    </row>
    <row r="17" spans="1:43">
      <c r="A17" s="17" t="s">
        <v>134</v>
      </c>
      <c r="B17" s="21">
        <f>Reaggregated!C352</f>
        <v>6.1211538599329077E-3</v>
      </c>
      <c r="C17" s="21">
        <f>Reaggregated!D352</f>
        <v>2.4729790351231181E-2</v>
      </c>
      <c r="D17" s="21">
        <f>Reaggregated!E352</f>
        <v>2.7323431054756334E-2</v>
      </c>
      <c r="E17" s="21">
        <f>Reaggregated!F352</f>
        <v>1.371276704728561E-2</v>
      </c>
      <c r="F17" s="21">
        <f>Reaggregated!G352</f>
        <v>1.5517368435905189E-2</v>
      </c>
      <c r="G17" s="21">
        <f>Reaggregated!H352</f>
        <v>1.1482098016323973E-2</v>
      </c>
      <c r="H17" s="21">
        <f>Reaggregated!I352</f>
        <v>7.9557457381990212E-3</v>
      </c>
      <c r="I17" s="21">
        <f>Reaggregated!J352</f>
        <v>1.9398216817275396E-2</v>
      </c>
      <c r="J17" s="21">
        <f>Reaggregated!K352</f>
        <v>8.7344355491209402E-3</v>
      </c>
      <c r="K17" s="21">
        <f>Reaggregated!L352</f>
        <v>1.8160815769109391E-3</v>
      </c>
      <c r="L17" s="21">
        <f>Reaggregated!M352</f>
        <v>7.7742590946868612E-3</v>
      </c>
      <c r="M17" s="21">
        <f>Reaggregated!N352</f>
        <v>4.6631364757865595E-3</v>
      </c>
      <c r="N17" s="21">
        <f>Reaggregated!O352</f>
        <v>1.5980159226710651E-2</v>
      </c>
      <c r="O17" s="21">
        <f>Reaggregated!P352</f>
        <v>3.6737264370067309E-2</v>
      </c>
      <c r="P17" s="21">
        <f>Reaggregated!Q352</f>
        <v>2.6277349737781525E-2</v>
      </c>
      <c r="Q17" s="21">
        <f>Reaggregated!R352</f>
        <v>1.3366125192165688</v>
      </c>
      <c r="R17" s="21">
        <f>Reaggregated!S352</f>
        <v>4.4703622642854671E-2</v>
      </c>
      <c r="S17" s="21">
        <f>Reaggregated!T352</f>
        <v>0.26537812666298483</v>
      </c>
      <c r="T17" s="21">
        <f>Reaggregated!U352</f>
        <v>1.9021104961851637E-2</v>
      </c>
      <c r="U17" s="21">
        <f>Reaggregated!V352</f>
        <v>6.3479448708293862E-2</v>
      </c>
      <c r="V17" s="21">
        <f>Reaggregated!W352</f>
        <v>0.14583205329964494</v>
      </c>
      <c r="W17" s="21">
        <f>Reaggregated!X352</f>
        <v>0.10207569637225712</v>
      </c>
      <c r="X17" s="21">
        <f>Reaggregated!Y352</f>
        <v>0.14557745411276388</v>
      </c>
      <c r="Y17" s="21">
        <f>Reaggregated!Z352</f>
        <v>4.4783996057516443E-2</v>
      </c>
      <c r="Z17" s="21">
        <f>Reaggregated!AA352</f>
        <v>8.9805009879352967E-3</v>
      </c>
      <c r="AA17" s="21">
        <f>Reaggregated!AB352</f>
        <v>3.2795388727450757E-3</v>
      </c>
      <c r="AB17" s="21">
        <f>Reaggregated!AC352</f>
        <v>3.2968182217351392E-2</v>
      </c>
      <c r="AC17" s="21">
        <f>Reaggregated!AD352</f>
        <v>6.4190941922953521E-2</v>
      </c>
      <c r="AD17" s="21">
        <f>Reaggregated!AE352</f>
        <v>8.9358349640182248E-3</v>
      </c>
      <c r="AE17" s="21">
        <f>Reaggregated!AF352</f>
        <v>6.375118942043771E-3</v>
      </c>
      <c r="AF17" s="21">
        <f>Reaggregated!AG352</f>
        <v>7.519830132596046E-3</v>
      </c>
      <c r="AG17" s="21">
        <f>Reaggregated!AH352</f>
        <v>3.7704240142597953E-3</v>
      </c>
      <c r="AH17" s="21">
        <f>Reaggregated!AI352</f>
        <v>6.9052858911041745E-3</v>
      </c>
      <c r="AI17" s="21">
        <f>Reaggregated!AJ352</f>
        <v>3.8367946591566604E-3</v>
      </c>
      <c r="AJ17" s="21">
        <f>Reaggregated!AK352</f>
        <v>2.3300299072667031E-3</v>
      </c>
      <c r="AK17" s="21">
        <f>Reaggregated!AL352</f>
        <v>8.6641671680917649E-3</v>
      </c>
      <c r="AL17" s="21">
        <f>Reaggregated!AM352</f>
        <v>6.1325013229037275E-3</v>
      </c>
      <c r="AM17" s="21">
        <f>Reaggregated!AN352</f>
        <v>4.7537737991834566E-3</v>
      </c>
      <c r="AN17" s="21">
        <f>Reaggregated!AO352</f>
        <v>4.2401900573356957E-3</v>
      </c>
      <c r="AO17" s="21">
        <f>Reaggregated!AP352</f>
        <v>4.265526670491464E-3</v>
      </c>
      <c r="AP17" s="21">
        <f>Reaggregated!AQ352</f>
        <v>9.6325631045125048E-3</v>
      </c>
      <c r="AQ17" s="21">
        <f>Reaggregated!AR352</f>
        <v>0</v>
      </c>
    </row>
    <row r="18" spans="1:43">
      <c r="A18" s="17" t="s">
        <v>135</v>
      </c>
      <c r="B18" s="21">
        <f>Reaggregated!C353</f>
        <v>2.3699477283883144E-3</v>
      </c>
      <c r="C18" s="21">
        <f>Reaggregated!D353</f>
        <v>5.1056443908028193E-3</v>
      </c>
      <c r="D18" s="21">
        <f>Reaggregated!E353</f>
        <v>5.0770796052600122E-3</v>
      </c>
      <c r="E18" s="21">
        <f>Reaggregated!F353</f>
        <v>4.3363055131701075E-3</v>
      </c>
      <c r="F18" s="21">
        <f>Reaggregated!G353</f>
        <v>3.8158497032728857E-3</v>
      </c>
      <c r="G18" s="21">
        <f>Reaggregated!H353</f>
        <v>5.0812615866155098E-3</v>
      </c>
      <c r="H18" s="21">
        <f>Reaggregated!I353</f>
        <v>3.69672624403198E-3</v>
      </c>
      <c r="I18" s="21">
        <f>Reaggregated!J353</f>
        <v>6.5773801520937203E-3</v>
      </c>
      <c r="J18" s="21">
        <f>Reaggregated!K353</f>
        <v>4.2935849305001704E-3</v>
      </c>
      <c r="K18" s="21">
        <f>Reaggregated!L353</f>
        <v>6.6061060421941176E-4</v>
      </c>
      <c r="L18" s="21">
        <f>Reaggregated!M353</f>
        <v>6.8816756800137149E-3</v>
      </c>
      <c r="M18" s="21">
        <f>Reaggregated!N353</f>
        <v>2.728300422470509E-3</v>
      </c>
      <c r="N18" s="21">
        <f>Reaggregated!O353</f>
        <v>6.7983083421354583E-3</v>
      </c>
      <c r="O18" s="21">
        <f>Reaggregated!P353</f>
        <v>1.51742501879873E-2</v>
      </c>
      <c r="P18" s="21">
        <f>Reaggregated!Q353</f>
        <v>6.2624513585204057E-3</v>
      </c>
      <c r="Q18" s="21">
        <f>Reaggregated!R353</f>
        <v>3.6716678471364395E-2</v>
      </c>
      <c r="R18" s="21">
        <f>Reaggregated!S353</f>
        <v>1.2738375871909193</v>
      </c>
      <c r="S18" s="21">
        <f>Reaggregated!T353</f>
        <v>6.7460743046525495E-2</v>
      </c>
      <c r="T18" s="21">
        <f>Reaggregated!U353</f>
        <v>1.6737064188292447E-2</v>
      </c>
      <c r="U18" s="21">
        <f>Reaggregated!V353</f>
        <v>6.014151335110559E-2</v>
      </c>
      <c r="V18" s="21">
        <f>Reaggregated!W353</f>
        <v>3.6242356137676228E-2</v>
      </c>
      <c r="W18" s="21">
        <f>Reaggregated!X353</f>
        <v>3.1376979825113144E-2</v>
      </c>
      <c r="X18" s="21">
        <f>Reaggregated!Y353</f>
        <v>3.1402288830221621E-2</v>
      </c>
      <c r="Y18" s="21">
        <f>Reaggregated!Z353</f>
        <v>2.7360564621666271E-2</v>
      </c>
      <c r="Z18" s="21">
        <f>Reaggregated!AA353</f>
        <v>3.5757364968701365E-3</v>
      </c>
      <c r="AA18" s="21">
        <f>Reaggregated!AB353</f>
        <v>1.1479851685311483E-3</v>
      </c>
      <c r="AB18" s="21">
        <f>Reaggregated!AC353</f>
        <v>1.4199907603489402E-2</v>
      </c>
      <c r="AC18" s="21">
        <f>Reaggregated!AD353</f>
        <v>1.361047766388954E-2</v>
      </c>
      <c r="AD18" s="21">
        <f>Reaggregated!AE353</f>
        <v>3.3450821967004308E-3</v>
      </c>
      <c r="AE18" s="21">
        <f>Reaggregated!AF353</f>
        <v>2.056689808389512E-3</v>
      </c>
      <c r="AF18" s="21">
        <f>Reaggregated!AG353</f>
        <v>3.1423498355102118E-3</v>
      </c>
      <c r="AG18" s="21">
        <f>Reaggregated!AH353</f>
        <v>1.7690452155898863E-3</v>
      </c>
      <c r="AH18" s="21">
        <f>Reaggregated!AI353</f>
        <v>3.7297958594194143E-3</v>
      </c>
      <c r="AI18" s="21">
        <f>Reaggregated!AJ353</f>
        <v>1.8948959794114924E-3</v>
      </c>
      <c r="AJ18" s="21">
        <f>Reaggregated!AK353</f>
        <v>9.5062534775702356E-4</v>
      </c>
      <c r="AK18" s="21">
        <f>Reaggregated!AL353</f>
        <v>2.3282584966080821E-3</v>
      </c>
      <c r="AL18" s="21">
        <f>Reaggregated!AM353</f>
        <v>2.2055621353882669E-3</v>
      </c>
      <c r="AM18" s="21">
        <f>Reaggregated!AN353</f>
        <v>1.6502965094510917E-3</v>
      </c>
      <c r="AN18" s="21">
        <f>Reaggregated!AO353</f>
        <v>1.6000933505782575E-3</v>
      </c>
      <c r="AO18" s="21">
        <f>Reaggregated!AP353</f>
        <v>1.9673659382325312E-3</v>
      </c>
      <c r="AP18" s="21">
        <f>Reaggregated!AQ353</f>
        <v>4.4850219210462753E-3</v>
      </c>
      <c r="AQ18" s="21">
        <f>Reaggregated!AR353</f>
        <v>0</v>
      </c>
    </row>
    <row r="19" spans="1:43">
      <c r="A19" s="17" t="s">
        <v>13</v>
      </c>
      <c r="B19" s="21">
        <f>Reaggregated!C354</f>
        <v>1.212234306532929E-2</v>
      </c>
      <c r="C19" s="21">
        <f>Reaggregated!D354</f>
        <v>3.6443827030674586E-2</v>
      </c>
      <c r="D19" s="21">
        <f>Reaggregated!E354</f>
        <v>2.6951932457460873E-2</v>
      </c>
      <c r="E19" s="21">
        <f>Reaggregated!F354</f>
        <v>2.2523298871380049E-2</v>
      </c>
      <c r="F19" s="21">
        <f>Reaggregated!G354</f>
        <v>2.6361471505158472E-2</v>
      </c>
      <c r="G19" s="21">
        <f>Reaggregated!H354</f>
        <v>2.8505801233180056E-2</v>
      </c>
      <c r="H19" s="21">
        <f>Reaggregated!I354</f>
        <v>1.4888917357233831E-2</v>
      </c>
      <c r="I19" s="21">
        <f>Reaggregated!J354</f>
        <v>4.3432951583712472E-2</v>
      </c>
      <c r="J19" s="21">
        <f>Reaggregated!K354</f>
        <v>1.4290429848144517E-2</v>
      </c>
      <c r="K19" s="21">
        <f>Reaggregated!L354</f>
        <v>2.7731454091363354E-3</v>
      </c>
      <c r="L19" s="21">
        <f>Reaggregated!M354</f>
        <v>1.6148059654270814E-2</v>
      </c>
      <c r="M19" s="21">
        <f>Reaggregated!N354</f>
        <v>9.4235161411148662E-3</v>
      </c>
      <c r="N19" s="21">
        <f>Reaggregated!O354</f>
        <v>2.2323828824344142E-2</v>
      </c>
      <c r="O19" s="21">
        <f>Reaggregated!P354</f>
        <v>7.0908141541735553E-2</v>
      </c>
      <c r="P19" s="21">
        <f>Reaggregated!Q354</f>
        <v>2.061209594879412E-2</v>
      </c>
      <c r="Q19" s="21">
        <f>Reaggregated!R354</f>
        <v>4.4897553880207587E-2</v>
      </c>
      <c r="R19" s="21">
        <f>Reaggregated!S354</f>
        <v>3.1510888531933165E-2</v>
      </c>
      <c r="S19" s="21">
        <f>Reaggregated!T354</f>
        <v>1.1688462181832819</v>
      </c>
      <c r="T19" s="21">
        <f>Reaggregated!U354</f>
        <v>2.2585495377829775E-2</v>
      </c>
      <c r="U19" s="21">
        <f>Reaggregated!V354</f>
        <v>5.9013830454950969E-2</v>
      </c>
      <c r="V19" s="21">
        <f>Reaggregated!W354</f>
        <v>0.12458033550166896</v>
      </c>
      <c r="W19" s="21">
        <f>Reaggregated!X354</f>
        <v>9.0653824933305122E-2</v>
      </c>
      <c r="X19" s="21">
        <f>Reaggregated!Y354</f>
        <v>0.13550558881747599</v>
      </c>
      <c r="Y19" s="21">
        <f>Reaggregated!Z354</f>
        <v>6.0500155834660847E-2</v>
      </c>
      <c r="Z19" s="21">
        <f>Reaggregated!AA354</f>
        <v>1.0548988662324741E-2</v>
      </c>
      <c r="AA19" s="21">
        <f>Reaggregated!AB354</f>
        <v>4.7214678876102353E-3</v>
      </c>
      <c r="AB19" s="21">
        <f>Reaggregated!AC354</f>
        <v>2.1599388386414706E-2</v>
      </c>
      <c r="AC19" s="21">
        <f>Reaggregated!AD354</f>
        <v>7.6983956967836359E-2</v>
      </c>
      <c r="AD19" s="21">
        <f>Reaggregated!AE354</f>
        <v>1.3792883665216788E-2</v>
      </c>
      <c r="AE19" s="21">
        <f>Reaggregated!AF354</f>
        <v>9.9744117889511152E-3</v>
      </c>
      <c r="AF19" s="21">
        <f>Reaggregated!AG354</f>
        <v>1.6661999560369806E-2</v>
      </c>
      <c r="AG19" s="21">
        <f>Reaggregated!AH354</f>
        <v>6.6966248891876471E-3</v>
      </c>
      <c r="AH19" s="21">
        <f>Reaggregated!AI354</f>
        <v>1.1034605095682081E-2</v>
      </c>
      <c r="AI19" s="21">
        <f>Reaggregated!AJ354</f>
        <v>6.7108976970371888E-3</v>
      </c>
      <c r="AJ19" s="21">
        <f>Reaggregated!AK354</f>
        <v>3.995297484499164E-3</v>
      </c>
      <c r="AK19" s="21">
        <f>Reaggregated!AL354</f>
        <v>1.4232428123318866E-2</v>
      </c>
      <c r="AL19" s="21">
        <f>Reaggregated!AM354</f>
        <v>1.0162291076408552E-2</v>
      </c>
      <c r="AM19" s="21">
        <f>Reaggregated!AN354</f>
        <v>9.4825731822289309E-3</v>
      </c>
      <c r="AN19" s="21">
        <f>Reaggregated!AO354</f>
        <v>7.2113659515582827E-3</v>
      </c>
      <c r="AO19" s="21">
        <f>Reaggregated!AP354</f>
        <v>7.2902799179996427E-3</v>
      </c>
      <c r="AP19" s="21">
        <f>Reaggregated!AQ354</f>
        <v>1.6415547153589914E-2</v>
      </c>
      <c r="AQ19" s="21">
        <f>Reaggregated!AR354</f>
        <v>0</v>
      </c>
    </row>
    <row r="20" spans="1:43">
      <c r="A20" s="17" t="s">
        <v>14</v>
      </c>
      <c r="B20" s="21">
        <f>Reaggregated!C355</f>
        <v>7.4769666962658261E-3</v>
      </c>
      <c r="C20" s="21">
        <f>Reaggregated!D355</f>
        <v>1.1594634643324421E-2</v>
      </c>
      <c r="D20" s="21">
        <f>Reaggregated!E355</f>
        <v>1.1948201813128433E-2</v>
      </c>
      <c r="E20" s="21">
        <f>Reaggregated!F355</f>
        <v>1.2306770649175687E-2</v>
      </c>
      <c r="F20" s="21">
        <f>Reaggregated!G355</f>
        <v>1.1660437246207472E-2</v>
      </c>
      <c r="G20" s="21">
        <f>Reaggregated!H355</f>
        <v>1.1010598165626528E-2</v>
      </c>
      <c r="H20" s="21">
        <f>Reaggregated!I355</f>
        <v>1.1015022893461934E-2</v>
      </c>
      <c r="I20" s="21">
        <f>Reaggregated!J355</f>
        <v>1.0297695415618625E-2</v>
      </c>
      <c r="J20" s="21">
        <f>Reaggregated!K355</f>
        <v>1.1495676831621811E-2</v>
      </c>
      <c r="K20" s="21">
        <f>Reaggregated!L355</f>
        <v>2.332886418427783E-3</v>
      </c>
      <c r="L20" s="21">
        <f>Reaggregated!M355</f>
        <v>1.3129211795592427E-2</v>
      </c>
      <c r="M20" s="21">
        <f>Reaggregated!N355</f>
        <v>9.4771597498612397E-3</v>
      </c>
      <c r="N20" s="21">
        <f>Reaggregated!O355</f>
        <v>1.3981957345436202E-2</v>
      </c>
      <c r="O20" s="21">
        <f>Reaggregated!P355</f>
        <v>3.317374160033365E-2</v>
      </c>
      <c r="P20" s="21">
        <f>Reaggregated!Q355</f>
        <v>9.0737830033570215E-3</v>
      </c>
      <c r="Q20" s="21">
        <f>Reaggregated!R355</f>
        <v>8.394804765633394E-3</v>
      </c>
      <c r="R20" s="21">
        <f>Reaggregated!S355</f>
        <v>9.1709070023845065E-3</v>
      </c>
      <c r="S20" s="21">
        <f>Reaggregated!T355</f>
        <v>1.5664723733747925E-2</v>
      </c>
      <c r="T20" s="21">
        <f>Reaggregated!U355</f>
        <v>1.2648844156894732</v>
      </c>
      <c r="U20" s="21">
        <f>Reaggregated!V355</f>
        <v>9.0555346457668551E-2</v>
      </c>
      <c r="V20" s="21">
        <f>Reaggregated!W355</f>
        <v>4.8648791966944001E-2</v>
      </c>
      <c r="W20" s="21">
        <f>Reaggregated!X355</f>
        <v>4.2927101026646493E-2</v>
      </c>
      <c r="X20" s="21">
        <f>Reaggregated!Y355</f>
        <v>5.3928508844427896E-2</v>
      </c>
      <c r="Y20" s="21">
        <f>Reaggregated!Z355</f>
        <v>2.568421365652044E-2</v>
      </c>
      <c r="Z20" s="21">
        <f>Reaggregated!AA355</f>
        <v>1.3544989097093587E-2</v>
      </c>
      <c r="AA20" s="21">
        <f>Reaggregated!AB355</f>
        <v>4.3217282701575833E-3</v>
      </c>
      <c r="AB20" s="21">
        <f>Reaggregated!AC355</f>
        <v>1.2091253786769642E-2</v>
      </c>
      <c r="AC20" s="21">
        <f>Reaggregated!AD355</f>
        <v>2.0259230873178991E-2</v>
      </c>
      <c r="AD20" s="21">
        <f>Reaggregated!AE355</f>
        <v>1.6732026602406292E-2</v>
      </c>
      <c r="AE20" s="21">
        <f>Reaggregated!AF355</f>
        <v>1.1101547795364961E-2</v>
      </c>
      <c r="AF20" s="21">
        <f>Reaggregated!AG355</f>
        <v>1.2555913253034226E-2</v>
      </c>
      <c r="AG20" s="21">
        <f>Reaggregated!AH355</f>
        <v>1.9320028252835495E-2</v>
      </c>
      <c r="AH20" s="21">
        <f>Reaggregated!AI355</f>
        <v>8.4592894606610583E-2</v>
      </c>
      <c r="AI20" s="21">
        <f>Reaggregated!AJ355</f>
        <v>4.4843032795171101E-2</v>
      </c>
      <c r="AJ20" s="21">
        <f>Reaggregated!AK355</f>
        <v>9.3599786993846471E-3</v>
      </c>
      <c r="AK20" s="21">
        <f>Reaggregated!AL355</f>
        <v>7.3626851240590589E-3</v>
      </c>
      <c r="AL20" s="21">
        <f>Reaggregated!AM355</f>
        <v>1.7574549979669177E-2</v>
      </c>
      <c r="AM20" s="21">
        <f>Reaggregated!AN355</f>
        <v>9.53086195930717E-3</v>
      </c>
      <c r="AN20" s="21">
        <f>Reaggregated!AO355</f>
        <v>1.2088679452276228E-2</v>
      </c>
      <c r="AO20" s="21">
        <f>Reaggregated!AP355</f>
        <v>1.580554516611379E-2</v>
      </c>
      <c r="AP20" s="21">
        <f>Reaggregated!AQ355</f>
        <v>3.7590784930006962E-2</v>
      </c>
      <c r="AQ20" s="21">
        <f>Reaggregated!AR355</f>
        <v>0</v>
      </c>
    </row>
    <row r="21" spans="1:43">
      <c r="A21" s="17" t="s">
        <v>15</v>
      </c>
      <c r="B21" s="21">
        <f>Reaggregated!C356</f>
        <v>6.5597157848202373E-3</v>
      </c>
      <c r="C21" s="21">
        <f>Reaggregated!D356</f>
        <v>1.4551787785855133E-2</v>
      </c>
      <c r="D21" s="21">
        <f>Reaggregated!E356</f>
        <v>1.0487020755023061E-2</v>
      </c>
      <c r="E21" s="21">
        <f>Reaggregated!F356</f>
        <v>1.6413378804489485E-2</v>
      </c>
      <c r="F21" s="21">
        <f>Reaggregated!G356</f>
        <v>1.3156521850542774E-2</v>
      </c>
      <c r="G21" s="21">
        <f>Reaggregated!H356</f>
        <v>9.6244654997907093E-3</v>
      </c>
      <c r="H21" s="21">
        <f>Reaggregated!I356</f>
        <v>8.5463787193586615E-3</v>
      </c>
      <c r="I21" s="21">
        <f>Reaggregated!J356</f>
        <v>9.2211764399330164E-3</v>
      </c>
      <c r="J21" s="21">
        <f>Reaggregated!K356</f>
        <v>9.8488639757901425E-3</v>
      </c>
      <c r="K21" s="21">
        <f>Reaggregated!L356</f>
        <v>1.7620491678632022E-3</v>
      </c>
      <c r="L21" s="21">
        <f>Reaggregated!M356</f>
        <v>8.3859094821100676E-3</v>
      </c>
      <c r="M21" s="21">
        <f>Reaggregated!N356</f>
        <v>5.6423745015912775E-3</v>
      </c>
      <c r="N21" s="21">
        <f>Reaggregated!O356</f>
        <v>1.0170197630391006E-2</v>
      </c>
      <c r="O21" s="21">
        <f>Reaggregated!P356</f>
        <v>3.0608693070891764E-2</v>
      </c>
      <c r="P21" s="21">
        <f>Reaggregated!Q356</f>
        <v>8.9590728080094391E-3</v>
      </c>
      <c r="Q21" s="21">
        <f>Reaggregated!R356</f>
        <v>1.0481156512965112E-2</v>
      </c>
      <c r="R21" s="21">
        <f>Reaggregated!S356</f>
        <v>1.1808965285333201E-2</v>
      </c>
      <c r="S21" s="21">
        <f>Reaggregated!T356</f>
        <v>1.9508489097535418E-2</v>
      </c>
      <c r="T21" s="21">
        <f>Reaggregated!U356</f>
        <v>4.8259765099569168E-2</v>
      </c>
      <c r="U21" s="21">
        <f>Reaggregated!V356</f>
        <v>1.2223113218480977</v>
      </c>
      <c r="V21" s="21">
        <f>Reaggregated!W356</f>
        <v>6.3567323537309803E-2</v>
      </c>
      <c r="W21" s="21">
        <f>Reaggregated!X356</f>
        <v>7.3247081497737135E-2</v>
      </c>
      <c r="X21" s="21">
        <f>Reaggregated!Y356</f>
        <v>4.8413930234439524E-2</v>
      </c>
      <c r="Y21" s="21">
        <f>Reaggregated!Z356</f>
        <v>2.4610208656134266E-2</v>
      </c>
      <c r="Z21" s="21">
        <f>Reaggregated!AA356</f>
        <v>3.0714460156425687E-2</v>
      </c>
      <c r="AA21" s="21">
        <f>Reaggregated!AB356</f>
        <v>4.7133706157277532E-3</v>
      </c>
      <c r="AB21" s="21">
        <f>Reaggregated!AC356</f>
        <v>1.4004008332696541E-2</v>
      </c>
      <c r="AC21" s="21">
        <f>Reaggregated!AD356</f>
        <v>4.2673564024867466E-2</v>
      </c>
      <c r="AD21" s="21">
        <f>Reaggregated!AE356</f>
        <v>1.4218434539978463E-2</v>
      </c>
      <c r="AE21" s="21">
        <f>Reaggregated!AF356</f>
        <v>8.0765233142092024E-3</v>
      </c>
      <c r="AF21" s="21">
        <f>Reaggregated!AG356</f>
        <v>1.037858253816931E-2</v>
      </c>
      <c r="AG21" s="21">
        <f>Reaggregated!AH356</f>
        <v>8.6948919671033815E-3</v>
      </c>
      <c r="AH21" s="21">
        <f>Reaggregated!AI356</f>
        <v>3.3148041602461389E-2</v>
      </c>
      <c r="AI21" s="21">
        <f>Reaggregated!AJ356</f>
        <v>1.182321137755124E-2</v>
      </c>
      <c r="AJ21" s="21">
        <f>Reaggregated!AK356</f>
        <v>4.819679653609966E-3</v>
      </c>
      <c r="AK21" s="21">
        <f>Reaggregated!AL356</f>
        <v>7.4222705462738134E-3</v>
      </c>
      <c r="AL21" s="21">
        <f>Reaggregated!AM356</f>
        <v>1.1064787505009705E-2</v>
      </c>
      <c r="AM21" s="21">
        <f>Reaggregated!AN356</f>
        <v>7.1587439846127589E-3</v>
      </c>
      <c r="AN21" s="21">
        <f>Reaggregated!AO356</f>
        <v>7.2140406934517272E-3</v>
      </c>
      <c r="AO21" s="21">
        <f>Reaggregated!AP356</f>
        <v>8.021789625781631E-3</v>
      </c>
      <c r="AP21" s="21">
        <f>Reaggregated!AQ356</f>
        <v>2.7057927905693745E-2</v>
      </c>
      <c r="AQ21" s="21">
        <f>Reaggregated!AR356</f>
        <v>0</v>
      </c>
    </row>
    <row r="22" spans="1:43">
      <c r="A22" s="17" t="s">
        <v>16</v>
      </c>
      <c r="B22" s="21">
        <f>Reaggregated!C357</f>
        <v>8.7900059737243581E-3</v>
      </c>
      <c r="C22" s="21">
        <f>Reaggregated!D357</f>
        <v>4.5900648655616501E-2</v>
      </c>
      <c r="D22" s="21">
        <f>Reaggregated!E357</f>
        <v>3.2542709554631226E-2</v>
      </c>
      <c r="E22" s="21">
        <f>Reaggregated!F357</f>
        <v>3.0424282651196861E-2</v>
      </c>
      <c r="F22" s="21">
        <f>Reaggregated!G357</f>
        <v>3.0428382982748792E-2</v>
      </c>
      <c r="G22" s="21">
        <f>Reaggregated!H357</f>
        <v>1.3284319316492198E-2</v>
      </c>
      <c r="H22" s="21">
        <f>Reaggregated!I357</f>
        <v>9.7503474092625123E-3</v>
      </c>
      <c r="I22" s="21">
        <f>Reaggregated!J357</f>
        <v>1.5354145135968882E-2</v>
      </c>
      <c r="J22" s="21">
        <f>Reaggregated!K357</f>
        <v>1.5074372029104617E-2</v>
      </c>
      <c r="K22" s="21">
        <f>Reaggregated!L357</f>
        <v>3.0797050006129284E-3</v>
      </c>
      <c r="L22" s="21">
        <f>Reaggregated!M357</f>
        <v>8.8245989539986278E-3</v>
      </c>
      <c r="M22" s="21">
        <f>Reaggregated!N357</f>
        <v>5.6959012186810695E-3</v>
      </c>
      <c r="N22" s="21">
        <f>Reaggregated!O357</f>
        <v>1.1080510552721676E-2</v>
      </c>
      <c r="O22" s="21">
        <f>Reaggregated!P357</f>
        <v>6.1378983128769715E-2</v>
      </c>
      <c r="P22" s="21">
        <f>Reaggregated!Q357</f>
        <v>1.9881642606184066E-2</v>
      </c>
      <c r="Q22" s="21">
        <f>Reaggregated!R357</f>
        <v>2.1620887420527975E-2</v>
      </c>
      <c r="R22" s="21">
        <f>Reaggregated!S357</f>
        <v>1.8513710810421267E-2</v>
      </c>
      <c r="S22" s="21">
        <f>Reaggregated!T357</f>
        <v>2.664331627593057E-2</v>
      </c>
      <c r="T22" s="21">
        <f>Reaggregated!U357</f>
        <v>1.2714881354014032E-2</v>
      </c>
      <c r="U22" s="21">
        <f>Reaggregated!V357</f>
        <v>3.8393881309603826E-2</v>
      </c>
      <c r="V22" s="21">
        <f>Reaggregated!W357</f>
        <v>1.152170107119981</v>
      </c>
      <c r="W22" s="21">
        <f>Reaggregated!X357</f>
        <v>5.1618444812125949E-2</v>
      </c>
      <c r="X22" s="21">
        <f>Reaggregated!Y357</f>
        <v>7.5475623366813516E-2</v>
      </c>
      <c r="Y22" s="21">
        <f>Reaggregated!Z357</f>
        <v>2.6046946172694135E-2</v>
      </c>
      <c r="Z22" s="21">
        <f>Reaggregated!AA357</f>
        <v>1.4462446580443282E-2</v>
      </c>
      <c r="AA22" s="21">
        <f>Reaggregated!AB357</f>
        <v>3.7668144698937366E-3</v>
      </c>
      <c r="AB22" s="21">
        <f>Reaggregated!AC357</f>
        <v>3.5131121261028221E-2</v>
      </c>
      <c r="AC22" s="21">
        <f>Reaggregated!AD357</f>
        <v>2.5626379338103123E-2</v>
      </c>
      <c r="AD22" s="21">
        <f>Reaggregated!AE357</f>
        <v>1.0931058296320897E-2</v>
      </c>
      <c r="AE22" s="21">
        <f>Reaggregated!AF357</f>
        <v>6.7522172048464666E-3</v>
      </c>
      <c r="AF22" s="21">
        <f>Reaggregated!AG357</f>
        <v>8.8225622091579626E-3</v>
      </c>
      <c r="AG22" s="21">
        <f>Reaggregated!AH357</f>
        <v>5.7748285359548821E-3</v>
      </c>
      <c r="AH22" s="21">
        <f>Reaggregated!AI357</f>
        <v>8.8182351560883564E-3</v>
      </c>
      <c r="AI22" s="21">
        <f>Reaggregated!AJ357</f>
        <v>5.53556745328437E-3</v>
      </c>
      <c r="AJ22" s="21">
        <f>Reaggregated!AK357</f>
        <v>3.580311407343959E-3</v>
      </c>
      <c r="AK22" s="21">
        <f>Reaggregated!AL357</f>
        <v>5.2671600860815628E-3</v>
      </c>
      <c r="AL22" s="21">
        <f>Reaggregated!AM357</f>
        <v>8.2478362305760701E-3</v>
      </c>
      <c r="AM22" s="21">
        <f>Reaggregated!AN357</f>
        <v>5.9415416701532123E-3</v>
      </c>
      <c r="AN22" s="21">
        <f>Reaggregated!AO357</f>
        <v>5.4826961000321835E-3</v>
      </c>
      <c r="AO22" s="21">
        <f>Reaggregated!AP357</f>
        <v>5.9662128367645008E-3</v>
      </c>
      <c r="AP22" s="21">
        <f>Reaggregated!AQ357</f>
        <v>1.135418516502788E-2</v>
      </c>
      <c r="AQ22" s="21">
        <f>Reaggregated!AR357</f>
        <v>0</v>
      </c>
    </row>
    <row r="23" spans="1:43">
      <c r="A23" s="17" t="s">
        <v>17</v>
      </c>
      <c r="B23" s="21">
        <f>Reaggregated!C358</f>
        <v>6.1123488981721895E-3</v>
      </c>
      <c r="C23" s="21">
        <f>Reaggregated!D358</f>
        <v>7.0884358063251296E-3</v>
      </c>
      <c r="D23" s="21">
        <f>Reaggregated!E358</f>
        <v>6.5483565274876386E-3</v>
      </c>
      <c r="E23" s="21">
        <f>Reaggregated!F358</f>
        <v>1.0444940820001011E-2</v>
      </c>
      <c r="F23" s="21">
        <f>Reaggregated!G358</f>
        <v>7.1613070935839188E-3</v>
      </c>
      <c r="G23" s="21">
        <f>Reaggregated!H358</f>
        <v>8.6890500349851539E-3</v>
      </c>
      <c r="H23" s="21">
        <f>Reaggregated!I358</f>
        <v>8.4843819100374213E-3</v>
      </c>
      <c r="I23" s="21">
        <f>Reaggregated!J358</f>
        <v>7.7900626828842886E-3</v>
      </c>
      <c r="J23" s="21">
        <f>Reaggregated!K358</f>
        <v>6.389436418105192E-3</v>
      </c>
      <c r="K23" s="21">
        <f>Reaggregated!L358</f>
        <v>1.7185532566211643E-3</v>
      </c>
      <c r="L23" s="21">
        <f>Reaggregated!M358</f>
        <v>6.2968080257585794E-3</v>
      </c>
      <c r="M23" s="21">
        <f>Reaggregated!N358</f>
        <v>5.1963758385101446E-3</v>
      </c>
      <c r="N23" s="21">
        <f>Reaggregated!O358</f>
        <v>7.4954240195656959E-3</v>
      </c>
      <c r="O23" s="21">
        <f>Reaggregated!P358</f>
        <v>1.2798334299674132E-2</v>
      </c>
      <c r="P23" s="21">
        <f>Reaggregated!Q358</f>
        <v>7.5630826304271589E-3</v>
      </c>
      <c r="Q23" s="21">
        <f>Reaggregated!R358</f>
        <v>6.6642602258459686E-3</v>
      </c>
      <c r="R23" s="21">
        <f>Reaggregated!S358</f>
        <v>7.1706336398545218E-3</v>
      </c>
      <c r="S23" s="21">
        <f>Reaggregated!T358</f>
        <v>9.476861257476904E-3</v>
      </c>
      <c r="T23" s="21">
        <f>Reaggregated!U358</f>
        <v>1.1294032664837736E-2</v>
      </c>
      <c r="U23" s="21">
        <f>Reaggregated!V358</f>
        <v>3.7797126336305741E-2</v>
      </c>
      <c r="V23" s="21">
        <f>Reaggregated!W358</f>
        <v>2.14149507910378E-2</v>
      </c>
      <c r="W23" s="21">
        <f>Reaggregated!X358</f>
        <v>1.3565628124734412</v>
      </c>
      <c r="X23" s="21">
        <f>Reaggregated!Y358</f>
        <v>1.9967694379554996E-2</v>
      </c>
      <c r="Y23" s="21">
        <f>Reaggregated!Z358</f>
        <v>1.0486292054792528E-2</v>
      </c>
      <c r="Z23" s="21">
        <f>Reaggregated!AA358</f>
        <v>8.020507382750194E-3</v>
      </c>
      <c r="AA23" s="21">
        <f>Reaggregated!AB358</f>
        <v>1.4095305709942276E-2</v>
      </c>
      <c r="AB23" s="21">
        <f>Reaggregated!AC358</f>
        <v>9.5599920327977938E-3</v>
      </c>
      <c r="AC23" s="21">
        <f>Reaggregated!AD358</f>
        <v>1.2086173481246321E-2</v>
      </c>
      <c r="AD23" s="21">
        <f>Reaggregated!AE358</f>
        <v>3.5735477396306732E-2</v>
      </c>
      <c r="AE23" s="21">
        <f>Reaggregated!AF358</f>
        <v>8.9958390593112367E-3</v>
      </c>
      <c r="AF23" s="21">
        <f>Reaggregated!AG358</f>
        <v>7.2788745185057152E-3</v>
      </c>
      <c r="AG23" s="21">
        <f>Reaggregated!AH358</f>
        <v>4.3346790550748762E-3</v>
      </c>
      <c r="AH23" s="21">
        <f>Reaggregated!AI358</f>
        <v>8.8744097487574447E-3</v>
      </c>
      <c r="AI23" s="21">
        <f>Reaggregated!AJ358</f>
        <v>5.9978855395124483E-3</v>
      </c>
      <c r="AJ23" s="21">
        <f>Reaggregated!AK358</f>
        <v>2.9960140947328825E-3</v>
      </c>
      <c r="AK23" s="21">
        <f>Reaggregated!AL358</f>
        <v>3.0571428572309721E-3</v>
      </c>
      <c r="AL23" s="21">
        <f>Reaggregated!AM358</f>
        <v>7.3995608405272827E-3</v>
      </c>
      <c r="AM23" s="21">
        <f>Reaggregated!AN358</f>
        <v>3.8370948346783539E-3</v>
      </c>
      <c r="AN23" s="21">
        <f>Reaggregated!AO358</f>
        <v>3.9297728970086451E-3</v>
      </c>
      <c r="AO23" s="21">
        <f>Reaggregated!AP358</f>
        <v>4.8229722327521266E-3</v>
      </c>
      <c r="AP23" s="21">
        <f>Reaggregated!AQ358</f>
        <v>8.7899779359063308E-3</v>
      </c>
      <c r="AQ23" s="21">
        <f>Reaggregated!AR358</f>
        <v>0</v>
      </c>
    </row>
    <row r="24" spans="1:43">
      <c r="A24" s="17" t="s">
        <v>18</v>
      </c>
      <c r="B24" s="21">
        <f>Reaggregated!C359</f>
        <v>1.3342777127350117E-3</v>
      </c>
      <c r="C24" s="21">
        <f>Reaggregated!D359</f>
        <v>2.6679606427967629E-3</v>
      </c>
      <c r="D24" s="21">
        <f>Reaggregated!E359</f>
        <v>2.0880715222605963E-3</v>
      </c>
      <c r="E24" s="21">
        <f>Reaggregated!F359</f>
        <v>1.8787468607391344E-3</v>
      </c>
      <c r="F24" s="21">
        <f>Reaggregated!G359</f>
        <v>1.8723504481668333E-3</v>
      </c>
      <c r="G24" s="21">
        <f>Reaggregated!H359</f>
        <v>1.9507236150806768E-3</v>
      </c>
      <c r="H24" s="21">
        <f>Reaggregated!I359</f>
        <v>1.0759263225027533E-3</v>
      </c>
      <c r="I24" s="21">
        <f>Reaggregated!J359</f>
        <v>2.6191106401883932E-3</v>
      </c>
      <c r="J24" s="21">
        <f>Reaggregated!K359</f>
        <v>1.0901994458656762E-3</v>
      </c>
      <c r="K24" s="21">
        <f>Reaggregated!L359</f>
        <v>2.9158344736293347E-4</v>
      </c>
      <c r="L24" s="21">
        <f>Reaggregated!M359</f>
        <v>1.0998053067335846E-3</v>
      </c>
      <c r="M24" s="21">
        <f>Reaggregated!N359</f>
        <v>6.8737439603981437E-4</v>
      </c>
      <c r="N24" s="21">
        <f>Reaggregated!O359</f>
        <v>1.398543914933933E-3</v>
      </c>
      <c r="O24" s="21">
        <f>Reaggregated!P359</f>
        <v>4.7791310460931855E-3</v>
      </c>
      <c r="P24" s="21">
        <f>Reaggregated!Q359</f>
        <v>1.4751252075934963E-3</v>
      </c>
      <c r="Q24" s="21">
        <f>Reaggregated!R359</f>
        <v>3.6150909000156198E-3</v>
      </c>
      <c r="R24" s="21">
        <f>Reaggregated!S359</f>
        <v>1.9400161521982075E-3</v>
      </c>
      <c r="S24" s="21">
        <f>Reaggregated!T359</f>
        <v>9.3198881799551724E-3</v>
      </c>
      <c r="T24" s="21">
        <f>Reaggregated!U359</f>
        <v>1.4765755859774713E-3</v>
      </c>
      <c r="U24" s="21">
        <f>Reaggregated!V359</f>
        <v>3.8260654984652582E-3</v>
      </c>
      <c r="V24" s="21">
        <f>Reaggregated!W359</f>
        <v>8.1569816638929933E-3</v>
      </c>
      <c r="W24" s="21">
        <f>Reaggregated!X359</f>
        <v>7.4966150371346789E-3</v>
      </c>
      <c r="X24" s="21">
        <f>Reaggregated!Y359</f>
        <v>1.133844108673725</v>
      </c>
      <c r="Y24" s="21">
        <f>Reaggregated!Z359</f>
        <v>4.2251873920255752E-3</v>
      </c>
      <c r="Z24" s="21">
        <f>Reaggregated!AA359</f>
        <v>9.4867506863667681E-4</v>
      </c>
      <c r="AA24" s="21">
        <f>Reaggregated!AB359</f>
        <v>1.316324370283399E-3</v>
      </c>
      <c r="AB24" s="21">
        <f>Reaggregated!AC359</f>
        <v>1.4811368619577013E-3</v>
      </c>
      <c r="AC24" s="21">
        <f>Reaggregated!AD359</f>
        <v>4.2731528520587635E-3</v>
      </c>
      <c r="AD24" s="21">
        <f>Reaggregated!AE359</f>
        <v>1.3463419901775064E-3</v>
      </c>
      <c r="AE24" s="21">
        <f>Reaggregated!AF359</f>
        <v>5.7683238704387104E-3</v>
      </c>
      <c r="AF24" s="21">
        <f>Reaggregated!AG359</f>
        <v>1.1442013215060365E-3</v>
      </c>
      <c r="AG24" s="21">
        <f>Reaggregated!AH359</f>
        <v>5.6265227669008119E-4</v>
      </c>
      <c r="AH24" s="21">
        <f>Reaggregated!AI359</f>
        <v>8.9151504445056579E-4</v>
      </c>
      <c r="AI24" s="21">
        <f>Reaggregated!AJ359</f>
        <v>5.046489751246734E-4</v>
      </c>
      <c r="AJ24" s="21">
        <f>Reaggregated!AK359</f>
        <v>3.8171430936974132E-4</v>
      </c>
      <c r="AK24" s="21">
        <f>Reaggregated!AL359</f>
        <v>8.0465799144806087E-4</v>
      </c>
      <c r="AL24" s="21">
        <f>Reaggregated!AM359</f>
        <v>8.321438329342393E-4</v>
      </c>
      <c r="AM24" s="21">
        <f>Reaggregated!AN359</f>
        <v>1.6026556271967847E-3</v>
      </c>
      <c r="AN24" s="21">
        <f>Reaggregated!AO359</f>
        <v>5.3720975884727058E-4</v>
      </c>
      <c r="AO24" s="21">
        <f>Reaggregated!AP359</f>
        <v>6.019637398412054E-4</v>
      </c>
      <c r="AP24" s="21">
        <f>Reaggregated!AQ359</f>
        <v>1.5905710243852569E-3</v>
      </c>
      <c r="AQ24" s="21">
        <f>Reaggregated!AR359</f>
        <v>0</v>
      </c>
    </row>
    <row r="25" spans="1:43">
      <c r="A25" s="17" t="s">
        <v>19</v>
      </c>
      <c r="B25" s="21">
        <f>Reaggregated!C360</f>
        <v>2.8821680077187298E-3</v>
      </c>
      <c r="C25" s="21">
        <f>Reaggregated!D360</f>
        <v>3.1324415642439937E-3</v>
      </c>
      <c r="D25" s="21">
        <f>Reaggregated!E360</f>
        <v>4.7670446701205604E-3</v>
      </c>
      <c r="E25" s="21">
        <f>Reaggregated!F360</f>
        <v>4.652946936237151E-3</v>
      </c>
      <c r="F25" s="21">
        <f>Reaggregated!G360</f>
        <v>4.2811992189027747E-3</v>
      </c>
      <c r="G25" s="21">
        <f>Reaggregated!H360</f>
        <v>3.8862169915272913E-3</v>
      </c>
      <c r="H25" s="21">
        <f>Reaggregated!I360</f>
        <v>7.905395834093127E-3</v>
      </c>
      <c r="I25" s="21">
        <f>Reaggregated!J360</f>
        <v>4.6334616670617359E-3</v>
      </c>
      <c r="J25" s="21">
        <f>Reaggregated!K360</f>
        <v>3.9706702571842434E-3</v>
      </c>
      <c r="K25" s="21">
        <f>Reaggregated!L360</f>
        <v>6.2816153527264903E-4</v>
      </c>
      <c r="L25" s="21">
        <f>Reaggregated!M360</f>
        <v>2.8740149109768775E-3</v>
      </c>
      <c r="M25" s="21">
        <f>Reaggregated!N360</f>
        <v>2.9712162141747539E-3</v>
      </c>
      <c r="N25" s="21">
        <f>Reaggregated!O360</f>
        <v>2.8343100741342639E-3</v>
      </c>
      <c r="O25" s="21">
        <f>Reaggregated!P360</f>
        <v>1.2514434755752807E-2</v>
      </c>
      <c r="P25" s="21">
        <f>Reaggregated!Q360</f>
        <v>2.2765979316766456E-3</v>
      </c>
      <c r="Q25" s="21">
        <f>Reaggregated!R360</f>
        <v>3.07990047174324E-3</v>
      </c>
      <c r="R25" s="21">
        <f>Reaggregated!S360</f>
        <v>3.0167211352694432E-3</v>
      </c>
      <c r="S25" s="21">
        <f>Reaggregated!T360</f>
        <v>3.3234281724233159E-3</v>
      </c>
      <c r="T25" s="21">
        <f>Reaggregated!U360</f>
        <v>3.1048428461811599E-3</v>
      </c>
      <c r="U25" s="21">
        <f>Reaggregated!V360</f>
        <v>4.101815980688023E-3</v>
      </c>
      <c r="V25" s="21">
        <f>Reaggregated!W360</f>
        <v>3.9910224189839078E-3</v>
      </c>
      <c r="W25" s="21">
        <f>Reaggregated!X360</f>
        <v>4.5898356993122509E-3</v>
      </c>
      <c r="X25" s="21">
        <f>Reaggregated!Y360</f>
        <v>6.9036563505952327E-3</v>
      </c>
      <c r="Y25" s="21">
        <f>Reaggregated!Z360</f>
        <v>1.0436668413254018</v>
      </c>
      <c r="Z25" s="21">
        <f>Reaggregated!AA360</f>
        <v>2.7900347883133207E-3</v>
      </c>
      <c r="AA25" s="21">
        <f>Reaggregated!AB360</f>
        <v>1.7951838218446504E-3</v>
      </c>
      <c r="AB25" s="21">
        <f>Reaggregated!AC360</f>
        <v>5.4787090397237018E-3</v>
      </c>
      <c r="AC25" s="21">
        <f>Reaggregated!AD360</f>
        <v>5.4426470700609658E-3</v>
      </c>
      <c r="AD25" s="21">
        <f>Reaggregated!AE360</f>
        <v>4.1172171456226496E-3</v>
      </c>
      <c r="AE25" s="21">
        <f>Reaggregated!AF360</f>
        <v>3.9713942196220875E-3</v>
      </c>
      <c r="AF25" s="21">
        <f>Reaggregated!AG360</f>
        <v>5.4119377726323057E-3</v>
      </c>
      <c r="AG25" s="21">
        <f>Reaggregated!AH360</f>
        <v>3.6852039657794249E-3</v>
      </c>
      <c r="AH25" s="21">
        <f>Reaggregated!AI360</f>
        <v>4.2639892234501483E-3</v>
      </c>
      <c r="AI25" s="21">
        <f>Reaggregated!AJ360</f>
        <v>3.0388612879261837E-3</v>
      </c>
      <c r="AJ25" s="21">
        <f>Reaggregated!AK360</f>
        <v>2.8588672063123537E-3</v>
      </c>
      <c r="AK25" s="21">
        <f>Reaggregated!AL360</f>
        <v>2.5782798848127879E-3</v>
      </c>
      <c r="AL25" s="21">
        <f>Reaggregated!AM360</f>
        <v>4.7035034657920216E-3</v>
      </c>
      <c r="AM25" s="21">
        <f>Reaggregated!AN360</f>
        <v>3.2943297560500805E-3</v>
      </c>
      <c r="AN25" s="21">
        <f>Reaggregated!AO360</f>
        <v>7.6292562966715277E-3</v>
      </c>
      <c r="AO25" s="21">
        <f>Reaggregated!AP360</f>
        <v>1.2089996420506666E-2</v>
      </c>
      <c r="AP25" s="21">
        <f>Reaggregated!AQ360</f>
        <v>9.8779674379882686E-3</v>
      </c>
      <c r="AQ25" s="21">
        <f>Reaggregated!AR360</f>
        <v>0</v>
      </c>
    </row>
    <row r="26" spans="1:43">
      <c r="A26" s="17" t="s">
        <v>136</v>
      </c>
      <c r="B26" s="21">
        <f>Reaggregated!C361</f>
        <v>3.8203606692330035E-2</v>
      </c>
      <c r="C26" s="21">
        <f>Reaggregated!D361</f>
        <v>6.8146868996330254E-2</v>
      </c>
      <c r="D26" s="21">
        <f>Reaggregated!E361</f>
        <v>6.4976969180620917E-2</v>
      </c>
      <c r="E26" s="21">
        <f>Reaggregated!F361</f>
        <v>8.4597625381502228E-2</v>
      </c>
      <c r="F26" s="21">
        <f>Reaggregated!G361</f>
        <v>2.3683945421392707E-2</v>
      </c>
      <c r="G26" s="21">
        <f>Reaggregated!H361</f>
        <v>6.319925033889788E-2</v>
      </c>
      <c r="H26" s="21">
        <f>Reaggregated!I361</f>
        <v>5.9879548045572752E-2</v>
      </c>
      <c r="I26" s="21">
        <f>Reaggregated!J361</f>
        <v>5.2736158944350513E-2</v>
      </c>
      <c r="J26" s="21">
        <f>Reaggregated!K361</f>
        <v>7.5003447235625423E-2</v>
      </c>
      <c r="K26" s="21">
        <f>Reaggregated!L361</f>
        <v>1.7075840886961246E-2</v>
      </c>
      <c r="L26" s="21">
        <f>Reaggregated!M361</f>
        <v>6.0719628063582408E-2</v>
      </c>
      <c r="M26" s="21">
        <f>Reaggregated!N361</f>
        <v>2.7118740703164251E-2</v>
      </c>
      <c r="N26" s="21">
        <f>Reaggregated!O361</f>
        <v>5.3760969959052031E-2</v>
      </c>
      <c r="O26" s="21">
        <f>Reaggregated!P361</f>
        <v>0.13405875305303896</v>
      </c>
      <c r="P26" s="21">
        <f>Reaggregated!Q361</f>
        <v>8.2750545487244878E-2</v>
      </c>
      <c r="Q26" s="21">
        <f>Reaggregated!R361</f>
        <v>7.7865188471186703E-2</v>
      </c>
      <c r="R26" s="21">
        <f>Reaggregated!S361</f>
        <v>6.9647429139431283E-2</v>
      </c>
      <c r="S26" s="21">
        <f>Reaggregated!T361</f>
        <v>5.1141492568384864E-2</v>
      </c>
      <c r="T26" s="21">
        <f>Reaggregated!U361</f>
        <v>2.1015269908045035E-2</v>
      </c>
      <c r="U26" s="21">
        <f>Reaggregated!V361</f>
        <v>3.5115707290758066E-2</v>
      </c>
      <c r="V26" s="21">
        <f>Reaggregated!W361</f>
        <v>3.6911825439814035E-2</v>
      </c>
      <c r="W26" s="21">
        <f>Reaggregated!X361</f>
        <v>4.0584482114632697E-2</v>
      </c>
      <c r="X26" s="21">
        <f>Reaggregated!Y361</f>
        <v>4.3509953236912306E-2</v>
      </c>
      <c r="Y26" s="21">
        <f>Reaggregated!Z361</f>
        <v>3.7517469575819584E-2</v>
      </c>
      <c r="Z26" s="21">
        <f>Reaggregated!AA361</f>
        <v>1.1866507264998329</v>
      </c>
      <c r="AA26" s="21">
        <f>Reaggregated!AB361</f>
        <v>1.7083257223565837E-2</v>
      </c>
      <c r="AB26" s="21">
        <f>Reaggregated!AC361</f>
        <v>5.7221753768296399E-2</v>
      </c>
      <c r="AC26" s="21">
        <f>Reaggregated!AD361</f>
        <v>2.6688816516630052E-2</v>
      </c>
      <c r="AD26" s="21">
        <f>Reaggregated!AE361</f>
        <v>4.2123672371549417E-2</v>
      </c>
      <c r="AE26" s="21">
        <f>Reaggregated!AF361</f>
        <v>2.4142429512080534E-2</v>
      </c>
      <c r="AF26" s="21">
        <f>Reaggregated!AG361</f>
        <v>7.1643422067855594E-2</v>
      </c>
      <c r="AG26" s="21">
        <f>Reaggregated!AH361</f>
        <v>2.5597772955054495E-2</v>
      </c>
      <c r="AH26" s="21">
        <f>Reaggregated!AI361</f>
        <v>3.9388776142271265E-2</v>
      </c>
      <c r="AI26" s="21">
        <f>Reaggregated!AJ361</f>
        <v>1.786430522873745E-2</v>
      </c>
      <c r="AJ26" s="21">
        <f>Reaggregated!AK361</f>
        <v>1.5839094904452809E-2</v>
      </c>
      <c r="AK26" s="21">
        <f>Reaggregated!AL361</f>
        <v>2.185290705661452E-2</v>
      </c>
      <c r="AL26" s="21">
        <f>Reaggregated!AM361</f>
        <v>2.1514276374708517E-2</v>
      </c>
      <c r="AM26" s="21">
        <f>Reaggregated!AN361</f>
        <v>2.2512575636028445E-2</v>
      </c>
      <c r="AN26" s="21">
        <f>Reaggregated!AO361</f>
        <v>3.9236744345876227E-2</v>
      </c>
      <c r="AO26" s="21">
        <f>Reaggregated!AP361</f>
        <v>3.2563303186229867E-2</v>
      </c>
      <c r="AP26" s="21">
        <f>Reaggregated!AQ361</f>
        <v>4.9079798393805885E-2</v>
      </c>
      <c r="AQ26" s="21">
        <f>Reaggregated!AR361</f>
        <v>0</v>
      </c>
    </row>
    <row r="27" spans="1:43">
      <c r="A27" s="17" t="s">
        <v>137</v>
      </c>
      <c r="B27" s="21">
        <f>Reaggregated!C362</f>
        <v>1.2858803203845455E-2</v>
      </c>
      <c r="C27" s="21">
        <f>Reaggregated!D362</f>
        <v>2.876744764472269E-2</v>
      </c>
      <c r="D27" s="21">
        <f>Reaggregated!E362</f>
        <v>1.9194676396120849E-2</v>
      </c>
      <c r="E27" s="21">
        <f>Reaggregated!F362</f>
        <v>3.6442255627215252E-2</v>
      </c>
      <c r="F27" s="21">
        <f>Reaggregated!G362</f>
        <v>1.6185252654665291E-2</v>
      </c>
      <c r="G27" s="21">
        <f>Reaggregated!H362</f>
        <v>2.3950438832409982E-2</v>
      </c>
      <c r="H27" s="21">
        <f>Reaggregated!I362</f>
        <v>1.5821020341283593E-2</v>
      </c>
      <c r="I27" s="21">
        <f>Reaggregated!J362</f>
        <v>2.456562927758283E-2</v>
      </c>
      <c r="J27" s="21">
        <f>Reaggregated!K362</f>
        <v>1.7217770689441032E-2</v>
      </c>
      <c r="K27" s="21">
        <f>Reaggregated!L362</f>
        <v>1.2104495033742431E-2</v>
      </c>
      <c r="L27" s="21">
        <f>Reaggregated!M362</f>
        <v>1.6486466468397108E-2</v>
      </c>
      <c r="M27" s="21">
        <f>Reaggregated!N362</f>
        <v>1.0398432339802062E-2</v>
      </c>
      <c r="N27" s="21">
        <f>Reaggregated!O362</f>
        <v>1.4828316188726326E-2</v>
      </c>
      <c r="O27" s="21">
        <f>Reaggregated!P362</f>
        <v>0.15453248536336059</v>
      </c>
      <c r="P27" s="21">
        <f>Reaggregated!Q362</f>
        <v>4.9914292258438318E-3</v>
      </c>
      <c r="Q27" s="21">
        <f>Reaggregated!R362</f>
        <v>1.6780245796958672E-2</v>
      </c>
      <c r="R27" s="21">
        <f>Reaggregated!S362</f>
        <v>1.5481640931044189E-2</v>
      </c>
      <c r="S27" s="21">
        <f>Reaggregated!T362</f>
        <v>1.4265949302869644E-2</v>
      </c>
      <c r="T27" s="21">
        <f>Reaggregated!U362</f>
        <v>8.9919396779994162E-3</v>
      </c>
      <c r="U27" s="21">
        <f>Reaggregated!V362</f>
        <v>1.3508686141583246E-2</v>
      </c>
      <c r="V27" s="21">
        <f>Reaggregated!W362</f>
        <v>1.3403372498502882E-2</v>
      </c>
      <c r="W27" s="21">
        <f>Reaggregated!X362</f>
        <v>1.5479533925069426E-2</v>
      </c>
      <c r="X27" s="21">
        <f>Reaggregated!Y362</f>
        <v>1.3536314475147698E-2</v>
      </c>
      <c r="Y27" s="21">
        <f>Reaggregated!Z362</f>
        <v>1.4621776571060599E-2</v>
      </c>
      <c r="Z27" s="21">
        <f>Reaggregated!AA362</f>
        <v>1.3469974456082747E-2</v>
      </c>
      <c r="AA27" s="21">
        <f>Reaggregated!AB362</f>
        <v>1.0173233702722946</v>
      </c>
      <c r="AB27" s="21">
        <f>Reaggregated!AC362</f>
        <v>1.3907175456006022E-2</v>
      </c>
      <c r="AC27" s="21">
        <f>Reaggregated!AD362</f>
        <v>1.1100145335506149E-2</v>
      </c>
      <c r="AD27" s="21">
        <f>Reaggregated!AE362</f>
        <v>1.8042393693317216E-2</v>
      </c>
      <c r="AE27" s="21">
        <f>Reaggregated!AF362</f>
        <v>2.4960199887535742E-2</v>
      </c>
      <c r="AF27" s="21">
        <f>Reaggregated!AG362</f>
        <v>1.4532009532436975E-2</v>
      </c>
      <c r="AG27" s="21">
        <f>Reaggregated!AH362</f>
        <v>8.5870122697730509E-3</v>
      </c>
      <c r="AH27" s="21">
        <f>Reaggregated!AI362</f>
        <v>7.5209634284897856E-3</v>
      </c>
      <c r="AI27" s="21">
        <f>Reaggregated!AJ362</f>
        <v>4.872359079137448E-3</v>
      </c>
      <c r="AJ27" s="21">
        <f>Reaggregated!AK362</f>
        <v>4.4064758837941212E-3</v>
      </c>
      <c r="AK27" s="21">
        <f>Reaggregated!AL362</f>
        <v>4.4814070902222817E-3</v>
      </c>
      <c r="AL27" s="21">
        <f>Reaggregated!AM362</f>
        <v>7.638027193726772E-3</v>
      </c>
      <c r="AM27" s="21">
        <f>Reaggregated!AN362</f>
        <v>5.7039313365478423E-3</v>
      </c>
      <c r="AN27" s="21">
        <f>Reaggregated!AO362</f>
        <v>8.1237074029332987E-3</v>
      </c>
      <c r="AO27" s="21">
        <f>Reaggregated!AP362</f>
        <v>8.4526803669093681E-3</v>
      </c>
      <c r="AP27" s="21">
        <f>Reaggregated!AQ362</f>
        <v>1.1087582285788915E-2</v>
      </c>
      <c r="AQ27" s="21">
        <f>Reaggregated!AR362</f>
        <v>0</v>
      </c>
    </row>
    <row r="28" spans="1:43">
      <c r="A28" s="17" t="s">
        <v>138</v>
      </c>
      <c r="B28" s="21">
        <f>Reaggregated!C363</f>
        <v>6.1400676668249068E-3</v>
      </c>
      <c r="C28" s="21">
        <f>Reaggregated!D363</f>
        <v>7.9253108554804119E-3</v>
      </c>
      <c r="D28" s="21">
        <f>Reaggregated!E363</f>
        <v>7.1712145148126703E-3</v>
      </c>
      <c r="E28" s="21">
        <f>Reaggregated!F363</f>
        <v>9.3740373059788204E-3</v>
      </c>
      <c r="F28" s="21">
        <f>Reaggregated!G363</f>
        <v>7.3397311228691935E-3</v>
      </c>
      <c r="G28" s="21">
        <f>Reaggregated!H363</f>
        <v>1.1154161441821979E-2</v>
      </c>
      <c r="H28" s="21">
        <f>Reaggregated!I363</f>
        <v>6.939740715238436E-3</v>
      </c>
      <c r="I28" s="21">
        <f>Reaggregated!J363</f>
        <v>9.9640838604286488E-3</v>
      </c>
      <c r="J28" s="21">
        <f>Reaggregated!K363</f>
        <v>2.8889714536698433E-2</v>
      </c>
      <c r="K28" s="21">
        <f>Reaggregated!L363</f>
        <v>1.9702788856560496E-3</v>
      </c>
      <c r="L28" s="21">
        <f>Reaggregated!M363</f>
        <v>7.0656977680432151E-3</v>
      </c>
      <c r="M28" s="21">
        <f>Reaggregated!N363</f>
        <v>4.6110210821990079E-3</v>
      </c>
      <c r="N28" s="21">
        <f>Reaggregated!O363</f>
        <v>7.1339031088527216E-3</v>
      </c>
      <c r="O28" s="21">
        <f>Reaggregated!P363</f>
        <v>5.8847852816296967E-2</v>
      </c>
      <c r="P28" s="21">
        <f>Reaggregated!Q363</f>
        <v>3.5854986824704559E-3</v>
      </c>
      <c r="Q28" s="21">
        <f>Reaggregated!R363</f>
        <v>6.480357059379678E-2</v>
      </c>
      <c r="R28" s="21">
        <f>Reaggregated!S363</f>
        <v>6.2965441706194294E-2</v>
      </c>
      <c r="S28" s="21">
        <f>Reaggregated!T363</f>
        <v>2.14495052153553E-2</v>
      </c>
      <c r="T28" s="21">
        <f>Reaggregated!U363</f>
        <v>4.1951177422986817E-3</v>
      </c>
      <c r="U28" s="21">
        <f>Reaggregated!V363</f>
        <v>9.9152825135892173E-3</v>
      </c>
      <c r="V28" s="21">
        <f>Reaggregated!W363</f>
        <v>1.3279014690479785E-2</v>
      </c>
      <c r="W28" s="21">
        <f>Reaggregated!X363</f>
        <v>1.0689521870467423E-2</v>
      </c>
      <c r="X28" s="21">
        <f>Reaggregated!Y363</f>
        <v>1.4257595065269892E-2</v>
      </c>
      <c r="Y28" s="21">
        <f>Reaggregated!Z363</f>
        <v>8.458376991015884E-3</v>
      </c>
      <c r="Z28" s="21">
        <f>Reaggregated!AA363</f>
        <v>8.4178865676397506E-3</v>
      </c>
      <c r="AA28" s="21">
        <f>Reaggregated!AB363</f>
        <v>1.8670327110185511E-3</v>
      </c>
      <c r="AB28" s="21">
        <f>Reaggregated!AC363</f>
        <v>1.194699721765929</v>
      </c>
      <c r="AC28" s="21">
        <f>Reaggregated!AD363</f>
        <v>8.0681215215065941E-3</v>
      </c>
      <c r="AD28" s="21">
        <f>Reaggregated!AE363</f>
        <v>7.0297873728859721E-3</v>
      </c>
      <c r="AE28" s="21">
        <f>Reaggregated!AF363</f>
        <v>4.1558300468260466E-3</v>
      </c>
      <c r="AF28" s="21">
        <f>Reaggregated!AG363</f>
        <v>1.2058794378846865E-2</v>
      </c>
      <c r="AG28" s="21">
        <f>Reaggregated!AH363</f>
        <v>4.608594534586381E-3</v>
      </c>
      <c r="AH28" s="21">
        <f>Reaggregated!AI363</f>
        <v>3.5867807004693951E-3</v>
      </c>
      <c r="AI28" s="21">
        <f>Reaggregated!AJ363</f>
        <v>2.7663944934544402E-3</v>
      </c>
      <c r="AJ28" s="21">
        <f>Reaggregated!AK363</f>
        <v>2.5687928543487583E-3</v>
      </c>
      <c r="AK28" s="21">
        <f>Reaggregated!AL363</f>
        <v>5.2060667814500458E-3</v>
      </c>
      <c r="AL28" s="21">
        <f>Reaggregated!AM363</f>
        <v>4.7362358754400426E-3</v>
      </c>
      <c r="AM28" s="21">
        <f>Reaggregated!AN363</f>
        <v>1.1637820334276402E-2</v>
      </c>
      <c r="AN28" s="21">
        <f>Reaggregated!AO363</f>
        <v>8.3499272457793188E-3</v>
      </c>
      <c r="AO28" s="21">
        <f>Reaggregated!AP363</f>
        <v>8.7710831754989806E-3</v>
      </c>
      <c r="AP28" s="21">
        <f>Reaggregated!AQ363</f>
        <v>7.8428296595546444E-3</v>
      </c>
      <c r="AQ28" s="21">
        <f>Reaggregated!AR363</f>
        <v>0</v>
      </c>
    </row>
    <row r="29" spans="1:43">
      <c r="A29" s="17" t="s">
        <v>20</v>
      </c>
      <c r="B29" s="21">
        <f>Reaggregated!C364</f>
        <v>8.2717395469888017E-3</v>
      </c>
      <c r="C29" s="21">
        <f>Reaggregated!D364</f>
        <v>1.081016704890919E-2</v>
      </c>
      <c r="D29" s="21">
        <f>Reaggregated!E364</f>
        <v>7.1948861483040845E-3</v>
      </c>
      <c r="E29" s="21">
        <f>Reaggregated!F364</f>
        <v>9.5158670061102641E-3</v>
      </c>
      <c r="F29" s="21">
        <f>Reaggregated!G364</f>
        <v>1.0611728919788226E-2</v>
      </c>
      <c r="G29" s="21">
        <f>Reaggregated!H364</f>
        <v>7.0657652889210007E-3</v>
      </c>
      <c r="H29" s="21">
        <f>Reaggregated!I364</f>
        <v>5.8414718469043704E-3</v>
      </c>
      <c r="I29" s="21">
        <f>Reaggregated!J364</f>
        <v>6.5489443990297807E-3</v>
      </c>
      <c r="J29" s="21">
        <f>Reaggregated!K364</f>
        <v>5.6199206696699736E-3</v>
      </c>
      <c r="K29" s="21">
        <f>Reaggregated!L364</f>
        <v>1.6330698027123894E-3</v>
      </c>
      <c r="L29" s="21">
        <f>Reaggregated!M364</f>
        <v>4.5512785132574684E-3</v>
      </c>
      <c r="M29" s="21">
        <f>Reaggregated!N364</f>
        <v>3.3944186988126195E-3</v>
      </c>
      <c r="N29" s="21">
        <f>Reaggregated!O364</f>
        <v>4.6937099713319792E-3</v>
      </c>
      <c r="O29" s="21">
        <f>Reaggregated!P364</f>
        <v>2.1142434977316226E-2</v>
      </c>
      <c r="P29" s="21">
        <f>Reaggregated!Q364</f>
        <v>5.2372246207413363E-3</v>
      </c>
      <c r="Q29" s="21">
        <f>Reaggregated!R364</f>
        <v>6.1200308656689179E-3</v>
      </c>
      <c r="R29" s="21">
        <f>Reaggregated!S364</f>
        <v>6.1990382744886328E-3</v>
      </c>
      <c r="S29" s="21">
        <f>Reaggregated!T364</f>
        <v>6.8736687117187962E-3</v>
      </c>
      <c r="T29" s="21">
        <f>Reaggregated!U364</f>
        <v>2.8366024296564052E-3</v>
      </c>
      <c r="U29" s="21">
        <f>Reaggregated!V364</f>
        <v>4.8736200786152718E-3</v>
      </c>
      <c r="V29" s="21">
        <f>Reaggregated!W364</f>
        <v>5.1865204231409737E-3</v>
      </c>
      <c r="W29" s="21">
        <f>Reaggregated!X364</f>
        <v>5.2103094633812377E-3</v>
      </c>
      <c r="X29" s="21">
        <f>Reaggregated!Y364</f>
        <v>7.3639607771952432E-3</v>
      </c>
      <c r="Y29" s="21">
        <f>Reaggregated!Z364</f>
        <v>6.8612958743774011E-3</v>
      </c>
      <c r="Z29" s="21">
        <f>Reaggregated!AA364</f>
        <v>1.5118461498063021E-2</v>
      </c>
      <c r="AA29" s="21">
        <f>Reaggregated!AB364</f>
        <v>3.6310685047489847E-3</v>
      </c>
      <c r="AB29" s="21">
        <f>Reaggregated!AC364</f>
        <v>1.7606725831330317E-2</v>
      </c>
      <c r="AC29" s="21">
        <f>Reaggregated!AD364</f>
        <v>1.0902505522038253</v>
      </c>
      <c r="AD29" s="21">
        <f>Reaggregated!AE364</f>
        <v>1.0160182416167004E-2</v>
      </c>
      <c r="AE29" s="21">
        <f>Reaggregated!AF364</f>
        <v>1.0068436254308425E-2</v>
      </c>
      <c r="AF29" s="21">
        <f>Reaggregated!AG364</f>
        <v>1.0957003305125187E-2</v>
      </c>
      <c r="AG29" s="21">
        <f>Reaggregated!AH364</f>
        <v>5.4057765179349772E-3</v>
      </c>
      <c r="AH29" s="21">
        <f>Reaggregated!AI364</f>
        <v>1.3586523092904285E-2</v>
      </c>
      <c r="AI29" s="21">
        <f>Reaggregated!AJ364</f>
        <v>4.5931898646934038E-3</v>
      </c>
      <c r="AJ29" s="21">
        <f>Reaggregated!AK364</f>
        <v>5.3492402634573903E-3</v>
      </c>
      <c r="AK29" s="21">
        <f>Reaggregated!AL364</f>
        <v>7.5178025153425962E-2</v>
      </c>
      <c r="AL29" s="21">
        <f>Reaggregated!AM364</f>
        <v>9.2541591215530294E-3</v>
      </c>
      <c r="AM29" s="21">
        <f>Reaggregated!AN364</f>
        <v>1.5498061057237134E-2</v>
      </c>
      <c r="AN29" s="21">
        <f>Reaggregated!AO364</f>
        <v>1.1216892559572809E-2</v>
      </c>
      <c r="AO29" s="21">
        <f>Reaggregated!AP364</f>
        <v>7.6972052205336273E-3</v>
      </c>
      <c r="AP29" s="21">
        <f>Reaggregated!AQ364</f>
        <v>9.5595535740430563E-3</v>
      </c>
      <c r="AQ29" s="21">
        <f>Reaggregated!AR364</f>
        <v>0</v>
      </c>
    </row>
    <row r="30" spans="1:43">
      <c r="A30" s="17" t="s">
        <v>21</v>
      </c>
      <c r="B30" s="21">
        <f>Reaggregated!C365</f>
        <v>7.5062103813587924E-2</v>
      </c>
      <c r="C30" s="21">
        <f>Reaggregated!D365</f>
        <v>4.7582967156509046E-2</v>
      </c>
      <c r="D30" s="21">
        <f>Reaggregated!E365</f>
        <v>3.5559773871432755E-2</v>
      </c>
      <c r="E30" s="21">
        <f>Reaggregated!F365</f>
        <v>5.4036330140385967E-2</v>
      </c>
      <c r="F30" s="21">
        <f>Reaggregated!G365</f>
        <v>3.6624642809001247E-2</v>
      </c>
      <c r="G30" s="21">
        <f>Reaggregated!H365</f>
        <v>0.12685712580075073</v>
      </c>
      <c r="H30" s="21">
        <f>Reaggregated!I365</f>
        <v>0.14561761929117314</v>
      </c>
      <c r="I30" s="21">
        <f>Reaggregated!J365</f>
        <v>8.7520389489850983E-2</v>
      </c>
      <c r="J30" s="21">
        <f>Reaggregated!K365</f>
        <v>8.1260070894050102E-2</v>
      </c>
      <c r="K30" s="21">
        <f>Reaggregated!L365</f>
        <v>2.2602864973345346E-2</v>
      </c>
      <c r="L30" s="21">
        <f>Reaggregated!M365</f>
        <v>9.5261783569664887E-2</v>
      </c>
      <c r="M30" s="21">
        <f>Reaggregated!N365</f>
        <v>9.1581316710462726E-2</v>
      </c>
      <c r="N30" s="21">
        <f>Reaggregated!O365</f>
        <v>9.7618130298614006E-2</v>
      </c>
      <c r="O30" s="21">
        <f>Reaggregated!P365</f>
        <v>7.9367628401916676E-2</v>
      </c>
      <c r="P30" s="21">
        <f>Reaggregated!Q365</f>
        <v>1.6817328459759869E-2</v>
      </c>
      <c r="Q30" s="21">
        <f>Reaggregated!R365</f>
        <v>6.6946320206217866E-2</v>
      </c>
      <c r="R30" s="21">
        <f>Reaggregated!S365</f>
        <v>4.8548613151940312E-2</v>
      </c>
      <c r="S30" s="21">
        <f>Reaggregated!T365</f>
        <v>7.5927773992590333E-2</v>
      </c>
      <c r="T30" s="21">
        <f>Reaggregated!U365</f>
        <v>8.1097125597858616E-2</v>
      </c>
      <c r="U30" s="21">
        <f>Reaggregated!V365</f>
        <v>9.1276358888519982E-2</v>
      </c>
      <c r="V30" s="21">
        <f>Reaggregated!W365</f>
        <v>9.0231575853021814E-2</v>
      </c>
      <c r="W30" s="21">
        <f>Reaggregated!X365</f>
        <v>0.1144067319699522</v>
      </c>
      <c r="X30" s="21">
        <f>Reaggregated!Y365</f>
        <v>9.1821010116257082E-2</v>
      </c>
      <c r="Y30" s="21">
        <f>Reaggregated!Z365</f>
        <v>8.589463645595298E-2</v>
      </c>
      <c r="Z30" s="21">
        <f>Reaggregated!AA365</f>
        <v>3.5507465326701709E-2</v>
      </c>
      <c r="AA30" s="21">
        <f>Reaggregated!AB365</f>
        <v>3.3795522727908235E-2</v>
      </c>
      <c r="AB30" s="21">
        <f>Reaggregated!AC365</f>
        <v>4.425063061923748E-2</v>
      </c>
      <c r="AC30" s="21">
        <f>Reaggregated!AD365</f>
        <v>6.3647137636854076E-2</v>
      </c>
      <c r="AD30" s="21">
        <f>Reaggregated!AE365</f>
        <v>1.0419486905965123</v>
      </c>
      <c r="AE30" s="21">
        <f>Reaggregated!AF365</f>
        <v>4.1327715206780281E-2</v>
      </c>
      <c r="AF30" s="21">
        <f>Reaggregated!AG365</f>
        <v>0.10178663553010835</v>
      </c>
      <c r="AG30" s="21">
        <f>Reaggregated!AH365</f>
        <v>3.2297825898525895E-2</v>
      </c>
      <c r="AH30" s="21">
        <f>Reaggregated!AI365</f>
        <v>4.0842758159306825E-2</v>
      </c>
      <c r="AI30" s="21">
        <f>Reaggregated!AJ365</f>
        <v>2.5534503960158408E-2</v>
      </c>
      <c r="AJ30" s="21">
        <f>Reaggregated!AK365</f>
        <v>1.521167117742927E-2</v>
      </c>
      <c r="AK30" s="21">
        <f>Reaggregated!AL365</f>
        <v>1.7182667039640345E-2</v>
      </c>
      <c r="AL30" s="21">
        <f>Reaggregated!AM365</f>
        <v>3.0797219785193342E-2</v>
      </c>
      <c r="AM30" s="21">
        <f>Reaggregated!AN365</f>
        <v>2.2226955169604885E-2</v>
      </c>
      <c r="AN30" s="21">
        <f>Reaggregated!AO365</f>
        <v>2.627260367041992E-2</v>
      </c>
      <c r="AO30" s="21">
        <f>Reaggregated!AP365</f>
        <v>6.09885779622256E-2</v>
      </c>
      <c r="AP30" s="21">
        <f>Reaggregated!AQ365</f>
        <v>5.2033068387481091E-2</v>
      </c>
      <c r="AQ30" s="21">
        <f>Reaggregated!AR365</f>
        <v>0</v>
      </c>
    </row>
    <row r="31" spans="1:43">
      <c r="A31" s="17" t="s">
        <v>22</v>
      </c>
      <c r="B31" s="21">
        <f>Reaggregated!C366</f>
        <v>2.822508924288409E-2</v>
      </c>
      <c r="C31" s="21">
        <f>Reaggregated!D366</f>
        <v>4.6240841080040083E-2</v>
      </c>
      <c r="D31" s="21">
        <f>Reaggregated!E366</f>
        <v>4.1246930401990137E-2</v>
      </c>
      <c r="E31" s="21">
        <f>Reaggregated!F366</f>
        <v>4.2396988340722232E-2</v>
      </c>
      <c r="F31" s="21">
        <f>Reaggregated!G366</f>
        <v>3.5319457114967472E-2</v>
      </c>
      <c r="G31" s="21">
        <f>Reaggregated!H366</f>
        <v>4.7855495688197282E-2</v>
      </c>
      <c r="H31" s="21">
        <f>Reaggregated!I366</f>
        <v>3.9436235057244945E-2</v>
      </c>
      <c r="I31" s="21">
        <f>Reaggregated!J366</f>
        <v>4.6199130366584476E-2</v>
      </c>
      <c r="J31" s="21">
        <f>Reaggregated!K366</f>
        <v>3.8332282913774496E-2</v>
      </c>
      <c r="K31" s="21">
        <f>Reaggregated!L366</f>
        <v>2.1697576339712952E-2</v>
      </c>
      <c r="L31" s="21">
        <f>Reaggregated!M366</f>
        <v>3.2007772167774742E-2</v>
      </c>
      <c r="M31" s="21">
        <f>Reaggregated!N366</f>
        <v>2.6305932788208853E-2</v>
      </c>
      <c r="N31" s="21">
        <f>Reaggregated!O366</f>
        <v>2.9497742328191655E-2</v>
      </c>
      <c r="O31" s="21">
        <f>Reaggregated!P366</f>
        <v>4.7633657987952938E-2</v>
      </c>
      <c r="P31" s="21">
        <f>Reaggregated!Q366</f>
        <v>3.4886908330673413E-2</v>
      </c>
      <c r="Q31" s="21">
        <f>Reaggregated!R366</f>
        <v>2.7498994651090857E-2</v>
      </c>
      <c r="R31" s="21">
        <f>Reaggregated!S366</f>
        <v>2.7063582489314023E-2</v>
      </c>
      <c r="S31" s="21">
        <f>Reaggregated!T366</f>
        <v>2.8265445760016755E-2</v>
      </c>
      <c r="T31" s="21">
        <f>Reaggregated!U366</f>
        <v>2.1085793929595354E-2</v>
      </c>
      <c r="U31" s="21">
        <f>Reaggregated!V366</f>
        <v>3.2659196814765451E-2</v>
      </c>
      <c r="V31" s="21">
        <f>Reaggregated!W366</f>
        <v>3.1146268990879064E-2</v>
      </c>
      <c r="W31" s="21">
        <f>Reaggregated!X366</f>
        <v>3.6652520317201023E-2</v>
      </c>
      <c r="X31" s="21">
        <f>Reaggregated!Y366</f>
        <v>3.2357591237740617E-2</v>
      </c>
      <c r="Y31" s="21">
        <f>Reaggregated!Z366</f>
        <v>3.2956886815014241E-2</v>
      </c>
      <c r="Z31" s="21">
        <f>Reaggregated!AA366</f>
        <v>2.6157364582316458E-2</v>
      </c>
      <c r="AA31" s="21">
        <f>Reaggregated!AB366</f>
        <v>4.7691485018885212E-2</v>
      </c>
      <c r="AB31" s="21">
        <f>Reaggregated!AC366</f>
        <v>2.9815008373906739E-2</v>
      </c>
      <c r="AC31" s="21">
        <f>Reaggregated!AD366</f>
        <v>2.5899257819625154E-2</v>
      </c>
      <c r="AD31" s="21">
        <f>Reaggregated!AE366</f>
        <v>7.1876769788104228E-2</v>
      </c>
      <c r="AE31" s="21">
        <f>Reaggregated!AF366</f>
        <v>1.2450563568398225</v>
      </c>
      <c r="AF31" s="21">
        <f>Reaggregated!AG366</f>
        <v>3.6742176032876654E-2</v>
      </c>
      <c r="AG31" s="21">
        <f>Reaggregated!AH366</f>
        <v>3.1687108735401565E-2</v>
      </c>
      <c r="AH31" s="21">
        <f>Reaggregated!AI366</f>
        <v>4.1866616017000806E-2</v>
      </c>
      <c r="AI31" s="21">
        <f>Reaggregated!AJ366</f>
        <v>2.3625675916789962E-2</v>
      </c>
      <c r="AJ31" s="21">
        <f>Reaggregated!AK366</f>
        <v>3.2117466739642359E-2</v>
      </c>
      <c r="AK31" s="21">
        <f>Reaggregated!AL366</f>
        <v>1.3432543661422524E-2</v>
      </c>
      <c r="AL31" s="21">
        <f>Reaggregated!AM366</f>
        <v>3.4557803558013883E-2</v>
      </c>
      <c r="AM31" s="21">
        <f>Reaggregated!AN366</f>
        <v>2.5132929312034289E-2</v>
      </c>
      <c r="AN31" s="21">
        <f>Reaggregated!AO366</f>
        <v>1.9874960549112152E-2</v>
      </c>
      <c r="AO31" s="21">
        <f>Reaggregated!AP366</f>
        <v>2.1603203585466992E-2</v>
      </c>
      <c r="AP31" s="21">
        <f>Reaggregated!AQ366</f>
        <v>3.6386480062728696E-2</v>
      </c>
      <c r="AQ31" s="21">
        <f>Reaggregated!AR366</f>
        <v>0</v>
      </c>
    </row>
    <row r="32" spans="1:43">
      <c r="A32" s="17" t="s">
        <v>23</v>
      </c>
      <c r="B32" s="21">
        <f>Reaggregated!C367</f>
        <v>2.3658078958344281E-2</v>
      </c>
      <c r="C32" s="21">
        <f>Reaggregated!D367</f>
        <v>3.248574195148822E-2</v>
      </c>
      <c r="D32" s="21">
        <f>Reaggregated!E367</f>
        <v>3.9324987820011911E-2</v>
      </c>
      <c r="E32" s="21">
        <f>Reaggregated!F367</f>
        <v>4.1166982524180565E-2</v>
      </c>
      <c r="F32" s="21">
        <f>Reaggregated!G367</f>
        <v>3.9508808804500362E-2</v>
      </c>
      <c r="G32" s="21">
        <f>Reaggregated!H367</f>
        <v>4.3051019951584404E-2</v>
      </c>
      <c r="H32" s="21">
        <f>Reaggregated!I367</f>
        <v>4.7572087283503636E-2</v>
      </c>
      <c r="I32" s="21">
        <f>Reaggregated!J367</f>
        <v>4.1371335908884123E-2</v>
      </c>
      <c r="J32" s="21">
        <f>Reaggregated!K367</f>
        <v>3.5682988348862368E-2</v>
      </c>
      <c r="K32" s="21">
        <f>Reaggregated!L367</f>
        <v>8.7962288036717573E-3</v>
      </c>
      <c r="L32" s="21">
        <f>Reaggregated!M367</f>
        <v>3.3947727441629431E-2</v>
      </c>
      <c r="M32" s="21">
        <f>Reaggregated!N367</f>
        <v>3.1332230793472783E-2</v>
      </c>
      <c r="N32" s="21">
        <f>Reaggregated!O367</f>
        <v>3.8462829154001024E-2</v>
      </c>
      <c r="O32" s="21">
        <f>Reaggregated!P367</f>
        <v>6.4041473309562877E-2</v>
      </c>
      <c r="P32" s="21">
        <f>Reaggregated!Q367</f>
        <v>3.0987415454929727E-2</v>
      </c>
      <c r="Q32" s="21">
        <f>Reaggregated!R367</f>
        <v>2.8000517242773554E-2</v>
      </c>
      <c r="R32" s="21">
        <f>Reaggregated!S367</f>
        <v>2.7651064675780886E-2</v>
      </c>
      <c r="S32" s="21">
        <f>Reaggregated!T367</f>
        <v>3.6682864825893592E-2</v>
      </c>
      <c r="T32" s="21">
        <f>Reaggregated!U367</f>
        <v>2.2753326346185831E-2</v>
      </c>
      <c r="U32" s="21">
        <f>Reaggregated!V367</f>
        <v>3.8015447828882519E-2</v>
      </c>
      <c r="V32" s="21">
        <f>Reaggregated!W367</f>
        <v>3.6591929969380918E-2</v>
      </c>
      <c r="W32" s="21">
        <f>Reaggregated!X367</f>
        <v>3.2323795237470788E-2</v>
      </c>
      <c r="X32" s="21">
        <f>Reaggregated!Y367</f>
        <v>3.89550264274705E-2</v>
      </c>
      <c r="Y32" s="21">
        <f>Reaggregated!Z367</f>
        <v>3.727082257613467E-2</v>
      </c>
      <c r="Z32" s="21">
        <f>Reaggregated!AA367</f>
        <v>3.2209277726921025E-2</v>
      </c>
      <c r="AA32" s="21">
        <f>Reaggregated!AB367</f>
        <v>3.0373631263039293E-2</v>
      </c>
      <c r="AB32" s="21">
        <f>Reaggregated!AC367</f>
        <v>4.5082980609661254E-2</v>
      </c>
      <c r="AC32" s="21">
        <f>Reaggregated!AD367</f>
        <v>3.9325408865361261E-2</v>
      </c>
      <c r="AD32" s="21">
        <f>Reaggregated!AE367</f>
        <v>6.2082689823293638E-2</v>
      </c>
      <c r="AE32" s="21">
        <f>Reaggregated!AF367</f>
        <v>6.5033649987142395E-2</v>
      </c>
      <c r="AF32" s="21">
        <f>Reaggregated!AG367</f>
        <v>1.0796627820314517</v>
      </c>
      <c r="AG32" s="21">
        <f>Reaggregated!AH367</f>
        <v>6.3233111248682805E-2</v>
      </c>
      <c r="AH32" s="21">
        <f>Reaggregated!AI367</f>
        <v>5.5274510148105145E-2</v>
      </c>
      <c r="AI32" s="21">
        <f>Reaggregated!AJ367</f>
        <v>6.3724430698866893E-2</v>
      </c>
      <c r="AJ32" s="21">
        <f>Reaggregated!AK367</f>
        <v>5.8963587546648315E-2</v>
      </c>
      <c r="AK32" s="21">
        <f>Reaggregated!AL367</f>
        <v>2.6985764956472529E-2</v>
      </c>
      <c r="AL32" s="21">
        <f>Reaggregated!AM367</f>
        <v>8.1301203395117913E-2</v>
      </c>
      <c r="AM32" s="21">
        <f>Reaggregated!AN367</f>
        <v>5.7918455664417001E-2</v>
      </c>
      <c r="AN32" s="21">
        <f>Reaggregated!AO367</f>
        <v>7.9355086252875726E-2</v>
      </c>
      <c r="AO32" s="21">
        <f>Reaggregated!AP367</f>
        <v>8.8001107648861182E-2</v>
      </c>
      <c r="AP32" s="21">
        <f>Reaggregated!AQ367</f>
        <v>0.1115821685230776</v>
      </c>
      <c r="AQ32" s="21">
        <f>Reaggregated!AR367</f>
        <v>0</v>
      </c>
    </row>
    <row r="33" spans="1:43">
      <c r="A33" s="17" t="s">
        <v>24</v>
      </c>
      <c r="B33" s="21">
        <f>Reaggregated!C368</f>
        <v>5.2997392830252113E-3</v>
      </c>
      <c r="C33" s="21">
        <f>Reaggregated!D368</f>
        <v>6.3028375399135656E-3</v>
      </c>
      <c r="D33" s="21">
        <f>Reaggregated!E368</f>
        <v>7.8995479152645185E-3</v>
      </c>
      <c r="E33" s="21">
        <f>Reaggregated!F368</f>
        <v>7.7447713854854891E-3</v>
      </c>
      <c r="F33" s="21">
        <f>Reaggregated!G368</f>
        <v>8.9567317793137254E-3</v>
      </c>
      <c r="G33" s="21">
        <f>Reaggregated!H368</f>
        <v>1.193622262499993E-2</v>
      </c>
      <c r="H33" s="21">
        <f>Reaggregated!I368</f>
        <v>1.1329332802312036E-2</v>
      </c>
      <c r="I33" s="21">
        <f>Reaggregated!J368</f>
        <v>1.0042028356080321E-2</v>
      </c>
      <c r="J33" s="21">
        <f>Reaggregated!K368</f>
        <v>1.3591605018807041E-2</v>
      </c>
      <c r="K33" s="21">
        <f>Reaggregated!L368</f>
        <v>1.8067890680172536E-3</v>
      </c>
      <c r="L33" s="21">
        <f>Reaggregated!M368</f>
        <v>8.385355108555306E-3</v>
      </c>
      <c r="M33" s="21">
        <f>Reaggregated!N368</f>
        <v>8.8799849764090028E-3</v>
      </c>
      <c r="N33" s="21">
        <f>Reaggregated!O368</f>
        <v>7.4698061884918418E-3</v>
      </c>
      <c r="O33" s="21">
        <f>Reaggregated!P368</f>
        <v>1.2666014328944108E-2</v>
      </c>
      <c r="P33" s="21">
        <f>Reaggregated!Q368</f>
        <v>3.1188193674309304E-3</v>
      </c>
      <c r="Q33" s="21">
        <f>Reaggregated!R368</f>
        <v>6.0111356568404509E-3</v>
      </c>
      <c r="R33" s="21">
        <f>Reaggregated!S368</f>
        <v>6.5007740619304486E-3</v>
      </c>
      <c r="S33" s="21">
        <f>Reaggregated!T368</f>
        <v>7.2621943806335651E-3</v>
      </c>
      <c r="T33" s="21">
        <f>Reaggregated!U368</f>
        <v>6.5177320162051822E-3</v>
      </c>
      <c r="U33" s="21">
        <f>Reaggregated!V368</f>
        <v>1.0215688637354935E-2</v>
      </c>
      <c r="V33" s="21">
        <f>Reaggregated!W368</f>
        <v>8.0196751388886701E-3</v>
      </c>
      <c r="W33" s="21">
        <f>Reaggregated!X368</f>
        <v>8.470502569932049E-3</v>
      </c>
      <c r="X33" s="21">
        <f>Reaggregated!Y368</f>
        <v>1.0480240943729232E-2</v>
      </c>
      <c r="Y33" s="21">
        <f>Reaggregated!Z368</f>
        <v>1.0374469456325749E-2</v>
      </c>
      <c r="Z33" s="21">
        <f>Reaggregated!AA368</f>
        <v>7.0116056935667507E-3</v>
      </c>
      <c r="AA33" s="21">
        <f>Reaggregated!AB368</f>
        <v>4.0299662912349765E-3</v>
      </c>
      <c r="AB33" s="21">
        <f>Reaggregated!AC368</f>
        <v>8.5581412701488183E-3</v>
      </c>
      <c r="AC33" s="21">
        <f>Reaggregated!AD368</f>
        <v>7.3426706349919921E-3</v>
      </c>
      <c r="AD33" s="21">
        <f>Reaggregated!AE368</f>
        <v>1.7176533081722786E-2</v>
      </c>
      <c r="AE33" s="21">
        <f>Reaggregated!AF368</f>
        <v>1.0260436631106408E-2</v>
      </c>
      <c r="AF33" s="21">
        <f>Reaggregated!AG368</f>
        <v>1.683378798220548E-2</v>
      </c>
      <c r="AG33" s="21">
        <f>Reaggregated!AH368</f>
        <v>1.2094042445335462</v>
      </c>
      <c r="AH33" s="21">
        <f>Reaggregated!AI368</f>
        <v>5.2363178982367482E-2</v>
      </c>
      <c r="AI33" s="21">
        <f>Reaggregated!AJ368</f>
        <v>4.4125431455399516E-2</v>
      </c>
      <c r="AJ33" s="21">
        <f>Reaggregated!AK368</f>
        <v>1.5425697802491794E-2</v>
      </c>
      <c r="AK33" s="21">
        <f>Reaggregated!AL368</f>
        <v>7.6686149177936976E-3</v>
      </c>
      <c r="AL33" s="21">
        <f>Reaggregated!AM368</f>
        <v>2.9369017039532184E-2</v>
      </c>
      <c r="AM33" s="21">
        <f>Reaggregated!AN368</f>
        <v>1.2381550249042812E-2</v>
      </c>
      <c r="AN33" s="21">
        <f>Reaggregated!AO368</f>
        <v>3.8208431117196323E-2</v>
      </c>
      <c r="AO33" s="21">
        <f>Reaggregated!AP368</f>
        <v>1.2366578315002364E-2</v>
      </c>
      <c r="AP33" s="21">
        <f>Reaggregated!AQ368</f>
        <v>3.2161556109986882E-2</v>
      </c>
      <c r="AQ33" s="21">
        <f>Reaggregated!AR368</f>
        <v>0</v>
      </c>
    </row>
    <row r="34" spans="1:43">
      <c r="A34" s="17" t="s">
        <v>25</v>
      </c>
      <c r="B34" s="21">
        <f>Reaggregated!C369</f>
        <v>4.7516354587461181E-3</v>
      </c>
      <c r="C34" s="21">
        <f>Reaggregated!D369</f>
        <v>8.7466849241824157E-3</v>
      </c>
      <c r="D34" s="21">
        <f>Reaggregated!E369</f>
        <v>9.4389711302836458E-3</v>
      </c>
      <c r="E34" s="21">
        <f>Reaggregated!F369</f>
        <v>7.7914225449179685E-3</v>
      </c>
      <c r="F34" s="21">
        <f>Reaggregated!G369</f>
        <v>7.0683735432466319E-3</v>
      </c>
      <c r="G34" s="21">
        <f>Reaggregated!H369</f>
        <v>7.5545632982896493E-3</v>
      </c>
      <c r="H34" s="21">
        <f>Reaggregated!I369</f>
        <v>8.7123103086949576E-3</v>
      </c>
      <c r="I34" s="21">
        <f>Reaggregated!J369</f>
        <v>8.1044947305947881E-3</v>
      </c>
      <c r="J34" s="21">
        <f>Reaggregated!K369</f>
        <v>7.4244666026548499E-3</v>
      </c>
      <c r="K34" s="21">
        <f>Reaggregated!L369</f>
        <v>1.5144457669341821E-3</v>
      </c>
      <c r="L34" s="21">
        <f>Reaggregated!M369</f>
        <v>4.9663458586440574E-3</v>
      </c>
      <c r="M34" s="21">
        <f>Reaggregated!N369</f>
        <v>6.6048292430803644E-3</v>
      </c>
      <c r="N34" s="21">
        <f>Reaggregated!O369</f>
        <v>5.5103920229150928E-3</v>
      </c>
      <c r="O34" s="21">
        <f>Reaggregated!P369</f>
        <v>1.1005580520582025E-2</v>
      </c>
      <c r="P34" s="21">
        <f>Reaggregated!Q369</f>
        <v>4.9716100963021516E-3</v>
      </c>
      <c r="Q34" s="21">
        <f>Reaggregated!R369</f>
        <v>4.2774846027811226E-3</v>
      </c>
      <c r="R34" s="21">
        <f>Reaggregated!S369</f>
        <v>4.7516207493113385E-3</v>
      </c>
      <c r="S34" s="21">
        <f>Reaggregated!T369</f>
        <v>6.0678322999782241E-3</v>
      </c>
      <c r="T34" s="21">
        <f>Reaggregated!U369</f>
        <v>4.9914128084814361E-3</v>
      </c>
      <c r="U34" s="21">
        <f>Reaggregated!V369</f>
        <v>6.8276536066226032E-3</v>
      </c>
      <c r="V34" s="21">
        <f>Reaggregated!W369</f>
        <v>7.5629643411774241E-3</v>
      </c>
      <c r="W34" s="21">
        <f>Reaggregated!X369</f>
        <v>7.5474235683026959E-3</v>
      </c>
      <c r="X34" s="21">
        <f>Reaggregated!Y369</f>
        <v>7.1569692927653866E-3</v>
      </c>
      <c r="Y34" s="21">
        <f>Reaggregated!Z369</f>
        <v>7.841366917485092E-3</v>
      </c>
      <c r="Z34" s="21">
        <f>Reaggregated!AA369</f>
        <v>5.8265804380157899E-3</v>
      </c>
      <c r="AA34" s="21">
        <f>Reaggregated!AB369</f>
        <v>4.3861381571016229E-3</v>
      </c>
      <c r="AB34" s="21">
        <f>Reaggregated!AC369</f>
        <v>6.9072452317399616E-3</v>
      </c>
      <c r="AC34" s="21">
        <f>Reaggregated!AD369</f>
        <v>6.8613043208916452E-3</v>
      </c>
      <c r="AD34" s="21">
        <f>Reaggregated!AE369</f>
        <v>1.4904100068813621E-2</v>
      </c>
      <c r="AE34" s="21">
        <f>Reaggregated!AF369</f>
        <v>1.0774106033180715E-2</v>
      </c>
      <c r="AF34" s="21">
        <f>Reaggregated!AG369</f>
        <v>1.3646469870817891E-2</v>
      </c>
      <c r="AG34" s="21">
        <f>Reaggregated!AH369</f>
        <v>2.0437537791215116E-2</v>
      </c>
      <c r="AH34" s="21">
        <f>Reaggregated!AI369</f>
        <v>1.195816293220886</v>
      </c>
      <c r="AI34" s="21">
        <f>Reaggregated!AJ369</f>
        <v>2.2846366760519606E-2</v>
      </c>
      <c r="AJ34" s="21">
        <f>Reaggregated!AK369</f>
        <v>1.650126311230498E-2</v>
      </c>
      <c r="AK34" s="21">
        <f>Reaggregated!AL369</f>
        <v>8.7645978523668774E-3</v>
      </c>
      <c r="AL34" s="21">
        <f>Reaggregated!AM369</f>
        <v>1.5734825516357572E-2</v>
      </c>
      <c r="AM34" s="21">
        <f>Reaggregated!AN369</f>
        <v>1.2817122382112274E-2</v>
      </c>
      <c r="AN34" s="21">
        <f>Reaggregated!AO369</f>
        <v>9.7297616083433305E-3</v>
      </c>
      <c r="AO34" s="21">
        <f>Reaggregated!AP369</f>
        <v>1.0370941372200246E-2</v>
      </c>
      <c r="AP34" s="21">
        <f>Reaggregated!AQ369</f>
        <v>1.9319740269109473E-2</v>
      </c>
      <c r="AQ34" s="21">
        <f>Reaggregated!AR369</f>
        <v>0</v>
      </c>
    </row>
    <row r="35" spans="1:43">
      <c r="A35" s="17" t="s">
        <v>26</v>
      </c>
      <c r="B35" s="21">
        <f>Reaggregated!C370</f>
        <v>3.6396690102291286E-3</v>
      </c>
      <c r="C35" s="21">
        <f>Reaggregated!D370</f>
        <v>6.445946769140367E-3</v>
      </c>
      <c r="D35" s="21">
        <f>Reaggregated!E370</f>
        <v>7.2836380634304547E-3</v>
      </c>
      <c r="E35" s="21">
        <f>Reaggregated!F370</f>
        <v>7.0090454973215288E-3</v>
      </c>
      <c r="F35" s="21">
        <f>Reaggregated!G370</f>
        <v>6.1335475511938922E-3</v>
      </c>
      <c r="G35" s="21">
        <f>Reaggregated!H370</f>
        <v>8.0710017983133021E-3</v>
      </c>
      <c r="H35" s="21">
        <f>Reaggregated!I370</f>
        <v>7.5002817379549646E-3</v>
      </c>
      <c r="I35" s="21">
        <f>Reaggregated!J370</f>
        <v>6.3563694422201986E-3</v>
      </c>
      <c r="J35" s="21">
        <f>Reaggregated!K370</f>
        <v>7.5210419968776776E-3</v>
      </c>
      <c r="K35" s="21">
        <f>Reaggregated!L370</f>
        <v>1.5257147543357851E-3</v>
      </c>
      <c r="L35" s="21">
        <f>Reaggregated!M370</f>
        <v>5.7849444328423125E-3</v>
      </c>
      <c r="M35" s="21">
        <f>Reaggregated!N370</f>
        <v>7.4027376910913868E-3</v>
      </c>
      <c r="N35" s="21">
        <f>Reaggregated!O370</f>
        <v>5.5031713625000962E-3</v>
      </c>
      <c r="O35" s="21">
        <f>Reaggregated!P370</f>
        <v>1.6064237965324617E-2</v>
      </c>
      <c r="P35" s="21">
        <f>Reaggregated!Q370</f>
        <v>4.6079209469189692E-3</v>
      </c>
      <c r="Q35" s="21">
        <f>Reaggregated!R370</f>
        <v>4.6505978332228182E-3</v>
      </c>
      <c r="R35" s="21">
        <f>Reaggregated!S370</f>
        <v>4.6716427559174555E-3</v>
      </c>
      <c r="S35" s="21">
        <f>Reaggregated!T370</f>
        <v>5.8264884642945172E-3</v>
      </c>
      <c r="T35" s="21">
        <f>Reaggregated!U370</f>
        <v>5.2919725172464824E-3</v>
      </c>
      <c r="U35" s="21">
        <f>Reaggregated!V370</f>
        <v>7.2412359918024279E-3</v>
      </c>
      <c r="V35" s="21">
        <f>Reaggregated!W370</f>
        <v>6.5536931736458167E-3</v>
      </c>
      <c r="W35" s="21">
        <f>Reaggregated!X370</f>
        <v>6.1183949500920008E-3</v>
      </c>
      <c r="X35" s="21">
        <f>Reaggregated!Y370</f>
        <v>7.5835493608013282E-3</v>
      </c>
      <c r="Y35" s="21">
        <f>Reaggregated!Z370</f>
        <v>7.0561152450043076E-3</v>
      </c>
      <c r="Z35" s="21">
        <f>Reaggregated!AA370</f>
        <v>7.6618747575821532E-3</v>
      </c>
      <c r="AA35" s="21">
        <f>Reaggregated!AB370</f>
        <v>3.1084029287442656E-3</v>
      </c>
      <c r="AB35" s="21">
        <f>Reaggregated!AC370</f>
        <v>7.5517788102606124E-3</v>
      </c>
      <c r="AC35" s="21">
        <f>Reaggregated!AD370</f>
        <v>6.0888432992940956E-3</v>
      </c>
      <c r="AD35" s="21">
        <f>Reaggregated!AE370</f>
        <v>1.1642872174457008E-2</v>
      </c>
      <c r="AE35" s="21">
        <f>Reaggregated!AF370</f>
        <v>9.8274881976753922E-3</v>
      </c>
      <c r="AF35" s="21">
        <f>Reaggregated!AG370</f>
        <v>8.7477091983959848E-3</v>
      </c>
      <c r="AG35" s="21">
        <f>Reaggregated!AH370</f>
        <v>1.8109186858626673E-2</v>
      </c>
      <c r="AH35" s="21">
        <f>Reaggregated!AI370</f>
        <v>3.4882186255955162E-2</v>
      </c>
      <c r="AI35" s="21">
        <f>Reaggregated!AJ370</f>
        <v>1.0994022300282027</v>
      </c>
      <c r="AJ35" s="21">
        <f>Reaggregated!AK370</f>
        <v>1.8981188546292934E-2</v>
      </c>
      <c r="AK35" s="21">
        <f>Reaggregated!AL370</f>
        <v>6.1970193147907722E-3</v>
      </c>
      <c r="AL35" s="21">
        <f>Reaggregated!AM370</f>
        <v>1.7818363844945166E-2</v>
      </c>
      <c r="AM35" s="21">
        <f>Reaggregated!AN370</f>
        <v>9.569397173317189E-3</v>
      </c>
      <c r="AN35" s="21">
        <f>Reaggregated!AO370</f>
        <v>9.2518468417790052E-3</v>
      </c>
      <c r="AO35" s="21">
        <f>Reaggregated!AP370</f>
        <v>7.4177744366020083E-3</v>
      </c>
      <c r="AP35" s="21">
        <f>Reaggregated!AQ370</f>
        <v>1.216234400710979E-2</v>
      </c>
      <c r="AQ35" s="21">
        <f>Reaggregated!AR370</f>
        <v>0</v>
      </c>
    </row>
    <row r="36" spans="1:43">
      <c r="A36" s="17" t="s">
        <v>27</v>
      </c>
      <c r="B36" s="21">
        <f>Reaggregated!C371</f>
        <v>3.0286798055726327E-2</v>
      </c>
      <c r="C36" s="21">
        <f>Reaggregated!D371</f>
        <v>3.0385799549722026E-2</v>
      </c>
      <c r="D36" s="21">
        <f>Reaggregated!E371</f>
        <v>4.6855614639147572E-2</v>
      </c>
      <c r="E36" s="21">
        <f>Reaggregated!F371</f>
        <v>3.2445788467039278E-2</v>
      </c>
      <c r="F36" s="21">
        <f>Reaggregated!G371</f>
        <v>4.294725036754423E-2</v>
      </c>
      <c r="G36" s="21">
        <f>Reaggregated!H371</f>
        <v>4.3291637719098212E-2</v>
      </c>
      <c r="H36" s="21">
        <f>Reaggregated!I371</f>
        <v>3.6274300650197433E-2</v>
      </c>
      <c r="I36" s="21">
        <f>Reaggregated!J371</f>
        <v>3.4314749762493602E-2</v>
      </c>
      <c r="J36" s="21">
        <f>Reaggregated!K371</f>
        <v>3.5617862434518248E-2</v>
      </c>
      <c r="K36" s="21">
        <f>Reaggregated!L371</f>
        <v>1.0092584997571796E-2</v>
      </c>
      <c r="L36" s="21">
        <f>Reaggregated!M371</f>
        <v>2.742016734118469E-2</v>
      </c>
      <c r="M36" s="21">
        <f>Reaggregated!N371</f>
        <v>2.479391394638707E-2</v>
      </c>
      <c r="N36" s="21">
        <f>Reaggregated!O371</f>
        <v>2.7649376603411168E-2</v>
      </c>
      <c r="O36" s="21">
        <f>Reaggregated!P371</f>
        <v>5.4248349601692045E-2</v>
      </c>
      <c r="P36" s="21">
        <f>Reaggregated!Q371</f>
        <v>2.8203520030692826E-2</v>
      </c>
      <c r="Q36" s="21">
        <f>Reaggregated!R371</f>
        <v>2.4040524911181083E-2</v>
      </c>
      <c r="R36" s="21">
        <f>Reaggregated!S371</f>
        <v>2.7711496752816017E-2</v>
      </c>
      <c r="S36" s="21">
        <f>Reaggregated!T371</f>
        <v>2.7469337706448681E-2</v>
      </c>
      <c r="T36" s="21">
        <f>Reaggregated!U371</f>
        <v>1.8138151740247212E-2</v>
      </c>
      <c r="U36" s="21">
        <f>Reaggregated!V371</f>
        <v>3.0229855184601393E-2</v>
      </c>
      <c r="V36" s="21">
        <f>Reaggregated!W371</f>
        <v>2.8490088808073782E-2</v>
      </c>
      <c r="W36" s="21">
        <f>Reaggregated!X371</f>
        <v>2.7144471952412492E-2</v>
      </c>
      <c r="X36" s="21">
        <f>Reaggregated!Y371</f>
        <v>3.2232289204934594E-2</v>
      </c>
      <c r="Y36" s="21">
        <f>Reaggregated!Z371</f>
        <v>3.1763026843385285E-2</v>
      </c>
      <c r="Z36" s="21">
        <f>Reaggregated!AA371</f>
        <v>3.3543760914211788E-2</v>
      </c>
      <c r="AA36" s="21">
        <f>Reaggregated!AB371</f>
        <v>1.716589661417485E-2</v>
      </c>
      <c r="AB36" s="21">
        <f>Reaggregated!AC371</f>
        <v>3.0477967841440426E-2</v>
      </c>
      <c r="AC36" s="21">
        <f>Reaggregated!AD371</f>
        <v>2.7590265388922161E-2</v>
      </c>
      <c r="AD36" s="21">
        <f>Reaggregated!AE371</f>
        <v>4.8217281524203265E-2</v>
      </c>
      <c r="AE36" s="21">
        <f>Reaggregated!AF371</f>
        <v>3.4974011353215581E-2</v>
      </c>
      <c r="AF36" s="21">
        <f>Reaggregated!AG371</f>
        <v>4.1102963932095241E-2</v>
      </c>
      <c r="AG36" s="21">
        <f>Reaggregated!AH371</f>
        <v>2.6470748274106556E-2</v>
      </c>
      <c r="AH36" s="21">
        <f>Reaggregated!AI371</f>
        <v>4.2102791056290868E-2</v>
      </c>
      <c r="AI36" s="21">
        <f>Reaggregated!AJ371</f>
        <v>2.7570902848604556E-2</v>
      </c>
      <c r="AJ36" s="21">
        <f>Reaggregated!AK371</f>
        <v>1.2069472283404912</v>
      </c>
      <c r="AK36" s="21">
        <f>Reaggregated!AL371</f>
        <v>0.13825603138892292</v>
      </c>
      <c r="AL36" s="21">
        <f>Reaggregated!AM371</f>
        <v>4.1097284026833068E-2</v>
      </c>
      <c r="AM36" s="21">
        <f>Reaggregated!AN371</f>
        <v>2.3175159984773493E-2</v>
      </c>
      <c r="AN36" s="21">
        <f>Reaggregated!AO371</f>
        <v>2.1043876286979159E-2</v>
      </c>
      <c r="AO36" s="21">
        <f>Reaggregated!AP371</f>
        <v>2.0798098220192553E-2</v>
      </c>
      <c r="AP36" s="21">
        <f>Reaggregated!AQ371</f>
        <v>4.1039491985330787E-2</v>
      </c>
      <c r="AQ36" s="21">
        <f>Reaggregated!AR371</f>
        <v>0</v>
      </c>
    </row>
    <row r="37" spans="1:43">
      <c r="A37" s="17" t="s">
        <v>28</v>
      </c>
      <c r="B37" s="21">
        <f>Reaggregated!C372</f>
        <v>5.8659908017968266E-3</v>
      </c>
      <c r="C37" s="21">
        <f>Reaggregated!D372</f>
        <v>7.9437302837679444E-3</v>
      </c>
      <c r="D37" s="21">
        <f>Reaggregated!E372</f>
        <v>9.3812932613684154E-3</v>
      </c>
      <c r="E37" s="21">
        <f>Reaggregated!F372</f>
        <v>9.5819217916359931E-3</v>
      </c>
      <c r="F37" s="21">
        <f>Reaggregated!G372</f>
        <v>8.4406182548322772E-3</v>
      </c>
      <c r="G37" s="21">
        <f>Reaggregated!H372</f>
        <v>1.2021409134693694E-2</v>
      </c>
      <c r="H37" s="21">
        <f>Reaggregated!I372</f>
        <v>1.3939064167947485E-2</v>
      </c>
      <c r="I37" s="21">
        <f>Reaggregated!J372</f>
        <v>1.0007285025294431E-2</v>
      </c>
      <c r="J37" s="21">
        <f>Reaggregated!K372</f>
        <v>9.9441614280249488E-3</v>
      </c>
      <c r="K37" s="21">
        <f>Reaggregated!L372</f>
        <v>2.1750223870888831E-3</v>
      </c>
      <c r="L37" s="21">
        <f>Reaggregated!M372</f>
        <v>7.642830282298718E-3</v>
      </c>
      <c r="M37" s="21">
        <f>Reaggregated!N372</f>
        <v>7.8963625127045738E-3</v>
      </c>
      <c r="N37" s="21">
        <f>Reaggregated!O372</f>
        <v>8.514682856346845E-3</v>
      </c>
      <c r="O37" s="21">
        <f>Reaggregated!P372</f>
        <v>1.4577640686155528E-2</v>
      </c>
      <c r="P37" s="21">
        <f>Reaggregated!Q372</f>
        <v>6.4917227740689774E-3</v>
      </c>
      <c r="Q37" s="21">
        <f>Reaggregated!R372</f>
        <v>6.5253726239925683E-3</v>
      </c>
      <c r="R37" s="21">
        <f>Reaggregated!S372</f>
        <v>6.549691376987154E-3</v>
      </c>
      <c r="S37" s="21">
        <f>Reaggregated!T372</f>
        <v>9.2602920381041273E-3</v>
      </c>
      <c r="T37" s="21">
        <f>Reaggregated!U372</f>
        <v>6.4723225847600051E-3</v>
      </c>
      <c r="U37" s="21">
        <f>Reaggregated!V372</f>
        <v>9.1658351734126738E-3</v>
      </c>
      <c r="V37" s="21">
        <f>Reaggregated!W372</f>
        <v>8.9183793998757355E-3</v>
      </c>
      <c r="W37" s="21">
        <f>Reaggregated!X372</f>
        <v>9.5613393208807528E-3</v>
      </c>
      <c r="X37" s="21">
        <f>Reaggregated!Y372</f>
        <v>1.161610328342318E-2</v>
      </c>
      <c r="Y37" s="21">
        <f>Reaggregated!Z372</f>
        <v>1.1292788785189937E-2</v>
      </c>
      <c r="Z37" s="21">
        <f>Reaggregated!AA372</f>
        <v>6.6349430538947055E-3</v>
      </c>
      <c r="AA37" s="21">
        <f>Reaggregated!AB372</f>
        <v>5.5981022187477948E-3</v>
      </c>
      <c r="AB37" s="21">
        <f>Reaggregated!AC372</f>
        <v>8.6894473360791414E-3</v>
      </c>
      <c r="AC37" s="21">
        <f>Reaggregated!AD372</f>
        <v>9.7971092285108214E-3</v>
      </c>
      <c r="AD37" s="21">
        <f>Reaggregated!AE372</f>
        <v>3.3344871842063195E-2</v>
      </c>
      <c r="AE37" s="21">
        <f>Reaggregated!AF372</f>
        <v>1.5667942243870105E-2</v>
      </c>
      <c r="AF37" s="21">
        <f>Reaggregated!AG372</f>
        <v>3.5111916313288624E-2</v>
      </c>
      <c r="AG37" s="21">
        <f>Reaggregated!AH372</f>
        <v>1.544098346194929E-2</v>
      </c>
      <c r="AH37" s="21">
        <f>Reaggregated!AI372</f>
        <v>2.2221727280192508E-2</v>
      </c>
      <c r="AI37" s="21">
        <f>Reaggregated!AJ372</f>
        <v>1.7403198387476962E-2</v>
      </c>
      <c r="AJ37" s="21">
        <f>Reaggregated!AK372</f>
        <v>1.4063645783568758E-2</v>
      </c>
      <c r="AK37" s="21">
        <f>Reaggregated!AL372</f>
        <v>1.0184511883720719</v>
      </c>
      <c r="AL37" s="21">
        <f>Reaggregated!AM372</f>
        <v>1.8110826046489621E-2</v>
      </c>
      <c r="AM37" s="21">
        <f>Reaggregated!AN372</f>
        <v>9.3970130559698495E-3</v>
      </c>
      <c r="AN37" s="21">
        <f>Reaggregated!AO372</f>
        <v>1.3722700262688417E-2</v>
      </c>
      <c r="AO37" s="21">
        <f>Reaggregated!AP372</f>
        <v>1.3821666501144407E-2</v>
      </c>
      <c r="AP37" s="21">
        <f>Reaggregated!AQ372</f>
        <v>2.5014813492706612E-2</v>
      </c>
      <c r="AQ37" s="21">
        <f>Reaggregated!AR372</f>
        <v>0</v>
      </c>
    </row>
    <row r="38" spans="1:43">
      <c r="A38" s="17" t="s">
        <v>29</v>
      </c>
      <c r="B38" s="21">
        <f>Reaggregated!C373</f>
        <v>4.0545807343364069E-2</v>
      </c>
      <c r="C38" s="21">
        <f>Reaggregated!D373</f>
        <v>7.0379868983852817E-2</v>
      </c>
      <c r="D38" s="21">
        <f>Reaggregated!E373</f>
        <v>9.7003866347187023E-2</v>
      </c>
      <c r="E38" s="21">
        <f>Reaggregated!F373</f>
        <v>8.4256217101230185E-2</v>
      </c>
      <c r="F38" s="21">
        <f>Reaggregated!G373</f>
        <v>0.13607724896489737</v>
      </c>
      <c r="G38" s="21">
        <f>Reaggregated!H373</f>
        <v>7.7114849349087827E-2</v>
      </c>
      <c r="H38" s="21">
        <f>Reaggregated!I373</f>
        <v>6.4996767026689578E-2</v>
      </c>
      <c r="I38" s="21">
        <f>Reaggregated!J373</f>
        <v>5.5953433784858057E-2</v>
      </c>
      <c r="J38" s="21">
        <f>Reaggregated!K373</f>
        <v>6.076965735208744E-2</v>
      </c>
      <c r="K38" s="21">
        <f>Reaggregated!L373</f>
        <v>1.4769932914816595E-2</v>
      </c>
      <c r="L38" s="21">
        <f>Reaggregated!M373</f>
        <v>5.1184967274895229E-2</v>
      </c>
      <c r="M38" s="21">
        <f>Reaggregated!N373</f>
        <v>5.8823527671467889E-2</v>
      </c>
      <c r="N38" s="21">
        <f>Reaggregated!O373</f>
        <v>5.5206210156862529E-2</v>
      </c>
      <c r="O38" s="21">
        <f>Reaggregated!P373</f>
        <v>0.22011691362094837</v>
      </c>
      <c r="P38" s="21">
        <f>Reaggregated!Q373</f>
        <v>3.6512492573228701E-2</v>
      </c>
      <c r="Q38" s="21">
        <f>Reaggregated!R373</f>
        <v>4.3173805704518342E-2</v>
      </c>
      <c r="R38" s="21">
        <f>Reaggregated!S373</f>
        <v>4.17293297472765E-2</v>
      </c>
      <c r="S38" s="21">
        <f>Reaggregated!T373</f>
        <v>5.5455655709993265E-2</v>
      </c>
      <c r="T38" s="21">
        <f>Reaggregated!U373</f>
        <v>4.6825314314338784E-2</v>
      </c>
      <c r="U38" s="21">
        <f>Reaggregated!V373</f>
        <v>5.9536100719386358E-2</v>
      </c>
      <c r="V38" s="21">
        <f>Reaggregated!W373</f>
        <v>5.9800391545372839E-2</v>
      </c>
      <c r="W38" s="21">
        <f>Reaggregated!X373</f>
        <v>6.971129116701158E-2</v>
      </c>
      <c r="X38" s="21">
        <f>Reaggregated!Y373</f>
        <v>7.9197991918520505E-2</v>
      </c>
      <c r="Y38" s="21">
        <f>Reaggregated!Z373</f>
        <v>6.0229159984919976E-2</v>
      </c>
      <c r="Z38" s="21">
        <f>Reaggregated!AA373</f>
        <v>6.201415230129656E-2</v>
      </c>
      <c r="AA38" s="21">
        <f>Reaggregated!AB373</f>
        <v>2.7482031204775704E-2</v>
      </c>
      <c r="AB38" s="21">
        <f>Reaggregated!AC373</f>
        <v>7.2086501390765154E-2</v>
      </c>
      <c r="AC38" s="21">
        <f>Reaggregated!AD373</f>
        <v>8.6500214934401617E-2</v>
      </c>
      <c r="AD38" s="21">
        <f>Reaggregated!AE373</f>
        <v>9.1359678253743776E-2</v>
      </c>
      <c r="AE38" s="21">
        <f>Reaggregated!AF373</f>
        <v>7.9150561003698286E-2</v>
      </c>
      <c r="AF38" s="21">
        <f>Reaggregated!AG373</f>
        <v>8.4948932903997243E-2</v>
      </c>
      <c r="AG38" s="21">
        <f>Reaggregated!AH373</f>
        <v>8.7007644797695224E-2</v>
      </c>
      <c r="AH38" s="21">
        <f>Reaggregated!AI373</f>
        <v>0.12783802610087805</v>
      </c>
      <c r="AI38" s="21">
        <f>Reaggregated!AJ373</f>
        <v>9.6473519506717523E-2</v>
      </c>
      <c r="AJ38" s="21">
        <f>Reaggregated!AK373</f>
        <v>7.8763569266060249E-2</v>
      </c>
      <c r="AK38" s="21">
        <f>Reaggregated!AL373</f>
        <v>6.5705724105739535E-2</v>
      </c>
      <c r="AL38" s="21">
        <f>Reaggregated!AM373</f>
        <v>1.1750863392436206</v>
      </c>
      <c r="AM38" s="21">
        <f>Reaggregated!AN373</f>
        <v>6.4093545347277819E-2</v>
      </c>
      <c r="AN38" s="21">
        <f>Reaggregated!AO373</f>
        <v>6.3619177201390625E-2</v>
      </c>
      <c r="AO38" s="21">
        <f>Reaggregated!AP373</f>
        <v>5.7257566473284977E-2</v>
      </c>
      <c r="AP38" s="21">
        <f>Reaggregated!AQ373</f>
        <v>9.7083952834858198E-2</v>
      </c>
      <c r="AQ38" s="21">
        <f>Reaggregated!AR373</f>
        <v>0</v>
      </c>
    </row>
    <row r="39" spans="1:43">
      <c r="A39" s="17" t="s">
        <v>30</v>
      </c>
      <c r="B39" s="21">
        <f>Reaggregated!C374</f>
        <v>8.5956933177250587E-4</v>
      </c>
      <c r="C39" s="21">
        <f>Reaggregated!D374</f>
        <v>1.0513146772208365E-3</v>
      </c>
      <c r="D39" s="21">
        <f>Reaggregated!E374</f>
        <v>7.5568179400826855E-4</v>
      </c>
      <c r="E39" s="21">
        <f>Reaggregated!F374</f>
        <v>1.0092726159786956E-3</v>
      </c>
      <c r="F39" s="21">
        <f>Reaggregated!G374</f>
        <v>1.1019368267318104E-3</v>
      </c>
      <c r="G39" s="21">
        <f>Reaggregated!H374</f>
        <v>1.3897555906424222E-3</v>
      </c>
      <c r="H39" s="21">
        <f>Reaggregated!I374</f>
        <v>1.1516608105070448E-3</v>
      </c>
      <c r="I39" s="21">
        <f>Reaggregated!J374</f>
        <v>1.3520180190794613E-3</v>
      </c>
      <c r="J39" s="21">
        <f>Reaggregated!K374</f>
        <v>1.3812624981428144E-3</v>
      </c>
      <c r="K39" s="21">
        <f>Reaggregated!L374</f>
        <v>2.0533294895952331E-4</v>
      </c>
      <c r="L39" s="21">
        <f>Reaggregated!M374</f>
        <v>7.9684936348683251E-4</v>
      </c>
      <c r="M39" s="21">
        <f>Reaggregated!N374</f>
        <v>9.5492782651886631E-4</v>
      </c>
      <c r="N39" s="21">
        <f>Reaggregated!O374</f>
        <v>8.3697403489834429E-4</v>
      </c>
      <c r="O39" s="21">
        <f>Reaggregated!P374</f>
        <v>1.2271621508343994E-3</v>
      </c>
      <c r="P39" s="21">
        <f>Reaggregated!Q374</f>
        <v>3.2951576510360629E-4</v>
      </c>
      <c r="Q39" s="21">
        <f>Reaggregated!R374</f>
        <v>1.462680768194613E-3</v>
      </c>
      <c r="R39" s="21">
        <f>Reaggregated!S374</f>
        <v>1.6353032061442677E-3</v>
      </c>
      <c r="S39" s="21">
        <f>Reaggregated!T374</f>
        <v>1.2069092589310898E-3</v>
      </c>
      <c r="T39" s="21">
        <f>Reaggregated!U374</f>
        <v>4.8918146948468831E-4</v>
      </c>
      <c r="U39" s="21">
        <f>Reaggregated!V374</f>
        <v>9.6646971836410612E-4</v>
      </c>
      <c r="V39" s="21">
        <f>Reaggregated!W374</f>
        <v>9.9650085098076501E-4</v>
      </c>
      <c r="W39" s="21">
        <f>Reaggregated!X374</f>
        <v>1.0580010086842823E-3</v>
      </c>
      <c r="X39" s="21">
        <f>Reaggregated!Y374</f>
        <v>1.2125871021483959E-3</v>
      </c>
      <c r="Y39" s="21">
        <f>Reaggregated!Z374</f>
        <v>1.0314319352889177E-3</v>
      </c>
      <c r="Z39" s="21">
        <f>Reaggregated!AA374</f>
        <v>1.2159025600039682E-3</v>
      </c>
      <c r="AA39" s="21">
        <f>Reaggregated!AB374</f>
        <v>7.71967736051283E-4</v>
      </c>
      <c r="AB39" s="21">
        <f>Reaggregated!AC374</f>
        <v>3.8176052672738285E-3</v>
      </c>
      <c r="AC39" s="21">
        <f>Reaggregated!AD374</f>
        <v>1.1742591792107636E-3</v>
      </c>
      <c r="AD39" s="21">
        <f>Reaggregated!AE374</f>
        <v>1.4818800411286685E-3</v>
      </c>
      <c r="AE39" s="21">
        <f>Reaggregated!AF374</f>
        <v>1.0739125547657067E-3</v>
      </c>
      <c r="AF39" s="21">
        <f>Reaggregated!AG374</f>
        <v>1.5985293165261406E-3</v>
      </c>
      <c r="AG39" s="21">
        <f>Reaggregated!AH374</f>
        <v>1.0094708223414499E-3</v>
      </c>
      <c r="AH39" s="21">
        <f>Reaggregated!AI374</f>
        <v>1.6965107179394605E-3</v>
      </c>
      <c r="AI39" s="21">
        <f>Reaggregated!AJ374</f>
        <v>9.9782644705548405E-4</v>
      </c>
      <c r="AJ39" s="21">
        <f>Reaggregated!AK374</f>
        <v>1.2905883206907958E-3</v>
      </c>
      <c r="AK39" s="21">
        <f>Reaggregated!AL374</f>
        <v>9.9796627464229315E-4</v>
      </c>
      <c r="AL39" s="21">
        <f>Reaggregated!AM374</f>
        <v>1.3183598312275762E-3</v>
      </c>
      <c r="AM39" s="21">
        <f>Reaggregated!AN374</f>
        <v>1.0020022785860261</v>
      </c>
      <c r="AN39" s="21">
        <f>Reaggregated!AO374</f>
        <v>1.0533582956412455E-3</v>
      </c>
      <c r="AO39" s="21">
        <f>Reaggregated!AP374</f>
        <v>1.0829831518080885E-3</v>
      </c>
      <c r="AP39" s="21">
        <f>Reaggregated!AQ374</f>
        <v>1.9731135869363713E-3</v>
      </c>
      <c r="AQ39" s="21">
        <f>Reaggregated!AR374</f>
        <v>0</v>
      </c>
    </row>
    <row r="40" spans="1:43">
      <c r="A40" s="17" t="s">
        <v>31</v>
      </c>
      <c r="B40" s="21">
        <f>Reaggregated!C375</f>
        <v>1.0901562235331795E-3</v>
      </c>
      <c r="C40" s="21">
        <f>Reaggregated!D375</f>
        <v>1.4007146018016178E-3</v>
      </c>
      <c r="D40" s="21">
        <f>Reaggregated!E375</f>
        <v>1.788395019011315E-3</v>
      </c>
      <c r="E40" s="21">
        <f>Reaggregated!F375</f>
        <v>1.9135724272770773E-3</v>
      </c>
      <c r="F40" s="21">
        <f>Reaggregated!G375</f>
        <v>1.8058033006649456E-3</v>
      </c>
      <c r="G40" s="21">
        <f>Reaggregated!H375</f>
        <v>1.9713407653682738E-3</v>
      </c>
      <c r="H40" s="21">
        <f>Reaggregated!I375</f>
        <v>2.0557171877847889E-3</v>
      </c>
      <c r="I40" s="21">
        <f>Reaggregated!J375</f>
        <v>1.7987207163323235E-3</v>
      </c>
      <c r="J40" s="21">
        <f>Reaggregated!K375</f>
        <v>1.5829722077357361E-3</v>
      </c>
      <c r="K40" s="21">
        <f>Reaggregated!L375</f>
        <v>4.1333984529836416E-4</v>
      </c>
      <c r="L40" s="21">
        <f>Reaggregated!M375</f>
        <v>1.4953419955051001E-3</v>
      </c>
      <c r="M40" s="21">
        <f>Reaggregated!N375</f>
        <v>1.5071960321930873E-3</v>
      </c>
      <c r="N40" s="21">
        <f>Reaggregated!O375</f>
        <v>1.6717733993516547E-3</v>
      </c>
      <c r="O40" s="21">
        <f>Reaggregated!P375</f>
        <v>7.5070800942018739E-3</v>
      </c>
      <c r="P40" s="21">
        <f>Reaggregated!Q375</f>
        <v>5.9601035678495966E-4</v>
      </c>
      <c r="Q40" s="21">
        <f>Reaggregated!R375</f>
        <v>1.2815527479571084E-3</v>
      </c>
      <c r="R40" s="21">
        <f>Reaggregated!S375</f>
        <v>1.313654069705285E-3</v>
      </c>
      <c r="S40" s="21">
        <f>Reaggregated!T375</f>
        <v>1.6449203847747145E-3</v>
      </c>
      <c r="T40" s="21">
        <f>Reaggregated!U375</f>
        <v>1.0834149175324276E-3</v>
      </c>
      <c r="U40" s="21">
        <f>Reaggregated!V375</f>
        <v>1.7725275560677798E-3</v>
      </c>
      <c r="V40" s="21">
        <f>Reaggregated!W375</f>
        <v>1.6789986172873273E-3</v>
      </c>
      <c r="W40" s="21">
        <f>Reaggregated!X375</f>
        <v>1.4946036577754864E-3</v>
      </c>
      <c r="X40" s="21">
        <f>Reaggregated!Y375</f>
        <v>1.8869080929799456E-3</v>
      </c>
      <c r="Y40" s="21">
        <f>Reaggregated!Z375</f>
        <v>1.7026384735900227E-3</v>
      </c>
      <c r="Z40" s="21">
        <f>Reaggregated!AA375</f>
        <v>1.4820173686422994E-3</v>
      </c>
      <c r="AA40" s="21">
        <f>Reaggregated!AB375</f>
        <v>1.2857476021969451E-3</v>
      </c>
      <c r="AB40" s="21">
        <f>Reaggregated!AC375</f>
        <v>2.0363795732135071E-3</v>
      </c>
      <c r="AC40" s="21">
        <f>Reaggregated!AD375</f>
        <v>1.6992401750242775E-3</v>
      </c>
      <c r="AD40" s="21">
        <f>Reaggregated!AE375</f>
        <v>2.7033515579581451E-3</v>
      </c>
      <c r="AE40" s="21">
        <f>Reaggregated!AF375</f>
        <v>2.8321143836273596E-3</v>
      </c>
      <c r="AF40" s="21">
        <f>Reaggregated!AG375</f>
        <v>3.3662180775650523E-3</v>
      </c>
      <c r="AG40" s="21">
        <f>Reaggregated!AH375</f>
        <v>2.9814434578351429E-3</v>
      </c>
      <c r="AH40" s="21">
        <f>Reaggregated!AI375</f>
        <v>3.1089695276377929E-3</v>
      </c>
      <c r="AI40" s="21">
        <f>Reaggregated!AJ375</f>
        <v>3.2376302010873187E-3</v>
      </c>
      <c r="AJ40" s="21">
        <f>Reaggregated!AK375</f>
        <v>2.8284493226919658E-3</v>
      </c>
      <c r="AK40" s="21">
        <f>Reaggregated!AL375</f>
        <v>1.2740619382192943E-3</v>
      </c>
      <c r="AL40" s="21">
        <f>Reaggregated!AM375</f>
        <v>3.8624093321546894E-3</v>
      </c>
      <c r="AM40" s="21">
        <f>Reaggregated!AN375</f>
        <v>3.0316112970011078E-3</v>
      </c>
      <c r="AN40" s="21">
        <f>Reaggregated!AO375</f>
        <v>1.0070686488009308</v>
      </c>
      <c r="AO40" s="21">
        <f>Reaggregated!AP375</f>
        <v>3.8031011870288778E-3</v>
      </c>
      <c r="AP40" s="21">
        <f>Reaggregated!AQ375</f>
        <v>4.8367388817972925E-3</v>
      </c>
      <c r="AQ40" s="21">
        <f>Reaggregated!AR375</f>
        <v>0</v>
      </c>
    </row>
    <row r="41" spans="1:43">
      <c r="A41" s="17" t="s">
        <v>32</v>
      </c>
      <c r="B41" s="21">
        <f>Reaggregated!C376</f>
        <v>2.9101902297522762E-4</v>
      </c>
      <c r="C41" s="21">
        <f>Reaggregated!D376</f>
        <v>6.7202992479151722E-4</v>
      </c>
      <c r="D41" s="21">
        <f>Reaggregated!E376</f>
        <v>3.4761749985371201E-4</v>
      </c>
      <c r="E41" s="21">
        <f>Reaggregated!F376</f>
        <v>2.8003279347593507E-4</v>
      </c>
      <c r="F41" s="21">
        <f>Reaggregated!G376</f>
        <v>3.2757289465094977E-4</v>
      </c>
      <c r="G41" s="21">
        <f>Reaggregated!H376</f>
        <v>5.1110019911480441E-4</v>
      </c>
      <c r="H41" s="21">
        <f>Reaggregated!I376</f>
        <v>4.1650390119652472E-4</v>
      </c>
      <c r="I41" s="21">
        <f>Reaggregated!J376</f>
        <v>3.4958167021301997E-4</v>
      </c>
      <c r="J41" s="21">
        <f>Reaggregated!K376</f>
        <v>3.8053673602633239E-4</v>
      </c>
      <c r="K41" s="21">
        <f>Reaggregated!L376</f>
        <v>7.5565254595069486E-5</v>
      </c>
      <c r="L41" s="21">
        <f>Reaggregated!M376</f>
        <v>3.0047343910319401E-4</v>
      </c>
      <c r="M41" s="21">
        <f>Reaggregated!N376</f>
        <v>4.0338468636029538E-4</v>
      </c>
      <c r="N41" s="21">
        <f>Reaggregated!O376</f>
        <v>3.8160647344454338E-4</v>
      </c>
      <c r="O41" s="21">
        <f>Reaggregated!P376</f>
        <v>4.8144567649359362E-4</v>
      </c>
      <c r="P41" s="21">
        <f>Reaggregated!Q376</f>
        <v>5.144820705243802E-4</v>
      </c>
      <c r="Q41" s="21">
        <f>Reaggregated!R376</f>
        <v>2.3652932258994675E-4</v>
      </c>
      <c r="R41" s="21">
        <f>Reaggregated!S376</f>
        <v>2.8237176311460955E-4</v>
      </c>
      <c r="S41" s="21">
        <f>Reaggregated!T376</f>
        <v>4.3653497500643413E-4</v>
      </c>
      <c r="T41" s="21">
        <f>Reaggregated!U376</f>
        <v>2.4562458435760685E-4</v>
      </c>
      <c r="U41" s="21">
        <f>Reaggregated!V376</f>
        <v>3.855807113028859E-4</v>
      </c>
      <c r="V41" s="21">
        <f>Reaggregated!W376</f>
        <v>3.4977708271182226E-4</v>
      </c>
      <c r="W41" s="21">
        <f>Reaggregated!X376</f>
        <v>3.5242728813398173E-4</v>
      </c>
      <c r="X41" s="21">
        <f>Reaggregated!Y376</f>
        <v>4.7204974377464831E-4</v>
      </c>
      <c r="Y41" s="21">
        <f>Reaggregated!Z376</f>
        <v>4.0968713136833954E-4</v>
      </c>
      <c r="Z41" s="21">
        <f>Reaggregated!AA376</f>
        <v>2.7680071631801646E-4</v>
      </c>
      <c r="AA41" s="21">
        <f>Reaggregated!AB376</f>
        <v>2.5060341663245826E-4</v>
      </c>
      <c r="AB41" s="21">
        <f>Reaggregated!AC376</f>
        <v>4.6235537655269778E-4</v>
      </c>
      <c r="AC41" s="21">
        <f>Reaggregated!AD376</f>
        <v>3.6476008241719676E-4</v>
      </c>
      <c r="AD41" s="21">
        <f>Reaggregated!AE376</f>
        <v>5.5759033606727162E-4</v>
      </c>
      <c r="AE41" s="21">
        <f>Reaggregated!AF376</f>
        <v>4.0020103935213764E-4</v>
      </c>
      <c r="AF41" s="21">
        <f>Reaggregated!AG376</f>
        <v>7.0582676091160293E-4</v>
      </c>
      <c r="AG41" s="21">
        <f>Reaggregated!AH376</f>
        <v>5.1805655570825136E-4</v>
      </c>
      <c r="AH41" s="21">
        <f>Reaggregated!AI376</f>
        <v>4.5693354076846194E-4</v>
      </c>
      <c r="AI41" s="21">
        <f>Reaggregated!AJ376</f>
        <v>4.7896287018247641E-4</v>
      </c>
      <c r="AJ41" s="21">
        <f>Reaggregated!AK376</f>
        <v>5.4039650596650628E-4</v>
      </c>
      <c r="AK41" s="21">
        <f>Reaggregated!AL376</f>
        <v>2.1805284427896276E-4</v>
      </c>
      <c r="AL41" s="21">
        <f>Reaggregated!AM376</f>
        <v>6.2245622885083148E-4</v>
      </c>
      <c r="AM41" s="21">
        <f>Reaggregated!AN376</f>
        <v>1.581381250166803E-3</v>
      </c>
      <c r="AN41" s="21">
        <f>Reaggregated!AO376</f>
        <v>9.656550518270722E-4</v>
      </c>
      <c r="AO41" s="21">
        <f>Reaggregated!AP376</f>
        <v>1.0215987695895579</v>
      </c>
      <c r="AP41" s="21">
        <f>Reaggregated!AQ376</f>
        <v>1.0974254010228317E-3</v>
      </c>
      <c r="AQ41" s="21">
        <f>Reaggregated!AR376</f>
        <v>0</v>
      </c>
    </row>
    <row r="42" spans="1:43">
      <c r="A42" s="17" t="s">
        <v>33</v>
      </c>
      <c r="B42" s="21">
        <f>Reaggregated!C377</f>
        <v>4.7625276555001038E-3</v>
      </c>
      <c r="C42" s="21">
        <f>Reaggregated!D377</f>
        <v>6.7266639348116152E-3</v>
      </c>
      <c r="D42" s="21">
        <f>Reaggregated!E377</f>
        <v>7.8479908830897966E-3</v>
      </c>
      <c r="E42" s="21">
        <f>Reaggregated!F377</f>
        <v>9.0274217973277046E-3</v>
      </c>
      <c r="F42" s="21">
        <f>Reaggregated!G377</f>
        <v>8.0437185470890616E-3</v>
      </c>
      <c r="G42" s="21">
        <f>Reaggregated!H377</f>
        <v>8.1845615838840209E-3</v>
      </c>
      <c r="H42" s="21">
        <f>Reaggregated!I377</f>
        <v>8.7484979152701193E-3</v>
      </c>
      <c r="I42" s="21">
        <f>Reaggregated!J377</f>
        <v>6.7660604341610916E-3</v>
      </c>
      <c r="J42" s="21">
        <f>Reaggregated!K377</f>
        <v>6.163296016436985E-3</v>
      </c>
      <c r="K42" s="21">
        <f>Reaggregated!L377</f>
        <v>1.2118395369868657E-3</v>
      </c>
      <c r="L42" s="21">
        <f>Reaggregated!M377</f>
        <v>4.4056608089472482E-3</v>
      </c>
      <c r="M42" s="21">
        <f>Reaggregated!N377</f>
        <v>4.3010052027935815E-3</v>
      </c>
      <c r="N42" s="21">
        <f>Reaggregated!O377</f>
        <v>4.8380063204160962E-3</v>
      </c>
      <c r="O42" s="21">
        <f>Reaggregated!P377</f>
        <v>1.330839922349825E-2</v>
      </c>
      <c r="P42" s="21">
        <f>Reaggregated!Q377</f>
        <v>5.491576623410069E-3</v>
      </c>
      <c r="Q42" s="21">
        <f>Reaggregated!R377</f>
        <v>4.6278926505087343E-3</v>
      </c>
      <c r="R42" s="21">
        <f>Reaggregated!S377</f>
        <v>4.1204573079373103E-3</v>
      </c>
      <c r="S42" s="21">
        <f>Reaggregated!T377</f>
        <v>5.9983804449702466E-3</v>
      </c>
      <c r="T42" s="21">
        <f>Reaggregated!U377</f>
        <v>4.0481311848086171E-3</v>
      </c>
      <c r="U42" s="21">
        <f>Reaggregated!V377</f>
        <v>5.0041051240224755E-3</v>
      </c>
      <c r="V42" s="21">
        <f>Reaggregated!W377</f>
        <v>4.9592990431000039E-3</v>
      </c>
      <c r="W42" s="21">
        <f>Reaggregated!X377</f>
        <v>5.2752269011095967E-3</v>
      </c>
      <c r="X42" s="21">
        <f>Reaggregated!Y377</f>
        <v>6.4166637420962347E-3</v>
      </c>
      <c r="Y42" s="21">
        <f>Reaggregated!Z377</f>
        <v>6.762470681604048E-3</v>
      </c>
      <c r="Z42" s="21">
        <f>Reaggregated!AA377</f>
        <v>4.0625843042818846E-3</v>
      </c>
      <c r="AA42" s="21">
        <f>Reaggregated!AB377</f>
        <v>3.3107612457039686E-3</v>
      </c>
      <c r="AB42" s="21">
        <f>Reaggregated!AC377</f>
        <v>1.0300074289958577E-2</v>
      </c>
      <c r="AC42" s="21">
        <f>Reaggregated!AD377</f>
        <v>5.4096697971998137E-3</v>
      </c>
      <c r="AD42" s="21">
        <f>Reaggregated!AE377</f>
        <v>1.067567231085966E-2</v>
      </c>
      <c r="AE42" s="21">
        <f>Reaggregated!AF377</f>
        <v>7.8427728655637626E-3</v>
      </c>
      <c r="AF42" s="21">
        <f>Reaggregated!AG377</f>
        <v>1.9744091326519914E-2</v>
      </c>
      <c r="AG42" s="21">
        <f>Reaggregated!AH377</f>
        <v>4.1064231107727396E-2</v>
      </c>
      <c r="AH42" s="21">
        <f>Reaggregated!AI377</f>
        <v>1.742444317237745E-2</v>
      </c>
      <c r="AI42" s="21">
        <f>Reaggregated!AJ377</f>
        <v>1.3561920003541445E-2</v>
      </c>
      <c r="AJ42" s="21">
        <f>Reaggregated!AK377</f>
        <v>1.3501760750989316E-2</v>
      </c>
      <c r="AK42" s="21">
        <f>Reaggregated!AL377</f>
        <v>5.5497060816200863E-3</v>
      </c>
      <c r="AL42" s="21">
        <f>Reaggregated!AM377</f>
        <v>1.4859494155633158E-2</v>
      </c>
      <c r="AM42" s="21">
        <f>Reaggregated!AN377</f>
        <v>8.8972853710688887E-3</v>
      </c>
      <c r="AN42" s="21">
        <f>Reaggregated!AO377</f>
        <v>1.2748398130661396E-2</v>
      </c>
      <c r="AO42" s="21">
        <f>Reaggregated!AP377</f>
        <v>1.5429650780906278E-2</v>
      </c>
      <c r="AP42" s="21">
        <f>Reaggregated!AQ377</f>
        <v>1.0960197020501776</v>
      </c>
      <c r="AQ42" s="21">
        <f>Reaggregated!AR377</f>
        <v>0</v>
      </c>
    </row>
    <row r="43" spans="1:43">
      <c r="A43" s="17" t="s">
        <v>34</v>
      </c>
      <c r="B43" s="21">
        <f>Reaggregated!C378</f>
        <v>0</v>
      </c>
      <c r="C43" s="21">
        <f>Reaggregated!D378</f>
        <v>0</v>
      </c>
      <c r="D43" s="21">
        <f>Reaggregated!E378</f>
        <v>0</v>
      </c>
      <c r="E43" s="21">
        <f>Reaggregated!F378</f>
        <v>0</v>
      </c>
      <c r="F43" s="21">
        <f>Reaggregated!G378</f>
        <v>0</v>
      </c>
      <c r="G43" s="21">
        <f>Reaggregated!H378</f>
        <v>0</v>
      </c>
      <c r="H43" s="21">
        <f>Reaggregated!I378</f>
        <v>0</v>
      </c>
      <c r="I43" s="21">
        <f>Reaggregated!J378</f>
        <v>0</v>
      </c>
      <c r="J43" s="21">
        <f>Reaggregated!K378</f>
        <v>0</v>
      </c>
      <c r="K43" s="21">
        <f>Reaggregated!L378</f>
        <v>0</v>
      </c>
      <c r="L43" s="21">
        <f>Reaggregated!M378</f>
        <v>0</v>
      </c>
      <c r="M43" s="21">
        <f>Reaggregated!N378</f>
        <v>0</v>
      </c>
      <c r="N43" s="21">
        <f>Reaggregated!O378</f>
        <v>0</v>
      </c>
      <c r="O43" s="21">
        <f>Reaggregated!P378</f>
        <v>0</v>
      </c>
      <c r="P43" s="21">
        <f>Reaggregated!Q378</f>
        <v>0</v>
      </c>
      <c r="Q43" s="21">
        <f>Reaggregated!R378</f>
        <v>0</v>
      </c>
      <c r="R43" s="21">
        <f>Reaggregated!S378</f>
        <v>0</v>
      </c>
      <c r="S43" s="21">
        <f>Reaggregated!T378</f>
        <v>0</v>
      </c>
      <c r="T43" s="21">
        <f>Reaggregated!U378</f>
        <v>0</v>
      </c>
      <c r="U43" s="21">
        <f>Reaggregated!V378</f>
        <v>0</v>
      </c>
      <c r="V43" s="21">
        <f>Reaggregated!W378</f>
        <v>0</v>
      </c>
      <c r="W43" s="21">
        <f>Reaggregated!X378</f>
        <v>0</v>
      </c>
      <c r="X43" s="21">
        <f>Reaggregated!Y378</f>
        <v>0</v>
      </c>
      <c r="Y43" s="21">
        <f>Reaggregated!Z378</f>
        <v>0</v>
      </c>
      <c r="Z43" s="21">
        <f>Reaggregated!AA378</f>
        <v>0</v>
      </c>
      <c r="AA43" s="21">
        <f>Reaggregated!AB378</f>
        <v>0</v>
      </c>
      <c r="AB43" s="21">
        <f>Reaggregated!AC378</f>
        <v>0</v>
      </c>
      <c r="AC43" s="21">
        <f>Reaggregated!AD378</f>
        <v>0</v>
      </c>
      <c r="AD43" s="21">
        <f>Reaggregated!AE378</f>
        <v>0</v>
      </c>
      <c r="AE43" s="21">
        <f>Reaggregated!AF378</f>
        <v>0</v>
      </c>
      <c r="AF43" s="21">
        <f>Reaggregated!AG378</f>
        <v>0</v>
      </c>
      <c r="AG43" s="21">
        <f>Reaggregated!AH378</f>
        <v>0</v>
      </c>
      <c r="AH43" s="21">
        <f>Reaggregated!AI378</f>
        <v>0</v>
      </c>
      <c r="AI43" s="21">
        <f>Reaggregated!AJ378</f>
        <v>0</v>
      </c>
      <c r="AJ43" s="21">
        <f>Reaggregated!AK378</f>
        <v>0</v>
      </c>
      <c r="AK43" s="21">
        <f>Reaggregated!AL378</f>
        <v>0</v>
      </c>
      <c r="AL43" s="21">
        <f>Reaggregated!AM378</f>
        <v>0</v>
      </c>
      <c r="AM43" s="21">
        <f>Reaggregated!AN378</f>
        <v>0</v>
      </c>
      <c r="AN43" s="21">
        <f>Reaggregated!AO378</f>
        <v>0</v>
      </c>
      <c r="AO43" s="21">
        <f>Reaggregated!AP378</f>
        <v>0</v>
      </c>
      <c r="AP43" s="21">
        <f>Reaggregated!AQ378</f>
        <v>0</v>
      </c>
      <c r="AQ43" s="21">
        <f>Reaggregated!AR378</f>
        <v>1</v>
      </c>
    </row>
    <row r="44" spans="1:43">
      <c r="C44"/>
      <c r="D44"/>
      <c r="L44"/>
      <c r="M44"/>
    </row>
    <row r="45" spans="1:43">
      <c r="C45"/>
      <c r="D45"/>
      <c r="L45"/>
      <c r="M45"/>
    </row>
    <row r="46" spans="1:43">
      <c r="C46"/>
      <c r="D46"/>
      <c r="L46"/>
      <c r="M46"/>
    </row>
    <row r="47" spans="1:43">
      <c r="C47"/>
      <c r="D47"/>
      <c r="L47"/>
      <c r="M47"/>
    </row>
    <row r="48" spans="1:43">
      <c r="C48"/>
      <c r="D48"/>
      <c r="L48"/>
      <c r="M48"/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</sheetData>
  <phoneticPr fontId="27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BF685-7FE8-41E9-BB46-46C5F3D5D9B2}">
  <sheetPr>
    <tabColor theme="5" tint="0.59999389629810485"/>
  </sheetPr>
  <dimension ref="A1:D43"/>
  <sheetViews>
    <sheetView zoomScale="115" zoomScaleNormal="115" workbookViewId="0">
      <selection activeCell="B14" sqref="B14"/>
    </sheetView>
  </sheetViews>
  <sheetFormatPr defaultColWidth="9.1796875" defaultRowHeight="10.5"/>
  <cols>
    <col min="1" max="1" width="64.7265625" style="6" customWidth="1"/>
    <col min="2" max="2" width="15.26953125" style="6" customWidth="1"/>
    <col min="3" max="3" width="15" style="6" customWidth="1"/>
    <col min="4" max="16384" width="9.1796875" style="6"/>
  </cols>
  <sheetData>
    <row r="1" spans="1:4">
      <c r="A1" s="5" t="s">
        <v>47</v>
      </c>
      <c r="B1" s="5" t="s">
        <v>48</v>
      </c>
      <c r="C1" s="5" t="s">
        <v>49</v>
      </c>
    </row>
    <row r="2" spans="1:4" ht="11" thickBot="1">
      <c r="A2" s="6" t="s">
        <v>50</v>
      </c>
      <c r="B2" s="6" t="str">
        <f>_xlfn.CONCAT("ISIC ",LEFT(A2,FIND(":",A2)-1))</f>
        <v>ISIC 01T03</v>
      </c>
      <c r="C2" s="6" t="s">
        <v>4</v>
      </c>
    </row>
    <row r="3" spans="1:4">
      <c r="A3" s="13" t="s">
        <v>121</v>
      </c>
      <c r="B3" s="6" t="str">
        <f t="shared" ref="B3:B43" si="0">_xlfn.CONCAT("ISIC ",LEFT(A3,FIND(":",A3)-1))</f>
        <v>ISIC 05</v>
      </c>
      <c r="C3" s="6" t="s">
        <v>120</v>
      </c>
      <c r="D3" s="11" t="s">
        <v>122</v>
      </c>
    </row>
    <row r="4" spans="1:4" ht="11" thickBot="1">
      <c r="A4" s="14" t="s">
        <v>123</v>
      </c>
      <c r="B4" s="6" t="str">
        <f t="shared" si="0"/>
        <v>ISIC 06</v>
      </c>
      <c r="C4" s="6" t="s">
        <v>119</v>
      </c>
      <c r="D4" s="11" t="s">
        <v>91</v>
      </c>
    </row>
    <row r="5" spans="1:4">
      <c r="A5" s="6" t="s">
        <v>51</v>
      </c>
      <c r="B5" s="6" t="str">
        <f t="shared" si="0"/>
        <v>ISIC 07T08</v>
      </c>
      <c r="C5" s="6" t="s">
        <v>5</v>
      </c>
    </row>
    <row r="6" spans="1:4">
      <c r="A6" s="6" t="s">
        <v>52</v>
      </c>
      <c r="B6" s="6" t="str">
        <f t="shared" si="0"/>
        <v>ISIC 09</v>
      </c>
      <c r="C6" s="6" t="s">
        <v>6</v>
      </c>
    </row>
    <row r="7" spans="1:4">
      <c r="A7" s="6" t="s">
        <v>53</v>
      </c>
      <c r="B7" s="6" t="str">
        <f t="shared" si="0"/>
        <v>ISIC 10T12</v>
      </c>
      <c r="C7" s="6" t="s">
        <v>7</v>
      </c>
    </row>
    <row r="8" spans="1:4">
      <c r="A8" s="6" t="s">
        <v>54</v>
      </c>
      <c r="B8" s="6" t="str">
        <f t="shared" si="0"/>
        <v>ISIC 13T15</v>
      </c>
      <c r="C8" s="6" t="s">
        <v>8</v>
      </c>
    </row>
    <row r="9" spans="1:4">
      <c r="A9" s="6" t="s">
        <v>55</v>
      </c>
      <c r="B9" s="6" t="str">
        <f t="shared" si="0"/>
        <v>ISIC 16</v>
      </c>
      <c r="C9" s="6" t="s">
        <v>9</v>
      </c>
    </row>
    <row r="10" spans="1:4">
      <c r="A10" s="6" t="s">
        <v>56</v>
      </c>
      <c r="B10" s="6" t="str">
        <f t="shared" si="0"/>
        <v>ISIC 17T18</v>
      </c>
      <c r="C10" s="6" t="s">
        <v>10</v>
      </c>
    </row>
    <row r="11" spans="1:4" ht="11" thickBot="1">
      <c r="A11" s="6" t="s">
        <v>57</v>
      </c>
      <c r="B11" s="6" t="str">
        <f t="shared" si="0"/>
        <v>ISIC 19</v>
      </c>
      <c r="C11" s="6" t="s">
        <v>11</v>
      </c>
    </row>
    <row r="12" spans="1:4">
      <c r="A12" s="13" t="s">
        <v>88</v>
      </c>
      <c r="B12" s="6" t="str">
        <f t="shared" si="0"/>
        <v>ISIC 20</v>
      </c>
      <c r="C12" s="6" t="s">
        <v>58</v>
      </c>
      <c r="D12" s="11" t="s">
        <v>90</v>
      </c>
    </row>
    <row r="13" spans="1:4" ht="11" thickBot="1">
      <c r="A13" s="14" t="s">
        <v>89</v>
      </c>
      <c r="B13" s="6" t="str">
        <f t="shared" si="0"/>
        <v>ISIC 21</v>
      </c>
      <c r="C13" s="6" t="s">
        <v>59</v>
      </c>
      <c r="D13" s="11" t="s">
        <v>91</v>
      </c>
    </row>
    <row r="14" spans="1:4" ht="11" thickBot="1">
      <c r="A14" s="6" t="s">
        <v>60</v>
      </c>
      <c r="B14" s="6" t="str">
        <f t="shared" si="0"/>
        <v>ISIC 22</v>
      </c>
      <c r="C14" s="6" t="s">
        <v>12</v>
      </c>
    </row>
    <row r="15" spans="1:4">
      <c r="A15" s="13" t="s">
        <v>125</v>
      </c>
      <c r="B15" s="6" t="str">
        <f t="shared" si="0"/>
        <v>ISIC 231</v>
      </c>
      <c r="C15" s="6" t="s">
        <v>132</v>
      </c>
      <c r="D15" s="11" t="s">
        <v>139</v>
      </c>
    </row>
    <row r="16" spans="1:4" ht="11" thickBot="1">
      <c r="A16" s="14" t="s">
        <v>126</v>
      </c>
      <c r="B16" s="6" t="str">
        <f t="shared" si="0"/>
        <v>ISIC 239</v>
      </c>
      <c r="C16" s="6" t="s">
        <v>133</v>
      </c>
      <c r="D16" s="11" t="s">
        <v>91</v>
      </c>
    </row>
    <row r="17" spans="1:4">
      <c r="A17" s="13" t="s">
        <v>127</v>
      </c>
      <c r="B17" s="6" t="str">
        <f t="shared" si="0"/>
        <v>ISIC 241</v>
      </c>
      <c r="C17" s="6" t="s">
        <v>134</v>
      </c>
      <c r="D17" s="11" t="s">
        <v>140</v>
      </c>
    </row>
    <row r="18" spans="1:4" ht="11" thickBot="1">
      <c r="A18" s="14" t="s">
        <v>128</v>
      </c>
      <c r="B18" s="6" t="str">
        <f t="shared" si="0"/>
        <v>ISIC 242</v>
      </c>
      <c r="C18" s="6" t="s">
        <v>135</v>
      </c>
      <c r="D18" s="11" t="s">
        <v>91</v>
      </c>
    </row>
    <row r="19" spans="1:4">
      <c r="A19" s="6" t="s">
        <v>61</v>
      </c>
      <c r="B19" s="6" t="str">
        <f t="shared" si="0"/>
        <v>ISIC 25</v>
      </c>
      <c r="C19" s="6" t="s">
        <v>13</v>
      </c>
    </row>
    <row r="20" spans="1:4">
      <c r="A20" s="6" t="s">
        <v>62</v>
      </c>
      <c r="B20" s="6" t="str">
        <f t="shared" si="0"/>
        <v>ISIC 26</v>
      </c>
      <c r="C20" s="6" t="s">
        <v>14</v>
      </c>
    </row>
    <row r="21" spans="1:4">
      <c r="A21" s="6" t="s">
        <v>63</v>
      </c>
      <c r="B21" s="6" t="str">
        <f t="shared" si="0"/>
        <v>ISIC 27</v>
      </c>
      <c r="C21" s="6" t="s">
        <v>15</v>
      </c>
    </row>
    <row r="22" spans="1:4">
      <c r="A22" s="6" t="s">
        <v>64</v>
      </c>
      <c r="B22" s="6" t="str">
        <f t="shared" si="0"/>
        <v>ISIC 28</v>
      </c>
      <c r="C22" s="6" t="s">
        <v>16</v>
      </c>
    </row>
    <row r="23" spans="1:4">
      <c r="A23" s="6" t="s">
        <v>65</v>
      </c>
      <c r="B23" s="6" t="str">
        <f t="shared" si="0"/>
        <v>ISIC 29</v>
      </c>
      <c r="C23" s="6" t="s">
        <v>17</v>
      </c>
    </row>
    <row r="24" spans="1:4">
      <c r="A24" s="6" t="s">
        <v>66</v>
      </c>
      <c r="B24" s="6" t="str">
        <f t="shared" si="0"/>
        <v>ISIC 30</v>
      </c>
      <c r="C24" s="6" t="s">
        <v>18</v>
      </c>
    </row>
    <row r="25" spans="1:4" ht="11" thickBot="1">
      <c r="A25" s="6" t="s">
        <v>67</v>
      </c>
      <c r="B25" s="6" t="str">
        <f t="shared" si="0"/>
        <v>ISIC 31T33</v>
      </c>
      <c r="C25" s="6" t="s">
        <v>19</v>
      </c>
    </row>
    <row r="26" spans="1:4">
      <c r="A26" s="13" t="s">
        <v>129</v>
      </c>
      <c r="B26" s="6" t="str">
        <f t="shared" si="0"/>
        <v>ISIC 351</v>
      </c>
      <c r="C26" s="6" t="s">
        <v>136</v>
      </c>
      <c r="D26" s="11" t="s">
        <v>141</v>
      </c>
    </row>
    <row r="27" spans="1:4">
      <c r="A27" s="15" t="s">
        <v>130</v>
      </c>
      <c r="B27" s="6" t="str">
        <f t="shared" si="0"/>
        <v>ISIC 352T353</v>
      </c>
      <c r="C27" s="6" t="s">
        <v>137</v>
      </c>
      <c r="D27" s="11" t="s">
        <v>91</v>
      </c>
    </row>
    <row r="28" spans="1:4" ht="11" thickBot="1">
      <c r="A28" s="14" t="s">
        <v>131</v>
      </c>
      <c r="B28" s="6" t="str">
        <f t="shared" si="0"/>
        <v>ISIC 36T39</v>
      </c>
      <c r="C28" s="6" t="s">
        <v>138</v>
      </c>
    </row>
    <row r="29" spans="1:4">
      <c r="A29" s="6" t="s">
        <v>68</v>
      </c>
      <c r="B29" s="6" t="str">
        <f t="shared" si="0"/>
        <v>ISIC 41T43</v>
      </c>
      <c r="C29" s="6" t="s">
        <v>20</v>
      </c>
    </row>
    <row r="30" spans="1:4">
      <c r="A30" s="6" t="s">
        <v>69</v>
      </c>
      <c r="B30" s="6" t="str">
        <f t="shared" si="0"/>
        <v>ISIC 45T47</v>
      </c>
      <c r="C30" s="6" t="s">
        <v>21</v>
      </c>
    </row>
    <row r="31" spans="1:4">
      <c r="A31" s="6" t="s">
        <v>70</v>
      </c>
      <c r="B31" s="6" t="str">
        <f t="shared" si="0"/>
        <v>ISIC 49T53</v>
      </c>
      <c r="C31" s="6" t="s">
        <v>22</v>
      </c>
    </row>
    <row r="32" spans="1:4">
      <c r="A32" s="6" t="s">
        <v>71</v>
      </c>
      <c r="B32" s="6" t="str">
        <f t="shared" si="0"/>
        <v>ISIC 55T56</v>
      </c>
      <c r="C32" s="6" t="s">
        <v>23</v>
      </c>
    </row>
    <row r="33" spans="1:3">
      <c r="A33" s="6" t="s">
        <v>72</v>
      </c>
      <c r="B33" s="6" t="str">
        <f t="shared" si="0"/>
        <v>ISIC 58T60</v>
      </c>
      <c r="C33" s="6" t="s">
        <v>24</v>
      </c>
    </row>
    <row r="34" spans="1:3">
      <c r="A34" s="6" t="s">
        <v>73</v>
      </c>
      <c r="B34" s="6" t="str">
        <f t="shared" si="0"/>
        <v>ISIC 61</v>
      </c>
      <c r="C34" s="6" t="s">
        <v>25</v>
      </c>
    </row>
    <row r="35" spans="1:3">
      <c r="A35" s="6" t="s">
        <v>74</v>
      </c>
      <c r="B35" s="6" t="str">
        <f t="shared" si="0"/>
        <v>ISIC 62T63</v>
      </c>
      <c r="C35" s="6" t="s">
        <v>26</v>
      </c>
    </row>
    <row r="36" spans="1:3">
      <c r="A36" s="6" t="s">
        <v>75</v>
      </c>
      <c r="B36" s="6" t="str">
        <f t="shared" si="0"/>
        <v>ISIC 64T66</v>
      </c>
      <c r="C36" s="6" t="s">
        <v>27</v>
      </c>
    </row>
    <row r="37" spans="1:3">
      <c r="A37" s="6" t="s">
        <v>76</v>
      </c>
      <c r="B37" s="6" t="str">
        <f t="shared" si="0"/>
        <v>ISIC 68</v>
      </c>
      <c r="C37" s="6" t="s">
        <v>28</v>
      </c>
    </row>
    <row r="38" spans="1:3">
      <c r="A38" s="6" t="s">
        <v>77</v>
      </c>
      <c r="B38" s="6" t="str">
        <f t="shared" si="0"/>
        <v>ISIC 69T82</v>
      </c>
      <c r="C38" s="6" t="s">
        <v>29</v>
      </c>
    </row>
    <row r="39" spans="1:3">
      <c r="A39" s="6" t="s">
        <v>78</v>
      </c>
      <c r="B39" s="6" t="str">
        <f t="shared" si="0"/>
        <v>ISIC 84</v>
      </c>
      <c r="C39" s="6" t="s">
        <v>30</v>
      </c>
    </row>
    <row r="40" spans="1:3">
      <c r="A40" s="6" t="s">
        <v>79</v>
      </c>
      <c r="B40" s="6" t="str">
        <f t="shared" si="0"/>
        <v>ISIC 85</v>
      </c>
      <c r="C40" s="6" t="s">
        <v>31</v>
      </c>
    </row>
    <row r="41" spans="1:3">
      <c r="A41" s="6" t="s">
        <v>80</v>
      </c>
      <c r="B41" s="6" t="str">
        <f t="shared" si="0"/>
        <v>ISIC 86T88</v>
      </c>
      <c r="C41" s="6" t="s">
        <v>32</v>
      </c>
    </row>
    <row r="42" spans="1:3">
      <c r="A42" s="6" t="s">
        <v>81</v>
      </c>
      <c r="B42" s="6" t="str">
        <f t="shared" si="0"/>
        <v>ISIC 90T96</v>
      </c>
      <c r="C42" s="6" t="s">
        <v>33</v>
      </c>
    </row>
    <row r="43" spans="1:3">
      <c r="A43" s="6" t="s">
        <v>82</v>
      </c>
      <c r="B43" s="6" t="str">
        <f t="shared" si="0"/>
        <v>ISIC 97T98</v>
      </c>
      <c r="C43" s="6" t="s">
        <v>34</v>
      </c>
    </row>
  </sheetData>
  <phoneticPr fontId="2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0765A1-7850-424C-AEDA-30EBDD3C98C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A04CE07-D6B8-4D26-996B-FB079BC03A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FB10B3-B040-47EA-B0F1-2A64D60CF0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f4d404-d193-41dc-bb72-733c1e7742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ISIC Crosswalk</vt:lpstr>
      <vt:lpstr>OECD_KOR2022dom</vt:lpstr>
      <vt:lpstr>Exiobase A Matrix</vt:lpstr>
      <vt:lpstr>Cement and Glass Split</vt:lpstr>
      <vt:lpstr>Reaggregated</vt:lpstr>
      <vt:lpstr>DLIM</vt:lpstr>
      <vt:lpstr>ISIC Code Meanings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Mary Francis Swint</cp:lastModifiedBy>
  <dcterms:created xsi:type="dcterms:W3CDTF">2019-12-02T22:49:06Z</dcterms:created>
  <dcterms:modified xsi:type="dcterms:W3CDTF">2026-02-13T14:54:13Z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