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GaHEbIC\"/>
    </mc:Choice>
  </mc:AlternateContent>
  <xr:revisionPtr revIDLastSave="0" documentId="13_ncr:1_{2A509569-C311-413D-9077-D45340FBD03D}" xr6:coauthVersionLast="47" xr6:coauthVersionMax="47" xr10:uidLastSave="{00000000-0000-0000-0000-000000000000}"/>
  <bookViews>
    <workbookView xWindow="-105" yWindow="0" windowWidth="14610" windowHeight="15585" tabRatio="790" xr2:uid="{00000000-000D-0000-FFFF-FFFF00000000}"/>
  </bookViews>
  <sheets>
    <sheet name="About" sheetId="1" r:id="rId1"/>
    <sheet name="OECD TTL - 2018" sheetId="7" r:id="rId2"/>
    <sheet name="OECD TTL - 2021" sheetId="20" r:id="rId3"/>
    <sheet name="OECD TTL - 2023" sheetId="17" r:id="rId4"/>
    <sheet name="ISIC Crosswalk" sheetId="18" r:id="rId5"/>
    <sheet name="EXIOBASE final demand matrix" sheetId="14" r:id="rId6"/>
    <sheet name="ISIC Code Mapping" sheetId="15" r:id="rId7"/>
    <sheet name="KOR WIOD IO-tables" sheetId="13" r:id="rId8"/>
    <sheet name="KOR Data for ISIC Splits" sheetId="16" r:id="rId9"/>
    <sheet name="BObIC" sheetId="19" r:id="rId10"/>
    <sheet name="GaHEbIC-government" sheetId="2" r:id="rId11"/>
    <sheet name="GaHEbIC-household" sheetId="1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4" hidden="1">'ISIC Crosswalk'!$I$3:$K$66</definedName>
    <definedName name="_xlnm._FilterDatabase" localSheetId="7" hidden="1">'KOR WIOD IO-tables'!$A$2:$D$124</definedName>
    <definedName name="a">[1]ISICrev3.1!$E:$F</definedName>
    <definedName name="Calculated_Relationship_HS12___HS07">'[2]Correlation HS2012-HS2007'!#REF!</definedName>
    <definedName name="CAP_CT" localSheetId="7">#REF!</definedName>
    <definedName name="CAP_CT">#REF!</definedName>
    <definedName name="CAP_GFCF" localSheetId="7">#REF!</definedName>
    <definedName name="CAP_GFCF">#REF!</definedName>
    <definedName name="CAP_IT" localSheetId="7">#REF!</definedName>
    <definedName name="CAP_IT">#REF!</definedName>
    <definedName name="CAP_OCon" localSheetId="7">#REF!</definedName>
    <definedName name="CAP_OCon">#REF!</definedName>
    <definedName name="CAP_OMach" localSheetId="7">#REF!</definedName>
    <definedName name="CAP_OMach">#REF!</definedName>
    <definedName name="CAP_Other" localSheetId="7">#REF!</definedName>
    <definedName name="CAP_Other">#REF!</definedName>
    <definedName name="CAP_QI" localSheetId="7">#REF!</definedName>
    <definedName name="CAP_QI">#REF!</definedName>
    <definedName name="CAP_RStruc" localSheetId="7">#REF!</definedName>
    <definedName name="CAP_RStruc">#REF!</definedName>
    <definedName name="CAP_Soft" localSheetId="7">#REF!</definedName>
    <definedName name="CAP_Soft">#REF!</definedName>
    <definedName name="CAP_TraEq" localSheetId="7">#REF!</definedName>
    <definedName name="CAP_TraEq">#REF!</definedName>
    <definedName name="CAPIT" localSheetId="7">#REF!</definedName>
    <definedName name="CAPIT">#REF!</definedName>
    <definedName name="CAPIT_QI" localSheetId="7">#REF!</definedName>
    <definedName name="CAPIT_QI">#REF!</definedName>
    <definedName name="capit_qph" localSheetId="7">#REF!</definedName>
    <definedName name="capit_qph">#REF!</definedName>
    <definedName name="CAPNIT" localSheetId="7">#REF!</definedName>
    <definedName name="CAPNIT">#REF!</definedName>
    <definedName name="CAPNIT_QI" localSheetId="7">#REF!</definedName>
    <definedName name="CAPNIT_QI">#REF!</definedName>
    <definedName name="capnit_qph" localSheetId="7">#REF!</definedName>
    <definedName name="capnit_qph">#REF!</definedName>
    <definedName name="FLAPPIE" localSheetId="7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ISIC05">'[5]CNH EXIOBASE Output'!$D$4</definedName>
    <definedName name="ISIC06">'[5]CNH EXIOBASE Output'!$E$4</definedName>
    <definedName name="ISIC20">'KOR WIOD IO-tables'!#REF!</definedName>
    <definedName name="ISIC21">'KOR WIOD IO-tables'!#REF!</definedName>
    <definedName name="ISIC231">'[5]CNH EXIOBASE Output'!$N$4</definedName>
    <definedName name="ISIC239">'[5]CNH EXIOBASE Output'!$O$4</definedName>
    <definedName name="ISIC241">'[5]CNH EXIOBASE Output'!$P$4</definedName>
    <definedName name="ISIC242">'[5]CNH EXIOBASE Output'!$Q$4</definedName>
    <definedName name="ISIC351">'[5]CNH EXIOBASE Output'!$Y$4</definedName>
    <definedName name="ISIC352T353">'[5]CNH EXIOBASE Output'!$Z$4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'[6]13-sector VAX_G_2010'!$C$141:$P$203</definedName>
    <definedName name="rca_trad_2011">'[6]13-sector VAX_G_2011'!$C$141:$P$203</definedName>
    <definedName name="rca_trad_2012">'[6]13-sector VAX_G_2012'!$C$141:$P$203</definedName>
    <definedName name="rca_trad_2013">'[6]13-sector VAX_G_2013'!$C$141:$P$203</definedName>
    <definedName name="rca_trad_2014">'[6]13-sector VAX_G_2014'!$C$141:$P$203</definedName>
    <definedName name="rca_trad_2015">'[6]13-sector VAX_G_2015'!$C$141:$P$203</definedName>
    <definedName name="rca_trad_2016">'[6]13-sector VAX_G_2016'!$C$141:$P$203</definedName>
    <definedName name="rca_trad_2017">'[6]13-sector VAX_G_2017'!$C$141:$P$203</definedName>
    <definedName name="rca_vax_2010">'[6]13-sector VAX_G_2010'!$C$209:$P$271</definedName>
    <definedName name="rca_vax_2011">'[6]13-sector VAX_G_2011'!$C$209:$P$271</definedName>
    <definedName name="rca_vax_2012">'[6]13-sector VAX_G_2012'!$C$209:$P$271</definedName>
    <definedName name="rca_vax_2013">'[6]13-sector VAX_G_2013'!$C$209:$P$271</definedName>
    <definedName name="rca_vax_2014">'[6]13-sector VAX_G_2014'!$C$209:$P$271</definedName>
    <definedName name="rca_vax_2015">'[6]13-sector VAX_G_2015'!$C$209:$P$271</definedName>
    <definedName name="rca_vax_2016">'[6]13-sector VAX_G_2016'!$C$209:$P$271</definedName>
    <definedName name="rca_vax_2017">'[6]13-sector VAX_G_2017'!$C$209:$P$271</definedName>
    <definedName name="sector_list">#REF!</definedName>
    <definedName name="Sectors">#REF!</definedName>
    <definedName name="SUNBURST">'[6]35-sector'!#REF!</definedName>
    <definedName name="VAConL" localSheetId="7">#REF!</definedName>
    <definedName name="VAConL">#REF!</definedName>
    <definedName name="vax_g_2010">'[6]13-sector VAX_G_2010'!$T$5:$AI$67</definedName>
    <definedName name="vax_g_2011">'[6]13-sector VAX_G_2011'!$T$5:$AI$67</definedName>
    <definedName name="vax_g_2012">'[6]13-sector VAX_G_2012'!$T$5:$AI$67</definedName>
    <definedName name="vax_g_2013">'[6]13-sector VAX_G_2013'!$T$5:$AI$67</definedName>
    <definedName name="vax_g_2014">'[6]13-sector VAX_G_2014'!$T$5:$AI$67</definedName>
    <definedName name="vax_g_2015">'[6]13-sector VAX_G_2015'!$T$5:$AI$67</definedName>
    <definedName name="vax_g_2016">'[6]13-sector VAX_G_2016'!$T$5:$AI$67</definedName>
    <definedName name="vax_g_2017">'[6]13-sector VAX_G_2017'!$T$5:$AI$67</definedName>
    <definedName name="x_2010">'[6]13-sector VAX_G_2010'!$C$5:$R$67</definedName>
    <definedName name="x_2011">'[6]13-sector VAX_G_2011'!$C$5:$R$67</definedName>
    <definedName name="x_2012">'[6]13-sector VAX_G_2012'!$C$5:$R$67</definedName>
    <definedName name="x_2013">'[6]13-sector VAX_G_2013'!$C$5:$R$67</definedName>
    <definedName name="x_2014">'[6]13-sector VAX_G_2014'!$C$5:$R$67</definedName>
    <definedName name="x_2015">'[6]13-sector VAX_G_2015'!$C$5:$R$67</definedName>
    <definedName name="x_2016">'[6]13-sector VAX_G_2016'!$C$5:$R$67</definedName>
    <definedName name="x_2017">'[6]13-sector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0" l="1"/>
  <c r="Z2" i="10"/>
  <c r="R2" i="10"/>
  <c r="Q2" i="10"/>
  <c r="P2" i="10"/>
  <c r="O2" i="10"/>
  <c r="D2" i="10"/>
  <c r="C2" i="10"/>
  <c r="AA2" i="2"/>
  <c r="Z2" i="2"/>
  <c r="R2" i="2"/>
  <c r="Q2" i="2"/>
  <c r="P2" i="2"/>
  <c r="O2" i="2"/>
  <c r="D2" i="2"/>
  <c r="C2" i="2"/>
  <c r="A1" i="20"/>
  <c r="AH2" i="10"/>
  <c r="G2" i="10"/>
  <c r="AB2" i="2"/>
  <c r="B2" i="2"/>
  <c r="AK2" i="2"/>
  <c r="AP2" i="2"/>
  <c r="AJ2" i="2"/>
  <c r="J2" i="10"/>
  <c r="AF2" i="10"/>
  <c r="AH2" i="2"/>
  <c r="AI2" i="10"/>
  <c r="E2" i="10"/>
  <c r="T2" i="2"/>
  <c r="Y2" i="10"/>
  <c r="V2" i="2"/>
  <c r="M2" i="2"/>
  <c r="AO2" i="10"/>
  <c r="AP2" i="10"/>
  <c r="M2" i="10"/>
  <c r="AD2" i="10"/>
  <c r="AI2" i="2"/>
  <c r="AG2" i="2"/>
  <c r="AB2" i="10"/>
  <c r="B2" i="10"/>
  <c r="U2" i="2"/>
  <c r="G2" i="2"/>
  <c r="AE2" i="2"/>
  <c r="AE2" i="10"/>
  <c r="K2" i="2"/>
  <c r="T2" i="10"/>
  <c r="AL2" i="2"/>
  <c r="Y2" i="2"/>
  <c r="AK2" i="10"/>
  <c r="AN2" i="2"/>
  <c r="N2" i="2"/>
  <c r="AC2" i="2"/>
  <c r="H2" i="2"/>
  <c r="AF2" i="2"/>
  <c r="H2" i="10"/>
  <c r="AQ2" i="10"/>
  <c r="U2" i="10"/>
  <c r="AM2" i="2"/>
  <c r="X2" i="2"/>
  <c r="V2" i="10"/>
  <c r="W2" i="2"/>
  <c r="N2" i="10"/>
  <c r="L2" i="10"/>
  <c r="I2" i="2"/>
  <c r="I2" i="10"/>
  <c r="F2" i="10"/>
  <c r="AL2" i="10"/>
  <c r="X2" i="10"/>
  <c r="AQ2" i="2"/>
  <c r="S2" i="2"/>
  <c r="AO2" i="2"/>
  <c r="AN2" i="10"/>
  <c r="F2" i="2"/>
  <c r="AD2" i="2"/>
  <c r="AC2" i="10"/>
  <c r="J2" i="2"/>
  <c r="AG2" i="10"/>
  <c r="AM2" i="10"/>
  <c r="W2" i="10"/>
  <c r="L2" i="2"/>
  <c r="S2" i="10"/>
  <c r="AJ2" i="10"/>
  <c r="K2" i="10"/>
  <c r="E2" i="2"/>
  <c r="AA2" i="19" l="1"/>
  <c r="Z2" i="19"/>
  <c r="R2" i="19"/>
  <c r="Q2" i="19"/>
  <c r="P2" i="19"/>
  <c r="O2" i="19"/>
  <c r="D2" i="19"/>
  <c r="C2" i="19"/>
  <c r="A1" i="17"/>
  <c r="B2" i="19"/>
  <c r="H2" i="19"/>
  <c r="T2" i="19"/>
  <c r="AJ2" i="19"/>
  <c r="AC2" i="19"/>
  <c r="E2" i="19"/>
  <c r="AO2" i="19"/>
  <c r="AK2" i="19"/>
  <c r="U2" i="19"/>
  <c r="AP2" i="19"/>
  <c r="AG2" i="19"/>
  <c r="AL2" i="19"/>
  <c r="Y2" i="19"/>
  <c r="V2" i="19"/>
  <c r="I2" i="19"/>
  <c r="L2" i="19"/>
  <c r="W2" i="19"/>
  <c r="N2" i="19"/>
  <c r="AN2" i="19"/>
  <c r="K2" i="19"/>
  <c r="AB2" i="19"/>
  <c r="F2" i="19"/>
  <c r="AF2" i="19"/>
  <c r="AI2" i="19"/>
  <c r="G2" i="19"/>
  <c r="M2" i="19"/>
  <c r="X2" i="19"/>
  <c r="AQ2" i="19"/>
  <c r="AH2" i="19"/>
  <c r="AD2" i="19"/>
  <c r="AM2" i="19"/>
  <c r="J2" i="19"/>
  <c r="AE2" i="19"/>
  <c r="S2" i="19"/>
  <c r="C3" i="16" l="1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9" i="7"/>
  <c r="F3" i="16" l="1"/>
  <c r="F6" i="16" s="1"/>
  <c r="E3" i="16"/>
  <c r="E6" i="16" s="1"/>
  <c r="E4" i="16"/>
  <c r="F4" i="16"/>
  <c r="D3" i="16"/>
  <c r="G3" i="16"/>
  <c r="H3" i="16"/>
  <c r="I3" i="16"/>
  <c r="J3" i="16"/>
  <c r="K3" i="16"/>
  <c r="L3" i="16"/>
  <c r="M3" i="16"/>
  <c r="H6" i="16" l="1"/>
  <c r="M6" i="16"/>
  <c r="G6" i="16"/>
  <c r="D6" i="16"/>
  <c r="F7" i="16"/>
  <c r="J6" i="16"/>
  <c r="C6" i="16"/>
  <c r="K6" i="16"/>
  <c r="I6" i="16"/>
  <c r="L6" i="16"/>
  <c r="E7" i="16"/>
  <c r="K2" i="14" l="1"/>
  <c r="L2" i="14" s="1"/>
  <c r="K3" i="14"/>
  <c r="L3" i="14" s="1"/>
  <c r="K4" i="14"/>
  <c r="L4" i="14" s="1"/>
  <c r="K5" i="14"/>
  <c r="L5" i="14" s="1"/>
  <c r="K6" i="14"/>
  <c r="L6" i="14" s="1"/>
  <c r="K7" i="14"/>
  <c r="L7" i="14" s="1"/>
  <c r="K8" i="14"/>
  <c r="L8" i="14" s="1"/>
  <c r="K9" i="14"/>
  <c r="L9" i="14" s="1"/>
  <c r="K10" i="14"/>
  <c r="L10" i="14" s="1"/>
  <c r="K11" i="14"/>
  <c r="L11" i="14" s="1"/>
  <c r="K12" i="14"/>
  <c r="L12" i="14" s="1"/>
  <c r="K13" i="14"/>
  <c r="L13" i="14" s="1"/>
  <c r="K14" i="14"/>
  <c r="L14" i="14" s="1"/>
  <c r="K15" i="14"/>
  <c r="L15" i="14" s="1"/>
  <c r="K16" i="14"/>
  <c r="L16" i="14" s="1"/>
  <c r="K17" i="14"/>
  <c r="L17" i="14" s="1"/>
  <c r="K18" i="14"/>
  <c r="L18" i="14" s="1"/>
  <c r="K19" i="14"/>
  <c r="L19" i="14" s="1"/>
  <c r="K20" i="14"/>
  <c r="L20" i="14" s="1"/>
  <c r="K21" i="14"/>
  <c r="K22" i="14"/>
  <c r="L22" i="14" s="1"/>
  <c r="K23" i="14"/>
  <c r="L23" i="14" s="1"/>
  <c r="K24" i="14"/>
  <c r="L24" i="14" s="1"/>
  <c r="K25" i="14"/>
  <c r="L25" i="14" s="1"/>
  <c r="K26" i="14"/>
  <c r="L26" i="14" s="1"/>
  <c r="K27" i="14"/>
  <c r="L27" i="14" s="1"/>
  <c r="K28" i="14"/>
  <c r="L28" i="14" s="1"/>
  <c r="K29" i="14"/>
  <c r="K30" i="14"/>
  <c r="L30" i="14" s="1"/>
  <c r="K31" i="14"/>
  <c r="L31" i="14" s="1"/>
  <c r="K32" i="14"/>
  <c r="L32" i="14" s="1"/>
  <c r="K33" i="14"/>
  <c r="L33" i="14" s="1"/>
  <c r="K34" i="14"/>
  <c r="L34" i="14" s="1"/>
  <c r="K35" i="14"/>
  <c r="L35" i="14" s="1"/>
  <c r="K36" i="14"/>
  <c r="L36" i="14" s="1"/>
  <c r="K37" i="14"/>
  <c r="L37" i="14" s="1"/>
  <c r="K38" i="14"/>
  <c r="L38" i="14" s="1"/>
  <c r="K39" i="14"/>
  <c r="L39" i="14" s="1"/>
  <c r="K40" i="14"/>
  <c r="L40" i="14" s="1"/>
  <c r="K41" i="14"/>
  <c r="L41" i="14" s="1"/>
  <c r="K42" i="14"/>
  <c r="L42" i="14" s="1"/>
  <c r="K43" i="14"/>
  <c r="L43" i="14" s="1"/>
  <c r="K44" i="14"/>
  <c r="L44" i="14" s="1"/>
  <c r="K45" i="14"/>
  <c r="L45" i="14" s="1"/>
  <c r="K46" i="14"/>
  <c r="L46" i="14" s="1"/>
  <c r="K47" i="14"/>
  <c r="L47" i="14" s="1"/>
  <c r="K48" i="14"/>
  <c r="L48" i="14" s="1"/>
  <c r="K49" i="14"/>
  <c r="L49" i="14" s="1"/>
  <c r="K50" i="14"/>
  <c r="L50" i="14" s="1"/>
  <c r="K51" i="14"/>
  <c r="L51" i="14" s="1"/>
  <c r="K52" i="14"/>
  <c r="L52" i="14" s="1"/>
  <c r="K53" i="14"/>
  <c r="L53" i="14" s="1"/>
  <c r="K54" i="14"/>
  <c r="L54" i="14" s="1"/>
  <c r="K55" i="14"/>
  <c r="L55" i="14" s="1"/>
  <c r="K56" i="14"/>
  <c r="L56" i="14" s="1"/>
  <c r="K57" i="14"/>
  <c r="L57" i="14" s="1"/>
  <c r="K58" i="14"/>
  <c r="L58" i="14" s="1"/>
  <c r="K59" i="14"/>
  <c r="L59" i="14" s="1"/>
  <c r="K60" i="14"/>
  <c r="L60" i="14" s="1"/>
  <c r="K61" i="14"/>
  <c r="L61" i="14" s="1"/>
  <c r="K62" i="14"/>
  <c r="L62" i="14" s="1"/>
  <c r="K63" i="14"/>
  <c r="L63" i="14" s="1"/>
  <c r="K64" i="14"/>
  <c r="L64" i="14" s="1"/>
  <c r="K65" i="14"/>
  <c r="L65" i="14" s="1"/>
  <c r="K66" i="14"/>
  <c r="L66" i="14" s="1"/>
  <c r="K67" i="14"/>
  <c r="L67" i="14" s="1"/>
  <c r="K68" i="14"/>
  <c r="L68" i="14" s="1"/>
  <c r="K69" i="14"/>
  <c r="L69" i="14" s="1"/>
  <c r="K70" i="14"/>
  <c r="L70" i="14" s="1"/>
  <c r="K71" i="14"/>
  <c r="L71" i="14" s="1"/>
  <c r="K72" i="14"/>
  <c r="L72" i="14" s="1"/>
  <c r="K73" i="14"/>
  <c r="L73" i="14" s="1"/>
  <c r="K74" i="14"/>
  <c r="L74" i="14" s="1"/>
  <c r="K75" i="14"/>
  <c r="L75" i="14" s="1"/>
  <c r="K76" i="14"/>
  <c r="L76" i="14" s="1"/>
  <c r="K77" i="14"/>
  <c r="L77" i="14" s="1"/>
  <c r="K78" i="14"/>
  <c r="L78" i="14" s="1"/>
  <c r="K79" i="14"/>
  <c r="L79" i="14" s="1"/>
  <c r="K80" i="14"/>
  <c r="L80" i="14" s="1"/>
  <c r="K81" i="14"/>
  <c r="L81" i="14" s="1"/>
  <c r="K82" i="14"/>
  <c r="L82" i="14" s="1"/>
  <c r="K83" i="14"/>
  <c r="L83" i="14" s="1"/>
  <c r="K84" i="14"/>
  <c r="L84" i="14" s="1"/>
  <c r="K85" i="14"/>
  <c r="L85" i="14" s="1"/>
  <c r="K86" i="14"/>
  <c r="L86" i="14" s="1"/>
  <c r="K87" i="14"/>
  <c r="L87" i="14" s="1"/>
  <c r="K88" i="14"/>
  <c r="L88" i="14" s="1"/>
  <c r="K89" i="14"/>
  <c r="L89" i="14" s="1"/>
  <c r="K90" i="14"/>
  <c r="L90" i="14" s="1"/>
  <c r="K91" i="14"/>
  <c r="L91" i="14" s="1"/>
  <c r="K92" i="14"/>
  <c r="L92" i="14" s="1"/>
  <c r="K93" i="14"/>
  <c r="L93" i="14" s="1"/>
  <c r="K94" i="14"/>
  <c r="L94" i="14" s="1"/>
  <c r="K95" i="14"/>
  <c r="L95" i="14" s="1"/>
  <c r="K96" i="14"/>
  <c r="L96" i="14" s="1"/>
  <c r="K97" i="14"/>
  <c r="L97" i="14" s="1"/>
  <c r="K98" i="14"/>
  <c r="G4" i="16" s="1"/>
  <c r="K99" i="14"/>
  <c r="L99" i="14" s="1"/>
  <c r="K100" i="14"/>
  <c r="L100" i="14" s="1"/>
  <c r="K101" i="14"/>
  <c r="L101" i="14" s="1"/>
  <c r="K102" i="14"/>
  <c r="L102" i="14" s="1"/>
  <c r="K103" i="14"/>
  <c r="L103" i="14" s="1"/>
  <c r="K104" i="14"/>
  <c r="L104" i="14" s="1"/>
  <c r="K105" i="14"/>
  <c r="K106" i="14"/>
  <c r="L106" i="14" s="1"/>
  <c r="K107" i="14"/>
  <c r="L107" i="14" s="1"/>
  <c r="K108" i="14"/>
  <c r="L108" i="14" s="1"/>
  <c r="K109" i="14"/>
  <c r="L109" i="14" s="1"/>
  <c r="K110" i="14"/>
  <c r="L110" i="14" s="1"/>
  <c r="K111" i="14"/>
  <c r="L111" i="14" s="1"/>
  <c r="K112" i="14"/>
  <c r="L112" i="14" s="1"/>
  <c r="K113" i="14"/>
  <c r="L113" i="14" s="1"/>
  <c r="K114" i="14"/>
  <c r="L114" i="14" s="1"/>
  <c r="K115" i="14"/>
  <c r="L115" i="14" s="1"/>
  <c r="K116" i="14"/>
  <c r="L116" i="14" s="1"/>
  <c r="K117" i="14"/>
  <c r="L117" i="14" s="1"/>
  <c r="K118" i="14"/>
  <c r="L118" i="14" s="1"/>
  <c r="K119" i="14"/>
  <c r="L119" i="14" s="1"/>
  <c r="K120" i="14"/>
  <c r="L120" i="14" s="1"/>
  <c r="K121" i="14"/>
  <c r="L121" i="14" s="1"/>
  <c r="K122" i="14"/>
  <c r="L122" i="14" s="1"/>
  <c r="K123" i="14"/>
  <c r="L123" i="14" s="1"/>
  <c r="K124" i="14"/>
  <c r="L124" i="14" s="1"/>
  <c r="K125" i="14"/>
  <c r="L125" i="14" s="1"/>
  <c r="K126" i="14"/>
  <c r="L126" i="14" s="1"/>
  <c r="K127" i="14"/>
  <c r="L127" i="14" s="1"/>
  <c r="K128" i="14"/>
  <c r="L128" i="14" s="1"/>
  <c r="K129" i="14"/>
  <c r="L129" i="14" s="1"/>
  <c r="K130" i="14"/>
  <c r="L130" i="14" s="1"/>
  <c r="K131" i="14"/>
  <c r="L131" i="14" s="1"/>
  <c r="K132" i="14"/>
  <c r="L132" i="14" s="1"/>
  <c r="K133" i="14"/>
  <c r="L133" i="14" s="1"/>
  <c r="K134" i="14"/>
  <c r="L134" i="14" s="1"/>
  <c r="K135" i="14"/>
  <c r="L135" i="14" s="1"/>
  <c r="K136" i="14"/>
  <c r="L136" i="14" s="1"/>
  <c r="K137" i="14"/>
  <c r="L137" i="14" s="1"/>
  <c r="K138" i="14"/>
  <c r="L138" i="14" s="1"/>
  <c r="K139" i="14"/>
  <c r="L139" i="14" s="1"/>
  <c r="K140" i="14"/>
  <c r="L140" i="14" s="1"/>
  <c r="K141" i="14"/>
  <c r="L141" i="14" s="1"/>
  <c r="K142" i="14"/>
  <c r="L142" i="14" s="1"/>
  <c r="K143" i="14"/>
  <c r="K144" i="14"/>
  <c r="L144" i="14" s="1"/>
  <c r="K145" i="14"/>
  <c r="L145" i="14" s="1"/>
  <c r="K146" i="14"/>
  <c r="L146" i="14" s="1"/>
  <c r="K147" i="14"/>
  <c r="L147" i="14" s="1"/>
  <c r="K148" i="14"/>
  <c r="L148" i="14" s="1"/>
  <c r="K149" i="14"/>
  <c r="L149" i="14" s="1"/>
  <c r="K150" i="14"/>
  <c r="L150" i="14" s="1"/>
  <c r="K151" i="14"/>
  <c r="L151" i="14" s="1"/>
  <c r="K152" i="14"/>
  <c r="L152" i="14" s="1"/>
  <c r="K153" i="14"/>
  <c r="L153" i="14" s="1"/>
  <c r="K154" i="14"/>
  <c r="L154" i="14" s="1"/>
  <c r="K155" i="14"/>
  <c r="L155" i="14" s="1"/>
  <c r="K156" i="14"/>
  <c r="L156" i="14" s="1"/>
  <c r="K157" i="14"/>
  <c r="L157" i="14" s="1"/>
  <c r="K158" i="14"/>
  <c r="L158" i="14" s="1"/>
  <c r="K159" i="14"/>
  <c r="L159" i="14" s="1"/>
  <c r="K160" i="14"/>
  <c r="L160" i="14" s="1"/>
  <c r="K161" i="14"/>
  <c r="L161" i="14" s="1"/>
  <c r="K162" i="14"/>
  <c r="L162" i="14" s="1"/>
  <c r="K163" i="14"/>
  <c r="L163" i="14" s="1"/>
  <c r="K164" i="14"/>
  <c r="L164" i="14" s="1"/>
  <c r="K165" i="14"/>
  <c r="L165" i="14" s="1"/>
  <c r="K166" i="14"/>
  <c r="L166" i="14" s="1"/>
  <c r="K167" i="14"/>
  <c r="L167" i="14" s="1"/>
  <c r="K168" i="14"/>
  <c r="L168" i="14" s="1"/>
  <c r="K169" i="14"/>
  <c r="L169" i="14" s="1"/>
  <c r="K170" i="14"/>
  <c r="L170" i="14" s="1"/>
  <c r="K171" i="14"/>
  <c r="L171" i="14" s="1"/>
  <c r="K172" i="14"/>
  <c r="L172" i="14" s="1"/>
  <c r="K173" i="14"/>
  <c r="L173" i="14" s="1"/>
  <c r="K174" i="14"/>
  <c r="L174" i="14" s="1"/>
  <c r="K175" i="14"/>
  <c r="L175" i="14" s="1"/>
  <c r="K176" i="14"/>
  <c r="L176" i="14" s="1"/>
  <c r="K177" i="14"/>
  <c r="L177" i="14" s="1"/>
  <c r="K178" i="14"/>
  <c r="L178" i="14" s="1"/>
  <c r="K179" i="14"/>
  <c r="L179" i="14" s="1"/>
  <c r="K180" i="14"/>
  <c r="L180" i="14" s="1"/>
  <c r="K181" i="14"/>
  <c r="L181" i="14" s="1"/>
  <c r="K182" i="14"/>
  <c r="L182" i="14" s="1"/>
  <c r="K183" i="14"/>
  <c r="L183" i="14" s="1"/>
  <c r="K184" i="14"/>
  <c r="L184" i="14" s="1"/>
  <c r="K185" i="14"/>
  <c r="L185" i="14" s="1"/>
  <c r="K186" i="14"/>
  <c r="L186" i="14" s="1"/>
  <c r="K187" i="14"/>
  <c r="L187" i="14" s="1"/>
  <c r="K188" i="14"/>
  <c r="L188" i="14" s="1"/>
  <c r="K189" i="14"/>
  <c r="L189" i="14" s="1"/>
  <c r="K190" i="14"/>
  <c r="L190" i="14" s="1"/>
  <c r="K191" i="14"/>
  <c r="L191" i="14" s="1"/>
  <c r="K192" i="14"/>
  <c r="L192" i="14" s="1"/>
  <c r="K193" i="14"/>
  <c r="L193" i="14" s="1"/>
  <c r="K194" i="14"/>
  <c r="L194" i="14" s="1"/>
  <c r="K195" i="14"/>
  <c r="L195" i="14" s="1"/>
  <c r="K196" i="14"/>
  <c r="L196" i="14" s="1"/>
  <c r="K197" i="14"/>
  <c r="L197" i="14" s="1"/>
  <c r="K198" i="14"/>
  <c r="L198" i="14" s="1"/>
  <c r="K199" i="14"/>
  <c r="L199" i="14" s="1"/>
  <c r="K200" i="14"/>
  <c r="L200" i="14" s="1"/>
  <c r="K201" i="14"/>
  <c r="L201" i="14" s="1"/>
  <c r="I4" i="16" l="1"/>
  <c r="D4" i="16"/>
  <c r="L4" i="16"/>
  <c r="H4" i="16"/>
  <c r="H7" i="16" s="1"/>
  <c r="L98" i="14"/>
  <c r="L143" i="14"/>
  <c r="M4" i="16"/>
  <c r="J4" i="16"/>
  <c r="L29" i="14"/>
  <c r="L105" i="14"/>
  <c r="L21" i="14"/>
  <c r="C4" i="16"/>
  <c r="K4" i="16"/>
  <c r="J7" i="16" l="1"/>
  <c r="C7" i="16"/>
  <c r="K7" i="16"/>
  <c r="G7" i="16"/>
  <c r="I7" i="16"/>
  <c r="L7" i="16"/>
  <c r="D7" i="16"/>
  <c r="M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tc={9943CCEF-183B-4DA6-8CD1-E0F113BD527D}</author>
  </authors>
  <commentList>
    <comment ref="C116" authorId="0" shapeId="0" xr:uid="{9943CCEF-183B-4DA6-8CD1-E0F113BD527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Is this the total compensation value we should be using for the splits?</t>
      </text>
    </comment>
  </commentList>
</comments>
</file>

<file path=xl/sharedStrings.xml><?xml version="1.0" encoding="utf-8"?>
<sst xmlns="http://schemas.openxmlformats.org/spreadsheetml/2006/main" count="2494" uniqueCount="986">
  <si>
    <t>Source:</t>
  </si>
  <si>
    <t>OECD</t>
  </si>
  <si>
    <t>Notes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</si>
  <si>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</si>
  <si>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</si>
  <si>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</si>
  <si>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</si>
  <si>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</si>
  <si>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</si>
  <si>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</si>
  <si>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</si>
  <si>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</si>
  <si>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</si>
  <si>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</si>
  <si>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</si>
  <si>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</si>
  <si>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</si>
  <si>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</si>
  <si>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</si>
  <si>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</si>
  <si>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</si>
  <si>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</si>
  <si>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</si>
  <si>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</si>
  <si>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</si>
  <si>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</si>
  <si>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</si>
  <si>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</si>
  <si>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</si>
  <si>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</si>
  <si>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</si>
  <si>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</si>
  <si>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</si>
  <si>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</si>
  <si>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</si>
  <si>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</si>
  <si>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</si>
  <si>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</si>
  <si>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</si>
  <si>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</si>
  <si>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</si>
  <si>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</si>
  <si>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</si>
  <si>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</si>
  <si>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</si>
  <si>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</si>
  <si>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</si>
  <si>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</si>
  <si>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</si>
  <si>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</si>
  <si>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</si>
  <si>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</si>
  <si>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</si>
  <si>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</si>
  <si>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</si>
  <si>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</si>
  <si>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</si>
  <si>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</si>
  <si>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</si>
  <si>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</si>
  <si>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</si>
  <si>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</si>
  <si>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</si>
  <si>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</si>
  <si>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</si>
  <si>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</si>
  <si>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</si>
  <si>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</si>
  <si>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</si>
  <si>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</si>
  <si>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</si>
  <si>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</si>
  <si>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</si>
  <si>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</si>
  <si>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</si>
  <si>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</si>
  <si>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</si>
  <si>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</si>
  <si>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</si>
  <si>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</si>
  <si>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</si>
  <si>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</si>
  <si>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</si>
  <si>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</si>
  <si>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</si>
  <si>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</si>
  <si>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</si>
  <si>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</si>
  <si>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</si>
  <si>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</si>
  <si>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</si>
  <si>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</si>
  <si>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</si>
  <si>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</si>
  <si>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</si>
  <si>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</si>
  <si>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</si>
  <si>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</si>
  <si>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</si>
  <si>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</si>
  <si>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</si>
  <si>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</si>
  <si>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</si>
  <si>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</si>
  <si>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</si>
  <si>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</si>
  <si>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</si>
  <si>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</si>
  <si>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</si>
  <si>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</si>
  <si>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</si>
  <si>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</si>
  <si>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</si>
  <si>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</si>
  <si>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</si>
  <si>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</si>
  <si>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</si>
  <si>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</si>
  <si>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</si>
  <si>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</si>
  <si>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</si>
  <si>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</si>
  <si>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</si>
  <si>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</si>
  <si>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</si>
  <si>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</si>
  <si>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</si>
  <si>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</si>
  <si>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</si>
  <si>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</si>
  <si>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</si>
  <si>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Variable: TTL</t>
  </si>
  <si>
    <t>Unit: USD</t>
  </si>
  <si>
    <t>2012 USD per 2015 USD</t>
  </si>
  <si>
    <t>Government Expenditures</t>
  </si>
  <si>
    <t>Forestry and logging</t>
  </si>
  <si>
    <t>ISIC 20</t>
  </si>
  <si>
    <t>ISIC 21</t>
  </si>
  <si>
    <t>Government</t>
  </si>
  <si>
    <t>Households</t>
  </si>
  <si>
    <t>Chemicals</t>
  </si>
  <si>
    <t>Pharmaceuticals</t>
  </si>
  <si>
    <t>percent</t>
  </si>
  <si>
    <t>ISIC Code</t>
  </si>
  <si>
    <t>Household Expenditures</t>
  </si>
  <si>
    <t>Most Industries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</si>
  <si>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</si>
  <si>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</si>
  <si>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</si>
  <si>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</si>
  <si>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</si>
  <si>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</si>
  <si>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</si>
  <si>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</si>
  <si>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</si>
  <si>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</si>
  <si>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</si>
  <si>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</si>
  <si>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</si>
  <si>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</si>
  <si>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</si>
  <si>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</si>
  <si>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</si>
  <si>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</si>
  <si>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</si>
  <si>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</si>
  <si>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</si>
  <si>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</si>
  <si>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</si>
  <si>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</si>
  <si>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</si>
  <si>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</si>
  <si>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</si>
  <si>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</si>
  <si>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</si>
  <si>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</si>
  <si>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</si>
  <si>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</si>
  <si>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</si>
  <si>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</si>
  <si>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</si>
  <si>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</si>
  <si>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</si>
  <si>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</si>
  <si>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</si>
  <si>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</si>
  <si>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</si>
  <si>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</si>
  <si>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</si>
  <si>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</si>
  <si>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</si>
  <si>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</si>
  <si>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</si>
  <si>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</si>
  <si>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</si>
  <si>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O84</t>
  </si>
  <si>
    <t>P85</t>
  </si>
  <si>
    <t>T</t>
  </si>
  <si>
    <t>U</t>
  </si>
  <si>
    <t>CONS_h</t>
  </si>
  <si>
    <t>CONS_np</t>
  </si>
  <si>
    <t>CONS_g</t>
  </si>
  <si>
    <t>GFCF</t>
  </si>
  <si>
    <t>INVEN</t>
  </si>
  <si>
    <t>EXP</t>
  </si>
  <si>
    <t>Crop and animal production, hunting and related service activities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</si>
  <si>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</si>
  <si>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</si>
  <si>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</si>
  <si>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</si>
  <si>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</si>
  <si>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</si>
  <si>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</si>
  <si>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</si>
  <si>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</si>
  <si>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</si>
  <si>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</si>
  <si>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</si>
  <si>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</si>
  <si>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</si>
  <si>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</si>
  <si>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</si>
  <si>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</si>
  <si>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</si>
  <si>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</si>
  <si>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</si>
  <si>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</si>
  <si>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</si>
  <si>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</si>
  <si>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</si>
  <si>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</si>
  <si>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</si>
  <si>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</si>
  <si>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</si>
  <si>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</si>
  <si>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</si>
  <si>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</si>
  <si>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</si>
  <si>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</si>
  <si>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</si>
  <si>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</si>
  <si>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</si>
  <si>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</si>
  <si>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</si>
  <si>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</si>
  <si>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</si>
  <si>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</si>
  <si>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</si>
  <si>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</si>
  <si>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</si>
  <si>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</si>
  <si>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</si>
  <si>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</si>
  <si>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Public administration and defence; compulsory social security</t>
  </si>
  <si>
    <t>Education</t>
  </si>
  <si>
    <t>Activities of households as employers; undifferentiated goods- and services-producing activities of households for own use</t>
  </si>
  <si>
    <t>Total intermediate consumption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</si>
  <si>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</si>
  <si>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</si>
  <si>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</si>
  <si>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</si>
  <si>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</si>
  <si>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</si>
  <si>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Paper and paper products</t>
  </si>
  <si>
    <t>Other non-metallic mineral products</t>
  </si>
  <si>
    <t>TXSP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</si>
  <si>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</si>
  <si>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</si>
  <si>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</si>
  <si>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</si>
  <si>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</si>
  <si>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</si>
  <si>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</si>
  <si>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</si>
  <si>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GO</t>
  </si>
  <si>
    <t>Output at basic prices</t>
  </si>
  <si>
    <t>World Input-Output Database</t>
  </si>
  <si>
    <t>ISIC 05</t>
  </si>
  <si>
    <t>ISIC 06</t>
  </si>
  <si>
    <t>Source: World Input-Output Database</t>
  </si>
  <si>
    <t>Year</t>
  </si>
  <si>
    <t>Code</t>
  </si>
  <si>
    <t>Description</t>
  </si>
  <si>
    <t>Origin</t>
  </si>
  <si>
    <t>N</t>
  </si>
  <si>
    <t>Q</t>
  </si>
  <si>
    <t>R_S</t>
  </si>
  <si>
    <t>Administrative and support service activities</t>
  </si>
  <si>
    <t>Human health and social work activities</t>
  </si>
  <si>
    <t>Other service activities</t>
  </si>
  <si>
    <t>Activities of extraterritorial organizations and bodies</t>
  </si>
  <si>
    <t>Total output</t>
  </si>
  <si>
    <t>Domestic</t>
  </si>
  <si>
    <t>Imports</t>
  </si>
  <si>
    <t>II_fob</t>
  </si>
  <si>
    <t>TOT</t>
  </si>
  <si>
    <t>taxes less subsidies on products</t>
  </si>
  <si>
    <t>IntTTM</t>
  </si>
  <si>
    <t>International Transport Margins</t>
  </si>
  <si>
    <t>Extra-territorial organizations and bodies</t>
  </si>
  <si>
    <t>Private households with employed persons (95)</t>
  </si>
  <si>
    <t>Other services (93)</t>
  </si>
  <si>
    <t>Recreational, cultural and sporting services (92)</t>
  </si>
  <si>
    <t>Membership organisation services n.e.c. (91)</t>
  </si>
  <si>
    <t>Wood waste for treatment: landfill</t>
  </si>
  <si>
    <t>Textiles waste for treatment: landfill</t>
  </si>
  <si>
    <t>Inert/metal/hazardous waste for treatment: landfill</t>
  </si>
  <si>
    <t>Plastic waste for treatment: landfill</t>
  </si>
  <si>
    <t>Paper for treatment: landfill</t>
  </si>
  <si>
    <t>Food waste for treatment: landfill</t>
  </si>
  <si>
    <t>Other waste for treatment: waste water treatment</t>
  </si>
  <si>
    <t>Food waste for treatment: waste water treatment</t>
  </si>
  <si>
    <t>Paper and wood waste for treatment: composting and land application</t>
  </si>
  <si>
    <t>Food waste for treatment: composting and land application</t>
  </si>
  <si>
    <t>Sewage sludge for treatment: biogasification and land application</t>
  </si>
  <si>
    <t>Paper waste for treatment: biogasification and land application</t>
  </si>
  <si>
    <t>Food waste for treatment: biogasification and land application</t>
  </si>
  <si>
    <t>Oil/hazardous waste for treatment: incineration</t>
  </si>
  <si>
    <t>Wood waste for treatment: incineration</t>
  </si>
  <si>
    <t>Textiles waste for treatment: incineration</t>
  </si>
  <si>
    <t>Intert/metal waste for treatment: incineration</t>
  </si>
  <si>
    <t>Plastic waste for treatment: incineration</t>
  </si>
  <si>
    <t>Paper waste for treatment: incineration</t>
  </si>
  <si>
    <t>Food waste for treatment: incineration</t>
  </si>
  <si>
    <t>Health and social work services (85)</t>
  </si>
  <si>
    <t>Education services (80)</t>
  </si>
  <si>
    <t>Public administration and defence services; compulsory social security services (75)</t>
  </si>
  <si>
    <t>Other business services (74)</t>
  </si>
  <si>
    <t>Research and development services (73)</t>
  </si>
  <si>
    <t>Computer and related services (72)</t>
  </si>
  <si>
    <t>Renting services of machinery and equipment without operator and of personal and household goods (71)</t>
  </si>
  <si>
    <t>Real estate services (70)</t>
  </si>
  <si>
    <t>Services auxiliary to financial intermediation (67)</t>
  </si>
  <si>
    <t>Insurance and pension funding services, except compulsory social security services (66)</t>
  </si>
  <si>
    <t>Financial intermediation services, except insurance and pension funding services (65)</t>
  </si>
  <si>
    <t>Post and telecommunication services (64)</t>
  </si>
  <si>
    <t>Supporting and auxiliary transport services; travel agency services (63)</t>
  </si>
  <si>
    <t>Air transport services (62)</t>
  </si>
  <si>
    <t>Inland water transportation services</t>
  </si>
  <si>
    <t>Sea and coastal water transportation services</t>
  </si>
  <si>
    <t>Transportation services via pipelines</t>
  </si>
  <si>
    <t>Other land transportation services</t>
  </si>
  <si>
    <t>Railway transportation services</t>
  </si>
  <si>
    <t>Hotel and restaurant services (55)</t>
  </si>
  <si>
    <t>Retail  trade services, except of motor vehicles and motorcycles; repair services of personal and household goods (52)</t>
  </si>
  <si>
    <t>Wholesale trade and commission trade services, except of motor vehicles and motorcycles (51)</t>
  </si>
  <si>
    <t>Retail trade services of motor fuel</t>
  </si>
  <si>
    <t>Sale, maintenance, repair of motor vehicles, motor vehicles parts, motorcycles, motor cycles parts and accessoiries</t>
  </si>
  <si>
    <t>Secondary construction material for treatment, Re-processing of secondary construction material into aggregates</t>
  </si>
  <si>
    <t>Construction work (45)</t>
  </si>
  <si>
    <t>Collected and purified water, distribution services of water (41)</t>
  </si>
  <si>
    <t>Steam and hot water supply services</t>
  </si>
  <si>
    <t>Distribution services of gaseous fuels through mains</t>
  </si>
  <si>
    <t>Biogas</t>
  </si>
  <si>
    <t>Gas Works Gas</t>
  </si>
  <si>
    <t>Oxygen Steel Furnace Gas</t>
  </si>
  <si>
    <t>Blast Furnace Gas</t>
  </si>
  <si>
    <t>Coke oven gas</t>
  </si>
  <si>
    <t>Distribution and trade services of electricity</t>
  </si>
  <si>
    <t>Transmission services of electricity</t>
  </si>
  <si>
    <t>Electricity nec</t>
  </si>
  <si>
    <t>Electricity by Geothermal</t>
  </si>
  <si>
    <t>Electricity by tide, wave, ocean</t>
  </si>
  <si>
    <t>Electricity by solar thermal</t>
  </si>
  <si>
    <t>Electricity by solar photovoltaic</t>
  </si>
  <si>
    <t>Electricity by biomass and waste</t>
  </si>
  <si>
    <t>Electricity by petroleum and other oil derivatives</t>
  </si>
  <si>
    <t>Electricity by wind</t>
  </si>
  <si>
    <t>Electricity by hydro</t>
  </si>
  <si>
    <t>Electricity by nuclear</t>
  </si>
  <si>
    <t>Electricity by gas</t>
  </si>
  <si>
    <t>Electricity by coal</t>
  </si>
  <si>
    <t>Bottles for treatment, Recycling of bottles by direct reuse</t>
  </si>
  <si>
    <t>Secondary raw materials</t>
  </si>
  <si>
    <t>Furniture; other manufactured goods n.e.c. (36)</t>
  </si>
  <si>
    <t>Other transport equipment (35)</t>
  </si>
  <si>
    <t>Motor vehicles, trailers and semi-trailers (34)</t>
  </si>
  <si>
    <t>Medical, precision and optical instruments, watches and clocks (33)</t>
  </si>
  <si>
    <t>Radio, television and communication equipment and apparatus (32)</t>
  </si>
  <si>
    <t>Electrical machinery and apparatus n.e.c. (31)</t>
  </si>
  <si>
    <t>Office machinery and computers (30)</t>
  </si>
  <si>
    <t>Machinery and equipment n.e.c. (29)</t>
  </si>
  <si>
    <t>Fabricated metal products, except machinery and equipment (28)</t>
  </si>
  <si>
    <t>Foundry work services</t>
  </si>
  <si>
    <t>Secondary other non-ferrous metals for treatment, Re-processing of secondary other non-ferrous metals into new other non-ferrous metals</t>
  </si>
  <si>
    <t>Other non-ferrous metal products</t>
  </si>
  <si>
    <t>Secondary copper for treatment, Re-processing of secondary copper into new copper</t>
  </si>
  <si>
    <t>Copper products</t>
  </si>
  <si>
    <t>Secondary lead for treatment, Re-processing of secondary lead into new lead</t>
  </si>
  <si>
    <t>Lead, zinc and tin and products thereof</t>
  </si>
  <si>
    <t>Secondary aluminium for treatment, Re-processing of secondary aluminium into new aluminium</t>
  </si>
  <si>
    <t>Aluminium and aluminium products</t>
  </si>
  <si>
    <t>Secondary preciuos metals for treatment, Re-processing of secondary preciuos metals into new preciuos metals</t>
  </si>
  <si>
    <t>Precious metals</t>
  </si>
  <si>
    <t>Secondary steel for treatment, Re-processing of secondary steel into new steel</t>
  </si>
  <si>
    <t>Basic iron and steel and of ferro-alloys and first products thereof</t>
  </si>
  <si>
    <t>Ash for treatment, Re-processing of ash into clinker</t>
  </si>
  <si>
    <t>Cement, lime and plaster</t>
  </si>
  <si>
    <t>Bricks, tiles and construction products, in baked clay</t>
  </si>
  <si>
    <t>Ceramic goods</t>
  </si>
  <si>
    <t>Secondary glass for treatment, Re-processing of secondary glass into new glass</t>
  </si>
  <si>
    <t>Glass and glass products</t>
  </si>
  <si>
    <t>Rubber and plastic products (25)</t>
  </si>
  <si>
    <t>Other Liquid Biofuels</t>
  </si>
  <si>
    <t>Biodiesels</t>
  </si>
  <si>
    <t>Biogasoline</t>
  </si>
  <si>
    <t>Additives/Blending Components</t>
  </si>
  <si>
    <t>Charcoal</t>
  </si>
  <si>
    <t>Chemicals nec</t>
  </si>
  <si>
    <t>P- and other fertiliser</t>
  </si>
  <si>
    <t>N-fertiliser</t>
  </si>
  <si>
    <t>Secondary plastic for treatment, Re-processing of secondary plastic into new plastic</t>
  </si>
  <si>
    <t>Plastics, basic</t>
  </si>
  <si>
    <t>Nuclear fuel</t>
  </si>
  <si>
    <t>Non-specified Petroleum Products</t>
  </si>
  <si>
    <t>Petroleum Coke</t>
  </si>
  <si>
    <t>Paraffin Waxes</t>
  </si>
  <si>
    <t>Bitumen</t>
  </si>
  <si>
    <t>Lubricants</t>
  </si>
  <si>
    <t>White Spirit &amp; SBP</t>
  </si>
  <si>
    <t>Naphtha</t>
  </si>
  <si>
    <t>Ethane</t>
  </si>
  <si>
    <t>Refinery Feedstocks</t>
  </si>
  <si>
    <t>Liquefied Petroleum Gases (LPG)</t>
  </si>
  <si>
    <t>Refinery Gas</t>
  </si>
  <si>
    <t>Heavy Fuel Oil</t>
  </si>
  <si>
    <t>Gas/Diesel Oil</t>
  </si>
  <si>
    <t>Kerosene</t>
  </si>
  <si>
    <t>Kerosene Type Jet Fuel</t>
  </si>
  <si>
    <t>Gasoline Type Jet Fuel</t>
  </si>
  <si>
    <t>Aviation Gasoline</t>
  </si>
  <si>
    <t>Motor Gasoline</t>
  </si>
  <si>
    <t>Coal Tar</t>
  </si>
  <si>
    <t>Gas Coke</t>
  </si>
  <si>
    <t>Coke Oven Coke</t>
  </si>
  <si>
    <t>Printed matter and recorded media (22)</t>
  </si>
  <si>
    <t>Secondary paper for treatment, Re-processing of secondary paper into new pulp</t>
  </si>
  <si>
    <t>Pulp</t>
  </si>
  <si>
    <t>Wood material for treatment, Re-processing of secondary wood material into new wood material</t>
  </si>
  <si>
    <t>Wood and products of wood and cork (except furniture); articles of straw and plaiting materials (20)</t>
  </si>
  <si>
    <t>Leather and leather products (19)</t>
  </si>
  <si>
    <t>Wearing apparel; furs (18)</t>
  </si>
  <si>
    <t>Textiles (17)</t>
  </si>
  <si>
    <t>Tobacco products (16)</t>
  </si>
  <si>
    <t>Fish products</t>
  </si>
  <si>
    <t>Beverages</t>
  </si>
  <si>
    <t>Food products nec</t>
  </si>
  <si>
    <t>Sugar</t>
  </si>
  <si>
    <t>Processed rice</t>
  </si>
  <si>
    <t>Dairy products</t>
  </si>
  <si>
    <t>products of Vegetable oils and fats</t>
  </si>
  <si>
    <t>Meat products nec</t>
  </si>
  <si>
    <t>Products of meat poultry</t>
  </si>
  <si>
    <t>Products of meat pigs</t>
  </si>
  <si>
    <t>Products of meat cattle</t>
  </si>
  <si>
    <t>Chemical and fertilizer minerals, salt and other mining and quarrying products n.e.c.</t>
  </si>
  <si>
    <t>Sand and clay</t>
  </si>
  <si>
    <t>Stone</t>
  </si>
  <si>
    <t>Other non-ferrous metal ores and concentrates</t>
  </si>
  <si>
    <t>Lead, zinc and tin ores and concentrates</t>
  </si>
  <si>
    <t>Precious metal ores and concentrates</t>
  </si>
  <si>
    <t>Aluminium ores and concentrates</t>
  </si>
  <si>
    <t>Nickel ores and concentrates</t>
  </si>
  <si>
    <t>Copper ores and concentrates</t>
  </si>
  <si>
    <t>Iron ores</t>
  </si>
  <si>
    <t>Uranium and thorium ores (12)</t>
  </si>
  <si>
    <t>Other Hydrocarbons</t>
  </si>
  <si>
    <t>Natural Gas Liquids</t>
  </si>
  <si>
    <t>Natural gas and services related to natural gas extraction, excluding surveying</t>
  </si>
  <si>
    <t>Crude petroleum and services related to crude oil extraction, excluding surveying</t>
  </si>
  <si>
    <t>Peat</t>
  </si>
  <si>
    <t>BKB/Peat Briquettes</t>
  </si>
  <si>
    <t>Lignite/Brown Coal</t>
  </si>
  <si>
    <t>Patent Fuel</t>
  </si>
  <si>
    <t>Sub-Bituminous Coal</t>
  </si>
  <si>
    <t>Other Bituminous Coal</t>
  </si>
  <si>
    <t>Coking Coal</t>
  </si>
  <si>
    <t>Anthracite</t>
  </si>
  <si>
    <t>Fish and other fishing products; services incidental of fishing (05)</t>
  </si>
  <si>
    <t>Products of forestry, logging and related services (02)</t>
  </si>
  <si>
    <t>Manure (biogas treatment)</t>
  </si>
  <si>
    <t>Manure (conventional treatment)</t>
  </si>
  <si>
    <t>Wool, silk-worm cocoons</t>
  </si>
  <si>
    <t>Raw milk</t>
  </si>
  <si>
    <t>Animal products nec</t>
  </si>
  <si>
    <t>Meat animals nec</t>
  </si>
  <si>
    <t>Poultry</t>
  </si>
  <si>
    <t>Pigs</t>
  </si>
  <si>
    <t>Cattle</t>
  </si>
  <si>
    <t>Crops nec</t>
  </si>
  <si>
    <t>Plant-based fibers</t>
  </si>
  <si>
    <t>Sugar cane, sugar beet</t>
  </si>
  <si>
    <t>Oil seeds</t>
  </si>
  <si>
    <t>Vegetables, fruit, nuts</t>
  </si>
  <si>
    <t>Cereal grains nec</t>
  </si>
  <si>
    <t>Wheat</t>
  </si>
  <si>
    <t>Paddy rice</t>
  </si>
  <si>
    <t>% households</t>
  </si>
  <si>
    <t>Households and organizations serving households</t>
  </si>
  <si>
    <t>Exports: Total (fob)</t>
  </si>
  <si>
    <t>Changes in valuables</t>
  </si>
  <si>
    <t>Changes in inventories</t>
  </si>
  <si>
    <t>Sector ID</t>
  </si>
  <si>
    <t>Sector</t>
  </si>
  <si>
    <t>Label</t>
  </si>
  <si>
    <t>Exiobase Sector Code</t>
  </si>
  <si>
    <t>ISIC 231</t>
  </si>
  <si>
    <t>ISIC 239</t>
  </si>
  <si>
    <t>ISIC 241</t>
  </si>
  <si>
    <t>ISIC 242</t>
  </si>
  <si>
    <t>ISIC 36T39</t>
  </si>
  <si>
    <t>ISIC 351</t>
  </si>
  <si>
    <t>ISIC 352T353</t>
  </si>
  <si>
    <t>Retail trade services, except of motor vehicles and motorcycles; repair services of personal and household goods (52)</t>
  </si>
  <si>
    <t>ISIC code</t>
  </si>
  <si>
    <t>Coal mining</t>
  </si>
  <si>
    <t>Oil and gas extraction</t>
  </si>
  <si>
    <t>Glass</t>
  </si>
  <si>
    <t>Cement and Other Nometallic Minerals</t>
  </si>
  <si>
    <t>Iron and steel</t>
  </si>
  <si>
    <t>Other metals</t>
  </si>
  <si>
    <t>Electricity generation and distribution</t>
  </si>
  <si>
    <t>Energy pipelines and gas processing</t>
  </si>
  <si>
    <t>Water and waste</t>
  </si>
  <si>
    <t>Final consumption expenditure by households and orgs serving households</t>
  </si>
  <si>
    <t>Split for Chemicals/Pharmaceuticals and Coal/Petroleum Extraction Industries</t>
  </si>
  <si>
    <t>National IO Tables</t>
  </si>
  <si>
    <t>http://www.wiod.org/database/niots16</t>
  </si>
  <si>
    <t>Split for All Other ISIC Codes</t>
  </si>
  <si>
    <t>Exiobase</t>
  </si>
  <si>
    <t>Exiobase 3rx, 2016</t>
  </si>
  <si>
    <t>https://zenodo.org/record/2654460#.YEFjHmhKg2w</t>
  </si>
  <si>
    <t>We use WIOD (chem/pharma) and EXIOBASE (all others) to make splits between the ISIC code sectors.</t>
  </si>
  <si>
    <t>M.EUR</t>
  </si>
  <si>
    <t>Data from WIOD; units NOT M.EUR</t>
  </si>
  <si>
    <t>Households and orgs serving households</t>
  </si>
  <si>
    <t>Data extracted on 20 May 2021 13:18 UTC (GMT) from OECD.Stat</t>
  </si>
  <si>
    <t>KOR: Korea</t>
  </si>
  <si>
    <t>KOR NIOT, 2014</t>
  </si>
  <si>
    <t>KOR, Final Demand Matrix</t>
  </si>
  <si>
    <t>Sorry, the query is too large to fit into the Excel cell. You will not be able to update your table with the .Stat Populator.</t>
  </si>
  <si>
    <t>Dataset: Input-Output Tables (IOTs) 2021 ed.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</si>
  <si>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</si>
  <si>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</si>
  <si>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</si>
  <si>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</si>
  <si>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</si>
  <si>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</si>
  <si>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</si>
  <si>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</si>
  <si>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</si>
  <si>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</si>
  <si>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</si>
  <si>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</si>
  <si>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</si>
  <si>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</si>
  <si>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</si>
  <si>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</si>
  <si>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</si>
  <si>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</si>
  <si>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</si>
  <si>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</si>
  <si>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</si>
  <si>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</si>
  <si>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</si>
  <si>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</si>
  <si>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</si>
  <si>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</si>
  <si>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</si>
  <si>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</si>
  <si>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</si>
  <si>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</si>
  <si>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</si>
  <si>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</si>
  <si>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</si>
  <si>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</si>
  <si>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</si>
  <si>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</si>
  <si>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</si>
  <si>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</si>
  <si>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</si>
  <si>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</si>
  <si>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</si>
  <si>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</si>
  <si>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</si>
  <si>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</si>
  <si>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</si>
  <si>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</si>
  <si>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</si>
  <si>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</si>
  <si>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</si>
  <si>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</si>
  <si>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</si>
  <si>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</si>
  <si>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</si>
  <si>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</si>
  <si>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</si>
  <si>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25 Feb 2022 22:25 UTC (GMT) from OECD.Stat</t>
  </si>
  <si>
    <t>05</t>
  </si>
  <si>
    <t>Mining of coal and lignite</t>
  </si>
  <si>
    <t>051</t>
  </si>
  <si>
    <t>Mining of hard coal</t>
  </si>
  <si>
    <t>052</t>
  </si>
  <si>
    <t>Mining of lignite</t>
  </si>
  <si>
    <t>06</t>
  </si>
  <si>
    <t>Extraction of crude petroleum &amp; natural gas</t>
  </si>
  <si>
    <t>061</t>
  </si>
  <si>
    <t>Extraction of crude petroleum</t>
  </si>
  <si>
    <t>062</t>
  </si>
  <si>
    <t>Extraction of natural gas</t>
  </si>
  <si>
    <t>07</t>
  </si>
  <si>
    <t>Mining of metal ores</t>
  </si>
  <si>
    <t>071</t>
  </si>
  <si>
    <t>Mining of iron ores</t>
  </si>
  <si>
    <t>072</t>
  </si>
  <si>
    <t>Mining of non-ferrous metal ores</t>
  </si>
  <si>
    <t>08</t>
  </si>
  <si>
    <t>Other mining and quarrying</t>
  </si>
  <si>
    <t>081</t>
  </si>
  <si>
    <t>Quarrying of stone, sand and clay</t>
  </si>
  <si>
    <t>089</t>
  </si>
  <si>
    <t>Mining and quarrying n.e.c.</t>
  </si>
  <si>
    <t>09</t>
  </si>
  <si>
    <t>Mining support service activities</t>
  </si>
  <si>
    <t>091</t>
  </si>
  <si>
    <t>Support activities for petroleum</t>
  </si>
  <si>
    <t>099</t>
  </si>
  <si>
    <t>Support activities for other mining, quarrying</t>
  </si>
  <si>
    <t>0B</t>
  </si>
  <si>
    <t>35</t>
  </si>
  <si>
    <t>Electricity, gas, steam &amp; air conditioning</t>
  </si>
  <si>
    <t>351</t>
  </si>
  <si>
    <t>Electric power generation, transmission</t>
  </si>
  <si>
    <t>352</t>
  </si>
  <si>
    <t>Manufacture of gas</t>
  </si>
  <si>
    <t>353</t>
  </si>
  <si>
    <t>Steam and air conditioning supply</t>
  </si>
  <si>
    <t>35D</t>
  </si>
  <si>
    <t>36</t>
  </si>
  <si>
    <t>360</t>
  </si>
  <si>
    <t>37</t>
  </si>
  <si>
    <t>Sewerage</t>
  </si>
  <si>
    <t>370</t>
  </si>
  <si>
    <t>38</t>
  </si>
  <si>
    <t>Waste collection,treatment,disposal activities</t>
  </si>
  <si>
    <t>381</t>
  </si>
  <si>
    <t>Waste collection</t>
  </si>
  <si>
    <t>382</t>
  </si>
  <si>
    <t>Waste treatment and disposal</t>
  </si>
  <si>
    <t>383</t>
  </si>
  <si>
    <t>Materials recovery</t>
  </si>
  <si>
    <t>39</t>
  </si>
  <si>
    <t>Remediation activities</t>
  </si>
  <si>
    <t>390</t>
  </si>
  <si>
    <t>39E</t>
  </si>
  <si>
    <t>Water supply;sewerage,waste management</t>
  </si>
  <si>
    <t>1010</t>
  </si>
  <si>
    <t>Processing/preserving of meat</t>
  </si>
  <si>
    <t>1020</t>
  </si>
  <si>
    <t>Processing/preserving of fish, etc.</t>
  </si>
  <si>
    <t>1030</t>
  </si>
  <si>
    <t>Processing/preserving of fruit,vegetables</t>
  </si>
  <si>
    <t>1040</t>
  </si>
  <si>
    <t>Vegetable and animal oils and fats</t>
  </si>
  <si>
    <t>1050</t>
  </si>
  <si>
    <t>106</t>
  </si>
  <si>
    <t>Grain mill products,starches and starch products</t>
  </si>
  <si>
    <t>1061</t>
  </si>
  <si>
    <t>Grain mill products</t>
  </si>
  <si>
    <t>1062</t>
  </si>
  <si>
    <t>Starches and starch products</t>
  </si>
  <si>
    <t>107</t>
  </si>
  <si>
    <t>Other food products</t>
  </si>
  <si>
    <t>1071</t>
  </si>
  <si>
    <t>Bakery products</t>
  </si>
  <si>
    <t>1072</t>
  </si>
  <si>
    <t>1073</t>
  </si>
  <si>
    <t>Cocoa, chocolate and sugar confectionery</t>
  </si>
  <si>
    <t>1074</t>
  </si>
  <si>
    <t>Macaroni, noodles, couscous, etc.</t>
  </si>
  <si>
    <t>1075</t>
  </si>
  <si>
    <t>Prepared meals and dishes</t>
  </si>
  <si>
    <t>1079</t>
  </si>
  <si>
    <t>Other food products n.e.c.</t>
  </si>
  <si>
    <t>1080</t>
  </si>
  <si>
    <t>Prepared animal feeds</t>
  </si>
  <si>
    <t>110</t>
  </si>
  <si>
    <t>1101</t>
  </si>
  <si>
    <t>Distilling, rectifying and blending of spirits</t>
  </si>
  <si>
    <t>1102</t>
  </si>
  <si>
    <t>Wines</t>
  </si>
  <si>
    <t>1103</t>
  </si>
  <si>
    <t>Malt liquors and malt</t>
  </si>
  <si>
    <t>1104</t>
  </si>
  <si>
    <t>Soft drinks,mineral waters,other bottled waters</t>
  </si>
  <si>
    <t>1200</t>
  </si>
  <si>
    <t>Tobacco products</t>
  </si>
  <si>
    <t>131</t>
  </si>
  <si>
    <t>Spinning, weaving and finishing of textiles</t>
  </si>
  <si>
    <t>1311</t>
  </si>
  <si>
    <t>Preparation and spinning of textile fibres</t>
  </si>
  <si>
    <t>1312</t>
  </si>
  <si>
    <t>Weaving of textiles</t>
  </si>
  <si>
    <t>1313</t>
  </si>
  <si>
    <t>Finishing of textiles</t>
  </si>
  <si>
    <t>139</t>
  </si>
  <si>
    <t>Other textiles</t>
  </si>
  <si>
    <t>1391</t>
  </si>
  <si>
    <t>Knitted and crocheted fabrics</t>
  </si>
  <si>
    <t>1392</t>
  </si>
  <si>
    <t>Made-up textile articles, except apparel</t>
  </si>
  <si>
    <t>1393</t>
  </si>
  <si>
    <t>Carpets and rugs</t>
  </si>
  <si>
    <t>1394</t>
  </si>
  <si>
    <t>Cordage, rope, twine and netting</t>
  </si>
  <si>
    <t>1399</t>
  </si>
  <si>
    <t>Other textiles n.e.c.</t>
  </si>
  <si>
    <t>1410</t>
  </si>
  <si>
    <t>Wearing apparel, except fur apparel</t>
  </si>
  <si>
    <t>1420</t>
  </si>
  <si>
    <t>Articles of fur</t>
  </si>
  <si>
    <t>1430</t>
  </si>
  <si>
    <t>Knitted and crocheted apparel</t>
  </si>
  <si>
    <t>151</t>
  </si>
  <si>
    <t>Leather;luggage,handbags,saddlery,harness;fur</t>
  </si>
  <si>
    <t>1511</t>
  </si>
  <si>
    <t>Tanning/dressing of leather; dressing of fur</t>
  </si>
  <si>
    <t>1512</t>
  </si>
  <si>
    <t>Luggage,handbags,etc.;saddlery/harness</t>
  </si>
  <si>
    <t>1520</t>
  </si>
  <si>
    <t>Footwear</t>
  </si>
  <si>
    <t>1610</t>
  </si>
  <si>
    <t>Sawmilling and planing of wood</t>
  </si>
  <si>
    <t>162</t>
  </si>
  <si>
    <t>Wood products, cork, straw, plaiting materials</t>
  </si>
  <si>
    <t>1621</t>
  </si>
  <si>
    <t>Veneer sheets and wood-based panels</t>
  </si>
  <si>
    <t>1622</t>
  </si>
  <si>
    <t>Builders' carpentry and joinery</t>
  </si>
  <si>
    <t>1623</t>
  </si>
  <si>
    <t>Wooden containers</t>
  </si>
  <si>
    <t>1629</t>
  </si>
  <si>
    <t>Other wood products;articles of cork,straw</t>
  </si>
  <si>
    <t>170</t>
  </si>
  <si>
    <t>1701</t>
  </si>
  <si>
    <t>Pulp, paper and paperboard</t>
  </si>
  <si>
    <t>1702</t>
  </si>
  <si>
    <t>Corrugated paper and paperboard</t>
  </si>
  <si>
    <t>1709</t>
  </si>
  <si>
    <t>Other articles of paper and paperboard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</si>
  <si>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</si>
  <si>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</si>
  <si>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</si>
  <si>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</si>
  <si>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</si>
  <si>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</si>
  <si>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1820</t>
  </si>
  <si>
    <t>Reproduction of recorded media</t>
  </si>
  <si>
    <t>1910</t>
  </si>
  <si>
    <t>Coke oven products</t>
  </si>
  <si>
    <t>1920</t>
  </si>
  <si>
    <t>Refined petroleum products</t>
  </si>
  <si>
    <t>201</t>
  </si>
  <si>
    <t>Basic chemicals,fertilizers, etc.</t>
  </si>
  <si>
    <t>2011</t>
  </si>
  <si>
    <t>Basic chemicals</t>
  </si>
  <si>
    <t>2012</t>
  </si>
  <si>
    <t>Fertilizers and nitrogen compounds</t>
  </si>
  <si>
    <t>2013</t>
  </si>
  <si>
    <t>Plastics and synthetic rubber in primary forms</t>
  </si>
  <si>
    <t>202</t>
  </si>
  <si>
    <t>Other chemical products</t>
  </si>
  <si>
    <t>2021</t>
  </si>
  <si>
    <t>Pesticides and other agrochemical products</t>
  </si>
  <si>
    <t>2022</t>
  </si>
  <si>
    <t>Paints,varnishes;printing ink and mastics</t>
  </si>
  <si>
    <t>2023</t>
  </si>
  <si>
    <t>Soap,cleaning and cosmetic preparations</t>
  </si>
  <si>
    <t>2029</t>
  </si>
  <si>
    <t>Other chemical products n.e.c.</t>
  </si>
  <si>
    <t>2030</t>
  </si>
  <si>
    <t>Man-made fibres</t>
  </si>
  <si>
    <t>2100</t>
  </si>
  <si>
    <t>Pharmaceuticals,medicinal chemicals, etc.</t>
  </si>
  <si>
    <t>221</t>
  </si>
  <si>
    <t>Rubber products</t>
  </si>
  <si>
    <t>2211</t>
  </si>
  <si>
    <t>Rubber tyres and tubes</t>
  </si>
  <si>
    <t>2219</t>
  </si>
  <si>
    <t>Other rubber products</t>
  </si>
  <si>
    <t>2220</t>
  </si>
  <si>
    <t>Plastics products</t>
  </si>
  <si>
    <t>2310</t>
  </si>
  <si>
    <t>239</t>
  </si>
  <si>
    <t>Non-metallic mineral products n.e.c.</t>
  </si>
  <si>
    <t>2391</t>
  </si>
  <si>
    <t>Refractory products</t>
  </si>
  <si>
    <t>2392</t>
  </si>
  <si>
    <t>Clay building materials</t>
  </si>
  <si>
    <t>2393</t>
  </si>
  <si>
    <t>Other porcelain and ceramic products</t>
  </si>
  <si>
    <t>2394</t>
  </si>
  <si>
    <t>2395</t>
  </si>
  <si>
    <t>Articles of concrete, cement and plaster</t>
  </si>
  <si>
    <t>2396</t>
  </si>
  <si>
    <t>Cutting, shaping and finishing of stone</t>
  </si>
  <si>
    <t>2399</t>
  </si>
  <si>
    <t>Other non-metallic mineral products n.e.c.</t>
  </si>
  <si>
    <t>2410</t>
  </si>
  <si>
    <t>Basic iron and steel</t>
  </si>
  <si>
    <t>2420</t>
  </si>
  <si>
    <t>Basic precious and other non-ferrous metals</t>
  </si>
  <si>
    <t>243</t>
  </si>
  <si>
    <t>Casting of metals</t>
  </si>
  <si>
    <t>2431</t>
  </si>
  <si>
    <t>Casting of iron and steel</t>
  </si>
  <si>
    <t>2432</t>
  </si>
  <si>
    <t>Casting of non-ferrous metals</t>
  </si>
  <si>
    <t>251</t>
  </si>
  <si>
    <t>Struct.metal products, tanks, reservoirs</t>
  </si>
  <si>
    <t>2511</t>
  </si>
  <si>
    <t>Structural metal products</t>
  </si>
  <si>
    <t>2512</t>
  </si>
  <si>
    <t>Tanks, reservoirs and containers of metal</t>
  </si>
  <si>
    <t>2513</t>
  </si>
  <si>
    <t>Steam generators, excl. hot water boilers</t>
  </si>
  <si>
    <t>2520</t>
  </si>
  <si>
    <t>Weapons and ammunition</t>
  </si>
  <si>
    <t>259</t>
  </si>
  <si>
    <t>Other metal products;metal working services</t>
  </si>
  <si>
    <t>2591</t>
  </si>
  <si>
    <t>Forging,pressing,stamping,roll-forming of metal</t>
  </si>
  <si>
    <t>2592</t>
  </si>
  <si>
    <t>Treatment and coating of metals; machining</t>
  </si>
  <si>
    <t>2593</t>
  </si>
  <si>
    <t>Cutlery, hand tools and general hardware</t>
  </si>
  <si>
    <t>2599</t>
  </si>
  <si>
    <t>Other fabricated metal products n.e.c.</t>
  </si>
  <si>
    <t>2610</t>
  </si>
  <si>
    <t>Electronic components and boards</t>
  </si>
  <si>
    <t>2620</t>
  </si>
  <si>
    <t>Computers and peripheral equipment</t>
  </si>
  <si>
    <t>2630</t>
  </si>
  <si>
    <t>Communication equipment</t>
  </si>
  <si>
    <t>2640</t>
  </si>
  <si>
    <t>Consumer electronics</t>
  </si>
  <si>
    <t>265</t>
  </si>
  <si>
    <t>Measuring,testing equipment; watches, etc.</t>
  </si>
  <si>
    <t>2651</t>
  </si>
  <si>
    <t>Measuring/testing/navigating equipment,etc.</t>
  </si>
  <si>
    <t>2652</t>
  </si>
  <si>
    <t>Watches and clocks</t>
  </si>
  <si>
    <t>2660</t>
  </si>
  <si>
    <t>Irradiation/electromedical equipment,etc.</t>
  </si>
  <si>
    <t>2670</t>
  </si>
  <si>
    <t>Optical instruments and photographic equipment</t>
  </si>
  <si>
    <t>2680</t>
  </si>
  <si>
    <t>Magnetic and optical media</t>
  </si>
  <si>
    <t>2710</t>
  </si>
  <si>
    <t>Electric motors,generators,transformers,etc.</t>
  </si>
  <si>
    <t>2720</t>
  </si>
  <si>
    <t>Batteries and accumulators</t>
  </si>
  <si>
    <t>273</t>
  </si>
  <si>
    <t>Wiring and wiring devices</t>
  </si>
  <si>
    <t>2731</t>
  </si>
  <si>
    <t>Fibre optic cables</t>
  </si>
  <si>
    <t>2732</t>
  </si>
  <si>
    <t>Other electronic and electric wires and cables</t>
  </si>
  <si>
    <t>2733</t>
  </si>
  <si>
    <t>Wiring devices</t>
  </si>
  <si>
    <t>2740</t>
  </si>
  <si>
    <t>Electric lighting equipment</t>
  </si>
  <si>
    <t>2750</t>
  </si>
  <si>
    <t>Domestic appliances</t>
  </si>
  <si>
    <t>2790</t>
  </si>
  <si>
    <t>Other electrical equipment</t>
  </si>
  <si>
    <t>281</t>
  </si>
  <si>
    <t>General-purpose machinery</t>
  </si>
  <si>
    <t>2811</t>
  </si>
  <si>
    <t>Engines/turbines,excl.aircraft,vehicle engines</t>
  </si>
  <si>
    <t>2812</t>
  </si>
  <si>
    <t>Fluid power equipment</t>
  </si>
  <si>
    <t>2813</t>
  </si>
  <si>
    <t>Other pumps, compressors, taps and valves</t>
  </si>
  <si>
    <t>2814</t>
  </si>
  <si>
    <t>Bearings, gears, gearing and driving elements</t>
  </si>
  <si>
    <t>2815</t>
  </si>
  <si>
    <t>Ovens, furnaces and furnace burners</t>
  </si>
  <si>
    <t>2816</t>
  </si>
  <si>
    <t>Lifting and handling equipment</t>
  </si>
  <si>
    <t>2817</t>
  </si>
  <si>
    <t>Office machinery, excl.computers,etc.</t>
  </si>
  <si>
    <t>2818</t>
  </si>
  <si>
    <t>Power-driven hand tools</t>
  </si>
  <si>
    <t>2819</t>
  </si>
  <si>
    <t>Other general-purpose machinery</t>
  </si>
  <si>
    <t>282</t>
  </si>
  <si>
    <t>Special-purpose machinery</t>
  </si>
  <si>
    <t>2821</t>
  </si>
  <si>
    <t>Agricultural and forestry machinery</t>
  </si>
  <si>
    <t>2822</t>
  </si>
  <si>
    <t>Metal-forming machinery and machine tools</t>
  </si>
  <si>
    <t>2823</t>
  </si>
  <si>
    <t>Machinery for metallurgy</t>
  </si>
  <si>
    <t>2824</t>
  </si>
  <si>
    <t>Mining, quarrying and construction machinery</t>
  </si>
  <si>
    <t>2825</t>
  </si>
  <si>
    <t>Food/beverage/tobacco processing machinery</t>
  </si>
  <si>
    <t>2826</t>
  </si>
  <si>
    <t>Textile/apparel/leather production machinery</t>
  </si>
  <si>
    <t>2829</t>
  </si>
  <si>
    <t>Other special-purpose machinery</t>
  </si>
  <si>
    <t>2910</t>
  </si>
  <si>
    <t>Motor vehicles</t>
  </si>
  <si>
    <t>2920</t>
  </si>
  <si>
    <t>Automobile bodies, trailers and semi-trailers</t>
  </si>
  <si>
    <t>2930</t>
  </si>
  <si>
    <t>Parts and accessories for motor vehicles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</si>
  <si>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</si>
  <si>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</si>
  <si>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</si>
  <si>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</si>
  <si>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</si>
  <si>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</si>
  <si>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3020</t>
  </si>
  <si>
    <t>Railway locomotives and rolling stock</t>
  </si>
  <si>
    <t>3030</t>
  </si>
  <si>
    <t>Air and spacecraft and related machinery</t>
  </si>
  <si>
    <t>3040</t>
  </si>
  <si>
    <t>Military fighting vehicles</t>
  </si>
  <si>
    <t>309</t>
  </si>
  <si>
    <t>Transport equipment n.e.c.</t>
  </si>
  <si>
    <t>3091</t>
  </si>
  <si>
    <t>Motorcycles</t>
  </si>
  <si>
    <t>3092</t>
  </si>
  <si>
    <t>Bicycles and invalid carriages</t>
  </si>
  <si>
    <t>3099</t>
  </si>
  <si>
    <t>Other transport equipment n.e.c.</t>
  </si>
  <si>
    <t>3100</t>
  </si>
  <si>
    <t>Furniture</t>
  </si>
  <si>
    <t>321</t>
  </si>
  <si>
    <t>Jewellery, bijouterie and related articles</t>
  </si>
  <si>
    <t>3211</t>
  </si>
  <si>
    <t>Jewellery and related articles</t>
  </si>
  <si>
    <t>3212</t>
  </si>
  <si>
    <t>Imitation jewellery and related articles</t>
  </si>
  <si>
    <t>3220</t>
  </si>
  <si>
    <t>Musical instruments</t>
  </si>
  <si>
    <t>3230</t>
  </si>
  <si>
    <t>Sports goods</t>
  </si>
  <si>
    <t>3240</t>
  </si>
  <si>
    <t>Games and toys</t>
  </si>
  <si>
    <t>3250</t>
  </si>
  <si>
    <t>Medical and dental instruments and supplies</t>
  </si>
  <si>
    <t>3290</t>
  </si>
  <si>
    <t>Other manufacturing n.e.c.</t>
  </si>
  <si>
    <t>331</t>
  </si>
  <si>
    <t>Repair of fabricated metal products/machinery</t>
  </si>
  <si>
    <t>3311</t>
  </si>
  <si>
    <t>Repair of fabricated metal products</t>
  </si>
  <si>
    <t>3312</t>
  </si>
  <si>
    <t>Repair of machinery</t>
  </si>
  <si>
    <t>3313</t>
  </si>
  <si>
    <t>Repair of electronic and optical equipment</t>
  </si>
  <si>
    <t>3314</t>
  </si>
  <si>
    <t>Repair of electrical equipment</t>
  </si>
  <si>
    <t>3315</t>
  </si>
  <si>
    <t>Repair of transport equip., excl. motor vehicles</t>
  </si>
  <si>
    <t>3319</t>
  </si>
  <si>
    <t>Repair of other equipment</t>
  </si>
  <si>
    <t>3320</t>
  </si>
  <si>
    <t>Installation of industrial machinery/equipment</t>
  </si>
  <si>
    <t>C</t>
  </si>
  <si>
    <t>Total manufacturing</t>
  </si>
  <si>
    <t>We convert USD using the following conversion factors</t>
  </si>
  <si>
    <t>2012 USD per 2018 USD</t>
  </si>
  <si>
    <t>Output</t>
  </si>
  <si>
    <t>2015, 2018, 2020</t>
    <phoneticPr fontId="35" type="noConversion"/>
  </si>
  <si>
    <r>
      <t xml:space="preserve">Input-Output Tables 2018, 2021, </t>
    </r>
    <r>
      <rPr>
        <sz val="11"/>
        <color rgb="FFFF0000"/>
        <rFont val="맑은 고딕"/>
        <family val="3"/>
        <charset val="129"/>
        <scheme val="minor"/>
      </rPr>
      <t>2023 Editions</t>
    </r>
    <r>
      <rPr>
        <sz val="11"/>
        <color theme="1"/>
        <rFont val="맑은 고딕"/>
        <family val="2"/>
        <scheme val="minor"/>
      </rPr>
      <t xml:space="preserve"> (ISIC Rev. 4)</t>
    </r>
    <phoneticPr fontId="35" type="noConversion"/>
  </si>
  <si>
    <t>https://stats.oecd.org/Index.aspx?DataSetCode=IOTSI4_2018</t>
  </si>
  <si>
    <t>https://stats.oecd.org/Index.aspx?DataSetCode=IOTS_2021</t>
  </si>
  <si>
    <t>https://www.oecd.org/sti/ind/input-outputtables.htm</t>
  </si>
  <si>
    <t>2012 USD per 2020 USD</t>
  </si>
  <si>
    <t>OECD Version</t>
  </si>
  <si>
    <t>OECD ISIC</t>
  </si>
  <si>
    <t>GaHEbIC Government and Household Expenditures by ISIC Code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</si>
</sst>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#,##0.0_ ;\-#,##0.0\ "/>
    <numFmt numFmtId="178" formatCode="0.000"/>
    <numFmt numFmtId="179" formatCode="0_ ;[Red]\-0\ "/>
    <numFmt numFmtId="180" formatCode="#,##0.0_);\(#,##0.0\)"/>
    <numFmt numFmtId="181" formatCode="_(* #,##0_);_(* \(#,##0\);_(* &quot;-&quot;??_);_(@_)"/>
  </numFmts>
  <fonts count="40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Calibri"/>
      <family val="2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color theme="1"/>
      <name val="Arial"/>
      <family val="2"/>
    </font>
    <font>
      <sz val="11"/>
      <color theme="3"/>
      <name val="맑은 고딕"/>
      <family val="2"/>
      <scheme val="minor"/>
    </font>
    <font>
      <sz val="1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8"/>
      <color rgb="FFFF0000"/>
      <name val="Arial"/>
      <family val="2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2"/>
      <scheme val="minor"/>
    </font>
    <font>
      <u/>
      <sz val="11"/>
      <color rgb="FFFF0000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5" fillId="0" borderId="0"/>
    <xf numFmtId="0" fontId="14" fillId="0" borderId="0"/>
    <xf numFmtId="0" fontId="14" fillId="0" borderId="0"/>
    <xf numFmtId="176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8" applyNumberFormat="0" applyAlignment="0" applyProtection="0"/>
    <xf numFmtId="0" fontId="24" fillId="13" borderId="9" applyNumberFormat="0" applyAlignment="0" applyProtection="0"/>
    <xf numFmtId="0" fontId="25" fillId="13" borderId="8" applyNumberFormat="0" applyAlignment="0" applyProtection="0"/>
    <xf numFmtId="0" fontId="26" fillId="0" borderId="10" applyNumberFormat="0" applyFill="0" applyAlignment="0" applyProtection="0"/>
    <xf numFmtId="0" fontId="27" fillId="14" borderId="11" applyNumberFormat="0" applyAlignment="0" applyProtection="0"/>
    <xf numFmtId="0" fontId="28" fillId="0" borderId="0" applyNumberFormat="0" applyFill="0" applyBorder="0" applyAlignment="0" applyProtection="0"/>
    <xf numFmtId="0" fontId="14" fillId="15" borderId="12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30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0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0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0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0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30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34" fillId="0" borderId="0"/>
    <xf numFmtId="176" fontId="14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3" fillId="0" borderId="0" xfId="2"/>
    <xf numFmtId="0" fontId="13" fillId="0" borderId="0" xfId="0" applyFont="1" applyAlignment="1">
      <alignment horizontal="left"/>
    </xf>
    <xf numFmtId="178" fontId="0" fillId="0" borderId="0" xfId="0" applyNumberFormat="1"/>
    <xf numFmtId="0" fontId="1" fillId="7" borderId="0" xfId="0" applyFont="1" applyFill="1"/>
    <xf numFmtId="3" fontId="0" fillId="0" borderId="0" xfId="0" applyNumberFormat="1"/>
    <xf numFmtId="179" fontId="4" fillId="40" borderId="0" xfId="0" applyNumberFormat="1" applyFont="1" applyFill="1"/>
    <xf numFmtId="0" fontId="4" fillId="41" borderId="0" xfId="0" applyFont="1" applyFill="1" applyAlignment="1">
      <alignment horizontal="center" wrapText="1"/>
    </xf>
    <xf numFmtId="0" fontId="4" fillId="42" borderId="0" xfId="0" applyFont="1" applyFill="1" applyAlignment="1">
      <alignment horizontal="left"/>
    </xf>
    <xf numFmtId="0" fontId="31" fillId="44" borderId="0" xfId="0" applyFont="1" applyFill="1" applyAlignment="1">
      <alignment horizontal="center" wrapText="1"/>
    </xf>
    <xf numFmtId="0" fontId="4" fillId="43" borderId="0" xfId="0" applyFont="1" applyFill="1" applyAlignment="1">
      <alignment horizontal="center" wrapText="1"/>
    </xf>
    <xf numFmtId="0" fontId="4" fillId="42" borderId="0" xfId="0" applyFont="1" applyFill="1" applyAlignment="1">
      <alignment horizontal="center" wrapText="1"/>
    </xf>
    <xf numFmtId="0" fontId="0" fillId="47" borderId="0" xfId="0" applyFill="1"/>
    <xf numFmtId="0" fontId="32" fillId="0" borderId="0" xfId="0" applyFont="1"/>
    <xf numFmtId="9" fontId="32" fillId="0" borderId="0" xfId="11" applyFont="1" applyAlignment="1">
      <alignment horizontal="right"/>
    </xf>
    <xf numFmtId="0" fontId="0" fillId="0" borderId="0" xfId="0" applyAlignment="1">
      <alignment wrapText="1"/>
    </xf>
    <xf numFmtId="0" fontId="31" fillId="44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2" fillId="0" borderId="14" xfId="0" applyFont="1" applyBorder="1"/>
    <xf numFmtId="0" fontId="31" fillId="44" borderId="0" xfId="0" applyFont="1" applyFill="1"/>
    <xf numFmtId="0" fontId="0" fillId="0" borderId="0" xfId="0" applyAlignment="1">
      <alignment horizontal="right" wrapText="1"/>
    </xf>
    <xf numFmtId="0" fontId="32" fillId="0" borderId="0" xfId="0" applyFont="1" applyAlignment="1">
      <alignment wrapText="1"/>
    </xf>
    <xf numFmtId="0" fontId="0" fillId="0" borderId="14" xfId="0" applyBorder="1"/>
    <xf numFmtId="0" fontId="31" fillId="46" borderId="0" xfId="0" applyFont="1" applyFill="1" applyAlignment="1">
      <alignment horizontal="left"/>
    </xf>
    <xf numFmtId="0" fontId="32" fillId="0" borderId="14" xfId="0" applyFont="1" applyBorder="1" applyAlignment="1">
      <alignment wrapText="1"/>
    </xf>
    <xf numFmtId="9" fontId="0" fillId="0" borderId="0" xfId="11" applyFont="1"/>
    <xf numFmtId="0" fontId="31" fillId="45" borderId="0" xfId="0" applyFont="1" applyFill="1" applyAlignment="1">
      <alignment horizontal="left"/>
    </xf>
    <xf numFmtId="0" fontId="1" fillId="7" borderId="0" xfId="0" applyFont="1" applyFill="1" applyAlignment="1">
      <alignment horizontal="left" wrapText="1"/>
    </xf>
    <xf numFmtId="0" fontId="0" fillId="0" borderId="0" xfId="0" applyAlignment="1">
      <alignment vertical="center" wrapText="1"/>
    </xf>
    <xf numFmtId="0" fontId="3" fillId="0" borderId="0" xfId="8"/>
    <xf numFmtId="0" fontId="5" fillId="0" borderId="1" xfId="8" applyFont="1" applyBorder="1" applyAlignment="1">
      <alignment horizontal="left" wrapText="1"/>
    </xf>
    <xf numFmtId="0" fontId="0" fillId="8" borderId="15" xfId="0" applyFill="1" applyBorder="1" applyAlignment="1">
      <alignment horizontal="right"/>
    </xf>
    <xf numFmtId="0" fontId="0" fillId="8" borderId="16" xfId="0" applyFill="1" applyBorder="1" applyAlignment="1">
      <alignment horizontal="right"/>
    </xf>
    <xf numFmtId="0" fontId="0" fillId="8" borderId="17" xfId="0" applyFill="1" applyBorder="1" applyAlignment="1">
      <alignment horizontal="right"/>
    </xf>
    <xf numFmtId="0" fontId="1" fillId="7" borderId="18" xfId="0" applyFont="1" applyFill="1" applyBorder="1" applyAlignment="1">
      <alignment horizontal="right" wrapText="1"/>
    </xf>
    <xf numFmtId="0" fontId="1" fillId="7" borderId="19" xfId="0" applyFont="1" applyFill="1" applyBorder="1" applyAlignment="1">
      <alignment horizontal="right" wrapText="1"/>
    </xf>
    <xf numFmtId="0" fontId="1" fillId="0" borderId="14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20" xfId="0" applyBorder="1"/>
    <xf numFmtId="9" fontId="0" fillId="0" borderId="14" xfId="11" applyFont="1" applyBorder="1"/>
    <xf numFmtId="9" fontId="0" fillId="0" borderId="20" xfId="11" applyFont="1" applyBorder="1"/>
    <xf numFmtId="9" fontId="0" fillId="0" borderId="21" xfId="11" applyFont="1" applyBorder="1"/>
    <xf numFmtId="9" fontId="0" fillId="0" borderId="22" xfId="11" applyFont="1" applyBorder="1"/>
    <xf numFmtId="0" fontId="1" fillId="7" borderId="23" xfId="0" applyFont="1" applyFill="1" applyBorder="1" applyAlignment="1">
      <alignment horizontal="right" wrapText="1"/>
    </xf>
    <xf numFmtId="0" fontId="1" fillId="0" borderId="0" xfId="0" applyFont="1" applyAlignment="1">
      <alignment horizontal="right"/>
    </xf>
    <xf numFmtId="9" fontId="0" fillId="0" borderId="0" xfId="11" applyFont="1" applyBorder="1"/>
    <xf numFmtId="9" fontId="0" fillId="0" borderId="24" xfId="11" applyFont="1" applyBorder="1"/>
    <xf numFmtId="0" fontId="0" fillId="8" borderId="25" xfId="0" applyFill="1" applyBorder="1"/>
    <xf numFmtId="0" fontId="0" fillId="8" borderId="26" xfId="0" applyFill="1" applyBorder="1"/>
    <xf numFmtId="0" fontId="33" fillId="8" borderId="15" xfId="0" applyFont="1" applyFill="1" applyBorder="1" applyAlignment="1">
      <alignment horizontal="right"/>
    </xf>
    <xf numFmtId="0" fontId="33" fillId="8" borderId="17" xfId="0" applyFont="1" applyFill="1" applyBorder="1" applyAlignment="1">
      <alignment horizontal="right"/>
    </xf>
    <xf numFmtId="0" fontId="33" fillId="8" borderId="16" xfId="0" applyFont="1" applyFill="1" applyBorder="1" applyAlignment="1">
      <alignment horizontal="right"/>
    </xf>
    <xf numFmtId="1" fontId="0" fillId="0" borderId="14" xfId="0" applyNumberFormat="1" applyBorder="1"/>
    <xf numFmtId="1" fontId="0" fillId="0" borderId="20" xfId="0" applyNumberFormat="1" applyBorder="1"/>
    <xf numFmtId="1" fontId="0" fillId="0" borderId="0" xfId="0" applyNumberFormat="1"/>
    <xf numFmtId="0" fontId="13" fillId="0" borderId="0" xfId="0" applyFont="1"/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77" fontId="4" fillId="0" borderId="1" xfId="2" applyNumberFormat="1" applyFont="1" applyBorder="1" applyAlignment="1">
      <alignment horizontal="right"/>
    </xf>
    <xf numFmtId="177" fontId="4" fillId="6" borderId="1" xfId="2" applyNumberFormat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3" fontId="0" fillId="8" borderId="0" xfId="0" applyNumberFormat="1" applyFill="1"/>
    <xf numFmtId="0" fontId="4" fillId="0" borderId="0" xfId="2" applyFont="1"/>
    <xf numFmtId="180" fontId="4" fillId="0" borderId="0" xfId="2" applyNumberFormat="1" applyFont="1"/>
    <xf numFmtId="0" fontId="33" fillId="8" borderId="25" xfId="0" applyFont="1" applyFill="1" applyBorder="1"/>
    <xf numFmtId="179" fontId="4" fillId="0" borderId="0" xfId="0" applyNumberFormat="1" applyFont="1"/>
    <xf numFmtId="0" fontId="31" fillId="0" borderId="0" xfId="0" applyFont="1" applyAlignment="1">
      <alignment horizontal="left"/>
    </xf>
    <xf numFmtId="0" fontId="31" fillId="0" borderId="0" xfId="0" applyFont="1"/>
    <xf numFmtId="0" fontId="4" fillId="0" borderId="1" xfId="53" applyFont="1" applyBorder="1" applyAlignment="1">
      <alignment horizontal="right"/>
    </xf>
    <xf numFmtId="0" fontId="4" fillId="6" borderId="1" xfId="53" applyFont="1" applyFill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77" fontId="4" fillId="0" borderId="1" xfId="0" applyNumberFormat="1" applyFont="1" applyBorder="1" applyAlignment="1">
      <alignment horizontal="right"/>
    </xf>
    <xf numFmtId="177" fontId="4" fillId="6" borderId="1" xfId="0" applyNumberFormat="1" applyFont="1" applyFill="1" applyBorder="1" applyAlignment="1">
      <alignment horizontal="right"/>
    </xf>
    <xf numFmtId="181" fontId="0" fillId="8" borderId="15" xfId="54" applyNumberFormat="1" applyFont="1" applyFill="1" applyBorder="1" applyAlignment="1">
      <alignment horizontal="right"/>
    </xf>
    <xf numFmtId="181" fontId="0" fillId="8" borderId="16" xfId="54" applyNumberFormat="1" applyFont="1" applyFill="1" applyBorder="1" applyAlignment="1">
      <alignment horizontal="right"/>
    </xf>
    <xf numFmtId="181" fontId="0" fillId="0" borderId="0" xfId="54" applyNumberFormat="1" applyFont="1" applyAlignment="1">
      <alignment horizontal="right"/>
    </xf>
    <xf numFmtId="181" fontId="0" fillId="8" borderId="17" xfId="54" applyNumberFormat="1" applyFont="1" applyFill="1" applyBorder="1" applyAlignment="1">
      <alignment horizontal="right"/>
    </xf>
    <xf numFmtId="181" fontId="0" fillId="0" borderId="0" xfId="54" applyNumberFormat="1" applyFont="1" applyAlignment="1">
      <alignment horizontal="left"/>
    </xf>
    <xf numFmtId="0" fontId="0" fillId="8" borderId="27" xfId="0" applyFill="1" applyBorder="1"/>
    <xf numFmtId="177" fontId="36" fillId="0" borderId="1" xfId="0" applyNumberFormat="1" applyFont="1" applyBorder="1" applyAlignment="1">
      <alignment horizontal="right"/>
    </xf>
    <xf numFmtId="177" fontId="36" fillId="6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left"/>
    </xf>
    <xf numFmtId="0" fontId="38" fillId="0" borderId="0" xfId="1" applyFont="1"/>
    <xf numFmtId="0" fontId="39" fillId="0" borderId="0" xfId="1" applyFont="1"/>
    <xf numFmtId="0" fontId="28" fillId="0" borderId="0" xfId="0" applyFont="1"/>
    <xf numFmtId="0" fontId="0" fillId="0" borderId="0" xfId="0" applyAlignment="1">
      <alignment horizontal="center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</cellXfs>
  <cellStyles count="55">
    <cellStyle name="20% - 강조색1" xfId="30" builtinId="30" customBuiltin="1"/>
    <cellStyle name="20% - 강조색2" xfId="34" builtinId="34" customBuiltin="1"/>
    <cellStyle name="20% - 강조색3" xfId="38" builtinId="38" customBuiltin="1"/>
    <cellStyle name="20% - 강조색4" xfId="42" builtinId="42" customBuiltin="1"/>
    <cellStyle name="20% - 강조색5" xfId="46" builtinId="46" customBuiltin="1"/>
    <cellStyle name="20% - 강조색6" xfId="50" builtinId="50" customBuiltin="1"/>
    <cellStyle name="40% - 강조색1" xfId="31" builtinId="31" customBuiltin="1"/>
    <cellStyle name="40% - 강조색2" xfId="35" builtinId="35" customBuiltin="1"/>
    <cellStyle name="40% - 강조색3" xfId="39" builtinId="39" customBuiltin="1"/>
    <cellStyle name="40% - 강조색4" xfId="43" builtinId="43" customBuiltin="1"/>
    <cellStyle name="40% - 강조색5" xfId="47" builtinId="47" customBuiltin="1"/>
    <cellStyle name="40% - 강조색6" xfId="51" builtinId="51" customBuiltin="1"/>
    <cellStyle name="60% - 강조색1" xfId="32" builtinId="32" customBuiltin="1"/>
    <cellStyle name="60% - 강조색2" xfId="36" builtinId="36" customBuiltin="1"/>
    <cellStyle name="60% - 강조색3" xfId="40" builtinId="40" customBuiltin="1"/>
    <cellStyle name="60% - 강조색4" xfId="44" builtinId="44" customBuiltin="1"/>
    <cellStyle name="60% - 강조색5" xfId="48" builtinId="48" customBuiltin="1"/>
    <cellStyle name="60% - 강조색6" xfId="52" builtinId="52" customBuiltin="1"/>
    <cellStyle name="Comma 2" xfId="6" xr:uid="{00000000-0005-0000-0000-000000000000}"/>
    <cellStyle name="Normal 11" xfId="8" xr:uid="{00000000-0005-0000-0000-000003000000}"/>
    <cellStyle name="Normal 2" xfId="2" xr:uid="{00000000-0005-0000-0000-000004000000}"/>
    <cellStyle name="Normal 2 2" xfId="4" xr:uid="{00000000-0005-0000-0000-000005000000}"/>
    <cellStyle name="Normal 3" xfId="3" xr:uid="{00000000-0005-0000-0000-000006000000}"/>
    <cellStyle name="Normal 4" xfId="7" xr:uid="{00000000-0005-0000-0000-000007000000}"/>
    <cellStyle name="Normal 4 2" xfId="10" xr:uid="{00000000-0005-0000-0000-000008000000}"/>
    <cellStyle name="Normal 4 2 2" xfId="5" xr:uid="{00000000-0005-0000-0000-000009000000}"/>
    <cellStyle name="Normal 5" xfId="9" xr:uid="{00000000-0005-0000-0000-00000A000000}"/>
    <cellStyle name="Normal 6" xfId="53" xr:uid="{086BD682-A145-4471-8F5B-E5AB22014CB7}"/>
    <cellStyle name="강조색1" xfId="29" builtinId="29" customBuiltin="1"/>
    <cellStyle name="강조색2" xfId="33" builtinId="33" customBuiltin="1"/>
    <cellStyle name="강조색3" xfId="37" builtinId="37" customBuiltin="1"/>
    <cellStyle name="강조색4" xfId="41" builtinId="41" customBuiltin="1"/>
    <cellStyle name="강조색5" xfId="45" builtinId="45" customBuiltin="1"/>
    <cellStyle name="강조색6" xfId="49" builtinId="49" customBuiltin="1"/>
    <cellStyle name="경고문" xfId="25" builtinId="11" customBuiltin="1"/>
    <cellStyle name="계산" xfId="22" builtinId="22" customBuiltin="1"/>
    <cellStyle name="나쁨" xfId="18" builtinId="27" customBuiltin="1"/>
    <cellStyle name="메모" xfId="26" builtinId="10" customBuiltin="1"/>
    <cellStyle name="백분율" xfId="11" builtinId="5"/>
    <cellStyle name="보통" xfId="19" builtinId="28" customBuiltin="1"/>
    <cellStyle name="설명 텍스트" xfId="27" builtinId="53" customBuiltin="1"/>
    <cellStyle name="셀 확인" xfId="24" builtinId="23" customBuiltin="1"/>
    <cellStyle name="쉼표" xfId="54" builtinId="3"/>
    <cellStyle name="연결된 셀" xfId="23" builtinId="24" customBuiltin="1"/>
    <cellStyle name="요약" xfId="28" builtinId="25" customBuiltin="1"/>
    <cellStyle name="입력" xfId="20" builtinId="20" customBuiltin="1"/>
    <cellStyle name="제목" xfId="12" builtinId="15" customBuiltin="1"/>
    <cellStyle name="제목 1" xfId="13" builtinId="16" customBuiltin="1"/>
    <cellStyle name="제목 2" xfId="14" builtinId="17" customBuiltin="1"/>
    <cellStyle name="제목 3" xfId="15" builtinId="18" customBuiltin="1"/>
    <cellStyle name="제목 4" xfId="16" builtinId="19" customBuiltin="1"/>
    <cellStyle name="좋음" xfId="17" builtinId="26" customBuiltin="1"/>
    <cellStyle name="출력" xfId="21" builtinId="21" customBuiltin="1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olg/Dropbox/Energy%20Innovation%20IO/Deliverable%20IO%20files/China/OECD%20Data%20Variables/ISIC%20Code%20Split/BObIC/BAU%20Output%20by%20ISIC%20Cod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southkorea/InputData/io-model/BObIC/BObIC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"/>
      <sheetName val="CHN WIOD IO-tables"/>
      <sheetName val="CNH EXIOBASE Output"/>
      <sheetName val="BObIC, 2015 USD"/>
      <sheetName val="BObIC"/>
    </sheetNames>
    <sheetDataSet>
      <sheetData sheetId="0"/>
      <sheetData sheetId="1"/>
      <sheetData sheetId="2"/>
      <sheetData sheetId="3">
        <row r="4">
          <cell r="D4">
            <v>0.73821004521071654</v>
          </cell>
          <cell r="E4">
            <v>0.26178995478928357</v>
          </cell>
          <cell r="N4">
            <v>0.34025286548844774</v>
          </cell>
          <cell r="O4">
            <v>0.6597471345115522</v>
          </cell>
          <cell r="P4">
            <v>0.60558488527229737</v>
          </cell>
          <cell r="Q4">
            <v>0.39441511472770258</v>
          </cell>
          <cell r="Y4">
            <v>0.62057791308961174</v>
          </cell>
          <cell r="Z4">
            <v>2.9745739663541257E-2</v>
          </cell>
        </row>
      </sheetData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 - 2018"/>
      <sheetName val="OECD TTL - 2021"/>
      <sheetName val="ISIC Crosswalk"/>
      <sheetName val="KOR WIOD IO-tables"/>
      <sheetName val="KOR EXIOBASE Output"/>
      <sheetName val="BObIC"/>
    </sheetNames>
    <sheetDataSet>
      <sheetData sheetId="0">
        <row r="25">
          <cell r="A25">
            <v>0.88</v>
          </cell>
        </row>
        <row r="26">
          <cell r="A26">
            <v>0.91</v>
          </cell>
        </row>
      </sheetData>
      <sheetData sheetId="1"/>
      <sheetData sheetId="2">
        <row r="58">
          <cell r="E58">
            <v>451.6</v>
          </cell>
          <cell r="P58">
            <v>39861.4</v>
          </cell>
          <cell r="Q58">
            <v>137411.79999999999</v>
          </cell>
          <cell r="Y58">
            <v>88817.4</v>
          </cell>
        </row>
      </sheetData>
      <sheetData sheetId="3">
        <row r="2">
          <cell r="I2">
            <v>2021</v>
          </cell>
          <cell r="J2" t="str">
            <v>CONS_ABR: Direct purchases abroad by residents (imports)</v>
          </cell>
        </row>
        <row r="3">
          <cell r="I3">
            <v>2021</v>
          </cell>
          <cell r="J3" t="str">
            <v>CONS_NONRES: Direct purchases by non-residents (exports)</v>
          </cell>
        </row>
        <row r="4">
          <cell r="I4">
            <v>2021</v>
          </cell>
          <cell r="J4" t="str">
            <v>D01T02: Agriculture, hunting, forestry</v>
          </cell>
        </row>
        <row r="5">
          <cell r="I5">
            <v>2018</v>
          </cell>
          <cell r="J5" t="str">
            <v>D01T03: Agriculture, forestry and fishing</v>
          </cell>
          <cell r="K5" t="str">
            <v>ISIC 01T03</v>
          </cell>
        </row>
        <row r="6">
          <cell r="I6">
            <v>2021</v>
          </cell>
          <cell r="J6" t="str">
            <v>D03: Fishing and aquaculture</v>
          </cell>
        </row>
        <row r="7">
          <cell r="I7">
            <v>2018</v>
          </cell>
          <cell r="J7" t="str">
            <v>D05T06: Mining and extraction of energy producing products</v>
          </cell>
        </row>
        <row r="8">
          <cell r="I8">
            <v>2021</v>
          </cell>
          <cell r="J8" t="str">
            <v>D05T06: Mining and quarrying, energy producing products</v>
          </cell>
        </row>
        <row r="9">
          <cell r="I9">
            <v>2018</v>
          </cell>
          <cell r="J9" t="str">
            <v>D07T08: Mining and quarrying of non-energy producing products</v>
          </cell>
        </row>
        <row r="10">
          <cell r="I10">
            <v>2021</v>
          </cell>
          <cell r="J10" t="str">
            <v>D07T08: Mining and quarrying, non-energy producing products</v>
          </cell>
          <cell r="K10" t="str">
            <v>ISIC 07T08</v>
          </cell>
        </row>
        <row r="11">
          <cell r="I11">
            <v>2021</v>
          </cell>
          <cell r="J11" t="str">
            <v>D09: Mining support service activities</v>
          </cell>
          <cell r="K11" t="str">
            <v>ISIC 09</v>
          </cell>
        </row>
        <row r="12">
          <cell r="I12">
            <v>2021</v>
          </cell>
          <cell r="J12" t="str">
            <v>D10T12: Food products, beverages and tobacco</v>
          </cell>
          <cell r="K12" t="str">
            <v>ISIC 10T12</v>
          </cell>
        </row>
        <row r="13">
          <cell r="I13">
            <v>2021</v>
          </cell>
          <cell r="J13" t="str">
            <v>D13T15: Textiles, textile products, leather and footwear</v>
          </cell>
          <cell r="K13" t="str">
            <v>ISIC 13T15</v>
          </cell>
        </row>
        <row r="14">
          <cell r="I14">
            <v>2018</v>
          </cell>
          <cell r="J14" t="str">
            <v>D13T15: Textiles, wearing apparel, leather and related products</v>
          </cell>
        </row>
        <row r="15">
          <cell r="I15">
            <v>2021</v>
          </cell>
          <cell r="J15" t="str">
            <v>D16: Wood and products of wood and cork</v>
          </cell>
          <cell r="K15" t="str">
            <v>ISIC 16</v>
          </cell>
        </row>
        <row r="16">
          <cell r="I16">
            <v>2021</v>
          </cell>
          <cell r="J16" t="str">
            <v>D17T18: Paper products and printing</v>
          </cell>
          <cell r="K16" t="str">
            <v>ISIC 17T18</v>
          </cell>
        </row>
        <row r="17">
          <cell r="I17">
            <v>2021</v>
          </cell>
          <cell r="J17" t="str">
            <v>D19: Coke and refined petroleum products</v>
          </cell>
          <cell r="K17" t="str">
            <v>ISIC 19</v>
          </cell>
        </row>
        <row r="18">
          <cell r="I18">
            <v>2021</v>
          </cell>
          <cell r="J18" t="str">
            <v>D20: Chemical and chemical products</v>
          </cell>
          <cell r="K18" t="str">
            <v>ISIC 20</v>
          </cell>
        </row>
        <row r="19">
          <cell r="I19">
            <v>2018</v>
          </cell>
          <cell r="J19" t="str">
            <v>D20T21: Chemicals and pharmaceutical products</v>
          </cell>
        </row>
        <row r="20">
          <cell r="I20">
            <v>2021</v>
          </cell>
          <cell r="J20" t="str">
            <v>D21: Pharmaceuticals, medicinal chemical and botanical products</v>
          </cell>
          <cell r="K20" t="str">
            <v>ISIC 21</v>
          </cell>
        </row>
        <row r="21">
          <cell r="I21">
            <v>2018</v>
          </cell>
          <cell r="J21" t="str">
            <v>D22: Rubber and plastic products</v>
          </cell>
          <cell r="K21" t="str">
            <v>ISIC 22</v>
          </cell>
        </row>
        <row r="22">
          <cell r="I22">
            <v>2021</v>
          </cell>
          <cell r="J22" t="str">
            <v>D22: Rubber and plastics products</v>
          </cell>
        </row>
        <row r="23">
          <cell r="I23">
            <v>2021</v>
          </cell>
          <cell r="J23" t="str">
            <v>D23: Other non-metallic mineral products</v>
          </cell>
        </row>
        <row r="24">
          <cell r="I24">
            <v>2021</v>
          </cell>
          <cell r="J24" t="str">
            <v>D24: Basic metals</v>
          </cell>
        </row>
        <row r="25">
          <cell r="I25">
            <v>2021</v>
          </cell>
          <cell r="J25" t="str">
            <v>D25: Fabricated metal products</v>
          </cell>
          <cell r="K25" t="str">
            <v>ISIC 25</v>
          </cell>
        </row>
        <row r="26">
          <cell r="I26">
            <v>2021</v>
          </cell>
          <cell r="J26" t="str">
            <v>D26: Computer, electronic and optical equipment</v>
          </cell>
          <cell r="K26" t="str">
            <v>ISIC 26</v>
          </cell>
        </row>
        <row r="27">
          <cell r="I27">
            <v>2018</v>
          </cell>
          <cell r="J27" t="str">
            <v>D26: Computer, electronic and optical products</v>
          </cell>
        </row>
        <row r="28">
          <cell r="I28">
            <v>2021</v>
          </cell>
          <cell r="J28" t="str">
            <v>D27: Electrical equipment</v>
          </cell>
          <cell r="K28" t="str">
            <v>ISIC 27</v>
          </cell>
        </row>
        <row r="29">
          <cell r="I29">
            <v>2021</v>
          </cell>
          <cell r="J29" t="str">
            <v>D28: Machinery and equipment, nec</v>
          </cell>
          <cell r="K29" t="str">
            <v>ISIC 28</v>
          </cell>
        </row>
        <row r="30">
          <cell r="I30">
            <v>2021</v>
          </cell>
          <cell r="J30" t="str">
            <v>D29: Motor vehicles, trailers and semi-trailers</v>
          </cell>
          <cell r="K30" t="str">
            <v>ISIC 29</v>
          </cell>
        </row>
        <row r="31">
          <cell r="I31">
            <v>2021</v>
          </cell>
          <cell r="J31" t="str">
            <v>D30: Other transport equipment</v>
          </cell>
          <cell r="K31" t="str">
            <v>ISIC 30</v>
          </cell>
        </row>
        <row r="32">
          <cell r="I32">
            <v>2021</v>
          </cell>
          <cell r="J32" t="str">
            <v>D31T33: Manufacturing nec; repair and installation of machinery and equipment</v>
          </cell>
          <cell r="K32" t="str">
            <v>ISIC 31T33</v>
          </cell>
        </row>
        <row r="33">
          <cell r="I33">
            <v>2018</v>
          </cell>
          <cell r="J33" t="str">
            <v>D31T33: Other manufacturing; repair and installation of machinery and equipment</v>
          </cell>
        </row>
        <row r="34">
          <cell r="I34">
            <v>2021</v>
          </cell>
          <cell r="J34" t="str">
            <v>D35: Electricity, gas, steam and air conditioning supply</v>
          </cell>
        </row>
        <row r="35">
          <cell r="I35">
            <v>2018</v>
          </cell>
          <cell r="J35" t="str">
            <v>D35T39: Electricity, gas, water supply, sewerage, waste and remediation services</v>
          </cell>
        </row>
        <row r="36">
          <cell r="I36">
            <v>2021</v>
          </cell>
          <cell r="J36" t="str">
            <v>D36T39: Water supply; sewerage, waste management and remediation activities</v>
          </cell>
          <cell r="K36" t="str">
            <v>ISIC 36T39</v>
          </cell>
        </row>
        <row r="37">
          <cell r="I37">
            <v>2021</v>
          </cell>
          <cell r="J37" t="str">
            <v>D41T43: Construction</v>
          </cell>
          <cell r="K37" t="str">
            <v>ISIC 41T43</v>
          </cell>
        </row>
        <row r="38">
          <cell r="I38">
            <v>2021</v>
          </cell>
          <cell r="J38" t="str">
            <v>D45T47: Wholesale and retail trade; repair of motor vehicles</v>
          </cell>
          <cell r="K38" t="str">
            <v>ISIC 45T47</v>
          </cell>
        </row>
        <row r="39">
          <cell r="I39">
            <v>2021</v>
          </cell>
          <cell r="J39" t="str">
            <v>D49: Land transport and transport via pipelines</v>
          </cell>
        </row>
        <row r="40">
          <cell r="I40">
            <v>2018</v>
          </cell>
          <cell r="J40" t="str">
            <v>D49T53: Transportation and storage</v>
          </cell>
          <cell r="K40" t="str">
            <v>ISIC 49T53</v>
          </cell>
        </row>
        <row r="41">
          <cell r="I41">
            <v>2021</v>
          </cell>
          <cell r="J41" t="str">
            <v>D50: Water transport</v>
          </cell>
        </row>
        <row r="42">
          <cell r="I42">
            <v>2021</v>
          </cell>
          <cell r="J42" t="str">
            <v>D51: Air transport</v>
          </cell>
        </row>
        <row r="43">
          <cell r="I43">
            <v>2021</v>
          </cell>
          <cell r="J43" t="str">
            <v>D52: Warehousing and support activities for transportation</v>
          </cell>
        </row>
        <row r="44">
          <cell r="I44">
            <v>2021</v>
          </cell>
          <cell r="J44" t="str">
            <v>D53: Postal and courier activities</v>
          </cell>
        </row>
        <row r="45">
          <cell r="I45">
            <v>2021</v>
          </cell>
          <cell r="J45" t="str">
            <v>D55T56: Accommodation and food service activities</v>
          </cell>
          <cell r="K45" t="str">
            <v>ISIC 55T56</v>
          </cell>
        </row>
        <row r="46">
          <cell r="I46">
            <v>2018</v>
          </cell>
          <cell r="J46" t="str">
            <v>D55T56: Accomodation and food services</v>
          </cell>
        </row>
        <row r="47">
          <cell r="I47">
            <v>2021</v>
          </cell>
          <cell r="J47" t="str">
            <v>D58T60: Publishing, audiovisual and broadcasting activities</v>
          </cell>
          <cell r="K47" t="str">
            <v>ISIC 58T60</v>
          </cell>
        </row>
        <row r="48">
          <cell r="I48">
            <v>2021</v>
          </cell>
          <cell r="J48" t="str">
            <v>D61: Telecommunications</v>
          </cell>
          <cell r="K48" t="str">
            <v>ISIC 61</v>
          </cell>
        </row>
        <row r="49">
          <cell r="I49">
            <v>2021</v>
          </cell>
          <cell r="J49" t="str">
            <v>D62T63: IT and other information services</v>
          </cell>
          <cell r="K49" t="str">
            <v>ISIC 62T63</v>
          </cell>
        </row>
        <row r="50">
          <cell r="I50">
            <v>2021</v>
          </cell>
          <cell r="J50" t="str">
            <v>D64T66: Financial and insurance activities</v>
          </cell>
          <cell r="K50" t="str">
            <v>ISIC 64T66</v>
          </cell>
        </row>
        <row r="51">
          <cell r="I51">
            <v>2021</v>
          </cell>
          <cell r="J51" t="str">
            <v>D68: Real estate activities</v>
          </cell>
          <cell r="K51" t="str">
            <v>ISIC 68</v>
          </cell>
        </row>
        <row r="52">
          <cell r="I52">
            <v>2021</v>
          </cell>
          <cell r="J52" t="str">
            <v>D69T75: Professional, scientific and technical activities</v>
          </cell>
        </row>
        <row r="53">
          <cell r="I53">
            <v>2018</v>
          </cell>
          <cell r="J53" t="str">
            <v>D69T82: Other business sector services</v>
          </cell>
          <cell r="K53" t="str">
            <v>ISIC 69T82</v>
          </cell>
        </row>
        <row r="54">
          <cell r="I54">
            <v>2021</v>
          </cell>
          <cell r="J54" t="str">
            <v>D77T82: Administrative and support services</v>
          </cell>
        </row>
        <row r="55">
          <cell r="I55">
            <v>2018</v>
          </cell>
          <cell r="J55" t="str">
            <v>D84: Public admin. and defence; compulsory social security</v>
          </cell>
        </row>
        <row r="56">
          <cell r="I56">
            <v>2021</v>
          </cell>
          <cell r="J56" t="str">
            <v>D84: Public administration and defence; compulsory social security</v>
          </cell>
          <cell r="K56" t="str">
            <v>ISIC 84</v>
          </cell>
        </row>
        <row r="57">
          <cell r="I57">
            <v>2021</v>
          </cell>
          <cell r="J57" t="str">
            <v>D85: Education</v>
          </cell>
          <cell r="K57" t="str">
            <v>ISIC 85</v>
          </cell>
        </row>
        <row r="58">
          <cell r="I58">
            <v>2018</v>
          </cell>
          <cell r="J58" t="str">
            <v>D86T88: Human health and social work</v>
          </cell>
        </row>
        <row r="59">
          <cell r="I59">
            <v>2021</v>
          </cell>
          <cell r="J59" t="str">
            <v>D86T88: Human health and social work activities</v>
          </cell>
          <cell r="K59" t="str">
            <v>ISIC 86T88</v>
          </cell>
        </row>
        <row r="60">
          <cell r="I60">
            <v>2021</v>
          </cell>
          <cell r="J60" t="str">
            <v>D90T93: Arts, entertainment and recreation</v>
          </cell>
        </row>
        <row r="61">
          <cell r="I61">
            <v>2018</v>
          </cell>
          <cell r="J61" t="str">
            <v>D90T96: Arts, entertainment, recreation and other service activities</v>
          </cell>
          <cell r="K61" t="str">
            <v>ISIC 90T96</v>
          </cell>
        </row>
        <row r="62">
          <cell r="I62">
            <v>2021</v>
          </cell>
          <cell r="J62" t="str">
            <v>D94T96: Other service activities</v>
          </cell>
        </row>
        <row r="63">
          <cell r="I63">
            <v>2021</v>
          </cell>
          <cell r="J63" t="str">
            <v>D97T98: Activities of households as employers; undifferentiated goods- and services-producing activities of households for own use</v>
          </cell>
          <cell r="K63" t="str">
            <v>ISIC 97T98</v>
          </cell>
        </row>
        <row r="64">
          <cell r="I64">
            <v>2018</v>
          </cell>
          <cell r="J64" t="str">
            <v>D97T98: Private households with employed persons</v>
          </cell>
        </row>
        <row r="65">
          <cell r="I65">
            <v>2021</v>
          </cell>
          <cell r="J65" t="str">
            <v>EXPO: Exports (cross border)</v>
          </cell>
        </row>
        <row r="66">
          <cell r="I66">
            <v>2021</v>
          </cell>
          <cell r="J66" t="str">
            <v>GFCF: Gross Fixed Capital Formation</v>
          </cell>
        </row>
        <row r="67">
          <cell r="I67">
            <v>2021</v>
          </cell>
          <cell r="J67" t="str">
            <v>GGFC: Final consumption expenditure of general government</v>
          </cell>
        </row>
        <row r="68">
          <cell r="I68">
            <v>2021</v>
          </cell>
          <cell r="J68" t="str">
            <v>HFCE: Final consumption expenditure of households</v>
          </cell>
        </row>
        <row r="69">
          <cell r="I69">
            <v>2021</v>
          </cell>
          <cell r="J69" t="str">
            <v>IMPO: Imports (cross border)</v>
          </cell>
        </row>
        <row r="70">
          <cell r="I70">
            <v>2021</v>
          </cell>
          <cell r="J70" t="str">
            <v>INVNT: Changes in inventories</v>
          </cell>
        </row>
        <row r="71">
          <cell r="I71">
            <v>2021</v>
          </cell>
          <cell r="J71" t="str">
            <v>NPISH: Final consumption expenditure of non-profit institutions serving households</v>
          </cell>
        </row>
      </sheetData>
      <sheetData sheetId="4"/>
      <sheetData sheetId="5">
        <row r="7">
          <cell r="C7">
            <v>0.63826876107750441</v>
          </cell>
          <cell r="D7">
            <v>0.3617312389224957</v>
          </cell>
          <cell r="E7">
            <v>0.32553301447009375</v>
          </cell>
          <cell r="F7">
            <v>0.67446698552990614</v>
          </cell>
          <cell r="G7">
            <v>0.78559687103118137</v>
          </cell>
          <cell r="H7">
            <v>0.21440312896881863</v>
          </cell>
          <cell r="I7">
            <v>0.45615678991757874</v>
          </cell>
          <cell r="J7">
            <v>0.15007375740504642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rrynna Sou" id="{ADA71023-2457-447B-869F-76D8BBD221E3}" userId="Sarrynna So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6" dT="2021-03-16T03:44:36.12" personId="{ADA71023-2457-447B-869F-76D8BBD221E3}" id="{9943CCEF-183B-4DA6-8CD1-E0F113BD527D}">
    <text>Is this the total compensation value we should be using for the splits?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ecd.org/sti/ind/input-outputtables.htm" TargetMode="External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2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1.oecd.org/index.aspx?DatasetCode=IOTS_202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1.oecd.org/index.aspx?DatasetCode=IOTS_202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34"/>
  <sheetViews>
    <sheetView tabSelected="1" workbookViewId="0">
      <selection activeCell="A2" sqref="A2"/>
    </sheetView>
  </sheetViews>
  <sheetFormatPr defaultRowHeight="16.5" x14ac:dyDescent="0.3"/>
  <cols>
    <col min="1" max="1" width="10.125" customWidth="1"/>
    <col min="2" max="2" width="57.25" customWidth="1"/>
  </cols>
  <sheetData>
    <row r="1" spans="1:2" x14ac:dyDescent="0.3">
      <c r="A1" s="1" t="s">
        <v>985</v>
      </c>
    </row>
    <row r="3" spans="1:2" x14ac:dyDescent="0.3">
      <c r="A3" s="1" t="s">
        <v>0</v>
      </c>
      <c r="B3" s="8" t="s">
        <v>145</v>
      </c>
    </row>
    <row r="4" spans="1:2" x14ac:dyDescent="0.3">
      <c r="B4" t="s">
        <v>1</v>
      </c>
    </row>
    <row r="5" spans="1:2" x14ac:dyDescent="0.3">
      <c r="B5" s="93" t="s">
        <v>977</v>
      </c>
    </row>
    <row r="6" spans="1:2" x14ac:dyDescent="0.3">
      <c r="B6" t="s">
        <v>978</v>
      </c>
    </row>
    <row r="7" spans="1:2" x14ac:dyDescent="0.3">
      <c r="B7" s="3" t="s">
        <v>979</v>
      </c>
    </row>
    <row r="8" spans="1:2" x14ac:dyDescent="0.3">
      <c r="B8" s="94" t="s">
        <v>980</v>
      </c>
    </row>
    <row r="9" spans="1:2" x14ac:dyDescent="0.3">
      <c r="B9" s="95" t="s">
        <v>981</v>
      </c>
    </row>
    <row r="10" spans="1:2" x14ac:dyDescent="0.3">
      <c r="B10" t="s">
        <v>131</v>
      </c>
    </row>
    <row r="13" spans="1:2" x14ac:dyDescent="0.3">
      <c r="B13" s="8" t="s">
        <v>525</v>
      </c>
    </row>
    <row r="14" spans="1:2" x14ac:dyDescent="0.3">
      <c r="B14" t="s">
        <v>276</v>
      </c>
    </row>
    <row r="15" spans="1:2" x14ac:dyDescent="0.3">
      <c r="B15" s="2">
        <v>2016</v>
      </c>
    </row>
    <row r="16" spans="1:2" x14ac:dyDescent="0.3">
      <c r="B16" t="s">
        <v>526</v>
      </c>
    </row>
    <row r="17" spans="1:2" x14ac:dyDescent="0.3">
      <c r="B17" s="3" t="s">
        <v>527</v>
      </c>
    </row>
    <row r="18" spans="1:2" x14ac:dyDescent="0.3">
      <c r="B18" t="s">
        <v>538</v>
      </c>
    </row>
    <row r="20" spans="1:2" x14ac:dyDescent="0.3">
      <c r="B20" s="8" t="s">
        <v>528</v>
      </c>
    </row>
    <row r="21" spans="1:2" x14ac:dyDescent="0.3">
      <c r="B21" t="s">
        <v>529</v>
      </c>
    </row>
    <row r="22" spans="1:2" x14ac:dyDescent="0.3">
      <c r="B22" s="2">
        <v>2019</v>
      </c>
    </row>
    <row r="23" spans="1:2" x14ac:dyDescent="0.3">
      <c r="B23" t="s">
        <v>530</v>
      </c>
    </row>
    <row r="24" spans="1:2" x14ac:dyDescent="0.3">
      <c r="B24" s="3" t="s">
        <v>531</v>
      </c>
    </row>
    <row r="25" spans="1:2" x14ac:dyDescent="0.3">
      <c r="B25" t="s">
        <v>539</v>
      </c>
    </row>
    <row r="27" spans="1:2" x14ac:dyDescent="0.3">
      <c r="A27" s="1" t="s">
        <v>2</v>
      </c>
    </row>
    <row r="29" spans="1:2" x14ac:dyDescent="0.3">
      <c r="A29" t="s">
        <v>532</v>
      </c>
    </row>
    <row r="31" spans="1:2" x14ac:dyDescent="0.3">
      <c r="A31" t="s">
        <v>974</v>
      </c>
    </row>
    <row r="32" spans="1:2" x14ac:dyDescent="0.3">
      <c r="A32" s="7">
        <v>0.9686815713640794</v>
      </c>
      <c r="B32" t="s">
        <v>133</v>
      </c>
    </row>
    <row r="33" spans="1:2" x14ac:dyDescent="0.3">
      <c r="A33">
        <v>0.91</v>
      </c>
      <c r="B33" t="s">
        <v>975</v>
      </c>
    </row>
    <row r="34" spans="1:2" x14ac:dyDescent="0.3">
      <c r="A34">
        <v>0.88711067149387013</v>
      </c>
      <c r="B34" t="s">
        <v>982</v>
      </c>
    </row>
  </sheetData>
  <phoneticPr fontId="35" type="noConversion"/>
  <hyperlinks>
    <hyperlink ref="B7" r:id="rId1" xr:uid="{54F8C09D-A941-4064-8034-37299E2B4540}"/>
    <hyperlink ref="B9" r:id="rId2" xr:uid="{E20D477A-D4F2-45B3-ABE2-FCAFBA7F4EB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V50"/>
  <sheetViews>
    <sheetView showGridLines="0" topLeftCell="A2" workbookViewId="0">
      <selection activeCell="E11" sqref="E11"/>
    </sheetView>
  </sheetViews>
  <sheetFormatPr defaultColWidth="9.125" defaultRowHeight="12.75" outlineLevelCol="1" x14ac:dyDescent="0.2"/>
  <cols>
    <col min="1" max="1" width="27.375" style="5" customWidth="1"/>
    <col min="2" max="2" width="2.375" style="5" customWidth="1"/>
    <col min="3" max="23" width="9.25" style="5" customWidth="1" outlineLevel="1"/>
    <col min="24" max="26" width="9.625" style="5" customWidth="1" outlineLevel="1"/>
    <col min="27" max="30" width="9.25" style="5" customWidth="1" outlineLevel="1"/>
    <col min="31" max="36" width="9.625" style="5" customWidth="1" outlineLevel="1"/>
    <col min="37" max="38" width="9.25" style="5" customWidth="1" outlineLevel="1"/>
    <col min="39" max="39" width="10.375" style="5" bestFit="1" customWidth="1"/>
    <col min="40" max="40" width="9.25" style="5" bestFit="1" customWidth="1"/>
    <col min="41" max="42" width="9.625" style="5" bestFit="1" customWidth="1"/>
    <col min="43" max="45" width="9.25" style="5" bestFit="1" customWidth="1"/>
    <col min="46" max="46" width="9.625" style="5" bestFit="1" customWidth="1"/>
    <col min="47" max="47" width="10.125" style="5" bestFit="1" customWidth="1"/>
    <col min="48" max="48" width="9.125" style="68"/>
    <col min="49" max="16384" width="9.125" style="5"/>
  </cols>
  <sheetData>
    <row r="1" spans="1:48" hidden="1" x14ac:dyDescent="0.2"/>
    <row r="2" spans="1:48" ht="23.25" x14ac:dyDescent="0.2">
      <c r="A2" s="34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</row>
    <row r="3" spans="1:48" x14ac:dyDescent="0.2">
      <c r="A3" s="100" t="s">
        <v>40</v>
      </c>
      <c r="B3" s="101"/>
      <c r="C3" s="102" t="s">
        <v>41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4"/>
    </row>
    <row r="4" spans="1:48" ht="12.6" customHeight="1" x14ac:dyDescent="0.2">
      <c r="A4" s="100" t="s">
        <v>3</v>
      </c>
      <c r="B4" s="101"/>
      <c r="C4" s="105" t="s">
        <v>537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7"/>
    </row>
    <row r="5" spans="1:48" x14ac:dyDescent="0.2">
      <c r="A5" s="100" t="s">
        <v>4</v>
      </c>
      <c r="B5" s="101"/>
      <c r="C5" s="105" t="s">
        <v>5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7"/>
    </row>
    <row r="6" spans="1:48" ht="12.6" customHeight="1" x14ac:dyDescent="0.2">
      <c r="A6" s="100" t="s">
        <v>6</v>
      </c>
      <c r="B6" s="101"/>
      <c r="C6" s="105" t="s">
        <v>42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7"/>
    </row>
    <row r="7" spans="1:48" ht="105" x14ac:dyDescent="0.2">
      <c r="A7" s="98" t="s">
        <v>43</v>
      </c>
      <c r="B7" s="99"/>
      <c r="C7" s="60" t="s">
        <v>44</v>
      </c>
      <c r="D7" s="60" t="s">
        <v>45</v>
      </c>
      <c r="E7" s="60" t="s">
        <v>46</v>
      </c>
      <c r="F7" s="60" t="s">
        <v>47</v>
      </c>
      <c r="G7" s="60" t="s">
        <v>48</v>
      </c>
      <c r="H7" s="60" t="s">
        <v>49</v>
      </c>
      <c r="I7" s="60" t="s">
        <v>50</v>
      </c>
      <c r="J7" s="60" t="s">
        <v>51</v>
      </c>
      <c r="K7" s="60" t="s">
        <v>52</v>
      </c>
      <c r="L7" s="60" t="s">
        <v>53</v>
      </c>
      <c r="M7" s="60" t="s">
        <v>54</v>
      </c>
      <c r="N7" s="60" t="s">
        <v>55</v>
      </c>
      <c r="O7" s="60" t="s">
        <v>56</v>
      </c>
      <c r="P7" s="60" t="s">
        <v>57</v>
      </c>
      <c r="Q7" s="60" t="s">
        <v>58</v>
      </c>
      <c r="R7" s="60" t="s">
        <v>59</v>
      </c>
      <c r="S7" s="60" t="s">
        <v>60</v>
      </c>
      <c r="T7" s="60" t="s">
        <v>61</v>
      </c>
      <c r="U7" s="60" t="s">
        <v>62</v>
      </c>
      <c r="V7" s="60" t="s">
        <v>63</v>
      </c>
      <c r="W7" s="60" t="s">
        <v>64</v>
      </c>
      <c r="X7" s="60" t="s">
        <v>65</v>
      </c>
      <c r="Y7" s="60" t="s">
        <v>66</v>
      </c>
      <c r="Z7" s="60" t="s">
        <v>67</v>
      </c>
      <c r="AA7" s="60" t="s">
        <v>68</v>
      </c>
      <c r="AB7" s="60" t="s">
        <v>69</v>
      </c>
      <c r="AC7" s="60" t="s">
        <v>70</v>
      </c>
      <c r="AD7" s="60" t="s">
        <v>71</v>
      </c>
      <c r="AE7" s="60" t="s">
        <v>72</v>
      </c>
      <c r="AF7" s="60" t="s">
        <v>73</v>
      </c>
      <c r="AG7" s="60" t="s">
        <v>74</v>
      </c>
      <c r="AH7" s="60" t="s">
        <v>75</v>
      </c>
      <c r="AI7" s="60" t="s">
        <v>76</v>
      </c>
      <c r="AJ7" s="60" t="s">
        <v>77</v>
      </c>
      <c r="AK7" s="60" t="s">
        <v>78</v>
      </c>
      <c r="AL7" s="60" t="s">
        <v>79</v>
      </c>
      <c r="AM7" s="60" t="s">
        <v>80</v>
      </c>
      <c r="AN7" s="60" t="s">
        <v>81</v>
      </c>
      <c r="AO7" s="60" t="s">
        <v>82</v>
      </c>
      <c r="AP7" s="60" t="s">
        <v>83</v>
      </c>
      <c r="AQ7" s="60" t="s">
        <v>84</v>
      </c>
      <c r="AR7" s="60" t="s">
        <v>85</v>
      </c>
      <c r="AS7" s="60" t="s">
        <v>86</v>
      </c>
      <c r="AT7" s="60" t="s">
        <v>87</v>
      </c>
      <c r="AU7" s="60" t="s">
        <v>88</v>
      </c>
      <c r="AV7" s="68" t="s">
        <v>535</v>
      </c>
    </row>
    <row r="8" spans="1:48" ht="13.5" x14ac:dyDescent="0.25">
      <c r="A8" s="61" t="s">
        <v>89</v>
      </c>
      <c r="B8" s="62" t="s">
        <v>7</v>
      </c>
      <c r="C8" s="62" t="s">
        <v>7</v>
      </c>
      <c r="D8" s="62" t="s">
        <v>7</v>
      </c>
      <c r="E8" s="62" t="s">
        <v>7</v>
      </c>
      <c r="F8" s="62" t="s">
        <v>7</v>
      </c>
      <c r="G8" s="62" t="s">
        <v>7</v>
      </c>
      <c r="H8" s="62" t="s">
        <v>7</v>
      </c>
      <c r="I8" s="62" t="s">
        <v>7</v>
      </c>
      <c r="J8" s="62" t="s">
        <v>7</v>
      </c>
      <c r="K8" s="62" t="s">
        <v>7</v>
      </c>
      <c r="L8" s="62" t="s">
        <v>7</v>
      </c>
      <c r="M8" s="62" t="s">
        <v>7</v>
      </c>
      <c r="N8" s="62" t="s">
        <v>7</v>
      </c>
      <c r="O8" s="62" t="s">
        <v>7</v>
      </c>
      <c r="P8" s="62" t="s">
        <v>7</v>
      </c>
      <c r="Q8" s="62" t="s">
        <v>7</v>
      </c>
      <c r="R8" s="62" t="s">
        <v>7</v>
      </c>
      <c r="S8" s="62" t="s">
        <v>7</v>
      </c>
      <c r="T8" s="62" t="s">
        <v>7</v>
      </c>
      <c r="U8" s="62" t="s">
        <v>7</v>
      </c>
      <c r="V8" s="62" t="s">
        <v>7</v>
      </c>
      <c r="W8" s="62" t="s">
        <v>7</v>
      </c>
      <c r="X8" s="62" t="s">
        <v>7</v>
      </c>
      <c r="Y8" s="62" t="s">
        <v>7</v>
      </c>
      <c r="Z8" s="62" t="s">
        <v>7</v>
      </c>
      <c r="AA8" s="62" t="s">
        <v>7</v>
      </c>
      <c r="AB8" s="62" t="s">
        <v>7</v>
      </c>
      <c r="AC8" s="62" t="s">
        <v>7</v>
      </c>
      <c r="AD8" s="62" t="s">
        <v>7</v>
      </c>
      <c r="AE8" s="62" t="s">
        <v>7</v>
      </c>
      <c r="AF8" s="62" t="s">
        <v>7</v>
      </c>
      <c r="AG8" s="62" t="s">
        <v>7</v>
      </c>
      <c r="AH8" s="62" t="s">
        <v>7</v>
      </c>
      <c r="AI8" s="62" t="s">
        <v>7</v>
      </c>
      <c r="AJ8" s="62" t="s">
        <v>7</v>
      </c>
      <c r="AK8" s="62" t="s">
        <v>7</v>
      </c>
      <c r="AL8" s="62" t="s">
        <v>7</v>
      </c>
      <c r="AM8" s="62" t="s">
        <v>7</v>
      </c>
      <c r="AN8" s="62" t="s">
        <v>7</v>
      </c>
      <c r="AO8" s="62" t="s">
        <v>7</v>
      </c>
      <c r="AP8" s="62" t="s">
        <v>7</v>
      </c>
      <c r="AQ8" s="62" t="s">
        <v>7</v>
      </c>
      <c r="AR8" s="62" t="s">
        <v>7</v>
      </c>
      <c r="AS8" s="62" t="s">
        <v>7</v>
      </c>
      <c r="AT8" s="62" t="s">
        <v>7</v>
      </c>
      <c r="AU8" s="62" t="s">
        <v>7</v>
      </c>
    </row>
    <row r="9" spans="1:48" ht="21" x14ac:dyDescent="0.25">
      <c r="A9" s="63" t="s">
        <v>90</v>
      </c>
      <c r="B9" s="62" t="s">
        <v>7</v>
      </c>
      <c r="C9" s="74">
        <v>4722.3</v>
      </c>
      <c r="D9" s="74">
        <v>8.4</v>
      </c>
      <c r="E9" s="74">
        <v>3.5</v>
      </c>
      <c r="F9" s="74">
        <v>0</v>
      </c>
      <c r="G9" s="74">
        <v>27898.7</v>
      </c>
      <c r="H9" s="74">
        <v>1366.4</v>
      </c>
      <c r="I9" s="74">
        <v>939.5</v>
      </c>
      <c r="J9" s="74">
        <v>502.4</v>
      </c>
      <c r="K9" s="74">
        <v>65.5</v>
      </c>
      <c r="L9" s="74">
        <v>1671.1</v>
      </c>
      <c r="M9" s="74">
        <v>591.79999999999995</v>
      </c>
      <c r="N9" s="74">
        <v>16.5</v>
      </c>
      <c r="O9" s="74">
        <v>77.900000000000006</v>
      </c>
      <c r="P9" s="74">
        <v>31.8</v>
      </c>
      <c r="Q9" s="74">
        <v>21.2</v>
      </c>
      <c r="R9" s="74">
        <v>21.4</v>
      </c>
      <c r="S9" s="74">
        <v>30.1</v>
      </c>
      <c r="T9" s="74">
        <v>19</v>
      </c>
      <c r="U9" s="74">
        <v>34.1</v>
      </c>
      <c r="V9" s="74">
        <v>124.8</v>
      </c>
      <c r="W9" s="74">
        <v>123.7</v>
      </c>
      <c r="X9" s="74">
        <v>313.8</v>
      </c>
      <c r="Y9" s="74">
        <v>1580.4</v>
      </c>
      <c r="Z9" s="74">
        <v>146.30000000000001</v>
      </c>
      <c r="AA9" s="74">
        <v>3624.3</v>
      </c>
      <c r="AB9" s="74">
        <v>30.5</v>
      </c>
      <c r="AC9" s="74">
        <v>3.1</v>
      </c>
      <c r="AD9" s="74">
        <v>14</v>
      </c>
      <c r="AE9" s="74">
        <v>24</v>
      </c>
      <c r="AF9" s="74">
        <v>41.4</v>
      </c>
      <c r="AG9" s="74">
        <v>422.6</v>
      </c>
      <c r="AH9" s="74">
        <v>367.4</v>
      </c>
      <c r="AI9" s="74">
        <v>279.39999999999998</v>
      </c>
      <c r="AJ9" s="74">
        <v>265.5</v>
      </c>
      <c r="AK9" s="74">
        <v>265.39999999999998</v>
      </c>
      <c r="AL9" s="74">
        <v>0</v>
      </c>
      <c r="AM9" s="74">
        <v>11293.8</v>
      </c>
      <c r="AN9" s="74">
        <v>17.3</v>
      </c>
      <c r="AO9" s="74">
        <v>761.7</v>
      </c>
      <c r="AP9" s="74">
        <v>382.6</v>
      </c>
      <c r="AQ9" s="74">
        <v>-6.7</v>
      </c>
      <c r="AR9" s="74">
        <v>157.9</v>
      </c>
      <c r="AS9" s="74">
        <v>118.2</v>
      </c>
      <c r="AT9" s="64">
        <v>827.1</v>
      </c>
      <c r="AU9" s="64">
        <v>-8239</v>
      </c>
      <c r="AV9" s="69">
        <f>AM9+AN9</f>
        <v>11311.099999999999</v>
      </c>
    </row>
    <row r="10" spans="1:48" ht="21" x14ac:dyDescent="0.25">
      <c r="A10" s="63" t="s">
        <v>91</v>
      </c>
      <c r="B10" s="62" t="s">
        <v>7</v>
      </c>
      <c r="C10" s="75">
        <v>73</v>
      </c>
      <c r="D10" s="75">
        <v>51.2</v>
      </c>
      <c r="E10" s="75">
        <v>6.7</v>
      </c>
      <c r="F10" s="75">
        <v>0.7</v>
      </c>
      <c r="G10" s="75">
        <v>164.9</v>
      </c>
      <c r="H10" s="75">
        <v>52</v>
      </c>
      <c r="I10" s="75">
        <v>11.1</v>
      </c>
      <c r="J10" s="75">
        <v>143.1</v>
      </c>
      <c r="K10" s="75">
        <v>53282.7</v>
      </c>
      <c r="L10" s="75">
        <v>4330.3999999999996</v>
      </c>
      <c r="M10" s="75">
        <v>235.5</v>
      </c>
      <c r="N10" s="75">
        <v>439.2</v>
      </c>
      <c r="O10" s="75">
        <v>3659.1</v>
      </c>
      <c r="P10" s="75">
        <v>80.2</v>
      </c>
      <c r="Q10" s="75">
        <v>38.4</v>
      </c>
      <c r="R10" s="75">
        <v>49.2</v>
      </c>
      <c r="S10" s="75">
        <v>140.5</v>
      </c>
      <c r="T10" s="75">
        <v>180.3</v>
      </c>
      <c r="U10" s="75">
        <v>148.69999999999999</v>
      </c>
      <c r="V10" s="75">
        <v>28.3</v>
      </c>
      <c r="W10" s="75">
        <v>12265.4</v>
      </c>
      <c r="X10" s="75">
        <v>132.80000000000001</v>
      </c>
      <c r="Y10" s="75">
        <v>337</v>
      </c>
      <c r="Z10" s="75">
        <v>293</v>
      </c>
      <c r="AA10" s="75">
        <v>260.5</v>
      </c>
      <c r="AB10" s="75">
        <v>12.6</v>
      </c>
      <c r="AC10" s="75">
        <v>22.3</v>
      </c>
      <c r="AD10" s="75">
        <v>7.2</v>
      </c>
      <c r="AE10" s="75">
        <v>43.9</v>
      </c>
      <c r="AF10" s="75">
        <v>64.3</v>
      </c>
      <c r="AG10" s="75">
        <v>150.5</v>
      </c>
      <c r="AH10" s="75">
        <v>98.7</v>
      </c>
      <c r="AI10" s="75">
        <v>164.1</v>
      </c>
      <c r="AJ10" s="75">
        <v>235.1</v>
      </c>
      <c r="AK10" s="75">
        <v>254.5</v>
      </c>
      <c r="AL10" s="75">
        <v>0</v>
      </c>
      <c r="AM10" s="75">
        <v>450.9</v>
      </c>
      <c r="AN10" s="75">
        <v>0.5</v>
      </c>
      <c r="AO10" s="75">
        <v>15.1</v>
      </c>
      <c r="AP10" s="75">
        <v>699.2</v>
      </c>
      <c r="AQ10" s="75">
        <v>-17</v>
      </c>
      <c r="AR10" s="75">
        <v>5.3</v>
      </c>
      <c r="AS10" s="75">
        <v>1.4</v>
      </c>
      <c r="AT10" s="65">
        <v>5.0999999999999996</v>
      </c>
      <c r="AU10" s="65">
        <v>-77242.399999999994</v>
      </c>
      <c r="AV10" s="69">
        <f t="shared" ref="AV10:AV50" si="0">AM10+AN10</f>
        <v>451.4</v>
      </c>
    </row>
    <row r="11" spans="1:48" ht="21" x14ac:dyDescent="0.25">
      <c r="A11" s="63" t="s">
        <v>92</v>
      </c>
      <c r="B11" s="62" t="s">
        <v>7</v>
      </c>
      <c r="C11" s="74">
        <v>13.4</v>
      </c>
      <c r="D11" s="74">
        <v>1.7</v>
      </c>
      <c r="E11" s="74">
        <v>34</v>
      </c>
      <c r="F11" s="74">
        <v>0</v>
      </c>
      <c r="G11" s="74">
        <v>14.9</v>
      </c>
      <c r="H11" s="74">
        <v>6.7</v>
      </c>
      <c r="I11" s="74">
        <v>2.1</v>
      </c>
      <c r="J11" s="74">
        <v>25.5</v>
      </c>
      <c r="K11" s="74">
        <v>515.29999999999995</v>
      </c>
      <c r="L11" s="74">
        <v>654.9</v>
      </c>
      <c r="M11" s="74">
        <v>18.5</v>
      </c>
      <c r="N11" s="74">
        <v>751.6</v>
      </c>
      <c r="O11" s="74">
        <v>9125.7000000000007</v>
      </c>
      <c r="P11" s="74">
        <v>449.9</v>
      </c>
      <c r="Q11" s="74">
        <v>142.6</v>
      </c>
      <c r="R11" s="74">
        <v>287</v>
      </c>
      <c r="S11" s="74">
        <v>211.1</v>
      </c>
      <c r="T11" s="74">
        <v>79.2</v>
      </c>
      <c r="U11" s="74">
        <v>77.099999999999994</v>
      </c>
      <c r="V11" s="74">
        <v>72.099999999999994</v>
      </c>
      <c r="W11" s="74">
        <v>115.3</v>
      </c>
      <c r="X11" s="74">
        <v>814.1</v>
      </c>
      <c r="Y11" s="74">
        <v>38.6</v>
      </c>
      <c r="Z11" s="74">
        <v>13.9</v>
      </c>
      <c r="AA11" s="74">
        <v>7.7</v>
      </c>
      <c r="AB11" s="74">
        <v>0.8</v>
      </c>
      <c r="AC11" s="74">
        <v>1.9</v>
      </c>
      <c r="AD11" s="74">
        <v>1.4</v>
      </c>
      <c r="AE11" s="74">
        <v>2.2000000000000002</v>
      </c>
      <c r="AF11" s="74">
        <v>20.7</v>
      </c>
      <c r="AG11" s="74">
        <v>11.2</v>
      </c>
      <c r="AH11" s="74">
        <v>18.5</v>
      </c>
      <c r="AI11" s="74">
        <v>3.1</v>
      </c>
      <c r="AJ11" s="74">
        <v>4.2</v>
      </c>
      <c r="AK11" s="74">
        <v>10.199999999999999</v>
      </c>
      <c r="AL11" s="74">
        <v>0</v>
      </c>
      <c r="AM11" s="74">
        <v>48</v>
      </c>
      <c r="AN11" s="74">
        <v>0</v>
      </c>
      <c r="AO11" s="74">
        <v>2.7</v>
      </c>
      <c r="AP11" s="74">
        <v>64.2</v>
      </c>
      <c r="AQ11" s="74">
        <v>-2.9</v>
      </c>
      <c r="AR11" s="74">
        <v>2.8</v>
      </c>
      <c r="AS11" s="74">
        <v>0.2</v>
      </c>
      <c r="AT11" s="64">
        <v>343.1</v>
      </c>
      <c r="AU11" s="64">
        <v>-11225.8</v>
      </c>
      <c r="AV11" s="69">
        <f t="shared" si="0"/>
        <v>48</v>
      </c>
    </row>
    <row r="12" spans="1:48" ht="21" x14ac:dyDescent="0.25">
      <c r="A12" s="63" t="s">
        <v>93</v>
      </c>
      <c r="B12" s="62" t="s">
        <v>7</v>
      </c>
      <c r="C12" s="75">
        <v>9.4</v>
      </c>
      <c r="D12" s="75">
        <v>0.9</v>
      </c>
      <c r="E12" s="75">
        <v>1.9</v>
      </c>
      <c r="F12" s="75">
        <v>0</v>
      </c>
      <c r="G12" s="75">
        <v>1.3</v>
      </c>
      <c r="H12" s="75">
        <v>0.1</v>
      </c>
      <c r="I12" s="75">
        <v>0.1</v>
      </c>
      <c r="J12" s="75">
        <v>0.7</v>
      </c>
      <c r="K12" s="75">
        <v>6.6</v>
      </c>
      <c r="L12" s="75">
        <v>1.9</v>
      </c>
      <c r="M12" s="75">
        <v>2.1</v>
      </c>
      <c r="N12" s="75">
        <v>0.9</v>
      </c>
      <c r="O12" s="75">
        <v>2.9</v>
      </c>
      <c r="P12" s="75">
        <v>0.5</v>
      </c>
      <c r="Q12" s="75">
        <v>0.4</v>
      </c>
      <c r="R12" s="75">
        <v>0.2</v>
      </c>
      <c r="S12" s="75">
        <v>1.5</v>
      </c>
      <c r="T12" s="75">
        <v>0.3</v>
      </c>
      <c r="U12" s="75">
        <v>0.3</v>
      </c>
      <c r="V12" s="75">
        <v>0.3</v>
      </c>
      <c r="W12" s="75">
        <v>8.6</v>
      </c>
      <c r="X12" s="75">
        <v>16.8</v>
      </c>
      <c r="Y12" s="75">
        <v>0.3</v>
      </c>
      <c r="Z12" s="75">
        <v>1.2</v>
      </c>
      <c r="AA12" s="75">
        <v>0.2</v>
      </c>
      <c r="AB12" s="75">
        <v>0</v>
      </c>
      <c r="AC12" s="75">
        <v>0</v>
      </c>
      <c r="AD12" s="75">
        <v>0.1</v>
      </c>
      <c r="AE12" s="75">
        <v>0.1</v>
      </c>
      <c r="AF12" s="75">
        <v>0</v>
      </c>
      <c r="AG12" s="75">
        <v>0.6</v>
      </c>
      <c r="AH12" s="75">
        <v>1.3</v>
      </c>
      <c r="AI12" s="75">
        <v>0.7</v>
      </c>
      <c r="AJ12" s="75">
        <v>0.1</v>
      </c>
      <c r="AK12" s="75">
        <v>0.1</v>
      </c>
      <c r="AL12" s="75">
        <v>0</v>
      </c>
      <c r="AM12" s="75">
        <v>0.8</v>
      </c>
      <c r="AN12" s="75">
        <v>0</v>
      </c>
      <c r="AO12" s="75">
        <v>6.1</v>
      </c>
      <c r="AP12" s="75">
        <v>0.7</v>
      </c>
      <c r="AQ12" s="75">
        <v>0.1</v>
      </c>
      <c r="AR12" s="75">
        <v>0.5</v>
      </c>
      <c r="AS12" s="75">
        <v>0</v>
      </c>
      <c r="AT12" s="65">
        <v>17</v>
      </c>
      <c r="AU12" s="65">
        <v>-39.9</v>
      </c>
      <c r="AV12" s="69">
        <f t="shared" si="0"/>
        <v>0.8</v>
      </c>
    </row>
    <row r="13" spans="1:48" ht="21" x14ac:dyDescent="0.25">
      <c r="A13" s="63" t="s">
        <v>94</v>
      </c>
      <c r="B13" s="62" t="s">
        <v>7</v>
      </c>
      <c r="C13" s="74">
        <v>5960.6</v>
      </c>
      <c r="D13" s="74">
        <v>1</v>
      </c>
      <c r="E13" s="74">
        <v>2</v>
      </c>
      <c r="F13" s="74">
        <v>0</v>
      </c>
      <c r="G13" s="74">
        <v>24001.4</v>
      </c>
      <c r="H13" s="74">
        <v>917.8</v>
      </c>
      <c r="I13" s="74">
        <v>36.299999999999997</v>
      </c>
      <c r="J13" s="74">
        <v>265.5</v>
      </c>
      <c r="K13" s="74">
        <v>179.4</v>
      </c>
      <c r="L13" s="74">
        <v>3028.4</v>
      </c>
      <c r="M13" s="74">
        <v>200.2</v>
      </c>
      <c r="N13" s="74">
        <v>85.8</v>
      </c>
      <c r="O13" s="74">
        <v>87.3</v>
      </c>
      <c r="P13" s="74">
        <v>69.099999999999994</v>
      </c>
      <c r="Q13" s="74">
        <v>127.1</v>
      </c>
      <c r="R13" s="74">
        <v>52.3</v>
      </c>
      <c r="S13" s="74">
        <v>87.2</v>
      </c>
      <c r="T13" s="74">
        <v>68.900000000000006</v>
      </c>
      <c r="U13" s="74">
        <v>104.1</v>
      </c>
      <c r="V13" s="74">
        <v>74.099999999999994</v>
      </c>
      <c r="W13" s="74">
        <v>247.6</v>
      </c>
      <c r="X13" s="74">
        <v>352.2</v>
      </c>
      <c r="Y13" s="74">
        <v>3094.6</v>
      </c>
      <c r="Z13" s="74">
        <v>228.5</v>
      </c>
      <c r="AA13" s="74">
        <v>23070.1</v>
      </c>
      <c r="AB13" s="74">
        <v>69.900000000000006</v>
      </c>
      <c r="AC13" s="74">
        <v>18.8</v>
      </c>
      <c r="AD13" s="74">
        <v>49.5</v>
      </c>
      <c r="AE13" s="74">
        <v>120.9</v>
      </c>
      <c r="AF13" s="74">
        <v>78.8</v>
      </c>
      <c r="AG13" s="74">
        <v>599.5</v>
      </c>
      <c r="AH13" s="74">
        <v>1579.9</v>
      </c>
      <c r="AI13" s="74">
        <v>1285</v>
      </c>
      <c r="AJ13" s="74">
        <v>2670.7</v>
      </c>
      <c r="AK13" s="74">
        <v>1467.3</v>
      </c>
      <c r="AL13" s="74">
        <v>0</v>
      </c>
      <c r="AM13" s="74">
        <v>38819.1</v>
      </c>
      <c r="AN13" s="74">
        <v>148.30000000000001</v>
      </c>
      <c r="AO13" s="74">
        <v>925.2</v>
      </c>
      <c r="AP13" s="74">
        <v>162.69999999999999</v>
      </c>
      <c r="AQ13" s="74">
        <v>12.3</v>
      </c>
      <c r="AR13" s="74">
        <v>650.4</v>
      </c>
      <c r="AS13" s="74">
        <v>467.4</v>
      </c>
      <c r="AT13" s="64">
        <v>4654.7</v>
      </c>
      <c r="AU13" s="64">
        <v>-15825</v>
      </c>
      <c r="AV13" s="69">
        <f t="shared" si="0"/>
        <v>38967.4</v>
      </c>
    </row>
    <row r="14" spans="1:48" ht="21" x14ac:dyDescent="0.25">
      <c r="A14" s="63" t="s">
        <v>95</v>
      </c>
      <c r="B14" s="62" t="s">
        <v>7</v>
      </c>
      <c r="C14" s="75">
        <v>322.89999999999998</v>
      </c>
      <c r="D14" s="75">
        <v>12</v>
      </c>
      <c r="E14" s="75">
        <v>17.5</v>
      </c>
      <c r="F14" s="75">
        <v>0.1</v>
      </c>
      <c r="G14" s="75">
        <v>278.5</v>
      </c>
      <c r="H14" s="75">
        <v>27189</v>
      </c>
      <c r="I14" s="75">
        <v>123</v>
      </c>
      <c r="J14" s="75">
        <v>437.2</v>
      </c>
      <c r="K14" s="75">
        <v>170.3</v>
      </c>
      <c r="L14" s="75">
        <v>1612.4</v>
      </c>
      <c r="M14" s="75">
        <v>1806.9</v>
      </c>
      <c r="N14" s="75">
        <v>300.89999999999998</v>
      </c>
      <c r="O14" s="75">
        <v>255.3</v>
      </c>
      <c r="P14" s="75">
        <v>435.8</v>
      </c>
      <c r="Q14" s="75">
        <v>820.1</v>
      </c>
      <c r="R14" s="75">
        <v>374.7</v>
      </c>
      <c r="S14" s="75">
        <v>535.9</v>
      </c>
      <c r="T14" s="75">
        <v>1843.1</v>
      </c>
      <c r="U14" s="75">
        <v>2469.4</v>
      </c>
      <c r="V14" s="75">
        <v>1606.6</v>
      </c>
      <c r="W14" s="75">
        <v>495</v>
      </c>
      <c r="X14" s="75">
        <v>1275.7</v>
      </c>
      <c r="Y14" s="75">
        <v>3146.4</v>
      </c>
      <c r="Z14" s="75">
        <v>791.9</v>
      </c>
      <c r="AA14" s="75">
        <v>808.3</v>
      </c>
      <c r="AB14" s="75">
        <v>420.7</v>
      </c>
      <c r="AC14" s="75">
        <v>97.4</v>
      </c>
      <c r="AD14" s="75">
        <v>130.69999999999999</v>
      </c>
      <c r="AE14" s="75">
        <v>591.9</v>
      </c>
      <c r="AF14" s="75">
        <v>85.6</v>
      </c>
      <c r="AG14" s="75">
        <v>1311.4</v>
      </c>
      <c r="AH14" s="75">
        <v>1765.6</v>
      </c>
      <c r="AI14" s="75">
        <v>659.3</v>
      </c>
      <c r="AJ14" s="75">
        <v>3399.6</v>
      </c>
      <c r="AK14" s="75">
        <v>1749.9</v>
      </c>
      <c r="AL14" s="75">
        <v>0</v>
      </c>
      <c r="AM14" s="75">
        <v>17460.7</v>
      </c>
      <c r="AN14" s="75">
        <v>61.6</v>
      </c>
      <c r="AO14" s="75">
        <v>400.9</v>
      </c>
      <c r="AP14" s="75">
        <v>867.2</v>
      </c>
      <c r="AQ14" s="75">
        <v>22.2</v>
      </c>
      <c r="AR14" s="75">
        <v>293.10000000000002</v>
      </c>
      <c r="AS14" s="75">
        <v>271.3</v>
      </c>
      <c r="AT14" s="65">
        <v>12707.8</v>
      </c>
      <c r="AU14" s="65">
        <v>-19347.7</v>
      </c>
      <c r="AV14" s="69">
        <f t="shared" si="0"/>
        <v>17522.3</v>
      </c>
    </row>
    <row r="15" spans="1:48" ht="21" x14ac:dyDescent="0.25">
      <c r="A15" s="63" t="s">
        <v>96</v>
      </c>
      <c r="B15" s="62" t="s">
        <v>7</v>
      </c>
      <c r="C15" s="74">
        <v>42.8</v>
      </c>
      <c r="D15" s="74">
        <v>6.6</v>
      </c>
      <c r="E15" s="74">
        <v>4.7</v>
      </c>
      <c r="F15" s="74">
        <v>0</v>
      </c>
      <c r="G15" s="74">
        <v>52.2</v>
      </c>
      <c r="H15" s="74">
        <v>57.3</v>
      </c>
      <c r="I15" s="74">
        <v>1278.0999999999999</v>
      </c>
      <c r="J15" s="74">
        <v>222.2</v>
      </c>
      <c r="K15" s="74">
        <v>26</v>
      </c>
      <c r="L15" s="74">
        <v>204.3</v>
      </c>
      <c r="M15" s="74">
        <v>131.1</v>
      </c>
      <c r="N15" s="74">
        <v>126.1</v>
      </c>
      <c r="O15" s="74">
        <v>46.1</v>
      </c>
      <c r="P15" s="74">
        <v>178.3</v>
      </c>
      <c r="Q15" s="74">
        <v>136.9</v>
      </c>
      <c r="R15" s="74">
        <v>82.6</v>
      </c>
      <c r="S15" s="74">
        <v>127.5</v>
      </c>
      <c r="T15" s="74">
        <v>219.5</v>
      </c>
      <c r="U15" s="74">
        <v>434.7</v>
      </c>
      <c r="V15" s="74">
        <v>1193.9000000000001</v>
      </c>
      <c r="W15" s="74">
        <v>136.1</v>
      </c>
      <c r="X15" s="74">
        <v>3074.2</v>
      </c>
      <c r="Y15" s="74">
        <v>252.4</v>
      </c>
      <c r="Z15" s="74">
        <v>47.8</v>
      </c>
      <c r="AA15" s="74">
        <v>60.3</v>
      </c>
      <c r="AB15" s="74">
        <v>26</v>
      </c>
      <c r="AC15" s="74">
        <v>8.4</v>
      </c>
      <c r="AD15" s="74">
        <v>19.2</v>
      </c>
      <c r="AE15" s="74">
        <v>16.7</v>
      </c>
      <c r="AF15" s="74">
        <v>389.6</v>
      </c>
      <c r="AG15" s="74">
        <v>126.2</v>
      </c>
      <c r="AH15" s="74">
        <v>40.700000000000003</v>
      </c>
      <c r="AI15" s="74">
        <v>60.6</v>
      </c>
      <c r="AJ15" s="74">
        <v>27.2</v>
      </c>
      <c r="AK15" s="74">
        <v>135.6</v>
      </c>
      <c r="AL15" s="74">
        <v>0</v>
      </c>
      <c r="AM15" s="74">
        <v>166.8</v>
      </c>
      <c r="AN15" s="74">
        <v>0.5</v>
      </c>
      <c r="AO15" s="74">
        <v>9.6999999999999993</v>
      </c>
      <c r="AP15" s="74">
        <v>600.1</v>
      </c>
      <c r="AQ15" s="74">
        <v>-17.5</v>
      </c>
      <c r="AR15" s="74">
        <v>21.4</v>
      </c>
      <c r="AS15" s="74">
        <v>13.6</v>
      </c>
      <c r="AT15" s="64">
        <v>195.1</v>
      </c>
      <c r="AU15" s="64">
        <v>-2195.1999999999998</v>
      </c>
      <c r="AV15" s="69">
        <f t="shared" si="0"/>
        <v>167.3</v>
      </c>
    </row>
    <row r="16" spans="1:48" ht="21" x14ac:dyDescent="0.25">
      <c r="A16" s="63" t="s">
        <v>97</v>
      </c>
      <c r="B16" s="62" t="s">
        <v>7</v>
      </c>
      <c r="C16" s="75">
        <v>89.5</v>
      </c>
      <c r="D16" s="75">
        <v>3.1</v>
      </c>
      <c r="E16" s="75">
        <v>11.7</v>
      </c>
      <c r="F16" s="75">
        <v>0</v>
      </c>
      <c r="G16" s="75">
        <v>1141.9000000000001</v>
      </c>
      <c r="H16" s="75">
        <v>458.8</v>
      </c>
      <c r="I16" s="75">
        <v>131.30000000000001</v>
      </c>
      <c r="J16" s="75">
        <v>7691.1</v>
      </c>
      <c r="K16" s="75">
        <v>122.3</v>
      </c>
      <c r="L16" s="75">
        <v>1390.9</v>
      </c>
      <c r="M16" s="75">
        <v>753.4</v>
      </c>
      <c r="N16" s="75">
        <v>493.6</v>
      </c>
      <c r="O16" s="75">
        <v>185.6</v>
      </c>
      <c r="P16" s="75">
        <v>338.6</v>
      </c>
      <c r="Q16" s="75">
        <v>791.7</v>
      </c>
      <c r="R16" s="75">
        <v>389</v>
      </c>
      <c r="S16" s="75">
        <v>435.9</v>
      </c>
      <c r="T16" s="75">
        <v>402.3</v>
      </c>
      <c r="U16" s="75">
        <v>114.1</v>
      </c>
      <c r="V16" s="75">
        <v>318.60000000000002</v>
      </c>
      <c r="W16" s="75">
        <v>438.4</v>
      </c>
      <c r="X16" s="75">
        <v>408.2</v>
      </c>
      <c r="Y16" s="75">
        <v>2304.6999999999998</v>
      </c>
      <c r="Z16" s="75">
        <v>291.7</v>
      </c>
      <c r="AA16" s="75">
        <v>517.9</v>
      </c>
      <c r="AB16" s="75">
        <v>1578.3</v>
      </c>
      <c r="AC16" s="75">
        <v>200.1</v>
      </c>
      <c r="AD16" s="75">
        <v>491.4</v>
      </c>
      <c r="AE16" s="75">
        <v>1217.7</v>
      </c>
      <c r="AF16" s="75">
        <v>160.9</v>
      </c>
      <c r="AG16" s="75">
        <v>1635.3</v>
      </c>
      <c r="AH16" s="75">
        <v>853.8</v>
      </c>
      <c r="AI16" s="75">
        <v>1287.0999999999999</v>
      </c>
      <c r="AJ16" s="75">
        <v>650.4</v>
      </c>
      <c r="AK16" s="75">
        <v>787.2</v>
      </c>
      <c r="AL16" s="75">
        <v>0</v>
      </c>
      <c r="AM16" s="75">
        <v>708.5</v>
      </c>
      <c r="AN16" s="75">
        <v>1.2</v>
      </c>
      <c r="AO16" s="75">
        <v>143</v>
      </c>
      <c r="AP16" s="75">
        <v>154.69999999999999</v>
      </c>
      <c r="AQ16" s="75">
        <v>6.5</v>
      </c>
      <c r="AR16" s="75">
        <v>87</v>
      </c>
      <c r="AS16" s="75">
        <v>47</v>
      </c>
      <c r="AT16" s="65">
        <v>3024.8</v>
      </c>
      <c r="AU16" s="65">
        <v>-3513.2</v>
      </c>
      <c r="AV16" s="69">
        <f t="shared" si="0"/>
        <v>709.7</v>
      </c>
    </row>
    <row r="17" spans="1:48" ht="21" x14ac:dyDescent="0.25">
      <c r="A17" s="63" t="s">
        <v>98</v>
      </c>
      <c r="B17" s="62" t="s">
        <v>7</v>
      </c>
      <c r="C17" s="74">
        <v>1199.3</v>
      </c>
      <c r="D17" s="74">
        <v>37.1</v>
      </c>
      <c r="E17" s="74">
        <v>119.3</v>
      </c>
      <c r="F17" s="74">
        <v>0.4</v>
      </c>
      <c r="G17" s="74">
        <v>510.8</v>
      </c>
      <c r="H17" s="74">
        <v>736.2</v>
      </c>
      <c r="I17" s="74">
        <v>151.4</v>
      </c>
      <c r="J17" s="74">
        <v>489.6</v>
      </c>
      <c r="K17" s="74">
        <v>7323.9</v>
      </c>
      <c r="L17" s="74">
        <v>11920.6</v>
      </c>
      <c r="M17" s="74">
        <v>2363.1999999999998</v>
      </c>
      <c r="N17" s="74">
        <v>1309.3</v>
      </c>
      <c r="O17" s="74">
        <v>3549.6</v>
      </c>
      <c r="P17" s="74">
        <v>706.1</v>
      </c>
      <c r="Q17" s="74">
        <v>779.8</v>
      </c>
      <c r="R17" s="74">
        <v>556.5</v>
      </c>
      <c r="S17" s="74">
        <v>620</v>
      </c>
      <c r="T17" s="74">
        <v>572.5</v>
      </c>
      <c r="U17" s="74">
        <v>555.4</v>
      </c>
      <c r="V17" s="74">
        <v>315.2</v>
      </c>
      <c r="W17" s="74">
        <v>3445.8</v>
      </c>
      <c r="X17" s="74">
        <v>3137</v>
      </c>
      <c r="Y17" s="74">
        <v>2691.4</v>
      </c>
      <c r="Z17" s="74">
        <v>11014.4</v>
      </c>
      <c r="AA17" s="74">
        <v>466.4</v>
      </c>
      <c r="AB17" s="74">
        <v>120.9</v>
      </c>
      <c r="AC17" s="74">
        <v>147.5</v>
      </c>
      <c r="AD17" s="74">
        <v>233</v>
      </c>
      <c r="AE17" s="74">
        <v>641.70000000000005</v>
      </c>
      <c r="AF17" s="74">
        <v>352.5</v>
      </c>
      <c r="AG17" s="74">
        <v>1209.5999999999999</v>
      </c>
      <c r="AH17" s="74">
        <v>1157.8</v>
      </c>
      <c r="AI17" s="74">
        <v>651.29999999999995</v>
      </c>
      <c r="AJ17" s="74">
        <v>802.1</v>
      </c>
      <c r="AK17" s="74">
        <v>753.9</v>
      </c>
      <c r="AL17" s="74">
        <v>0</v>
      </c>
      <c r="AM17" s="74">
        <v>15806.1</v>
      </c>
      <c r="AN17" s="74">
        <v>0.9</v>
      </c>
      <c r="AO17" s="74">
        <v>124.6</v>
      </c>
      <c r="AP17" s="74">
        <v>35.799999999999997</v>
      </c>
      <c r="AQ17" s="74">
        <v>123.4</v>
      </c>
      <c r="AR17" s="74">
        <v>195.6</v>
      </c>
      <c r="AS17" s="74">
        <v>117.1</v>
      </c>
      <c r="AT17" s="64">
        <v>29136</v>
      </c>
      <c r="AU17" s="64">
        <v>-14914.9</v>
      </c>
      <c r="AV17" s="69">
        <f t="shared" si="0"/>
        <v>15807</v>
      </c>
    </row>
    <row r="18" spans="1:48" ht="21" x14ac:dyDescent="0.25">
      <c r="A18" s="63" t="s">
        <v>99</v>
      </c>
      <c r="B18" s="62" t="s">
        <v>7</v>
      </c>
      <c r="C18" s="75">
        <v>1643.4</v>
      </c>
      <c r="D18" s="75">
        <v>37.700000000000003</v>
      </c>
      <c r="E18" s="75">
        <v>77</v>
      </c>
      <c r="F18" s="75">
        <v>0.2</v>
      </c>
      <c r="G18" s="75">
        <v>893.6</v>
      </c>
      <c r="H18" s="75">
        <v>3513.1</v>
      </c>
      <c r="I18" s="75">
        <v>391.9</v>
      </c>
      <c r="J18" s="75">
        <v>1570</v>
      </c>
      <c r="K18" s="75">
        <v>4502</v>
      </c>
      <c r="L18" s="75">
        <v>37902.9</v>
      </c>
      <c r="M18" s="75">
        <v>14139</v>
      </c>
      <c r="N18" s="75">
        <v>1744</v>
      </c>
      <c r="O18" s="75">
        <v>4124.3</v>
      </c>
      <c r="P18" s="75">
        <v>1753.4</v>
      </c>
      <c r="Q18" s="75">
        <v>3086.6</v>
      </c>
      <c r="R18" s="75">
        <v>1817.2</v>
      </c>
      <c r="S18" s="75">
        <v>1344.8</v>
      </c>
      <c r="T18" s="75">
        <v>1810.3</v>
      </c>
      <c r="U18" s="75">
        <v>1924.2</v>
      </c>
      <c r="V18" s="75">
        <v>864.8</v>
      </c>
      <c r="W18" s="75">
        <v>1370.6</v>
      </c>
      <c r="X18" s="75">
        <v>2899.6</v>
      </c>
      <c r="Y18" s="75">
        <v>1560.8</v>
      </c>
      <c r="Z18" s="75">
        <v>2190.5</v>
      </c>
      <c r="AA18" s="75">
        <v>445.8</v>
      </c>
      <c r="AB18" s="75">
        <v>199.9</v>
      </c>
      <c r="AC18" s="75">
        <v>65</v>
      </c>
      <c r="AD18" s="75">
        <v>113.6</v>
      </c>
      <c r="AE18" s="75">
        <v>243.5</v>
      </c>
      <c r="AF18" s="75">
        <v>494.9</v>
      </c>
      <c r="AG18" s="75">
        <v>1451.9</v>
      </c>
      <c r="AH18" s="75">
        <v>719.1</v>
      </c>
      <c r="AI18" s="75">
        <v>671</v>
      </c>
      <c r="AJ18" s="75">
        <v>6513.4</v>
      </c>
      <c r="AK18" s="75">
        <v>1273.7</v>
      </c>
      <c r="AL18" s="75">
        <v>0</v>
      </c>
      <c r="AM18" s="75">
        <v>6981.6</v>
      </c>
      <c r="AN18" s="75">
        <v>1.9</v>
      </c>
      <c r="AO18" s="75">
        <v>7981.3</v>
      </c>
      <c r="AP18" s="75">
        <v>787.1</v>
      </c>
      <c r="AQ18" s="75">
        <v>-175.2</v>
      </c>
      <c r="AR18" s="75">
        <v>163.1</v>
      </c>
      <c r="AS18" s="75">
        <v>118.3</v>
      </c>
      <c r="AT18" s="65">
        <v>50152.2</v>
      </c>
      <c r="AU18" s="65">
        <v>-29213.9</v>
      </c>
      <c r="AV18" s="69">
        <f t="shared" si="0"/>
        <v>6983.5</v>
      </c>
    </row>
    <row r="19" spans="1:48" ht="21" x14ac:dyDescent="0.25">
      <c r="A19" s="63" t="s">
        <v>100</v>
      </c>
      <c r="B19" s="62" t="s">
        <v>7</v>
      </c>
      <c r="C19" s="74">
        <v>242.8</v>
      </c>
      <c r="D19" s="74">
        <v>30.4</v>
      </c>
      <c r="E19" s="74">
        <v>43.1</v>
      </c>
      <c r="F19" s="74">
        <v>0.1</v>
      </c>
      <c r="G19" s="74">
        <v>1866.4</v>
      </c>
      <c r="H19" s="74">
        <v>1204.3</v>
      </c>
      <c r="I19" s="74">
        <v>194.9</v>
      </c>
      <c r="J19" s="74">
        <v>780.9</v>
      </c>
      <c r="K19" s="74">
        <v>352.2</v>
      </c>
      <c r="L19" s="74">
        <v>3373.7</v>
      </c>
      <c r="M19" s="74">
        <v>10678.7</v>
      </c>
      <c r="N19" s="74">
        <v>1064.7</v>
      </c>
      <c r="O19" s="74">
        <v>1220.8</v>
      </c>
      <c r="P19" s="74">
        <v>1643</v>
      </c>
      <c r="Q19" s="74">
        <v>5169.6000000000004</v>
      </c>
      <c r="R19" s="74">
        <v>3001.6</v>
      </c>
      <c r="S19" s="74">
        <v>3307.7</v>
      </c>
      <c r="T19" s="74">
        <v>6608.9</v>
      </c>
      <c r="U19" s="74">
        <v>2076.1999999999998</v>
      </c>
      <c r="V19" s="74">
        <v>1252.3</v>
      </c>
      <c r="W19" s="74">
        <v>513.70000000000005</v>
      </c>
      <c r="X19" s="74">
        <v>7556.3</v>
      </c>
      <c r="Y19" s="74">
        <v>3051.6</v>
      </c>
      <c r="Z19" s="74">
        <v>1292.0999999999999</v>
      </c>
      <c r="AA19" s="74">
        <v>629.70000000000005</v>
      </c>
      <c r="AB19" s="74">
        <v>116.4</v>
      </c>
      <c r="AC19" s="74">
        <v>225.6</v>
      </c>
      <c r="AD19" s="74">
        <v>162.9</v>
      </c>
      <c r="AE19" s="74">
        <v>243.6</v>
      </c>
      <c r="AF19" s="74">
        <v>345.5</v>
      </c>
      <c r="AG19" s="74">
        <v>893</v>
      </c>
      <c r="AH19" s="74">
        <v>399.1</v>
      </c>
      <c r="AI19" s="74">
        <v>301.3</v>
      </c>
      <c r="AJ19" s="74">
        <v>675.7</v>
      </c>
      <c r="AK19" s="74">
        <v>508.8</v>
      </c>
      <c r="AL19" s="74">
        <v>0</v>
      </c>
      <c r="AM19" s="74">
        <v>703.5</v>
      </c>
      <c r="AN19" s="74">
        <v>0.4</v>
      </c>
      <c r="AO19" s="74">
        <v>76.2</v>
      </c>
      <c r="AP19" s="74">
        <v>853.3</v>
      </c>
      <c r="AQ19" s="74">
        <v>-35.200000000000003</v>
      </c>
      <c r="AR19" s="74">
        <v>6.5</v>
      </c>
      <c r="AS19" s="74">
        <v>9.4</v>
      </c>
      <c r="AT19" s="64">
        <v>13095.7</v>
      </c>
      <c r="AU19" s="64">
        <v>-7737.9</v>
      </c>
      <c r="AV19" s="69">
        <f t="shared" si="0"/>
        <v>703.9</v>
      </c>
    </row>
    <row r="20" spans="1:48" ht="21" x14ac:dyDescent="0.25">
      <c r="A20" s="63" t="s">
        <v>101</v>
      </c>
      <c r="B20" s="62" t="s">
        <v>7</v>
      </c>
      <c r="C20" s="75">
        <v>100.1</v>
      </c>
      <c r="D20" s="75">
        <v>4.5</v>
      </c>
      <c r="E20" s="75">
        <v>51.3</v>
      </c>
      <c r="F20" s="75">
        <v>0.1</v>
      </c>
      <c r="G20" s="75">
        <v>471</v>
      </c>
      <c r="H20" s="75">
        <v>158.1</v>
      </c>
      <c r="I20" s="75">
        <v>129</v>
      </c>
      <c r="J20" s="75">
        <v>63.2</v>
      </c>
      <c r="K20" s="75">
        <v>123.3</v>
      </c>
      <c r="L20" s="75">
        <v>908.7</v>
      </c>
      <c r="M20" s="75">
        <v>560.70000000000005</v>
      </c>
      <c r="N20" s="75">
        <v>6495.8</v>
      </c>
      <c r="O20" s="75">
        <v>1094.7</v>
      </c>
      <c r="P20" s="75">
        <v>796.1</v>
      </c>
      <c r="Q20" s="75">
        <v>2122.4</v>
      </c>
      <c r="R20" s="75">
        <v>683.3</v>
      </c>
      <c r="S20" s="75">
        <v>688.1</v>
      </c>
      <c r="T20" s="75">
        <v>1092.0999999999999</v>
      </c>
      <c r="U20" s="75">
        <v>766.3</v>
      </c>
      <c r="V20" s="75">
        <v>227.3</v>
      </c>
      <c r="W20" s="75">
        <v>288.89999999999998</v>
      </c>
      <c r="X20" s="75">
        <v>22013.4</v>
      </c>
      <c r="Y20" s="75">
        <v>707.3</v>
      </c>
      <c r="Z20" s="75">
        <v>191.4</v>
      </c>
      <c r="AA20" s="75">
        <v>260.5</v>
      </c>
      <c r="AB20" s="75">
        <v>24.3</v>
      </c>
      <c r="AC20" s="75">
        <v>39.700000000000003</v>
      </c>
      <c r="AD20" s="75">
        <v>39.200000000000003</v>
      </c>
      <c r="AE20" s="75">
        <v>71</v>
      </c>
      <c r="AF20" s="75">
        <v>527.5</v>
      </c>
      <c r="AG20" s="75">
        <v>307.8</v>
      </c>
      <c r="AH20" s="75">
        <v>200.9</v>
      </c>
      <c r="AI20" s="75">
        <v>220.9</v>
      </c>
      <c r="AJ20" s="75">
        <v>232.2</v>
      </c>
      <c r="AK20" s="75">
        <v>201.8</v>
      </c>
      <c r="AL20" s="75">
        <v>0</v>
      </c>
      <c r="AM20" s="75">
        <v>485.2</v>
      </c>
      <c r="AN20" s="75">
        <v>0.5</v>
      </c>
      <c r="AO20" s="75">
        <v>27.3</v>
      </c>
      <c r="AP20" s="75">
        <v>617.70000000000005</v>
      </c>
      <c r="AQ20" s="75">
        <v>-37.6</v>
      </c>
      <c r="AR20" s="75">
        <v>2.7</v>
      </c>
      <c r="AS20" s="75">
        <v>3.7</v>
      </c>
      <c r="AT20" s="65">
        <v>3087.2</v>
      </c>
      <c r="AU20" s="65">
        <v>-10504.6</v>
      </c>
      <c r="AV20" s="69">
        <f t="shared" si="0"/>
        <v>485.7</v>
      </c>
    </row>
    <row r="21" spans="1:48" ht="13.5" x14ac:dyDescent="0.25">
      <c r="A21" s="63" t="s">
        <v>102</v>
      </c>
      <c r="B21" s="62" t="s">
        <v>7</v>
      </c>
      <c r="C21" s="74">
        <v>58.6</v>
      </c>
      <c r="D21" s="74">
        <v>8.3000000000000007</v>
      </c>
      <c r="E21" s="74">
        <v>20.6</v>
      </c>
      <c r="F21" s="74">
        <v>0.3</v>
      </c>
      <c r="G21" s="74">
        <v>214</v>
      </c>
      <c r="H21" s="74">
        <v>101.6</v>
      </c>
      <c r="I21" s="74">
        <v>51.5</v>
      </c>
      <c r="J21" s="74">
        <v>254.1</v>
      </c>
      <c r="K21" s="74">
        <v>180</v>
      </c>
      <c r="L21" s="74">
        <v>866.5</v>
      </c>
      <c r="M21" s="74">
        <v>659.6</v>
      </c>
      <c r="N21" s="74">
        <v>639.1</v>
      </c>
      <c r="O21" s="74">
        <v>29812.799999999999</v>
      </c>
      <c r="P21" s="74">
        <v>20147.099999999999</v>
      </c>
      <c r="Q21" s="74">
        <v>4911.8999999999996</v>
      </c>
      <c r="R21" s="74">
        <v>9194.9</v>
      </c>
      <c r="S21" s="74">
        <v>12277</v>
      </c>
      <c r="T21" s="74">
        <v>7195.1</v>
      </c>
      <c r="U21" s="74">
        <v>6256.3</v>
      </c>
      <c r="V21" s="74">
        <v>2101.6999999999998</v>
      </c>
      <c r="W21" s="74">
        <v>1094.3</v>
      </c>
      <c r="X21" s="74">
        <v>10990.8</v>
      </c>
      <c r="Y21" s="74">
        <v>476.1</v>
      </c>
      <c r="Z21" s="74">
        <v>191.7</v>
      </c>
      <c r="AA21" s="74">
        <v>78.3</v>
      </c>
      <c r="AB21" s="74">
        <v>21.3</v>
      </c>
      <c r="AC21" s="74">
        <v>65.5</v>
      </c>
      <c r="AD21" s="74">
        <v>36.5</v>
      </c>
      <c r="AE21" s="74">
        <v>54.6</v>
      </c>
      <c r="AF21" s="74">
        <v>109.3</v>
      </c>
      <c r="AG21" s="74">
        <v>171.9</v>
      </c>
      <c r="AH21" s="74">
        <v>150.1</v>
      </c>
      <c r="AI21" s="74">
        <v>129.19999999999999</v>
      </c>
      <c r="AJ21" s="74">
        <v>127.9</v>
      </c>
      <c r="AK21" s="74">
        <v>141.1</v>
      </c>
      <c r="AL21" s="74">
        <v>0</v>
      </c>
      <c r="AM21" s="74">
        <v>703.3</v>
      </c>
      <c r="AN21" s="74">
        <v>0.2</v>
      </c>
      <c r="AO21" s="74">
        <v>46.2</v>
      </c>
      <c r="AP21" s="74">
        <v>628.20000000000005</v>
      </c>
      <c r="AQ21" s="74">
        <v>46</v>
      </c>
      <c r="AR21" s="74">
        <v>4.4000000000000004</v>
      </c>
      <c r="AS21" s="74">
        <v>7.1</v>
      </c>
      <c r="AT21" s="64">
        <v>36209.800000000003</v>
      </c>
      <c r="AU21" s="64">
        <v>-28889.1</v>
      </c>
      <c r="AV21" s="69">
        <f t="shared" si="0"/>
        <v>703.5</v>
      </c>
    </row>
    <row r="22" spans="1:48" ht="21" x14ac:dyDescent="0.25">
      <c r="A22" s="63" t="s">
        <v>103</v>
      </c>
      <c r="B22" s="62" t="s">
        <v>7</v>
      </c>
      <c r="C22" s="75">
        <v>253.2</v>
      </c>
      <c r="D22" s="75">
        <v>33.4</v>
      </c>
      <c r="E22" s="75">
        <v>46.6</v>
      </c>
      <c r="F22" s="75">
        <v>0.3</v>
      </c>
      <c r="G22" s="75">
        <v>1028.8</v>
      </c>
      <c r="H22" s="75">
        <v>366.2</v>
      </c>
      <c r="I22" s="75">
        <v>305.39999999999998</v>
      </c>
      <c r="J22" s="75">
        <v>231.6</v>
      </c>
      <c r="K22" s="75">
        <v>520.1</v>
      </c>
      <c r="L22" s="75">
        <v>1423.6</v>
      </c>
      <c r="M22" s="75">
        <v>1279.7</v>
      </c>
      <c r="N22" s="75">
        <v>772.2</v>
      </c>
      <c r="O22" s="75">
        <v>5436.1</v>
      </c>
      <c r="P22" s="75">
        <v>13339.8</v>
      </c>
      <c r="Q22" s="75">
        <v>4148.1000000000004</v>
      </c>
      <c r="R22" s="75">
        <v>3181.5</v>
      </c>
      <c r="S22" s="75">
        <v>9968</v>
      </c>
      <c r="T22" s="75">
        <v>6669.1</v>
      </c>
      <c r="U22" s="75">
        <v>5604.3</v>
      </c>
      <c r="V22" s="75">
        <v>1245.4000000000001</v>
      </c>
      <c r="W22" s="75">
        <v>979.8</v>
      </c>
      <c r="X22" s="75">
        <v>12873.2</v>
      </c>
      <c r="Y22" s="75">
        <v>1534.8</v>
      </c>
      <c r="Z22" s="75">
        <v>633.4</v>
      </c>
      <c r="AA22" s="75">
        <v>373.9</v>
      </c>
      <c r="AB22" s="75">
        <v>62.5</v>
      </c>
      <c r="AC22" s="75">
        <v>99.4</v>
      </c>
      <c r="AD22" s="75">
        <v>174.2</v>
      </c>
      <c r="AE22" s="75">
        <v>185.4</v>
      </c>
      <c r="AF22" s="75">
        <v>475.2</v>
      </c>
      <c r="AG22" s="75">
        <v>919.4</v>
      </c>
      <c r="AH22" s="75">
        <v>786.3</v>
      </c>
      <c r="AI22" s="75">
        <v>351</v>
      </c>
      <c r="AJ22" s="75">
        <v>246.6</v>
      </c>
      <c r="AK22" s="75">
        <v>377.1</v>
      </c>
      <c r="AL22" s="75">
        <v>0</v>
      </c>
      <c r="AM22" s="75">
        <v>994.9</v>
      </c>
      <c r="AN22" s="75">
        <v>0.4</v>
      </c>
      <c r="AO22" s="75">
        <v>59.6</v>
      </c>
      <c r="AP22" s="75">
        <v>4550.1000000000004</v>
      </c>
      <c r="AQ22" s="75">
        <v>-58</v>
      </c>
      <c r="AR22" s="75">
        <v>7.1</v>
      </c>
      <c r="AS22" s="75">
        <v>19.600000000000001</v>
      </c>
      <c r="AT22" s="65">
        <v>15286.6</v>
      </c>
      <c r="AU22" s="65">
        <v>-9226.7999999999993</v>
      </c>
      <c r="AV22" s="69">
        <f t="shared" si="0"/>
        <v>995.3</v>
      </c>
    </row>
    <row r="23" spans="1:48" ht="21" x14ac:dyDescent="0.25">
      <c r="A23" s="63" t="s">
        <v>104</v>
      </c>
      <c r="B23" s="62" t="s">
        <v>7</v>
      </c>
      <c r="C23" s="74">
        <v>200.3</v>
      </c>
      <c r="D23" s="74">
        <v>9</v>
      </c>
      <c r="E23" s="74">
        <v>17.399999999999999</v>
      </c>
      <c r="F23" s="74">
        <v>0</v>
      </c>
      <c r="G23" s="74">
        <v>841.9</v>
      </c>
      <c r="H23" s="74">
        <v>461.4</v>
      </c>
      <c r="I23" s="74">
        <v>81.599999999999994</v>
      </c>
      <c r="J23" s="74">
        <v>353.6</v>
      </c>
      <c r="K23" s="74">
        <v>303</v>
      </c>
      <c r="L23" s="74">
        <v>1286.4000000000001</v>
      </c>
      <c r="M23" s="74">
        <v>854</v>
      </c>
      <c r="N23" s="74">
        <v>325.8</v>
      </c>
      <c r="O23" s="74">
        <v>577.29999999999995</v>
      </c>
      <c r="P23" s="74">
        <v>1195.5999999999999</v>
      </c>
      <c r="Q23" s="74">
        <v>112588.6</v>
      </c>
      <c r="R23" s="74">
        <v>6592.5</v>
      </c>
      <c r="S23" s="74">
        <v>4884.6000000000004</v>
      </c>
      <c r="T23" s="74">
        <v>4188.3999999999996</v>
      </c>
      <c r="U23" s="74">
        <v>2437.4</v>
      </c>
      <c r="V23" s="74">
        <v>896</v>
      </c>
      <c r="W23" s="74">
        <v>1036.9000000000001</v>
      </c>
      <c r="X23" s="74">
        <v>3275.3</v>
      </c>
      <c r="Y23" s="74">
        <v>4141.2</v>
      </c>
      <c r="Z23" s="74">
        <v>819.1</v>
      </c>
      <c r="AA23" s="74">
        <v>708.6</v>
      </c>
      <c r="AB23" s="74">
        <v>745.4</v>
      </c>
      <c r="AC23" s="74">
        <v>4517</v>
      </c>
      <c r="AD23" s="74">
        <v>3612</v>
      </c>
      <c r="AE23" s="74">
        <v>1451.6</v>
      </c>
      <c r="AF23" s="74">
        <v>186.1</v>
      </c>
      <c r="AG23" s="74">
        <v>3242</v>
      </c>
      <c r="AH23" s="74">
        <v>2232.9</v>
      </c>
      <c r="AI23" s="74">
        <v>1283.5</v>
      </c>
      <c r="AJ23" s="74">
        <v>3394.3</v>
      </c>
      <c r="AK23" s="74">
        <v>1545</v>
      </c>
      <c r="AL23" s="74">
        <v>0</v>
      </c>
      <c r="AM23" s="74">
        <v>14294.9</v>
      </c>
      <c r="AN23" s="74">
        <v>26</v>
      </c>
      <c r="AO23" s="74">
        <v>2418.1</v>
      </c>
      <c r="AP23" s="74">
        <v>8972.2000000000007</v>
      </c>
      <c r="AQ23" s="74">
        <v>-3985.7</v>
      </c>
      <c r="AR23" s="74">
        <v>104.5</v>
      </c>
      <c r="AS23" s="74">
        <v>105.6</v>
      </c>
      <c r="AT23" s="64">
        <v>145653.4</v>
      </c>
      <c r="AU23" s="64">
        <v>-62931.6</v>
      </c>
      <c r="AV23" s="69">
        <f t="shared" si="0"/>
        <v>14320.9</v>
      </c>
    </row>
    <row r="24" spans="1:48" ht="13.5" x14ac:dyDescent="0.25">
      <c r="A24" s="63" t="s">
        <v>105</v>
      </c>
      <c r="B24" s="62" t="s">
        <v>7</v>
      </c>
      <c r="C24" s="75">
        <v>60.2</v>
      </c>
      <c r="D24" s="75">
        <v>10.199999999999999</v>
      </c>
      <c r="E24" s="75">
        <v>13</v>
      </c>
      <c r="F24" s="75">
        <v>0</v>
      </c>
      <c r="G24" s="75">
        <v>116.6</v>
      </c>
      <c r="H24" s="75">
        <v>91.8</v>
      </c>
      <c r="I24" s="75">
        <v>29.2</v>
      </c>
      <c r="J24" s="75">
        <v>75.099999999999994</v>
      </c>
      <c r="K24" s="75">
        <v>117.1</v>
      </c>
      <c r="L24" s="75">
        <v>413.8</v>
      </c>
      <c r="M24" s="75">
        <v>287</v>
      </c>
      <c r="N24" s="75">
        <v>175</v>
      </c>
      <c r="O24" s="75">
        <v>1181.9000000000001</v>
      </c>
      <c r="P24" s="75">
        <v>960.3</v>
      </c>
      <c r="Q24" s="75">
        <v>10712</v>
      </c>
      <c r="R24" s="75">
        <v>13043.5</v>
      </c>
      <c r="S24" s="75">
        <v>4425.5</v>
      </c>
      <c r="T24" s="75">
        <v>4157.3999999999996</v>
      </c>
      <c r="U24" s="75">
        <v>2140.1999999999998</v>
      </c>
      <c r="V24" s="75">
        <v>409.2</v>
      </c>
      <c r="W24" s="75">
        <v>1657.4</v>
      </c>
      <c r="X24" s="75">
        <v>6006.3</v>
      </c>
      <c r="Y24" s="75">
        <v>1100.0999999999999</v>
      </c>
      <c r="Z24" s="75">
        <v>460.7</v>
      </c>
      <c r="AA24" s="75">
        <v>154.6</v>
      </c>
      <c r="AB24" s="75">
        <v>100.7</v>
      </c>
      <c r="AC24" s="75">
        <v>620.9</v>
      </c>
      <c r="AD24" s="75">
        <v>368.8</v>
      </c>
      <c r="AE24" s="75">
        <v>170.6</v>
      </c>
      <c r="AF24" s="75">
        <v>299.10000000000002</v>
      </c>
      <c r="AG24" s="75">
        <v>704.7</v>
      </c>
      <c r="AH24" s="75">
        <v>365.3</v>
      </c>
      <c r="AI24" s="75">
        <v>282.3</v>
      </c>
      <c r="AJ24" s="75">
        <v>290.3</v>
      </c>
      <c r="AK24" s="75">
        <v>434.5</v>
      </c>
      <c r="AL24" s="75">
        <v>0</v>
      </c>
      <c r="AM24" s="75">
        <v>576.70000000000005</v>
      </c>
      <c r="AN24" s="75">
        <v>0.9</v>
      </c>
      <c r="AO24" s="75">
        <v>85.4</v>
      </c>
      <c r="AP24" s="75">
        <v>7412.4</v>
      </c>
      <c r="AQ24" s="75">
        <v>-293.39999999999998</v>
      </c>
      <c r="AR24" s="75">
        <v>31.9</v>
      </c>
      <c r="AS24" s="75">
        <v>32.700000000000003</v>
      </c>
      <c r="AT24" s="65">
        <v>31629.7</v>
      </c>
      <c r="AU24" s="65">
        <v>-12869.8</v>
      </c>
      <c r="AV24" s="69">
        <f t="shared" si="0"/>
        <v>577.6</v>
      </c>
    </row>
    <row r="25" spans="1:48" ht="21" x14ac:dyDescent="0.25">
      <c r="A25" s="63" t="s">
        <v>106</v>
      </c>
      <c r="B25" s="62" t="s">
        <v>7</v>
      </c>
      <c r="C25" s="74">
        <v>424.4</v>
      </c>
      <c r="D25" s="74">
        <v>66.7</v>
      </c>
      <c r="E25" s="74">
        <v>113.3</v>
      </c>
      <c r="F25" s="74">
        <v>0.9</v>
      </c>
      <c r="G25" s="74">
        <v>362.1</v>
      </c>
      <c r="H25" s="74">
        <v>441.3</v>
      </c>
      <c r="I25" s="74">
        <v>125.7</v>
      </c>
      <c r="J25" s="74">
        <v>400.1</v>
      </c>
      <c r="K25" s="74">
        <v>542.4</v>
      </c>
      <c r="L25" s="74">
        <v>925.4</v>
      </c>
      <c r="M25" s="74">
        <v>824.4</v>
      </c>
      <c r="N25" s="74">
        <v>727.2</v>
      </c>
      <c r="O25" s="74">
        <v>2347.3000000000002</v>
      </c>
      <c r="P25" s="74">
        <v>2072.8000000000002</v>
      </c>
      <c r="Q25" s="74">
        <v>3986.3</v>
      </c>
      <c r="R25" s="74">
        <v>2139.4</v>
      </c>
      <c r="S25" s="74">
        <v>15423.9</v>
      </c>
      <c r="T25" s="74">
        <v>6001.7</v>
      </c>
      <c r="U25" s="74">
        <v>5368.8</v>
      </c>
      <c r="V25" s="74">
        <v>601.9</v>
      </c>
      <c r="W25" s="74">
        <v>1022.3</v>
      </c>
      <c r="X25" s="74">
        <v>4751.7</v>
      </c>
      <c r="Y25" s="74">
        <v>1482.9</v>
      </c>
      <c r="Z25" s="74">
        <v>789.4</v>
      </c>
      <c r="AA25" s="74">
        <v>146.6</v>
      </c>
      <c r="AB25" s="74">
        <v>86</v>
      </c>
      <c r="AC25" s="74">
        <v>191.7</v>
      </c>
      <c r="AD25" s="74">
        <v>256.60000000000002</v>
      </c>
      <c r="AE25" s="74">
        <v>209.7</v>
      </c>
      <c r="AF25" s="74">
        <v>194.5</v>
      </c>
      <c r="AG25" s="74">
        <v>783.4</v>
      </c>
      <c r="AH25" s="74">
        <v>1342.4</v>
      </c>
      <c r="AI25" s="74">
        <v>348.5</v>
      </c>
      <c r="AJ25" s="74">
        <v>276.3</v>
      </c>
      <c r="AK25" s="74">
        <v>349.5</v>
      </c>
      <c r="AL25" s="74">
        <v>0</v>
      </c>
      <c r="AM25" s="74">
        <v>1628</v>
      </c>
      <c r="AN25" s="74">
        <v>2.5</v>
      </c>
      <c r="AO25" s="74">
        <v>291.60000000000002</v>
      </c>
      <c r="AP25" s="74">
        <v>40374.800000000003</v>
      </c>
      <c r="AQ25" s="74">
        <v>-1184.3</v>
      </c>
      <c r="AR25" s="74">
        <v>9.3000000000000007</v>
      </c>
      <c r="AS25" s="74">
        <v>11</v>
      </c>
      <c r="AT25" s="64">
        <v>40617.1</v>
      </c>
      <c r="AU25" s="64">
        <v>-27850.799999999999</v>
      </c>
      <c r="AV25" s="69">
        <f t="shared" si="0"/>
        <v>1630.5</v>
      </c>
    </row>
    <row r="26" spans="1:48" ht="21" x14ac:dyDescent="0.25">
      <c r="A26" s="63" t="s">
        <v>107</v>
      </c>
      <c r="B26" s="62" t="s">
        <v>7</v>
      </c>
      <c r="C26" s="75">
        <v>120.6</v>
      </c>
      <c r="D26" s="75">
        <v>7.6</v>
      </c>
      <c r="E26" s="75">
        <v>20.9</v>
      </c>
      <c r="F26" s="75">
        <v>0</v>
      </c>
      <c r="G26" s="75">
        <v>158.5</v>
      </c>
      <c r="H26" s="75">
        <v>132.1</v>
      </c>
      <c r="I26" s="75">
        <v>54</v>
      </c>
      <c r="J26" s="75">
        <v>74.7</v>
      </c>
      <c r="K26" s="75">
        <v>114</v>
      </c>
      <c r="L26" s="75">
        <v>359</v>
      </c>
      <c r="M26" s="75">
        <v>425.7</v>
      </c>
      <c r="N26" s="75">
        <v>225.6</v>
      </c>
      <c r="O26" s="75">
        <v>280.10000000000002</v>
      </c>
      <c r="P26" s="75">
        <v>622.79999999999995</v>
      </c>
      <c r="Q26" s="75">
        <v>952.2</v>
      </c>
      <c r="R26" s="75">
        <v>1015.6</v>
      </c>
      <c r="S26" s="75">
        <v>2558</v>
      </c>
      <c r="T26" s="75">
        <v>58680.3</v>
      </c>
      <c r="U26" s="75">
        <v>749.9</v>
      </c>
      <c r="V26" s="75">
        <v>247.2</v>
      </c>
      <c r="W26" s="75">
        <v>422</v>
      </c>
      <c r="X26" s="75">
        <v>1007.6</v>
      </c>
      <c r="Y26" s="75">
        <v>2872.9</v>
      </c>
      <c r="Z26" s="75">
        <v>2198.6</v>
      </c>
      <c r="AA26" s="75">
        <v>136</v>
      </c>
      <c r="AB26" s="75">
        <v>60.1</v>
      </c>
      <c r="AC26" s="75">
        <v>95.9</v>
      </c>
      <c r="AD26" s="75">
        <v>113</v>
      </c>
      <c r="AE26" s="75">
        <v>164.3</v>
      </c>
      <c r="AF26" s="75">
        <v>88.2</v>
      </c>
      <c r="AG26" s="75">
        <v>697</v>
      </c>
      <c r="AH26" s="75">
        <v>596</v>
      </c>
      <c r="AI26" s="75">
        <v>135.9</v>
      </c>
      <c r="AJ26" s="75">
        <v>173.9</v>
      </c>
      <c r="AK26" s="75">
        <v>238.8</v>
      </c>
      <c r="AL26" s="75">
        <v>0</v>
      </c>
      <c r="AM26" s="75">
        <v>14950.4</v>
      </c>
      <c r="AN26" s="75">
        <v>2.4</v>
      </c>
      <c r="AO26" s="75">
        <v>366.8</v>
      </c>
      <c r="AP26" s="75">
        <v>17647.2</v>
      </c>
      <c r="AQ26" s="75">
        <v>-303.39999999999998</v>
      </c>
      <c r="AR26" s="75">
        <v>52.6</v>
      </c>
      <c r="AS26" s="75">
        <v>52.8</v>
      </c>
      <c r="AT26" s="65">
        <v>72914.899999999994</v>
      </c>
      <c r="AU26" s="65">
        <v>-14539.3</v>
      </c>
      <c r="AV26" s="69">
        <f t="shared" si="0"/>
        <v>14952.8</v>
      </c>
    </row>
    <row r="27" spans="1:48" ht="13.5" x14ac:dyDescent="0.25">
      <c r="A27" s="63" t="s">
        <v>108</v>
      </c>
      <c r="B27" s="62" t="s">
        <v>7</v>
      </c>
      <c r="C27" s="74">
        <v>64.900000000000006</v>
      </c>
      <c r="D27" s="74">
        <v>7.2</v>
      </c>
      <c r="E27" s="74">
        <v>8.4</v>
      </c>
      <c r="F27" s="74">
        <v>0.1</v>
      </c>
      <c r="G27" s="74">
        <v>66.8</v>
      </c>
      <c r="H27" s="74">
        <v>34.799999999999997</v>
      </c>
      <c r="I27" s="74">
        <v>20.7</v>
      </c>
      <c r="J27" s="74">
        <v>30.3</v>
      </c>
      <c r="K27" s="74">
        <v>60.7</v>
      </c>
      <c r="L27" s="74">
        <v>123.3</v>
      </c>
      <c r="M27" s="74">
        <v>110.4</v>
      </c>
      <c r="N27" s="74">
        <v>79.5</v>
      </c>
      <c r="O27" s="74">
        <v>381.2</v>
      </c>
      <c r="P27" s="74">
        <v>716.7</v>
      </c>
      <c r="Q27" s="74">
        <v>778.9</v>
      </c>
      <c r="R27" s="74">
        <v>747.3</v>
      </c>
      <c r="S27" s="74">
        <v>1463.8</v>
      </c>
      <c r="T27" s="74">
        <v>709.1</v>
      </c>
      <c r="U27" s="74">
        <v>7144</v>
      </c>
      <c r="V27" s="74">
        <v>97.8</v>
      </c>
      <c r="W27" s="74">
        <v>153.1</v>
      </c>
      <c r="X27" s="74">
        <v>1085.5999999999999</v>
      </c>
      <c r="Y27" s="74">
        <v>255.2</v>
      </c>
      <c r="Z27" s="74">
        <v>1330</v>
      </c>
      <c r="AA27" s="74">
        <v>30.9</v>
      </c>
      <c r="AB27" s="74">
        <v>12.9</v>
      </c>
      <c r="AC27" s="74">
        <v>46.8</v>
      </c>
      <c r="AD27" s="74">
        <v>40.200000000000003</v>
      </c>
      <c r="AE27" s="74">
        <v>30.4</v>
      </c>
      <c r="AF27" s="74">
        <v>45.1</v>
      </c>
      <c r="AG27" s="74">
        <v>176.5</v>
      </c>
      <c r="AH27" s="74">
        <v>1046.8</v>
      </c>
      <c r="AI27" s="74">
        <v>51.8</v>
      </c>
      <c r="AJ27" s="74">
        <v>46.1</v>
      </c>
      <c r="AK27" s="74">
        <v>72.400000000000006</v>
      </c>
      <c r="AL27" s="74">
        <v>0</v>
      </c>
      <c r="AM27" s="74">
        <v>4006.4</v>
      </c>
      <c r="AN27" s="74">
        <v>0.3</v>
      </c>
      <c r="AO27" s="74">
        <v>360.6</v>
      </c>
      <c r="AP27" s="74">
        <v>16270.5</v>
      </c>
      <c r="AQ27" s="74">
        <v>615.1</v>
      </c>
      <c r="AR27" s="74">
        <v>3.7</v>
      </c>
      <c r="AS27" s="74">
        <v>2.5</v>
      </c>
      <c r="AT27" s="64">
        <v>45299.3</v>
      </c>
      <c r="AU27" s="64">
        <v>-15275.1</v>
      </c>
      <c r="AV27" s="69">
        <f t="shared" si="0"/>
        <v>4006.7000000000003</v>
      </c>
    </row>
    <row r="28" spans="1:48" ht="31.5" x14ac:dyDescent="0.25">
      <c r="A28" s="63" t="s">
        <v>109</v>
      </c>
      <c r="B28" s="62" t="s">
        <v>7</v>
      </c>
      <c r="C28" s="75">
        <v>69.400000000000006</v>
      </c>
      <c r="D28" s="75">
        <v>3.2</v>
      </c>
      <c r="E28" s="75">
        <v>5</v>
      </c>
      <c r="F28" s="75">
        <v>0</v>
      </c>
      <c r="G28" s="75">
        <v>97.5</v>
      </c>
      <c r="H28" s="75">
        <v>100</v>
      </c>
      <c r="I28" s="75">
        <v>23.6</v>
      </c>
      <c r="J28" s="75">
        <v>60.7</v>
      </c>
      <c r="K28" s="75">
        <v>76.599999999999994</v>
      </c>
      <c r="L28" s="75">
        <v>182</v>
      </c>
      <c r="M28" s="75">
        <v>94</v>
      </c>
      <c r="N28" s="75">
        <v>92.4</v>
      </c>
      <c r="O28" s="75">
        <v>516.5</v>
      </c>
      <c r="P28" s="75">
        <v>184.2</v>
      </c>
      <c r="Q28" s="75">
        <v>455.7</v>
      </c>
      <c r="R28" s="75">
        <v>172.1</v>
      </c>
      <c r="S28" s="75">
        <v>344.5</v>
      </c>
      <c r="T28" s="75">
        <v>246.9</v>
      </c>
      <c r="U28" s="75">
        <v>292.39999999999998</v>
      </c>
      <c r="V28" s="75">
        <v>192.3</v>
      </c>
      <c r="W28" s="75">
        <v>223</v>
      </c>
      <c r="X28" s="75">
        <v>372.6</v>
      </c>
      <c r="Y28" s="75">
        <v>226.9</v>
      </c>
      <c r="Z28" s="75">
        <v>340.8</v>
      </c>
      <c r="AA28" s="75">
        <v>60.2</v>
      </c>
      <c r="AB28" s="75">
        <v>28.3</v>
      </c>
      <c r="AC28" s="75">
        <v>71</v>
      </c>
      <c r="AD28" s="75">
        <v>49.6</v>
      </c>
      <c r="AE28" s="75">
        <v>72.900000000000006</v>
      </c>
      <c r="AF28" s="75">
        <v>232.6</v>
      </c>
      <c r="AG28" s="75">
        <v>147.80000000000001</v>
      </c>
      <c r="AH28" s="75">
        <v>130.4</v>
      </c>
      <c r="AI28" s="75">
        <v>91.6</v>
      </c>
      <c r="AJ28" s="75">
        <v>286.10000000000002</v>
      </c>
      <c r="AK28" s="75">
        <v>85</v>
      </c>
      <c r="AL28" s="75">
        <v>0</v>
      </c>
      <c r="AM28" s="75">
        <v>11203.7</v>
      </c>
      <c r="AN28" s="75">
        <v>0.7</v>
      </c>
      <c r="AO28" s="75">
        <v>90.5</v>
      </c>
      <c r="AP28" s="75">
        <v>8503.4</v>
      </c>
      <c r="AQ28" s="75">
        <v>-198.3</v>
      </c>
      <c r="AR28" s="75">
        <v>247.7</v>
      </c>
      <c r="AS28" s="75">
        <v>237.2</v>
      </c>
      <c r="AT28" s="65">
        <v>3810.1</v>
      </c>
      <c r="AU28" s="65">
        <v>-6779.7</v>
      </c>
      <c r="AV28" s="69">
        <f t="shared" si="0"/>
        <v>11204.400000000001</v>
      </c>
    </row>
    <row r="29" spans="1:48" ht="31.5" x14ac:dyDescent="0.25">
      <c r="A29" s="63" t="s">
        <v>110</v>
      </c>
      <c r="B29" s="62" t="s">
        <v>7</v>
      </c>
      <c r="C29" s="74">
        <v>517.5</v>
      </c>
      <c r="D29" s="74">
        <v>79.2</v>
      </c>
      <c r="E29" s="74">
        <v>131.9</v>
      </c>
      <c r="F29" s="74">
        <v>0.3</v>
      </c>
      <c r="G29" s="74">
        <v>1097.3</v>
      </c>
      <c r="H29" s="74">
        <v>1124</v>
      </c>
      <c r="I29" s="74">
        <v>263.89999999999998</v>
      </c>
      <c r="J29" s="74">
        <v>1488.5</v>
      </c>
      <c r="K29" s="74">
        <v>1597.4</v>
      </c>
      <c r="L29" s="74">
        <v>5343.9</v>
      </c>
      <c r="M29" s="74">
        <v>1739.6</v>
      </c>
      <c r="N29" s="74">
        <v>2116.4</v>
      </c>
      <c r="O29" s="74">
        <v>10002.200000000001</v>
      </c>
      <c r="P29" s="74">
        <v>1737.9</v>
      </c>
      <c r="Q29" s="74">
        <v>1693.8</v>
      </c>
      <c r="R29" s="74">
        <v>806.9</v>
      </c>
      <c r="S29" s="74">
        <v>1479.4</v>
      </c>
      <c r="T29" s="74">
        <v>1247.3</v>
      </c>
      <c r="U29" s="74">
        <v>887.5</v>
      </c>
      <c r="V29" s="74">
        <v>376.5</v>
      </c>
      <c r="W29" s="74">
        <v>17002.400000000001</v>
      </c>
      <c r="X29" s="74">
        <v>1343.4</v>
      </c>
      <c r="Y29" s="74">
        <v>3756.5</v>
      </c>
      <c r="Z29" s="74">
        <v>1606.9</v>
      </c>
      <c r="AA29" s="74">
        <v>1585.1</v>
      </c>
      <c r="AB29" s="74">
        <v>328.4</v>
      </c>
      <c r="AC29" s="74">
        <v>526.9</v>
      </c>
      <c r="AD29" s="74">
        <v>457.9</v>
      </c>
      <c r="AE29" s="74">
        <v>1168.8</v>
      </c>
      <c r="AF29" s="74">
        <v>2156.9</v>
      </c>
      <c r="AG29" s="74">
        <v>1969.4</v>
      </c>
      <c r="AH29" s="74">
        <v>2693.9</v>
      </c>
      <c r="AI29" s="74">
        <v>3247.3</v>
      </c>
      <c r="AJ29" s="74">
        <v>2701.1</v>
      </c>
      <c r="AK29" s="74">
        <v>1872.6</v>
      </c>
      <c r="AL29" s="74">
        <v>0</v>
      </c>
      <c r="AM29" s="74">
        <v>18045.400000000001</v>
      </c>
      <c r="AN29" s="74">
        <v>162.69999999999999</v>
      </c>
      <c r="AO29" s="74">
        <v>3222.6</v>
      </c>
      <c r="AP29" s="74">
        <v>122.7</v>
      </c>
      <c r="AQ29" s="74">
        <v>4.0999999999999996</v>
      </c>
      <c r="AR29" s="74">
        <v>5</v>
      </c>
      <c r="AS29" s="74">
        <v>1.9</v>
      </c>
      <c r="AT29" s="64">
        <v>139.5</v>
      </c>
      <c r="AU29" s="64">
        <v>-471.7</v>
      </c>
      <c r="AV29" s="69">
        <f t="shared" si="0"/>
        <v>18208.100000000002</v>
      </c>
    </row>
    <row r="30" spans="1:48" ht="13.5" x14ac:dyDescent="0.25">
      <c r="A30" s="63" t="s">
        <v>111</v>
      </c>
      <c r="B30" s="62" t="s">
        <v>7</v>
      </c>
      <c r="C30" s="75">
        <v>26.5</v>
      </c>
      <c r="D30" s="75">
        <v>1.8</v>
      </c>
      <c r="E30" s="75">
        <v>6</v>
      </c>
      <c r="F30" s="75">
        <v>0</v>
      </c>
      <c r="G30" s="75">
        <v>28.2</v>
      </c>
      <c r="H30" s="75">
        <v>21.3</v>
      </c>
      <c r="I30" s="75">
        <v>6.6</v>
      </c>
      <c r="J30" s="75">
        <v>16.600000000000001</v>
      </c>
      <c r="K30" s="75">
        <v>46.4</v>
      </c>
      <c r="L30" s="75">
        <v>79.7</v>
      </c>
      <c r="M30" s="75">
        <v>31.2</v>
      </c>
      <c r="N30" s="75">
        <v>37.4</v>
      </c>
      <c r="O30" s="75">
        <v>94.5</v>
      </c>
      <c r="P30" s="75">
        <v>59.7</v>
      </c>
      <c r="Q30" s="75">
        <v>84.3</v>
      </c>
      <c r="R30" s="75">
        <v>35.700000000000003</v>
      </c>
      <c r="S30" s="75">
        <v>57.9</v>
      </c>
      <c r="T30" s="75">
        <v>43.1</v>
      </c>
      <c r="U30" s="75">
        <v>34.4</v>
      </c>
      <c r="V30" s="75">
        <v>21.3</v>
      </c>
      <c r="W30" s="75">
        <v>207.9</v>
      </c>
      <c r="X30" s="75">
        <v>2182.6999999999998</v>
      </c>
      <c r="Y30" s="75">
        <v>305</v>
      </c>
      <c r="Z30" s="75">
        <v>140.80000000000001</v>
      </c>
      <c r="AA30" s="75">
        <v>59.6</v>
      </c>
      <c r="AB30" s="75">
        <v>20.6</v>
      </c>
      <c r="AC30" s="75">
        <v>61.2</v>
      </c>
      <c r="AD30" s="75">
        <v>37.1</v>
      </c>
      <c r="AE30" s="75">
        <v>127.9</v>
      </c>
      <c r="AF30" s="75">
        <v>867.3</v>
      </c>
      <c r="AG30" s="75">
        <v>211.9</v>
      </c>
      <c r="AH30" s="75">
        <v>318.89999999999998</v>
      </c>
      <c r="AI30" s="75">
        <v>164.8</v>
      </c>
      <c r="AJ30" s="75">
        <v>124</v>
      </c>
      <c r="AK30" s="75">
        <v>108</v>
      </c>
      <c r="AL30" s="75">
        <v>0</v>
      </c>
      <c r="AM30" s="75">
        <v>342.3</v>
      </c>
      <c r="AN30" s="75">
        <v>0.9</v>
      </c>
      <c r="AO30" s="75">
        <v>233.4</v>
      </c>
      <c r="AP30" s="75">
        <v>176327.4</v>
      </c>
      <c r="AQ30" s="75">
        <v>0.6</v>
      </c>
      <c r="AR30" s="75">
        <v>11.9</v>
      </c>
      <c r="AS30" s="75">
        <v>7.7</v>
      </c>
      <c r="AT30" s="65">
        <v>102.4</v>
      </c>
      <c r="AU30" s="65">
        <v>-266.60000000000002</v>
      </c>
      <c r="AV30" s="69">
        <f t="shared" si="0"/>
        <v>343.2</v>
      </c>
    </row>
    <row r="31" spans="1:48" ht="21" x14ac:dyDescent="0.25">
      <c r="A31" s="63" t="s">
        <v>112</v>
      </c>
      <c r="B31" s="62" t="s">
        <v>7</v>
      </c>
      <c r="C31" s="74">
        <v>3229.9</v>
      </c>
      <c r="D31" s="74">
        <v>38.700000000000003</v>
      </c>
      <c r="E31" s="74">
        <v>72.7</v>
      </c>
      <c r="F31" s="74">
        <v>0.3</v>
      </c>
      <c r="G31" s="74">
        <v>14779.7</v>
      </c>
      <c r="H31" s="74">
        <v>7528.5</v>
      </c>
      <c r="I31" s="74">
        <v>584.6</v>
      </c>
      <c r="J31" s="74">
        <v>1940.2</v>
      </c>
      <c r="K31" s="74">
        <v>3523.5</v>
      </c>
      <c r="L31" s="74">
        <v>10675.5</v>
      </c>
      <c r="M31" s="74">
        <v>4844</v>
      </c>
      <c r="N31" s="74">
        <v>1726.9</v>
      </c>
      <c r="O31" s="74">
        <v>4907.8999999999996</v>
      </c>
      <c r="P31" s="74">
        <v>3677.1</v>
      </c>
      <c r="Q31" s="74">
        <v>16028</v>
      </c>
      <c r="R31" s="74">
        <v>4448.1000000000004</v>
      </c>
      <c r="S31" s="74">
        <v>5423.1</v>
      </c>
      <c r="T31" s="74">
        <v>6904.3</v>
      </c>
      <c r="U31" s="74">
        <v>4892.5</v>
      </c>
      <c r="V31" s="74">
        <v>1473</v>
      </c>
      <c r="W31" s="74">
        <v>2955.7</v>
      </c>
      <c r="X31" s="74">
        <v>8179.6</v>
      </c>
      <c r="Y31" s="74">
        <v>17212</v>
      </c>
      <c r="Z31" s="74">
        <v>3558.9</v>
      </c>
      <c r="AA31" s="74">
        <v>8987</v>
      </c>
      <c r="AB31" s="74">
        <v>1343.4</v>
      </c>
      <c r="AC31" s="74">
        <v>1287</v>
      </c>
      <c r="AD31" s="74">
        <v>1920.6</v>
      </c>
      <c r="AE31" s="74">
        <v>1704.4</v>
      </c>
      <c r="AF31" s="74">
        <v>780.2</v>
      </c>
      <c r="AG31" s="74">
        <v>4489.8</v>
      </c>
      <c r="AH31" s="74">
        <v>2546.1</v>
      </c>
      <c r="AI31" s="74">
        <v>1784.9</v>
      </c>
      <c r="AJ31" s="74">
        <v>5311.9</v>
      </c>
      <c r="AK31" s="74">
        <v>2798.2</v>
      </c>
      <c r="AL31" s="74">
        <v>0</v>
      </c>
      <c r="AM31" s="74">
        <v>35777.9</v>
      </c>
      <c r="AN31" s="74">
        <v>101</v>
      </c>
      <c r="AO31" s="74">
        <v>3636.6</v>
      </c>
      <c r="AP31" s="74">
        <v>15149</v>
      </c>
      <c r="AQ31" s="74">
        <v>-358.3</v>
      </c>
      <c r="AR31" s="74">
        <v>838.8</v>
      </c>
      <c r="AS31" s="74">
        <v>485.9</v>
      </c>
      <c r="AT31" s="64">
        <v>31634.799999999999</v>
      </c>
      <c r="AU31" s="64">
        <v>-42092.7</v>
      </c>
      <c r="AV31" s="69">
        <f t="shared" si="0"/>
        <v>35878.9</v>
      </c>
    </row>
    <row r="32" spans="1:48" ht="21" x14ac:dyDescent="0.25">
      <c r="A32" s="63" t="s">
        <v>113</v>
      </c>
      <c r="B32" s="62" t="s">
        <v>7</v>
      </c>
      <c r="C32" s="75">
        <v>458.7</v>
      </c>
      <c r="D32" s="75">
        <v>49.9</v>
      </c>
      <c r="E32" s="75">
        <v>125.8</v>
      </c>
      <c r="F32" s="75">
        <v>0.3</v>
      </c>
      <c r="G32" s="75">
        <v>1483.2</v>
      </c>
      <c r="H32" s="75">
        <v>1090.5</v>
      </c>
      <c r="I32" s="75">
        <v>277.60000000000002</v>
      </c>
      <c r="J32" s="75">
        <v>795.3</v>
      </c>
      <c r="K32" s="75">
        <v>2056</v>
      </c>
      <c r="L32" s="75">
        <v>3208.4</v>
      </c>
      <c r="M32" s="75">
        <v>1163.5999999999999</v>
      </c>
      <c r="N32" s="75">
        <v>1516</v>
      </c>
      <c r="O32" s="75">
        <v>3318.2</v>
      </c>
      <c r="P32" s="75">
        <v>1254.9000000000001</v>
      </c>
      <c r="Q32" s="75">
        <v>3457.2</v>
      </c>
      <c r="R32" s="75">
        <v>972.7</v>
      </c>
      <c r="S32" s="75">
        <v>1545.2</v>
      </c>
      <c r="T32" s="75">
        <v>1679.8</v>
      </c>
      <c r="U32" s="75">
        <v>1207.2</v>
      </c>
      <c r="V32" s="75">
        <v>479.4</v>
      </c>
      <c r="W32" s="75">
        <v>1400.3</v>
      </c>
      <c r="X32" s="75">
        <v>2583.3000000000002</v>
      </c>
      <c r="Y32" s="75">
        <v>10323.799999999999</v>
      </c>
      <c r="Z32" s="75">
        <v>22495</v>
      </c>
      <c r="AA32" s="75">
        <v>555.9</v>
      </c>
      <c r="AB32" s="75">
        <v>464.5</v>
      </c>
      <c r="AC32" s="75">
        <v>506.4</v>
      </c>
      <c r="AD32" s="75">
        <v>770</v>
      </c>
      <c r="AE32" s="75">
        <v>1806</v>
      </c>
      <c r="AF32" s="75">
        <v>242.3</v>
      </c>
      <c r="AG32" s="75">
        <v>3590.3</v>
      </c>
      <c r="AH32" s="75">
        <v>1975.2</v>
      </c>
      <c r="AI32" s="75">
        <v>1301.5</v>
      </c>
      <c r="AJ32" s="75">
        <v>893.7</v>
      </c>
      <c r="AK32" s="75">
        <v>1216.2</v>
      </c>
      <c r="AL32" s="75">
        <v>0</v>
      </c>
      <c r="AM32" s="75">
        <v>31589.7</v>
      </c>
      <c r="AN32" s="75">
        <v>8.1</v>
      </c>
      <c r="AO32" s="75">
        <v>5048.1000000000004</v>
      </c>
      <c r="AP32" s="75">
        <v>2092.9</v>
      </c>
      <c r="AQ32" s="75">
        <v>290.89999999999998</v>
      </c>
      <c r="AR32" s="75">
        <v>2138.5</v>
      </c>
      <c r="AS32" s="75">
        <v>1458.6</v>
      </c>
      <c r="AT32" s="65">
        <v>36356.5</v>
      </c>
      <c r="AU32" s="65">
        <v>-33781.5</v>
      </c>
      <c r="AV32" s="69">
        <f t="shared" si="0"/>
        <v>31597.8</v>
      </c>
    </row>
    <row r="33" spans="1:48" ht="21" x14ac:dyDescent="0.25">
      <c r="A33" s="63" t="s">
        <v>114</v>
      </c>
      <c r="B33" s="62" t="s">
        <v>7</v>
      </c>
      <c r="C33" s="74">
        <v>43.1</v>
      </c>
      <c r="D33" s="74">
        <v>2.4</v>
      </c>
      <c r="E33" s="74">
        <v>3.9</v>
      </c>
      <c r="F33" s="74">
        <v>0.1</v>
      </c>
      <c r="G33" s="74">
        <v>101.7</v>
      </c>
      <c r="H33" s="74">
        <v>83.9</v>
      </c>
      <c r="I33" s="74">
        <v>23.1</v>
      </c>
      <c r="J33" s="74">
        <v>56.8</v>
      </c>
      <c r="K33" s="74">
        <v>35.200000000000003</v>
      </c>
      <c r="L33" s="74">
        <v>201.4</v>
      </c>
      <c r="M33" s="74">
        <v>110</v>
      </c>
      <c r="N33" s="74">
        <v>82.3</v>
      </c>
      <c r="O33" s="74">
        <v>163.80000000000001</v>
      </c>
      <c r="P33" s="74">
        <v>175.5</v>
      </c>
      <c r="Q33" s="74">
        <v>166</v>
      </c>
      <c r="R33" s="74">
        <v>83.8</v>
      </c>
      <c r="S33" s="74">
        <v>188</v>
      </c>
      <c r="T33" s="74">
        <v>144.30000000000001</v>
      </c>
      <c r="U33" s="74">
        <v>252.7</v>
      </c>
      <c r="V33" s="74">
        <v>62.5</v>
      </c>
      <c r="W33" s="74">
        <v>311.3</v>
      </c>
      <c r="X33" s="74">
        <v>468.5</v>
      </c>
      <c r="Y33" s="74">
        <v>1306.0999999999999</v>
      </c>
      <c r="Z33" s="74">
        <v>914.9</v>
      </c>
      <c r="AA33" s="74">
        <v>420.8</v>
      </c>
      <c r="AB33" s="74">
        <v>159.4</v>
      </c>
      <c r="AC33" s="74">
        <v>75.7</v>
      </c>
      <c r="AD33" s="74">
        <v>398.5</v>
      </c>
      <c r="AE33" s="74">
        <v>771</v>
      </c>
      <c r="AF33" s="74">
        <v>288.39999999999998</v>
      </c>
      <c r="AG33" s="74">
        <v>2025.3</v>
      </c>
      <c r="AH33" s="74">
        <v>803.9</v>
      </c>
      <c r="AI33" s="74">
        <v>921.5</v>
      </c>
      <c r="AJ33" s="74">
        <v>1882.7</v>
      </c>
      <c r="AK33" s="74">
        <v>867.4</v>
      </c>
      <c r="AL33" s="74">
        <v>0</v>
      </c>
      <c r="AM33" s="74">
        <v>65160</v>
      </c>
      <c r="AN33" s="74">
        <v>113.6</v>
      </c>
      <c r="AO33" s="74">
        <v>1474.2</v>
      </c>
      <c r="AP33" s="74">
        <v>152.80000000000001</v>
      </c>
      <c r="AQ33" s="74">
        <v>0</v>
      </c>
      <c r="AR33" s="74">
        <v>6359.5</v>
      </c>
      <c r="AS33" s="74">
        <v>4457.3999999999996</v>
      </c>
      <c r="AT33" s="64">
        <v>13.4</v>
      </c>
      <c r="AU33" s="64">
        <v>-6420.1</v>
      </c>
      <c r="AV33" s="69">
        <f t="shared" si="0"/>
        <v>65273.599999999999</v>
      </c>
    </row>
    <row r="34" spans="1:48" ht="21" x14ac:dyDescent="0.25">
      <c r="A34" s="63" t="s">
        <v>115</v>
      </c>
      <c r="B34" s="62" t="s">
        <v>7</v>
      </c>
      <c r="C34" s="75">
        <v>10.9</v>
      </c>
      <c r="D34" s="75">
        <v>0.5</v>
      </c>
      <c r="E34" s="75">
        <v>0.9</v>
      </c>
      <c r="F34" s="75">
        <v>0</v>
      </c>
      <c r="G34" s="75">
        <v>97</v>
      </c>
      <c r="H34" s="75">
        <v>26.1</v>
      </c>
      <c r="I34" s="75">
        <v>7.5</v>
      </c>
      <c r="J34" s="75">
        <v>105.3</v>
      </c>
      <c r="K34" s="75">
        <v>44.9</v>
      </c>
      <c r="L34" s="75">
        <v>156.1</v>
      </c>
      <c r="M34" s="75">
        <v>44.8</v>
      </c>
      <c r="N34" s="75">
        <v>32.200000000000003</v>
      </c>
      <c r="O34" s="75">
        <v>26.2</v>
      </c>
      <c r="P34" s="75">
        <v>52.6</v>
      </c>
      <c r="Q34" s="75">
        <v>195.3</v>
      </c>
      <c r="R34" s="75">
        <v>45.6</v>
      </c>
      <c r="S34" s="75">
        <v>75</v>
      </c>
      <c r="T34" s="75">
        <v>62.6</v>
      </c>
      <c r="U34" s="75">
        <v>57</v>
      </c>
      <c r="V34" s="75">
        <v>30.5</v>
      </c>
      <c r="W34" s="75">
        <v>98.9</v>
      </c>
      <c r="X34" s="75">
        <v>132.4</v>
      </c>
      <c r="Y34" s="75">
        <v>836.7</v>
      </c>
      <c r="Z34" s="75">
        <v>151.5</v>
      </c>
      <c r="AA34" s="75">
        <v>103.6</v>
      </c>
      <c r="AB34" s="75">
        <v>3547.3</v>
      </c>
      <c r="AC34" s="75">
        <v>520.20000000000005</v>
      </c>
      <c r="AD34" s="75">
        <v>450.6</v>
      </c>
      <c r="AE34" s="75">
        <v>398.7</v>
      </c>
      <c r="AF34" s="75">
        <v>57.5</v>
      </c>
      <c r="AG34" s="75">
        <v>1888.3</v>
      </c>
      <c r="AH34" s="75">
        <v>307.89999999999998</v>
      </c>
      <c r="AI34" s="75">
        <v>589.79999999999995</v>
      </c>
      <c r="AJ34" s="75">
        <v>173.3</v>
      </c>
      <c r="AK34" s="75">
        <v>855.4</v>
      </c>
      <c r="AL34" s="75">
        <v>0</v>
      </c>
      <c r="AM34" s="75">
        <v>5523.5</v>
      </c>
      <c r="AN34" s="75">
        <v>224.2</v>
      </c>
      <c r="AO34" s="75">
        <v>1599.9</v>
      </c>
      <c r="AP34" s="75">
        <v>5431.2</v>
      </c>
      <c r="AQ34" s="75">
        <v>8.6</v>
      </c>
      <c r="AR34" s="75">
        <v>114.1</v>
      </c>
      <c r="AS34" s="75">
        <v>56.5</v>
      </c>
      <c r="AT34" s="65">
        <v>636.70000000000005</v>
      </c>
      <c r="AU34" s="65">
        <v>-1379.8</v>
      </c>
      <c r="AV34" s="69">
        <f t="shared" si="0"/>
        <v>5747.7</v>
      </c>
    </row>
    <row r="35" spans="1:48" ht="13.5" x14ac:dyDescent="0.25">
      <c r="A35" s="63" t="s">
        <v>116</v>
      </c>
      <c r="B35" s="62" t="s">
        <v>7</v>
      </c>
      <c r="C35" s="74">
        <v>84.8</v>
      </c>
      <c r="D35" s="74">
        <v>1.8</v>
      </c>
      <c r="E35" s="74">
        <v>10.6</v>
      </c>
      <c r="F35" s="74">
        <v>0.1</v>
      </c>
      <c r="G35" s="74">
        <v>137.80000000000001</v>
      </c>
      <c r="H35" s="74">
        <v>169.7</v>
      </c>
      <c r="I35" s="74">
        <v>29.6</v>
      </c>
      <c r="J35" s="74">
        <v>87.1</v>
      </c>
      <c r="K35" s="74">
        <v>136.5</v>
      </c>
      <c r="L35" s="74">
        <v>325.89999999999998</v>
      </c>
      <c r="M35" s="74">
        <v>176.9</v>
      </c>
      <c r="N35" s="74">
        <v>135</v>
      </c>
      <c r="O35" s="74">
        <v>184.2</v>
      </c>
      <c r="P35" s="74">
        <v>280.89999999999998</v>
      </c>
      <c r="Q35" s="74">
        <v>645.5</v>
      </c>
      <c r="R35" s="74">
        <v>173.1</v>
      </c>
      <c r="S35" s="74">
        <v>373.5</v>
      </c>
      <c r="T35" s="74">
        <v>256.5</v>
      </c>
      <c r="U35" s="74">
        <v>220.8</v>
      </c>
      <c r="V35" s="74">
        <v>103.1</v>
      </c>
      <c r="W35" s="74">
        <v>438.5</v>
      </c>
      <c r="X35" s="74">
        <v>542.70000000000005</v>
      </c>
      <c r="Y35" s="74">
        <v>2128.6999999999998</v>
      </c>
      <c r="Z35" s="74">
        <v>810.8</v>
      </c>
      <c r="AA35" s="74">
        <v>310.8</v>
      </c>
      <c r="AB35" s="74">
        <v>823</v>
      </c>
      <c r="AC35" s="74">
        <v>8625</v>
      </c>
      <c r="AD35" s="74">
        <v>1388.4</v>
      </c>
      <c r="AE35" s="74">
        <v>2409.8000000000002</v>
      </c>
      <c r="AF35" s="74">
        <v>288.2</v>
      </c>
      <c r="AG35" s="74">
        <v>2271.3000000000002</v>
      </c>
      <c r="AH35" s="74">
        <v>1443.2</v>
      </c>
      <c r="AI35" s="74">
        <v>701</v>
      </c>
      <c r="AJ35" s="74">
        <v>827.7</v>
      </c>
      <c r="AK35" s="74">
        <v>906.8</v>
      </c>
      <c r="AL35" s="74">
        <v>0</v>
      </c>
      <c r="AM35" s="74">
        <v>11046.7</v>
      </c>
      <c r="AN35" s="74">
        <v>0.9</v>
      </c>
      <c r="AO35" s="74">
        <v>242.7</v>
      </c>
      <c r="AP35" s="74">
        <v>216.5</v>
      </c>
      <c r="AQ35" s="74">
        <v>2.2999999999999998</v>
      </c>
      <c r="AR35" s="74">
        <v>392</v>
      </c>
      <c r="AS35" s="74">
        <v>269.5</v>
      </c>
      <c r="AT35" s="64">
        <v>610.20000000000005</v>
      </c>
      <c r="AU35" s="64">
        <v>-1659.6</v>
      </c>
      <c r="AV35" s="69">
        <f t="shared" si="0"/>
        <v>11047.6</v>
      </c>
    </row>
    <row r="36" spans="1:48" ht="21" x14ac:dyDescent="0.25">
      <c r="A36" s="63" t="s">
        <v>117</v>
      </c>
      <c r="B36" s="62" t="s">
        <v>7</v>
      </c>
      <c r="C36" s="75">
        <v>18</v>
      </c>
      <c r="D36" s="75">
        <v>6.8</v>
      </c>
      <c r="E36" s="75">
        <v>4</v>
      </c>
      <c r="F36" s="75">
        <v>0</v>
      </c>
      <c r="G36" s="75">
        <v>139.69999999999999</v>
      </c>
      <c r="H36" s="75">
        <v>96.6</v>
      </c>
      <c r="I36" s="75">
        <v>18.3</v>
      </c>
      <c r="J36" s="75">
        <v>92.5</v>
      </c>
      <c r="K36" s="75">
        <v>132.4</v>
      </c>
      <c r="L36" s="75">
        <v>397.6</v>
      </c>
      <c r="M36" s="75">
        <v>126.2</v>
      </c>
      <c r="N36" s="75">
        <v>93.5</v>
      </c>
      <c r="O36" s="75">
        <v>205.3</v>
      </c>
      <c r="P36" s="75">
        <v>187.6</v>
      </c>
      <c r="Q36" s="75">
        <v>890.3</v>
      </c>
      <c r="R36" s="75">
        <v>198.8</v>
      </c>
      <c r="S36" s="75">
        <v>280.60000000000002</v>
      </c>
      <c r="T36" s="75">
        <v>260.60000000000002</v>
      </c>
      <c r="U36" s="75">
        <v>82.8</v>
      </c>
      <c r="V36" s="75">
        <v>81.7</v>
      </c>
      <c r="W36" s="75">
        <v>397.8</v>
      </c>
      <c r="X36" s="75">
        <v>415.3</v>
      </c>
      <c r="Y36" s="75">
        <v>1440.1</v>
      </c>
      <c r="Z36" s="75">
        <v>633.6</v>
      </c>
      <c r="AA36" s="75">
        <v>186.4</v>
      </c>
      <c r="AB36" s="75">
        <v>418.6</v>
      </c>
      <c r="AC36" s="75">
        <v>776.3</v>
      </c>
      <c r="AD36" s="75">
        <v>4196</v>
      </c>
      <c r="AE36" s="75">
        <v>2628</v>
      </c>
      <c r="AF36" s="75">
        <v>183.9</v>
      </c>
      <c r="AG36" s="75">
        <v>2228</v>
      </c>
      <c r="AH36" s="75">
        <v>1078.8</v>
      </c>
      <c r="AI36" s="75">
        <v>535.29999999999995</v>
      </c>
      <c r="AJ36" s="75">
        <v>560.4</v>
      </c>
      <c r="AK36" s="75">
        <v>625.6</v>
      </c>
      <c r="AL36" s="75">
        <v>0</v>
      </c>
      <c r="AM36" s="75">
        <v>3472.5</v>
      </c>
      <c r="AN36" s="75">
        <v>2.1</v>
      </c>
      <c r="AO36" s="75">
        <v>131.6</v>
      </c>
      <c r="AP36" s="75">
        <v>26237.200000000001</v>
      </c>
      <c r="AQ36" s="75">
        <v>1.6</v>
      </c>
      <c r="AR36" s="75">
        <v>19.8</v>
      </c>
      <c r="AS36" s="75">
        <v>7.6</v>
      </c>
      <c r="AT36" s="65">
        <v>2518.1999999999998</v>
      </c>
      <c r="AU36" s="65">
        <v>-4840</v>
      </c>
      <c r="AV36" s="69">
        <f t="shared" si="0"/>
        <v>3474.6</v>
      </c>
    </row>
    <row r="37" spans="1:48" ht="21" x14ac:dyDescent="0.25">
      <c r="A37" s="63" t="s">
        <v>118</v>
      </c>
      <c r="B37" s="62" t="s">
        <v>7</v>
      </c>
      <c r="C37" s="74">
        <v>691.4</v>
      </c>
      <c r="D37" s="74">
        <v>27.9</v>
      </c>
      <c r="E37" s="74">
        <v>55.8</v>
      </c>
      <c r="F37" s="74">
        <v>0.2</v>
      </c>
      <c r="G37" s="74">
        <v>739.7</v>
      </c>
      <c r="H37" s="74">
        <v>761.6</v>
      </c>
      <c r="I37" s="74">
        <v>176.4</v>
      </c>
      <c r="J37" s="74">
        <v>489.8</v>
      </c>
      <c r="K37" s="74">
        <v>890.3</v>
      </c>
      <c r="L37" s="74">
        <v>2006</v>
      </c>
      <c r="M37" s="74">
        <v>903.4</v>
      </c>
      <c r="N37" s="74">
        <v>689.1</v>
      </c>
      <c r="O37" s="74">
        <v>2770.9</v>
      </c>
      <c r="P37" s="74">
        <v>1265.2</v>
      </c>
      <c r="Q37" s="74">
        <v>2128.4</v>
      </c>
      <c r="R37" s="74">
        <v>808.9</v>
      </c>
      <c r="S37" s="74">
        <v>1431.4</v>
      </c>
      <c r="T37" s="74">
        <v>1295</v>
      </c>
      <c r="U37" s="74">
        <v>1226</v>
      </c>
      <c r="V37" s="74">
        <v>439.4</v>
      </c>
      <c r="W37" s="74">
        <v>2024.9</v>
      </c>
      <c r="X37" s="74">
        <v>3450</v>
      </c>
      <c r="Y37" s="74">
        <v>6656</v>
      </c>
      <c r="Z37" s="74">
        <v>3418.5</v>
      </c>
      <c r="AA37" s="74">
        <v>962.4</v>
      </c>
      <c r="AB37" s="74">
        <v>506.8</v>
      </c>
      <c r="AC37" s="74">
        <v>716.1</v>
      </c>
      <c r="AD37" s="74">
        <v>1178.3</v>
      </c>
      <c r="AE37" s="74">
        <v>28913.200000000001</v>
      </c>
      <c r="AF37" s="74">
        <v>11148.2</v>
      </c>
      <c r="AG37" s="74">
        <v>4739.2</v>
      </c>
      <c r="AH37" s="74">
        <v>2580.8000000000002</v>
      </c>
      <c r="AI37" s="74">
        <v>1556.9</v>
      </c>
      <c r="AJ37" s="74">
        <v>1884.9</v>
      </c>
      <c r="AK37" s="74">
        <v>1784.8</v>
      </c>
      <c r="AL37" s="74">
        <v>0</v>
      </c>
      <c r="AM37" s="74">
        <v>42663.9</v>
      </c>
      <c r="AN37" s="74">
        <v>48.4</v>
      </c>
      <c r="AO37" s="74">
        <v>551.6</v>
      </c>
      <c r="AP37" s="74">
        <v>610.5</v>
      </c>
      <c r="AQ37" s="74">
        <v>33.299999999999997</v>
      </c>
      <c r="AR37" s="74">
        <v>339.5</v>
      </c>
      <c r="AS37" s="74">
        <v>259</v>
      </c>
      <c r="AT37" s="64">
        <v>3576.9</v>
      </c>
      <c r="AU37" s="64">
        <v>-7482.8</v>
      </c>
      <c r="AV37" s="69">
        <f t="shared" si="0"/>
        <v>42712.3</v>
      </c>
    </row>
    <row r="38" spans="1:48" ht="13.5" x14ac:dyDescent="0.25">
      <c r="A38" s="63" t="s">
        <v>119</v>
      </c>
      <c r="B38" s="62" t="s">
        <v>7</v>
      </c>
      <c r="C38" s="75">
        <v>40.799999999999997</v>
      </c>
      <c r="D38" s="75">
        <v>1.1000000000000001</v>
      </c>
      <c r="E38" s="75">
        <v>3.2</v>
      </c>
      <c r="F38" s="75">
        <v>0</v>
      </c>
      <c r="G38" s="75">
        <v>126.1</v>
      </c>
      <c r="H38" s="75">
        <v>150.1</v>
      </c>
      <c r="I38" s="75">
        <v>23.4</v>
      </c>
      <c r="J38" s="75">
        <v>79.900000000000006</v>
      </c>
      <c r="K38" s="75">
        <v>85</v>
      </c>
      <c r="L38" s="75">
        <v>197</v>
      </c>
      <c r="M38" s="75">
        <v>168.1</v>
      </c>
      <c r="N38" s="75">
        <v>86.7</v>
      </c>
      <c r="O38" s="75">
        <v>108.6</v>
      </c>
      <c r="P38" s="75">
        <v>258.8</v>
      </c>
      <c r="Q38" s="75">
        <v>323.7</v>
      </c>
      <c r="R38" s="75">
        <v>129.30000000000001</v>
      </c>
      <c r="S38" s="75">
        <v>212.1</v>
      </c>
      <c r="T38" s="75">
        <v>289</v>
      </c>
      <c r="U38" s="75">
        <v>152.30000000000001</v>
      </c>
      <c r="V38" s="75">
        <v>100.6</v>
      </c>
      <c r="W38" s="75">
        <v>263</v>
      </c>
      <c r="X38" s="75">
        <v>741.7</v>
      </c>
      <c r="Y38" s="75">
        <v>4316</v>
      </c>
      <c r="Z38" s="75">
        <v>696.8</v>
      </c>
      <c r="AA38" s="75">
        <v>1136</v>
      </c>
      <c r="AB38" s="75">
        <v>196.8</v>
      </c>
      <c r="AC38" s="75">
        <v>363.5</v>
      </c>
      <c r="AD38" s="75">
        <v>456.1</v>
      </c>
      <c r="AE38" s="75">
        <v>1105.3</v>
      </c>
      <c r="AF38" s="75">
        <v>914.8</v>
      </c>
      <c r="AG38" s="75">
        <v>1628.8</v>
      </c>
      <c r="AH38" s="75">
        <v>787.1</v>
      </c>
      <c r="AI38" s="75">
        <v>1012.1</v>
      </c>
      <c r="AJ38" s="75">
        <v>903.2</v>
      </c>
      <c r="AK38" s="75">
        <v>900.8</v>
      </c>
      <c r="AL38" s="75">
        <v>0</v>
      </c>
      <c r="AM38" s="75">
        <v>88698.3</v>
      </c>
      <c r="AN38" s="75">
        <v>46.3</v>
      </c>
      <c r="AO38" s="75">
        <v>674.7</v>
      </c>
      <c r="AP38" s="75">
        <v>14599.5</v>
      </c>
      <c r="AQ38" s="75">
        <v>1</v>
      </c>
      <c r="AR38" s="75">
        <v>887.9</v>
      </c>
      <c r="AS38" s="75">
        <v>536.20000000000005</v>
      </c>
      <c r="AT38" s="65">
        <v>418.6</v>
      </c>
      <c r="AU38" s="65">
        <v>-1867.3</v>
      </c>
      <c r="AV38" s="69">
        <f t="shared" si="0"/>
        <v>88744.6</v>
      </c>
    </row>
    <row r="39" spans="1:48" ht="21" x14ac:dyDescent="0.25">
      <c r="A39" s="63" t="s">
        <v>120</v>
      </c>
      <c r="B39" s="62" t="s">
        <v>7</v>
      </c>
      <c r="C39" s="74">
        <v>423.2</v>
      </c>
      <c r="D39" s="74">
        <v>48.4</v>
      </c>
      <c r="E39" s="74">
        <v>70</v>
      </c>
      <c r="F39" s="74">
        <v>0.5</v>
      </c>
      <c r="G39" s="74">
        <v>1874.9</v>
      </c>
      <c r="H39" s="74">
        <v>984.7</v>
      </c>
      <c r="I39" s="74">
        <v>240.4</v>
      </c>
      <c r="J39" s="74">
        <v>791.2</v>
      </c>
      <c r="K39" s="74">
        <v>1473.5</v>
      </c>
      <c r="L39" s="74">
        <v>4283.3999999999996</v>
      </c>
      <c r="M39" s="74">
        <v>1592.6</v>
      </c>
      <c r="N39" s="74">
        <v>1183.8</v>
      </c>
      <c r="O39" s="74">
        <v>1875.1</v>
      </c>
      <c r="P39" s="74">
        <v>2019.6</v>
      </c>
      <c r="Q39" s="74">
        <v>7432.6</v>
      </c>
      <c r="R39" s="74">
        <v>1985.8</v>
      </c>
      <c r="S39" s="74">
        <v>2762.6</v>
      </c>
      <c r="T39" s="74">
        <v>2877</v>
      </c>
      <c r="U39" s="74">
        <v>2126.1</v>
      </c>
      <c r="V39" s="74">
        <v>872.8</v>
      </c>
      <c r="W39" s="74">
        <v>3095.8</v>
      </c>
      <c r="X39" s="74">
        <v>8394</v>
      </c>
      <c r="Y39" s="74">
        <v>14142.9</v>
      </c>
      <c r="Z39" s="74">
        <v>6480</v>
      </c>
      <c r="AA39" s="74">
        <v>2450.8000000000002</v>
      </c>
      <c r="AB39" s="74">
        <v>1775.8</v>
      </c>
      <c r="AC39" s="74">
        <v>2193.6</v>
      </c>
      <c r="AD39" s="74">
        <v>3950.8</v>
      </c>
      <c r="AE39" s="74">
        <v>7987.6</v>
      </c>
      <c r="AF39" s="74">
        <v>2330.5</v>
      </c>
      <c r="AG39" s="74">
        <v>20294.7</v>
      </c>
      <c r="AH39" s="74">
        <v>4773.3</v>
      </c>
      <c r="AI39" s="74">
        <v>3415.5</v>
      </c>
      <c r="AJ39" s="74">
        <v>3637.4</v>
      </c>
      <c r="AK39" s="74">
        <v>4124.6000000000004</v>
      </c>
      <c r="AL39" s="74">
        <v>0</v>
      </c>
      <c r="AM39" s="74">
        <v>14079.7</v>
      </c>
      <c r="AN39" s="74">
        <v>333.8</v>
      </c>
      <c r="AO39" s="74">
        <v>7190.6</v>
      </c>
      <c r="AP39" s="74">
        <v>40231.599999999999</v>
      </c>
      <c r="AQ39" s="74">
        <v>93</v>
      </c>
      <c r="AR39" s="74">
        <v>472.6</v>
      </c>
      <c r="AS39" s="74">
        <v>244.7</v>
      </c>
      <c r="AT39" s="64">
        <v>16343.9</v>
      </c>
      <c r="AU39" s="64">
        <v>-37369.300000000003</v>
      </c>
      <c r="AV39" s="69">
        <f t="shared" si="0"/>
        <v>14413.5</v>
      </c>
    </row>
    <row r="40" spans="1:48" ht="21" x14ac:dyDescent="0.25">
      <c r="A40" s="63" t="s">
        <v>121</v>
      </c>
      <c r="B40" s="62" t="s">
        <v>7</v>
      </c>
      <c r="C40" s="75">
        <v>35.4</v>
      </c>
      <c r="D40" s="75">
        <v>2.6</v>
      </c>
      <c r="E40" s="75">
        <v>3.6</v>
      </c>
      <c r="F40" s="75">
        <v>0</v>
      </c>
      <c r="G40" s="75">
        <v>97</v>
      </c>
      <c r="H40" s="75">
        <v>73.7</v>
      </c>
      <c r="I40" s="75">
        <v>13.7</v>
      </c>
      <c r="J40" s="75">
        <v>51.1</v>
      </c>
      <c r="K40" s="75">
        <v>79.3</v>
      </c>
      <c r="L40" s="75">
        <v>176.7</v>
      </c>
      <c r="M40" s="75">
        <v>85.2</v>
      </c>
      <c r="N40" s="75">
        <v>55.5</v>
      </c>
      <c r="O40" s="75">
        <v>255.2</v>
      </c>
      <c r="P40" s="75">
        <v>110.3</v>
      </c>
      <c r="Q40" s="75">
        <v>180.5</v>
      </c>
      <c r="R40" s="75">
        <v>65</v>
      </c>
      <c r="S40" s="75">
        <v>106</v>
      </c>
      <c r="T40" s="75">
        <v>101.7</v>
      </c>
      <c r="U40" s="75">
        <v>83</v>
      </c>
      <c r="V40" s="75">
        <v>36.299999999999997</v>
      </c>
      <c r="W40" s="75">
        <v>272.3</v>
      </c>
      <c r="X40" s="75">
        <v>256.39999999999998</v>
      </c>
      <c r="Y40" s="75">
        <v>767.5</v>
      </c>
      <c r="Z40" s="75">
        <v>483.2</v>
      </c>
      <c r="AA40" s="75">
        <v>166.5</v>
      </c>
      <c r="AB40" s="75">
        <v>110.5</v>
      </c>
      <c r="AC40" s="75">
        <v>91.7</v>
      </c>
      <c r="AD40" s="75">
        <v>115.3</v>
      </c>
      <c r="AE40" s="75">
        <v>297.3</v>
      </c>
      <c r="AF40" s="75">
        <v>201.6</v>
      </c>
      <c r="AG40" s="75">
        <v>515.20000000000005</v>
      </c>
      <c r="AH40" s="75">
        <v>578.20000000000005</v>
      </c>
      <c r="AI40" s="75">
        <v>369</v>
      </c>
      <c r="AJ40" s="75">
        <v>409.9</v>
      </c>
      <c r="AK40" s="75">
        <v>442.7</v>
      </c>
      <c r="AL40" s="75">
        <v>0</v>
      </c>
      <c r="AM40" s="75">
        <v>7866.1</v>
      </c>
      <c r="AN40" s="75">
        <v>1009.4</v>
      </c>
      <c r="AO40" s="75">
        <v>110306.2</v>
      </c>
      <c r="AP40" s="75">
        <v>1625.3</v>
      </c>
      <c r="AQ40" s="75">
        <v>-6.7</v>
      </c>
      <c r="AR40" s="75">
        <v>12.6</v>
      </c>
      <c r="AS40" s="75">
        <v>254.4</v>
      </c>
      <c r="AT40" s="65">
        <v>485.4</v>
      </c>
      <c r="AU40" s="65">
        <v>-255.5</v>
      </c>
      <c r="AV40" s="69">
        <f t="shared" si="0"/>
        <v>8875.5</v>
      </c>
    </row>
    <row r="41" spans="1:48" ht="13.5" x14ac:dyDescent="0.25">
      <c r="A41" s="63" t="s">
        <v>122</v>
      </c>
      <c r="B41" s="62" t="s">
        <v>7</v>
      </c>
      <c r="C41" s="74">
        <v>13.1</v>
      </c>
      <c r="D41" s="74">
        <v>4.4000000000000004</v>
      </c>
      <c r="E41" s="74">
        <v>2.2999999999999998</v>
      </c>
      <c r="F41" s="74">
        <v>0</v>
      </c>
      <c r="G41" s="74">
        <v>38.6</v>
      </c>
      <c r="H41" s="74">
        <v>34.5</v>
      </c>
      <c r="I41" s="74">
        <v>6.9</v>
      </c>
      <c r="J41" s="74">
        <v>26.4</v>
      </c>
      <c r="K41" s="74">
        <v>36.700000000000003</v>
      </c>
      <c r="L41" s="74">
        <v>94.2</v>
      </c>
      <c r="M41" s="74">
        <v>46.8</v>
      </c>
      <c r="N41" s="74">
        <v>32.6</v>
      </c>
      <c r="O41" s="74">
        <v>39.200000000000003</v>
      </c>
      <c r="P41" s="74">
        <v>64.599999999999994</v>
      </c>
      <c r="Q41" s="74">
        <v>184.4</v>
      </c>
      <c r="R41" s="74">
        <v>52.4</v>
      </c>
      <c r="S41" s="74">
        <v>79.5</v>
      </c>
      <c r="T41" s="74">
        <v>81.2</v>
      </c>
      <c r="U41" s="74">
        <v>37.6</v>
      </c>
      <c r="V41" s="74">
        <v>24.7</v>
      </c>
      <c r="W41" s="74">
        <v>99</v>
      </c>
      <c r="X41" s="74">
        <v>122.8</v>
      </c>
      <c r="Y41" s="74">
        <v>385.5</v>
      </c>
      <c r="Z41" s="74">
        <v>196.5</v>
      </c>
      <c r="AA41" s="74">
        <v>66.2</v>
      </c>
      <c r="AB41" s="74">
        <v>68.400000000000006</v>
      </c>
      <c r="AC41" s="74">
        <v>73.599999999999994</v>
      </c>
      <c r="AD41" s="74">
        <v>217.1</v>
      </c>
      <c r="AE41" s="74">
        <v>414.4</v>
      </c>
      <c r="AF41" s="74">
        <v>57.5</v>
      </c>
      <c r="AG41" s="74">
        <v>755</v>
      </c>
      <c r="AH41" s="74">
        <v>491.7</v>
      </c>
      <c r="AI41" s="74">
        <v>1261.7</v>
      </c>
      <c r="AJ41" s="74">
        <v>383.7</v>
      </c>
      <c r="AK41" s="74">
        <v>260.60000000000002</v>
      </c>
      <c r="AL41" s="74">
        <v>0</v>
      </c>
      <c r="AM41" s="74">
        <v>34059.300000000003</v>
      </c>
      <c r="AN41" s="74">
        <v>1390.2</v>
      </c>
      <c r="AO41" s="74">
        <v>51879</v>
      </c>
      <c r="AP41" s="74">
        <v>833.2</v>
      </c>
      <c r="AQ41" s="74">
        <v>0.2</v>
      </c>
      <c r="AR41" s="74">
        <v>1771.1</v>
      </c>
      <c r="AS41" s="74">
        <v>382.4</v>
      </c>
      <c r="AT41" s="64">
        <v>69.599999999999994</v>
      </c>
      <c r="AU41" s="64">
        <v>-2266.6999999999998</v>
      </c>
      <c r="AV41" s="69">
        <f t="shared" si="0"/>
        <v>35449.5</v>
      </c>
    </row>
    <row r="42" spans="1:48" ht="21" x14ac:dyDescent="0.25">
      <c r="A42" s="63" t="s">
        <v>123</v>
      </c>
      <c r="B42" s="62" t="s">
        <v>7</v>
      </c>
      <c r="C42" s="75">
        <v>185.5</v>
      </c>
      <c r="D42" s="75">
        <v>1.8</v>
      </c>
      <c r="E42" s="75">
        <v>1.4</v>
      </c>
      <c r="F42" s="75">
        <v>0</v>
      </c>
      <c r="G42" s="75">
        <v>494.8</v>
      </c>
      <c r="H42" s="75">
        <v>42.2</v>
      </c>
      <c r="I42" s="75">
        <v>55.3</v>
      </c>
      <c r="J42" s="75">
        <v>162</v>
      </c>
      <c r="K42" s="75">
        <v>159.80000000000001</v>
      </c>
      <c r="L42" s="75">
        <v>1204.2</v>
      </c>
      <c r="M42" s="75">
        <v>343.5</v>
      </c>
      <c r="N42" s="75">
        <v>194.6</v>
      </c>
      <c r="O42" s="75">
        <v>188.8</v>
      </c>
      <c r="P42" s="75">
        <v>424.5</v>
      </c>
      <c r="Q42" s="75">
        <v>602.1</v>
      </c>
      <c r="R42" s="75">
        <v>307.8</v>
      </c>
      <c r="S42" s="75">
        <v>458.3</v>
      </c>
      <c r="T42" s="75">
        <v>451.6</v>
      </c>
      <c r="U42" s="75">
        <v>115.7</v>
      </c>
      <c r="V42" s="75">
        <v>229.7</v>
      </c>
      <c r="W42" s="75">
        <v>690.8</v>
      </c>
      <c r="X42" s="75">
        <v>751</v>
      </c>
      <c r="Y42" s="75">
        <v>2586.6</v>
      </c>
      <c r="Z42" s="75">
        <v>1764.3</v>
      </c>
      <c r="AA42" s="75">
        <v>352.6</v>
      </c>
      <c r="AB42" s="75">
        <v>328.8</v>
      </c>
      <c r="AC42" s="75">
        <v>422.9</v>
      </c>
      <c r="AD42" s="75">
        <v>878.5</v>
      </c>
      <c r="AE42" s="75">
        <v>4877.3999999999996</v>
      </c>
      <c r="AF42" s="75">
        <v>222.8</v>
      </c>
      <c r="AG42" s="75">
        <v>3438.9</v>
      </c>
      <c r="AH42" s="75">
        <v>1073.0999999999999</v>
      </c>
      <c r="AI42" s="75">
        <v>165.4</v>
      </c>
      <c r="AJ42" s="75">
        <v>7309.7</v>
      </c>
      <c r="AK42" s="75">
        <v>2841.4</v>
      </c>
      <c r="AL42" s="75">
        <v>0</v>
      </c>
      <c r="AM42" s="75">
        <v>48460.9</v>
      </c>
      <c r="AN42" s="75">
        <v>21768.9</v>
      </c>
      <c r="AO42" s="75">
        <v>208.4</v>
      </c>
      <c r="AP42" s="75">
        <v>1123.7</v>
      </c>
      <c r="AQ42" s="75">
        <v>0</v>
      </c>
      <c r="AR42" s="75">
        <v>266</v>
      </c>
      <c r="AS42" s="75">
        <v>219.1</v>
      </c>
      <c r="AT42" s="65">
        <v>46.7</v>
      </c>
      <c r="AU42" s="65">
        <v>-396.2</v>
      </c>
      <c r="AV42" s="69">
        <f t="shared" si="0"/>
        <v>70229.8</v>
      </c>
    </row>
    <row r="43" spans="1:48" ht="31.5" x14ac:dyDescent="0.25">
      <c r="A43" s="63" t="s">
        <v>124</v>
      </c>
      <c r="B43" s="62" t="s">
        <v>7</v>
      </c>
      <c r="C43" s="74">
        <v>60.7</v>
      </c>
      <c r="D43" s="74">
        <v>4.8</v>
      </c>
      <c r="E43" s="74">
        <v>14.5</v>
      </c>
      <c r="F43" s="74">
        <v>0</v>
      </c>
      <c r="G43" s="74">
        <v>108.9</v>
      </c>
      <c r="H43" s="74">
        <v>109.2</v>
      </c>
      <c r="I43" s="74">
        <v>24.3</v>
      </c>
      <c r="J43" s="74">
        <v>61.8</v>
      </c>
      <c r="K43" s="74">
        <v>93.4</v>
      </c>
      <c r="L43" s="74">
        <v>165.1</v>
      </c>
      <c r="M43" s="74">
        <v>96.9</v>
      </c>
      <c r="N43" s="74">
        <v>81.2</v>
      </c>
      <c r="O43" s="74">
        <v>374.6</v>
      </c>
      <c r="P43" s="74">
        <v>118.8</v>
      </c>
      <c r="Q43" s="74">
        <v>341.9</v>
      </c>
      <c r="R43" s="74">
        <v>102.9</v>
      </c>
      <c r="S43" s="74">
        <v>147.30000000000001</v>
      </c>
      <c r="T43" s="74">
        <v>176.5</v>
      </c>
      <c r="U43" s="74">
        <v>203.9</v>
      </c>
      <c r="V43" s="74">
        <v>68.3</v>
      </c>
      <c r="W43" s="74">
        <v>235.3</v>
      </c>
      <c r="X43" s="74">
        <v>456.4</v>
      </c>
      <c r="Y43" s="74">
        <v>1050.8</v>
      </c>
      <c r="Z43" s="74">
        <v>495.5</v>
      </c>
      <c r="AA43" s="74">
        <v>480.3</v>
      </c>
      <c r="AB43" s="74">
        <v>486.1</v>
      </c>
      <c r="AC43" s="74">
        <v>194.8</v>
      </c>
      <c r="AD43" s="74">
        <v>385.7</v>
      </c>
      <c r="AE43" s="74">
        <v>558.70000000000005</v>
      </c>
      <c r="AF43" s="74">
        <v>104.8</v>
      </c>
      <c r="AG43" s="74">
        <v>1085.9000000000001</v>
      </c>
      <c r="AH43" s="74">
        <v>555.70000000000005</v>
      </c>
      <c r="AI43" s="74">
        <v>594.5</v>
      </c>
      <c r="AJ43" s="74">
        <v>1168.5</v>
      </c>
      <c r="AK43" s="74">
        <v>3220.1</v>
      </c>
      <c r="AL43" s="74">
        <v>0</v>
      </c>
      <c r="AM43" s="74">
        <v>36425.300000000003</v>
      </c>
      <c r="AN43" s="74">
        <v>7066.5</v>
      </c>
      <c r="AO43" s="74">
        <v>6843.4</v>
      </c>
      <c r="AP43" s="74">
        <v>1073.3</v>
      </c>
      <c r="AQ43" s="74">
        <v>0.4</v>
      </c>
      <c r="AR43" s="74">
        <v>1022.5</v>
      </c>
      <c r="AS43" s="74">
        <v>675.5</v>
      </c>
      <c r="AT43" s="64">
        <v>312.3</v>
      </c>
      <c r="AU43" s="64">
        <v>-1457.2</v>
      </c>
      <c r="AV43" s="69">
        <f t="shared" si="0"/>
        <v>43491.8</v>
      </c>
    </row>
    <row r="44" spans="1:48" ht="21" x14ac:dyDescent="0.25">
      <c r="A44" s="63" t="s">
        <v>125</v>
      </c>
      <c r="B44" s="62" t="s">
        <v>7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  <c r="AK44" s="75">
        <v>0</v>
      </c>
      <c r="AL44" s="75">
        <v>0</v>
      </c>
      <c r="AM44" s="75">
        <v>1812.9</v>
      </c>
      <c r="AN44" s="75">
        <v>0</v>
      </c>
      <c r="AO44" s="75">
        <v>0</v>
      </c>
      <c r="AP44" s="75">
        <v>0</v>
      </c>
      <c r="AQ44" s="75">
        <v>0</v>
      </c>
      <c r="AR44" s="75">
        <v>0</v>
      </c>
      <c r="AS44" s="75">
        <v>0</v>
      </c>
      <c r="AT44" s="65">
        <v>0</v>
      </c>
      <c r="AU44" s="65">
        <v>0</v>
      </c>
      <c r="AV44" s="69">
        <f t="shared" si="0"/>
        <v>1812.9</v>
      </c>
    </row>
    <row r="45" spans="1:48" ht="31.5" x14ac:dyDescent="0.25">
      <c r="A45" s="63" t="s">
        <v>126</v>
      </c>
      <c r="B45" s="62" t="s">
        <v>7</v>
      </c>
      <c r="C45" s="74">
        <v>35.200000000000003</v>
      </c>
      <c r="D45" s="74">
        <v>1.4</v>
      </c>
      <c r="E45" s="74">
        <v>3.5</v>
      </c>
      <c r="F45" s="74">
        <v>0</v>
      </c>
      <c r="G45" s="74">
        <v>39.5</v>
      </c>
      <c r="H45" s="74">
        <v>191.1</v>
      </c>
      <c r="I45" s="74">
        <v>6.8</v>
      </c>
      <c r="J45" s="74">
        <v>21</v>
      </c>
      <c r="K45" s="74">
        <v>345.2</v>
      </c>
      <c r="L45" s="74">
        <v>289</v>
      </c>
      <c r="M45" s="74">
        <v>68.8</v>
      </c>
      <c r="N45" s="74">
        <v>49</v>
      </c>
      <c r="O45" s="74">
        <v>182.9</v>
      </c>
      <c r="P45" s="74">
        <v>65.900000000000006</v>
      </c>
      <c r="Q45" s="74">
        <v>525.29999999999995</v>
      </c>
      <c r="R45" s="74">
        <v>95.1</v>
      </c>
      <c r="S45" s="74">
        <v>112.1</v>
      </c>
      <c r="T45" s="74">
        <v>298.89999999999998</v>
      </c>
      <c r="U45" s="74">
        <v>102.7</v>
      </c>
      <c r="V45" s="74">
        <v>30.6</v>
      </c>
      <c r="W45" s="74">
        <v>138</v>
      </c>
      <c r="X45" s="74">
        <v>164</v>
      </c>
      <c r="Y45" s="74">
        <v>140.69999999999999</v>
      </c>
      <c r="Z45" s="74">
        <v>322.10000000000002</v>
      </c>
      <c r="AA45" s="74">
        <v>60.5</v>
      </c>
      <c r="AB45" s="74">
        <v>10.4</v>
      </c>
      <c r="AC45" s="74">
        <v>14.7</v>
      </c>
      <c r="AD45" s="74">
        <v>28.7</v>
      </c>
      <c r="AE45" s="74">
        <v>34.9</v>
      </c>
      <c r="AF45" s="74">
        <v>11.9</v>
      </c>
      <c r="AG45" s="74">
        <v>78</v>
      </c>
      <c r="AH45" s="74">
        <v>67.7</v>
      </c>
      <c r="AI45" s="74">
        <v>32.1</v>
      </c>
      <c r="AJ45" s="74">
        <v>99</v>
      </c>
      <c r="AK45" s="74">
        <v>45.6</v>
      </c>
      <c r="AL45" s="74">
        <v>0</v>
      </c>
      <c r="AM45" s="74">
        <v>1040.4000000000001</v>
      </c>
      <c r="AN45" s="74">
        <v>1.1000000000000001</v>
      </c>
      <c r="AO45" s="74">
        <v>80.5</v>
      </c>
      <c r="AP45" s="74">
        <v>304.39999999999998</v>
      </c>
      <c r="AQ45" s="74">
        <v>0</v>
      </c>
      <c r="AR45" s="74">
        <v>767</v>
      </c>
      <c r="AS45" s="74">
        <v>0</v>
      </c>
      <c r="AT45" s="64">
        <v>0</v>
      </c>
      <c r="AU45" s="64">
        <v>-5906</v>
      </c>
      <c r="AV45" s="69">
        <f t="shared" si="0"/>
        <v>1041.5</v>
      </c>
    </row>
    <row r="46" spans="1:48" ht="42" x14ac:dyDescent="0.25">
      <c r="A46" s="63" t="s">
        <v>127</v>
      </c>
      <c r="B46" s="62" t="s">
        <v>7</v>
      </c>
      <c r="C46" s="75">
        <v>586.9</v>
      </c>
      <c r="D46" s="75">
        <v>22.6</v>
      </c>
      <c r="E46" s="75">
        <v>57.2</v>
      </c>
      <c r="F46" s="75">
        <v>0.2</v>
      </c>
      <c r="G46" s="75">
        <v>1218.5999999999999</v>
      </c>
      <c r="H46" s="75">
        <v>2411</v>
      </c>
      <c r="I46" s="75">
        <v>106.3</v>
      </c>
      <c r="J46" s="75">
        <v>425.9</v>
      </c>
      <c r="K46" s="75">
        <v>3895.5</v>
      </c>
      <c r="L46" s="75">
        <v>4503.8</v>
      </c>
      <c r="M46" s="75">
        <v>1340</v>
      </c>
      <c r="N46" s="75">
        <v>777.4</v>
      </c>
      <c r="O46" s="75">
        <v>2404.3000000000002</v>
      </c>
      <c r="P46" s="75">
        <v>1313.5</v>
      </c>
      <c r="Q46" s="75">
        <v>6878.5</v>
      </c>
      <c r="R46" s="75">
        <v>1621.8</v>
      </c>
      <c r="S46" s="75">
        <v>1901.1</v>
      </c>
      <c r="T46" s="75">
        <v>8693.6</v>
      </c>
      <c r="U46" s="75">
        <v>1393.7</v>
      </c>
      <c r="V46" s="75">
        <v>480.6</v>
      </c>
      <c r="W46" s="75">
        <v>1942.2</v>
      </c>
      <c r="X46" s="75">
        <v>4012.7</v>
      </c>
      <c r="Y46" s="75">
        <v>4059.6</v>
      </c>
      <c r="Z46" s="75">
        <v>4390.8999999999996</v>
      </c>
      <c r="AA46" s="75">
        <v>1419.6</v>
      </c>
      <c r="AB46" s="75">
        <v>229.8</v>
      </c>
      <c r="AC46" s="75">
        <v>463.6</v>
      </c>
      <c r="AD46" s="75">
        <v>444</v>
      </c>
      <c r="AE46" s="75">
        <v>588.9</v>
      </c>
      <c r="AF46" s="75">
        <v>269.3</v>
      </c>
      <c r="AG46" s="75">
        <v>1191.3</v>
      </c>
      <c r="AH46" s="75">
        <v>1141.5999999999999</v>
      </c>
      <c r="AI46" s="75">
        <v>568.79999999999995</v>
      </c>
      <c r="AJ46" s="75">
        <v>1647.3</v>
      </c>
      <c r="AK46" s="75">
        <v>803.9</v>
      </c>
      <c r="AL46" s="75">
        <v>0</v>
      </c>
      <c r="AM46" s="75">
        <v>39042.699999999997</v>
      </c>
      <c r="AN46" s="75">
        <v>48.8</v>
      </c>
      <c r="AO46" s="75">
        <v>215.4</v>
      </c>
      <c r="AP46" s="75">
        <v>9262.1</v>
      </c>
      <c r="AQ46" s="75">
        <v>-455.4</v>
      </c>
      <c r="AR46" s="75">
        <v>0</v>
      </c>
      <c r="AS46" s="75">
        <v>912.6</v>
      </c>
      <c r="AT46" s="65">
        <v>12294.8</v>
      </c>
      <c r="AU46" s="65">
        <v>0</v>
      </c>
      <c r="AV46" s="69">
        <f t="shared" si="0"/>
        <v>39091.5</v>
      </c>
    </row>
    <row r="47" spans="1:48" ht="21" x14ac:dyDescent="0.25">
      <c r="A47" s="63" t="s">
        <v>128</v>
      </c>
      <c r="B47" s="62" t="s">
        <v>7</v>
      </c>
      <c r="C47" s="64">
        <v>22132.799999999999</v>
      </c>
      <c r="D47" s="64">
        <v>636.20000000000005</v>
      </c>
      <c r="E47" s="64">
        <v>1185</v>
      </c>
      <c r="F47" s="64">
        <v>5.5</v>
      </c>
      <c r="G47" s="64">
        <v>82784.7</v>
      </c>
      <c r="H47" s="64">
        <v>52287.4</v>
      </c>
      <c r="I47" s="64">
        <v>5945.3</v>
      </c>
      <c r="J47" s="64">
        <v>20363.2</v>
      </c>
      <c r="K47" s="64">
        <v>83214.3</v>
      </c>
      <c r="L47" s="64">
        <v>105888</v>
      </c>
      <c r="M47" s="64">
        <v>48897.5</v>
      </c>
      <c r="N47" s="64">
        <v>24754.7</v>
      </c>
      <c r="O47" s="64">
        <v>91064.5</v>
      </c>
      <c r="P47" s="64">
        <v>58789.599999999999</v>
      </c>
      <c r="Q47" s="64">
        <v>193528.3</v>
      </c>
      <c r="R47" s="64">
        <v>55335.4</v>
      </c>
      <c r="S47" s="64">
        <v>75508.600000000006</v>
      </c>
      <c r="T47" s="64">
        <v>125607.5</v>
      </c>
      <c r="U47" s="64">
        <v>51774</v>
      </c>
      <c r="V47" s="64">
        <v>16780.7</v>
      </c>
      <c r="W47" s="64">
        <v>57611.8</v>
      </c>
      <c r="X47" s="64">
        <v>116554.2</v>
      </c>
      <c r="Y47" s="64">
        <v>102270.6</v>
      </c>
      <c r="Z47" s="64">
        <v>71826.600000000006</v>
      </c>
      <c r="AA47" s="64">
        <v>51145.1</v>
      </c>
      <c r="AB47" s="64">
        <v>14535.8</v>
      </c>
      <c r="AC47" s="64">
        <v>23451</v>
      </c>
      <c r="AD47" s="64">
        <v>23186.9</v>
      </c>
      <c r="AE47" s="64">
        <v>61348.9</v>
      </c>
      <c r="AF47" s="64">
        <v>24318.2</v>
      </c>
      <c r="AG47" s="64">
        <v>67363.600000000006</v>
      </c>
      <c r="AH47" s="64">
        <v>37070.300000000003</v>
      </c>
      <c r="AI47" s="64">
        <v>26479.8</v>
      </c>
      <c r="AJ47" s="64">
        <v>50236</v>
      </c>
      <c r="AK47" s="64">
        <v>34326.5</v>
      </c>
      <c r="AL47" s="64">
        <v>0</v>
      </c>
      <c r="AM47" s="64">
        <v>626390.69999999995</v>
      </c>
      <c r="AN47" s="64">
        <v>32593.4</v>
      </c>
      <c r="AO47" s="64">
        <v>207731.4</v>
      </c>
      <c r="AP47" s="64">
        <v>404977.4</v>
      </c>
      <c r="AQ47" s="64">
        <v>-5874</v>
      </c>
      <c r="AR47" s="64">
        <v>17466</v>
      </c>
      <c r="AS47" s="64">
        <v>11865.3</v>
      </c>
      <c r="AT47" s="64">
        <v>614226.80000000005</v>
      </c>
      <c r="AU47" s="64">
        <v>-526274.80000000005</v>
      </c>
      <c r="AV47" s="69">
        <f t="shared" si="0"/>
        <v>658984.1</v>
      </c>
    </row>
    <row r="48" spans="1:48" ht="13.5" x14ac:dyDescent="0.25">
      <c r="A48" s="63" t="s">
        <v>129</v>
      </c>
      <c r="B48" s="62" t="s">
        <v>7</v>
      </c>
      <c r="C48" s="65">
        <v>28828.6</v>
      </c>
      <c r="D48" s="65">
        <v>739.3</v>
      </c>
      <c r="E48" s="65">
        <v>1594.4</v>
      </c>
      <c r="F48" s="65">
        <v>42.7</v>
      </c>
      <c r="G48" s="65">
        <v>17512.2</v>
      </c>
      <c r="H48" s="65">
        <v>17790.7</v>
      </c>
      <c r="I48" s="65">
        <v>1840.9</v>
      </c>
      <c r="J48" s="65">
        <v>8383.1</v>
      </c>
      <c r="K48" s="65">
        <v>8051.7</v>
      </c>
      <c r="L48" s="65">
        <v>34262</v>
      </c>
      <c r="M48" s="65">
        <v>19102</v>
      </c>
      <c r="N48" s="65">
        <v>10790.5</v>
      </c>
      <c r="O48" s="65">
        <v>26481.3</v>
      </c>
      <c r="P48" s="65">
        <v>28769.4</v>
      </c>
      <c r="Q48" s="65">
        <v>81414.899999999994</v>
      </c>
      <c r="R48" s="65">
        <v>22706.2</v>
      </c>
      <c r="S48" s="65">
        <v>33518.1</v>
      </c>
      <c r="T48" s="65">
        <v>41335.9</v>
      </c>
      <c r="U48" s="65">
        <v>16578.900000000001</v>
      </c>
      <c r="V48" s="65">
        <v>5962.4</v>
      </c>
      <c r="W48" s="65">
        <v>39769.300000000003</v>
      </c>
      <c r="X48" s="65">
        <v>65876.100000000006</v>
      </c>
      <c r="Y48" s="65">
        <v>104460.3</v>
      </c>
      <c r="Z48" s="65">
        <v>49639.6</v>
      </c>
      <c r="AA48" s="65">
        <v>33761.699999999997</v>
      </c>
      <c r="AB48" s="65">
        <v>8862.2000000000007</v>
      </c>
      <c r="AC48" s="65">
        <v>15119.2</v>
      </c>
      <c r="AD48" s="65">
        <v>23980.799999999999</v>
      </c>
      <c r="AE48" s="65">
        <v>69569</v>
      </c>
      <c r="AF48" s="65">
        <v>97635.1</v>
      </c>
      <c r="AG48" s="65">
        <v>98222.3</v>
      </c>
      <c r="AH48" s="65">
        <v>90916</v>
      </c>
      <c r="AI48" s="65">
        <v>67392.3</v>
      </c>
      <c r="AJ48" s="65">
        <v>54789.5</v>
      </c>
      <c r="AK48" s="65">
        <v>31063.7</v>
      </c>
      <c r="AL48" s="65">
        <v>1812.9</v>
      </c>
      <c r="AM48" s="65">
        <v>0</v>
      </c>
      <c r="AN48" s="65">
        <v>0</v>
      </c>
      <c r="AO48" s="65">
        <v>0</v>
      </c>
      <c r="AP48" s="65">
        <v>0</v>
      </c>
      <c r="AQ48" s="65">
        <v>0</v>
      </c>
      <c r="AR48" s="65">
        <v>0</v>
      </c>
      <c r="AS48" s="65">
        <v>0</v>
      </c>
      <c r="AT48" s="65">
        <v>0</v>
      </c>
      <c r="AU48" s="65">
        <v>0</v>
      </c>
      <c r="AV48" s="69">
        <f t="shared" si="0"/>
        <v>0</v>
      </c>
    </row>
    <row r="49" spans="1:48" ht="13.5" x14ac:dyDescent="0.25">
      <c r="A49" s="63" t="s">
        <v>130</v>
      </c>
      <c r="B49" s="62" t="s">
        <v>7</v>
      </c>
      <c r="C49" s="64">
        <v>50961.4</v>
      </c>
      <c r="D49" s="64">
        <v>1375.4</v>
      </c>
      <c r="E49" s="64">
        <v>2779.4</v>
      </c>
      <c r="F49" s="64">
        <v>48.2</v>
      </c>
      <c r="G49" s="64">
        <v>100296.9</v>
      </c>
      <c r="H49" s="64">
        <v>70078.100000000006</v>
      </c>
      <c r="I49" s="64">
        <v>7786.1</v>
      </c>
      <c r="J49" s="64">
        <v>28746.3</v>
      </c>
      <c r="K49" s="64">
        <v>91266</v>
      </c>
      <c r="L49" s="64">
        <v>140150</v>
      </c>
      <c r="M49" s="64">
        <v>67999.5</v>
      </c>
      <c r="N49" s="64">
        <v>35545.1</v>
      </c>
      <c r="O49" s="64">
        <v>117545.9</v>
      </c>
      <c r="P49" s="64">
        <v>87559</v>
      </c>
      <c r="Q49" s="64">
        <v>274943.09999999998</v>
      </c>
      <c r="R49" s="64">
        <v>78041.600000000006</v>
      </c>
      <c r="S49" s="64">
        <v>109026.7</v>
      </c>
      <c r="T49" s="64">
        <v>166943.4</v>
      </c>
      <c r="U49" s="64">
        <v>68352.899999999994</v>
      </c>
      <c r="V49" s="64">
        <v>22743.1</v>
      </c>
      <c r="W49" s="64">
        <v>97381.1</v>
      </c>
      <c r="X49" s="64">
        <v>182430.4</v>
      </c>
      <c r="Y49" s="64">
        <v>206730.9</v>
      </c>
      <c r="Z49" s="64">
        <v>121466.2</v>
      </c>
      <c r="AA49" s="64">
        <v>84906.8</v>
      </c>
      <c r="AB49" s="64">
        <v>23398</v>
      </c>
      <c r="AC49" s="64">
        <v>38570.300000000003</v>
      </c>
      <c r="AD49" s="64">
        <v>47167.7</v>
      </c>
      <c r="AE49" s="64">
        <v>130918</v>
      </c>
      <c r="AF49" s="64">
        <v>121953.2</v>
      </c>
      <c r="AG49" s="64">
        <v>165585.79999999999</v>
      </c>
      <c r="AH49" s="64">
        <v>127986.3</v>
      </c>
      <c r="AI49" s="64">
        <v>93872.1</v>
      </c>
      <c r="AJ49" s="64">
        <v>105025.5</v>
      </c>
      <c r="AK49" s="64">
        <v>65390.2</v>
      </c>
      <c r="AL49" s="64">
        <v>1812.9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9">
        <f t="shared" si="0"/>
        <v>0</v>
      </c>
    </row>
    <row r="50" spans="1:48" x14ac:dyDescent="0.2">
      <c r="A50" s="66" t="s">
        <v>536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69">
        <f t="shared" si="0"/>
        <v>0</v>
      </c>
    </row>
  </sheetData>
  <mergeCells count="9">
    <mergeCell ref="A7:B7"/>
    <mergeCell ref="A3:B3"/>
    <mergeCell ref="C3:AU3"/>
    <mergeCell ref="A4:B4"/>
    <mergeCell ref="C4:AU4"/>
    <mergeCell ref="A5:B5"/>
    <mergeCell ref="C5:AU5"/>
    <mergeCell ref="A6:B6"/>
    <mergeCell ref="C6:AU6"/>
  </mergeCells>
  <phoneticPr fontId="35" type="noConversion"/>
  <hyperlinks>
    <hyperlink ref="A2" r:id="rId1" display="http://stats.oecd.org/OECDStat_Metadata/ShowMetadata.ashx?Dataset=IOTSI4_2018&amp;ShowOnWeb=true&amp;Lang=en" xr:uid="{00000000-0004-0000-0100-000000000000}"/>
    <hyperlink ref="C3" r:id="rId2" display="http://localhost/OECDStat_Metadata/ShowMetadata.ashx?Dataset=IOTSI4_2018&amp;Coords=[VAR].[TTL]&amp;ShowOnWeb=true&amp;Lang=en" xr:uid="{5131F5ED-3220-4446-BB86-0DF98A082E66}"/>
    <hyperlink ref="A50" r:id="rId3" display="https://stats-2.oecd.org/index.aspx?DatasetCode=IOTSI4_2018" xr:uid="{0392CF2D-90C6-418D-9FF6-07A0EDA4DB7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077E-3367-4686-903C-132DFBB1394C}">
  <sheetPr>
    <tabColor theme="9" tint="0.59999389629810485"/>
  </sheetPr>
  <dimension ref="A1:BD59"/>
  <sheetViews>
    <sheetView topLeftCell="A2" workbookViewId="0">
      <selection activeCell="A6" sqref="A6:B6"/>
    </sheetView>
  </sheetViews>
  <sheetFormatPr defaultRowHeight="16.5" x14ac:dyDescent="0.3"/>
  <cols>
    <col min="1" max="1" width="27.375" customWidth="1"/>
    <col min="2" max="2" width="2.375" customWidth="1"/>
  </cols>
  <sheetData>
    <row r="1" spans="1:56" hidden="1" x14ac:dyDescent="0.3">
      <c r="A1" s="76" t="e">
        <f ca="1">DotStatQuery(B1)</f>
        <v>#NAME?</v>
      </c>
      <c r="B1" s="76" t="s">
        <v>540</v>
      </c>
    </row>
    <row r="2" spans="1:56" ht="24.75" x14ac:dyDescent="0.3">
      <c r="A2" s="77" t="s">
        <v>541</v>
      </c>
    </row>
    <row r="3" spans="1:56" x14ac:dyDescent="0.3">
      <c r="A3" s="108" t="s">
        <v>40</v>
      </c>
      <c r="B3" s="109"/>
      <c r="C3" s="115" t="s">
        <v>41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7"/>
    </row>
    <row r="4" spans="1:56" x14ac:dyDescent="0.3">
      <c r="A4" s="108" t="s">
        <v>3</v>
      </c>
      <c r="B4" s="109"/>
      <c r="C4" s="110" t="s">
        <v>537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2"/>
    </row>
    <row r="5" spans="1:56" x14ac:dyDescent="0.3">
      <c r="A5" s="108" t="s">
        <v>4</v>
      </c>
      <c r="B5" s="109"/>
      <c r="C5" s="110" t="s">
        <v>542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2"/>
    </row>
    <row r="6" spans="1:56" x14ac:dyDescent="0.3">
      <c r="A6" s="108" t="s">
        <v>6</v>
      </c>
      <c r="B6" s="109"/>
      <c r="C6" s="110" t="s">
        <v>42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2"/>
    </row>
    <row r="7" spans="1:56" ht="136.5" x14ac:dyDescent="0.3">
      <c r="A7" s="113" t="s">
        <v>543</v>
      </c>
      <c r="B7" s="114"/>
      <c r="C7" s="78" t="s">
        <v>544</v>
      </c>
      <c r="D7" s="78" t="s">
        <v>545</v>
      </c>
      <c r="E7" s="78" t="s">
        <v>546</v>
      </c>
      <c r="F7" s="78" t="s">
        <v>547</v>
      </c>
      <c r="G7" s="78" t="s">
        <v>47</v>
      </c>
      <c r="H7" s="78" t="s">
        <v>48</v>
      </c>
      <c r="I7" s="78" t="s">
        <v>548</v>
      </c>
      <c r="J7" s="78" t="s">
        <v>50</v>
      </c>
      <c r="K7" s="78" t="s">
        <v>51</v>
      </c>
      <c r="L7" s="78" t="s">
        <v>52</v>
      </c>
      <c r="M7" s="78" t="s">
        <v>549</v>
      </c>
      <c r="N7" s="78" t="s">
        <v>550</v>
      </c>
      <c r="O7" s="78" t="s">
        <v>551</v>
      </c>
      <c r="P7" s="78" t="s">
        <v>55</v>
      </c>
      <c r="Q7" s="78" t="s">
        <v>56</v>
      </c>
      <c r="R7" s="78" t="s">
        <v>57</v>
      </c>
      <c r="S7" s="78" t="s">
        <v>552</v>
      </c>
      <c r="T7" s="78" t="s">
        <v>59</v>
      </c>
      <c r="U7" s="78" t="s">
        <v>60</v>
      </c>
      <c r="V7" s="78" t="s">
        <v>61</v>
      </c>
      <c r="W7" s="78" t="s">
        <v>62</v>
      </c>
      <c r="X7" s="78" t="s">
        <v>553</v>
      </c>
      <c r="Y7" s="78" t="s">
        <v>554</v>
      </c>
      <c r="Z7" s="78" t="s">
        <v>555</v>
      </c>
      <c r="AA7" s="78" t="s">
        <v>65</v>
      </c>
      <c r="AB7" s="78" t="s">
        <v>66</v>
      </c>
      <c r="AC7" s="78" t="s">
        <v>556</v>
      </c>
      <c r="AD7" s="78" t="s">
        <v>557</v>
      </c>
      <c r="AE7" s="78" t="s">
        <v>558</v>
      </c>
      <c r="AF7" s="78" t="s">
        <v>559</v>
      </c>
      <c r="AG7" s="78" t="s">
        <v>560</v>
      </c>
      <c r="AH7" s="78" t="s">
        <v>561</v>
      </c>
      <c r="AI7" s="78" t="s">
        <v>69</v>
      </c>
      <c r="AJ7" s="78" t="s">
        <v>70</v>
      </c>
      <c r="AK7" s="78" t="s">
        <v>71</v>
      </c>
      <c r="AL7" s="78" t="s">
        <v>72</v>
      </c>
      <c r="AM7" s="78" t="s">
        <v>73</v>
      </c>
      <c r="AN7" s="78" t="s">
        <v>562</v>
      </c>
      <c r="AO7" s="78" t="s">
        <v>563</v>
      </c>
      <c r="AP7" s="78" t="s">
        <v>564</v>
      </c>
      <c r="AQ7" s="78" t="s">
        <v>76</v>
      </c>
      <c r="AR7" s="78" t="s">
        <v>565</v>
      </c>
      <c r="AS7" s="78" t="s">
        <v>566</v>
      </c>
      <c r="AT7" s="78" t="s">
        <v>567</v>
      </c>
      <c r="AU7" s="78" t="s">
        <v>568</v>
      </c>
      <c r="AV7" s="78" t="s">
        <v>80</v>
      </c>
      <c r="AW7" s="78" t="s">
        <v>81</v>
      </c>
      <c r="AX7" s="78" t="s">
        <v>82</v>
      </c>
      <c r="AY7" s="78" t="s">
        <v>83</v>
      </c>
      <c r="AZ7" s="78" t="s">
        <v>84</v>
      </c>
      <c r="BA7" s="78" t="s">
        <v>85</v>
      </c>
      <c r="BB7" s="79" t="s">
        <v>86</v>
      </c>
      <c r="BC7" s="78" t="s">
        <v>87</v>
      </c>
      <c r="BD7" s="78" t="s">
        <v>88</v>
      </c>
    </row>
    <row r="8" spans="1:56" x14ac:dyDescent="0.3">
      <c r="A8" s="80" t="s">
        <v>569</v>
      </c>
      <c r="B8" s="81" t="s">
        <v>7</v>
      </c>
      <c r="C8" s="81" t="s">
        <v>7</v>
      </c>
      <c r="D8" s="81" t="s">
        <v>7</v>
      </c>
      <c r="E8" s="81" t="s">
        <v>7</v>
      </c>
      <c r="F8" s="81" t="s">
        <v>7</v>
      </c>
      <c r="G8" s="81" t="s">
        <v>7</v>
      </c>
      <c r="H8" s="81" t="s">
        <v>7</v>
      </c>
      <c r="I8" s="81" t="s">
        <v>7</v>
      </c>
      <c r="J8" s="81" t="s">
        <v>7</v>
      </c>
      <c r="K8" s="81" t="s">
        <v>7</v>
      </c>
      <c r="L8" s="81" t="s">
        <v>7</v>
      </c>
      <c r="M8" s="81" t="s">
        <v>7</v>
      </c>
      <c r="N8" s="81" t="s">
        <v>7</v>
      </c>
      <c r="O8" s="81" t="s">
        <v>7</v>
      </c>
      <c r="P8" s="81" t="s">
        <v>7</v>
      </c>
      <c r="Q8" s="81" t="s">
        <v>7</v>
      </c>
      <c r="R8" s="81" t="s">
        <v>7</v>
      </c>
      <c r="S8" s="81" t="s">
        <v>7</v>
      </c>
      <c r="T8" s="81" t="s">
        <v>7</v>
      </c>
      <c r="U8" s="81" t="s">
        <v>7</v>
      </c>
      <c r="V8" s="81" t="s">
        <v>7</v>
      </c>
      <c r="W8" s="81" t="s">
        <v>7</v>
      </c>
      <c r="X8" s="81" t="s">
        <v>7</v>
      </c>
      <c r="Y8" s="81" t="s">
        <v>7</v>
      </c>
      <c r="Z8" s="81" t="s">
        <v>7</v>
      </c>
      <c r="AA8" s="81" t="s">
        <v>7</v>
      </c>
      <c r="AB8" s="81" t="s">
        <v>7</v>
      </c>
      <c r="AC8" s="81" t="s">
        <v>7</v>
      </c>
      <c r="AD8" s="81" t="s">
        <v>7</v>
      </c>
      <c r="AE8" s="81" t="s">
        <v>7</v>
      </c>
      <c r="AF8" s="81" t="s">
        <v>7</v>
      </c>
      <c r="AG8" s="81" t="s">
        <v>7</v>
      </c>
      <c r="AH8" s="81" t="s">
        <v>7</v>
      </c>
      <c r="AI8" s="81" t="s">
        <v>7</v>
      </c>
      <c r="AJ8" s="81" t="s">
        <v>7</v>
      </c>
      <c r="AK8" s="81" t="s">
        <v>7</v>
      </c>
      <c r="AL8" s="81" t="s">
        <v>7</v>
      </c>
      <c r="AM8" s="81" t="s">
        <v>7</v>
      </c>
      <c r="AN8" s="81" t="s">
        <v>7</v>
      </c>
      <c r="AO8" s="81" t="s">
        <v>7</v>
      </c>
      <c r="AP8" s="81" t="s">
        <v>7</v>
      </c>
      <c r="AQ8" s="81" t="s">
        <v>7</v>
      </c>
      <c r="AR8" s="81" t="s">
        <v>7</v>
      </c>
      <c r="AS8" s="81" t="s">
        <v>7</v>
      </c>
      <c r="AT8" s="81" t="s">
        <v>7</v>
      </c>
      <c r="AU8" s="81" t="s">
        <v>7</v>
      </c>
      <c r="AV8" s="81" t="s">
        <v>7</v>
      </c>
      <c r="AW8" s="81" t="s">
        <v>7</v>
      </c>
      <c r="AX8" s="81" t="s">
        <v>7</v>
      </c>
      <c r="AY8" s="81" t="s">
        <v>7</v>
      </c>
      <c r="AZ8" s="81" t="s">
        <v>7</v>
      </c>
      <c r="BA8" s="81" t="s">
        <v>7</v>
      </c>
      <c r="BB8" s="81" t="s">
        <v>7</v>
      </c>
      <c r="BC8" s="81" t="s">
        <v>7</v>
      </c>
      <c r="BD8" s="81" t="s">
        <v>7</v>
      </c>
    </row>
    <row r="9" spans="1:56" ht="21" x14ac:dyDescent="0.3">
      <c r="A9" s="82" t="s">
        <v>570</v>
      </c>
      <c r="B9" s="81" t="s">
        <v>7</v>
      </c>
      <c r="C9" s="83">
        <v>2572</v>
      </c>
      <c r="D9" s="83">
        <v>85.4</v>
      </c>
      <c r="E9" s="83">
        <v>0.8</v>
      </c>
      <c r="F9" s="83">
        <v>4.0999999999999996</v>
      </c>
      <c r="G9" s="83">
        <v>0</v>
      </c>
      <c r="H9" s="83">
        <v>27287</v>
      </c>
      <c r="I9" s="83">
        <v>552.70000000000005</v>
      </c>
      <c r="J9" s="83">
        <v>687</v>
      </c>
      <c r="K9" s="83">
        <v>14.8</v>
      </c>
      <c r="L9" s="83">
        <v>13.1</v>
      </c>
      <c r="M9" s="83">
        <v>156.30000000000001</v>
      </c>
      <c r="N9" s="83">
        <v>313.2</v>
      </c>
      <c r="O9" s="83">
        <v>543.20000000000005</v>
      </c>
      <c r="P9" s="83">
        <v>14.5</v>
      </c>
      <c r="Q9" s="83">
        <v>40.299999999999997</v>
      </c>
      <c r="R9" s="83">
        <v>35.200000000000003</v>
      </c>
      <c r="S9" s="83">
        <v>104</v>
      </c>
      <c r="T9" s="83">
        <v>33.1</v>
      </c>
      <c r="U9" s="83">
        <v>55</v>
      </c>
      <c r="V9" s="83">
        <v>45.9</v>
      </c>
      <c r="W9" s="83">
        <v>29.1</v>
      </c>
      <c r="X9" s="83">
        <v>34.299999999999997</v>
      </c>
      <c r="Y9" s="83">
        <v>11.5</v>
      </c>
      <c r="Z9" s="83">
        <v>5.3</v>
      </c>
      <c r="AA9" s="83">
        <v>511.2</v>
      </c>
      <c r="AB9" s="83">
        <v>99</v>
      </c>
      <c r="AC9" s="83">
        <v>5.8</v>
      </c>
      <c r="AD9" s="83">
        <v>2</v>
      </c>
      <c r="AE9" s="83">
        <v>12.7</v>
      </c>
      <c r="AF9" s="83">
        <v>16.600000000000001</v>
      </c>
      <c r="AG9" s="83">
        <v>1.1000000000000001</v>
      </c>
      <c r="AH9" s="83">
        <v>5850.2</v>
      </c>
      <c r="AI9" s="83">
        <v>16.100000000000001</v>
      </c>
      <c r="AJ9" s="83">
        <v>10.5</v>
      </c>
      <c r="AK9" s="83">
        <v>4.5999999999999996</v>
      </c>
      <c r="AL9" s="83">
        <v>40.5</v>
      </c>
      <c r="AM9" s="83">
        <v>10.4</v>
      </c>
      <c r="AN9" s="83">
        <v>144.9</v>
      </c>
      <c r="AO9" s="83">
        <v>16.100000000000001</v>
      </c>
      <c r="AP9" s="83">
        <v>253.4</v>
      </c>
      <c r="AQ9" s="83">
        <v>408.3</v>
      </c>
      <c r="AR9" s="83">
        <v>1074.7</v>
      </c>
      <c r="AS9" s="83">
        <v>139.69999999999999</v>
      </c>
      <c r="AT9" s="83">
        <v>65.400000000000006</v>
      </c>
      <c r="AU9" s="83">
        <v>0</v>
      </c>
      <c r="AV9" s="83">
        <v>14327.7</v>
      </c>
      <c r="AW9" s="83">
        <v>56.4</v>
      </c>
      <c r="AX9" s="83">
        <v>1.6</v>
      </c>
      <c r="AY9" s="83">
        <v>412.3</v>
      </c>
      <c r="AZ9" s="83">
        <v>-287</v>
      </c>
      <c r="BA9" s="83">
        <v>315.89999999999998</v>
      </c>
      <c r="BB9" s="83">
        <v>160.30000000000001</v>
      </c>
      <c r="BC9" s="83">
        <v>643.1</v>
      </c>
      <c r="BD9" s="83">
        <v>-7669.9</v>
      </c>
    </row>
    <row r="10" spans="1:56" x14ac:dyDescent="0.3">
      <c r="A10" s="82" t="s">
        <v>571</v>
      </c>
      <c r="B10" s="81" t="s">
        <v>7</v>
      </c>
      <c r="C10" s="84">
        <v>7.2</v>
      </c>
      <c r="D10" s="84">
        <v>173.9</v>
      </c>
      <c r="E10" s="84">
        <v>0</v>
      </c>
      <c r="F10" s="84">
        <v>0.2</v>
      </c>
      <c r="G10" s="84">
        <v>0</v>
      </c>
      <c r="H10" s="84">
        <v>2269.1999999999998</v>
      </c>
      <c r="I10" s="84">
        <v>7.4</v>
      </c>
      <c r="J10" s="84">
        <v>0.5</v>
      </c>
      <c r="K10" s="84">
        <v>1.3</v>
      </c>
      <c r="L10" s="84">
        <v>0.7</v>
      </c>
      <c r="M10" s="84">
        <v>8.9</v>
      </c>
      <c r="N10" s="84">
        <v>3.2</v>
      </c>
      <c r="O10" s="84">
        <v>4.2</v>
      </c>
      <c r="P10" s="84">
        <v>1.6</v>
      </c>
      <c r="Q10" s="84">
        <v>5.3</v>
      </c>
      <c r="R10" s="84">
        <v>4.7</v>
      </c>
      <c r="S10" s="84">
        <v>15.2</v>
      </c>
      <c r="T10" s="84">
        <v>5</v>
      </c>
      <c r="U10" s="84">
        <v>7.3</v>
      </c>
      <c r="V10" s="84">
        <v>4.8</v>
      </c>
      <c r="W10" s="84">
        <v>4.7</v>
      </c>
      <c r="X10" s="84">
        <v>10.1</v>
      </c>
      <c r="Y10" s="84">
        <v>1</v>
      </c>
      <c r="Z10" s="84">
        <v>0.7</v>
      </c>
      <c r="AA10" s="84">
        <v>4.2</v>
      </c>
      <c r="AB10" s="84">
        <v>11.2</v>
      </c>
      <c r="AC10" s="84">
        <v>0.8</v>
      </c>
      <c r="AD10" s="84">
        <v>0.5</v>
      </c>
      <c r="AE10" s="84">
        <v>0.4</v>
      </c>
      <c r="AF10" s="84">
        <v>0.5</v>
      </c>
      <c r="AG10" s="84">
        <v>0.1</v>
      </c>
      <c r="AH10" s="84">
        <v>2552.1999999999998</v>
      </c>
      <c r="AI10" s="84">
        <v>1.4</v>
      </c>
      <c r="AJ10" s="84">
        <v>1.4</v>
      </c>
      <c r="AK10" s="84">
        <v>0.7</v>
      </c>
      <c r="AL10" s="84">
        <v>2.2000000000000002</v>
      </c>
      <c r="AM10" s="84">
        <v>2.7</v>
      </c>
      <c r="AN10" s="84">
        <v>22.2</v>
      </c>
      <c r="AO10" s="84">
        <v>1.6</v>
      </c>
      <c r="AP10" s="84">
        <v>79.8</v>
      </c>
      <c r="AQ10" s="84">
        <v>188.3</v>
      </c>
      <c r="AR10" s="84">
        <v>189.8</v>
      </c>
      <c r="AS10" s="84">
        <v>20.5</v>
      </c>
      <c r="AT10" s="84">
        <v>6.9</v>
      </c>
      <c r="AU10" s="84">
        <v>0</v>
      </c>
      <c r="AV10" s="84">
        <v>2933.6</v>
      </c>
      <c r="AW10" s="84">
        <v>3.8</v>
      </c>
      <c r="AX10" s="84">
        <v>0.3</v>
      </c>
      <c r="AY10" s="84">
        <v>1.5</v>
      </c>
      <c r="AZ10" s="84">
        <v>7.1</v>
      </c>
      <c r="BA10" s="84">
        <v>23.3</v>
      </c>
      <c r="BB10" s="84">
        <v>12.1</v>
      </c>
      <c r="BC10" s="84">
        <v>270.39999999999998</v>
      </c>
      <c r="BD10" s="84">
        <v>-939.2</v>
      </c>
    </row>
    <row r="11" spans="1:56" ht="21" x14ac:dyDescent="0.3">
      <c r="A11" s="82" t="s">
        <v>572</v>
      </c>
      <c r="B11" s="81" t="s">
        <v>7</v>
      </c>
      <c r="C11" s="83">
        <v>4.2</v>
      </c>
      <c r="D11" s="83">
        <v>5.8</v>
      </c>
      <c r="E11" s="83">
        <v>0</v>
      </c>
      <c r="F11" s="83">
        <v>1.6</v>
      </c>
      <c r="G11" s="83">
        <v>0.3</v>
      </c>
      <c r="H11" s="83">
        <v>7.6</v>
      </c>
      <c r="I11" s="83">
        <v>13.1</v>
      </c>
      <c r="J11" s="83">
        <v>0.7</v>
      </c>
      <c r="K11" s="83">
        <v>3.4</v>
      </c>
      <c r="L11" s="83">
        <v>77279.8</v>
      </c>
      <c r="M11" s="83">
        <v>8972.7999999999993</v>
      </c>
      <c r="N11" s="83">
        <v>3</v>
      </c>
      <c r="O11" s="83">
        <v>14.7</v>
      </c>
      <c r="P11" s="83">
        <v>85.8</v>
      </c>
      <c r="Q11" s="83">
        <v>1655.4</v>
      </c>
      <c r="R11" s="83">
        <v>20.3</v>
      </c>
      <c r="S11" s="83">
        <v>15.9</v>
      </c>
      <c r="T11" s="83">
        <v>6.4</v>
      </c>
      <c r="U11" s="83">
        <v>10.8</v>
      </c>
      <c r="V11" s="83">
        <v>9.6999999999999993</v>
      </c>
      <c r="W11" s="83">
        <v>6.2</v>
      </c>
      <c r="X11" s="83">
        <v>2.2999999999999998</v>
      </c>
      <c r="Y11" s="83">
        <v>23522.5</v>
      </c>
      <c r="Z11" s="83">
        <v>425.1</v>
      </c>
      <c r="AA11" s="83">
        <v>23.9</v>
      </c>
      <c r="AB11" s="83">
        <v>68.400000000000006</v>
      </c>
      <c r="AC11" s="83">
        <v>80.5</v>
      </c>
      <c r="AD11" s="83">
        <v>15.9</v>
      </c>
      <c r="AE11" s="83">
        <v>39.200000000000003</v>
      </c>
      <c r="AF11" s="83">
        <v>4.5999999999999996</v>
      </c>
      <c r="AG11" s="83">
        <v>6.6</v>
      </c>
      <c r="AH11" s="83">
        <v>14.1</v>
      </c>
      <c r="AI11" s="83">
        <v>1.9</v>
      </c>
      <c r="AJ11" s="83">
        <v>1.9</v>
      </c>
      <c r="AK11" s="83">
        <v>1.1000000000000001</v>
      </c>
      <c r="AL11" s="83">
        <v>4.0999999999999996</v>
      </c>
      <c r="AM11" s="83">
        <v>12.5</v>
      </c>
      <c r="AN11" s="83">
        <v>27.3</v>
      </c>
      <c r="AO11" s="83">
        <v>5.6</v>
      </c>
      <c r="AP11" s="83">
        <v>13.6</v>
      </c>
      <c r="AQ11" s="83">
        <v>15</v>
      </c>
      <c r="AR11" s="83">
        <v>19</v>
      </c>
      <c r="AS11" s="83">
        <v>4</v>
      </c>
      <c r="AT11" s="83">
        <v>6.9</v>
      </c>
      <c r="AU11" s="83">
        <v>0</v>
      </c>
      <c r="AV11" s="83">
        <v>103.5</v>
      </c>
      <c r="AW11" s="83">
        <v>0.3</v>
      </c>
      <c r="AX11" s="83">
        <v>0.5</v>
      </c>
      <c r="AY11" s="83">
        <v>14.1</v>
      </c>
      <c r="AZ11" s="83">
        <v>4752.3</v>
      </c>
      <c r="BA11" s="83">
        <v>12.7</v>
      </c>
      <c r="BB11" s="83">
        <v>0.1</v>
      </c>
      <c r="BC11" s="83">
        <v>9.1999999999999993</v>
      </c>
      <c r="BD11" s="83">
        <v>-116874.9</v>
      </c>
    </row>
    <row r="12" spans="1:56" ht="21" x14ac:dyDescent="0.3">
      <c r="A12" s="82" t="s">
        <v>573</v>
      </c>
      <c r="B12" s="81" t="s">
        <v>7</v>
      </c>
      <c r="C12" s="84">
        <v>2.2999999999999998</v>
      </c>
      <c r="D12" s="84">
        <v>0.4</v>
      </c>
      <c r="E12" s="84">
        <v>0</v>
      </c>
      <c r="F12" s="84">
        <v>4.9000000000000004</v>
      </c>
      <c r="G12" s="84">
        <v>0.1</v>
      </c>
      <c r="H12" s="84">
        <v>27.2</v>
      </c>
      <c r="I12" s="84">
        <v>11.3</v>
      </c>
      <c r="J12" s="84">
        <v>0.7</v>
      </c>
      <c r="K12" s="84">
        <v>22.2</v>
      </c>
      <c r="L12" s="84">
        <v>13.6</v>
      </c>
      <c r="M12" s="84">
        <v>615.79999999999995</v>
      </c>
      <c r="N12" s="84">
        <v>5.9</v>
      </c>
      <c r="O12" s="84">
        <v>41.4</v>
      </c>
      <c r="P12" s="84">
        <v>2553.6</v>
      </c>
      <c r="Q12" s="84">
        <v>11523.1</v>
      </c>
      <c r="R12" s="84">
        <v>29.1</v>
      </c>
      <c r="S12" s="84">
        <v>46.5</v>
      </c>
      <c r="T12" s="84">
        <v>13.5</v>
      </c>
      <c r="U12" s="84">
        <v>21.8</v>
      </c>
      <c r="V12" s="84">
        <v>16.5</v>
      </c>
      <c r="W12" s="84">
        <v>4.3</v>
      </c>
      <c r="X12" s="84">
        <v>7.2</v>
      </c>
      <c r="Y12" s="84">
        <v>44</v>
      </c>
      <c r="Z12" s="84">
        <v>10.4</v>
      </c>
      <c r="AA12" s="84">
        <v>285.39999999999998</v>
      </c>
      <c r="AB12" s="84">
        <v>3.2</v>
      </c>
      <c r="AC12" s="84">
        <v>1.2</v>
      </c>
      <c r="AD12" s="84">
        <v>1.6</v>
      </c>
      <c r="AE12" s="84">
        <v>0.7</v>
      </c>
      <c r="AF12" s="84">
        <v>0.6</v>
      </c>
      <c r="AG12" s="84">
        <v>0.1</v>
      </c>
      <c r="AH12" s="84">
        <v>6.8</v>
      </c>
      <c r="AI12" s="84">
        <v>0.5</v>
      </c>
      <c r="AJ12" s="84">
        <v>0.6</v>
      </c>
      <c r="AK12" s="84">
        <v>0.3</v>
      </c>
      <c r="AL12" s="84">
        <v>0.9</v>
      </c>
      <c r="AM12" s="84">
        <v>1</v>
      </c>
      <c r="AN12" s="84">
        <v>8.5</v>
      </c>
      <c r="AO12" s="84">
        <v>4.2</v>
      </c>
      <c r="AP12" s="84">
        <v>6.3</v>
      </c>
      <c r="AQ12" s="84">
        <v>1.4</v>
      </c>
      <c r="AR12" s="84">
        <v>8.1</v>
      </c>
      <c r="AS12" s="84">
        <v>1.6</v>
      </c>
      <c r="AT12" s="84">
        <v>3.6</v>
      </c>
      <c r="AU12" s="84">
        <v>0</v>
      </c>
      <c r="AV12" s="84">
        <v>24.9</v>
      </c>
      <c r="AW12" s="84">
        <v>0.2</v>
      </c>
      <c r="AX12" s="84">
        <v>0.3</v>
      </c>
      <c r="AY12" s="84">
        <v>6.9</v>
      </c>
      <c r="AZ12" s="84">
        <v>1.8</v>
      </c>
      <c r="BA12" s="84">
        <v>6.2</v>
      </c>
      <c r="BB12" s="84">
        <v>0.3</v>
      </c>
      <c r="BC12" s="84">
        <v>138.19999999999999</v>
      </c>
      <c r="BD12" s="84">
        <v>-11898.4</v>
      </c>
    </row>
    <row r="13" spans="1:56" ht="21" x14ac:dyDescent="0.3">
      <c r="A13" s="82" t="s">
        <v>93</v>
      </c>
      <c r="B13" s="81" t="s">
        <v>7</v>
      </c>
      <c r="C13" s="83">
        <v>0.2</v>
      </c>
      <c r="D13" s="83">
        <v>0.1</v>
      </c>
      <c r="E13" s="83">
        <v>0.1</v>
      </c>
      <c r="F13" s="83">
        <v>1.5</v>
      </c>
      <c r="G13" s="83">
        <v>0</v>
      </c>
      <c r="H13" s="83">
        <v>0.5</v>
      </c>
      <c r="I13" s="83">
        <v>0.2</v>
      </c>
      <c r="J13" s="83">
        <v>0</v>
      </c>
      <c r="K13" s="83">
        <v>0.4</v>
      </c>
      <c r="L13" s="83">
        <v>8.8000000000000007</v>
      </c>
      <c r="M13" s="83">
        <v>2.2999999999999998</v>
      </c>
      <c r="N13" s="83">
        <v>0.1</v>
      </c>
      <c r="O13" s="83">
        <v>0.6</v>
      </c>
      <c r="P13" s="83">
        <v>2.2999999999999998</v>
      </c>
      <c r="Q13" s="83">
        <v>5.5</v>
      </c>
      <c r="R13" s="83">
        <v>0.4</v>
      </c>
      <c r="S13" s="83">
        <v>0.8</v>
      </c>
      <c r="T13" s="83">
        <v>0.3</v>
      </c>
      <c r="U13" s="83">
        <v>0.6</v>
      </c>
      <c r="V13" s="83">
        <v>0.4</v>
      </c>
      <c r="W13" s="83">
        <v>0.2</v>
      </c>
      <c r="X13" s="83">
        <v>0.1</v>
      </c>
      <c r="Y13" s="83">
        <v>3.9</v>
      </c>
      <c r="Z13" s="83">
        <v>0.1</v>
      </c>
      <c r="AA13" s="83">
        <v>13.9</v>
      </c>
      <c r="AB13" s="83">
        <v>0.5</v>
      </c>
      <c r="AC13" s="83">
        <v>0.4</v>
      </c>
      <c r="AD13" s="83">
        <v>0.1</v>
      </c>
      <c r="AE13" s="83">
        <v>0.1</v>
      </c>
      <c r="AF13" s="83">
        <v>0.1</v>
      </c>
      <c r="AG13" s="83">
        <v>0</v>
      </c>
      <c r="AH13" s="83">
        <v>0.3</v>
      </c>
      <c r="AI13" s="83">
        <v>0.1</v>
      </c>
      <c r="AJ13" s="83">
        <v>0.1</v>
      </c>
      <c r="AK13" s="83">
        <v>0.1</v>
      </c>
      <c r="AL13" s="83">
        <v>0.2</v>
      </c>
      <c r="AM13" s="83">
        <v>0.4</v>
      </c>
      <c r="AN13" s="83">
        <v>0.7</v>
      </c>
      <c r="AO13" s="83">
        <v>0.2</v>
      </c>
      <c r="AP13" s="83">
        <v>0.3</v>
      </c>
      <c r="AQ13" s="83">
        <v>0.1</v>
      </c>
      <c r="AR13" s="83">
        <v>0.3</v>
      </c>
      <c r="AS13" s="83">
        <v>0.1</v>
      </c>
      <c r="AT13" s="83">
        <v>0.1</v>
      </c>
      <c r="AU13" s="83">
        <v>0</v>
      </c>
      <c r="AV13" s="83">
        <v>1.1000000000000001</v>
      </c>
      <c r="AW13" s="83">
        <v>0</v>
      </c>
      <c r="AX13" s="83">
        <v>0.1</v>
      </c>
      <c r="AY13" s="83">
        <v>2.7</v>
      </c>
      <c r="AZ13" s="83">
        <v>0.6</v>
      </c>
      <c r="BA13" s="83">
        <v>0.8</v>
      </c>
      <c r="BB13" s="83">
        <v>0</v>
      </c>
      <c r="BC13" s="83">
        <v>17.5</v>
      </c>
      <c r="BD13" s="83">
        <v>-48.2</v>
      </c>
    </row>
    <row r="14" spans="1:56" ht="21" x14ac:dyDescent="0.3">
      <c r="A14" s="82" t="s">
        <v>94</v>
      </c>
      <c r="B14" s="81" t="s">
        <v>7</v>
      </c>
      <c r="C14" s="84">
        <v>6360.4</v>
      </c>
      <c r="D14" s="84">
        <v>324.60000000000002</v>
      </c>
      <c r="E14" s="84">
        <v>1.5</v>
      </c>
      <c r="F14" s="84">
        <v>12.2</v>
      </c>
      <c r="G14" s="84">
        <v>0</v>
      </c>
      <c r="H14" s="84">
        <v>19121.599999999999</v>
      </c>
      <c r="I14" s="84">
        <v>1090.0999999999999</v>
      </c>
      <c r="J14" s="84">
        <v>33.200000000000003</v>
      </c>
      <c r="K14" s="84">
        <v>117.5</v>
      </c>
      <c r="L14" s="84">
        <v>76.900000000000006</v>
      </c>
      <c r="M14" s="84">
        <v>1165.7</v>
      </c>
      <c r="N14" s="84">
        <v>281.8</v>
      </c>
      <c r="O14" s="84">
        <v>246.4</v>
      </c>
      <c r="P14" s="84">
        <v>96.9</v>
      </c>
      <c r="Q14" s="84">
        <v>284</v>
      </c>
      <c r="R14" s="84">
        <v>287.8</v>
      </c>
      <c r="S14" s="84">
        <v>695.9</v>
      </c>
      <c r="T14" s="84">
        <v>222.4</v>
      </c>
      <c r="U14" s="84">
        <v>422.9</v>
      </c>
      <c r="V14" s="84">
        <v>264.2</v>
      </c>
      <c r="W14" s="84">
        <v>204.8</v>
      </c>
      <c r="X14" s="84">
        <v>93.9</v>
      </c>
      <c r="Y14" s="84">
        <v>78.3</v>
      </c>
      <c r="Z14" s="84">
        <v>24.4</v>
      </c>
      <c r="AA14" s="84">
        <v>222.3</v>
      </c>
      <c r="AB14" s="84">
        <v>1064.5999999999999</v>
      </c>
      <c r="AC14" s="84">
        <v>40</v>
      </c>
      <c r="AD14" s="84">
        <v>38.799999999999997</v>
      </c>
      <c r="AE14" s="84">
        <v>56.7</v>
      </c>
      <c r="AF14" s="84">
        <v>134.9</v>
      </c>
      <c r="AG14" s="84">
        <v>7.8</v>
      </c>
      <c r="AH14" s="84">
        <v>34180.5</v>
      </c>
      <c r="AI14" s="84">
        <v>112.9</v>
      </c>
      <c r="AJ14" s="84">
        <v>66.099999999999994</v>
      </c>
      <c r="AK14" s="84">
        <v>51.8</v>
      </c>
      <c r="AL14" s="84">
        <v>254.8</v>
      </c>
      <c r="AM14" s="84">
        <v>42.6</v>
      </c>
      <c r="AN14" s="84">
        <v>1071.4000000000001</v>
      </c>
      <c r="AO14" s="84">
        <v>246.8</v>
      </c>
      <c r="AP14" s="84">
        <v>787</v>
      </c>
      <c r="AQ14" s="84">
        <v>1903</v>
      </c>
      <c r="AR14" s="84">
        <v>2441.8000000000002</v>
      </c>
      <c r="AS14" s="84">
        <v>1541.6</v>
      </c>
      <c r="AT14" s="84">
        <v>386.1</v>
      </c>
      <c r="AU14" s="84">
        <v>0</v>
      </c>
      <c r="AV14" s="84">
        <v>47148.3</v>
      </c>
      <c r="AW14" s="84">
        <v>184.6</v>
      </c>
      <c r="AX14" s="84">
        <v>781.3</v>
      </c>
      <c r="AY14" s="84">
        <v>122.4</v>
      </c>
      <c r="AZ14" s="84">
        <v>700.4</v>
      </c>
      <c r="BA14" s="84">
        <v>1330.8</v>
      </c>
      <c r="BB14" s="84">
        <v>653.20000000000005</v>
      </c>
      <c r="BC14" s="84">
        <v>6634.3</v>
      </c>
      <c r="BD14" s="84">
        <v>-20594.8</v>
      </c>
    </row>
    <row r="15" spans="1:56" ht="21" x14ac:dyDescent="0.3">
      <c r="A15" s="82" t="s">
        <v>574</v>
      </c>
      <c r="B15" s="81" t="s">
        <v>7</v>
      </c>
      <c r="C15" s="83">
        <v>204.3</v>
      </c>
      <c r="D15" s="83">
        <v>678.9</v>
      </c>
      <c r="E15" s="83">
        <v>3.1</v>
      </c>
      <c r="F15" s="83">
        <v>23</v>
      </c>
      <c r="G15" s="83">
        <v>0.1</v>
      </c>
      <c r="H15" s="83">
        <v>563.4</v>
      </c>
      <c r="I15" s="83">
        <v>21919.4</v>
      </c>
      <c r="J15" s="83">
        <v>86.4</v>
      </c>
      <c r="K15" s="83">
        <v>526.1</v>
      </c>
      <c r="L15" s="83">
        <v>84.2</v>
      </c>
      <c r="M15" s="83">
        <v>511.8</v>
      </c>
      <c r="N15" s="83">
        <v>149.6</v>
      </c>
      <c r="O15" s="83">
        <v>2289.5</v>
      </c>
      <c r="P15" s="83">
        <v>315.7</v>
      </c>
      <c r="Q15" s="83">
        <v>729.1</v>
      </c>
      <c r="R15" s="83">
        <v>855.6</v>
      </c>
      <c r="S15" s="83">
        <v>1867.2</v>
      </c>
      <c r="T15" s="83">
        <v>661.4</v>
      </c>
      <c r="U15" s="83">
        <v>950.6</v>
      </c>
      <c r="V15" s="83">
        <v>1599.6</v>
      </c>
      <c r="W15" s="83">
        <v>682.3</v>
      </c>
      <c r="X15" s="83">
        <v>1923.2</v>
      </c>
      <c r="Y15" s="83">
        <v>176.2</v>
      </c>
      <c r="Z15" s="83">
        <v>159.4</v>
      </c>
      <c r="AA15" s="83">
        <v>643.79999999999995</v>
      </c>
      <c r="AB15" s="83">
        <v>1983.4</v>
      </c>
      <c r="AC15" s="83">
        <v>393</v>
      </c>
      <c r="AD15" s="83">
        <v>40.6</v>
      </c>
      <c r="AE15" s="83">
        <v>7.8</v>
      </c>
      <c r="AF15" s="83">
        <v>841.9</v>
      </c>
      <c r="AG15" s="83">
        <v>66.3</v>
      </c>
      <c r="AH15" s="83">
        <v>1151.3</v>
      </c>
      <c r="AI15" s="83">
        <v>144.19999999999999</v>
      </c>
      <c r="AJ15" s="83">
        <v>91.9</v>
      </c>
      <c r="AK15" s="83">
        <v>34.200000000000003</v>
      </c>
      <c r="AL15" s="83">
        <v>407.7</v>
      </c>
      <c r="AM15" s="83">
        <v>145.30000000000001</v>
      </c>
      <c r="AN15" s="83">
        <v>751.3</v>
      </c>
      <c r="AO15" s="83">
        <v>739.4</v>
      </c>
      <c r="AP15" s="83">
        <v>902.8</v>
      </c>
      <c r="AQ15" s="83">
        <v>322.5</v>
      </c>
      <c r="AR15" s="83">
        <v>1155.7</v>
      </c>
      <c r="AS15" s="83">
        <v>571.1</v>
      </c>
      <c r="AT15" s="83">
        <v>856.3</v>
      </c>
      <c r="AU15" s="83">
        <v>0</v>
      </c>
      <c r="AV15" s="83">
        <v>30964.5</v>
      </c>
      <c r="AW15" s="83">
        <v>50.5</v>
      </c>
      <c r="AX15" s="83">
        <v>2.5</v>
      </c>
      <c r="AY15" s="83">
        <v>309.5</v>
      </c>
      <c r="AZ15" s="83">
        <v>-80.5</v>
      </c>
      <c r="BA15" s="83">
        <v>811.5</v>
      </c>
      <c r="BB15" s="83">
        <v>482.6</v>
      </c>
      <c r="BC15" s="83">
        <v>10267.799999999999</v>
      </c>
      <c r="BD15" s="83">
        <v>-20685.599999999999</v>
      </c>
    </row>
    <row r="16" spans="1:56" ht="21" x14ac:dyDescent="0.3">
      <c r="A16" s="82" t="s">
        <v>575</v>
      </c>
      <c r="B16" s="81" t="s">
        <v>7</v>
      </c>
      <c r="C16" s="84">
        <v>38</v>
      </c>
      <c r="D16" s="84">
        <v>169.4</v>
      </c>
      <c r="E16" s="84">
        <v>1.4</v>
      </c>
      <c r="F16" s="84">
        <v>3.1</v>
      </c>
      <c r="G16" s="84">
        <v>0</v>
      </c>
      <c r="H16" s="84">
        <v>98.2</v>
      </c>
      <c r="I16" s="84">
        <v>80.400000000000006</v>
      </c>
      <c r="J16" s="84">
        <v>1533.5</v>
      </c>
      <c r="K16" s="84">
        <v>54.2</v>
      </c>
      <c r="L16" s="84">
        <v>11.3</v>
      </c>
      <c r="M16" s="84">
        <v>60.4</v>
      </c>
      <c r="N16" s="84">
        <v>6.4</v>
      </c>
      <c r="O16" s="84">
        <v>51.3</v>
      </c>
      <c r="P16" s="84">
        <v>113.3</v>
      </c>
      <c r="Q16" s="84">
        <v>157.30000000000001</v>
      </c>
      <c r="R16" s="84">
        <v>215.3</v>
      </c>
      <c r="S16" s="84">
        <v>101.7</v>
      </c>
      <c r="T16" s="84">
        <v>86.6</v>
      </c>
      <c r="U16" s="84">
        <v>175.1</v>
      </c>
      <c r="V16" s="84">
        <v>104.8</v>
      </c>
      <c r="W16" s="84">
        <v>39.4</v>
      </c>
      <c r="X16" s="84">
        <v>1381.4</v>
      </c>
      <c r="Y16" s="84">
        <v>305</v>
      </c>
      <c r="Z16" s="84">
        <v>7.6</v>
      </c>
      <c r="AA16" s="84">
        <v>4331.8999999999996</v>
      </c>
      <c r="AB16" s="84">
        <v>136.1</v>
      </c>
      <c r="AC16" s="84">
        <v>6.4</v>
      </c>
      <c r="AD16" s="84">
        <v>2</v>
      </c>
      <c r="AE16" s="84">
        <v>0.3</v>
      </c>
      <c r="AF16" s="84">
        <v>453</v>
      </c>
      <c r="AG16" s="84">
        <v>1.4</v>
      </c>
      <c r="AH16" s="84">
        <v>212.8</v>
      </c>
      <c r="AI16" s="84">
        <v>5.0999999999999996</v>
      </c>
      <c r="AJ16" s="84">
        <v>2.2999999999999998</v>
      </c>
      <c r="AK16" s="84">
        <v>2.7</v>
      </c>
      <c r="AL16" s="84">
        <v>3</v>
      </c>
      <c r="AM16" s="84">
        <v>3.1</v>
      </c>
      <c r="AN16" s="84">
        <v>13.9</v>
      </c>
      <c r="AO16" s="84">
        <v>27.8</v>
      </c>
      <c r="AP16" s="84">
        <v>4.5</v>
      </c>
      <c r="AQ16" s="84">
        <v>39.9</v>
      </c>
      <c r="AR16" s="84">
        <v>55.9</v>
      </c>
      <c r="AS16" s="84">
        <v>27.6</v>
      </c>
      <c r="AT16" s="84">
        <v>30.2</v>
      </c>
      <c r="AU16" s="84">
        <v>0</v>
      </c>
      <c r="AV16" s="84">
        <v>130.19999999999999</v>
      </c>
      <c r="AW16" s="84">
        <v>2</v>
      </c>
      <c r="AX16" s="84">
        <v>0.5</v>
      </c>
      <c r="AY16" s="84">
        <v>18</v>
      </c>
      <c r="AZ16" s="84">
        <v>170.7</v>
      </c>
      <c r="BA16" s="84">
        <v>57.3</v>
      </c>
      <c r="BB16" s="84">
        <v>27</v>
      </c>
      <c r="BC16" s="84">
        <v>151.5</v>
      </c>
      <c r="BD16" s="84">
        <v>-2783.3</v>
      </c>
    </row>
    <row r="17" spans="1:56" ht="21" x14ac:dyDescent="0.3">
      <c r="A17" s="82" t="s">
        <v>97</v>
      </c>
      <c r="B17" s="81" t="s">
        <v>7</v>
      </c>
      <c r="C17" s="83">
        <v>282.2</v>
      </c>
      <c r="D17" s="83">
        <v>19.8</v>
      </c>
      <c r="E17" s="83">
        <v>0.7</v>
      </c>
      <c r="F17" s="83">
        <v>8.6</v>
      </c>
      <c r="G17" s="83">
        <v>0</v>
      </c>
      <c r="H17" s="83">
        <v>2249.6999999999998</v>
      </c>
      <c r="I17" s="83">
        <v>811.7</v>
      </c>
      <c r="J17" s="83">
        <v>127.1</v>
      </c>
      <c r="K17" s="83">
        <v>10939.8</v>
      </c>
      <c r="L17" s="83">
        <v>87.2</v>
      </c>
      <c r="M17" s="83">
        <v>868.6</v>
      </c>
      <c r="N17" s="83">
        <v>365.9</v>
      </c>
      <c r="O17" s="83">
        <v>555.1</v>
      </c>
      <c r="P17" s="83">
        <v>345.3</v>
      </c>
      <c r="Q17" s="83">
        <v>266.5</v>
      </c>
      <c r="R17" s="83">
        <v>592.79999999999995</v>
      </c>
      <c r="S17" s="83">
        <v>828.9</v>
      </c>
      <c r="T17" s="83">
        <v>715.3</v>
      </c>
      <c r="U17" s="83">
        <v>418.6</v>
      </c>
      <c r="V17" s="83">
        <v>285.89999999999998</v>
      </c>
      <c r="W17" s="83">
        <v>98.9</v>
      </c>
      <c r="X17" s="83">
        <v>402.4</v>
      </c>
      <c r="Y17" s="83">
        <v>52.8</v>
      </c>
      <c r="Z17" s="83">
        <v>39.200000000000003</v>
      </c>
      <c r="AA17" s="83">
        <v>603.6</v>
      </c>
      <c r="AB17" s="83">
        <v>2387.8000000000002</v>
      </c>
      <c r="AC17" s="83">
        <v>55</v>
      </c>
      <c r="AD17" s="83">
        <v>19.8</v>
      </c>
      <c r="AE17" s="83">
        <v>6.6</v>
      </c>
      <c r="AF17" s="83">
        <v>316.3</v>
      </c>
      <c r="AG17" s="83">
        <v>157.4</v>
      </c>
      <c r="AH17" s="83">
        <v>788.4</v>
      </c>
      <c r="AI17" s="83">
        <v>1269.2</v>
      </c>
      <c r="AJ17" s="83">
        <v>181.6</v>
      </c>
      <c r="AK17" s="83">
        <v>248</v>
      </c>
      <c r="AL17" s="83">
        <v>1397.7</v>
      </c>
      <c r="AM17" s="83">
        <v>174.7</v>
      </c>
      <c r="AN17" s="83">
        <v>3022.5</v>
      </c>
      <c r="AO17" s="83">
        <v>352.1</v>
      </c>
      <c r="AP17" s="83">
        <v>669.9</v>
      </c>
      <c r="AQ17" s="83">
        <v>656.4</v>
      </c>
      <c r="AR17" s="83">
        <v>595.1</v>
      </c>
      <c r="AS17" s="83">
        <v>391.1</v>
      </c>
      <c r="AT17" s="83">
        <v>491.9</v>
      </c>
      <c r="AU17" s="83">
        <v>0</v>
      </c>
      <c r="AV17" s="83">
        <v>1111.2</v>
      </c>
      <c r="AW17" s="83">
        <v>19</v>
      </c>
      <c r="AX17" s="83">
        <v>1</v>
      </c>
      <c r="AY17" s="83">
        <v>72.099999999999994</v>
      </c>
      <c r="AZ17" s="83">
        <v>542.5</v>
      </c>
      <c r="BA17" s="83">
        <v>156</v>
      </c>
      <c r="BB17" s="83">
        <v>79.400000000000006</v>
      </c>
      <c r="BC17" s="83">
        <v>3518</v>
      </c>
      <c r="BD17" s="83">
        <v>-4120.6000000000004</v>
      </c>
    </row>
    <row r="18" spans="1:56" ht="21" x14ac:dyDescent="0.3">
      <c r="A18" s="82" t="s">
        <v>98</v>
      </c>
      <c r="B18" s="81" t="s">
        <v>7</v>
      </c>
      <c r="C18" s="84">
        <v>628.70000000000005</v>
      </c>
      <c r="D18" s="84">
        <v>686.7</v>
      </c>
      <c r="E18" s="84">
        <v>0.8</v>
      </c>
      <c r="F18" s="84">
        <v>124</v>
      </c>
      <c r="G18" s="84">
        <v>0.5</v>
      </c>
      <c r="H18" s="84">
        <v>465.1</v>
      </c>
      <c r="I18" s="84">
        <v>644.5</v>
      </c>
      <c r="J18" s="84">
        <v>71.400000000000006</v>
      </c>
      <c r="K18" s="84">
        <v>377.9</v>
      </c>
      <c r="L18" s="84">
        <v>7012.1</v>
      </c>
      <c r="M18" s="84">
        <v>19337.400000000001</v>
      </c>
      <c r="N18" s="84">
        <v>246.2</v>
      </c>
      <c r="O18" s="84">
        <v>1830.3</v>
      </c>
      <c r="P18" s="84">
        <v>1710.4</v>
      </c>
      <c r="Q18" s="84">
        <v>890.8</v>
      </c>
      <c r="R18" s="84">
        <v>878.1</v>
      </c>
      <c r="S18" s="84">
        <v>1654.2</v>
      </c>
      <c r="T18" s="84">
        <v>678.9</v>
      </c>
      <c r="U18" s="84">
        <v>631</v>
      </c>
      <c r="V18" s="84">
        <v>737.6</v>
      </c>
      <c r="W18" s="84">
        <v>402.6</v>
      </c>
      <c r="X18" s="84">
        <v>204.6</v>
      </c>
      <c r="Y18" s="84">
        <v>4004.7</v>
      </c>
      <c r="Z18" s="84">
        <v>314.7</v>
      </c>
      <c r="AA18" s="84">
        <v>2231.6999999999998</v>
      </c>
      <c r="AB18" s="84">
        <v>5094.5</v>
      </c>
      <c r="AC18" s="84">
        <v>9611.2999999999993</v>
      </c>
      <c r="AD18" s="84">
        <v>1876.1</v>
      </c>
      <c r="AE18" s="84">
        <v>4680.8</v>
      </c>
      <c r="AF18" s="84">
        <v>517.9</v>
      </c>
      <c r="AG18" s="84">
        <v>811</v>
      </c>
      <c r="AH18" s="84">
        <v>1541.1</v>
      </c>
      <c r="AI18" s="84">
        <v>210.8</v>
      </c>
      <c r="AJ18" s="84">
        <v>187.7</v>
      </c>
      <c r="AK18" s="84">
        <v>114.9</v>
      </c>
      <c r="AL18" s="84">
        <v>364.1</v>
      </c>
      <c r="AM18" s="84">
        <v>819.7</v>
      </c>
      <c r="AN18" s="84">
        <v>2646.3</v>
      </c>
      <c r="AO18" s="84">
        <v>584.5</v>
      </c>
      <c r="AP18" s="84">
        <v>1633.1</v>
      </c>
      <c r="AQ18" s="84">
        <v>1620.9</v>
      </c>
      <c r="AR18" s="84">
        <v>2033.1</v>
      </c>
      <c r="AS18" s="84">
        <v>458.7</v>
      </c>
      <c r="AT18" s="84">
        <v>939.5</v>
      </c>
      <c r="AU18" s="84">
        <v>0</v>
      </c>
      <c r="AV18" s="84">
        <v>12483.2</v>
      </c>
      <c r="AW18" s="84">
        <v>35.299999999999997</v>
      </c>
      <c r="AX18" s="84">
        <v>4</v>
      </c>
      <c r="AY18" s="84">
        <v>62.8</v>
      </c>
      <c r="AZ18" s="84">
        <v>1297.0999999999999</v>
      </c>
      <c r="BA18" s="84">
        <v>587.1</v>
      </c>
      <c r="BB18" s="84">
        <v>322.39999999999998</v>
      </c>
      <c r="BC18" s="84">
        <v>52580.3</v>
      </c>
      <c r="BD18" s="84">
        <v>-26881.9</v>
      </c>
    </row>
    <row r="19" spans="1:56" ht="21" x14ac:dyDescent="0.3">
      <c r="A19" s="82" t="s">
        <v>576</v>
      </c>
      <c r="B19" s="81" t="s">
        <v>7</v>
      </c>
      <c r="C19" s="83">
        <v>2795.1</v>
      </c>
      <c r="D19" s="83">
        <v>49.1</v>
      </c>
      <c r="E19" s="83">
        <v>3.4</v>
      </c>
      <c r="F19" s="83">
        <v>92.7</v>
      </c>
      <c r="G19" s="83">
        <v>0.3</v>
      </c>
      <c r="H19" s="83">
        <v>818.1</v>
      </c>
      <c r="I19" s="83">
        <v>4213.3</v>
      </c>
      <c r="J19" s="83">
        <v>520.70000000000005</v>
      </c>
      <c r="K19" s="83">
        <v>1569.9</v>
      </c>
      <c r="L19" s="83">
        <v>1644.9</v>
      </c>
      <c r="M19" s="83">
        <v>38536.9</v>
      </c>
      <c r="N19" s="83">
        <v>1621.7</v>
      </c>
      <c r="O19" s="83">
        <v>16882.8</v>
      </c>
      <c r="P19" s="83">
        <v>1454.6</v>
      </c>
      <c r="Q19" s="83">
        <v>1785.1</v>
      </c>
      <c r="R19" s="83">
        <v>2913.8</v>
      </c>
      <c r="S19" s="83">
        <v>12206.1</v>
      </c>
      <c r="T19" s="83">
        <v>3896.1</v>
      </c>
      <c r="U19" s="83">
        <v>1573.4</v>
      </c>
      <c r="V19" s="83">
        <v>2339.8000000000002</v>
      </c>
      <c r="W19" s="83">
        <v>629.4</v>
      </c>
      <c r="X19" s="83">
        <v>1010.8</v>
      </c>
      <c r="Y19" s="83">
        <v>2085.5</v>
      </c>
      <c r="Z19" s="83">
        <v>340.8</v>
      </c>
      <c r="AA19" s="83">
        <v>2451.8000000000002</v>
      </c>
      <c r="AB19" s="83">
        <v>1246.9000000000001</v>
      </c>
      <c r="AC19" s="83">
        <v>480.6</v>
      </c>
      <c r="AD19" s="83">
        <v>84.9</v>
      </c>
      <c r="AE19" s="83">
        <v>140.80000000000001</v>
      </c>
      <c r="AF19" s="83">
        <v>176.5</v>
      </c>
      <c r="AG19" s="83">
        <v>29.3</v>
      </c>
      <c r="AH19" s="83">
        <v>916.8</v>
      </c>
      <c r="AI19" s="83">
        <v>394.5</v>
      </c>
      <c r="AJ19" s="83">
        <v>69</v>
      </c>
      <c r="AK19" s="83">
        <v>78</v>
      </c>
      <c r="AL19" s="83">
        <v>169.9</v>
      </c>
      <c r="AM19" s="83">
        <v>151.19999999999999</v>
      </c>
      <c r="AN19" s="83">
        <v>2714</v>
      </c>
      <c r="AO19" s="83">
        <v>868.2</v>
      </c>
      <c r="AP19" s="83">
        <v>416.2</v>
      </c>
      <c r="AQ19" s="83">
        <v>411.2</v>
      </c>
      <c r="AR19" s="83">
        <v>2154.9</v>
      </c>
      <c r="AS19" s="83">
        <v>529.70000000000005</v>
      </c>
      <c r="AT19" s="83">
        <v>2536.9</v>
      </c>
      <c r="AU19" s="83">
        <v>0</v>
      </c>
      <c r="AV19" s="83">
        <v>9661.4</v>
      </c>
      <c r="AW19" s="83">
        <v>34</v>
      </c>
      <c r="AX19" s="83">
        <v>21.2</v>
      </c>
      <c r="AY19" s="83">
        <v>259.10000000000002</v>
      </c>
      <c r="AZ19" s="83">
        <v>1808.9</v>
      </c>
      <c r="BA19" s="83">
        <v>208.8</v>
      </c>
      <c r="BB19" s="83">
        <v>127.4</v>
      </c>
      <c r="BC19" s="83">
        <v>67713.8</v>
      </c>
      <c r="BD19" s="83">
        <v>-38176.5</v>
      </c>
    </row>
    <row r="20" spans="1:56" ht="21" x14ac:dyDescent="0.3">
      <c r="A20" s="82" t="s">
        <v>577</v>
      </c>
      <c r="B20" s="81" t="s">
        <v>7</v>
      </c>
      <c r="C20" s="84">
        <v>73.8</v>
      </c>
      <c r="D20" s="84">
        <v>15.4</v>
      </c>
      <c r="E20" s="84">
        <v>0.5</v>
      </c>
      <c r="F20" s="84">
        <v>1.9</v>
      </c>
      <c r="G20" s="84">
        <v>0</v>
      </c>
      <c r="H20" s="84">
        <v>165.3</v>
      </c>
      <c r="I20" s="84">
        <v>187</v>
      </c>
      <c r="J20" s="84">
        <v>9.4</v>
      </c>
      <c r="K20" s="84">
        <v>24</v>
      </c>
      <c r="L20" s="84">
        <v>15.1</v>
      </c>
      <c r="M20" s="84">
        <v>132.6</v>
      </c>
      <c r="N20" s="84">
        <v>1327.7</v>
      </c>
      <c r="O20" s="84">
        <v>78.900000000000006</v>
      </c>
      <c r="P20" s="84">
        <v>22</v>
      </c>
      <c r="Q20" s="84">
        <v>69.8</v>
      </c>
      <c r="R20" s="84">
        <v>75.5</v>
      </c>
      <c r="S20" s="84">
        <v>225.3</v>
      </c>
      <c r="T20" s="84">
        <v>62.6</v>
      </c>
      <c r="U20" s="84">
        <v>111.2</v>
      </c>
      <c r="V20" s="84">
        <v>73.7</v>
      </c>
      <c r="W20" s="84">
        <v>64.7</v>
      </c>
      <c r="X20" s="84">
        <v>30.5</v>
      </c>
      <c r="Y20" s="84">
        <v>16.3</v>
      </c>
      <c r="Z20" s="84">
        <v>20.9</v>
      </c>
      <c r="AA20" s="84">
        <v>34.5</v>
      </c>
      <c r="AB20" s="84">
        <v>58.2</v>
      </c>
      <c r="AC20" s="84">
        <v>5.5</v>
      </c>
      <c r="AD20" s="84">
        <v>3</v>
      </c>
      <c r="AE20" s="84">
        <v>6.1</v>
      </c>
      <c r="AF20" s="84">
        <v>6.3</v>
      </c>
      <c r="AG20" s="84">
        <v>1.4</v>
      </c>
      <c r="AH20" s="84">
        <v>53.6</v>
      </c>
      <c r="AI20" s="84">
        <v>6.7</v>
      </c>
      <c r="AJ20" s="84">
        <v>11</v>
      </c>
      <c r="AK20" s="84">
        <v>4.9000000000000004</v>
      </c>
      <c r="AL20" s="84">
        <v>14.1</v>
      </c>
      <c r="AM20" s="84">
        <v>13.5</v>
      </c>
      <c r="AN20" s="84">
        <v>406</v>
      </c>
      <c r="AO20" s="84">
        <v>23.8</v>
      </c>
      <c r="AP20" s="84">
        <v>157.30000000000001</v>
      </c>
      <c r="AQ20" s="84">
        <v>70.7</v>
      </c>
      <c r="AR20" s="84">
        <v>15666.7</v>
      </c>
      <c r="AS20" s="84">
        <v>15</v>
      </c>
      <c r="AT20" s="84">
        <v>22.9</v>
      </c>
      <c r="AU20" s="84">
        <v>0</v>
      </c>
      <c r="AV20" s="84">
        <v>1313.2</v>
      </c>
      <c r="AW20" s="84">
        <v>33.1</v>
      </c>
      <c r="AX20" s="84">
        <v>1177.2</v>
      </c>
      <c r="AY20" s="84">
        <v>352.5</v>
      </c>
      <c r="AZ20" s="84">
        <v>572.79999999999995</v>
      </c>
      <c r="BA20" s="84">
        <v>166.4</v>
      </c>
      <c r="BB20" s="84">
        <v>82.1</v>
      </c>
      <c r="BC20" s="84">
        <v>3194.6</v>
      </c>
      <c r="BD20" s="84">
        <v>-5846.3</v>
      </c>
    </row>
    <row r="21" spans="1:56" ht="21" x14ac:dyDescent="0.3">
      <c r="A21" s="82" t="s">
        <v>100</v>
      </c>
      <c r="B21" s="81" t="s">
        <v>7</v>
      </c>
      <c r="C21" s="83">
        <v>376.3</v>
      </c>
      <c r="D21" s="83">
        <v>150</v>
      </c>
      <c r="E21" s="83">
        <v>3.9</v>
      </c>
      <c r="F21" s="83">
        <v>26.8</v>
      </c>
      <c r="G21" s="83">
        <v>0.1</v>
      </c>
      <c r="H21" s="83">
        <v>2382.5</v>
      </c>
      <c r="I21" s="83">
        <v>1740.6</v>
      </c>
      <c r="J21" s="83">
        <v>114.7</v>
      </c>
      <c r="K21" s="83">
        <v>395.7</v>
      </c>
      <c r="L21" s="83">
        <v>101.5</v>
      </c>
      <c r="M21" s="83">
        <v>1891.8</v>
      </c>
      <c r="N21" s="83">
        <v>308.89999999999998</v>
      </c>
      <c r="O21" s="83">
        <v>6343.7</v>
      </c>
      <c r="P21" s="83">
        <v>492.1</v>
      </c>
      <c r="Q21" s="83">
        <v>669.7</v>
      </c>
      <c r="R21" s="83">
        <v>1748.7</v>
      </c>
      <c r="S21" s="83">
        <v>7477.7</v>
      </c>
      <c r="T21" s="83">
        <v>4239.8999999999996</v>
      </c>
      <c r="U21" s="83">
        <v>3757.4</v>
      </c>
      <c r="V21" s="83">
        <v>11162.8</v>
      </c>
      <c r="W21" s="83">
        <v>752.7</v>
      </c>
      <c r="X21" s="83">
        <v>1980.6</v>
      </c>
      <c r="Y21" s="83">
        <v>385.2</v>
      </c>
      <c r="Z21" s="83">
        <v>91.7</v>
      </c>
      <c r="AA21" s="83">
        <v>8644.7999999999993</v>
      </c>
      <c r="AB21" s="83">
        <v>2706.7</v>
      </c>
      <c r="AC21" s="83">
        <v>549.70000000000005</v>
      </c>
      <c r="AD21" s="83">
        <v>25</v>
      </c>
      <c r="AE21" s="83">
        <v>30.1</v>
      </c>
      <c r="AF21" s="83">
        <v>435.6</v>
      </c>
      <c r="AG21" s="83">
        <v>153.1</v>
      </c>
      <c r="AH21" s="83">
        <v>1289.2</v>
      </c>
      <c r="AI21" s="83">
        <v>98.1</v>
      </c>
      <c r="AJ21" s="83">
        <v>29.5</v>
      </c>
      <c r="AK21" s="83">
        <v>34.299999999999997</v>
      </c>
      <c r="AL21" s="83">
        <v>102.4</v>
      </c>
      <c r="AM21" s="83">
        <v>99.1</v>
      </c>
      <c r="AN21" s="83">
        <v>1860.8</v>
      </c>
      <c r="AO21" s="83">
        <v>357.8</v>
      </c>
      <c r="AP21" s="83">
        <v>134.19999999999999</v>
      </c>
      <c r="AQ21" s="83">
        <v>228.3</v>
      </c>
      <c r="AR21" s="83">
        <v>377.9</v>
      </c>
      <c r="AS21" s="83">
        <v>120.7</v>
      </c>
      <c r="AT21" s="83">
        <v>1005</v>
      </c>
      <c r="AU21" s="83">
        <v>0</v>
      </c>
      <c r="AV21" s="83">
        <v>857.3</v>
      </c>
      <c r="AW21" s="83">
        <v>2.4</v>
      </c>
      <c r="AX21" s="83">
        <v>2.2999999999999998</v>
      </c>
      <c r="AY21" s="83">
        <v>348.9</v>
      </c>
      <c r="AZ21" s="83">
        <v>892.5</v>
      </c>
      <c r="BA21" s="83">
        <v>8.1</v>
      </c>
      <c r="BB21" s="83">
        <v>8.6</v>
      </c>
      <c r="BC21" s="83">
        <v>15802.4</v>
      </c>
      <c r="BD21" s="83">
        <v>-7134.8</v>
      </c>
    </row>
    <row r="22" spans="1:56" ht="21" x14ac:dyDescent="0.3">
      <c r="A22" s="82" t="s">
        <v>101</v>
      </c>
      <c r="B22" s="81" t="s">
        <v>7</v>
      </c>
      <c r="C22" s="84">
        <v>18.899999999999999</v>
      </c>
      <c r="D22" s="84">
        <v>3.4</v>
      </c>
      <c r="E22" s="84">
        <v>0.4</v>
      </c>
      <c r="F22" s="84">
        <v>16</v>
      </c>
      <c r="G22" s="84">
        <v>0.1</v>
      </c>
      <c r="H22" s="84">
        <v>645.9</v>
      </c>
      <c r="I22" s="84">
        <v>176.6</v>
      </c>
      <c r="J22" s="84">
        <v>24.6</v>
      </c>
      <c r="K22" s="84">
        <v>124.6</v>
      </c>
      <c r="L22" s="84">
        <v>54.6</v>
      </c>
      <c r="M22" s="84">
        <v>706.7</v>
      </c>
      <c r="N22" s="84">
        <v>276.89999999999998</v>
      </c>
      <c r="O22" s="84">
        <v>245.9</v>
      </c>
      <c r="P22" s="84">
        <v>5737.2</v>
      </c>
      <c r="Q22" s="84">
        <v>2405.9</v>
      </c>
      <c r="R22" s="84">
        <v>476.4</v>
      </c>
      <c r="S22" s="84">
        <v>3576.1</v>
      </c>
      <c r="T22" s="84">
        <v>1107.8</v>
      </c>
      <c r="U22" s="84">
        <v>530.9</v>
      </c>
      <c r="V22" s="84">
        <v>1130.2</v>
      </c>
      <c r="W22" s="84">
        <v>228.8</v>
      </c>
      <c r="X22" s="84">
        <v>214.3</v>
      </c>
      <c r="Y22" s="84">
        <v>65.8</v>
      </c>
      <c r="Z22" s="84">
        <v>60.2</v>
      </c>
      <c r="AA22" s="84">
        <v>21209.8</v>
      </c>
      <c r="AB22" s="84">
        <v>124.2</v>
      </c>
      <c r="AC22" s="84">
        <v>38</v>
      </c>
      <c r="AD22" s="84">
        <v>12.5</v>
      </c>
      <c r="AE22" s="84">
        <v>6.7</v>
      </c>
      <c r="AF22" s="84">
        <v>49.1</v>
      </c>
      <c r="AG22" s="84">
        <v>0.9</v>
      </c>
      <c r="AH22" s="84">
        <v>346.4</v>
      </c>
      <c r="AI22" s="84">
        <v>8.1</v>
      </c>
      <c r="AJ22" s="84">
        <v>10.199999999999999</v>
      </c>
      <c r="AK22" s="84">
        <v>5.8</v>
      </c>
      <c r="AL22" s="84">
        <v>18.399999999999999</v>
      </c>
      <c r="AM22" s="84">
        <v>53.2</v>
      </c>
      <c r="AN22" s="84">
        <v>219.9</v>
      </c>
      <c r="AO22" s="84">
        <v>70.5</v>
      </c>
      <c r="AP22" s="84">
        <v>100.1</v>
      </c>
      <c r="AQ22" s="84">
        <v>64.099999999999994</v>
      </c>
      <c r="AR22" s="84">
        <v>110.9</v>
      </c>
      <c r="AS22" s="84">
        <v>137.69999999999999</v>
      </c>
      <c r="AT22" s="84">
        <v>82.8</v>
      </c>
      <c r="AU22" s="84">
        <v>0</v>
      </c>
      <c r="AV22" s="84">
        <v>196.1</v>
      </c>
      <c r="AW22" s="84">
        <v>1.3</v>
      </c>
      <c r="AX22" s="84">
        <v>1.2</v>
      </c>
      <c r="AY22" s="84">
        <v>73.7</v>
      </c>
      <c r="AZ22" s="84">
        <v>453.3</v>
      </c>
      <c r="BA22" s="84">
        <v>3.9</v>
      </c>
      <c r="BB22" s="84">
        <v>2.5</v>
      </c>
      <c r="BC22" s="84">
        <v>3990.7</v>
      </c>
      <c r="BD22" s="84">
        <v>-5359.2</v>
      </c>
    </row>
    <row r="23" spans="1:56" x14ac:dyDescent="0.3">
      <c r="A23" s="82" t="s">
        <v>578</v>
      </c>
      <c r="B23" s="81" t="s">
        <v>7</v>
      </c>
      <c r="C23" s="83">
        <v>51.9</v>
      </c>
      <c r="D23" s="83">
        <v>12.7</v>
      </c>
      <c r="E23" s="83">
        <v>3</v>
      </c>
      <c r="F23" s="83">
        <v>7.2</v>
      </c>
      <c r="G23" s="83">
        <v>0.2</v>
      </c>
      <c r="H23" s="83">
        <v>208.9</v>
      </c>
      <c r="I23" s="83">
        <v>515.20000000000005</v>
      </c>
      <c r="J23" s="83">
        <v>43</v>
      </c>
      <c r="K23" s="83">
        <v>78.5</v>
      </c>
      <c r="L23" s="83">
        <v>153.4</v>
      </c>
      <c r="M23" s="83">
        <v>1304.7</v>
      </c>
      <c r="N23" s="83">
        <v>141.6</v>
      </c>
      <c r="O23" s="83">
        <v>942</v>
      </c>
      <c r="P23" s="83">
        <v>702.9</v>
      </c>
      <c r="Q23" s="83">
        <v>46516</v>
      </c>
      <c r="R23" s="83">
        <v>15442.4</v>
      </c>
      <c r="S23" s="83">
        <v>6515.5</v>
      </c>
      <c r="T23" s="83">
        <v>8611.7999999999993</v>
      </c>
      <c r="U23" s="83">
        <v>10044.4</v>
      </c>
      <c r="V23" s="83">
        <v>10463</v>
      </c>
      <c r="W23" s="83">
        <v>4750.1000000000004</v>
      </c>
      <c r="X23" s="83">
        <v>1407.3</v>
      </c>
      <c r="Y23" s="83">
        <v>228.4</v>
      </c>
      <c r="Z23" s="83">
        <v>141.4</v>
      </c>
      <c r="AA23" s="83">
        <v>15070.1</v>
      </c>
      <c r="AB23" s="83">
        <v>139.6</v>
      </c>
      <c r="AC23" s="83">
        <v>56.9</v>
      </c>
      <c r="AD23" s="83">
        <v>10.199999999999999</v>
      </c>
      <c r="AE23" s="83">
        <v>58</v>
      </c>
      <c r="AF23" s="83">
        <v>50.3</v>
      </c>
      <c r="AG23" s="83">
        <v>5.7</v>
      </c>
      <c r="AH23" s="83">
        <v>64</v>
      </c>
      <c r="AI23" s="83">
        <v>12.7</v>
      </c>
      <c r="AJ23" s="83">
        <v>24.6</v>
      </c>
      <c r="AK23" s="83">
        <v>9.6999999999999993</v>
      </c>
      <c r="AL23" s="83">
        <v>25.9</v>
      </c>
      <c r="AM23" s="83">
        <v>34.1</v>
      </c>
      <c r="AN23" s="83">
        <v>391.3</v>
      </c>
      <c r="AO23" s="83">
        <v>42.2</v>
      </c>
      <c r="AP23" s="83">
        <v>45.4</v>
      </c>
      <c r="AQ23" s="83">
        <v>42.8</v>
      </c>
      <c r="AR23" s="83">
        <v>271</v>
      </c>
      <c r="AS23" s="83">
        <v>18.3</v>
      </c>
      <c r="AT23" s="83">
        <v>59.7</v>
      </c>
      <c r="AU23" s="83">
        <v>0</v>
      </c>
      <c r="AV23" s="83">
        <v>393</v>
      </c>
      <c r="AW23" s="83">
        <v>1.4</v>
      </c>
      <c r="AX23" s="83">
        <v>2.2000000000000002</v>
      </c>
      <c r="AY23" s="83">
        <v>558</v>
      </c>
      <c r="AZ23" s="83">
        <v>761</v>
      </c>
      <c r="BA23" s="83">
        <v>12.1</v>
      </c>
      <c r="BB23" s="83">
        <v>8</v>
      </c>
      <c r="BC23" s="83">
        <v>42264.6</v>
      </c>
      <c r="BD23" s="83">
        <v>-31306.6</v>
      </c>
    </row>
    <row r="24" spans="1:56" x14ac:dyDescent="0.3">
      <c r="A24" s="82" t="s">
        <v>579</v>
      </c>
      <c r="B24" s="81" t="s">
        <v>7</v>
      </c>
      <c r="C24" s="84">
        <v>61.5</v>
      </c>
      <c r="D24" s="84">
        <v>17</v>
      </c>
      <c r="E24" s="84">
        <v>9.8000000000000007</v>
      </c>
      <c r="F24" s="84">
        <v>45.7</v>
      </c>
      <c r="G24" s="84">
        <v>0.3</v>
      </c>
      <c r="H24" s="84">
        <v>1530.9</v>
      </c>
      <c r="I24" s="84">
        <v>795.2</v>
      </c>
      <c r="J24" s="84">
        <v>221.5</v>
      </c>
      <c r="K24" s="84">
        <v>144.1</v>
      </c>
      <c r="L24" s="84">
        <v>662.7</v>
      </c>
      <c r="M24" s="84">
        <v>1048.4000000000001</v>
      </c>
      <c r="N24" s="84">
        <v>170</v>
      </c>
      <c r="O24" s="84">
        <v>900.3</v>
      </c>
      <c r="P24" s="84">
        <v>570.79999999999995</v>
      </c>
      <c r="Q24" s="84">
        <v>1872.7</v>
      </c>
      <c r="R24" s="84">
        <v>11699.8</v>
      </c>
      <c r="S24" s="84">
        <v>3511.6</v>
      </c>
      <c r="T24" s="84">
        <v>3174.5</v>
      </c>
      <c r="U24" s="84">
        <v>12308.6</v>
      </c>
      <c r="V24" s="84">
        <v>8975.7000000000007</v>
      </c>
      <c r="W24" s="84">
        <v>4611.3</v>
      </c>
      <c r="X24" s="84">
        <v>1625.2</v>
      </c>
      <c r="Y24" s="84">
        <v>886.8</v>
      </c>
      <c r="Z24" s="84">
        <v>101.5</v>
      </c>
      <c r="AA24" s="84">
        <v>18765.599999999999</v>
      </c>
      <c r="AB24" s="84">
        <v>700.4</v>
      </c>
      <c r="AC24" s="84">
        <v>213.2</v>
      </c>
      <c r="AD24" s="84">
        <v>47.7</v>
      </c>
      <c r="AE24" s="84">
        <v>45.4</v>
      </c>
      <c r="AF24" s="84">
        <v>369.6</v>
      </c>
      <c r="AG24" s="84">
        <v>18.899999999999999</v>
      </c>
      <c r="AH24" s="84">
        <v>770.1</v>
      </c>
      <c r="AI24" s="84">
        <v>61.8</v>
      </c>
      <c r="AJ24" s="84">
        <v>52.1</v>
      </c>
      <c r="AK24" s="84">
        <v>62.1</v>
      </c>
      <c r="AL24" s="84">
        <v>195.8</v>
      </c>
      <c r="AM24" s="84">
        <v>94.8</v>
      </c>
      <c r="AN24" s="84">
        <v>694</v>
      </c>
      <c r="AO24" s="84">
        <v>350.8</v>
      </c>
      <c r="AP24" s="84">
        <v>513.6</v>
      </c>
      <c r="AQ24" s="84">
        <v>245.3</v>
      </c>
      <c r="AR24" s="84">
        <v>286.3</v>
      </c>
      <c r="AS24" s="84">
        <v>225.2</v>
      </c>
      <c r="AT24" s="84">
        <v>732.1</v>
      </c>
      <c r="AU24" s="84">
        <v>0</v>
      </c>
      <c r="AV24" s="84">
        <v>1534.3</v>
      </c>
      <c r="AW24" s="84">
        <v>7</v>
      </c>
      <c r="AX24" s="84">
        <v>3.5</v>
      </c>
      <c r="AY24" s="84">
        <v>6106.7</v>
      </c>
      <c r="AZ24" s="84">
        <v>1164.5999999999999</v>
      </c>
      <c r="BA24" s="84">
        <v>8.6999999999999993</v>
      </c>
      <c r="BB24" s="84">
        <v>8.9</v>
      </c>
      <c r="BC24" s="84">
        <v>11607.8</v>
      </c>
      <c r="BD24" s="84">
        <v>-7444.9</v>
      </c>
    </row>
    <row r="25" spans="1:56" ht="21" x14ac:dyDescent="0.3">
      <c r="A25" s="82" t="s">
        <v>580</v>
      </c>
      <c r="B25" s="81" t="s">
        <v>7</v>
      </c>
      <c r="C25" s="83">
        <v>177.9</v>
      </c>
      <c r="D25" s="83">
        <v>40.200000000000003</v>
      </c>
      <c r="E25" s="83">
        <v>4.5999999999999996</v>
      </c>
      <c r="F25" s="83">
        <v>22.6</v>
      </c>
      <c r="G25" s="83">
        <v>0.1</v>
      </c>
      <c r="H25" s="83">
        <v>1110.5999999999999</v>
      </c>
      <c r="I25" s="83">
        <v>2118.6999999999998</v>
      </c>
      <c r="J25" s="83">
        <v>114.2</v>
      </c>
      <c r="K25" s="83">
        <v>342.1</v>
      </c>
      <c r="L25" s="83">
        <v>308.89999999999998</v>
      </c>
      <c r="M25" s="83">
        <v>1102.5999999999999</v>
      </c>
      <c r="N25" s="83">
        <v>216.9</v>
      </c>
      <c r="O25" s="83">
        <v>983.8</v>
      </c>
      <c r="P25" s="83">
        <v>342.9</v>
      </c>
      <c r="Q25" s="83">
        <v>1218.3</v>
      </c>
      <c r="R25" s="83">
        <v>1401.5</v>
      </c>
      <c r="S25" s="83">
        <v>76088.800000000003</v>
      </c>
      <c r="T25" s="83">
        <v>5535.5</v>
      </c>
      <c r="U25" s="83">
        <v>6737.1</v>
      </c>
      <c r="V25" s="83">
        <v>6186.1</v>
      </c>
      <c r="W25" s="83">
        <v>2132.1</v>
      </c>
      <c r="X25" s="83">
        <v>946.4</v>
      </c>
      <c r="Y25" s="83">
        <v>1030.3</v>
      </c>
      <c r="Z25" s="83">
        <v>153.9</v>
      </c>
      <c r="AA25" s="83">
        <v>2294.3000000000002</v>
      </c>
      <c r="AB25" s="83">
        <v>1550.1</v>
      </c>
      <c r="AC25" s="83">
        <v>216.2</v>
      </c>
      <c r="AD25" s="83">
        <v>42.2</v>
      </c>
      <c r="AE25" s="83">
        <v>65.400000000000006</v>
      </c>
      <c r="AF25" s="83">
        <v>319</v>
      </c>
      <c r="AG25" s="83">
        <v>79.400000000000006</v>
      </c>
      <c r="AH25" s="83">
        <v>769.3</v>
      </c>
      <c r="AI25" s="83">
        <v>971.5</v>
      </c>
      <c r="AJ25" s="83">
        <v>1387</v>
      </c>
      <c r="AK25" s="83">
        <v>2045.1</v>
      </c>
      <c r="AL25" s="83">
        <v>667.8</v>
      </c>
      <c r="AM25" s="83">
        <v>419.4</v>
      </c>
      <c r="AN25" s="83">
        <v>6063.7</v>
      </c>
      <c r="AO25" s="83">
        <v>592.6</v>
      </c>
      <c r="AP25" s="83">
        <v>807.8</v>
      </c>
      <c r="AQ25" s="83">
        <v>1123.5999999999999</v>
      </c>
      <c r="AR25" s="83">
        <v>3802</v>
      </c>
      <c r="AS25" s="83">
        <v>239.6</v>
      </c>
      <c r="AT25" s="83">
        <v>1426.9</v>
      </c>
      <c r="AU25" s="83">
        <v>0</v>
      </c>
      <c r="AV25" s="83">
        <v>20392.2</v>
      </c>
      <c r="AW25" s="83">
        <v>25.1</v>
      </c>
      <c r="AX25" s="83">
        <v>47.4</v>
      </c>
      <c r="AY25" s="83">
        <v>24654</v>
      </c>
      <c r="AZ25" s="83">
        <v>1326.8</v>
      </c>
      <c r="BA25" s="83">
        <v>248</v>
      </c>
      <c r="BB25" s="83">
        <v>197.4</v>
      </c>
      <c r="BC25" s="83">
        <v>205466.6</v>
      </c>
      <c r="BD25" s="83">
        <v>-70333.3</v>
      </c>
    </row>
    <row r="26" spans="1:56" x14ac:dyDescent="0.3">
      <c r="A26" s="82" t="s">
        <v>105</v>
      </c>
      <c r="B26" s="81" t="s">
        <v>7</v>
      </c>
      <c r="C26" s="84">
        <v>43.7</v>
      </c>
      <c r="D26" s="84">
        <v>57.2</v>
      </c>
      <c r="E26" s="84">
        <v>5.3</v>
      </c>
      <c r="F26" s="84">
        <v>17.5</v>
      </c>
      <c r="G26" s="84">
        <v>0.1</v>
      </c>
      <c r="H26" s="84">
        <v>291.39999999999998</v>
      </c>
      <c r="I26" s="84">
        <v>680.6</v>
      </c>
      <c r="J26" s="84">
        <v>43</v>
      </c>
      <c r="K26" s="84">
        <v>105.5</v>
      </c>
      <c r="L26" s="84">
        <v>103.6</v>
      </c>
      <c r="M26" s="84">
        <v>326.8</v>
      </c>
      <c r="N26" s="84">
        <v>64.400000000000006</v>
      </c>
      <c r="O26" s="84">
        <v>373.2</v>
      </c>
      <c r="P26" s="84">
        <v>190.6</v>
      </c>
      <c r="Q26" s="84">
        <v>687.1</v>
      </c>
      <c r="R26" s="84">
        <v>845.8</v>
      </c>
      <c r="S26" s="84">
        <v>6974</v>
      </c>
      <c r="T26" s="84">
        <v>11945.1</v>
      </c>
      <c r="U26" s="84">
        <v>5055.5</v>
      </c>
      <c r="V26" s="84">
        <v>10888.8</v>
      </c>
      <c r="W26" s="84">
        <v>1434.5</v>
      </c>
      <c r="X26" s="84">
        <v>863.4</v>
      </c>
      <c r="Y26" s="84">
        <v>1505.9</v>
      </c>
      <c r="Z26" s="84">
        <v>111.9</v>
      </c>
      <c r="AA26" s="84">
        <v>8966</v>
      </c>
      <c r="AB26" s="84">
        <v>889.5</v>
      </c>
      <c r="AC26" s="84">
        <v>936.4</v>
      </c>
      <c r="AD26" s="84">
        <v>36.1</v>
      </c>
      <c r="AE26" s="84">
        <v>34.1</v>
      </c>
      <c r="AF26" s="84">
        <v>369.8</v>
      </c>
      <c r="AG26" s="84">
        <v>83.9</v>
      </c>
      <c r="AH26" s="84">
        <v>689.8</v>
      </c>
      <c r="AI26" s="84">
        <v>201.5</v>
      </c>
      <c r="AJ26" s="84">
        <v>955.8</v>
      </c>
      <c r="AK26" s="84">
        <v>166</v>
      </c>
      <c r="AL26" s="84">
        <v>253.2</v>
      </c>
      <c r="AM26" s="84">
        <v>345.1</v>
      </c>
      <c r="AN26" s="84">
        <v>1795.9</v>
      </c>
      <c r="AO26" s="84">
        <v>408.3</v>
      </c>
      <c r="AP26" s="84">
        <v>318.60000000000002</v>
      </c>
      <c r="AQ26" s="84">
        <v>345.7</v>
      </c>
      <c r="AR26" s="84">
        <v>409.9</v>
      </c>
      <c r="AS26" s="84">
        <v>242.2</v>
      </c>
      <c r="AT26" s="84">
        <v>1305.4000000000001</v>
      </c>
      <c r="AU26" s="84">
        <v>0</v>
      </c>
      <c r="AV26" s="84">
        <v>7191.2</v>
      </c>
      <c r="AW26" s="84">
        <v>14</v>
      </c>
      <c r="AX26" s="84">
        <v>5.4</v>
      </c>
      <c r="AY26" s="84">
        <v>9869.2999999999993</v>
      </c>
      <c r="AZ26" s="84">
        <v>687.4</v>
      </c>
      <c r="BA26" s="84">
        <v>104</v>
      </c>
      <c r="BB26" s="84">
        <v>68.3</v>
      </c>
      <c r="BC26" s="84">
        <v>26128</v>
      </c>
      <c r="BD26" s="84">
        <v>-15364.4</v>
      </c>
    </row>
    <row r="27" spans="1:56" ht="21" x14ac:dyDescent="0.3">
      <c r="A27" s="82" t="s">
        <v>581</v>
      </c>
      <c r="B27" s="81" t="s">
        <v>7</v>
      </c>
      <c r="C27" s="83">
        <v>110.4</v>
      </c>
      <c r="D27" s="83">
        <v>65.8</v>
      </c>
      <c r="E27" s="83">
        <v>6.4</v>
      </c>
      <c r="F27" s="83">
        <v>64.8</v>
      </c>
      <c r="G27" s="83">
        <v>0.6</v>
      </c>
      <c r="H27" s="83">
        <v>524.29999999999995</v>
      </c>
      <c r="I27" s="83">
        <v>1065.0999999999999</v>
      </c>
      <c r="J27" s="83">
        <v>58.9</v>
      </c>
      <c r="K27" s="83">
        <v>154.6</v>
      </c>
      <c r="L27" s="83">
        <v>494.1</v>
      </c>
      <c r="M27" s="83">
        <v>553.4</v>
      </c>
      <c r="N27" s="83">
        <v>98.6</v>
      </c>
      <c r="O27" s="83">
        <v>2035.2</v>
      </c>
      <c r="P27" s="83">
        <v>379.5</v>
      </c>
      <c r="Q27" s="83">
        <v>1387.6</v>
      </c>
      <c r="R27" s="83">
        <v>2469.5</v>
      </c>
      <c r="S27" s="83">
        <v>3368.2</v>
      </c>
      <c r="T27" s="83">
        <v>2283.1999999999998</v>
      </c>
      <c r="U27" s="83">
        <v>21617.1</v>
      </c>
      <c r="V27" s="83">
        <v>4031.4</v>
      </c>
      <c r="W27" s="83">
        <v>3409</v>
      </c>
      <c r="X27" s="83">
        <v>963.8</v>
      </c>
      <c r="Y27" s="83">
        <v>560</v>
      </c>
      <c r="Z27" s="83">
        <v>339.8</v>
      </c>
      <c r="AA27" s="83">
        <v>5706.9</v>
      </c>
      <c r="AB27" s="83">
        <v>501.1</v>
      </c>
      <c r="AC27" s="83">
        <v>101.7</v>
      </c>
      <c r="AD27" s="83">
        <v>95.2</v>
      </c>
      <c r="AE27" s="83">
        <v>46.1</v>
      </c>
      <c r="AF27" s="83">
        <v>148.9</v>
      </c>
      <c r="AG27" s="83">
        <v>11</v>
      </c>
      <c r="AH27" s="83">
        <v>156.6</v>
      </c>
      <c r="AI27" s="83">
        <v>41.3</v>
      </c>
      <c r="AJ27" s="83">
        <v>60.5</v>
      </c>
      <c r="AK27" s="83">
        <v>50.6</v>
      </c>
      <c r="AL27" s="83">
        <v>117.6</v>
      </c>
      <c r="AM27" s="83">
        <v>150.69999999999999</v>
      </c>
      <c r="AN27" s="83">
        <v>866.4</v>
      </c>
      <c r="AO27" s="83">
        <v>187.3</v>
      </c>
      <c r="AP27" s="83">
        <v>235.6</v>
      </c>
      <c r="AQ27" s="83">
        <v>254.4</v>
      </c>
      <c r="AR27" s="83">
        <v>326.60000000000002</v>
      </c>
      <c r="AS27" s="83">
        <v>59.7</v>
      </c>
      <c r="AT27" s="83">
        <v>207.9</v>
      </c>
      <c r="AU27" s="83">
        <v>0</v>
      </c>
      <c r="AV27" s="83">
        <v>2926.8</v>
      </c>
      <c r="AW27" s="83">
        <v>7.7</v>
      </c>
      <c r="AX27" s="83">
        <v>9.9</v>
      </c>
      <c r="AY27" s="83">
        <v>57194.1</v>
      </c>
      <c r="AZ27" s="83">
        <v>370.3</v>
      </c>
      <c r="BA27" s="83">
        <v>12.1</v>
      </c>
      <c r="BB27" s="83">
        <v>7.4</v>
      </c>
      <c r="BC27" s="83">
        <v>50398.3</v>
      </c>
      <c r="BD27" s="83">
        <v>-32187.1</v>
      </c>
    </row>
    <row r="28" spans="1:56" ht="21" x14ac:dyDescent="0.3">
      <c r="A28" s="82" t="s">
        <v>107</v>
      </c>
      <c r="B28" s="81" t="s">
        <v>7</v>
      </c>
      <c r="C28" s="84">
        <v>48.2</v>
      </c>
      <c r="D28" s="84">
        <v>21.7</v>
      </c>
      <c r="E28" s="84">
        <v>2.7</v>
      </c>
      <c r="F28" s="84">
        <v>30</v>
      </c>
      <c r="G28" s="84">
        <v>0.1</v>
      </c>
      <c r="H28" s="84">
        <v>271.39999999999998</v>
      </c>
      <c r="I28" s="84">
        <v>701.7</v>
      </c>
      <c r="J28" s="84">
        <v>43.5</v>
      </c>
      <c r="K28" s="84">
        <v>107</v>
      </c>
      <c r="L28" s="84">
        <v>92</v>
      </c>
      <c r="M28" s="84">
        <v>279.2</v>
      </c>
      <c r="N28" s="84">
        <v>73.900000000000006</v>
      </c>
      <c r="O28" s="84">
        <v>451.6</v>
      </c>
      <c r="P28" s="84">
        <v>289.89999999999998</v>
      </c>
      <c r="Q28" s="84">
        <v>582.6</v>
      </c>
      <c r="R28" s="84">
        <v>643.9</v>
      </c>
      <c r="S28" s="84">
        <v>1767.8</v>
      </c>
      <c r="T28" s="84">
        <v>1983.8</v>
      </c>
      <c r="U28" s="84">
        <v>2462.3000000000002</v>
      </c>
      <c r="V28" s="84">
        <v>53797.4</v>
      </c>
      <c r="W28" s="84">
        <v>531.5</v>
      </c>
      <c r="X28" s="84">
        <v>226.6</v>
      </c>
      <c r="Y28" s="84">
        <v>267.7</v>
      </c>
      <c r="Z28" s="84">
        <v>159.4</v>
      </c>
      <c r="AA28" s="84">
        <v>1408</v>
      </c>
      <c r="AB28" s="84">
        <v>1032.9000000000001</v>
      </c>
      <c r="AC28" s="84">
        <v>3195.3</v>
      </c>
      <c r="AD28" s="84">
        <v>17.399999999999999</v>
      </c>
      <c r="AE28" s="84">
        <v>15.7</v>
      </c>
      <c r="AF28" s="84">
        <v>847.5</v>
      </c>
      <c r="AG28" s="84">
        <v>386.5</v>
      </c>
      <c r="AH28" s="84">
        <v>138.9</v>
      </c>
      <c r="AI28" s="84">
        <v>90.8</v>
      </c>
      <c r="AJ28" s="84">
        <v>160.4</v>
      </c>
      <c r="AK28" s="84">
        <v>56.7</v>
      </c>
      <c r="AL28" s="84">
        <v>111</v>
      </c>
      <c r="AM28" s="84">
        <v>79.400000000000006</v>
      </c>
      <c r="AN28" s="84">
        <v>713.5</v>
      </c>
      <c r="AO28" s="84">
        <v>346.1</v>
      </c>
      <c r="AP28" s="84">
        <v>405.2</v>
      </c>
      <c r="AQ28" s="84">
        <v>132.5</v>
      </c>
      <c r="AR28" s="84">
        <v>327.3</v>
      </c>
      <c r="AS28" s="84">
        <v>126.5</v>
      </c>
      <c r="AT28" s="84">
        <v>5081.8999999999996</v>
      </c>
      <c r="AU28" s="84">
        <v>0</v>
      </c>
      <c r="AV28" s="84">
        <v>25228.2</v>
      </c>
      <c r="AW28" s="84">
        <v>2</v>
      </c>
      <c r="AX28" s="84">
        <v>19.100000000000001</v>
      </c>
      <c r="AY28" s="84">
        <v>25738.2</v>
      </c>
      <c r="AZ28" s="84">
        <v>-625.6</v>
      </c>
      <c r="BA28" s="84">
        <v>127.1</v>
      </c>
      <c r="BB28" s="84">
        <v>93.8</v>
      </c>
      <c r="BC28" s="84">
        <v>65296.4</v>
      </c>
      <c r="BD28" s="84">
        <v>-15988.7</v>
      </c>
    </row>
    <row r="29" spans="1:56" x14ac:dyDescent="0.3">
      <c r="A29" s="82" t="s">
        <v>108</v>
      </c>
      <c r="B29" s="81" t="s">
        <v>7</v>
      </c>
      <c r="C29" s="83">
        <v>13.1</v>
      </c>
      <c r="D29" s="83">
        <v>150</v>
      </c>
      <c r="E29" s="83">
        <v>3.4</v>
      </c>
      <c r="F29" s="83">
        <v>30.7</v>
      </c>
      <c r="G29" s="83">
        <v>0</v>
      </c>
      <c r="H29" s="83">
        <v>226.4</v>
      </c>
      <c r="I29" s="83">
        <v>619.5</v>
      </c>
      <c r="J29" s="83">
        <v>30.5</v>
      </c>
      <c r="K29" s="83">
        <v>65.8</v>
      </c>
      <c r="L29" s="83">
        <v>40.6</v>
      </c>
      <c r="M29" s="83">
        <v>157.80000000000001</v>
      </c>
      <c r="N29" s="83">
        <v>43.5</v>
      </c>
      <c r="O29" s="83">
        <v>199.1</v>
      </c>
      <c r="P29" s="83">
        <v>77.7</v>
      </c>
      <c r="Q29" s="83">
        <v>242.1</v>
      </c>
      <c r="R29" s="83">
        <v>449</v>
      </c>
      <c r="S29" s="83">
        <v>694.9</v>
      </c>
      <c r="T29" s="83">
        <v>271.8</v>
      </c>
      <c r="U29" s="83">
        <v>816.5</v>
      </c>
      <c r="V29" s="83">
        <v>404.7</v>
      </c>
      <c r="W29" s="83">
        <v>2925.2</v>
      </c>
      <c r="X29" s="83">
        <v>126</v>
      </c>
      <c r="Y29" s="83">
        <v>52.4</v>
      </c>
      <c r="Z29" s="83">
        <v>16.8</v>
      </c>
      <c r="AA29" s="83">
        <v>434.1</v>
      </c>
      <c r="AB29" s="83">
        <v>66.5</v>
      </c>
      <c r="AC29" s="83">
        <v>329.1</v>
      </c>
      <c r="AD29" s="83">
        <v>669.1</v>
      </c>
      <c r="AE29" s="83">
        <v>1611.1</v>
      </c>
      <c r="AF29" s="83">
        <v>46</v>
      </c>
      <c r="AG29" s="83">
        <v>10.1</v>
      </c>
      <c r="AH29" s="83">
        <v>25.7</v>
      </c>
      <c r="AI29" s="83">
        <v>8.8000000000000007</v>
      </c>
      <c r="AJ29" s="83">
        <v>16.899999999999999</v>
      </c>
      <c r="AK29" s="83">
        <v>7.1</v>
      </c>
      <c r="AL29" s="83">
        <v>17.899999999999999</v>
      </c>
      <c r="AM29" s="83">
        <v>8.9</v>
      </c>
      <c r="AN29" s="83">
        <v>234.1</v>
      </c>
      <c r="AO29" s="83">
        <v>74.2</v>
      </c>
      <c r="AP29" s="83">
        <v>502.3</v>
      </c>
      <c r="AQ29" s="83">
        <v>34.4</v>
      </c>
      <c r="AR29" s="83">
        <v>144.30000000000001</v>
      </c>
      <c r="AS29" s="83">
        <v>12</v>
      </c>
      <c r="AT29" s="83">
        <v>66.7</v>
      </c>
      <c r="AU29" s="83">
        <v>0</v>
      </c>
      <c r="AV29" s="83">
        <v>630.9</v>
      </c>
      <c r="AW29" s="83">
        <v>7.3</v>
      </c>
      <c r="AX29" s="83">
        <v>10</v>
      </c>
      <c r="AY29" s="83">
        <v>14592.7</v>
      </c>
      <c r="AZ29" s="83">
        <v>263.10000000000002</v>
      </c>
      <c r="BA29" s="83">
        <v>5</v>
      </c>
      <c r="BB29" s="83">
        <v>0.6</v>
      </c>
      <c r="BC29" s="83">
        <v>22463.3</v>
      </c>
      <c r="BD29" s="83">
        <v>-7808</v>
      </c>
    </row>
    <row r="30" spans="1:56" ht="31.5" x14ac:dyDescent="0.3">
      <c r="A30" s="82" t="s">
        <v>582</v>
      </c>
      <c r="B30" s="81" t="s">
        <v>7</v>
      </c>
      <c r="C30" s="84">
        <v>51.9</v>
      </c>
      <c r="D30" s="84">
        <v>31.9</v>
      </c>
      <c r="E30" s="84">
        <v>6.8</v>
      </c>
      <c r="F30" s="84">
        <v>26.4</v>
      </c>
      <c r="G30" s="84">
        <v>0.1</v>
      </c>
      <c r="H30" s="84">
        <v>1228.5999999999999</v>
      </c>
      <c r="I30" s="84">
        <v>3529.3</v>
      </c>
      <c r="J30" s="84">
        <v>147.69999999999999</v>
      </c>
      <c r="K30" s="84">
        <v>343.8</v>
      </c>
      <c r="L30" s="84">
        <v>90.2</v>
      </c>
      <c r="M30" s="84">
        <v>739.4</v>
      </c>
      <c r="N30" s="84">
        <v>211</v>
      </c>
      <c r="O30" s="84">
        <v>875.6</v>
      </c>
      <c r="P30" s="84">
        <v>323.3</v>
      </c>
      <c r="Q30" s="84">
        <v>1095.5999999999999</v>
      </c>
      <c r="R30" s="84">
        <v>1221.9000000000001</v>
      </c>
      <c r="S30" s="84">
        <v>3106.6</v>
      </c>
      <c r="T30" s="84">
        <v>946.4</v>
      </c>
      <c r="U30" s="84">
        <v>1873.5</v>
      </c>
      <c r="V30" s="84">
        <v>1050.5999999999999</v>
      </c>
      <c r="W30" s="84">
        <v>1133.8</v>
      </c>
      <c r="X30" s="84">
        <v>1462.3</v>
      </c>
      <c r="Y30" s="84">
        <v>141.80000000000001</v>
      </c>
      <c r="Z30" s="84">
        <v>77.2</v>
      </c>
      <c r="AA30" s="84">
        <v>2716</v>
      </c>
      <c r="AB30" s="84">
        <v>623.1</v>
      </c>
      <c r="AC30" s="84">
        <v>61.3</v>
      </c>
      <c r="AD30" s="84">
        <v>11.5</v>
      </c>
      <c r="AE30" s="84">
        <v>8.1</v>
      </c>
      <c r="AF30" s="84">
        <v>122.6</v>
      </c>
      <c r="AG30" s="84">
        <v>34</v>
      </c>
      <c r="AH30" s="84">
        <v>1041.7</v>
      </c>
      <c r="AI30" s="84">
        <v>200.8</v>
      </c>
      <c r="AJ30" s="84">
        <v>113.1</v>
      </c>
      <c r="AK30" s="84">
        <v>116.8</v>
      </c>
      <c r="AL30" s="84">
        <v>395.3</v>
      </c>
      <c r="AM30" s="84">
        <v>615.20000000000005</v>
      </c>
      <c r="AN30" s="84">
        <v>1147.4000000000001</v>
      </c>
      <c r="AO30" s="84">
        <v>542.79999999999995</v>
      </c>
      <c r="AP30" s="84">
        <v>589.1</v>
      </c>
      <c r="AQ30" s="84">
        <v>1910.1</v>
      </c>
      <c r="AR30" s="84">
        <v>1099.5999999999999</v>
      </c>
      <c r="AS30" s="84">
        <v>720.2</v>
      </c>
      <c r="AT30" s="84">
        <v>320.7</v>
      </c>
      <c r="AU30" s="84">
        <v>0</v>
      </c>
      <c r="AV30" s="84">
        <v>6699.9</v>
      </c>
      <c r="AW30" s="84">
        <v>10.3</v>
      </c>
      <c r="AX30" s="84">
        <v>9.5</v>
      </c>
      <c r="AY30" s="84">
        <v>3467.7</v>
      </c>
      <c r="AZ30" s="84">
        <v>130.19999999999999</v>
      </c>
      <c r="BA30" s="84">
        <v>719.2</v>
      </c>
      <c r="BB30" s="84">
        <v>395.7</v>
      </c>
      <c r="BC30" s="84">
        <v>2650.4</v>
      </c>
      <c r="BD30" s="84">
        <v>-14102.1</v>
      </c>
    </row>
    <row r="31" spans="1:56" ht="21" x14ac:dyDescent="0.3">
      <c r="A31" s="82" t="s">
        <v>583</v>
      </c>
      <c r="B31" s="81" t="s">
        <v>7</v>
      </c>
      <c r="C31" s="83">
        <v>530.79999999999995</v>
      </c>
      <c r="D31" s="83">
        <v>115.2</v>
      </c>
      <c r="E31" s="83">
        <v>7</v>
      </c>
      <c r="F31" s="83">
        <v>84</v>
      </c>
      <c r="G31" s="83">
        <v>0.3</v>
      </c>
      <c r="H31" s="83">
        <v>1101.5999999999999</v>
      </c>
      <c r="I31" s="83">
        <v>766</v>
      </c>
      <c r="J31" s="83">
        <v>154.30000000000001</v>
      </c>
      <c r="K31" s="83">
        <v>1038.4000000000001</v>
      </c>
      <c r="L31" s="83">
        <v>1390</v>
      </c>
      <c r="M31" s="83">
        <v>4312.8999999999996</v>
      </c>
      <c r="N31" s="83">
        <v>179.9</v>
      </c>
      <c r="O31" s="83">
        <v>1289.0999999999999</v>
      </c>
      <c r="P31" s="83">
        <v>1522.5</v>
      </c>
      <c r="Q31" s="83">
        <v>7469.9</v>
      </c>
      <c r="R31" s="83">
        <v>1660.4</v>
      </c>
      <c r="S31" s="83">
        <v>4050.8</v>
      </c>
      <c r="T31" s="83">
        <v>832.7</v>
      </c>
      <c r="U31" s="83">
        <v>1253.7</v>
      </c>
      <c r="V31" s="83">
        <v>1211.9000000000001</v>
      </c>
      <c r="W31" s="83">
        <v>270.7</v>
      </c>
      <c r="X31" s="83">
        <v>282.2</v>
      </c>
      <c r="Y31" s="83">
        <v>16136.6</v>
      </c>
      <c r="Z31" s="83">
        <v>774.3</v>
      </c>
      <c r="AA31" s="83">
        <v>972.4</v>
      </c>
      <c r="AB31" s="83">
        <v>4108.1000000000004</v>
      </c>
      <c r="AC31" s="83">
        <v>1068.9000000000001</v>
      </c>
      <c r="AD31" s="83">
        <v>26.4</v>
      </c>
      <c r="AE31" s="83">
        <v>27.5</v>
      </c>
      <c r="AF31" s="83">
        <v>844.4</v>
      </c>
      <c r="AG31" s="83">
        <v>29.9</v>
      </c>
      <c r="AH31" s="83">
        <v>2123.3000000000002</v>
      </c>
      <c r="AI31" s="83">
        <v>337.9</v>
      </c>
      <c r="AJ31" s="83">
        <v>788.3</v>
      </c>
      <c r="AK31" s="83">
        <v>204.5</v>
      </c>
      <c r="AL31" s="83">
        <v>936.2</v>
      </c>
      <c r="AM31" s="83">
        <v>1521.2</v>
      </c>
      <c r="AN31" s="83">
        <v>7077.2</v>
      </c>
      <c r="AO31" s="83">
        <v>422.6</v>
      </c>
      <c r="AP31" s="83">
        <v>1275.4000000000001</v>
      </c>
      <c r="AQ31" s="83">
        <v>2856.5</v>
      </c>
      <c r="AR31" s="83">
        <v>2913.1</v>
      </c>
      <c r="AS31" s="83">
        <v>993.2</v>
      </c>
      <c r="AT31" s="83">
        <v>650.79999999999995</v>
      </c>
      <c r="AU31" s="83">
        <v>0</v>
      </c>
      <c r="AV31" s="83">
        <v>13128.3</v>
      </c>
      <c r="AW31" s="83">
        <v>29.4</v>
      </c>
      <c r="AX31" s="83">
        <v>7</v>
      </c>
      <c r="AY31" s="83">
        <v>164.1</v>
      </c>
      <c r="AZ31" s="83">
        <v>2.7</v>
      </c>
      <c r="BA31" s="83">
        <v>6.6</v>
      </c>
      <c r="BB31" s="83">
        <v>6.2</v>
      </c>
      <c r="BC31" s="83">
        <v>42.3</v>
      </c>
      <c r="BD31" s="83">
        <v>-182.4</v>
      </c>
    </row>
    <row r="32" spans="1:56" ht="31.5" x14ac:dyDescent="0.3">
      <c r="A32" s="82" t="s">
        <v>584</v>
      </c>
      <c r="B32" s="81" t="s">
        <v>7</v>
      </c>
      <c r="C32" s="84">
        <v>58.5</v>
      </c>
      <c r="D32" s="84">
        <v>22.7</v>
      </c>
      <c r="E32" s="84">
        <v>0.3</v>
      </c>
      <c r="F32" s="84">
        <v>13.4</v>
      </c>
      <c r="G32" s="84">
        <v>0.1</v>
      </c>
      <c r="H32" s="84">
        <v>339.6</v>
      </c>
      <c r="I32" s="84">
        <v>163.5</v>
      </c>
      <c r="J32" s="84">
        <v>21.4</v>
      </c>
      <c r="K32" s="84">
        <v>373.4</v>
      </c>
      <c r="L32" s="84">
        <v>64.099999999999994</v>
      </c>
      <c r="M32" s="84">
        <v>678.6</v>
      </c>
      <c r="N32" s="84">
        <v>30</v>
      </c>
      <c r="O32" s="84">
        <v>800.7</v>
      </c>
      <c r="P32" s="84">
        <v>320.8</v>
      </c>
      <c r="Q32" s="84">
        <v>2850.9</v>
      </c>
      <c r="R32" s="84">
        <v>396.1</v>
      </c>
      <c r="S32" s="84">
        <v>144.30000000000001</v>
      </c>
      <c r="T32" s="84">
        <v>122.1</v>
      </c>
      <c r="U32" s="84">
        <v>446.8</v>
      </c>
      <c r="V32" s="84">
        <v>132.1</v>
      </c>
      <c r="W32" s="84">
        <v>30</v>
      </c>
      <c r="X32" s="84">
        <v>58.6</v>
      </c>
      <c r="Y32" s="84">
        <v>192.5</v>
      </c>
      <c r="Z32" s="84">
        <v>549.70000000000005</v>
      </c>
      <c r="AA32" s="84">
        <v>178.3</v>
      </c>
      <c r="AB32" s="84">
        <v>167.7</v>
      </c>
      <c r="AC32" s="84">
        <v>149.5</v>
      </c>
      <c r="AD32" s="84">
        <v>4.5</v>
      </c>
      <c r="AE32" s="84">
        <v>1.2</v>
      </c>
      <c r="AF32" s="84">
        <v>120.4</v>
      </c>
      <c r="AG32" s="84">
        <v>2.9</v>
      </c>
      <c r="AH32" s="84">
        <v>1466.6</v>
      </c>
      <c r="AI32" s="84">
        <v>72.7</v>
      </c>
      <c r="AJ32" s="84">
        <v>113.6</v>
      </c>
      <c r="AK32" s="84">
        <v>30.4</v>
      </c>
      <c r="AL32" s="84">
        <v>233.9</v>
      </c>
      <c r="AM32" s="84">
        <v>575.6</v>
      </c>
      <c r="AN32" s="84">
        <v>530.79999999999995</v>
      </c>
      <c r="AO32" s="84">
        <v>178.9</v>
      </c>
      <c r="AP32" s="84">
        <v>396</v>
      </c>
      <c r="AQ32" s="84">
        <v>510.5</v>
      </c>
      <c r="AR32" s="84">
        <v>1223.7</v>
      </c>
      <c r="AS32" s="84">
        <v>193.2</v>
      </c>
      <c r="AT32" s="84">
        <v>291.39999999999998</v>
      </c>
      <c r="AU32" s="84">
        <v>0</v>
      </c>
      <c r="AV32" s="84">
        <v>3517.7</v>
      </c>
      <c r="AW32" s="84">
        <v>530.1</v>
      </c>
      <c r="AX32" s="84">
        <v>574.6</v>
      </c>
      <c r="AY32" s="84">
        <v>10.5</v>
      </c>
      <c r="AZ32" s="84">
        <v>0.5</v>
      </c>
      <c r="BA32" s="84">
        <v>2.8</v>
      </c>
      <c r="BB32" s="84">
        <v>0.1</v>
      </c>
      <c r="BC32" s="84">
        <v>13.4</v>
      </c>
      <c r="BD32" s="84">
        <v>-83.1</v>
      </c>
    </row>
    <row r="33" spans="1:56" x14ac:dyDescent="0.3">
      <c r="A33" s="82" t="s">
        <v>111</v>
      </c>
      <c r="B33" s="81" t="s">
        <v>7</v>
      </c>
      <c r="C33" s="83">
        <v>58.1</v>
      </c>
      <c r="D33" s="83">
        <v>13.4</v>
      </c>
      <c r="E33" s="83">
        <v>0.8</v>
      </c>
      <c r="F33" s="83">
        <v>14.2</v>
      </c>
      <c r="G33" s="83">
        <v>0.3</v>
      </c>
      <c r="H33" s="83">
        <v>100.8</v>
      </c>
      <c r="I33" s="83">
        <v>71.5</v>
      </c>
      <c r="J33" s="83">
        <v>11.2</v>
      </c>
      <c r="K33" s="83">
        <v>34.700000000000003</v>
      </c>
      <c r="L33" s="83">
        <v>63.3</v>
      </c>
      <c r="M33" s="83">
        <v>137.9</v>
      </c>
      <c r="N33" s="83">
        <v>16.8</v>
      </c>
      <c r="O33" s="83">
        <v>108.3</v>
      </c>
      <c r="P33" s="83">
        <v>60</v>
      </c>
      <c r="Q33" s="83">
        <v>224.3</v>
      </c>
      <c r="R33" s="83">
        <v>147.19999999999999</v>
      </c>
      <c r="S33" s="83">
        <v>221.3</v>
      </c>
      <c r="T33" s="83">
        <v>131.6</v>
      </c>
      <c r="U33" s="83">
        <v>149.6</v>
      </c>
      <c r="V33" s="83">
        <v>115.5</v>
      </c>
      <c r="W33" s="83">
        <v>52.8</v>
      </c>
      <c r="X33" s="83">
        <v>36.1</v>
      </c>
      <c r="Y33" s="83">
        <v>565</v>
      </c>
      <c r="Z33" s="83">
        <v>35.299999999999997</v>
      </c>
      <c r="AA33" s="83">
        <v>319.10000000000002</v>
      </c>
      <c r="AB33" s="83">
        <v>648</v>
      </c>
      <c r="AC33" s="83">
        <v>94.4</v>
      </c>
      <c r="AD33" s="83">
        <v>31.7</v>
      </c>
      <c r="AE33" s="83">
        <v>17.3</v>
      </c>
      <c r="AF33" s="83">
        <v>114.3</v>
      </c>
      <c r="AG33" s="83">
        <v>14.6</v>
      </c>
      <c r="AH33" s="83">
        <v>346.5</v>
      </c>
      <c r="AI33" s="83">
        <v>108.9</v>
      </c>
      <c r="AJ33" s="83">
        <v>200.6</v>
      </c>
      <c r="AK33" s="83">
        <v>67.7</v>
      </c>
      <c r="AL33" s="83">
        <v>236.4</v>
      </c>
      <c r="AM33" s="83">
        <v>6855.6</v>
      </c>
      <c r="AN33" s="83">
        <v>608.79999999999995</v>
      </c>
      <c r="AO33" s="83">
        <v>173.7</v>
      </c>
      <c r="AP33" s="83">
        <v>695.6</v>
      </c>
      <c r="AQ33" s="83">
        <v>219.4</v>
      </c>
      <c r="AR33" s="83">
        <v>157.80000000000001</v>
      </c>
      <c r="AS33" s="83">
        <v>120.2</v>
      </c>
      <c r="AT33" s="83">
        <v>89.3</v>
      </c>
      <c r="AU33" s="83">
        <v>0</v>
      </c>
      <c r="AV33" s="83">
        <v>467.1</v>
      </c>
      <c r="AW33" s="83">
        <v>79</v>
      </c>
      <c r="AX33" s="83">
        <v>1.9</v>
      </c>
      <c r="AY33" s="83">
        <v>219710.8</v>
      </c>
      <c r="AZ33" s="83">
        <v>571</v>
      </c>
      <c r="BA33" s="83">
        <v>17.100000000000001</v>
      </c>
      <c r="BB33" s="83">
        <v>30.2</v>
      </c>
      <c r="BC33" s="83">
        <v>117.7</v>
      </c>
      <c r="BD33" s="83">
        <v>-335.3</v>
      </c>
    </row>
    <row r="34" spans="1:56" ht="21" x14ac:dyDescent="0.3">
      <c r="A34" s="82" t="s">
        <v>112</v>
      </c>
      <c r="B34" s="81" t="s">
        <v>7</v>
      </c>
      <c r="C34" s="84">
        <v>3439.6</v>
      </c>
      <c r="D34" s="84">
        <v>455.3</v>
      </c>
      <c r="E34" s="84">
        <v>5.5</v>
      </c>
      <c r="F34" s="84">
        <v>75.7</v>
      </c>
      <c r="G34" s="84">
        <v>0.4</v>
      </c>
      <c r="H34" s="84">
        <v>14584.5</v>
      </c>
      <c r="I34" s="84">
        <v>6563.2</v>
      </c>
      <c r="J34" s="84">
        <v>596.29999999999995</v>
      </c>
      <c r="K34" s="84">
        <v>2282.9</v>
      </c>
      <c r="L34" s="84">
        <v>3706.7</v>
      </c>
      <c r="M34" s="84">
        <v>10542.5</v>
      </c>
      <c r="N34" s="84">
        <v>1291.3</v>
      </c>
      <c r="O34" s="84">
        <v>5180.3999999999996</v>
      </c>
      <c r="P34" s="84">
        <v>1547.3</v>
      </c>
      <c r="Q34" s="84">
        <v>5439.2</v>
      </c>
      <c r="R34" s="84">
        <v>3776.8</v>
      </c>
      <c r="S34" s="84">
        <v>15963</v>
      </c>
      <c r="T34" s="84">
        <v>5142.3999999999996</v>
      </c>
      <c r="U34" s="84">
        <v>6699.6</v>
      </c>
      <c r="V34" s="84">
        <v>10414.6</v>
      </c>
      <c r="W34" s="84">
        <v>1952.4</v>
      </c>
      <c r="X34" s="84">
        <v>2164.6</v>
      </c>
      <c r="Y34" s="84">
        <v>2898.2</v>
      </c>
      <c r="Z34" s="84">
        <v>540</v>
      </c>
      <c r="AA34" s="84">
        <v>9843.4</v>
      </c>
      <c r="AB34" s="84">
        <v>6150.6</v>
      </c>
      <c r="AC34" s="84">
        <v>2110.8000000000002</v>
      </c>
      <c r="AD34" s="84">
        <v>423.2</v>
      </c>
      <c r="AE34" s="84">
        <v>841.1</v>
      </c>
      <c r="AF34" s="84">
        <v>1098.5</v>
      </c>
      <c r="AG34" s="84">
        <v>260.2</v>
      </c>
      <c r="AH34" s="84">
        <v>16934.8</v>
      </c>
      <c r="AI34" s="84">
        <v>1001.1</v>
      </c>
      <c r="AJ34" s="84">
        <v>2403</v>
      </c>
      <c r="AK34" s="84">
        <v>590.20000000000005</v>
      </c>
      <c r="AL34" s="84">
        <v>1359.9</v>
      </c>
      <c r="AM34" s="84">
        <v>1004.2</v>
      </c>
      <c r="AN34" s="84">
        <v>6859.8</v>
      </c>
      <c r="AO34" s="84">
        <v>1299.4000000000001</v>
      </c>
      <c r="AP34" s="84">
        <v>2125.6</v>
      </c>
      <c r="AQ34" s="84">
        <v>2779.7</v>
      </c>
      <c r="AR34" s="84">
        <v>9449.7000000000007</v>
      </c>
      <c r="AS34" s="84">
        <v>1597</v>
      </c>
      <c r="AT34" s="84">
        <v>2420.4</v>
      </c>
      <c r="AU34" s="84">
        <v>0</v>
      </c>
      <c r="AV34" s="84">
        <v>61215.199999999997</v>
      </c>
      <c r="AW34" s="84">
        <v>428.5</v>
      </c>
      <c r="AX34" s="84">
        <v>977.3</v>
      </c>
      <c r="AY34" s="84">
        <v>16923.099999999999</v>
      </c>
      <c r="AZ34" s="84">
        <v>-5019.3999999999996</v>
      </c>
      <c r="BA34" s="84">
        <v>1509.7</v>
      </c>
      <c r="BB34" s="84">
        <v>716</v>
      </c>
      <c r="BC34" s="84">
        <v>42059.5</v>
      </c>
      <c r="BD34" s="84">
        <v>-53915.7</v>
      </c>
    </row>
    <row r="35" spans="1:56" ht="21" x14ac:dyDescent="0.3">
      <c r="A35" s="82" t="s">
        <v>585</v>
      </c>
      <c r="B35" s="81" t="s">
        <v>7</v>
      </c>
      <c r="C35" s="83">
        <v>211.6</v>
      </c>
      <c r="D35" s="83">
        <v>56.5</v>
      </c>
      <c r="E35" s="83">
        <v>19.899999999999999</v>
      </c>
      <c r="F35" s="83">
        <v>386.2</v>
      </c>
      <c r="G35" s="83">
        <v>0.5</v>
      </c>
      <c r="H35" s="83">
        <v>2517.6</v>
      </c>
      <c r="I35" s="83">
        <v>1199.4000000000001</v>
      </c>
      <c r="J35" s="83">
        <v>247.7</v>
      </c>
      <c r="K35" s="83">
        <v>1144.5</v>
      </c>
      <c r="L35" s="83">
        <v>1180.0999999999999</v>
      </c>
      <c r="M35" s="83">
        <v>3004.2</v>
      </c>
      <c r="N35" s="83">
        <v>435.3</v>
      </c>
      <c r="O35" s="83">
        <v>1498.1</v>
      </c>
      <c r="P35" s="83">
        <v>2897.3</v>
      </c>
      <c r="Q35" s="83">
        <v>2665.7</v>
      </c>
      <c r="R35" s="83">
        <v>1615.5</v>
      </c>
      <c r="S35" s="83">
        <v>3494.3</v>
      </c>
      <c r="T35" s="83">
        <v>1217.5</v>
      </c>
      <c r="U35" s="83">
        <v>2183</v>
      </c>
      <c r="V35" s="83">
        <v>2151.6999999999998</v>
      </c>
      <c r="W35" s="83">
        <v>542.79999999999995</v>
      </c>
      <c r="X35" s="83">
        <v>473.6</v>
      </c>
      <c r="Y35" s="83">
        <v>1049.3</v>
      </c>
      <c r="Z35" s="83">
        <v>582.20000000000005</v>
      </c>
      <c r="AA35" s="83">
        <v>1771.7</v>
      </c>
      <c r="AB35" s="83">
        <v>4023.8</v>
      </c>
      <c r="AC35" s="83">
        <v>454.6</v>
      </c>
      <c r="AD35" s="83">
        <v>190.9</v>
      </c>
      <c r="AE35" s="83">
        <v>130.30000000000001</v>
      </c>
      <c r="AF35" s="83">
        <v>247.1</v>
      </c>
      <c r="AG35" s="83">
        <v>19.2</v>
      </c>
      <c r="AH35" s="83">
        <v>507.6</v>
      </c>
      <c r="AI35" s="83">
        <v>468.8</v>
      </c>
      <c r="AJ35" s="83">
        <v>94.3</v>
      </c>
      <c r="AK35" s="83">
        <v>324.3</v>
      </c>
      <c r="AL35" s="83">
        <v>601.1</v>
      </c>
      <c r="AM35" s="83">
        <v>417.3</v>
      </c>
      <c r="AN35" s="83">
        <v>1950.1</v>
      </c>
      <c r="AO35" s="83">
        <v>750.2</v>
      </c>
      <c r="AP35" s="83">
        <v>1697.9</v>
      </c>
      <c r="AQ35" s="83">
        <v>388.3</v>
      </c>
      <c r="AR35" s="83">
        <v>445</v>
      </c>
      <c r="AS35" s="83">
        <v>150.6</v>
      </c>
      <c r="AT35" s="83">
        <v>357.4</v>
      </c>
      <c r="AU35" s="83">
        <v>0</v>
      </c>
      <c r="AV35" s="83">
        <v>16681.5</v>
      </c>
      <c r="AW35" s="83">
        <v>37.1</v>
      </c>
      <c r="AX35" s="83">
        <v>14.9</v>
      </c>
      <c r="AY35" s="83">
        <v>1320.3</v>
      </c>
      <c r="AZ35" s="83">
        <v>124.6</v>
      </c>
      <c r="BA35" s="83">
        <v>3101.7</v>
      </c>
      <c r="BB35" s="83">
        <v>1168.5</v>
      </c>
      <c r="BC35" s="83">
        <v>2513.6</v>
      </c>
      <c r="BD35" s="83">
        <v>-14384.8</v>
      </c>
    </row>
    <row r="36" spans="1:56" x14ac:dyDescent="0.3">
      <c r="A36" s="82" t="s">
        <v>586</v>
      </c>
      <c r="B36" s="81" t="s">
        <v>7</v>
      </c>
      <c r="C36" s="84">
        <v>14.7</v>
      </c>
      <c r="D36" s="84">
        <v>20.3</v>
      </c>
      <c r="E36" s="84">
        <v>0.9</v>
      </c>
      <c r="F36" s="84">
        <v>10.199999999999999</v>
      </c>
      <c r="G36" s="84">
        <v>0</v>
      </c>
      <c r="H36" s="84">
        <v>111.3</v>
      </c>
      <c r="I36" s="84">
        <v>33.799999999999997</v>
      </c>
      <c r="J36" s="84">
        <v>8.9</v>
      </c>
      <c r="K36" s="84">
        <v>30.2</v>
      </c>
      <c r="L36" s="84">
        <v>117.6</v>
      </c>
      <c r="M36" s="84">
        <v>133.1</v>
      </c>
      <c r="N36" s="84">
        <v>6.5</v>
      </c>
      <c r="O36" s="84">
        <v>52.7</v>
      </c>
      <c r="P36" s="84">
        <v>150</v>
      </c>
      <c r="Q36" s="84">
        <v>259.2</v>
      </c>
      <c r="R36" s="84">
        <v>57.9</v>
      </c>
      <c r="S36" s="84">
        <v>143.6</v>
      </c>
      <c r="T36" s="84">
        <v>67.400000000000006</v>
      </c>
      <c r="U36" s="84">
        <v>86.4</v>
      </c>
      <c r="V36" s="84">
        <v>71.099999999999994</v>
      </c>
      <c r="W36" s="84">
        <v>43.2</v>
      </c>
      <c r="X36" s="84">
        <v>20.5</v>
      </c>
      <c r="Y36" s="84">
        <v>73.2</v>
      </c>
      <c r="Z36" s="84">
        <v>14.4</v>
      </c>
      <c r="AA36" s="84">
        <v>64.8</v>
      </c>
      <c r="AB36" s="84">
        <v>124.7</v>
      </c>
      <c r="AC36" s="84">
        <v>32.700000000000003</v>
      </c>
      <c r="AD36" s="84">
        <v>3606.5</v>
      </c>
      <c r="AE36" s="84">
        <v>12</v>
      </c>
      <c r="AF36" s="84">
        <v>23.5</v>
      </c>
      <c r="AG36" s="84">
        <v>2.4</v>
      </c>
      <c r="AH36" s="84">
        <v>23.4</v>
      </c>
      <c r="AI36" s="84">
        <v>4.2</v>
      </c>
      <c r="AJ36" s="84">
        <v>2.9</v>
      </c>
      <c r="AK36" s="84">
        <v>3.3</v>
      </c>
      <c r="AL36" s="84">
        <v>5.7</v>
      </c>
      <c r="AM36" s="84">
        <v>4.4000000000000004</v>
      </c>
      <c r="AN36" s="84">
        <v>30</v>
      </c>
      <c r="AO36" s="84">
        <v>11.2</v>
      </c>
      <c r="AP36" s="84">
        <v>39.4</v>
      </c>
      <c r="AQ36" s="84">
        <v>7.6</v>
      </c>
      <c r="AR36" s="84">
        <v>19.2</v>
      </c>
      <c r="AS36" s="84">
        <v>3.8</v>
      </c>
      <c r="AT36" s="84">
        <v>7.8</v>
      </c>
      <c r="AU36" s="84">
        <v>0</v>
      </c>
      <c r="AV36" s="84">
        <v>283.7</v>
      </c>
      <c r="AW36" s="84">
        <v>0.5</v>
      </c>
      <c r="AX36" s="84">
        <v>1</v>
      </c>
      <c r="AY36" s="84">
        <v>104.9</v>
      </c>
      <c r="AZ36" s="84">
        <v>1367.5</v>
      </c>
      <c r="BA36" s="84">
        <v>652.5</v>
      </c>
      <c r="BB36" s="84">
        <v>226.4</v>
      </c>
      <c r="BC36" s="84">
        <v>14748.9</v>
      </c>
      <c r="BD36" s="84">
        <v>-3479</v>
      </c>
    </row>
    <row r="37" spans="1:56" x14ac:dyDescent="0.3">
      <c r="A37" s="82" t="s">
        <v>587</v>
      </c>
      <c r="B37" s="81" t="s">
        <v>7</v>
      </c>
      <c r="C37" s="83">
        <v>21.7</v>
      </c>
      <c r="D37" s="83">
        <v>10.6</v>
      </c>
      <c r="E37" s="83">
        <v>0.1</v>
      </c>
      <c r="F37" s="83">
        <v>3.1</v>
      </c>
      <c r="G37" s="83">
        <v>0</v>
      </c>
      <c r="H37" s="83">
        <v>208.8</v>
      </c>
      <c r="I37" s="83">
        <v>174.3</v>
      </c>
      <c r="J37" s="83">
        <v>18.3</v>
      </c>
      <c r="K37" s="83">
        <v>28.7</v>
      </c>
      <c r="L37" s="83">
        <v>70.099999999999994</v>
      </c>
      <c r="M37" s="83">
        <v>236.3</v>
      </c>
      <c r="N37" s="83">
        <v>464.6</v>
      </c>
      <c r="O37" s="83">
        <v>167.5</v>
      </c>
      <c r="P37" s="83">
        <v>110.5</v>
      </c>
      <c r="Q37" s="83">
        <v>217</v>
      </c>
      <c r="R37" s="83">
        <v>199.1</v>
      </c>
      <c r="S37" s="83">
        <v>1527.5</v>
      </c>
      <c r="T37" s="83">
        <v>611.1</v>
      </c>
      <c r="U37" s="83">
        <v>779.2</v>
      </c>
      <c r="V37" s="83">
        <v>258</v>
      </c>
      <c r="W37" s="83">
        <v>108.2</v>
      </c>
      <c r="X37" s="83">
        <v>80.599999999999994</v>
      </c>
      <c r="Y37" s="83">
        <v>168.5</v>
      </c>
      <c r="Z37" s="83">
        <v>3.4</v>
      </c>
      <c r="AA37" s="83">
        <v>131.4</v>
      </c>
      <c r="AB37" s="83">
        <v>2201.6999999999998</v>
      </c>
      <c r="AC37" s="83">
        <v>61.1</v>
      </c>
      <c r="AD37" s="83">
        <v>8.6</v>
      </c>
      <c r="AE37" s="83">
        <v>52.5</v>
      </c>
      <c r="AF37" s="83">
        <v>182.8</v>
      </c>
      <c r="AG37" s="83">
        <v>236.6</v>
      </c>
      <c r="AH37" s="83">
        <v>201</v>
      </c>
      <c r="AI37" s="83">
        <v>623.70000000000005</v>
      </c>
      <c r="AJ37" s="83">
        <v>142.6</v>
      </c>
      <c r="AK37" s="83">
        <v>506.7</v>
      </c>
      <c r="AL37" s="83">
        <v>197.7</v>
      </c>
      <c r="AM37" s="83">
        <v>67.5</v>
      </c>
      <c r="AN37" s="83">
        <v>873.9</v>
      </c>
      <c r="AO37" s="83">
        <v>109.6</v>
      </c>
      <c r="AP37" s="83">
        <v>279</v>
      </c>
      <c r="AQ37" s="83">
        <v>52.3</v>
      </c>
      <c r="AR37" s="83">
        <v>103.2</v>
      </c>
      <c r="AS37" s="83">
        <v>68.7</v>
      </c>
      <c r="AT37" s="83">
        <v>175.1</v>
      </c>
      <c r="AU37" s="83">
        <v>0</v>
      </c>
      <c r="AV37" s="83">
        <v>2397.3000000000002</v>
      </c>
      <c r="AW37" s="83">
        <v>3</v>
      </c>
      <c r="AX37" s="83">
        <v>2.2999999999999998</v>
      </c>
      <c r="AY37" s="83">
        <v>108.7</v>
      </c>
      <c r="AZ37" s="83">
        <v>199.2</v>
      </c>
      <c r="BA37" s="83">
        <v>1680.1</v>
      </c>
      <c r="BB37" s="83">
        <v>809.7</v>
      </c>
      <c r="BC37" s="83">
        <v>7918.3</v>
      </c>
      <c r="BD37" s="83">
        <v>-4897</v>
      </c>
    </row>
    <row r="38" spans="1:56" ht="21" x14ac:dyDescent="0.3">
      <c r="A38" s="82" t="s">
        <v>588</v>
      </c>
      <c r="B38" s="81" t="s">
        <v>7</v>
      </c>
      <c r="C38" s="84">
        <v>254.2</v>
      </c>
      <c r="D38" s="84">
        <v>305</v>
      </c>
      <c r="E38" s="84">
        <v>2.4</v>
      </c>
      <c r="F38" s="84">
        <v>166.8</v>
      </c>
      <c r="G38" s="84">
        <v>0.1</v>
      </c>
      <c r="H38" s="84">
        <v>1823.6</v>
      </c>
      <c r="I38" s="84">
        <v>508</v>
      </c>
      <c r="J38" s="84">
        <v>93.6</v>
      </c>
      <c r="K38" s="84">
        <v>328.8</v>
      </c>
      <c r="L38" s="84">
        <v>372.5</v>
      </c>
      <c r="M38" s="84">
        <v>1541.7</v>
      </c>
      <c r="N38" s="84">
        <v>201.5</v>
      </c>
      <c r="O38" s="84">
        <v>709.9</v>
      </c>
      <c r="P38" s="84">
        <v>1131.3</v>
      </c>
      <c r="Q38" s="84">
        <v>1703.4</v>
      </c>
      <c r="R38" s="84">
        <v>748.5</v>
      </c>
      <c r="S38" s="84">
        <v>1984.6</v>
      </c>
      <c r="T38" s="84">
        <v>592.4</v>
      </c>
      <c r="U38" s="84">
        <v>1005</v>
      </c>
      <c r="V38" s="84">
        <v>1033.8</v>
      </c>
      <c r="W38" s="84">
        <v>212.3</v>
      </c>
      <c r="X38" s="84">
        <v>224.7</v>
      </c>
      <c r="Y38" s="84">
        <v>384.8</v>
      </c>
      <c r="Z38" s="84">
        <v>277.2</v>
      </c>
      <c r="AA38" s="84">
        <v>767.9</v>
      </c>
      <c r="AB38" s="84">
        <v>7418.3</v>
      </c>
      <c r="AC38" s="84">
        <v>4231.3999999999996</v>
      </c>
      <c r="AD38" s="84">
        <v>5256.2</v>
      </c>
      <c r="AE38" s="84">
        <v>1847.8</v>
      </c>
      <c r="AF38" s="84">
        <v>1557.6</v>
      </c>
      <c r="AG38" s="84">
        <v>203.9</v>
      </c>
      <c r="AH38" s="84">
        <v>230.3</v>
      </c>
      <c r="AI38" s="84">
        <v>125</v>
      </c>
      <c r="AJ38" s="84">
        <v>26.3</v>
      </c>
      <c r="AK38" s="84">
        <v>41.5</v>
      </c>
      <c r="AL38" s="84">
        <v>92.2</v>
      </c>
      <c r="AM38" s="84">
        <v>75.400000000000006</v>
      </c>
      <c r="AN38" s="84">
        <v>752.7</v>
      </c>
      <c r="AO38" s="84">
        <v>443.6</v>
      </c>
      <c r="AP38" s="84">
        <v>66.2</v>
      </c>
      <c r="AQ38" s="84">
        <v>67.900000000000006</v>
      </c>
      <c r="AR38" s="84">
        <v>120.1</v>
      </c>
      <c r="AS38" s="84">
        <v>56.4</v>
      </c>
      <c r="AT38" s="84">
        <v>117.9</v>
      </c>
      <c r="AU38" s="84">
        <v>0</v>
      </c>
      <c r="AV38" s="84">
        <v>3028.5</v>
      </c>
      <c r="AW38" s="84">
        <v>17.3</v>
      </c>
      <c r="AX38" s="84">
        <v>4.4000000000000004</v>
      </c>
      <c r="AY38" s="84">
        <v>532.79999999999995</v>
      </c>
      <c r="AZ38" s="84">
        <v>134.6</v>
      </c>
      <c r="BA38" s="84">
        <v>84.7</v>
      </c>
      <c r="BB38" s="84">
        <v>10.9</v>
      </c>
      <c r="BC38" s="84">
        <v>2930.8</v>
      </c>
      <c r="BD38" s="84">
        <v>-9371.7999999999993</v>
      </c>
    </row>
    <row r="39" spans="1:56" x14ac:dyDescent="0.3">
      <c r="A39" s="82" t="s">
        <v>589</v>
      </c>
      <c r="B39" s="81" t="s">
        <v>7</v>
      </c>
      <c r="C39" s="83">
        <v>57.2</v>
      </c>
      <c r="D39" s="83">
        <v>6.2</v>
      </c>
      <c r="E39" s="83">
        <v>0.2</v>
      </c>
      <c r="F39" s="83">
        <v>1.8</v>
      </c>
      <c r="G39" s="83">
        <v>0</v>
      </c>
      <c r="H39" s="83">
        <v>36.299999999999997</v>
      </c>
      <c r="I39" s="83">
        <v>25.5</v>
      </c>
      <c r="J39" s="83">
        <v>5.6</v>
      </c>
      <c r="K39" s="83">
        <v>11.5</v>
      </c>
      <c r="L39" s="83">
        <v>11.1</v>
      </c>
      <c r="M39" s="83">
        <v>47.1</v>
      </c>
      <c r="N39" s="83">
        <v>27.9</v>
      </c>
      <c r="O39" s="83">
        <v>32.799999999999997</v>
      </c>
      <c r="P39" s="83">
        <v>33.299999999999997</v>
      </c>
      <c r="Q39" s="83">
        <v>72.900000000000006</v>
      </c>
      <c r="R39" s="83">
        <v>44.1</v>
      </c>
      <c r="S39" s="83">
        <v>183.1</v>
      </c>
      <c r="T39" s="83">
        <v>37.799999999999997</v>
      </c>
      <c r="U39" s="83">
        <v>49.8</v>
      </c>
      <c r="V39" s="83">
        <v>116.8</v>
      </c>
      <c r="W39" s="83">
        <v>21.5</v>
      </c>
      <c r="X39" s="83">
        <v>21</v>
      </c>
      <c r="Y39" s="83">
        <v>16.399999999999999</v>
      </c>
      <c r="Z39" s="83">
        <v>285.60000000000002</v>
      </c>
      <c r="AA39" s="83">
        <v>319.89999999999998</v>
      </c>
      <c r="AB39" s="83">
        <v>4529.1000000000004</v>
      </c>
      <c r="AC39" s="83">
        <v>21</v>
      </c>
      <c r="AD39" s="83">
        <v>5</v>
      </c>
      <c r="AE39" s="83">
        <v>0.7</v>
      </c>
      <c r="AF39" s="83">
        <v>735.2</v>
      </c>
      <c r="AG39" s="83">
        <v>565.5</v>
      </c>
      <c r="AH39" s="83">
        <v>158.1</v>
      </c>
      <c r="AI39" s="83">
        <v>35.700000000000003</v>
      </c>
      <c r="AJ39" s="83">
        <v>16</v>
      </c>
      <c r="AK39" s="83">
        <v>40.1</v>
      </c>
      <c r="AL39" s="83">
        <v>70.8</v>
      </c>
      <c r="AM39" s="83">
        <v>32.200000000000003</v>
      </c>
      <c r="AN39" s="83">
        <v>347.6</v>
      </c>
      <c r="AO39" s="83">
        <v>390.6</v>
      </c>
      <c r="AP39" s="83">
        <v>592.79999999999995</v>
      </c>
      <c r="AQ39" s="83">
        <v>92.7</v>
      </c>
      <c r="AR39" s="83">
        <v>177.6</v>
      </c>
      <c r="AS39" s="83">
        <v>51.7</v>
      </c>
      <c r="AT39" s="83">
        <v>74.8</v>
      </c>
      <c r="AU39" s="83">
        <v>0</v>
      </c>
      <c r="AV39" s="83">
        <v>520.70000000000005</v>
      </c>
      <c r="AW39" s="83">
        <v>7.6</v>
      </c>
      <c r="AX39" s="83">
        <v>1.8</v>
      </c>
      <c r="AY39" s="83">
        <v>7.9</v>
      </c>
      <c r="AZ39" s="83">
        <v>19.5</v>
      </c>
      <c r="BA39" s="83">
        <v>54.4</v>
      </c>
      <c r="BB39" s="83">
        <v>21.2</v>
      </c>
      <c r="BC39" s="83">
        <v>325.5</v>
      </c>
      <c r="BD39" s="83">
        <v>-2103.9</v>
      </c>
    </row>
    <row r="40" spans="1:56" ht="21" x14ac:dyDescent="0.3">
      <c r="A40" s="82" t="s">
        <v>590</v>
      </c>
      <c r="B40" s="81" t="s">
        <v>7</v>
      </c>
      <c r="C40" s="84">
        <v>303.2</v>
      </c>
      <c r="D40" s="84">
        <v>113.7</v>
      </c>
      <c r="E40" s="84">
        <v>3.3</v>
      </c>
      <c r="F40" s="84">
        <v>88.1</v>
      </c>
      <c r="G40" s="84">
        <v>0.2</v>
      </c>
      <c r="H40" s="84">
        <v>546.5</v>
      </c>
      <c r="I40" s="84">
        <v>532</v>
      </c>
      <c r="J40" s="84">
        <v>116.7</v>
      </c>
      <c r="K40" s="84">
        <v>399.6</v>
      </c>
      <c r="L40" s="84">
        <v>263.39999999999998</v>
      </c>
      <c r="M40" s="84">
        <v>1031.5999999999999</v>
      </c>
      <c r="N40" s="84">
        <v>200.3</v>
      </c>
      <c r="O40" s="84">
        <v>600.9</v>
      </c>
      <c r="P40" s="84">
        <v>448.3</v>
      </c>
      <c r="Q40" s="84">
        <v>1170.7</v>
      </c>
      <c r="R40" s="84">
        <v>1048.8</v>
      </c>
      <c r="S40" s="84">
        <v>1698</v>
      </c>
      <c r="T40" s="84">
        <v>665.8</v>
      </c>
      <c r="U40" s="84">
        <v>1336.4</v>
      </c>
      <c r="V40" s="84">
        <v>906.5</v>
      </c>
      <c r="W40" s="84">
        <v>212.7</v>
      </c>
      <c r="X40" s="84">
        <v>404.5</v>
      </c>
      <c r="Y40" s="84">
        <v>488.8</v>
      </c>
      <c r="Z40" s="84">
        <v>327.10000000000002</v>
      </c>
      <c r="AA40" s="84">
        <v>1270</v>
      </c>
      <c r="AB40" s="84">
        <v>10765.6</v>
      </c>
      <c r="AC40" s="84">
        <v>386.9</v>
      </c>
      <c r="AD40" s="84">
        <v>127.4</v>
      </c>
      <c r="AE40" s="84">
        <v>285.5</v>
      </c>
      <c r="AF40" s="84">
        <v>884.3</v>
      </c>
      <c r="AG40" s="84">
        <v>86.4</v>
      </c>
      <c r="AH40" s="84">
        <v>1040</v>
      </c>
      <c r="AI40" s="84">
        <v>1032</v>
      </c>
      <c r="AJ40" s="84">
        <v>578.20000000000005</v>
      </c>
      <c r="AK40" s="84">
        <v>526.6</v>
      </c>
      <c r="AL40" s="84">
        <v>3861.3</v>
      </c>
      <c r="AM40" s="84">
        <v>1271.4000000000001</v>
      </c>
      <c r="AN40" s="84">
        <v>7484.9</v>
      </c>
      <c r="AO40" s="84">
        <v>2350.4</v>
      </c>
      <c r="AP40" s="84">
        <v>2182.8000000000002</v>
      </c>
      <c r="AQ40" s="84">
        <v>6222.3</v>
      </c>
      <c r="AR40" s="84">
        <v>4518.3</v>
      </c>
      <c r="AS40" s="84">
        <v>1420.2</v>
      </c>
      <c r="AT40" s="84">
        <v>2751.4</v>
      </c>
      <c r="AU40" s="84">
        <v>0</v>
      </c>
      <c r="AV40" s="84">
        <v>58587.4</v>
      </c>
      <c r="AW40" s="84">
        <v>800.1</v>
      </c>
      <c r="AX40" s="84">
        <v>6569.9</v>
      </c>
      <c r="AY40" s="84">
        <v>53.4</v>
      </c>
      <c r="AZ40" s="84">
        <v>-0.1</v>
      </c>
      <c r="BA40" s="84">
        <v>11789.4</v>
      </c>
      <c r="BB40" s="84">
        <v>5435.1</v>
      </c>
      <c r="BC40" s="84">
        <v>15.5</v>
      </c>
      <c r="BD40" s="84">
        <v>-11877.4</v>
      </c>
    </row>
    <row r="41" spans="1:56" ht="21" x14ac:dyDescent="0.3">
      <c r="A41" s="82" t="s">
        <v>115</v>
      </c>
      <c r="B41" s="81" t="s">
        <v>7</v>
      </c>
      <c r="C41" s="83">
        <v>44.1</v>
      </c>
      <c r="D41" s="83">
        <v>11.9</v>
      </c>
      <c r="E41" s="83">
        <v>0.4</v>
      </c>
      <c r="F41" s="83">
        <v>11.7</v>
      </c>
      <c r="G41" s="83">
        <v>0</v>
      </c>
      <c r="H41" s="83">
        <v>111</v>
      </c>
      <c r="I41" s="83">
        <v>69.599999999999994</v>
      </c>
      <c r="J41" s="83">
        <v>10.9</v>
      </c>
      <c r="K41" s="83">
        <v>83.5</v>
      </c>
      <c r="L41" s="83">
        <v>93.1</v>
      </c>
      <c r="M41" s="83">
        <v>156.5</v>
      </c>
      <c r="N41" s="83">
        <v>25.3</v>
      </c>
      <c r="O41" s="83">
        <v>109.5</v>
      </c>
      <c r="P41" s="83">
        <v>57.5</v>
      </c>
      <c r="Q41" s="83">
        <v>202.6</v>
      </c>
      <c r="R41" s="83">
        <v>164.7</v>
      </c>
      <c r="S41" s="83">
        <v>490.2</v>
      </c>
      <c r="T41" s="83">
        <v>146.80000000000001</v>
      </c>
      <c r="U41" s="83">
        <v>188.5</v>
      </c>
      <c r="V41" s="83">
        <v>142.5</v>
      </c>
      <c r="W41" s="83">
        <v>51.5</v>
      </c>
      <c r="X41" s="83">
        <v>58.2</v>
      </c>
      <c r="Y41" s="83">
        <v>82.6</v>
      </c>
      <c r="Z41" s="83">
        <v>86.9</v>
      </c>
      <c r="AA41" s="83">
        <v>575.6</v>
      </c>
      <c r="AB41" s="83">
        <v>3775.6</v>
      </c>
      <c r="AC41" s="83">
        <v>99.1</v>
      </c>
      <c r="AD41" s="83">
        <v>104.4</v>
      </c>
      <c r="AE41" s="83">
        <v>94.8</v>
      </c>
      <c r="AF41" s="83">
        <v>337.9</v>
      </c>
      <c r="AG41" s="83">
        <v>84</v>
      </c>
      <c r="AH41" s="83">
        <v>492.1</v>
      </c>
      <c r="AI41" s="83">
        <v>4547.8</v>
      </c>
      <c r="AJ41" s="83">
        <v>603.20000000000005</v>
      </c>
      <c r="AK41" s="83">
        <v>1467.3</v>
      </c>
      <c r="AL41" s="83">
        <v>1655.7</v>
      </c>
      <c r="AM41" s="83">
        <v>244.7</v>
      </c>
      <c r="AN41" s="83">
        <v>12025.7</v>
      </c>
      <c r="AO41" s="83">
        <v>608.79999999999995</v>
      </c>
      <c r="AP41" s="83">
        <v>1286.3</v>
      </c>
      <c r="AQ41" s="83">
        <v>1831.5</v>
      </c>
      <c r="AR41" s="83">
        <v>396.7</v>
      </c>
      <c r="AS41" s="83">
        <v>1238.9000000000001</v>
      </c>
      <c r="AT41" s="83">
        <v>599.79999999999995</v>
      </c>
      <c r="AU41" s="83">
        <v>0</v>
      </c>
      <c r="AV41" s="83">
        <v>10259.5</v>
      </c>
      <c r="AW41" s="83">
        <v>295.39999999999998</v>
      </c>
      <c r="AX41" s="83">
        <v>23</v>
      </c>
      <c r="AY41" s="83">
        <v>6560.4</v>
      </c>
      <c r="AZ41" s="83">
        <v>81.900000000000006</v>
      </c>
      <c r="BA41" s="83">
        <v>204.8</v>
      </c>
      <c r="BB41" s="83">
        <v>83.9</v>
      </c>
      <c r="BC41" s="83">
        <v>6437.3</v>
      </c>
      <c r="BD41" s="83">
        <v>-7747.8</v>
      </c>
    </row>
    <row r="42" spans="1:56" x14ac:dyDescent="0.3">
      <c r="A42" s="82" t="s">
        <v>116</v>
      </c>
      <c r="B42" s="81" t="s">
        <v>7</v>
      </c>
      <c r="C42" s="84">
        <v>96.5</v>
      </c>
      <c r="D42" s="84">
        <v>23.5</v>
      </c>
      <c r="E42" s="84">
        <v>0.9</v>
      </c>
      <c r="F42" s="84">
        <v>10.1</v>
      </c>
      <c r="G42" s="84">
        <v>0.1</v>
      </c>
      <c r="H42" s="84">
        <v>126.2</v>
      </c>
      <c r="I42" s="84">
        <v>94.3</v>
      </c>
      <c r="J42" s="84">
        <v>38.9</v>
      </c>
      <c r="K42" s="84">
        <v>87.1</v>
      </c>
      <c r="L42" s="84">
        <v>98.2</v>
      </c>
      <c r="M42" s="84">
        <v>185.6</v>
      </c>
      <c r="N42" s="84">
        <v>34.5</v>
      </c>
      <c r="O42" s="84">
        <v>126.3</v>
      </c>
      <c r="P42" s="84">
        <v>174.1</v>
      </c>
      <c r="Q42" s="84">
        <v>188.5</v>
      </c>
      <c r="R42" s="84">
        <v>235.1</v>
      </c>
      <c r="S42" s="84">
        <v>445.9</v>
      </c>
      <c r="T42" s="84">
        <v>202.9</v>
      </c>
      <c r="U42" s="84">
        <v>188.7</v>
      </c>
      <c r="V42" s="84">
        <v>176.6</v>
      </c>
      <c r="W42" s="84">
        <v>36.700000000000003</v>
      </c>
      <c r="X42" s="84">
        <v>84</v>
      </c>
      <c r="Y42" s="84">
        <v>93.6</v>
      </c>
      <c r="Z42" s="84">
        <v>86.3</v>
      </c>
      <c r="AA42" s="84">
        <v>325.89999999999998</v>
      </c>
      <c r="AB42" s="84">
        <v>6427.3</v>
      </c>
      <c r="AC42" s="84">
        <v>140.1</v>
      </c>
      <c r="AD42" s="84">
        <v>67.5</v>
      </c>
      <c r="AE42" s="84">
        <v>17.2</v>
      </c>
      <c r="AF42" s="84">
        <v>518.6</v>
      </c>
      <c r="AG42" s="84">
        <v>97.4</v>
      </c>
      <c r="AH42" s="84">
        <v>695.1</v>
      </c>
      <c r="AI42" s="84">
        <v>822.5</v>
      </c>
      <c r="AJ42" s="84">
        <v>4295.8</v>
      </c>
      <c r="AK42" s="84">
        <v>838.5</v>
      </c>
      <c r="AL42" s="84">
        <v>3320.3</v>
      </c>
      <c r="AM42" s="84">
        <v>450</v>
      </c>
      <c r="AN42" s="84">
        <v>3521.6</v>
      </c>
      <c r="AO42" s="84">
        <v>1358.5</v>
      </c>
      <c r="AP42" s="84">
        <v>933.3</v>
      </c>
      <c r="AQ42" s="84">
        <v>781</v>
      </c>
      <c r="AR42" s="84">
        <v>250.2</v>
      </c>
      <c r="AS42" s="84">
        <v>203.4</v>
      </c>
      <c r="AT42" s="84">
        <v>370.6</v>
      </c>
      <c r="AU42" s="84">
        <v>0</v>
      </c>
      <c r="AV42" s="84">
        <v>11389.7</v>
      </c>
      <c r="AW42" s="84">
        <v>39.6</v>
      </c>
      <c r="AX42" s="84">
        <v>1.8</v>
      </c>
      <c r="AY42" s="84">
        <v>186.1</v>
      </c>
      <c r="AZ42" s="84">
        <v>18.899999999999999</v>
      </c>
      <c r="BA42" s="84">
        <v>815.5</v>
      </c>
      <c r="BB42" s="84">
        <v>348.7</v>
      </c>
      <c r="BC42" s="84">
        <v>660.3</v>
      </c>
      <c r="BD42" s="84">
        <v>-2621.5</v>
      </c>
    </row>
    <row r="43" spans="1:56" ht="21" x14ac:dyDescent="0.3">
      <c r="A43" s="82" t="s">
        <v>117</v>
      </c>
      <c r="B43" s="81" t="s">
        <v>7</v>
      </c>
      <c r="C43" s="83">
        <v>21.2</v>
      </c>
      <c r="D43" s="83">
        <v>3.8</v>
      </c>
      <c r="E43" s="83">
        <v>0.8</v>
      </c>
      <c r="F43" s="83">
        <v>6</v>
      </c>
      <c r="G43" s="83">
        <v>0.1</v>
      </c>
      <c r="H43" s="83">
        <v>106.7</v>
      </c>
      <c r="I43" s="83">
        <v>53</v>
      </c>
      <c r="J43" s="83">
        <v>8.5</v>
      </c>
      <c r="K43" s="83">
        <v>66.8</v>
      </c>
      <c r="L43" s="83">
        <v>141.5</v>
      </c>
      <c r="M43" s="83">
        <v>147</v>
      </c>
      <c r="N43" s="83">
        <v>16.600000000000001</v>
      </c>
      <c r="O43" s="83">
        <v>123.4</v>
      </c>
      <c r="P43" s="83">
        <v>40.5</v>
      </c>
      <c r="Q43" s="83">
        <v>255.9</v>
      </c>
      <c r="R43" s="83">
        <v>146.19999999999999</v>
      </c>
      <c r="S43" s="83">
        <v>687.5</v>
      </c>
      <c r="T43" s="83">
        <v>103.4</v>
      </c>
      <c r="U43" s="83">
        <v>253.9</v>
      </c>
      <c r="V43" s="83">
        <v>228.2</v>
      </c>
      <c r="W43" s="83">
        <v>41.6</v>
      </c>
      <c r="X43" s="83">
        <v>37</v>
      </c>
      <c r="Y43" s="83">
        <v>97.7</v>
      </c>
      <c r="Z43" s="83">
        <v>70.599999999999994</v>
      </c>
      <c r="AA43" s="83">
        <v>375.5</v>
      </c>
      <c r="AB43" s="83">
        <v>860.7</v>
      </c>
      <c r="AC43" s="83">
        <v>85.7</v>
      </c>
      <c r="AD43" s="83">
        <v>32.9</v>
      </c>
      <c r="AE43" s="83">
        <v>21.4</v>
      </c>
      <c r="AF43" s="83">
        <v>166.9</v>
      </c>
      <c r="AG43" s="83">
        <v>129.9</v>
      </c>
      <c r="AH43" s="83">
        <v>109.1</v>
      </c>
      <c r="AI43" s="83">
        <v>1957</v>
      </c>
      <c r="AJ43" s="83">
        <v>1501.9</v>
      </c>
      <c r="AK43" s="83">
        <v>3377</v>
      </c>
      <c r="AL43" s="83">
        <v>3432.4</v>
      </c>
      <c r="AM43" s="83">
        <v>254.3</v>
      </c>
      <c r="AN43" s="83">
        <v>4752</v>
      </c>
      <c r="AO43" s="83">
        <v>247</v>
      </c>
      <c r="AP43" s="83">
        <v>1089</v>
      </c>
      <c r="AQ43" s="83">
        <v>795.3</v>
      </c>
      <c r="AR43" s="83">
        <v>199.6</v>
      </c>
      <c r="AS43" s="83">
        <v>298.10000000000002</v>
      </c>
      <c r="AT43" s="83">
        <v>139.9</v>
      </c>
      <c r="AU43" s="83">
        <v>0</v>
      </c>
      <c r="AV43" s="83">
        <v>7181.3</v>
      </c>
      <c r="AW43" s="83">
        <v>26</v>
      </c>
      <c r="AX43" s="83">
        <v>21.6</v>
      </c>
      <c r="AY43" s="83">
        <v>20996.3</v>
      </c>
      <c r="AZ43" s="83">
        <v>133.5</v>
      </c>
      <c r="BA43" s="83">
        <v>23</v>
      </c>
      <c r="BB43" s="83">
        <v>4.0999999999999996</v>
      </c>
      <c r="BC43" s="83">
        <v>4678.8999999999996</v>
      </c>
      <c r="BD43" s="83">
        <v>-10036.1</v>
      </c>
    </row>
    <row r="44" spans="1:56" ht="21" x14ac:dyDescent="0.3">
      <c r="A44" s="82" t="s">
        <v>118</v>
      </c>
      <c r="B44" s="81" t="s">
        <v>7</v>
      </c>
      <c r="C44" s="84">
        <v>1047.5999999999999</v>
      </c>
      <c r="D44" s="84">
        <v>325.7</v>
      </c>
      <c r="E44" s="84">
        <v>6</v>
      </c>
      <c r="F44" s="84">
        <v>162.30000000000001</v>
      </c>
      <c r="G44" s="84">
        <v>0.5</v>
      </c>
      <c r="H44" s="84">
        <v>963.5</v>
      </c>
      <c r="I44" s="84">
        <v>765.8</v>
      </c>
      <c r="J44" s="84">
        <v>174</v>
      </c>
      <c r="K44" s="84">
        <v>553.4</v>
      </c>
      <c r="L44" s="84">
        <v>237</v>
      </c>
      <c r="M44" s="84">
        <v>1280.3</v>
      </c>
      <c r="N44" s="84">
        <v>331.5</v>
      </c>
      <c r="O44" s="84">
        <v>1225.5999999999999</v>
      </c>
      <c r="P44" s="84">
        <v>643.79999999999995</v>
      </c>
      <c r="Q44" s="84">
        <v>2007.9</v>
      </c>
      <c r="R44" s="84">
        <v>1580.5</v>
      </c>
      <c r="S44" s="84">
        <v>3338.7</v>
      </c>
      <c r="T44" s="84">
        <v>1176.5999999999999</v>
      </c>
      <c r="U44" s="84">
        <v>2589.5</v>
      </c>
      <c r="V44" s="84">
        <v>1892.2</v>
      </c>
      <c r="W44" s="84">
        <v>720.2</v>
      </c>
      <c r="X44" s="84">
        <v>347.3</v>
      </c>
      <c r="Y44" s="84">
        <v>1774.5</v>
      </c>
      <c r="Z44" s="84">
        <v>516.9</v>
      </c>
      <c r="AA44" s="84">
        <v>6031.6</v>
      </c>
      <c r="AB44" s="84">
        <v>7771.6</v>
      </c>
      <c r="AC44" s="84">
        <v>889</v>
      </c>
      <c r="AD44" s="84">
        <v>488.7</v>
      </c>
      <c r="AE44" s="84">
        <v>274.7</v>
      </c>
      <c r="AF44" s="84">
        <v>893.8</v>
      </c>
      <c r="AG44" s="84">
        <v>97.3</v>
      </c>
      <c r="AH44" s="84">
        <v>2496</v>
      </c>
      <c r="AI44" s="84">
        <v>782.1</v>
      </c>
      <c r="AJ44" s="84">
        <v>937.5</v>
      </c>
      <c r="AK44" s="84">
        <v>417.9</v>
      </c>
      <c r="AL44" s="84">
        <v>22936.7</v>
      </c>
      <c r="AM44" s="84">
        <v>19408.5</v>
      </c>
      <c r="AN44" s="84">
        <v>4411.3999999999996</v>
      </c>
      <c r="AO44" s="84">
        <v>806.5</v>
      </c>
      <c r="AP44" s="84">
        <v>4814.8999999999996</v>
      </c>
      <c r="AQ44" s="84">
        <v>1624.4</v>
      </c>
      <c r="AR44" s="84">
        <v>3290.2</v>
      </c>
      <c r="AS44" s="84">
        <v>570.29999999999995</v>
      </c>
      <c r="AT44" s="84">
        <v>1331.2</v>
      </c>
      <c r="AU44" s="84">
        <v>0</v>
      </c>
      <c r="AV44" s="84">
        <v>61167.3</v>
      </c>
      <c r="AW44" s="84">
        <v>523.6</v>
      </c>
      <c r="AX44" s="84">
        <v>3.8</v>
      </c>
      <c r="AY44" s="84">
        <v>149.30000000000001</v>
      </c>
      <c r="AZ44" s="84">
        <v>407.7</v>
      </c>
      <c r="BA44" s="84">
        <v>689</v>
      </c>
      <c r="BB44" s="84">
        <v>299.3</v>
      </c>
      <c r="BC44" s="84">
        <v>3395.3</v>
      </c>
      <c r="BD44" s="84">
        <v>-6486.4</v>
      </c>
    </row>
    <row r="45" spans="1:56" x14ac:dyDescent="0.3">
      <c r="A45" s="82" t="s">
        <v>119</v>
      </c>
      <c r="B45" s="81" t="s">
        <v>7</v>
      </c>
      <c r="C45" s="83">
        <v>20.100000000000001</v>
      </c>
      <c r="D45" s="83">
        <v>5.6</v>
      </c>
      <c r="E45" s="83">
        <v>0.3</v>
      </c>
      <c r="F45" s="83">
        <v>4.7</v>
      </c>
      <c r="G45" s="83">
        <v>0</v>
      </c>
      <c r="H45" s="83">
        <v>152</v>
      </c>
      <c r="I45" s="83">
        <v>162.30000000000001</v>
      </c>
      <c r="J45" s="83">
        <v>21.4</v>
      </c>
      <c r="K45" s="83">
        <v>71.5</v>
      </c>
      <c r="L45" s="83">
        <v>62.8</v>
      </c>
      <c r="M45" s="83">
        <v>142.6</v>
      </c>
      <c r="N45" s="83">
        <v>35.4</v>
      </c>
      <c r="O45" s="83">
        <v>84.2</v>
      </c>
      <c r="P45" s="83">
        <v>54.5</v>
      </c>
      <c r="Q45" s="83">
        <v>258.8</v>
      </c>
      <c r="R45" s="83">
        <v>177.9</v>
      </c>
      <c r="S45" s="83">
        <v>420.4</v>
      </c>
      <c r="T45" s="83">
        <v>167.1</v>
      </c>
      <c r="U45" s="83">
        <v>142.19999999999999</v>
      </c>
      <c r="V45" s="83">
        <v>185.8</v>
      </c>
      <c r="W45" s="83">
        <v>40.6</v>
      </c>
      <c r="X45" s="83">
        <v>97.7</v>
      </c>
      <c r="Y45" s="83">
        <v>167.6</v>
      </c>
      <c r="Z45" s="83">
        <v>93.8</v>
      </c>
      <c r="AA45" s="83">
        <v>504.9</v>
      </c>
      <c r="AB45" s="83">
        <v>7641.7</v>
      </c>
      <c r="AC45" s="83">
        <v>122.5</v>
      </c>
      <c r="AD45" s="83">
        <v>28.6</v>
      </c>
      <c r="AE45" s="83">
        <v>26.5</v>
      </c>
      <c r="AF45" s="83">
        <v>394.8</v>
      </c>
      <c r="AG45" s="83">
        <v>37.799999999999997</v>
      </c>
      <c r="AH45" s="83">
        <v>3725</v>
      </c>
      <c r="AI45" s="83">
        <v>283.89999999999998</v>
      </c>
      <c r="AJ45" s="83">
        <v>212.4</v>
      </c>
      <c r="AK45" s="83">
        <v>323.3</v>
      </c>
      <c r="AL45" s="83">
        <v>2862.8</v>
      </c>
      <c r="AM45" s="83">
        <v>2827.2</v>
      </c>
      <c r="AN45" s="83">
        <v>2516</v>
      </c>
      <c r="AO45" s="83">
        <v>573</v>
      </c>
      <c r="AP45" s="83">
        <v>678.6</v>
      </c>
      <c r="AQ45" s="83">
        <v>1045.9000000000001</v>
      </c>
      <c r="AR45" s="83">
        <v>1614.4</v>
      </c>
      <c r="AS45" s="83">
        <v>330.3</v>
      </c>
      <c r="AT45" s="83">
        <v>612.1</v>
      </c>
      <c r="AU45" s="83">
        <v>0</v>
      </c>
      <c r="AV45" s="83">
        <v>134122.29999999999</v>
      </c>
      <c r="AW45" s="83">
        <v>269.39999999999998</v>
      </c>
      <c r="AX45" s="83">
        <v>0.6</v>
      </c>
      <c r="AY45" s="83">
        <v>13959.9</v>
      </c>
      <c r="AZ45" s="83">
        <v>5.6</v>
      </c>
      <c r="BA45" s="83">
        <v>2210.1999999999998</v>
      </c>
      <c r="BB45" s="83">
        <v>669.9</v>
      </c>
      <c r="BC45" s="83">
        <v>223.1</v>
      </c>
      <c r="BD45" s="83">
        <v>-3354.8</v>
      </c>
    </row>
    <row r="46" spans="1:56" ht="21" x14ac:dyDescent="0.3">
      <c r="A46" s="82" t="s">
        <v>591</v>
      </c>
      <c r="B46" s="81" t="s">
        <v>7</v>
      </c>
      <c r="C46" s="84">
        <v>1115.5999999999999</v>
      </c>
      <c r="D46" s="84">
        <v>156.5</v>
      </c>
      <c r="E46" s="84">
        <v>67.3</v>
      </c>
      <c r="F46" s="84">
        <v>166.5</v>
      </c>
      <c r="G46" s="84">
        <v>1.8</v>
      </c>
      <c r="H46" s="84">
        <v>3971.1</v>
      </c>
      <c r="I46" s="84">
        <v>1295.9000000000001</v>
      </c>
      <c r="J46" s="84">
        <v>191.4</v>
      </c>
      <c r="K46" s="84">
        <v>843.8</v>
      </c>
      <c r="L46" s="84">
        <v>3535.5</v>
      </c>
      <c r="M46" s="84">
        <v>10703.3</v>
      </c>
      <c r="N46" s="84">
        <v>2695.5</v>
      </c>
      <c r="O46" s="84">
        <v>2117.3000000000002</v>
      </c>
      <c r="P46" s="84">
        <v>1764.5</v>
      </c>
      <c r="Q46" s="84">
        <v>7358.9</v>
      </c>
      <c r="R46" s="84">
        <v>2643</v>
      </c>
      <c r="S46" s="84">
        <v>7560.9</v>
      </c>
      <c r="T46" s="84">
        <v>3462.1</v>
      </c>
      <c r="U46" s="84">
        <v>3661.4</v>
      </c>
      <c r="V46" s="84">
        <v>5126.1000000000004</v>
      </c>
      <c r="W46" s="84">
        <v>1457.4</v>
      </c>
      <c r="X46" s="84">
        <v>928.1</v>
      </c>
      <c r="Y46" s="84">
        <v>2430.6</v>
      </c>
      <c r="Z46" s="84">
        <v>631.20000000000005</v>
      </c>
      <c r="AA46" s="84">
        <v>7023.1</v>
      </c>
      <c r="AB46" s="84">
        <v>12529.8</v>
      </c>
      <c r="AC46" s="84">
        <v>764.4</v>
      </c>
      <c r="AD46" s="84">
        <v>356.8</v>
      </c>
      <c r="AE46" s="84">
        <v>110.8</v>
      </c>
      <c r="AF46" s="84">
        <v>2518.8000000000002</v>
      </c>
      <c r="AG46" s="84">
        <v>215.7</v>
      </c>
      <c r="AH46" s="84">
        <v>1893.4</v>
      </c>
      <c r="AI46" s="84">
        <v>4410.7</v>
      </c>
      <c r="AJ46" s="84">
        <v>3103.8</v>
      </c>
      <c r="AK46" s="84">
        <v>2526.8000000000002</v>
      </c>
      <c r="AL46" s="84">
        <v>5967.1</v>
      </c>
      <c r="AM46" s="84">
        <v>1260.5999999999999</v>
      </c>
      <c r="AN46" s="84">
        <v>8853.2000000000007</v>
      </c>
      <c r="AO46" s="84">
        <v>3644.9</v>
      </c>
      <c r="AP46" s="84">
        <v>1875.8</v>
      </c>
      <c r="AQ46" s="84">
        <v>2234.8000000000002</v>
      </c>
      <c r="AR46" s="84">
        <v>1702</v>
      </c>
      <c r="AS46" s="84">
        <v>1068</v>
      </c>
      <c r="AT46" s="84">
        <v>576.4</v>
      </c>
      <c r="AU46" s="84">
        <v>0</v>
      </c>
      <c r="AV46" s="84">
        <v>3637.5</v>
      </c>
      <c r="AW46" s="84">
        <v>426.2</v>
      </c>
      <c r="AX46" s="84">
        <v>3995</v>
      </c>
      <c r="AY46" s="84">
        <v>65332</v>
      </c>
      <c r="AZ46" s="84">
        <v>384.4</v>
      </c>
      <c r="BA46" s="84">
        <v>323.5</v>
      </c>
      <c r="BB46" s="84">
        <v>150.9</v>
      </c>
      <c r="BC46" s="84">
        <v>12914</v>
      </c>
      <c r="BD46" s="84">
        <v>-15909.5</v>
      </c>
    </row>
    <row r="47" spans="1:56" ht="21" x14ac:dyDescent="0.3">
      <c r="A47" s="82" t="s">
        <v>592</v>
      </c>
      <c r="B47" s="81" t="s">
        <v>7</v>
      </c>
      <c r="C47" s="83">
        <v>80.2</v>
      </c>
      <c r="D47" s="83">
        <v>89.9</v>
      </c>
      <c r="E47" s="83">
        <v>0.9</v>
      </c>
      <c r="F47" s="83">
        <v>141</v>
      </c>
      <c r="G47" s="83">
        <v>0.6</v>
      </c>
      <c r="H47" s="83">
        <v>506.5</v>
      </c>
      <c r="I47" s="83">
        <v>428.1</v>
      </c>
      <c r="J47" s="83">
        <v>65.900000000000006</v>
      </c>
      <c r="K47" s="83">
        <v>346.9</v>
      </c>
      <c r="L47" s="83">
        <v>402.9</v>
      </c>
      <c r="M47" s="83">
        <v>707.1</v>
      </c>
      <c r="N47" s="83">
        <v>115.1</v>
      </c>
      <c r="O47" s="83">
        <v>562</v>
      </c>
      <c r="P47" s="83">
        <v>338.5</v>
      </c>
      <c r="Q47" s="83">
        <v>1768.3</v>
      </c>
      <c r="R47" s="83">
        <v>907</v>
      </c>
      <c r="S47" s="83">
        <v>2165.6</v>
      </c>
      <c r="T47" s="83">
        <v>640.20000000000005</v>
      </c>
      <c r="U47" s="83">
        <v>710.6</v>
      </c>
      <c r="V47" s="83">
        <v>1453.5</v>
      </c>
      <c r="W47" s="83">
        <v>1547.4</v>
      </c>
      <c r="X47" s="83">
        <v>208.4</v>
      </c>
      <c r="Y47" s="83">
        <v>1214.9000000000001</v>
      </c>
      <c r="Z47" s="83">
        <v>370.1</v>
      </c>
      <c r="AA47" s="83">
        <v>8930.6</v>
      </c>
      <c r="AB47" s="83">
        <v>7306.4</v>
      </c>
      <c r="AC47" s="83">
        <v>709.3</v>
      </c>
      <c r="AD47" s="83">
        <v>2359.6</v>
      </c>
      <c r="AE47" s="83">
        <v>1660.8</v>
      </c>
      <c r="AF47" s="83">
        <v>2553.9</v>
      </c>
      <c r="AG47" s="83">
        <v>444.1</v>
      </c>
      <c r="AH47" s="83">
        <v>1271.3</v>
      </c>
      <c r="AI47" s="83">
        <v>2112.9</v>
      </c>
      <c r="AJ47" s="83">
        <v>2301.6</v>
      </c>
      <c r="AK47" s="83">
        <v>1139.3</v>
      </c>
      <c r="AL47" s="83">
        <v>7231.9</v>
      </c>
      <c r="AM47" s="83">
        <v>8825.2999999999993</v>
      </c>
      <c r="AN47" s="83">
        <v>6638.7</v>
      </c>
      <c r="AO47" s="83">
        <v>6387.5</v>
      </c>
      <c r="AP47" s="83">
        <v>3683.2</v>
      </c>
      <c r="AQ47" s="83">
        <v>1946.3</v>
      </c>
      <c r="AR47" s="83">
        <v>1375.8</v>
      </c>
      <c r="AS47" s="83">
        <v>1900.8</v>
      </c>
      <c r="AT47" s="83">
        <v>416</v>
      </c>
      <c r="AU47" s="83">
        <v>0</v>
      </c>
      <c r="AV47" s="83">
        <v>7322.7</v>
      </c>
      <c r="AW47" s="83">
        <v>323.60000000000002</v>
      </c>
      <c r="AX47" s="83">
        <v>373.1</v>
      </c>
      <c r="AY47" s="83">
        <v>317.8</v>
      </c>
      <c r="AZ47" s="83">
        <v>393.5</v>
      </c>
      <c r="BA47" s="83">
        <v>674.8</v>
      </c>
      <c r="BB47" s="83">
        <v>206.7</v>
      </c>
      <c r="BC47" s="83">
        <v>9056.7999999999993</v>
      </c>
      <c r="BD47" s="83">
        <v>-18448.900000000001</v>
      </c>
    </row>
    <row r="48" spans="1:56" ht="21" x14ac:dyDescent="0.3">
      <c r="A48" s="82" t="s">
        <v>121</v>
      </c>
      <c r="B48" s="81" t="s">
        <v>7</v>
      </c>
      <c r="C48" s="84">
        <v>20.7</v>
      </c>
      <c r="D48" s="84">
        <v>99.1</v>
      </c>
      <c r="E48" s="84">
        <v>0.2</v>
      </c>
      <c r="F48" s="84">
        <v>0.5</v>
      </c>
      <c r="G48" s="84">
        <v>0</v>
      </c>
      <c r="H48" s="84">
        <v>128.4</v>
      </c>
      <c r="I48" s="84">
        <v>33.200000000000003</v>
      </c>
      <c r="J48" s="84">
        <v>5.2</v>
      </c>
      <c r="K48" s="84">
        <v>30.2</v>
      </c>
      <c r="L48" s="84">
        <v>38.5</v>
      </c>
      <c r="M48" s="84">
        <v>53.8</v>
      </c>
      <c r="N48" s="84">
        <v>75.400000000000006</v>
      </c>
      <c r="O48" s="84">
        <v>18.3</v>
      </c>
      <c r="P48" s="84">
        <v>10.6</v>
      </c>
      <c r="Q48" s="84">
        <v>156.30000000000001</v>
      </c>
      <c r="R48" s="84">
        <v>20.7</v>
      </c>
      <c r="S48" s="84">
        <v>108.8</v>
      </c>
      <c r="T48" s="84">
        <v>44.9</v>
      </c>
      <c r="U48" s="84">
        <v>31</v>
      </c>
      <c r="V48" s="84">
        <v>16.5</v>
      </c>
      <c r="W48" s="84">
        <v>13.5</v>
      </c>
      <c r="X48" s="84">
        <v>84.4</v>
      </c>
      <c r="Y48" s="84">
        <v>123.9</v>
      </c>
      <c r="Z48" s="84">
        <v>19.600000000000001</v>
      </c>
      <c r="AA48" s="84">
        <v>46.9</v>
      </c>
      <c r="AB48" s="84">
        <v>170.6</v>
      </c>
      <c r="AC48" s="84">
        <v>10.9</v>
      </c>
      <c r="AD48" s="84">
        <v>8.6999999999999993</v>
      </c>
      <c r="AE48" s="84">
        <v>698.9</v>
      </c>
      <c r="AF48" s="84">
        <v>6.2</v>
      </c>
      <c r="AG48" s="84">
        <v>1.8</v>
      </c>
      <c r="AH48" s="84">
        <v>68.900000000000006</v>
      </c>
      <c r="AI48" s="84">
        <v>30.6</v>
      </c>
      <c r="AJ48" s="84">
        <v>51.1</v>
      </c>
      <c r="AK48" s="84">
        <v>22.5</v>
      </c>
      <c r="AL48" s="84">
        <v>355.2</v>
      </c>
      <c r="AM48" s="84">
        <v>45.6</v>
      </c>
      <c r="AN48" s="84">
        <v>65.599999999999994</v>
      </c>
      <c r="AO48" s="84">
        <v>63.2</v>
      </c>
      <c r="AP48" s="84">
        <v>1830.3</v>
      </c>
      <c r="AQ48" s="84">
        <v>16.3</v>
      </c>
      <c r="AR48" s="84">
        <v>48</v>
      </c>
      <c r="AS48" s="84">
        <v>12.5</v>
      </c>
      <c r="AT48" s="84">
        <v>15.9</v>
      </c>
      <c r="AU48" s="84">
        <v>0</v>
      </c>
      <c r="AV48" s="84">
        <v>2539.4</v>
      </c>
      <c r="AW48" s="84">
        <v>999.9</v>
      </c>
      <c r="AX48" s="84">
        <v>132493.6</v>
      </c>
      <c r="AY48" s="84">
        <v>238.6</v>
      </c>
      <c r="AZ48" s="84">
        <v>2</v>
      </c>
      <c r="BA48" s="84">
        <v>148</v>
      </c>
      <c r="BB48" s="84">
        <v>0</v>
      </c>
      <c r="BC48" s="84">
        <v>0</v>
      </c>
      <c r="BD48" s="84">
        <v>-936.2</v>
      </c>
    </row>
    <row r="49" spans="1:56" x14ac:dyDescent="0.3">
      <c r="A49" s="82" t="s">
        <v>122</v>
      </c>
      <c r="B49" s="81" t="s">
        <v>7</v>
      </c>
      <c r="C49" s="83">
        <v>16.8</v>
      </c>
      <c r="D49" s="83">
        <v>9.5</v>
      </c>
      <c r="E49" s="83">
        <v>0.4</v>
      </c>
      <c r="F49" s="83">
        <v>4.7</v>
      </c>
      <c r="G49" s="83">
        <v>0</v>
      </c>
      <c r="H49" s="83">
        <v>60.6</v>
      </c>
      <c r="I49" s="83">
        <v>43.6</v>
      </c>
      <c r="J49" s="83">
        <v>10.199999999999999</v>
      </c>
      <c r="K49" s="83">
        <v>33.6</v>
      </c>
      <c r="L49" s="83">
        <v>33.799999999999997</v>
      </c>
      <c r="M49" s="83">
        <v>115.5</v>
      </c>
      <c r="N49" s="83">
        <v>16.100000000000001</v>
      </c>
      <c r="O49" s="83">
        <v>75.599999999999994</v>
      </c>
      <c r="P49" s="83">
        <v>43.3</v>
      </c>
      <c r="Q49" s="83">
        <v>149.9</v>
      </c>
      <c r="R49" s="83">
        <v>127.9</v>
      </c>
      <c r="S49" s="83">
        <v>190.8</v>
      </c>
      <c r="T49" s="83">
        <v>93.7</v>
      </c>
      <c r="U49" s="83">
        <v>146.9</v>
      </c>
      <c r="V49" s="83">
        <v>91</v>
      </c>
      <c r="W49" s="83">
        <v>27.5</v>
      </c>
      <c r="X49" s="83">
        <v>43.7</v>
      </c>
      <c r="Y49" s="83">
        <v>60.8</v>
      </c>
      <c r="Z49" s="83">
        <v>26.1</v>
      </c>
      <c r="AA49" s="83">
        <v>125.1</v>
      </c>
      <c r="AB49" s="83">
        <v>1092.5999999999999</v>
      </c>
      <c r="AC49" s="83">
        <v>28</v>
      </c>
      <c r="AD49" s="83">
        <v>11</v>
      </c>
      <c r="AE49" s="83">
        <v>32.4</v>
      </c>
      <c r="AF49" s="83">
        <v>77.900000000000006</v>
      </c>
      <c r="AG49" s="83">
        <v>8</v>
      </c>
      <c r="AH49" s="83">
        <v>151</v>
      </c>
      <c r="AI49" s="83">
        <v>84.5</v>
      </c>
      <c r="AJ49" s="83">
        <v>87.5</v>
      </c>
      <c r="AK49" s="83">
        <v>54.6</v>
      </c>
      <c r="AL49" s="83">
        <v>450.4</v>
      </c>
      <c r="AM49" s="83">
        <v>157.9</v>
      </c>
      <c r="AN49" s="83">
        <v>617.4</v>
      </c>
      <c r="AO49" s="83">
        <v>153.5</v>
      </c>
      <c r="AP49" s="83">
        <v>147</v>
      </c>
      <c r="AQ49" s="83">
        <v>333.1</v>
      </c>
      <c r="AR49" s="83">
        <v>219.2</v>
      </c>
      <c r="AS49" s="83">
        <v>82.6</v>
      </c>
      <c r="AT49" s="83">
        <v>187</v>
      </c>
      <c r="AU49" s="83">
        <v>0</v>
      </c>
      <c r="AV49" s="83">
        <v>54907.199999999997</v>
      </c>
      <c r="AW49" s="83">
        <v>5345.8</v>
      </c>
      <c r="AX49" s="83">
        <v>52866.9</v>
      </c>
      <c r="AY49" s="83">
        <v>732.1</v>
      </c>
      <c r="AZ49" s="83">
        <v>0.2</v>
      </c>
      <c r="BA49" s="83">
        <v>2778.2</v>
      </c>
      <c r="BB49" s="83">
        <v>671.8</v>
      </c>
      <c r="BC49" s="83">
        <v>11.7</v>
      </c>
      <c r="BD49" s="83">
        <v>-3570.5</v>
      </c>
    </row>
    <row r="50" spans="1:56" ht="21" x14ac:dyDescent="0.3">
      <c r="A50" s="82" t="s">
        <v>593</v>
      </c>
      <c r="B50" s="81" t="s">
        <v>7</v>
      </c>
      <c r="C50" s="84">
        <v>80.900000000000006</v>
      </c>
      <c r="D50" s="84">
        <v>46.1</v>
      </c>
      <c r="E50" s="84">
        <v>0.9</v>
      </c>
      <c r="F50" s="84">
        <v>12.7</v>
      </c>
      <c r="G50" s="84">
        <v>0</v>
      </c>
      <c r="H50" s="84">
        <v>119.7</v>
      </c>
      <c r="I50" s="84">
        <v>68.5</v>
      </c>
      <c r="J50" s="84">
        <v>26</v>
      </c>
      <c r="K50" s="84">
        <v>52.8</v>
      </c>
      <c r="L50" s="84">
        <v>38.4</v>
      </c>
      <c r="M50" s="84">
        <v>128.80000000000001</v>
      </c>
      <c r="N50" s="84">
        <v>56.6</v>
      </c>
      <c r="O50" s="84">
        <v>120.6</v>
      </c>
      <c r="P50" s="84">
        <v>66.8</v>
      </c>
      <c r="Q50" s="84">
        <v>189.3</v>
      </c>
      <c r="R50" s="84">
        <v>197.8</v>
      </c>
      <c r="S50" s="84">
        <v>266.5</v>
      </c>
      <c r="T50" s="84">
        <v>130.6</v>
      </c>
      <c r="U50" s="84">
        <v>260.89999999999998</v>
      </c>
      <c r="V50" s="84">
        <v>232.7</v>
      </c>
      <c r="W50" s="84">
        <v>46.2</v>
      </c>
      <c r="X50" s="84">
        <v>58.4</v>
      </c>
      <c r="Y50" s="84">
        <v>100.1</v>
      </c>
      <c r="Z50" s="84">
        <v>72.3</v>
      </c>
      <c r="AA50" s="84">
        <v>522.9</v>
      </c>
      <c r="AB50" s="84">
        <v>1218.8</v>
      </c>
      <c r="AC50" s="84">
        <v>117.7</v>
      </c>
      <c r="AD50" s="84">
        <v>15.7</v>
      </c>
      <c r="AE50" s="84">
        <v>12.7</v>
      </c>
      <c r="AF50" s="84">
        <v>63.8</v>
      </c>
      <c r="AG50" s="84">
        <v>18.7</v>
      </c>
      <c r="AH50" s="84">
        <v>513.70000000000005</v>
      </c>
      <c r="AI50" s="84">
        <v>121.3</v>
      </c>
      <c r="AJ50" s="84">
        <v>70.3</v>
      </c>
      <c r="AK50" s="84">
        <v>82.8</v>
      </c>
      <c r="AL50" s="84">
        <v>522</v>
      </c>
      <c r="AM50" s="84">
        <v>169.7</v>
      </c>
      <c r="AN50" s="84">
        <v>693.4</v>
      </c>
      <c r="AO50" s="84">
        <v>232.6</v>
      </c>
      <c r="AP50" s="84">
        <v>107.4</v>
      </c>
      <c r="AQ50" s="84">
        <v>334.5</v>
      </c>
      <c r="AR50" s="84">
        <v>950</v>
      </c>
      <c r="AS50" s="84">
        <v>140.9</v>
      </c>
      <c r="AT50" s="84">
        <v>141</v>
      </c>
      <c r="AU50" s="84">
        <v>0</v>
      </c>
      <c r="AV50" s="84">
        <v>48289.9</v>
      </c>
      <c r="AW50" s="84">
        <v>7644.6</v>
      </c>
      <c r="AX50" s="84">
        <v>75022</v>
      </c>
      <c r="AY50" s="84">
        <v>117.1</v>
      </c>
      <c r="AZ50" s="84">
        <v>9.4</v>
      </c>
      <c r="BA50" s="84">
        <v>540.1</v>
      </c>
      <c r="BB50" s="84">
        <v>267.2</v>
      </c>
      <c r="BC50" s="84">
        <v>54.9</v>
      </c>
      <c r="BD50" s="84">
        <v>-799.4</v>
      </c>
    </row>
    <row r="51" spans="1:56" ht="21" x14ac:dyDescent="0.3">
      <c r="A51" s="82" t="s">
        <v>594</v>
      </c>
      <c r="B51" s="81" t="s">
        <v>7</v>
      </c>
      <c r="C51" s="83">
        <v>35.700000000000003</v>
      </c>
      <c r="D51" s="83">
        <v>20</v>
      </c>
      <c r="E51" s="83">
        <v>0.7</v>
      </c>
      <c r="F51" s="83">
        <v>18.8</v>
      </c>
      <c r="G51" s="83">
        <v>0</v>
      </c>
      <c r="H51" s="83">
        <v>69.8</v>
      </c>
      <c r="I51" s="83">
        <v>55.7</v>
      </c>
      <c r="J51" s="83">
        <v>20</v>
      </c>
      <c r="K51" s="83">
        <v>39.9</v>
      </c>
      <c r="L51" s="83">
        <v>39.299999999999997</v>
      </c>
      <c r="M51" s="83">
        <v>103.4</v>
      </c>
      <c r="N51" s="83">
        <v>17.8</v>
      </c>
      <c r="O51" s="83">
        <v>91.1</v>
      </c>
      <c r="P51" s="83">
        <v>48.4</v>
      </c>
      <c r="Q51" s="83">
        <v>194.6</v>
      </c>
      <c r="R51" s="83">
        <v>142.19999999999999</v>
      </c>
      <c r="S51" s="83">
        <v>117.3</v>
      </c>
      <c r="T51" s="83">
        <v>74.3</v>
      </c>
      <c r="U51" s="83">
        <v>140.4</v>
      </c>
      <c r="V51" s="83">
        <v>69.5</v>
      </c>
      <c r="W51" s="83">
        <v>21.5</v>
      </c>
      <c r="X51" s="83">
        <v>36.5</v>
      </c>
      <c r="Y51" s="83">
        <v>50.6</v>
      </c>
      <c r="Z51" s="83">
        <v>41.1</v>
      </c>
      <c r="AA51" s="83">
        <v>244.8</v>
      </c>
      <c r="AB51" s="83">
        <v>411.5</v>
      </c>
      <c r="AC51" s="83">
        <v>40.6</v>
      </c>
      <c r="AD51" s="83">
        <v>26.7</v>
      </c>
      <c r="AE51" s="83">
        <v>301.5</v>
      </c>
      <c r="AF51" s="83">
        <v>127.8</v>
      </c>
      <c r="AG51" s="83">
        <v>14</v>
      </c>
      <c r="AH51" s="83">
        <v>122.9</v>
      </c>
      <c r="AI51" s="83">
        <v>836.6</v>
      </c>
      <c r="AJ51" s="83">
        <v>74</v>
      </c>
      <c r="AK51" s="83">
        <v>113.3</v>
      </c>
      <c r="AL51" s="83">
        <v>341.8</v>
      </c>
      <c r="AM51" s="83">
        <v>121.9</v>
      </c>
      <c r="AN51" s="83">
        <v>774.4</v>
      </c>
      <c r="AO51" s="83">
        <v>739</v>
      </c>
      <c r="AP51" s="83">
        <v>61</v>
      </c>
      <c r="AQ51" s="83">
        <v>428.9</v>
      </c>
      <c r="AR51" s="83">
        <v>174.8</v>
      </c>
      <c r="AS51" s="83">
        <v>517.20000000000005</v>
      </c>
      <c r="AT51" s="83">
        <v>169</v>
      </c>
      <c r="AU51" s="83">
        <v>0</v>
      </c>
      <c r="AV51" s="83">
        <v>22100.3</v>
      </c>
      <c r="AW51" s="83">
        <v>3459.6</v>
      </c>
      <c r="AX51" s="83">
        <v>676.6</v>
      </c>
      <c r="AY51" s="83">
        <v>339.2</v>
      </c>
      <c r="AZ51" s="83">
        <v>3.4</v>
      </c>
      <c r="BA51" s="83">
        <v>1248.5</v>
      </c>
      <c r="BB51" s="83">
        <v>595.1</v>
      </c>
      <c r="BC51" s="83">
        <v>953.9</v>
      </c>
      <c r="BD51" s="83">
        <v>-2258.6999999999998</v>
      </c>
    </row>
    <row r="52" spans="1:56" x14ac:dyDescent="0.3">
      <c r="A52" s="82" t="s">
        <v>595</v>
      </c>
      <c r="B52" s="81" t="s">
        <v>7</v>
      </c>
      <c r="C52" s="84">
        <v>147.5</v>
      </c>
      <c r="D52" s="84">
        <v>27.6</v>
      </c>
      <c r="E52" s="84">
        <v>0.7</v>
      </c>
      <c r="F52" s="84">
        <v>13.5</v>
      </c>
      <c r="G52" s="84">
        <v>0.1</v>
      </c>
      <c r="H52" s="84">
        <v>594.1</v>
      </c>
      <c r="I52" s="84">
        <v>242.7</v>
      </c>
      <c r="J52" s="84">
        <v>39.1</v>
      </c>
      <c r="K52" s="84">
        <v>111</v>
      </c>
      <c r="L52" s="84">
        <v>93.3</v>
      </c>
      <c r="M52" s="84">
        <v>384</v>
      </c>
      <c r="N52" s="84">
        <v>55.5</v>
      </c>
      <c r="O52" s="84">
        <v>231.1</v>
      </c>
      <c r="P52" s="84">
        <v>137.69999999999999</v>
      </c>
      <c r="Q52" s="84">
        <v>344.6</v>
      </c>
      <c r="R52" s="84">
        <v>324</v>
      </c>
      <c r="S52" s="84">
        <v>687.5</v>
      </c>
      <c r="T52" s="84">
        <v>299.60000000000002</v>
      </c>
      <c r="U52" s="84">
        <v>440</v>
      </c>
      <c r="V52" s="84">
        <v>364.4</v>
      </c>
      <c r="W52" s="84">
        <v>89.6</v>
      </c>
      <c r="X52" s="84">
        <v>165</v>
      </c>
      <c r="Y52" s="84">
        <v>100</v>
      </c>
      <c r="Z52" s="84">
        <v>109.1</v>
      </c>
      <c r="AA52" s="84">
        <v>720.2</v>
      </c>
      <c r="AB52" s="84">
        <v>1351.3</v>
      </c>
      <c r="AC52" s="84">
        <v>921.4</v>
      </c>
      <c r="AD52" s="84">
        <v>27.3</v>
      </c>
      <c r="AE52" s="84">
        <v>30.6</v>
      </c>
      <c r="AF52" s="84">
        <v>308.3</v>
      </c>
      <c r="AG52" s="84">
        <v>332.9</v>
      </c>
      <c r="AH52" s="84">
        <v>772.7</v>
      </c>
      <c r="AI52" s="84">
        <v>148.4</v>
      </c>
      <c r="AJ52" s="84">
        <v>242.6</v>
      </c>
      <c r="AK52" s="84">
        <v>88.4</v>
      </c>
      <c r="AL52" s="84">
        <v>467.4</v>
      </c>
      <c r="AM52" s="84">
        <v>350</v>
      </c>
      <c r="AN52" s="84">
        <v>992.5</v>
      </c>
      <c r="AO52" s="84">
        <v>554.79999999999995</v>
      </c>
      <c r="AP52" s="84">
        <v>265.60000000000002</v>
      </c>
      <c r="AQ52" s="84">
        <v>556.5</v>
      </c>
      <c r="AR52" s="84">
        <v>483.5</v>
      </c>
      <c r="AS52" s="84">
        <v>242.4</v>
      </c>
      <c r="AT52" s="84">
        <v>311.8</v>
      </c>
      <c r="AU52" s="84">
        <v>0</v>
      </c>
      <c r="AV52" s="84">
        <v>23066</v>
      </c>
      <c r="AW52" s="84">
        <v>8409.9</v>
      </c>
      <c r="AX52" s="84">
        <v>45</v>
      </c>
      <c r="AY52" s="84">
        <v>403.3</v>
      </c>
      <c r="AZ52" s="84">
        <v>-152.5</v>
      </c>
      <c r="BA52" s="84">
        <v>759.9</v>
      </c>
      <c r="BB52" s="84">
        <v>292.60000000000002</v>
      </c>
      <c r="BC52" s="84">
        <v>1653.9</v>
      </c>
      <c r="BD52" s="84">
        <v>-864.7</v>
      </c>
    </row>
    <row r="53" spans="1:56" ht="42" x14ac:dyDescent="0.3">
      <c r="A53" s="82" t="s">
        <v>596</v>
      </c>
      <c r="B53" s="81" t="s">
        <v>7</v>
      </c>
      <c r="C53" s="83">
        <v>0</v>
      </c>
      <c r="D53" s="83">
        <v>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3">
        <v>0</v>
      </c>
      <c r="AG53" s="83">
        <v>0</v>
      </c>
      <c r="AH53" s="83">
        <v>0</v>
      </c>
      <c r="AI53" s="83">
        <v>0</v>
      </c>
      <c r="AJ53" s="83">
        <v>0</v>
      </c>
      <c r="AK53" s="83">
        <v>0</v>
      </c>
      <c r="AL53" s="83">
        <v>0</v>
      </c>
      <c r="AM53" s="83">
        <v>0</v>
      </c>
      <c r="AN53" s="83">
        <v>0</v>
      </c>
      <c r="AO53" s="83">
        <v>0</v>
      </c>
      <c r="AP53" s="83">
        <v>0</v>
      </c>
      <c r="AQ53" s="83">
        <v>0</v>
      </c>
      <c r="AR53" s="83">
        <v>0</v>
      </c>
      <c r="AS53" s="83">
        <v>0</v>
      </c>
      <c r="AT53" s="83">
        <v>0</v>
      </c>
      <c r="AU53" s="83">
        <v>0</v>
      </c>
      <c r="AV53" s="83">
        <v>2012.3</v>
      </c>
      <c r="AW53" s="83">
        <v>0</v>
      </c>
      <c r="AX53" s="83">
        <v>0</v>
      </c>
      <c r="AY53" s="83">
        <v>0</v>
      </c>
      <c r="AZ53" s="83">
        <v>0</v>
      </c>
      <c r="BA53" s="83">
        <v>0</v>
      </c>
      <c r="BB53" s="83">
        <v>0</v>
      </c>
      <c r="BC53" s="83">
        <v>0</v>
      </c>
      <c r="BD53" s="83">
        <v>0</v>
      </c>
    </row>
    <row r="54" spans="1:56" ht="31.5" x14ac:dyDescent="0.3">
      <c r="A54" s="82" t="s">
        <v>126</v>
      </c>
      <c r="B54" s="81" t="s">
        <v>7</v>
      </c>
      <c r="C54" s="84">
        <v>0</v>
      </c>
      <c r="D54" s="84">
        <v>0</v>
      </c>
      <c r="E54" s="84">
        <v>0</v>
      </c>
      <c r="F54" s="84">
        <v>0</v>
      </c>
      <c r="G54" s="84">
        <v>0</v>
      </c>
      <c r="H54" s="84">
        <v>0</v>
      </c>
      <c r="I54" s="84">
        <v>0</v>
      </c>
      <c r="J54" s="84">
        <v>0</v>
      </c>
      <c r="K54" s="84">
        <v>0</v>
      </c>
      <c r="L54" s="84">
        <v>0</v>
      </c>
      <c r="M54" s="84">
        <v>0</v>
      </c>
      <c r="N54" s="84">
        <v>0</v>
      </c>
      <c r="O54" s="84">
        <v>0</v>
      </c>
      <c r="P54" s="84">
        <v>0</v>
      </c>
      <c r="Q54" s="84">
        <v>0</v>
      </c>
      <c r="R54" s="84">
        <v>0</v>
      </c>
      <c r="S54" s="84">
        <v>0</v>
      </c>
      <c r="T54" s="84">
        <v>0</v>
      </c>
      <c r="U54" s="84">
        <v>0</v>
      </c>
      <c r="V54" s="84">
        <v>0</v>
      </c>
      <c r="W54" s="84">
        <v>0</v>
      </c>
      <c r="X54" s="84">
        <v>0</v>
      </c>
      <c r="Y54" s="84">
        <v>0</v>
      </c>
      <c r="Z54" s="84">
        <v>0</v>
      </c>
      <c r="AA54" s="84">
        <v>0</v>
      </c>
      <c r="AB54" s="84">
        <v>0</v>
      </c>
      <c r="AC54" s="84">
        <v>0</v>
      </c>
      <c r="AD54" s="84">
        <v>0</v>
      </c>
      <c r="AE54" s="84">
        <v>0</v>
      </c>
      <c r="AF54" s="84">
        <v>0</v>
      </c>
      <c r="AG54" s="84">
        <v>0</v>
      </c>
      <c r="AH54" s="84">
        <v>0</v>
      </c>
      <c r="AI54" s="84">
        <v>0</v>
      </c>
      <c r="AJ54" s="84">
        <v>0</v>
      </c>
      <c r="AK54" s="84">
        <v>0</v>
      </c>
      <c r="AL54" s="84">
        <v>0</v>
      </c>
      <c r="AM54" s="84">
        <v>0</v>
      </c>
      <c r="AN54" s="84">
        <v>0</v>
      </c>
      <c r="AO54" s="84">
        <v>0</v>
      </c>
      <c r="AP54" s="84">
        <v>0</v>
      </c>
      <c r="AQ54" s="84">
        <v>0</v>
      </c>
      <c r="AR54" s="84">
        <v>0</v>
      </c>
      <c r="AS54" s="84">
        <v>0</v>
      </c>
      <c r="AT54" s="84">
        <v>0</v>
      </c>
      <c r="AU54" s="84">
        <v>0</v>
      </c>
      <c r="AV54" s="84">
        <v>0</v>
      </c>
      <c r="AW54" s="84">
        <v>0</v>
      </c>
      <c r="AX54" s="84">
        <v>0</v>
      </c>
      <c r="AY54" s="84">
        <v>0</v>
      </c>
      <c r="AZ54" s="84">
        <v>0</v>
      </c>
      <c r="BA54" s="84">
        <v>748.8</v>
      </c>
      <c r="BB54" s="84">
        <v>0</v>
      </c>
      <c r="BC54" s="84">
        <v>0</v>
      </c>
      <c r="BD54" s="84">
        <v>-748.7</v>
      </c>
    </row>
    <row r="55" spans="1:56" ht="42" x14ac:dyDescent="0.3">
      <c r="A55" s="82" t="s">
        <v>127</v>
      </c>
      <c r="B55" s="81" t="s">
        <v>7</v>
      </c>
      <c r="C55" s="83">
        <v>555.79999999999995</v>
      </c>
      <c r="D55" s="83">
        <v>243.7</v>
      </c>
      <c r="E55" s="83">
        <v>0.8</v>
      </c>
      <c r="F55" s="83">
        <v>23.5</v>
      </c>
      <c r="G55" s="83">
        <v>0.3</v>
      </c>
      <c r="H55" s="83">
        <v>2121.8000000000002</v>
      </c>
      <c r="I55" s="83">
        <v>1051.4000000000001</v>
      </c>
      <c r="J55" s="83">
        <v>93.5</v>
      </c>
      <c r="K55" s="83">
        <v>376</v>
      </c>
      <c r="L55" s="83">
        <v>8098.2</v>
      </c>
      <c r="M55" s="83">
        <v>5640.9</v>
      </c>
      <c r="N55" s="83">
        <v>351.1</v>
      </c>
      <c r="O55" s="83">
        <v>789.9</v>
      </c>
      <c r="P55" s="83">
        <v>535.70000000000005</v>
      </c>
      <c r="Q55" s="83">
        <v>1374.8</v>
      </c>
      <c r="R55" s="83">
        <v>840</v>
      </c>
      <c r="S55" s="83">
        <v>3668.3</v>
      </c>
      <c r="T55" s="83">
        <v>998.4</v>
      </c>
      <c r="U55" s="83">
        <v>1569</v>
      </c>
      <c r="V55" s="83">
        <v>5166.1000000000004</v>
      </c>
      <c r="W55" s="83">
        <v>489.7</v>
      </c>
      <c r="X55" s="83">
        <v>439.8</v>
      </c>
      <c r="Y55" s="83">
        <v>3675.4</v>
      </c>
      <c r="Z55" s="83">
        <v>205.3</v>
      </c>
      <c r="AA55" s="83">
        <v>2621.9</v>
      </c>
      <c r="AB55" s="83">
        <v>5568.4</v>
      </c>
      <c r="AC55" s="83">
        <v>2735.6</v>
      </c>
      <c r="AD55" s="83">
        <v>650.70000000000005</v>
      </c>
      <c r="AE55" s="83">
        <v>1215.3</v>
      </c>
      <c r="AF55" s="83">
        <v>631.9</v>
      </c>
      <c r="AG55" s="83">
        <v>310.8</v>
      </c>
      <c r="AH55" s="83">
        <v>5433.6</v>
      </c>
      <c r="AI55" s="83">
        <v>641.79999999999995</v>
      </c>
      <c r="AJ55" s="83">
        <v>967.7</v>
      </c>
      <c r="AK55" s="83">
        <v>435.6</v>
      </c>
      <c r="AL55" s="83">
        <v>7706.6</v>
      </c>
      <c r="AM55" s="83">
        <v>2247.3000000000002</v>
      </c>
      <c r="AN55" s="83">
        <v>3363.6</v>
      </c>
      <c r="AO55" s="83">
        <v>866.5</v>
      </c>
      <c r="AP55" s="83">
        <v>1116.2</v>
      </c>
      <c r="AQ55" s="83">
        <v>1725.3</v>
      </c>
      <c r="AR55" s="83">
        <v>3467.1</v>
      </c>
      <c r="AS55" s="83">
        <v>656.2</v>
      </c>
      <c r="AT55" s="83">
        <v>1236.4000000000001</v>
      </c>
      <c r="AU55" s="83">
        <v>0</v>
      </c>
      <c r="AV55" s="83">
        <v>32375.3</v>
      </c>
      <c r="AW55" s="83">
        <v>845.9</v>
      </c>
      <c r="AX55" s="83">
        <v>1079</v>
      </c>
      <c r="AY55" s="83">
        <v>30793</v>
      </c>
      <c r="AZ55" s="83">
        <v>0</v>
      </c>
      <c r="BA55" s="83">
        <v>0</v>
      </c>
      <c r="BB55" s="83">
        <v>1513.1</v>
      </c>
      <c r="BC55" s="83">
        <v>0</v>
      </c>
      <c r="BD55" s="83">
        <v>0</v>
      </c>
    </row>
    <row r="56" spans="1:56" ht="21" x14ac:dyDescent="0.3">
      <c r="A56" s="82" t="s">
        <v>128</v>
      </c>
      <c r="B56" s="81" t="s">
        <v>7</v>
      </c>
      <c r="C56" s="84">
        <v>22154.400000000001</v>
      </c>
      <c r="D56" s="84">
        <v>4941.2</v>
      </c>
      <c r="E56" s="84">
        <v>179.3</v>
      </c>
      <c r="F56" s="84">
        <v>1985</v>
      </c>
      <c r="G56" s="84">
        <v>8.4</v>
      </c>
      <c r="H56" s="84">
        <v>91895.9</v>
      </c>
      <c r="I56" s="84">
        <v>55874.9</v>
      </c>
      <c r="J56" s="84">
        <v>5891.3</v>
      </c>
      <c r="K56" s="84">
        <v>23882.400000000001</v>
      </c>
      <c r="L56" s="84">
        <v>108500.8</v>
      </c>
      <c r="M56" s="84">
        <v>119895</v>
      </c>
      <c r="N56" s="84">
        <v>12610.9</v>
      </c>
      <c r="O56" s="84">
        <v>52004.1</v>
      </c>
      <c r="P56" s="84">
        <v>27960.1</v>
      </c>
      <c r="Q56" s="84">
        <v>110613.2</v>
      </c>
      <c r="R56" s="84">
        <v>59509.1</v>
      </c>
      <c r="S56" s="84">
        <v>180401.8</v>
      </c>
      <c r="T56" s="84">
        <v>63443.1</v>
      </c>
      <c r="U56" s="84">
        <v>93893.8</v>
      </c>
      <c r="V56" s="84">
        <v>145131</v>
      </c>
      <c r="W56" s="84">
        <v>32105.599999999999</v>
      </c>
      <c r="X56" s="84">
        <v>21271.7</v>
      </c>
      <c r="Y56" s="84">
        <v>67371.899999999994</v>
      </c>
      <c r="Z56" s="84">
        <v>8321</v>
      </c>
      <c r="AA56" s="84">
        <v>140261.6</v>
      </c>
      <c r="AB56" s="84">
        <v>116751.7</v>
      </c>
      <c r="AC56" s="84">
        <v>31653.9</v>
      </c>
      <c r="AD56" s="84">
        <v>16911</v>
      </c>
      <c r="AE56" s="84">
        <v>14586.4</v>
      </c>
      <c r="AF56" s="84">
        <v>19636.3</v>
      </c>
      <c r="AG56" s="84">
        <v>5080.2</v>
      </c>
      <c r="AH56" s="84">
        <v>93336.2</v>
      </c>
      <c r="AI56" s="84">
        <v>24448.7</v>
      </c>
      <c r="AJ56" s="84">
        <v>22249.4</v>
      </c>
      <c r="AK56" s="84">
        <v>16317.9</v>
      </c>
      <c r="AL56" s="84">
        <v>69410</v>
      </c>
      <c r="AM56" s="84">
        <v>51464.800000000003</v>
      </c>
      <c r="AN56" s="84">
        <v>100557.3</v>
      </c>
      <c r="AO56" s="84">
        <v>28208.7</v>
      </c>
      <c r="AP56" s="84">
        <v>35815.199999999997</v>
      </c>
      <c r="AQ56" s="84">
        <v>36870.400000000001</v>
      </c>
      <c r="AR56" s="84">
        <v>65850</v>
      </c>
      <c r="AS56" s="84">
        <v>17519.5</v>
      </c>
      <c r="AT56" s="84">
        <v>28679.1</v>
      </c>
      <c r="AU56" s="84">
        <v>0</v>
      </c>
      <c r="AV56" s="84">
        <v>766451</v>
      </c>
      <c r="AW56" s="84">
        <v>31039.9</v>
      </c>
      <c r="AX56" s="84">
        <v>276857.90000000002</v>
      </c>
      <c r="AY56" s="84">
        <v>523298.8</v>
      </c>
      <c r="AZ56" s="84">
        <v>13598.3</v>
      </c>
      <c r="BA56" s="84">
        <v>34988.1</v>
      </c>
      <c r="BB56" s="84">
        <v>16265.6</v>
      </c>
      <c r="BC56" s="84">
        <v>701932.7</v>
      </c>
      <c r="BD56" s="84">
        <v>-637962.30000000005</v>
      </c>
    </row>
    <row r="57" spans="1:56" x14ac:dyDescent="0.3">
      <c r="A57" s="82" t="s">
        <v>129</v>
      </c>
      <c r="B57" s="81" t="s">
        <v>7</v>
      </c>
      <c r="C57" s="83">
        <v>27126.400000000001</v>
      </c>
      <c r="D57" s="83">
        <v>2996.3</v>
      </c>
      <c r="E57" s="83">
        <v>272.3</v>
      </c>
      <c r="F57" s="83">
        <v>1647.9</v>
      </c>
      <c r="G57" s="83">
        <v>13.7</v>
      </c>
      <c r="H57" s="83">
        <v>21223.5</v>
      </c>
      <c r="I57" s="83">
        <v>14458</v>
      </c>
      <c r="J57" s="83">
        <v>2037.6</v>
      </c>
      <c r="K57" s="83">
        <v>11644.3</v>
      </c>
      <c r="L57" s="83">
        <v>13500.3</v>
      </c>
      <c r="M57" s="83">
        <v>36768.6</v>
      </c>
      <c r="N57" s="83">
        <v>7820.1</v>
      </c>
      <c r="O57" s="83">
        <v>23660.9</v>
      </c>
      <c r="P57" s="83">
        <v>11901.3</v>
      </c>
      <c r="Q57" s="83">
        <v>26798.6</v>
      </c>
      <c r="R57" s="83">
        <v>32878.199999999997</v>
      </c>
      <c r="S57" s="83">
        <v>134821.4</v>
      </c>
      <c r="T57" s="83">
        <v>26628.2</v>
      </c>
      <c r="U57" s="83">
        <v>40212.9</v>
      </c>
      <c r="V57" s="83">
        <v>34269</v>
      </c>
      <c r="W57" s="83">
        <v>10035.799999999999</v>
      </c>
      <c r="X57" s="83">
        <v>10814.6</v>
      </c>
      <c r="Y57" s="83">
        <v>21445.5</v>
      </c>
      <c r="Z57" s="83">
        <v>10497.6</v>
      </c>
      <c r="AA57" s="83">
        <v>93887.4</v>
      </c>
      <c r="AB57" s="83">
        <v>123957.1</v>
      </c>
      <c r="AC57" s="83">
        <v>24688.6</v>
      </c>
      <c r="AD57" s="83">
        <v>2551.9</v>
      </c>
      <c r="AE57" s="83">
        <v>5378.1</v>
      </c>
      <c r="AF57" s="83">
        <v>16840.599999999999</v>
      </c>
      <c r="AG57" s="83">
        <v>3176.6</v>
      </c>
      <c r="AH57" s="83">
        <v>39990.199999999997</v>
      </c>
      <c r="AI57" s="83">
        <v>26219.3</v>
      </c>
      <c r="AJ57" s="83">
        <v>16859.2</v>
      </c>
      <c r="AK57" s="83">
        <v>29194.3</v>
      </c>
      <c r="AL57" s="83">
        <v>94674.7</v>
      </c>
      <c r="AM57" s="83">
        <v>125572.6</v>
      </c>
      <c r="AN57" s="83">
        <v>97219.6</v>
      </c>
      <c r="AO57" s="83">
        <v>55978.3</v>
      </c>
      <c r="AP57" s="83">
        <v>104373.3</v>
      </c>
      <c r="AQ57" s="83">
        <v>82395.7</v>
      </c>
      <c r="AR57" s="83">
        <v>73719.399999999994</v>
      </c>
      <c r="AS57" s="83">
        <v>16689</v>
      </c>
      <c r="AT57" s="83">
        <v>19105</v>
      </c>
      <c r="AU57" s="83">
        <v>2012.3</v>
      </c>
      <c r="AV57" s="83">
        <v>0</v>
      </c>
      <c r="AW57" s="83">
        <v>0</v>
      </c>
      <c r="AX57" s="83">
        <v>0</v>
      </c>
      <c r="AY57" s="83">
        <v>0</v>
      </c>
      <c r="AZ57" s="83">
        <v>0</v>
      </c>
      <c r="BA57" s="83">
        <v>0</v>
      </c>
      <c r="BB57" s="83">
        <v>0</v>
      </c>
      <c r="BC57" s="83">
        <v>0</v>
      </c>
      <c r="BD57" s="83">
        <v>0</v>
      </c>
    </row>
    <row r="58" spans="1:56" x14ac:dyDescent="0.3">
      <c r="A58" s="82" t="s">
        <v>130</v>
      </c>
      <c r="B58" s="81" t="s">
        <v>7</v>
      </c>
      <c r="C58" s="84">
        <v>49280.800000000003</v>
      </c>
      <c r="D58" s="84">
        <v>7937.6</v>
      </c>
      <c r="E58" s="84">
        <v>451.6</v>
      </c>
      <c r="F58" s="84">
        <v>3632.9</v>
      </c>
      <c r="G58" s="84">
        <v>22</v>
      </c>
      <c r="H58" s="84">
        <v>113119.4</v>
      </c>
      <c r="I58" s="84">
        <v>70332.899999999994</v>
      </c>
      <c r="J58" s="84">
        <v>7929</v>
      </c>
      <c r="K58" s="84">
        <v>35526.699999999997</v>
      </c>
      <c r="L58" s="84">
        <v>122001.1</v>
      </c>
      <c r="M58" s="84">
        <v>156663.6</v>
      </c>
      <c r="N58" s="84">
        <v>20431</v>
      </c>
      <c r="O58" s="84">
        <v>75665</v>
      </c>
      <c r="P58" s="84">
        <v>39861.4</v>
      </c>
      <c r="Q58" s="84">
        <v>137411.79999999999</v>
      </c>
      <c r="R58" s="84">
        <v>92387.199999999997</v>
      </c>
      <c r="S58" s="84">
        <v>315223.2</v>
      </c>
      <c r="T58" s="84">
        <v>90071.3</v>
      </c>
      <c r="U58" s="84">
        <v>134106.70000000001</v>
      </c>
      <c r="V58" s="84">
        <v>179400</v>
      </c>
      <c r="W58" s="84">
        <v>42141.3</v>
      </c>
      <c r="X58" s="84">
        <v>32086.3</v>
      </c>
      <c r="Y58" s="84">
        <v>88817.4</v>
      </c>
      <c r="Z58" s="84">
        <v>18818.599999999999</v>
      </c>
      <c r="AA58" s="84">
        <v>234149.1</v>
      </c>
      <c r="AB58" s="84">
        <v>240708.8</v>
      </c>
      <c r="AC58" s="84">
        <v>56342.5</v>
      </c>
      <c r="AD58" s="84">
        <v>19462.900000000001</v>
      </c>
      <c r="AE58" s="84">
        <v>19964.5</v>
      </c>
      <c r="AF58" s="84">
        <v>36476.9</v>
      </c>
      <c r="AG58" s="84">
        <v>8256.7999999999993</v>
      </c>
      <c r="AH58" s="84">
        <v>133326.39999999999</v>
      </c>
      <c r="AI58" s="84">
        <v>50668</v>
      </c>
      <c r="AJ58" s="84">
        <v>39108.6</v>
      </c>
      <c r="AK58" s="84">
        <v>45512.2</v>
      </c>
      <c r="AL58" s="84">
        <v>164084.70000000001</v>
      </c>
      <c r="AM58" s="84">
        <v>177037.3</v>
      </c>
      <c r="AN58" s="84">
        <v>197776.9</v>
      </c>
      <c r="AO58" s="84">
        <v>84187</v>
      </c>
      <c r="AP58" s="84">
        <v>140188.4</v>
      </c>
      <c r="AQ58" s="84">
        <v>119266.1</v>
      </c>
      <c r="AR58" s="84">
        <v>139569.29999999999</v>
      </c>
      <c r="AS58" s="84">
        <v>34208.400000000001</v>
      </c>
      <c r="AT58" s="84">
        <v>47784</v>
      </c>
      <c r="AU58" s="84">
        <v>2012.3</v>
      </c>
      <c r="AV58" s="84">
        <v>0</v>
      </c>
      <c r="AW58" s="84">
        <v>0</v>
      </c>
      <c r="AX58" s="84">
        <v>0</v>
      </c>
      <c r="AY58" s="84">
        <v>0</v>
      </c>
      <c r="AZ58" s="84">
        <v>0</v>
      </c>
      <c r="BA58" s="84">
        <v>0</v>
      </c>
      <c r="BB58" s="84">
        <v>0</v>
      </c>
      <c r="BC58" s="84">
        <v>0</v>
      </c>
      <c r="BD58" s="84">
        <v>0</v>
      </c>
    </row>
    <row r="59" spans="1:56" x14ac:dyDescent="0.3">
      <c r="A59" s="66" t="s">
        <v>597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phoneticPr fontId="35" type="noConversion"/>
  <hyperlinks>
    <hyperlink ref="A2" r:id="rId1" display="http://stats.oecd.org/OECDStat_Metadata/ShowMetadata.ashx?Dataset=IOTS_2021&amp;ShowOnWeb=true&amp;Lang=en" xr:uid="{3DCE587E-F11B-43C5-A37B-2E8D8AD75FC0}"/>
    <hyperlink ref="C3" r:id="rId2" display="http://stats.oecd.org/OECDStat_Metadata/ShowMetadata.ashx?Dataset=IOTS_2021&amp;Coords=[VAR].[TTL]&amp;ShowOnWeb=true&amp;Lang=en" xr:uid="{17A116D0-AD2C-41CC-93D2-931C92B36E07}"/>
    <hyperlink ref="BB7" r:id="rId3" display="http://stats.oecd.org/OECDStat_Metadata/ShowMetadata.ashx?Dataset=IOTS_2021&amp;Coords=[COL].[CONS_NONRES]&amp;ShowOnWeb=true&amp;Lang=en" xr:uid="{A093D958-22AB-4139-A7E2-A39E418BDA7A}"/>
    <hyperlink ref="A59" r:id="rId4" display="https://stats-1.oecd.org/index.aspx?DatasetCode=IOTS_2021" xr:uid="{B41A785F-E4FC-4956-B812-EB7F626ACD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BCAF-7313-4917-8087-07F1A2DA7AC9}">
  <sheetPr>
    <tabColor theme="9" tint="0.59999389629810485"/>
  </sheetPr>
  <dimension ref="A1:BD59"/>
  <sheetViews>
    <sheetView topLeftCell="A2" workbookViewId="0">
      <selection activeCell="A7" sqref="A7:B7"/>
    </sheetView>
  </sheetViews>
  <sheetFormatPr defaultRowHeight="16.5" x14ac:dyDescent="0.3"/>
  <cols>
    <col min="1" max="1" width="27.375" customWidth="1"/>
    <col min="2" max="2" width="2.375" customWidth="1"/>
  </cols>
  <sheetData>
    <row r="1" spans="1:56" hidden="1" x14ac:dyDescent="0.3">
      <c r="A1" s="76" t="e">
        <f ca="1">DotStatQuery(B1)</f>
        <v>#NAME?</v>
      </c>
      <c r="B1" s="76" t="s">
        <v>540</v>
      </c>
    </row>
    <row r="2" spans="1:56" ht="24.75" x14ac:dyDescent="0.3">
      <c r="A2" s="77" t="s">
        <v>541</v>
      </c>
    </row>
    <row r="3" spans="1:56" x14ac:dyDescent="0.3">
      <c r="A3" s="108" t="s">
        <v>40</v>
      </c>
      <c r="B3" s="109"/>
      <c r="C3" s="115" t="s">
        <v>41</v>
      </c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7"/>
    </row>
    <row r="4" spans="1:56" x14ac:dyDescent="0.3">
      <c r="A4" s="108" t="s">
        <v>3</v>
      </c>
      <c r="B4" s="109"/>
      <c r="C4" s="110" t="s">
        <v>537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2"/>
    </row>
    <row r="5" spans="1:56" x14ac:dyDescent="0.3">
      <c r="A5" s="108" t="s">
        <v>4</v>
      </c>
      <c r="B5" s="109"/>
      <c r="C5" s="118">
        <v>2020</v>
      </c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20"/>
    </row>
    <row r="6" spans="1:56" x14ac:dyDescent="0.3">
      <c r="A6" s="108" t="s">
        <v>6</v>
      </c>
      <c r="B6" s="109"/>
      <c r="C6" s="110" t="s">
        <v>42</v>
      </c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2"/>
    </row>
    <row r="7" spans="1:56" ht="66.599999999999994" customHeight="1" x14ac:dyDescent="0.3">
      <c r="A7" s="113" t="s">
        <v>543</v>
      </c>
      <c r="B7" s="114"/>
      <c r="C7" s="78" t="s">
        <v>544</v>
      </c>
      <c r="D7" s="78" t="s">
        <v>545</v>
      </c>
      <c r="E7" s="78" t="s">
        <v>546</v>
      </c>
      <c r="F7" s="78" t="s">
        <v>547</v>
      </c>
      <c r="G7" s="78" t="s">
        <v>47</v>
      </c>
      <c r="H7" s="78" t="s">
        <v>48</v>
      </c>
      <c r="I7" s="78" t="s">
        <v>548</v>
      </c>
      <c r="J7" s="78" t="s">
        <v>50</v>
      </c>
      <c r="K7" s="78" t="s">
        <v>51</v>
      </c>
      <c r="L7" s="78" t="s">
        <v>52</v>
      </c>
      <c r="M7" s="78" t="s">
        <v>549</v>
      </c>
      <c r="N7" s="78" t="s">
        <v>550</v>
      </c>
      <c r="O7" s="78" t="s">
        <v>551</v>
      </c>
      <c r="P7" s="78" t="s">
        <v>55</v>
      </c>
      <c r="Q7" s="78" t="s">
        <v>56</v>
      </c>
      <c r="R7" s="78" t="s">
        <v>57</v>
      </c>
      <c r="S7" s="78" t="s">
        <v>552</v>
      </c>
      <c r="T7" s="78" t="s">
        <v>59</v>
      </c>
      <c r="U7" s="78" t="s">
        <v>60</v>
      </c>
      <c r="V7" s="78" t="s">
        <v>61</v>
      </c>
      <c r="W7" s="78" t="s">
        <v>62</v>
      </c>
      <c r="X7" s="78" t="s">
        <v>553</v>
      </c>
      <c r="Y7" s="78" t="s">
        <v>554</v>
      </c>
      <c r="Z7" s="78" t="s">
        <v>555</v>
      </c>
      <c r="AA7" s="78" t="s">
        <v>65</v>
      </c>
      <c r="AB7" s="78" t="s">
        <v>66</v>
      </c>
      <c r="AC7" s="78" t="s">
        <v>556</v>
      </c>
      <c r="AD7" s="78" t="s">
        <v>557</v>
      </c>
      <c r="AE7" s="78" t="s">
        <v>558</v>
      </c>
      <c r="AF7" s="78" t="s">
        <v>559</v>
      </c>
      <c r="AG7" s="78" t="s">
        <v>560</v>
      </c>
      <c r="AH7" s="78" t="s">
        <v>561</v>
      </c>
      <c r="AI7" s="78" t="s">
        <v>69</v>
      </c>
      <c r="AJ7" s="78" t="s">
        <v>70</v>
      </c>
      <c r="AK7" s="78" t="s">
        <v>71</v>
      </c>
      <c r="AL7" s="78" t="s">
        <v>72</v>
      </c>
      <c r="AM7" s="78" t="s">
        <v>73</v>
      </c>
      <c r="AN7" s="78" t="s">
        <v>562</v>
      </c>
      <c r="AO7" s="78" t="s">
        <v>563</v>
      </c>
      <c r="AP7" s="78" t="s">
        <v>564</v>
      </c>
      <c r="AQ7" s="78" t="s">
        <v>76</v>
      </c>
      <c r="AR7" s="78" t="s">
        <v>565</v>
      </c>
      <c r="AS7" s="78" t="s">
        <v>566</v>
      </c>
      <c r="AT7" s="78" t="s">
        <v>567</v>
      </c>
      <c r="AU7" s="78" t="s">
        <v>568</v>
      </c>
      <c r="AV7" s="78" t="s">
        <v>80</v>
      </c>
      <c r="AW7" s="78" t="s">
        <v>81</v>
      </c>
      <c r="AX7" s="78" t="s">
        <v>82</v>
      </c>
      <c r="AY7" s="78" t="s">
        <v>83</v>
      </c>
      <c r="AZ7" s="78" t="s">
        <v>84</v>
      </c>
      <c r="BA7" s="78" t="s">
        <v>85</v>
      </c>
      <c r="BB7" s="79" t="s">
        <v>86</v>
      </c>
      <c r="BC7" s="78" t="s">
        <v>87</v>
      </c>
      <c r="BD7" s="78" t="s">
        <v>88</v>
      </c>
    </row>
    <row r="8" spans="1:56" x14ac:dyDescent="0.3">
      <c r="A8" s="80" t="s">
        <v>569</v>
      </c>
      <c r="B8" s="81" t="s">
        <v>7</v>
      </c>
      <c r="C8" s="81" t="s">
        <v>7</v>
      </c>
      <c r="D8" s="81" t="s">
        <v>7</v>
      </c>
      <c r="E8" s="81" t="s">
        <v>7</v>
      </c>
      <c r="F8" s="81" t="s">
        <v>7</v>
      </c>
      <c r="G8" s="81" t="s">
        <v>7</v>
      </c>
      <c r="H8" s="81" t="s">
        <v>7</v>
      </c>
      <c r="I8" s="81" t="s">
        <v>7</v>
      </c>
      <c r="J8" s="81" t="s">
        <v>7</v>
      </c>
      <c r="K8" s="81" t="s">
        <v>7</v>
      </c>
      <c r="L8" s="81" t="s">
        <v>7</v>
      </c>
      <c r="M8" s="81" t="s">
        <v>7</v>
      </c>
      <c r="N8" s="81" t="s">
        <v>7</v>
      </c>
      <c r="O8" s="81" t="s">
        <v>7</v>
      </c>
      <c r="P8" s="81" t="s">
        <v>7</v>
      </c>
      <c r="Q8" s="81" t="s">
        <v>7</v>
      </c>
      <c r="R8" s="81" t="s">
        <v>7</v>
      </c>
      <c r="S8" s="81" t="s">
        <v>7</v>
      </c>
      <c r="T8" s="81" t="s">
        <v>7</v>
      </c>
      <c r="U8" s="81" t="s">
        <v>7</v>
      </c>
      <c r="V8" s="81" t="s">
        <v>7</v>
      </c>
      <c r="W8" s="81" t="s">
        <v>7</v>
      </c>
      <c r="X8" s="81" t="s">
        <v>7</v>
      </c>
      <c r="Y8" s="81" t="s">
        <v>7</v>
      </c>
      <c r="Z8" s="81" t="s">
        <v>7</v>
      </c>
      <c r="AA8" s="81" t="s">
        <v>7</v>
      </c>
      <c r="AB8" s="81" t="s">
        <v>7</v>
      </c>
      <c r="AC8" s="81" t="s">
        <v>7</v>
      </c>
      <c r="AD8" s="81" t="s">
        <v>7</v>
      </c>
      <c r="AE8" s="81" t="s">
        <v>7</v>
      </c>
      <c r="AF8" s="81" t="s">
        <v>7</v>
      </c>
      <c r="AG8" s="81" t="s">
        <v>7</v>
      </c>
      <c r="AH8" s="81" t="s">
        <v>7</v>
      </c>
      <c r="AI8" s="81" t="s">
        <v>7</v>
      </c>
      <c r="AJ8" s="81" t="s">
        <v>7</v>
      </c>
      <c r="AK8" s="81" t="s">
        <v>7</v>
      </c>
      <c r="AL8" s="81" t="s">
        <v>7</v>
      </c>
      <c r="AM8" s="81" t="s">
        <v>7</v>
      </c>
      <c r="AN8" s="81" t="s">
        <v>7</v>
      </c>
      <c r="AO8" s="81" t="s">
        <v>7</v>
      </c>
      <c r="AP8" s="81" t="s">
        <v>7</v>
      </c>
      <c r="AQ8" s="81" t="s">
        <v>7</v>
      </c>
      <c r="AR8" s="81" t="s">
        <v>7</v>
      </c>
      <c r="AS8" s="81" t="s">
        <v>7</v>
      </c>
      <c r="AT8" s="81" t="s">
        <v>7</v>
      </c>
      <c r="AU8" s="81" t="s">
        <v>7</v>
      </c>
      <c r="AV8" s="81" t="s">
        <v>7</v>
      </c>
      <c r="AW8" s="81" t="s">
        <v>7</v>
      </c>
      <c r="AX8" s="81" t="s">
        <v>7</v>
      </c>
      <c r="AY8" s="81" t="s">
        <v>7</v>
      </c>
      <c r="AZ8" s="81" t="s">
        <v>7</v>
      </c>
      <c r="BA8" s="81" t="s">
        <v>7</v>
      </c>
      <c r="BB8" s="81" t="s">
        <v>7</v>
      </c>
      <c r="BC8" s="81" t="s">
        <v>7</v>
      </c>
      <c r="BD8" s="81" t="s">
        <v>7</v>
      </c>
    </row>
    <row r="9" spans="1:56" ht="21" x14ac:dyDescent="0.3">
      <c r="A9" s="82" t="s">
        <v>570</v>
      </c>
      <c r="B9" s="81" t="s">
        <v>7</v>
      </c>
      <c r="C9" s="91">
        <v>2633.3</v>
      </c>
      <c r="D9" s="91">
        <v>100.6</v>
      </c>
      <c r="E9" s="91">
        <v>0.4</v>
      </c>
      <c r="F9" s="91">
        <v>4.0999999999999996</v>
      </c>
      <c r="G9" s="91">
        <v>0</v>
      </c>
      <c r="H9" s="91">
        <v>24080</v>
      </c>
      <c r="I9" s="91">
        <v>453.1</v>
      </c>
      <c r="J9" s="91">
        <v>599.1</v>
      </c>
      <c r="K9" s="91">
        <v>13.2</v>
      </c>
      <c r="L9" s="91">
        <v>15</v>
      </c>
      <c r="M9" s="91">
        <v>146.4</v>
      </c>
      <c r="N9" s="91">
        <v>248.9</v>
      </c>
      <c r="O9" s="91">
        <v>470.4</v>
      </c>
      <c r="P9" s="91">
        <v>12.4</v>
      </c>
      <c r="Q9" s="91">
        <v>33.799999999999997</v>
      </c>
      <c r="R9" s="91">
        <v>30.1</v>
      </c>
      <c r="S9" s="91">
        <v>67</v>
      </c>
      <c r="T9" s="91">
        <v>29.2</v>
      </c>
      <c r="U9" s="91">
        <v>43</v>
      </c>
      <c r="V9" s="91">
        <v>31.8</v>
      </c>
      <c r="W9" s="91">
        <v>31.1</v>
      </c>
      <c r="X9" s="91">
        <v>26.4</v>
      </c>
      <c r="Y9" s="91">
        <v>9.8000000000000007</v>
      </c>
      <c r="Z9" s="91">
        <v>4.5</v>
      </c>
      <c r="AA9" s="91">
        <v>369.3</v>
      </c>
      <c r="AB9" s="91">
        <v>118</v>
      </c>
      <c r="AC9" s="91">
        <v>5.2</v>
      </c>
      <c r="AD9" s="91">
        <v>3.6</v>
      </c>
      <c r="AE9" s="91">
        <v>10.199999999999999</v>
      </c>
      <c r="AF9" s="91">
        <v>15.5</v>
      </c>
      <c r="AG9" s="91">
        <v>1.2</v>
      </c>
      <c r="AH9" s="91">
        <v>5028.6000000000004</v>
      </c>
      <c r="AI9" s="91">
        <v>13.7</v>
      </c>
      <c r="AJ9" s="91">
        <v>7</v>
      </c>
      <c r="AK9" s="91">
        <v>4.0999999999999996</v>
      </c>
      <c r="AL9" s="91">
        <v>37.6</v>
      </c>
      <c r="AM9" s="91">
        <v>8.1999999999999993</v>
      </c>
      <c r="AN9" s="91">
        <v>161.5</v>
      </c>
      <c r="AO9" s="91">
        <v>17</v>
      </c>
      <c r="AP9" s="91">
        <v>234.7</v>
      </c>
      <c r="AQ9" s="91">
        <v>355</v>
      </c>
      <c r="AR9" s="91">
        <v>1016.7</v>
      </c>
      <c r="AS9" s="91">
        <v>108.4</v>
      </c>
      <c r="AT9" s="91">
        <v>52.8</v>
      </c>
      <c r="AU9" s="91">
        <v>0</v>
      </c>
      <c r="AV9" s="91">
        <v>13393.9</v>
      </c>
      <c r="AW9" s="91">
        <v>77.099999999999994</v>
      </c>
      <c r="AX9" s="91">
        <v>1.5</v>
      </c>
      <c r="AY9" s="91">
        <v>342.8</v>
      </c>
      <c r="AZ9" s="91">
        <v>298</v>
      </c>
      <c r="BA9" s="91">
        <v>102.7</v>
      </c>
      <c r="BB9" s="91">
        <v>54.1</v>
      </c>
      <c r="BC9" s="91">
        <v>435.8</v>
      </c>
      <c r="BD9" s="91">
        <v>-6524.3</v>
      </c>
    </row>
    <row r="10" spans="1:56" x14ac:dyDescent="0.3">
      <c r="A10" s="82" t="s">
        <v>571</v>
      </c>
      <c r="B10" s="81" t="s">
        <v>7</v>
      </c>
      <c r="C10" s="92">
        <v>7.7</v>
      </c>
      <c r="D10" s="92">
        <v>153.6</v>
      </c>
      <c r="E10" s="92">
        <v>0</v>
      </c>
      <c r="F10" s="92">
        <v>0.2</v>
      </c>
      <c r="G10" s="92">
        <v>0</v>
      </c>
      <c r="H10" s="92">
        <v>1747.5</v>
      </c>
      <c r="I10" s="92">
        <v>5.6</v>
      </c>
      <c r="J10" s="92">
        <v>0.4</v>
      </c>
      <c r="K10" s="92">
        <v>1.1000000000000001</v>
      </c>
      <c r="L10" s="92">
        <v>1.4</v>
      </c>
      <c r="M10" s="92">
        <v>7.5</v>
      </c>
      <c r="N10" s="92">
        <v>2.6</v>
      </c>
      <c r="O10" s="92">
        <v>3.4</v>
      </c>
      <c r="P10" s="92">
        <v>1.2</v>
      </c>
      <c r="Q10" s="92">
        <v>3.8</v>
      </c>
      <c r="R10" s="92">
        <v>3.5</v>
      </c>
      <c r="S10" s="92">
        <v>8.5</v>
      </c>
      <c r="T10" s="92">
        <v>3.8</v>
      </c>
      <c r="U10" s="92">
        <v>4.9000000000000004</v>
      </c>
      <c r="V10" s="92">
        <v>3.5</v>
      </c>
      <c r="W10" s="92">
        <v>4.0999999999999996</v>
      </c>
      <c r="X10" s="92">
        <v>6.6</v>
      </c>
      <c r="Y10" s="92">
        <v>1</v>
      </c>
      <c r="Z10" s="92">
        <v>0.6</v>
      </c>
      <c r="AA10" s="92">
        <v>3.2</v>
      </c>
      <c r="AB10" s="92">
        <v>11.1</v>
      </c>
      <c r="AC10" s="92">
        <v>0.7</v>
      </c>
      <c r="AD10" s="92">
        <v>1</v>
      </c>
      <c r="AE10" s="92">
        <v>0.5</v>
      </c>
      <c r="AF10" s="92">
        <v>0.6</v>
      </c>
      <c r="AG10" s="92">
        <v>0.1</v>
      </c>
      <c r="AH10" s="92">
        <v>2280.8000000000002</v>
      </c>
      <c r="AI10" s="92">
        <v>1.2</v>
      </c>
      <c r="AJ10" s="92">
        <v>0.9</v>
      </c>
      <c r="AK10" s="92">
        <v>0.6</v>
      </c>
      <c r="AL10" s="92">
        <v>2</v>
      </c>
      <c r="AM10" s="92">
        <v>1.5</v>
      </c>
      <c r="AN10" s="92">
        <v>19</v>
      </c>
      <c r="AO10" s="92">
        <v>2</v>
      </c>
      <c r="AP10" s="92">
        <v>71.2</v>
      </c>
      <c r="AQ10" s="92">
        <v>165.3</v>
      </c>
      <c r="AR10" s="92">
        <v>179.4</v>
      </c>
      <c r="AS10" s="92">
        <v>16.600000000000001</v>
      </c>
      <c r="AT10" s="92">
        <v>5.6</v>
      </c>
      <c r="AU10" s="92">
        <v>0</v>
      </c>
      <c r="AV10" s="92">
        <v>2579.5</v>
      </c>
      <c r="AW10" s="92">
        <v>14.9</v>
      </c>
      <c r="AX10" s="92">
        <v>0.5</v>
      </c>
      <c r="AY10" s="92">
        <v>3</v>
      </c>
      <c r="AZ10" s="92">
        <v>41.7</v>
      </c>
      <c r="BA10" s="92">
        <v>7.2</v>
      </c>
      <c r="BB10" s="92">
        <v>4.2</v>
      </c>
      <c r="BC10" s="92">
        <v>273.8</v>
      </c>
      <c r="BD10" s="92">
        <v>-685.8</v>
      </c>
    </row>
    <row r="11" spans="1:56" ht="21" x14ac:dyDescent="0.3">
      <c r="A11" s="82" t="s">
        <v>572</v>
      </c>
      <c r="B11" s="81" t="s">
        <v>7</v>
      </c>
      <c r="C11" s="91">
        <v>3.8</v>
      </c>
      <c r="D11" s="91">
        <v>5.4</v>
      </c>
      <c r="E11" s="91">
        <v>0</v>
      </c>
      <c r="F11" s="91">
        <v>3</v>
      </c>
      <c r="G11" s="91">
        <v>0.1</v>
      </c>
      <c r="H11" s="91">
        <v>5.4</v>
      </c>
      <c r="I11" s="91">
        <v>7.1</v>
      </c>
      <c r="J11" s="91">
        <v>0.5</v>
      </c>
      <c r="K11" s="91">
        <v>2.5</v>
      </c>
      <c r="L11" s="91">
        <v>42473.3</v>
      </c>
      <c r="M11" s="91">
        <v>2496.6</v>
      </c>
      <c r="N11" s="91">
        <v>1.6</v>
      </c>
      <c r="O11" s="91">
        <v>8.4</v>
      </c>
      <c r="P11" s="91">
        <v>147.30000000000001</v>
      </c>
      <c r="Q11" s="91">
        <v>3197.6</v>
      </c>
      <c r="R11" s="91">
        <v>10.6</v>
      </c>
      <c r="S11" s="91">
        <v>7.9</v>
      </c>
      <c r="T11" s="91">
        <v>6.5</v>
      </c>
      <c r="U11" s="91">
        <v>15.3</v>
      </c>
      <c r="V11" s="91">
        <v>7.6</v>
      </c>
      <c r="W11" s="91">
        <v>6.1</v>
      </c>
      <c r="X11" s="91">
        <v>1.8</v>
      </c>
      <c r="Y11" s="91">
        <v>20179.599999999999</v>
      </c>
      <c r="Z11" s="91">
        <v>167.3</v>
      </c>
      <c r="AA11" s="91">
        <v>19.3</v>
      </c>
      <c r="AB11" s="91">
        <v>60.5</v>
      </c>
      <c r="AC11" s="91">
        <v>77.7</v>
      </c>
      <c r="AD11" s="91">
        <v>18</v>
      </c>
      <c r="AE11" s="91">
        <v>37.9</v>
      </c>
      <c r="AF11" s="91">
        <v>4.5</v>
      </c>
      <c r="AG11" s="91">
        <v>7.2</v>
      </c>
      <c r="AH11" s="91">
        <v>12.8</v>
      </c>
      <c r="AI11" s="91">
        <v>1.7</v>
      </c>
      <c r="AJ11" s="91">
        <v>1.3</v>
      </c>
      <c r="AK11" s="91">
        <v>1</v>
      </c>
      <c r="AL11" s="91">
        <v>3.3</v>
      </c>
      <c r="AM11" s="91">
        <v>6</v>
      </c>
      <c r="AN11" s="91">
        <v>29.6</v>
      </c>
      <c r="AO11" s="91">
        <v>5.2</v>
      </c>
      <c r="AP11" s="91">
        <v>15.5</v>
      </c>
      <c r="AQ11" s="91">
        <v>14.4</v>
      </c>
      <c r="AR11" s="91">
        <v>17.2</v>
      </c>
      <c r="AS11" s="91">
        <v>3.4</v>
      </c>
      <c r="AT11" s="91">
        <v>5.9</v>
      </c>
      <c r="AU11" s="91">
        <v>0</v>
      </c>
      <c r="AV11" s="91">
        <v>112.5</v>
      </c>
      <c r="AW11" s="91">
        <v>0.1</v>
      </c>
      <c r="AX11" s="91">
        <v>0.3</v>
      </c>
      <c r="AY11" s="91">
        <v>25.6</v>
      </c>
      <c r="AZ11" s="91">
        <v>290.39999999999998</v>
      </c>
      <c r="BA11" s="91">
        <v>6.2</v>
      </c>
      <c r="BB11" s="91">
        <v>0</v>
      </c>
      <c r="BC11" s="91">
        <v>12.1</v>
      </c>
      <c r="BD11" s="91">
        <v>-69225.3</v>
      </c>
    </row>
    <row r="12" spans="1:56" ht="21" x14ac:dyDescent="0.3">
      <c r="A12" s="82" t="s">
        <v>573</v>
      </c>
      <c r="B12" s="81" t="s">
        <v>7</v>
      </c>
      <c r="C12" s="92">
        <v>3.9</v>
      </c>
      <c r="D12" s="92">
        <v>0.4</v>
      </c>
      <c r="E12" s="92">
        <v>0</v>
      </c>
      <c r="F12" s="92">
        <v>4.4000000000000004</v>
      </c>
      <c r="G12" s="92">
        <v>0.3</v>
      </c>
      <c r="H12" s="92">
        <v>23.7</v>
      </c>
      <c r="I12" s="92">
        <v>10</v>
      </c>
      <c r="J12" s="92">
        <v>0.8</v>
      </c>
      <c r="K12" s="92">
        <v>21.1</v>
      </c>
      <c r="L12" s="92">
        <v>36.9</v>
      </c>
      <c r="M12" s="92">
        <v>595.4</v>
      </c>
      <c r="N12" s="92">
        <v>6.4</v>
      </c>
      <c r="O12" s="92">
        <v>43.3</v>
      </c>
      <c r="P12" s="92">
        <v>2103.9</v>
      </c>
      <c r="Q12" s="92">
        <v>12564.7</v>
      </c>
      <c r="R12" s="92">
        <v>42.7</v>
      </c>
      <c r="S12" s="92">
        <v>37.5</v>
      </c>
      <c r="T12" s="92">
        <v>23.1</v>
      </c>
      <c r="U12" s="92">
        <v>26.6</v>
      </c>
      <c r="V12" s="92">
        <v>25</v>
      </c>
      <c r="W12" s="92">
        <v>9.1</v>
      </c>
      <c r="X12" s="92">
        <v>7.5</v>
      </c>
      <c r="Y12" s="92">
        <v>47.6</v>
      </c>
      <c r="Z12" s="92">
        <v>11.2</v>
      </c>
      <c r="AA12" s="92">
        <v>247.1</v>
      </c>
      <c r="AB12" s="92">
        <v>7.7</v>
      </c>
      <c r="AC12" s="92">
        <v>1</v>
      </c>
      <c r="AD12" s="92">
        <v>0.8</v>
      </c>
      <c r="AE12" s="92">
        <v>0.6</v>
      </c>
      <c r="AF12" s="92">
        <v>0.9</v>
      </c>
      <c r="AG12" s="92">
        <v>0.1</v>
      </c>
      <c r="AH12" s="92">
        <v>7</v>
      </c>
      <c r="AI12" s="92">
        <v>0.9</v>
      </c>
      <c r="AJ12" s="92">
        <v>1.6</v>
      </c>
      <c r="AK12" s="92">
        <v>0.4</v>
      </c>
      <c r="AL12" s="92">
        <v>1.4</v>
      </c>
      <c r="AM12" s="92">
        <v>1.1000000000000001</v>
      </c>
      <c r="AN12" s="92">
        <v>10.1</v>
      </c>
      <c r="AO12" s="92">
        <v>4.8</v>
      </c>
      <c r="AP12" s="92">
        <v>6.5</v>
      </c>
      <c r="AQ12" s="92">
        <v>1.5</v>
      </c>
      <c r="AR12" s="92">
        <v>9.3000000000000007</v>
      </c>
      <c r="AS12" s="92">
        <v>1.8</v>
      </c>
      <c r="AT12" s="92">
        <v>4.2</v>
      </c>
      <c r="AU12" s="92">
        <v>0</v>
      </c>
      <c r="AV12" s="92">
        <v>30.8</v>
      </c>
      <c r="AW12" s="92">
        <v>0.2</v>
      </c>
      <c r="AX12" s="92">
        <v>0.3</v>
      </c>
      <c r="AY12" s="92">
        <v>13.3</v>
      </c>
      <c r="AZ12" s="92">
        <v>78.900000000000006</v>
      </c>
      <c r="BA12" s="92">
        <v>12.1</v>
      </c>
      <c r="BB12" s="92">
        <v>0.1</v>
      </c>
      <c r="BC12" s="92">
        <v>61.5</v>
      </c>
      <c r="BD12" s="92">
        <v>-12871.8</v>
      </c>
    </row>
    <row r="13" spans="1:56" ht="21" x14ac:dyDescent="0.3">
      <c r="A13" s="82" t="s">
        <v>93</v>
      </c>
      <c r="B13" s="81" t="s">
        <v>7</v>
      </c>
      <c r="C13" s="91">
        <v>0.2</v>
      </c>
      <c r="D13" s="91">
        <v>0.2</v>
      </c>
      <c r="E13" s="91">
        <v>0</v>
      </c>
      <c r="F13" s="91">
        <v>0.9</v>
      </c>
      <c r="G13" s="91">
        <v>0</v>
      </c>
      <c r="H13" s="91">
        <v>0.7</v>
      </c>
      <c r="I13" s="91">
        <v>0.2</v>
      </c>
      <c r="J13" s="91">
        <v>0.1</v>
      </c>
      <c r="K13" s="91">
        <v>0.3</v>
      </c>
      <c r="L13" s="91">
        <v>42.8</v>
      </c>
      <c r="M13" s="91">
        <v>4.0999999999999996</v>
      </c>
      <c r="N13" s="91">
        <v>0.1</v>
      </c>
      <c r="O13" s="91">
        <v>0.5</v>
      </c>
      <c r="P13" s="91">
        <v>1.8</v>
      </c>
      <c r="Q13" s="91">
        <v>3.7</v>
      </c>
      <c r="R13" s="91">
        <v>1.4</v>
      </c>
      <c r="S13" s="91">
        <v>0.9</v>
      </c>
      <c r="T13" s="91">
        <v>0.5</v>
      </c>
      <c r="U13" s="91">
        <v>1.2</v>
      </c>
      <c r="V13" s="91">
        <v>1</v>
      </c>
      <c r="W13" s="91">
        <v>0.5</v>
      </c>
      <c r="X13" s="91">
        <v>0.2</v>
      </c>
      <c r="Y13" s="91">
        <v>7.6</v>
      </c>
      <c r="Z13" s="91">
        <v>0.2</v>
      </c>
      <c r="AA13" s="91">
        <v>4.5999999999999996</v>
      </c>
      <c r="AB13" s="91">
        <v>2.4</v>
      </c>
      <c r="AC13" s="91">
        <v>1</v>
      </c>
      <c r="AD13" s="91">
        <v>0.8</v>
      </c>
      <c r="AE13" s="91">
        <v>0.5</v>
      </c>
      <c r="AF13" s="91">
        <v>0.4</v>
      </c>
      <c r="AG13" s="91">
        <v>0.1</v>
      </c>
      <c r="AH13" s="91">
        <v>0.5</v>
      </c>
      <c r="AI13" s="91">
        <v>0.2</v>
      </c>
      <c r="AJ13" s="91">
        <v>0.1</v>
      </c>
      <c r="AK13" s="91">
        <v>0.1</v>
      </c>
      <c r="AL13" s="91">
        <v>0.4</v>
      </c>
      <c r="AM13" s="91">
        <v>0.3</v>
      </c>
      <c r="AN13" s="91">
        <v>1</v>
      </c>
      <c r="AO13" s="91">
        <v>0.5</v>
      </c>
      <c r="AP13" s="91">
        <v>0.5</v>
      </c>
      <c r="AQ13" s="91">
        <v>0.2</v>
      </c>
      <c r="AR13" s="91">
        <v>0.4</v>
      </c>
      <c r="AS13" s="91">
        <v>0.1</v>
      </c>
      <c r="AT13" s="91">
        <v>0.2</v>
      </c>
      <c r="AU13" s="91">
        <v>0</v>
      </c>
      <c r="AV13" s="91">
        <v>2.8</v>
      </c>
      <c r="AW13" s="91">
        <v>0</v>
      </c>
      <c r="AX13" s="91">
        <v>0.1</v>
      </c>
      <c r="AY13" s="91">
        <v>1.9</v>
      </c>
      <c r="AZ13" s="91">
        <v>0.3</v>
      </c>
      <c r="BA13" s="91">
        <v>1.2</v>
      </c>
      <c r="BB13" s="91">
        <v>0</v>
      </c>
      <c r="BC13" s="91">
        <v>14.8</v>
      </c>
      <c r="BD13" s="91">
        <v>-79.7</v>
      </c>
    </row>
    <row r="14" spans="1:56" ht="21" x14ac:dyDescent="0.3">
      <c r="A14" s="82" t="s">
        <v>94</v>
      </c>
      <c r="B14" s="81" t="s">
        <v>7</v>
      </c>
      <c r="C14" s="92">
        <v>6482.1</v>
      </c>
      <c r="D14" s="92">
        <v>346.6</v>
      </c>
      <c r="E14" s="92">
        <v>0.8</v>
      </c>
      <c r="F14" s="92">
        <v>11.3</v>
      </c>
      <c r="G14" s="92">
        <v>0</v>
      </c>
      <c r="H14" s="92">
        <v>16822.900000000001</v>
      </c>
      <c r="I14" s="92">
        <v>943.8</v>
      </c>
      <c r="J14" s="92">
        <v>26.2</v>
      </c>
      <c r="K14" s="92">
        <v>101.3</v>
      </c>
      <c r="L14" s="92">
        <v>140.30000000000001</v>
      </c>
      <c r="M14" s="92">
        <v>962.6</v>
      </c>
      <c r="N14" s="92">
        <v>230.4</v>
      </c>
      <c r="O14" s="92">
        <v>203.5</v>
      </c>
      <c r="P14" s="92">
        <v>76.3</v>
      </c>
      <c r="Q14" s="92">
        <v>229.6</v>
      </c>
      <c r="R14" s="92">
        <v>226.8</v>
      </c>
      <c r="S14" s="92">
        <v>395.5</v>
      </c>
      <c r="T14" s="92">
        <v>175.9</v>
      </c>
      <c r="U14" s="92">
        <v>301.8</v>
      </c>
      <c r="V14" s="92">
        <v>201.6</v>
      </c>
      <c r="W14" s="92">
        <v>170.3</v>
      </c>
      <c r="X14" s="92">
        <v>70.7</v>
      </c>
      <c r="Y14" s="92">
        <v>69.099999999999994</v>
      </c>
      <c r="Z14" s="92">
        <v>22.5</v>
      </c>
      <c r="AA14" s="92">
        <v>160.9</v>
      </c>
      <c r="AB14" s="92">
        <v>1208.7</v>
      </c>
      <c r="AC14" s="92">
        <v>33.200000000000003</v>
      </c>
      <c r="AD14" s="92">
        <v>35.9</v>
      </c>
      <c r="AE14" s="92">
        <v>40.799999999999997</v>
      </c>
      <c r="AF14" s="92">
        <v>122.7</v>
      </c>
      <c r="AG14" s="92">
        <v>7.5</v>
      </c>
      <c r="AH14" s="92">
        <v>31844.3</v>
      </c>
      <c r="AI14" s="92">
        <v>99.4</v>
      </c>
      <c r="AJ14" s="92">
        <v>48.2</v>
      </c>
      <c r="AK14" s="92">
        <v>43</v>
      </c>
      <c r="AL14" s="92">
        <v>233.9</v>
      </c>
      <c r="AM14" s="92">
        <v>26.6</v>
      </c>
      <c r="AN14" s="92">
        <v>1019.9</v>
      </c>
      <c r="AO14" s="92">
        <v>244.4</v>
      </c>
      <c r="AP14" s="92">
        <v>744.3</v>
      </c>
      <c r="AQ14" s="92">
        <v>1698.9</v>
      </c>
      <c r="AR14" s="92">
        <v>2345.4</v>
      </c>
      <c r="AS14" s="92">
        <v>1375.5</v>
      </c>
      <c r="AT14" s="92">
        <v>338.9</v>
      </c>
      <c r="AU14" s="92">
        <v>0</v>
      </c>
      <c r="AV14" s="92">
        <v>45646.5</v>
      </c>
      <c r="AW14" s="92">
        <v>190.1</v>
      </c>
      <c r="AX14" s="92">
        <v>1107.7</v>
      </c>
      <c r="AY14" s="92">
        <v>121.3</v>
      </c>
      <c r="AZ14" s="92">
        <v>661</v>
      </c>
      <c r="BA14" s="92">
        <v>370</v>
      </c>
      <c r="BB14" s="92">
        <v>203.2</v>
      </c>
      <c r="BC14" s="92">
        <v>4754.3999999999996</v>
      </c>
      <c r="BD14" s="92">
        <v>-17183.5</v>
      </c>
    </row>
    <row r="15" spans="1:56" ht="21" x14ac:dyDescent="0.3">
      <c r="A15" s="82" t="s">
        <v>574</v>
      </c>
      <c r="B15" s="81" t="s">
        <v>7</v>
      </c>
      <c r="C15" s="91">
        <v>188</v>
      </c>
      <c r="D15" s="91">
        <v>474.8</v>
      </c>
      <c r="E15" s="91">
        <v>1.9</v>
      </c>
      <c r="F15" s="91">
        <v>21.3</v>
      </c>
      <c r="G15" s="91">
        <v>0.1</v>
      </c>
      <c r="H15" s="91">
        <v>488.8</v>
      </c>
      <c r="I15" s="91">
        <v>16691.099999999999</v>
      </c>
      <c r="J15" s="91">
        <v>70.8</v>
      </c>
      <c r="K15" s="91">
        <v>456</v>
      </c>
      <c r="L15" s="91">
        <v>191</v>
      </c>
      <c r="M15" s="91">
        <v>470.4</v>
      </c>
      <c r="N15" s="91">
        <v>125.9</v>
      </c>
      <c r="O15" s="91">
        <v>1645</v>
      </c>
      <c r="P15" s="91">
        <v>273.89999999999998</v>
      </c>
      <c r="Q15" s="91">
        <v>624.1</v>
      </c>
      <c r="R15" s="91">
        <v>739.5</v>
      </c>
      <c r="S15" s="91">
        <v>1107.5999999999999</v>
      </c>
      <c r="T15" s="91">
        <v>526.6</v>
      </c>
      <c r="U15" s="91">
        <v>710.5</v>
      </c>
      <c r="V15" s="91">
        <v>1223.9000000000001</v>
      </c>
      <c r="W15" s="91">
        <v>608.29999999999995</v>
      </c>
      <c r="X15" s="91">
        <v>1428.4</v>
      </c>
      <c r="Y15" s="91">
        <v>180.9</v>
      </c>
      <c r="Z15" s="91">
        <v>128.30000000000001</v>
      </c>
      <c r="AA15" s="91">
        <v>457.9</v>
      </c>
      <c r="AB15" s="91">
        <v>2374.3000000000002</v>
      </c>
      <c r="AC15" s="91">
        <v>405.9</v>
      </c>
      <c r="AD15" s="91">
        <v>45.6</v>
      </c>
      <c r="AE15" s="91">
        <v>4.8</v>
      </c>
      <c r="AF15" s="91">
        <v>819.7</v>
      </c>
      <c r="AG15" s="91">
        <v>70.400000000000006</v>
      </c>
      <c r="AH15" s="91">
        <v>994.2</v>
      </c>
      <c r="AI15" s="91">
        <v>158.1</v>
      </c>
      <c r="AJ15" s="91">
        <v>74</v>
      </c>
      <c r="AK15" s="91">
        <v>30</v>
      </c>
      <c r="AL15" s="91">
        <v>451.4</v>
      </c>
      <c r="AM15" s="91">
        <v>106.4</v>
      </c>
      <c r="AN15" s="91">
        <v>769.3</v>
      </c>
      <c r="AO15" s="91">
        <v>741</v>
      </c>
      <c r="AP15" s="91">
        <v>1061.5</v>
      </c>
      <c r="AQ15" s="91">
        <v>329.6</v>
      </c>
      <c r="AR15" s="91">
        <v>1296.7</v>
      </c>
      <c r="AS15" s="91">
        <v>547.1</v>
      </c>
      <c r="AT15" s="91">
        <v>816.7</v>
      </c>
      <c r="AU15" s="91">
        <v>0</v>
      </c>
      <c r="AV15" s="91">
        <v>30535.200000000001</v>
      </c>
      <c r="AW15" s="91">
        <v>83.6</v>
      </c>
      <c r="AX15" s="91">
        <v>2</v>
      </c>
      <c r="AY15" s="91">
        <v>263.5</v>
      </c>
      <c r="AZ15" s="91">
        <v>454.8</v>
      </c>
      <c r="BA15" s="91">
        <v>166.4</v>
      </c>
      <c r="BB15" s="91">
        <v>138.80000000000001</v>
      </c>
      <c r="BC15" s="91">
        <v>7446.2</v>
      </c>
      <c r="BD15" s="91">
        <v>-17717.599999999999</v>
      </c>
    </row>
    <row r="16" spans="1:56" ht="21" x14ac:dyDescent="0.3">
      <c r="A16" s="82" t="s">
        <v>575</v>
      </c>
      <c r="B16" s="81" t="s">
        <v>7</v>
      </c>
      <c r="C16" s="92">
        <v>46.1</v>
      </c>
      <c r="D16" s="92">
        <v>177.6</v>
      </c>
      <c r="E16" s="92">
        <v>0.7</v>
      </c>
      <c r="F16" s="92">
        <v>2.9</v>
      </c>
      <c r="G16" s="92">
        <v>0</v>
      </c>
      <c r="H16" s="92">
        <v>89.2</v>
      </c>
      <c r="I16" s="92">
        <v>56.3</v>
      </c>
      <c r="J16" s="92">
        <v>1260.4000000000001</v>
      </c>
      <c r="K16" s="92">
        <v>47.9</v>
      </c>
      <c r="L16" s="92">
        <v>23.9</v>
      </c>
      <c r="M16" s="92">
        <v>50.7</v>
      </c>
      <c r="N16" s="92">
        <v>5.5</v>
      </c>
      <c r="O16" s="92">
        <v>41</v>
      </c>
      <c r="P16" s="92">
        <v>99.7</v>
      </c>
      <c r="Q16" s="92">
        <v>134.30000000000001</v>
      </c>
      <c r="R16" s="92">
        <v>183.2</v>
      </c>
      <c r="S16" s="92">
        <v>57.5</v>
      </c>
      <c r="T16" s="92">
        <v>74.3</v>
      </c>
      <c r="U16" s="92">
        <v>128.30000000000001</v>
      </c>
      <c r="V16" s="92">
        <v>86.5</v>
      </c>
      <c r="W16" s="92">
        <v>32.299999999999997</v>
      </c>
      <c r="X16" s="92">
        <v>1051.7</v>
      </c>
      <c r="Y16" s="92">
        <v>266.5</v>
      </c>
      <c r="Z16" s="92">
        <v>7.4</v>
      </c>
      <c r="AA16" s="92">
        <v>3545.7</v>
      </c>
      <c r="AB16" s="92">
        <v>225.7</v>
      </c>
      <c r="AC16" s="92">
        <v>6.4</v>
      </c>
      <c r="AD16" s="92">
        <v>2</v>
      </c>
      <c r="AE16" s="92">
        <v>0.4</v>
      </c>
      <c r="AF16" s="92">
        <v>489.4</v>
      </c>
      <c r="AG16" s="92">
        <v>1.5</v>
      </c>
      <c r="AH16" s="92">
        <v>194.6</v>
      </c>
      <c r="AI16" s="92">
        <v>4.5999999999999996</v>
      </c>
      <c r="AJ16" s="92">
        <v>3.1</v>
      </c>
      <c r="AK16" s="92">
        <v>2.2000000000000002</v>
      </c>
      <c r="AL16" s="92">
        <v>2.8</v>
      </c>
      <c r="AM16" s="92">
        <v>2.2000000000000002</v>
      </c>
      <c r="AN16" s="92">
        <v>14.1</v>
      </c>
      <c r="AO16" s="92">
        <v>28.6</v>
      </c>
      <c r="AP16" s="92">
        <v>5.5</v>
      </c>
      <c r="AQ16" s="92">
        <v>40.5</v>
      </c>
      <c r="AR16" s="92">
        <v>55.8</v>
      </c>
      <c r="AS16" s="92">
        <v>25</v>
      </c>
      <c r="AT16" s="92">
        <v>24.7</v>
      </c>
      <c r="AU16" s="92">
        <v>0</v>
      </c>
      <c r="AV16" s="92">
        <v>179.8</v>
      </c>
      <c r="AW16" s="92">
        <v>14.1</v>
      </c>
      <c r="AX16" s="92">
        <v>0.3</v>
      </c>
      <c r="AY16" s="92">
        <v>26.3</v>
      </c>
      <c r="AZ16" s="92">
        <v>53.2</v>
      </c>
      <c r="BA16" s="92">
        <v>16.899999999999999</v>
      </c>
      <c r="BB16" s="92">
        <v>7.5</v>
      </c>
      <c r="BC16" s="92">
        <v>80.5</v>
      </c>
      <c r="BD16" s="92">
        <v>-2064.9</v>
      </c>
    </row>
    <row r="17" spans="1:56" ht="21" x14ac:dyDescent="0.3">
      <c r="A17" s="82" t="s">
        <v>97</v>
      </c>
      <c r="B17" s="81" t="s">
        <v>7</v>
      </c>
      <c r="C17" s="91">
        <v>284.5</v>
      </c>
      <c r="D17" s="91">
        <v>18.899999999999999</v>
      </c>
      <c r="E17" s="91">
        <v>0.3</v>
      </c>
      <c r="F17" s="91">
        <v>7.3</v>
      </c>
      <c r="G17" s="91">
        <v>0</v>
      </c>
      <c r="H17" s="91">
        <v>1984.2</v>
      </c>
      <c r="I17" s="91">
        <v>668.4</v>
      </c>
      <c r="J17" s="91">
        <v>101.2</v>
      </c>
      <c r="K17" s="91">
        <v>9072.2999999999993</v>
      </c>
      <c r="L17" s="91">
        <v>178.5</v>
      </c>
      <c r="M17" s="91">
        <v>783</v>
      </c>
      <c r="N17" s="91">
        <v>302.10000000000002</v>
      </c>
      <c r="O17" s="91">
        <v>470.2</v>
      </c>
      <c r="P17" s="91">
        <v>282.10000000000002</v>
      </c>
      <c r="Q17" s="91">
        <v>210</v>
      </c>
      <c r="R17" s="91">
        <v>489.5</v>
      </c>
      <c r="S17" s="91">
        <v>508.7</v>
      </c>
      <c r="T17" s="91">
        <v>575.6</v>
      </c>
      <c r="U17" s="91">
        <v>297.8</v>
      </c>
      <c r="V17" s="91">
        <v>219.5</v>
      </c>
      <c r="W17" s="91">
        <v>86.6</v>
      </c>
      <c r="X17" s="91">
        <v>288.2</v>
      </c>
      <c r="Y17" s="91">
        <v>39.1</v>
      </c>
      <c r="Z17" s="91">
        <v>35.700000000000003</v>
      </c>
      <c r="AA17" s="91">
        <v>443.7</v>
      </c>
      <c r="AB17" s="91">
        <v>3411.3</v>
      </c>
      <c r="AC17" s="91">
        <v>48.6</v>
      </c>
      <c r="AD17" s="91">
        <v>18.899999999999999</v>
      </c>
      <c r="AE17" s="91">
        <v>4.9000000000000004</v>
      </c>
      <c r="AF17" s="91">
        <v>293.39999999999998</v>
      </c>
      <c r="AG17" s="91">
        <v>159.6</v>
      </c>
      <c r="AH17" s="91">
        <v>633.79999999999995</v>
      </c>
      <c r="AI17" s="91">
        <v>1210.5</v>
      </c>
      <c r="AJ17" s="91">
        <v>116.8</v>
      </c>
      <c r="AK17" s="91">
        <v>215.8</v>
      </c>
      <c r="AL17" s="91">
        <v>1257.5999999999999</v>
      </c>
      <c r="AM17" s="91">
        <v>98.8</v>
      </c>
      <c r="AN17" s="91">
        <v>2876.3</v>
      </c>
      <c r="AO17" s="91">
        <v>314.89999999999998</v>
      </c>
      <c r="AP17" s="91">
        <v>673.6</v>
      </c>
      <c r="AQ17" s="91">
        <v>631.1</v>
      </c>
      <c r="AR17" s="91">
        <v>583</v>
      </c>
      <c r="AS17" s="91">
        <v>331.9</v>
      </c>
      <c r="AT17" s="91">
        <v>426.8</v>
      </c>
      <c r="AU17" s="91">
        <v>0</v>
      </c>
      <c r="AV17" s="91">
        <v>1121.5</v>
      </c>
      <c r="AW17" s="91">
        <v>30.8</v>
      </c>
      <c r="AX17" s="91">
        <v>1</v>
      </c>
      <c r="AY17" s="91">
        <v>86.2</v>
      </c>
      <c r="AZ17" s="91">
        <v>178.7</v>
      </c>
      <c r="BA17" s="91">
        <v>45.8</v>
      </c>
      <c r="BB17" s="91">
        <v>28.9</v>
      </c>
      <c r="BC17" s="91">
        <v>2781</v>
      </c>
      <c r="BD17" s="91">
        <v>-3001</v>
      </c>
    </row>
    <row r="18" spans="1:56" ht="21" x14ac:dyDescent="0.3">
      <c r="A18" s="82" t="s">
        <v>98</v>
      </c>
      <c r="B18" s="81" t="s">
        <v>7</v>
      </c>
      <c r="C18" s="92">
        <v>537.79999999999995</v>
      </c>
      <c r="D18" s="92">
        <v>537.4</v>
      </c>
      <c r="E18" s="92">
        <v>0.6</v>
      </c>
      <c r="F18" s="92">
        <v>105</v>
      </c>
      <c r="G18" s="92">
        <v>0.8</v>
      </c>
      <c r="H18" s="92">
        <v>325.60000000000002</v>
      </c>
      <c r="I18" s="92">
        <v>458.6</v>
      </c>
      <c r="J18" s="92">
        <v>50.7</v>
      </c>
      <c r="K18" s="92">
        <v>234.7</v>
      </c>
      <c r="L18" s="92">
        <v>13290.5</v>
      </c>
      <c r="M18" s="92">
        <v>16401.2</v>
      </c>
      <c r="N18" s="92">
        <v>180.8</v>
      </c>
      <c r="O18" s="92">
        <v>1502.7</v>
      </c>
      <c r="P18" s="92">
        <v>1318.1</v>
      </c>
      <c r="Q18" s="92">
        <v>634.29999999999995</v>
      </c>
      <c r="R18" s="92">
        <v>663.1</v>
      </c>
      <c r="S18" s="92">
        <v>946</v>
      </c>
      <c r="T18" s="92">
        <v>503.8</v>
      </c>
      <c r="U18" s="92">
        <v>403</v>
      </c>
      <c r="V18" s="92">
        <v>529.1</v>
      </c>
      <c r="W18" s="92">
        <v>362.9</v>
      </c>
      <c r="X18" s="92">
        <v>133.9</v>
      </c>
      <c r="Y18" s="92">
        <v>2929</v>
      </c>
      <c r="Z18" s="92">
        <v>244.3</v>
      </c>
      <c r="AA18" s="92">
        <v>1531.9</v>
      </c>
      <c r="AB18" s="92">
        <v>4985.1000000000004</v>
      </c>
      <c r="AC18" s="92">
        <v>7817.1</v>
      </c>
      <c r="AD18" s="92">
        <v>1491.7</v>
      </c>
      <c r="AE18" s="92">
        <v>3798</v>
      </c>
      <c r="AF18" s="92">
        <v>409.3</v>
      </c>
      <c r="AG18" s="92">
        <v>725.6</v>
      </c>
      <c r="AH18" s="92">
        <v>1253.5999999999999</v>
      </c>
      <c r="AI18" s="92">
        <v>160.4</v>
      </c>
      <c r="AJ18" s="92">
        <v>104.1</v>
      </c>
      <c r="AK18" s="92">
        <v>78.8</v>
      </c>
      <c r="AL18" s="92">
        <v>267.60000000000002</v>
      </c>
      <c r="AM18" s="92">
        <v>412.9</v>
      </c>
      <c r="AN18" s="92">
        <v>2172.3000000000002</v>
      </c>
      <c r="AO18" s="92">
        <v>471.6</v>
      </c>
      <c r="AP18" s="92">
        <v>1482</v>
      </c>
      <c r="AQ18" s="92">
        <v>1323.5</v>
      </c>
      <c r="AR18" s="92">
        <v>1695.1</v>
      </c>
      <c r="AS18" s="92">
        <v>339.3</v>
      </c>
      <c r="AT18" s="92">
        <v>714.8</v>
      </c>
      <c r="AU18" s="92">
        <v>0</v>
      </c>
      <c r="AV18" s="92">
        <v>11406</v>
      </c>
      <c r="AW18" s="92">
        <v>3.6</v>
      </c>
      <c r="AX18" s="92">
        <v>0.8</v>
      </c>
      <c r="AY18" s="92">
        <v>51.1</v>
      </c>
      <c r="AZ18" s="92">
        <v>591.79999999999995</v>
      </c>
      <c r="BA18" s="92">
        <v>127.6</v>
      </c>
      <c r="BB18" s="92">
        <v>95</v>
      </c>
      <c r="BC18" s="92">
        <v>35254.199999999997</v>
      </c>
      <c r="BD18" s="92">
        <v>-17591.7</v>
      </c>
    </row>
    <row r="19" spans="1:56" ht="21" x14ac:dyDescent="0.3">
      <c r="A19" s="82" t="s">
        <v>576</v>
      </c>
      <c r="B19" s="81" t="s">
        <v>7</v>
      </c>
      <c r="C19" s="91">
        <v>2628.7</v>
      </c>
      <c r="D19" s="91">
        <v>49.3</v>
      </c>
      <c r="E19" s="91">
        <v>1.8</v>
      </c>
      <c r="F19" s="91">
        <v>90.3</v>
      </c>
      <c r="G19" s="91">
        <v>0.5</v>
      </c>
      <c r="H19" s="91">
        <v>720.2</v>
      </c>
      <c r="I19" s="91">
        <v>3232.2</v>
      </c>
      <c r="J19" s="91">
        <v>404</v>
      </c>
      <c r="K19" s="91">
        <v>1330.5</v>
      </c>
      <c r="L19" s="91">
        <v>3697.5</v>
      </c>
      <c r="M19" s="91">
        <v>34652.699999999997</v>
      </c>
      <c r="N19" s="91">
        <v>1272.3</v>
      </c>
      <c r="O19" s="91">
        <v>13964.6</v>
      </c>
      <c r="P19" s="91">
        <v>1204</v>
      </c>
      <c r="Q19" s="91">
        <v>1486.6</v>
      </c>
      <c r="R19" s="91">
        <v>2360.9</v>
      </c>
      <c r="S19" s="91">
        <v>7609.9</v>
      </c>
      <c r="T19" s="91">
        <v>2888.7</v>
      </c>
      <c r="U19" s="91">
        <v>1170.4000000000001</v>
      </c>
      <c r="V19" s="91">
        <v>1913.8</v>
      </c>
      <c r="W19" s="91">
        <v>534.20000000000005</v>
      </c>
      <c r="X19" s="91">
        <v>717.6</v>
      </c>
      <c r="Y19" s="91">
        <v>1933.8</v>
      </c>
      <c r="Z19" s="91">
        <v>318.10000000000002</v>
      </c>
      <c r="AA19" s="91">
        <v>1885.6</v>
      </c>
      <c r="AB19" s="91">
        <v>1173.2</v>
      </c>
      <c r="AC19" s="91">
        <v>499.7</v>
      </c>
      <c r="AD19" s="91">
        <v>88.8</v>
      </c>
      <c r="AE19" s="91">
        <v>146.69999999999999</v>
      </c>
      <c r="AF19" s="91">
        <v>163.6</v>
      </c>
      <c r="AG19" s="91">
        <v>33.299999999999997</v>
      </c>
      <c r="AH19" s="91">
        <v>687.3</v>
      </c>
      <c r="AI19" s="91">
        <v>353</v>
      </c>
      <c r="AJ19" s="91">
        <v>49.1</v>
      </c>
      <c r="AK19" s="91">
        <v>62.8</v>
      </c>
      <c r="AL19" s="91">
        <v>145.69999999999999</v>
      </c>
      <c r="AM19" s="91">
        <v>84.3</v>
      </c>
      <c r="AN19" s="91">
        <v>2486</v>
      </c>
      <c r="AO19" s="91">
        <v>906.2</v>
      </c>
      <c r="AP19" s="91">
        <v>410.1</v>
      </c>
      <c r="AQ19" s="91">
        <v>371.3</v>
      </c>
      <c r="AR19" s="91">
        <v>2076.4</v>
      </c>
      <c r="AS19" s="91">
        <v>447.1</v>
      </c>
      <c r="AT19" s="91">
        <v>2113.5</v>
      </c>
      <c r="AU19" s="91">
        <v>0</v>
      </c>
      <c r="AV19" s="91">
        <v>10366</v>
      </c>
      <c r="AW19" s="91">
        <v>46.1</v>
      </c>
      <c r="AX19" s="91">
        <v>19.8</v>
      </c>
      <c r="AY19" s="91">
        <v>193.6</v>
      </c>
      <c r="AZ19" s="91">
        <v>742.1</v>
      </c>
      <c r="BA19" s="91">
        <v>51.1</v>
      </c>
      <c r="BB19" s="91">
        <v>35.4</v>
      </c>
      <c r="BC19" s="91">
        <v>51808.1</v>
      </c>
      <c r="BD19" s="91">
        <v>-28171.8</v>
      </c>
    </row>
    <row r="20" spans="1:56" ht="21" x14ac:dyDescent="0.3">
      <c r="A20" s="82" t="s">
        <v>577</v>
      </c>
      <c r="B20" s="81" t="s">
        <v>7</v>
      </c>
      <c r="C20" s="92">
        <v>71.900000000000006</v>
      </c>
      <c r="D20" s="92">
        <v>15.3</v>
      </c>
      <c r="E20" s="92">
        <v>0.3</v>
      </c>
      <c r="F20" s="92">
        <v>2</v>
      </c>
      <c r="G20" s="92">
        <v>0</v>
      </c>
      <c r="H20" s="92">
        <v>152.5</v>
      </c>
      <c r="I20" s="92">
        <v>188</v>
      </c>
      <c r="J20" s="92">
        <v>9.3000000000000007</v>
      </c>
      <c r="K20" s="92">
        <v>26.3</v>
      </c>
      <c r="L20" s="92">
        <v>33.9</v>
      </c>
      <c r="M20" s="92">
        <v>151.9</v>
      </c>
      <c r="N20" s="92">
        <v>1248</v>
      </c>
      <c r="O20" s="92">
        <v>85.2</v>
      </c>
      <c r="P20" s="92">
        <v>21.7</v>
      </c>
      <c r="Q20" s="92">
        <v>70.3</v>
      </c>
      <c r="R20" s="92">
        <v>74</v>
      </c>
      <c r="S20" s="92">
        <v>167.2</v>
      </c>
      <c r="T20" s="92">
        <v>62.1</v>
      </c>
      <c r="U20" s="92">
        <v>100.5</v>
      </c>
      <c r="V20" s="92">
        <v>69.7</v>
      </c>
      <c r="W20" s="92">
        <v>63.4</v>
      </c>
      <c r="X20" s="92">
        <v>28.3</v>
      </c>
      <c r="Y20" s="92">
        <v>17.2</v>
      </c>
      <c r="Z20" s="92">
        <v>19.7</v>
      </c>
      <c r="AA20" s="92">
        <v>33.700000000000003</v>
      </c>
      <c r="AB20" s="92">
        <v>355.8</v>
      </c>
      <c r="AC20" s="92">
        <v>5.0999999999999996</v>
      </c>
      <c r="AD20" s="92">
        <v>3.3</v>
      </c>
      <c r="AE20" s="92">
        <v>4.8</v>
      </c>
      <c r="AF20" s="92">
        <v>6</v>
      </c>
      <c r="AG20" s="92">
        <v>1.5</v>
      </c>
      <c r="AH20" s="92">
        <v>51.6</v>
      </c>
      <c r="AI20" s="92">
        <v>6.3</v>
      </c>
      <c r="AJ20" s="92">
        <v>12.2</v>
      </c>
      <c r="AK20" s="92">
        <v>4.5999999999999996</v>
      </c>
      <c r="AL20" s="92">
        <v>13.1</v>
      </c>
      <c r="AM20" s="92">
        <v>7.8</v>
      </c>
      <c r="AN20" s="92">
        <v>493.5</v>
      </c>
      <c r="AO20" s="92">
        <v>23.8</v>
      </c>
      <c r="AP20" s="92">
        <v>162.1</v>
      </c>
      <c r="AQ20" s="92">
        <v>69</v>
      </c>
      <c r="AR20" s="92">
        <v>15395.7</v>
      </c>
      <c r="AS20" s="92">
        <v>13.3</v>
      </c>
      <c r="AT20" s="92">
        <v>22.4</v>
      </c>
      <c r="AU20" s="92">
        <v>0</v>
      </c>
      <c r="AV20" s="92">
        <v>1479.4</v>
      </c>
      <c r="AW20" s="92">
        <v>39.6</v>
      </c>
      <c r="AX20" s="92">
        <v>1655.4</v>
      </c>
      <c r="AY20" s="92">
        <v>244.1</v>
      </c>
      <c r="AZ20" s="92">
        <v>114.3</v>
      </c>
      <c r="BA20" s="92">
        <v>38.700000000000003</v>
      </c>
      <c r="BB20" s="92">
        <v>23.6</v>
      </c>
      <c r="BC20" s="92">
        <v>2571</v>
      </c>
      <c r="BD20" s="92">
        <v>-4996.2</v>
      </c>
    </row>
    <row r="21" spans="1:56" ht="21" x14ac:dyDescent="0.3">
      <c r="A21" s="82" t="s">
        <v>100</v>
      </c>
      <c r="B21" s="81" t="s">
        <v>7</v>
      </c>
      <c r="C21" s="91">
        <v>403.3</v>
      </c>
      <c r="D21" s="91">
        <v>163.5</v>
      </c>
      <c r="E21" s="91">
        <v>2.2999999999999998</v>
      </c>
      <c r="F21" s="91">
        <v>28.9</v>
      </c>
      <c r="G21" s="91">
        <v>0.1</v>
      </c>
      <c r="H21" s="91">
        <v>2416.4</v>
      </c>
      <c r="I21" s="91">
        <v>1615.9</v>
      </c>
      <c r="J21" s="91">
        <v>100.6</v>
      </c>
      <c r="K21" s="91">
        <v>396.1</v>
      </c>
      <c r="L21" s="91">
        <v>247.9</v>
      </c>
      <c r="M21" s="91">
        <v>1835.3</v>
      </c>
      <c r="N21" s="91">
        <v>301.10000000000002</v>
      </c>
      <c r="O21" s="91">
        <v>5928</v>
      </c>
      <c r="P21" s="91">
        <v>455.4</v>
      </c>
      <c r="Q21" s="91">
        <v>607</v>
      </c>
      <c r="R21" s="91">
        <v>1629</v>
      </c>
      <c r="S21" s="91">
        <v>5666.9</v>
      </c>
      <c r="T21" s="91">
        <v>3927.2</v>
      </c>
      <c r="U21" s="91">
        <v>3230.2</v>
      </c>
      <c r="V21" s="91">
        <v>10670.1</v>
      </c>
      <c r="W21" s="91">
        <v>751.1</v>
      </c>
      <c r="X21" s="91">
        <v>1740.8</v>
      </c>
      <c r="Y21" s="91">
        <v>396.2</v>
      </c>
      <c r="Z21" s="91">
        <v>96.8</v>
      </c>
      <c r="AA21" s="91">
        <v>7288.4</v>
      </c>
      <c r="AB21" s="91">
        <v>2196.5</v>
      </c>
      <c r="AC21" s="91">
        <v>643.9</v>
      </c>
      <c r="AD21" s="91">
        <v>28.7</v>
      </c>
      <c r="AE21" s="91">
        <v>28.9</v>
      </c>
      <c r="AF21" s="91">
        <v>477.6</v>
      </c>
      <c r="AG21" s="91">
        <v>198.9</v>
      </c>
      <c r="AH21" s="91">
        <v>1420.3</v>
      </c>
      <c r="AI21" s="91">
        <v>106.7</v>
      </c>
      <c r="AJ21" s="91">
        <v>34.4</v>
      </c>
      <c r="AK21" s="91">
        <v>33.200000000000003</v>
      </c>
      <c r="AL21" s="91">
        <v>106.5</v>
      </c>
      <c r="AM21" s="91">
        <v>63.4</v>
      </c>
      <c r="AN21" s="91">
        <v>2159.6999999999998</v>
      </c>
      <c r="AO21" s="91">
        <v>421.3</v>
      </c>
      <c r="AP21" s="91">
        <v>154.5</v>
      </c>
      <c r="AQ21" s="91">
        <v>251.3</v>
      </c>
      <c r="AR21" s="91">
        <v>420.4</v>
      </c>
      <c r="AS21" s="91">
        <v>120</v>
      </c>
      <c r="AT21" s="91">
        <v>1018</v>
      </c>
      <c r="AU21" s="91">
        <v>0</v>
      </c>
      <c r="AV21" s="91">
        <v>821.8</v>
      </c>
      <c r="AW21" s="91">
        <v>2.7</v>
      </c>
      <c r="AX21" s="91">
        <v>2.6</v>
      </c>
      <c r="AY21" s="91">
        <v>321.3</v>
      </c>
      <c r="AZ21" s="91">
        <v>383.5</v>
      </c>
      <c r="BA21" s="91">
        <v>3.2</v>
      </c>
      <c r="BB21" s="91">
        <v>2.7</v>
      </c>
      <c r="BC21" s="91">
        <v>14047.6</v>
      </c>
      <c r="BD21" s="91">
        <v>-6471.5</v>
      </c>
    </row>
    <row r="22" spans="1:56" ht="21" x14ac:dyDescent="0.3">
      <c r="A22" s="82" t="s">
        <v>101</v>
      </c>
      <c r="B22" s="81" t="s">
        <v>7</v>
      </c>
      <c r="C22" s="92">
        <v>22.8</v>
      </c>
      <c r="D22" s="92">
        <v>3.5</v>
      </c>
      <c r="E22" s="92">
        <v>0.2</v>
      </c>
      <c r="F22" s="92">
        <v>16.399999999999999</v>
      </c>
      <c r="G22" s="92">
        <v>0.2</v>
      </c>
      <c r="H22" s="92">
        <v>574.29999999999995</v>
      </c>
      <c r="I22" s="92">
        <v>138.5</v>
      </c>
      <c r="J22" s="92">
        <v>24.8</v>
      </c>
      <c r="K22" s="92">
        <v>114.7</v>
      </c>
      <c r="L22" s="92">
        <v>124.7</v>
      </c>
      <c r="M22" s="92">
        <v>662.6</v>
      </c>
      <c r="N22" s="92">
        <v>247.9</v>
      </c>
      <c r="O22" s="92">
        <v>238.2</v>
      </c>
      <c r="P22" s="92">
        <v>5308.8</v>
      </c>
      <c r="Q22" s="92">
        <v>2374.9</v>
      </c>
      <c r="R22" s="92">
        <v>434.8</v>
      </c>
      <c r="S22" s="92">
        <v>2258.8000000000002</v>
      </c>
      <c r="T22" s="92">
        <v>1014.9</v>
      </c>
      <c r="U22" s="92">
        <v>409.3</v>
      </c>
      <c r="V22" s="92">
        <v>981.5</v>
      </c>
      <c r="W22" s="92">
        <v>196.6</v>
      </c>
      <c r="X22" s="92">
        <v>177.2</v>
      </c>
      <c r="Y22" s="92">
        <v>60.1</v>
      </c>
      <c r="Z22" s="92">
        <v>66.900000000000006</v>
      </c>
      <c r="AA22" s="92">
        <v>18324.2</v>
      </c>
      <c r="AB22" s="92">
        <v>105.8</v>
      </c>
      <c r="AC22" s="92">
        <v>37.4</v>
      </c>
      <c r="AD22" s="92">
        <v>11.9</v>
      </c>
      <c r="AE22" s="92">
        <v>6.5</v>
      </c>
      <c r="AF22" s="92">
        <v>48.1</v>
      </c>
      <c r="AG22" s="92">
        <v>1</v>
      </c>
      <c r="AH22" s="92">
        <v>316.5</v>
      </c>
      <c r="AI22" s="92">
        <v>6.4</v>
      </c>
      <c r="AJ22" s="92">
        <v>13.2</v>
      </c>
      <c r="AK22" s="92">
        <v>4.2</v>
      </c>
      <c r="AL22" s="92">
        <v>14.1</v>
      </c>
      <c r="AM22" s="92">
        <v>58.7</v>
      </c>
      <c r="AN22" s="92">
        <v>186.8</v>
      </c>
      <c r="AO22" s="92">
        <v>69.099999999999994</v>
      </c>
      <c r="AP22" s="92">
        <v>102.9</v>
      </c>
      <c r="AQ22" s="92">
        <v>74.400000000000006</v>
      </c>
      <c r="AR22" s="92">
        <v>111.2</v>
      </c>
      <c r="AS22" s="92">
        <v>128.5</v>
      </c>
      <c r="AT22" s="92">
        <v>72.5</v>
      </c>
      <c r="AU22" s="92">
        <v>0</v>
      </c>
      <c r="AV22" s="92">
        <v>201.4</v>
      </c>
      <c r="AW22" s="92">
        <v>1.3</v>
      </c>
      <c r="AX22" s="92">
        <v>1.7</v>
      </c>
      <c r="AY22" s="92">
        <v>97.3</v>
      </c>
      <c r="AZ22" s="92">
        <v>204.7</v>
      </c>
      <c r="BA22" s="92">
        <v>2.8</v>
      </c>
      <c r="BB22" s="92">
        <v>0.7</v>
      </c>
      <c r="BC22" s="92">
        <v>3536.1</v>
      </c>
      <c r="BD22" s="92">
        <v>-4511.2</v>
      </c>
    </row>
    <row r="23" spans="1:56" x14ac:dyDescent="0.3">
      <c r="A23" s="82" t="s">
        <v>578</v>
      </c>
      <c r="B23" s="81" t="s">
        <v>7</v>
      </c>
      <c r="C23" s="91">
        <v>60.1</v>
      </c>
      <c r="D23" s="91">
        <v>13.6</v>
      </c>
      <c r="E23" s="91">
        <v>2.6</v>
      </c>
      <c r="F23" s="91">
        <v>8.1</v>
      </c>
      <c r="G23" s="91">
        <v>0.3</v>
      </c>
      <c r="H23" s="91">
        <v>194.6</v>
      </c>
      <c r="I23" s="91">
        <v>163.69999999999999</v>
      </c>
      <c r="J23" s="91">
        <v>37.6</v>
      </c>
      <c r="K23" s="91">
        <v>72.599999999999994</v>
      </c>
      <c r="L23" s="91">
        <v>503</v>
      </c>
      <c r="M23" s="91">
        <v>1559.1</v>
      </c>
      <c r="N23" s="91">
        <v>146.30000000000001</v>
      </c>
      <c r="O23" s="91">
        <v>795.9</v>
      </c>
      <c r="P23" s="91">
        <v>586.6</v>
      </c>
      <c r="Q23" s="91">
        <v>38222.9</v>
      </c>
      <c r="R23" s="91">
        <v>14392.4</v>
      </c>
      <c r="S23" s="91">
        <v>4607.7</v>
      </c>
      <c r="T23" s="91">
        <v>8084</v>
      </c>
      <c r="U23" s="91">
        <v>8571.1</v>
      </c>
      <c r="V23" s="91">
        <v>9100.5</v>
      </c>
      <c r="W23" s="91">
        <v>4408.8</v>
      </c>
      <c r="X23" s="91">
        <v>1384.3</v>
      </c>
      <c r="Y23" s="91">
        <v>611.70000000000005</v>
      </c>
      <c r="Z23" s="91">
        <v>175.6</v>
      </c>
      <c r="AA23" s="91">
        <v>13715</v>
      </c>
      <c r="AB23" s="91">
        <v>233.9</v>
      </c>
      <c r="AC23" s="91">
        <v>85.8</v>
      </c>
      <c r="AD23" s="91">
        <v>12.5</v>
      </c>
      <c r="AE23" s="91">
        <v>88</v>
      </c>
      <c r="AF23" s="91">
        <v>96.4</v>
      </c>
      <c r="AG23" s="91">
        <v>7.2</v>
      </c>
      <c r="AH23" s="91">
        <v>163.5</v>
      </c>
      <c r="AI23" s="91">
        <v>21.5</v>
      </c>
      <c r="AJ23" s="91">
        <v>39.200000000000003</v>
      </c>
      <c r="AK23" s="91">
        <v>14.7</v>
      </c>
      <c r="AL23" s="91">
        <v>52.8</v>
      </c>
      <c r="AM23" s="91">
        <v>44.6</v>
      </c>
      <c r="AN23" s="91">
        <v>647.4</v>
      </c>
      <c r="AO23" s="91">
        <v>55.6</v>
      </c>
      <c r="AP23" s="91">
        <v>120.9</v>
      </c>
      <c r="AQ23" s="91">
        <v>125.9</v>
      </c>
      <c r="AR23" s="91">
        <v>352.8</v>
      </c>
      <c r="AS23" s="91">
        <v>54.7</v>
      </c>
      <c r="AT23" s="91">
        <v>105.9</v>
      </c>
      <c r="AU23" s="91">
        <v>0</v>
      </c>
      <c r="AV23" s="91">
        <v>769.1</v>
      </c>
      <c r="AW23" s="91">
        <v>4.0999999999999996</v>
      </c>
      <c r="AX23" s="91">
        <v>1.1000000000000001</v>
      </c>
      <c r="AY23" s="91">
        <v>730.4</v>
      </c>
      <c r="AZ23" s="91">
        <v>537.1</v>
      </c>
      <c r="BA23" s="91">
        <v>1.9</v>
      </c>
      <c r="BB23" s="91">
        <v>2.7</v>
      </c>
      <c r="BC23" s="91">
        <v>34505.4</v>
      </c>
      <c r="BD23" s="91">
        <v>-25697.9</v>
      </c>
    </row>
    <row r="24" spans="1:56" x14ac:dyDescent="0.3">
      <c r="A24" s="82" t="s">
        <v>579</v>
      </c>
      <c r="B24" s="81" t="s">
        <v>7</v>
      </c>
      <c r="C24" s="92">
        <v>56</v>
      </c>
      <c r="D24" s="92">
        <v>18.899999999999999</v>
      </c>
      <c r="E24" s="92">
        <v>10.199999999999999</v>
      </c>
      <c r="F24" s="92">
        <v>48.4</v>
      </c>
      <c r="G24" s="92">
        <v>0.6</v>
      </c>
      <c r="H24" s="92">
        <v>1411.1</v>
      </c>
      <c r="I24" s="92">
        <v>738.2</v>
      </c>
      <c r="J24" s="92">
        <v>201.2</v>
      </c>
      <c r="K24" s="92">
        <v>144.6</v>
      </c>
      <c r="L24" s="92">
        <v>1645.8</v>
      </c>
      <c r="M24" s="92">
        <v>981.1</v>
      </c>
      <c r="N24" s="92">
        <v>160.4</v>
      </c>
      <c r="O24" s="92">
        <v>850.6</v>
      </c>
      <c r="P24" s="92">
        <v>546.5</v>
      </c>
      <c r="Q24" s="92">
        <v>1707.9</v>
      </c>
      <c r="R24" s="92">
        <v>11583.2</v>
      </c>
      <c r="S24" s="92">
        <v>2486</v>
      </c>
      <c r="T24" s="92">
        <v>2877.8</v>
      </c>
      <c r="U24" s="92">
        <v>10498.9</v>
      </c>
      <c r="V24" s="92">
        <v>7714.8</v>
      </c>
      <c r="W24" s="92">
        <v>4697.1000000000004</v>
      </c>
      <c r="X24" s="92">
        <v>1405.6</v>
      </c>
      <c r="Y24" s="92">
        <v>972.6</v>
      </c>
      <c r="Z24" s="92">
        <v>104.7</v>
      </c>
      <c r="AA24" s="92">
        <v>18544.7</v>
      </c>
      <c r="AB24" s="92">
        <v>508.7</v>
      </c>
      <c r="AC24" s="92">
        <v>218.9</v>
      </c>
      <c r="AD24" s="92">
        <v>54.5</v>
      </c>
      <c r="AE24" s="92">
        <v>47.9</v>
      </c>
      <c r="AF24" s="92">
        <v>424.1</v>
      </c>
      <c r="AG24" s="92">
        <v>22.7</v>
      </c>
      <c r="AH24" s="92">
        <v>831.4</v>
      </c>
      <c r="AI24" s="92">
        <v>64.099999999999994</v>
      </c>
      <c r="AJ24" s="92">
        <v>43</v>
      </c>
      <c r="AK24" s="92">
        <v>61.7</v>
      </c>
      <c r="AL24" s="92">
        <v>209.6</v>
      </c>
      <c r="AM24" s="92">
        <v>77.7</v>
      </c>
      <c r="AN24" s="92">
        <v>782.1</v>
      </c>
      <c r="AO24" s="92">
        <v>391.3</v>
      </c>
      <c r="AP24" s="92">
        <v>594.4</v>
      </c>
      <c r="AQ24" s="92">
        <v>270.10000000000002</v>
      </c>
      <c r="AR24" s="92">
        <v>333.4</v>
      </c>
      <c r="AS24" s="92">
        <v>228.5</v>
      </c>
      <c r="AT24" s="92">
        <v>655.29999999999995</v>
      </c>
      <c r="AU24" s="92">
        <v>0</v>
      </c>
      <c r="AV24" s="92">
        <v>1450.6</v>
      </c>
      <c r="AW24" s="92">
        <v>22</v>
      </c>
      <c r="AX24" s="92">
        <v>3.1</v>
      </c>
      <c r="AY24" s="92">
        <v>5630.2</v>
      </c>
      <c r="AZ24" s="92">
        <v>506.5</v>
      </c>
      <c r="BA24" s="92">
        <v>3.9</v>
      </c>
      <c r="BB24" s="92">
        <v>2.7</v>
      </c>
      <c r="BC24" s="92">
        <v>8299.7000000000007</v>
      </c>
      <c r="BD24" s="92">
        <v>-6403.4</v>
      </c>
    </row>
    <row r="25" spans="1:56" ht="21" x14ac:dyDescent="0.3">
      <c r="A25" s="82" t="s">
        <v>580</v>
      </c>
      <c r="B25" s="81" t="s">
        <v>7</v>
      </c>
      <c r="C25" s="91">
        <v>190</v>
      </c>
      <c r="D25" s="91">
        <v>41.7</v>
      </c>
      <c r="E25" s="91">
        <v>2.9</v>
      </c>
      <c r="F25" s="91">
        <v>24</v>
      </c>
      <c r="G25" s="91">
        <v>0.2</v>
      </c>
      <c r="H25" s="91">
        <v>1153.4000000000001</v>
      </c>
      <c r="I25" s="91">
        <v>2014.3</v>
      </c>
      <c r="J25" s="91">
        <v>105.4</v>
      </c>
      <c r="K25" s="91">
        <v>369.9</v>
      </c>
      <c r="L25" s="91">
        <v>884.1</v>
      </c>
      <c r="M25" s="91">
        <v>1183.3</v>
      </c>
      <c r="N25" s="91">
        <v>307.2</v>
      </c>
      <c r="O25" s="91">
        <v>996.6</v>
      </c>
      <c r="P25" s="91">
        <v>330.6</v>
      </c>
      <c r="Q25" s="91">
        <v>1243.5</v>
      </c>
      <c r="R25" s="91">
        <v>1406.7</v>
      </c>
      <c r="S25" s="91">
        <v>68326.8</v>
      </c>
      <c r="T25" s="91">
        <v>6022.7</v>
      </c>
      <c r="U25" s="91">
        <v>6736.7</v>
      </c>
      <c r="V25" s="91">
        <v>6598.7</v>
      </c>
      <c r="W25" s="91">
        <v>1999.5</v>
      </c>
      <c r="X25" s="91">
        <v>949.1</v>
      </c>
      <c r="Y25" s="91">
        <v>1235.3</v>
      </c>
      <c r="Z25" s="91">
        <v>191.4</v>
      </c>
      <c r="AA25" s="91">
        <v>2267.6</v>
      </c>
      <c r="AB25" s="91">
        <v>2636</v>
      </c>
      <c r="AC25" s="91">
        <v>235.6</v>
      </c>
      <c r="AD25" s="91">
        <v>50.7</v>
      </c>
      <c r="AE25" s="91">
        <v>57.7</v>
      </c>
      <c r="AF25" s="91">
        <v>348.9</v>
      </c>
      <c r="AG25" s="91">
        <v>102.3</v>
      </c>
      <c r="AH25" s="91">
        <v>787.7</v>
      </c>
      <c r="AI25" s="91">
        <v>1094.5999999999999</v>
      </c>
      <c r="AJ25" s="91">
        <v>1698.7</v>
      </c>
      <c r="AK25" s="91">
        <v>2671.1</v>
      </c>
      <c r="AL25" s="91">
        <v>827.1</v>
      </c>
      <c r="AM25" s="91">
        <v>334</v>
      </c>
      <c r="AN25" s="91">
        <v>8458.9</v>
      </c>
      <c r="AO25" s="91">
        <v>683.3</v>
      </c>
      <c r="AP25" s="91">
        <v>958.7</v>
      </c>
      <c r="AQ25" s="91">
        <v>1328.5</v>
      </c>
      <c r="AR25" s="91">
        <v>4810</v>
      </c>
      <c r="AS25" s="91">
        <v>248.8</v>
      </c>
      <c r="AT25" s="91">
        <v>1646</v>
      </c>
      <c r="AU25" s="91">
        <v>0</v>
      </c>
      <c r="AV25" s="91">
        <v>23630.799999999999</v>
      </c>
      <c r="AW25" s="91">
        <v>62</v>
      </c>
      <c r="AX25" s="91">
        <v>33</v>
      </c>
      <c r="AY25" s="91">
        <v>26223.9</v>
      </c>
      <c r="AZ25" s="91">
        <v>1381.2</v>
      </c>
      <c r="BA25" s="91">
        <v>45.7</v>
      </c>
      <c r="BB25" s="91">
        <v>51</v>
      </c>
      <c r="BC25" s="91">
        <v>137650.29999999999</v>
      </c>
      <c r="BD25" s="91">
        <v>-71282.8</v>
      </c>
    </row>
    <row r="26" spans="1:56" x14ac:dyDescent="0.3">
      <c r="A26" s="82" t="s">
        <v>105</v>
      </c>
      <c r="B26" s="81" t="s">
        <v>7</v>
      </c>
      <c r="C26" s="92">
        <v>46</v>
      </c>
      <c r="D26" s="92">
        <v>78.5</v>
      </c>
      <c r="E26" s="92">
        <v>3.3</v>
      </c>
      <c r="F26" s="92">
        <v>21.3</v>
      </c>
      <c r="G26" s="92">
        <v>0.1</v>
      </c>
      <c r="H26" s="92">
        <v>266</v>
      </c>
      <c r="I26" s="92">
        <v>627.79999999999995</v>
      </c>
      <c r="J26" s="92">
        <v>42.3</v>
      </c>
      <c r="K26" s="92">
        <v>106.8</v>
      </c>
      <c r="L26" s="92">
        <v>277.10000000000002</v>
      </c>
      <c r="M26" s="92">
        <v>350.2</v>
      </c>
      <c r="N26" s="92">
        <v>71.8</v>
      </c>
      <c r="O26" s="92">
        <v>385</v>
      </c>
      <c r="P26" s="92">
        <v>197</v>
      </c>
      <c r="Q26" s="92">
        <v>797.5</v>
      </c>
      <c r="R26" s="92">
        <v>906.1</v>
      </c>
      <c r="S26" s="92">
        <v>5404.3</v>
      </c>
      <c r="T26" s="92">
        <v>12533.2</v>
      </c>
      <c r="U26" s="92">
        <v>4771.1000000000004</v>
      </c>
      <c r="V26" s="92">
        <v>10461.4</v>
      </c>
      <c r="W26" s="92">
        <v>1511.4</v>
      </c>
      <c r="X26" s="92">
        <v>814.9</v>
      </c>
      <c r="Y26" s="92">
        <v>1752.3</v>
      </c>
      <c r="Z26" s="92">
        <v>136.30000000000001</v>
      </c>
      <c r="AA26" s="92">
        <v>8947.1</v>
      </c>
      <c r="AB26" s="92">
        <v>663.7</v>
      </c>
      <c r="AC26" s="92">
        <v>1121.5999999999999</v>
      </c>
      <c r="AD26" s="92">
        <v>45.3</v>
      </c>
      <c r="AE26" s="92">
        <v>33.6</v>
      </c>
      <c r="AF26" s="92">
        <v>451.9</v>
      </c>
      <c r="AG26" s="92">
        <v>111</v>
      </c>
      <c r="AH26" s="92">
        <v>739.8</v>
      </c>
      <c r="AI26" s="92">
        <v>227.8</v>
      </c>
      <c r="AJ26" s="92">
        <v>700.6</v>
      </c>
      <c r="AK26" s="92">
        <v>181.3</v>
      </c>
      <c r="AL26" s="92">
        <v>275.39999999999998</v>
      </c>
      <c r="AM26" s="92">
        <v>253.9</v>
      </c>
      <c r="AN26" s="92">
        <v>2086.9</v>
      </c>
      <c r="AO26" s="92">
        <v>472.7</v>
      </c>
      <c r="AP26" s="92">
        <v>463.7</v>
      </c>
      <c r="AQ26" s="92">
        <v>405.4</v>
      </c>
      <c r="AR26" s="92">
        <v>463</v>
      </c>
      <c r="AS26" s="92">
        <v>266.60000000000002</v>
      </c>
      <c r="AT26" s="92">
        <v>1309.5</v>
      </c>
      <c r="AU26" s="92">
        <v>0</v>
      </c>
      <c r="AV26" s="92">
        <v>7216.1</v>
      </c>
      <c r="AW26" s="92">
        <v>37.1</v>
      </c>
      <c r="AX26" s="92">
        <v>2.9</v>
      </c>
      <c r="AY26" s="92">
        <v>7788.5</v>
      </c>
      <c r="AZ26" s="92">
        <v>466.9</v>
      </c>
      <c r="BA26" s="92">
        <v>18.899999999999999</v>
      </c>
      <c r="BB26" s="92">
        <v>19.7</v>
      </c>
      <c r="BC26" s="92">
        <v>22013.3</v>
      </c>
      <c r="BD26" s="92">
        <v>-13538.7</v>
      </c>
    </row>
    <row r="27" spans="1:56" ht="21" x14ac:dyDescent="0.3">
      <c r="A27" s="82" t="s">
        <v>581</v>
      </c>
      <c r="B27" s="81" t="s">
        <v>7</v>
      </c>
      <c r="C27" s="91">
        <v>124.2</v>
      </c>
      <c r="D27" s="91">
        <v>72.2</v>
      </c>
      <c r="E27" s="91">
        <v>6.7</v>
      </c>
      <c r="F27" s="91">
        <v>70.5</v>
      </c>
      <c r="G27" s="91">
        <v>0.8</v>
      </c>
      <c r="H27" s="91">
        <v>521.5</v>
      </c>
      <c r="I27" s="91">
        <v>956.8</v>
      </c>
      <c r="J27" s="91">
        <v>54.6</v>
      </c>
      <c r="K27" s="91">
        <v>157.4</v>
      </c>
      <c r="L27" s="91">
        <v>1302.0999999999999</v>
      </c>
      <c r="M27" s="91">
        <v>569.5</v>
      </c>
      <c r="N27" s="91">
        <v>104.9</v>
      </c>
      <c r="O27" s="91">
        <v>2172.1</v>
      </c>
      <c r="P27" s="91">
        <v>376.4</v>
      </c>
      <c r="Q27" s="91">
        <v>1327.5</v>
      </c>
      <c r="R27" s="91">
        <v>2532.3000000000002</v>
      </c>
      <c r="S27" s="91">
        <v>2366.3000000000002</v>
      </c>
      <c r="T27" s="91">
        <v>2206.8000000000002</v>
      </c>
      <c r="U27" s="91">
        <v>20196.3</v>
      </c>
      <c r="V27" s="91">
        <v>3848.2</v>
      </c>
      <c r="W27" s="91">
        <v>3302.1</v>
      </c>
      <c r="X27" s="91">
        <v>954.2</v>
      </c>
      <c r="Y27" s="91">
        <v>584.20000000000005</v>
      </c>
      <c r="Z27" s="91">
        <v>428.1</v>
      </c>
      <c r="AA27" s="91">
        <v>5935.7</v>
      </c>
      <c r="AB27" s="91">
        <v>625.6</v>
      </c>
      <c r="AC27" s="91">
        <v>109</v>
      </c>
      <c r="AD27" s="91">
        <v>139.30000000000001</v>
      </c>
      <c r="AE27" s="91">
        <v>209.4</v>
      </c>
      <c r="AF27" s="91">
        <v>180.8</v>
      </c>
      <c r="AG27" s="91">
        <v>13.3</v>
      </c>
      <c r="AH27" s="91">
        <v>188.8</v>
      </c>
      <c r="AI27" s="91">
        <v>44.2</v>
      </c>
      <c r="AJ27" s="91">
        <v>57.4</v>
      </c>
      <c r="AK27" s="91">
        <v>54.3</v>
      </c>
      <c r="AL27" s="91">
        <v>133</v>
      </c>
      <c r="AM27" s="91">
        <v>121.4</v>
      </c>
      <c r="AN27" s="91">
        <v>1074.5999999999999</v>
      </c>
      <c r="AO27" s="91">
        <v>210.8</v>
      </c>
      <c r="AP27" s="91">
        <v>298.89999999999998</v>
      </c>
      <c r="AQ27" s="91">
        <v>323</v>
      </c>
      <c r="AR27" s="91">
        <v>360.3</v>
      </c>
      <c r="AS27" s="91">
        <v>65.2</v>
      </c>
      <c r="AT27" s="91">
        <v>208.3</v>
      </c>
      <c r="AU27" s="91">
        <v>0</v>
      </c>
      <c r="AV27" s="91">
        <v>2868.2</v>
      </c>
      <c r="AW27" s="91">
        <v>21.5</v>
      </c>
      <c r="AX27" s="91">
        <v>6.3</v>
      </c>
      <c r="AY27" s="91">
        <v>40412.699999999997</v>
      </c>
      <c r="AZ27" s="91">
        <v>653.29999999999995</v>
      </c>
      <c r="BA27" s="91">
        <v>2.8</v>
      </c>
      <c r="BB27" s="91">
        <v>2.2999999999999998</v>
      </c>
      <c r="BC27" s="91">
        <v>43135.1</v>
      </c>
      <c r="BD27" s="91">
        <v>-22865</v>
      </c>
    </row>
    <row r="28" spans="1:56" ht="21" x14ac:dyDescent="0.3">
      <c r="A28" s="82" t="s">
        <v>107</v>
      </c>
      <c r="B28" s="81" t="s">
        <v>7</v>
      </c>
      <c r="C28" s="92">
        <v>50.5</v>
      </c>
      <c r="D28" s="92">
        <v>25.3</v>
      </c>
      <c r="E28" s="92">
        <v>1.9</v>
      </c>
      <c r="F28" s="92">
        <v>33.9</v>
      </c>
      <c r="G28" s="92">
        <v>0.1</v>
      </c>
      <c r="H28" s="92">
        <v>280.5</v>
      </c>
      <c r="I28" s="92">
        <v>627.70000000000005</v>
      </c>
      <c r="J28" s="92">
        <v>39.9</v>
      </c>
      <c r="K28" s="92">
        <v>108.6</v>
      </c>
      <c r="L28" s="92">
        <v>224.3</v>
      </c>
      <c r="M28" s="92">
        <v>292.7</v>
      </c>
      <c r="N28" s="92">
        <v>79.5</v>
      </c>
      <c r="O28" s="92">
        <v>451.9</v>
      </c>
      <c r="P28" s="92">
        <v>277.89999999999998</v>
      </c>
      <c r="Q28" s="92">
        <v>549</v>
      </c>
      <c r="R28" s="92">
        <v>603.9</v>
      </c>
      <c r="S28" s="92">
        <v>1239.5999999999999</v>
      </c>
      <c r="T28" s="92">
        <v>1889.4</v>
      </c>
      <c r="U28" s="92">
        <v>2053.4</v>
      </c>
      <c r="V28" s="92">
        <v>51068.800000000003</v>
      </c>
      <c r="W28" s="92">
        <v>501.7</v>
      </c>
      <c r="X28" s="92">
        <v>200.9</v>
      </c>
      <c r="Y28" s="92">
        <v>283.10000000000002</v>
      </c>
      <c r="Z28" s="92">
        <v>172.9</v>
      </c>
      <c r="AA28" s="92">
        <v>1309</v>
      </c>
      <c r="AB28" s="92">
        <v>513.70000000000005</v>
      </c>
      <c r="AC28" s="92">
        <v>3596.8</v>
      </c>
      <c r="AD28" s="92">
        <v>18.899999999999999</v>
      </c>
      <c r="AE28" s="92">
        <v>12.6</v>
      </c>
      <c r="AF28" s="92">
        <v>951.7</v>
      </c>
      <c r="AG28" s="92">
        <v>487.1</v>
      </c>
      <c r="AH28" s="92">
        <v>162</v>
      </c>
      <c r="AI28" s="92">
        <v>97.8</v>
      </c>
      <c r="AJ28" s="92">
        <v>119.4</v>
      </c>
      <c r="AK28" s="92">
        <v>56</v>
      </c>
      <c r="AL28" s="92">
        <v>114</v>
      </c>
      <c r="AM28" s="92">
        <v>52.3</v>
      </c>
      <c r="AN28" s="92">
        <v>1509.3</v>
      </c>
      <c r="AO28" s="92">
        <v>382.9</v>
      </c>
      <c r="AP28" s="92">
        <v>484.5</v>
      </c>
      <c r="AQ28" s="92">
        <v>147.5</v>
      </c>
      <c r="AR28" s="92">
        <v>368.1</v>
      </c>
      <c r="AS28" s="92">
        <v>132.30000000000001</v>
      </c>
      <c r="AT28" s="92">
        <v>4825.3999999999996</v>
      </c>
      <c r="AU28" s="92">
        <v>0</v>
      </c>
      <c r="AV28" s="92">
        <v>25898.2</v>
      </c>
      <c r="AW28" s="92">
        <v>17.2</v>
      </c>
      <c r="AX28" s="92">
        <v>9.5</v>
      </c>
      <c r="AY28" s="92">
        <v>18961.3</v>
      </c>
      <c r="AZ28" s="92">
        <v>911.3</v>
      </c>
      <c r="BA28" s="92">
        <v>29.1</v>
      </c>
      <c r="BB28" s="92">
        <v>34.299999999999997</v>
      </c>
      <c r="BC28" s="92">
        <v>58274.7</v>
      </c>
      <c r="BD28" s="92">
        <v>-13256.1</v>
      </c>
    </row>
    <row r="29" spans="1:56" x14ac:dyDescent="0.3">
      <c r="A29" s="82" t="s">
        <v>108</v>
      </c>
      <c r="B29" s="81" t="s">
        <v>7</v>
      </c>
      <c r="C29" s="91">
        <v>13.6</v>
      </c>
      <c r="D29" s="91">
        <v>279</v>
      </c>
      <c r="E29" s="91">
        <v>3.5</v>
      </c>
      <c r="F29" s="91">
        <v>51.2</v>
      </c>
      <c r="G29" s="91">
        <v>0</v>
      </c>
      <c r="H29" s="91">
        <v>234.6</v>
      </c>
      <c r="I29" s="91">
        <v>635.29999999999995</v>
      </c>
      <c r="J29" s="91">
        <v>30.8</v>
      </c>
      <c r="K29" s="91">
        <v>70.599999999999994</v>
      </c>
      <c r="L29" s="91">
        <v>87.6</v>
      </c>
      <c r="M29" s="91">
        <v>159.80000000000001</v>
      </c>
      <c r="N29" s="91">
        <v>46.6</v>
      </c>
      <c r="O29" s="91">
        <v>197.2</v>
      </c>
      <c r="P29" s="91">
        <v>78.5</v>
      </c>
      <c r="Q29" s="91">
        <v>240.3</v>
      </c>
      <c r="R29" s="91">
        <v>497.6</v>
      </c>
      <c r="S29" s="91">
        <v>445.8</v>
      </c>
      <c r="T29" s="91">
        <v>250.3</v>
      </c>
      <c r="U29" s="91">
        <v>639.4</v>
      </c>
      <c r="V29" s="91">
        <v>375.7</v>
      </c>
      <c r="W29" s="91">
        <v>3853</v>
      </c>
      <c r="X29" s="91">
        <v>122.8</v>
      </c>
      <c r="Y29" s="91">
        <v>52.6</v>
      </c>
      <c r="Z29" s="91">
        <v>16.5</v>
      </c>
      <c r="AA29" s="91">
        <v>483.8</v>
      </c>
      <c r="AB29" s="91">
        <v>72.400000000000006</v>
      </c>
      <c r="AC29" s="91">
        <v>427.2</v>
      </c>
      <c r="AD29" s="91">
        <v>1200.5999999999999</v>
      </c>
      <c r="AE29" s="91">
        <v>1576.6</v>
      </c>
      <c r="AF29" s="91">
        <v>54.2</v>
      </c>
      <c r="AG29" s="91">
        <v>12.4</v>
      </c>
      <c r="AH29" s="91">
        <v>31.3</v>
      </c>
      <c r="AI29" s="91">
        <v>9.4</v>
      </c>
      <c r="AJ29" s="91">
        <v>11.2</v>
      </c>
      <c r="AK29" s="91">
        <v>6</v>
      </c>
      <c r="AL29" s="91">
        <v>19.899999999999999</v>
      </c>
      <c r="AM29" s="91">
        <v>5.5</v>
      </c>
      <c r="AN29" s="91">
        <v>217</v>
      </c>
      <c r="AO29" s="91">
        <v>104.3</v>
      </c>
      <c r="AP29" s="91">
        <v>2830.2</v>
      </c>
      <c r="AQ29" s="91">
        <v>41.1</v>
      </c>
      <c r="AR29" s="91">
        <v>161.6</v>
      </c>
      <c r="AS29" s="91">
        <v>13.9</v>
      </c>
      <c r="AT29" s="91">
        <v>59.5</v>
      </c>
      <c r="AU29" s="91">
        <v>0</v>
      </c>
      <c r="AV29" s="91">
        <v>577.29999999999995</v>
      </c>
      <c r="AW29" s="91">
        <v>0.8</v>
      </c>
      <c r="AX29" s="91">
        <v>0.5</v>
      </c>
      <c r="AY29" s="91">
        <v>14085</v>
      </c>
      <c r="AZ29" s="91">
        <v>280.7</v>
      </c>
      <c r="BA29" s="91">
        <v>0.4</v>
      </c>
      <c r="BB29" s="91">
        <v>0.2</v>
      </c>
      <c r="BC29" s="91">
        <v>18291.5</v>
      </c>
      <c r="BD29" s="91">
        <v>-7978.8</v>
      </c>
    </row>
    <row r="30" spans="1:56" ht="31.5" x14ac:dyDescent="0.3">
      <c r="A30" s="82" t="s">
        <v>582</v>
      </c>
      <c r="B30" s="81" t="s">
        <v>7</v>
      </c>
      <c r="C30" s="92">
        <v>54.2</v>
      </c>
      <c r="D30" s="92">
        <v>33.6</v>
      </c>
      <c r="E30" s="92">
        <v>4.4000000000000004</v>
      </c>
      <c r="F30" s="92">
        <v>29.1</v>
      </c>
      <c r="G30" s="92">
        <v>0.2</v>
      </c>
      <c r="H30" s="92">
        <v>1184.5</v>
      </c>
      <c r="I30" s="92">
        <v>3478.1</v>
      </c>
      <c r="J30" s="92">
        <v>139.30000000000001</v>
      </c>
      <c r="K30" s="92">
        <v>349.9</v>
      </c>
      <c r="L30" s="92">
        <v>201</v>
      </c>
      <c r="M30" s="92">
        <v>715</v>
      </c>
      <c r="N30" s="92">
        <v>215.6</v>
      </c>
      <c r="O30" s="92">
        <v>872.6</v>
      </c>
      <c r="P30" s="92">
        <v>308.2</v>
      </c>
      <c r="Q30" s="92">
        <v>1032.5</v>
      </c>
      <c r="R30" s="92">
        <v>1144</v>
      </c>
      <c r="S30" s="92">
        <v>1970.5</v>
      </c>
      <c r="T30" s="92">
        <v>865.1</v>
      </c>
      <c r="U30" s="92">
        <v>1595</v>
      </c>
      <c r="V30" s="92">
        <v>923.2</v>
      </c>
      <c r="W30" s="92">
        <v>1080.9000000000001</v>
      </c>
      <c r="X30" s="92">
        <v>1127.4000000000001</v>
      </c>
      <c r="Y30" s="92">
        <v>133.4</v>
      </c>
      <c r="Z30" s="92">
        <v>76.3</v>
      </c>
      <c r="AA30" s="92">
        <v>1911.7</v>
      </c>
      <c r="AB30" s="92">
        <v>710.2</v>
      </c>
      <c r="AC30" s="92">
        <v>57.3</v>
      </c>
      <c r="AD30" s="92">
        <v>9.9</v>
      </c>
      <c r="AE30" s="92">
        <v>5.6</v>
      </c>
      <c r="AF30" s="92">
        <v>116.5</v>
      </c>
      <c r="AG30" s="92">
        <v>35.1</v>
      </c>
      <c r="AH30" s="92">
        <v>1014.6</v>
      </c>
      <c r="AI30" s="92">
        <v>194.8</v>
      </c>
      <c r="AJ30" s="92">
        <v>79.3</v>
      </c>
      <c r="AK30" s="92">
        <v>103</v>
      </c>
      <c r="AL30" s="92">
        <v>372.8</v>
      </c>
      <c r="AM30" s="92">
        <v>493.4</v>
      </c>
      <c r="AN30" s="92">
        <v>1166.7</v>
      </c>
      <c r="AO30" s="92">
        <v>524.79999999999995</v>
      </c>
      <c r="AP30" s="92">
        <v>683.4</v>
      </c>
      <c r="AQ30" s="92">
        <v>1832.8</v>
      </c>
      <c r="AR30" s="92">
        <v>1168</v>
      </c>
      <c r="AS30" s="92">
        <v>689.3</v>
      </c>
      <c r="AT30" s="92">
        <v>294.2</v>
      </c>
      <c r="AU30" s="92">
        <v>0</v>
      </c>
      <c r="AV30" s="92">
        <v>7461.6</v>
      </c>
      <c r="AW30" s="92">
        <v>20.5</v>
      </c>
      <c r="AX30" s="92">
        <v>3.5</v>
      </c>
      <c r="AY30" s="92">
        <v>2808.9</v>
      </c>
      <c r="AZ30" s="92">
        <v>17.899999999999999</v>
      </c>
      <c r="BA30" s="92">
        <v>163</v>
      </c>
      <c r="BB30" s="92">
        <v>103.1</v>
      </c>
      <c r="BC30" s="92">
        <v>2407.5</v>
      </c>
      <c r="BD30" s="92">
        <v>-13313.6</v>
      </c>
    </row>
    <row r="31" spans="1:56" ht="21" x14ac:dyDescent="0.3">
      <c r="A31" s="82" t="s">
        <v>583</v>
      </c>
      <c r="B31" s="81" t="s">
        <v>7</v>
      </c>
      <c r="C31" s="91">
        <v>498</v>
      </c>
      <c r="D31" s="91">
        <v>114.8</v>
      </c>
      <c r="E31" s="91">
        <v>3.1</v>
      </c>
      <c r="F31" s="91">
        <v>77.900000000000006</v>
      </c>
      <c r="G31" s="91">
        <v>0.4</v>
      </c>
      <c r="H31" s="91">
        <v>931.4</v>
      </c>
      <c r="I31" s="91">
        <v>647</v>
      </c>
      <c r="J31" s="91">
        <v>123.5</v>
      </c>
      <c r="K31" s="91">
        <v>927.4</v>
      </c>
      <c r="L31" s="91">
        <v>2847.8</v>
      </c>
      <c r="M31" s="91">
        <v>3655.7</v>
      </c>
      <c r="N31" s="91">
        <v>146.30000000000001</v>
      </c>
      <c r="O31" s="91">
        <v>1066.0999999999999</v>
      </c>
      <c r="P31" s="91">
        <v>1187.5</v>
      </c>
      <c r="Q31" s="91">
        <v>6033.9</v>
      </c>
      <c r="R31" s="91">
        <v>1319.2</v>
      </c>
      <c r="S31" s="91">
        <v>2168.1</v>
      </c>
      <c r="T31" s="91">
        <v>643.29999999999995</v>
      </c>
      <c r="U31" s="91">
        <v>874.4</v>
      </c>
      <c r="V31" s="91">
        <v>921.8</v>
      </c>
      <c r="W31" s="91">
        <v>223.8</v>
      </c>
      <c r="X31" s="91">
        <v>205.7</v>
      </c>
      <c r="Y31" s="91">
        <v>12953.5</v>
      </c>
      <c r="Z31" s="91">
        <v>747.9</v>
      </c>
      <c r="AA31" s="91">
        <v>741.1</v>
      </c>
      <c r="AB31" s="91">
        <v>3334</v>
      </c>
      <c r="AC31" s="91">
        <v>877.8</v>
      </c>
      <c r="AD31" s="91">
        <v>25.9</v>
      </c>
      <c r="AE31" s="91">
        <v>18.600000000000001</v>
      </c>
      <c r="AF31" s="91">
        <v>788.7</v>
      </c>
      <c r="AG31" s="91">
        <v>30.1</v>
      </c>
      <c r="AH31" s="91">
        <v>1915.7</v>
      </c>
      <c r="AI31" s="91">
        <v>304.3</v>
      </c>
      <c r="AJ31" s="91">
        <v>467.7</v>
      </c>
      <c r="AK31" s="91">
        <v>181.9</v>
      </c>
      <c r="AL31" s="91">
        <v>880.6</v>
      </c>
      <c r="AM31" s="91">
        <v>899.3</v>
      </c>
      <c r="AN31" s="91">
        <v>8518.6</v>
      </c>
      <c r="AO31" s="91">
        <v>393.8</v>
      </c>
      <c r="AP31" s="91">
        <v>1263.2</v>
      </c>
      <c r="AQ31" s="91">
        <v>2643.7</v>
      </c>
      <c r="AR31" s="91">
        <v>2792.7</v>
      </c>
      <c r="AS31" s="91">
        <v>850.3</v>
      </c>
      <c r="AT31" s="91">
        <v>553.79999999999995</v>
      </c>
      <c r="AU31" s="91">
        <v>0</v>
      </c>
      <c r="AV31" s="91">
        <v>12687</v>
      </c>
      <c r="AW31" s="91">
        <v>49.4</v>
      </c>
      <c r="AX31" s="91">
        <v>1.2</v>
      </c>
      <c r="AY31" s="91">
        <v>161.1</v>
      </c>
      <c r="AZ31" s="91">
        <v>0.6</v>
      </c>
      <c r="BA31" s="91">
        <v>3.9</v>
      </c>
      <c r="BB31" s="91">
        <v>2.8</v>
      </c>
      <c r="BC31" s="91">
        <v>4.2</v>
      </c>
      <c r="BD31" s="91">
        <v>-191.4</v>
      </c>
    </row>
    <row r="32" spans="1:56" ht="31.5" x14ac:dyDescent="0.3">
      <c r="A32" s="82" t="s">
        <v>584</v>
      </c>
      <c r="B32" s="81" t="s">
        <v>7</v>
      </c>
      <c r="C32" s="92">
        <v>61.1</v>
      </c>
      <c r="D32" s="92">
        <v>22.9</v>
      </c>
      <c r="E32" s="92">
        <v>0.2</v>
      </c>
      <c r="F32" s="92">
        <v>11.7</v>
      </c>
      <c r="G32" s="92">
        <v>0.1</v>
      </c>
      <c r="H32" s="92">
        <v>300.89999999999998</v>
      </c>
      <c r="I32" s="92">
        <v>148.5</v>
      </c>
      <c r="J32" s="92">
        <v>18.3</v>
      </c>
      <c r="K32" s="92">
        <v>303</v>
      </c>
      <c r="L32" s="92">
        <v>124.9</v>
      </c>
      <c r="M32" s="92">
        <v>596.5</v>
      </c>
      <c r="N32" s="92">
        <v>27.9</v>
      </c>
      <c r="O32" s="92">
        <v>633.4</v>
      </c>
      <c r="P32" s="92">
        <v>248.9</v>
      </c>
      <c r="Q32" s="92">
        <v>2120.6</v>
      </c>
      <c r="R32" s="92">
        <v>357.3</v>
      </c>
      <c r="S32" s="92">
        <v>93</v>
      </c>
      <c r="T32" s="92">
        <v>103.9</v>
      </c>
      <c r="U32" s="92">
        <v>331.2</v>
      </c>
      <c r="V32" s="92">
        <v>105.1</v>
      </c>
      <c r="W32" s="92">
        <v>27</v>
      </c>
      <c r="X32" s="92">
        <v>49.3</v>
      </c>
      <c r="Y32" s="92">
        <v>188.7</v>
      </c>
      <c r="Z32" s="92">
        <v>553.20000000000005</v>
      </c>
      <c r="AA32" s="92">
        <v>156.80000000000001</v>
      </c>
      <c r="AB32" s="92">
        <v>176.2</v>
      </c>
      <c r="AC32" s="92">
        <v>151.6</v>
      </c>
      <c r="AD32" s="92">
        <v>4.3</v>
      </c>
      <c r="AE32" s="92">
        <v>1</v>
      </c>
      <c r="AF32" s="92">
        <v>118.9</v>
      </c>
      <c r="AG32" s="92">
        <v>3.2</v>
      </c>
      <c r="AH32" s="92">
        <v>1463.5</v>
      </c>
      <c r="AI32" s="92">
        <v>73.900000000000006</v>
      </c>
      <c r="AJ32" s="92">
        <v>79</v>
      </c>
      <c r="AK32" s="92">
        <v>26.8</v>
      </c>
      <c r="AL32" s="92">
        <v>218</v>
      </c>
      <c r="AM32" s="92">
        <v>562.1</v>
      </c>
      <c r="AN32" s="92">
        <v>503.3</v>
      </c>
      <c r="AO32" s="92">
        <v>188</v>
      </c>
      <c r="AP32" s="92">
        <v>414.2</v>
      </c>
      <c r="AQ32" s="92">
        <v>536</v>
      </c>
      <c r="AR32" s="92">
        <v>1325.7</v>
      </c>
      <c r="AS32" s="92">
        <v>178.5</v>
      </c>
      <c r="AT32" s="92">
        <v>254.9</v>
      </c>
      <c r="AU32" s="92">
        <v>0</v>
      </c>
      <c r="AV32" s="92">
        <v>3534.8</v>
      </c>
      <c r="AW32" s="92">
        <v>383.7</v>
      </c>
      <c r="AX32" s="92">
        <v>878.9</v>
      </c>
      <c r="AY32" s="92">
        <v>15.3</v>
      </c>
      <c r="AZ32" s="92">
        <v>0.7</v>
      </c>
      <c r="BA32" s="92">
        <v>1.5</v>
      </c>
      <c r="BB32" s="92">
        <v>0.2</v>
      </c>
      <c r="BC32" s="92">
        <v>11</v>
      </c>
      <c r="BD32" s="92">
        <v>-68</v>
      </c>
    </row>
    <row r="33" spans="1:56" x14ac:dyDescent="0.3">
      <c r="A33" s="82" t="s">
        <v>111</v>
      </c>
      <c r="B33" s="81" t="s">
        <v>7</v>
      </c>
      <c r="C33" s="91">
        <v>63.3</v>
      </c>
      <c r="D33" s="91">
        <v>17.100000000000001</v>
      </c>
      <c r="E33" s="91">
        <v>0.9</v>
      </c>
      <c r="F33" s="91">
        <v>17</v>
      </c>
      <c r="G33" s="91">
        <v>0.4</v>
      </c>
      <c r="H33" s="91">
        <v>118.6</v>
      </c>
      <c r="I33" s="91">
        <v>89.5</v>
      </c>
      <c r="J33" s="91">
        <v>11.8</v>
      </c>
      <c r="K33" s="91">
        <v>40.200000000000003</v>
      </c>
      <c r="L33" s="91">
        <v>155.9</v>
      </c>
      <c r="M33" s="91">
        <v>147</v>
      </c>
      <c r="N33" s="91">
        <v>19.899999999999999</v>
      </c>
      <c r="O33" s="91">
        <v>119.3</v>
      </c>
      <c r="P33" s="91">
        <v>62.9</v>
      </c>
      <c r="Q33" s="91">
        <v>242.2</v>
      </c>
      <c r="R33" s="91">
        <v>156.69999999999999</v>
      </c>
      <c r="S33" s="91">
        <v>171.4</v>
      </c>
      <c r="T33" s="91">
        <v>138.6</v>
      </c>
      <c r="U33" s="91">
        <v>142.1</v>
      </c>
      <c r="V33" s="91">
        <v>119.5</v>
      </c>
      <c r="W33" s="91">
        <v>57.1</v>
      </c>
      <c r="X33" s="91">
        <v>35.9</v>
      </c>
      <c r="Y33" s="91">
        <v>660.7</v>
      </c>
      <c r="Z33" s="91">
        <v>41.3</v>
      </c>
      <c r="AA33" s="91">
        <v>348.5</v>
      </c>
      <c r="AB33" s="91">
        <v>903.1</v>
      </c>
      <c r="AC33" s="91">
        <v>109.4</v>
      </c>
      <c r="AD33" s="91">
        <v>37.4</v>
      </c>
      <c r="AE33" s="91">
        <v>18.3</v>
      </c>
      <c r="AF33" s="91">
        <v>133.6</v>
      </c>
      <c r="AG33" s="91">
        <v>17.5</v>
      </c>
      <c r="AH33" s="91">
        <v>419.4</v>
      </c>
      <c r="AI33" s="91">
        <v>118.3</v>
      </c>
      <c r="AJ33" s="91">
        <v>154</v>
      </c>
      <c r="AK33" s="91">
        <v>69.599999999999994</v>
      </c>
      <c r="AL33" s="91">
        <v>254.7</v>
      </c>
      <c r="AM33" s="91">
        <v>8643</v>
      </c>
      <c r="AN33" s="91">
        <v>722.8</v>
      </c>
      <c r="AO33" s="91">
        <v>205.5</v>
      </c>
      <c r="AP33" s="91">
        <v>894.5</v>
      </c>
      <c r="AQ33" s="91">
        <v>265.60000000000002</v>
      </c>
      <c r="AR33" s="91">
        <v>207.1</v>
      </c>
      <c r="AS33" s="91">
        <v>131.4</v>
      </c>
      <c r="AT33" s="91">
        <v>99.4</v>
      </c>
      <c r="AU33" s="91">
        <v>0</v>
      </c>
      <c r="AV33" s="91">
        <v>326.7</v>
      </c>
      <c r="AW33" s="91">
        <v>119.1</v>
      </c>
      <c r="AX33" s="91">
        <v>4.0999999999999996</v>
      </c>
      <c r="AY33" s="91">
        <v>203790.7</v>
      </c>
      <c r="AZ33" s="91">
        <v>2.1</v>
      </c>
      <c r="BA33" s="91">
        <v>21.3</v>
      </c>
      <c r="BB33" s="91">
        <v>8</v>
      </c>
      <c r="BC33" s="91">
        <v>121.1</v>
      </c>
      <c r="BD33" s="91">
        <v>-462.1</v>
      </c>
    </row>
    <row r="34" spans="1:56" ht="21" x14ac:dyDescent="0.3">
      <c r="A34" s="82" t="s">
        <v>112</v>
      </c>
      <c r="B34" s="81" t="s">
        <v>7</v>
      </c>
      <c r="C34" s="92">
        <v>3840.7</v>
      </c>
      <c r="D34" s="92">
        <v>517.6</v>
      </c>
      <c r="E34" s="92">
        <v>5.7</v>
      </c>
      <c r="F34" s="92">
        <v>99.1</v>
      </c>
      <c r="G34" s="92">
        <v>0.9</v>
      </c>
      <c r="H34" s="92">
        <v>18426.2</v>
      </c>
      <c r="I34" s="92">
        <v>8519.6</v>
      </c>
      <c r="J34" s="92">
        <v>697.3</v>
      </c>
      <c r="K34" s="92">
        <v>3016</v>
      </c>
      <c r="L34" s="92">
        <v>8745.7000000000007</v>
      </c>
      <c r="M34" s="92">
        <v>13602.8</v>
      </c>
      <c r="N34" s="92">
        <v>3697.6</v>
      </c>
      <c r="O34" s="92">
        <v>6290.2</v>
      </c>
      <c r="P34" s="92">
        <v>1874</v>
      </c>
      <c r="Q34" s="92">
        <v>6039.3</v>
      </c>
      <c r="R34" s="92">
        <v>4804.3999999999996</v>
      </c>
      <c r="S34" s="92">
        <v>21596</v>
      </c>
      <c r="T34" s="92">
        <v>6954.1</v>
      </c>
      <c r="U34" s="92">
        <v>8145.4</v>
      </c>
      <c r="V34" s="92">
        <v>12549.9</v>
      </c>
      <c r="W34" s="92">
        <v>2532.5</v>
      </c>
      <c r="X34" s="92">
        <v>3468.9</v>
      </c>
      <c r="Y34" s="92">
        <v>3386.4</v>
      </c>
      <c r="Z34" s="92">
        <v>441.8</v>
      </c>
      <c r="AA34" s="92">
        <v>11558.2</v>
      </c>
      <c r="AB34" s="92">
        <v>19221.3</v>
      </c>
      <c r="AC34" s="92">
        <v>2346.6</v>
      </c>
      <c r="AD34" s="92">
        <v>787</v>
      </c>
      <c r="AE34" s="92">
        <v>962.5</v>
      </c>
      <c r="AF34" s="92">
        <v>1313.6</v>
      </c>
      <c r="AG34" s="92">
        <v>315.3</v>
      </c>
      <c r="AH34" s="92">
        <v>16842</v>
      </c>
      <c r="AI34" s="92">
        <v>1271.8</v>
      </c>
      <c r="AJ34" s="92">
        <v>5872.1</v>
      </c>
      <c r="AK34" s="92">
        <v>669.4</v>
      </c>
      <c r="AL34" s="92">
        <v>1593.9</v>
      </c>
      <c r="AM34" s="92">
        <v>814.7</v>
      </c>
      <c r="AN34" s="92">
        <v>7599.3</v>
      </c>
      <c r="AO34" s="92">
        <v>1445</v>
      </c>
      <c r="AP34" s="92">
        <v>2380.6999999999998</v>
      </c>
      <c r="AQ34" s="92">
        <v>2738.3</v>
      </c>
      <c r="AR34" s="92">
        <v>10273</v>
      </c>
      <c r="AS34" s="92">
        <v>1517.4</v>
      </c>
      <c r="AT34" s="92">
        <v>2411.1999999999998</v>
      </c>
      <c r="AU34" s="92">
        <v>0</v>
      </c>
      <c r="AV34" s="92">
        <v>55346.400000000001</v>
      </c>
      <c r="AW34" s="92">
        <v>354.1</v>
      </c>
      <c r="AX34" s="92">
        <v>1151.4000000000001</v>
      </c>
      <c r="AY34" s="92">
        <v>47209.8</v>
      </c>
      <c r="AZ34" s="92">
        <v>1452.3</v>
      </c>
      <c r="BA34" s="92">
        <v>566.20000000000005</v>
      </c>
      <c r="BB34" s="92">
        <v>306.10000000000002</v>
      </c>
      <c r="BC34" s="92">
        <v>49982.400000000001</v>
      </c>
      <c r="BD34" s="92">
        <v>-62253.2</v>
      </c>
    </row>
    <row r="35" spans="1:56" ht="21" x14ac:dyDescent="0.3">
      <c r="A35" s="82" t="s">
        <v>585</v>
      </c>
      <c r="B35" s="81" t="s">
        <v>7</v>
      </c>
      <c r="C35" s="91">
        <v>213.3</v>
      </c>
      <c r="D35" s="91">
        <v>55.3</v>
      </c>
      <c r="E35" s="91">
        <v>8.6</v>
      </c>
      <c r="F35" s="91">
        <v>333.4</v>
      </c>
      <c r="G35" s="91">
        <v>0.6</v>
      </c>
      <c r="H35" s="91">
        <v>2029.4</v>
      </c>
      <c r="I35" s="91">
        <v>921.3</v>
      </c>
      <c r="J35" s="91">
        <v>188.9</v>
      </c>
      <c r="K35" s="91">
        <v>948.2</v>
      </c>
      <c r="L35" s="91">
        <v>1994.9</v>
      </c>
      <c r="M35" s="91">
        <v>2565.1</v>
      </c>
      <c r="N35" s="91">
        <v>336.1</v>
      </c>
      <c r="O35" s="91">
        <v>1217.3</v>
      </c>
      <c r="P35" s="91">
        <v>2317.1</v>
      </c>
      <c r="Q35" s="91">
        <v>2560.6</v>
      </c>
      <c r="R35" s="91">
        <v>1293.9000000000001</v>
      </c>
      <c r="S35" s="91">
        <v>2247.8000000000002</v>
      </c>
      <c r="T35" s="91">
        <v>999.3</v>
      </c>
      <c r="U35" s="91">
        <v>1544.5</v>
      </c>
      <c r="V35" s="91">
        <v>1952.6</v>
      </c>
      <c r="W35" s="91">
        <v>456.8</v>
      </c>
      <c r="X35" s="91">
        <v>348.3</v>
      </c>
      <c r="Y35" s="91">
        <v>1153.0999999999999</v>
      </c>
      <c r="Z35" s="91">
        <v>499.2</v>
      </c>
      <c r="AA35" s="91">
        <v>1557.7</v>
      </c>
      <c r="AB35" s="91">
        <v>5524.8</v>
      </c>
      <c r="AC35" s="91">
        <v>434.7</v>
      </c>
      <c r="AD35" s="91">
        <v>204.2</v>
      </c>
      <c r="AE35" s="91">
        <v>109.8</v>
      </c>
      <c r="AF35" s="91">
        <v>239.6</v>
      </c>
      <c r="AG35" s="91">
        <v>23.7</v>
      </c>
      <c r="AH35" s="91">
        <v>505.1</v>
      </c>
      <c r="AI35" s="91">
        <v>391.2</v>
      </c>
      <c r="AJ35" s="91">
        <v>58.3</v>
      </c>
      <c r="AK35" s="91">
        <v>262</v>
      </c>
      <c r="AL35" s="91">
        <v>506.1</v>
      </c>
      <c r="AM35" s="91">
        <v>213.1</v>
      </c>
      <c r="AN35" s="91">
        <v>1812.6</v>
      </c>
      <c r="AO35" s="91">
        <v>678.6</v>
      </c>
      <c r="AP35" s="91">
        <v>1570.3</v>
      </c>
      <c r="AQ35" s="91">
        <v>361.4</v>
      </c>
      <c r="AR35" s="91">
        <v>464.5</v>
      </c>
      <c r="AS35" s="91">
        <v>137</v>
      </c>
      <c r="AT35" s="91">
        <v>338.3</v>
      </c>
      <c r="AU35" s="91">
        <v>0</v>
      </c>
      <c r="AV35" s="91">
        <v>16892.2</v>
      </c>
      <c r="AW35" s="91">
        <v>54.2</v>
      </c>
      <c r="AX35" s="91">
        <v>23.1</v>
      </c>
      <c r="AY35" s="91">
        <v>1149.5999999999999</v>
      </c>
      <c r="AZ35" s="91">
        <v>962.3</v>
      </c>
      <c r="BA35" s="91">
        <v>863.3</v>
      </c>
      <c r="BB35" s="91">
        <v>451.2</v>
      </c>
      <c r="BC35" s="91">
        <v>3100.2</v>
      </c>
      <c r="BD35" s="91">
        <v>-13431.5</v>
      </c>
    </row>
    <row r="36" spans="1:56" x14ac:dyDescent="0.3">
      <c r="A36" s="82" t="s">
        <v>586</v>
      </c>
      <c r="B36" s="81" t="s">
        <v>7</v>
      </c>
      <c r="C36" s="92">
        <v>25.9</v>
      </c>
      <c r="D36" s="92">
        <v>18.7</v>
      </c>
      <c r="E36" s="92">
        <v>0.3</v>
      </c>
      <c r="F36" s="92">
        <v>7.6</v>
      </c>
      <c r="G36" s="92">
        <v>0</v>
      </c>
      <c r="H36" s="92">
        <v>159.5</v>
      </c>
      <c r="I36" s="92">
        <v>53.8</v>
      </c>
      <c r="J36" s="92">
        <v>11.3</v>
      </c>
      <c r="K36" s="92">
        <v>38.1</v>
      </c>
      <c r="L36" s="92">
        <v>452.5</v>
      </c>
      <c r="M36" s="92">
        <v>192.7</v>
      </c>
      <c r="N36" s="92">
        <v>10</v>
      </c>
      <c r="O36" s="92">
        <v>72.2</v>
      </c>
      <c r="P36" s="92">
        <v>127.5</v>
      </c>
      <c r="Q36" s="92">
        <v>367</v>
      </c>
      <c r="R36" s="92">
        <v>82.4</v>
      </c>
      <c r="S36" s="92">
        <v>169.7</v>
      </c>
      <c r="T36" s="92">
        <v>100.6</v>
      </c>
      <c r="U36" s="92">
        <v>109.5</v>
      </c>
      <c r="V36" s="92">
        <v>128.30000000000001</v>
      </c>
      <c r="W36" s="92">
        <v>55.8</v>
      </c>
      <c r="X36" s="92">
        <v>27</v>
      </c>
      <c r="Y36" s="92">
        <v>103.7</v>
      </c>
      <c r="Z36" s="92">
        <v>14.6</v>
      </c>
      <c r="AA36" s="92">
        <v>80.7</v>
      </c>
      <c r="AB36" s="92">
        <v>270.8</v>
      </c>
      <c r="AC36" s="92">
        <v>53.9</v>
      </c>
      <c r="AD36" s="92">
        <v>2030.3</v>
      </c>
      <c r="AE36" s="92">
        <v>15.5</v>
      </c>
      <c r="AF36" s="92">
        <v>33.299999999999997</v>
      </c>
      <c r="AG36" s="92">
        <v>4.5999999999999996</v>
      </c>
      <c r="AH36" s="92">
        <v>32.799999999999997</v>
      </c>
      <c r="AI36" s="92">
        <v>4.8</v>
      </c>
      <c r="AJ36" s="92">
        <v>2.5</v>
      </c>
      <c r="AK36" s="92">
        <v>3.6</v>
      </c>
      <c r="AL36" s="92">
        <v>6</v>
      </c>
      <c r="AM36" s="92">
        <v>4.2</v>
      </c>
      <c r="AN36" s="92">
        <v>33.6</v>
      </c>
      <c r="AO36" s="92">
        <v>14.6</v>
      </c>
      <c r="AP36" s="92">
        <v>36.299999999999997</v>
      </c>
      <c r="AQ36" s="92">
        <v>8.5</v>
      </c>
      <c r="AR36" s="92">
        <v>28</v>
      </c>
      <c r="AS36" s="92">
        <v>4.5</v>
      </c>
      <c r="AT36" s="92">
        <v>10.1</v>
      </c>
      <c r="AU36" s="92">
        <v>0</v>
      </c>
      <c r="AV36" s="92">
        <v>586.6</v>
      </c>
      <c r="AW36" s="92">
        <v>0.9</v>
      </c>
      <c r="AX36" s="92">
        <v>5.6</v>
      </c>
      <c r="AY36" s="92">
        <v>97.6</v>
      </c>
      <c r="AZ36" s="92">
        <v>793.6</v>
      </c>
      <c r="BA36" s="92">
        <v>187.5</v>
      </c>
      <c r="BB36" s="92">
        <v>71.8</v>
      </c>
      <c r="BC36" s="92">
        <v>16880.599999999999</v>
      </c>
      <c r="BD36" s="92">
        <v>-5346.4</v>
      </c>
    </row>
    <row r="37" spans="1:56" x14ac:dyDescent="0.3">
      <c r="A37" s="82" t="s">
        <v>587</v>
      </c>
      <c r="B37" s="81" t="s">
        <v>7</v>
      </c>
      <c r="C37" s="91">
        <v>24.6</v>
      </c>
      <c r="D37" s="91">
        <v>8.5</v>
      </c>
      <c r="E37" s="91">
        <v>0.1</v>
      </c>
      <c r="F37" s="91">
        <v>1.6</v>
      </c>
      <c r="G37" s="91">
        <v>0</v>
      </c>
      <c r="H37" s="91">
        <v>157.30000000000001</v>
      </c>
      <c r="I37" s="91">
        <v>111.3</v>
      </c>
      <c r="J37" s="91">
        <v>12.3</v>
      </c>
      <c r="K37" s="91">
        <v>24</v>
      </c>
      <c r="L37" s="91">
        <v>206.9</v>
      </c>
      <c r="M37" s="91">
        <v>187.6</v>
      </c>
      <c r="N37" s="91">
        <v>272.60000000000002</v>
      </c>
      <c r="O37" s="91">
        <v>113.9</v>
      </c>
      <c r="P37" s="91">
        <v>81.599999999999994</v>
      </c>
      <c r="Q37" s="91">
        <v>215.2</v>
      </c>
      <c r="R37" s="91">
        <v>129.4</v>
      </c>
      <c r="S37" s="91">
        <v>715.2</v>
      </c>
      <c r="T37" s="91">
        <v>355.4</v>
      </c>
      <c r="U37" s="91">
        <v>380.1</v>
      </c>
      <c r="V37" s="91">
        <v>201</v>
      </c>
      <c r="W37" s="91">
        <v>77.8</v>
      </c>
      <c r="X37" s="91">
        <v>48.8</v>
      </c>
      <c r="Y37" s="91">
        <v>166.9</v>
      </c>
      <c r="Z37" s="91">
        <v>4.3</v>
      </c>
      <c r="AA37" s="91">
        <v>119.9</v>
      </c>
      <c r="AB37" s="91">
        <v>2758.8</v>
      </c>
      <c r="AC37" s="91">
        <v>49.4</v>
      </c>
      <c r="AD37" s="91">
        <v>11.9</v>
      </c>
      <c r="AE37" s="91">
        <v>29.7</v>
      </c>
      <c r="AF37" s="91">
        <v>133</v>
      </c>
      <c r="AG37" s="91">
        <v>176.4</v>
      </c>
      <c r="AH37" s="91">
        <v>163.1</v>
      </c>
      <c r="AI37" s="91">
        <v>394.5</v>
      </c>
      <c r="AJ37" s="91">
        <v>62.2</v>
      </c>
      <c r="AK37" s="91">
        <v>297</v>
      </c>
      <c r="AL37" s="91">
        <v>128.6</v>
      </c>
      <c r="AM37" s="91">
        <v>28.1</v>
      </c>
      <c r="AN37" s="91">
        <v>627.6</v>
      </c>
      <c r="AO37" s="91">
        <v>76.7</v>
      </c>
      <c r="AP37" s="91">
        <v>217.1</v>
      </c>
      <c r="AQ37" s="91">
        <v>41.2</v>
      </c>
      <c r="AR37" s="91">
        <v>93.8</v>
      </c>
      <c r="AS37" s="91">
        <v>46.4</v>
      </c>
      <c r="AT37" s="91">
        <v>120.6</v>
      </c>
      <c r="AU37" s="91">
        <v>0</v>
      </c>
      <c r="AV37" s="91">
        <v>2274.6999999999998</v>
      </c>
      <c r="AW37" s="91">
        <v>11.8</v>
      </c>
      <c r="AX37" s="91">
        <v>4.3</v>
      </c>
      <c r="AY37" s="91">
        <v>119.6</v>
      </c>
      <c r="AZ37" s="91">
        <v>330.4</v>
      </c>
      <c r="BA37" s="91">
        <v>567.70000000000005</v>
      </c>
      <c r="BB37" s="91">
        <v>329</v>
      </c>
      <c r="BC37" s="91">
        <v>7971.3</v>
      </c>
      <c r="BD37" s="91">
        <v>-2730.2</v>
      </c>
    </row>
    <row r="38" spans="1:56" ht="21" x14ac:dyDescent="0.3">
      <c r="A38" s="82" t="s">
        <v>588</v>
      </c>
      <c r="B38" s="81" t="s">
        <v>7</v>
      </c>
      <c r="C38" s="92">
        <v>210.6</v>
      </c>
      <c r="D38" s="92">
        <v>258.5</v>
      </c>
      <c r="E38" s="92">
        <v>2.4</v>
      </c>
      <c r="F38" s="92">
        <v>139.4</v>
      </c>
      <c r="G38" s="92">
        <v>0.2</v>
      </c>
      <c r="H38" s="92">
        <v>1381.9</v>
      </c>
      <c r="I38" s="92">
        <v>371</v>
      </c>
      <c r="J38" s="92">
        <v>66</v>
      </c>
      <c r="K38" s="92">
        <v>268.5</v>
      </c>
      <c r="L38" s="92">
        <v>486.8</v>
      </c>
      <c r="M38" s="92">
        <v>1203.8</v>
      </c>
      <c r="N38" s="92">
        <v>154.30000000000001</v>
      </c>
      <c r="O38" s="92">
        <v>532.20000000000005</v>
      </c>
      <c r="P38" s="92">
        <v>834.9</v>
      </c>
      <c r="Q38" s="92">
        <v>1272.0999999999999</v>
      </c>
      <c r="R38" s="92">
        <v>558.79999999999995</v>
      </c>
      <c r="S38" s="92">
        <v>976.9</v>
      </c>
      <c r="T38" s="92">
        <v>435.2</v>
      </c>
      <c r="U38" s="92">
        <v>643.20000000000005</v>
      </c>
      <c r="V38" s="92">
        <v>797.5</v>
      </c>
      <c r="W38" s="92">
        <v>156.9</v>
      </c>
      <c r="X38" s="92">
        <v>153.19999999999999</v>
      </c>
      <c r="Y38" s="92">
        <v>182.2</v>
      </c>
      <c r="Z38" s="92">
        <v>233.4</v>
      </c>
      <c r="AA38" s="92">
        <v>539.4</v>
      </c>
      <c r="AB38" s="92">
        <v>12788.7</v>
      </c>
      <c r="AC38" s="92">
        <v>3498.4</v>
      </c>
      <c r="AD38" s="92">
        <v>5221.3999999999996</v>
      </c>
      <c r="AE38" s="92">
        <v>1310.0999999999999</v>
      </c>
      <c r="AF38" s="92">
        <v>1434.8</v>
      </c>
      <c r="AG38" s="92">
        <v>194.2</v>
      </c>
      <c r="AH38" s="92">
        <v>183.5</v>
      </c>
      <c r="AI38" s="92">
        <v>99.7</v>
      </c>
      <c r="AJ38" s="92">
        <v>13.9</v>
      </c>
      <c r="AK38" s="92">
        <v>30.4</v>
      </c>
      <c r="AL38" s="92">
        <v>78.5</v>
      </c>
      <c r="AM38" s="92">
        <v>47.4</v>
      </c>
      <c r="AN38" s="92">
        <v>653.6</v>
      </c>
      <c r="AO38" s="92">
        <v>385.7</v>
      </c>
      <c r="AP38" s="92">
        <v>62.6</v>
      </c>
      <c r="AQ38" s="92">
        <v>53.8</v>
      </c>
      <c r="AR38" s="92">
        <v>96</v>
      </c>
      <c r="AS38" s="92">
        <v>43.3</v>
      </c>
      <c r="AT38" s="92">
        <v>94.8</v>
      </c>
      <c r="AU38" s="92">
        <v>0</v>
      </c>
      <c r="AV38" s="92">
        <v>2499.9</v>
      </c>
      <c r="AW38" s="92">
        <v>28.8</v>
      </c>
      <c r="AX38" s="92">
        <v>4.0999999999999996</v>
      </c>
      <c r="AY38" s="92">
        <v>320.8</v>
      </c>
      <c r="AZ38" s="92">
        <v>22.3</v>
      </c>
      <c r="BA38" s="92">
        <v>34.799999999999997</v>
      </c>
      <c r="BB38" s="92">
        <v>3.6</v>
      </c>
      <c r="BC38" s="92">
        <v>2981</v>
      </c>
      <c r="BD38" s="92">
        <v>-8841.7999999999993</v>
      </c>
    </row>
    <row r="39" spans="1:56" x14ac:dyDescent="0.3">
      <c r="A39" s="82" t="s">
        <v>589</v>
      </c>
      <c r="B39" s="81" t="s">
        <v>7</v>
      </c>
      <c r="C39" s="91">
        <v>48.7</v>
      </c>
      <c r="D39" s="91">
        <v>5.0999999999999996</v>
      </c>
      <c r="E39" s="91">
        <v>0.1</v>
      </c>
      <c r="F39" s="91">
        <v>1.3</v>
      </c>
      <c r="G39" s="91">
        <v>0</v>
      </c>
      <c r="H39" s="91">
        <v>27.3</v>
      </c>
      <c r="I39" s="91">
        <v>18.2</v>
      </c>
      <c r="J39" s="91">
        <v>4</v>
      </c>
      <c r="K39" s="91">
        <v>9.1</v>
      </c>
      <c r="L39" s="91">
        <v>21</v>
      </c>
      <c r="M39" s="91">
        <v>36.1</v>
      </c>
      <c r="N39" s="91">
        <v>19.899999999999999</v>
      </c>
      <c r="O39" s="91">
        <v>24.1</v>
      </c>
      <c r="P39" s="91">
        <v>23.6</v>
      </c>
      <c r="Q39" s="91">
        <v>53</v>
      </c>
      <c r="R39" s="91">
        <v>31.7</v>
      </c>
      <c r="S39" s="91">
        <v>94.4</v>
      </c>
      <c r="T39" s="91">
        <v>26.6</v>
      </c>
      <c r="U39" s="91">
        <v>32.1</v>
      </c>
      <c r="V39" s="91">
        <v>82.7</v>
      </c>
      <c r="W39" s="91">
        <v>16.7</v>
      </c>
      <c r="X39" s="91">
        <v>14.7</v>
      </c>
      <c r="Y39" s="91">
        <v>12.7</v>
      </c>
      <c r="Z39" s="91">
        <v>243.7</v>
      </c>
      <c r="AA39" s="91">
        <v>210.2</v>
      </c>
      <c r="AB39" s="91">
        <v>5246.2</v>
      </c>
      <c r="AC39" s="91">
        <v>18.100000000000001</v>
      </c>
      <c r="AD39" s="91">
        <v>5.4</v>
      </c>
      <c r="AE39" s="91">
        <v>0.8</v>
      </c>
      <c r="AF39" s="91">
        <v>638</v>
      </c>
      <c r="AG39" s="91">
        <v>576.6</v>
      </c>
      <c r="AH39" s="91">
        <v>134.19999999999999</v>
      </c>
      <c r="AI39" s="91">
        <v>30</v>
      </c>
      <c r="AJ39" s="91">
        <v>8.5</v>
      </c>
      <c r="AK39" s="91">
        <v>33.1</v>
      </c>
      <c r="AL39" s="91">
        <v>57</v>
      </c>
      <c r="AM39" s="91">
        <v>18</v>
      </c>
      <c r="AN39" s="91">
        <v>310</v>
      </c>
      <c r="AO39" s="91">
        <v>339</v>
      </c>
      <c r="AP39" s="91">
        <v>530.6</v>
      </c>
      <c r="AQ39" s="91">
        <v>77.7</v>
      </c>
      <c r="AR39" s="91">
        <v>156.30000000000001</v>
      </c>
      <c r="AS39" s="91">
        <v>40.5</v>
      </c>
      <c r="AT39" s="91">
        <v>62.6</v>
      </c>
      <c r="AU39" s="91">
        <v>0</v>
      </c>
      <c r="AV39" s="91">
        <v>291.8</v>
      </c>
      <c r="AW39" s="91">
        <v>7.1</v>
      </c>
      <c r="AX39" s="91">
        <v>0.2</v>
      </c>
      <c r="AY39" s="91">
        <v>9.1999999999999993</v>
      </c>
      <c r="AZ39" s="91">
        <v>2.1</v>
      </c>
      <c r="BA39" s="91">
        <v>22</v>
      </c>
      <c r="BB39" s="91">
        <v>7.2</v>
      </c>
      <c r="BC39" s="91">
        <v>362</v>
      </c>
      <c r="BD39" s="91">
        <v>-1809.8</v>
      </c>
    </row>
    <row r="40" spans="1:56" ht="21" x14ac:dyDescent="0.3">
      <c r="A40" s="82" t="s">
        <v>590</v>
      </c>
      <c r="B40" s="81" t="s">
        <v>7</v>
      </c>
      <c r="C40" s="92">
        <v>265.89999999999998</v>
      </c>
      <c r="D40" s="92">
        <v>133.6</v>
      </c>
      <c r="E40" s="92">
        <v>1.9</v>
      </c>
      <c r="F40" s="92">
        <v>75.5</v>
      </c>
      <c r="G40" s="92">
        <v>0.1</v>
      </c>
      <c r="H40" s="92">
        <v>419.1</v>
      </c>
      <c r="I40" s="92">
        <v>409</v>
      </c>
      <c r="J40" s="92">
        <v>79</v>
      </c>
      <c r="K40" s="92">
        <v>326</v>
      </c>
      <c r="L40" s="92">
        <v>477.5</v>
      </c>
      <c r="M40" s="92">
        <v>871.7</v>
      </c>
      <c r="N40" s="92">
        <v>148.5</v>
      </c>
      <c r="O40" s="92">
        <v>464.4</v>
      </c>
      <c r="P40" s="92">
        <v>325.5</v>
      </c>
      <c r="Q40" s="92">
        <v>891.1</v>
      </c>
      <c r="R40" s="92">
        <v>766.9</v>
      </c>
      <c r="S40" s="92">
        <v>847.1</v>
      </c>
      <c r="T40" s="92">
        <v>462.2</v>
      </c>
      <c r="U40" s="92">
        <v>821.7</v>
      </c>
      <c r="V40" s="92">
        <v>661.2</v>
      </c>
      <c r="W40" s="92">
        <v>178</v>
      </c>
      <c r="X40" s="92">
        <v>273.10000000000002</v>
      </c>
      <c r="Y40" s="92">
        <v>417</v>
      </c>
      <c r="Z40" s="92">
        <v>280.3</v>
      </c>
      <c r="AA40" s="92">
        <v>844.4</v>
      </c>
      <c r="AB40" s="92">
        <v>12443.1</v>
      </c>
      <c r="AC40" s="92">
        <v>330.5</v>
      </c>
      <c r="AD40" s="92">
        <v>115.3</v>
      </c>
      <c r="AE40" s="92">
        <v>347.9</v>
      </c>
      <c r="AF40" s="92">
        <v>807.3</v>
      </c>
      <c r="AG40" s="92">
        <v>81.2</v>
      </c>
      <c r="AH40" s="92">
        <v>1124.5999999999999</v>
      </c>
      <c r="AI40" s="92">
        <v>814.2</v>
      </c>
      <c r="AJ40" s="92">
        <v>395.2</v>
      </c>
      <c r="AK40" s="92">
        <v>469</v>
      </c>
      <c r="AL40" s="92">
        <v>3134.4</v>
      </c>
      <c r="AM40" s="92">
        <v>718.2</v>
      </c>
      <c r="AN40" s="92">
        <v>6204.3</v>
      </c>
      <c r="AO40" s="92">
        <v>2064.6999999999998</v>
      </c>
      <c r="AP40" s="92">
        <v>2179.3000000000002</v>
      </c>
      <c r="AQ40" s="92">
        <v>5908.4</v>
      </c>
      <c r="AR40" s="92">
        <v>4319</v>
      </c>
      <c r="AS40" s="92">
        <v>1160.0999999999999</v>
      </c>
      <c r="AT40" s="92">
        <v>2388.1999999999998</v>
      </c>
      <c r="AU40" s="92">
        <v>0</v>
      </c>
      <c r="AV40" s="92">
        <v>63416</v>
      </c>
      <c r="AW40" s="92">
        <v>270.10000000000002</v>
      </c>
      <c r="AX40" s="92">
        <v>2369.1999999999998</v>
      </c>
      <c r="AY40" s="92">
        <v>33.200000000000003</v>
      </c>
      <c r="AZ40" s="92">
        <v>0.5</v>
      </c>
      <c r="BA40" s="92">
        <v>4093.3</v>
      </c>
      <c r="BB40" s="92">
        <v>2270.6</v>
      </c>
      <c r="BC40" s="92">
        <v>10</v>
      </c>
      <c r="BD40" s="92">
        <v>-4157.7</v>
      </c>
    </row>
    <row r="41" spans="1:56" ht="21" x14ac:dyDescent="0.3">
      <c r="A41" s="82" t="s">
        <v>115</v>
      </c>
      <c r="B41" s="81" t="s">
        <v>7</v>
      </c>
      <c r="C41" s="91">
        <v>34.9</v>
      </c>
      <c r="D41" s="91">
        <v>8</v>
      </c>
      <c r="E41" s="91">
        <v>0.3</v>
      </c>
      <c r="F41" s="91">
        <v>8.8000000000000007</v>
      </c>
      <c r="G41" s="91">
        <v>0.1</v>
      </c>
      <c r="H41" s="91">
        <v>72.7</v>
      </c>
      <c r="I41" s="91">
        <v>43.5</v>
      </c>
      <c r="J41" s="91">
        <v>6.7</v>
      </c>
      <c r="K41" s="91">
        <v>55.5</v>
      </c>
      <c r="L41" s="91">
        <v>178.8</v>
      </c>
      <c r="M41" s="91">
        <v>106.8</v>
      </c>
      <c r="N41" s="91">
        <v>16.399999999999999</v>
      </c>
      <c r="O41" s="91">
        <v>78.900000000000006</v>
      </c>
      <c r="P41" s="91">
        <v>32</v>
      </c>
      <c r="Q41" s="91">
        <v>155.1</v>
      </c>
      <c r="R41" s="91">
        <v>102.4</v>
      </c>
      <c r="S41" s="91">
        <v>272.2</v>
      </c>
      <c r="T41" s="91">
        <v>84.4</v>
      </c>
      <c r="U41" s="91">
        <v>119.5</v>
      </c>
      <c r="V41" s="91">
        <v>116.2</v>
      </c>
      <c r="W41" s="91">
        <v>36.5</v>
      </c>
      <c r="X41" s="91">
        <v>30.7</v>
      </c>
      <c r="Y41" s="91">
        <v>70.5</v>
      </c>
      <c r="Z41" s="91">
        <v>57.4</v>
      </c>
      <c r="AA41" s="91">
        <v>209.4</v>
      </c>
      <c r="AB41" s="91">
        <v>3027.1</v>
      </c>
      <c r="AC41" s="91">
        <v>67.900000000000006</v>
      </c>
      <c r="AD41" s="91">
        <v>101.4</v>
      </c>
      <c r="AE41" s="91">
        <v>67.400000000000006</v>
      </c>
      <c r="AF41" s="91">
        <v>201.4</v>
      </c>
      <c r="AG41" s="91">
        <v>84.3</v>
      </c>
      <c r="AH41" s="91">
        <v>360.9</v>
      </c>
      <c r="AI41" s="91">
        <v>4209.8</v>
      </c>
      <c r="AJ41" s="91">
        <v>461.6</v>
      </c>
      <c r="AK41" s="91">
        <v>1661.4</v>
      </c>
      <c r="AL41" s="91">
        <v>1674.5</v>
      </c>
      <c r="AM41" s="91">
        <v>198.2</v>
      </c>
      <c r="AN41" s="91">
        <v>9658.1</v>
      </c>
      <c r="AO41" s="91">
        <v>398.7</v>
      </c>
      <c r="AP41" s="91">
        <v>1054.9000000000001</v>
      </c>
      <c r="AQ41" s="91">
        <v>1422.1</v>
      </c>
      <c r="AR41" s="91">
        <v>297.2</v>
      </c>
      <c r="AS41" s="91">
        <v>967.8</v>
      </c>
      <c r="AT41" s="91">
        <v>304.8</v>
      </c>
      <c r="AU41" s="91">
        <v>0</v>
      </c>
      <c r="AV41" s="91">
        <v>8471.2999999999993</v>
      </c>
      <c r="AW41" s="91">
        <v>357.5</v>
      </c>
      <c r="AX41" s="91">
        <v>19.7</v>
      </c>
      <c r="AY41" s="91">
        <v>7938.8</v>
      </c>
      <c r="AZ41" s="91">
        <v>1</v>
      </c>
      <c r="BA41" s="91">
        <v>56</v>
      </c>
      <c r="BB41" s="91">
        <v>26.7</v>
      </c>
      <c r="BC41" s="91">
        <v>5587.5</v>
      </c>
      <c r="BD41" s="91">
        <v>-4429.7</v>
      </c>
    </row>
    <row r="42" spans="1:56" x14ac:dyDescent="0.3">
      <c r="A42" s="82" t="s">
        <v>116</v>
      </c>
      <c r="B42" s="81" t="s">
        <v>7</v>
      </c>
      <c r="C42" s="92">
        <v>92.4</v>
      </c>
      <c r="D42" s="92">
        <v>20.9</v>
      </c>
      <c r="E42" s="92">
        <v>0.6</v>
      </c>
      <c r="F42" s="92">
        <v>8.1999999999999993</v>
      </c>
      <c r="G42" s="92">
        <v>0.1</v>
      </c>
      <c r="H42" s="92">
        <v>97.8</v>
      </c>
      <c r="I42" s="92">
        <v>71.3</v>
      </c>
      <c r="J42" s="92">
        <v>28.6</v>
      </c>
      <c r="K42" s="92">
        <v>68.400000000000006</v>
      </c>
      <c r="L42" s="92">
        <v>185</v>
      </c>
      <c r="M42" s="92">
        <v>150.9</v>
      </c>
      <c r="N42" s="92">
        <v>26.7</v>
      </c>
      <c r="O42" s="92">
        <v>95.3</v>
      </c>
      <c r="P42" s="92">
        <v>129.30000000000001</v>
      </c>
      <c r="Q42" s="92">
        <v>146</v>
      </c>
      <c r="R42" s="92">
        <v>181.1</v>
      </c>
      <c r="S42" s="92">
        <v>242</v>
      </c>
      <c r="T42" s="92">
        <v>145.1</v>
      </c>
      <c r="U42" s="92">
        <v>123.1</v>
      </c>
      <c r="V42" s="92">
        <v>127.6</v>
      </c>
      <c r="W42" s="92">
        <v>29</v>
      </c>
      <c r="X42" s="92">
        <v>58.1</v>
      </c>
      <c r="Y42" s="92">
        <v>77.3</v>
      </c>
      <c r="Z42" s="92">
        <v>72.5</v>
      </c>
      <c r="AA42" s="92">
        <v>225.2</v>
      </c>
      <c r="AB42" s="92">
        <v>8016.3</v>
      </c>
      <c r="AC42" s="92">
        <v>123.8</v>
      </c>
      <c r="AD42" s="92">
        <v>61.1</v>
      </c>
      <c r="AE42" s="92">
        <v>11.4</v>
      </c>
      <c r="AF42" s="92">
        <v>466</v>
      </c>
      <c r="AG42" s="92">
        <v>94.3</v>
      </c>
      <c r="AH42" s="92">
        <v>611.9</v>
      </c>
      <c r="AI42" s="92">
        <v>669.9</v>
      </c>
      <c r="AJ42" s="92">
        <v>2593.9</v>
      </c>
      <c r="AK42" s="92">
        <v>682.5</v>
      </c>
      <c r="AL42" s="92">
        <v>2851.2</v>
      </c>
      <c r="AM42" s="92">
        <v>244.8</v>
      </c>
      <c r="AN42" s="92">
        <v>3172.6</v>
      </c>
      <c r="AO42" s="92">
        <v>1144.5</v>
      </c>
      <c r="AP42" s="92">
        <v>879.3</v>
      </c>
      <c r="AQ42" s="92">
        <v>686.8</v>
      </c>
      <c r="AR42" s="92">
        <v>231.8</v>
      </c>
      <c r="AS42" s="92">
        <v>165.1</v>
      </c>
      <c r="AT42" s="92">
        <v>303.5</v>
      </c>
      <c r="AU42" s="92">
        <v>0</v>
      </c>
      <c r="AV42" s="92">
        <v>9654.6</v>
      </c>
      <c r="AW42" s="92">
        <v>44</v>
      </c>
      <c r="AX42" s="92">
        <v>1</v>
      </c>
      <c r="AY42" s="92">
        <v>173.8</v>
      </c>
      <c r="AZ42" s="92">
        <v>0.7</v>
      </c>
      <c r="BA42" s="92">
        <v>243</v>
      </c>
      <c r="BB42" s="92">
        <v>134.1</v>
      </c>
      <c r="BC42" s="92">
        <v>623.29999999999995</v>
      </c>
      <c r="BD42" s="92">
        <v>-1695.7</v>
      </c>
    </row>
    <row r="43" spans="1:56" ht="21" x14ac:dyDescent="0.3">
      <c r="A43" s="82" t="s">
        <v>117</v>
      </c>
      <c r="B43" s="81" t="s">
        <v>7</v>
      </c>
      <c r="C43" s="91">
        <v>22.2</v>
      </c>
      <c r="D43" s="91">
        <v>4.2</v>
      </c>
      <c r="E43" s="91">
        <v>0.4</v>
      </c>
      <c r="F43" s="91">
        <v>6.1</v>
      </c>
      <c r="G43" s="91">
        <v>0.1</v>
      </c>
      <c r="H43" s="91">
        <v>96.9</v>
      </c>
      <c r="I43" s="91">
        <v>47.9</v>
      </c>
      <c r="J43" s="91">
        <v>7</v>
      </c>
      <c r="K43" s="91">
        <v>63.6</v>
      </c>
      <c r="L43" s="91">
        <v>318.5</v>
      </c>
      <c r="M43" s="91">
        <v>144.6</v>
      </c>
      <c r="N43" s="91">
        <v>17.2</v>
      </c>
      <c r="O43" s="91">
        <v>116.1</v>
      </c>
      <c r="P43" s="91">
        <v>33.9</v>
      </c>
      <c r="Q43" s="91">
        <v>230.4</v>
      </c>
      <c r="R43" s="91">
        <v>127.7</v>
      </c>
      <c r="S43" s="91">
        <v>480.2</v>
      </c>
      <c r="T43" s="91">
        <v>93.1</v>
      </c>
      <c r="U43" s="91">
        <v>193.3</v>
      </c>
      <c r="V43" s="91">
        <v>206.6</v>
      </c>
      <c r="W43" s="91">
        <v>40.9</v>
      </c>
      <c r="X43" s="91">
        <v>29.3</v>
      </c>
      <c r="Y43" s="91">
        <v>101.6</v>
      </c>
      <c r="Z43" s="91">
        <v>73.8</v>
      </c>
      <c r="AA43" s="91">
        <v>193.2</v>
      </c>
      <c r="AB43" s="91">
        <v>1609.1</v>
      </c>
      <c r="AC43" s="91">
        <v>85.8</v>
      </c>
      <c r="AD43" s="91">
        <v>41.6</v>
      </c>
      <c r="AE43" s="91">
        <v>21.6</v>
      </c>
      <c r="AF43" s="91">
        <v>187</v>
      </c>
      <c r="AG43" s="91">
        <v>148.5</v>
      </c>
      <c r="AH43" s="91">
        <v>103.6</v>
      </c>
      <c r="AI43" s="91">
        <v>1978.6</v>
      </c>
      <c r="AJ43" s="91">
        <v>1036</v>
      </c>
      <c r="AK43" s="91">
        <v>3327.6</v>
      </c>
      <c r="AL43" s="91">
        <v>3463.9</v>
      </c>
      <c r="AM43" s="91">
        <v>162.5</v>
      </c>
      <c r="AN43" s="91">
        <v>5359.9</v>
      </c>
      <c r="AO43" s="91">
        <v>258.3</v>
      </c>
      <c r="AP43" s="91">
        <v>1323.3</v>
      </c>
      <c r="AQ43" s="91">
        <v>839</v>
      </c>
      <c r="AR43" s="91">
        <v>229.1</v>
      </c>
      <c r="AS43" s="91">
        <v>264.60000000000002</v>
      </c>
      <c r="AT43" s="91">
        <v>137.30000000000001</v>
      </c>
      <c r="AU43" s="91">
        <v>0</v>
      </c>
      <c r="AV43" s="91">
        <v>7445.4</v>
      </c>
      <c r="AW43" s="91">
        <v>43.7</v>
      </c>
      <c r="AX43" s="91">
        <v>12.9</v>
      </c>
      <c r="AY43" s="91">
        <v>18189.2</v>
      </c>
      <c r="AZ43" s="91">
        <v>2</v>
      </c>
      <c r="BA43" s="91">
        <v>9.5</v>
      </c>
      <c r="BB43" s="91">
        <v>1.2</v>
      </c>
      <c r="BC43" s="91">
        <v>6021.1</v>
      </c>
      <c r="BD43" s="91">
        <v>-10898</v>
      </c>
    </row>
    <row r="44" spans="1:56" ht="21" x14ac:dyDescent="0.3">
      <c r="A44" s="82" t="s">
        <v>118</v>
      </c>
      <c r="B44" s="81" t="s">
        <v>7</v>
      </c>
      <c r="C44" s="92">
        <v>968.8</v>
      </c>
      <c r="D44" s="92">
        <v>297.8</v>
      </c>
      <c r="E44" s="92">
        <v>6</v>
      </c>
      <c r="F44" s="92">
        <v>138.9</v>
      </c>
      <c r="G44" s="92">
        <v>0.7</v>
      </c>
      <c r="H44" s="92">
        <v>796</v>
      </c>
      <c r="I44" s="92">
        <v>597.1</v>
      </c>
      <c r="J44" s="92">
        <v>135.4</v>
      </c>
      <c r="K44" s="92">
        <v>469.9</v>
      </c>
      <c r="L44" s="92">
        <v>534.29999999999995</v>
      </c>
      <c r="M44" s="92">
        <v>1074.2</v>
      </c>
      <c r="N44" s="92">
        <v>265.3</v>
      </c>
      <c r="O44" s="92">
        <v>977</v>
      </c>
      <c r="P44" s="92">
        <v>503.7</v>
      </c>
      <c r="Q44" s="92">
        <v>1621.2</v>
      </c>
      <c r="R44" s="92">
        <v>1238</v>
      </c>
      <c r="S44" s="92">
        <v>1832.5</v>
      </c>
      <c r="T44" s="92">
        <v>915.7</v>
      </c>
      <c r="U44" s="92">
        <v>1748.5</v>
      </c>
      <c r="V44" s="92">
        <v>1451</v>
      </c>
      <c r="W44" s="92">
        <v>584.9</v>
      </c>
      <c r="X44" s="92">
        <v>253.8</v>
      </c>
      <c r="Y44" s="92">
        <v>1439.2</v>
      </c>
      <c r="Z44" s="92">
        <v>456.2</v>
      </c>
      <c r="AA44" s="92">
        <v>4524.3</v>
      </c>
      <c r="AB44" s="92">
        <v>9781</v>
      </c>
      <c r="AC44" s="92">
        <v>780.7</v>
      </c>
      <c r="AD44" s="92">
        <v>431.2</v>
      </c>
      <c r="AE44" s="92">
        <v>213.6</v>
      </c>
      <c r="AF44" s="92">
        <v>834.7</v>
      </c>
      <c r="AG44" s="92">
        <v>101</v>
      </c>
      <c r="AH44" s="92">
        <v>2099.9</v>
      </c>
      <c r="AI44" s="92">
        <v>676.1</v>
      </c>
      <c r="AJ44" s="92">
        <v>541.20000000000005</v>
      </c>
      <c r="AK44" s="92">
        <v>347.3</v>
      </c>
      <c r="AL44" s="92">
        <v>21127.8</v>
      </c>
      <c r="AM44" s="92">
        <v>20549.3</v>
      </c>
      <c r="AN44" s="92">
        <v>4100</v>
      </c>
      <c r="AO44" s="92">
        <v>699.1</v>
      </c>
      <c r="AP44" s="92">
        <v>4571.8999999999996</v>
      </c>
      <c r="AQ44" s="92">
        <v>1492.2</v>
      </c>
      <c r="AR44" s="92">
        <v>3240.6</v>
      </c>
      <c r="AS44" s="92">
        <v>486.2</v>
      </c>
      <c r="AT44" s="92">
        <v>1132</v>
      </c>
      <c r="AU44" s="92">
        <v>0</v>
      </c>
      <c r="AV44" s="92">
        <v>53458.8</v>
      </c>
      <c r="AW44" s="92">
        <v>606.1</v>
      </c>
      <c r="AX44" s="92">
        <v>2.4</v>
      </c>
      <c r="AY44" s="92">
        <v>161.9</v>
      </c>
      <c r="AZ44" s="92">
        <v>11.9</v>
      </c>
      <c r="BA44" s="92">
        <v>204.4</v>
      </c>
      <c r="BB44" s="92">
        <v>112.7</v>
      </c>
      <c r="BC44" s="92">
        <v>4356.8999999999996</v>
      </c>
      <c r="BD44" s="92">
        <v>-5634.6</v>
      </c>
    </row>
    <row r="45" spans="1:56" x14ac:dyDescent="0.3">
      <c r="A45" s="82" t="s">
        <v>119</v>
      </c>
      <c r="B45" s="81" t="s">
        <v>7</v>
      </c>
      <c r="C45" s="91">
        <v>25.8</v>
      </c>
      <c r="D45" s="91">
        <v>6.6</v>
      </c>
      <c r="E45" s="91">
        <v>0.3</v>
      </c>
      <c r="F45" s="91">
        <v>4.5999999999999996</v>
      </c>
      <c r="G45" s="91">
        <v>0.1</v>
      </c>
      <c r="H45" s="91">
        <v>164.8</v>
      </c>
      <c r="I45" s="91">
        <v>168.1</v>
      </c>
      <c r="J45" s="91">
        <v>21.4</v>
      </c>
      <c r="K45" s="91">
        <v>76.8</v>
      </c>
      <c r="L45" s="91">
        <v>156.19999999999999</v>
      </c>
      <c r="M45" s="91">
        <v>153.9</v>
      </c>
      <c r="N45" s="91">
        <v>37.799999999999997</v>
      </c>
      <c r="O45" s="91">
        <v>87.4</v>
      </c>
      <c r="P45" s="91">
        <v>55</v>
      </c>
      <c r="Q45" s="91">
        <v>255.2</v>
      </c>
      <c r="R45" s="91">
        <v>166.2</v>
      </c>
      <c r="S45" s="91">
        <v>288</v>
      </c>
      <c r="T45" s="91">
        <v>159.5</v>
      </c>
      <c r="U45" s="91">
        <v>116.6</v>
      </c>
      <c r="V45" s="91">
        <v>172.7</v>
      </c>
      <c r="W45" s="91">
        <v>38.799999999999997</v>
      </c>
      <c r="X45" s="91">
        <v>90.2</v>
      </c>
      <c r="Y45" s="91">
        <v>182</v>
      </c>
      <c r="Z45" s="91">
        <v>105.8</v>
      </c>
      <c r="AA45" s="91">
        <v>470.6</v>
      </c>
      <c r="AB45" s="91">
        <v>10132.700000000001</v>
      </c>
      <c r="AC45" s="91">
        <v>143.5</v>
      </c>
      <c r="AD45" s="91">
        <v>34.4</v>
      </c>
      <c r="AE45" s="91">
        <v>22.8</v>
      </c>
      <c r="AF45" s="91">
        <v>477.7</v>
      </c>
      <c r="AG45" s="91">
        <v>48.9</v>
      </c>
      <c r="AH45" s="91">
        <v>4946.1000000000004</v>
      </c>
      <c r="AI45" s="91">
        <v>321.89999999999998</v>
      </c>
      <c r="AJ45" s="91">
        <v>176.7</v>
      </c>
      <c r="AK45" s="91">
        <v>345.5</v>
      </c>
      <c r="AL45" s="91">
        <v>3331.5</v>
      </c>
      <c r="AM45" s="91">
        <v>2429.1999999999998</v>
      </c>
      <c r="AN45" s="91">
        <v>3158.9</v>
      </c>
      <c r="AO45" s="91">
        <v>685.2</v>
      </c>
      <c r="AP45" s="91">
        <v>952.3</v>
      </c>
      <c r="AQ45" s="91">
        <v>1246.5</v>
      </c>
      <c r="AR45" s="91">
        <v>2004.9</v>
      </c>
      <c r="AS45" s="91">
        <v>360.3</v>
      </c>
      <c r="AT45" s="91">
        <v>666.4</v>
      </c>
      <c r="AU45" s="91">
        <v>0</v>
      </c>
      <c r="AV45" s="91">
        <v>119387</v>
      </c>
      <c r="AW45" s="91">
        <v>411</v>
      </c>
      <c r="AX45" s="91">
        <v>2.8</v>
      </c>
      <c r="AY45" s="91">
        <v>11322.7</v>
      </c>
      <c r="AZ45" s="91">
        <v>0.4</v>
      </c>
      <c r="BA45" s="91">
        <v>748</v>
      </c>
      <c r="BB45" s="91">
        <v>207.4</v>
      </c>
      <c r="BC45" s="91">
        <v>139.5</v>
      </c>
      <c r="BD45" s="91">
        <v>-3070.5</v>
      </c>
    </row>
    <row r="46" spans="1:56" ht="21" x14ac:dyDescent="0.3">
      <c r="A46" s="82" t="s">
        <v>591</v>
      </c>
      <c r="B46" s="81" t="s">
        <v>7</v>
      </c>
      <c r="C46" s="92">
        <v>726.8</v>
      </c>
      <c r="D46" s="92">
        <v>105.7</v>
      </c>
      <c r="E46" s="92">
        <v>33.9</v>
      </c>
      <c r="F46" s="92">
        <v>129.30000000000001</v>
      </c>
      <c r="G46" s="92">
        <v>1.9</v>
      </c>
      <c r="H46" s="92">
        <v>3706.1</v>
      </c>
      <c r="I46" s="92">
        <v>1001.8</v>
      </c>
      <c r="J46" s="92">
        <v>162.30000000000001</v>
      </c>
      <c r="K46" s="92">
        <v>851</v>
      </c>
      <c r="L46" s="92">
        <v>6051.5</v>
      </c>
      <c r="M46" s="92">
        <v>8100.5</v>
      </c>
      <c r="N46" s="92">
        <v>1646.3</v>
      </c>
      <c r="O46" s="92">
        <v>2063.8000000000002</v>
      </c>
      <c r="P46" s="92">
        <v>1449.7</v>
      </c>
      <c r="Q46" s="92">
        <v>4987.8999999999996</v>
      </c>
      <c r="R46" s="92">
        <v>2218</v>
      </c>
      <c r="S46" s="92">
        <v>4604</v>
      </c>
      <c r="T46" s="92">
        <v>3090.6</v>
      </c>
      <c r="U46" s="92">
        <v>2881.1</v>
      </c>
      <c r="V46" s="92">
        <v>4811.7</v>
      </c>
      <c r="W46" s="92">
        <v>1198.4000000000001</v>
      </c>
      <c r="X46" s="92">
        <v>806.6</v>
      </c>
      <c r="Y46" s="92">
        <v>2543.1</v>
      </c>
      <c r="Z46" s="92">
        <v>670.8</v>
      </c>
      <c r="AA46" s="92">
        <v>15147.1</v>
      </c>
      <c r="AB46" s="92">
        <v>18916.599999999999</v>
      </c>
      <c r="AC46" s="92">
        <v>581.5</v>
      </c>
      <c r="AD46" s="92">
        <v>280.5</v>
      </c>
      <c r="AE46" s="92">
        <v>66.3</v>
      </c>
      <c r="AF46" s="92">
        <v>1998.6</v>
      </c>
      <c r="AG46" s="92">
        <v>224.3</v>
      </c>
      <c r="AH46" s="92">
        <v>2501</v>
      </c>
      <c r="AI46" s="92">
        <v>3775.7</v>
      </c>
      <c r="AJ46" s="92">
        <v>2283.9</v>
      </c>
      <c r="AK46" s="92">
        <v>1900.5</v>
      </c>
      <c r="AL46" s="92">
        <v>5284.4</v>
      </c>
      <c r="AM46" s="92">
        <v>844.7</v>
      </c>
      <c r="AN46" s="92">
        <v>11706.2</v>
      </c>
      <c r="AO46" s="92">
        <v>2949.4</v>
      </c>
      <c r="AP46" s="92">
        <v>2052.1</v>
      </c>
      <c r="AQ46" s="92">
        <v>2405.6</v>
      </c>
      <c r="AR46" s="92">
        <v>1214.8</v>
      </c>
      <c r="AS46" s="92">
        <v>769.6</v>
      </c>
      <c r="AT46" s="92">
        <v>547.70000000000005</v>
      </c>
      <c r="AU46" s="92">
        <v>0</v>
      </c>
      <c r="AV46" s="92">
        <v>3138.6</v>
      </c>
      <c r="AW46" s="92">
        <v>527.4</v>
      </c>
      <c r="AX46" s="92">
        <v>2789.2</v>
      </c>
      <c r="AY46" s="92">
        <v>64095.9</v>
      </c>
      <c r="AZ46" s="92">
        <v>-9</v>
      </c>
      <c r="BA46" s="92">
        <v>91.2</v>
      </c>
      <c r="BB46" s="92">
        <v>53.6</v>
      </c>
      <c r="BC46" s="92">
        <v>15181.8</v>
      </c>
      <c r="BD46" s="92">
        <v>-15617.1</v>
      </c>
    </row>
    <row r="47" spans="1:56" ht="21" x14ac:dyDescent="0.3">
      <c r="A47" s="82" t="s">
        <v>592</v>
      </c>
      <c r="B47" s="81" t="s">
        <v>7</v>
      </c>
      <c r="C47" s="91">
        <v>84.5</v>
      </c>
      <c r="D47" s="91">
        <v>87.7</v>
      </c>
      <c r="E47" s="91">
        <v>0.8</v>
      </c>
      <c r="F47" s="91">
        <v>132.69999999999999</v>
      </c>
      <c r="G47" s="91">
        <v>1.4</v>
      </c>
      <c r="H47" s="91">
        <v>409</v>
      </c>
      <c r="I47" s="91">
        <v>326.3</v>
      </c>
      <c r="J47" s="91">
        <v>48.8</v>
      </c>
      <c r="K47" s="91">
        <v>293.39999999999998</v>
      </c>
      <c r="L47" s="91">
        <v>828.9</v>
      </c>
      <c r="M47" s="91">
        <v>603.1</v>
      </c>
      <c r="N47" s="91">
        <v>92.8</v>
      </c>
      <c r="O47" s="91">
        <v>465.8</v>
      </c>
      <c r="P47" s="91">
        <v>262.3</v>
      </c>
      <c r="Q47" s="91">
        <v>1396.3</v>
      </c>
      <c r="R47" s="91">
        <v>709.5</v>
      </c>
      <c r="S47" s="91">
        <v>1192.5999999999999</v>
      </c>
      <c r="T47" s="91">
        <v>506.9</v>
      </c>
      <c r="U47" s="91">
        <v>494.9</v>
      </c>
      <c r="V47" s="91">
        <v>1093</v>
      </c>
      <c r="W47" s="91">
        <v>1223.9000000000001</v>
      </c>
      <c r="X47" s="91">
        <v>153</v>
      </c>
      <c r="Y47" s="91">
        <v>1124.2</v>
      </c>
      <c r="Z47" s="91">
        <v>315.10000000000002</v>
      </c>
      <c r="AA47" s="91">
        <v>6295.7</v>
      </c>
      <c r="AB47" s="91">
        <v>10460.4</v>
      </c>
      <c r="AC47" s="91">
        <v>648.29999999999995</v>
      </c>
      <c r="AD47" s="91">
        <v>2627</v>
      </c>
      <c r="AE47" s="91">
        <v>2734.5</v>
      </c>
      <c r="AF47" s="91">
        <v>2593.1</v>
      </c>
      <c r="AG47" s="91">
        <v>502.1</v>
      </c>
      <c r="AH47" s="91">
        <v>1100</v>
      </c>
      <c r="AI47" s="91">
        <v>1494.8</v>
      </c>
      <c r="AJ47" s="91">
        <v>1491.1</v>
      </c>
      <c r="AK47" s="91">
        <v>1040.8</v>
      </c>
      <c r="AL47" s="91">
        <v>6866.7</v>
      </c>
      <c r="AM47" s="91">
        <v>5275.7</v>
      </c>
      <c r="AN47" s="91">
        <v>6556.8</v>
      </c>
      <c r="AO47" s="91">
        <v>7135.4</v>
      </c>
      <c r="AP47" s="91">
        <v>3839.2</v>
      </c>
      <c r="AQ47" s="91">
        <v>1780.5</v>
      </c>
      <c r="AR47" s="91">
        <v>1411.2</v>
      </c>
      <c r="AS47" s="91">
        <v>1662.6</v>
      </c>
      <c r="AT47" s="91">
        <v>363.8</v>
      </c>
      <c r="AU47" s="91">
        <v>0</v>
      </c>
      <c r="AV47" s="91">
        <v>5647</v>
      </c>
      <c r="AW47" s="91">
        <v>419.1</v>
      </c>
      <c r="AX47" s="91">
        <v>3.6</v>
      </c>
      <c r="AY47" s="91">
        <v>97.7</v>
      </c>
      <c r="AZ47" s="91">
        <v>1.5</v>
      </c>
      <c r="BA47" s="91">
        <v>191.8</v>
      </c>
      <c r="BB47" s="91">
        <v>92.6</v>
      </c>
      <c r="BC47" s="91">
        <v>9162.4</v>
      </c>
      <c r="BD47" s="91">
        <v>-13111.6</v>
      </c>
    </row>
    <row r="48" spans="1:56" ht="21" x14ac:dyDescent="0.3">
      <c r="A48" s="82" t="s">
        <v>121</v>
      </c>
      <c r="B48" s="81" t="s">
        <v>7</v>
      </c>
      <c r="C48" s="92">
        <v>18.2</v>
      </c>
      <c r="D48" s="92">
        <v>70.5</v>
      </c>
      <c r="E48" s="92">
        <v>0.1</v>
      </c>
      <c r="F48" s="92">
        <v>1.3</v>
      </c>
      <c r="G48" s="92">
        <v>0</v>
      </c>
      <c r="H48" s="92">
        <v>93.9</v>
      </c>
      <c r="I48" s="92">
        <v>26.7</v>
      </c>
      <c r="J48" s="92">
        <v>4.0999999999999996</v>
      </c>
      <c r="K48" s="92">
        <v>25.4</v>
      </c>
      <c r="L48" s="92">
        <v>54.5</v>
      </c>
      <c r="M48" s="92">
        <v>49.8</v>
      </c>
      <c r="N48" s="92">
        <v>49.4</v>
      </c>
      <c r="O48" s="92">
        <v>22.4</v>
      </c>
      <c r="P48" s="92">
        <v>14</v>
      </c>
      <c r="Q48" s="92">
        <v>52.5</v>
      </c>
      <c r="R48" s="92">
        <v>22.5</v>
      </c>
      <c r="S48" s="92">
        <v>67.8</v>
      </c>
      <c r="T48" s="92">
        <v>33.700000000000003</v>
      </c>
      <c r="U48" s="92">
        <v>26.8</v>
      </c>
      <c r="V48" s="92">
        <v>20.100000000000001</v>
      </c>
      <c r="W48" s="92">
        <v>10.4</v>
      </c>
      <c r="X48" s="92">
        <v>51.5</v>
      </c>
      <c r="Y48" s="92">
        <v>77.2</v>
      </c>
      <c r="Z48" s="92">
        <v>20</v>
      </c>
      <c r="AA48" s="92">
        <v>42.7</v>
      </c>
      <c r="AB48" s="92">
        <v>258.2</v>
      </c>
      <c r="AC48" s="92">
        <v>27.2</v>
      </c>
      <c r="AD48" s="92">
        <v>33.700000000000003</v>
      </c>
      <c r="AE48" s="92">
        <v>408</v>
      </c>
      <c r="AF48" s="92">
        <v>16.399999999999999</v>
      </c>
      <c r="AG48" s="92">
        <v>3.1</v>
      </c>
      <c r="AH48" s="92">
        <v>72.7</v>
      </c>
      <c r="AI48" s="92">
        <v>35.9</v>
      </c>
      <c r="AJ48" s="92">
        <v>29.9</v>
      </c>
      <c r="AK48" s="92">
        <v>19.3</v>
      </c>
      <c r="AL48" s="92">
        <v>232.8</v>
      </c>
      <c r="AM48" s="92">
        <v>33</v>
      </c>
      <c r="AN48" s="92">
        <v>84.8</v>
      </c>
      <c r="AO48" s="92">
        <v>57.3</v>
      </c>
      <c r="AP48" s="92">
        <v>1341.8</v>
      </c>
      <c r="AQ48" s="92">
        <v>26</v>
      </c>
      <c r="AR48" s="92">
        <v>43.4</v>
      </c>
      <c r="AS48" s="92">
        <v>16.3</v>
      </c>
      <c r="AT48" s="92">
        <v>18.7</v>
      </c>
      <c r="AU48" s="92">
        <v>0</v>
      </c>
      <c r="AV48" s="92">
        <v>2489.6</v>
      </c>
      <c r="AW48" s="92">
        <v>964.4</v>
      </c>
      <c r="AX48" s="92">
        <v>136888.79999999999</v>
      </c>
      <c r="AY48" s="92">
        <v>230.8</v>
      </c>
      <c r="AZ48" s="92">
        <v>1.2</v>
      </c>
      <c r="BA48" s="92">
        <v>49.1</v>
      </c>
      <c r="BB48" s="92">
        <v>16.100000000000001</v>
      </c>
      <c r="BC48" s="92">
        <v>45.4</v>
      </c>
      <c r="BD48" s="92">
        <v>-595.79999999999995</v>
      </c>
    </row>
    <row r="49" spans="1:56" x14ac:dyDescent="0.3">
      <c r="A49" s="82" t="s">
        <v>122</v>
      </c>
      <c r="B49" s="81" t="s">
        <v>7</v>
      </c>
      <c r="C49" s="91">
        <v>14.7</v>
      </c>
      <c r="D49" s="91">
        <v>4.7</v>
      </c>
      <c r="E49" s="91">
        <v>0.1</v>
      </c>
      <c r="F49" s="91">
        <v>3.8</v>
      </c>
      <c r="G49" s="91">
        <v>0</v>
      </c>
      <c r="H49" s="91">
        <v>48.3</v>
      </c>
      <c r="I49" s="91">
        <v>31.4</v>
      </c>
      <c r="J49" s="91">
        <v>6.5</v>
      </c>
      <c r="K49" s="91">
        <v>25.1</v>
      </c>
      <c r="L49" s="91">
        <v>55</v>
      </c>
      <c r="M49" s="91">
        <v>84.8</v>
      </c>
      <c r="N49" s="91">
        <v>11.3</v>
      </c>
      <c r="O49" s="91">
        <v>53.4</v>
      </c>
      <c r="P49" s="91">
        <v>28.9</v>
      </c>
      <c r="Q49" s="91">
        <v>101.2</v>
      </c>
      <c r="R49" s="91">
        <v>86.4</v>
      </c>
      <c r="S49" s="91">
        <v>93.4</v>
      </c>
      <c r="T49" s="91">
        <v>62</v>
      </c>
      <c r="U49" s="91">
        <v>83.4</v>
      </c>
      <c r="V49" s="91">
        <v>61.2</v>
      </c>
      <c r="W49" s="91">
        <v>20.100000000000001</v>
      </c>
      <c r="X49" s="91">
        <v>28.1</v>
      </c>
      <c r="Y49" s="91">
        <v>45.3</v>
      </c>
      <c r="Z49" s="91">
        <v>19.600000000000001</v>
      </c>
      <c r="AA49" s="91">
        <v>82.7</v>
      </c>
      <c r="AB49" s="91">
        <v>1157.8</v>
      </c>
      <c r="AC49" s="91">
        <v>21.7</v>
      </c>
      <c r="AD49" s="91">
        <v>8.4</v>
      </c>
      <c r="AE49" s="91">
        <v>14.1</v>
      </c>
      <c r="AF49" s="91">
        <v>59</v>
      </c>
      <c r="AG49" s="91">
        <v>6.5</v>
      </c>
      <c r="AH49" s="91">
        <v>132.4</v>
      </c>
      <c r="AI49" s="91">
        <v>61</v>
      </c>
      <c r="AJ49" s="91">
        <v>45</v>
      </c>
      <c r="AK49" s="91">
        <v>37.6</v>
      </c>
      <c r="AL49" s="91">
        <v>343.6</v>
      </c>
      <c r="AM49" s="91">
        <v>81.7</v>
      </c>
      <c r="AN49" s="91">
        <v>471.6</v>
      </c>
      <c r="AO49" s="91">
        <v>122.2</v>
      </c>
      <c r="AP49" s="91">
        <v>95.9</v>
      </c>
      <c r="AQ49" s="91">
        <v>289</v>
      </c>
      <c r="AR49" s="91">
        <v>204</v>
      </c>
      <c r="AS49" s="91">
        <v>56.9</v>
      </c>
      <c r="AT49" s="91">
        <v>136.1</v>
      </c>
      <c r="AU49" s="91">
        <v>0</v>
      </c>
      <c r="AV49" s="91">
        <v>41584.5</v>
      </c>
      <c r="AW49" s="91">
        <v>4693.3999999999996</v>
      </c>
      <c r="AX49" s="91">
        <v>60007.4</v>
      </c>
      <c r="AY49" s="91">
        <v>469.2</v>
      </c>
      <c r="AZ49" s="91">
        <v>0.5</v>
      </c>
      <c r="BA49" s="91">
        <v>491.2</v>
      </c>
      <c r="BB49" s="91">
        <v>174</v>
      </c>
      <c r="BC49" s="91">
        <v>21.2</v>
      </c>
      <c r="BD49" s="91">
        <v>-1004.8</v>
      </c>
    </row>
    <row r="50" spans="1:56" ht="21" x14ac:dyDescent="0.3">
      <c r="A50" s="82" t="s">
        <v>593</v>
      </c>
      <c r="B50" s="81" t="s">
        <v>7</v>
      </c>
      <c r="C50" s="92">
        <v>67.5</v>
      </c>
      <c r="D50" s="92">
        <v>39.9</v>
      </c>
      <c r="E50" s="92">
        <v>0.4</v>
      </c>
      <c r="F50" s="92">
        <v>10.6</v>
      </c>
      <c r="G50" s="92">
        <v>0</v>
      </c>
      <c r="H50" s="92">
        <v>89.6</v>
      </c>
      <c r="I50" s="92">
        <v>49.2</v>
      </c>
      <c r="J50" s="92">
        <v>17.899999999999999</v>
      </c>
      <c r="K50" s="92">
        <v>40.9</v>
      </c>
      <c r="L50" s="92">
        <v>68.099999999999994</v>
      </c>
      <c r="M50" s="92">
        <v>100.6</v>
      </c>
      <c r="N50" s="92">
        <v>29.2</v>
      </c>
      <c r="O50" s="92">
        <v>88.1</v>
      </c>
      <c r="P50" s="92">
        <v>47.6</v>
      </c>
      <c r="Q50" s="92">
        <v>132.9</v>
      </c>
      <c r="R50" s="92">
        <v>142.6</v>
      </c>
      <c r="S50" s="92">
        <v>137.5</v>
      </c>
      <c r="T50" s="92">
        <v>90.5</v>
      </c>
      <c r="U50" s="92">
        <v>157.1</v>
      </c>
      <c r="V50" s="92">
        <v>160.1</v>
      </c>
      <c r="W50" s="92">
        <v>35</v>
      </c>
      <c r="X50" s="92">
        <v>38.299999999999997</v>
      </c>
      <c r="Y50" s="92">
        <v>77</v>
      </c>
      <c r="Z50" s="92">
        <v>57.3</v>
      </c>
      <c r="AA50" s="92">
        <v>352.1</v>
      </c>
      <c r="AB50" s="92">
        <v>1378.4</v>
      </c>
      <c r="AC50" s="92">
        <v>95.4</v>
      </c>
      <c r="AD50" s="92">
        <v>14.3</v>
      </c>
      <c r="AE50" s="92">
        <v>10.6</v>
      </c>
      <c r="AF50" s="92">
        <v>53.7</v>
      </c>
      <c r="AG50" s="92">
        <v>16.7</v>
      </c>
      <c r="AH50" s="92">
        <v>425</v>
      </c>
      <c r="AI50" s="92">
        <v>96.9</v>
      </c>
      <c r="AJ50" s="92">
        <v>40.299999999999997</v>
      </c>
      <c r="AK50" s="92">
        <v>61.3</v>
      </c>
      <c r="AL50" s="92">
        <v>418.6</v>
      </c>
      <c r="AM50" s="92">
        <v>91.9</v>
      </c>
      <c r="AN50" s="92">
        <v>582.5</v>
      </c>
      <c r="AO50" s="92">
        <v>195.1</v>
      </c>
      <c r="AP50" s="92">
        <v>117.6</v>
      </c>
      <c r="AQ50" s="92">
        <v>293.39999999999998</v>
      </c>
      <c r="AR50" s="92">
        <v>681.9</v>
      </c>
      <c r="AS50" s="92">
        <v>108.9</v>
      </c>
      <c r="AT50" s="92">
        <v>111.2</v>
      </c>
      <c r="AU50" s="92">
        <v>0</v>
      </c>
      <c r="AV50" s="92">
        <v>39060.800000000003</v>
      </c>
      <c r="AW50" s="92">
        <v>6629.3</v>
      </c>
      <c r="AX50" s="92">
        <v>86545</v>
      </c>
      <c r="AY50" s="92">
        <v>96.2</v>
      </c>
      <c r="AZ50" s="92">
        <v>0.8</v>
      </c>
      <c r="BA50" s="92">
        <v>205.8</v>
      </c>
      <c r="BB50" s="92">
        <v>104.3</v>
      </c>
      <c r="BC50" s="92">
        <v>7.2</v>
      </c>
      <c r="BD50" s="92">
        <v>-433</v>
      </c>
    </row>
    <row r="51" spans="1:56" ht="21" x14ac:dyDescent="0.3">
      <c r="A51" s="82" t="s">
        <v>594</v>
      </c>
      <c r="B51" s="81" t="s">
        <v>7</v>
      </c>
      <c r="C51" s="91">
        <v>31</v>
      </c>
      <c r="D51" s="91">
        <v>19.3</v>
      </c>
      <c r="E51" s="91">
        <v>0.3</v>
      </c>
      <c r="F51" s="91">
        <v>16.2</v>
      </c>
      <c r="G51" s="91">
        <v>0</v>
      </c>
      <c r="H51" s="91">
        <v>58.7</v>
      </c>
      <c r="I51" s="91">
        <v>46.1</v>
      </c>
      <c r="J51" s="91">
        <v>15.1</v>
      </c>
      <c r="K51" s="91">
        <v>37.5</v>
      </c>
      <c r="L51" s="91">
        <v>73.900000000000006</v>
      </c>
      <c r="M51" s="91">
        <v>86</v>
      </c>
      <c r="N51" s="91">
        <v>14.6</v>
      </c>
      <c r="O51" s="91">
        <v>71.7</v>
      </c>
      <c r="P51" s="91">
        <v>36.700000000000003</v>
      </c>
      <c r="Q51" s="91">
        <v>132.80000000000001</v>
      </c>
      <c r="R51" s="91">
        <v>114.6</v>
      </c>
      <c r="S51" s="91">
        <v>72.099999999999994</v>
      </c>
      <c r="T51" s="91">
        <v>58.6</v>
      </c>
      <c r="U51" s="91">
        <v>94.2</v>
      </c>
      <c r="V51" s="91">
        <v>56.9</v>
      </c>
      <c r="W51" s="91">
        <v>17.600000000000001</v>
      </c>
      <c r="X51" s="91">
        <v>27.5</v>
      </c>
      <c r="Y51" s="91">
        <v>46.8</v>
      </c>
      <c r="Z51" s="91">
        <v>35.9</v>
      </c>
      <c r="AA51" s="91">
        <v>186.4</v>
      </c>
      <c r="AB51" s="91">
        <v>388.2</v>
      </c>
      <c r="AC51" s="91">
        <v>40.1</v>
      </c>
      <c r="AD51" s="91">
        <v>23.9</v>
      </c>
      <c r="AE51" s="91">
        <v>29.1</v>
      </c>
      <c r="AF51" s="91">
        <v>123.9</v>
      </c>
      <c r="AG51" s="91">
        <v>16.2</v>
      </c>
      <c r="AH51" s="91">
        <v>136.5</v>
      </c>
      <c r="AI51" s="91">
        <v>839.1</v>
      </c>
      <c r="AJ51" s="91">
        <v>44.5</v>
      </c>
      <c r="AK51" s="91">
        <v>81.099999999999994</v>
      </c>
      <c r="AL51" s="91">
        <v>342.3</v>
      </c>
      <c r="AM51" s="91">
        <v>86.9</v>
      </c>
      <c r="AN51" s="91">
        <v>916.1</v>
      </c>
      <c r="AO51" s="91">
        <v>174.4</v>
      </c>
      <c r="AP51" s="91">
        <v>66.900000000000006</v>
      </c>
      <c r="AQ51" s="91">
        <v>453.5</v>
      </c>
      <c r="AR51" s="91">
        <v>142.1</v>
      </c>
      <c r="AS51" s="91">
        <v>390</v>
      </c>
      <c r="AT51" s="91">
        <v>172.9</v>
      </c>
      <c r="AU51" s="91">
        <v>0</v>
      </c>
      <c r="AV51" s="91">
        <v>20685.8</v>
      </c>
      <c r="AW51" s="91">
        <v>2641.2</v>
      </c>
      <c r="AX51" s="91">
        <v>1815.5</v>
      </c>
      <c r="AY51" s="91">
        <v>426.2</v>
      </c>
      <c r="AZ51" s="91">
        <v>0.6</v>
      </c>
      <c r="BA51" s="91">
        <v>437.1</v>
      </c>
      <c r="BB51" s="91">
        <v>225.1</v>
      </c>
      <c r="BC51" s="91">
        <v>435.3</v>
      </c>
      <c r="BD51" s="91">
        <v>-2304.6999999999998</v>
      </c>
    </row>
    <row r="52" spans="1:56" x14ac:dyDescent="0.3">
      <c r="A52" s="82" t="s">
        <v>595</v>
      </c>
      <c r="B52" s="81" t="s">
        <v>7</v>
      </c>
      <c r="C52" s="92">
        <v>38.5</v>
      </c>
      <c r="D52" s="92">
        <v>14.9</v>
      </c>
      <c r="E52" s="92">
        <v>0.3</v>
      </c>
      <c r="F52" s="92">
        <v>11.3</v>
      </c>
      <c r="G52" s="92">
        <v>0.1</v>
      </c>
      <c r="H52" s="92">
        <v>126.7</v>
      </c>
      <c r="I52" s="92">
        <v>55.1</v>
      </c>
      <c r="J52" s="92">
        <v>16.399999999999999</v>
      </c>
      <c r="K52" s="92">
        <v>42.9</v>
      </c>
      <c r="L52" s="92">
        <v>117.1</v>
      </c>
      <c r="M52" s="92">
        <v>113.4</v>
      </c>
      <c r="N52" s="92">
        <v>15.4</v>
      </c>
      <c r="O52" s="92">
        <v>87.5</v>
      </c>
      <c r="P52" s="92">
        <v>91.3</v>
      </c>
      <c r="Q52" s="92">
        <v>197.6</v>
      </c>
      <c r="R52" s="92">
        <v>211.9</v>
      </c>
      <c r="S52" s="92">
        <v>201.6</v>
      </c>
      <c r="T52" s="92">
        <v>131.9</v>
      </c>
      <c r="U52" s="92">
        <v>224</v>
      </c>
      <c r="V52" s="92">
        <v>99.8</v>
      </c>
      <c r="W52" s="92">
        <v>33.1</v>
      </c>
      <c r="X52" s="92">
        <v>102.6</v>
      </c>
      <c r="Y52" s="92">
        <v>24.4</v>
      </c>
      <c r="Z52" s="92">
        <v>104.9</v>
      </c>
      <c r="AA52" s="92">
        <v>355.9</v>
      </c>
      <c r="AB52" s="92">
        <v>1814.4</v>
      </c>
      <c r="AC52" s="92">
        <v>875.2</v>
      </c>
      <c r="AD52" s="92">
        <v>18.3</v>
      </c>
      <c r="AE52" s="92">
        <v>7.8</v>
      </c>
      <c r="AF52" s="92">
        <v>282.7</v>
      </c>
      <c r="AG52" s="92">
        <v>470.2</v>
      </c>
      <c r="AH52" s="92">
        <v>234.7</v>
      </c>
      <c r="AI52" s="92">
        <v>110.3</v>
      </c>
      <c r="AJ52" s="92">
        <v>185</v>
      </c>
      <c r="AK52" s="92">
        <v>69.400000000000006</v>
      </c>
      <c r="AL52" s="92">
        <v>383.4</v>
      </c>
      <c r="AM52" s="92">
        <v>248.9</v>
      </c>
      <c r="AN52" s="92">
        <v>783.3</v>
      </c>
      <c r="AO52" s="92">
        <v>504.6</v>
      </c>
      <c r="AP52" s="92">
        <v>255.4</v>
      </c>
      <c r="AQ52" s="92">
        <v>477.5</v>
      </c>
      <c r="AR52" s="92">
        <v>198.9</v>
      </c>
      <c r="AS52" s="92">
        <v>176.6</v>
      </c>
      <c r="AT52" s="92">
        <v>268.39999999999998</v>
      </c>
      <c r="AU52" s="92">
        <v>0</v>
      </c>
      <c r="AV52" s="92">
        <v>25061.4</v>
      </c>
      <c r="AW52" s="92">
        <v>8871.4</v>
      </c>
      <c r="AX52" s="92">
        <v>31.7</v>
      </c>
      <c r="AY52" s="92">
        <v>47.8</v>
      </c>
      <c r="AZ52" s="92">
        <v>0.5</v>
      </c>
      <c r="BA52" s="92">
        <v>248.9</v>
      </c>
      <c r="BB52" s="92">
        <v>115.8</v>
      </c>
      <c r="BC52" s="92">
        <v>11.5</v>
      </c>
      <c r="BD52" s="92">
        <v>-348.6</v>
      </c>
    </row>
    <row r="53" spans="1:56" ht="42" x14ac:dyDescent="0.3">
      <c r="A53" s="82" t="s">
        <v>596</v>
      </c>
      <c r="B53" s="81" t="s">
        <v>7</v>
      </c>
      <c r="C53" s="91">
        <v>0</v>
      </c>
      <c r="D53" s="91">
        <v>0</v>
      </c>
      <c r="E53" s="91">
        <v>0</v>
      </c>
      <c r="F53" s="91">
        <v>0</v>
      </c>
      <c r="G53" s="91">
        <v>0</v>
      </c>
      <c r="H53" s="91">
        <v>0</v>
      </c>
      <c r="I53" s="91">
        <v>0</v>
      </c>
      <c r="J53" s="91">
        <v>0</v>
      </c>
      <c r="K53" s="91">
        <v>0</v>
      </c>
      <c r="L53" s="91">
        <v>0</v>
      </c>
      <c r="M53" s="91">
        <v>0</v>
      </c>
      <c r="N53" s="91">
        <v>0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1">
        <v>0</v>
      </c>
      <c r="V53" s="91">
        <v>0</v>
      </c>
      <c r="W53" s="91">
        <v>0</v>
      </c>
      <c r="X53" s="91">
        <v>0</v>
      </c>
      <c r="Y53" s="91">
        <v>0</v>
      </c>
      <c r="Z53" s="91">
        <v>0</v>
      </c>
      <c r="AA53" s="91">
        <v>0</v>
      </c>
      <c r="AB53" s="91">
        <v>0</v>
      </c>
      <c r="AC53" s="91">
        <v>0</v>
      </c>
      <c r="AD53" s="91">
        <v>0</v>
      </c>
      <c r="AE53" s="91">
        <v>0</v>
      </c>
      <c r="AF53" s="91">
        <v>0</v>
      </c>
      <c r="AG53" s="91">
        <v>0</v>
      </c>
      <c r="AH53" s="91">
        <v>0</v>
      </c>
      <c r="AI53" s="91">
        <v>0</v>
      </c>
      <c r="AJ53" s="91">
        <v>0</v>
      </c>
      <c r="AK53" s="91">
        <v>0</v>
      </c>
      <c r="AL53" s="91">
        <v>0</v>
      </c>
      <c r="AM53" s="91">
        <v>0</v>
      </c>
      <c r="AN53" s="91">
        <v>0</v>
      </c>
      <c r="AO53" s="91">
        <v>0</v>
      </c>
      <c r="AP53" s="91">
        <v>0</v>
      </c>
      <c r="AQ53" s="91">
        <v>0</v>
      </c>
      <c r="AR53" s="91">
        <v>0</v>
      </c>
      <c r="AS53" s="91">
        <v>0</v>
      </c>
      <c r="AT53" s="91">
        <v>0</v>
      </c>
      <c r="AU53" s="91">
        <v>0</v>
      </c>
      <c r="AV53" s="91">
        <v>1838</v>
      </c>
      <c r="AW53" s="91">
        <v>0</v>
      </c>
      <c r="AX53" s="91">
        <v>0</v>
      </c>
      <c r="AY53" s="91">
        <v>0</v>
      </c>
      <c r="AZ53" s="91">
        <v>0</v>
      </c>
      <c r="BA53" s="91">
        <v>0</v>
      </c>
      <c r="BB53" s="91">
        <v>0</v>
      </c>
      <c r="BC53" s="91">
        <v>0</v>
      </c>
      <c r="BD53" s="91">
        <v>0</v>
      </c>
    </row>
    <row r="54" spans="1:56" ht="31.5" x14ac:dyDescent="0.3">
      <c r="A54" s="82" t="s">
        <v>126</v>
      </c>
      <c r="B54" s="81" t="s">
        <v>7</v>
      </c>
      <c r="C54" s="92">
        <v>46.5</v>
      </c>
      <c r="D54" s="92">
        <v>20.7</v>
      </c>
      <c r="E54" s="92">
        <v>0.1</v>
      </c>
      <c r="F54" s="92">
        <v>4.3</v>
      </c>
      <c r="G54" s="92">
        <v>0</v>
      </c>
      <c r="H54" s="92">
        <v>64.3</v>
      </c>
      <c r="I54" s="92">
        <v>181.8</v>
      </c>
      <c r="J54" s="92">
        <v>6.5</v>
      </c>
      <c r="K54" s="92">
        <v>34.9</v>
      </c>
      <c r="L54" s="92">
        <v>1293.9000000000001</v>
      </c>
      <c r="M54" s="92">
        <v>635.9</v>
      </c>
      <c r="N54" s="92">
        <v>28</v>
      </c>
      <c r="O54" s="92">
        <v>135.80000000000001</v>
      </c>
      <c r="P54" s="92">
        <v>65</v>
      </c>
      <c r="Q54" s="92">
        <v>311.7</v>
      </c>
      <c r="R54" s="92">
        <v>109.8</v>
      </c>
      <c r="S54" s="92">
        <v>447.8</v>
      </c>
      <c r="T54" s="92">
        <v>147.19999999999999</v>
      </c>
      <c r="U54" s="92">
        <v>203.6</v>
      </c>
      <c r="V54" s="92">
        <v>289</v>
      </c>
      <c r="W54" s="92">
        <v>75.2</v>
      </c>
      <c r="X54" s="92">
        <v>53.1</v>
      </c>
      <c r="Y54" s="92">
        <v>390.9</v>
      </c>
      <c r="Z54" s="92">
        <v>18.7</v>
      </c>
      <c r="AA54" s="92">
        <v>236.5</v>
      </c>
      <c r="AB54" s="92">
        <v>225.2</v>
      </c>
      <c r="AC54" s="92">
        <v>228.3</v>
      </c>
      <c r="AD54" s="92">
        <v>43.2</v>
      </c>
      <c r="AE54" s="92">
        <v>114.7</v>
      </c>
      <c r="AF54" s="92">
        <v>34.1</v>
      </c>
      <c r="AG54" s="92">
        <v>22.9</v>
      </c>
      <c r="AH54" s="92">
        <v>250.2</v>
      </c>
      <c r="AI54" s="92">
        <v>20.2</v>
      </c>
      <c r="AJ54" s="92">
        <v>12</v>
      </c>
      <c r="AK54" s="92">
        <v>14.3</v>
      </c>
      <c r="AL54" s="92">
        <v>25</v>
      </c>
      <c r="AM54" s="92">
        <v>19.3</v>
      </c>
      <c r="AN54" s="92">
        <v>163</v>
      </c>
      <c r="AO54" s="92">
        <v>39.700000000000003</v>
      </c>
      <c r="AP54" s="92">
        <v>84.1</v>
      </c>
      <c r="AQ54" s="92">
        <v>74.3</v>
      </c>
      <c r="AR54" s="92">
        <v>0</v>
      </c>
      <c r="AS54" s="92">
        <v>0</v>
      </c>
      <c r="AT54" s="92">
        <v>0</v>
      </c>
      <c r="AU54" s="92">
        <v>0</v>
      </c>
      <c r="AV54" s="92">
        <v>0</v>
      </c>
      <c r="AW54" s="92">
        <v>0</v>
      </c>
      <c r="AX54" s="92">
        <v>0</v>
      </c>
      <c r="AY54" s="92">
        <v>0</v>
      </c>
      <c r="AZ54" s="92">
        <v>0</v>
      </c>
      <c r="BA54" s="92">
        <v>706.9</v>
      </c>
      <c r="BB54" s="92">
        <v>0</v>
      </c>
      <c r="BC54" s="92">
        <v>0</v>
      </c>
      <c r="BD54" s="92">
        <v>-6878.6</v>
      </c>
    </row>
    <row r="55" spans="1:56" ht="42" x14ac:dyDescent="0.3">
      <c r="A55" s="82" t="s">
        <v>127</v>
      </c>
      <c r="B55" s="81" t="s">
        <v>7</v>
      </c>
      <c r="C55" s="91">
        <v>285.39999999999998</v>
      </c>
      <c r="D55" s="91">
        <v>133.6</v>
      </c>
      <c r="E55" s="91">
        <v>2.2000000000000002</v>
      </c>
      <c r="F55" s="91">
        <v>31</v>
      </c>
      <c r="G55" s="91">
        <v>0.3</v>
      </c>
      <c r="H55" s="91">
        <v>1309</v>
      </c>
      <c r="I55" s="91">
        <v>691</v>
      </c>
      <c r="J55" s="91">
        <v>83.2</v>
      </c>
      <c r="K55" s="91">
        <v>404.1</v>
      </c>
      <c r="L55" s="91">
        <v>1098.5999999999999</v>
      </c>
      <c r="M55" s="91">
        <v>2614.8000000000002</v>
      </c>
      <c r="N55" s="91">
        <v>303</v>
      </c>
      <c r="O55" s="91">
        <v>633.5</v>
      </c>
      <c r="P55" s="91">
        <v>416.7</v>
      </c>
      <c r="Q55" s="91">
        <v>1032.2</v>
      </c>
      <c r="R55" s="91">
        <v>748</v>
      </c>
      <c r="S55" s="91">
        <v>1976.6</v>
      </c>
      <c r="T55" s="91">
        <v>768</v>
      </c>
      <c r="U55" s="91">
        <v>1028.4000000000001</v>
      </c>
      <c r="V55" s="91">
        <v>2497.4</v>
      </c>
      <c r="W55" s="91">
        <v>462.2</v>
      </c>
      <c r="X55" s="91">
        <v>362.5</v>
      </c>
      <c r="Y55" s="91">
        <v>1300.2</v>
      </c>
      <c r="Z55" s="91">
        <v>159.4</v>
      </c>
      <c r="AA55" s="91">
        <v>1479.7</v>
      </c>
      <c r="AB55" s="91">
        <v>6444.1</v>
      </c>
      <c r="AC55" s="91">
        <v>1259</v>
      </c>
      <c r="AD55" s="91">
        <v>353.1</v>
      </c>
      <c r="AE55" s="91">
        <v>601.29999999999995</v>
      </c>
      <c r="AF55" s="91">
        <v>545.29999999999995</v>
      </c>
      <c r="AG55" s="91">
        <v>183.2</v>
      </c>
      <c r="AH55" s="91">
        <v>2492.6</v>
      </c>
      <c r="AI55" s="91">
        <v>597.4</v>
      </c>
      <c r="AJ55" s="91">
        <v>521.79999999999995</v>
      </c>
      <c r="AK55" s="91">
        <v>411</v>
      </c>
      <c r="AL55" s="91">
        <v>6219.5</v>
      </c>
      <c r="AM55" s="91">
        <v>1919.4</v>
      </c>
      <c r="AN55" s="91">
        <v>2525</v>
      </c>
      <c r="AO55" s="91">
        <v>889.1</v>
      </c>
      <c r="AP55" s="91">
        <v>1088.3</v>
      </c>
      <c r="AQ55" s="91">
        <v>1454.6</v>
      </c>
      <c r="AR55" s="91">
        <v>2613.6999999999998</v>
      </c>
      <c r="AS55" s="91">
        <v>484.5</v>
      </c>
      <c r="AT55" s="91">
        <v>776.8</v>
      </c>
      <c r="AU55" s="91">
        <v>0</v>
      </c>
      <c r="AV55" s="91">
        <v>36832.400000000001</v>
      </c>
      <c r="AW55" s="91">
        <v>900.1</v>
      </c>
      <c r="AX55" s="91">
        <v>363.5</v>
      </c>
      <c r="AY55" s="91">
        <v>34102.199999999997</v>
      </c>
      <c r="AZ55" s="91">
        <v>349.7</v>
      </c>
      <c r="BA55" s="91">
        <v>0</v>
      </c>
      <c r="BB55" s="91">
        <v>390.7</v>
      </c>
      <c r="BC55" s="91">
        <v>14019.6</v>
      </c>
      <c r="BD55" s="91">
        <v>0</v>
      </c>
    </row>
    <row r="56" spans="1:56" ht="21" x14ac:dyDescent="0.3">
      <c r="A56" s="82" t="s">
        <v>128</v>
      </c>
      <c r="B56" s="81" t="s">
        <v>7</v>
      </c>
      <c r="C56" s="92">
        <v>21617.9</v>
      </c>
      <c r="D56" s="92">
        <v>4596.7</v>
      </c>
      <c r="E56" s="92">
        <v>114.2</v>
      </c>
      <c r="F56" s="92">
        <v>1856.3</v>
      </c>
      <c r="G56" s="92">
        <v>12.2</v>
      </c>
      <c r="H56" s="92">
        <v>85762.7</v>
      </c>
      <c r="I56" s="92">
        <v>48337.3</v>
      </c>
      <c r="J56" s="92">
        <v>5072.3</v>
      </c>
      <c r="K56" s="92">
        <v>21588.2</v>
      </c>
      <c r="L56" s="92">
        <v>92150.9</v>
      </c>
      <c r="M56" s="92">
        <v>102109.5</v>
      </c>
      <c r="N56" s="92">
        <v>12692.6</v>
      </c>
      <c r="O56" s="92">
        <v>46836.1</v>
      </c>
      <c r="P56" s="92">
        <v>24257.7</v>
      </c>
      <c r="Q56" s="92">
        <v>97843.8</v>
      </c>
      <c r="R56" s="92">
        <v>55634.7</v>
      </c>
      <c r="S56" s="92">
        <v>146674.79999999999</v>
      </c>
      <c r="T56" s="92">
        <v>61048.1</v>
      </c>
      <c r="U56" s="92">
        <v>82423.600000000006</v>
      </c>
      <c r="V56" s="92">
        <v>134738.79999999999</v>
      </c>
      <c r="W56" s="92">
        <v>31800</v>
      </c>
      <c r="X56" s="92">
        <v>19348.599999999999</v>
      </c>
      <c r="Y56" s="92">
        <v>58487.4</v>
      </c>
      <c r="Z56" s="92">
        <v>7652.5</v>
      </c>
      <c r="AA56" s="92">
        <v>133388.29999999999</v>
      </c>
      <c r="AB56" s="92">
        <v>158476.70000000001</v>
      </c>
      <c r="AC56" s="92">
        <v>28283.9</v>
      </c>
      <c r="AD56" s="92">
        <v>15798.1</v>
      </c>
      <c r="AE56" s="92">
        <v>13254.1</v>
      </c>
      <c r="AF56" s="92">
        <v>18990.7</v>
      </c>
      <c r="AG56" s="92">
        <v>5343.9</v>
      </c>
      <c r="AH56" s="92">
        <v>86896.3</v>
      </c>
      <c r="AI56" s="92">
        <v>22268</v>
      </c>
      <c r="AJ56" s="92">
        <v>19791.3</v>
      </c>
      <c r="AK56" s="92">
        <v>15671.5</v>
      </c>
      <c r="AL56" s="92">
        <v>63964.9</v>
      </c>
      <c r="AM56" s="92">
        <v>46394.8</v>
      </c>
      <c r="AN56" s="92">
        <v>104566.8</v>
      </c>
      <c r="AO56" s="92">
        <v>27120.799999999999</v>
      </c>
      <c r="AP56" s="92">
        <v>38831.4</v>
      </c>
      <c r="AQ56" s="92">
        <v>35375.800000000003</v>
      </c>
      <c r="AR56" s="92">
        <v>65489.7</v>
      </c>
      <c r="AS56" s="92">
        <v>15176.3</v>
      </c>
      <c r="AT56" s="92">
        <v>25994.400000000001</v>
      </c>
      <c r="AU56" s="92">
        <v>0</v>
      </c>
      <c r="AV56" s="92">
        <v>720360</v>
      </c>
      <c r="AW56" s="92">
        <v>29077.1</v>
      </c>
      <c r="AX56" s="92">
        <v>295779.20000000001</v>
      </c>
      <c r="AY56" s="92">
        <v>508691.5</v>
      </c>
      <c r="AZ56" s="92">
        <v>12777.1</v>
      </c>
      <c r="BA56" s="92">
        <v>11261.6</v>
      </c>
      <c r="BB56" s="92">
        <v>5915.1</v>
      </c>
      <c r="BC56" s="92">
        <v>584690.80000000005</v>
      </c>
      <c r="BD56" s="92">
        <v>-530747.6</v>
      </c>
    </row>
    <row r="57" spans="1:56" x14ac:dyDescent="0.3">
      <c r="A57" s="82" t="s">
        <v>129</v>
      </c>
      <c r="B57" s="81" t="s">
        <v>7</v>
      </c>
      <c r="C57" s="91">
        <v>23215.8</v>
      </c>
      <c r="D57" s="91">
        <v>2378.1999999999998</v>
      </c>
      <c r="E57" s="91">
        <v>205.4</v>
      </c>
      <c r="F57" s="91">
        <v>1423.5</v>
      </c>
      <c r="G57" s="91">
        <v>12.5</v>
      </c>
      <c r="H57" s="91">
        <v>19992.3</v>
      </c>
      <c r="I57" s="91">
        <v>12967.6</v>
      </c>
      <c r="J57" s="91">
        <v>1840</v>
      </c>
      <c r="K57" s="91">
        <v>10339.4</v>
      </c>
      <c r="L57" s="91">
        <v>11316</v>
      </c>
      <c r="M57" s="91">
        <v>31347.4</v>
      </c>
      <c r="N57" s="91">
        <v>7841.6</v>
      </c>
      <c r="O57" s="91">
        <v>22060.6</v>
      </c>
      <c r="P57" s="91">
        <v>10423.1</v>
      </c>
      <c r="Q57" s="91">
        <v>22751.7</v>
      </c>
      <c r="R57" s="91">
        <v>29106.9</v>
      </c>
      <c r="S57" s="91">
        <v>104680.6</v>
      </c>
      <c r="T57" s="91">
        <v>23759.1</v>
      </c>
      <c r="U57" s="91">
        <v>36402.800000000003</v>
      </c>
      <c r="V57" s="91">
        <v>32540</v>
      </c>
      <c r="W57" s="91">
        <v>9178</v>
      </c>
      <c r="X57" s="91">
        <v>9321.5</v>
      </c>
      <c r="Y57" s="91">
        <v>20031.8</v>
      </c>
      <c r="Z57" s="91">
        <v>9969.2000000000007</v>
      </c>
      <c r="AA57" s="91">
        <v>86925.2</v>
      </c>
      <c r="AB57" s="91">
        <v>166824.20000000001</v>
      </c>
      <c r="AC57" s="91">
        <v>23359.4</v>
      </c>
      <c r="AD57" s="91">
        <v>2487.1999999999998</v>
      </c>
      <c r="AE57" s="91">
        <v>4697.1000000000004</v>
      </c>
      <c r="AF57" s="91">
        <v>16212.5</v>
      </c>
      <c r="AG57" s="91">
        <v>2887.4</v>
      </c>
      <c r="AH57" s="91">
        <v>36854.699999999997</v>
      </c>
      <c r="AI57" s="91">
        <v>23877.9</v>
      </c>
      <c r="AJ57" s="91">
        <v>14800.6</v>
      </c>
      <c r="AK57" s="91">
        <v>28381.4</v>
      </c>
      <c r="AL57" s="91">
        <v>85351.7</v>
      </c>
      <c r="AM57" s="91">
        <v>117243.3</v>
      </c>
      <c r="AN57" s="91">
        <v>94977.7</v>
      </c>
      <c r="AO57" s="91">
        <v>53110</v>
      </c>
      <c r="AP57" s="91">
        <v>104871.9</v>
      </c>
      <c r="AQ57" s="91">
        <v>75456.7</v>
      </c>
      <c r="AR57" s="91">
        <v>73283.199999999997</v>
      </c>
      <c r="AS57" s="91">
        <v>14966.2</v>
      </c>
      <c r="AT57" s="91">
        <v>17755.400000000001</v>
      </c>
      <c r="AU57" s="91">
        <v>1838</v>
      </c>
      <c r="AV57" s="91">
        <v>0</v>
      </c>
      <c r="AW57" s="91">
        <v>0</v>
      </c>
      <c r="AX57" s="91">
        <v>0</v>
      </c>
      <c r="AY57" s="91">
        <v>0</v>
      </c>
      <c r="AZ57" s="91">
        <v>0</v>
      </c>
      <c r="BA57" s="91">
        <v>0</v>
      </c>
      <c r="BB57" s="91">
        <v>0</v>
      </c>
      <c r="BC57" s="91">
        <v>0</v>
      </c>
      <c r="BD57" s="91">
        <v>0</v>
      </c>
    </row>
    <row r="58" spans="1:56" x14ac:dyDescent="0.3">
      <c r="A58" s="82" t="s">
        <v>130</v>
      </c>
      <c r="B58" s="81" t="s">
        <v>7</v>
      </c>
      <c r="C58" s="92">
        <v>44833.7</v>
      </c>
      <c r="D58" s="92">
        <v>6974.9</v>
      </c>
      <c r="E58" s="92">
        <v>319.60000000000002</v>
      </c>
      <c r="F58" s="92">
        <v>3279.8</v>
      </c>
      <c r="G58" s="92">
        <v>24.7</v>
      </c>
      <c r="H58" s="92">
        <v>105755.1</v>
      </c>
      <c r="I58" s="92">
        <v>61304.9</v>
      </c>
      <c r="J58" s="92">
        <v>6912.3</v>
      </c>
      <c r="K58" s="92">
        <v>31927.599999999999</v>
      </c>
      <c r="L58" s="92">
        <v>103466.9</v>
      </c>
      <c r="M58" s="92">
        <v>133456.9</v>
      </c>
      <c r="N58" s="92">
        <v>20534.2</v>
      </c>
      <c r="O58" s="92">
        <v>68896.7</v>
      </c>
      <c r="P58" s="92">
        <v>34680.9</v>
      </c>
      <c r="Q58" s="92">
        <v>120595.5</v>
      </c>
      <c r="R58" s="92">
        <v>84741.5</v>
      </c>
      <c r="S58" s="92">
        <v>251355.4</v>
      </c>
      <c r="T58" s="92">
        <v>84807.2</v>
      </c>
      <c r="U58" s="92">
        <v>118826.3</v>
      </c>
      <c r="V58" s="92">
        <v>167278.79999999999</v>
      </c>
      <c r="W58" s="92">
        <v>40978</v>
      </c>
      <c r="X58" s="92">
        <v>28670.1</v>
      </c>
      <c r="Y58" s="92">
        <v>78519.199999999997</v>
      </c>
      <c r="Z58" s="92">
        <v>17621.599999999999</v>
      </c>
      <c r="AA58" s="92">
        <v>220313.5</v>
      </c>
      <c r="AB58" s="92">
        <v>325300.90000000002</v>
      </c>
      <c r="AC58" s="92">
        <v>51643.3</v>
      </c>
      <c r="AD58" s="92">
        <v>18285.3</v>
      </c>
      <c r="AE58" s="92">
        <v>17951.3</v>
      </c>
      <c r="AF58" s="92">
        <v>35203.199999999997</v>
      </c>
      <c r="AG58" s="92">
        <v>8231.4</v>
      </c>
      <c r="AH58" s="92">
        <v>123751.1</v>
      </c>
      <c r="AI58" s="92">
        <v>46146</v>
      </c>
      <c r="AJ58" s="92">
        <v>34591.9</v>
      </c>
      <c r="AK58" s="92">
        <v>44052.9</v>
      </c>
      <c r="AL58" s="92">
        <v>149316.5</v>
      </c>
      <c r="AM58" s="92">
        <v>163638</v>
      </c>
      <c r="AN58" s="92">
        <v>199544.5</v>
      </c>
      <c r="AO58" s="92">
        <v>80230.7</v>
      </c>
      <c r="AP58" s="92">
        <v>143703.29999999999</v>
      </c>
      <c r="AQ58" s="92">
        <v>110832.4</v>
      </c>
      <c r="AR58" s="92">
        <v>139040.20000000001</v>
      </c>
      <c r="AS58" s="92">
        <v>30180.2</v>
      </c>
      <c r="AT58" s="92">
        <v>43824.2</v>
      </c>
      <c r="AU58" s="92">
        <v>1838</v>
      </c>
      <c r="AV58" s="92">
        <v>0</v>
      </c>
      <c r="AW58" s="92">
        <v>0</v>
      </c>
      <c r="AX58" s="92">
        <v>0</v>
      </c>
      <c r="AY58" s="92">
        <v>0</v>
      </c>
      <c r="AZ58" s="92">
        <v>0</v>
      </c>
      <c r="BA58" s="92">
        <v>0</v>
      </c>
      <c r="BB58" s="92">
        <v>0</v>
      </c>
      <c r="BC58" s="92">
        <v>0</v>
      </c>
      <c r="BD58" s="92">
        <v>0</v>
      </c>
    </row>
    <row r="59" spans="1:56" x14ac:dyDescent="0.3">
      <c r="A59" s="66" t="s">
        <v>597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phoneticPr fontId="35" type="noConversion"/>
  <hyperlinks>
    <hyperlink ref="A2" r:id="rId1" display="http://stats.oecd.org/OECDStat_Metadata/ShowMetadata.ashx?Dataset=IOTS_2021&amp;ShowOnWeb=true&amp;Lang=en" xr:uid="{2C77A398-8BCF-4061-8842-25177BAEE9C6}"/>
    <hyperlink ref="C3" r:id="rId2" display="http://stats.oecd.org/OECDStat_Metadata/ShowMetadata.ashx?Dataset=IOTS_2021&amp;Coords=[VAR].[TTL]&amp;ShowOnWeb=true&amp;Lang=en" xr:uid="{30AEA2C5-5E3D-46F6-A68E-72A896188480}"/>
    <hyperlink ref="BB7" r:id="rId3" display="http://stats.oecd.org/OECDStat_Metadata/ShowMetadata.ashx?Dataset=IOTS_2021&amp;Coords=[COL].[CONS_NONRES]&amp;ShowOnWeb=true&amp;Lang=en" xr:uid="{DC9D46E2-C196-45FB-84BE-2836BD2B3E40}"/>
    <hyperlink ref="A59" r:id="rId4" display="https://stats-1.oecd.org/index.aspx?DatasetCode=IOTS_2021" xr:uid="{2CFF9DBE-B509-4845-9861-DBEA4FB9FD5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9B54-DD09-4B9B-9A95-13230960972A}">
  <sheetPr>
    <tabColor theme="9" tint="0.59999389629810485"/>
  </sheetPr>
  <dimension ref="A1:K215"/>
  <sheetViews>
    <sheetView workbookViewId="0">
      <selection activeCell="H7" sqref="H7"/>
    </sheetView>
  </sheetViews>
  <sheetFormatPr defaultRowHeight="16.5" x14ac:dyDescent="0.3"/>
  <cols>
    <col min="1" max="1" width="13.25" style="2" bestFit="1" customWidth="1"/>
    <col min="9" max="9" width="18.625" customWidth="1"/>
    <col min="10" max="10" width="61.625" customWidth="1"/>
    <col min="11" max="11" width="8.375" customWidth="1"/>
  </cols>
  <sheetData>
    <row r="1" spans="1:11" ht="17.25" thickBot="1" x14ac:dyDescent="0.35"/>
    <row r="2" spans="1:11" x14ac:dyDescent="0.3">
      <c r="A2" s="85" t="s">
        <v>277</v>
      </c>
      <c r="B2" t="s">
        <v>598</v>
      </c>
      <c r="C2" t="s">
        <v>599</v>
      </c>
    </row>
    <row r="3" spans="1:11" x14ac:dyDescent="0.3">
      <c r="B3" t="s">
        <v>600</v>
      </c>
      <c r="C3" t="s">
        <v>601</v>
      </c>
      <c r="I3" s="97" t="s">
        <v>983</v>
      </c>
      <c r="J3" s="97" t="s">
        <v>984</v>
      </c>
    </row>
    <row r="4" spans="1:11" ht="17.25" thickBot="1" x14ac:dyDescent="0.35">
      <c r="B4" t="s">
        <v>602</v>
      </c>
      <c r="C4" t="s">
        <v>603</v>
      </c>
      <c r="I4" s="96">
        <v>2023</v>
      </c>
      <c r="J4" t="s">
        <v>570</v>
      </c>
    </row>
    <row r="5" spans="1:11" x14ac:dyDescent="0.3">
      <c r="A5" s="86" t="s">
        <v>278</v>
      </c>
      <c r="B5" t="s">
        <v>604</v>
      </c>
      <c r="C5" t="s">
        <v>605</v>
      </c>
      <c r="I5">
        <v>2018</v>
      </c>
      <c r="J5" t="s">
        <v>90</v>
      </c>
      <c r="K5" t="s">
        <v>8</v>
      </c>
    </row>
    <row r="6" spans="1:11" x14ac:dyDescent="0.3">
      <c r="B6" t="s">
        <v>606</v>
      </c>
      <c r="C6" t="s">
        <v>607</v>
      </c>
      <c r="I6" s="96">
        <v>2023</v>
      </c>
      <c r="J6" t="s">
        <v>571</v>
      </c>
    </row>
    <row r="7" spans="1:11" x14ac:dyDescent="0.3">
      <c r="B7" t="s">
        <v>608</v>
      </c>
      <c r="C7" t="s">
        <v>609</v>
      </c>
      <c r="I7">
        <v>2018</v>
      </c>
      <c r="J7" t="s">
        <v>91</v>
      </c>
    </row>
    <row r="8" spans="1:11" x14ac:dyDescent="0.3">
      <c r="A8" s="87" t="s">
        <v>9</v>
      </c>
      <c r="B8" t="s">
        <v>610</v>
      </c>
      <c r="C8" t="s">
        <v>611</v>
      </c>
      <c r="I8" s="96">
        <v>2023</v>
      </c>
      <c r="J8" t="s">
        <v>572</v>
      </c>
    </row>
    <row r="9" spans="1:11" x14ac:dyDescent="0.3">
      <c r="B9" t="s">
        <v>612</v>
      </c>
      <c r="C9" t="s">
        <v>613</v>
      </c>
      <c r="I9">
        <v>2018</v>
      </c>
      <c r="J9" t="s">
        <v>92</v>
      </c>
    </row>
    <row r="10" spans="1:11" x14ac:dyDescent="0.3">
      <c r="A10" s="87"/>
      <c r="B10" t="s">
        <v>614</v>
      </c>
      <c r="C10" t="s">
        <v>615</v>
      </c>
      <c r="I10" s="96">
        <v>2023</v>
      </c>
      <c r="J10" t="s">
        <v>573</v>
      </c>
      <c r="K10" t="s">
        <v>9</v>
      </c>
    </row>
    <row r="11" spans="1:11" x14ac:dyDescent="0.3">
      <c r="A11" s="87" t="s">
        <v>9</v>
      </c>
      <c r="B11" t="s">
        <v>616</v>
      </c>
      <c r="C11" t="s">
        <v>617</v>
      </c>
      <c r="I11" s="96">
        <v>2023</v>
      </c>
      <c r="J11" t="s">
        <v>93</v>
      </c>
      <c r="K11" t="s">
        <v>10</v>
      </c>
    </row>
    <row r="12" spans="1:11" x14ac:dyDescent="0.3">
      <c r="B12" t="s">
        <v>618</v>
      </c>
      <c r="C12" t="s">
        <v>619</v>
      </c>
      <c r="I12" s="96">
        <v>2023</v>
      </c>
      <c r="J12" t="s">
        <v>94</v>
      </c>
      <c r="K12" t="s">
        <v>11</v>
      </c>
    </row>
    <row r="13" spans="1:11" x14ac:dyDescent="0.3">
      <c r="B13" t="s">
        <v>620</v>
      </c>
      <c r="C13" t="s">
        <v>621</v>
      </c>
      <c r="I13" s="96">
        <v>2023</v>
      </c>
      <c r="J13" t="s">
        <v>574</v>
      </c>
      <c r="K13" t="s">
        <v>12</v>
      </c>
    </row>
    <row r="14" spans="1:11" x14ac:dyDescent="0.3">
      <c r="A14" s="87" t="s">
        <v>10</v>
      </c>
      <c r="B14" t="s">
        <v>622</v>
      </c>
      <c r="C14" t="s">
        <v>623</v>
      </c>
      <c r="I14">
        <v>2018</v>
      </c>
      <c r="J14" t="s">
        <v>95</v>
      </c>
    </row>
    <row r="15" spans="1:11" x14ac:dyDescent="0.3">
      <c r="B15" t="s">
        <v>624</v>
      </c>
      <c r="C15" t="s">
        <v>625</v>
      </c>
      <c r="I15">
        <v>2018</v>
      </c>
      <c r="J15" t="s">
        <v>96</v>
      </c>
    </row>
    <row r="16" spans="1:11" x14ac:dyDescent="0.3">
      <c r="B16" t="s">
        <v>626</v>
      </c>
      <c r="C16" t="s">
        <v>627</v>
      </c>
      <c r="I16" s="96">
        <v>2023</v>
      </c>
      <c r="J16" t="s">
        <v>575</v>
      </c>
      <c r="K16" t="s">
        <v>13</v>
      </c>
    </row>
    <row r="17" spans="1:11" x14ac:dyDescent="0.3">
      <c r="B17" t="s">
        <v>628</v>
      </c>
      <c r="C17" t="s">
        <v>207</v>
      </c>
      <c r="I17" s="96">
        <v>2023</v>
      </c>
      <c r="J17" t="s">
        <v>97</v>
      </c>
      <c r="K17" t="s">
        <v>14</v>
      </c>
    </row>
    <row r="18" spans="1:11" ht="17.25" thickBot="1" x14ac:dyDescent="0.35">
      <c r="B18" t="s">
        <v>629</v>
      </c>
      <c r="C18" t="s">
        <v>630</v>
      </c>
      <c r="I18" s="96">
        <v>2023</v>
      </c>
      <c r="J18" t="s">
        <v>98</v>
      </c>
      <c r="K18" t="s">
        <v>15</v>
      </c>
    </row>
    <row r="19" spans="1:11" ht="17.25" thickBot="1" x14ac:dyDescent="0.35">
      <c r="A19" s="85" t="s">
        <v>511</v>
      </c>
      <c r="B19" t="s">
        <v>631</v>
      </c>
      <c r="C19" t="s">
        <v>632</v>
      </c>
      <c r="I19" s="96">
        <v>2023</v>
      </c>
      <c r="J19" t="s">
        <v>576</v>
      </c>
      <c r="K19" t="s">
        <v>136</v>
      </c>
    </row>
    <row r="20" spans="1:11" ht="17.25" thickBot="1" x14ac:dyDescent="0.35">
      <c r="A20" s="88" t="s">
        <v>512</v>
      </c>
      <c r="B20" t="s">
        <v>633</v>
      </c>
      <c r="C20" t="s">
        <v>634</v>
      </c>
      <c r="I20">
        <v>2018</v>
      </c>
      <c r="J20" t="s">
        <v>99</v>
      </c>
    </row>
    <row r="21" spans="1:11" x14ac:dyDescent="0.3">
      <c r="A21" s="88" t="s">
        <v>512</v>
      </c>
      <c r="B21" t="s">
        <v>635</v>
      </c>
      <c r="C21" t="s">
        <v>636</v>
      </c>
      <c r="I21" s="96">
        <v>2023</v>
      </c>
      <c r="J21" t="s">
        <v>577</v>
      </c>
      <c r="K21" t="s">
        <v>137</v>
      </c>
    </row>
    <row r="22" spans="1:11" ht="17.25" thickBot="1" x14ac:dyDescent="0.35">
      <c r="B22" t="s">
        <v>637</v>
      </c>
      <c r="C22" t="s">
        <v>630</v>
      </c>
      <c r="I22" s="96">
        <v>2023</v>
      </c>
      <c r="J22" t="s">
        <v>100</v>
      </c>
      <c r="K22" t="s">
        <v>16</v>
      </c>
    </row>
    <row r="23" spans="1:11" x14ac:dyDescent="0.3">
      <c r="A23" s="86" t="s">
        <v>510</v>
      </c>
      <c r="B23" t="s">
        <v>638</v>
      </c>
      <c r="C23" t="s">
        <v>228</v>
      </c>
      <c r="I23" s="96">
        <v>2023</v>
      </c>
      <c r="J23" t="s">
        <v>101</v>
      </c>
    </row>
    <row r="24" spans="1:11" ht="17.25" thickBot="1" x14ac:dyDescent="0.35">
      <c r="B24" t="s">
        <v>639</v>
      </c>
      <c r="C24" t="s">
        <v>228</v>
      </c>
      <c r="I24" s="96">
        <v>2023</v>
      </c>
      <c r="J24" t="s">
        <v>578</v>
      </c>
    </row>
    <row r="25" spans="1:11" x14ac:dyDescent="0.3">
      <c r="A25" s="86" t="s">
        <v>510</v>
      </c>
      <c r="B25" t="s">
        <v>640</v>
      </c>
      <c r="C25" t="s">
        <v>641</v>
      </c>
      <c r="I25">
        <v>2018</v>
      </c>
      <c r="J25" t="s">
        <v>102</v>
      </c>
    </row>
    <row r="26" spans="1:11" ht="17.25" thickBot="1" x14ac:dyDescent="0.35">
      <c r="B26" t="s">
        <v>642</v>
      </c>
      <c r="C26" t="s">
        <v>641</v>
      </c>
      <c r="I26" s="96">
        <v>2023</v>
      </c>
      <c r="J26" t="s">
        <v>579</v>
      </c>
      <c r="K26" t="s">
        <v>17</v>
      </c>
    </row>
    <row r="27" spans="1:11" x14ac:dyDescent="0.3">
      <c r="A27" s="86" t="s">
        <v>510</v>
      </c>
      <c r="B27" t="s">
        <v>643</v>
      </c>
      <c r="C27" t="s">
        <v>644</v>
      </c>
      <c r="I27">
        <v>2018</v>
      </c>
      <c r="J27" t="s">
        <v>103</v>
      </c>
    </row>
    <row r="28" spans="1:11" x14ac:dyDescent="0.3">
      <c r="B28" t="s">
        <v>645</v>
      </c>
      <c r="C28" t="s">
        <v>646</v>
      </c>
      <c r="I28" s="96">
        <v>2023</v>
      </c>
      <c r="J28" t="s">
        <v>580</v>
      </c>
      <c r="K28" t="s">
        <v>18</v>
      </c>
    </row>
    <row r="29" spans="1:11" x14ac:dyDescent="0.3">
      <c r="B29" t="s">
        <v>647</v>
      </c>
      <c r="C29" t="s">
        <v>648</v>
      </c>
      <c r="I29">
        <v>2018</v>
      </c>
      <c r="J29" t="s">
        <v>104</v>
      </c>
    </row>
    <row r="30" spans="1:11" ht="17.25" thickBot="1" x14ac:dyDescent="0.35">
      <c r="B30" t="s">
        <v>649</v>
      </c>
      <c r="C30" t="s">
        <v>650</v>
      </c>
      <c r="I30" s="96">
        <v>2023</v>
      </c>
      <c r="J30" t="s">
        <v>105</v>
      </c>
      <c r="K30" t="s">
        <v>19</v>
      </c>
    </row>
    <row r="31" spans="1:11" x14ac:dyDescent="0.3">
      <c r="A31" s="86" t="s">
        <v>510</v>
      </c>
      <c r="B31" t="s">
        <v>651</v>
      </c>
      <c r="C31" t="s">
        <v>652</v>
      </c>
      <c r="I31">
        <v>2018</v>
      </c>
      <c r="J31" t="s">
        <v>106</v>
      </c>
    </row>
    <row r="32" spans="1:11" ht="17.25" thickBot="1" x14ac:dyDescent="0.35">
      <c r="B32" t="s">
        <v>653</v>
      </c>
      <c r="C32" t="s">
        <v>652</v>
      </c>
      <c r="I32" s="96">
        <v>2023</v>
      </c>
      <c r="J32" t="s">
        <v>581</v>
      </c>
      <c r="K32" t="s">
        <v>20</v>
      </c>
    </row>
    <row r="33" spans="1:11" x14ac:dyDescent="0.3">
      <c r="A33" s="86" t="s">
        <v>510</v>
      </c>
      <c r="B33" t="s">
        <v>654</v>
      </c>
      <c r="C33" t="s">
        <v>655</v>
      </c>
      <c r="I33" s="96">
        <v>2023</v>
      </c>
      <c r="J33" t="s">
        <v>107</v>
      </c>
      <c r="K33" t="s">
        <v>21</v>
      </c>
    </row>
    <row r="34" spans="1:11" x14ac:dyDescent="0.3">
      <c r="A34" s="87" t="s">
        <v>11</v>
      </c>
      <c r="B34" t="s">
        <v>656</v>
      </c>
      <c r="C34" t="s">
        <v>657</v>
      </c>
      <c r="I34" s="96">
        <v>2023</v>
      </c>
      <c r="J34" t="s">
        <v>108</v>
      </c>
      <c r="K34" t="s">
        <v>22</v>
      </c>
    </row>
    <row r="35" spans="1:11" x14ac:dyDescent="0.3">
      <c r="A35" s="87" t="s">
        <v>11</v>
      </c>
      <c r="B35" t="s">
        <v>658</v>
      </c>
      <c r="C35" t="s">
        <v>659</v>
      </c>
      <c r="I35" s="96">
        <v>2023</v>
      </c>
      <c r="J35" t="s">
        <v>582</v>
      </c>
      <c r="K35" t="s">
        <v>23</v>
      </c>
    </row>
    <row r="36" spans="1:11" x14ac:dyDescent="0.3">
      <c r="A36" s="87" t="s">
        <v>11</v>
      </c>
      <c r="B36" t="s">
        <v>660</v>
      </c>
      <c r="C36" t="s">
        <v>661</v>
      </c>
      <c r="I36">
        <v>2018</v>
      </c>
      <c r="J36" t="s">
        <v>109</v>
      </c>
    </row>
    <row r="37" spans="1:11" x14ac:dyDescent="0.3">
      <c r="A37" s="87" t="s">
        <v>11</v>
      </c>
      <c r="B37" t="s">
        <v>662</v>
      </c>
      <c r="C37" t="s">
        <v>663</v>
      </c>
      <c r="I37" s="96">
        <v>2023</v>
      </c>
      <c r="J37" t="s">
        <v>583</v>
      </c>
    </row>
    <row r="38" spans="1:11" x14ac:dyDescent="0.3">
      <c r="A38" s="87" t="s">
        <v>11</v>
      </c>
      <c r="B38" t="s">
        <v>664</v>
      </c>
      <c r="C38" t="s">
        <v>449</v>
      </c>
      <c r="I38">
        <v>2018</v>
      </c>
      <c r="J38" t="s">
        <v>110</v>
      </c>
    </row>
    <row r="39" spans="1:11" x14ac:dyDescent="0.3">
      <c r="A39" s="87" t="s">
        <v>11</v>
      </c>
      <c r="B39" t="s">
        <v>665</v>
      </c>
      <c r="C39" t="s">
        <v>666</v>
      </c>
      <c r="I39" s="96">
        <v>2023</v>
      </c>
      <c r="J39" t="s">
        <v>584</v>
      </c>
      <c r="K39" t="s">
        <v>510</v>
      </c>
    </row>
    <row r="40" spans="1:11" x14ac:dyDescent="0.3">
      <c r="B40" t="s">
        <v>667</v>
      </c>
      <c r="C40" t="s">
        <v>668</v>
      </c>
      <c r="I40" s="96">
        <v>2023</v>
      </c>
      <c r="J40" t="s">
        <v>111</v>
      </c>
      <c r="K40" t="s">
        <v>24</v>
      </c>
    </row>
    <row r="41" spans="1:11" x14ac:dyDescent="0.3">
      <c r="B41" t="s">
        <v>669</v>
      </c>
      <c r="C41" t="s">
        <v>670</v>
      </c>
      <c r="I41" s="96">
        <v>2023</v>
      </c>
      <c r="J41" t="s">
        <v>112</v>
      </c>
      <c r="K41" t="s">
        <v>25</v>
      </c>
    </row>
    <row r="42" spans="1:11" x14ac:dyDescent="0.3">
      <c r="A42" s="87" t="s">
        <v>11</v>
      </c>
      <c r="B42" t="s">
        <v>671</v>
      </c>
      <c r="C42" t="s">
        <v>672</v>
      </c>
      <c r="I42" s="96">
        <v>2023</v>
      </c>
      <c r="J42" t="s">
        <v>585</v>
      </c>
    </row>
    <row r="43" spans="1:11" x14ac:dyDescent="0.3">
      <c r="B43" t="s">
        <v>673</v>
      </c>
      <c r="C43" t="s">
        <v>674</v>
      </c>
      <c r="I43">
        <v>2018</v>
      </c>
      <c r="J43" t="s">
        <v>113</v>
      </c>
      <c r="K43" t="s">
        <v>26</v>
      </c>
    </row>
    <row r="44" spans="1:11" x14ac:dyDescent="0.3">
      <c r="B44" t="s">
        <v>675</v>
      </c>
      <c r="C44" t="s">
        <v>447</v>
      </c>
      <c r="I44" s="96">
        <v>2023</v>
      </c>
      <c r="J44" t="s">
        <v>586</v>
      </c>
    </row>
    <row r="45" spans="1:11" x14ac:dyDescent="0.3">
      <c r="B45" t="s">
        <v>676</v>
      </c>
      <c r="C45" t="s">
        <v>677</v>
      </c>
      <c r="I45" s="96">
        <v>2023</v>
      </c>
      <c r="J45" t="s">
        <v>587</v>
      </c>
    </row>
    <row r="46" spans="1:11" x14ac:dyDescent="0.3">
      <c r="B46" t="s">
        <v>678</v>
      </c>
      <c r="C46" t="s">
        <v>679</v>
      </c>
      <c r="I46" s="96">
        <v>2023</v>
      </c>
      <c r="J46" t="s">
        <v>588</v>
      </c>
    </row>
    <row r="47" spans="1:11" x14ac:dyDescent="0.3">
      <c r="B47" t="s">
        <v>680</v>
      </c>
      <c r="C47" t="s">
        <v>681</v>
      </c>
      <c r="I47" s="96">
        <v>2023</v>
      </c>
      <c r="J47" t="s">
        <v>589</v>
      </c>
    </row>
    <row r="48" spans="1:11" x14ac:dyDescent="0.3">
      <c r="B48" t="s">
        <v>682</v>
      </c>
      <c r="C48" t="s">
        <v>683</v>
      </c>
      <c r="I48" s="96">
        <v>2023</v>
      </c>
      <c r="J48" t="s">
        <v>590</v>
      </c>
      <c r="K48" t="s">
        <v>27</v>
      </c>
    </row>
    <row r="49" spans="1:11" x14ac:dyDescent="0.3">
      <c r="A49" s="87" t="s">
        <v>11</v>
      </c>
      <c r="B49" t="s">
        <v>684</v>
      </c>
      <c r="C49" t="s">
        <v>685</v>
      </c>
      <c r="I49">
        <v>2018</v>
      </c>
      <c r="J49" t="s">
        <v>114</v>
      </c>
    </row>
    <row r="50" spans="1:11" x14ac:dyDescent="0.3">
      <c r="A50" s="87" t="s">
        <v>11</v>
      </c>
      <c r="B50" t="s">
        <v>686</v>
      </c>
      <c r="C50" t="s">
        <v>445</v>
      </c>
      <c r="I50" s="96">
        <v>2023</v>
      </c>
      <c r="J50" t="s">
        <v>115</v>
      </c>
      <c r="K50" t="s">
        <v>28</v>
      </c>
    </row>
    <row r="51" spans="1:11" x14ac:dyDescent="0.3">
      <c r="B51" t="s">
        <v>687</v>
      </c>
      <c r="C51" t="s">
        <v>688</v>
      </c>
      <c r="I51" s="96">
        <v>2023</v>
      </c>
      <c r="J51" t="s">
        <v>116</v>
      </c>
      <c r="K51" t="s">
        <v>29</v>
      </c>
    </row>
    <row r="52" spans="1:11" x14ac:dyDescent="0.3">
      <c r="B52" t="s">
        <v>689</v>
      </c>
      <c r="C52" t="s">
        <v>690</v>
      </c>
      <c r="I52" s="96">
        <v>2023</v>
      </c>
      <c r="J52" t="s">
        <v>117</v>
      </c>
      <c r="K52" t="s">
        <v>30</v>
      </c>
    </row>
    <row r="53" spans="1:11" x14ac:dyDescent="0.3">
      <c r="B53" t="s">
        <v>691</v>
      </c>
      <c r="C53" t="s">
        <v>692</v>
      </c>
      <c r="I53" s="96">
        <v>2023</v>
      </c>
      <c r="J53" t="s">
        <v>118</v>
      </c>
      <c r="K53" t="s">
        <v>31</v>
      </c>
    </row>
    <row r="54" spans="1:11" x14ac:dyDescent="0.3">
      <c r="B54" t="s">
        <v>693</v>
      </c>
      <c r="C54" t="s">
        <v>694</v>
      </c>
      <c r="I54" s="96">
        <v>2023</v>
      </c>
      <c r="J54" t="s">
        <v>119</v>
      </c>
      <c r="K54" t="s">
        <v>32</v>
      </c>
    </row>
    <row r="55" spans="1:11" x14ac:dyDescent="0.3">
      <c r="A55" s="87" t="s">
        <v>11</v>
      </c>
      <c r="B55" t="s">
        <v>695</v>
      </c>
      <c r="C55" t="s">
        <v>696</v>
      </c>
      <c r="I55" s="96">
        <v>2023</v>
      </c>
      <c r="J55" t="s">
        <v>591</v>
      </c>
    </row>
    <row r="56" spans="1:11" x14ac:dyDescent="0.3">
      <c r="A56" s="87" t="s">
        <v>12</v>
      </c>
      <c r="B56" t="s">
        <v>697</v>
      </c>
      <c r="C56" t="s">
        <v>698</v>
      </c>
      <c r="I56">
        <v>2018</v>
      </c>
      <c r="J56" t="s">
        <v>120</v>
      </c>
      <c r="K56" t="s">
        <v>33</v>
      </c>
    </row>
    <row r="57" spans="1:11" x14ac:dyDescent="0.3">
      <c r="B57" t="s">
        <v>699</v>
      </c>
      <c r="C57" t="s">
        <v>700</v>
      </c>
      <c r="I57" s="96">
        <v>2023</v>
      </c>
      <c r="J57" t="s">
        <v>592</v>
      </c>
    </row>
    <row r="58" spans="1:11" x14ac:dyDescent="0.3">
      <c r="B58" t="s">
        <v>701</v>
      </c>
      <c r="C58" t="s">
        <v>702</v>
      </c>
      <c r="I58" s="96">
        <v>2023</v>
      </c>
      <c r="J58" t="s">
        <v>121</v>
      </c>
      <c r="K58" t="s">
        <v>34</v>
      </c>
    </row>
    <row r="59" spans="1:11" x14ac:dyDescent="0.3">
      <c r="B59" t="s">
        <v>703</v>
      </c>
      <c r="C59" t="s">
        <v>704</v>
      </c>
      <c r="I59" s="96">
        <v>2023</v>
      </c>
      <c r="J59" t="s">
        <v>122</v>
      </c>
      <c r="K59" t="s">
        <v>35</v>
      </c>
    </row>
    <row r="60" spans="1:11" x14ac:dyDescent="0.3">
      <c r="A60" s="87" t="s">
        <v>12</v>
      </c>
      <c r="B60" t="s">
        <v>705</v>
      </c>
      <c r="C60" t="s">
        <v>706</v>
      </c>
      <c r="I60">
        <v>2018</v>
      </c>
      <c r="J60" t="s">
        <v>123</v>
      </c>
    </row>
    <row r="61" spans="1:11" x14ac:dyDescent="0.3">
      <c r="B61" t="s">
        <v>707</v>
      </c>
      <c r="C61" t="s">
        <v>708</v>
      </c>
      <c r="I61" s="96">
        <v>2023</v>
      </c>
      <c r="J61" t="s">
        <v>593</v>
      </c>
      <c r="K61" t="s">
        <v>36</v>
      </c>
    </row>
    <row r="62" spans="1:11" x14ac:dyDescent="0.3">
      <c r="B62" t="s">
        <v>709</v>
      </c>
      <c r="C62" t="s">
        <v>710</v>
      </c>
      <c r="I62" s="96">
        <v>2023</v>
      </c>
      <c r="J62" t="s">
        <v>594</v>
      </c>
    </row>
    <row r="63" spans="1:11" x14ac:dyDescent="0.3">
      <c r="B63" t="s">
        <v>711</v>
      </c>
      <c r="C63" t="s">
        <v>712</v>
      </c>
      <c r="I63">
        <v>2018</v>
      </c>
      <c r="J63" t="s">
        <v>124</v>
      </c>
      <c r="K63" t="s">
        <v>37</v>
      </c>
    </row>
    <row r="64" spans="1:11" x14ac:dyDescent="0.3">
      <c r="B64" t="s">
        <v>713</v>
      </c>
      <c r="C64" t="s">
        <v>714</v>
      </c>
      <c r="I64" s="96">
        <v>2023</v>
      </c>
      <c r="J64" t="s">
        <v>595</v>
      </c>
    </row>
    <row r="65" spans="1:11" x14ac:dyDescent="0.3">
      <c r="B65" t="s">
        <v>715</v>
      </c>
      <c r="C65" t="s">
        <v>716</v>
      </c>
      <c r="I65" s="96">
        <v>2023</v>
      </c>
      <c r="J65" t="s">
        <v>596</v>
      </c>
      <c r="K65" t="s">
        <v>38</v>
      </c>
    </row>
    <row r="66" spans="1:11" x14ac:dyDescent="0.3">
      <c r="A66" s="87" t="s">
        <v>12</v>
      </c>
      <c r="B66" t="s">
        <v>717</v>
      </c>
      <c r="C66" t="s">
        <v>718</v>
      </c>
      <c r="I66">
        <v>2018</v>
      </c>
      <c r="J66" t="s">
        <v>125</v>
      </c>
    </row>
    <row r="67" spans="1:11" x14ac:dyDescent="0.3">
      <c r="A67" s="87" t="s">
        <v>12</v>
      </c>
      <c r="B67" t="s">
        <v>719</v>
      </c>
      <c r="C67" t="s">
        <v>720</v>
      </c>
    </row>
    <row r="68" spans="1:11" x14ac:dyDescent="0.3">
      <c r="A68" s="87" t="s">
        <v>12</v>
      </c>
      <c r="B68" t="s">
        <v>721</v>
      </c>
      <c r="C68" t="s">
        <v>722</v>
      </c>
    </row>
    <row r="69" spans="1:11" x14ac:dyDescent="0.3">
      <c r="A69" s="87" t="s">
        <v>12</v>
      </c>
      <c r="B69" t="s">
        <v>723</v>
      </c>
      <c r="C69" t="s">
        <v>724</v>
      </c>
    </row>
    <row r="70" spans="1:11" x14ac:dyDescent="0.3">
      <c r="B70" t="s">
        <v>725</v>
      </c>
      <c r="C70" t="s">
        <v>726</v>
      </c>
    </row>
    <row r="71" spans="1:11" x14ac:dyDescent="0.3">
      <c r="B71" t="s">
        <v>727</v>
      </c>
      <c r="C71" t="s">
        <v>728</v>
      </c>
    </row>
    <row r="72" spans="1:11" x14ac:dyDescent="0.3">
      <c r="A72" s="87" t="s">
        <v>12</v>
      </c>
      <c r="B72" t="s">
        <v>729</v>
      </c>
      <c r="C72" t="s">
        <v>730</v>
      </c>
    </row>
    <row r="73" spans="1:11" x14ac:dyDescent="0.3">
      <c r="A73" s="87" t="s">
        <v>13</v>
      </c>
      <c r="B73" t="s">
        <v>731</v>
      </c>
      <c r="C73" t="s">
        <v>732</v>
      </c>
    </row>
    <row r="74" spans="1:11" x14ac:dyDescent="0.3">
      <c r="A74" s="87" t="s">
        <v>13</v>
      </c>
      <c r="B74" t="s">
        <v>733</v>
      </c>
      <c r="C74" t="s">
        <v>734</v>
      </c>
    </row>
    <row r="75" spans="1:11" x14ac:dyDescent="0.3">
      <c r="B75" t="s">
        <v>735</v>
      </c>
      <c r="C75" t="s">
        <v>736</v>
      </c>
    </row>
    <row r="76" spans="1:11" x14ac:dyDescent="0.3">
      <c r="B76" t="s">
        <v>737</v>
      </c>
      <c r="C76" t="s">
        <v>738</v>
      </c>
    </row>
    <row r="77" spans="1:11" x14ac:dyDescent="0.3">
      <c r="B77" t="s">
        <v>739</v>
      </c>
      <c r="C77" t="s">
        <v>740</v>
      </c>
    </row>
    <row r="78" spans="1:11" x14ac:dyDescent="0.3">
      <c r="B78" t="s">
        <v>741</v>
      </c>
      <c r="C78" t="s">
        <v>742</v>
      </c>
    </row>
    <row r="79" spans="1:11" x14ac:dyDescent="0.3">
      <c r="A79" s="87" t="s">
        <v>14</v>
      </c>
      <c r="B79" t="s">
        <v>743</v>
      </c>
      <c r="C79" t="s">
        <v>263</v>
      </c>
    </row>
    <row r="80" spans="1:11" x14ac:dyDescent="0.3">
      <c r="B80" t="s">
        <v>744</v>
      </c>
      <c r="C80" t="s">
        <v>745</v>
      </c>
    </row>
    <row r="81" spans="1:3" x14ac:dyDescent="0.3">
      <c r="B81" t="s">
        <v>746</v>
      </c>
      <c r="C81" t="s">
        <v>747</v>
      </c>
    </row>
    <row r="82" spans="1:3" x14ac:dyDescent="0.3">
      <c r="B82" t="s">
        <v>748</v>
      </c>
      <c r="C82" t="s">
        <v>749</v>
      </c>
    </row>
    <row r="83" spans="1:3" x14ac:dyDescent="0.3">
      <c r="A83" s="87" t="s">
        <v>14</v>
      </c>
      <c r="B83" t="s">
        <v>750</v>
      </c>
      <c r="C83" t="s">
        <v>751</v>
      </c>
    </row>
    <row r="84" spans="1:3" x14ac:dyDescent="0.3">
      <c r="B84" t="s">
        <v>752</v>
      </c>
      <c r="C84" t="s">
        <v>753</v>
      </c>
    </row>
    <row r="85" spans="1:3" x14ac:dyDescent="0.3">
      <c r="B85" t="s">
        <v>754</v>
      </c>
      <c r="C85" t="s">
        <v>755</v>
      </c>
    </row>
    <row r="86" spans="1:3" x14ac:dyDescent="0.3">
      <c r="A86" s="87" t="s">
        <v>14</v>
      </c>
      <c r="B86" t="s">
        <v>756</v>
      </c>
      <c r="C86" t="s">
        <v>757</v>
      </c>
    </row>
    <row r="87" spans="1:3" x14ac:dyDescent="0.3">
      <c r="A87" s="87" t="s">
        <v>15</v>
      </c>
      <c r="B87" t="s">
        <v>758</v>
      </c>
      <c r="C87" t="s">
        <v>759</v>
      </c>
    </row>
    <row r="88" spans="1:3" ht="17.25" thickBot="1" x14ac:dyDescent="0.35">
      <c r="A88" s="87" t="s">
        <v>15</v>
      </c>
      <c r="B88" t="s">
        <v>760</v>
      </c>
      <c r="C88" t="s">
        <v>761</v>
      </c>
    </row>
    <row r="89" spans="1:3" x14ac:dyDescent="0.3">
      <c r="A89" s="85" t="s">
        <v>136</v>
      </c>
      <c r="B89" t="s">
        <v>762</v>
      </c>
      <c r="C89" t="s">
        <v>763</v>
      </c>
    </row>
    <row r="90" spans="1:3" x14ac:dyDescent="0.3">
      <c r="B90" t="s">
        <v>764</v>
      </c>
      <c r="C90" t="s">
        <v>765</v>
      </c>
    </row>
    <row r="91" spans="1:3" x14ac:dyDescent="0.3">
      <c r="B91" t="s">
        <v>766</v>
      </c>
      <c r="C91" t="s">
        <v>767</v>
      </c>
    </row>
    <row r="92" spans="1:3" ht="17.25" thickBot="1" x14ac:dyDescent="0.35">
      <c r="B92" t="s">
        <v>768</v>
      </c>
      <c r="C92" t="s">
        <v>769</v>
      </c>
    </row>
    <row r="93" spans="1:3" x14ac:dyDescent="0.3">
      <c r="A93" s="85" t="s">
        <v>136</v>
      </c>
      <c r="B93" t="s">
        <v>770</v>
      </c>
      <c r="C93" t="s">
        <v>771</v>
      </c>
    </row>
    <row r="94" spans="1:3" x14ac:dyDescent="0.3">
      <c r="B94" t="s">
        <v>772</v>
      </c>
      <c r="C94" t="s">
        <v>773</v>
      </c>
    </row>
    <row r="95" spans="1:3" x14ac:dyDescent="0.3">
      <c r="B95" t="s">
        <v>774</v>
      </c>
      <c r="C95" t="s">
        <v>775</v>
      </c>
    </row>
    <row r="96" spans="1:3" x14ac:dyDescent="0.3">
      <c r="B96" t="s">
        <v>776</v>
      </c>
      <c r="C96" t="s">
        <v>777</v>
      </c>
    </row>
    <row r="97" spans="1:3" x14ac:dyDescent="0.3">
      <c r="B97" t="s">
        <v>778</v>
      </c>
      <c r="C97" t="s">
        <v>779</v>
      </c>
    </row>
    <row r="98" spans="1:3" ht="17.25" thickBot="1" x14ac:dyDescent="0.35">
      <c r="B98" t="s">
        <v>780</v>
      </c>
      <c r="C98" t="s">
        <v>781</v>
      </c>
    </row>
    <row r="99" spans="1:3" x14ac:dyDescent="0.3">
      <c r="A99" s="86" t="s">
        <v>137</v>
      </c>
      <c r="B99" t="s">
        <v>782</v>
      </c>
      <c r="C99" t="s">
        <v>783</v>
      </c>
    </row>
    <row r="100" spans="1:3" x14ac:dyDescent="0.3">
      <c r="A100" s="87" t="s">
        <v>16</v>
      </c>
      <c r="B100" t="s">
        <v>784</v>
      </c>
      <c r="C100" t="s">
        <v>785</v>
      </c>
    </row>
    <row r="101" spans="1:3" x14ac:dyDescent="0.3">
      <c r="B101" t="s">
        <v>786</v>
      </c>
      <c r="C101" t="s">
        <v>787</v>
      </c>
    </row>
    <row r="102" spans="1:3" x14ac:dyDescent="0.3">
      <c r="B102" t="s">
        <v>788</v>
      </c>
      <c r="C102" t="s">
        <v>789</v>
      </c>
    </row>
    <row r="103" spans="1:3" ht="17.25" thickBot="1" x14ac:dyDescent="0.35">
      <c r="A103" s="87" t="s">
        <v>16</v>
      </c>
      <c r="B103" t="s">
        <v>790</v>
      </c>
      <c r="C103" t="s">
        <v>791</v>
      </c>
    </row>
    <row r="104" spans="1:3" ht="17.25" thickBot="1" x14ac:dyDescent="0.35">
      <c r="A104" s="85" t="s">
        <v>506</v>
      </c>
      <c r="B104" t="s">
        <v>792</v>
      </c>
      <c r="C104" t="s">
        <v>401</v>
      </c>
    </row>
    <row r="105" spans="1:3" x14ac:dyDescent="0.3">
      <c r="A105" s="86" t="s">
        <v>507</v>
      </c>
      <c r="B105" t="s">
        <v>793</v>
      </c>
      <c r="C105" t="s">
        <v>794</v>
      </c>
    </row>
    <row r="106" spans="1:3" x14ac:dyDescent="0.3">
      <c r="B106" t="s">
        <v>795</v>
      </c>
      <c r="C106" t="s">
        <v>796</v>
      </c>
    </row>
    <row r="107" spans="1:3" x14ac:dyDescent="0.3">
      <c r="B107" t="s">
        <v>797</v>
      </c>
      <c r="C107" t="s">
        <v>798</v>
      </c>
    </row>
    <row r="108" spans="1:3" x14ac:dyDescent="0.3">
      <c r="B108" t="s">
        <v>799</v>
      </c>
      <c r="C108" t="s">
        <v>800</v>
      </c>
    </row>
    <row r="109" spans="1:3" x14ac:dyDescent="0.3">
      <c r="B109" t="s">
        <v>801</v>
      </c>
      <c r="C109" t="s">
        <v>397</v>
      </c>
    </row>
    <row r="110" spans="1:3" x14ac:dyDescent="0.3">
      <c r="B110" t="s">
        <v>802</v>
      </c>
      <c r="C110" t="s">
        <v>803</v>
      </c>
    </row>
    <row r="111" spans="1:3" x14ac:dyDescent="0.3">
      <c r="B111" t="s">
        <v>804</v>
      </c>
      <c r="C111" t="s">
        <v>805</v>
      </c>
    </row>
    <row r="112" spans="1:3" ht="17.25" thickBot="1" x14ac:dyDescent="0.35">
      <c r="B112" t="s">
        <v>806</v>
      </c>
      <c r="C112" t="s">
        <v>807</v>
      </c>
    </row>
    <row r="113" spans="1:3" ht="17.25" thickBot="1" x14ac:dyDescent="0.35">
      <c r="A113" s="85" t="s">
        <v>508</v>
      </c>
      <c r="B113" t="s">
        <v>808</v>
      </c>
      <c r="C113" t="s">
        <v>809</v>
      </c>
    </row>
    <row r="114" spans="1:3" x14ac:dyDescent="0.3">
      <c r="A114" s="86" t="s">
        <v>509</v>
      </c>
      <c r="B114" t="s">
        <v>810</v>
      </c>
      <c r="C114" t="s">
        <v>811</v>
      </c>
    </row>
    <row r="115" spans="1:3" x14ac:dyDescent="0.3">
      <c r="B115" t="s">
        <v>812</v>
      </c>
      <c r="C115" t="s">
        <v>813</v>
      </c>
    </row>
    <row r="116" spans="1:3" x14ac:dyDescent="0.3">
      <c r="B116" t="s">
        <v>814</v>
      </c>
      <c r="C116" t="s">
        <v>815</v>
      </c>
    </row>
    <row r="117" spans="1:3" x14ac:dyDescent="0.3">
      <c r="B117" t="s">
        <v>816</v>
      </c>
      <c r="C117" t="s">
        <v>817</v>
      </c>
    </row>
    <row r="118" spans="1:3" x14ac:dyDescent="0.3">
      <c r="A118" s="87" t="s">
        <v>17</v>
      </c>
      <c r="B118" t="s">
        <v>818</v>
      </c>
      <c r="C118" t="s">
        <v>819</v>
      </c>
    </row>
    <row r="119" spans="1:3" x14ac:dyDescent="0.3">
      <c r="B119" t="s">
        <v>820</v>
      </c>
      <c r="C119" t="s">
        <v>821</v>
      </c>
    </row>
    <row r="120" spans="1:3" x14ac:dyDescent="0.3">
      <c r="B120" t="s">
        <v>822</v>
      </c>
      <c r="C120" t="s">
        <v>823</v>
      </c>
    </row>
    <row r="121" spans="1:3" x14ac:dyDescent="0.3">
      <c r="B121" t="s">
        <v>824</v>
      </c>
      <c r="C121" t="s">
        <v>825</v>
      </c>
    </row>
    <row r="122" spans="1:3" x14ac:dyDescent="0.3">
      <c r="A122" s="87" t="s">
        <v>17</v>
      </c>
      <c r="B122" t="s">
        <v>826</v>
      </c>
      <c r="C122" t="s">
        <v>827</v>
      </c>
    </row>
    <row r="123" spans="1:3" x14ac:dyDescent="0.3">
      <c r="A123" s="87" t="s">
        <v>17</v>
      </c>
      <c r="B123" t="s">
        <v>828</v>
      </c>
      <c r="C123" t="s">
        <v>829</v>
      </c>
    </row>
    <row r="124" spans="1:3" x14ac:dyDescent="0.3">
      <c r="B124" t="s">
        <v>830</v>
      </c>
      <c r="C124" t="s">
        <v>831</v>
      </c>
    </row>
    <row r="125" spans="1:3" x14ac:dyDescent="0.3">
      <c r="B125" t="s">
        <v>832</v>
      </c>
      <c r="C125" t="s">
        <v>833</v>
      </c>
    </row>
    <row r="126" spans="1:3" x14ac:dyDescent="0.3">
      <c r="B126" t="s">
        <v>834</v>
      </c>
      <c r="C126" t="s">
        <v>835</v>
      </c>
    </row>
    <row r="127" spans="1:3" x14ac:dyDescent="0.3">
      <c r="B127" t="s">
        <v>836</v>
      </c>
      <c r="C127" t="s">
        <v>837</v>
      </c>
    </row>
    <row r="128" spans="1:3" x14ac:dyDescent="0.3">
      <c r="A128" s="87" t="s">
        <v>18</v>
      </c>
      <c r="B128" t="s">
        <v>838</v>
      </c>
      <c r="C128" t="s">
        <v>839</v>
      </c>
    </row>
    <row r="129" spans="1:3" x14ac:dyDescent="0.3">
      <c r="A129" s="87" t="s">
        <v>18</v>
      </c>
      <c r="B129" t="s">
        <v>840</v>
      </c>
      <c r="C129" t="s">
        <v>841</v>
      </c>
    </row>
    <row r="130" spans="1:3" x14ac:dyDescent="0.3">
      <c r="A130" s="87" t="s">
        <v>18</v>
      </c>
      <c r="B130" t="s">
        <v>842</v>
      </c>
      <c r="C130" t="s">
        <v>843</v>
      </c>
    </row>
    <row r="131" spans="1:3" x14ac:dyDescent="0.3">
      <c r="A131" s="87" t="s">
        <v>18</v>
      </c>
      <c r="B131" t="s">
        <v>844</v>
      </c>
      <c r="C131" t="s">
        <v>845</v>
      </c>
    </row>
    <row r="132" spans="1:3" x14ac:dyDescent="0.3">
      <c r="A132" s="87" t="s">
        <v>18</v>
      </c>
      <c r="B132" t="s">
        <v>846</v>
      </c>
      <c r="C132" t="s">
        <v>847</v>
      </c>
    </row>
    <row r="133" spans="1:3" x14ac:dyDescent="0.3">
      <c r="B133" t="s">
        <v>848</v>
      </c>
      <c r="C133" t="s">
        <v>849</v>
      </c>
    </row>
    <row r="134" spans="1:3" x14ac:dyDescent="0.3">
      <c r="B134" t="s">
        <v>850</v>
      </c>
      <c r="C134" t="s">
        <v>851</v>
      </c>
    </row>
    <row r="135" spans="1:3" x14ac:dyDescent="0.3">
      <c r="A135" s="87" t="s">
        <v>18</v>
      </c>
      <c r="B135" t="s">
        <v>852</v>
      </c>
      <c r="C135" t="s">
        <v>853</v>
      </c>
    </row>
    <row r="136" spans="1:3" x14ac:dyDescent="0.3">
      <c r="A136" s="87" t="s">
        <v>18</v>
      </c>
      <c r="B136" t="s">
        <v>854</v>
      </c>
      <c r="C136" t="s">
        <v>855</v>
      </c>
    </row>
    <row r="137" spans="1:3" x14ac:dyDescent="0.3">
      <c r="A137" s="87" t="s">
        <v>18</v>
      </c>
      <c r="B137" t="s">
        <v>856</v>
      </c>
      <c r="C137" t="s">
        <v>857</v>
      </c>
    </row>
    <row r="138" spans="1:3" x14ac:dyDescent="0.3">
      <c r="A138" s="87" t="s">
        <v>19</v>
      </c>
      <c r="B138" t="s">
        <v>858</v>
      </c>
      <c r="C138" t="s">
        <v>859</v>
      </c>
    </row>
    <row r="139" spans="1:3" x14ac:dyDescent="0.3">
      <c r="A139" s="87" t="s">
        <v>19</v>
      </c>
      <c r="B139" t="s">
        <v>860</v>
      </c>
      <c r="C139" t="s">
        <v>861</v>
      </c>
    </row>
    <row r="140" spans="1:3" x14ac:dyDescent="0.3">
      <c r="A140" s="87" t="s">
        <v>19</v>
      </c>
      <c r="B140" t="s">
        <v>862</v>
      </c>
      <c r="C140" t="s">
        <v>863</v>
      </c>
    </row>
    <row r="141" spans="1:3" x14ac:dyDescent="0.3">
      <c r="B141" t="s">
        <v>864</v>
      </c>
      <c r="C141" t="s">
        <v>865</v>
      </c>
    </row>
    <row r="142" spans="1:3" x14ac:dyDescent="0.3">
      <c r="B142" t="s">
        <v>866</v>
      </c>
      <c r="C142" t="s">
        <v>867</v>
      </c>
    </row>
    <row r="143" spans="1:3" x14ac:dyDescent="0.3">
      <c r="B143" t="s">
        <v>868</v>
      </c>
      <c r="C143" t="s">
        <v>869</v>
      </c>
    </row>
    <row r="144" spans="1:3" x14ac:dyDescent="0.3">
      <c r="A144" s="87" t="s">
        <v>19</v>
      </c>
      <c r="B144" t="s">
        <v>870</v>
      </c>
      <c r="C144" t="s">
        <v>871</v>
      </c>
    </row>
    <row r="145" spans="1:3" x14ac:dyDescent="0.3">
      <c r="A145" s="87" t="s">
        <v>19</v>
      </c>
      <c r="B145" t="s">
        <v>872</v>
      </c>
      <c r="C145" t="s">
        <v>873</v>
      </c>
    </row>
    <row r="146" spans="1:3" x14ac:dyDescent="0.3">
      <c r="A146" s="87" t="s">
        <v>19</v>
      </c>
      <c r="B146" t="s">
        <v>874</v>
      </c>
      <c r="C146" t="s">
        <v>875</v>
      </c>
    </row>
    <row r="147" spans="1:3" x14ac:dyDescent="0.3">
      <c r="A147" s="87" t="s">
        <v>20</v>
      </c>
      <c r="B147" t="s">
        <v>876</v>
      </c>
      <c r="C147" t="s">
        <v>877</v>
      </c>
    </row>
    <row r="148" spans="1:3" x14ac:dyDescent="0.3">
      <c r="B148" t="s">
        <v>878</v>
      </c>
      <c r="C148" t="s">
        <v>879</v>
      </c>
    </row>
    <row r="149" spans="1:3" x14ac:dyDescent="0.3">
      <c r="B149" t="s">
        <v>880</v>
      </c>
      <c r="C149" t="s">
        <v>881</v>
      </c>
    </row>
    <row r="150" spans="1:3" x14ac:dyDescent="0.3">
      <c r="B150" t="s">
        <v>882</v>
      </c>
      <c r="C150" t="s">
        <v>883</v>
      </c>
    </row>
    <row r="151" spans="1:3" x14ac:dyDescent="0.3">
      <c r="B151" t="s">
        <v>884</v>
      </c>
      <c r="C151" t="s">
        <v>885</v>
      </c>
    </row>
    <row r="152" spans="1:3" x14ac:dyDescent="0.3">
      <c r="B152" t="s">
        <v>886</v>
      </c>
      <c r="C152" t="s">
        <v>887</v>
      </c>
    </row>
    <row r="153" spans="1:3" x14ac:dyDescent="0.3">
      <c r="B153" t="s">
        <v>888</v>
      </c>
      <c r="C153" t="s">
        <v>889</v>
      </c>
    </row>
    <row r="154" spans="1:3" x14ac:dyDescent="0.3">
      <c r="B154" t="s">
        <v>890</v>
      </c>
      <c r="C154" t="s">
        <v>891</v>
      </c>
    </row>
    <row r="155" spans="1:3" x14ac:dyDescent="0.3">
      <c r="B155" t="s">
        <v>892</v>
      </c>
      <c r="C155" t="s">
        <v>893</v>
      </c>
    </row>
    <row r="156" spans="1:3" x14ac:dyDescent="0.3">
      <c r="B156" t="s">
        <v>894</v>
      </c>
      <c r="C156" t="s">
        <v>895</v>
      </c>
    </row>
    <row r="157" spans="1:3" x14ac:dyDescent="0.3">
      <c r="A157" s="87" t="s">
        <v>20</v>
      </c>
      <c r="B157" t="s">
        <v>896</v>
      </c>
      <c r="C157" t="s">
        <v>897</v>
      </c>
    </row>
    <row r="158" spans="1:3" x14ac:dyDescent="0.3">
      <c r="B158" t="s">
        <v>898</v>
      </c>
      <c r="C158" t="s">
        <v>899</v>
      </c>
    </row>
    <row r="159" spans="1:3" x14ac:dyDescent="0.3">
      <c r="B159" t="s">
        <v>900</v>
      </c>
      <c r="C159" t="s">
        <v>901</v>
      </c>
    </row>
    <row r="160" spans="1:3" x14ac:dyDescent="0.3">
      <c r="B160" t="s">
        <v>902</v>
      </c>
      <c r="C160" t="s">
        <v>903</v>
      </c>
    </row>
    <row r="161" spans="1:3" x14ac:dyDescent="0.3">
      <c r="B161" t="s">
        <v>904</v>
      </c>
      <c r="C161" t="s">
        <v>905</v>
      </c>
    </row>
    <row r="162" spans="1:3" x14ac:dyDescent="0.3">
      <c r="B162" t="s">
        <v>906</v>
      </c>
      <c r="C162" t="s">
        <v>907</v>
      </c>
    </row>
    <row r="163" spans="1:3" x14ac:dyDescent="0.3">
      <c r="B163" t="s">
        <v>908</v>
      </c>
      <c r="C163" t="s">
        <v>909</v>
      </c>
    </row>
    <row r="164" spans="1:3" x14ac:dyDescent="0.3">
      <c r="B164" t="s">
        <v>910</v>
      </c>
      <c r="C164" t="s">
        <v>911</v>
      </c>
    </row>
    <row r="165" spans="1:3" x14ac:dyDescent="0.3">
      <c r="A165" s="87" t="s">
        <v>21</v>
      </c>
      <c r="B165" t="s">
        <v>912</v>
      </c>
      <c r="C165" t="s">
        <v>913</v>
      </c>
    </row>
    <row r="166" spans="1:3" x14ac:dyDescent="0.3">
      <c r="A166" s="87" t="s">
        <v>21</v>
      </c>
      <c r="B166" t="s">
        <v>914</v>
      </c>
      <c r="C166" t="s">
        <v>915</v>
      </c>
    </row>
    <row r="167" spans="1:3" x14ac:dyDescent="0.3">
      <c r="A167" s="87" t="s">
        <v>21</v>
      </c>
      <c r="B167" t="s">
        <v>916</v>
      </c>
      <c r="C167" t="s">
        <v>917</v>
      </c>
    </row>
    <row r="168" spans="1:3" x14ac:dyDescent="0.3">
      <c r="A168" s="87" t="s">
        <v>22</v>
      </c>
      <c r="B168" t="s">
        <v>918</v>
      </c>
      <c r="C168" t="s">
        <v>919</v>
      </c>
    </row>
    <row r="169" spans="1:3" x14ac:dyDescent="0.3">
      <c r="B169" t="s">
        <v>920</v>
      </c>
      <c r="C169" t="s">
        <v>921</v>
      </c>
    </row>
    <row r="170" spans="1:3" x14ac:dyDescent="0.3">
      <c r="B170" t="s">
        <v>922</v>
      </c>
      <c r="C170" t="s">
        <v>923</v>
      </c>
    </row>
    <row r="171" spans="1:3" x14ac:dyDescent="0.3">
      <c r="A171" s="87" t="s">
        <v>22</v>
      </c>
      <c r="B171" t="s">
        <v>924</v>
      </c>
      <c r="C171" t="s">
        <v>925</v>
      </c>
    </row>
    <row r="172" spans="1:3" x14ac:dyDescent="0.3">
      <c r="A172" s="87" t="s">
        <v>22</v>
      </c>
      <c r="B172" t="s">
        <v>926</v>
      </c>
      <c r="C172" t="s">
        <v>927</v>
      </c>
    </row>
    <row r="173" spans="1:3" x14ac:dyDescent="0.3">
      <c r="A173" s="87" t="s">
        <v>22</v>
      </c>
      <c r="B173" t="s">
        <v>928</v>
      </c>
      <c r="C173" t="s">
        <v>929</v>
      </c>
    </row>
    <row r="174" spans="1:3" x14ac:dyDescent="0.3">
      <c r="A174" s="87" t="s">
        <v>22</v>
      </c>
      <c r="B174" t="s">
        <v>930</v>
      </c>
      <c r="C174" t="s">
        <v>931</v>
      </c>
    </row>
    <row r="175" spans="1:3" x14ac:dyDescent="0.3">
      <c r="B175" t="s">
        <v>932</v>
      </c>
      <c r="C175" t="s">
        <v>933</v>
      </c>
    </row>
    <row r="176" spans="1:3" x14ac:dyDescent="0.3">
      <c r="B176" t="s">
        <v>934</v>
      </c>
      <c r="C176" t="s">
        <v>935</v>
      </c>
    </row>
    <row r="177" spans="1:3" x14ac:dyDescent="0.3">
      <c r="B177" t="s">
        <v>936</v>
      </c>
      <c r="C177" t="s">
        <v>937</v>
      </c>
    </row>
    <row r="178" spans="1:3" x14ac:dyDescent="0.3">
      <c r="A178" s="87" t="s">
        <v>23</v>
      </c>
      <c r="B178" t="s">
        <v>938</v>
      </c>
      <c r="C178" t="s">
        <v>939</v>
      </c>
    </row>
    <row r="179" spans="1:3" x14ac:dyDescent="0.3">
      <c r="A179" s="87" t="s">
        <v>23</v>
      </c>
      <c r="B179" t="s">
        <v>940</v>
      </c>
      <c r="C179" t="s">
        <v>941</v>
      </c>
    </row>
    <row r="180" spans="1:3" x14ac:dyDescent="0.3">
      <c r="B180" t="s">
        <v>942</v>
      </c>
      <c r="C180" t="s">
        <v>943</v>
      </c>
    </row>
    <row r="181" spans="1:3" x14ac:dyDescent="0.3">
      <c r="B181" t="s">
        <v>944</v>
      </c>
      <c r="C181" t="s">
        <v>945</v>
      </c>
    </row>
    <row r="182" spans="1:3" x14ac:dyDescent="0.3">
      <c r="A182" s="87" t="s">
        <v>23</v>
      </c>
      <c r="B182" t="s">
        <v>946</v>
      </c>
      <c r="C182" t="s">
        <v>947</v>
      </c>
    </row>
    <row r="183" spans="1:3" x14ac:dyDescent="0.3">
      <c r="A183" s="87" t="s">
        <v>23</v>
      </c>
      <c r="B183" t="s">
        <v>948</v>
      </c>
      <c r="C183" t="s">
        <v>949</v>
      </c>
    </row>
    <row r="184" spans="1:3" x14ac:dyDescent="0.3">
      <c r="A184" s="87" t="s">
        <v>23</v>
      </c>
      <c r="B184" t="s">
        <v>950</v>
      </c>
      <c r="C184" t="s">
        <v>951</v>
      </c>
    </row>
    <row r="185" spans="1:3" x14ac:dyDescent="0.3">
      <c r="A185" s="87" t="s">
        <v>23</v>
      </c>
      <c r="B185" t="s">
        <v>952</v>
      </c>
      <c r="C185" t="s">
        <v>953</v>
      </c>
    </row>
    <row r="186" spans="1:3" x14ac:dyDescent="0.3">
      <c r="A186" s="87" t="s">
        <v>23</v>
      </c>
      <c r="B186" t="s">
        <v>954</v>
      </c>
      <c r="C186" t="s">
        <v>955</v>
      </c>
    </row>
    <row r="187" spans="1:3" x14ac:dyDescent="0.3">
      <c r="A187" s="87" t="s">
        <v>23</v>
      </c>
      <c r="B187" t="s">
        <v>956</v>
      </c>
      <c r="C187" t="s">
        <v>957</v>
      </c>
    </row>
    <row r="188" spans="1:3" x14ac:dyDescent="0.3">
      <c r="B188" t="s">
        <v>958</v>
      </c>
      <c r="C188" t="s">
        <v>959</v>
      </c>
    </row>
    <row r="189" spans="1:3" x14ac:dyDescent="0.3">
      <c r="B189" t="s">
        <v>960</v>
      </c>
      <c r="C189" t="s">
        <v>961</v>
      </c>
    </row>
    <row r="190" spans="1:3" x14ac:dyDescent="0.3">
      <c r="A190" s="87"/>
      <c r="B190" t="s">
        <v>962</v>
      </c>
      <c r="C190" t="s">
        <v>963</v>
      </c>
    </row>
    <row r="191" spans="1:3" x14ac:dyDescent="0.3">
      <c r="A191" s="87"/>
      <c r="B191" t="s">
        <v>964</v>
      </c>
      <c r="C191" t="s">
        <v>965</v>
      </c>
    </row>
    <row r="192" spans="1:3" x14ac:dyDescent="0.3">
      <c r="A192" s="87"/>
      <c r="B192" t="s">
        <v>966</v>
      </c>
      <c r="C192" t="s">
        <v>967</v>
      </c>
    </row>
    <row r="193" spans="1:3" x14ac:dyDescent="0.3">
      <c r="A193" s="87"/>
      <c r="B193" t="s">
        <v>968</v>
      </c>
      <c r="C193" t="s">
        <v>969</v>
      </c>
    </row>
    <row r="194" spans="1:3" x14ac:dyDescent="0.3">
      <c r="A194" s="87" t="s">
        <v>23</v>
      </c>
      <c r="B194" t="s">
        <v>970</v>
      </c>
      <c r="C194" t="s">
        <v>971</v>
      </c>
    </row>
    <row r="195" spans="1:3" x14ac:dyDescent="0.3">
      <c r="A195" s="87"/>
      <c r="B195" t="s">
        <v>972</v>
      </c>
      <c r="C195" t="s">
        <v>973</v>
      </c>
    </row>
    <row r="196" spans="1:3" x14ac:dyDescent="0.3">
      <c r="A196" s="87"/>
    </row>
    <row r="197" spans="1:3" x14ac:dyDescent="0.3">
      <c r="A197" s="87"/>
    </row>
    <row r="198" spans="1:3" x14ac:dyDescent="0.3">
      <c r="A198" s="87"/>
    </row>
    <row r="199" spans="1:3" x14ac:dyDescent="0.3">
      <c r="A199" s="87"/>
    </row>
    <row r="200" spans="1:3" x14ac:dyDescent="0.3">
      <c r="A200" s="87"/>
    </row>
    <row r="201" spans="1:3" x14ac:dyDescent="0.3">
      <c r="A201" s="87"/>
    </row>
    <row r="202" spans="1:3" x14ac:dyDescent="0.3">
      <c r="A202" s="87"/>
    </row>
    <row r="203" spans="1:3" x14ac:dyDescent="0.3">
      <c r="A203" s="87"/>
    </row>
    <row r="204" spans="1:3" x14ac:dyDescent="0.3">
      <c r="A204" s="87"/>
    </row>
    <row r="205" spans="1:3" x14ac:dyDescent="0.3">
      <c r="A205" s="89"/>
    </row>
    <row r="206" spans="1:3" x14ac:dyDescent="0.3">
      <c r="A206" s="89"/>
    </row>
    <row r="207" spans="1:3" x14ac:dyDescent="0.3">
      <c r="A207" s="89"/>
    </row>
    <row r="208" spans="1:3" x14ac:dyDescent="0.3">
      <c r="A208" s="89"/>
    </row>
    <row r="209" spans="1:1" x14ac:dyDescent="0.3">
      <c r="A209" s="89"/>
    </row>
    <row r="210" spans="1:1" x14ac:dyDescent="0.3">
      <c r="A210" s="89"/>
    </row>
    <row r="211" spans="1:1" x14ac:dyDescent="0.3">
      <c r="A211" s="89"/>
    </row>
    <row r="212" spans="1:1" x14ac:dyDescent="0.3">
      <c r="A212" s="89"/>
    </row>
    <row r="213" spans="1:1" x14ac:dyDescent="0.3">
      <c r="A213" s="89"/>
    </row>
    <row r="214" spans="1:1" x14ac:dyDescent="0.3">
      <c r="A214" s="89"/>
    </row>
    <row r="215" spans="1:1" x14ac:dyDescent="0.3">
      <c r="A215" s="89"/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9402-D6B1-4763-9763-72EE8E891C5C}">
  <sheetPr>
    <tabColor theme="9" tint="0.59999389629810485"/>
  </sheetPr>
  <dimension ref="A1:L201"/>
  <sheetViews>
    <sheetView workbookViewId="0">
      <selection activeCell="D197" sqref="D197"/>
    </sheetView>
  </sheetViews>
  <sheetFormatPr defaultRowHeight="16.5" x14ac:dyDescent="0.3"/>
  <cols>
    <col min="1" max="1" width="50.25" customWidth="1"/>
    <col min="2" max="2" width="10.75" customWidth="1"/>
    <col min="3" max="10" width="18.375" customWidth="1"/>
    <col min="11" max="11" width="14.625" style="22" customWidth="1"/>
    <col min="12" max="12" width="9.125" style="17"/>
  </cols>
  <sheetData>
    <row r="1" spans="1:12" ht="82.5" x14ac:dyDescent="0.3">
      <c r="A1" t="s">
        <v>503</v>
      </c>
      <c r="B1" t="s">
        <v>514</v>
      </c>
      <c r="C1" s="19" t="s">
        <v>502</v>
      </c>
      <c r="D1" s="19" t="s">
        <v>257</v>
      </c>
      <c r="E1" s="19" t="s">
        <v>258</v>
      </c>
      <c r="F1" s="19" t="s">
        <v>259</v>
      </c>
      <c r="G1" s="19" t="s">
        <v>260</v>
      </c>
      <c r="H1" s="19" t="s">
        <v>501</v>
      </c>
      <c r="I1" s="19" t="s">
        <v>500</v>
      </c>
      <c r="J1" s="19" t="s">
        <v>499</v>
      </c>
      <c r="K1" s="28" t="s">
        <v>498</v>
      </c>
      <c r="L1" s="25" t="s">
        <v>497</v>
      </c>
    </row>
    <row r="2" spans="1:12" x14ac:dyDescent="0.3">
      <c r="A2" t="s">
        <v>496</v>
      </c>
      <c r="B2" t="str">
        <f>VLOOKUP(A2, 'ISIC Code Mapping'!$A$2:$C$201, 3, FALSE)</f>
        <v>ISIC 01T03</v>
      </c>
      <c r="C2">
        <v>1</v>
      </c>
      <c r="D2">
        <v>0</v>
      </c>
      <c r="E2">
        <v>0</v>
      </c>
      <c r="F2">
        <v>0</v>
      </c>
      <c r="G2">
        <v>0</v>
      </c>
      <c r="H2">
        <v>153.80468253691322</v>
      </c>
      <c r="I2">
        <v>0</v>
      </c>
      <c r="J2">
        <v>6.6205080549372006E-2</v>
      </c>
      <c r="K2" s="22">
        <f t="shared" ref="K2:K33" si="0">D2+E2</f>
        <v>0</v>
      </c>
      <c r="L2" s="18" t="str">
        <f t="shared" ref="L2:L33" si="1">IF(K2&gt;0, D2/K2, "N/A")</f>
        <v>N/A</v>
      </c>
    </row>
    <row r="3" spans="1:12" x14ac:dyDescent="0.3">
      <c r="A3" t="s">
        <v>495</v>
      </c>
      <c r="B3" t="str">
        <f>VLOOKUP(A3, 'ISIC Code Mapping'!$A$2:$C$201, 3, FALSE)</f>
        <v>ISIC 01T03</v>
      </c>
      <c r="C3">
        <v>2</v>
      </c>
      <c r="D3">
        <v>0</v>
      </c>
      <c r="E3">
        <v>0</v>
      </c>
      <c r="F3">
        <v>0</v>
      </c>
      <c r="G3">
        <v>0</v>
      </c>
      <c r="H3">
        <v>8.0469877763739532</v>
      </c>
      <c r="I3">
        <v>0</v>
      </c>
      <c r="J3">
        <v>3.5525279607048633E-2</v>
      </c>
      <c r="K3" s="22">
        <f t="shared" si="0"/>
        <v>0</v>
      </c>
      <c r="L3" s="18" t="str">
        <f t="shared" si="1"/>
        <v>N/A</v>
      </c>
    </row>
    <row r="4" spans="1:12" x14ac:dyDescent="0.3">
      <c r="A4" t="s">
        <v>494</v>
      </c>
      <c r="B4" t="str">
        <f>VLOOKUP(A4, 'ISIC Code Mapping'!$A$2:$C$201, 3, FALSE)</f>
        <v>ISIC 01T03</v>
      </c>
      <c r="C4">
        <v>3</v>
      </c>
      <c r="D4">
        <v>0</v>
      </c>
      <c r="E4">
        <v>0</v>
      </c>
      <c r="F4">
        <v>0</v>
      </c>
      <c r="G4">
        <v>0</v>
      </c>
      <c r="H4">
        <v>18.286037976198806</v>
      </c>
      <c r="I4">
        <v>0</v>
      </c>
      <c r="J4">
        <v>0.58681182510552587</v>
      </c>
      <c r="K4" s="22">
        <f t="shared" si="0"/>
        <v>0</v>
      </c>
      <c r="L4" s="18" t="str">
        <f t="shared" si="1"/>
        <v>N/A</v>
      </c>
    </row>
    <row r="5" spans="1:12" x14ac:dyDescent="0.3">
      <c r="A5" t="s">
        <v>493</v>
      </c>
      <c r="B5" t="str">
        <f>VLOOKUP(A5, 'ISIC Code Mapping'!$A$2:$C$201, 3, FALSE)</f>
        <v>ISIC 01T03</v>
      </c>
      <c r="C5">
        <v>4</v>
      </c>
      <c r="D5">
        <v>7667.2108711364808</v>
      </c>
      <c r="E5">
        <v>0</v>
      </c>
      <c r="F5">
        <v>0</v>
      </c>
      <c r="G5">
        <v>58.06951033728177</v>
      </c>
      <c r="H5">
        <v>154.77060051682341</v>
      </c>
      <c r="I5">
        <v>0</v>
      </c>
      <c r="J5">
        <v>292.25767123142015</v>
      </c>
      <c r="K5" s="22">
        <f t="shared" si="0"/>
        <v>7667.2108711364808</v>
      </c>
      <c r="L5" s="18">
        <f t="shared" si="1"/>
        <v>1</v>
      </c>
    </row>
    <row r="6" spans="1:12" x14ac:dyDescent="0.3">
      <c r="A6" t="s">
        <v>492</v>
      </c>
      <c r="B6" t="str">
        <f>VLOOKUP(A6, 'ISIC Code Mapping'!$A$2:$C$201, 3, FALSE)</f>
        <v>ISIC 01T03</v>
      </c>
      <c r="C6">
        <v>5</v>
      </c>
      <c r="D6">
        <v>14.871594428128617</v>
      </c>
      <c r="E6">
        <v>0</v>
      </c>
      <c r="F6">
        <v>0</v>
      </c>
      <c r="G6">
        <v>0</v>
      </c>
      <c r="H6">
        <v>17.910339814661022</v>
      </c>
      <c r="I6">
        <v>0</v>
      </c>
      <c r="J6">
        <v>5.3287019619698759</v>
      </c>
      <c r="K6" s="22">
        <f t="shared" si="0"/>
        <v>14.871594428128617</v>
      </c>
      <c r="L6" s="18">
        <f t="shared" si="1"/>
        <v>1</v>
      </c>
    </row>
    <row r="7" spans="1:12" x14ac:dyDescent="0.3">
      <c r="A7" t="s">
        <v>491</v>
      </c>
      <c r="B7" t="str">
        <f>VLOOKUP(A7, 'ISIC Code Mapping'!$A$2:$C$201, 3, FALSE)</f>
        <v>ISIC 01T03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22">
        <f t="shared" si="0"/>
        <v>0</v>
      </c>
      <c r="L7" s="18" t="str">
        <f t="shared" si="1"/>
        <v>N/A</v>
      </c>
    </row>
    <row r="8" spans="1:12" x14ac:dyDescent="0.3">
      <c r="A8" t="s">
        <v>490</v>
      </c>
      <c r="B8" t="str">
        <f>VLOOKUP(A8, 'ISIC Code Mapping'!$A$2:$C$201, 3, FALSE)</f>
        <v>ISIC 01T03</v>
      </c>
      <c r="C8">
        <v>7</v>
      </c>
      <c r="D8">
        <v>5.1085358023127596E-3</v>
      </c>
      <c r="E8">
        <v>0</v>
      </c>
      <c r="F8">
        <v>0</v>
      </c>
      <c r="G8">
        <v>0</v>
      </c>
      <c r="H8">
        <v>3.266231099260478E-3</v>
      </c>
      <c r="I8">
        <v>0</v>
      </c>
      <c r="J8">
        <v>6.2780235856513711E-4</v>
      </c>
      <c r="K8" s="22">
        <f t="shared" si="0"/>
        <v>5.1085358023127596E-3</v>
      </c>
      <c r="L8" s="18">
        <f t="shared" si="1"/>
        <v>1</v>
      </c>
    </row>
    <row r="9" spans="1:12" x14ac:dyDescent="0.3">
      <c r="A9" t="s">
        <v>489</v>
      </c>
      <c r="B9" t="str">
        <f>VLOOKUP(A9, 'ISIC Code Mapping'!$A$2:$C$201, 3, FALSE)</f>
        <v>ISIC 01T03</v>
      </c>
      <c r="C9">
        <v>8</v>
      </c>
      <c r="D9">
        <v>325.64681980510909</v>
      </c>
      <c r="E9">
        <v>0</v>
      </c>
      <c r="F9">
        <v>0</v>
      </c>
      <c r="G9">
        <v>4.4115765175290091</v>
      </c>
      <c r="H9">
        <v>7.0174464549877182</v>
      </c>
      <c r="I9">
        <v>0</v>
      </c>
      <c r="J9">
        <v>214.60162275781315</v>
      </c>
      <c r="K9" s="22">
        <f t="shared" si="0"/>
        <v>325.64681980510909</v>
      </c>
      <c r="L9" s="18">
        <f t="shared" si="1"/>
        <v>1</v>
      </c>
    </row>
    <row r="10" spans="1:12" x14ac:dyDescent="0.3">
      <c r="A10" t="s">
        <v>488</v>
      </c>
      <c r="B10" t="str">
        <f>VLOOKUP(A10, 'ISIC Code Mapping'!$A$2:$C$201, 3, FALSE)</f>
        <v>ISIC 01T03</v>
      </c>
      <c r="C10">
        <v>9</v>
      </c>
      <c r="D10">
        <v>0</v>
      </c>
      <c r="E10">
        <v>0</v>
      </c>
      <c r="F10">
        <v>0</v>
      </c>
      <c r="G10">
        <v>0</v>
      </c>
      <c r="H10">
        <v>3152.2546077936604</v>
      </c>
      <c r="I10">
        <v>0</v>
      </c>
      <c r="J10">
        <v>0</v>
      </c>
      <c r="K10" s="22">
        <f t="shared" si="0"/>
        <v>0</v>
      </c>
      <c r="L10" s="18" t="str">
        <f t="shared" si="1"/>
        <v>N/A</v>
      </c>
    </row>
    <row r="11" spans="1:12" x14ac:dyDescent="0.3">
      <c r="A11" t="s">
        <v>487</v>
      </c>
      <c r="B11" t="str">
        <f>VLOOKUP(A11, 'ISIC Code Mapping'!$A$2:$C$201, 3, FALSE)</f>
        <v>ISIC 01T03</v>
      </c>
      <c r="C11">
        <v>10</v>
      </c>
      <c r="D11">
        <v>0</v>
      </c>
      <c r="E11">
        <v>0</v>
      </c>
      <c r="F11">
        <v>0</v>
      </c>
      <c r="G11">
        <v>0</v>
      </c>
      <c r="H11">
        <v>17.761077988599087</v>
      </c>
      <c r="I11">
        <v>0</v>
      </c>
      <c r="J11">
        <v>0</v>
      </c>
      <c r="K11" s="22">
        <f t="shared" si="0"/>
        <v>0</v>
      </c>
      <c r="L11" s="18" t="str">
        <f t="shared" si="1"/>
        <v>N/A</v>
      </c>
    </row>
    <row r="12" spans="1:12" x14ac:dyDescent="0.3">
      <c r="A12" t="s">
        <v>486</v>
      </c>
      <c r="B12" t="str">
        <f>VLOOKUP(A12, 'ISIC Code Mapping'!$A$2:$C$201, 3, FALSE)</f>
        <v>ISIC 01T03</v>
      </c>
      <c r="C12">
        <v>11</v>
      </c>
      <c r="D12">
        <v>0</v>
      </c>
      <c r="E12">
        <v>0</v>
      </c>
      <c r="F12">
        <v>0</v>
      </c>
      <c r="G12">
        <v>0</v>
      </c>
      <c r="H12">
        <v>122.2567038307631</v>
      </c>
      <c r="I12">
        <v>0</v>
      </c>
      <c r="J12">
        <v>0</v>
      </c>
      <c r="K12" s="22">
        <f t="shared" si="0"/>
        <v>0</v>
      </c>
      <c r="L12" s="18" t="str">
        <f t="shared" si="1"/>
        <v>N/A</v>
      </c>
    </row>
    <row r="13" spans="1:12" x14ac:dyDescent="0.3">
      <c r="A13" t="s">
        <v>485</v>
      </c>
      <c r="B13" t="str">
        <f>VLOOKUP(A13, 'ISIC Code Mapping'!$A$2:$C$201, 3, FALSE)</f>
        <v>ISIC 01T03</v>
      </c>
      <c r="C13">
        <v>12</v>
      </c>
      <c r="D13">
        <v>0</v>
      </c>
      <c r="E13">
        <v>0</v>
      </c>
      <c r="F13">
        <v>0</v>
      </c>
      <c r="G13">
        <v>0</v>
      </c>
      <c r="H13">
        <v>103.52509193885983</v>
      </c>
      <c r="I13">
        <v>0</v>
      </c>
      <c r="J13">
        <v>1.1839164781984599</v>
      </c>
      <c r="K13" s="22">
        <f t="shared" si="0"/>
        <v>0</v>
      </c>
      <c r="L13" s="18" t="str">
        <f t="shared" si="1"/>
        <v>N/A</v>
      </c>
    </row>
    <row r="14" spans="1:12" x14ac:dyDescent="0.3">
      <c r="A14" t="s">
        <v>484</v>
      </c>
      <c r="B14" t="str">
        <f>VLOOKUP(A14, 'ISIC Code Mapping'!$A$2:$C$201, 3, FALSE)</f>
        <v>ISIC 01T03</v>
      </c>
      <c r="C14">
        <v>13</v>
      </c>
      <c r="D14">
        <v>631.80023848080043</v>
      </c>
      <c r="E14">
        <v>0</v>
      </c>
      <c r="F14">
        <v>0</v>
      </c>
      <c r="G14">
        <v>106.4091586990176</v>
      </c>
      <c r="H14">
        <v>3.235970996993105</v>
      </c>
      <c r="I14">
        <v>0</v>
      </c>
      <c r="J14">
        <v>4.503014451052092</v>
      </c>
      <c r="K14" s="22">
        <f t="shared" si="0"/>
        <v>631.80023848080043</v>
      </c>
      <c r="L14" s="18">
        <f t="shared" si="1"/>
        <v>1</v>
      </c>
    </row>
    <row r="15" spans="1:12" x14ac:dyDescent="0.3">
      <c r="A15" t="s">
        <v>483</v>
      </c>
      <c r="B15" t="str">
        <f>VLOOKUP(A15, 'ISIC Code Mapping'!$A$2:$C$201, 3, FALSE)</f>
        <v>ISIC 01T03</v>
      </c>
      <c r="C15">
        <v>14</v>
      </c>
      <c r="D15">
        <v>19.427607684685164</v>
      </c>
      <c r="E15">
        <v>0</v>
      </c>
      <c r="F15">
        <v>0</v>
      </c>
      <c r="G15">
        <v>0</v>
      </c>
      <c r="H15">
        <v>14.490453696435136</v>
      </c>
      <c r="I15">
        <v>0</v>
      </c>
      <c r="J15">
        <v>0</v>
      </c>
      <c r="K15" s="22">
        <f t="shared" si="0"/>
        <v>19.427607684685164</v>
      </c>
      <c r="L15" s="18">
        <f t="shared" si="1"/>
        <v>1</v>
      </c>
    </row>
    <row r="16" spans="1:12" x14ac:dyDescent="0.3">
      <c r="A16" t="s">
        <v>482</v>
      </c>
      <c r="B16" t="str">
        <f>VLOOKUP(A16, 'ISIC Code Mapping'!$A$2:$C$201, 3, FALSE)</f>
        <v>ISIC 01T03</v>
      </c>
      <c r="C16">
        <v>15</v>
      </c>
      <c r="D16">
        <v>0</v>
      </c>
      <c r="E16">
        <v>0</v>
      </c>
      <c r="F16">
        <v>0</v>
      </c>
      <c r="G16">
        <v>0</v>
      </c>
      <c r="H16">
        <v>0.1004017667524066</v>
      </c>
      <c r="I16">
        <v>0</v>
      </c>
      <c r="J16">
        <v>2.7827015326571381E-2</v>
      </c>
      <c r="K16" s="22">
        <f t="shared" si="0"/>
        <v>0</v>
      </c>
      <c r="L16" s="18" t="str">
        <f t="shared" si="1"/>
        <v>N/A</v>
      </c>
    </row>
    <row r="17" spans="1:12" x14ac:dyDescent="0.3">
      <c r="A17" t="s">
        <v>481</v>
      </c>
      <c r="B17" t="str">
        <f>VLOOKUP(A17, 'ISIC Code Mapping'!$A$2:$C$201, 3, FALSE)</f>
        <v>ISIC 01T03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2">
        <f t="shared" si="0"/>
        <v>0</v>
      </c>
      <c r="L17" s="18" t="str">
        <f t="shared" si="1"/>
        <v>N/A</v>
      </c>
    </row>
    <row r="18" spans="1:12" x14ac:dyDescent="0.3">
      <c r="A18" t="s">
        <v>480</v>
      </c>
      <c r="B18" t="str">
        <f>VLOOKUP(A18, 'ISIC Code Mapping'!$A$2:$C$201, 3, FALSE)</f>
        <v>ISIC 01T03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22">
        <f t="shared" si="0"/>
        <v>0</v>
      </c>
      <c r="L18" s="18" t="str">
        <f t="shared" si="1"/>
        <v>N/A</v>
      </c>
    </row>
    <row r="19" spans="1:12" x14ac:dyDescent="0.3">
      <c r="A19" t="s">
        <v>479</v>
      </c>
      <c r="B19" t="str">
        <f>VLOOKUP(A19, 'ISIC Code Mapping'!$A$2:$C$201, 3, FALSE)</f>
        <v>ISIC 01T03</v>
      </c>
      <c r="C19">
        <v>18</v>
      </c>
      <c r="D19">
        <v>172.99413977606667</v>
      </c>
      <c r="E19">
        <v>0</v>
      </c>
      <c r="F19">
        <v>0</v>
      </c>
      <c r="G19">
        <v>49.933045344194042</v>
      </c>
      <c r="H19">
        <v>113.07568185818924</v>
      </c>
      <c r="I19">
        <v>0</v>
      </c>
      <c r="J19">
        <v>1.9818692770448585</v>
      </c>
      <c r="K19" s="22">
        <f t="shared" si="0"/>
        <v>172.99413977606667</v>
      </c>
      <c r="L19" s="18">
        <f t="shared" si="1"/>
        <v>1</v>
      </c>
    </row>
    <row r="20" spans="1:12" x14ac:dyDescent="0.3">
      <c r="A20" t="s">
        <v>478</v>
      </c>
      <c r="B20" t="str">
        <f>VLOOKUP(A20, 'ISIC Code Mapping'!$A$2:$C$201, 3, FALSE)</f>
        <v>ISIC 01T03</v>
      </c>
      <c r="C20">
        <v>19</v>
      </c>
      <c r="D20">
        <v>1188.8568716897737</v>
      </c>
      <c r="E20">
        <v>0</v>
      </c>
      <c r="F20">
        <v>0</v>
      </c>
      <c r="G20">
        <v>0</v>
      </c>
      <c r="H20">
        <v>28.824672348439922</v>
      </c>
      <c r="I20">
        <v>0</v>
      </c>
      <c r="J20">
        <v>436.84513781284943</v>
      </c>
      <c r="K20" s="22">
        <f t="shared" si="0"/>
        <v>1188.8568716897737</v>
      </c>
      <c r="L20" s="18">
        <f t="shared" si="1"/>
        <v>1</v>
      </c>
    </row>
    <row r="21" spans="1:12" x14ac:dyDescent="0.3">
      <c r="A21" t="s">
        <v>477</v>
      </c>
      <c r="B21" t="str">
        <f>VLOOKUP(A21, 'ISIC Code Mapping'!$A$2:$C$201, 3, FALSE)</f>
        <v>ISIC 05</v>
      </c>
      <c r="C21">
        <v>20</v>
      </c>
      <c r="D21">
        <v>0</v>
      </c>
      <c r="E21">
        <v>0</v>
      </c>
      <c r="F21">
        <v>0</v>
      </c>
      <c r="G21">
        <v>0</v>
      </c>
      <c r="H21">
        <v>23.40387052511344</v>
      </c>
      <c r="I21">
        <v>0</v>
      </c>
      <c r="J21">
        <v>6.6404852844942157</v>
      </c>
      <c r="K21" s="22">
        <f t="shared" si="0"/>
        <v>0</v>
      </c>
      <c r="L21" s="18" t="str">
        <f t="shared" si="1"/>
        <v>N/A</v>
      </c>
    </row>
    <row r="22" spans="1:12" x14ac:dyDescent="0.3">
      <c r="A22" t="s">
        <v>476</v>
      </c>
      <c r="B22" t="str">
        <f>VLOOKUP(A22, 'ISIC Code Mapping'!$A$2:$C$201, 3, FALSE)</f>
        <v>ISIC 05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22">
        <f t="shared" si="0"/>
        <v>0</v>
      </c>
      <c r="L22" s="18" t="str">
        <f t="shared" si="1"/>
        <v>N/A</v>
      </c>
    </row>
    <row r="23" spans="1:12" x14ac:dyDescent="0.3">
      <c r="A23" t="s">
        <v>475</v>
      </c>
      <c r="B23" t="str">
        <f>VLOOKUP(A23, 'ISIC Code Mapping'!$A$2:$C$201, 3, FALSE)</f>
        <v>ISIC 05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22">
        <f t="shared" si="0"/>
        <v>0</v>
      </c>
      <c r="L23" s="18" t="str">
        <f t="shared" si="1"/>
        <v>N/A</v>
      </c>
    </row>
    <row r="24" spans="1:12" x14ac:dyDescent="0.3">
      <c r="A24" t="s">
        <v>474</v>
      </c>
      <c r="B24" t="str">
        <f>VLOOKUP(A24, 'ISIC Code Mapping'!$A$2:$C$201, 3, FALSE)</f>
        <v>ISIC 05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22">
        <f t="shared" si="0"/>
        <v>0</v>
      </c>
      <c r="L24" s="18" t="str">
        <f t="shared" si="1"/>
        <v>N/A</v>
      </c>
    </row>
    <row r="25" spans="1:12" x14ac:dyDescent="0.3">
      <c r="A25" t="s">
        <v>473</v>
      </c>
      <c r="B25" t="str">
        <f>VLOOKUP(A25, 'ISIC Code Mapping'!$A$2:$C$201, 3, FALSE)</f>
        <v>ISIC 05</v>
      </c>
      <c r="C25">
        <v>24</v>
      </c>
      <c r="D25">
        <v>0</v>
      </c>
      <c r="E25">
        <v>0</v>
      </c>
      <c r="F25">
        <v>0</v>
      </c>
      <c r="G25">
        <v>0</v>
      </c>
      <c r="H25">
        <v>1.157853558746845</v>
      </c>
      <c r="I25">
        <v>0</v>
      </c>
      <c r="J25">
        <v>0.81273048398864456</v>
      </c>
      <c r="K25" s="22">
        <f t="shared" si="0"/>
        <v>0</v>
      </c>
      <c r="L25" s="18" t="str">
        <f t="shared" si="1"/>
        <v>N/A</v>
      </c>
    </row>
    <row r="26" spans="1:12" x14ac:dyDescent="0.3">
      <c r="A26" t="s">
        <v>472</v>
      </c>
      <c r="B26" t="str">
        <f>VLOOKUP(A26, 'ISIC Code Mapping'!$A$2:$C$201, 3, FALSE)</f>
        <v>ISIC 05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22">
        <f t="shared" si="0"/>
        <v>0</v>
      </c>
      <c r="L26" s="18" t="str">
        <f t="shared" si="1"/>
        <v>N/A</v>
      </c>
    </row>
    <row r="27" spans="1:12" x14ac:dyDescent="0.3">
      <c r="A27" t="s">
        <v>471</v>
      </c>
      <c r="B27" t="str">
        <f>VLOOKUP(A27, 'ISIC Code Mapping'!$A$2:$C$201, 3, FALSE)</f>
        <v>ISIC 05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22">
        <f t="shared" si="0"/>
        <v>0</v>
      </c>
      <c r="L27" s="18" t="str">
        <f t="shared" si="1"/>
        <v>N/A</v>
      </c>
    </row>
    <row r="28" spans="1:12" x14ac:dyDescent="0.3">
      <c r="A28" t="s">
        <v>470</v>
      </c>
      <c r="B28" t="str">
        <f>VLOOKUP(A28, 'ISIC Code Mapping'!$A$2:$C$201, 3, FALSE)</f>
        <v>ISIC 05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22">
        <f t="shared" si="0"/>
        <v>0</v>
      </c>
      <c r="L28" s="18" t="str">
        <f t="shared" si="1"/>
        <v>N/A</v>
      </c>
    </row>
    <row r="29" spans="1:12" x14ac:dyDescent="0.3">
      <c r="A29" t="s">
        <v>469</v>
      </c>
      <c r="B29" t="str">
        <f>VLOOKUP(A29, 'ISIC Code Mapping'!$A$2:$C$201, 3, FALSE)</f>
        <v>ISIC 06</v>
      </c>
      <c r="C29">
        <v>28</v>
      </c>
      <c r="D29">
        <v>0</v>
      </c>
      <c r="E29">
        <v>0</v>
      </c>
      <c r="F29">
        <v>0</v>
      </c>
      <c r="G29">
        <v>0</v>
      </c>
      <c r="H29">
        <v>92.109609452708966</v>
      </c>
      <c r="I29">
        <v>0</v>
      </c>
      <c r="J29">
        <v>19.893366641354707</v>
      </c>
      <c r="K29" s="22">
        <f t="shared" si="0"/>
        <v>0</v>
      </c>
      <c r="L29" s="18" t="str">
        <f t="shared" si="1"/>
        <v>N/A</v>
      </c>
    </row>
    <row r="30" spans="1:12" x14ac:dyDescent="0.3">
      <c r="A30" t="s">
        <v>468</v>
      </c>
      <c r="B30" t="str">
        <f>VLOOKUP(A30, 'ISIC Code Mapping'!$A$2:$C$201, 3, FALSE)</f>
        <v>ISIC 06</v>
      </c>
      <c r="C30">
        <v>29</v>
      </c>
      <c r="D30">
        <v>0</v>
      </c>
      <c r="E30">
        <v>0</v>
      </c>
      <c r="F30">
        <v>0</v>
      </c>
      <c r="G30">
        <v>0</v>
      </c>
      <c r="H30">
        <v>20.260543088023223</v>
      </c>
      <c r="I30">
        <v>0</v>
      </c>
      <c r="J30">
        <v>1.4694706937469415E-3</v>
      </c>
      <c r="K30" s="22">
        <f t="shared" si="0"/>
        <v>0</v>
      </c>
      <c r="L30" s="18" t="str">
        <f t="shared" si="1"/>
        <v>N/A</v>
      </c>
    </row>
    <row r="31" spans="1:12" x14ac:dyDescent="0.3">
      <c r="A31" t="s">
        <v>467</v>
      </c>
      <c r="B31" t="str">
        <f>VLOOKUP(A31, 'ISIC Code Mapping'!$A$2:$C$201, 3, FALSE)</f>
        <v>ISIC 06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22">
        <f t="shared" si="0"/>
        <v>0</v>
      </c>
      <c r="L31" s="18" t="str">
        <f t="shared" si="1"/>
        <v>N/A</v>
      </c>
    </row>
    <row r="32" spans="1:12" x14ac:dyDescent="0.3">
      <c r="A32" t="s">
        <v>466</v>
      </c>
      <c r="B32" t="str">
        <f>VLOOKUP(A32, 'ISIC Code Mapping'!$A$2:$C$201, 3, FALSE)</f>
        <v>ISIC 06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22">
        <f t="shared" si="0"/>
        <v>0</v>
      </c>
      <c r="L32" s="18" t="str">
        <f t="shared" si="1"/>
        <v>N/A</v>
      </c>
    </row>
    <row r="33" spans="1:12" x14ac:dyDescent="0.3">
      <c r="A33" t="s">
        <v>465</v>
      </c>
      <c r="B33" t="str">
        <f>VLOOKUP(A33, 'ISIC Code Mapping'!$A$2:$C$201, 3, FALSE)</f>
        <v>ISIC 07T08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22">
        <f t="shared" si="0"/>
        <v>0</v>
      </c>
      <c r="L33" s="18" t="str">
        <f t="shared" si="1"/>
        <v>N/A</v>
      </c>
    </row>
    <row r="34" spans="1:12" x14ac:dyDescent="0.3">
      <c r="A34" t="s">
        <v>464</v>
      </c>
      <c r="B34" t="str">
        <f>VLOOKUP(A34, 'ISIC Code Mapping'!$A$2:$C$201, 3, FALSE)</f>
        <v>ISIC 07T08</v>
      </c>
      <c r="C34">
        <v>33</v>
      </c>
      <c r="D34">
        <v>0</v>
      </c>
      <c r="E34">
        <v>0</v>
      </c>
      <c r="F34">
        <v>0</v>
      </c>
      <c r="G34">
        <v>0</v>
      </c>
      <c r="H34">
        <v>0.62907091387162228</v>
      </c>
      <c r="I34">
        <v>0</v>
      </c>
      <c r="J34">
        <v>18.302260184734191</v>
      </c>
      <c r="K34" s="22">
        <f t="shared" ref="K34:K65" si="2">D34+E34</f>
        <v>0</v>
      </c>
      <c r="L34" s="18" t="str">
        <f t="shared" ref="L34:L65" si="3">IF(K34&gt;0, D34/K34, "N/A")</f>
        <v>N/A</v>
      </c>
    </row>
    <row r="35" spans="1:12" x14ac:dyDescent="0.3">
      <c r="A35" t="s">
        <v>463</v>
      </c>
      <c r="B35" t="str">
        <f>VLOOKUP(A35, 'ISIC Code Mapping'!$A$2:$C$201, 3, FALSE)</f>
        <v>ISIC 07T08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1.1752773240641513E-2</v>
      </c>
      <c r="K35" s="22">
        <f t="shared" si="2"/>
        <v>0</v>
      </c>
      <c r="L35" s="18" t="str">
        <f t="shared" si="3"/>
        <v>N/A</v>
      </c>
    </row>
    <row r="36" spans="1:12" x14ac:dyDescent="0.3">
      <c r="A36" t="s">
        <v>462</v>
      </c>
      <c r="B36" t="str">
        <f>VLOOKUP(A36, 'ISIC Code Mapping'!$A$2:$C$201, 3, FALSE)</f>
        <v>ISIC 07T08</v>
      </c>
      <c r="C36">
        <v>35</v>
      </c>
      <c r="D36">
        <v>0</v>
      </c>
      <c r="E36">
        <v>0</v>
      </c>
      <c r="F36">
        <v>0</v>
      </c>
      <c r="G36">
        <v>0</v>
      </c>
      <c r="H36">
        <v>24.588589926321614</v>
      </c>
      <c r="I36">
        <v>0</v>
      </c>
      <c r="J36">
        <v>1.8569952090211053</v>
      </c>
      <c r="K36" s="22">
        <f t="shared" si="2"/>
        <v>0</v>
      </c>
      <c r="L36" s="18" t="str">
        <f t="shared" si="3"/>
        <v>N/A</v>
      </c>
    </row>
    <row r="37" spans="1:12" x14ac:dyDescent="0.3">
      <c r="A37" t="s">
        <v>461</v>
      </c>
      <c r="B37" t="str">
        <f>VLOOKUP(A37, 'ISIC Code Mapping'!$A$2:$C$201, 3, FALSE)</f>
        <v>ISIC 07T08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22">
        <f t="shared" si="2"/>
        <v>0</v>
      </c>
      <c r="L37" s="18" t="str">
        <f t="shared" si="3"/>
        <v>N/A</v>
      </c>
    </row>
    <row r="38" spans="1:12" x14ac:dyDescent="0.3">
      <c r="A38" t="s">
        <v>460</v>
      </c>
      <c r="B38" t="str">
        <f>VLOOKUP(A38, 'ISIC Code Mapping'!$A$2:$C$201, 3, FALSE)</f>
        <v>ISIC 07T08</v>
      </c>
      <c r="C38">
        <v>37</v>
      </c>
      <c r="D38">
        <v>0</v>
      </c>
      <c r="E38">
        <v>0</v>
      </c>
      <c r="F38">
        <v>0</v>
      </c>
      <c r="G38">
        <v>0</v>
      </c>
      <c r="H38">
        <v>1.6125057950840067</v>
      </c>
      <c r="I38">
        <v>0</v>
      </c>
      <c r="J38">
        <v>4.5705300608439696</v>
      </c>
      <c r="K38" s="22">
        <f t="shared" si="2"/>
        <v>0</v>
      </c>
      <c r="L38" s="18" t="str">
        <f t="shared" si="3"/>
        <v>N/A</v>
      </c>
    </row>
    <row r="39" spans="1:12" x14ac:dyDescent="0.3">
      <c r="A39" t="s">
        <v>459</v>
      </c>
      <c r="B39" t="str">
        <f>VLOOKUP(A39, 'ISIC Code Mapping'!$A$2:$C$201, 3, FALSE)</f>
        <v>ISIC 07T08</v>
      </c>
      <c r="C39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13.879474909756597</v>
      </c>
      <c r="K39" s="22">
        <f t="shared" si="2"/>
        <v>0</v>
      </c>
      <c r="L39" s="18" t="str">
        <f t="shared" si="3"/>
        <v>N/A</v>
      </c>
    </row>
    <row r="40" spans="1:12" x14ac:dyDescent="0.3">
      <c r="A40" t="s">
        <v>458</v>
      </c>
      <c r="B40" t="str">
        <f>VLOOKUP(A40, 'ISIC Code Mapping'!$A$2:$C$201, 3, FALSE)</f>
        <v>ISIC 07T08</v>
      </c>
      <c r="C40">
        <v>39</v>
      </c>
      <c r="D40">
        <v>0</v>
      </c>
      <c r="E40">
        <v>0</v>
      </c>
      <c r="F40">
        <v>0</v>
      </c>
      <c r="G40">
        <v>0</v>
      </c>
      <c r="H40">
        <v>6.0763382964924173E-2</v>
      </c>
      <c r="I40">
        <v>0</v>
      </c>
      <c r="J40">
        <v>5.6605976287062143</v>
      </c>
      <c r="K40" s="22">
        <f t="shared" si="2"/>
        <v>0</v>
      </c>
      <c r="L40" s="18" t="str">
        <f t="shared" si="3"/>
        <v>N/A</v>
      </c>
    </row>
    <row r="41" spans="1:12" x14ac:dyDescent="0.3">
      <c r="A41" t="s">
        <v>457</v>
      </c>
      <c r="B41" t="str">
        <f>VLOOKUP(A41, 'ISIC Code Mapping'!$A$2:$C$201, 3, FALSE)</f>
        <v>ISIC 07T08</v>
      </c>
      <c r="C41">
        <v>40</v>
      </c>
      <c r="D41">
        <v>0.35463699771559581</v>
      </c>
      <c r="E41">
        <v>0</v>
      </c>
      <c r="F41">
        <v>0</v>
      </c>
      <c r="G41">
        <v>0</v>
      </c>
      <c r="H41">
        <v>126.64034918119668</v>
      </c>
      <c r="I41">
        <v>0</v>
      </c>
      <c r="J41">
        <v>13.451200359004526</v>
      </c>
      <c r="K41" s="22">
        <f t="shared" si="2"/>
        <v>0.35463699771559581</v>
      </c>
      <c r="L41" s="18">
        <f t="shared" si="3"/>
        <v>1</v>
      </c>
    </row>
    <row r="42" spans="1:12" x14ac:dyDescent="0.3">
      <c r="A42" t="s">
        <v>456</v>
      </c>
      <c r="B42" t="str">
        <f>VLOOKUP(A42, 'ISIC Code Mapping'!$A$2:$C$201, 3, FALSE)</f>
        <v>ISIC 07T08</v>
      </c>
      <c r="C42">
        <v>41</v>
      </c>
      <c r="D42">
        <v>8.7248729999600414</v>
      </c>
      <c r="E42">
        <v>0</v>
      </c>
      <c r="F42">
        <v>0</v>
      </c>
      <c r="G42">
        <v>0</v>
      </c>
      <c r="H42">
        <v>872.63929293518515</v>
      </c>
      <c r="I42">
        <v>0</v>
      </c>
      <c r="J42">
        <v>35.369023536343903</v>
      </c>
      <c r="K42" s="22">
        <f t="shared" si="2"/>
        <v>8.7248729999600414</v>
      </c>
      <c r="L42" s="18">
        <f t="shared" si="3"/>
        <v>1</v>
      </c>
    </row>
    <row r="43" spans="1:12" x14ac:dyDescent="0.3">
      <c r="A43" t="s">
        <v>455</v>
      </c>
      <c r="B43" t="str">
        <f>VLOOKUP(A43, 'ISIC Code Mapping'!$A$2:$C$201, 3, FALSE)</f>
        <v>ISIC 07T08</v>
      </c>
      <c r="C43">
        <v>42</v>
      </c>
      <c r="D43">
        <v>32.83743915270567</v>
      </c>
      <c r="E43">
        <v>0</v>
      </c>
      <c r="F43">
        <v>0</v>
      </c>
      <c r="G43">
        <v>0</v>
      </c>
      <c r="H43">
        <v>6.2174728444509446</v>
      </c>
      <c r="I43">
        <v>0</v>
      </c>
      <c r="J43">
        <v>285.07833881959436</v>
      </c>
      <c r="K43" s="22">
        <f t="shared" si="2"/>
        <v>32.83743915270567</v>
      </c>
      <c r="L43" s="18">
        <f t="shared" si="3"/>
        <v>1</v>
      </c>
    </row>
    <row r="44" spans="1:12" x14ac:dyDescent="0.3">
      <c r="A44" t="s">
        <v>454</v>
      </c>
      <c r="B44" t="str">
        <f>VLOOKUP(A44, 'ISIC Code Mapping'!$A$2:$C$201, 3, FALSE)</f>
        <v>ISIC 10T12</v>
      </c>
      <c r="C44">
        <v>43</v>
      </c>
      <c r="D44">
        <v>472.68850942721656</v>
      </c>
      <c r="E44">
        <v>0</v>
      </c>
      <c r="F44">
        <v>0</v>
      </c>
      <c r="G44">
        <v>0</v>
      </c>
      <c r="H44">
        <v>243.17373335858417</v>
      </c>
      <c r="I44">
        <v>0</v>
      </c>
      <c r="J44">
        <v>24.247936800819797</v>
      </c>
      <c r="K44" s="22">
        <f t="shared" si="2"/>
        <v>472.68850942721656</v>
      </c>
      <c r="L44" s="18">
        <f t="shared" si="3"/>
        <v>1</v>
      </c>
    </row>
    <row r="45" spans="1:12" x14ac:dyDescent="0.3">
      <c r="A45" t="s">
        <v>453</v>
      </c>
      <c r="B45" t="str">
        <f>VLOOKUP(A45, 'ISIC Code Mapping'!$A$2:$C$201, 3, FALSE)</f>
        <v>ISIC 10T12</v>
      </c>
      <c r="C45">
        <v>44</v>
      </c>
      <c r="D45">
        <v>3055.6560882036911</v>
      </c>
      <c r="E45">
        <v>0</v>
      </c>
      <c r="F45">
        <v>0</v>
      </c>
      <c r="G45">
        <v>0</v>
      </c>
      <c r="H45">
        <v>224.33634984786599</v>
      </c>
      <c r="I45">
        <v>0</v>
      </c>
      <c r="J45">
        <v>0.8708964497905578</v>
      </c>
      <c r="K45" s="22">
        <f t="shared" si="2"/>
        <v>3055.6560882036911</v>
      </c>
      <c r="L45" s="18">
        <f t="shared" si="3"/>
        <v>1</v>
      </c>
    </row>
    <row r="46" spans="1:12" x14ac:dyDescent="0.3">
      <c r="A46" t="s">
        <v>452</v>
      </c>
      <c r="B46" t="str">
        <f>VLOOKUP(A46, 'ISIC Code Mapping'!$A$2:$C$201, 3, FALSE)</f>
        <v>ISIC 10T12</v>
      </c>
      <c r="C46">
        <v>45</v>
      </c>
      <c r="D46">
        <v>1075.554024622372</v>
      </c>
      <c r="E46">
        <v>0</v>
      </c>
      <c r="F46">
        <v>0</v>
      </c>
      <c r="G46">
        <v>0</v>
      </c>
      <c r="H46">
        <v>115.03149853882458</v>
      </c>
      <c r="I46">
        <v>0</v>
      </c>
      <c r="J46">
        <v>22.893817057237861</v>
      </c>
      <c r="K46" s="22">
        <f t="shared" si="2"/>
        <v>1075.554024622372</v>
      </c>
      <c r="L46" s="18">
        <f t="shared" si="3"/>
        <v>1</v>
      </c>
    </row>
    <row r="47" spans="1:12" x14ac:dyDescent="0.3">
      <c r="A47" t="s">
        <v>451</v>
      </c>
      <c r="B47" t="str">
        <f>VLOOKUP(A47, 'ISIC Code Mapping'!$A$2:$C$201, 3, FALSE)</f>
        <v>ISIC 10T12</v>
      </c>
      <c r="C47">
        <v>46</v>
      </c>
      <c r="D47">
        <v>312.07474818786807</v>
      </c>
      <c r="E47">
        <v>0</v>
      </c>
      <c r="F47">
        <v>0</v>
      </c>
      <c r="G47">
        <v>0</v>
      </c>
      <c r="H47">
        <v>6.6634529943455201</v>
      </c>
      <c r="I47">
        <v>0</v>
      </c>
      <c r="J47">
        <v>30.238204423153213</v>
      </c>
      <c r="K47" s="22">
        <f t="shared" si="2"/>
        <v>312.07474818786807</v>
      </c>
      <c r="L47" s="18">
        <f t="shared" si="3"/>
        <v>1</v>
      </c>
    </row>
    <row r="48" spans="1:12" x14ac:dyDescent="0.3">
      <c r="A48" t="s">
        <v>450</v>
      </c>
      <c r="B48" t="str">
        <f>VLOOKUP(A48, 'ISIC Code Mapping'!$A$2:$C$201, 3, FALSE)</f>
        <v>ISIC 10T12</v>
      </c>
      <c r="C48">
        <v>47</v>
      </c>
      <c r="D48">
        <v>9.9621819016654243</v>
      </c>
      <c r="E48">
        <v>0</v>
      </c>
      <c r="F48">
        <v>0</v>
      </c>
      <c r="G48">
        <v>0</v>
      </c>
      <c r="H48">
        <v>0</v>
      </c>
      <c r="I48">
        <v>0</v>
      </c>
      <c r="J48">
        <v>136.79387438910621</v>
      </c>
      <c r="K48" s="22">
        <f t="shared" si="2"/>
        <v>9.9621819016654243</v>
      </c>
      <c r="L48" s="18">
        <f t="shared" si="3"/>
        <v>1</v>
      </c>
    </row>
    <row r="49" spans="1:12" x14ac:dyDescent="0.3">
      <c r="A49" t="s">
        <v>449</v>
      </c>
      <c r="B49" t="str">
        <f>VLOOKUP(A49, 'ISIC Code Mapping'!$A$2:$C$201, 3, FALSE)</f>
        <v>ISIC 10T12</v>
      </c>
      <c r="C49">
        <v>48</v>
      </c>
      <c r="D49">
        <v>2691.0913041623276</v>
      </c>
      <c r="E49">
        <v>0</v>
      </c>
      <c r="F49">
        <v>0</v>
      </c>
      <c r="G49">
        <v>0</v>
      </c>
      <c r="H49">
        <v>246.35088974666874</v>
      </c>
      <c r="I49">
        <v>0</v>
      </c>
      <c r="J49">
        <v>122.43411623619322</v>
      </c>
      <c r="K49" s="22">
        <f t="shared" si="2"/>
        <v>2691.0913041623276</v>
      </c>
      <c r="L49" s="18">
        <f t="shared" si="3"/>
        <v>1</v>
      </c>
    </row>
    <row r="50" spans="1:12" x14ac:dyDescent="0.3">
      <c r="A50" t="s">
        <v>448</v>
      </c>
      <c r="B50" t="str">
        <f>VLOOKUP(A50, 'ISIC Code Mapping'!$A$2:$C$201, 3, FALSE)</f>
        <v>ISIC 10T12</v>
      </c>
      <c r="C50">
        <v>49</v>
      </c>
      <c r="D50">
        <v>111.57877822579496</v>
      </c>
      <c r="E50">
        <v>0</v>
      </c>
      <c r="F50">
        <v>0</v>
      </c>
      <c r="G50">
        <v>0</v>
      </c>
      <c r="H50">
        <v>8.0682484975885682</v>
      </c>
      <c r="I50">
        <v>0</v>
      </c>
      <c r="J50">
        <v>4.263666255872999</v>
      </c>
      <c r="K50" s="22">
        <f t="shared" si="2"/>
        <v>111.57877822579496</v>
      </c>
      <c r="L50" s="18">
        <f t="shared" si="3"/>
        <v>1</v>
      </c>
    </row>
    <row r="51" spans="1:12" x14ac:dyDescent="0.3">
      <c r="A51" t="s">
        <v>447</v>
      </c>
      <c r="B51" t="str">
        <f>VLOOKUP(A51, 'ISIC Code Mapping'!$A$2:$C$201, 3, FALSE)</f>
        <v>ISIC 10T12</v>
      </c>
      <c r="C51">
        <v>50</v>
      </c>
      <c r="D51">
        <v>43.354582349947101</v>
      </c>
      <c r="E51">
        <v>0</v>
      </c>
      <c r="F51">
        <v>0</v>
      </c>
      <c r="G51">
        <v>0</v>
      </c>
      <c r="H51">
        <v>13.446497797778349</v>
      </c>
      <c r="I51">
        <v>0</v>
      </c>
      <c r="J51">
        <v>245.54040741750242</v>
      </c>
      <c r="K51" s="22">
        <f t="shared" si="2"/>
        <v>43.354582349947101</v>
      </c>
      <c r="L51" s="18">
        <f t="shared" si="3"/>
        <v>1</v>
      </c>
    </row>
    <row r="52" spans="1:12" x14ac:dyDescent="0.3">
      <c r="A52" t="s">
        <v>446</v>
      </c>
      <c r="B52" t="str">
        <f>VLOOKUP(A52, 'ISIC Code Mapping'!$A$2:$C$201, 3, FALSE)</f>
        <v>ISIC 10T12</v>
      </c>
      <c r="C52">
        <v>51</v>
      </c>
      <c r="D52">
        <v>14865.493721816632</v>
      </c>
      <c r="E52">
        <v>0</v>
      </c>
      <c r="F52">
        <v>0</v>
      </c>
      <c r="G52">
        <v>0</v>
      </c>
      <c r="H52">
        <v>1913.5000957537238</v>
      </c>
      <c r="I52">
        <v>0</v>
      </c>
      <c r="J52">
        <v>2838.7673945583847</v>
      </c>
      <c r="K52" s="22">
        <f t="shared" si="2"/>
        <v>14865.493721816632</v>
      </c>
      <c r="L52" s="18">
        <f t="shared" si="3"/>
        <v>1</v>
      </c>
    </row>
    <row r="53" spans="1:12" x14ac:dyDescent="0.3">
      <c r="A53" t="s">
        <v>445</v>
      </c>
      <c r="B53" t="str">
        <f>VLOOKUP(A53, 'ISIC Code Mapping'!$A$2:$C$201, 3, FALSE)</f>
        <v>ISIC 10T12</v>
      </c>
      <c r="C53">
        <v>52</v>
      </c>
      <c r="D53">
        <v>3237.6385514219587</v>
      </c>
      <c r="E53">
        <v>0</v>
      </c>
      <c r="F53">
        <v>0</v>
      </c>
      <c r="G53">
        <v>0</v>
      </c>
      <c r="H53">
        <v>191.10464434110864</v>
      </c>
      <c r="I53">
        <v>0</v>
      </c>
      <c r="J53">
        <v>822.67210411583278</v>
      </c>
      <c r="K53" s="22">
        <f t="shared" si="2"/>
        <v>3237.6385514219587</v>
      </c>
      <c r="L53" s="18">
        <f t="shared" si="3"/>
        <v>1</v>
      </c>
    </row>
    <row r="54" spans="1:12" x14ac:dyDescent="0.3">
      <c r="A54" t="s">
        <v>444</v>
      </c>
      <c r="B54" t="str">
        <f>VLOOKUP(A54, 'ISIC Code Mapping'!$A$2:$C$201, 3, FALSE)</f>
        <v>ISIC 10T12</v>
      </c>
      <c r="C54">
        <v>53</v>
      </c>
      <c r="D54">
        <v>2554.742375947887</v>
      </c>
      <c r="E54">
        <v>0</v>
      </c>
      <c r="F54">
        <v>0</v>
      </c>
      <c r="G54">
        <v>0</v>
      </c>
      <c r="H54">
        <v>120.86428100906811</v>
      </c>
      <c r="I54">
        <v>0</v>
      </c>
      <c r="J54">
        <v>1435.5085879063965</v>
      </c>
      <c r="K54" s="22">
        <f t="shared" si="2"/>
        <v>2554.742375947887</v>
      </c>
      <c r="L54" s="18">
        <f t="shared" si="3"/>
        <v>1</v>
      </c>
    </row>
    <row r="55" spans="1:12" x14ac:dyDescent="0.3">
      <c r="A55" t="s">
        <v>443</v>
      </c>
      <c r="B55" t="str">
        <f>VLOOKUP(A55, 'ISIC Code Mapping'!$A$2:$C$201, 3, FALSE)</f>
        <v>ISIC 10T12</v>
      </c>
      <c r="C55">
        <v>54</v>
      </c>
      <c r="D55">
        <v>1956.6145281819547</v>
      </c>
      <c r="E55">
        <v>0</v>
      </c>
      <c r="F55">
        <v>0</v>
      </c>
      <c r="G55">
        <v>0</v>
      </c>
      <c r="H55">
        <v>26.847151994925181</v>
      </c>
      <c r="I55">
        <v>0</v>
      </c>
      <c r="J55">
        <v>792.83074052937206</v>
      </c>
      <c r="K55" s="22">
        <f t="shared" si="2"/>
        <v>1956.6145281819547</v>
      </c>
      <c r="L55" s="18">
        <f t="shared" si="3"/>
        <v>1</v>
      </c>
    </row>
    <row r="56" spans="1:12" x14ac:dyDescent="0.3">
      <c r="A56" t="s">
        <v>442</v>
      </c>
      <c r="B56" t="str">
        <f>VLOOKUP(A56, 'ISIC Code Mapping'!$A$2:$C$201, 3, FALSE)</f>
        <v>ISIC 13T15</v>
      </c>
      <c r="C56">
        <v>55</v>
      </c>
      <c r="D56">
        <v>8714.5542771740402</v>
      </c>
      <c r="E56">
        <v>0</v>
      </c>
      <c r="F56">
        <v>0</v>
      </c>
      <c r="G56">
        <v>222.11679589248305</v>
      </c>
      <c r="H56">
        <v>1261.0054621611553</v>
      </c>
      <c r="I56">
        <v>0</v>
      </c>
      <c r="J56">
        <v>11324.660757276642</v>
      </c>
      <c r="K56" s="22">
        <f t="shared" si="2"/>
        <v>8714.5542771740402</v>
      </c>
      <c r="L56" s="18">
        <f t="shared" si="3"/>
        <v>1</v>
      </c>
    </row>
    <row r="57" spans="1:12" x14ac:dyDescent="0.3">
      <c r="A57" t="s">
        <v>441</v>
      </c>
      <c r="B57" t="str">
        <f>VLOOKUP(A57, 'ISIC Code Mapping'!$A$2:$C$201, 3, FALSE)</f>
        <v>ISIC 13T15</v>
      </c>
      <c r="C57">
        <v>56</v>
      </c>
      <c r="D57">
        <v>4221.4744022307686</v>
      </c>
      <c r="E57">
        <v>0</v>
      </c>
      <c r="F57">
        <v>0</v>
      </c>
      <c r="G57">
        <v>1.178928406535211</v>
      </c>
      <c r="H57">
        <v>207.66006619839317</v>
      </c>
      <c r="I57">
        <v>0</v>
      </c>
      <c r="J57">
        <v>1879.9739259520597</v>
      </c>
      <c r="K57" s="22">
        <f t="shared" si="2"/>
        <v>4221.4744022307686</v>
      </c>
      <c r="L57" s="18">
        <f t="shared" si="3"/>
        <v>1</v>
      </c>
    </row>
    <row r="58" spans="1:12" x14ac:dyDescent="0.3">
      <c r="A58" t="s">
        <v>440</v>
      </c>
      <c r="B58" t="str">
        <f>VLOOKUP(A58, 'ISIC Code Mapping'!$A$2:$C$201, 3, FALSE)</f>
        <v>ISIC 13T15</v>
      </c>
      <c r="C58">
        <v>57</v>
      </c>
      <c r="D58">
        <v>2441.5947797470608</v>
      </c>
      <c r="E58">
        <v>0</v>
      </c>
      <c r="F58">
        <v>0</v>
      </c>
      <c r="G58">
        <v>0</v>
      </c>
      <c r="H58">
        <v>313.9568511326566</v>
      </c>
      <c r="I58">
        <v>0</v>
      </c>
      <c r="J58">
        <v>2204.1544029237352</v>
      </c>
      <c r="K58" s="22">
        <f t="shared" si="2"/>
        <v>2441.5947797470608</v>
      </c>
      <c r="L58" s="18">
        <f t="shared" si="3"/>
        <v>1</v>
      </c>
    </row>
    <row r="59" spans="1:12" x14ac:dyDescent="0.3">
      <c r="A59" t="s">
        <v>439</v>
      </c>
      <c r="B59" t="str">
        <f>VLOOKUP(A59, 'ISIC Code Mapping'!$A$2:$C$201, 3, FALSE)</f>
        <v>ISIC 16</v>
      </c>
      <c r="C59">
        <v>58</v>
      </c>
      <c r="D59">
        <v>57.259458268394383</v>
      </c>
      <c r="E59">
        <v>0</v>
      </c>
      <c r="F59">
        <v>0</v>
      </c>
      <c r="G59">
        <v>0</v>
      </c>
      <c r="H59">
        <v>142.28098017538235</v>
      </c>
      <c r="I59">
        <v>0</v>
      </c>
      <c r="J59">
        <v>115.29084736676867</v>
      </c>
      <c r="K59" s="22">
        <f t="shared" si="2"/>
        <v>57.259458268394383</v>
      </c>
      <c r="L59" s="18">
        <f t="shared" si="3"/>
        <v>1</v>
      </c>
    </row>
    <row r="60" spans="1:12" x14ac:dyDescent="0.3">
      <c r="A60" t="s">
        <v>438</v>
      </c>
      <c r="B60" t="str">
        <f>VLOOKUP(A60, 'ISIC Code Mapping'!$A$2:$C$201, 3, FALSE)</f>
        <v>ISIC 16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22">
        <f t="shared" si="2"/>
        <v>0</v>
      </c>
      <c r="L60" s="18" t="str">
        <f t="shared" si="3"/>
        <v>N/A</v>
      </c>
    </row>
    <row r="61" spans="1:12" x14ac:dyDescent="0.3">
      <c r="A61" t="s">
        <v>437</v>
      </c>
      <c r="B61" t="str">
        <f>VLOOKUP(A61, 'ISIC Code Mapping'!$A$2:$C$201, 3, FALSE)</f>
        <v>ISIC 17T18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111.44113910380359</v>
      </c>
      <c r="K61" s="22">
        <f t="shared" si="2"/>
        <v>0</v>
      </c>
      <c r="L61" s="18" t="str">
        <f t="shared" si="3"/>
        <v>N/A</v>
      </c>
    </row>
    <row r="62" spans="1:12" x14ac:dyDescent="0.3">
      <c r="A62" t="s">
        <v>436</v>
      </c>
      <c r="B62" t="str">
        <f>VLOOKUP(A62, 'ISIC Code Mapping'!$A$2:$C$201, 3, FALSE)</f>
        <v>ISIC 17T18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22">
        <f t="shared" si="2"/>
        <v>0</v>
      </c>
      <c r="L62" s="18" t="str">
        <f t="shared" si="3"/>
        <v>N/A</v>
      </c>
    </row>
    <row r="63" spans="1:12" x14ac:dyDescent="0.3">
      <c r="A63" t="s">
        <v>263</v>
      </c>
      <c r="B63" t="str">
        <f>VLOOKUP(A63, 'ISIC Code Mapping'!$A$2:$C$201, 3, FALSE)</f>
        <v>ISIC 17T18</v>
      </c>
      <c r="C63">
        <v>62</v>
      </c>
      <c r="D63">
        <v>585.85027815742842</v>
      </c>
      <c r="E63">
        <v>0</v>
      </c>
      <c r="F63">
        <v>0</v>
      </c>
      <c r="G63">
        <v>0</v>
      </c>
      <c r="H63">
        <v>168.97761426217895</v>
      </c>
      <c r="I63">
        <v>0</v>
      </c>
      <c r="J63">
        <v>3637.4338372566713</v>
      </c>
      <c r="K63" s="22">
        <f t="shared" si="2"/>
        <v>585.85027815742842</v>
      </c>
      <c r="L63" s="18">
        <f t="shared" si="3"/>
        <v>1</v>
      </c>
    </row>
    <row r="64" spans="1:12" x14ac:dyDescent="0.3">
      <c r="A64" t="s">
        <v>435</v>
      </c>
      <c r="B64" t="str">
        <f>VLOOKUP(A64, 'ISIC Code Mapping'!$A$2:$C$201, 3, FALSE)</f>
        <v>ISIC 17T18</v>
      </c>
      <c r="C64">
        <v>63</v>
      </c>
      <c r="D64">
        <v>68.837212585274855</v>
      </c>
      <c r="E64">
        <v>0</v>
      </c>
      <c r="F64">
        <v>0</v>
      </c>
      <c r="G64">
        <v>0</v>
      </c>
      <c r="H64">
        <v>6.2572925803575226</v>
      </c>
      <c r="I64">
        <v>0</v>
      </c>
      <c r="J64">
        <v>560.12173249732109</v>
      </c>
      <c r="K64" s="22">
        <f t="shared" si="2"/>
        <v>68.837212585274855</v>
      </c>
      <c r="L64" s="18">
        <f t="shared" si="3"/>
        <v>1</v>
      </c>
    </row>
    <row r="65" spans="1:12" x14ac:dyDescent="0.3">
      <c r="A65" t="s">
        <v>434</v>
      </c>
      <c r="B65" t="str">
        <f>VLOOKUP(A65, 'ISIC Code Mapping'!$A$2:$C$201, 3, FALSE)</f>
        <v>ISIC 19</v>
      </c>
      <c r="C65">
        <v>64</v>
      </c>
      <c r="D65">
        <v>51.569132162886469</v>
      </c>
      <c r="E65">
        <v>0</v>
      </c>
      <c r="F65">
        <v>0</v>
      </c>
      <c r="G65">
        <v>0</v>
      </c>
      <c r="H65">
        <v>10.43683629198004</v>
      </c>
      <c r="I65">
        <v>0</v>
      </c>
      <c r="J65">
        <v>5.9733938276827372</v>
      </c>
      <c r="K65" s="22">
        <f t="shared" si="2"/>
        <v>51.569132162886469</v>
      </c>
      <c r="L65" s="18">
        <f t="shared" si="3"/>
        <v>1</v>
      </c>
    </row>
    <row r="66" spans="1:12" x14ac:dyDescent="0.3">
      <c r="A66" t="s">
        <v>433</v>
      </c>
      <c r="B66" t="str">
        <f>VLOOKUP(A66, 'ISIC Code Mapping'!$A$2:$C$201, 3, FALSE)</f>
        <v>ISIC 19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22">
        <f t="shared" ref="K66:K97" si="4">D66+E66</f>
        <v>0</v>
      </c>
      <c r="L66" s="18" t="str">
        <f t="shared" ref="L66:L97" si="5">IF(K66&gt;0, D66/K66, "N/A")</f>
        <v>N/A</v>
      </c>
    </row>
    <row r="67" spans="1:12" x14ac:dyDescent="0.3">
      <c r="A67" t="s">
        <v>432</v>
      </c>
      <c r="B67" t="str">
        <f>VLOOKUP(A67, 'ISIC Code Mapping'!$A$2:$C$201, 3, FALSE)</f>
        <v>ISIC 19</v>
      </c>
      <c r="C67">
        <v>66</v>
      </c>
      <c r="D67">
        <v>3.8581887997731372</v>
      </c>
      <c r="E67">
        <v>0</v>
      </c>
      <c r="F67">
        <v>0</v>
      </c>
      <c r="G67">
        <v>0</v>
      </c>
      <c r="H67">
        <v>1.7892590881949302</v>
      </c>
      <c r="I67">
        <v>0</v>
      </c>
      <c r="J67">
        <v>71.392166241011438</v>
      </c>
      <c r="K67" s="22">
        <f t="shared" si="4"/>
        <v>3.8581887997731372</v>
      </c>
      <c r="L67" s="18">
        <f t="shared" si="5"/>
        <v>1</v>
      </c>
    </row>
    <row r="68" spans="1:12" x14ac:dyDescent="0.3">
      <c r="A68" t="s">
        <v>431</v>
      </c>
      <c r="B68" t="str">
        <f>VLOOKUP(A68, 'ISIC Code Mapping'!$A$2:$C$201, 3, FALSE)</f>
        <v>ISIC 19</v>
      </c>
      <c r="C68">
        <v>67</v>
      </c>
      <c r="D68">
        <v>7112.7756545916009</v>
      </c>
      <c r="E68">
        <v>0</v>
      </c>
      <c r="F68">
        <v>0</v>
      </c>
      <c r="G68">
        <v>0</v>
      </c>
      <c r="H68">
        <v>101.18550158760317</v>
      </c>
      <c r="I68">
        <v>0</v>
      </c>
      <c r="J68">
        <v>0</v>
      </c>
      <c r="K68" s="22">
        <f t="shared" si="4"/>
        <v>7112.7756545916009</v>
      </c>
      <c r="L68" s="18">
        <f t="shared" si="5"/>
        <v>1</v>
      </c>
    </row>
    <row r="69" spans="1:12" x14ac:dyDescent="0.3">
      <c r="A69" t="s">
        <v>430</v>
      </c>
      <c r="B69" t="str">
        <f>VLOOKUP(A69, 'ISIC Code Mapping'!$A$2:$C$201, 3, FALSE)</f>
        <v>ISIC 19</v>
      </c>
      <c r="C69">
        <v>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22">
        <f t="shared" si="4"/>
        <v>0</v>
      </c>
      <c r="L69" s="18" t="str">
        <f t="shared" si="5"/>
        <v>N/A</v>
      </c>
    </row>
    <row r="70" spans="1:12" x14ac:dyDescent="0.3">
      <c r="A70" t="s">
        <v>429</v>
      </c>
      <c r="B70" t="str">
        <f>VLOOKUP(A70, 'ISIC Code Mapping'!$A$2:$C$201, 3, FALSE)</f>
        <v>ISIC 19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22">
        <f t="shared" si="4"/>
        <v>0</v>
      </c>
      <c r="L70" s="18" t="str">
        <f t="shared" si="5"/>
        <v>N/A</v>
      </c>
    </row>
    <row r="71" spans="1:12" x14ac:dyDescent="0.3">
      <c r="A71" t="s">
        <v>428</v>
      </c>
      <c r="B71" t="str">
        <f>VLOOKUP(A71, 'ISIC Code Mapping'!$A$2:$C$201, 3, FALSE)</f>
        <v>ISIC 19</v>
      </c>
      <c r="C71">
        <v>70</v>
      </c>
      <c r="D71">
        <v>115.62568308345287</v>
      </c>
      <c r="E71">
        <v>0</v>
      </c>
      <c r="F71">
        <v>0</v>
      </c>
      <c r="G71">
        <v>0</v>
      </c>
      <c r="H71">
        <v>43.191551779190966</v>
      </c>
      <c r="I71">
        <v>0</v>
      </c>
      <c r="J71">
        <v>8454.0201990570713</v>
      </c>
      <c r="K71" s="22">
        <f t="shared" si="4"/>
        <v>115.62568308345287</v>
      </c>
      <c r="L71" s="18">
        <f t="shared" si="5"/>
        <v>1</v>
      </c>
    </row>
    <row r="72" spans="1:12" x14ac:dyDescent="0.3">
      <c r="A72" t="s">
        <v>427</v>
      </c>
      <c r="B72" t="str">
        <f>VLOOKUP(A72, 'ISIC Code Mapping'!$A$2:$C$201, 3, FALSE)</f>
        <v>ISIC 19</v>
      </c>
      <c r="C72">
        <v>71</v>
      </c>
      <c r="D72">
        <v>4124.1799613185221</v>
      </c>
      <c r="E72">
        <v>0</v>
      </c>
      <c r="F72">
        <v>0</v>
      </c>
      <c r="G72">
        <v>0</v>
      </c>
      <c r="H72">
        <v>5.8468684957932435</v>
      </c>
      <c r="I72">
        <v>0</v>
      </c>
      <c r="J72">
        <v>2580.6164343930632</v>
      </c>
      <c r="K72" s="22">
        <f t="shared" si="4"/>
        <v>4124.1799613185221</v>
      </c>
      <c r="L72" s="18">
        <f t="shared" si="5"/>
        <v>1</v>
      </c>
    </row>
    <row r="73" spans="1:12" x14ac:dyDescent="0.3">
      <c r="A73" t="s">
        <v>426</v>
      </c>
      <c r="B73" t="str">
        <f>VLOOKUP(A73, 'ISIC Code Mapping'!$A$2:$C$201, 3, FALSE)</f>
        <v>ISIC 19</v>
      </c>
      <c r="C73">
        <v>72</v>
      </c>
      <c r="D73">
        <v>4634.5135741235936</v>
      </c>
      <c r="E73">
        <v>0</v>
      </c>
      <c r="F73">
        <v>0</v>
      </c>
      <c r="G73">
        <v>0</v>
      </c>
      <c r="H73">
        <v>67.512491918859936</v>
      </c>
      <c r="I73">
        <v>0</v>
      </c>
      <c r="J73">
        <v>0</v>
      </c>
      <c r="K73" s="22">
        <f t="shared" si="4"/>
        <v>4634.5135741235936</v>
      </c>
      <c r="L73" s="18">
        <f t="shared" si="5"/>
        <v>1</v>
      </c>
    </row>
    <row r="74" spans="1:12" x14ac:dyDescent="0.3">
      <c r="A74" t="s">
        <v>425</v>
      </c>
      <c r="B74" t="str">
        <f>VLOOKUP(A74, 'ISIC Code Mapping'!$A$2:$C$201, 3, FALSE)</f>
        <v>ISIC 19</v>
      </c>
      <c r="C74">
        <v>73</v>
      </c>
      <c r="D74">
        <v>162.96153620120617</v>
      </c>
      <c r="E74">
        <v>0</v>
      </c>
      <c r="F74">
        <v>0</v>
      </c>
      <c r="G74">
        <v>0</v>
      </c>
      <c r="H74">
        <v>15.802598685144076</v>
      </c>
      <c r="I74">
        <v>0</v>
      </c>
      <c r="J74">
        <v>4988.2627022406341</v>
      </c>
      <c r="K74" s="22">
        <f t="shared" si="4"/>
        <v>162.96153620120617</v>
      </c>
      <c r="L74" s="18">
        <f t="shared" si="5"/>
        <v>1</v>
      </c>
    </row>
    <row r="75" spans="1:12" x14ac:dyDescent="0.3">
      <c r="A75" t="s">
        <v>424</v>
      </c>
      <c r="B75" t="str">
        <f>VLOOKUP(A75, 'ISIC Code Mapping'!$A$2:$C$201, 3, FALSE)</f>
        <v>ISIC 19</v>
      </c>
      <c r="C75">
        <v>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4.6668391161705012</v>
      </c>
      <c r="K75" s="22">
        <f t="shared" si="4"/>
        <v>0</v>
      </c>
      <c r="L75" s="18" t="str">
        <f t="shared" si="5"/>
        <v>N/A</v>
      </c>
    </row>
    <row r="76" spans="1:12" x14ac:dyDescent="0.3">
      <c r="A76" t="s">
        <v>423</v>
      </c>
      <c r="B76" t="str">
        <f>VLOOKUP(A76, 'ISIC Code Mapping'!$A$2:$C$201, 3, FALSE)</f>
        <v>ISIC 19</v>
      </c>
      <c r="C76">
        <v>75</v>
      </c>
      <c r="D76">
        <v>275.81827126868404</v>
      </c>
      <c r="E76">
        <v>0</v>
      </c>
      <c r="F76">
        <v>0</v>
      </c>
      <c r="G76">
        <v>0</v>
      </c>
      <c r="H76">
        <v>3.5447144290083128</v>
      </c>
      <c r="I76">
        <v>0</v>
      </c>
      <c r="J76">
        <v>455.02823685267157</v>
      </c>
      <c r="K76" s="22">
        <f t="shared" si="4"/>
        <v>275.81827126868404</v>
      </c>
      <c r="L76" s="18">
        <f t="shared" si="5"/>
        <v>1</v>
      </c>
    </row>
    <row r="77" spans="1:12" x14ac:dyDescent="0.3">
      <c r="A77" t="s">
        <v>422</v>
      </c>
      <c r="B77" t="str">
        <f>VLOOKUP(A77, 'ISIC Code Mapping'!$A$2:$C$201, 3, FALSE)</f>
        <v>ISIC 19</v>
      </c>
      <c r="C77">
        <v>76</v>
      </c>
      <c r="D77">
        <v>0</v>
      </c>
      <c r="E77">
        <v>0</v>
      </c>
      <c r="F77">
        <v>0</v>
      </c>
      <c r="G77">
        <v>0</v>
      </c>
      <c r="H77">
        <v>1.277164565898</v>
      </c>
      <c r="I77">
        <v>0</v>
      </c>
      <c r="J77">
        <v>716.04477072172506</v>
      </c>
      <c r="K77" s="22">
        <f t="shared" si="4"/>
        <v>0</v>
      </c>
      <c r="L77" s="18" t="str">
        <f t="shared" si="5"/>
        <v>N/A</v>
      </c>
    </row>
    <row r="78" spans="1:12" x14ac:dyDescent="0.3">
      <c r="A78" t="s">
        <v>421</v>
      </c>
      <c r="B78" t="str">
        <f>VLOOKUP(A78, 'ISIC Code Mapping'!$A$2:$C$201, 3, FALSE)</f>
        <v>ISIC 19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22">
        <f t="shared" si="4"/>
        <v>0</v>
      </c>
      <c r="L78" s="18" t="str">
        <f t="shared" si="5"/>
        <v>N/A</v>
      </c>
    </row>
    <row r="79" spans="1:12" x14ac:dyDescent="0.3">
      <c r="A79" t="s">
        <v>420</v>
      </c>
      <c r="B79" t="str">
        <f>VLOOKUP(A79, 'ISIC Code Mapping'!$A$2:$C$201, 3, FALSE)</f>
        <v>ISIC 19</v>
      </c>
      <c r="C79">
        <v>78</v>
      </c>
      <c r="D79">
        <v>0</v>
      </c>
      <c r="E79">
        <v>0</v>
      </c>
      <c r="F79">
        <v>0</v>
      </c>
      <c r="G79">
        <v>0</v>
      </c>
      <c r="H79">
        <v>12.623876019787525</v>
      </c>
      <c r="I79">
        <v>0</v>
      </c>
      <c r="J79">
        <v>4824.3711028149319</v>
      </c>
      <c r="K79" s="22">
        <f t="shared" si="4"/>
        <v>0</v>
      </c>
      <c r="L79" s="18" t="str">
        <f t="shared" si="5"/>
        <v>N/A</v>
      </c>
    </row>
    <row r="80" spans="1:12" x14ac:dyDescent="0.3">
      <c r="A80" t="s">
        <v>419</v>
      </c>
      <c r="B80" t="str">
        <f>VLOOKUP(A80, 'ISIC Code Mapping'!$A$2:$C$201, 3, FALSE)</f>
        <v>ISIC 19</v>
      </c>
      <c r="C80">
        <v>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200.35738300965312</v>
      </c>
      <c r="K80" s="22">
        <f t="shared" si="4"/>
        <v>0</v>
      </c>
      <c r="L80" s="18" t="str">
        <f t="shared" si="5"/>
        <v>N/A</v>
      </c>
    </row>
    <row r="81" spans="1:12" x14ac:dyDescent="0.3">
      <c r="A81" t="s">
        <v>418</v>
      </c>
      <c r="B81" t="str">
        <f>VLOOKUP(A81, 'ISIC Code Mapping'!$A$2:$C$201, 3, FALSE)</f>
        <v>ISIC 19</v>
      </c>
      <c r="C81">
        <v>80</v>
      </c>
      <c r="D81">
        <v>0</v>
      </c>
      <c r="E81">
        <v>0</v>
      </c>
      <c r="F81">
        <v>0</v>
      </c>
      <c r="G81">
        <v>0</v>
      </c>
      <c r="H81">
        <v>3.7545799932174826</v>
      </c>
      <c r="I81">
        <v>0</v>
      </c>
      <c r="J81">
        <v>13.399065598282759</v>
      </c>
      <c r="K81" s="22">
        <f t="shared" si="4"/>
        <v>0</v>
      </c>
      <c r="L81" s="18" t="str">
        <f t="shared" si="5"/>
        <v>N/A</v>
      </c>
    </row>
    <row r="82" spans="1:12" x14ac:dyDescent="0.3">
      <c r="A82" t="s">
        <v>417</v>
      </c>
      <c r="B82" t="str">
        <f>VLOOKUP(A82, 'ISIC Code Mapping'!$A$2:$C$201, 3, FALSE)</f>
        <v>ISIC 19</v>
      </c>
      <c r="C82">
        <v>81</v>
      </c>
      <c r="D82">
        <v>0</v>
      </c>
      <c r="E82">
        <v>0</v>
      </c>
      <c r="F82">
        <v>0</v>
      </c>
      <c r="G82">
        <v>0</v>
      </c>
      <c r="H82">
        <v>0.74768220063154678</v>
      </c>
      <c r="I82">
        <v>0</v>
      </c>
      <c r="J82">
        <v>258.10191201006165</v>
      </c>
      <c r="K82" s="22">
        <f t="shared" si="4"/>
        <v>0</v>
      </c>
      <c r="L82" s="18" t="str">
        <f t="shared" si="5"/>
        <v>N/A</v>
      </c>
    </row>
    <row r="83" spans="1:12" x14ac:dyDescent="0.3">
      <c r="A83" t="s">
        <v>416</v>
      </c>
      <c r="B83" t="str">
        <f>VLOOKUP(A83, 'ISIC Code Mapping'!$A$2:$C$201, 3, FALSE)</f>
        <v>ISIC 19</v>
      </c>
      <c r="C83">
        <v>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1.6725838194761009</v>
      </c>
      <c r="K83" s="22">
        <f t="shared" si="4"/>
        <v>0</v>
      </c>
      <c r="L83" s="18" t="str">
        <f t="shared" si="5"/>
        <v>N/A</v>
      </c>
    </row>
    <row r="84" spans="1:12" x14ac:dyDescent="0.3">
      <c r="A84" t="s">
        <v>415</v>
      </c>
      <c r="B84" t="str">
        <f>VLOOKUP(A84, 'ISIC Code Mapping'!$A$2:$C$201, 3, FALSE)</f>
        <v>ISIC 19</v>
      </c>
      <c r="C84">
        <v>83</v>
      </c>
      <c r="D84">
        <v>0</v>
      </c>
      <c r="E84">
        <v>0</v>
      </c>
      <c r="F84">
        <v>0</v>
      </c>
      <c r="G84">
        <v>0</v>
      </c>
      <c r="H84">
        <v>3.1443969891581665E-2</v>
      </c>
      <c r="I84">
        <v>0</v>
      </c>
      <c r="J84">
        <v>2.3423985000630387</v>
      </c>
      <c r="K84" s="22">
        <f t="shared" si="4"/>
        <v>0</v>
      </c>
      <c r="L84" s="18" t="str">
        <f t="shared" si="5"/>
        <v>N/A</v>
      </c>
    </row>
    <row r="85" spans="1:12" x14ac:dyDescent="0.3">
      <c r="A85" t="s">
        <v>414</v>
      </c>
      <c r="B85" t="str">
        <f>VLOOKUP(A85, 'ISIC Code Mapping'!$A$2:$C$201, 3, FALSE)</f>
        <v>ISIC 19</v>
      </c>
      <c r="C85">
        <v>84</v>
      </c>
      <c r="D85">
        <v>0</v>
      </c>
      <c r="E85">
        <v>0</v>
      </c>
      <c r="F85">
        <v>0</v>
      </c>
      <c r="G85">
        <v>0</v>
      </c>
      <c r="H85">
        <v>0.47004592895857839</v>
      </c>
      <c r="I85">
        <v>0</v>
      </c>
      <c r="J85">
        <v>91.423443258683562</v>
      </c>
      <c r="K85" s="22">
        <f t="shared" si="4"/>
        <v>0</v>
      </c>
      <c r="L85" s="18" t="str">
        <f t="shared" si="5"/>
        <v>N/A</v>
      </c>
    </row>
    <row r="86" spans="1:12" x14ac:dyDescent="0.3">
      <c r="A86" t="s">
        <v>413</v>
      </c>
      <c r="B86" t="str">
        <f>VLOOKUP(A86, 'ISIC Code Mapping'!$A$2:$C$201, 3, FALSE)</f>
        <v>ISIC 20</v>
      </c>
      <c r="C86">
        <v>85</v>
      </c>
      <c r="D86">
        <v>0</v>
      </c>
      <c r="E86">
        <v>0</v>
      </c>
      <c r="F86">
        <v>0</v>
      </c>
      <c r="G86">
        <v>0</v>
      </c>
      <c r="H86">
        <v>1.3052802394337415</v>
      </c>
      <c r="I86">
        <v>0</v>
      </c>
      <c r="J86">
        <v>5.4456062804962775</v>
      </c>
      <c r="K86" s="22">
        <f t="shared" si="4"/>
        <v>0</v>
      </c>
      <c r="L86" s="18" t="str">
        <f t="shared" si="5"/>
        <v>N/A</v>
      </c>
    </row>
    <row r="87" spans="1:12" x14ac:dyDescent="0.3">
      <c r="A87" t="s">
        <v>412</v>
      </c>
      <c r="B87" t="str">
        <f>VLOOKUP(A87, 'ISIC Code Mapping'!$A$2:$C$201, 3, FALSE)</f>
        <v>ISIC 20</v>
      </c>
      <c r="C87">
        <v>86</v>
      </c>
      <c r="D87">
        <v>0</v>
      </c>
      <c r="E87">
        <v>0</v>
      </c>
      <c r="F87">
        <v>0</v>
      </c>
      <c r="G87">
        <v>0</v>
      </c>
      <c r="H87">
        <v>85.178640945251018</v>
      </c>
      <c r="I87">
        <v>0</v>
      </c>
      <c r="J87">
        <v>16225.612283395358</v>
      </c>
      <c r="K87" s="22">
        <f t="shared" si="4"/>
        <v>0</v>
      </c>
      <c r="L87" s="18" t="str">
        <f t="shared" si="5"/>
        <v>N/A</v>
      </c>
    </row>
    <row r="88" spans="1:12" x14ac:dyDescent="0.3">
      <c r="A88" t="s">
        <v>411</v>
      </c>
      <c r="B88" t="str">
        <f>VLOOKUP(A88, 'ISIC Code Mapping'!$A$2:$C$201, 3, FALSE)</f>
        <v>ISIC 20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22">
        <f t="shared" si="4"/>
        <v>0</v>
      </c>
      <c r="L88" s="18" t="str">
        <f t="shared" si="5"/>
        <v>N/A</v>
      </c>
    </row>
    <row r="89" spans="1:12" x14ac:dyDescent="0.3">
      <c r="A89" t="s">
        <v>410</v>
      </c>
      <c r="B89" t="str">
        <f>VLOOKUP(A89, 'ISIC Code Mapping'!$A$2:$C$201, 3, FALSE)</f>
        <v>ISIC 20</v>
      </c>
      <c r="C89">
        <v>88</v>
      </c>
      <c r="D89">
        <v>0.48020373136700717</v>
      </c>
      <c r="E89">
        <v>0</v>
      </c>
      <c r="F89">
        <v>0</v>
      </c>
      <c r="G89">
        <v>0</v>
      </c>
      <c r="H89">
        <v>8.3906534057063845E-2</v>
      </c>
      <c r="I89">
        <v>0</v>
      </c>
      <c r="J89">
        <v>0.89567335074426624</v>
      </c>
      <c r="K89" s="22">
        <f t="shared" si="4"/>
        <v>0.48020373136700717</v>
      </c>
      <c r="L89" s="18">
        <f t="shared" si="5"/>
        <v>1</v>
      </c>
    </row>
    <row r="90" spans="1:12" x14ac:dyDescent="0.3">
      <c r="A90" t="s">
        <v>409</v>
      </c>
      <c r="B90" t="str">
        <f>VLOOKUP(A90, 'ISIC Code Mapping'!$A$2:$C$201, 3, FALSE)</f>
        <v>ISIC 20</v>
      </c>
      <c r="C90">
        <v>89</v>
      </c>
      <c r="D90">
        <v>3.9305271105323842</v>
      </c>
      <c r="E90">
        <v>0</v>
      </c>
      <c r="F90">
        <v>0</v>
      </c>
      <c r="G90">
        <v>0</v>
      </c>
      <c r="H90">
        <v>44.680531352376519</v>
      </c>
      <c r="I90">
        <v>0</v>
      </c>
      <c r="J90">
        <v>474.52870939657959</v>
      </c>
      <c r="K90" s="22">
        <f t="shared" si="4"/>
        <v>3.9305271105323842</v>
      </c>
      <c r="L90" s="18">
        <f t="shared" si="5"/>
        <v>1</v>
      </c>
    </row>
    <row r="91" spans="1:12" x14ac:dyDescent="0.3">
      <c r="A91" t="s">
        <v>408</v>
      </c>
      <c r="B91" t="str">
        <f>VLOOKUP(A91, 'ISIC Code Mapping'!$A$2:$C$201, 3, FALSE)</f>
        <v>ISIC 20</v>
      </c>
      <c r="C91">
        <v>90</v>
      </c>
      <c r="D91">
        <v>4852.4272288626953</v>
      </c>
      <c r="E91">
        <v>0</v>
      </c>
      <c r="F91">
        <v>0</v>
      </c>
      <c r="G91">
        <v>0</v>
      </c>
      <c r="H91">
        <v>915.64717470918072</v>
      </c>
      <c r="I91">
        <v>0</v>
      </c>
      <c r="J91">
        <v>56221.926180225833</v>
      </c>
      <c r="K91" s="22">
        <f t="shared" si="4"/>
        <v>4852.4272288626953</v>
      </c>
      <c r="L91" s="18">
        <f t="shared" si="5"/>
        <v>1</v>
      </c>
    </row>
    <row r="92" spans="1:12" x14ac:dyDescent="0.3">
      <c r="A92" t="s">
        <v>407</v>
      </c>
      <c r="B92" t="str">
        <f>VLOOKUP(A92, 'ISIC Code Mapping'!$A$2:$C$201, 3, FALSE)</f>
        <v>ISIC 20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22">
        <f t="shared" si="4"/>
        <v>0</v>
      </c>
      <c r="L92" s="18" t="str">
        <f t="shared" si="5"/>
        <v>N/A</v>
      </c>
    </row>
    <row r="93" spans="1:12" x14ac:dyDescent="0.3">
      <c r="A93" t="s">
        <v>406</v>
      </c>
      <c r="B93" t="str">
        <f>VLOOKUP(A93, 'ISIC Code Mapping'!$A$2:$C$201, 3, FALSE)</f>
        <v>ISIC 20</v>
      </c>
      <c r="C93">
        <v>92</v>
      </c>
      <c r="D93">
        <v>0.70027182464263926</v>
      </c>
      <c r="E93">
        <v>0</v>
      </c>
      <c r="F93">
        <v>0</v>
      </c>
      <c r="G93">
        <v>0</v>
      </c>
      <c r="H93">
        <v>0</v>
      </c>
      <c r="I93">
        <v>0</v>
      </c>
      <c r="J93">
        <v>185.42174360256914</v>
      </c>
      <c r="K93" s="22">
        <f t="shared" si="4"/>
        <v>0.70027182464263926</v>
      </c>
      <c r="L93" s="18">
        <f t="shared" si="5"/>
        <v>1</v>
      </c>
    </row>
    <row r="94" spans="1:12" x14ac:dyDescent="0.3">
      <c r="A94" t="s">
        <v>405</v>
      </c>
      <c r="B94" t="str">
        <f>VLOOKUP(A94, 'ISIC Code Mapping'!$A$2:$C$201, 3, FALSE)</f>
        <v>ISIC 19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22">
        <f t="shared" si="4"/>
        <v>0</v>
      </c>
      <c r="L94" s="18" t="str">
        <f t="shared" si="5"/>
        <v>N/A</v>
      </c>
    </row>
    <row r="95" spans="1:12" x14ac:dyDescent="0.3">
      <c r="A95" t="s">
        <v>404</v>
      </c>
      <c r="B95" t="str">
        <f>VLOOKUP(A95, 'ISIC Code Mapping'!$A$2:$C$201, 3, FALSE)</f>
        <v>ISIC 19</v>
      </c>
      <c r="C95">
        <v>94</v>
      </c>
      <c r="D95">
        <v>1.1388917451894596</v>
      </c>
      <c r="E95">
        <v>0</v>
      </c>
      <c r="F95">
        <v>0</v>
      </c>
      <c r="G95">
        <v>0</v>
      </c>
      <c r="H95">
        <v>1.6210462291990972</v>
      </c>
      <c r="I95">
        <v>0</v>
      </c>
      <c r="J95">
        <v>4.4290755673585283</v>
      </c>
      <c r="K95" s="22">
        <f t="shared" si="4"/>
        <v>1.1388917451894596</v>
      </c>
      <c r="L95" s="18">
        <f t="shared" si="5"/>
        <v>1</v>
      </c>
    </row>
    <row r="96" spans="1:12" x14ac:dyDescent="0.3">
      <c r="A96" t="s">
        <v>403</v>
      </c>
      <c r="B96" t="str">
        <f>VLOOKUP(A96, 'ISIC Code Mapping'!$A$2:$C$201, 3, FALSE)</f>
        <v>ISIC 19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22">
        <f t="shared" si="4"/>
        <v>0</v>
      </c>
      <c r="L96" s="18" t="str">
        <f t="shared" si="5"/>
        <v>N/A</v>
      </c>
    </row>
    <row r="97" spans="1:12" x14ac:dyDescent="0.3">
      <c r="A97" t="s">
        <v>402</v>
      </c>
      <c r="B97" t="str">
        <f>VLOOKUP(A97, 'ISIC Code Mapping'!$A$2:$C$201, 3, FALSE)</f>
        <v>ISIC 22</v>
      </c>
      <c r="C97">
        <v>96</v>
      </c>
      <c r="D97">
        <v>1058.483538422624</v>
      </c>
      <c r="E97">
        <v>0</v>
      </c>
      <c r="F97">
        <v>0</v>
      </c>
      <c r="G97">
        <v>0</v>
      </c>
      <c r="H97">
        <v>562.75013530249043</v>
      </c>
      <c r="I97">
        <v>0</v>
      </c>
      <c r="J97">
        <v>16428.003274183153</v>
      </c>
      <c r="K97" s="22">
        <f t="shared" si="4"/>
        <v>1058.483538422624</v>
      </c>
      <c r="L97" s="18">
        <f t="shared" si="5"/>
        <v>1</v>
      </c>
    </row>
    <row r="98" spans="1:12" x14ac:dyDescent="0.3">
      <c r="A98" t="s">
        <v>401</v>
      </c>
      <c r="B98" t="str">
        <f>VLOOKUP(A98, 'ISIC Code Mapping'!$A$2:$C$201, 3, FALSE)</f>
        <v>ISIC 231</v>
      </c>
      <c r="C98">
        <v>97</v>
      </c>
      <c r="D98">
        <v>0</v>
      </c>
      <c r="E98">
        <v>0</v>
      </c>
      <c r="F98">
        <v>0</v>
      </c>
      <c r="G98">
        <v>0</v>
      </c>
      <c r="H98">
        <v>111.87608087114435</v>
      </c>
      <c r="I98">
        <v>0</v>
      </c>
      <c r="J98">
        <v>1495.0497626555793</v>
      </c>
      <c r="K98" s="22">
        <f t="shared" ref="K98:K129" si="6">D98+E98</f>
        <v>0</v>
      </c>
      <c r="L98" s="18" t="str">
        <f t="shared" ref="L98:L129" si="7">IF(K98&gt;0, D98/K98, "N/A")</f>
        <v>N/A</v>
      </c>
    </row>
    <row r="99" spans="1:12" x14ac:dyDescent="0.3">
      <c r="A99" t="s">
        <v>400</v>
      </c>
      <c r="B99" t="str">
        <f>VLOOKUP(A99, 'ISIC Code Mapping'!$A$2:$C$201, 3, FALSE)</f>
        <v>ISIC 231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22">
        <f t="shared" si="6"/>
        <v>0</v>
      </c>
      <c r="L99" s="18" t="str">
        <f t="shared" si="7"/>
        <v>N/A</v>
      </c>
    </row>
    <row r="100" spans="1:12" x14ac:dyDescent="0.3">
      <c r="A100" t="s">
        <v>399</v>
      </c>
      <c r="B100" t="str">
        <f>VLOOKUP(A100, 'ISIC Code Mapping'!$A$2:$C$201, 3, FALSE)</f>
        <v>ISIC 239</v>
      </c>
      <c r="C100">
        <v>99</v>
      </c>
      <c r="D100">
        <v>167.25590645724913</v>
      </c>
      <c r="E100">
        <v>0</v>
      </c>
      <c r="F100">
        <v>0</v>
      </c>
      <c r="G100">
        <v>0</v>
      </c>
      <c r="H100">
        <v>31.840467199527037</v>
      </c>
      <c r="I100">
        <v>0</v>
      </c>
      <c r="J100">
        <v>366.28565676160883</v>
      </c>
      <c r="K100" s="22">
        <f t="shared" si="6"/>
        <v>167.25590645724913</v>
      </c>
      <c r="L100" s="18">
        <f t="shared" si="7"/>
        <v>1</v>
      </c>
    </row>
    <row r="101" spans="1:12" x14ac:dyDescent="0.3">
      <c r="A101" t="s">
        <v>398</v>
      </c>
      <c r="B101" t="str">
        <f>VLOOKUP(A101, 'ISIC Code Mapping'!$A$2:$C$201, 3, FALSE)</f>
        <v>ISIC 239</v>
      </c>
      <c r="C101">
        <v>100</v>
      </c>
      <c r="D101">
        <v>2.867623722327375E-4</v>
      </c>
      <c r="E101">
        <v>0</v>
      </c>
      <c r="F101">
        <v>0</v>
      </c>
      <c r="G101">
        <v>0</v>
      </c>
      <c r="H101">
        <v>0.11086411902675992</v>
      </c>
      <c r="I101">
        <v>0</v>
      </c>
      <c r="J101">
        <v>4.1056724596766045</v>
      </c>
      <c r="K101" s="22">
        <f t="shared" si="6"/>
        <v>2.867623722327375E-4</v>
      </c>
      <c r="L101" s="18">
        <f t="shared" si="7"/>
        <v>1</v>
      </c>
    </row>
    <row r="102" spans="1:12" x14ac:dyDescent="0.3">
      <c r="A102" t="s">
        <v>397</v>
      </c>
      <c r="B102" t="str">
        <f>VLOOKUP(A102, 'ISIC Code Mapping'!$A$2:$C$201, 3, FALSE)</f>
        <v>ISIC 239</v>
      </c>
      <c r="C102">
        <v>101</v>
      </c>
      <c r="D102">
        <v>3.5632587546083998E-2</v>
      </c>
      <c r="E102">
        <v>0</v>
      </c>
      <c r="F102">
        <v>0</v>
      </c>
      <c r="G102">
        <v>0</v>
      </c>
      <c r="H102">
        <v>38.050532848519062</v>
      </c>
      <c r="I102">
        <v>0</v>
      </c>
      <c r="J102">
        <v>568.63725506778007</v>
      </c>
      <c r="K102" s="22">
        <f t="shared" si="6"/>
        <v>3.5632587546083998E-2</v>
      </c>
      <c r="L102" s="18">
        <f t="shared" si="7"/>
        <v>1</v>
      </c>
    </row>
    <row r="103" spans="1:12" x14ac:dyDescent="0.3">
      <c r="A103" t="s">
        <v>396</v>
      </c>
      <c r="B103" t="str">
        <f>VLOOKUP(A103, 'ISIC Code Mapping'!$A$2:$C$201, 3, FALSE)</f>
        <v>ISIC 239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22">
        <f t="shared" si="6"/>
        <v>0</v>
      </c>
      <c r="L103" s="18" t="str">
        <f t="shared" si="7"/>
        <v>N/A</v>
      </c>
    </row>
    <row r="104" spans="1:12" x14ac:dyDescent="0.3">
      <c r="A104" t="s">
        <v>264</v>
      </c>
      <c r="B104" t="str">
        <f>VLOOKUP(A104, 'ISIC Code Mapping'!$A$2:$C$201, 3, FALSE)</f>
        <v>ISIC 239</v>
      </c>
      <c r="C104">
        <v>103</v>
      </c>
      <c r="D104">
        <v>77.762655343496036</v>
      </c>
      <c r="E104">
        <v>0</v>
      </c>
      <c r="F104">
        <v>0</v>
      </c>
      <c r="G104">
        <v>0</v>
      </c>
      <c r="H104">
        <v>65.289748164739024</v>
      </c>
      <c r="I104">
        <v>0</v>
      </c>
      <c r="J104">
        <v>860.33734819188885</v>
      </c>
      <c r="K104" s="22">
        <f t="shared" si="6"/>
        <v>77.762655343496036</v>
      </c>
      <c r="L104" s="18">
        <f t="shared" si="7"/>
        <v>1</v>
      </c>
    </row>
    <row r="105" spans="1:12" x14ac:dyDescent="0.3">
      <c r="A105" t="s">
        <v>395</v>
      </c>
      <c r="B105" t="str">
        <f>VLOOKUP(A105, 'ISIC Code Mapping'!$A$2:$C$201, 3, FALSE)</f>
        <v>ISIC 241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986.69648168063497</v>
      </c>
      <c r="I105">
        <v>0</v>
      </c>
      <c r="J105">
        <v>31593.064028984361</v>
      </c>
      <c r="K105" s="22">
        <f t="shared" si="6"/>
        <v>0</v>
      </c>
      <c r="L105" s="18" t="str">
        <f t="shared" si="7"/>
        <v>N/A</v>
      </c>
    </row>
    <row r="106" spans="1:12" x14ac:dyDescent="0.3">
      <c r="A106" t="s">
        <v>394</v>
      </c>
      <c r="B106" t="str">
        <f>VLOOKUP(A106, 'ISIC Code Mapping'!$A$2:$C$201, 3, FALSE)</f>
        <v>ISIC 241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22">
        <f t="shared" si="6"/>
        <v>0</v>
      </c>
      <c r="L106" s="18" t="str">
        <f t="shared" si="7"/>
        <v>N/A</v>
      </c>
    </row>
    <row r="107" spans="1:12" x14ac:dyDescent="0.3">
      <c r="A107" t="s">
        <v>393</v>
      </c>
      <c r="B107" t="str">
        <f>VLOOKUP(A107, 'ISIC Code Mapping'!$A$2:$C$201, 3, FALSE)</f>
        <v>ISIC 242</v>
      </c>
      <c r="C107">
        <v>106</v>
      </c>
      <c r="D107">
        <v>0.3540330401832848</v>
      </c>
      <c r="E107">
        <v>0</v>
      </c>
      <c r="F107">
        <v>0</v>
      </c>
      <c r="G107">
        <v>0</v>
      </c>
      <c r="H107">
        <v>20.132781398155515</v>
      </c>
      <c r="I107">
        <v>0</v>
      </c>
      <c r="J107">
        <v>3513.3614299891451</v>
      </c>
      <c r="K107" s="22">
        <f t="shared" si="6"/>
        <v>0.3540330401832848</v>
      </c>
      <c r="L107" s="18">
        <f t="shared" si="7"/>
        <v>1</v>
      </c>
    </row>
    <row r="108" spans="1:12" x14ac:dyDescent="0.3">
      <c r="A108" t="s">
        <v>392</v>
      </c>
      <c r="B108" t="str">
        <f>VLOOKUP(A108, 'ISIC Code Mapping'!$A$2:$C$201, 3, FALSE)</f>
        <v>ISIC 242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22">
        <f t="shared" si="6"/>
        <v>0</v>
      </c>
      <c r="L108" s="18" t="str">
        <f t="shared" si="7"/>
        <v>N/A</v>
      </c>
    </row>
    <row r="109" spans="1:12" x14ac:dyDescent="0.3">
      <c r="A109" t="s">
        <v>391</v>
      </c>
      <c r="B109" t="str">
        <f>VLOOKUP(A109, 'ISIC Code Mapping'!$A$2:$C$201, 3, FALSE)</f>
        <v>ISIC 242</v>
      </c>
      <c r="C109">
        <v>108</v>
      </c>
      <c r="D109">
        <v>0.10311477001005315</v>
      </c>
      <c r="E109">
        <v>0</v>
      </c>
      <c r="F109">
        <v>0</v>
      </c>
      <c r="G109">
        <v>0</v>
      </c>
      <c r="H109">
        <v>37.428362889091716</v>
      </c>
      <c r="I109">
        <v>0</v>
      </c>
      <c r="J109">
        <v>2793.4380808332185</v>
      </c>
      <c r="K109" s="22">
        <f t="shared" si="6"/>
        <v>0.10311477001005315</v>
      </c>
      <c r="L109" s="18">
        <f t="shared" si="7"/>
        <v>1</v>
      </c>
    </row>
    <row r="110" spans="1:12" x14ac:dyDescent="0.3">
      <c r="A110" t="s">
        <v>390</v>
      </c>
      <c r="B110" t="str">
        <f>VLOOKUP(A110, 'ISIC Code Mapping'!$A$2:$C$201, 3, FALSE)</f>
        <v>ISIC 242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22">
        <f t="shared" si="6"/>
        <v>0</v>
      </c>
      <c r="L110" s="18" t="str">
        <f t="shared" si="7"/>
        <v>N/A</v>
      </c>
    </row>
    <row r="111" spans="1:12" x14ac:dyDescent="0.3">
      <c r="A111" t="s">
        <v>389</v>
      </c>
      <c r="B111" t="str">
        <f>VLOOKUP(A111, 'ISIC Code Mapping'!$A$2:$C$201, 3, FALSE)</f>
        <v>ISIC 242</v>
      </c>
      <c r="C111">
        <v>110</v>
      </c>
      <c r="D111">
        <v>0</v>
      </c>
      <c r="E111">
        <v>0</v>
      </c>
      <c r="F111">
        <v>0</v>
      </c>
      <c r="G111">
        <v>0</v>
      </c>
      <c r="H111">
        <v>13.915310147080763</v>
      </c>
      <c r="I111">
        <v>0</v>
      </c>
      <c r="J111">
        <v>1347.4890444832008</v>
      </c>
      <c r="K111" s="22">
        <f t="shared" si="6"/>
        <v>0</v>
      </c>
      <c r="L111" s="18" t="str">
        <f t="shared" si="7"/>
        <v>N/A</v>
      </c>
    </row>
    <row r="112" spans="1:12" x14ac:dyDescent="0.3">
      <c r="A112" t="s">
        <v>388</v>
      </c>
      <c r="B112" t="str">
        <f>VLOOKUP(A112, 'ISIC Code Mapping'!$A$2:$C$201, 3, FALSE)</f>
        <v>ISIC 242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22">
        <f t="shared" si="6"/>
        <v>0</v>
      </c>
      <c r="L112" s="18" t="str">
        <f t="shared" si="7"/>
        <v>N/A</v>
      </c>
    </row>
    <row r="113" spans="1:12" x14ac:dyDescent="0.3">
      <c r="A113" t="s">
        <v>387</v>
      </c>
      <c r="B113" t="str">
        <f>VLOOKUP(A113, 'ISIC Code Mapping'!$A$2:$C$201, 3, FALSE)</f>
        <v>ISIC 242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32.746782226193659</v>
      </c>
      <c r="I113">
        <v>0</v>
      </c>
      <c r="J113">
        <v>5319.3727576600495</v>
      </c>
      <c r="K113" s="22">
        <f t="shared" si="6"/>
        <v>0</v>
      </c>
      <c r="L113" s="18" t="str">
        <f t="shared" si="7"/>
        <v>N/A</v>
      </c>
    </row>
    <row r="114" spans="1:12" x14ac:dyDescent="0.3">
      <c r="A114" t="s">
        <v>386</v>
      </c>
      <c r="B114" t="str">
        <f>VLOOKUP(A114, 'ISIC Code Mapping'!$A$2:$C$201, 3, FALSE)</f>
        <v>ISIC 242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22">
        <f t="shared" si="6"/>
        <v>0</v>
      </c>
      <c r="L114" s="18" t="str">
        <f t="shared" si="7"/>
        <v>N/A</v>
      </c>
    </row>
    <row r="115" spans="1:12" x14ac:dyDescent="0.3">
      <c r="A115" t="s">
        <v>385</v>
      </c>
      <c r="B115" t="str">
        <f>VLOOKUP(A115, 'ISIC Code Mapping'!$A$2:$C$201, 3, FALSE)</f>
        <v>ISIC 242</v>
      </c>
      <c r="C115">
        <v>114</v>
      </c>
      <c r="D115">
        <v>0.19976989667889222</v>
      </c>
      <c r="E115">
        <v>0</v>
      </c>
      <c r="F115">
        <v>0</v>
      </c>
      <c r="G115">
        <v>0</v>
      </c>
      <c r="H115">
        <v>19.704172557795449</v>
      </c>
      <c r="I115">
        <v>0</v>
      </c>
      <c r="J115">
        <v>757.27896799534597</v>
      </c>
      <c r="K115" s="22">
        <f t="shared" si="6"/>
        <v>0.19976989667889222</v>
      </c>
      <c r="L115" s="18">
        <f t="shared" si="7"/>
        <v>1</v>
      </c>
    </row>
    <row r="116" spans="1:12" x14ac:dyDescent="0.3">
      <c r="A116" t="s">
        <v>384</v>
      </c>
      <c r="B116" t="str">
        <f>VLOOKUP(A116, 'ISIC Code Mapping'!$A$2:$C$201, 3, FALSE)</f>
        <v>ISIC 242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22">
        <f t="shared" si="6"/>
        <v>0</v>
      </c>
      <c r="L116" s="18" t="str">
        <f t="shared" si="7"/>
        <v>N/A</v>
      </c>
    </row>
    <row r="117" spans="1:12" x14ac:dyDescent="0.3">
      <c r="A117" t="s">
        <v>383</v>
      </c>
      <c r="B117" t="str">
        <f>VLOOKUP(A117, 'ISIC Code Mapping'!$A$2:$C$201, 3, FALSE)</f>
        <v>ISIC 242</v>
      </c>
      <c r="C117">
        <v>116</v>
      </c>
      <c r="D117">
        <v>2.9029799786581368E-2</v>
      </c>
      <c r="E117">
        <v>0</v>
      </c>
      <c r="F117">
        <v>0</v>
      </c>
      <c r="G117">
        <v>0</v>
      </c>
      <c r="H117">
        <v>45.48365385358246</v>
      </c>
      <c r="I117">
        <v>0</v>
      </c>
      <c r="J117">
        <v>0</v>
      </c>
      <c r="K117" s="22">
        <f t="shared" si="6"/>
        <v>2.9029799786581368E-2</v>
      </c>
      <c r="L117" s="18">
        <f t="shared" si="7"/>
        <v>1</v>
      </c>
    </row>
    <row r="118" spans="1:12" x14ac:dyDescent="0.3">
      <c r="A118" t="s">
        <v>382</v>
      </c>
      <c r="B118" t="str">
        <f>VLOOKUP(A118, 'ISIC Code Mapping'!$A$2:$C$201, 3, FALSE)</f>
        <v>ISIC 25</v>
      </c>
      <c r="C118">
        <v>117</v>
      </c>
      <c r="D118">
        <v>833.55619159648472</v>
      </c>
      <c r="E118">
        <v>0</v>
      </c>
      <c r="F118">
        <v>0</v>
      </c>
      <c r="G118">
        <v>1289.8461865437214</v>
      </c>
      <c r="H118">
        <v>474.75706012195019</v>
      </c>
      <c r="I118">
        <v>0</v>
      </c>
      <c r="J118">
        <v>14070.822513612378</v>
      </c>
      <c r="K118" s="22">
        <f t="shared" si="6"/>
        <v>833.55619159648472</v>
      </c>
      <c r="L118" s="18">
        <f t="shared" si="7"/>
        <v>1</v>
      </c>
    </row>
    <row r="119" spans="1:12" x14ac:dyDescent="0.3">
      <c r="A119" t="s">
        <v>381</v>
      </c>
      <c r="B119" t="str">
        <f>VLOOKUP(A119, 'ISIC Code Mapping'!$A$2:$C$201, 3, FALSE)</f>
        <v>ISIC 28</v>
      </c>
      <c r="C119">
        <v>118</v>
      </c>
      <c r="D119">
        <v>846.44874417576261</v>
      </c>
      <c r="E119">
        <v>0</v>
      </c>
      <c r="F119">
        <v>0</v>
      </c>
      <c r="G119">
        <v>29612.9249301249</v>
      </c>
      <c r="H119">
        <v>760.01556863906569</v>
      </c>
      <c r="I119">
        <v>0</v>
      </c>
      <c r="J119">
        <v>53229.040758959869</v>
      </c>
      <c r="K119" s="22">
        <f t="shared" si="6"/>
        <v>846.44874417576261</v>
      </c>
      <c r="L119" s="18">
        <f t="shared" si="7"/>
        <v>1</v>
      </c>
    </row>
    <row r="120" spans="1:12" x14ac:dyDescent="0.3">
      <c r="A120" t="s">
        <v>380</v>
      </c>
      <c r="B120" t="str">
        <f>VLOOKUP(A120, 'ISIC Code Mapping'!$A$2:$C$201, 3, FALSE)</f>
        <v>ISIC 26</v>
      </c>
      <c r="C120">
        <v>119</v>
      </c>
      <c r="D120">
        <v>670.62094763283562</v>
      </c>
      <c r="E120">
        <v>0</v>
      </c>
      <c r="F120">
        <v>0</v>
      </c>
      <c r="G120">
        <v>791.31080406768683</v>
      </c>
      <c r="H120">
        <v>141.50373108121977</v>
      </c>
      <c r="I120">
        <v>0</v>
      </c>
      <c r="J120">
        <v>14239.841099026733</v>
      </c>
      <c r="K120" s="22">
        <f t="shared" si="6"/>
        <v>670.62094763283562</v>
      </c>
      <c r="L120" s="18">
        <f t="shared" si="7"/>
        <v>1</v>
      </c>
    </row>
    <row r="121" spans="1:12" x14ac:dyDescent="0.3">
      <c r="A121" t="s">
        <v>379</v>
      </c>
      <c r="B121" t="str">
        <f>VLOOKUP(A121, 'ISIC Code Mapping'!$A$2:$C$201, 3, FALSE)</f>
        <v>ISIC 27</v>
      </c>
      <c r="C121">
        <v>120</v>
      </c>
      <c r="D121">
        <v>2010.903423271579</v>
      </c>
      <c r="E121">
        <v>0</v>
      </c>
      <c r="F121">
        <v>0</v>
      </c>
      <c r="G121">
        <v>7120.224774402287</v>
      </c>
      <c r="H121">
        <v>441.65986811518167</v>
      </c>
      <c r="I121">
        <v>0</v>
      </c>
      <c r="J121">
        <v>31877.491157685803</v>
      </c>
      <c r="K121" s="22">
        <f t="shared" si="6"/>
        <v>2010.903423271579</v>
      </c>
      <c r="L121" s="18">
        <f t="shared" si="7"/>
        <v>1</v>
      </c>
    </row>
    <row r="122" spans="1:12" x14ac:dyDescent="0.3">
      <c r="A122" t="s">
        <v>378</v>
      </c>
      <c r="B122" t="str">
        <f>VLOOKUP(A122, 'ISIC Code Mapping'!$A$2:$C$201, 3, FALSE)</f>
        <v>ISIC 26</v>
      </c>
      <c r="C122">
        <v>121</v>
      </c>
      <c r="D122">
        <v>13140.015287841123</v>
      </c>
      <c r="E122">
        <v>0</v>
      </c>
      <c r="F122">
        <v>0</v>
      </c>
      <c r="G122">
        <v>4698.8816960975491</v>
      </c>
      <c r="H122">
        <v>4312.8477475400596</v>
      </c>
      <c r="I122">
        <v>0</v>
      </c>
      <c r="J122">
        <v>103974.21315287086</v>
      </c>
      <c r="K122" s="22">
        <f t="shared" si="6"/>
        <v>13140.015287841123</v>
      </c>
      <c r="L122" s="18">
        <f t="shared" si="7"/>
        <v>1</v>
      </c>
    </row>
    <row r="123" spans="1:12" x14ac:dyDescent="0.3">
      <c r="A123" t="s">
        <v>377</v>
      </c>
      <c r="B123" t="str">
        <f>VLOOKUP(A123, 'ISIC Code Mapping'!$A$2:$C$201, 3, FALSE)</f>
        <v>ISIC 26</v>
      </c>
      <c r="C123">
        <v>122</v>
      </c>
      <c r="D123">
        <v>583.57116421709816</v>
      </c>
      <c r="E123">
        <v>0</v>
      </c>
      <c r="F123">
        <v>0</v>
      </c>
      <c r="G123">
        <v>2378.5223881328079</v>
      </c>
      <c r="H123">
        <v>70.756364158671246</v>
      </c>
      <c r="I123">
        <v>0</v>
      </c>
      <c r="J123">
        <v>19469.608085278905</v>
      </c>
      <c r="K123" s="22">
        <f t="shared" si="6"/>
        <v>583.57116421709816</v>
      </c>
      <c r="L123" s="18">
        <f t="shared" si="7"/>
        <v>1</v>
      </c>
    </row>
    <row r="124" spans="1:12" x14ac:dyDescent="0.3">
      <c r="A124" t="s">
        <v>376</v>
      </c>
      <c r="B124" t="str">
        <f>VLOOKUP(A124, 'ISIC Code Mapping'!$A$2:$C$201, 3, FALSE)</f>
        <v>ISIC 29</v>
      </c>
      <c r="C124">
        <v>123</v>
      </c>
      <c r="D124">
        <v>11478.029385587715</v>
      </c>
      <c r="E124">
        <v>0</v>
      </c>
      <c r="F124">
        <v>0</v>
      </c>
      <c r="G124">
        <v>14905.561625069933</v>
      </c>
      <c r="H124">
        <v>584.08802591361757</v>
      </c>
      <c r="I124">
        <v>0</v>
      </c>
      <c r="J124">
        <v>68292.169508579944</v>
      </c>
      <c r="K124" s="22">
        <f t="shared" si="6"/>
        <v>11478.029385587715</v>
      </c>
      <c r="L124" s="18">
        <f t="shared" si="7"/>
        <v>1</v>
      </c>
    </row>
    <row r="125" spans="1:12" x14ac:dyDescent="0.3">
      <c r="A125" t="s">
        <v>375</v>
      </c>
      <c r="B125" t="str">
        <f>VLOOKUP(A125, 'ISIC Code Mapping'!$A$2:$C$201, 3, FALSE)</f>
        <v>ISIC 30</v>
      </c>
      <c r="C125">
        <v>124</v>
      </c>
      <c r="D125">
        <v>359.32238012199383</v>
      </c>
      <c r="E125">
        <v>0</v>
      </c>
      <c r="F125">
        <v>0</v>
      </c>
      <c r="G125">
        <v>8740.7799309421898</v>
      </c>
      <c r="H125">
        <v>162.21427601784737</v>
      </c>
      <c r="I125">
        <v>0</v>
      </c>
      <c r="J125">
        <v>15987.613849721989</v>
      </c>
      <c r="K125" s="22">
        <f t="shared" si="6"/>
        <v>359.32238012199383</v>
      </c>
      <c r="L125" s="18">
        <f t="shared" si="7"/>
        <v>1</v>
      </c>
    </row>
    <row r="126" spans="1:12" x14ac:dyDescent="0.3">
      <c r="A126" t="s">
        <v>374</v>
      </c>
      <c r="B126" t="str">
        <f>VLOOKUP(A126, 'ISIC Code Mapping'!$A$2:$C$201, 3, FALSE)</f>
        <v>ISIC 31T33</v>
      </c>
      <c r="C126">
        <v>125</v>
      </c>
      <c r="D126">
        <v>3180.0561216372917</v>
      </c>
      <c r="E126">
        <v>0</v>
      </c>
      <c r="F126">
        <v>0</v>
      </c>
      <c r="G126">
        <v>1869.9819455406559</v>
      </c>
      <c r="H126">
        <v>272.59249542932105</v>
      </c>
      <c r="I126">
        <v>0</v>
      </c>
      <c r="J126">
        <v>3371.5008066099176</v>
      </c>
      <c r="K126" s="22">
        <f t="shared" si="6"/>
        <v>3180.0561216372917</v>
      </c>
      <c r="L126" s="18">
        <f t="shared" si="7"/>
        <v>1</v>
      </c>
    </row>
    <row r="127" spans="1:12" x14ac:dyDescent="0.3">
      <c r="A127" t="s">
        <v>373</v>
      </c>
      <c r="B127" t="str">
        <f>VLOOKUP(A127, 'ISIC Code Mapping'!$A$2:$C$201, 3, FALSE)</f>
        <v>ISIC 36T39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22">
        <f t="shared" si="6"/>
        <v>0</v>
      </c>
      <c r="L127" s="18" t="str">
        <f t="shared" si="7"/>
        <v>N/A</v>
      </c>
    </row>
    <row r="128" spans="1:12" x14ac:dyDescent="0.3">
      <c r="A128" t="s">
        <v>372</v>
      </c>
      <c r="B128" t="str">
        <f>VLOOKUP(A128, 'ISIC Code Mapping'!$A$2:$C$201, 3, FALSE)</f>
        <v>ISIC 36T39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22">
        <f t="shared" si="6"/>
        <v>0</v>
      </c>
      <c r="L128" s="18" t="str">
        <f t="shared" si="7"/>
        <v>N/A</v>
      </c>
    </row>
    <row r="129" spans="1:12" x14ac:dyDescent="0.3">
      <c r="A129" t="s">
        <v>371</v>
      </c>
      <c r="B129" t="str">
        <f>VLOOKUP(A129, 'ISIC Code Mapping'!$A$2:$C$201, 3, FALSE)</f>
        <v>ISIC 351</v>
      </c>
      <c r="C129">
        <v>128</v>
      </c>
      <c r="D129">
        <v>1289.4569463675261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22">
        <f t="shared" si="6"/>
        <v>1289.4569463675261</v>
      </c>
      <c r="L129" s="18">
        <f t="shared" si="7"/>
        <v>1</v>
      </c>
    </row>
    <row r="130" spans="1:12" x14ac:dyDescent="0.3">
      <c r="A130" t="s">
        <v>370</v>
      </c>
      <c r="B130" t="str">
        <f>VLOOKUP(A130, 'ISIC Code Mapping'!$A$2:$C$201, 3, FALSE)</f>
        <v>ISIC 351</v>
      </c>
      <c r="C130">
        <v>129</v>
      </c>
      <c r="D130">
        <v>724.20395899895709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22">
        <f t="shared" ref="K130:K161" si="8">D130+E130</f>
        <v>724.20395899895709</v>
      </c>
      <c r="L130" s="18">
        <f t="shared" ref="L130:L161" si="9">IF(K130&gt;0, D130/K130, "N/A")</f>
        <v>1</v>
      </c>
    </row>
    <row r="131" spans="1:12" x14ac:dyDescent="0.3">
      <c r="A131" t="s">
        <v>369</v>
      </c>
      <c r="B131" t="str">
        <f>VLOOKUP(A131, 'ISIC Code Mapping'!$A$2:$C$201, 3, FALSE)</f>
        <v>ISIC 351</v>
      </c>
      <c r="C131">
        <v>130</v>
      </c>
      <c r="D131">
        <v>1015.5134490124142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22">
        <f t="shared" si="8"/>
        <v>1015.5134490124142</v>
      </c>
      <c r="L131" s="18">
        <f t="shared" si="9"/>
        <v>1</v>
      </c>
    </row>
    <row r="132" spans="1:12" x14ac:dyDescent="0.3">
      <c r="A132" t="s">
        <v>368</v>
      </c>
      <c r="B132" t="str">
        <f>VLOOKUP(A132, 'ISIC Code Mapping'!$A$2:$C$201, 3, FALSE)</f>
        <v>ISIC 351</v>
      </c>
      <c r="C132">
        <v>131</v>
      </c>
      <c r="D132">
        <v>30.062936955944277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22">
        <f t="shared" si="8"/>
        <v>30.062936955944277</v>
      </c>
      <c r="L132" s="18">
        <f t="shared" si="9"/>
        <v>1</v>
      </c>
    </row>
    <row r="133" spans="1:12" x14ac:dyDescent="0.3">
      <c r="A133" t="s">
        <v>367</v>
      </c>
      <c r="B133" t="str">
        <f>VLOOKUP(A133, 'ISIC Code Mapping'!$A$2:$C$201, 3, FALSE)</f>
        <v>ISIC 351</v>
      </c>
      <c r="C133">
        <v>132</v>
      </c>
      <c r="D133">
        <v>5.5843800926154623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22">
        <f t="shared" si="8"/>
        <v>5.5843800926154623</v>
      </c>
      <c r="L133" s="18">
        <f t="shared" si="9"/>
        <v>1</v>
      </c>
    </row>
    <row r="134" spans="1:12" x14ac:dyDescent="0.3">
      <c r="A134" t="s">
        <v>366</v>
      </c>
      <c r="B134" t="str">
        <f>VLOOKUP(A134, 'ISIC Code Mapping'!$A$2:$C$201, 3, FALSE)</f>
        <v>ISIC 351</v>
      </c>
      <c r="C134">
        <v>133</v>
      </c>
      <c r="D134">
        <v>115.56470028052333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22">
        <f t="shared" si="8"/>
        <v>115.56470028052333</v>
      </c>
      <c r="L134" s="18">
        <f t="shared" si="9"/>
        <v>1</v>
      </c>
    </row>
    <row r="135" spans="1:12" x14ac:dyDescent="0.3">
      <c r="A135" t="s">
        <v>365</v>
      </c>
      <c r="B135" t="str">
        <f>VLOOKUP(A135, 'ISIC Code Mapping'!$A$2:$C$201, 3, FALSE)</f>
        <v>ISIC 351</v>
      </c>
      <c r="C135">
        <v>134</v>
      </c>
      <c r="D135">
        <v>10.793117679233648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22">
        <f t="shared" si="8"/>
        <v>10.793117679233648</v>
      </c>
      <c r="L135" s="18">
        <f t="shared" si="9"/>
        <v>1</v>
      </c>
    </row>
    <row r="136" spans="1:12" x14ac:dyDescent="0.3">
      <c r="A136" t="s">
        <v>364</v>
      </c>
      <c r="B136" t="str">
        <f>VLOOKUP(A136, 'ISIC Code Mapping'!$A$2:$C$201, 3, FALSE)</f>
        <v>ISIC 351</v>
      </c>
      <c r="C136">
        <v>135</v>
      </c>
      <c r="D136">
        <v>5.9345667298037688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22">
        <f t="shared" si="8"/>
        <v>5.9345667298037688</v>
      </c>
      <c r="L136" s="18">
        <f t="shared" si="9"/>
        <v>1</v>
      </c>
    </row>
    <row r="137" spans="1:12" x14ac:dyDescent="0.3">
      <c r="A137" t="s">
        <v>363</v>
      </c>
      <c r="B137" t="str">
        <f>VLOOKUP(A137, 'ISIC Code Mapping'!$A$2:$C$201, 3, FALSE)</f>
        <v>ISIC 351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22">
        <f t="shared" si="8"/>
        <v>0</v>
      </c>
      <c r="L137" s="18" t="str">
        <f t="shared" si="9"/>
        <v>N/A</v>
      </c>
    </row>
    <row r="138" spans="1:12" x14ac:dyDescent="0.3">
      <c r="A138" t="s">
        <v>362</v>
      </c>
      <c r="B138" t="str">
        <f>VLOOKUP(A138, 'ISIC Code Mapping'!$A$2:$C$201, 3, FALSE)</f>
        <v>ISIC 351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22">
        <f t="shared" si="8"/>
        <v>0</v>
      </c>
      <c r="L138" s="18" t="str">
        <f t="shared" si="9"/>
        <v>N/A</v>
      </c>
    </row>
    <row r="139" spans="1:12" x14ac:dyDescent="0.3">
      <c r="A139" t="s">
        <v>361</v>
      </c>
      <c r="B139" t="str">
        <f>VLOOKUP(A139, 'ISIC Code Mapping'!$A$2:$C$201, 3, FALSE)</f>
        <v>ISIC 351</v>
      </c>
      <c r="C139">
        <v>138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22">
        <f t="shared" si="8"/>
        <v>0</v>
      </c>
      <c r="L139" s="18" t="str">
        <f t="shared" si="9"/>
        <v>N/A</v>
      </c>
    </row>
    <row r="140" spans="1:12" x14ac:dyDescent="0.3">
      <c r="A140" t="s">
        <v>360</v>
      </c>
      <c r="B140" t="str">
        <f>VLOOKUP(A140, 'ISIC Code Mapping'!$A$2:$C$201, 3, FALSE)</f>
        <v>ISIC 351</v>
      </c>
      <c r="C140">
        <v>139</v>
      </c>
      <c r="D140">
        <v>120.99311676870876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s="22">
        <f t="shared" si="8"/>
        <v>120.99311676870876</v>
      </c>
      <c r="L140" s="18">
        <f t="shared" si="9"/>
        <v>1</v>
      </c>
    </row>
    <row r="141" spans="1:12" x14ac:dyDescent="0.3">
      <c r="A141" t="s">
        <v>359</v>
      </c>
      <c r="B141" t="str">
        <f>VLOOKUP(A141, 'ISIC Code Mapping'!$A$2:$C$201, 3, FALSE)</f>
        <v>ISIC 351</v>
      </c>
      <c r="C141">
        <v>140</v>
      </c>
      <c r="D141">
        <v>485.30892173955777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22">
        <f t="shared" si="8"/>
        <v>485.30892173955777</v>
      </c>
      <c r="L141" s="18">
        <f t="shared" si="9"/>
        <v>1</v>
      </c>
    </row>
    <row r="142" spans="1:12" x14ac:dyDescent="0.3">
      <c r="A142" t="s">
        <v>358</v>
      </c>
      <c r="B142" t="str">
        <f>VLOOKUP(A142, 'ISIC Code Mapping'!$A$2:$C$201, 3, FALSE)</f>
        <v>ISIC 351</v>
      </c>
      <c r="C142">
        <v>141</v>
      </c>
      <c r="D142">
        <v>2688.5705963681971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22">
        <f t="shared" si="8"/>
        <v>2688.5705963681971</v>
      </c>
      <c r="L142" s="18">
        <f t="shared" si="9"/>
        <v>1</v>
      </c>
    </row>
    <row r="143" spans="1:12" x14ac:dyDescent="0.3">
      <c r="A143" t="s">
        <v>357</v>
      </c>
      <c r="B143" t="str">
        <f>VLOOKUP(A143, 'ISIC Code Mapping'!$A$2:$C$201, 3, FALSE)</f>
        <v>ISIC 352T353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5.2599174600062658E-2</v>
      </c>
      <c r="K143" s="22">
        <f t="shared" si="8"/>
        <v>0</v>
      </c>
      <c r="L143" s="18" t="str">
        <f t="shared" si="9"/>
        <v>N/A</v>
      </c>
    </row>
    <row r="144" spans="1:12" x14ac:dyDescent="0.3">
      <c r="A144" t="s">
        <v>356</v>
      </c>
      <c r="B144" t="str">
        <f>VLOOKUP(A144, 'ISIC Code Mapping'!$A$2:$C$201, 3, FALSE)</f>
        <v>ISIC 352T353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0.10927941169372263</v>
      </c>
      <c r="K144" s="22">
        <f t="shared" si="8"/>
        <v>0</v>
      </c>
      <c r="L144" s="18" t="str">
        <f t="shared" si="9"/>
        <v>N/A</v>
      </c>
    </row>
    <row r="145" spans="1:12" x14ac:dyDescent="0.3">
      <c r="A145" t="s">
        <v>355</v>
      </c>
      <c r="B145" t="str">
        <f>VLOOKUP(A145, 'ISIC Code Mapping'!$A$2:$C$201, 3, FALSE)</f>
        <v>ISIC 352T353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22">
        <f t="shared" si="8"/>
        <v>0</v>
      </c>
      <c r="L145" s="18" t="str">
        <f t="shared" si="9"/>
        <v>N/A</v>
      </c>
    </row>
    <row r="146" spans="1:12" x14ac:dyDescent="0.3">
      <c r="A146" t="s">
        <v>354</v>
      </c>
      <c r="B146" t="str">
        <f>VLOOKUP(A146, 'ISIC Code Mapping'!$A$2:$C$201, 3, FALSE)</f>
        <v>ISIC 352T353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22">
        <f t="shared" si="8"/>
        <v>0</v>
      </c>
      <c r="L146" s="18" t="str">
        <f t="shared" si="9"/>
        <v>N/A</v>
      </c>
    </row>
    <row r="147" spans="1:12" x14ac:dyDescent="0.3">
      <c r="A147" t="s">
        <v>353</v>
      </c>
      <c r="B147" t="str">
        <f>VLOOKUP(A147, 'ISIC Code Mapping'!$A$2:$C$201, 3, FALSE)</f>
        <v>ISIC 352T353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1.1184607385490302E-2</v>
      </c>
      <c r="K147" s="22">
        <f t="shared" si="8"/>
        <v>0</v>
      </c>
      <c r="L147" s="18" t="str">
        <f t="shared" si="9"/>
        <v>N/A</v>
      </c>
    </row>
    <row r="148" spans="1:12" x14ac:dyDescent="0.3">
      <c r="A148" t="s">
        <v>352</v>
      </c>
      <c r="B148" t="str">
        <f>VLOOKUP(A148, 'ISIC Code Mapping'!$A$2:$C$201, 3, FALSE)</f>
        <v>ISIC 352T353</v>
      </c>
      <c r="C148">
        <v>147</v>
      </c>
      <c r="D148">
        <v>3092.67022675623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22">
        <f t="shared" si="8"/>
        <v>3092.67022675623</v>
      </c>
      <c r="L148" s="18">
        <f t="shared" si="9"/>
        <v>1</v>
      </c>
    </row>
    <row r="149" spans="1:12" x14ac:dyDescent="0.3">
      <c r="A149" t="s">
        <v>351</v>
      </c>
      <c r="B149" t="str">
        <f>VLOOKUP(A149, 'ISIC Code Mapping'!$A$2:$C$201, 3, FALSE)</f>
        <v>ISIC 36T39</v>
      </c>
      <c r="C149">
        <v>148</v>
      </c>
      <c r="D149">
        <v>45.035332301997045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22">
        <f t="shared" si="8"/>
        <v>45.035332301997045</v>
      </c>
      <c r="L149" s="18">
        <f t="shared" si="9"/>
        <v>1</v>
      </c>
    </row>
    <row r="150" spans="1:12" x14ac:dyDescent="0.3">
      <c r="A150" t="s">
        <v>350</v>
      </c>
      <c r="B150" t="str">
        <f>VLOOKUP(A150, 'ISIC Code Mapping'!$A$2:$C$201, 3, FALSE)</f>
        <v>ISIC 36T39</v>
      </c>
      <c r="C150">
        <v>149</v>
      </c>
      <c r="D150">
        <v>4401.1371485394766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22">
        <f t="shared" si="8"/>
        <v>4401.1371485394766</v>
      </c>
      <c r="L150" s="18">
        <f t="shared" si="9"/>
        <v>1</v>
      </c>
    </row>
    <row r="151" spans="1:12" x14ac:dyDescent="0.3">
      <c r="A151" t="s">
        <v>349</v>
      </c>
      <c r="B151" t="str">
        <f>VLOOKUP(A151, 'ISIC Code Mapping'!$A$2:$C$201, 3, FALSE)</f>
        <v>ISIC 41T43</v>
      </c>
      <c r="C151">
        <v>150</v>
      </c>
      <c r="D151">
        <v>0</v>
      </c>
      <c r="E151">
        <v>0</v>
      </c>
      <c r="F151">
        <v>0</v>
      </c>
      <c r="G151">
        <v>144835.47230995179</v>
      </c>
      <c r="H151">
        <v>392.42920894995007</v>
      </c>
      <c r="I151">
        <v>0</v>
      </c>
      <c r="J151">
        <v>838.24273219389806</v>
      </c>
      <c r="K151" s="22">
        <f t="shared" si="8"/>
        <v>0</v>
      </c>
      <c r="L151" s="18" t="str">
        <f t="shared" si="9"/>
        <v>N/A</v>
      </c>
    </row>
    <row r="152" spans="1:12" x14ac:dyDescent="0.3">
      <c r="A152" t="s">
        <v>348</v>
      </c>
      <c r="B152" t="str">
        <f>VLOOKUP(A152, 'ISIC Code Mapping'!$A$2:$C$201, 3, FALSE)</f>
        <v>ISIC 41T43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22">
        <f t="shared" si="8"/>
        <v>0</v>
      </c>
      <c r="L152" s="18" t="str">
        <f t="shared" si="9"/>
        <v>N/A</v>
      </c>
    </row>
    <row r="153" spans="1:12" x14ac:dyDescent="0.3">
      <c r="A153" t="s">
        <v>347</v>
      </c>
      <c r="B153" t="str">
        <f>VLOOKUP(A153, 'ISIC Code Mapping'!$A$2:$C$201, 3, FALSE)</f>
        <v>ISIC 45T47</v>
      </c>
      <c r="C153">
        <v>152</v>
      </c>
      <c r="D153">
        <v>117.44691560223465</v>
      </c>
      <c r="E153">
        <v>0</v>
      </c>
      <c r="F153">
        <v>0</v>
      </c>
      <c r="G153">
        <v>0</v>
      </c>
      <c r="H153">
        <v>131.58499346193597</v>
      </c>
      <c r="I153">
        <v>0</v>
      </c>
      <c r="J153">
        <v>194.9790800645587</v>
      </c>
      <c r="K153" s="22">
        <f t="shared" si="8"/>
        <v>117.44691560223465</v>
      </c>
      <c r="L153" s="18">
        <f t="shared" si="9"/>
        <v>1</v>
      </c>
    </row>
    <row r="154" spans="1:12" x14ac:dyDescent="0.3">
      <c r="A154" t="s">
        <v>346</v>
      </c>
      <c r="B154" t="str">
        <f>VLOOKUP(A154, 'ISIC Code Mapping'!$A$2:$C$201, 3, FALSE)</f>
        <v>ISIC 45T47</v>
      </c>
      <c r="C154">
        <v>153</v>
      </c>
      <c r="D154">
        <v>7.5708960522033992</v>
      </c>
      <c r="E154">
        <v>0</v>
      </c>
      <c r="F154">
        <v>0</v>
      </c>
      <c r="G154">
        <v>0</v>
      </c>
      <c r="H154">
        <v>3.1206612414011818</v>
      </c>
      <c r="I154">
        <v>0</v>
      </c>
      <c r="J154">
        <v>12.089404330348609</v>
      </c>
      <c r="K154" s="22">
        <f t="shared" si="8"/>
        <v>7.5708960522033992</v>
      </c>
      <c r="L154" s="18">
        <f t="shared" si="9"/>
        <v>1</v>
      </c>
    </row>
    <row r="155" spans="1:12" x14ac:dyDescent="0.3">
      <c r="A155" t="s">
        <v>345</v>
      </c>
      <c r="B155" t="str">
        <f>VLOOKUP(A155, 'ISIC Code Mapping'!$A$2:$C$201, 3, FALSE)</f>
        <v>ISIC 45T47</v>
      </c>
      <c r="C155">
        <v>154</v>
      </c>
      <c r="D155">
        <v>274.83850376748785</v>
      </c>
      <c r="E155">
        <v>0</v>
      </c>
      <c r="F155">
        <v>0</v>
      </c>
      <c r="G155">
        <v>134.14687951667094</v>
      </c>
      <c r="H155">
        <v>153.95875711962435</v>
      </c>
      <c r="I155">
        <v>0</v>
      </c>
      <c r="J155">
        <v>675.85132183457779</v>
      </c>
      <c r="K155" s="22">
        <f t="shared" si="8"/>
        <v>274.83850376748785</v>
      </c>
      <c r="L155" s="18">
        <f t="shared" si="9"/>
        <v>1</v>
      </c>
    </row>
    <row r="156" spans="1:12" x14ac:dyDescent="0.3">
      <c r="A156" t="s">
        <v>344</v>
      </c>
      <c r="B156" t="e">
        <f>VLOOKUP(A156, 'ISIC Code Mapping'!$A$2:$C$201, 3, FALSE)</f>
        <v>#N/A</v>
      </c>
      <c r="C156">
        <v>155</v>
      </c>
      <c r="D156">
        <v>399.39725026630964</v>
      </c>
      <c r="E156">
        <v>0</v>
      </c>
      <c r="F156">
        <v>0</v>
      </c>
      <c r="G156">
        <v>28.334637908132926</v>
      </c>
      <c r="H156">
        <v>118.65588034806012</v>
      </c>
      <c r="I156">
        <v>0</v>
      </c>
      <c r="J156">
        <v>357.61784845344351</v>
      </c>
      <c r="K156" s="22">
        <f t="shared" si="8"/>
        <v>399.39725026630964</v>
      </c>
      <c r="L156" s="18">
        <f t="shared" si="9"/>
        <v>1</v>
      </c>
    </row>
    <row r="157" spans="1:12" x14ac:dyDescent="0.3">
      <c r="A157" t="s">
        <v>343</v>
      </c>
      <c r="B157" t="str">
        <f>VLOOKUP(A157, 'ISIC Code Mapping'!$A$2:$C$201, 3, FALSE)</f>
        <v>ISIC 55T56</v>
      </c>
      <c r="C157">
        <v>156</v>
      </c>
      <c r="D157">
        <v>39095.893538979675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3608.2703821337254</v>
      </c>
      <c r="K157" s="22">
        <f t="shared" si="8"/>
        <v>39095.893538979675</v>
      </c>
      <c r="L157" s="18">
        <f t="shared" si="9"/>
        <v>1</v>
      </c>
    </row>
    <row r="158" spans="1:12" x14ac:dyDescent="0.3">
      <c r="A158" t="s">
        <v>342</v>
      </c>
      <c r="B158" t="str">
        <f>VLOOKUP(A158, 'ISIC Code Mapping'!$A$2:$C$201, 3, FALSE)</f>
        <v>ISIC 49T53</v>
      </c>
      <c r="C158">
        <v>157</v>
      </c>
      <c r="D158">
        <v>7159.5530232555275</v>
      </c>
      <c r="E158">
        <v>0</v>
      </c>
      <c r="F158">
        <v>0</v>
      </c>
      <c r="G158">
        <v>0</v>
      </c>
      <c r="H158">
        <v>4.2612510020576995</v>
      </c>
      <c r="I158">
        <v>0</v>
      </c>
      <c r="J158">
        <v>221.81352596180437</v>
      </c>
      <c r="K158" s="22">
        <f t="shared" si="8"/>
        <v>7159.5530232555275</v>
      </c>
      <c r="L158" s="18">
        <f t="shared" si="9"/>
        <v>1</v>
      </c>
    </row>
    <row r="159" spans="1:12" x14ac:dyDescent="0.3">
      <c r="A159" t="s">
        <v>341</v>
      </c>
      <c r="B159" t="str">
        <f>VLOOKUP(A159, 'ISIC Code Mapping'!$A$2:$C$201, 3, FALSE)</f>
        <v>ISIC 49T53</v>
      </c>
      <c r="C159">
        <v>158</v>
      </c>
      <c r="D159">
        <v>7673.2116776673402</v>
      </c>
      <c r="E159">
        <v>0</v>
      </c>
      <c r="F159">
        <v>0</v>
      </c>
      <c r="G159">
        <v>0</v>
      </c>
      <c r="H159">
        <v>10.090190810020641</v>
      </c>
      <c r="I159">
        <v>0</v>
      </c>
      <c r="J159">
        <v>922.521216169794</v>
      </c>
      <c r="K159" s="22">
        <f t="shared" si="8"/>
        <v>7673.2116776673402</v>
      </c>
      <c r="L159" s="18">
        <f t="shared" si="9"/>
        <v>1</v>
      </c>
    </row>
    <row r="160" spans="1:12" x14ac:dyDescent="0.3">
      <c r="A160" t="s">
        <v>340</v>
      </c>
      <c r="B160" t="str">
        <f>VLOOKUP(A160, 'ISIC Code Mapping'!$A$2:$C$201, 3, FALSE)</f>
        <v>ISIC 49T53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0.71242203981068919</v>
      </c>
      <c r="I160">
        <v>0</v>
      </c>
      <c r="J160">
        <v>33.242567915421191</v>
      </c>
      <c r="K160" s="22">
        <f t="shared" si="8"/>
        <v>0</v>
      </c>
      <c r="L160" s="18" t="str">
        <f t="shared" si="9"/>
        <v>N/A</v>
      </c>
    </row>
    <row r="161" spans="1:12" x14ac:dyDescent="0.3">
      <c r="A161" t="s">
        <v>339</v>
      </c>
      <c r="B161" t="str">
        <f>VLOOKUP(A161, 'ISIC Code Mapping'!$A$2:$C$201, 3, FALSE)</f>
        <v>ISIC 49T53</v>
      </c>
      <c r="C161">
        <v>160</v>
      </c>
      <c r="D161">
        <v>68.190938540687895</v>
      </c>
      <c r="E161">
        <v>0</v>
      </c>
      <c r="F161">
        <v>0</v>
      </c>
      <c r="G161">
        <v>0</v>
      </c>
      <c r="H161">
        <v>0.81035117050823113</v>
      </c>
      <c r="I161">
        <v>0</v>
      </c>
      <c r="J161">
        <v>1537.8484675406969</v>
      </c>
      <c r="K161" s="22">
        <f t="shared" si="8"/>
        <v>68.190938540687895</v>
      </c>
      <c r="L161" s="18">
        <f t="shared" si="9"/>
        <v>1</v>
      </c>
    </row>
    <row r="162" spans="1:12" x14ac:dyDescent="0.3">
      <c r="A162" t="s">
        <v>338</v>
      </c>
      <c r="B162" t="str">
        <f>VLOOKUP(A162, 'ISIC Code Mapping'!$A$2:$C$201, 3, FALSE)</f>
        <v>ISIC 49T53</v>
      </c>
      <c r="C162">
        <v>161</v>
      </c>
      <c r="D162">
        <v>210.04694106806616</v>
      </c>
      <c r="E162">
        <v>0</v>
      </c>
      <c r="F162">
        <v>0</v>
      </c>
      <c r="G162">
        <v>0</v>
      </c>
      <c r="H162">
        <v>2.975084127385378E-2</v>
      </c>
      <c r="I162">
        <v>0</v>
      </c>
      <c r="J162">
        <v>6.9498629087054171</v>
      </c>
      <c r="K162" s="22">
        <f t="shared" ref="K162:K193" si="10">D162+E162</f>
        <v>210.04694106806616</v>
      </c>
      <c r="L162" s="18">
        <f t="shared" ref="L162:L193" si="11">IF(K162&gt;0, D162/K162, "N/A")</f>
        <v>1</v>
      </c>
    </row>
    <row r="163" spans="1:12" x14ac:dyDescent="0.3">
      <c r="A163" t="s">
        <v>337</v>
      </c>
      <c r="B163" t="str">
        <f>VLOOKUP(A163, 'ISIC Code Mapping'!$A$2:$C$201, 3, FALSE)</f>
        <v>ISIC 49T53</v>
      </c>
      <c r="C163">
        <v>162</v>
      </c>
      <c r="D163">
        <v>1576.8647122370871</v>
      </c>
      <c r="E163">
        <v>0</v>
      </c>
      <c r="F163">
        <v>0</v>
      </c>
      <c r="G163">
        <v>0</v>
      </c>
      <c r="H163">
        <v>0.90611599784622965</v>
      </c>
      <c r="I163">
        <v>0</v>
      </c>
      <c r="J163">
        <v>1330.1909351005447</v>
      </c>
      <c r="K163" s="22">
        <f t="shared" si="10"/>
        <v>1576.8647122370871</v>
      </c>
      <c r="L163" s="18">
        <f t="shared" si="11"/>
        <v>1</v>
      </c>
    </row>
    <row r="164" spans="1:12" x14ac:dyDescent="0.3">
      <c r="A164" t="s">
        <v>336</v>
      </c>
      <c r="B164" t="str">
        <f>VLOOKUP(A164, 'ISIC Code Mapping'!$A$2:$C$201, 3, FALSE)</f>
        <v>ISIC 49T53</v>
      </c>
      <c r="C164">
        <v>163</v>
      </c>
      <c r="D164">
        <v>1341.2447924769347</v>
      </c>
      <c r="E164">
        <v>0</v>
      </c>
      <c r="F164">
        <v>0</v>
      </c>
      <c r="G164">
        <v>0</v>
      </c>
      <c r="H164">
        <v>39.903927428001388</v>
      </c>
      <c r="I164">
        <v>0</v>
      </c>
      <c r="J164">
        <v>748.8829482614367</v>
      </c>
      <c r="K164" s="22">
        <f t="shared" si="10"/>
        <v>1341.2447924769347</v>
      </c>
      <c r="L164" s="18">
        <f t="shared" si="11"/>
        <v>1</v>
      </c>
    </row>
    <row r="165" spans="1:12" x14ac:dyDescent="0.3">
      <c r="A165" t="s">
        <v>335</v>
      </c>
      <c r="B165" t="str">
        <f>VLOOKUP(A165, 'ISIC Code Mapping'!$A$2:$C$201, 3, FALSE)</f>
        <v>ISIC 61</v>
      </c>
      <c r="C165">
        <v>164</v>
      </c>
      <c r="D165">
        <v>26799.481198302467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168.95985470710397</v>
      </c>
      <c r="K165" s="22">
        <f t="shared" si="10"/>
        <v>26799.481198302467</v>
      </c>
      <c r="L165" s="18">
        <f t="shared" si="11"/>
        <v>1</v>
      </c>
    </row>
    <row r="166" spans="1:12" x14ac:dyDescent="0.3">
      <c r="A166" t="s">
        <v>334</v>
      </c>
      <c r="B166" t="str">
        <f>VLOOKUP(A166, 'ISIC Code Mapping'!$A$2:$C$201, 3, FALSE)</f>
        <v>ISIC 64T66</v>
      </c>
      <c r="C166">
        <v>165</v>
      </c>
      <c r="D166">
        <v>8468.4195361350139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194.73455776611587</v>
      </c>
      <c r="K166" s="22">
        <f t="shared" si="10"/>
        <v>8468.4195361350139</v>
      </c>
      <c r="L166" s="18">
        <f t="shared" si="11"/>
        <v>1</v>
      </c>
    </row>
    <row r="167" spans="1:12" x14ac:dyDescent="0.3">
      <c r="A167" t="s">
        <v>333</v>
      </c>
      <c r="B167" t="str">
        <f>VLOOKUP(A167, 'ISIC Code Mapping'!$A$2:$C$201, 3, FALSE)</f>
        <v>ISIC 64T66</v>
      </c>
      <c r="C167">
        <v>166</v>
      </c>
      <c r="D167">
        <v>30491.562802752585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209.08326172683294</v>
      </c>
      <c r="K167" s="22">
        <f t="shared" si="10"/>
        <v>30491.562802752585</v>
      </c>
      <c r="L167" s="18">
        <f t="shared" si="11"/>
        <v>1</v>
      </c>
    </row>
    <row r="168" spans="1:12" x14ac:dyDescent="0.3">
      <c r="A168" t="s">
        <v>332</v>
      </c>
      <c r="B168" t="str">
        <f>VLOOKUP(A168, 'ISIC Code Mapping'!$A$2:$C$201, 3, FALSE)</f>
        <v>ISIC 64T66</v>
      </c>
      <c r="C168">
        <v>167</v>
      </c>
      <c r="D168">
        <v>719.63846825409746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95.560054263478719</v>
      </c>
      <c r="K168" s="22">
        <f t="shared" si="10"/>
        <v>719.63846825409746</v>
      </c>
      <c r="L168" s="18">
        <f t="shared" si="11"/>
        <v>1</v>
      </c>
    </row>
    <row r="169" spans="1:12" x14ac:dyDescent="0.3">
      <c r="A169" t="s">
        <v>331</v>
      </c>
      <c r="B169" t="str">
        <f>VLOOKUP(A169, 'ISIC Code Mapping'!$A$2:$C$201, 3, FALSE)</f>
        <v>ISIC 68</v>
      </c>
      <c r="C169">
        <v>168</v>
      </c>
      <c r="D169">
        <v>56946.289944184748</v>
      </c>
      <c r="E169">
        <v>0</v>
      </c>
      <c r="F169">
        <v>0</v>
      </c>
      <c r="G169">
        <v>16587.121154445427</v>
      </c>
      <c r="H169">
        <v>0</v>
      </c>
      <c r="I169">
        <v>0</v>
      </c>
      <c r="J169">
        <v>817.74874515180477</v>
      </c>
      <c r="K169" s="22">
        <f t="shared" si="10"/>
        <v>56946.289944184748</v>
      </c>
      <c r="L169" s="18">
        <f t="shared" si="11"/>
        <v>1</v>
      </c>
    </row>
    <row r="170" spans="1:12" x14ac:dyDescent="0.3">
      <c r="A170" t="s">
        <v>330</v>
      </c>
      <c r="B170" t="str">
        <f>VLOOKUP(A170, 'ISIC Code Mapping'!$A$2:$C$201, 3, FALSE)</f>
        <v>ISIC 69T82</v>
      </c>
      <c r="C170">
        <v>169</v>
      </c>
      <c r="D170">
        <v>1419.3411877591939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198.82616978302804</v>
      </c>
      <c r="K170" s="22">
        <f t="shared" si="10"/>
        <v>1419.3411877591939</v>
      </c>
      <c r="L170" s="18">
        <f t="shared" si="11"/>
        <v>1</v>
      </c>
    </row>
    <row r="171" spans="1:12" x14ac:dyDescent="0.3">
      <c r="A171" t="s">
        <v>329</v>
      </c>
      <c r="B171" t="str">
        <f>VLOOKUP(A171, 'ISIC Code Mapping'!$A$2:$C$201, 3, FALSE)</f>
        <v>ISIC 62T63</v>
      </c>
      <c r="C171">
        <v>170</v>
      </c>
      <c r="D171">
        <v>1192.372532630955</v>
      </c>
      <c r="E171">
        <v>0</v>
      </c>
      <c r="F171">
        <v>0</v>
      </c>
      <c r="G171">
        <v>9463.4372857246799</v>
      </c>
      <c r="H171">
        <v>0</v>
      </c>
      <c r="I171">
        <v>0</v>
      </c>
      <c r="J171">
        <v>142.80098386665694</v>
      </c>
      <c r="K171" s="22">
        <f t="shared" si="10"/>
        <v>1192.372532630955</v>
      </c>
      <c r="L171" s="18">
        <f t="shared" si="11"/>
        <v>1</v>
      </c>
    </row>
    <row r="172" spans="1:12" x14ac:dyDescent="0.3">
      <c r="A172" t="s">
        <v>328</v>
      </c>
      <c r="B172" t="str">
        <f>VLOOKUP(A172, 'ISIC Code Mapping'!$A$2:$C$201, 3, FALSE)</f>
        <v>ISIC 69T82</v>
      </c>
      <c r="C172">
        <v>171</v>
      </c>
      <c r="D172">
        <v>0</v>
      </c>
      <c r="E172">
        <v>2643.2860356547649</v>
      </c>
      <c r="F172">
        <v>3922.3393525045408</v>
      </c>
      <c r="G172">
        <v>0</v>
      </c>
      <c r="H172">
        <v>0</v>
      </c>
      <c r="I172">
        <v>0</v>
      </c>
      <c r="J172">
        <v>210.7041874149696</v>
      </c>
      <c r="K172" s="22">
        <f t="shared" si="10"/>
        <v>2643.2860356547649</v>
      </c>
      <c r="L172" s="18">
        <f t="shared" si="11"/>
        <v>0</v>
      </c>
    </row>
    <row r="173" spans="1:12" x14ac:dyDescent="0.3">
      <c r="A173" t="s">
        <v>327</v>
      </c>
      <c r="B173" t="str">
        <f>VLOOKUP(A173, 'ISIC Code Mapping'!$A$2:$C$201, 3, FALSE)</f>
        <v>ISIC 69T82</v>
      </c>
      <c r="C173">
        <v>172</v>
      </c>
      <c r="D173">
        <v>1471.1666210056605</v>
      </c>
      <c r="E173">
        <v>0</v>
      </c>
      <c r="F173">
        <v>0</v>
      </c>
      <c r="G173">
        <v>10302.292214294877</v>
      </c>
      <c r="H173">
        <v>0</v>
      </c>
      <c r="I173">
        <v>0</v>
      </c>
      <c r="J173">
        <v>1539.9840395061763</v>
      </c>
      <c r="K173" s="22">
        <f t="shared" si="10"/>
        <v>1471.1666210056605</v>
      </c>
      <c r="L173" s="18">
        <f t="shared" si="11"/>
        <v>1</v>
      </c>
    </row>
    <row r="174" spans="1:12" x14ac:dyDescent="0.3">
      <c r="A174" t="s">
        <v>326</v>
      </c>
      <c r="B174" t="str">
        <f>VLOOKUP(A174, 'ISIC Code Mapping'!$A$2:$C$201, 3, FALSE)</f>
        <v>ISIC 84</v>
      </c>
      <c r="C174">
        <v>173</v>
      </c>
      <c r="D174">
        <v>650.43403408104416</v>
      </c>
      <c r="E174">
        <v>46866.127573106918</v>
      </c>
      <c r="F174">
        <v>75708.984278182208</v>
      </c>
      <c r="G174">
        <v>0</v>
      </c>
      <c r="H174">
        <v>0</v>
      </c>
      <c r="I174">
        <v>0</v>
      </c>
      <c r="J174">
        <v>130.78253887450143</v>
      </c>
      <c r="K174" s="22">
        <f t="shared" si="10"/>
        <v>47516.561607187963</v>
      </c>
      <c r="L174" s="18">
        <f t="shared" si="11"/>
        <v>1.3688575353117537E-2</v>
      </c>
    </row>
    <row r="175" spans="1:12" x14ac:dyDescent="0.3">
      <c r="A175" t="s">
        <v>325</v>
      </c>
      <c r="B175" t="str">
        <f>VLOOKUP(A175, 'ISIC Code Mapping'!$A$2:$C$201, 3, FALSE)</f>
        <v>ISIC 85</v>
      </c>
      <c r="C175">
        <v>174</v>
      </c>
      <c r="D175">
        <v>33218.824628923496</v>
      </c>
      <c r="E175">
        <v>22443.227233774658</v>
      </c>
      <c r="F175">
        <v>34659.621475007261</v>
      </c>
      <c r="G175">
        <v>0</v>
      </c>
      <c r="H175">
        <v>0</v>
      </c>
      <c r="I175">
        <v>0</v>
      </c>
      <c r="J175">
        <v>76.855389494996629</v>
      </c>
      <c r="K175" s="22">
        <f t="shared" si="10"/>
        <v>55662.05186269815</v>
      </c>
      <c r="L175" s="18">
        <f t="shared" si="11"/>
        <v>0.59679482730648392</v>
      </c>
    </row>
    <row r="176" spans="1:12" x14ac:dyDescent="0.3">
      <c r="A176" t="s">
        <v>324</v>
      </c>
      <c r="B176" t="str">
        <f>VLOOKUP(A176, 'ISIC Code Mapping'!$A$2:$C$201, 3, FALSE)</f>
        <v>ISIC 86T88</v>
      </c>
      <c r="C176">
        <v>175</v>
      </c>
      <c r="D176">
        <v>19615.808840879497</v>
      </c>
      <c r="E176">
        <v>27972.981216800756</v>
      </c>
      <c r="F176">
        <v>46145.886298202895</v>
      </c>
      <c r="G176">
        <v>0</v>
      </c>
      <c r="H176">
        <v>0</v>
      </c>
      <c r="I176">
        <v>0</v>
      </c>
      <c r="J176">
        <v>147.93930584904686</v>
      </c>
      <c r="K176" s="22">
        <f t="shared" si="10"/>
        <v>47588.790057680249</v>
      </c>
      <c r="L176" s="18">
        <f t="shared" si="11"/>
        <v>0.41219389728345796</v>
      </c>
    </row>
    <row r="177" spans="1:12" x14ac:dyDescent="0.3">
      <c r="A177" t="s">
        <v>323</v>
      </c>
      <c r="B177" t="str">
        <f>VLOOKUP(A177, 'ISIC Code Mapping'!$A$2:$C$201, 3, FALSE)</f>
        <v>ISIC 36T39</v>
      </c>
      <c r="C177">
        <v>176</v>
      </c>
      <c r="D177">
        <v>138.01330578691315</v>
      </c>
      <c r="E177">
        <v>381.97166908712126</v>
      </c>
      <c r="F177">
        <v>574.14757961440012</v>
      </c>
      <c r="G177">
        <v>0</v>
      </c>
      <c r="H177">
        <v>0</v>
      </c>
      <c r="I177">
        <v>0</v>
      </c>
      <c r="J177">
        <v>6.1052445174372751</v>
      </c>
      <c r="K177" s="22">
        <f t="shared" si="10"/>
        <v>519.98497487403438</v>
      </c>
      <c r="L177" s="18">
        <f t="shared" si="11"/>
        <v>0.2654178725459263</v>
      </c>
    </row>
    <row r="178" spans="1:12" x14ac:dyDescent="0.3">
      <c r="A178" t="s">
        <v>322</v>
      </c>
      <c r="B178" t="str">
        <f>VLOOKUP(A178, 'ISIC Code Mapping'!$A$2:$C$201, 3, FALSE)</f>
        <v>ISIC 36T39</v>
      </c>
      <c r="C178">
        <v>177</v>
      </c>
      <c r="D178">
        <v>137.94757192930766</v>
      </c>
      <c r="E178">
        <v>381.78974155244646</v>
      </c>
      <c r="F178">
        <v>573.73185000143951</v>
      </c>
      <c r="G178">
        <v>0</v>
      </c>
      <c r="H178">
        <v>0</v>
      </c>
      <c r="I178">
        <v>0</v>
      </c>
      <c r="J178">
        <v>6.2082169068868946</v>
      </c>
      <c r="K178" s="22">
        <f t="shared" si="10"/>
        <v>519.73731348175409</v>
      </c>
      <c r="L178" s="18">
        <f t="shared" si="11"/>
        <v>0.26541787235784148</v>
      </c>
    </row>
    <row r="179" spans="1:12" x14ac:dyDescent="0.3">
      <c r="A179" t="s">
        <v>321</v>
      </c>
      <c r="B179" t="str">
        <f>VLOOKUP(A179, 'ISIC Code Mapping'!$A$2:$C$201, 3, FALSE)</f>
        <v>ISIC 36T39</v>
      </c>
      <c r="C179">
        <v>178</v>
      </c>
      <c r="D179">
        <v>29.983639875767199</v>
      </c>
      <c r="E179">
        <v>82.984048194238397</v>
      </c>
      <c r="F179">
        <v>124.37308949960786</v>
      </c>
      <c r="G179">
        <v>0</v>
      </c>
      <c r="H179">
        <v>0</v>
      </c>
      <c r="I179">
        <v>0</v>
      </c>
      <c r="J179">
        <v>2.3001911452576769</v>
      </c>
      <c r="K179" s="22">
        <f t="shared" si="10"/>
        <v>112.96768807000559</v>
      </c>
      <c r="L179" s="18">
        <f t="shared" si="11"/>
        <v>0.2654178410483754</v>
      </c>
    </row>
    <row r="180" spans="1:12" x14ac:dyDescent="0.3">
      <c r="A180" t="s">
        <v>320</v>
      </c>
      <c r="B180" t="str">
        <f>VLOOKUP(A180, 'ISIC Code Mapping'!$A$2:$C$201, 3, FALSE)</f>
        <v>ISIC 36T39</v>
      </c>
      <c r="C180">
        <v>179</v>
      </c>
      <c r="D180">
        <v>18.867053486024961</v>
      </c>
      <c r="E180">
        <v>53.990999161691917</v>
      </c>
      <c r="F180">
        <v>81.081561669568202</v>
      </c>
      <c r="G180">
        <v>0</v>
      </c>
      <c r="H180">
        <v>0</v>
      </c>
      <c r="I180">
        <v>0</v>
      </c>
      <c r="J180">
        <v>5.0101866929675536</v>
      </c>
      <c r="K180" s="22">
        <f t="shared" si="10"/>
        <v>72.858052647716875</v>
      </c>
      <c r="L180" s="18">
        <f t="shared" si="11"/>
        <v>0.25895632398042401</v>
      </c>
    </row>
    <row r="181" spans="1:12" x14ac:dyDescent="0.3">
      <c r="A181" t="s">
        <v>319</v>
      </c>
      <c r="B181" t="str">
        <f>VLOOKUP(A181, 'ISIC Code Mapping'!$A$2:$C$201, 3, FALSE)</f>
        <v>ISIC 36T39</v>
      </c>
      <c r="C181">
        <v>180</v>
      </c>
      <c r="D181">
        <v>31.098261573028562</v>
      </c>
      <c r="E181">
        <v>86.06894001778528</v>
      </c>
      <c r="F181">
        <v>129.30557630027488</v>
      </c>
      <c r="G181">
        <v>0</v>
      </c>
      <c r="H181">
        <v>0</v>
      </c>
      <c r="I181">
        <v>0</v>
      </c>
      <c r="J181">
        <v>1.5988586867290877</v>
      </c>
      <c r="K181" s="22">
        <f t="shared" si="10"/>
        <v>117.16720159081385</v>
      </c>
      <c r="L181" s="18">
        <f t="shared" si="11"/>
        <v>0.26541780592860664</v>
      </c>
    </row>
    <row r="182" spans="1:12" x14ac:dyDescent="0.3">
      <c r="A182" t="s">
        <v>318</v>
      </c>
      <c r="B182" t="str">
        <f>VLOOKUP(A182, 'ISIC Code Mapping'!$A$2:$C$201, 3, FALSE)</f>
        <v>ISIC 36T39</v>
      </c>
      <c r="C182">
        <v>181</v>
      </c>
      <c r="D182">
        <v>36.183042398584078</v>
      </c>
      <c r="E182">
        <v>100.14179141531039</v>
      </c>
      <c r="F182">
        <v>150.40146451164239</v>
      </c>
      <c r="G182">
        <v>0</v>
      </c>
      <c r="H182">
        <v>0</v>
      </c>
      <c r="I182">
        <v>0</v>
      </c>
      <c r="J182">
        <v>2.0721848727288674</v>
      </c>
      <c r="K182" s="22">
        <f t="shared" si="10"/>
        <v>136.32483381389449</v>
      </c>
      <c r="L182" s="18">
        <f t="shared" si="11"/>
        <v>0.26541783610739478</v>
      </c>
    </row>
    <row r="183" spans="1:12" x14ac:dyDescent="0.3">
      <c r="A183" t="s">
        <v>317</v>
      </c>
      <c r="B183" t="str">
        <f>VLOOKUP(A183, 'ISIC Code Mapping'!$A$2:$C$201, 3, FALSE)</f>
        <v>ISIC 36T39</v>
      </c>
      <c r="C183">
        <v>182</v>
      </c>
      <c r="D183">
        <v>34.761394093284643</v>
      </c>
      <c r="E183">
        <v>96.895077106247442</v>
      </c>
      <c r="F183">
        <v>145.70245255296754</v>
      </c>
      <c r="G183">
        <v>0</v>
      </c>
      <c r="H183">
        <v>0</v>
      </c>
      <c r="I183">
        <v>0</v>
      </c>
      <c r="J183">
        <v>3.9852909102569387</v>
      </c>
      <c r="K183" s="22">
        <f t="shared" si="10"/>
        <v>131.65647119953209</v>
      </c>
      <c r="L183" s="18">
        <f t="shared" si="11"/>
        <v>0.26403103301015851</v>
      </c>
    </row>
    <row r="184" spans="1:12" x14ac:dyDescent="0.3">
      <c r="A184" t="s">
        <v>316</v>
      </c>
      <c r="B184" t="str">
        <f>VLOOKUP(A184, 'ISIC Code Mapping'!$A$2:$C$201, 3, FALSE)</f>
        <v>ISIC 36T39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22">
        <f t="shared" si="10"/>
        <v>0</v>
      </c>
      <c r="L184" s="18" t="str">
        <f t="shared" si="11"/>
        <v>N/A</v>
      </c>
    </row>
    <row r="185" spans="1:12" x14ac:dyDescent="0.3">
      <c r="A185" t="s">
        <v>315</v>
      </c>
      <c r="B185" t="str">
        <f>VLOOKUP(A185, 'ISIC Code Mapping'!$A$2:$C$201, 3, FALSE)</f>
        <v>ISIC 36T39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22">
        <f t="shared" si="10"/>
        <v>0</v>
      </c>
      <c r="L185" s="18" t="str">
        <f t="shared" si="11"/>
        <v>N/A</v>
      </c>
    </row>
    <row r="186" spans="1:12" x14ac:dyDescent="0.3">
      <c r="A186" t="s">
        <v>314</v>
      </c>
      <c r="B186" t="str">
        <f>VLOOKUP(A186, 'ISIC Code Mapping'!$A$2:$C$201, 3, FALSE)</f>
        <v>ISIC 36T39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22">
        <f t="shared" si="10"/>
        <v>0</v>
      </c>
      <c r="L186" s="18" t="str">
        <f t="shared" si="11"/>
        <v>N/A</v>
      </c>
    </row>
    <row r="187" spans="1:12" x14ac:dyDescent="0.3">
      <c r="A187" t="s">
        <v>313</v>
      </c>
      <c r="B187" t="str">
        <f>VLOOKUP(A187, 'ISIC Code Mapping'!$A$2:$C$201, 3, FALSE)</f>
        <v>ISIC 36T39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22">
        <f t="shared" si="10"/>
        <v>0</v>
      </c>
      <c r="L187" s="18" t="str">
        <f t="shared" si="11"/>
        <v>N/A</v>
      </c>
    </row>
    <row r="188" spans="1:12" x14ac:dyDescent="0.3">
      <c r="A188" t="s">
        <v>312</v>
      </c>
      <c r="B188" t="str">
        <f>VLOOKUP(A188, 'ISIC Code Mapping'!$A$2:$C$201, 3, FALSE)</f>
        <v>ISIC 36T39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22">
        <f t="shared" si="10"/>
        <v>0</v>
      </c>
      <c r="L188" s="18" t="str">
        <f t="shared" si="11"/>
        <v>N/A</v>
      </c>
    </row>
    <row r="189" spans="1:12" x14ac:dyDescent="0.3">
      <c r="A189" t="s">
        <v>311</v>
      </c>
      <c r="B189" t="str">
        <f>VLOOKUP(A189, 'ISIC Code Mapping'!$A$2:$C$201, 3, FALSE)</f>
        <v>ISIC 36T39</v>
      </c>
      <c r="C189">
        <v>188</v>
      </c>
      <c r="D189">
        <v>76.44793549595262</v>
      </c>
      <c r="E189">
        <v>213.11152431911054</v>
      </c>
      <c r="F189">
        <v>319.84960170552085</v>
      </c>
      <c r="G189">
        <v>0</v>
      </c>
      <c r="H189">
        <v>0</v>
      </c>
      <c r="I189">
        <v>0</v>
      </c>
      <c r="J189">
        <v>3.5252407612106018</v>
      </c>
      <c r="K189" s="22">
        <f t="shared" si="10"/>
        <v>289.55945981506318</v>
      </c>
      <c r="L189" s="18">
        <f t="shared" si="11"/>
        <v>0.26401463638859751</v>
      </c>
    </row>
    <row r="190" spans="1:12" x14ac:dyDescent="0.3">
      <c r="A190" t="s">
        <v>310</v>
      </c>
      <c r="B190" t="str">
        <f>VLOOKUP(A190, 'ISIC Code Mapping'!$A$2:$C$201, 3, FALSE)</f>
        <v>ISIC 36T39</v>
      </c>
      <c r="C190">
        <v>189</v>
      </c>
      <c r="D190">
        <v>173.57470837040358</v>
      </c>
      <c r="E190">
        <v>483.09937349168678</v>
      </c>
      <c r="F190">
        <v>725.69338423427746</v>
      </c>
      <c r="G190">
        <v>0</v>
      </c>
      <c r="H190">
        <v>0</v>
      </c>
      <c r="I190">
        <v>0</v>
      </c>
      <c r="J190">
        <v>4.687368934407437</v>
      </c>
      <c r="K190" s="22">
        <f t="shared" si="10"/>
        <v>656.67408186209036</v>
      </c>
      <c r="L190" s="18">
        <f t="shared" si="11"/>
        <v>0.26432398226865972</v>
      </c>
    </row>
    <row r="191" spans="1:12" x14ac:dyDescent="0.3">
      <c r="A191" t="s">
        <v>309</v>
      </c>
      <c r="B191" t="str">
        <f>VLOOKUP(A191, 'ISIC Code Mapping'!$A$2:$C$201, 3, FALSE)</f>
        <v>ISIC 36T39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s="22">
        <f t="shared" si="10"/>
        <v>0</v>
      </c>
      <c r="L191" s="18" t="str">
        <f t="shared" si="11"/>
        <v>N/A</v>
      </c>
    </row>
    <row r="192" spans="1:12" x14ac:dyDescent="0.3">
      <c r="A192" t="s">
        <v>308</v>
      </c>
      <c r="B192" t="str">
        <f>VLOOKUP(A192, 'ISIC Code Mapping'!$A$2:$C$201, 3, FALSE)</f>
        <v>ISIC 36T39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22">
        <f t="shared" si="10"/>
        <v>0</v>
      </c>
      <c r="L192" s="18" t="str">
        <f t="shared" si="11"/>
        <v>N/A</v>
      </c>
    </row>
    <row r="193" spans="1:12" x14ac:dyDescent="0.3">
      <c r="A193" t="s">
        <v>307</v>
      </c>
      <c r="B193" t="str">
        <f>VLOOKUP(A193, 'ISIC Code Mapping'!$A$2:$C$201, 3, FALSE)</f>
        <v>ISIC 36T39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s="22">
        <f t="shared" si="10"/>
        <v>0</v>
      </c>
      <c r="L193" s="18" t="str">
        <f t="shared" si="11"/>
        <v>N/A</v>
      </c>
    </row>
    <row r="194" spans="1:12" x14ac:dyDescent="0.3">
      <c r="A194" t="s">
        <v>306</v>
      </c>
      <c r="B194" t="str">
        <f>VLOOKUP(A194, 'ISIC Code Mapping'!$A$2:$C$201, 3, FALSE)</f>
        <v>ISIC 36T39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s="22">
        <f t="shared" ref="K194:K201" si="12">D194+E194</f>
        <v>0</v>
      </c>
      <c r="L194" s="18" t="str">
        <f t="shared" ref="L194:L201" si="13">IF(K194&gt;0, D194/K194, "N/A")</f>
        <v>N/A</v>
      </c>
    </row>
    <row r="195" spans="1:12" x14ac:dyDescent="0.3">
      <c r="A195" t="s">
        <v>305</v>
      </c>
      <c r="B195" t="str">
        <f>VLOOKUP(A195, 'ISIC Code Mapping'!$A$2:$C$201, 3, FALSE)</f>
        <v>ISIC 36T39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22">
        <f t="shared" si="12"/>
        <v>0</v>
      </c>
      <c r="L195" s="18" t="str">
        <f t="shared" si="13"/>
        <v>N/A</v>
      </c>
    </row>
    <row r="196" spans="1:12" x14ac:dyDescent="0.3">
      <c r="A196" t="s">
        <v>304</v>
      </c>
      <c r="B196" t="str">
        <f>VLOOKUP(A196, 'ISIC Code Mapping'!$A$2:$C$201, 3, FALSE)</f>
        <v>ISIC 36T39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22">
        <f t="shared" si="12"/>
        <v>0</v>
      </c>
      <c r="L196" s="18" t="str">
        <f t="shared" si="13"/>
        <v>N/A</v>
      </c>
    </row>
    <row r="197" spans="1:12" x14ac:dyDescent="0.3">
      <c r="A197" t="s">
        <v>303</v>
      </c>
      <c r="B197" t="str">
        <f>VLOOKUP(A197, 'ISIC Code Mapping'!$A$2:$C$201, 3, FALSE)</f>
        <v>ISIC 90T96</v>
      </c>
      <c r="C197">
        <v>196</v>
      </c>
      <c r="D197">
        <v>4687.5161035975962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8227.2334726203244</v>
      </c>
      <c r="K197" s="22">
        <f t="shared" si="12"/>
        <v>4687.5161035975962</v>
      </c>
      <c r="L197" s="18">
        <f t="shared" si="13"/>
        <v>1</v>
      </c>
    </row>
    <row r="198" spans="1:12" x14ac:dyDescent="0.3">
      <c r="A198" t="s">
        <v>302</v>
      </c>
      <c r="B198" t="str">
        <f>VLOOKUP(A198, 'ISIC Code Mapping'!$A$2:$C$201, 3, FALSE)</f>
        <v>ISIC 90T96</v>
      </c>
      <c r="C198">
        <v>197</v>
      </c>
      <c r="D198">
        <v>24427.958836010999</v>
      </c>
      <c r="E198">
        <v>1508.8828748291023</v>
      </c>
      <c r="F198">
        <v>2165.4077899178169</v>
      </c>
      <c r="G198">
        <v>0</v>
      </c>
      <c r="H198">
        <v>38.020842208479927</v>
      </c>
      <c r="I198">
        <v>0</v>
      </c>
      <c r="J198">
        <v>55.345743191674316</v>
      </c>
      <c r="K198" s="22">
        <f t="shared" si="12"/>
        <v>25936.841710840101</v>
      </c>
      <c r="L198" s="18">
        <f t="shared" si="13"/>
        <v>0.94182472593806688</v>
      </c>
    </row>
    <row r="199" spans="1:12" x14ac:dyDescent="0.3">
      <c r="A199" t="s">
        <v>301</v>
      </c>
      <c r="B199" t="str">
        <f>VLOOKUP(A199, 'ISIC Code Mapping'!$A$2:$C$201, 3, FALSE)</f>
        <v>ISIC 90T96</v>
      </c>
      <c r="C199">
        <v>198</v>
      </c>
      <c r="D199">
        <v>15213.424550502072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38.028196578811503</v>
      </c>
      <c r="K199" s="22">
        <f t="shared" si="12"/>
        <v>15213.424550502072</v>
      </c>
      <c r="L199" s="18">
        <f t="shared" si="13"/>
        <v>1</v>
      </c>
    </row>
    <row r="200" spans="1:12" x14ac:dyDescent="0.3">
      <c r="A200" t="s">
        <v>300</v>
      </c>
      <c r="B200" t="str">
        <f>VLOOKUP(A200, 'ISIC Code Mapping'!$A$2:$C$201, 3, FALSE)</f>
        <v>ISIC 97T98</v>
      </c>
      <c r="C200">
        <v>199</v>
      </c>
      <c r="D200">
        <v>2486.9508561749253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9.3286630624701949</v>
      </c>
      <c r="K200" s="22">
        <f t="shared" si="12"/>
        <v>2486.9508561749253</v>
      </c>
      <c r="L200" s="18">
        <f t="shared" si="13"/>
        <v>1</v>
      </c>
    </row>
    <row r="201" spans="1:12" x14ac:dyDescent="0.3">
      <c r="A201" t="s">
        <v>299</v>
      </c>
      <c r="B201">
        <f>VLOOKUP(A201, 'ISIC Code Mapping'!$A$2:$C$201, 3, FALSE)</f>
        <v>0</v>
      </c>
      <c r="C201">
        <v>200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22">
        <f t="shared" si="12"/>
        <v>0</v>
      </c>
      <c r="L201" s="18" t="str">
        <f t="shared" si="13"/>
        <v>N/A</v>
      </c>
    </row>
  </sheetData>
  <phoneticPr fontId="3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FCE3-5BF2-471B-B3D6-438DEE9BC773}">
  <sheetPr>
    <tabColor theme="9" tint="0.59999389629810485"/>
  </sheetPr>
  <dimension ref="A1:C201"/>
  <sheetViews>
    <sheetView topLeftCell="A177" workbookViewId="0">
      <selection activeCell="C200" sqref="C200"/>
    </sheetView>
  </sheetViews>
  <sheetFormatPr defaultRowHeight="16.5" x14ac:dyDescent="0.3"/>
  <cols>
    <col min="1" max="1" width="31.25" customWidth="1"/>
    <col min="2" max="2" width="20.125" customWidth="1"/>
    <col min="3" max="3" width="17.375" customWidth="1"/>
  </cols>
  <sheetData>
    <row r="1" spans="1:3" x14ac:dyDescent="0.3">
      <c r="A1" s="1" t="s">
        <v>504</v>
      </c>
      <c r="B1" s="1" t="s">
        <v>505</v>
      </c>
      <c r="C1" s="1" t="s">
        <v>143</v>
      </c>
    </row>
    <row r="2" spans="1:3" x14ac:dyDescent="0.3">
      <c r="A2" s="32" t="s">
        <v>496</v>
      </c>
      <c r="B2" s="32">
        <v>1</v>
      </c>
      <c r="C2" t="s">
        <v>8</v>
      </c>
    </row>
    <row r="3" spans="1:3" x14ac:dyDescent="0.3">
      <c r="A3" s="32" t="s">
        <v>495</v>
      </c>
      <c r="B3" s="32">
        <v>2</v>
      </c>
      <c r="C3" t="s">
        <v>8</v>
      </c>
    </row>
    <row r="4" spans="1:3" x14ac:dyDescent="0.3">
      <c r="A4" s="32" t="s">
        <v>494</v>
      </c>
      <c r="B4" s="32">
        <v>3</v>
      </c>
      <c r="C4" t="s">
        <v>8</v>
      </c>
    </row>
    <row r="5" spans="1:3" x14ac:dyDescent="0.3">
      <c r="A5" s="32" t="s">
        <v>493</v>
      </c>
      <c r="B5" s="32">
        <v>4</v>
      </c>
      <c r="C5" t="s">
        <v>8</v>
      </c>
    </row>
    <row r="6" spans="1:3" x14ac:dyDescent="0.3">
      <c r="A6" s="32" t="s">
        <v>492</v>
      </c>
      <c r="B6" s="32">
        <v>5</v>
      </c>
      <c r="C6" t="s">
        <v>8</v>
      </c>
    </row>
    <row r="7" spans="1:3" x14ac:dyDescent="0.3">
      <c r="A7" s="32" t="s">
        <v>491</v>
      </c>
      <c r="B7" s="32">
        <v>6</v>
      </c>
      <c r="C7" t="s">
        <v>8</v>
      </c>
    </row>
    <row r="8" spans="1:3" x14ac:dyDescent="0.3">
      <c r="A8" s="32" t="s">
        <v>490</v>
      </c>
      <c r="B8" s="32">
        <v>7</v>
      </c>
      <c r="C8" t="s">
        <v>8</v>
      </c>
    </row>
    <row r="9" spans="1:3" x14ac:dyDescent="0.3">
      <c r="A9" s="32" t="s">
        <v>489</v>
      </c>
      <c r="B9" s="32">
        <v>8</v>
      </c>
      <c r="C9" t="s">
        <v>8</v>
      </c>
    </row>
    <row r="10" spans="1:3" x14ac:dyDescent="0.3">
      <c r="A10" s="32" t="s">
        <v>488</v>
      </c>
      <c r="B10" s="32">
        <v>9</v>
      </c>
      <c r="C10" t="s">
        <v>8</v>
      </c>
    </row>
    <row r="11" spans="1:3" x14ac:dyDescent="0.3">
      <c r="A11" s="32" t="s">
        <v>487</v>
      </c>
      <c r="B11" s="32">
        <v>10</v>
      </c>
      <c r="C11" t="s">
        <v>8</v>
      </c>
    </row>
    <row r="12" spans="1:3" x14ac:dyDescent="0.3">
      <c r="A12" s="32" t="s">
        <v>486</v>
      </c>
      <c r="B12" s="32">
        <v>11</v>
      </c>
      <c r="C12" t="s">
        <v>8</v>
      </c>
    </row>
    <row r="13" spans="1:3" x14ac:dyDescent="0.3">
      <c r="A13" s="32" t="s">
        <v>485</v>
      </c>
      <c r="B13" s="32">
        <v>12</v>
      </c>
      <c r="C13" t="s">
        <v>8</v>
      </c>
    </row>
    <row r="14" spans="1:3" x14ac:dyDescent="0.3">
      <c r="A14" s="32" t="s">
        <v>484</v>
      </c>
      <c r="B14" s="32">
        <v>13</v>
      </c>
      <c r="C14" t="s">
        <v>8</v>
      </c>
    </row>
    <row r="15" spans="1:3" x14ac:dyDescent="0.3">
      <c r="A15" s="32" t="s">
        <v>483</v>
      </c>
      <c r="B15" s="32">
        <v>14</v>
      </c>
      <c r="C15" t="s">
        <v>8</v>
      </c>
    </row>
    <row r="16" spans="1:3" x14ac:dyDescent="0.3">
      <c r="A16" s="32" t="s">
        <v>482</v>
      </c>
      <c r="B16" s="32">
        <v>15</v>
      </c>
      <c r="C16" t="s">
        <v>8</v>
      </c>
    </row>
    <row r="17" spans="1:3" x14ac:dyDescent="0.3">
      <c r="A17" s="32" t="s">
        <v>481</v>
      </c>
      <c r="B17" s="32">
        <v>16</v>
      </c>
      <c r="C17" t="s">
        <v>8</v>
      </c>
    </row>
    <row r="18" spans="1:3" x14ac:dyDescent="0.3">
      <c r="A18" s="32" t="s">
        <v>480</v>
      </c>
      <c r="B18" s="32">
        <v>17</v>
      </c>
      <c r="C18" t="s">
        <v>8</v>
      </c>
    </row>
    <row r="19" spans="1:3" ht="33" x14ac:dyDescent="0.3">
      <c r="A19" s="32" t="s">
        <v>479</v>
      </c>
      <c r="B19" s="32">
        <v>18</v>
      </c>
      <c r="C19" t="s">
        <v>8</v>
      </c>
    </row>
    <row r="20" spans="1:3" ht="33" x14ac:dyDescent="0.3">
      <c r="A20" s="32" t="s">
        <v>478</v>
      </c>
      <c r="B20" s="32">
        <v>19</v>
      </c>
      <c r="C20" t="s">
        <v>8</v>
      </c>
    </row>
    <row r="21" spans="1:3" x14ac:dyDescent="0.3">
      <c r="A21" s="32" t="s">
        <v>477</v>
      </c>
      <c r="B21" s="32">
        <v>20</v>
      </c>
      <c r="C21" t="s">
        <v>277</v>
      </c>
    </row>
    <row r="22" spans="1:3" x14ac:dyDescent="0.3">
      <c r="A22" s="32" t="s">
        <v>476</v>
      </c>
      <c r="B22" s="32">
        <v>21</v>
      </c>
      <c r="C22" t="s">
        <v>277</v>
      </c>
    </row>
    <row r="23" spans="1:3" x14ac:dyDescent="0.3">
      <c r="A23" s="32" t="s">
        <v>475</v>
      </c>
      <c r="B23" s="32">
        <v>22</v>
      </c>
      <c r="C23" t="s">
        <v>277</v>
      </c>
    </row>
    <row r="24" spans="1:3" x14ac:dyDescent="0.3">
      <c r="A24" s="32" t="s">
        <v>474</v>
      </c>
      <c r="B24" s="32">
        <v>23</v>
      </c>
      <c r="C24" t="s">
        <v>277</v>
      </c>
    </row>
    <row r="25" spans="1:3" x14ac:dyDescent="0.3">
      <c r="A25" s="32" t="s">
        <v>473</v>
      </c>
      <c r="B25" s="32">
        <v>24</v>
      </c>
      <c r="C25" t="s">
        <v>277</v>
      </c>
    </row>
    <row r="26" spans="1:3" x14ac:dyDescent="0.3">
      <c r="A26" s="32" t="s">
        <v>472</v>
      </c>
      <c r="B26" s="32">
        <v>25</v>
      </c>
      <c r="C26" t="s">
        <v>277</v>
      </c>
    </row>
    <row r="27" spans="1:3" x14ac:dyDescent="0.3">
      <c r="A27" s="32" t="s">
        <v>471</v>
      </c>
      <c r="B27" s="32">
        <v>26</v>
      </c>
      <c r="C27" t="s">
        <v>277</v>
      </c>
    </row>
    <row r="28" spans="1:3" x14ac:dyDescent="0.3">
      <c r="A28" s="32" t="s">
        <v>470</v>
      </c>
      <c r="B28" s="32">
        <v>27</v>
      </c>
      <c r="C28" t="s">
        <v>277</v>
      </c>
    </row>
    <row r="29" spans="1:3" ht="49.5" x14ac:dyDescent="0.3">
      <c r="A29" s="32" t="s">
        <v>469</v>
      </c>
      <c r="B29" s="32">
        <v>28</v>
      </c>
      <c r="C29" t="s">
        <v>278</v>
      </c>
    </row>
    <row r="30" spans="1:3" ht="49.5" x14ac:dyDescent="0.3">
      <c r="A30" s="32" t="s">
        <v>468</v>
      </c>
      <c r="B30" s="32">
        <v>29</v>
      </c>
      <c r="C30" t="s">
        <v>278</v>
      </c>
    </row>
    <row r="31" spans="1:3" x14ac:dyDescent="0.3">
      <c r="A31" s="32" t="s">
        <v>467</v>
      </c>
      <c r="B31" s="32">
        <v>30</v>
      </c>
      <c r="C31" t="s">
        <v>278</v>
      </c>
    </row>
    <row r="32" spans="1:3" x14ac:dyDescent="0.3">
      <c r="A32" s="32" t="s">
        <v>466</v>
      </c>
      <c r="B32" s="32">
        <v>31</v>
      </c>
      <c r="C32" t="s">
        <v>278</v>
      </c>
    </row>
    <row r="33" spans="1:3" x14ac:dyDescent="0.3">
      <c r="A33" s="32" t="s">
        <v>465</v>
      </c>
      <c r="B33" s="32">
        <v>32</v>
      </c>
      <c r="C33" t="s">
        <v>9</v>
      </c>
    </row>
    <row r="34" spans="1:3" x14ac:dyDescent="0.3">
      <c r="A34" s="32" t="s">
        <v>464</v>
      </c>
      <c r="B34" s="32">
        <v>33</v>
      </c>
      <c r="C34" t="s">
        <v>9</v>
      </c>
    </row>
    <row r="35" spans="1:3" x14ac:dyDescent="0.3">
      <c r="A35" s="32" t="s">
        <v>463</v>
      </c>
      <c r="B35" s="32">
        <v>34</v>
      </c>
      <c r="C35" t="s">
        <v>9</v>
      </c>
    </row>
    <row r="36" spans="1:3" x14ac:dyDescent="0.3">
      <c r="A36" s="32" t="s">
        <v>462</v>
      </c>
      <c r="B36" s="32">
        <v>35</v>
      </c>
      <c r="C36" t="s">
        <v>9</v>
      </c>
    </row>
    <row r="37" spans="1:3" x14ac:dyDescent="0.3">
      <c r="A37" s="32" t="s">
        <v>461</v>
      </c>
      <c r="B37" s="32">
        <v>36</v>
      </c>
      <c r="C37" t="s">
        <v>9</v>
      </c>
    </row>
    <row r="38" spans="1:3" ht="33" x14ac:dyDescent="0.3">
      <c r="A38" s="32" t="s">
        <v>460</v>
      </c>
      <c r="B38" s="32">
        <v>37</v>
      </c>
      <c r="C38" t="s">
        <v>9</v>
      </c>
    </row>
    <row r="39" spans="1:3" ht="33" x14ac:dyDescent="0.3">
      <c r="A39" s="32" t="s">
        <v>459</v>
      </c>
      <c r="B39" s="32">
        <v>38</v>
      </c>
      <c r="C39" t="s">
        <v>9</v>
      </c>
    </row>
    <row r="40" spans="1:3" ht="33" x14ac:dyDescent="0.3">
      <c r="A40" s="32" t="s">
        <v>458</v>
      </c>
      <c r="B40" s="32">
        <v>39</v>
      </c>
      <c r="C40" t="s">
        <v>9</v>
      </c>
    </row>
    <row r="41" spans="1:3" x14ac:dyDescent="0.3">
      <c r="A41" s="32" t="s">
        <v>457</v>
      </c>
      <c r="B41" s="32">
        <v>40</v>
      </c>
      <c r="C41" t="s">
        <v>9</v>
      </c>
    </row>
    <row r="42" spans="1:3" x14ac:dyDescent="0.3">
      <c r="A42" s="32" t="s">
        <v>456</v>
      </c>
      <c r="B42" s="32">
        <v>41</v>
      </c>
      <c r="C42" t="s">
        <v>9</v>
      </c>
    </row>
    <row r="43" spans="1:3" ht="49.5" x14ac:dyDescent="0.3">
      <c r="A43" s="32" t="s">
        <v>455</v>
      </c>
      <c r="B43" s="32">
        <v>42</v>
      </c>
      <c r="C43" t="s">
        <v>9</v>
      </c>
    </row>
    <row r="44" spans="1:3" x14ac:dyDescent="0.3">
      <c r="A44" s="32" t="s">
        <v>454</v>
      </c>
      <c r="B44" s="32">
        <v>43</v>
      </c>
      <c r="C44" t="s">
        <v>11</v>
      </c>
    </row>
    <row r="45" spans="1:3" x14ac:dyDescent="0.3">
      <c r="A45" s="32" t="s">
        <v>453</v>
      </c>
      <c r="B45" s="32">
        <v>44</v>
      </c>
      <c r="C45" t="s">
        <v>11</v>
      </c>
    </row>
    <row r="46" spans="1:3" x14ac:dyDescent="0.3">
      <c r="A46" s="32" t="s">
        <v>452</v>
      </c>
      <c r="B46" s="32">
        <v>45</v>
      </c>
      <c r="C46" t="s">
        <v>11</v>
      </c>
    </row>
    <row r="47" spans="1:3" x14ac:dyDescent="0.3">
      <c r="A47" s="32" t="s">
        <v>451</v>
      </c>
      <c r="B47" s="32">
        <v>46</v>
      </c>
      <c r="C47" t="s">
        <v>11</v>
      </c>
    </row>
    <row r="48" spans="1:3" x14ac:dyDescent="0.3">
      <c r="A48" s="32" t="s">
        <v>450</v>
      </c>
      <c r="B48" s="32">
        <v>47</v>
      </c>
      <c r="C48" t="s">
        <v>11</v>
      </c>
    </row>
    <row r="49" spans="1:3" x14ac:dyDescent="0.3">
      <c r="A49" s="32" t="s">
        <v>449</v>
      </c>
      <c r="B49" s="32">
        <v>48</v>
      </c>
      <c r="C49" t="s">
        <v>11</v>
      </c>
    </row>
    <row r="50" spans="1:3" x14ac:dyDescent="0.3">
      <c r="A50" s="32" t="s">
        <v>448</v>
      </c>
      <c r="B50" s="32">
        <v>49</v>
      </c>
      <c r="C50" t="s">
        <v>11</v>
      </c>
    </row>
    <row r="51" spans="1:3" x14ac:dyDescent="0.3">
      <c r="A51" s="32" t="s">
        <v>447</v>
      </c>
      <c r="B51" s="32">
        <v>50</v>
      </c>
      <c r="C51" t="s">
        <v>11</v>
      </c>
    </row>
    <row r="52" spans="1:3" x14ac:dyDescent="0.3">
      <c r="A52" s="32" t="s">
        <v>446</v>
      </c>
      <c r="B52" s="32">
        <v>51</v>
      </c>
      <c r="C52" t="s">
        <v>11</v>
      </c>
    </row>
    <row r="53" spans="1:3" x14ac:dyDescent="0.3">
      <c r="A53" s="32" t="s">
        <v>445</v>
      </c>
      <c r="B53" s="32">
        <v>52</v>
      </c>
      <c r="C53" t="s">
        <v>11</v>
      </c>
    </row>
    <row r="54" spans="1:3" x14ac:dyDescent="0.3">
      <c r="A54" s="32" t="s">
        <v>444</v>
      </c>
      <c r="B54" s="32">
        <v>53</v>
      </c>
      <c r="C54" t="s">
        <v>11</v>
      </c>
    </row>
    <row r="55" spans="1:3" x14ac:dyDescent="0.3">
      <c r="A55" s="32" t="s">
        <v>443</v>
      </c>
      <c r="B55" s="32">
        <v>54</v>
      </c>
      <c r="C55" t="s">
        <v>11</v>
      </c>
    </row>
    <row r="56" spans="1:3" x14ac:dyDescent="0.3">
      <c r="A56" s="32" t="s">
        <v>442</v>
      </c>
      <c r="B56" s="32">
        <v>55</v>
      </c>
      <c r="C56" t="s">
        <v>12</v>
      </c>
    </row>
    <row r="57" spans="1:3" x14ac:dyDescent="0.3">
      <c r="A57" s="32" t="s">
        <v>441</v>
      </c>
      <c r="B57" s="32">
        <v>56</v>
      </c>
      <c r="C57" t="s">
        <v>12</v>
      </c>
    </row>
    <row r="58" spans="1:3" x14ac:dyDescent="0.3">
      <c r="A58" s="32" t="s">
        <v>440</v>
      </c>
      <c r="B58" s="32">
        <v>57</v>
      </c>
      <c r="C58" t="s">
        <v>12</v>
      </c>
    </row>
    <row r="59" spans="1:3" ht="49.5" x14ac:dyDescent="0.3">
      <c r="A59" s="32" t="s">
        <v>439</v>
      </c>
      <c r="B59" s="32">
        <v>58</v>
      </c>
      <c r="C59" t="s">
        <v>13</v>
      </c>
    </row>
    <row r="60" spans="1:3" ht="49.5" x14ac:dyDescent="0.3">
      <c r="A60" s="32" t="s">
        <v>438</v>
      </c>
      <c r="B60" s="32">
        <v>59</v>
      </c>
      <c r="C60" t="s">
        <v>13</v>
      </c>
    </row>
    <row r="61" spans="1:3" x14ac:dyDescent="0.3">
      <c r="A61" s="32" t="s">
        <v>437</v>
      </c>
      <c r="B61" s="32">
        <v>60</v>
      </c>
      <c r="C61" t="s">
        <v>14</v>
      </c>
    </row>
    <row r="62" spans="1:3" ht="49.5" x14ac:dyDescent="0.3">
      <c r="A62" s="32" t="s">
        <v>436</v>
      </c>
      <c r="B62" s="32">
        <v>61</v>
      </c>
      <c r="C62" t="s">
        <v>14</v>
      </c>
    </row>
    <row r="63" spans="1:3" x14ac:dyDescent="0.3">
      <c r="A63" s="32" t="s">
        <v>263</v>
      </c>
      <c r="B63" s="32">
        <v>62</v>
      </c>
      <c r="C63" t="s">
        <v>14</v>
      </c>
    </row>
    <row r="64" spans="1:3" ht="33" x14ac:dyDescent="0.3">
      <c r="A64" s="32" t="s">
        <v>435</v>
      </c>
      <c r="B64" s="32">
        <v>63</v>
      </c>
      <c r="C64" t="s">
        <v>14</v>
      </c>
    </row>
    <row r="65" spans="1:3" x14ac:dyDescent="0.3">
      <c r="A65" s="32" t="s">
        <v>434</v>
      </c>
      <c r="B65" s="32">
        <v>64</v>
      </c>
      <c r="C65" t="s">
        <v>15</v>
      </c>
    </row>
    <row r="66" spans="1:3" x14ac:dyDescent="0.3">
      <c r="A66" s="32" t="s">
        <v>433</v>
      </c>
      <c r="B66" s="32">
        <v>65</v>
      </c>
      <c r="C66" t="s">
        <v>15</v>
      </c>
    </row>
    <row r="67" spans="1:3" x14ac:dyDescent="0.3">
      <c r="A67" s="32" t="s">
        <v>432</v>
      </c>
      <c r="B67" s="32">
        <v>66</v>
      </c>
      <c r="C67" t="s">
        <v>15</v>
      </c>
    </row>
    <row r="68" spans="1:3" x14ac:dyDescent="0.3">
      <c r="A68" s="32" t="s">
        <v>431</v>
      </c>
      <c r="B68" s="32">
        <v>67</v>
      </c>
      <c r="C68" t="s">
        <v>15</v>
      </c>
    </row>
    <row r="69" spans="1:3" x14ac:dyDescent="0.3">
      <c r="A69" s="32" t="s">
        <v>430</v>
      </c>
      <c r="B69" s="32">
        <v>68</v>
      </c>
      <c r="C69" t="s">
        <v>15</v>
      </c>
    </row>
    <row r="70" spans="1:3" x14ac:dyDescent="0.3">
      <c r="A70" s="32" t="s">
        <v>429</v>
      </c>
      <c r="B70" s="32">
        <v>69</v>
      </c>
      <c r="C70" t="s">
        <v>15</v>
      </c>
    </row>
    <row r="71" spans="1:3" x14ac:dyDescent="0.3">
      <c r="A71" s="32" t="s">
        <v>428</v>
      </c>
      <c r="B71" s="32">
        <v>70</v>
      </c>
      <c r="C71" t="s">
        <v>15</v>
      </c>
    </row>
    <row r="72" spans="1:3" x14ac:dyDescent="0.3">
      <c r="A72" s="32" t="s">
        <v>427</v>
      </c>
      <c r="B72" s="32">
        <v>71</v>
      </c>
      <c r="C72" t="s">
        <v>15</v>
      </c>
    </row>
    <row r="73" spans="1:3" x14ac:dyDescent="0.3">
      <c r="A73" s="32" t="s">
        <v>426</v>
      </c>
      <c r="B73" s="32">
        <v>72</v>
      </c>
      <c r="C73" t="s">
        <v>15</v>
      </c>
    </row>
    <row r="74" spans="1:3" x14ac:dyDescent="0.3">
      <c r="A74" s="32" t="s">
        <v>425</v>
      </c>
      <c r="B74" s="32">
        <v>73</v>
      </c>
      <c r="C74" t="s">
        <v>15</v>
      </c>
    </row>
    <row r="75" spans="1:3" x14ac:dyDescent="0.3">
      <c r="A75" s="32" t="s">
        <v>424</v>
      </c>
      <c r="B75" s="32">
        <v>74</v>
      </c>
      <c r="C75" t="s">
        <v>15</v>
      </c>
    </row>
    <row r="76" spans="1:3" x14ac:dyDescent="0.3">
      <c r="A76" s="32" t="s">
        <v>423</v>
      </c>
      <c r="B76" s="32">
        <v>75</v>
      </c>
      <c r="C76" t="s">
        <v>15</v>
      </c>
    </row>
    <row r="77" spans="1:3" x14ac:dyDescent="0.3">
      <c r="A77" s="32" t="s">
        <v>422</v>
      </c>
      <c r="B77" s="32">
        <v>76</v>
      </c>
      <c r="C77" t="s">
        <v>15</v>
      </c>
    </row>
    <row r="78" spans="1:3" x14ac:dyDescent="0.3">
      <c r="A78" s="32" t="s">
        <v>421</v>
      </c>
      <c r="B78" s="32">
        <v>77</v>
      </c>
      <c r="C78" t="s">
        <v>15</v>
      </c>
    </row>
    <row r="79" spans="1:3" x14ac:dyDescent="0.3">
      <c r="A79" s="32" t="s">
        <v>420</v>
      </c>
      <c r="B79" s="32">
        <v>78</v>
      </c>
      <c r="C79" t="s">
        <v>15</v>
      </c>
    </row>
    <row r="80" spans="1:3" x14ac:dyDescent="0.3">
      <c r="A80" s="32" t="s">
        <v>419</v>
      </c>
      <c r="B80" s="32">
        <v>79</v>
      </c>
      <c r="C80" t="s">
        <v>15</v>
      </c>
    </row>
    <row r="81" spans="1:3" x14ac:dyDescent="0.3">
      <c r="A81" s="32" t="s">
        <v>418</v>
      </c>
      <c r="B81" s="32">
        <v>80</v>
      </c>
      <c r="C81" t="s">
        <v>15</v>
      </c>
    </row>
    <row r="82" spans="1:3" x14ac:dyDescent="0.3">
      <c r="A82" s="32" t="s">
        <v>417</v>
      </c>
      <c r="B82" s="32">
        <v>81</v>
      </c>
      <c r="C82" t="s">
        <v>15</v>
      </c>
    </row>
    <row r="83" spans="1:3" x14ac:dyDescent="0.3">
      <c r="A83" s="32" t="s">
        <v>416</v>
      </c>
      <c r="B83" s="32">
        <v>82</v>
      </c>
      <c r="C83" t="s">
        <v>15</v>
      </c>
    </row>
    <row r="84" spans="1:3" x14ac:dyDescent="0.3">
      <c r="A84" s="32" t="s">
        <v>415</v>
      </c>
      <c r="B84" s="32">
        <v>83</v>
      </c>
      <c r="C84" t="s">
        <v>15</v>
      </c>
    </row>
    <row r="85" spans="1:3" x14ac:dyDescent="0.3">
      <c r="A85" s="32" t="s">
        <v>414</v>
      </c>
      <c r="B85" s="32">
        <v>84</v>
      </c>
      <c r="C85" t="s">
        <v>15</v>
      </c>
    </row>
    <row r="86" spans="1:3" x14ac:dyDescent="0.3">
      <c r="A86" s="32" t="s">
        <v>413</v>
      </c>
      <c r="B86" s="32">
        <v>85</v>
      </c>
      <c r="C86" t="s">
        <v>136</v>
      </c>
    </row>
    <row r="87" spans="1:3" x14ac:dyDescent="0.3">
      <c r="A87" s="32" t="s">
        <v>412</v>
      </c>
      <c r="B87" s="32">
        <v>86</v>
      </c>
      <c r="C87" t="s">
        <v>136</v>
      </c>
    </row>
    <row r="88" spans="1:3" ht="49.5" x14ac:dyDescent="0.3">
      <c r="A88" s="32" t="s">
        <v>411</v>
      </c>
      <c r="B88" s="32">
        <v>87</v>
      </c>
      <c r="C88" t="s">
        <v>136</v>
      </c>
    </row>
    <row r="89" spans="1:3" x14ac:dyDescent="0.3">
      <c r="A89" s="32" t="s">
        <v>410</v>
      </c>
      <c r="B89" s="32">
        <v>88</v>
      </c>
      <c r="C89" t="s">
        <v>136</v>
      </c>
    </row>
    <row r="90" spans="1:3" x14ac:dyDescent="0.3">
      <c r="A90" s="32" t="s">
        <v>409</v>
      </c>
      <c r="B90" s="32">
        <v>89</v>
      </c>
      <c r="C90" t="s">
        <v>136</v>
      </c>
    </row>
    <row r="91" spans="1:3" x14ac:dyDescent="0.3">
      <c r="A91" s="32" t="s">
        <v>408</v>
      </c>
      <c r="B91" s="32">
        <v>90</v>
      </c>
      <c r="C91" t="s">
        <v>136</v>
      </c>
    </row>
    <row r="92" spans="1:3" x14ac:dyDescent="0.3">
      <c r="A92" s="32" t="s">
        <v>407</v>
      </c>
      <c r="B92" s="32">
        <v>91</v>
      </c>
      <c r="C92" t="s">
        <v>136</v>
      </c>
    </row>
    <row r="93" spans="1:3" x14ac:dyDescent="0.3">
      <c r="A93" s="32" t="s">
        <v>406</v>
      </c>
      <c r="B93" s="32">
        <v>92</v>
      </c>
      <c r="C93" t="s">
        <v>136</v>
      </c>
    </row>
    <row r="94" spans="1:3" x14ac:dyDescent="0.3">
      <c r="A94" s="32" t="s">
        <v>405</v>
      </c>
      <c r="B94" s="32">
        <v>93</v>
      </c>
      <c r="C94" t="s">
        <v>15</v>
      </c>
    </row>
    <row r="95" spans="1:3" x14ac:dyDescent="0.3">
      <c r="A95" s="32" t="s">
        <v>404</v>
      </c>
      <c r="B95" s="32">
        <v>94</v>
      </c>
      <c r="C95" t="s">
        <v>15</v>
      </c>
    </row>
    <row r="96" spans="1:3" x14ac:dyDescent="0.3">
      <c r="A96" s="32" t="s">
        <v>403</v>
      </c>
      <c r="B96" s="32">
        <v>95</v>
      </c>
      <c r="C96" t="s">
        <v>15</v>
      </c>
    </row>
    <row r="97" spans="1:3" x14ac:dyDescent="0.3">
      <c r="A97" s="32" t="s">
        <v>402</v>
      </c>
      <c r="B97" s="32">
        <v>96</v>
      </c>
      <c r="C97" t="s">
        <v>16</v>
      </c>
    </row>
    <row r="98" spans="1:3" x14ac:dyDescent="0.3">
      <c r="A98" s="32" t="s">
        <v>401</v>
      </c>
      <c r="B98" s="32">
        <v>97</v>
      </c>
      <c r="C98" t="s">
        <v>506</v>
      </c>
    </row>
    <row r="99" spans="1:3" ht="49.5" x14ac:dyDescent="0.3">
      <c r="A99" s="32" t="s">
        <v>400</v>
      </c>
      <c r="B99" s="32">
        <v>98</v>
      </c>
      <c r="C99" t="s">
        <v>506</v>
      </c>
    </row>
    <row r="100" spans="1:3" x14ac:dyDescent="0.3">
      <c r="A100" s="32" t="s">
        <v>399</v>
      </c>
      <c r="B100" s="32">
        <v>99</v>
      </c>
      <c r="C100" t="s">
        <v>507</v>
      </c>
    </row>
    <row r="101" spans="1:3" ht="33" x14ac:dyDescent="0.3">
      <c r="A101" s="32" t="s">
        <v>398</v>
      </c>
      <c r="B101" s="32">
        <v>100</v>
      </c>
      <c r="C101" t="s">
        <v>507</v>
      </c>
    </row>
    <row r="102" spans="1:3" x14ac:dyDescent="0.3">
      <c r="A102" s="32" t="s">
        <v>397</v>
      </c>
      <c r="B102" s="32">
        <v>101</v>
      </c>
      <c r="C102" t="s">
        <v>507</v>
      </c>
    </row>
    <row r="103" spans="1:3" ht="33" x14ac:dyDescent="0.3">
      <c r="A103" s="32" t="s">
        <v>396</v>
      </c>
      <c r="B103" s="32">
        <v>102</v>
      </c>
      <c r="C103" t="s">
        <v>507</v>
      </c>
    </row>
    <row r="104" spans="1:3" ht="33" x14ac:dyDescent="0.3">
      <c r="A104" s="32" t="s">
        <v>264</v>
      </c>
      <c r="B104" s="32">
        <v>103</v>
      </c>
      <c r="C104" t="s">
        <v>507</v>
      </c>
    </row>
    <row r="105" spans="1:3" ht="33" x14ac:dyDescent="0.3">
      <c r="A105" s="32" t="s">
        <v>395</v>
      </c>
      <c r="B105" s="32">
        <v>104</v>
      </c>
      <c r="C105" t="s">
        <v>508</v>
      </c>
    </row>
    <row r="106" spans="1:3" ht="49.5" x14ac:dyDescent="0.3">
      <c r="A106" s="32" t="s">
        <v>394</v>
      </c>
      <c r="B106" s="32">
        <v>105</v>
      </c>
      <c r="C106" t="s">
        <v>508</v>
      </c>
    </row>
    <row r="107" spans="1:3" x14ac:dyDescent="0.3">
      <c r="A107" s="32" t="s">
        <v>393</v>
      </c>
      <c r="B107" s="32">
        <v>106</v>
      </c>
      <c r="C107" t="s">
        <v>509</v>
      </c>
    </row>
    <row r="108" spans="1:3" ht="66" x14ac:dyDescent="0.3">
      <c r="A108" s="32" t="s">
        <v>392</v>
      </c>
      <c r="B108" s="32">
        <v>107</v>
      </c>
      <c r="C108" t="s">
        <v>509</v>
      </c>
    </row>
    <row r="109" spans="1:3" ht="33" x14ac:dyDescent="0.3">
      <c r="A109" s="32" t="s">
        <v>391</v>
      </c>
      <c r="B109" s="32">
        <v>108</v>
      </c>
      <c r="C109" t="s">
        <v>509</v>
      </c>
    </row>
    <row r="110" spans="1:3" ht="66" x14ac:dyDescent="0.3">
      <c r="A110" s="32" t="s">
        <v>390</v>
      </c>
      <c r="B110" s="32">
        <v>109</v>
      </c>
      <c r="C110" t="s">
        <v>509</v>
      </c>
    </row>
    <row r="111" spans="1:3" ht="33" x14ac:dyDescent="0.3">
      <c r="A111" s="32" t="s">
        <v>389</v>
      </c>
      <c r="B111" s="32">
        <v>110</v>
      </c>
      <c r="C111" t="s">
        <v>509</v>
      </c>
    </row>
    <row r="112" spans="1:3" ht="49.5" x14ac:dyDescent="0.3">
      <c r="A112" s="32" t="s">
        <v>388</v>
      </c>
      <c r="B112" s="32">
        <v>111</v>
      </c>
      <c r="C112" t="s">
        <v>509</v>
      </c>
    </row>
    <row r="113" spans="1:3" x14ac:dyDescent="0.3">
      <c r="A113" s="32" t="s">
        <v>387</v>
      </c>
      <c r="B113" s="32">
        <v>112</v>
      </c>
      <c r="C113" t="s">
        <v>509</v>
      </c>
    </row>
    <row r="114" spans="1:3" ht="49.5" x14ac:dyDescent="0.3">
      <c r="A114" s="32" t="s">
        <v>386</v>
      </c>
      <c r="B114" s="32">
        <v>113</v>
      </c>
      <c r="C114" t="s">
        <v>509</v>
      </c>
    </row>
    <row r="115" spans="1:3" x14ac:dyDescent="0.3">
      <c r="A115" s="32" t="s">
        <v>385</v>
      </c>
      <c r="B115" s="32">
        <v>114</v>
      </c>
      <c r="C115" t="s">
        <v>509</v>
      </c>
    </row>
    <row r="116" spans="1:3" ht="66" x14ac:dyDescent="0.3">
      <c r="A116" s="32" t="s">
        <v>384</v>
      </c>
      <c r="B116" s="32">
        <v>115</v>
      </c>
      <c r="C116" t="s">
        <v>509</v>
      </c>
    </row>
    <row r="117" spans="1:3" x14ac:dyDescent="0.3">
      <c r="A117" s="32" t="s">
        <v>383</v>
      </c>
      <c r="B117" s="32">
        <v>116</v>
      </c>
      <c r="C117" t="s">
        <v>509</v>
      </c>
    </row>
    <row r="118" spans="1:3" ht="33" x14ac:dyDescent="0.3">
      <c r="A118" s="32" t="s">
        <v>382</v>
      </c>
      <c r="B118" s="32">
        <v>117</v>
      </c>
      <c r="C118" t="s">
        <v>17</v>
      </c>
    </row>
    <row r="119" spans="1:3" ht="33" x14ac:dyDescent="0.3">
      <c r="A119" s="32" t="s">
        <v>381</v>
      </c>
      <c r="B119" s="32">
        <v>118</v>
      </c>
      <c r="C119" t="s">
        <v>20</v>
      </c>
    </row>
    <row r="120" spans="1:3" ht="33" x14ac:dyDescent="0.3">
      <c r="A120" s="32" t="s">
        <v>380</v>
      </c>
      <c r="B120" s="32">
        <v>119</v>
      </c>
      <c r="C120" t="s">
        <v>18</v>
      </c>
    </row>
    <row r="121" spans="1:3" ht="33" x14ac:dyDescent="0.3">
      <c r="A121" s="32" t="s">
        <v>379</v>
      </c>
      <c r="B121" s="32">
        <v>120</v>
      </c>
      <c r="C121" t="s">
        <v>19</v>
      </c>
    </row>
    <row r="122" spans="1:3" ht="49.5" x14ac:dyDescent="0.3">
      <c r="A122" s="32" t="s">
        <v>378</v>
      </c>
      <c r="B122" s="32">
        <v>121</v>
      </c>
      <c r="C122" t="s">
        <v>18</v>
      </c>
    </row>
    <row r="123" spans="1:3" ht="49.5" x14ac:dyDescent="0.3">
      <c r="A123" s="32" t="s">
        <v>377</v>
      </c>
      <c r="B123" s="32">
        <v>122</v>
      </c>
      <c r="C123" t="s">
        <v>18</v>
      </c>
    </row>
    <row r="124" spans="1:3" ht="33" x14ac:dyDescent="0.3">
      <c r="A124" s="32" t="s">
        <v>376</v>
      </c>
      <c r="B124" s="32">
        <v>123</v>
      </c>
      <c r="C124" t="s">
        <v>21</v>
      </c>
    </row>
    <row r="125" spans="1:3" x14ac:dyDescent="0.3">
      <c r="A125" s="32" t="s">
        <v>375</v>
      </c>
      <c r="B125" s="32">
        <v>124</v>
      </c>
      <c r="C125" t="s">
        <v>22</v>
      </c>
    </row>
    <row r="126" spans="1:3" ht="33" x14ac:dyDescent="0.3">
      <c r="A126" s="32" t="s">
        <v>374</v>
      </c>
      <c r="B126" s="32">
        <v>125</v>
      </c>
      <c r="C126" t="s">
        <v>23</v>
      </c>
    </row>
    <row r="127" spans="1:3" x14ac:dyDescent="0.3">
      <c r="A127" s="32" t="s">
        <v>373</v>
      </c>
      <c r="B127" s="32">
        <v>126</v>
      </c>
      <c r="C127" t="s">
        <v>510</v>
      </c>
    </row>
    <row r="128" spans="1:3" ht="33" x14ac:dyDescent="0.3">
      <c r="A128" s="32" t="s">
        <v>372</v>
      </c>
      <c r="B128" s="32">
        <v>127</v>
      </c>
      <c r="C128" t="s">
        <v>510</v>
      </c>
    </row>
    <row r="129" spans="1:3" x14ac:dyDescent="0.3">
      <c r="A129" s="32" t="s">
        <v>371</v>
      </c>
      <c r="B129" s="32">
        <v>128</v>
      </c>
      <c r="C129" t="s">
        <v>511</v>
      </c>
    </row>
    <row r="130" spans="1:3" x14ac:dyDescent="0.3">
      <c r="A130" s="32" t="s">
        <v>370</v>
      </c>
      <c r="B130" s="32">
        <v>129</v>
      </c>
      <c r="C130" t="s">
        <v>511</v>
      </c>
    </row>
    <row r="131" spans="1:3" x14ac:dyDescent="0.3">
      <c r="A131" s="32" t="s">
        <v>369</v>
      </c>
      <c r="B131" s="32">
        <v>130</v>
      </c>
      <c r="C131" t="s">
        <v>511</v>
      </c>
    </row>
    <row r="132" spans="1:3" x14ac:dyDescent="0.3">
      <c r="A132" s="32" t="s">
        <v>368</v>
      </c>
      <c r="B132" s="32">
        <v>131</v>
      </c>
      <c r="C132" t="s">
        <v>511</v>
      </c>
    </row>
    <row r="133" spans="1:3" x14ac:dyDescent="0.3">
      <c r="A133" s="32" t="s">
        <v>367</v>
      </c>
      <c r="B133" s="32">
        <v>132</v>
      </c>
      <c r="C133" t="s">
        <v>511</v>
      </c>
    </row>
    <row r="134" spans="1:3" ht="33" x14ac:dyDescent="0.3">
      <c r="A134" s="32" t="s">
        <v>366</v>
      </c>
      <c r="B134" s="32">
        <v>133</v>
      </c>
      <c r="C134" t="s">
        <v>511</v>
      </c>
    </row>
    <row r="135" spans="1:3" x14ac:dyDescent="0.3">
      <c r="A135" s="32" t="s">
        <v>365</v>
      </c>
      <c r="B135" s="32">
        <v>134</v>
      </c>
      <c r="C135" t="s">
        <v>511</v>
      </c>
    </row>
    <row r="136" spans="1:3" x14ac:dyDescent="0.3">
      <c r="A136" s="32" t="s">
        <v>364</v>
      </c>
      <c r="B136" s="32">
        <v>135</v>
      </c>
      <c r="C136" t="s">
        <v>511</v>
      </c>
    </row>
    <row r="137" spans="1:3" x14ac:dyDescent="0.3">
      <c r="A137" s="32" t="s">
        <v>363</v>
      </c>
      <c r="B137" s="32">
        <v>136</v>
      </c>
      <c r="C137" t="s">
        <v>511</v>
      </c>
    </row>
    <row r="138" spans="1:3" x14ac:dyDescent="0.3">
      <c r="A138" s="32" t="s">
        <v>362</v>
      </c>
      <c r="B138" s="32">
        <v>137</v>
      </c>
      <c r="C138" t="s">
        <v>511</v>
      </c>
    </row>
    <row r="139" spans="1:3" x14ac:dyDescent="0.3">
      <c r="A139" s="32" t="s">
        <v>361</v>
      </c>
      <c r="B139" s="32">
        <v>138</v>
      </c>
      <c r="C139" t="s">
        <v>511</v>
      </c>
    </row>
    <row r="140" spans="1:3" x14ac:dyDescent="0.3">
      <c r="A140" s="32" t="s">
        <v>360</v>
      </c>
      <c r="B140" s="32">
        <v>139</v>
      </c>
      <c r="C140" t="s">
        <v>511</v>
      </c>
    </row>
    <row r="141" spans="1:3" x14ac:dyDescent="0.3">
      <c r="A141" s="32" t="s">
        <v>359</v>
      </c>
      <c r="B141" s="32">
        <v>140</v>
      </c>
      <c r="C141" t="s">
        <v>511</v>
      </c>
    </row>
    <row r="142" spans="1:3" ht="33" x14ac:dyDescent="0.3">
      <c r="A142" s="32" t="s">
        <v>358</v>
      </c>
      <c r="B142" s="32">
        <v>141</v>
      </c>
      <c r="C142" t="s">
        <v>511</v>
      </c>
    </row>
    <row r="143" spans="1:3" x14ac:dyDescent="0.3">
      <c r="A143" s="32" t="s">
        <v>357</v>
      </c>
      <c r="B143" s="32">
        <v>142</v>
      </c>
      <c r="C143" t="s">
        <v>512</v>
      </c>
    </row>
    <row r="144" spans="1:3" x14ac:dyDescent="0.3">
      <c r="A144" s="32" t="s">
        <v>356</v>
      </c>
      <c r="B144" s="32">
        <v>143</v>
      </c>
      <c r="C144" t="s">
        <v>512</v>
      </c>
    </row>
    <row r="145" spans="1:3" x14ac:dyDescent="0.3">
      <c r="A145" s="32" t="s">
        <v>355</v>
      </c>
      <c r="B145" s="32">
        <v>144</v>
      </c>
      <c r="C145" t="s">
        <v>512</v>
      </c>
    </row>
    <row r="146" spans="1:3" x14ac:dyDescent="0.3">
      <c r="A146" s="32" t="s">
        <v>354</v>
      </c>
      <c r="B146" s="32">
        <v>145</v>
      </c>
      <c r="C146" t="s">
        <v>512</v>
      </c>
    </row>
    <row r="147" spans="1:3" x14ac:dyDescent="0.3">
      <c r="A147" s="32" t="s">
        <v>353</v>
      </c>
      <c r="B147" s="32">
        <v>146</v>
      </c>
      <c r="C147" t="s">
        <v>512</v>
      </c>
    </row>
    <row r="148" spans="1:3" ht="33" x14ac:dyDescent="0.3">
      <c r="A148" s="32" t="s">
        <v>352</v>
      </c>
      <c r="B148" s="32">
        <v>147</v>
      </c>
      <c r="C148" t="s">
        <v>512</v>
      </c>
    </row>
    <row r="149" spans="1:3" ht="33" x14ac:dyDescent="0.3">
      <c r="A149" s="32" t="s">
        <v>351</v>
      </c>
      <c r="B149" s="32">
        <v>148</v>
      </c>
      <c r="C149" t="s">
        <v>510</v>
      </c>
    </row>
    <row r="150" spans="1:3" ht="33" x14ac:dyDescent="0.3">
      <c r="A150" s="32" t="s">
        <v>350</v>
      </c>
      <c r="B150" s="32">
        <v>149</v>
      </c>
      <c r="C150" t="s">
        <v>510</v>
      </c>
    </row>
    <row r="151" spans="1:3" x14ac:dyDescent="0.3">
      <c r="A151" s="32" t="s">
        <v>349</v>
      </c>
      <c r="B151" s="32">
        <v>150</v>
      </c>
      <c r="C151" t="s">
        <v>24</v>
      </c>
    </row>
    <row r="152" spans="1:3" ht="66" x14ac:dyDescent="0.3">
      <c r="A152" s="32" t="s">
        <v>348</v>
      </c>
      <c r="B152" s="32">
        <v>151</v>
      </c>
      <c r="C152" t="s">
        <v>24</v>
      </c>
    </row>
    <row r="153" spans="1:3" ht="66" x14ac:dyDescent="0.3">
      <c r="A153" s="32" t="s">
        <v>347</v>
      </c>
      <c r="B153" s="32">
        <v>152</v>
      </c>
      <c r="C153" t="s">
        <v>25</v>
      </c>
    </row>
    <row r="154" spans="1:3" x14ac:dyDescent="0.3">
      <c r="A154" s="32" t="s">
        <v>346</v>
      </c>
      <c r="B154" s="32">
        <v>153</v>
      </c>
      <c r="C154" t="s">
        <v>25</v>
      </c>
    </row>
    <row r="155" spans="1:3" ht="49.5" x14ac:dyDescent="0.3">
      <c r="A155" s="32" t="s">
        <v>345</v>
      </c>
      <c r="B155" s="32">
        <v>154</v>
      </c>
      <c r="C155" t="s">
        <v>25</v>
      </c>
    </row>
    <row r="156" spans="1:3" ht="66" x14ac:dyDescent="0.3">
      <c r="A156" s="32" t="s">
        <v>513</v>
      </c>
      <c r="B156" s="32">
        <v>155</v>
      </c>
      <c r="C156" t="s">
        <v>25</v>
      </c>
    </row>
    <row r="157" spans="1:3" x14ac:dyDescent="0.3">
      <c r="A157" s="32" t="s">
        <v>343</v>
      </c>
      <c r="B157" s="32">
        <v>156</v>
      </c>
      <c r="C157" t="s">
        <v>27</v>
      </c>
    </row>
    <row r="158" spans="1:3" x14ac:dyDescent="0.3">
      <c r="A158" s="32" t="s">
        <v>342</v>
      </c>
      <c r="B158" s="32">
        <v>157</v>
      </c>
      <c r="C158" t="s">
        <v>26</v>
      </c>
    </row>
    <row r="159" spans="1:3" x14ac:dyDescent="0.3">
      <c r="A159" s="32" t="s">
        <v>341</v>
      </c>
      <c r="B159" s="32">
        <v>158</v>
      </c>
      <c r="C159" t="s">
        <v>26</v>
      </c>
    </row>
    <row r="160" spans="1:3" x14ac:dyDescent="0.3">
      <c r="A160" s="32" t="s">
        <v>340</v>
      </c>
      <c r="B160" s="32">
        <v>159</v>
      </c>
      <c r="C160" t="s">
        <v>26</v>
      </c>
    </row>
    <row r="161" spans="1:3" ht="33" x14ac:dyDescent="0.3">
      <c r="A161" s="32" t="s">
        <v>339</v>
      </c>
      <c r="B161" s="32">
        <v>160</v>
      </c>
      <c r="C161" t="s">
        <v>26</v>
      </c>
    </row>
    <row r="162" spans="1:3" x14ac:dyDescent="0.3">
      <c r="A162" s="32" t="s">
        <v>338</v>
      </c>
      <c r="B162" s="32">
        <v>161</v>
      </c>
      <c r="C162" t="s">
        <v>26</v>
      </c>
    </row>
    <row r="163" spans="1:3" x14ac:dyDescent="0.3">
      <c r="A163" s="32" t="s">
        <v>337</v>
      </c>
      <c r="B163" s="32">
        <v>162</v>
      </c>
      <c r="C163" t="s">
        <v>26</v>
      </c>
    </row>
    <row r="164" spans="1:3" ht="33" x14ac:dyDescent="0.3">
      <c r="A164" s="32" t="s">
        <v>336</v>
      </c>
      <c r="B164" s="32">
        <v>163</v>
      </c>
      <c r="C164" t="s">
        <v>26</v>
      </c>
    </row>
    <row r="165" spans="1:3" ht="33" x14ac:dyDescent="0.3">
      <c r="A165" s="32" t="s">
        <v>335</v>
      </c>
      <c r="B165" s="32">
        <v>164</v>
      </c>
      <c r="C165" t="s">
        <v>29</v>
      </c>
    </row>
    <row r="166" spans="1:3" ht="49.5" x14ac:dyDescent="0.3">
      <c r="A166" s="32" t="s">
        <v>334</v>
      </c>
      <c r="B166" s="32">
        <v>165</v>
      </c>
      <c r="C166" t="s">
        <v>31</v>
      </c>
    </row>
    <row r="167" spans="1:3" ht="49.5" x14ac:dyDescent="0.3">
      <c r="A167" s="32" t="s">
        <v>333</v>
      </c>
      <c r="B167" s="32">
        <v>166</v>
      </c>
      <c r="C167" t="s">
        <v>31</v>
      </c>
    </row>
    <row r="168" spans="1:3" ht="33" x14ac:dyDescent="0.3">
      <c r="A168" s="32" t="s">
        <v>332</v>
      </c>
      <c r="B168" s="32">
        <v>167</v>
      </c>
      <c r="C168" t="s">
        <v>31</v>
      </c>
    </row>
    <row r="169" spans="1:3" x14ac:dyDescent="0.3">
      <c r="A169" s="32" t="s">
        <v>331</v>
      </c>
      <c r="B169" s="32">
        <v>168</v>
      </c>
      <c r="C169" t="s">
        <v>32</v>
      </c>
    </row>
    <row r="170" spans="1:3" ht="49.5" x14ac:dyDescent="0.3">
      <c r="A170" s="32" t="s">
        <v>330</v>
      </c>
      <c r="B170" s="32">
        <v>169</v>
      </c>
      <c r="C170" t="s">
        <v>33</v>
      </c>
    </row>
    <row r="171" spans="1:3" x14ac:dyDescent="0.3">
      <c r="A171" s="32" t="s">
        <v>329</v>
      </c>
      <c r="B171" s="32">
        <v>170</v>
      </c>
      <c r="C171" t="s">
        <v>30</v>
      </c>
    </row>
    <row r="172" spans="1:3" ht="33" x14ac:dyDescent="0.3">
      <c r="A172" s="32" t="s">
        <v>328</v>
      </c>
      <c r="B172" s="32">
        <v>171</v>
      </c>
      <c r="C172" t="s">
        <v>33</v>
      </c>
    </row>
    <row r="173" spans="1:3" x14ac:dyDescent="0.3">
      <c r="A173" s="32" t="s">
        <v>327</v>
      </c>
      <c r="B173" s="32">
        <v>172</v>
      </c>
      <c r="C173" t="s">
        <v>33</v>
      </c>
    </row>
    <row r="174" spans="1:3" ht="49.5" x14ac:dyDescent="0.3">
      <c r="A174" s="32" t="s">
        <v>326</v>
      </c>
      <c r="B174" s="32">
        <v>173</v>
      </c>
      <c r="C174" t="s">
        <v>34</v>
      </c>
    </row>
    <row r="175" spans="1:3" x14ac:dyDescent="0.3">
      <c r="A175" s="32" t="s">
        <v>325</v>
      </c>
      <c r="B175" s="32">
        <v>174</v>
      </c>
      <c r="C175" t="s">
        <v>35</v>
      </c>
    </row>
    <row r="176" spans="1:3" x14ac:dyDescent="0.3">
      <c r="A176" s="32" t="s">
        <v>324</v>
      </c>
      <c r="B176" s="32">
        <v>175</v>
      </c>
      <c r="C176" t="s">
        <v>36</v>
      </c>
    </row>
    <row r="177" spans="1:3" ht="33" x14ac:dyDescent="0.3">
      <c r="A177" s="32" t="s">
        <v>323</v>
      </c>
      <c r="B177" s="32">
        <v>176</v>
      </c>
      <c r="C177" t="s">
        <v>510</v>
      </c>
    </row>
    <row r="178" spans="1:3" ht="33" x14ac:dyDescent="0.3">
      <c r="A178" s="32" t="s">
        <v>322</v>
      </c>
      <c r="B178" s="32">
        <v>177</v>
      </c>
      <c r="C178" t="s">
        <v>510</v>
      </c>
    </row>
    <row r="179" spans="1:3" ht="33" x14ac:dyDescent="0.3">
      <c r="A179" s="32" t="s">
        <v>321</v>
      </c>
      <c r="B179" s="32">
        <v>178</v>
      </c>
      <c r="C179" t="s">
        <v>510</v>
      </c>
    </row>
    <row r="180" spans="1:3" ht="33" x14ac:dyDescent="0.3">
      <c r="A180" s="32" t="s">
        <v>320</v>
      </c>
      <c r="B180" s="32">
        <v>179</v>
      </c>
      <c r="C180" t="s">
        <v>510</v>
      </c>
    </row>
    <row r="181" spans="1:3" ht="33" x14ac:dyDescent="0.3">
      <c r="A181" s="32" t="s">
        <v>319</v>
      </c>
      <c r="B181" s="32">
        <v>180</v>
      </c>
      <c r="C181" t="s">
        <v>510</v>
      </c>
    </row>
    <row r="182" spans="1:3" ht="33" x14ac:dyDescent="0.3">
      <c r="A182" s="32" t="s">
        <v>318</v>
      </c>
      <c r="B182" s="32">
        <v>181</v>
      </c>
      <c r="C182" t="s">
        <v>510</v>
      </c>
    </row>
    <row r="183" spans="1:3" ht="33" x14ac:dyDescent="0.3">
      <c r="A183" s="32" t="s">
        <v>317</v>
      </c>
      <c r="B183" s="32">
        <v>182</v>
      </c>
      <c r="C183" t="s">
        <v>510</v>
      </c>
    </row>
    <row r="184" spans="1:3" ht="49.5" x14ac:dyDescent="0.3">
      <c r="A184" s="32" t="s">
        <v>316</v>
      </c>
      <c r="B184" s="32">
        <v>183</v>
      </c>
      <c r="C184" t="s">
        <v>510</v>
      </c>
    </row>
    <row r="185" spans="1:3" ht="49.5" x14ac:dyDescent="0.3">
      <c r="A185" s="32" t="s">
        <v>315</v>
      </c>
      <c r="B185" s="32">
        <v>184</v>
      </c>
      <c r="C185" t="s">
        <v>510</v>
      </c>
    </row>
    <row r="186" spans="1:3" ht="49.5" x14ac:dyDescent="0.3">
      <c r="A186" s="32" t="s">
        <v>314</v>
      </c>
      <c r="B186" s="32">
        <v>185</v>
      </c>
      <c r="C186" t="s">
        <v>510</v>
      </c>
    </row>
    <row r="187" spans="1:3" ht="33" x14ac:dyDescent="0.3">
      <c r="A187" s="32" t="s">
        <v>313</v>
      </c>
      <c r="B187" s="32">
        <v>186</v>
      </c>
      <c r="C187" t="s">
        <v>510</v>
      </c>
    </row>
    <row r="188" spans="1:3" ht="49.5" x14ac:dyDescent="0.3">
      <c r="A188" s="32" t="s">
        <v>312</v>
      </c>
      <c r="B188" s="32">
        <v>187</v>
      </c>
      <c r="C188" t="s">
        <v>510</v>
      </c>
    </row>
    <row r="189" spans="1:3" ht="33" x14ac:dyDescent="0.3">
      <c r="A189" s="32" t="s">
        <v>311</v>
      </c>
      <c r="B189" s="32">
        <v>188</v>
      </c>
      <c r="C189" t="s">
        <v>510</v>
      </c>
    </row>
    <row r="190" spans="1:3" ht="33" x14ac:dyDescent="0.3">
      <c r="A190" s="32" t="s">
        <v>310</v>
      </c>
      <c r="B190" s="32">
        <v>189</v>
      </c>
      <c r="C190" t="s">
        <v>510</v>
      </c>
    </row>
    <row r="191" spans="1:3" x14ac:dyDescent="0.3">
      <c r="A191" s="32" t="s">
        <v>309</v>
      </c>
      <c r="B191" s="32">
        <v>190</v>
      </c>
      <c r="C191" t="s">
        <v>510</v>
      </c>
    </row>
    <row r="192" spans="1:3" x14ac:dyDescent="0.3">
      <c r="A192" s="32" t="s">
        <v>308</v>
      </c>
      <c r="B192" s="32">
        <v>191</v>
      </c>
      <c r="C192" t="s">
        <v>510</v>
      </c>
    </row>
    <row r="193" spans="1:3" x14ac:dyDescent="0.3">
      <c r="A193" s="32" t="s">
        <v>307</v>
      </c>
      <c r="B193" s="32">
        <v>192</v>
      </c>
      <c r="C193" t="s">
        <v>510</v>
      </c>
    </row>
    <row r="194" spans="1:3" ht="33" x14ac:dyDescent="0.3">
      <c r="A194" s="32" t="s">
        <v>306</v>
      </c>
      <c r="B194" s="32">
        <v>193</v>
      </c>
      <c r="C194" t="s">
        <v>510</v>
      </c>
    </row>
    <row r="195" spans="1:3" x14ac:dyDescent="0.3">
      <c r="A195" s="32" t="s">
        <v>305</v>
      </c>
      <c r="B195" s="32">
        <v>194</v>
      </c>
      <c r="C195" t="s">
        <v>510</v>
      </c>
    </row>
    <row r="196" spans="1:3" x14ac:dyDescent="0.3">
      <c r="A196" s="32" t="s">
        <v>304</v>
      </c>
      <c r="B196" s="32">
        <v>195</v>
      </c>
      <c r="C196" t="s">
        <v>510</v>
      </c>
    </row>
    <row r="197" spans="1:3" ht="33" x14ac:dyDescent="0.3">
      <c r="A197" s="32" t="s">
        <v>303</v>
      </c>
      <c r="B197" s="32">
        <v>196</v>
      </c>
      <c r="C197" t="s">
        <v>37</v>
      </c>
    </row>
    <row r="198" spans="1:3" ht="33" x14ac:dyDescent="0.3">
      <c r="A198" s="32" t="s">
        <v>302</v>
      </c>
      <c r="B198" s="32">
        <v>197</v>
      </c>
      <c r="C198" t="s">
        <v>37</v>
      </c>
    </row>
    <row r="199" spans="1:3" x14ac:dyDescent="0.3">
      <c r="A199" s="32" t="s">
        <v>301</v>
      </c>
      <c r="B199" s="32">
        <v>198</v>
      </c>
      <c r="C199" t="s">
        <v>37</v>
      </c>
    </row>
    <row r="200" spans="1:3" ht="33" x14ac:dyDescent="0.3">
      <c r="A200" s="32" t="s">
        <v>300</v>
      </c>
      <c r="B200" s="32">
        <v>199</v>
      </c>
      <c r="C200" t="s">
        <v>38</v>
      </c>
    </row>
    <row r="201" spans="1:3" ht="33" x14ac:dyDescent="0.3">
      <c r="A201" s="32" t="s">
        <v>299</v>
      </c>
      <c r="B201" s="32">
        <v>200</v>
      </c>
    </row>
  </sheetData>
  <phoneticPr fontId="35" type="noConversion"/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AF9A-0C19-4612-8094-3D86D4FF54E1}">
  <sheetPr>
    <tabColor theme="9" tint="0.59999389629810485"/>
  </sheetPr>
  <dimension ref="A1:CI130"/>
  <sheetViews>
    <sheetView zoomScale="85" zoomScaleNormal="85" workbookViewId="0">
      <pane xSplit="4" ySplit="3" topLeftCell="E4" activePane="bottomRight" state="frozen"/>
      <selection activeCell="K5" sqref="K5"/>
      <selection pane="topRight" activeCell="K5" sqref="K5"/>
      <selection pane="bottomLeft" activeCell="K5" sqref="K5"/>
      <selection pane="bottomRight" activeCell="C7" sqref="C7"/>
    </sheetView>
  </sheetViews>
  <sheetFormatPr defaultRowHeight="16.5" x14ac:dyDescent="0.3"/>
  <cols>
    <col min="3" max="3" width="45.875" style="2" customWidth="1"/>
  </cols>
  <sheetData>
    <row r="1" spans="1:87" x14ac:dyDescent="0.3">
      <c r="A1" t="s">
        <v>279</v>
      </c>
    </row>
    <row r="2" spans="1:87" x14ac:dyDescent="0.3">
      <c r="E2" s="10" t="s">
        <v>146</v>
      </c>
      <c r="F2" s="10" t="s">
        <v>147</v>
      </c>
      <c r="G2" s="10" t="s">
        <v>148</v>
      </c>
      <c r="H2" s="10" t="s">
        <v>149</v>
      </c>
      <c r="I2" s="10" t="s">
        <v>150</v>
      </c>
      <c r="J2" s="10" t="s">
        <v>151</v>
      </c>
      <c r="K2" s="10" t="s">
        <v>152</v>
      </c>
      <c r="L2" s="10" t="s">
        <v>153</v>
      </c>
      <c r="M2" s="10" t="s">
        <v>154</v>
      </c>
      <c r="N2" s="10" t="s">
        <v>155</v>
      </c>
      <c r="O2" s="10" t="s">
        <v>156</v>
      </c>
      <c r="P2" s="10" t="s">
        <v>157</v>
      </c>
      <c r="Q2" s="10" t="s">
        <v>158</v>
      </c>
      <c r="R2" s="10" t="s">
        <v>159</v>
      </c>
      <c r="S2" s="10" t="s">
        <v>160</v>
      </c>
      <c r="T2" s="10" t="s">
        <v>161</v>
      </c>
      <c r="U2" s="10" t="s">
        <v>162</v>
      </c>
      <c r="V2" s="10" t="s">
        <v>163</v>
      </c>
      <c r="W2" s="10" t="s">
        <v>164</v>
      </c>
      <c r="X2" s="10" t="s">
        <v>165</v>
      </c>
      <c r="Y2" s="10" t="s">
        <v>166</v>
      </c>
      <c r="Z2" s="10" t="s">
        <v>167</v>
      </c>
      <c r="AA2" s="10" t="s">
        <v>168</v>
      </c>
      <c r="AB2" s="10" t="s">
        <v>169</v>
      </c>
      <c r="AC2" s="10" t="s">
        <v>170</v>
      </c>
      <c r="AD2" s="10" t="s">
        <v>171</v>
      </c>
      <c r="AE2" s="10" t="s">
        <v>172</v>
      </c>
      <c r="AF2" s="10" t="s">
        <v>173</v>
      </c>
      <c r="AG2" s="10" t="s">
        <v>174</v>
      </c>
      <c r="AH2" s="10" t="s">
        <v>175</v>
      </c>
      <c r="AI2" s="10" t="s">
        <v>176</v>
      </c>
      <c r="AJ2" s="10" t="s">
        <v>177</v>
      </c>
      <c r="AK2" s="10" t="s">
        <v>178</v>
      </c>
      <c r="AL2" s="10" t="s">
        <v>179</v>
      </c>
      <c r="AM2" s="10" t="s">
        <v>180</v>
      </c>
      <c r="AN2" s="10" t="s">
        <v>181</v>
      </c>
      <c r="AO2" s="10" t="s">
        <v>182</v>
      </c>
      <c r="AP2" s="10" t="s">
        <v>183</v>
      </c>
      <c r="AQ2" s="10" t="s">
        <v>184</v>
      </c>
      <c r="AR2" s="10" t="s">
        <v>185</v>
      </c>
      <c r="AS2" s="10" t="s">
        <v>186</v>
      </c>
      <c r="AT2" s="10" t="s">
        <v>187</v>
      </c>
      <c r="AU2" s="10" t="s">
        <v>188</v>
      </c>
      <c r="AV2" s="10" t="s">
        <v>189</v>
      </c>
      <c r="AW2" s="10" t="s">
        <v>190</v>
      </c>
      <c r="AX2" s="10" t="s">
        <v>191</v>
      </c>
      <c r="AY2" s="10" t="s">
        <v>192</v>
      </c>
      <c r="AZ2" s="10" t="s">
        <v>193</v>
      </c>
      <c r="BA2" s="10" t="s">
        <v>194</v>
      </c>
      <c r="BB2" s="10" t="s">
        <v>284</v>
      </c>
      <c r="BC2" s="10" t="s">
        <v>195</v>
      </c>
      <c r="BD2" s="10" t="s">
        <v>196</v>
      </c>
      <c r="BE2" s="10" t="s">
        <v>285</v>
      </c>
      <c r="BF2" s="10" t="s">
        <v>286</v>
      </c>
      <c r="BG2" s="10" t="s">
        <v>197</v>
      </c>
      <c r="BH2" s="10" t="s">
        <v>198</v>
      </c>
      <c r="BI2" s="10" t="s">
        <v>199</v>
      </c>
      <c r="BJ2" s="10" t="s">
        <v>200</v>
      </c>
      <c r="BK2" s="10" t="s">
        <v>201</v>
      </c>
      <c r="BL2" s="10" t="s">
        <v>202</v>
      </c>
      <c r="BM2" s="10" t="s">
        <v>203</v>
      </c>
      <c r="BN2" s="11" t="s">
        <v>204</v>
      </c>
      <c r="BO2" s="10" t="s">
        <v>274</v>
      </c>
    </row>
    <row r="3" spans="1:87" ht="84.6" customHeight="1" x14ac:dyDescent="0.3">
      <c r="A3" s="1" t="s">
        <v>280</v>
      </c>
      <c r="B3" s="1" t="s">
        <v>281</v>
      </c>
      <c r="C3" s="1" t="s">
        <v>282</v>
      </c>
      <c r="D3" s="1" t="s">
        <v>283</v>
      </c>
      <c r="E3" s="15" t="s">
        <v>205</v>
      </c>
      <c r="F3" s="15" t="s">
        <v>135</v>
      </c>
      <c r="G3" s="15" t="s">
        <v>206</v>
      </c>
      <c r="H3" s="15" t="s">
        <v>207</v>
      </c>
      <c r="I3" s="15" t="s">
        <v>208</v>
      </c>
      <c r="J3" s="15" t="s">
        <v>209</v>
      </c>
      <c r="K3" s="15" t="s">
        <v>210</v>
      </c>
      <c r="L3" s="15" t="s">
        <v>211</v>
      </c>
      <c r="M3" s="15" t="s">
        <v>212</v>
      </c>
      <c r="N3" s="15" t="s">
        <v>213</v>
      </c>
      <c r="O3" s="15" t="s">
        <v>214</v>
      </c>
      <c r="P3" s="15" t="s">
        <v>215</v>
      </c>
      <c r="Q3" s="15" t="s">
        <v>216</v>
      </c>
      <c r="R3" s="15" t="s">
        <v>217</v>
      </c>
      <c r="S3" s="15" t="s">
        <v>218</v>
      </c>
      <c r="T3" s="15" t="s">
        <v>219</v>
      </c>
      <c r="U3" s="15" t="s">
        <v>220</v>
      </c>
      <c r="V3" s="15" t="s">
        <v>221</v>
      </c>
      <c r="W3" s="15" t="s">
        <v>222</v>
      </c>
      <c r="X3" s="15" t="s">
        <v>223</v>
      </c>
      <c r="Y3" s="15" t="s">
        <v>224</v>
      </c>
      <c r="Z3" s="15" t="s">
        <v>225</v>
      </c>
      <c r="AA3" s="15" t="s">
        <v>226</v>
      </c>
      <c r="AB3" s="15" t="s">
        <v>227</v>
      </c>
      <c r="AC3" s="15" t="s">
        <v>228</v>
      </c>
      <c r="AD3" s="15" t="s">
        <v>229</v>
      </c>
      <c r="AE3" s="15" t="s">
        <v>230</v>
      </c>
      <c r="AF3" s="15" t="s">
        <v>231</v>
      </c>
      <c r="AG3" s="15" t="s">
        <v>232</v>
      </c>
      <c r="AH3" s="15" t="s">
        <v>233</v>
      </c>
      <c r="AI3" s="15" t="s">
        <v>234</v>
      </c>
      <c r="AJ3" s="15" t="s">
        <v>235</v>
      </c>
      <c r="AK3" s="15" t="s">
        <v>236</v>
      </c>
      <c r="AL3" s="15" t="s">
        <v>237</v>
      </c>
      <c r="AM3" s="15" t="s">
        <v>238</v>
      </c>
      <c r="AN3" s="15" t="s">
        <v>239</v>
      </c>
      <c r="AO3" s="15" t="s">
        <v>240</v>
      </c>
      <c r="AP3" s="15" t="s">
        <v>241</v>
      </c>
      <c r="AQ3" s="15" t="s">
        <v>242</v>
      </c>
      <c r="AR3" s="15" t="s">
        <v>243</v>
      </c>
      <c r="AS3" s="15" t="s">
        <v>244</v>
      </c>
      <c r="AT3" s="15" t="s">
        <v>245</v>
      </c>
      <c r="AU3" s="15" t="s">
        <v>246</v>
      </c>
      <c r="AV3" s="15" t="s">
        <v>247</v>
      </c>
      <c r="AW3" s="15" t="s">
        <v>248</v>
      </c>
      <c r="AX3" s="15" t="s">
        <v>249</v>
      </c>
      <c r="AY3" s="15" t="s">
        <v>250</v>
      </c>
      <c r="AZ3" s="15" t="s">
        <v>251</v>
      </c>
      <c r="BA3" s="15" t="s">
        <v>252</v>
      </c>
      <c r="BB3" s="15" t="s">
        <v>287</v>
      </c>
      <c r="BC3" s="15" t="s">
        <v>253</v>
      </c>
      <c r="BD3" s="15" t="s">
        <v>254</v>
      </c>
      <c r="BE3" s="15" t="s">
        <v>288</v>
      </c>
      <c r="BF3" s="15" t="s">
        <v>289</v>
      </c>
      <c r="BG3" s="15" t="s">
        <v>255</v>
      </c>
      <c r="BH3" s="15" t="s">
        <v>290</v>
      </c>
      <c r="BI3" s="14" t="s">
        <v>257</v>
      </c>
      <c r="BJ3" s="14" t="s">
        <v>258</v>
      </c>
      <c r="BK3" s="14" t="s">
        <v>259</v>
      </c>
      <c r="BL3" s="14" t="s">
        <v>260</v>
      </c>
      <c r="BM3" s="14" t="s">
        <v>261</v>
      </c>
      <c r="BN3" s="10" t="s">
        <v>262</v>
      </c>
      <c r="BO3" s="13" t="s">
        <v>291</v>
      </c>
      <c r="BQ3" s="14" t="s">
        <v>524</v>
      </c>
    </row>
    <row r="4" spans="1:87" x14ac:dyDescent="0.3">
      <c r="A4">
        <v>2014</v>
      </c>
      <c r="B4" s="10" t="s">
        <v>146</v>
      </c>
      <c r="C4" s="12" t="s">
        <v>205</v>
      </c>
      <c r="D4" s="10" t="s">
        <v>292</v>
      </c>
      <c r="E4" s="9">
        <v>2375.8662208678002</v>
      </c>
      <c r="F4" s="9">
        <v>423.38433491117775</v>
      </c>
      <c r="G4" s="9">
        <v>57.422173389726225</v>
      </c>
      <c r="H4" s="9">
        <v>0.3667158504432656</v>
      </c>
      <c r="I4" s="9">
        <v>26723.79978854068</v>
      </c>
      <c r="J4" s="9">
        <v>569.33076658812513</v>
      </c>
      <c r="K4" s="9">
        <v>0.36448055237039229</v>
      </c>
      <c r="L4" s="9">
        <v>1.5170069421312979</v>
      </c>
      <c r="M4" s="9">
        <v>1.980319707044905</v>
      </c>
      <c r="N4" s="9">
        <v>3.0901805674974505</v>
      </c>
      <c r="O4" s="9">
        <v>84.079268881643628</v>
      </c>
      <c r="P4" s="9">
        <v>866.39930129938034</v>
      </c>
      <c r="Q4" s="9">
        <v>400.15552260144921</v>
      </c>
      <c r="R4" s="9">
        <v>1.3785864650655362</v>
      </c>
      <c r="S4" s="9">
        <v>7.1841144708934301</v>
      </c>
      <c r="T4" s="9">
        <v>4.6550550642716981</v>
      </c>
      <c r="U4" s="9">
        <v>15.735263044519479</v>
      </c>
      <c r="V4" s="9">
        <v>3.3145958439473957</v>
      </c>
      <c r="W4" s="9">
        <v>7.586576711562885</v>
      </c>
      <c r="X4" s="9">
        <v>12.405886171481963</v>
      </c>
      <c r="Y4" s="9">
        <v>3.2903293889707519</v>
      </c>
      <c r="Z4" s="9">
        <v>5.8572837639308162</v>
      </c>
      <c r="AA4" s="9">
        <v>0</v>
      </c>
      <c r="AB4" s="9">
        <v>2.0941513244815226</v>
      </c>
      <c r="AC4" s="9">
        <v>2.931259925838761</v>
      </c>
      <c r="AD4" s="9">
        <v>2.6771131055175736</v>
      </c>
      <c r="AE4" s="9">
        <v>766.94268418651075</v>
      </c>
      <c r="AF4" s="9">
        <v>3.9178670145381109</v>
      </c>
      <c r="AG4" s="9">
        <v>24.617969071369874</v>
      </c>
      <c r="AH4" s="9">
        <v>34.366648551102067</v>
      </c>
      <c r="AI4" s="9">
        <v>3.6209251781031484</v>
      </c>
      <c r="AJ4" s="9">
        <v>0.5908776032853098</v>
      </c>
      <c r="AK4" s="9">
        <v>0.28735820167485293</v>
      </c>
      <c r="AL4" s="9">
        <v>13.057634603583768</v>
      </c>
      <c r="AM4" s="9">
        <v>0.26928429973592127</v>
      </c>
      <c r="AN4" s="9">
        <v>1772.0367458483861</v>
      </c>
      <c r="AO4" s="9">
        <v>5.6277375654701842</v>
      </c>
      <c r="AP4" s="9">
        <v>4.9923010622501369</v>
      </c>
      <c r="AQ4" s="9">
        <v>2.0951126003197422</v>
      </c>
      <c r="AR4" s="9">
        <v>9.2068302461008464</v>
      </c>
      <c r="AS4" s="9">
        <v>23.154172461412543</v>
      </c>
      <c r="AT4" s="9">
        <v>4.0985106284115673</v>
      </c>
      <c r="AU4" s="9">
        <v>2.7454441592800336</v>
      </c>
      <c r="AV4" s="9">
        <v>3.0472708004181306</v>
      </c>
      <c r="AW4" s="9">
        <v>4.0476463086202568</v>
      </c>
      <c r="AX4" s="9">
        <v>11.112645525742623</v>
      </c>
      <c r="AY4" s="9">
        <v>47.216027161580691</v>
      </c>
      <c r="AZ4" s="9">
        <v>2.5521093037931961E-2</v>
      </c>
      <c r="BA4" s="9">
        <v>7.134384537381413</v>
      </c>
      <c r="BB4" s="9">
        <v>17.526693449777838</v>
      </c>
      <c r="BC4" s="9">
        <v>69.780242511293508</v>
      </c>
      <c r="BD4" s="9">
        <v>432.30831831646697</v>
      </c>
      <c r="BE4" s="9">
        <v>713.47637002421425</v>
      </c>
      <c r="BF4" s="9">
        <v>97.112351724972598</v>
      </c>
      <c r="BG4" s="9">
        <v>0</v>
      </c>
      <c r="BH4" s="9">
        <v>0</v>
      </c>
      <c r="BI4" s="9">
        <v>10716.412101496833</v>
      </c>
      <c r="BJ4" s="9">
        <v>0</v>
      </c>
      <c r="BK4" s="9">
        <v>4.4105519512520723E-2</v>
      </c>
      <c r="BL4" s="9">
        <v>290.74291130527502</v>
      </c>
      <c r="BM4" s="9">
        <v>289.01019393005754</v>
      </c>
      <c r="BN4" s="9">
        <v>406.80608937952991</v>
      </c>
      <c r="BO4" s="9">
        <v>47354.297272346324</v>
      </c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87" x14ac:dyDescent="0.3">
      <c r="A5">
        <v>2014</v>
      </c>
      <c r="B5" s="10" t="s">
        <v>147</v>
      </c>
      <c r="C5" s="12" t="s">
        <v>135</v>
      </c>
      <c r="D5" s="10" t="s">
        <v>292</v>
      </c>
      <c r="E5" s="9">
        <v>71.700953879841407</v>
      </c>
      <c r="F5" s="9">
        <v>251.61852193517572</v>
      </c>
      <c r="G5" s="9">
        <v>7.4254035416386852</v>
      </c>
      <c r="H5" s="9">
        <v>3.5939200986510142</v>
      </c>
      <c r="I5" s="9">
        <v>618.11176711693531</v>
      </c>
      <c r="J5" s="9">
        <v>1.5655722066990478</v>
      </c>
      <c r="K5" s="9">
        <v>946.62106353169474</v>
      </c>
      <c r="L5" s="9">
        <v>1.5674853792903805</v>
      </c>
      <c r="M5" s="9">
        <v>2.7816388135276992E-2</v>
      </c>
      <c r="N5" s="9">
        <v>9.6488171775644352E-2</v>
      </c>
      <c r="O5" s="9">
        <v>22.808920729463011</v>
      </c>
      <c r="P5" s="9">
        <v>26.353875732813805</v>
      </c>
      <c r="Q5" s="9">
        <v>1.0683278401834415</v>
      </c>
      <c r="R5" s="9">
        <v>7.4614789318489319E-2</v>
      </c>
      <c r="S5" s="9">
        <v>0.12502896958895765</v>
      </c>
      <c r="T5" s="9">
        <v>0.61579891798894726</v>
      </c>
      <c r="U5" s="9">
        <v>0.53960167613454968</v>
      </c>
      <c r="V5" s="9">
        <v>0.2537987461734717</v>
      </c>
      <c r="W5" s="9">
        <v>0.24538813391120243</v>
      </c>
      <c r="X5" s="9">
        <v>0.27134451097247536</v>
      </c>
      <c r="Y5" s="9">
        <v>0.12984142074447327</v>
      </c>
      <c r="Z5" s="9">
        <v>6.4490292882197888</v>
      </c>
      <c r="AA5" s="9">
        <v>0</v>
      </c>
      <c r="AB5" s="9">
        <v>3.6097841269270001E-2</v>
      </c>
      <c r="AC5" s="9">
        <v>1.6775788447855831</v>
      </c>
      <c r="AD5" s="9">
        <v>2.732636486347513E-2</v>
      </c>
      <c r="AE5" s="9">
        <v>79.176758108459765</v>
      </c>
      <c r="AF5" s="9">
        <v>3.4793692761414405E-2</v>
      </c>
      <c r="AG5" s="9">
        <v>0.21971498175127602</v>
      </c>
      <c r="AH5" s="9">
        <v>0.3065341410198909</v>
      </c>
      <c r="AI5" s="9">
        <v>8.2402767240227673E-2</v>
      </c>
      <c r="AJ5" s="9">
        <v>8.9506849260069347E-3</v>
      </c>
      <c r="AK5" s="9">
        <v>1.5507643966162924E-3</v>
      </c>
      <c r="AL5" s="9">
        <v>5.3805096380551774E-2</v>
      </c>
      <c r="AM5" s="9">
        <v>2.2745968657710979E-3</v>
      </c>
      <c r="AN5" s="9">
        <v>210.00091845387337</v>
      </c>
      <c r="AO5" s="9">
        <v>4.3343663441677359E-2</v>
      </c>
      <c r="AP5" s="9">
        <v>7.0707893879740649E-2</v>
      </c>
      <c r="AQ5" s="9">
        <v>6.3999875227981173E-2</v>
      </c>
      <c r="AR5" s="9">
        <v>3.8498080881417547E-2</v>
      </c>
      <c r="AS5" s="9">
        <v>7.1436072784424515E-2</v>
      </c>
      <c r="AT5" s="9">
        <v>1.3463825898595277E-2</v>
      </c>
      <c r="AU5" s="9">
        <v>1.0402948542004634E-2</v>
      </c>
      <c r="AV5" s="9">
        <v>5.023311198896336E-2</v>
      </c>
      <c r="AW5" s="9">
        <v>6.3149837590939298E-2</v>
      </c>
      <c r="AX5" s="9">
        <v>3.9295226716185967E-2</v>
      </c>
      <c r="AY5" s="9">
        <v>1.5557980563511573</v>
      </c>
      <c r="AZ5" s="9">
        <v>7.9425805835706988E-4</v>
      </c>
      <c r="BA5" s="9">
        <v>2.8131598416119549E-2</v>
      </c>
      <c r="BB5" s="9">
        <v>0.24551938746543966</v>
      </c>
      <c r="BC5" s="9">
        <v>0.9767573456911004</v>
      </c>
      <c r="BD5" s="9">
        <v>29.294845201743644</v>
      </c>
      <c r="BE5" s="9">
        <v>28.366378743228527</v>
      </c>
      <c r="BF5" s="9">
        <v>1.7587602292358233</v>
      </c>
      <c r="BG5" s="9">
        <v>0</v>
      </c>
      <c r="BH5" s="9">
        <v>0</v>
      </c>
      <c r="BI5" s="9">
        <v>632.12914753555742</v>
      </c>
      <c r="BJ5" s="9">
        <v>0</v>
      </c>
      <c r="BK5" s="9">
        <v>0</v>
      </c>
      <c r="BL5" s="9">
        <v>287.39783323986677</v>
      </c>
      <c r="BM5" s="9">
        <v>123.58070263763099</v>
      </c>
      <c r="BN5" s="9">
        <v>32.85065602958209</v>
      </c>
      <c r="BO5" s="9">
        <v>3391.5431241437195</v>
      </c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</row>
    <row r="6" spans="1:87" x14ac:dyDescent="0.3">
      <c r="A6">
        <v>2014</v>
      </c>
      <c r="B6" s="10" t="s">
        <v>148</v>
      </c>
      <c r="C6" s="12" t="s">
        <v>206</v>
      </c>
      <c r="D6" s="10" t="s">
        <v>292</v>
      </c>
      <c r="E6" s="9">
        <v>0.15317599684377753</v>
      </c>
      <c r="F6" s="9">
        <v>1.1743353615683864E-3</v>
      </c>
      <c r="G6" s="9">
        <v>116.10146425914979</v>
      </c>
      <c r="H6" s="9">
        <v>3.7492955787113464E-3</v>
      </c>
      <c r="I6" s="9">
        <v>2510.2868475118535</v>
      </c>
      <c r="J6" s="9">
        <v>0.21280080741652985</v>
      </c>
      <c r="K6" s="9">
        <v>7.600273254209376E-3</v>
      </c>
      <c r="L6" s="9">
        <v>3.5283739259406199E-2</v>
      </c>
      <c r="M6" s="9">
        <v>2.3579684933338955E-2</v>
      </c>
      <c r="N6" s="9">
        <v>5.1779091194122384E-2</v>
      </c>
      <c r="O6" s="9">
        <v>2.0314046951580971</v>
      </c>
      <c r="P6" s="9">
        <v>0.38520338564465784</v>
      </c>
      <c r="Q6" s="9">
        <v>4.0192631046561032E-2</v>
      </c>
      <c r="R6" s="9">
        <v>2.2160607270828074E-2</v>
      </c>
      <c r="S6" s="9">
        <v>7.4033834487023872E-2</v>
      </c>
      <c r="T6" s="9">
        <v>1.0857076972316084</v>
      </c>
      <c r="U6" s="9">
        <v>0.28725826434594603</v>
      </c>
      <c r="V6" s="9">
        <v>0.14454029074436059</v>
      </c>
      <c r="W6" s="9">
        <v>0.13434071650594231</v>
      </c>
      <c r="X6" s="9">
        <v>0.16586031657608805</v>
      </c>
      <c r="Y6" s="9">
        <v>8.166622764262374E-2</v>
      </c>
      <c r="Z6" s="9">
        <v>6.1262377227320819</v>
      </c>
      <c r="AA6" s="9">
        <v>0</v>
      </c>
      <c r="AB6" s="9">
        <v>2.2920078893669645E-2</v>
      </c>
      <c r="AC6" s="9">
        <v>1.4233501472791198E-2</v>
      </c>
      <c r="AD6" s="9">
        <v>1.2050586238041556E-2</v>
      </c>
      <c r="AE6" s="9">
        <v>0.16526042497862686</v>
      </c>
      <c r="AF6" s="9">
        <v>0.19916766189232527</v>
      </c>
      <c r="AG6" s="9">
        <v>1.2521263914227001</v>
      </c>
      <c r="AH6" s="9">
        <v>1.7478538787108284</v>
      </c>
      <c r="AI6" s="9">
        <v>0.12586614492863857</v>
      </c>
      <c r="AJ6" s="9">
        <v>5.7802954415061948E-3</v>
      </c>
      <c r="AK6" s="9">
        <v>1.5611819489472667E-3</v>
      </c>
      <c r="AL6" s="9">
        <v>3.8485848240099145E-2</v>
      </c>
      <c r="AM6" s="9">
        <v>1.360718846715213E-3</v>
      </c>
      <c r="AN6" s="9">
        <v>876.65544901557928</v>
      </c>
      <c r="AO6" s="9">
        <v>2.9245662270059709E-2</v>
      </c>
      <c r="AP6" s="9">
        <v>0.30455645804156301</v>
      </c>
      <c r="AQ6" s="9">
        <v>4.3913317283904858E-2</v>
      </c>
      <c r="AR6" s="9">
        <v>2.3302796611984374E-2</v>
      </c>
      <c r="AS6" s="9">
        <v>4.9005233125216638E-2</v>
      </c>
      <c r="AT6" s="9">
        <v>1.1560883760522092E-2</v>
      </c>
      <c r="AU6" s="9">
        <v>1.5415565752925195E-2</v>
      </c>
      <c r="AV6" s="9">
        <v>0.38512261555873145</v>
      </c>
      <c r="AW6" s="9">
        <v>8.6296011113603605E-2</v>
      </c>
      <c r="AX6" s="9">
        <v>2.0941544687908126E-2</v>
      </c>
      <c r="AY6" s="9">
        <v>19.830664729803438</v>
      </c>
      <c r="AZ6" s="9">
        <v>6.7951796202470234E-4</v>
      </c>
      <c r="BA6" s="9">
        <v>4.4652300226899866E-2</v>
      </c>
      <c r="BB6" s="9">
        <v>1.4372324090400057</v>
      </c>
      <c r="BC6" s="9">
        <v>3.6466318199341145E-2</v>
      </c>
      <c r="BD6" s="9">
        <v>144.91752455128523</v>
      </c>
      <c r="BE6" s="9">
        <v>137.40531176303381</v>
      </c>
      <c r="BF6" s="9">
        <v>21.600232922449113</v>
      </c>
      <c r="BG6" s="9">
        <v>0</v>
      </c>
      <c r="BH6" s="9">
        <v>0</v>
      </c>
      <c r="BI6" s="9">
        <v>1178.3222576166866</v>
      </c>
      <c r="BJ6" s="9">
        <v>0</v>
      </c>
      <c r="BK6" s="9">
        <v>0</v>
      </c>
      <c r="BL6" s="9">
        <v>0.36117162495187038</v>
      </c>
      <c r="BM6" s="9">
        <v>21.943442216214343</v>
      </c>
      <c r="BN6" s="9">
        <v>200.24732909717841</v>
      </c>
      <c r="BO6" s="9">
        <v>5244.8145022680674</v>
      </c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</row>
    <row r="7" spans="1:87" x14ac:dyDescent="0.3">
      <c r="A7">
        <v>2014</v>
      </c>
      <c r="B7" s="10" t="s">
        <v>149</v>
      </c>
      <c r="C7" s="12" t="s">
        <v>207</v>
      </c>
      <c r="D7" s="10" t="s">
        <v>292</v>
      </c>
      <c r="E7" s="9">
        <v>0.6639797629686881</v>
      </c>
      <c r="F7" s="9">
        <v>2.342087023473546E-2</v>
      </c>
      <c r="G7" s="9">
        <v>7.2499982417534234E-2</v>
      </c>
      <c r="H7" s="9">
        <v>6.606867746915468E-2</v>
      </c>
      <c r="I7" s="9">
        <v>6.3094564309225536</v>
      </c>
      <c r="J7" s="9">
        <v>6.7586119189024201</v>
      </c>
      <c r="K7" s="9">
        <v>0.21863153382737976</v>
      </c>
      <c r="L7" s="9">
        <v>1.6883186373283545</v>
      </c>
      <c r="M7" s="9">
        <v>0.32282228139228064</v>
      </c>
      <c r="N7" s="9">
        <v>2823.0183061937851</v>
      </c>
      <c r="O7" s="9">
        <v>29.773744614116385</v>
      </c>
      <c r="P7" s="9">
        <v>3.2061842299894949</v>
      </c>
      <c r="Q7" s="9">
        <v>0.85470987181551639</v>
      </c>
      <c r="R7" s="9">
        <v>37.012292862428659</v>
      </c>
      <c r="S7" s="9">
        <v>676.23099769606301</v>
      </c>
      <c r="T7" s="9">
        <v>4.1784235101627925</v>
      </c>
      <c r="U7" s="9">
        <v>32.249431795326153</v>
      </c>
      <c r="V7" s="9">
        <v>4.8280035065509006</v>
      </c>
      <c r="W7" s="9">
        <v>5.6570082194759967</v>
      </c>
      <c r="X7" s="9">
        <v>8.157498411765113</v>
      </c>
      <c r="Y7" s="9">
        <v>6.4866268047053568</v>
      </c>
      <c r="Z7" s="9">
        <v>2.8069531405843051</v>
      </c>
      <c r="AA7" s="9">
        <v>0</v>
      </c>
      <c r="AB7" s="9">
        <v>1033.7074479011571</v>
      </c>
      <c r="AC7" s="9">
        <v>0.55619448011126771</v>
      </c>
      <c r="AD7" s="9">
        <v>0.81979205376662168</v>
      </c>
      <c r="AE7" s="9">
        <v>68.760460204416916</v>
      </c>
      <c r="AF7" s="9">
        <v>0.1426877122821581</v>
      </c>
      <c r="AG7" s="9">
        <v>0.91260545646563429</v>
      </c>
      <c r="AH7" s="9">
        <v>1.2712328473886654</v>
      </c>
      <c r="AI7" s="9">
        <v>1.0774020185460438</v>
      </c>
      <c r="AJ7" s="9">
        <v>0.14328137442627961</v>
      </c>
      <c r="AK7" s="9">
        <v>6.9002289590611429E-2</v>
      </c>
      <c r="AL7" s="9">
        <v>0.65854958131248242</v>
      </c>
      <c r="AM7" s="9">
        <v>4.0600158197025421E-2</v>
      </c>
      <c r="AN7" s="9">
        <v>2.3133924827615004</v>
      </c>
      <c r="AO7" s="9">
        <v>0.51105217967689442</v>
      </c>
      <c r="AP7" s="9">
        <v>0.41223543704721166</v>
      </c>
      <c r="AQ7" s="9">
        <v>0.92752047621135203</v>
      </c>
      <c r="AR7" s="9">
        <v>0.35619622146751584</v>
      </c>
      <c r="AS7" s="9">
        <v>0.66055288759211628</v>
      </c>
      <c r="AT7" s="9">
        <v>0.18059115172595214</v>
      </c>
      <c r="AU7" s="9">
        <v>0.18937851952990928</v>
      </c>
      <c r="AV7" s="9">
        <v>0.29356568115289045</v>
      </c>
      <c r="AW7" s="9">
        <v>0.25043313556865809</v>
      </c>
      <c r="AX7" s="9">
        <v>0.37943549183470843</v>
      </c>
      <c r="AY7" s="9">
        <v>0.82566432877531992</v>
      </c>
      <c r="AZ7" s="9">
        <v>1.0315965788268844E-2</v>
      </c>
      <c r="BA7" s="9">
        <v>0.20407192372765298</v>
      </c>
      <c r="BB7" s="9">
        <v>0.65508061225097391</v>
      </c>
      <c r="BC7" s="9">
        <v>0.8841651923105297</v>
      </c>
      <c r="BD7" s="9">
        <v>1.6553965509124038</v>
      </c>
      <c r="BE7" s="9">
        <v>2.1027372561756978</v>
      </c>
      <c r="BF7" s="9">
        <v>1.5749759984531322</v>
      </c>
      <c r="BG7" s="9">
        <v>0</v>
      </c>
      <c r="BH7" s="9">
        <v>0</v>
      </c>
      <c r="BI7" s="9">
        <v>42.297223179695557</v>
      </c>
      <c r="BJ7" s="9">
        <v>0</v>
      </c>
      <c r="BK7" s="9">
        <v>0</v>
      </c>
      <c r="BL7" s="9">
        <v>7.7949102024746448</v>
      </c>
      <c r="BM7" s="9">
        <v>-792.26588247065365</v>
      </c>
      <c r="BN7" s="9">
        <v>271.36731630682726</v>
      </c>
      <c r="BO7" s="9">
        <v>4302.3235757411776</v>
      </c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</row>
    <row r="8" spans="1:87" x14ac:dyDescent="0.3">
      <c r="A8">
        <v>2014</v>
      </c>
      <c r="B8" s="10" t="s">
        <v>150</v>
      </c>
      <c r="C8" s="12" t="s">
        <v>208</v>
      </c>
      <c r="D8" s="10" t="s">
        <v>292</v>
      </c>
      <c r="E8" s="9">
        <v>8588.1288287156367</v>
      </c>
      <c r="F8" s="9">
        <v>1.6416270756482405</v>
      </c>
      <c r="G8" s="9">
        <v>195.59589036455301</v>
      </c>
      <c r="H8" s="9">
        <v>6.1262873597904592</v>
      </c>
      <c r="I8" s="9">
        <v>19842.916843052342</v>
      </c>
      <c r="J8" s="9">
        <v>963.69380464675817</v>
      </c>
      <c r="K8" s="9">
        <v>9.2170613897329918</v>
      </c>
      <c r="L8" s="9">
        <v>78.431989903087796</v>
      </c>
      <c r="M8" s="9">
        <v>20.987381252577507</v>
      </c>
      <c r="N8" s="9">
        <v>45.039650022648509</v>
      </c>
      <c r="O8" s="9">
        <v>1402.4137273427289</v>
      </c>
      <c r="P8" s="9">
        <v>606.60590798023748</v>
      </c>
      <c r="Q8" s="9">
        <v>37.500734264437213</v>
      </c>
      <c r="R8" s="9">
        <v>26.768991735720512</v>
      </c>
      <c r="S8" s="9">
        <v>144.94615429655448</v>
      </c>
      <c r="T8" s="9">
        <v>114.98725660157957</v>
      </c>
      <c r="U8" s="9">
        <v>508.7018921082597</v>
      </c>
      <c r="V8" s="9">
        <v>100.85284332812337</v>
      </c>
      <c r="W8" s="9">
        <v>191.14704926428487</v>
      </c>
      <c r="X8" s="9">
        <v>296.51654833241111</v>
      </c>
      <c r="Y8" s="9">
        <v>240.58710430307093</v>
      </c>
      <c r="Z8" s="9">
        <v>97.491068122653544</v>
      </c>
      <c r="AA8" s="9">
        <v>0</v>
      </c>
      <c r="AB8" s="9">
        <v>32.728958633597543</v>
      </c>
      <c r="AC8" s="9">
        <v>26.61544314861645</v>
      </c>
      <c r="AD8" s="9">
        <v>35.331700494760518</v>
      </c>
      <c r="AE8" s="9">
        <v>148.48169583148388</v>
      </c>
      <c r="AF8" s="9">
        <v>39.228120038089386</v>
      </c>
      <c r="AG8" s="9">
        <v>246.55586569797694</v>
      </c>
      <c r="AH8" s="9">
        <v>344.18033958006237</v>
      </c>
      <c r="AI8" s="9">
        <v>39.843674083424752</v>
      </c>
      <c r="AJ8" s="9">
        <v>6.0299920279628481</v>
      </c>
      <c r="AK8" s="9">
        <v>3.7532008901421516</v>
      </c>
      <c r="AL8" s="9">
        <v>189.60889608180179</v>
      </c>
      <c r="AM8" s="9">
        <v>3.4917440514733724</v>
      </c>
      <c r="AN8" s="9">
        <v>14277.321282829338</v>
      </c>
      <c r="AO8" s="9">
        <v>51.375995818584606</v>
      </c>
      <c r="AP8" s="9">
        <v>53.648038578853985</v>
      </c>
      <c r="AQ8" s="9">
        <v>26.50474454725137</v>
      </c>
      <c r="AR8" s="9">
        <v>93.52389478843115</v>
      </c>
      <c r="AS8" s="9">
        <v>163.33370193533943</v>
      </c>
      <c r="AT8" s="9">
        <v>41.255876669762443</v>
      </c>
      <c r="AU8" s="9">
        <v>31.196936965774203</v>
      </c>
      <c r="AV8" s="9">
        <v>36.87821728349428</v>
      </c>
      <c r="AW8" s="9">
        <v>34.554001059170567</v>
      </c>
      <c r="AX8" s="9">
        <v>121.04930846682559</v>
      </c>
      <c r="AY8" s="9">
        <v>345.27894860789235</v>
      </c>
      <c r="AZ8" s="9">
        <v>0.2742867696810351</v>
      </c>
      <c r="BA8" s="9">
        <v>79.282993626563126</v>
      </c>
      <c r="BB8" s="9">
        <v>485.41245663608305</v>
      </c>
      <c r="BC8" s="9">
        <v>207.98767014526149</v>
      </c>
      <c r="BD8" s="9">
        <v>2157.1266134059597</v>
      </c>
      <c r="BE8" s="9">
        <v>1500.2662968495013</v>
      </c>
      <c r="BF8" s="9">
        <v>1489.6791388930726</v>
      </c>
      <c r="BG8" s="9">
        <v>0</v>
      </c>
      <c r="BH8" s="9">
        <v>0</v>
      </c>
      <c r="BI8" s="9">
        <v>40454.490730517486</v>
      </c>
      <c r="BJ8" s="9">
        <v>0</v>
      </c>
      <c r="BK8" s="9">
        <v>1.1125697701025288</v>
      </c>
      <c r="BL8" s="9">
        <v>104.52648492806087</v>
      </c>
      <c r="BM8" s="9">
        <v>694.77481744916281</v>
      </c>
      <c r="BN8" s="9">
        <v>6585.8250584598854</v>
      </c>
      <c r="BO8" s="9">
        <v>103672.82833702373</v>
      </c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</row>
    <row r="9" spans="1:87" x14ac:dyDescent="0.3">
      <c r="A9">
        <v>2014</v>
      </c>
      <c r="B9" s="10" t="s">
        <v>151</v>
      </c>
      <c r="C9" s="12" t="s">
        <v>209</v>
      </c>
      <c r="D9" s="10" t="s">
        <v>292</v>
      </c>
      <c r="E9" s="9">
        <v>181.71236958297621</v>
      </c>
      <c r="F9" s="9">
        <v>7.050800128131872</v>
      </c>
      <c r="G9" s="9">
        <v>133.88880109717513</v>
      </c>
      <c r="H9" s="9">
        <v>10.519164196769486</v>
      </c>
      <c r="I9" s="9">
        <v>413.00445584512551</v>
      </c>
      <c r="J9" s="9">
        <v>22204.050157538324</v>
      </c>
      <c r="K9" s="9">
        <v>28.513064869834761</v>
      </c>
      <c r="L9" s="9">
        <v>365.7251124070682</v>
      </c>
      <c r="M9" s="9">
        <v>54.684817788508845</v>
      </c>
      <c r="N9" s="9">
        <v>88.60992090569998</v>
      </c>
      <c r="O9" s="9">
        <v>733.33628606617128</v>
      </c>
      <c r="P9" s="9">
        <v>160.43103978673844</v>
      </c>
      <c r="Q9" s="9">
        <v>510.8001045188621</v>
      </c>
      <c r="R9" s="9">
        <v>94.606347440030135</v>
      </c>
      <c r="S9" s="9">
        <v>497.00273341047352</v>
      </c>
      <c r="T9" s="9">
        <v>441.97868081162432</v>
      </c>
      <c r="U9" s="9">
        <v>1899.9497800222148</v>
      </c>
      <c r="V9" s="9">
        <v>359.96101745223251</v>
      </c>
      <c r="W9" s="9">
        <v>573.44001350092549</v>
      </c>
      <c r="X9" s="9">
        <v>1377.7682797979658</v>
      </c>
      <c r="Y9" s="9">
        <v>959.95005653709097</v>
      </c>
      <c r="Z9" s="9">
        <v>1967.6966548967807</v>
      </c>
      <c r="AA9" s="9">
        <v>0</v>
      </c>
      <c r="AB9" s="9">
        <v>175.10792413016068</v>
      </c>
      <c r="AC9" s="9">
        <v>119.72235549358884</v>
      </c>
      <c r="AD9" s="9">
        <v>408.18049624470814</v>
      </c>
      <c r="AE9" s="9">
        <v>886.52374246049237</v>
      </c>
      <c r="AF9" s="9">
        <v>81.020672363178747</v>
      </c>
      <c r="AG9" s="9">
        <v>509.19401439703284</v>
      </c>
      <c r="AH9" s="9">
        <v>710.81692969235758</v>
      </c>
      <c r="AI9" s="9">
        <v>375.45100976351517</v>
      </c>
      <c r="AJ9" s="9">
        <v>24.514459053302687</v>
      </c>
      <c r="AK9" s="9">
        <v>7.1924652388285724</v>
      </c>
      <c r="AL9" s="9">
        <v>998.11478888235422</v>
      </c>
      <c r="AM9" s="9">
        <v>33.840138511137297</v>
      </c>
      <c r="AN9" s="9">
        <v>324.2389957021739</v>
      </c>
      <c r="AO9" s="9">
        <v>50.2264162514454</v>
      </c>
      <c r="AP9" s="9">
        <v>128.79914508459976</v>
      </c>
      <c r="AQ9" s="9">
        <v>41.541184438042166</v>
      </c>
      <c r="AR9" s="9">
        <v>43.406000767065358</v>
      </c>
      <c r="AS9" s="9">
        <v>267.75633415952609</v>
      </c>
      <c r="AT9" s="9">
        <v>91.326336689677078</v>
      </c>
      <c r="AU9" s="9">
        <v>78.130686042653025</v>
      </c>
      <c r="AV9" s="9">
        <v>70.360795720506246</v>
      </c>
      <c r="AW9" s="9">
        <v>25.776082242990565</v>
      </c>
      <c r="AX9" s="9">
        <v>80.104816672655659</v>
      </c>
      <c r="AY9" s="9">
        <v>141.3955965735731</v>
      </c>
      <c r="AZ9" s="9">
        <v>0.33632674857885231</v>
      </c>
      <c r="BA9" s="9">
        <v>133.35670917789017</v>
      </c>
      <c r="BB9" s="9">
        <v>683.91768317432241</v>
      </c>
      <c r="BC9" s="9">
        <v>576.43152051375614</v>
      </c>
      <c r="BD9" s="9">
        <v>276.25059553341345</v>
      </c>
      <c r="BE9" s="9">
        <v>575.69516452164817</v>
      </c>
      <c r="BF9" s="9">
        <v>928.89043544915796</v>
      </c>
      <c r="BG9" s="9">
        <v>0</v>
      </c>
      <c r="BH9" s="9">
        <v>0</v>
      </c>
      <c r="BI9" s="9">
        <v>11825.814011256869</v>
      </c>
      <c r="BJ9" s="9">
        <v>0</v>
      </c>
      <c r="BK9" s="9">
        <v>0.14601378151084851</v>
      </c>
      <c r="BL9" s="9">
        <v>431.81526948103186</v>
      </c>
      <c r="BM9" s="9">
        <v>635.51933132478825</v>
      </c>
      <c r="BN9" s="9">
        <v>26182.70513596644</v>
      </c>
      <c r="BO9" s="9">
        <v>80988.299242105713</v>
      </c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</row>
    <row r="10" spans="1:87" x14ac:dyDescent="0.3">
      <c r="A10">
        <v>2014</v>
      </c>
      <c r="B10" s="10" t="s">
        <v>152</v>
      </c>
      <c r="C10" s="12" t="s">
        <v>210</v>
      </c>
      <c r="D10" s="10" t="s">
        <v>292</v>
      </c>
      <c r="E10" s="9">
        <v>32.19651097910743</v>
      </c>
      <c r="F10" s="9">
        <v>1.8539630029483627</v>
      </c>
      <c r="G10" s="9">
        <v>69.063513087261072</v>
      </c>
      <c r="H10" s="9">
        <v>4.6478510464187455</v>
      </c>
      <c r="I10" s="9">
        <v>55.061001261703566</v>
      </c>
      <c r="J10" s="9">
        <v>35.690135757252492</v>
      </c>
      <c r="K10" s="9">
        <v>867.85916929609937</v>
      </c>
      <c r="L10" s="9">
        <v>78.503152400021321</v>
      </c>
      <c r="M10" s="9">
        <v>2.2955962966441699</v>
      </c>
      <c r="N10" s="9">
        <v>8.4893676285747155</v>
      </c>
      <c r="O10" s="9">
        <v>59.400795487181036</v>
      </c>
      <c r="P10" s="9">
        <v>5.0580171441195452</v>
      </c>
      <c r="Q10" s="9">
        <v>9.5490073312479318</v>
      </c>
      <c r="R10" s="9">
        <v>48.178704628242706</v>
      </c>
      <c r="S10" s="9">
        <v>126.66051233585</v>
      </c>
      <c r="T10" s="9">
        <v>163.36336841692378</v>
      </c>
      <c r="U10" s="9">
        <v>92.467763187311348</v>
      </c>
      <c r="V10" s="9">
        <v>75.816005402143119</v>
      </c>
      <c r="W10" s="9">
        <v>97.49814281974146</v>
      </c>
      <c r="X10" s="9">
        <v>169.62145381179946</v>
      </c>
      <c r="Y10" s="9">
        <v>179.0642719423943</v>
      </c>
      <c r="Z10" s="9">
        <v>992.37660302002018</v>
      </c>
      <c r="AA10" s="9">
        <v>0</v>
      </c>
      <c r="AB10" s="9">
        <v>66.684535321934447</v>
      </c>
      <c r="AC10" s="9">
        <v>1.6764386004938907</v>
      </c>
      <c r="AD10" s="9">
        <v>18.166055623403327</v>
      </c>
      <c r="AE10" s="9">
        <v>1779.7854491129942</v>
      </c>
      <c r="AF10" s="9">
        <v>4.4860905670587687</v>
      </c>
      <c r="AG10" s="9">
        <v>28.198476799440417</v>
      </c>
      <c r="AH10" s="9">
        <v>39.363296258232353</v>
      </c>
      <c r="AI10" s="9">
        <v>9.2667511685345207</v>
      </c>
      <c r="AJ10" s="9">
        <v>0.62935747241335427</v>
      </c>
      <c r="AK10" s="9">
        <v>0.21340839567597938</v>
      </c>
      <c r="AL10" s="9">
        <v>284.09213290189069</v>
      </c>
      <c r="AM10" s="9">
        <v>0.11877575762679046</v>
      </c>
      <c r="AN10" s="9">
        <v>54.208666572877064</v>
      </c>
      <c r="AO10" s="9">
        <v>1.8069708271788607</v>
      </c>
      <c r="AP10" s="9">
        <v>5.0969802642450999</v>
      </c>
      <c r="AQ10" s="9">
        <v>0.87429343620291256</v>
      </c>
      <c r="AR10" s="9">
        <v>0.60765693576628244</v>
      </c>
      <c r="AS10" s="9">
        <v>1.8987782305541876</v>
      </c>
      <c r="AT10" s="9">
        <v>0.4608295049062866</v>
      </c>
      <c r="AU10" s="9">
        <v>0.30283455195232717</v>
      </c>
      <c r="AV10" s="9">
        <v>1.6065644476173477</v>
      </c>
      <c r="AW10" s="9">
        <v>0.35618744787697953</v>
      </c>
      <c r="AX10" s="9">
        <v>71.353705641297481</v>
      </c>
      <c r="AY10" s="9">
        <v>4.4364393333042456</v>
      </c>
      <c r="AZ10" s="9">
        <v>2.9809572309651412E-2</v>
      </c>
      <c r="BA10" s="9">
        <v>8.8624927846554584</v>
      </c>
      <c r="BB10" s="9">
        <v>2.8501060803987461</v>
      </c>
      <c r="BC10" s="9">
        <v>7.9954277157767262</v>
      </c>
      <c r="BD10" s="9">
        <v>30.198253280782126</v>
      </c>
      <c r="BE10" s="9">
        <v>24.888830998550809</v>
      </c>
      <c r="BF10" s="9">
        <v>60.533833194689713</v>
      </c>
      <c r="BG10" s="9">
        <v>0</v>
      </c>
      <c r="BH10" s="9">
        <v>0</v>
      </c>
      <c r="BI10" s="9">
        <v>86.147426424423742</v>
      </c>
      <c r="BJ10" s="9">
        <v>0</v>
      </c>
      <c r="BK10" s="9">
        <v>8.099720930444811E-3</v>
      </c>
      <c r="BL10" s="9">
        <v>11.006102564966074</v>
      </c>
      <c r="BM10" s="9">
        <v>2.8497833912072834</v>
      </c>
      <c r="BN10" s="9">
        <v>166.79230192283569</v>
      </c>
      <c r="BO10" s="9">
        <v>5952.5680491080229</v>
      </c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</row>
    <row r="11" spans="1:87" x14ac:dyDescent="0.3">
      <c r="A11">
        <v>2014</v>
      </c>
      <c r="B11" s="10" t="s">
        <v>153</v>
      </c>
      <c r="C11" s="12" t="s">
        <v>211</v>
      </c>
      <c r="D11" s="10" t="s">
        <v>292</v>
      </c>
      <c r="E11" s="9">
        <v>161.76971117085094</v>
      </c>
      <c r="F11" s="9">
        <v>0.54302279199864045</v>
      </c>
      <c r="G11" s="9">
        <v>3.3273901200518088</v>
      </c>
      <c r="H11" s="9">
        <v>1.9526515218651288</v>
      </c>
      <c r="I11" s="9">
        <v>1296.2086078808868</v>
      </c>
      <c r="J11" s="9">
        <v>481.14984984680882</v>
      </c>
      <c r="K11" s="9">
        <v>27.467532994274301</v>
      </c>
      <c r="L11" s="9">
        <v>5069.0809266046062</v>
      </c>
      <c r="M11" s="9">
        <v>1560.127592434711</v>
      </c>
      <c r="N11" s="9">
        <v>30.67396902507204</v>
      </c>
      <c r="O11" s="9">
        <v>509.87887697893001</v>
      </c>
      <c r="P11" s="9">
        <v>567.10126277056429</v>
      </c>
      <c r="Q11" s="9">
        <v>89.872946933658227</v>
      </c>
      <c r="R11" s="9">
        <v>111.93860421866945</v>
      </c>
      <c r="S11" s="9">
        <v>114.56698696268293</v>
      </c>
      <c r="T11" s="9">
        <v>206.54181717420346</v>
      </c>
      <c r="U11" s="9">
        <v>652.08546491202981</v>
      </c>
      <c r="V11" s="9">
        <v>473.53608295498026</v>
      </c>
      <c r="W11" s="9">
        <v>185.8296539858238</v>
      </c>
      <c r="X11" s="9">
        <v>179.01988574456431</v>
      </c>
      <c r="Y11" s="9">
        <v>116.64545096802533</v>
      </c>
      <c r="Z11" s="9">
        <v>207.62971470415184</v>
      </c>
      <c r="AA11" s="9">
        <v>0</v>
      </c>
      <c r="AB11" s="9">
        <v>21.00057135432322</v>
      </c>
      <c r="AC11" s="9">
        <v>12.846209038371001</v>
      </c>
      <c r="AD11" s="9">
        <v>140.90716493623768</v>
      </c>
      <c r="AE11" s="9">
        <v>326.2318480716313</v>
      </c>
      <c r="AF11" s="9">
        <v>95.286504464763922</v>
      </c>
      <c r="AG11" s="9">
        <v>598.72523228478576</v>
      </c>
      <c r="AH11" s="9">
        <v>835.82105514600335</v>
      </c>
      <c r="AI11" s="9">
        <v>46.819105756604614</v>
      </c>
      <c r="AJ11" s="9">
        <v>3.2989823920224053</v>
      </c>
      <c r="AK11" s="9">
        <v>1.2368335229712328</v>
      </c>
      <c r="AL11" s="9">
        <v>161.89858339849124</v>
      </c>
      <c r="AM11" s="9">
        <v>51.132502642518482</v>
      </c>
      <c r="AN11" s="9">
        <v>205.11956453856922</v>
      </c>
      <c r="AO11" s="9">
        <v>2046.504649127018</v>
      </c>
      <c r="AP11" s="9">
        <v>29.232242948720561</v>
      </c>
      <c r="AQ11" s="9">
        <v>13.380041817311501</v>
      </c>
      <c r="AR11" s="9">
        <v>97.942971269197869</v>
      </c>
      <c r="AS11" s="9">
        <v>136.34970611453946</v>
      </c>
      <c r="AT11" s="9">
        <v>37.438872668367054</v>
      </c>
      <c r="AU11" s="9">
        <v>25.901673639494412</v>
      </c>
      <c r="AV11" s="9">
        <v>25.822571371933623</v>
      </c>
      <c r="AW11" s="9">
        <v>47.686316198908798</v>
      </c>
      <c r="AX11" s="9">
        <v>126.88881928944565</v>
      </c>
      <c r="AY11" s="9">
        <v>99.843293725717089</v>
      </c>
      <c r="AZ11" s="9">
        <v>0.12590689836924715</v>
      </c>
      <c r="BA11" s="9">
        <v>61.942984154648684</v>
      </c>
      <c r="BB11" s="9">
        <v>91.249707700666377</v>
      </c>
      <c r="BC11" s="9">
        <v>89.472223839780767</v>
      </c>
      <c r="BD11" s="9">
        <v>254.23531342539707</v>
      </c>
      <c r="BE11" s="9">
        <v>69.277755263011983</v>
      </c>
      <c r="BF11" s="9">
        <v>135.211077690759</v>
      </c>
      <c r="BG11" s="9">
        <v>0</v>
      </c>
      <c r="BH11" s="9">
        <v>0</v>
      </c>
      <c r="BI11" s="9">
        <v>492.52651965172032</v>
      </c>
      <c r="BJ11" s="9">
        <v>0</v>
      </c>
      <c r="BK11" s="9">
        <v>2.2419656295251111E-3</v>
      </c>
      <c r="BL11" s="9">
        <v>24.82453897373313</v>
      </c>
      <c r="BM11" s="9">
        <v>-1352.9867471636469</v>
      </c>
      <c r="BN11" s="9">
        <v>3448.3844563141415</v>
      </c>
      <c r="BO11" s="9">
        <v>20548.529297131547</v>
      </c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</row>
    <row r="12" spans="1:87" x14ac:dyDescent="0.3">
      <c r="A12">
        <v>2014</v>
      </c>
      <c r="B12" s="10" t="s">
        <v>154</v>
      </c>
      <c r="C12" s="12" t="s">
        <v>212</v>
      </c>
      <c r="D12" s="10" t="s">
        <v>292</v>
      </c>
      <c r="E12" s="9">
        <v>8.9431355353660713</v>
      </c>
      <c r="F12" s="9">
        <v>1.6962623841761029E-2</v>
      </c>
      <c r="G12" s="9">
        <v>0.321293292925526</v>
      </c>
      <c r="H12" s="9">
        <v>0.91543184900768959</v>
      </c>
      <c r="I12" s="9">
        <v>196.81320896494418</v>
      </c>
      <c r="J12" s="9">
        <v>148.25117360723522</v>
      </c>
      <c r="K12" s="9">
        <v>2.2936708189364001</v>
      </c>
      <c r="L12" s="9">
        <v>176.39756461217934</v>
      </c>
      <c r="M12" s="9">
        <v>1414.2565733078145</v>
      </c>
      <c r="N12" s="9">
        <v>128.19591410538595</v>
      </c>
      <c r="O12" s="9">
        <v>153.34239739935359</v>
      </c>
      <c r="P12" s="9">
        <v>266.32131511570958</v>
      </c>
      <c r="Q12" s="9">
        <v>49.613803959245324</v>
      </c>
      <c r="R12" s="9">
        <v>13.487036149705128</v>
      </c>
      <c r="S12" s="9">
        <v>44.521278347118809</v>
      </c>
      <c r="T12" s="9">
        <v>57.268779149666003</v>
      </c>
      <c r="U12" s="9">
        <v>351.4900551816549</v>
      </c>
      <c r="V12" s="9">
        <v>57.991824830409797</v>
      </c>
      <c r="W12" s="9">
        <v>51.275521104042738</v>
      </c>
      <c r="X12" s="9">
        <v>61.333347640098893</v>
      </c>
      <c r="Y12" s="9">
        <v>29.545046499804457</v>
      </c>
      <c r="Z12" s="9">
        <v>34.183905800306711</v>
      </c>
      <c r="AA12" s="9">
        <v>0</v>
      </c>
      <c r="AB12" s="9">
        <v>21.8107790873125</v>
      </c>
      <c r="AC12" s="9">
        <v>96.6118932378034</v>
      </c>
      <c r="AD12" s="9">
        <v>21.340056108339354</v>
      </c>
      <c r="AE12" s="9">
        <v>36.348353145939825</v>
      </c>
      <c r="AF12" s="9">
        <v>24.317316500694922</v>
      </c>
      <c r="AG12" s="9">
        <v>152.79348751409276</v>
      </c>
      <c r="AH12" s="9">
        <v>213.30029233436233</v>
      </c>
      <c r="AI12" s="9">
        <v>87.56883624938348</v>
      </c>
      <c r="AJ12" s="9">
        <v>3.708177727792457</v>
      </c>
      <c r="AK12" s="9">
        <v>1.0019254943185107</v>
      </c>
      <c r="AL12" s="9">
        <v>187.09648230257366</v>
      </c>
      <c r="AM12" s="9">
        <v>155.94277492532851</v>
      </c>
      <c r="AN12" s="9">
        <v>21.843017888156577</v>
      </c>
      <c r="AO12" s="9">
        <v>1061.3748513408505</v>
      </c>
      <c r="AP12" s="9">
        <v>61.91899326023141</v>
      </c>
      <c r="AQ12" s="9">
        <v>35.270784015362899</v>
      </c>
      <c r="AR12" s="9">
        <v>102.2664190793318</v>
      </c>
      <c r="AS12" s="9">
        <v>1021.4452048872012</v>
      </c>
      <c r="AT12" s="9">
        <v>133.01152293082535</v>
      </c>
      <c r="AU12" s="9">
        <v>51.752235763465634</v>
      </c>
      <c r="AV12" s="9">
        <v>18.972304981217537</v>
      </c>
      <c r="AW12" s="9">
        <v>195.73073955463749</v>
      </c>
      <c r="AX12" s="9">
        <v>220.52030144567843</v>
      </c>
      <c r="AY12" s="9">
        <v>224.6313301425524</v>
      </c>
      <c r="AZ12" s="9">
        <v>0.72988015284761831</v>
      </c>
      <c r="BA12" s="9">
        <v>56.984404879859134</v>
      </c>
      <c r="BB12" s="9">
        <v>81.250179429397619</v>
      </c>
      <c r="BC12" s="9">
        <v>950.7889849532653</v>
      </c>
      <c r="BD12" s="9">
        <v>731.22834594930475</v>
      </c>
      <c r="BE12" s="9">
        <v>398.77134697100377</v>
      </c>
      <c r="BF12" s="9">
        <v>461.91472238131564</v>
      </c>
      <c r="BG12" s="9">
        <v>0</v>
      </c>
      <c r="BH12" s="9">
        <v>0</v>
      </c>
      <c r="BI12" s="9">
        <v>79.814732640292362</v>
      </c>
      <c r="BJ12" s="9">
        <v>0</v>
      </c>
      <c r="BK12" s="9">
        <v>0.1680353274560713</v>
      </c>
      <c r="BL12" s="9">
        <v>8.6662056897220054</v>
      </c>
      <c r="BM12" s="9">
        <v>-83.194462618104311</v>
      </c>
      <c r="BN12" s="9">
        <v>207.20701480044607</v>
      </c>
      <c r="BO12" s="9">
        <v>10291.686710368998</v>
      </c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</row>
    <row r="13" spans="1:87" x14ac:dyDescent="0.3">
      <c r="A13">
        <v>2014</v>
      </c>
      <c r="B13" s="10" t="s">
        <v>155</v>
      </c>
      <c r="C13" s="12" t="s">
        <v>213</v>
      </c>
      <c r="D13" s="10" t="s">
        <v>292</v>
      </c>
      <c r="E13" s="9">
        <v>729.07057076690967</v>
      </c>
      <c r="F13" s="9">
        <v>48.561446710513877</v>
      </c>
      <c r="G13" s="9">
        <v>338.022536422592</v>
      </c>
      <c r="H13" s="9">
        <v>133.80155420311635</v>
      </c>
      <c r="I13" s="9">
        <v>482.03194552530044</v>
      </c>
      <c r="J13" s="9">
        <v>675.19919187726009</v>
      </c>
      <c r="K13" s="9">
        <v>42.545027651592555</v>
      </c>
      <c r="L13" s="9">
        <v>293.80343109288088</v>
      </c>
      <c r="M13" s="9">
        <v>92.183410934320335</v>
      </c>
      <c r="N13" s="9">
        <v>6509.4686972917179</v>
      </c>
      <c r="O13" s="9">
        <v>27023.010039264533</v>
      </c>
      <c r="P13" s="9">
        <v>420.7947200515884</v>
      </c>
      <c r="Q13" s="9">
        <v>410.16664389712071</v>
      </c>
      <c r="R13" s="9">
        <v>780.0509778179711</v>
      </c>
      <c r="S13" s="9">
        <v>1244.3691048003463</v>
      </c>
      <c r="T13" s="9">
        <v>810.69365735686711</v>
      </c>
      <c r="U13" s="9">
        <v>980.54540856991594</v>
      </c>
      <c r="V13" s="9">
        <v>464.37275260085602</v>
      </c>
      <c r="W13" s="9">
        <v>591.86333688275749</v>
      </c>
      <c r="X13" s="9">
        <v>601.94144798728223</v>
      </c>
      <c r="Y13" s="9">
        <v>537.70519667595261</v>
      </c>
      <c r="Z13" s="9">
        <v>142.95693831916535</v>
      </c>
      <c r="AA13" s="9">
        <v>0</v>
      </c>
      <c r="AB13" s="9">
        <v>3398.8529296201564</v>
      </c>
      <c r="AC13" s="9">
        <v>349.83119669166337</v>
      </c>
      <c r="AD13" s="9">
        <v>302.91746751697173</v>
      </c>
      <c r="AE13" s="9">
        <v>2417.7225155442302</v>
      </c>
      <c r="AF13" s="9">
        <v>134.28616409520561</v>
      </c>
      <c r="AG13" s="9">
        <v>843.82476178786214</v>
      </c>
      <c r="AH13" s="9">
        <v>1177.9719381791024</v>
      </c>
      <c r="AI13" s="9">
        <v>8570.8549363836828</v>
      </c>
      <c r="AJ13" s="9">
        <v>2137.5984326039243</v>
      </c>
      <c r="AK13" s="9">
        <v>2271.7094893437056</v>
      </c>
      <c r="AL13" s="9">
        <v>662.53857173427696</v>
      </c>
      <c r="AM13" s="9">
        <v>116.19578124044713</v>
      </c>
      <c r="AN13" s="9">
        <v>864.59037602850822</v>
      </c>
      <c r="AO13" s="9">
        <v>113.07869206099062</v>
      </c>
      <c r="AP13" s="9">
        <v>155.94053375629807</v>
      </c>
      <c r="AQ13" s="9">
        <v>47.221038769021163</v>
      </c>
      <c r="AR13" s="9">
        <v>81.814502181553436</v>
      </c>
      <c r="AS13" s="9">
        <v>201.27974453446791</v>
      </c>
      <c r="AT13" s="9">
        <v>33.292721943260325</v>
      </c>
      <c r="AU13" s="9">
        <v>19.677929803589183</v>
      </c>
      <c r="AV13" s="9">
        <v>270.36278778829603</v>
      </c>
      <c r="AW13" s="9">
        <v>237.8350630423073</v>
      </c>
      <c r="AX13" s="9">
        <v>347.50717603238064</v>
      </c>
      <c r="AY13" s="9">
        <v>137.68432214880974</v>
      </c>
      <c r="AZ13" s="9">
        <v>0.47095512392566169</v>
      </c>
      <c r="BA13" s="9">
        <v>156.58759546823541</v>
      </c>
      <c r="BB13" s="9">
        <v>429.41817601162666</v>
      </c>
      <c r="BC13" s="9">
        <v>739.60680774029652</v>
      </c>
      <c r="BD13" s="9">
        <v>1300.6352061397079</v>
      </c>
      <c r="BE13" s="9">
        <v>597.90559116493955</v>
      </c>
      <c r="BF13" s="9">
        <v>939.98726334154901</v>
      </c>
      <c r="BG13" s="9">
        <v>0</v>
      </c>
      <c r="BH13" s="9">
        <v>0</v>
      </c>
      <c r="BI13" s="9">
        <v>3280.1818760612377</v>
      </c>
      <c r="BJ13" s="9">
        <v>0</v>
      </c>
      <c r="BK13" s="9">
        <v>5.9957919503437131E-2</v>
      </c>
      <c r="BL13" s="9">
        <v>28.654259875914974</v>
      </c>
      <c r="BM13" s="9">
        <v>450.77736620514111</v>
      </c>
      <c r="BN13" s="9">
        <v>56677.020934124223</v>
      </c>
      <c r="BO13" s="9">
        <v>132849.05309870772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</row>
    <row r="14" spans="1:87" s="16" customFormat="1" x14ac:dyDescent="0.3">
      <c r="A14">
        <v>2014</v>
      </c>
      <c r="B14" s="10" t="s">
        <v>156</v>
      </c>
      <c r="C14" s="12" t="s">
        <v>214</v>
      </c>
      <c r="D14" s="10" t="s">
        <v>292</v>
      </c>
      <c r="E14" s="9">
        <v>2380.329356402483</v>
      </c>
      <c r="F14" s="9">
        <v>200.92162477917373</v>
      </c>
      <c r="G14" s="9">
        <v>34.291768510546426</v>
      </c>
      <c r="H14" s="9">
        <v>100.49147321000548</v>
      </c>
      <c r="I14" s="9">
        <v>1096.0370042848974</v>
      </c>
      <c r="J14" s="9">
        <v>6468.8045683837954</v>
      </c>
      <c r="K14" s="9">
        <v>321.18377888863188</v>
      </c>
      <c r="L14" s="9">
        <v>1264.3066217509074</v>
      </c>
      <c r="M14" s="9">
        <v>762.80045627333288</v>
      </c>
      <c r="N14" s="9">
        <v>3719.1376898466078</v>
      </c>
      <c r="O14" s="9">
        <v>58504.947969484085</v>
      </c>
      <c r="P14" s="9">
        <v>4753.6404383407189</v>
      </c>
      <c r="Q14" s="9">
        <v>6395.6297970539526</v>
      </c>
      <c r="R14" s="9">
        <v>906.06130799747257</v>
      </c>
      <c r="S14" s="9">
        <v>2062.993586610417</v>
      </c>
      <c r="T14" s="9">
        <v>2770.8719236001743</v>
      </c>
      <c r="U14" s="9">
        <v>12828.403729666896</v>
      </c>
      <c r="V14" s="9">
        <v>3197.4320116417898</v>
      </c>
      <c r="W14" s="9">
        <v>1479.2526725791606</v>
      </c>
      <c r="X14" s="9">
        <v>2200.0642281594296</v>
      </c>
      <c r="Y14" s="9">
        <v>1553.9521617538837</v>
      </c>
      <c r="Z14" s="9">
        <v>1093.8944499151346</v>
      </c>
      <c r="AA14" s="9">
        <v>0</v>
      </c>
      <c r="AB14" s="9">
        <v>2275.8346349613416</v>
      </c>
      <c r="AC14" s="9">
        <v>981.15410531419525</v>
      </c>
      <c r="AD14" s="9">
        <v>575.94578392071048</v>
      </c>
      <c r="AE14" s="9">
        <v>3234.7026457603793</v>
      </c>
      <c r="AF14" s="9">
        <v>30.504574758997538</v>
      </c>
      <c r="AG14" s="9">
        <v>191.78064958729971</v>
      </c>
      <c r="AH14" s="9">
        <v>267.70744338008728</v>
      </c>
      <c r="AI14" s="9">
        <v>795.31884346852269</v>
      </c>
      <c r="AJ14" s="9">
        <v>64.868626813253911</v>
      </c>
      <c r="AK14" s="9">
        <v>54.609350181727905</v>
      </c>
      <c r="AL14" s="9">
        <v>320.29740025208105</v>
      </c>
      <c r="AM14" s="9">
        <v>10.305053226692872</v>
      </c>
      <c r="AN14" s="9">
        <v>294.84239932061541</v>
      </c>
      <c r="AO14" s="9">
        <v>687.96309935551108</v>
      </c>
      <c r="AP14" s="9">
        <v>250.08748864624272</v>
      </c>
      <c r="AQ14" s="9">
        <v>17.788365770285267</v>
      </c>
      <c r="AR14" s="9">
        <v>49.679763180266733</v>
      </c>
      <c r="AS14" s="9">
        <v>50.250855003073859</v>
      </c>
      <c r="AT14" s="9">
        <v>19.235857717318847</v>
      </c>
      <c r="AU14" s="9">
        <v>18.559151660373683</v>
      </c>
      <c r="AV14" s="9">
        <v>58.564037234275361</v>
      </c>
      <c r="AW14" s="9">
        <v>34.701898377503355</v>
      </c>
      <c r="AX14" s="9">
        <v>277.20132271337911</v>
      </c>
      <c r="AY14" s="9">
        <v>1218.3422298565572</v>
      </c>
      <c r="AZ14" s="9">
        <v>0.49969796993532622</v>
      </c>
      <c r="BA14" s="9">
        <v>396.36730245602291</v>
      </c>
      <c r="BB14" s="9">
        <v>2015.1445938982401</v>
      </c>
      <c r="BC14" s="9">
        <v>261.73171886406789</v>
      </c>
      <c r="BD14" s="9">
        <v>305.01210371556925</v>
      </c>
      <c r="BE14" s="9">
        <v>1550.9211917020855</v>
      </c>
      <c r="BF14" s="9">
        <v>2365.8697660261478</v>
      </c>
      <c r="BG14" s="9">
        <v>0</v>
      </c>
      <c r="BH14" s="9">
        <v>0</v>
      </c>
      <c r="BI14" s="9">
        <v>4152.0452577890137</v>
      </c>
      <c r="BJ14" s="9">
        <v>0</v>
      </c>
      <c r="BK14" s="9">
        <v>9.4327639899236173E-3</v>
      </c>
      <c r="BL14" s="9">
        <v>187.92968348977834</v>
      </c>
      <c r="BM14" s="9">
        <v>-2962.647808273724</v>
      </c>
      <c r="BN14" s="9">
        <v>66739.526335615607</v>
      </c>
      <c r="BO14" s="9">
        <v>200888.10347561096</v>
      </c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</row>
    <row r="15" spans="1:87" s="16" customFormat="1" x14ac:dyDescent="0.3">
      <c r="A15">
        <v>2014</v>
      </c>
      <c r="B15" s="10" t="s">
        <v>157</v>
      </c>
      <c r="C15" s="12" t="s">
        <v>215</v>
      </c>
      <c r="D15" s="10" t="s">
        <v>292</v>
      </c>
      <c r="E15" s="9">
        <v>194.67675172028927</v>
      </c>
      <c r="F15" s="9">
        <v>0.50378163429560563</v>
      </c>
      <c r="G15" s="9">
        <v>16.708611175100259</v>
      </c>
      <c r="H15" s="9">
        <v>2.1470349653940364</v>
      </c>
      <c r="I15" s="9">
        <v>764.96929845039256</v>
      </c>
      <c r="J15" s="9">
        <v>174.27683239786984</v>
      </c>
      <c r="K15" s="9">
        <v>5.2549203083290514</v>
      </c>
      <c r="L15" s="9">
        <v>20.948454590373515</v>
      </c>
      <c r="M15" s="9">
        <v>4.890029120704658</v>
      </c>
      <c r="N15" s="9">
        <v>30.66519089304332</v>
      </c>
      <c r="O15" s="9">
        <v>274.50001597320414</v>
      </c>
      <c r="P15" s="9">
        <v>8655.2547542840948</v>
      </c>
      <c r="Q15" s="9">
        <v>21.86882336229284</v>
      </c>
      <c r="R15" s="9">
        <v>10.79603437824319</v>
      </c>
      <c r="S15" s="9">
        <v>60.434722886712564</v>
      </c>
      <c r="T15" s="9">
        <v>62.552654100513564</v>
      </c>
      <c r="U15" s="9">
        <v>331.25226876890326</v>
      </c>
      <c r="V15" s="9">
        <v>61.345756015722323</v>
      </c>
      <c r="W15" s="9">
        <v>96.793549372785122</v>
      </c>
      <c r="X15" s="9">
        <v>167.01143316956265</v>
      </c>
      <c r="Y15" s="9">
        <v>139.282539769897</v>
      </c>
      <c r="Z15" s="9">
        <v>58.595409743886265</v>
      </c>
      <c r="AA15" s="9">
        <v>0</v>
      </c>
      <c r="AB15" s="9">
        <v>23.164083911098142</v>
      </c>
      <c r="AC15" s="9">
        <v>46.176147074166337</v>
      </c>
      <c r="AD15" s="9">
        <v>71.188687149661874</v>
      </c>
      <c r="AE15" s="9">
        <v>80.791666291132742</v>
      </c>
      <c r="AF15" s="9">
        <v>2.6337942156761298</v>
      </c>
      <c r="AG15" s="9">
        <v>16.724256968057734</v>
      </c>
      <c r="AH15" s="9">
        <v>23.316903847383198</v>
      </c>
      <c r="AI15" s="9">
        <v>20.408336765509269</v>
      </c>
      <c r="AJ15" s="9">
        <v>3.0854741635220591</v>
      </c>
      <c r="AK15" s="9">
        <v>46.39468102025733</v>
      </c>
      <c r="AL15" s="9">
        <v>60.00074282040125</v>
      </c>
      <c r="AM15" s="9">
        <v>1.4968320640529318</v>
      </c>
      <c r="AN15" s="9">
        <v>79.233027675296412</v>
      </c>
      <c r="AO15" s="9">
        <v>8.3432076395431682</v>
      </c>
      <c r="AP15" s="9">
        <v>11.672343116621244</v>
      </c>
      <c r="AQ15" s="9">
        <v>14.88390810913468</v>
      </c>
      <c r="AR15" s="9">
        <v>15.403993654426852</v>
      </c>
      <c r="AS15" s="9">
        <v>51.804191327420035</v>
      </c>
      <c r="AT15" s="9">
        <v>37.475440493397016</v>
      </c>
      <c r="AU15" s="9">
        <v>35.941930707611753</v>
      </c>
      <c r="AV15" s="9">
        <v>4.5517218075007362</v>
      </c>
      <c r="AW15" s="9">
        <v>9.0490317153447286</v>
      </c>
      <c r="AX15" s="9">
        <v>17.934817603644518</v>
      </c>
      <c r="AY15" s="9">
        <v>341.6346899143457</v>
      </c>
      <c r="AZ15" s="9">
        <v>0.12272826391572694</v>
      </c>
      <c r="BA15" s="9">
        <v>6.2777622348920525</v>
      </c>
      <c r="BB15" s="9">
        <v>162.2541154038818</v>
      </c>
      <c r="BC15" s="9">
        <v>510.41850781334909</v>
      </c>
      <c r="BD15" s="9">
        <v>107.10741181003785</v>
      </c>
      <c r="BE15" s="9">
        <v>19564.469676843724</v>
      </c>
      <c r="BF15" s="9">
        <v>125.5149144491854</v>
      </c>
      <c r="BG15" s="9">
        <v>0</v>
      </c>
      <c r="BH15" s="9">
        <v>0</v>
      </c>
      <c r="BI15" s="9">
        <v>3355.1431076921999</v>
      </c>
      <c r="BJ15" s="9">
        <v>0</v>
      </c>
      <c r="BK15" s="9">
        <v>0</v>
      </c>
      <c r="BL15" s="9">
        <v>102.35842035208043</v>
      </c>
      <c r="BM15" s="9">
        <v>69.358153503479897</v>
      </c>
      <c r="BN15" s="9">
        <v>2256.1532002422036</v>
      </c>
      <c r="BO15" s="9">
        <v>38437.21677574567</v>
      </c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</row>
    <row r="16" spans="1:87" x14ac:dyDescent="0.3">
      <c r="A16">
        <v>2014</v>
      </c>
      <c r="B16" s="10" t="s">
        <v>158</v>
      </c>
      <c r="C16" s="12" t="s">
        <v>216</v>
      </c>
      <c r="D16" s="10" t="s">
        <v>292</v>
      </c>
      <c r="E16" s="9">
        <v>103.30078580757274</v>
      </c>
      <c r="F16" s="9">
        <v>3.8998446916272509</v>
      </c>
      <c r="G16" s="9">
        <v>18.837780303083296</v>
      </c>
      <c r="H16" s="9">
        <v>4.9512019153468803</v>
      </c>
      <c r="I16" s="9">
        <v>467.80440098575951</v>
      </c>
      <c r="J16" s="9">
        <v>305.89302595108478</v>
      </c>
      <c r="K16" s="9">
        <v>11.403215279955717</v>
      </c>
      <c r="L16" s="9">
        <v>63.565724707938934</v>
      </c>
      <c r="M16" s="9">
        <v>69.268802715075367</v>
      </c>
      <c r="N16" s="9">
        <v>28.736057494455423</v>
      </c>
      <c r="O16" s="9">
        <v>511.14286370254939</v>
      </c>
      <c r="P16" s="9">
        <v>191.04515449541611</v>
      </c>
      <c r="Q16" s="9">
        <v>440.35597025711269</v>
      </c>
      <c r="R16" s="9">
        <v>58.831910335836824</v>
      </c>
      <c r="S16" s="9">
        <v>112.24945541676546</v>
      </c>
      <c r="T16" s="9">
        <v>326.35195403323104</v>
      </c>
      <c r="U16" s="9">
        <v>2149.8606496571315</v>
      </c>
      <c r="V16" s="9">
        <v>897.47605482730273</v>
      </c>
      <c r="W16" s="9">
        <v>714.04183457936483</v>
      </c>
      <c r="X16" s="9">
        <v>2342.4021627419152</v>
      </c>
      <c r="Y16" s="9">
        <v>426.10550020353105</v>
      </c>
      <c r="Z16" s="9">
        <v>272.45158136708039</v>
      </c>
      <c r="AA16" s="9">
        <v>0</v>
      </c>
      <c r="AB16" s="9">
        <v>109.4152428305165</v>
      </c>
      <c r="AC16" s="9">
        <v>52.751193719058655</v>
      </c>
      <c r="AD16" s="9">
        <v>87.667804935993615</v>
      </c>
      <c r="AE16" s="9">
        <v>1451.3674995544777</v>
      </c>
      <c r="AF16" s="9">
        <v>30.17458837226922</v>
      </c>
      <c r="AG16" s="9">
        <v>189.60882093639452</v>
      </c>
      <c r="AH16" s="9">
        <v>264.69253173835796</v>
      </c>
      <c r="AI16" s="9">
        <v>305.57652851257723</v>
      </c>
      <c r="AJ16" s="9">
        <v>3.2993660288954469</v>
      </c>
      <c r="AK16" s="9">
        <v>3.436503334468417</v>
      </c>
      <c r="AL16" s="9">
        <v>104.21226990049573</v>
      </c>
      <c r="AM16" s="9">
        <v>13.574436383490909</v>
      </c>
      <c r="AN16" s="9">
        <v>52.656506089391968</v>
      </c>
      <c r="AO16" s="9">
        <v>15.939423857326444</v>
      </c>
      <c r="AP16" s="9">
        <v>9.0944966670290661</v>
      </c>
      <c r="AQ16" s="9">
        <v>1.9238240969923872</v>
      </c>
      <c r="AR16" s="9">
        <v>7.6283871105499408</v>
      </c>
      <c r="AS16" s="9">
        <v>12.978740750956577</v>
      </c>
      <c r="AT16" s="9">
        <v>2.9921558284238907</v>
      </c>
      <c r="AU16" s="9">
        <v>3.2876641374960527</v>
      </c>
      <c r="AV16" s="9">
        <v>5.230531276099911</v>
      </c>
      <c r="AW16" s="9">
        <v>5.0040581382194569</v>
      </c>
      <c r="AX16" s="9">
        <v>16.882304011357725</v>
      </c>
      <c r="AY16" s="9">
        <v>24.654388815775025</v>
      </c>
      <c r="AZ16" s="9">
        <v>0.14825461454464361</v>
      </c>
      <c r="BA16" s="9">
        <v>12.390762189333673</v>
      </c>
      <c r="BB16" s="9">
        <v>43.848505703010375</v>
      </c>
      <c r="BC16" s="9">
        <v>15.580709949176542</v>
      </c>
      <c r="BD16" s="9">
        <v>35.478741663847551</v>
      </c>
      <c r="BE16" s="9">
        <v>51.618653680030192</v>
      </c>
      <c r="BF16" s="9">
        <v>189.11667691355811</v>
      </c>
      <c r="BG16" s="9">
        <v>0</v>
      </c>
      <c r="BH16" s="9">
        <v>0</v>
      </c>
      <c r="BI16" s="9">
        <v>203.9169018959924</v>
      </c>
      <c r="BJ16" s="9">
        <v>0</v>
      </c>
      <c r="BK16" s="9">
        <v>0</v>
      </c>
      <c r="BL16" s="9">
        <v>28.957326566228069</v>
      </c>
      <c r="BM16" s="9">
        <v>52.775703333620108</v>
      </c>
      <c r="BN16" s="9">
        <v>9494.2062884654642</v>
      </c>
      <c r="BO16" s="9">
        <v>22422.063723470535</v>
      </c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</row>
    <row r="17" spans="1:87" x14ac:dyDescent="0.3">
      <c r="A17">
        <v>2014</v>
      </c>
      <c r="B17" s="10" t="s">
        <v>159</v>
      </c>
      <c r="C17" s="12" t="s">
        <v>217</v>
      </c>
      <c r="D17" s="10" t="s">
        <v>292</v>
      </c>
      <c r="E17" s="9">
        <v>6.4336140647822164</v>
      </c>
      <c r="F17" s="9">
        <v>0.11388487781971887</v>
      </c>
      <c r="G17" s="9">
        <v>0.29229754666381874</v>
      </c>
      <c r="H17" s="9">
        <v>0.50275238998757765</v>
      </c>
      <c r="I17" s="9">
        <v>167.95318765981821</v>
      </c>
      <c r="J17" s="9">
        <v>24.163589421068849</v>
      </c>
      <c r="K17" s="9">
        <v>1.7369184721481743</v>
      </c>
      <c r="L17" s="9">
        <v>23.2586029072747</v>
      </c>
      <c r="M17" s="9">
        <v>2.1204943847982944</v>
      </c>
      <c r="N17" s="9">
        <v>30.520097800921761</v>
      </c>
      <c r="O17" s="9">
        <v>220.27605194713558</v>
      </c>
      <c r="P17" s="9">
        <v>193.17795718264603</v>
      </c>
      <c r="Q17" s="9">
        <v>14.254590860107577</v>
      </c>
      <c r="R17" s="9">
        <v>890.81063690957501</v>
      </c>
      <c r="S17" s="9">
        <v>501.92447622061195</v>
      </c>
      <c r="T17" s="9">
        <v>102.52132456597271</v>
      </c>
      <c r="U17" s="9">
        <v>3780.6422359477647</v>
      </c>
      <c r="V17" s="9">
        <v>303.55428328099691</v>
      </c>
      <c r="W17" s="9">
        <v>121.67422939543421</v>
      </c>
      <c r="X17" s="9">
        <v>231.47502507305975</v>
      </c>
      <c r="Y17" s="9">
        <v>163.33732872555194</v>
      </c>
      <c r="Z17" s="9">
        <v>73.08344104890358</v>
      </c>
      <c r="AA17" s="9">
        <v>0</v>
      </c>
      <c r="AB17" s="9">
        <v>33.653668798632545</v>
      </c>
      <c r="AC17" s="9">
        <v>32.500591353228259</v>
      </c>
      <c r="AD17" s="9">
        <v>85.322991101018033</v>
      </c>
      <c r="AE17" s="9">
        <v>6046.376932138659</v>
      </c>
      <c r="AF17" s="9">
        <v>1.6328729783911911</v>
      </c>
      <c r="AG17" s="9">
        <v>10.275708656254679</v>
      </c>
      <c r="AH17" s="9">
        <v>14.342196564277854</v>
      </c>
      <c r="AI17" s="9">
        <v>3.5020172445326145</v>
      </c>
      <c r="AJ17" s="9">
        <v>0.36430915485495019</v>
      </c>
      <c r="AK17" s="9">
        <v>1.5984838069838614</v>
      </c>
      <c r="AL17" s="9">
        <v>11.754072483434534</v>
      </c>
      <c r="AM17" s="9">
        <v>0.11637861514688458</v>
      </c>
      <c r="AN17" s="9">
        <v>31.89266163345992</v>
      </c>
      <c r="AO17" s="9">
        <v>1.3404209425412326</v>
      </c>
      <c r="AP17" s="9">
        <v>1.9913118462570905</v>
      </c>
      <c r="AQ17" s="9">
        <v>1.8418075949486117</v>
      </c>
      <c r="AR17" s="9">
        <v>2.4664091040147484</v>
      </c>
      <c r="AS17" s="9">
        <v>2.6766067407284653</v>
      </c>
      <c r="AT17" s="9">
        <v>1.1506106945554198</v>
      </c>
      <c r="AU17" s="9">
        <v>2.9947498545044073</v>
      </c>
      <c r="AV17" s="9">
        <v>2.0065859391136627</v>
      </c>
      <c r="AW17" s="9">
        <v>1.8148124200907927</v>
      </c>
      <c r="AX17" s="9">
        <v>6.9977323658938211</v>
      </c>
      <c r="AY17" s="9">
        <v>33.811920224513315</v>
      </c>
      <c r="AZ17" s="9">
        <v>1.471253145833392E-2</v>
      </c>
      <c r="BA17" s="9">
        <v>1.554336084066803</v>
      </c>
      <c r="BB17" s="9">
        <v>4.1597437555668444</v>
      </c>
      <c r="BC17" s="9">
        <v>8.3024463910726443</v>
      </c>
      <c r="BD17" s="9">
        <v>26.157022526746374</v>
      </c>
      <c r="BE17" s="9">
        <v>9.9927073915352747</v>
      </c>
      <c r="BF17" s="9">
        <v>27.496560148420706</v>
      </c>
      <c r="BG17" s="9">
        <v>0</v>
      </c>
      <c r="BH17" s="9">
        <v>0</v>
      </c>
      <c r="BI17" s="9">
        <v>159.33150409626188</v>
      </c>
      <c r="BJ17" s="9">
        <v>0</v>
      </c>
      <c r="BK17" s="9">
        <v>6.4519966217104745E-3</v>
      </c>
      <c r="BL17" s="9">
        <v>10.931488031720884</v>
      </c>
      <c r="BM17" s="9">
        <v>70.678750988424724</v>
      </c>
      <c r="BN17" s="9">
        <v>2674.817849261362</v>
      </c>
      <c r="BO17" s="9">
        <v>16179.696446142327</v>
      </c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</row>
    <row r="18" spans="1:87" x14ac:dyDescent="0.3">
      <c r="A18">
        <v>2014</v>
      </c>
      <c r="B18" s="10" t="s">
        <v>160</v>
      </c>
      <c r="C18" s="12" t="s">
        <v>218</v>
      </c>
      <c r="D18" s="10" t="s">
        <v>292</v>
      </c>
      <c r="E18" s="9">
        <v>53.843928791235008</v>
      </c>
      <c r="F18" s="9">
        <v>1.0893815279403425</v>
      </c>
      <c r="G18" s="9">
        <v>3.2546859957107888</v>
      </c>
      <c r="H18" s="9">
        <v>14.599998364028501</v>
      </c>
      <c r="I18" s="9">
        <v>112.12560200513403</v>
      </c>
      <c r="J18" s="9">
        <v>315.98449439255808</v>
      </c>
      <c r="K18" s="9">
        <v>20.086300528382754</v>
      </c>
      <c r="L18" s="9">
        <v>47.481671453713808</v>
      </c>
      <c r="M18" s="9">
        <v>10.820006203374968</v>
      </c>
      <c r="N18" s="9">
        <v>221.62201621039029</v>
      </c>
      <c r="O18" s="9">
        <v>1494.0661698578431</v>
      </c>
      <c r="P18" s="9">
        <v>132.44910695939902</v>
      </c>
      <c r="Q18" s="9">
        <v>258.35412792759769</v>
      </c>
      <c r="R18" s="9">
        <v>312.82236833536058</v>
      </c>
      <c r="S18" s="9">
        <v>37669.132182851754</v>
      </c>
      <c r="T18" s="9">
        <v>20274.842034056554</v>
      </c>
      <c r="U18" s="9">
        <v>2426.0427467374211</v>
      </c>
      <c r="V18" s="9">
        <v>6337.8598974900688</v>
      </c>
      <c r="W18" s="9">
        <v>8587.9817141478925</v>
      </c>
      <c r="X18" s="9">
        <v>6148.5117177297107</v>
      </c>
      <c r="Y18" s="9">
        <v>11453.227660872204</v>
      </c>
      <c r="Z18" s="9">
        <v>878.25111508838961</v>
      </c>
      <c r="AA18" s="9">
        <v>0</v>
      </c>
      <c r="AB18" s="9">
        <v>489.89486132950549</v>
      </c>
      <c r="AC18" s="9">
        <v>150.88696232647928</v>
      </c>
      <c r="AD18" s="9">
        <v>936.27524179574448</v>
      </c>
      <c r="AE18" s="9">
        <v>13468.794539163289</v>
      </c>
      <c r="AF18" s="9">
        <v>7.6240270217439532</v>
      </c>
      <c r="AG18" s="9">
        <v>47.995501954096532</v>
      </c>
      <c r="AH18" s="9">
        <v>66.986162290902783</v>
      </c>
      <c r="AI18" s="9">
        <v>65.299412237214298</v>
      </c>
      <c r="AJ18" s="9">
        <v>8.0422067690731289</v>
      </c>
      <c r="AK18" s="9">
        <v>9.9278591223149562</v>
      </c>
      <c r="AL18" s="9">
        <v>86.640434733490935</v>
      </c>
      <c r="AM18" s="9">
        <v>1.6371283860231884</v>
      </c>
      <c r="AN18" s="9">
        <v>70.785011782679931</v>
      </c>
      <c r="AO18" s="9">
        <v>8.964397655663241</v>
      </c>
      <c r="AP18" s="9">
        <v>18.204013568709691</v>
      </c>
      <c r="AQ18" s="9">
        <v>11.51219940748449</v>
      </c>
      <c r="AR18" s="9">
        <v>10.543457691181617</v>
      </c>
      <c r="AS18" s="9">
        <v>29.149951931292442</v>
      </c>
      <c r="AT18" s="9">
        <v>9.7284617547051795</v>
      </c>
      <c r="AU18" s="9">
        <v>5.3668562305649683</v>
      </c>
      <c r="AV18" s="9">
        <v>87.421918887374531</v>
      </c>
      <c r="AW18" s="9">
        <v>8.7122835696517384</v>
      </c>
      <c r="AX18" s="9">
        <v>33.130345258344114</v>
      </c>
      <c r="AY18" s="9">
        <v>169.53644093105956</v>
      </c>
      <c r="AZ18" s="9">
        <v>0.12679875784379369</v>
      </c>
      <c r="BA18" s="9">
        <v>7.971322829095997</v>
      </c>
      <c r="BB18" s="9">
        <v>30.682716529835844</v>
      </c>
      <c r="BC18" s="9">
        <v>68.151052488156324</v>
      </c>
      <c r="BD18" s="9">
        <v>120.71672416494991</v>
      </c>
      <c r="BE18" s="9">
        <v>181.14231918908905</v>
      </c>
      <c r="BF18" s="9">
        <v>232.54204357977375</v>
      </c>
      <c r="BG18" s="9">
        <v>0</v>
      </c>
      <c r="BH18" s="9">
        <v>0</v>
      </c>
      <c r="BI18" s="9">
        <v>816.9193158480133</v>
      </c>
      <c r="BJ18" s="9">
        <v>0</v>
      </c>
      <c r="BK18" s="9">
        <v>0.44535811209701531</v>
      </c>
      <c r="BL18" s="9">
        <v>213.04216828346429</v>
      </c>
      <c r="BM18" s="9">
        <v>777.70495399371248</v>
      </c>
      <c r="BN18" s="9">
        <v>34639.690999210521</v>
      </c>
      <c r="BO18" s="9">
        <v>149666.64437631195</v>
      </c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</row>
    <row r="19" spans="1:87" x14ac:dyDescent="0.3">
      <c r="A19">
        <v>2014</v>
      </c>
      <c r="B19" s="10" t="s">
        <v>161</v>
      </c>
      <c r="C19" s="12" t="s">
        <v>219</v>
      </c>
      <c r="D19" s="10" t="s">
        <v>292</v>
      </c>
      <c r="E19" s="9">
        <v>19.985192024680206</v>
      </c>
      <c r="F19" s="9">
        <v>14.736546587436743</v>
      </c>
      <c r="G19" s="9">
        <v>4.2799807473334983</v>
      </c>
      <c r="H19" s="9">
        <v>42.793602845572543</v>
      </c>
      <c r="I19" s="9">
        <v>943.20824807992631</v>
      </c>
      <c r="J19" s="9">
        <v>627.0672570755205</v>
      </c>
      <c r="K19" s="9">
        <v>50.929822898178486</v>
      </c>
      <c r="L19" s="9">
        <v>81.789101355840216</v>
      </c>
      <c r="M19" s="9">
        <v>26.559341239561778</v>
      </c>
      <c r="N19" s="9">
        <v>940.20180176892825</v>
      </c>
      <c r="O19" s="9">
        <v>1171.0470194136019</v>
      </c>
      <c r="P19" s="9">
        <v>387.13889162507877</v>
      </c>
      <c r="Q19" s="9">
        <v>261.80836268064047</v>
      </c>
      <c r="R19" s="9">
        <v>246.65131048312222</v>
      </c>
      <c r="S19" s="9">
        <v>1725.169796250889</v>
      </c>
      <c r="T19" s="9">
        <v>8546.0950067388167</v>
      </c>
      <c r="U19" s="9">
        <v>6619.8661826854186</v>
      </c>
      <c r="V19" s="9">
        <v>5482.6791059550733</v>
      </c>
      <c r="W19" s="9">
        <v>9355.1234940452177</v>
      </c>
      <c r="X19" s="9">
        <v>7276.8613848392515</v>
      </c>
      <c r="Y19" s="9">
        <v>7658.7833553155888</v>
      </c>
      <c r="Z19" s="9">
        <v>1072.6351165666445</v>
      </c>
      <c r="AA19" s="9">
        <v>0</v>
      </c>
      <c r="AB19" s="9">
        <v>495.49945418187798</v>
      </c>
      <c r="AC19" s="9">
        <v>438.8020111284543</v>
      </c>
      <c r="AD19" s="9">
        <v>141.35085050071953</v>
      </c>
      <c r="AE19" s="9">
        <v>15334.185678475786</v>
      </c>
      <c r="AF19" s="9">
        <v>28.255508907693763</v>
      </c>
      <c r="AG19" s="9">
        <v>177.57725603315109</v>
      </c>
      <c r="AH19" s="9">
        <v>247.89183027701566</v>
      </c>
      <c r="AI19" s="9">
        <v>218.37075154397544</v>
      </c>
      <c r="AJ19" s="9">
        <v>27.711567040840002</v>
      </c>
      <c r="AK19" s="9">
        <v>35.727395101815809</v>
      </c>
      <c r="AL19" s="9">
        <v>271.29280771174621</v>
      </c>
      <c r="AM19" s="9">
        <v>3.908930328478339</v>
      </c>
      <c r="AN19" s="9">
        <v>252.35180513133085</v>
      </c>
      <c r="AO19" s="9">
        <v>24.073590675924237</v>
      </c>
      <c r="AP19" s="9">
        <v>24.461385905439052</v>
      </c>
      <c r="AQ19" s="9">
        <v>22.389879625663017</v>
      </c>
      <c r="AR19" s="9">
        <v>37.25138884784959</v>
      </c>
      <c r="AS19" s="9">
        <v>179.71092514105524</v>
      </c>
      <c r="AT19" s="9">
        <v>17.446032409519365</v>
      </c>
      <c r="AU19" s="9">
        <v>29.232034362416154</v>
      </c>
      <c r="AV19" s="9">
        <v>39.472124625344989</v>
      </c>
      <c r="AW19" s="9">
        <v>26.375930796705568</v>
      </c>
      <c r="AX19" s="9">
        <v>68.367043964880182</v>
      </c>
      <c r="AY19" s="9">
        <v>262.34297842065803</v>
      </c>
      <c r="AZ19" s="9">
        <v>0.13721231193220981</v>
      </c>
      <c r="BA19" s="9">
        <v>41.906674717530301</v>
      </c>
      <c r="BB19" s="9">
        <v>101.9624532559146</v>
      </c>
      <c r="BC19" s="9">
        <v>530.44750914529357</v>
      </c>
      <c r="BD19" s="9">
        <v>137.12606190859449</v>
      </c>
      <c r="BE19" s="9">
        <v>91.532405596277115</v>
      </c>
      <c r="BF19" s="9">
        <v>499.28178826920441</v>
      </c>
      <c r="BG19" s="9">
        <v>0</v>
      </c>
      <c r="BH19" s="9">
        <v>0</v>
      </c>
      <c r="BI19" s="9">
        <v>1289.9851716683686</v>
      </c>
      <c r="BJ19" s="9">
        <v>0</v>
      </c>
      <c r="BK19" s="9">
        <v>0.87433856949362054</v>
      </c>
      <c r="BL19" s="9">
        <v>3570.9248076423974</v>
      </c>
      <c r="BM19" s="9">
        <v>121.44243187599569</v>
      </c>
      <c r="BN19" s="9">
        <v>16656.964549864646</v>
      </c>
      <c r="BO19" s="9">
        <v>94002.044487186256</v>
      </c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</row>
    <row r="20" spans="1:87" x14ac:dyDescent="0.3">
      <c r="A20">
        <v>2014</v>
      </c>
      <c r="B20" s="10" t="s">
        <v>162</v>
      </c>
      <c r="C20" s="12" t="s">
        <v>220</v>
      </c>
      <c r="D20" s="10" t="s">
        <v>292</v>
      </c>
      <c r="E20" s="9">
        <v>92.108364373395432</v>
      </c>
      <c r="F20" s="9">
        <v>2.9872810954210203</v>
      </c>
      <c r="G20" s="9">
        <v>12.328191411144074</v>
      </c>
      <c r="H20" s="9">
        <v>9.7455686439336269</v>
      </c>
      <c r="I20" s="9">
        <v>567.48632021316257</v>
      </c>
      <c r="J20" s="9">
        <v>1081.3990487291776</v>
      </c>
      <c r="K20" s="9">
        <v>29.718688227516569</v>
      </c>
      <c r="L20" s="9">
        <v>115.59842378592897</v>
      </c>
      <c r="M20" s="9">
        <v>54.797887120067877</v>
      </c>
      <c r="N20" s="9">
        <v>312.1337005637032</v>
      </c>
      <c r="O20" s="9">
        <v>835.74495732045784</v>
      </c>
      <c r="P20" s="9">
        <v>260.67809276718299</v>
      </c>
      <c r="Q20" s="9">
        <v>170.37302341138565</v>
      </c>
      <c r="R20" s="9">
        <v>102.85920265138289</v>
      </c>
      <c r="S20" s="9">
        <v>621.48094716936191</v>
      </c>
      <c r="T20" s="9">
        <v>590.75542636900775</v>
      </c>
      <c r="U20" s="9">
        <v>75852.283826775005</v>
      </c>
      <c r="V20" s="9">
        <v>4063.8476183472717</v>
      </c>
      <c r="W20" s="9">
        <v>3788.6193219178103</v>
      </c>
      <c r="X20" s="9">
        <v>3907.3818770792705</v>
      </c>
      <c r="Y20" s="9">
        <v>2726.9580507230407</v>
      </c>
      <c r="Z20" s="9">
        <v>446.53523614144814</v>
      </c>
      <c r="AA20" s="9">
        <v>0</v>
      </c>
      <c r="AB20" s="9">
        <v>638.58977068899446</v>
      </c>
      <c r="AC20" s="9">
        <v>308.51832136410655</v>
      </c>
      <c r="AD20" s="9">
        <v>210.90999820535205</v>
      </c>
      <c r="AE20" s="9">
        <v>2009.2334120323976</v>
      </c>
      <c r="AF20" s="9">
        <v>55.33216261266314</v>
      </c>
      <c r="AG20" s="9">
        <v>349.03649648883635</v>
      </c>
      <c r="AH20" s="9">
        <v>487.02061745887283</v>
      </c>
      <c r="AI20" s="9">
        <v>240.2454165208805</v>
      </c>
      <c r="AJ20" s="9">
        <v>20.476334280510788</v>
      </c>
      <c r="AK20" s="9">
        <v>29.514873396673579</v>
      </c>
      <c r="AL20" s="9">
        <v>382.74021307072599</v>
      </c>
      <c r="AM20" s="9">
        <v>34.335884983796973</v>
      </c>
      <c r="AN20" s="9">
        <v>278.41903221499041</v>
      </c>
      <c r="AO20" s="9">
        <v>81.830855461994418</v>
      </c>
      <c r="AP20" s="9">
        <v>489.86199070763564</v>
      </c>
      <c r="AQ20" s="9">
        <v>506.65186825326469</v>
      </c>
      <c r="AR20" s="9">
        <v>2016.2026226269966</v>
      </c>
      <c r="AS20" s="9">
        <v>531.11194015814704</v>
      </c>
      <c r="AT20" s="9">
        <v>102.86172190421722</v>
      </c>
      <c r="AU20" s="9">
        <v>112.82210261551417</v>
      </c>
      <c r="AV20" s="9">
        <v>53.244834833604948</v>
      </c>
      <c r="AW20" s="9">
        <v>143.50580877016455</v>
      </c>
      <c r="AX20" s="9">
        <v>658.91242903487444</v>
      </c>
      <c r="AY20" s="9">
        <v>1398.5628424034155</v>
      </c>
      <c r="AZ20" s="9">
        <v>1.9676735515821884</v>
      </c>
      <c r="BA20" s="9">
        <v>203.28434406843272</v>
      </c>
      <c r="BB20" s="9">
        <v>256.08089192407556</v>
      </c>
      <c r="BC20" s="9">
        <v>755.60122216887635</v>
      </c>
      <c r="BD20" s="9">
        <v>909.34684019371696</v>
      </c>
      <c r="BE20" s="9">
        <v>1306.2312650187512</v>
      </c>
      <c r="BF20" s="9">
        <v>875.98459417403694</v>
      </c>
      <c r="BG20" s="9">
        <v>0</v>
      </c>
      <c r="BH20" s="9">
        <v>0</v>
      </c>
      <c r="BI20" s="9">
        <v>13630.127913979693</v>
      </c>
      <c r="BJ20" s="9">
        <v>0</v>
      </c>
      <c r="BK20" s="9">
        <v>3.1793755777796462</v>
      </c>
      <c r="BL20" s="9">
        <v>13517.240553616368</v>
      </c>
      <c r="BM20" s="9">
        <v>641.20664532336752</v>
      </c>
      <c r="BN20" s="9">
        <v>173208.98252325587</v>
      </c>
      <c r="BO20" s="9">
        <v>312094.99644777743</v>
      </c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</row>
    <row r="21" spans="1:87" x14ac:dyDescent="0.3">
      <c r="A21">
        <v>2014</v>
      </c>
      <c r="B21" s="10" t="s">
        <v>163</v>
      </c>
      <c r="C21" s="12" t="s">
        <v>221</v>
      </c>
      <c r="D21" s="10" t="s">
        <v>292</v>
      </c>
      <c r="E21" s="9">
        <v>17.919366881818426</v>
      </c>
      <c r="F21" s="9">
        <v>1.3255739675494038</v>
      </c>
      <c r="G21" s="9">
        <v>34.403670035576702</v>
      </c>
      <c r="H21" s="9">
        <v>15.58756763104226</v>
      </c>
      <c r="I21" s="9">
        <v>87.778326491868285</v>
      </c>
      <c r="J21" s="9">
        <v>191.77449596133815</v>
      </c>
      <c r="K21" s="9">
        <v>12.692283407643458</v>
      </c>
      <c r="L21" s="9">
        <v>30.613619354818741</v>
      </c>
      <c r="M21" s="9">
        <v>17.843086532296123</v>
      </c>
      <c r="N21" s="9">
        <v>140.34357389696086</v>
      </c>
      <c r="O21" s="9">
        <v>272.67483329512578</v>
      </c>
      <c r="P21" s="9">
        <v>54.111541156750562</v>
      </c>
      <c r="Q21" s="9">
        <v>52.693413698084726</v>
      </c>
      <c r="R21" s="9">
        <v>76.101964599088433</v>
      </c>
      <c r="S21" s="9">
        <v>552.84222115227169</v>
      </c>
      <c r="T21" s="9">
        <v>814.04678686898944</v>
      </c>
      <c r="U21" s="9">
        <v>7397.5596530228322</v>
      </c>
      <c r="V21" s="9">
        <v>10379.41604978955</v>
      </c>
      <c r="W21" s="9">
        <v>4750.4979181891367</v>
      </c>
      <c r="X21" s="9">
        <v>4091.4886263790427</v>
      </c>
      <c r="Y21" s="9">
        <v>4480.2918440124577</v>
      </c>
      <c r="Z21" s="9">
        <v>188.78275681603012</v>
      </c>
      <c r="AA21" s="9">
        <v>0</v>
      </c>
      <c r="AB21" s="9">
        <v>1171.2808774069808</v>
      </c>
      <c r="AC21" s="9">
        <v>159.25148193501002</v>
      </c>
      <c r="AD21" s="9">
        <v>144.07557670421369</v>
      </c>
      <c r="AE21" s="9">
        <v>7551.0679053318936</v>
      </c>
      <c r="AF21" s="9">
        <v>26.427706140255211</v>
      </c>
      <c r="AG21" s="9">
        <v>166.11152354333896</v>
      </c>
      <c r="AH21" s="9">
        <v>231.8823586551128</v>
      </c>
      <c r="AI21" s="9">
        <v>357.14154715475348</v>
      </c>
      <c r="AJ21" s="9">
        <v>15.084036712640851</v>
      </c>
      <c r="AK21" s="9">
        <v>21.883543035346641</v>
      </c>
      <c r="AL21" s="9">
        <v>398.79195148382172</v>
      </c>
      <c r="AM21" s="9">
        <v>7.5209611331367983</v>
      </c>
      <c r="AN21" s="9">
        <v>205.73601519757986</v>
      </c>
      <c r="AO21" s="9">
        <v>15.726019320859876</v>
      </c>
      <c r="AP21" s="9">
        <v>133.48383625092487</v>
      </c>
      <c r="AQ21" s="9">
        <v>368.04035304863726</v>
      </c>
      <c r="AR21" s="9">
        <v>135.99880620260998</v>
      </c>
      <c r="AS21" s="9">
        <v>158.72354466346675</v>
      </c>
      <c r="AT21" s="9">
        <v>29.276973796379565</v>
      </c>
      <c r="AU21" s="9">
        <v>46.632106693732759</v>
      </c>
      <c r="AV21" s="9">
        <v>67.214627002080235</v>
      </c>
      <c r="AW21" s="9">
        <v>16.858598225967668</v>
      </c>
      <c r="AX21" s="9">
        <v>122.6131134085834</v>
      </c>
      <c r="AY21" s="9">
        <v>404.05286765871426</v>
      </c>
      <c r="AZ21" s="9">
        <v>0.14095738263720192</v>
      </c>
      <c r="BA21" s="9">
        <v>284.65396408573469</v>
      </c>
      <c r="BB21" s="9">
        <v>136.45534029889657</v>
      </c>
      <c r="BC21" s="9">
        <v>151.32001987804523</v>
      </c>
      <c r="BD21" s="9">
        <v>319.62402699354135</v>
      </c>
      <c r="BE21" s="9">
        <v>201.2876212833167</v>
      </c>
      <c r="BF21" s="9">
        <v>982.66914287684006</v>
      </c>
      <c r="BG21" s="9">
        <v>0</v>
      </c>
      <c r="BH21" s="9">
        <v>0</v>
      </c>
      <c r="BI21" s="9">
        <v>1855.0135347810017</v>
      </c>
      <c r="BJ21" s="9">
        <v>0</v>
      </c>
      <c r="BK21" s="9">
        <v>6.9361332041578641E-2</v>
      </c>
      <c r="BL21" s="9">
        <v>1580.132323654645</v>
      </c>
      <c r="BM21" s="9">
        <v>39.221647765177046</v>
      </c>
      <c r="BN21" s="9">
        <v>30295.519579376683</v>
      </c>
      <c r="BO21" s="9">
        <v>81461.773023554953</v>
      </c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</row>
    <row r="22" spans="1:87" x14ac:dyDescent="0.3">
      <c r="A22">
        <v>2014</v>
      </c>
      <c r="B22" s="10" t="s">
        <v>164</v>
      </c>
      <c r="C22" s="12" t="s">
        <v>222</v>
      </c>
      <c r="D22" s="10" t="s">
        <v>292</v>
      </c>
      <c r="E22" s="9">
        <v>102.81432096467644</v>
      </c>
      <c r="F22" s="9">
        <v>8.3011464015322929</v>
      </c>
      <c r="G22" s="9">
        <v>34.360069536519447</v>
      </c>
      <c r="H22" s="9">
        <v>44.667409373146313</v>
      </c>
      <c r="I22" s="9">
        <v>346.95968737521076</v>
      </c>
      <c r="J22" s="9">
        <v>662.65383559424379</v>
      </c>
      <c r="K22" s="9">
        <v>20.717240875085643</v>
      </c>
      <c r="L22" s="9">
        <v>125.87891306777838</v>
      </c>
      <c r="M22" s="9">
        <v>62.836092205395055</v>
      </c>
      <c r="N22" s="9">
        <v>806.19945506831345</v>
      </c>
      <c r="O22" s="9">
        <v>738.41611998854819</v>
      </c>
      <c r="P22" s="9">
        <v>87.674891333070221</v>
      </c>
      <c r="Q22" s="9">
        <v>481.84508580217778</v>
      </c>
      <c r="R22" s="9">
        <v>183.32161817972298</v>
      </c>
      <c r="S22" s="9">
        <v>1086.6497875415382</v>
      </c>
      <c r="T22" s="9">
        <v>1859.7534446718396</v>
      </c>
      <c r="U22" s="9">
        <v>2615.1873186797998</v>
      </c>
      <c r="V22" s="9">
        <v>1963.4708580989773</v>
      </c>
      <c r="W22" s="9">
        <v>14945.711429759513</v>
      </c>
      <c r="X22" s="9">
        <v>3977.128507506432</v>
      </c>
      <c r="Y22" s="9">
        <v>9011.8969467595907</v>
      </c>
      <c r="Z22" s="9">
        <v>223.8654656785051</v>
      </c>
      <c r="AA22" s="9">
        <v>0</v>
      </c>
      <c r="AB22" s="9">
        <v>853.91140280427828</v>
      </c>
      <c r="AC22" s="9">
        <v>897.95082036248698</v>
      </c>
      <c r="AD22" s="9">
        <v>573.7756965084526</v>
      </c>
      <c r="AE22" s="9">
        <v>4651.2516244265189</v>
      </c>
      <c r="AF22" s="9">
        <v>27.153411627008033</v>
      </c>
      <c r="AG22" s="9">
        <v>170.71344082911497</v>
      </c>
      <c r="AH22" s="9">
        <v>238.29939774323807</v>
      </c>
      <c r="AI22" s="9">
        <v>123.59709945190427</v>
      </c>
      <c r="AJ22" s="9">
        <v>21.514122463095976</v>
      </c>
      <c r="AK22" s="9">
        <v>50.586360167262868</v>
      </c>
      <c r="AL22" s="9">
        <v>450.99217861760729</v>
      </c>
      <c r="AM22" s="9">
        <v>6.5309175903484569</v>
      </c>
      <c r="AN22" s="9">
        <v>90.796435167930511</v>
      </c>
      <c r="AO22" s="9">
        <v>98.119944537619929</v>
      </c>
      <c r="AP22" s="9">
        <v>30.797873585967231</v>
      </c>
      <c r="AQ22" s="9">
        <v>26.281004891258704</v>
      </c>
      <c r="AR22" s="9">
        <v>80.810644595178985</v>
      </c>
      <c r="AS22" s="9">
        <v>192.3002154854706</v>
      </c>
      <c r="AT22" s="9">
        <v>55.953362597697797</v>
      </c>
      <c r="AU22" s="9">
        <v>47.644673961658128</v>
      </c>
      <c r="AV22" s="9">
        <v>60.8447756412139</v>
      </c>
      <c r="AW22" s="9">
        <v>13.464078109164708</v>
      </c>
      <c r="AX22" s="9">
        <v>60.390057079397444</v>
      </c>
      <c r="AY22" s="9">
        <v>506.6802608154378</v>
      </c>
      <c r="AZ22" s="9">
        <v>0.19353311510938481</v>
      </c>
      <c r="BA22" s="9">
        <v>104.07506197684339</v>
      </c>
      <c r="BB22" s="9">
        <v>86.503275816218505</v>
      </c>
      <c r="BC22" s="9">
        <v>547.55267463437474</v>
      </c>
      <c r="BD22" s="9">
        <v>185.21905156021953</v>
      </c>
      <c r="BE22" s="9">
        <v>82.458580489671917</v>
      </c>
      <c r="BF22" s="9">
        <v>824.91176219940019</v>
      </c>
      <c r="BG22" s="9">
        <v>0</v>
      </c>
      <c r="BH22" s="9">
        <v>0</v>
      </c>
      <c r="BI22" s="9">
        <v>1744.6501116863635</v>
      </c>
      <c r="BJ22" s="9">
        <v>0</v>
      </c>
      <c r="BK22" s="9">
        <v>3.7659022164599256</v>
      </c>
      <c r="BL22" s="9">
        <v>22919.645120111691</v>
      </c>
      <c r="BM22" s="9">
        <v>64.93449143448548</v>
      </c>
      <c r="BN22" s="9">
        <v>39205.640867103139</v>
      </c>
      <c r="BO22" s="9">
        <v>114490.21987586496</v>
      </c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</row>
    <row r="23" spans="1:87" x14ac:dyDescent="0.3">
      <c r="A23">
        <v>2014</v>
      </c>
      <c r="B23" s="10" t="s">
        <v>165</v>
      </c>
      <c r="C23" s="12" t="s">
        <v>223</v>
      </c>
      <c r="D23" s="10" t="s">
        <v>292</v>
      </c>
      <c r="E23" s="9">
        <v>22.011358955408721</v>
      </c>
      <c r="F23" s="9">
        <v>7.2120856391497599</v>
      </c>
      <c r="G23" s="9">
        <v>4.2539501813218239</v>
      </c>
      <c r="H23" s="9">
        <v>45.954898143121568</v>
      </c>
      <c r="I23" s="9">
        <v>122.2871106262305</v>
      </c>
      <c r="J23" s="9">
        <v>230.34270288803228</v>
      </c>
      <c r="K23" s="9">
        <v>13.710440499163015</v>
      </c>
      <c r="L23" s="9">
        <v>45.32780262050813</v>
      </c>
      <c r="M23" s="9">
        <v>21.566600132956925</v>
      </c>
      <c r="N23" s="9">
        <v>91.244734143127772</v>
      </c>
      <c r="O23" s="9">
        <v>169.65248958774589</v>
      </c>
      <c r="P23" s="9">
        <v>86.943309103245156</v>
      </c>
      <c r="Q23" s="9">
        <v>54.351070798288873</v>
      </c>
      <c r="R23" s="9">
        <v>104.39511536970498</v>
      </c>
      <c r="S23" s="9">
        <v>164.00924384903806</v>
      </c>
      <c r="T23" s="9">
        <v>241.73361648255016</v>
      </c>
      <c r="U23" s="9">
        <v>524.96284656353714</v>
      </c>
      <c r="V23" s="9">
        <v>290.55213695070438</v>
      </c>
      <c r="W23" s="9">
        <v>1032.0904381629762</v>
      </c>
      <c r="X23" s="9">
        <v>37638.827287646025</v>
      </c>
      <c r="Y23" s="9">
        <v>446.82640886737516</v>
      </c>
      <c r="Z23" s="9">
        <v>83.041663457287541</v>
      </c>
      <c r="AA23" s="9">
        <v>0</v>
      </c>
      <c r="AB23" s="9">
        <v>61.839529494276398</v>
      </c>
      <c r="AC23" s="9">
        <v>289.8885053800729</v>
      </c>
      <c r="AD23" s="9">
        <v>273.60160303243765</v>
      </c>
      <c r="AE23" s="9">
        <v>461.90544582047318</v>
      </c>
      <c r="AF23" s="9">
        <v>30.90316395968793</v>
      </c>
      <c r="AG23" s="9">
        <v>194.2946887856713</v>
      </c>
      <c r="AH23" s="9">
        <v>271.21540066863503</v>
      </c>
      <c r="AI23" s="9">
        <v>2266.0931526536133</v>
      </c>
      <c r="AJ23" s="9">
        <v>3.1561603380385428</v>
      </c>
      <c r="AK23" s="9">
        <v>3.1539368019701546</v>
      </c>
      <c r="AL23" s="9">
        <v>505.16624383758079</v>
      </c>
      <c r="AM23" s="9">
        <v>10.394568835753507</v>
      </c>
      <c r="AN23" s="9">
        <v>35.163909294572768</v>
      </c>
      <c r="AO23" s="9">
        <v>102.46316105284895</v>
      </c>
      <c r="AP23" s="9">
        <v>56.936470635100669</v>
      </c>
      <c r="AQ23" s="9">
        <v>13.488308271079518</v>
      </c>
      <c r="AR23" s="9">
        <v>42.721262545371381</v>
      </c>
      <c r="AS23" s="9">
        <v>112.38801945481784</v>
      </c>
      <c r="AT23" s="9">
        <v>19.648704909105941</v>
      </c>
      <c r="AU23" s="9">
        <v>11.212445416413708</v>
      </c>
      <c r="AV23" s="9">
        <v>33.594792074742813</v>
      </c>
      <c r="AW23" s="9">
        <v>35.227992174296411</v>
      </c>
      <c r="AX23" s="9">
        <v>32.488932882492833</v>
      </c>
      <c r="AY23" s="9">
        <v>113.30256844573481</v>
      </c>
      <c r="AZ23" s="9">
        <v>0.1459130109175617</v>
      </c>
      <c r="BA23" s="9">
        <v>24.463324379426059</v>
      </c>
      <c r="BB23" s="9">
        <v>101.42614662588971</v>
      </c>
      <c r="BC23" s="9">
        <v>127.86994084422921</v>
      </c>
      <c r="BD23" s="9">
        <v>68.181180518475088</v>
      </c>
      <c r="BE23" s="9">
        <v>138.61687962861311</v>
      </c>
      <c r="BF23" s="9">
        <v>2560.7491292380373</v>
      </c>
      <c r="BG23" s="9">
        <v>0</v>
      </c>
      <c r="BH23" s="9">
        <v>0</v>
      </c>
      <c r="BI23" s="9">
        <v>13200.030475721262</v>
      </c>
      <c r="BJ23" s="9">
        <v>0</v>
      </c>
      <c r="BK23" s="9">
        <v>3.7035308919411522E-2</v>
      </c>
      <c r="BL23" s="9">
        <v>12664.42236554497</v>
      </c>
      <c r="BM23" s="9">
        <v>54.154973214339016</v>
      </c>
      <c r="BN23" s="9">
        <v>72920.643348931742</v>
      </c>
      <c r="BO23" s="9">
        <v>148282.28699039898</v>
      </c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</row>
    <row r="24" spans="1:87" x14ac:dyDescent="0.3">
      <c r="A24">
        <v>2014</v>
      </c>
      <c r="B24" s="10" t="s">
        <v>166</v>
      </c>
      <c r="C24" s="12" t="s">
        <v>224</v>
      </c>
      <c r="D24" s="10" t="s">
        <v>292</v>
      </c>
      <c r="E24" s="9">
        <v>45.302822690824783</v>
      </c>
      <c r="F24" s="9">
        <v>3.5564835604870288</v>
      </c>
      <c r="G24" s="9">
        <v>140.48874611664272</v>
      </c>
      <c r="H24" s="9">
        <v>67.93711416085948</v>
      </c>
      <c r="I24" s="9">
        <v>256.75287308308327</v>
      </c>
      <c r="J24" s="9">
        <v>897.29416557183094</v>
      </c>
      <c r="K24" s="9">
        <v>23.039756559058208</v>
      </c>
      <c r="L24" s="9">
        <v>72.310602998343413</v>
      </c>
      <c r="M24" s="9">
        <v>10.204583222980332</v>
      </c>
      <c r="N24" s="9">
        <v>157.1662997543653</v>
      </c>
      <c r="O24" s="9">
        <v>292.46707875731494</v>
      </c>
      <c r="P24" s="9">
        <v>85.581441436043463</v>
      </c>
      <c r="Q24" s="9">
        <v>116.76140267729791</v>
      </c>
      <c r="R24" s="9">
        <v>83.122892990976538</v>
      </c>
      <c r="S24" s="9">
        <v>464.36776041611347</v>
      </c>
      <c r="T24" s="9">
        <v>933.40735372035283</v>
      </c>
      <c r="U24" s="9">
        <v>2463.8820977799473</v>
      </c>
      <c r="V24" s="9">
        <v>1996.0412044248051</v>
      </c>
      <c r="W24" s="9">
        <v>3141.3058638733178</v>
      </c>
      <c r="X24" s="9">
        <v>1916.8271909197365</v>
      </c>
      <c r="Y24" s="9">
        <v>10218.801090418963</v>
      </c>
      <c r="Z24" s="9">
        <v>354.88380747433627</v>
      </c>
      <c r="AA24" s="9">
        <v>0</v>
      </c>
      <c r="AB24" s="9">
        <v>296.86630453585462</v>
      </c>
      <c r="AC24" s="9">
        <v>160.39433270177341</v>
      </c>
      <c r="AD24" s="9">
        <v>116.06832353110309</v>
      </c>
      <c r="AE24" s="9">
        <v>2421.8985799403026</v>
      </c>
      <c r="AF24" s="9">
        <v>17.181607277996498</v>
      </c>
      <c r="AG24" s="9">
        <v>107.9653636401749</v>
      </c>
      <c r="AH24" s="9">
        <v>150.71871137329805</v>
      </c>
      <c r="AI24" s="9">
        <v>506.83177388025865</v>
      </c>
      <c r="AJ24" s="9">
        <v>347.89919879562865</v>
      </c>
      <c r="AK24" s="9">
        <v>1355.7184610425077</v>
      </c>
      <c r="AL24" s="9">
        <v>196.48828495802289</v>
      </c>
      <c r="AM24" s="9">
        <v>52.251282898594653</v>
      </c>
      <c r="AN24" s="9">
        <v>99.789687435176091</v>
      </c>
      <c r="AO24" s="9">
        <v>13.103796023174011</v>
      </c>
      <c r="AP24" s="9">
        <v>37.025783923112584</v>
      </c>
      <c r="AQ24" s="9">
        <v>54.593603383829148</v>
      </c>
      <c r="AR24" s="9">
        <v>33.242679650767549</v>
      </c>
      <c r="AS24" s="9">
        <v>73.032308278837093</v>
      </c>
      <c r="AT24" s="9">
        <v>16.643000490547607</v>
      </c>
      <c r="AU24" s="9">
        <v>16.896650180699538</v>
      </c>
      <c r="AV24" s="9">
        <v>28.162383028249227</v>
      </c>
      <c r="AW24" s="9">
        <v>8.7449793680598162</v>
      </c>
      <c r="AX24" s="9">
        <v>36.543963569941894</v>
      </c>
      <c r="AY24" s="9">
        <v>462.98212792682</v>
      </c>
      <c r="AZ24" s="9">
        <v>0.16517301702152296</v>
      </c>
      <c r="BA24" s="9">
        <v>56.425304056238502</v>
      </c>
      <c r="BB24" s="9">
        <v>67.959947250331325</v>
      </c>
      <c r="BC24" s="9">
        <v>845.31403563279696</v>
      </c>
      <c r="BD24" s="9">
        <v>213.66676328283546</v>
      </c>
      <c r="BE24" s="9">
        <v>87.479394228253895</v>
      </c>
      <c r="BF24" s="9">
        <v>379.96839690346417</v>
      </c>
      <c r="BG24" s="9">
        <v>0</v>
      </c>
      <c r="BH24" s="9">
        <v>0</v>
      </c>
      <c r="BI24" s="9">
        <v>1372.0746968219419</v>
      </c>
      <c r="BJ24" s="9">
        <v>0</v>
      </c>
      <c r="BK24" s="9">
        <v>0.46132620595893509</v>
      </c>
      <c r="BL24" s="9">
        <v>17742.485963544106</v>
      </c>
      <c r="BM24" s="9">
        <v>112.95539004758632</v>
      </c>
      <c r="BN24" s="9">
        <v>55504.109142673449</v>
      </c>
      <c r="BO24" s="9">
        <v>106735.61135410635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</row>
    <row r="25" spans="1:87" x14ac:dyDescent="0.3">
      <c r="A25">
        <v>2014</v>
      </c>
      <c r="B25" s="10" t="s">
        <v>167</v>
      </c>
      <c r="C25" s="12" t="s">
        <v>225</v>
      </c>
      <c r="D25" s="10" t="s">
        <v>292</v>
      </c>
      <c r="E25" s="9">
        <v>3.0298514186302352</v>
      </c>
      <c r="F25" s="9">
        <v>9.2282524589321083E-2</v>
      </c>
      <c r="G25" s="9">
        <v>0.8211864193921361</v>
      </c>
      <c r="H25" s="9">
        <v>15.259471844334156</v>
      </c>
      <c r="I25" s="9">
        <v>524.24187225511014</v>
      </c>
      <c r="J25" s="9">
        <v>2408.4946276834467</v>
      </c>
      <c r="K25" s="9">
        <v>50.067664507048079</v>
      </c>
      <c r="L25" s="9">
        <v>160.69048176747253</v>
      </c>
      <c r="M25" s="9">
        <v>7.9683547460667628</v>
      </c>
      <c r="N25" s="9">
        <v>17.393568683900991</v>
      </c>
      <c r="O25" s="9">
        <v>401.93255213653686</v>
      </c>
      <c r="P25" s="9">
        <v>166.69223840416407</v>
      </c>
      <c r="Q25" s="9">
        <v>157.62782522913233</v>
      </c>
      <c r="R25" s="9">
        <v>81.189267203809095</v>
      </c>
      <c r="S25" s="9">
        <v>618.88214749122733</v>
      </c>
      <c r="T25" s="9">
        <v>571.28299270702462</v>
      </c>
      <c r="U25" s="9">
        <v>3066.2324402026366</v>
      </c>
      <c r="V25" s="9">
        <v>552.15265301241607</v>
      </c>
      <c r="W25" s="9">
        <v>1022.6488805351295</v>
      </c>
      <c r="X25" s="9">
        <v>1778.8824973173701</v>
      </c>
      <c r="Y25" s="9">
        <v>1996.0165728595414</v>
      </c>
      <c r="Z25" s="9">
        <v>789.05263152445127</v>
      </c>
      <c r="AA25" s="9">
        <v>0</v>
      </c>
      <c r="AB25" s="9">
        <v>8.0675093812009617</v>
      </c>
      <c r="AC25" s="9">
        <v>35.955091823507715</v>
      </c>
      <c r="AD25" s="9">
        <v>58.988241032453438</v>
      </c>
      <c r="AE25" s="9">
        <v>556.13239265027755</v>
      </c>
      <c r="AF25" s="9">
        <v>10.801176206446172</v>
      </c>
      <c r="AG25" s="9">
        <v>67.900057179550132</v>
      </c>
      <c r="AH25" s="9">
        <v>94.783082467026077</v>
      </c>
      <c r="AI25" s="9">
        <v>27.864410339876205</v>
      </c>
      <c r="AJ25" s="9">
        <v>1.7968028414621617</v>
      </c>
      <c r="AK25" s="9">
        <v>16.082047064234935</v>
      </c>
      <c r="AL25" s="9">
        <v>52.340996902949826</v>
      </c>
      <c r="AM25" s="9">
        <v>5.5617886580035147</v>
      </c>
      <c r="AN25" s="9">
        <v>147.04842326499977</v>
      </c>
      <c r="AO25" s="9">
        <v>7.3217024688515284</v>
      </c>
      <c r="AP25" s="9">
        <v>51.809091286881916</v>
      </c>
      <c r="AQ25" s="9">
        <v>7.4519204692561702</v>
      </c>
      <c r="AR25" s="9">
        <v>23.869657206871903</v>
      </c>
      <c r="AS25" s="9">
        <v>71.440782785345078</v>
      </c>
      <c r="AT25" s="9">
        <v>22.134655234414424</v>
      </c>
      <c r="AU25" s="9">
        <v>16.537172206100418</v>
      </c>
      <c r="AV25" s="9">
        <v>36.500221572341715</v>
      </c>
      <c r="AW25" s="9">
        <v>13.861159999711941</v>
      </c>
      <c r="AX25" s="9">
        <v>37.110294698242868</v>
      </c>
      <c r="AY25" s="9">
        <v>30.131131643403148</v>
      </c>
      <c r="AZ25" s="9">
        <v>0.44324207695297591</v>
      </c>
      <c r="BA25" s="9">
        <v>12.913834889708404</v>
      </c>
      <c r="BB25" s="9">
        <v>75.445204419300836</v>
      </c>
      <c r="BC25" s="9">
        <v>113.59944408838689</v>
      </c>
      <c r="BD25" s="9">
        <v>411.15842081649134</v>
      </c>
      <c r="BE25" s="9">
        <v>71.383155358874163</v>
      </c>
      <c r="BF25" s="9">
        <v>226.46667852109209</v>
      </c>
      <c r="BG25" s="9">
        <v>0</v>
      </c>
      <c r="BH25" s="9">
        <v>0</v>
      </c>
      <c r="BI25" s="9">
        <v>1569.4705951646577</v>
      </c>
      <c r="BJ25" s="9">
        <v>0</v>
      </c>
      <c r="BK25" s="9">
        <v>1.8700812707707817E-2</v>
      </c>
      <c r="BL25" s="9">
        <v>682.72240756340716</v>
      </c>
      <c r="BM25" s="9">
        <v>67.581787210506903</v>
      </c>
      <c r="BN25" s="9">
        <v>2084.8830858446986</v>
      </c>
      <c r="BO25" s="9">
        <v>21108.228426623587</v>
      </c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</row>
    <row r="26" spans="1:87" x14ac:dyDescent="0.3">
      <c r="A26">
        <v>2014</v>
      </c>
      <c r="B26" s="10" t="s">
        <v>168</v>
      </c>
      <c r="C26" s="12" t="s">
        <v>226</v>
      </c>
      <c r="D26" s="10" t="s">
        <v>292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</row>
    <row r="27" spans="1:87" x14ac:dyDescent="0.3">
      <c r="A27">
        <v>2014</v>
      </c>
      <c r="B27" s="10" t="s">
        <v>169</v>
      </c>
      <c r="C27" s="12" t="s">
        <v>227</v>
      </c>
      <c r="D27" s="10" t="s">
        <v>292</v>
      </c>
      <c r="E27" s="9">
        <v>310.85102338431915</v>
      </c>
      <c r="F27" s="9">
        <v>23.113575365949433</v>
      </c>
      <c r="G27" s="9">
        <v>18.183072296102733</v>
      </c>
      <c r="H27" s="9">
        <v>125.29295128742059</v>
      </c>
      <c r="I27" s="9">
        <v>907.57681883066743</v>
      </c>
      <c r="J27" s="9">
        <v>1909.8751741267113</v>
      </c>
      <c r="K27" s="9">
        <v>145.735055004152</v>
      </c>
      <c r="L27" s="9">
        <v>833.52028029850226</v>
      </c>
      <c r="M27" s="9">
        <v>153.96725680031992</v>
      </c>
      <c r="N27" s="9">
        <v>2540.8448069054762</v>
      </c>
      <c r="O27" s="9">
        <v>4969.5143912801141</v>
      </c>
      <c r="P27" s="9">
        <v>373.536113972652</v>
      </c>
      <c r="Q27" s="9">
        <v>289.51217789961089</v>
      </c>
      <c r="R27" s="9">
        <v>597.67581021572539</v>
      </c>
      <c r="S27" s="9">
        <v>8616.8836096655796</v>
      </c>
      <c r="T27" s="9">
        <v>1861.1403925007398</v>
      </c>
      <c r="U27" s="9">
        <v>3754.4776285596249</v>
      </c>
      <c r="V27" s="9">
        <v>872.48309978575833</v>
      </c>
      <c r="W27" s="9">
        <v>1024.6182170383797</v>
      </c>
      <c r="X27" s="9">
        <v>1170.8004938940851</v>
      </c>
      <c r="Y27" s="9">
        <v>745.41061158757793</v>
      </c>
      <c r="Z27" s="9">
        <v>163.27401229913281</v>
      </c>
      <c r="AA27" s="9">
        <v>0</v>
      </c>
      <c r="AB27" s="9">
        <v>19212.838385653791</v>
      </c>
      <c r="AC27" s="9">
        <v>2598.5430239216425</v>
      </c>
      <c r="AD27" s="9">
        <v>603.97063009333374</v>
      </c>
      <c r="AE27" s="9">
        <v>790.05332692722538</v>
      </c>
      <c r="AF27" s="9">
        <v>221.94765898294409</v>
      </c>
      <c r="AG27" s="9">
        <v>1394.5359515611515</v>
      </c>
      <c r="AH27" s="9">
        <v>1946.7830806540837</v>
      </c>
      <c r="AI27" s="9">
        <v>1800.5140050887553</v>
      </c>
      <c r="AJ27" s="9">
        <v>11.584359386660966</v>
      </c>
      <c r="AK27" s="9">
        <v>11.816460435694655</v>
      </c>
      <c r="AL27" s="9">
        <v>1906.5503490592953</v>
      </c>
      <c r="AM27" s="9">
        <v>37.992851332056901</v>
      </c>
      <c r="AN27" s="9">
        <v>2018.2706880667693</v>
      </c>
      <c r="AO27" s="9">
        <v>197.87817425726774</v>
      </c>
      <c r="AP27" s="9">
        <v>508.43353888716115</v>
      </c>
      <c r="AQ27" s="9">
        <v>270.10806114739688</v>
      </c>
      <c r="AR27" s="9">
        <v>274.61888199048997</v>
      </c>
      <c r="AS27" s="9">
        <v>774.54194969403716</v>
      </c>
      <c r="AT27" s="9">
        <v>321.06316168234792</v>
      </c>
      <c r="AU27" s="9">
        <v>120.0374426406389</v>
      </c>
      <c r="AV27" s="9">
        <v>3326.8570686843177</v>
      </c>
      <c r="AW27" s="9">
        <v>262.87088409883825</v>
      </c>
      <c r="AX27" s="9">
        <v>226.94508964883693</v>
      </c>
      <c r="AY27" s="9">
        <v>1303.1749470616749</v>
      </c>
      <c r="AZ27" s="9">
        <v>1.4731922498011316</v>
      </c>
      <c r="BA27" s="9">
        <v>210.94998567773487</v>
      </c>
      <c r="BB27" s="9">
        <v>760.7581291496856</v>
      </c>
      <c r="BC27" s="9">
        <v>2009.9575088475096</v>
      </c>
      <c r="BD27" s="9">
        <v>3609.7823650260107</v>
      </c>
      <c r="BE27" s="9">
        <v>2304.3095395787054</v>
      </c>
      <c r="BF27" s="9">
        <v>2783.7580262950046</v>
      </c>
      <c r="BG27" s="9">
        <v>0</v>
      </c>
      <c r="BH27" s="9">
        <v>0</v>
      </c>
      <c r="BI27" s="9">
        <v>20654.366232899862</v>
      </c>
      <c r="BJ27" s="9">
        <v>0</v>
      </c>
      <c r="BK27" s="9">
        <v>16.038404697770204</v>
      </c>
      <c r="BL27" s="9">
        <v>4.0906128250978027</v>
      </c>
      <c r="BM27" s="9">
        <v>9.4087286196817776E-2</v>
      </c>
      <c r="BN27" s="9">
        <v>99.741040450868056</v>
      </c>
      <c r="BO27" s="9">
        <v>104005.53566893938</v>
      </c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</row>
    <row r="28" spans="1:87" x14ac:dyDescent="0.3">
      <c r="A28">
        <v>2014</v>
      </c>
      <c r="B28" s="10" t="s">
        <v>170</v>
      </c>
      <c r="C28" s="12" t="s">
        <v>228</v>
      </c>
      <c r="D28" s="10" t="s">
        <v>292</v>
      </c>
      <c r="E28" s="9">
        <v>86.509708895293855</v>
      </c>
      <c r="F28" s="9">
        <v>0.23754531977098425</v>
      </c>
      <c r="G28" s="9">
        <v>18.542365984132683</v>
      </c>
      <c r="H28" s="9">
        <v>2.3746877503045476</v>
      </c>
      <c r="I28" s="9">
        <v>138.68862529123973</v>
      </c>
      <c r="J28" s="9">
        <v>115.94559914688298</v>
      </c>
      <c r="K28" s="9">
        <v>3.3857415978764624</v>
      </c>
      <c r="L28" s="9">
        <v>22.217152947185717</v>
      </c>
      <c r="M28" s="9">
        <v>11.081434421069376</v>
      </c>
      <c r="N28" s="9">
        <v>84.307185300443464</v>
      </c>
      <c r="O28" s="9">
        <v>501.03454114969531</v>
      </c>
      <c r="P28" s="9">
        <v>13.148130234864961</v>
      </c>
      <c r="Q28" s="9">
        <v>23.13484993122136</v>
      </c>
      <c r="R28" s="9">
        <v>57.734777980571046</v>
      </c>
      <c r="S28" s="9">
        <v>321.569637331146</v>
      </c>
      <c r="T28" s="9">
        <v>173.02401179132715</v>
      </c>
      <c r="U28" s="9">
        <v>214.1022528562527</v>
      </c>
      <c r="V28" s="9">
        <v>47.818573448350946</v>
      </c>
      <c r="W28" s="9">
        <v>97.71064449324119</v>
      </c>
      <c r="X28" s="9">
        <v>315.60656635331378</v>
      </c>
      <c r="Y28" s="9">
        <v>66.05091614443414</v>
      </c>
      <c r="Z28" s="9">
        <v>17.594340488718128</v>
      </c>
      <c r="AA28" s="9">
        <v>0</v>
      </c>
      <c r="AB28" s="9">
        <v>359.86784118494893</v>
      </c>
      <c r="AC28" s="9">
        <v>1526.0902683419531</v>
      </c>
      <c r="AD28" s="9">
        <v>1300.4089164464058</v>
      </c>
      <c r="AE28" s="9">
        <v>300.06680312921299</v>
      </c>
      <c r="AF28" s="9">
        <v>52.690890135158014</v>
      </c>
      <c r="AG28" s="9">
        <v>331.06675760900305</v>
      </c>
      <c r="AH28" s="9">
        <v>462.17166201147529</v>
      </c>
      <c r="AI28" s="9">
        <v>266.05410073425526</v>
      </c>
      <c r="AJ28" s="9">
        <v>2.5250865882461211</v>
      </c>
      <c r="AK28" s="9">
        <v>1.2597328015634754</v>
      </c>
      <c r="AL28" s="9">
        <v>218.45033774030946</v>
      </c>
      <c r="AM28" s="9">
        <v>0.58078708439158777</v>
      </c>
      <c r="AN28" s="9">
        <v>44.870453919094238</v>
      </c>
      <c r="AO28" s="9">
        <v>23.387125375143892</v>
      </c>
      <c r="AP28" s="9">
        <v>27.551208819578232</v>
      </c>
      <c r="AQ28" s="9">
        <v>40.808914869100548</v>
      </c>
      <c r="AR28" s="9">
        <v>20.121487465689718</v>
      </c>
      <c r="AS28" s="9">
        <v>382.10083174994804</v>
      </c>
      <c r="AT28" s="9">
        <v>219.62450855183977</v>
      </c>
      <c r="AU28" s="9">
        <v>67.990636906373709</v>
      </c>
      <c r="AV28" s="9">
        <v>89.067687358224561</v>
      </c>
      <c r="AW28" s="9">
        <v>37.204828115959806</v>
      </c>
      <c r="AX28" s="9">
        <v>116.90527586286298</v>
      </c>
      <c r="AY28" s="9">
        <v>156.95747876485905</v>
      </c>
      <c r="AZ28" s="9">
        <v>2.8156761839358939E-2</v>
      </c>
      <c r="BA28" s="9">
        <v>50.829067721382835</v>
      </c>
      <c r="BB28" s="9">
        <v>220.15772675712728</v>
      </c>
      <c r="BC28" s="9">
        <v>1239.1130983862972</v>
      </c>
      <c r="BD28" s="9">
        <v>427.54273470901586</v>
      </c>
      <c r="BE28" s="9">
        <v>1107.3982667698219</v>
      </c>
      <c r="BF28" s="9">
        <v>146.32853484750774</v>
      </c>
      <c r="BG28" s="9">
        <v>0</v>
      </c>
      <c r="BH28" s="9">
        <v>0</v>
      </c>
      <c r="BI28" s="9">
        <v>5693.6650267228933</v>
      </c>
      <c r="BJ28" s="9">
        <v>0</v>
      </c>
      <c r="BK28" s="9">
        <v>1059.2059127460986</v>
      </c>
      <c r="BL28" s="9">
        <v>2.764249092193046</v>
      </c>
      <c r="BM28" s="9">
        <v>2.470223080325027E-2</v>
      </c>
      <c r="BN28" s="9">
        <v>948.29917396005226</v>
      </c>
      <c r="BO28" s="9">
        <v>19274.999561127959</v>
      </c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</row>
    <row r="29" spans="1:87" x14ac:dyDescent="0.3">
      <c r="A29">
        <v>2014</v>
      </c>
      <c r="B29" s="10" t="s">
        <v>171</v>
      </c>
      <c r="C29" s="12" t="s">
        <v>229</v>
      </c>
      <c r="D29" s="10" t="s">
        <v>292</v>
      </c>
      <c r="E29" s="9">
        <v>55.519290201348802</v>
      </c>
      <c r="F29" s="9">
        <v>0.10364683520602624</v>
      </c>
      <c r="G29" s="9">
        <v>3.1217196590015144</v>
      </c>
      <c r="H29" s="9">
        <v>9.9861406401058481</v>
      </c>
      <c r="I29" s="9">
        <v>558.76122263090917</v>
      </c>
      <c r="J29" s="9">
        <v>168.38969681472818</v>
      </c>
      <c r="K29" s="9">
        <v>31.304123418564728</v>
      </c>
      <c r="L29" s="9">
        <v>845.18789191556129</v>
      </c>
      <c r="M29" s="9">
        <v>14.736661371003736</v>
      </c>
      <c r="N29" s="9">
        <v>107.99085546808033</v>
      </c>
      <c r="O29" s="9">
        <v>1692.1189956492767</v>
      </c>
      <c r="P29" s="9">
        <v>58.346319771746543</v>
      </c>
      <c r="Q29" s="9">
        <v>252.41757316984442</v>
      </c>
      <c r="R29" s="9">
        <v>305.28305156201361</v>
      </c>
      <c r="S29" s="9">
        <v>4731.8954398258229</v>
      </c>
      <c r="T29" s="9">
        <v>1220.4282983365604</v>
      </c>
      <c r="U29" s="9">
        <v>220.06246699878125</v>
      </c>
      <c r="V29" s="9">
        <v>286.46352446413556</v>
      </c>
      <c r="W29" s="9">
        <v>248.47265277565506</v>
      </c>
      <c r="X29" s="9">
        <v>391.62141469793079</v>
      </c>
      <c r="Y29" s="9">
        <v>297.94201245283716</v>
      </c>
      <c r="Z29" s="9">
        <v>59.856349195105381</v>
      </c>
      <c r="AA29" s="9">
        <v>0</v>
      </c>
      <c r="AB29" s="9">
        <v>303.63778581865392</v>
      </c>
      <c r="AC29" s="9">
        <v>891.61309654915829</v>
      </c>
      <c r="AD29" s="9">
        <v>327.14417593378067</v>
      </c>
      <c r="AE29" s="9">
        <v>296.34040512804205</v>
      </c>
      <c r="AF29" s="9">
        <v>14.119687285075738</v>
      </c>
      <c r="AG29" s="9">
        <v>88.717866519167558</v>
      </c>
      <c r="AH29" s="9">
        <v>123.85059281336973</v>
      </c>
      <c r="AI29" s="9">
        <v>170.9999228899803</v>
      </c>
      <c r="AJ29" s="9">
        <v>0.67417412215420258</v>
      </c>
      <c r="AK29" s="9">
        <v>0.80574335123602681</v>
      </c>
      <c r="AL29" s="9">
        <v>176.02939144115683</v>
      </c>
      <c r="AM29" s="9">
        <v>3.1780963790724757</v>
      </c>
      <c r="AN29" s="9">
        <v>579.82199712171268</v>
      </c>
      <c r="AO29" s="9">
        <v>45.619123789902595</v>
      </c>
      <c r="AP29" s="9">
        <v>66.019265792926191</v>
      </c>
      <c r="AQ29" s="9">
        <v>30.745079733366431</v>
      </c>
      <c r="AR29" s="9">
        <v>15.219931238245234</v>
      </c>
      <c r="AS29" s="9">
        <v>268.05424255375925</v>
      </c>
      <c r="AT29" s="9">
        <v>24.454329340195166</v>
      </c>
      <c r="AU29" s="9">
        <v>9.7053729990797706</v>
      </c>
      <c r="AV29" s="9">
        <v>225.43776333463617</v>
      </c>
      <c r="AW29" s="9">
        <v>10.38365653380554</v>
      </c>
      <c r="AX29" s="9">
        <v>36.658789761643483</v>
      </c>
      <c r="AY29" s="9">
        <v>75.504151872641074</v>
      </c>
      <c r="AZ29" s="9">
        <v>0.25545631653029438</v>
      </c>
      <c r="BA29" s="9">
        <v>14.057186044982796</v>
      </c>
      <c r="BB29" s="9">
        <v>154.05115894386793</v>
      </c>
      <c r="BC29" s="9">
        <v>439.28739421918283</v>
      </c>
      <c r="BD29" s="9">
        <v>397.17141706265841</v>
      </c>
      <c r="BE29" s="9">
        <v>737.15485145086393</v>
      </c>
      <c r="BF29" s="9">
        <v>264.6204441635129</v>
      </c>
      <c r="BG29" s="9">
        <v>0</v>
      </c>
      <c r="BH29" s="9">
        <v>0</v>
      </c>
      <c r="BI29" s="9">
        <v>1397.901662965231</v>
      </c>
      <c r="BJ29" s="9">
        <v>0</v>
      </c>
      <c r="BK29" s="9">
        <v>40.69164044429624</v>
      </c>
      <c r="BL29" s="9">
        <v>20.608320273441702</v>
      </c>
      <c r="BM29" s="9">
        <v>1.8527645259759784</v>
      </c>
      <c r="BN29" s="9">
        <v>1346.14847789858</v>
      </c>
      <c r="BO29" s="9">
        <v>20158.5447644661</v>
      </c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</row>
    <row r="30" spans="1:87" x14ac:dyDescent="0.3">
      <c r="A30">
        <v>2014</v>
      </c>
      <c r="B30" s="10" t="s">
        <v>172</v>
      </c>
      <c r="C30" s="12" t="s">
        <v>230</v>
      </c>
      <c r="D30" s="10" t="s">
        <v>292</v>
      </c>
      <c r="E30" s="9">
        <v>73.917433057014392</v>
      </c>
      <c r="F30" s="9">
        <v>12.0349655694947</v>
      </c>
      <c r="G30" s="9">
        <v>5.7505966394057095</v>
      </c>
      <c r="H30" s="9">
        <v>9.6357161380419925</v>
      </c>
      <c r="I30" s="9">
        <v>67.870812895746226</v>
      </c>
      <c r="J30" s="9">
        <v>42.653223280650003</v>
      </c>
      <c r="K30" s="9">
        <v>2.8114014293751506</v>
      </c>
      <c r="L30" s="9">
        <v>15.475385128990231</v>
      </c>
      <c r="M30" s="9">
        <v>11.515512435015497</v>
      </c>
      <c r="N30" s="9">
        <v>77.24818320604632</v>
      </c>
      <c r="O30" s="9">
        <v>156.28571453801899</v>
      </c>
      <c r="P30" s="9">
        <v>34.528306848214768</v>
      </c>
      <c r="Q30" s="9">
        <v>20.352945664373458</v>
      </c>
      <c r="R30" s="9">
        <v>23.370179625875839</v>
      </c>
      <c r="S30" s="9">
        <v>129.06159308712827</v>
      </c>
      <c r="T30" s="9">
        <v>54.767293680362663</v>
      </c>
      <c r="U30" s="9">
        <v>588.22263743151882</v>
      </c>
      <c r="V30" s="9">
        <v>108.80963136917495</v>
      </c>
      <c r="W30" s="9">
        <v>112.93307506990021</v>
      </c>
      <c r="X30" s="9">
        <v>168.12941638551385</v>
      </c>
      <c r="Y30" s="9">
        <v>127.32045457224815</v>
      </c>
      <c r="Z30" s="9">
        <v>17.747756832172957</v>
      </c>
      <c r="AA30" s="9">
        <v>0</v>
      </c>
      <c r="AB30" s="9">
        <v>308.15678449637596</v>
      </c>
      <c r="AC30" s="9">
        <v>105.50914243368021</v>
      </c>
      <c r="AD30" s="9">
        <v>22.634920649893214</v>
      </c>
      <c r="AE30" s="9">
        <v>156.28992279017871</v>
      </c>
      <c r="AF30" s="9">
        <v>10.971275287352231</v>
      </c>
      <c r="AG30" s="9">
        <v>68.958337270465037</v>
      </c>
      <c r="AH30" s="9">
        <v>96.262257133184079</v>
      </c>
      <c r="AI30" s="9">
        <v>128.79398378117941</v>
      </c>
      <c r="AJ30" s="9">
        <v>18.85024324083831</v>
      </c>
      <c r="AK30" s="9">
        <v>15.883434595704875</v>
      </c>
      <c r="AL30" s="9">
        <v>99.009167188525311</v>
      </c>
      <c r="AM30" s="9">
        <v>9.2858083227948551</v>
      </c>
      <c r="AN30" s="9">
        <v>43.451739476296147</v>
      </c>
      <c r="AO30" s="9">
        <v>25.153157452424228</v>
      </c>
      <c r="AP30" s="9">
        <v>47.016505034488688</v>
      </c>
      <c r="AQ30" s="9">
        <v>60.115510210940933</v>
      </c>
      <c r="AR30" s="9">
        <v>76.781918101724244</v>
      </c>
      <c r="AS30" s="9">
        <v>117.42295657838771</v>
      </c>
      <c r="AT30" s="9">
        <v>12.502795907173832</v>
      </c>
      <c r="AU30" s="9">
        <v>14.453805256855995</v>
      </c>
      <c r="AV30" s="9">
        <v>3258.901879761916</v>
      </c>
      <c r="AW30" s="9">
        <v>18.816011826472185</v>
      </c>
      <c r="AX30" s="9">
        <v>37.043238828980527</v>
      </c>
      <c r="AY30" s="9">
        <v>140.14458861377787</v>
      </c>
      <c r="AZ30" s="9">
        <v>0.22466310383727164</v>
      </c>
      <c r="BA30" s="9">
        <v>16.414213023197973</v>
      </c>
      <c r="BB30" s="9">
        <v>26.000720177294774</v>
      </c>
      <c r="BC30" s="9">
        <v>2891.8971583612533</v>
      </c>
      <c r="BD30" s="9">
        <v>144.42205932732421</v>
      </c>
      <c r="BE30" s="9">
        <v>100.49759922821026</v>
      </c>
      <c r="BF30" s="9">
        <v>77.877034057540271</v>
      </c>
      <c r="BG30" s="9">
        <v>0</v>
      </c>
      <c r="BH30" s="9">
        <v>0</v>
      </c>
      <c r="BI30" s="9">
        <v>336.56330281453279</v>
      </c>
      <c r="BJ30" s="9">
        <v>0</v>
      </c>
      <c r="BK30" s="9">
        <v>0.74165832807622667</v>
      </c>
      <c r="BL30" s="9">
        <v>178749.89255734201</v>
      </c>
      <c r="BM30" s="9">
        <v>285.43807587469888</v>
      </c>
      <c r="BN30" s="9">
        <v>341.29164104406016</v>
      </c>
      <c r="BO30" s="9">
        <v>189724.11230180605</v>
      </c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</row>
    <row r="31" spans="1:87" x14ac:dyDescent="0.3">
      <c r="A31">
        <v>2014</v>
      </c>
      <c r="B31" s="10" t="s">
        <v>173</v>
      </c>
      <c r="C31" s="12" t="s">
        <v>231</v>
      </c>
      <c r="D31" s="10" t="s">
        <v>292</v>
      </c>
      <c r="E31" s="9">
        <v>79.430409569339645</v>
      </c>
      <c r="F31" s="9">
        <v>2.7972756480007841</v>
      </c>
      <c r="G31" s="9">
        <v>8.9168821763825612</v>
      </c>
      <c r="H31" s="9">
        <v>3.9822087143580234</v>
      </c>
      <c r="I31" s="9">
        <v>506.65763569758531</v>
      </c>
      <c r="J31" s="9">
        <v>282.77787112244926</v>
      </c>
      <c r="K31" s="9">
        <v>15.4097065592593</v>
      </c>
      <c r="L31" s="9">
        <v>62.305585858977864</v>
      </c>
      <c r="M31" s="9">
        <v>37.989910010966391</v>
      </c>
      <c r="N31" s="9">
        <v>141.1415292732992</v>
      </c>
      <c r="O31" s="9">
        <v>407.29292436087439</v>
      </c>
      <c r="P31" s="9">
        <v>235.1944158503612</v>
      </c>
      <c r="Q31" s="9">
        <v>52.500862930119048</v>
      </c>
      <c r="R31" s="9">
        <v>48.799874275728122</v>
      </c>
      <c r="S31" s="9">
        <v>206.1988914659282</v>
      </c>
      <c r="T31" s="9">
        <v>190.33213028539262</v>
      </c>
      <c r="U31" s="9">
        <v>633.74022905079323</v>
      </c>
      <c r="V31" s="9">
        <v>261.45339121730643</v>
      </c>
      <c r="W31" s="9">
        <v>319.50656081570253</v>
      </c>
      <c r="X31" s="9">
        <v>450.89531669123505</v>
      </c>
      <c r="Y31" s="9">
        <v>226.58510380566526</v>
      </c>
      <c r="Z31" s="9">
        <v>116.82415975639687</v>
      </c>
      <c r="AA31" s="9">
        <v>0</v>
      </c>
      <c r="AB31" s="9">
        <v>60.879290985321667</v>
      </c>
      <c r="AC31" s="9">
        <v>36.142785272214915</v>
      </c>
      <c r="AD31" s="9">
        <v>27.377509286763807</v>
      </c>
      <c r="AE31" s="9">
        <v>446.57096550224674</v>
      </c>
      <c r="AF31" s="9">
        <v>108.05854624267081</v>
      </c>
      <c r="AG31" s="9">
        <v>11.093733493059823</v>
      </c>
      <c r="AH31" s="9">
        <v>15.486944961867419</v>
      </c>
      <c r="AI31" s="9">
        <v>132.09624597547145</v>
      </c>
      <c r="AJ31" s="9">
        <v>17.362579845849975</v>
      </c>
      <c r="AK31" s="9">
        <v>4.5768112918594399</v>
      </c>
      <c r="AL31" s="9">
        <v>48.990696791641483</v>
      </c>
      <c r="AM31" s="9">
        <v>3.685491691330792</v>
      </c>
      <c r="AN31" s="9">
        <v>202.21120477475205</v>
      </c>
      <c r="AO31" s="9">
        <v>59.756262972607104</v>
      </c>
      <c r="AP31" s="9">
        <v>36.560733967639351</v>
      </c>
      <c r="AQ31" s="9">
        <v>112.14359079814808</v>
      </c>
      <c r="AR31" s="9">
        <v>32.994348989696668</v>
      </c>
      <c r="AS31" s="9">
        <v>40.069037644746857</v>
      </c>
      <c r="AT31" s="9">
        <v>9.1618365139178675</v>
      </c>
      <c r="AU31" s="9">
        <v>9.4153246835147772</v>
      </c>
      <c r="AV31" s="9">
        <v>8.0450555197313385</v>
      </c>
      <c r="AW31" s="9">
        <v>12.438988606552677</v>
      </c>
      <c r="AX31" s="9">
        <v>27.98919749583516</v>
      </c>
      <c r="AY31" s="9">
        <v>46.149894465019123</v>
      </c>
      <c r="AZ31" s="9">
        <v>1.1616155360274489</v>
      </c>
      <c r="BA31" s="9">
        <v>15.07830928878926</v>
      </c>
      <c r="BB31" s="9">
        <v>47.818586728282639</v>
      </c>
      <c r="BC31" s="9">
        <v>58.835358167901639</v>
      </c>
      <c r="BD31" s="9">
        <v>88.516107149006544</v>
      </c>
      <c r="BE31" s="9">
        <v>215.16179071062405</v>
      </c>
      <c r="BF31" s="9">
        <v>112.70244247024881</v>
      </c>
      <c r="BG31" s="9">
        <v>0</v>
      </c>
      <c r="BH31" s="9">
        <v>0</v>
      </c>
      <c r="BI31" s="9">
        <v>3083.4570703302757</v>
      </c>
      <c r="BJ31" s="9">
        <v>0</v>
      </c>
      <c r="BK31" s="9">
        <v>1.6251631639943767</v>
      </c>
      <c r="BL31" s="9">
        <v>660.5628707428906</v>
      </c>
      <c r="BM31" s="9">
        <v>26.440503460730991</v>
      </c>
      <c r="BN31" s="9">
        <v>1826.2067027802066</v>
      </c>
      <c r="BO31" s="9">
        <v>11937.556473437588</v>
      </c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</row>
    <row r="32" spans="1:87" x14ac:dyDescent="0.3">
      <c r="A32">
        <v>2014</v>
      </c>
      <c r="B32" s="10" t="s">
        <v>174</v>
      </c>
      <c r="C32" s="12" t="s">
        <v>232</v>
      </c>
      <c r="D32" s="10" t="s">
        <v>292</v>
      </c>
      <c r="E32" s="9">
        <v>522.38959536703999</v>
      </c>
      <c r="F32" s="9">
        <v>18.386431718644769</v>
      </c>
      <c r="G32" s="9">
        <v>58.519739097472609</v>
      </c>
      <c r="H32" s="9">
        <v>26.03920570247309</v>
      </c>
      <c r="I32" s="9">
        <v>3331.6917548420861</v>
      </c>
      <c r="J32" s="9">
        <v>1858.7436932541273</v>
      </c>
      <c r="K32" s="9">
        <v>101.30246793496532</v>
      </c>
      <c r="L32" s="9">
        <v>409.60842485249111</v>
      </c>
      <c r="M32" s="9">
        <v>249.68421807690225</v>
      </c>
      <c r="N32" s="9">
        <v>927.0164889963537</v>
      </c>
      <c r="O32" s="9">
        <v>2676.658817156449</v>
      </c>
      <c r="P32" s="9">
        <v>1546.6011363744415</v>
      </c>
      <c r="Q32" s="9">
        <v>345.11162086798134</v>
      </c>
      <c r="R32" s="9">
        <v>320.57963847366875</v>
      </c>
      <c r="S32" s="9">
        <v>1354.0697270788796</v>
      </c>
      <c r="T32" s="9">
        <v>1250.9426022289813</v>
      </c>
      <c r="U32" s="9">
        <v>4164.4775176389712</v>
      </c>
      <c r="V32" s="9">
        <v>1719.1405522532646</v>
      </c>
      <c r="W32" s="9">
        <v>2100.3152795838541</v>
      </c>
      <c r="X32" s="9">
        <v>2963.4170667843828</v>
      </c>
      <c r="Y32" s="9">
        <v>1489.7619503879916</v>
      </c>
      <c r="Z32" s="9">
        <v>768.23850152866248</v>
      </c>
      <c r="AA32" s="9">
        <v>0</v>
      </c>
      <c r="AB32" s="9">
        <v>399.77240141571872</v>
      </c>
      <c r="AC32" s="9">
        <v>237.47798535549859</v>
      </c>
      <c r="AD32" s="9">
        <v>179.30466241836277</v>
      </c>
      <c r="AE32" s="9">
        <v>2928.158170245491</v>
      </c>
      <c r="AF32" s="9">
        <v>11.003925261536718</v>
      </c>
      <c r="AG32" s="9">
        <v>689.29596035019313</v>
      </c>
      <c r="AH32" s="9">
        <v>96.519121799849358</v>
      </c>
      <c r="AI32" s="9">
        <v>865.74067360790832</v>
      </c>
      <c r="AJ32" s="9">
        <v>113.35265499827435</v>
      </c>
      <c r="AK32" s="9">
        <v>29.312789708287099</v>
      </c>
      <c r="AL32" s="9">
        <v>320.17505830054478</v>
      </c>
      <c r="AM32" s="9">
        <v>24.06153980893238</v>
      </c>
      <c r="AN32" s="9">
        <v>1329.1691890014476</v>
      </c>
      <c r="AO32" s="9">
        <v>391.91243676218232</v>
      </c>
      <c r="AP32" s="9">
        <v>238.9683013539219</v>
      </c>
      <c r="AQ32" s="9">
        <v>737.30740350079566</v>
      </c>
      <c r="AR32" s="9">
        <v>215.75097296393523</v>
      </c>
      <c r="AS32" s="9">
        <v>260.03121101162304</v>
      </c>
      <c r="AT32" s="9">
        <v>59.45690775800557</v>
      </c>
      <c r="AU32" s="9">
        <v>61.14392646971794</v>
      </c>
      <c r="AV32" s="9">
        <v>52.248421733171028</v>
      </c>
      <c r="AW32" s="9">
        <v>80.969339185788371</v>
      </c>
      <c r="AX32" s="9">
        <v>182.64531614719726</v>
      </c>
      <c r="AY32" s="9">
        <v>302.73448728080911</v>
      </c>
      <c r="AZ32" s="9">
        <v>7.6278254843137994</v>
      </c>
      <c r="BA32" s="9">
        <v>98.627958068079479</v>
      </c>
      <c r="BB32" s="9">
        <v>313.47092271654822</v>
      </c>
      <c r="BC32" s="9">
        <v>385.150631501482</v>
      </c>
      <c r="BD32" s="9">
        <v>581.01073183349331</v>
      </c>
      <c r="BE32" s="9">
        <v>1414.1470221777226</v>
      </c>
      <c r="BF32" s="9">
        <v>740.25408809711018</v>
      </c>
      <c r="BG32" s="9">
        <v>0</v>
      </c>
      <c r="BH32" s="9">
        <v>0</v>
      </c>
      <c r="BI32" s="9">
        <v>20228.371874994453</v>
      </c>
      <c r="BJ32" s="9">
        <v>0</v>
      </c>
      <c r="BK32" s="9">
        <v>10.128487042242815</v>
      </c>
      <c r="BL32" s="9">
        <v>4343.5275361582717</v>
      </c>
      <c r="BM32" s="9">
        <v>185.55944267914862</v>
      </c>
      <c r="BN32" s="9">
        <v>12793.416719892188</v>
      </c>
      <c r="BO32" s="9">
        <v>79110.502527284334</v>
      </c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</row>
    <row r="33" spans="1:87" x14ac:dyDescent="0.3">
      <c r="A33">
        <v>2014</v>
      </c>
      <c r="B33" s="10" t="s">
        <v>175</v>
      </c>
      <c r="C33" s="12" t="s">
        <v>233</v>
      </c>
      <c r="D33" s="10" t="s">
        <v>292</v>
      </c>
      <c r="E33" s="9">
        <v>676.41278847554008</v>
      </c>
      <c r="F33" s="9">
        <v>23.80913826261202</v>
      </c>
      <c r="G33" s="9">
        <v>75.792802152676146</v>
      </c>
      <c r="H33" s="9">
        <v>33.739664937343647</v>
      </c>
      <c r="I33" s="9">
        <v>4314.0868038200733</v>
      </c>
      <c r="J33" s="9">
        <v>2406.9348177721899</v>
      </c>
      <c r="K33" s="9">
        <v>131.17732465204375</v>
      </c>
      <c r="L33" s="9">
        <v>530.40268064623547</v>
      </c>
      <c r="M33" s="9">
        <v>323.32698746028638</v>
      </c>
      <c r="N33" s="9">
        <v>1200.5286768918443</v>
      </c>
      <c r="O33" s="9">
        <v>3466.1567876055819</v>
      </c>
      <c r="P33" s="9">
        <v>2002.6371161380173</v>
      </c>
      <c r="Q33" s="9">
        <v>446.89156655193233</v>
      </c>
      <c r="R33" s="9">
        <v>415.15573138619033</v>
      </c>
      <c r="S33" s="9">
        <v>1753.6192377456925</v>
      </c>
      <c r="T33" s="9">
        <v>1619.899077139152</v>
      </c>
      <c r="U33" s="9">
        <v>5392.8713409376505</v>
      </c>
      <c r="V33" s="9">
        <v>2226.0727433334423</v>
      </c>
      <c r="W33" s="9">
        <v>2719.7294492557653</v>
      </c>
      <c r="X33" s="9">
        <v>3837.4640651585501</v>
      </c>
      <c r="Y33" s="9">
        <v>1929.0725736342526</v>
      </c>
      <c r="Z33" s="9">
        <v>994.76061245077028</v>
      </c>
      <c r="AA33" s="9">
        <v>0</v>
      </c>
      <c r="AB33" s="9">
        <v>517.73608534687605</v>
      </c>
      <c r="AC33" s="9">
        <v>307.53071251537801</v>
      </c>
      <c r="AD33" s="9">
        <v>232.28571688835547</v>
      </c>
      <c r="AE33" s="9">
        <v>3792.8494895203767</v>
      </c>
      <c r="AF33" s="9">
        <v>14.341121401573901</v>
      </c>
      <c r="AG33" s="9">
        <v>90.107474073410927</v>
      </c>
      <c r="AH33" s="9">
        <v>998.75871608709485</v>
      </c>
      <c r="AI33" s="9">
        <v>1121.4587900397953</v>
      </c>
      <c r="AJ33" s="9">
        <v>146.90143784498508</v>
      </c>
      <c r="AK33" s="9">
        <v>38.075603602039152</v>
      </c>
      <c r="AL33" s="9">
        <v>414.8850165135471</v>
      </c>
      <c r="AM33" s="9">
        <v>31.182901045516665</v>
      </c>
      <c r="AN33" s="9">
        <v>1721.1747787494537</v>
      </c>
      <c r="AO33" s="9">
        <v>507.63098908557345</v>
      </c>
      <c r="AP33" s="9">
        <v>309.65239840756561</v>
      </c>
      <c r="AQ33" s="9">
        <v>954.73232093950128</v>
      </c>
      <c r="AR33" s="9">
        <v>279.55333185247451</v>
      </c>
      <c r="AS33" s="9">
        <v>337.23220099815609</v>
      </c>
      <c r="AT33" s="9">
        <v>77.109075105051517</v>
      </c>
      <c r="AU33" s="9">
        <v>79.290464129744961</v>
      </c>
      <c r="AV33" s="9">
        <v>67.754430921689163</v>
      </c>
      <c r="AW33" s="9">
        <v>104.97047035119007</v>
      </c>
      <c r="AX33" s="9">
        <v>236.71541009381534</v>
      </c>
      <c r="AY33" s="9">
        <v>392.11266923116318</v>
      </c>
      <c r="AZ33" s="9">
        <v>9.8786352782974092</v>
      </c>
      <c r="BA33" s="9">
        <v>127.78976290749267</v>
      </c>
      <c r="BB33" s="9">
        <v>406.05098510850291</v>
      </c>
      <c r="BC33" s="9">
        <v>498.98309651851065</v>
      </c>
      <c r="BD33" s="9">
        <v>752.49077653967038</v>
      </c>
      <c r="BE33" s="9">
        <v>1831.2374036341209</v>
      </c>
      <c r="BF33" s="9">
        <v>958.65897582040816</v>
      </c>
      <c r="BG33" s="9">
        <v>0</v>
      </c>
      <c r="BH33" s="9">
        <v>0</v>
      </c>
      <c r="BI33" s="9">
        <v>26199.787709531509</v>
      </c>
      <c r="BJ33" s="9">
        <v>0</v>
      </c>
      <c r="BK33" s="9">
        <v>13.200186191267115</v>
      </c>
      <c r="BL33" s="9">
        <v>5624.2268207564994</v>
      </c>
      <c r="BM33" s="9">
        <v>238.54792917215249</v>
      </c>
      <c r="BN33" s="9">
        <v>16449.927046650315</v>
      </c>
      <c r="BO33" s="9">
        <v>102405.36291926095</v>
      </c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</row>
    <row r="34" spans="1:87" x14ac:dyDescent="0.3">
      <c r="A34">
        <v>2014</v>
      </c>
      <c r="B34" s="10" t="s">
        <v>176</v>
      </c>
      <c r="C34" s="12" t="s">
        <v>234</v>
      </c>
      <c r="D34" s="10" t="s">
        <v>292</v>
      </c>
      <c r="E34" s="9">
        <v>123.72062121620129</v>
      </c>
      <c r="F34" s="9">
        <v>12.508363499864323</v>
      </c>
      <c r="G34" s="9">
        <v>23.587598178759546</v>
      </c>
      <c r="H34" s="9">
        <v>363.77762270931987</v>
      </c>
      <c r="I34" s="9">
        <v>2202.8522806617284</v>
      </c>
      <c r="J34" s="9">
        <v>1093.4526524734072</v>
      </c>
      <c r="K34" s="9">
        <v>146.95735140627758</v>
      </c>
      <c r="L34" s="9">
        <v>721.01631312327686</v>
      </c>
      <c r="M34" s="9">
        <v>350.64005257761102</v>
      </c>
      <c r="N34" s="9">
        <v>1176.0226153943024</v>
      </c>
      <c r="O34" s="9">
        <v>3298.5821538907035</v>
      </c>
      <c r="P34" s="9">
        <v>341.80081800442423</v>
      </c>
      <c r="Q34" s="9">
        <v>342.58458499582616</v>
      </c>
      <c r="R34" s="9">
        <v>1145.2505839309354</v>
      </c>
      <c r="S34" s="9">
        <v>3032.46323186271</v>
      </c>
      <c r="T34" s="9">
        <v>1286.0467923229623</v>
      </c>
      <c r="U34" s="9">
        <v>2392.5749114428004</v>
      </c>
      <c r="V34" s="9">
        <v>751.93403337691211</v>
      </c>
      <c r="W34" s="9">
        <v>1512.210646780605</v>
      </c>
      <c r="X34" s="9">
        <v>1684.6344592531689</v>
      </c>
      <c r="Y34" s="9">
        <v>1121.8751591152209</v>
      </c>
      <c r="Z34" s="9">
        <v>324.91273183133148</v>
      </c>
      <c r="AA34" s="9">
        <v>0</v>
      </c>
      <c r="AB34" s="9">
        <v>117.55219428137673</v>
      </c>
      <c r="AC34" s="9">
        <v>146.86607310637072</v>
      </c>
      <c r="AD34" s="9">
        <v>1269.7199937020562</v>
      </c>
      <c r="AE34" s="9">
        <v>1848.2400277716827</v>
      </c>
      <c r="AF34" s="9">
        <v>348.50881344669716</v>
      </c>
      <c r="AG34" s="9">
        <v>2189.7503478079179</v>
      </c>
      <c r="AH34" s="9">
        <v>3056.9071178405129</v>
      </c>
      <c r="AI34" s="9">
        <v>711.66484341400621</v>
      </c>
      <c r="AJ34" s="9">
        <v>57.846896020608739</v>
      </c>
      <c r="AK34" s="9">
        <v>14.922865356326877</v>
      </c>
      <c r="AL34" s="9">
        <v>775.26405897676125</v>
      </c>
      <c r="AM34" s="9">
        <v>231.71016886325756</v>
      </c>
      <c r="AN34" s="9">
        <v>114.73777701384813</v>
      </c>
      <c r="AO34" s="9">
        <v>449.24968139665009</v>
      </c>
      <c r="AP34" s="9">
        <v>94.344614978017404</v>
      </c>
      <c r="AQ34" s="9">
        <v>36.513372308711595</v>
      </c>
      <c r="AR34" s="9">
        <v>141.28592949311712</v>
      </c>
      <c r="AS34" s="9">
        <v>1410.169579912568</v>
      </c>
      <c r="AT34" s="9">
        <v>354.31832882721</v>
      </c>
      <c r="AU34" s="9">
        <v>205.96887040720162</v>
      </c>
      <c r="AV34" s="9">
        <v>91.124376596915624</v>
      </c>
      <c r="AW34" s="9">
        <v>240.72158557146153</v>
      </c>
      <c r="AX34" s="9">
        <v>723.96182552656478</v>
      </c>
      <c r="AY34" s="9">
        <v>312.90431886455696</v>
      </c>
      <c r="AZ34" s="9">
        <v>3.5445401835845316</v>
      </c>
      <c r="BA34" s="9">
        <v>389.80239683634983</v>
      </c>
      <c r="BB34" s="9">
        <v>1008.0572627095924</v>
      </c>
      <c r="BC34" s="9">
        <v>1387.2239985413321</v>
      </c>
      <c r="BD34" s="9">
        <v>422.20363396378343</v>
      </c>
      <c r="BE34" s="9">
        <v>315.7660337745229</v>
      </c>
      <c r="BF34" s="9">
        <v>335.64691341016766</v>
      </c>
      <c r="BG34" s="9">
        <v>0</v>
      </c>
      <c r="BH34" s="9">
        <v>0</v>
      </c>
      <c r="BI34" s="9">
        <v>21640.718467469207</v>
      </c>
      <c r="BJ34" s="9">
        <v>0</v>
      </c>
      <c r="BK34" s="9">
        <v>0.15615003387675186</v>
      </c>
      <c r="BL34" s="9">
        <v>397.83924159582301</v>
      </c>
      <c r="BM34" s="9">
        <v>18.576786523458274</v>
      </c>
      <c r="BN34" s="9">
        <v>711.15334487798521</v>
      </c>
      <c r="BO34" s="9">
        <v>65024.34800945242</v>
      </c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</row>
    <row r="35" spans="1:87" x14ac:dyDescent="0.3">
      <c r="A35">
        <v>2014</v>
      </c>
      <c r="B35" s="10" t="s">
        <v>177</v>
      </c>
      <c r="C35" s="12" t="s">
        <v>235</v>
      </c>
      <c r="D35" s="10" t="s">
        <v>292</v>
      </c>
      <c r="E35" s="9">
        <v>3.1222358269392234E-3</v>
      </c>
      <c r="F35" s="9">
        <v>1.2089050786819393E-4</v>
      </c>
      <c r="G35" s="9">
        <v>3.2490301036855276E-3</v>
      </c>
      <c r="H35" s="9">
        <v>4.8284963975587488E-3</v>
      </c>
      <c r="I35" s="9">
        <v>3.6190598628420362E-2</v>
      </c>
      <c r="J35" s="9">
        <v>3.832852762879202E-2</v>
      </c>
      <c r="K35" s="9">
        <v>1.2669442112800057E-3</v>
      </c>
      <c r="L35" s="9">
        <v>1.1049486208614422E-2</v>
      </c>
      <c r="M35" s="9">
        <v>1.242653483929048E-2</v>
      </c>
      <c r="N35" s="9">
        <v>5.1979190655854629E-2</v>
      </c>
      <c r="O35" s="9">
        <v>9.6921980571372787E-2</v>
      </c>
      <c r="P35" s="9">
        <v>4.9867391735868996E-3</v>
      </c>
      <c r="Q35" s="9">
        <v>7.4201974660230482E-3</v>
      </c>
      <c r="R35" s="9">
        <v>9.3502404979871993E-3</v>
      </c>
      <c r="S35" s="9">
        <v>0.12781426715930483</v>
      </c>
      <c r="T35" s="9">
        <v>3.953873299867218E-2</v>
      </c>
      <c r="U35" s="9">
        <v>0.12506132883344762</v>
      </c>
      <c r="V35" s="9">
        <v>2.7669859594594493E-2</v>
      </c>
      <c r="W35" s="9">
        <v>2.6159662673803298E-2</v>
      </c>
      <c r="X35" s="9">
        <v>4.724399626256489E-2</v>
      </c>
      <c r="Y35" s="9">
        <v>3.6661314962858495E-2</v>
      </c>
      <c r="Z35" s="9">
        <v>6.5219814066251134E-3</v>
      </c>
      <c r="AA35" s="9">
        <v>0</v>
      </c>
      <c r="AB35" s="9">
        <v>0.14221714488850304</v>
      </c>
      <c r="AC35" s="9">
        <v>2.4986831360043964E-2</v>
      </c>
      <c r="AD35" s="9">
        <v>8.4018245465236285E-2</v>
      </c>
      <c r="AE35" s="9">
        <v>7.3821905170471352E-2</v>
      </c>
      <c r="AF35" s="9">
        <v>3.4003942649945211E-2</v>
      </c>
      <c r="AG35" s="9">
        <v>0.21365872337643593</v>
      </c>
      <c r="AH35" s="9">
        <v>0.29826821111585494</v>
      </c>
      <c r="AI35" s="9">
        <v>0.14453759728607521</v>
      </c>
      <c r="AJ35" s="9">
        <v>0.11270123434237443</v>
      </c>
      <c r="AK35" s="9">
        <v>4.9161110511015162E-2</v>
      </c>
      <c r="AL35" s="9">
        <v>0.31558126044452678</v>
      </c>
      <c r="AM35" s="9">
        <v>3.0060268512917165E-2</v>
      </c>
      <c r="AN35" s="9">
        <v>2.8103978396698506E-2</v>
      </c>
      <c r="AO35" s="9">
        <v>4.1228154682476856E-2</v>
      </c>
      <c r="AP35" s="9">
        <v>8.3863903664875408E-2</v>
      </c>
      <c r="AQ35" s="9">
        <v>0.1125193633724247</v>
      </c>
      <c r="AR35" s="9">
        <v>6.6685108672050145E-2</v>
      </c>
      <c r="AS35" s="9">
        <v>0.36935208938820663</v>
      </c>
      <c r="AT35" s="9">
        <v>0.15709343869538464</v>
      </c>
      <c r="AU35" s="9">
        <v>5.9518272876329568E-2</v>
      </c>
      <c r="AV35" s="9">
        <v>4.1579400617193688E-2</v>
      </c>
      <c r="AW35" s="9">
        <v>1.4292914630643042E-2</v>
      </c>
      <c r="AX35" s="9">
        <v>9.1584090139118113E-2</v>
      </c>
      <c r="AY35" s="9">
        <v>3.9271321006780172E-2</v>
      </c>
      <c r="AZ35" s="9">
        <v>1.606776749020746E-4</v>
      </c>
      <c r="BA35" s="9">
        <v>9.0514414768607623E-2</v>
      </c>
      <c r="BB35" s="9">
        <v>0.13166928463435049</v>
      </c>
      <c r="BC35" s="9">
        <v>0.28677826773984472</v>
      </c>
      <c r="BD35" s="9">
        <v>5.113783333119748E-2</v>
      </c>
      <c r="BE35" s="9">
        <v>6.0812030164875366E-2</v>
      </c>
      <c r="BF35" s="9">
        <v>0.13435562888498739</v>
      </c>
      <c r="BG35" s="9">
        <v>0</v>
      </c>
      <c r="BH35" s="9">
        <v>0</v>
      </c>
      <c r="BI35" s="9">
        <v>0.24563691176689784</v>
      </c>
      <c r="BJ35" s="9">
        <v>0</v>
      </c>
      <c r="BK35" s="9">
        <v>1.4400218484482717E-4</v>
      </c>
      <c r="BL35" s="9">
        <v>1.9656997689870281E-2</v>
      </c>
      <c r="BM35" s="9">
        <v>1.7917228264216454E-4</v>
      </c>
      <c r="BN35" s="9">
        <v>12932.644559703222</v>
      </c>
      <c r="BO35" s="9">
        <v>12937.011625672219</v>
      </c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</row>
    <row r="36" spans="1:87" x14ac:dyDescent="0.3">
      <c r="A36">
        <v>2014</v>
      </c>
      <c r="B36" s="10" t="s">
        <v>178</v>
      </c>
      <c r="C36" s="12" t="s">
        <v>236</v>
      </c>
      <c r="D36" s="10" t="s">
        <v>292</v>
      </c>
      <c r="E36" s="9">
        <v>3.5429403262327921</v>
      </c>
      <c r="F36" s="9">
        <v>8.7485958449122672E-2</v>
      </c>
      <c r="G36" s="9">
        <v>5.6436239484597595</v>
      </c>
      <c r="H36" s="9">
        <v>1.167609181901289</v>
      </c>
      <c r="I36" s="9">
        <v>47.877098617325736</v>
      </c>
      <c r="J36" s="9">
        <v>57.776632382293236</v>
      </c>
      <c r="K36" s="9">
        <v>3.6670266171188972</v>
      </c>
      <c r="L36" s="9">
        <v>8.6168611013470464</v>
      </c>
      <c r="M36" s="9">
        <v>10.903063026581757</v>
      </c>
      <c r="N36" s="9">
        <v>60.71620179657949</v>
      </c>
      <c r="O36" s="9">
        <v>69.766489437104937</v>
      </c>
      <c r="P36" s="9">
        <v>88.4466019683409</v>
      </c>
      <c r="Q36" s="9">
        <v>17.825183872490619</v>
      </c>
      <c r="R36" s="9">
        <v>16.16283761359707</v>
      </c>
      <c r="S36" s="9">
        <v>48.404314206533869</v>
      </c>
      <c r="T36" s="9">
        <v>41.842688214732348</v>
      </c>
      <c r="U36" s="9">
        <v>266.30460246525706</v>
      </c>
      <c r="V36" s="9">
        <v>79.158155326042134</v>
      </c>
      <c r="W36" s="9">
        <v>133.25812246593665</v>
      </c>
      <c r="X36" s="9">
        <v>47.852399964212836</v>
      </c>
      <c r="Y36" s="9">
        <v>32.829531449027265</v>
      </c>
      <c r="Z36" s="9">
        <v>14.01884002900219</v>
      </c>
      <c r="AA36" s="9">
        <v>0</v>
      </c>
      <c r="AB36" s="9">
        <v>18.120004673652819</v>
      </c>
      <c r="AC36" s="9">
        <v>5.2542244215870459</v>
      </c>
      <c r="AD36" s="9">
        <v>3.0392966312742926</v>
      </c>
      <c r="AE36" s="9">
        <v>51.518878380590749</v>
      </c>
      <c r="AF36" s="9">
        <v>73.686041650518646</v>
      </c>
      <c r="AG36" s="9">
        <v>462.99555299749164</v>
      </c>
      <c r="AH36" s="9">
        <v>646.34312048065874</v>
      </c>
      <c r="AI36" s="9">
        <v>204.22460168927071</v>
      </c>
      <c r="AJ36" s="9">
        <v>3.406185604277975</v>
      </c>
      <c r="AK36" s="9">
        <v>6.90260119879665</v>
      </c>
      <c r="AL36" s="9">
        <v>72.22796096332219</v>
      </c>
      <c r="AM36" s="9">
        <v>219.70980464778407</v>
      </c>
      <c r="AN36" s="9">
        <v>8.3990127880659777</v>
      </c>
      <c r="AO36" s="9">
        <v>140.87081133182946</v>
      </c>
      <c r="AP36" s="9">
        <v>39.053740263936703</v>
      </c>
      <c r="AQ36" s="9">
        <v>17.793363308426446</v>
      </c>
      <c r="AR36" s="9">
        <v>58.115546696072897</v>
      </c>
      <c r="AS36" s="9">
        <v>311.89479234740742</v>
      </c>
      <c r="AT36" s="9">
        <v>12.335422694860142</v>
      </c>
      <c r="AU36" s="9">
        <v>18.601827338665544</v>
      </c>
      <c r="AV36" s="9">
        <v>4.2918902152040044</v>
      </c>
      <c r="AW36" s="9">
        <v>49.722279075913633</v>
      </c>
      <c r="AX36" s="9">
        <v>104.42596049970876</v>
      </c>
      <c r="AY36" s="9">
        <v>95.832627808750047</v>
      </c>
      <c r="AZ36" s="9">
        <v>3.5904119536543417</v>
      </c>
      <c r="BA36" s="9">
        <v>26.31833030415234</v>
      </c>
      <c r="BB36" s="9">
        <v>77.340922421258441</v>
      </c>
      <c r="BC36" s="9">
        <v>238.37882248117785</v>
      </c>
      <c r="BD36" s="9">
        <v>40.00043168272083</v>
      </c>
      <c r="BE36" s="9">
        <v>33.174180488604307</v>
      </c>
      <c r="BF36" s="9">
        <v>53.221883645353053</v>
      </c>
      <c r="BG36" s="9">
        <v>0</v>
      </c>
      <c r="BH36" s="9">
        <v>0</v>
      </c>
      <c r="BI36" s="9">
        <v>434.55321157167577</v>
      </c>
      <c r="BJ36" s="9">
        <v>0</v>
      </c>
      <c r="BK36" s="9">
        <v>0</v>
      </c>
      <c r="BL36" s="9">
        <v>4.8689141719556677</v>
      </c>
      <c r="BM36" s="9">
        <v>0.22891677383475204</v>
      </c>
      <c r="BN36" s="9">
        <v>9310.666090289471</v>
      </c>
      <c r="BO36" s="9">
        <v>13906.975973460474</v>
      </c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</row>
    <row r="37" spans="1:87" x14ac:dyDescent="0.3">
      <c r="A37">
        <v>2014</v>
      </c>
      <c r="B37" s="10" t="s">
        <v>179</v>
      </c>
      <c r="C37" s="12" t="s">
        <v>237</v>
      </c>
      <c r="D37" s="10" t="s">
        <v>292</v>
      </c>
      <c r="E37" s="9">
        <v>167.73723177949654</v>
      </c>
      <c r="F37" s="9">
        <v>12.063871124654533</v>
      </c>
      <c r="G37" s="9">
        <v>208.72265299443373</v>
      </c>
      <c r="H37" s="9">
        <v>173.42883963259405</v>
      </c>
      <c r="I37" s="9">
        <v>1424.0680558509039</v>
      </c>
      <c r="J37" s="9">
        <v>881.4727447518934</v>
      </c>
      <c r="K37" s="9">
        <v>62.786755170213233</v>
      </c>
      <c r="L37" s="9">
        <v>181.31552059914489</v>
      </c>
      <c r="M37" s="9">
        <v>86.237166009509878</v>
      </c>
      <c r="N37" s="9">
        <v>1255.7934467568475</v>
      </c>
      <c r="O37" s="9">
        <v>1774.9698946965068</v>
      </c>
      <c r="P37" s="9">
        <v>729.48984695318632</v>
      </c>
      <c r="Q37" s="9">
        <v>234.64315171898264</v>
      </c>
      <c r="R37" s="9">
        <v>363.59886116645106</v>
      </c>
      <c r="S37" s="9">
        <v>1645.9097087376426</v>
      </c>
      <c r="T37" s="9">
        <v>969.67547278884808</v>
      </c>
      <c r="U37" s="9">
        <v>2362.9867769440161</v>
      </c>
      <c r="V37" s="9">
        <v>609.90224886414501</v>
      </c>
      <c r="W37" s="9">
        <v>1133.6294866526359</v>
      </c>
      <c r="X37" s="9">
        <v>741.03358001668357</v>
      </c>
      <c r="Y37" s="9">
        <v>558.20404434007878</v>
      </c>
      <c r="Z37" s="9">
        <v>173.854123087396</v>
      </c>
      <c r="AA37" s="9">
        <v>0</v>
      </c>
      <c r="AB37" s="9">
        <v>229.7399369918883</v>
      </c>
      <c r="AC37" s="9">
        <v>89.892648494079197</v>
      </c>
      <c r="AD37" s="9">
        <v>304.40099066479809</v>
      </c>
      <c r="AE37" s="9">
        <v>438.93729130201046</v>
      </c>
      <c r="AF37" s="9">
        <v>365.67448462358033</v>
      </c>
      <c r="AG37" s="9">
        <v>2297.5913089066407</v>
      </c>
      <c r="AH37" s="9">
        <v>3207.4563476149492</v>
      </c>
      <c r="AI37" s="9">
        <v>4390.7375448995008</v>
      </c>
      <c r="AJ37" s="9">
        <v>1412.6594434843853</v>
      </c>
      <c r="AK37" s="9">
        <v>1353.5715936037923</v>
      </c>
      <c r="AL37" s="9">
        <v>1426.4883708060777</v>
      </c>
      <c r="AM37" s="9">
        <v>179.36226889635944</v>
      </c>
      <c r="AN37" s="9">
        <v>96.701372170231366</v>
      </c>
      <c r="AO37" s="9">
        <v>203.80521061066847</v>
      </c>
      <c r="AP37" s="9">
        <v>56.471037932921647</v>
      </c>
      <c r="AQ37" s="9">
        <v>21.463258355219654</v>
      </c>
      <c r="AR37" s="9">
        <v>118.15610562976549</v>
      </c>
      <c r="AS37" s="9">
        <v>484.36771101594445</v>
      </c>
      <c r="AT37" s="9">
        <v>20.280281631914082</v>
      </c>
      <c r="AU37" s="9">
        <v>39.054050880937879</v>
      </c>
      <c r="AV37" s="9">
        <v>49.704971719079353</v>
      </c>
      <c r="AW37" s="9">
        <v>154.03277604492234</v>
      </c>
      <c r="AX37" s="9">
        <v>144.2627381227322</v>
      </c>
      <c r="AY37" s="9">
        <v>56.395289763268252</v>
      </c>
      <c r="AZ37" s="9">
        <v>1.8558479411969906</v>
      </c>
      <c r="BA37" s="9">
        <v>86.55067845393387</v>
      </c>
      <c r="BB37" s="9">
        <v>124.86650768891027</v>
      </c>
      <c r="BC37" s="9">
        <v>57.841092675142399</v>
      </c>
      <c r="BD37" s="9">
        <v>101.13517635069842</v>
      </c>
      <c r="BE37" s="9">
        <v>108.547133733116</v>
      </c>
      <c r="BF37" s="9">
        <v>109.82428985404077</v>
      </c>
      <c r="BG37" s="9">
        <v>0</v>
      </c>
      <c r="BH37" s="9">
        <v>0</v>
      </c>
      <c r="BI37" s="9">
        <v>2561.2742915677013</v>
      </c>
      <c r="BJ37" s="9">
        <v>0</v>
      </c>
      <c r="BK37" s="9">
        <v>0.47899694159946432</v>
      </c>
      <c r="BL37" s="9">
        <v>277.92286584876058</v>
      </c>
      <c r="BM37" s="9">
        <v>1.4600667429854242</v>
      </c>
      <c r="BN37" s="9">
        <v>1449.6937914879429</v>
      </c>
      <c r="BO37" s="9">
        <v>37774.181254087889</v>
      </c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</row>
    <row r="38" spans="1:87" x14ac:dyDescent="0.3">
      <c r="A38">
        <v>2014</v>
      </c>
      <c r="B38" s="10" t="s">
        <v>180</v>
      </c>
      <c r="C38" s="12" t="s">
        <v>238</v>
      </c>
      <c r="D38" s="10" t="s">
        <v>292</v>
      </c>
      <c r="E38" s="9">
        <v>38.064251672330983</v>
      </c>
      <c r="F38" s="9">
        <v>0.25568185031457485</v>
      </c>
      <c r="G38" s="9">
        <v>3.4697215910796286</v>
      </c>
      <c r="H38" s="9">
        <v>4.9754618355539186</v>
      </c>
      <c r="I38" s="9">
        <v>51.576243611635398</v>
      </c>
      <c r="J38" s="9">
        <v>31.99004822019791</v>
      </c>
      <c r="K38" s="9">
        <v>2.4291048752047768</v>
      </c>
      <c r="L38" s="9">
        <v>14.035589322320275</v>
      </c>
      <c r="M38" s="9">
        <v>7.0865744903896788</v>
      </c>
      <c r="N38" s="9">
        <v>35.108444088905337</v>
      </c>
      <c r="O38" s="9">
        <v>69.039952196033923</v>
      </c>
      <c r="P38" s="9">
        <v>72.731728057823375</v>
      </c>
      <c r="Q38" s="9">
        <v>10.508286435289564</v>
      </c>
      <c r="R38" s="9">
        <v>22.369769067562601</v>
      </c>
      <c r="S38" s="9">
        <v>76.275660050156816</v>
      </c>
      <c r="T38" s="9">
        <v>43.954088184120458</v>
      </c>
      <c r="U38" s="9">
        <v>85.128583227218087</v>
      </c>
      <c r="V38" s="9">
        <v>20.917564515739965</v>
      </c>
      <c r="W38" s="9">
        <v>49.749461911122715</v>
      </c>
      <c r="X38" s="9">
        <v>61.25524619783581</v>
      </c>
      <c r="Y38" s="9">
        <v>35.495111037971554</v>
      </c>
      <c r="Z38" s="9">
        <v>9.9680249870653608</v>
      </c>
      <c r="AA38" s="9">
        <v>0</v>
      </c>
      <c r="AB38" s="9">
        <v>36.132249071491749</v>
      </c>
      <c r="AC38" s="9">
        <v>57.592010381856063</v>
      </c>
      <c r="AD38" s="9">
        <v>69.843191717486064</v>
      </c>
      <c r="AE38" s="9">
        <v>105.18668070411489</v>
      </c>
      <c r="AF38" s="9">
        <v>32.331546517774953</v>
      </c>
      <c r="AG38" s="9">
        <v>203.14408532124673</v>
      </c>
      <c r="AH38" s="9">
        <v>283.59084618962748</v>
      </c>
      <c r="AI38" s="9">
        <v>27.791609123092606</v>
      </c>
      <c r="AJ38" s="9">
        <v>1.6351771251495155</v>
      </c>
      <c r="AK38" s="9">
        <v>0.52423927810529103</v>
      </c>
      <c r="AL38" s="9">
        <v>47.688155296911894</v>
      </c>
      <c r="AM38" s="9">
        <v>872.40955893364685</v>
      </c>
      <c r="AN38" s="9">
        <v>24.252344410476329</v>
      </c>
      <c r="AO38" s="9">
        <v>19.466363791485691</v>
      </c>
      <c r="AP38" s="9">
        <v>18.146467705188496</v>
      </c>
      <c r="AQ38" s="9">
        <v>27.712744757678553</v>
      </c>
      <c r="AR38" s="9">
        <v>44.819498713247256</v>
      </c>
      <c r="AS38" s="9">
        <v>632.26290092796023</v>
      </c>
      <c r="AT38" s="9">
        <v>155.86951367729634</v>
      </c>
      <c r="AU38" s="9">
        <v>150.67001555305623</v>
      </c>
      <c r="AV38" s="9">
        <v>6.2834704012795708</v>
      </c>
      <c r="AW38" s="9">
        <v>27.259970868716668</v>
      </c>
      <c r="AX38" s="9">
        <v>74.695844237945749</v>
      </c>
      <c r="AY38" s="9">
        <v>39.187844506379243</v>
      </c>
      <c r="AZ38" s="9">
        <v>4.7794129953318755E-2</v>
      </c>
      <c r="BA38" s="9">
        <v>69.790418829713587</v>
      </c>
      <c r="BB38" s="9">
        <v>54.024053060961378</v>
      </c>
      <c r="BC38" s="9">
        <v>583.36411282124413</v>
      </c>
      <c r="BD38" s="9">
        <v>125.99864846381409</v>
      </c>
      <c r="BE38" s="9">
        <v>153.14006025966276</v>
      </c>
      <c r="BF38" s="9">
        <v>33.742531706495988</v>
      </c>
      <c r="BG38" s="9">
        <v>0</v>
      </c>
      <c r="BH38" s="9">
        <v>0</v>
      </c>
      <c r="BI38" s="9">
        <v>375.08510565916123</v>
      </c>
      <c r="BJ38" s="9">
        <v>0</v>
      </c>
      <c r="BK38" s="9">
        <v>0</v>
      </c>
      <c r="BL38" s="9">
        <v>15.488891391101577</v>
      </c>
      <c r="BM38" s="9">
        <v>0.20918161912115624</v>
      </c>
      <c r="BN38" s="9">
        <v>41.606785028630753</v>
      </c>
      <c r="BO38" s="9">
        <v>5157.3785096069532</v>
      </c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</row>
    <row r="39" spans="1:87" x14ac:dyDescent="0.3">
      <c r="A39">
        <v>2014</v>
      </c>
      <c r="B39" s="10" t="s">
        <v>181</v>
      </c>
      <c r="C39" s="12" t="s">
        <v>239</v>
      </c>
      <c r="D39" s="10" t="s">
        <v>292</v>
      </c>
      <c r="E39" s="9">
        <v>96.167027173415164</v>
      </c>
      <c r="F39" s="9">
        <v>8.7172918324720925</v>
      </c>
      <c r="G39" s="9">
        <v>30.612243476440806</v>
      </c>
      <c r="H39" s="9">
        <v>29.099580269430582</v>
      </c>
      <c r="I39" s="9">
        <v>256.08398893531484</v>
      </c>
      <c r="J39" s="9">
        <v>375.70902671968184</v>
      </c>
      <c r="K39" s="9">
        <v>24.338111285934399</v>
      </c>
      <c r="L39" s="9">
        <v>79.872927448711962</v>
      </c>
      <c r="M39" s="9">
        <v>137.88738780726027</v>
      </c>
      <c r="N39" s="9">
        <v>203.57241267072925</v>
      </c>
      <c r="O39" s="9">
        <v>921.95535972213509</v>
      </c>
      <c r="P39" s="9">
        <v>107.59786725995708</v>
      </c>
      <c r="Q39" s="9">
        <v>76.218147152258055</v>
      </c>
      <c r="R39" s="9">
        <v>92.810592187924073</v>
      </c>
      <c r="S39" s="9">
        <v>496.40390820137247</v>
      </c>
      <c r="T39" s="9">
        <v>331.17755877927283</v>
      </c>
      <c r="U39" s="9">
        <v>1116.1214978423654</v>
      </c>
      <c r="V39" s="9">
        <v>199.14169878239338</v>
      </c>
      <c r="W39" s="9">
        <v>504.76401369124915</v>
      </c>
      <c r="X39" s="9">
        <v>594.97230243081412</v>
      </c>
      <c r="Y39" s="9">
        <v>230.82164993355673</v>
      </c>
      <c r="Z39" s="9">
        <v>66.963781374402416</v>
      </c>
      <c r="AA39" s="9">
        <v>0</v>
      </c>
      <c r="AB39" s="9">
        <v>170.994607334611</v>
      </c>
      <c r="AC39" s="9">
        <v>249.16941539877425</v>
      </c>
      <c r="AD39" s="9">
        <v>185.11946279165454</v>
      </c>
      <c r="AE39" s="9">
        <v>433.3847444239961</v>
      </c>
      <c r="AF39" s="9">
        <v>233.62115222373464</v>
      </c>
      <c r="AG39" s="9">
        <v>1467.8843062945029</v>
      </c>
      <c r="AH39" s="9">
        <v>2049.1776540777537</v>
      </c>
      <c r="AI39" s="9">
        <v>207.28394092482171</v>
      </c>
      <c r="AJ39" s="9">
        <v>32.118029922373942</v>
      </c>
      <c r="AK39" s="9">
        <v>113.36619121690703</v>
      </c>
      <c r="AL39" s="9">
        <v>1082.2660264031169</v>
      </c>
      <c r="AM39" s="9">
        <v>19.095984971102183</v>
      </c>
      <c r="AN39" s="9">
        <v>218.20094219066524</v>
      </c>
      <c r="AO39" s="9">
        <v>372.03545504844635</v>
      </c>
      <c r="AP39" s="9">
        <v>339.82307176365333</v>
      </c>
      <c r="AQ39" s="9">
        <v>97.60206186891179</v>
      </c>
      <c r="AR39" s="9">
        <v>314.56015333674748</v>
      </c>
      <c r="AS39" s="9">
        <v>1576.0948085140883</v>
      </c>
      <c r="AT39" s="9">
        <v>297.23685698181725</v>
      </c>
      <c r="AU39" s="9">
        <v>198.03681831111908</v>
      </c>
      <c r="AV39" s="9">
        <v>118.69452261025967</v>
      </c>
      <c r="AW39" s="9">
        <v>228.27528255316119</v>
      </c>
      <c r="AX39" s="9">
        <v>796.35858789813506</v>
      </c>
      <c r="AY39" s="9">
        <v>1334.7580843223341</v>
      </c>
      <c r="AZ39" s="9">
        <v>1.3914900458667294</v>
      </c>
      <c r="BA39" s="9">
        <v>537.45073972757336</v>
      </c>
      <c r="BB39" s="9">
        <v>2079.3761044189023</v>
      </c>
      <c r="BC39" s="9">
        <v>2024.6560714879067</v>
      </c>
      <c r="BD39" s="9">
        <v>2572.200548411653</v>
      </c>
      <c r="BE39" s="9">
        <v>592.59249568011251</v>
      </c>
      <c r="BF39" s="9">
        <v>1646.3045760078148</v>
      </c>
      <c r="BG39" s="9">
        <v>0</v>
      </c>
      <c r="BH39" s="9">
        <v>0</v>
      </c>
      <c r="BI39" s="9">
        <v>37498.944415285121</v>
      </c>
      <c r="BJ39" s="9">
        <v>0</v>
      </c>
      <c r="BK39" s="9">
        <v>1161.8220065999803</v>
      </c>
      <c r="BL39" s="9">
        <v>25.040651139685522</v>
      </c>
      <c r="BM39" s="9">
        <v>0.14065458499284822</v>
      </c>
      <c r="BN39" s="9">
        <v>3252.3810847671675</v>
      </c>
      <c r="BO39" s="9">
        <v>69508.46737451652</v>
      </c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</row>
    <row r="40" spans="1:87" x14ac:dyDescent="0.3">
      <c r="A40">
        <v>2014</v>
      </c>
      <c r="B40" s="10" t="s">
        <v>182</v>
      </c>
      <c r="C40" s="12" t="s">
        <v>240</v>
      </c>
      <c r="D40" s="10" t="s">
        <v>292</v>
      </c>
      <c r="E40" s="9">
        <v>19.952384663583647</v>
      </c>
      <c r="F40" s="9">
        <v>0.81217629909810896</v>
      </c>
      <c r="G40" s="9">
        <v>2.3036777953595404</v>
      </c>
      <c r="H40" s="9">
        <v>2.1561662316058103</v>
      </c>
      <c r="I40" s="9">
        <v>108.77716846358119</v>
      </c>
      <c r="J40" s="9">
        <v>78.690779268869846</v>
      </c>
      <c r="K40" s="9">
        <v>3.3784506305777509</v>
      </c>
      <c r="L40" s="9">
        <v>21.045870618378263</v>
      </c>
      <c r="M40" s="9">
        <v>55.522913308479332</v>
      </c>
      <c r="N40" s="9">
        <v>142.03233445568199</v>
      </c>
      <c r="O40" s="9">
        <v>147.84969567623932</v>
      </c>
      <c r="P40" s="9">
        <v>28.955059300780345</v>
      </c>
      <c r="Q40" s="9">
        <v>15.283570951337232</v>
      </c>
      <c r="R40" s="9">
        <v>20.32374712239849</v>
      </c>
      <c r="S40" s="9">
        <v>123.80569410920907</v>
      </c>
      <c r="T40" s="9">
        <v>76.127343855763058</v>
      </c>
      <c r="U40" s="9">
        <v>390.95989293161159</v>
      </c>
      <c r="V40" s="9">
        <v>70.307766238929489</v>
      </c>
      <c r="W40" s="9">
        <v>89.063462238409855</v>
      </c>
      <c r="X40" s="9">
        <v>106.04072640341673</v>
      </c>
      <c r="Y40" s="9">
        <v>59.990125398644686</v>
      </c>
      <c r="Z40" s="9">
        <v>17.192032937759127</v>
      </c>
      <c r="AA40" s="9">
        <v>0</v>
      </c>
      <c r="AB40" s="9">
        <v>56.174175988856938</v>
      </c>
      <c r="AC40" s="9">
        <v>32.283522227866925</v>
      </c>
      <c r="AD40" s="9">
        <v>197.3739294095908</v>
      </c>
      <c r="AE40" s="9">
        <v>217.18302368987645</v>
      </c>
      <c r="AF40" s="9">
        <v>136.0007443949126</v>
      </c>
      <c r="AG40" s="9">
        <v>854.5271172280369</v>
      </c>
      <c r="AH40" s="9">
        <v>1192.9246922313032</v>
      </c>
      <c r="AI40" s="9">
        <v>175.9527375070181</v>
      </c>
      <c r="AJ40" s="9">
        <v>8.4131931009813279</v>
      </c>
      <c r="AK40" s="9">
        <v>45.672495059717839</v>
      </c>
      <c r="AL40" s="9">
        <v>527.46664950433603</v>
      </c>
      <c r="AM40" s="9">
        <v>37.837805909984361</v>
      </c>
      <c r="AN40" s="9">
        <v>135.9653908102039</v>
      </c>
      <c r="AO40" s="9">
        <v>967.74047268857521</v>
      </c>
      <c r="AP40" s="9">
        <v>142.44557880612066</v>
      </c>
      <c r="AQ40" s="9">
        <v>76.589946752588844</v>
      </c>
      <c r="AR40" s="9">
        <v>151.27826845143119</v>
      </c>
      <c r="AS40" s="9">
        <v>858.51770592903051</v>
      </c>
      <c r="AT40" s="9">
        <v>161.53257284131035</v>
      </c>
      <c r="AU40" s="9">
        <v>299.72361242608764</v>
      </c>
      <c r="AV40" s="9">
        <v>57.134794392839446</v>
      </c>
      <c r="AW40" s="9">
        <v>1141.3272385816474</v>
      </c>
      <c r="AX40" s="9">
        <v>342.80146823515099</v>
      </c>
      <c r="AY40" s="9">
        <v>1141.6296889401103</v>
      </c>
      <c r="AZ40" s="9">
        <v>170.0547079927502</v>
      </c>
      <c r="BA40" s="9">
        <v>313.4898252113191</v>
      </c>
      <c r="BB40" s="9">
        <v>291.55789351956741</v>
      </c>
      <c r="BC40" s="9">
        <v>1827.5428305332343</v>
      </c>
      <c r="BD40" s="9">
        <v>1160.2538146918737</v>
      </c>
      <c r="BE40" s="9">
        <v>237.01091287781767</v>
      </c>
      <c r="BF40" s="9">
        <v>737.31482048828332</v>
      </c>
      <c r="BG40" s="9">
        <v>0</v>
      </c>
      <c r="BH40" s="9">
        <v>0</v>
      </c>
      <c r="BI40" s="9">
        <v>8453.2284068390363</v>
      </c>
      <c r="BJ40" s="9">
        <v>0</v>
      </c>
      <c r="BK40" s="9">
        <v>121.95722941828403</v>
      </c>
      <c r="BL40" s="9">
        <v>47.799611815482258</v>
      </c>
      <c r="BM40" s="9">
        <v>17.81375402600645</v>
      </c>
      <c r="BN40" s="9">
        <v>517.97803187390366</v>
      </c>
      <c r="BO40" s="9">
        <v>24435.069703294863</v>
      </c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</row>
    <row r="41" spans="1:87" x14ac:dyDescent="0.3">
      <c r="A41">
        <v>2014</v>
      </c>
      <c r="B41" s="10" t="s">
        <v>183</v>
      </c>
      <c r="C41" s="12" t="s">
        <v>241</v>
      </c>
      <c r="D41" s="10" t="s">
        <v>292</v>
      </c>
      <c r="E41" s="9">
        <v>9.3897352697338832</v>
      </c>
      <c r="F41" s="9">
        <v>0.88281027339272</v>
      </c>
      <c r="G41" s="9">
        <v>3.1736033913275743</v>
      </c>
      <c r="H41" s="9">
        <v>4.2026151889029117</v>
      </c>
      <c r="I41" s="9">
        <v>53.847567590311769</v>
      </c>
      <c r="J41" s="9">
        <v>54.808492613616934</v>
      </c>
      <c r="K41" s="9">
        <v>2.4460168652629197</v>
      </c>
      <c r="L41" s="9">
        <v>12.992804654211547</v>
      </c>
      <c r="M41" s="9">
        <v>60.34189217471441</v>
      </c>
      <c r="N41" s="9">
        <v>63.7071838189826</v>
      </c>
      <c r="O41" s="9">
        <v>122.56334585789322</v>
      </c>
      <c r="P41" s="9">
        <v>15.251437853409218</v>
      </c>
      <c r="Q41" s="9">
        <v>10.813553044102328</v>
      </c>
      <c r="R41" s="9">
        <v>12.253885486019708</v>
      </c>
      <c r="S41" s="9">
        <v>126.91774472002692</v>
      </c>
      <c r="T41" s="9">
        <v>53.283067133364966</v>
      </c>
      <c r="U41" s="9">
        <v>183.61780180198454</v>
      </c>
      <c r="V41" s="9">
        <v>50.44337540651361</v>
      </c>
      <c r="W41" s="9">
        <v>60.234231921577916</v>
      </c>
      <c r="X41" s="9">
        <v>102.28533607206494</v>
      </c>
      <c r="Y41" s="9">
        <v>46.742876151730208</v>
      </c>
      <c r="Z41" s="9">
        <v>12.645210393116743</v>
      </c>
      <c r="AA41" s="9">
        <v>0</v>
      </c>
      <c r="AB41" s="9">
        <v>116.30791413204783</v>
      </c>
      <c r="AC41" s="9">
        <v>25.308779679096244</v>
      </c>
      <c r="AD41" s="9">
        <v>69.238756487358415</v>
      </c>
      <c r="AE41" s="9">
        <v>264.41441621803017</v>
      </c>
      <c r="AF41" s="9">
        <v>217.17423016123405</v>
      </c>
      <c r="AG41" s="9">
        <v>1364.5832059454949</v>
      </c>
      <c r="AH41" s="9">
        <v>1904.9619957173909</v>
      </c>
      <c r="AI41" s="9">
        <v>139.98231088190289</v>
      </c>
      <c r="AJ41" s="9">
        <v>82.089150227506764</v>
      </c>
      <c r="AK41" s="9">
        <v>35.492481112871531</v>
      </c>
      <c r="AL41" s="9">
        <v>242.23623783819505</v>
      </c>
      <c r="AM41" s="9">
        <v>20.535283642761886</v>
      </c>
      <c r="AN41" s="9">
        <v>77.990705678061417</v>
      </c>
      <c r="AO41" s="9">
        <v>56.851802971464295</v>
      </c>
      <c r="AP41" s="9">
        <v>18555.377872309971</v>
      </c>
      <c r="AQ41" s="9">
        <v>83.125263973908346</v>
      </c>
      <c r="AR41" s="9">
        <v>80.829321198118379</v>
      </c>
      <c r="AS41" s="9">
        <v>615.43042253748365</v>
      </c>
      <c r="AT41" s="9">
        <v>113.53649238230555</v>
      </c>
      <c r="AU41" s="9">
        <v>48.486100260964953</v>
      </c>
      <c r="AV41" s="9">
        <v>51.017717896858713</v>
      </c>
      <c r="AW41" s="9">
        <v>28.233904576938269</v>
      </c>
      <c r="AX41" s="9">
        <v>99.380215171684512</v>
      </c>
      <c r="AY41" s="9">
        <v>70.275926041999597</v>
      </c>
      <c r="AZ41" s="9">
        <v>677.60911254653581</v>
      </c>
      <c r="BA41" s="9">
        <v>76.001161744793109</v>
      </c>
      <c r="BB41" s="9">
        <v>270.38852324065954</v>
      </c>
      <c r="BC41" s="9">
        <v>853.59286806547948</v>
      </c>
      <c r="BD41" s="9">
        <v>312.73067821646049</v>
      </c>
      <c r="BE41" s="9">
        <v>81.194963881105423</v>
      </c>
      <c r="BF41" s="9">
        <v>2558.8036038076393</v>
      </c>
      <c r="BG41" s="9">
        <v>0</v>
      </c>
      <c r="BH41" s="9">
        <v>0</v>
      </c>
      <c r="BI41" s="9">
        <v>15586.004512557724</v>
      </c>
      <c r="BJ41" s="9">
        <v>0</v>
      </c>
      <c r="BK41" s="9">
        <v>22.267350450035117</v>
      </c>
      <c r="BL41" s="9">
        <v>5687.9047709853967</v>
      </c>
      <c r="BM41" s="9">
        <v>0.60892967814863963</v>
      </c>
      <c r="BN41" s="9">
        <v>1228.9121585037103</v>
      </c>
      <c r="BO41" s="9">
        <v>52781.723728403609</v>
      </c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</row>
    <row r="42" spans="1:87" x14ac:dyDescent="0.3">
      <c r="A42">
        <v>2014</v>
      </c>
      <c r="B42" s="10" t="s">
        <v>184</v>
      </c>
      <c r="C42" s="12" t="s">
        <v>242</v>
      </c>
      <c r="D42" s="10" t="s">
        <v>292</v>
      </c>
      <c r="E42" s="9">
        <v>25.250366766664236</v>
      </c>
      <c r="F42" s="9">
        <v>0.70015982877537497</v>
      </c>
      <c r="G42" s="9">
        <v>1.987147107348187</v>
      </c>
      <c r="H42" s="9">
        <v>1.8635017533457179</v>
      </c>
      <c r="I42" s="9">
        <v>45.866710255488378</v>
      </c>
      <c r="J42" s="9">
        <v>54.314672604783915</v>
      </c>
      <c r="K42" s="9">
        <v>3.2318816853194781</v>
      </c>
      <c r="L42" s="9">
        <v>16.396538151242837</v>
      </c>
      <c r="M42" s="9">
        <v>12.497976833977532</v>
      </c>
      <c r="N42" s="9">
        <v>81.39946194020132</v>
      </c>
      <c r="O42" s="9">
        <v>73.82410850021212</v>
      </c>
      <c r="P42" s="9">
        <v>31.834517126893509</v>
      </c>
      <c r="Q42" s="9">
        <v>10.375012318037891</v>
      </c>
      <c r="R42" s="9">
        <v>25.027688080899924</v>
      </c>
      <c r="S42" s="9">
        <v>67.519117488001982</v>
      </c>
      <c r="T42" s="9">
        <v>35.886624575991576</v>
      </c>
      <c r="U42" s="9">
        <v>337.12650717933218</v>
      </c>
      <c r="V42" s="9">
        <v>33.07023565707771</v>
      </c>
      <c r="W42" s="9">
        <v>43.461195851896633</v>
      </c>
      <c r="X42" s="9">
        <v>102.19792639790185</v>
      </c>
      <c r="Y42" s="9">
        <v>20.825386339051196</v>
      </c>
      <c r="Z42" s="9">
        <v>10.171379182486223</v>
      </c>
      <c r="AA42" s="9">
        <v>0</v>
      </c>
      <c r="AB42" s="9">
        <v>58.740788470807885</v>
      </c>
      <c r="AC42" s="9">
        <v>25.491565999265461</v>
      </c>
      <c r="AD42" s="9">
        <v>57.359766535916435</v>
      </c>
      <c r="AE42" s="9">
        <v>94.901301386804533</v>
      </c>
      <c r="AF42" s="9">
        <v>192.95957106454563</v>
      </c>
      <c r="AG42" s="9">
        <v>1212.3949304528153</v>
      </c>
      <c r="AH42" s="9">
        <v>1692.5134470349631</v>
      </c>
      <c r="AI42" s="9">
        <v>91.446942012368382</v>
      </c>
      <c r="AJ42" s="9">
        <v>9.5554815892419835</v>
      </c>
      <c r="AK42" s="9">
        <v>2.3626240425134881</v>
      </c>
      <c r="AL42" s="9">
        <v>263.39175868504623</v>
      </c>
      <c r="AM42" s="9">
        <v>27.12246494641796</v>
      </c>
      <c r="AN42" s="9">
        <v>78.932160042782897</v>
      </c>
      <c r="AO42" s="9">
        <v>77.667369802758174</v>
      </c>
      <c r="AP42" s="9">
        <v>294.34231061916466</v>
      </c>
      <c r="AQ42" s="9">
        <v>645.06908786309998</v>
      </c>
      <c r="AR42" s="9">
        <v>204.23752808210978</v>
      </c>
      <c r="AS42" s="9">
        <v>679.92282820612593</v>
      </c>
      <c r="AT42" s="9">
        <v>96.097362466964555</v>
      </c>
      <c r="AU42" s="9">
        <v>113.75659003958988</v>
      </c>
      <c r="AV42" s="9">
        <v>42.170923084133058</v>
      </c>
      <c r="AW42" s="9">
        <v>274.85304625782425</v>
      </c>
      <c r="AX42" s="9">
        <v>146.88517226978863</v>
      </c>
      <c r="AY42" s="9">
        <v>108.18430037886141</v>
      </c>
      <c r="AZ42" s="9">
        <v>1.6903105794323441</v>
      </c>
      <c r="BA42" s="9">
        <v>268.50966486982156</v>
      </c>
      <c r="BB42" s="9">
        <v>335.16379156951666</v>
      </c>
      <c r="BC42" s="9">
        <v>445.84453588580493</v>
      </c>
      <c r="BD42" s="9">
        <v>228.07496941372378</v>
      </c>
      <c r="BE42" s="9">
        <v>63.313002462704397</v>
      </c>
      <c r="BF42" s="9">
        <v>122.28162702457666</v>
      </c>
      <c r="BG42" s="9">
        <v>0</v>
      </c>
      <c r="BH42" s="9">
        <v>0</v>
      </c>
      <c r="BI42" s="9">
        <v>5270.3937964105098</v>
      </c>
      <c r="BJ42" s="9">
        <v>0</v>
      </c>
      <c r="BK42" s="9">
        <v>7.8843755637119615E-3</v>
      </c>
      <c r="BL42" s="9">
        <v>0.57037930163207928</v>
      </c>
      <c r="BM42" s="9">
        <v>3.7514063438592931E-3</v>
      </c>
      <c r="BN42" s="9">
        <v>741.58462357290352</v>
      </c>
      <c r="BO42" s="9">
        <v>15002.625773831369</v>
      </c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</row>
    <row r="43" spans="1:87" x14ac:dyDescent="0.3">
      <c r="A43">
        <v>2014</v>
      </c>
      <c r="B43" s="10" t="s">
        <v>185</v>
      </c>
      <c r="C43" s="12" t="s">
        <v>243</v>
      </c>
      <c r="D43" s="10" t="s">
        <v>292</v>
      </c>
      <c r="E43" s="9">
        <v>4.357926992060996</v>
      </c>
      <c r="F43" s="9">
        <v>0.56845846522461252</v>
      </c>
      <c r="G43" s="9">
        <v>0.76870488315310248</v>
      </c>
      <c r="H43" s="9">
        <v>2.9692791210517706</v>
      </c>
      <c r="I43" s="9">
        <v>58.92446385324596</v>
      </c>
      <c r="J43" s="9">
        <v>54.01738982712785</v>
      </c>
      <c r="K43" s="9">
        <v>1.8262050934274265</v>
      </c>
      <c r="L43" s="9">
        <v>15.821649282554665</v>
      </c>
      <c r="M43" s="9">
        <v>19.712692118647833</v>
      </c>
      <c r="N43" s="9">
        <v>115.28128753728991</v>
      </c>
      <c r="O43" s="9">
        <v>126.56964910228047</v>
      </c>
      <c r="P43" s="9">
        <v>13.902732572791155</v>
      </c>
      <c r="Q43" s="9">
        <v>16.08371837796301</v>
      </c>
      <c r="R43" s="9">
        <v>10.213624037484548</v>
      </c>
      <c r="S43" s="9">
        <v>121.49476957782669</v>
      </c>
      <c r="T43" s="9">
        <v>48.876910118062369</v>
      </c>
      <c r="U43" s="9">
        <v>1255.3243342236703</v>
      </c>
      <c r="V43" s="9">
        <v>36.864860496048927</v>
      </c>
      <c r="W43" s="9">
        <v>102.12093783785684</v>
      </c>
      <c r="X43" s="9">
        <v>137.94661066892394</v>
      </c>
      <c r="Y43" s="9">
        <v>47.622758105773052</v>
      </c>
      <c r="Z43" s="9">
        <v>10.700831302575635</v>
      </c>
      <c r="AA43" s="9">
        <v>0</v>
      </c>
      <c r="AB43" s="9">
        <v>98.281953007940743</v>
      </c>
      <c r="AC43" s="9">
        <v>58.161918756537972</v>
      </c>
      <c r="AD43" s="9">
        <v>93.47348220187682</v>
      </c>
      <c r="AE43" s="9">
        <v>128.45921255727578</v>
      </c>
      <c r="AF43" s="9">
        <v>42.823197090141022</v>
      </c>
      <c r="AG43" s="9">
        <v>269.06920842529962</v>
      </c>
      <c r="AH43" s="9">
        <v>375.62210050541347</v>
      </c>
      <c r="AI43" s="9">
        <v>148.45801693138543</v>
      </c>
      <c r="AJ43" s="9">
        <v>9.3649826528436186</v>
      </c>
      <c r="AK43" s="9">
        <v>3.8512745132667092</v>
      </c>
      <c r="AL43" s="9">
        <v>202.89272159777087</v>
      </c>
      <c r="AM43" s="9">
        <v>39.862206347301615</v>
      </c>
      <c r="AN43" s="9">
        <v>50.138196089905811</v>
      </c>
      <c r="AO43" s="9">
        <v>102.96672589519261</v>
      </c>
      <c r="AP43" s="9">
        <v>268.24311784954182</v>
      </c>
      <c r="AQ43" s="9">
        <v>272.94683986475519</v>
      </c>
      <c r="AR43" s="9">
        <v>1020.3082090292801</v>
      </c>
      <c r="AS43" s="9">
        <v>1472.3228954377491</v>
      </c>
      <c r="AT43" s="9">
        <v>258.31238381470513</v>
      </c>
      <c r="AU43" s="9">
        <v>408.28217318784647</v>
      </c>
      <c r="AV43" s="9">
        <v>29.95829545137973</v>
      </c>
      <c r="AW43" s="9">
        <v>47.395334970304312</v>
      </c>
      <c r="AX43" s="9">
        <v>68.12039987295222</v>
      </c>
      <c r="AY43" s="9">
        <v>160.44621842230919</v>
      </c>
      <c r="AZ43" s="9">
        <v>5.4159608934157664</v>
      </c>
      <c r="BA43" s="9">
        <v>31.558590805805704</v>
      </c>
      <c r="BB43" s="9">
        <v>55.709943362695448</v>
      </c>
      <c r="BC43" s="9">
        <v>581.5816981903464</v>
      </c>
      <c r="BD43" s="9">
        <v>345.11086176254844</v>
      </c>
      <c r="BE43" s="9">
        <v>43.209340427237919</v>
      </c>
      <c r="BF43" s="9">
        <v>118.84862039410818</v>
      </c>
      <c r="BG43" s="9">
        <v>0</v>
      </c>
      <c r="BH43" s="9">
        <v>0</v>
      </c>
      <c r="BI43" s="9">
        <v>1264.5357076926191</v>
      </c>
      <c r="BJ43" s="9">
        <v>0</v>
      </c>
      <c r="BK43" s="9">
        <v>0.74752551397501132</v>
      </c>
      <c r="BL43" s="9">
        <v>8471.4082300612863</v>
      </c>
      <c r="BM43" s="9">
        <v>5.7184171554379173E-2</v>
      </c>
      <c r="BN43" s="9">
        <v>2705.8524199329995</v>
      </c>
      <c r="BO43" s="9">
        <v>21455.766941276601</v>
      </c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</row>
    <row r="44" spans="1:87" x14ac:dyDescent="0.3">
      <c r="A44">
        <v>2014</v>
      </c>
      <c r="B44" s="10" t="s">
        <v>186</v>
      </c>
      <c r="C44" s="12" t="s">
        <v>244</v>
      </c>
      <c r="D44" s="10" t="s">
        <v>292</v>
      </c>
      <c r="E44" s="9">
        <v>717.4813138919269</v>
      </c>
      <c r="F44" s="9">
        <v>112.53566220268499</v>
      </c>
      <c r="G44" s="9">
        <v>87.30047894675053</v>
      </c>
      <c r="H44" s="9">
        <v>162.80899195349957</v>
      </c>
      <c r="I44" s="9">
        <v>976.36658053306883</v>
      </c>
      <c r="J44" s="9">
        <v>825.41051711920727</v>
      </c>
      <c r="K44" s="9">
        <v>98.050315999589429</v>
      </c>
      <c r="L44" s="9">
        <v>261.00647192658045</v>
      </c>
      <c r="M44" s="9">
        <v>172.74472065159861</v>
      </c>
      <c r="N44" s="9">
        <v>530.35193394658438</v>
      </c>
      <c r="O44" s="9">
        <v>1328.8765656417456</v>
      </c>
      <c r="P44" s="9">
        <v>645.67617108675859</v>
      </c>
      <c r="Q44" s="9">
        <v>210.83549246932051</v>
      </c>
      <c r="R44" s="9">
        <v>280.75610106311143</v>
      </c>
      <c r="S44" s="9">
        <v>1549.2976008484231</v>
      </c>
      <c r="T44" s="9">
        <v>872.4298889464834</v>
      </c>
      <c r="U44" s="9">
        <v>2328.2313501342774</v>
      </c>
      <c r="V44" s="9">
        <v>801.02270447803414</v>
      </c>
      <c r="W44" s="9">
        <v>1486.5098177711457</v>
      </c>
      <c r="X44" s="9">
        <v>1986.6354898889533</v>
      </c>
      <c r="Y44" s="9">
        <v>2090.8538498520952</v>
      </c>
      <c r="Z44" s="9">
        <v>366.50495977199569</v>
      </c>
      <c r="AA44" s="9">
        <v>0</v>
      </c>
      <c r="AB44" s="9">
        <v>1346.4743020172677</v>
      </c>
      <c r="AC44" s="9">
        <v>315.97532607346761</v>
      </c>
      <c r="AD44" s="9">
        <v>388.61795324448082</v>
      </c>
      <c r="AE44" s="9">
        <v>5553.0505766390961</v>
      </c>
      <c r="AF44" s="9">
        <v>303.43296404520362</v>
      </c>
      <c r="AG44" s="9">
        <v>1906.5160370039653</v>
      </c>
      <c r="AH44" s="9">
        <v>2661.5123711480328</v>
      </c>
      <c r="AI44" s="9">
        <v>896.4370021258519</v>
      </c>
      <c r="AJ44" s="9">
        <v>320.45832669094386</v>
      </c>
      <c r="AK44" s="9">
        <v>243.24832602377268</v>
      </c>
      <c r="AL44" s="9">
        <v>1166.6570138866527</v>
      </c>
      <c r="AM44" s="9">
        <v>31.605638956276749</v>
      </c>
      <c r="AN44" s="9">
        <v>743.7330574979859</v>
      </c>
      <c r="AO44" s="9">
        <v>487.37410060665081</v>
      </c>
      <c r="AP44" s="9">
        <v>480.51276287493323</v>
      </c>
      <c r="AQ44" s="9">
        <v>277.39379325523703</v>
      </c>
      <c r="AR44" s="9">
        <v>218.41694835025621</v>
      </c>
      <c r="AS44" s="9">
        <v>10602.187203739715</v>
      </c>
      <c r="AT44" s="9">
        <v>1145.1497456281652</v>
      </c>
      <c r="AU44" s="9">
        <v>615.17331922120422</v>
      </c>
      <c r="AV44" s="9">
        <v>13896.865711243103</v>
      </c>
      <c r="AW44" s="9">
        <v>731.77988536744442</v>
      </c>
      <c r="AX44" s="9">
        <v>599.52193980626282</v>
      </c>
      <c r="AY44" s="9">
        <v>230.30206758460776</v>
      </c>
      <c r="AZ44" s="9">
        <v>6.8765514371711545</v>
      </c>
      <c r="BA44" s="9">
        <v>462.03982132785728</v>
      </c>
      <c r="BB44" s="9">
        <v>689.88567448022604</v>
      </c>
      <c r="BC44" s="9">
        <v>2907.4295427067614</v>
      </c>
      <c r="BD44" s="9">
        <v>920.17526813174948</v>
      </c>
      <c r="BE44" s="9">
        <v>1202.3417109386744</v>
      </c>
      <c r="BF44" s="9">
        <v>2052.8642783547734</v>
      </c>
      <c r="BG44" s="9">
        <v>0</v>
      </c>
      <c r="BH44" s="9">
        <v>0</v>
      </c>
      <c r="BI44" s="9">
        <v>23149.444543432583</v>
      </c>
      <c r="BJ44" s="9">
        <v>0</v>
      </c>
      <c r="BK44" s="9">
        <v>0</v>
      </c>
      <c r="BL44" s="9">
        <v>14.143309043960363</v>
      </c>
      <c r="BM44" s="9">
        <v>0</v>
      </c>
      <c r="BN44" s="9">
        <v>851.54391660459407</v>
      </c>
      <c r="BO44" s="9">
        <v>95310.827968612779</v>
      </c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</row>
    <row r="45" spans="1:87" x14ac:dyDescent="0.3">
      <c r="A45">
        <v>2014</v>
      </c>
      <c r="B45" s="10" t="s">
        <v>187</v>
      </c>
      <c r="C45" s="12" t="s">
        <v>245</v>
      </c>
      <c r="D45" s="10" t="s">
        <v>292</v>
      </c>
      <c r="E45" s="9">
        <v>19.303026501996829</v>
      </c>
      <c r="F45" s="9">
        <v>6.0245643134837854</v>
      </c>
      <c r="G45" s="9">
        <v>7.0537973272386187</v>
      </c>
      <c r="H45" s="9">
        <v>17.198330380597117</v>
      </c>
      <c r="I45" s="9">
        <v>135.87105639164881</v>
      </c>
      <c r="J45" s="9">
        <v>157.45241356207327</v>
      </c>
      <c r="K45" s="9">
        <v>20.073745345577368</v>
      </c>
      <c r="L45" s="9">
        <v>32.573167676402534</v>
      </c>
      <c r="M45" s="9">
        <v>57.738297586536042</v>
      </c>
      <c r="N45" s="9">
        <v>56.237497215920918</v>
      </c>
      <c r="O45" s="9">
        <v>154.44276719535137</v>
      </c>
      <c r="P45" s="9">
        <v>114.28742173283275</v>
      </c>
      <c r="Q45" s="9">
        <v>34.621453941744385</v>
      </c>
      <c r="R45" s="9">
        <v>32.140917533854036</v>
      </c>
      <c r="S45" s="9">
        <v>58.211229071717248</v>
      </c>
      <c r="T45" s="9">
        <v>115.46289069705266</v>
      </c>
      <c r="U45" s="9">
        <v>244.03688504147149</v>
      </c>
      <c r="V45" s="9">
        <v>189.07733704369286</v>
      </c>
      <c r="W45" s="9">
        <v>247.64345971652901</v>
      </c>
      <c r="X45" s="9">
        <v>159.93724850930195</v>
      </c>
      <c r="Y45" s="9">
        <v>154.4933034729408</v>
      </c>
      <c r="Z45" s="9">
        <v>69.760126176296836</v>
      </c>
      <c r="AA45" s="9">
        <v>0</v>
      </c>
      <c r="AB45" s="9">
        <v>41.592092926494296</v>
      </c>
      <c r="AC45" s="9">
        <v>41.249308691989015</v>
      </c>
      <c r="AD45" s="9">
        <v>154.99120620746837</v>
      </c>
      <c r="AE45" s="9">
        <v>660.74951424241658</v>
      </c>
      <c r="AF45" s="9">
        <v>86.225613411099886</v>
      </c>
      <c r="AG45" s="9">
        <v>541.76880645135236</v>
      </c>
      <c r="AH45" s="9">
        <v>756.31379578549002</v>
      </c>
      <c r="AI45" s="9">
        <v>500.41357354628457</v>
      </c>
      <c r="AJ45" s="9">
        <v>23.38445134189185</v>
      </c>
      <c r="AK45" s="9">
        <v>10.101627242142326</v>
      </c>
      <c r="AL45" s="9">
        <v>195.56762007052222</v>
      </c>
      <c r="AM45" s="9">
        <v>3.2746780436666203</v>
      </c>
      <c r="AN45" s="9">
        <v>128.92336288544786</v>
      </c>
      <c r="AO45" s="9">
        <v>49.144222087876528</v>
      </c>
      <c r="AP45" s="9">
        <v>51.831446373939521</v>
      </c>
      <c r="AQ45" s="9">
        <v>7.3922280322521337</v>
      </c>
      <c r="AR45" s="9">
        <v>33.007621771137806</v>
      </c>
      <c r="AS45" s="9">
        <v>224.95423805898687</v>
      </c>
      <c r="AT45" s="9">
        <v>412.82838584357449</v>
      </c>
      <c r="AU45" s="9">
        <v>77.311069905952152</v>
      </c>
      <c r="AV45" s="9">
        <v>487.42666126630178</v>
      </c>
      <c r="AW45" s="9">
        <v>315.07464208801792</v>
      </c>
      <c r="AX45" s="9">
        <v>205.0474909108662</v>
      </c>
      <c r="AY45" s="9">
        <v>28.117547574716696</v>
      </c>
      <c r="AZ45" s="9">
        <v>1.1902433991935351</v>
      </c>
      <c r="BA45" s="9">
        <v>175.05766147202539</v>
      </c>
      <c r="BB45" s="9">
        <v>669.18259399214446</v>
      </c>
      <c r="BC45" s="9">
        <v>59.693670200115392</v>
      </c>
      <c r="BD45" s="9">
        <v>69.091618476382337</v>
      </c>
      <c r="BE45" s="9">
        <v>442.30342439612241</v>
      </c>
      <c r="BF45" s="9">
        <v>189.88626984021599</v>
      </c>
      <c r="BG45" s="9">
        <v>0</v>
      </c>
      <c r="BH45" s="9">
        <v>0</v>
      </c>
      <c r="BI45" s="9">
        <v>15920.326574021236</v>
      </c>
      <c r="BJ45" s="9">
        <v>0</v>
      </c>
      <c r="BK45" s="9">
        <v>0.31249809079946306</v>
      </c>
      <c r="BL45" s="9">
        <v>4.0316641855566306</v>
      </c>
      <c r="BM45" s="9">
        <v>0</v>
      </c>
      <c r="BN45" s="9">
        <v>905.17358388390346</v>
      </c>
      <c r="BO45" s="9">
        <v>25556.581943151839</v>
      </c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</row>
    <row r="46" spans="1:87" x14ac:dyDescent="0.3">
      <c r="A46">
        <v>2014</v>
      </c>
      <c r="B46" s="10" t="s">
        <v>188</v>
      </c>
      <c r="C46" s="12" t="s">
        <v>246</v>
      </c>
      <c r="D46" s="10" t="s">
        <v>292</v>
      </c>
      <c r="E46" s="9">
        <v>50.021769810164663</v>
      </c>
      <c r="F46" s="9">
        <v>8.1189990372310579</v>
      </c>
      <c r="G46" s="9">
        <v>6.1062772245215173</v>
      </c>
      <c r="H46" s="9">
        <v>9.2457378662344016</v>
      </c>
      <c r="I46" s="9">
        <v>108.02550630284274</v>
      </c>
      <c r="J46" s="9">
        <v>95.564655177774924</v>
      </c>
      <c r="K46" s="9">
        <v>8.0591274162705044</v>
      </c>
      <c r="L46" s="9">
        <v>27.248137426820652</v>
      </c>
      <c r="M46" s="9">
        <v>9.2919202452105409</v>
      </c>
      <c r="N46" s="9">
        <v>102.73953880845076</v>
      </c>
      <c r="O46" s="9">
        <v>190.18885369246527</v>
      </c>
      <c r="P46" s="9">
        <v>60.406795268353839</v>
      </c>
      <c r="Q46" s="9">
        <v>19.227851518827741</v>
      </c>
      <c r="R46" s="9">
        <v>27.215783001069887</v>
      </c>
      <c r="S46" s="9">
        <v>168.19509213325966</v>
      </c>
      <c r="T46" s="9">
        <v>99.426239869945604</v>
      </c>
      <c r="U46" s="9">
        <v>349.85248493992759</v>
      </c>
      <c r="V46" s="9">
        <v>102.69449577961565</v>
      </c>
      <c r="W46" s="9">
        <v>146.83637972926559</v>
      </c>
      <c r="X46" s="9">
        <v>148.83267001690299</v>
      </c>
      <c r="Y46" s="9">
        <v>144.99613031476284</v>
      </c>
      <c r="Z46" s="9">
        <v>24.607393592378148</v>
      </c>
      <c r="AA46" s="9">
        <v>0</v>
      </c>
      <c r="AB46" s="9">
        <v>170.96163818713418</v>
      </c>
      <c r="AC46" s="9">
        <v>42.695664595352568</v>
      </c>
      <c r="AD46" s="9">
        <v>31.995447671659772</v>
      </c>
      <c r="AE46" s="9">
        <v>353.07891890663615</v>
      </c>
      <c r="AF46" s="9">
        <v>19.346874198271721</v>
      </c>
      <c r="AG46" s="9">
        <v>121.55938970232761</v>
      </c>
      <c r="AH46" s="9">
        <v>169.69792713119293</v>
      </c>
      <c r="AI46" s="9">
        <v>74.791473096224237</v>
      </c>
      <c r="AJ46" s="9">
        <v>27.417259156337224</v>
      </c>
      <c r="AK46" s="9">
        <v>24.290394949404398</v>
      </c>
      <c r="AL46" s="9">
        <v>72.071263866962667</v>
      </c>
      <c r="AM46" s="9">
        <v>9.4262264511018792</v>
      </c>
      <c r="AN46" s="9">
        <v>72.536720556050142</v>
      </c>
      <c r="AO46" s="9">
        <v>29.959048969854649</v>
      </c>
      <c r="AP46" s="9">
        <v>43.445999568546952</v>
      </c>
      <c r="AQ46" s="9">
        <v>30.329551517604749</v>
      </c>
      <c r="AR46" s="9">
        <v>21.212942656675835</v>
      </c>
      <c r="AS46" s="9">
        <v>2952.6918523831473</v>
      </c>
      <c r="AT46" s="9">
        <v>2108.0840300942286</v>
      </c>
      <c r="AU46" s="9">
        <v>1500.8768108071038</v>
      </c>
      <c r="AV46" s="9">
        <v>682.83094668444846</v>
      </c>
      <c r="AW46" s="9">
        <v>60.019822386387148</v>
      </c>
      <c r="AX46" s="9">
        <v>57.809685666111072</v>
      </c>
      <c r="AY46" s="9">
        <v>54.180036678988515</v>
      </c>
      <c r="AZ46" s="9">
        <v>0.62578160141922468</v>
      </c>
      <c r="BA46" s="9">
        <v>38.125395309415985</v>
      </c>
      <c r="BB46" s="9">
        <v>99.292964043347197</v>
      </c>
      <c r="BC46" s="9">
        <v>218.85476489059653</v>
      </c>
      <c r="BD46" s="9">
        <v>145.94005401209307</v>
      </c>
      <c r="BE46" s="9">
        <v>154.54052587573983</v>
      </c>
      <c r="BF46" s="9">
        <v>105.86645233056763</v>
      </c>
      <c r="BG46" s="9">
        <v>0</v>
      </c>
      <c r="BH46" s="9">
        <v>0</v>
      </c>
      <c r="BI46" s="9">
        <v>5346.7594833902131</v>
      </c>
      <c r="BJ46" s="9">
        <v>0</v>
      </c>
      <c r="BK46" s="9">
        <v>0</v>
      </c>
      <c r="BL46" s="9">
        <v>16.234816164929391</v>
      </c>
      <c r="BM46" s="9">
        <v>0</v>
      </c>
      <c r="BN46" s="9">
        <v>562.30643420581589</v>
      </c>
      <c r="BO46" s="9">
        <v>17326.758436878179</v>
      </c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</row>
    <row r="47" spans="1:87" x14ac:dyDescent="0.3">
      <c r="A47">
        <v>2014</v>
      </c>
      <c r="B47" s="10" t="s">
        <v>189</v>
      </c>
      <c r="C47" s="12" t="s">
        <v>247</v>
      </c>
      <c r="D47" s="10" t="s">
        <v>292</v>
      </c>
      <c r="E47" s="9">
        <v>23.333133225494787</v>
      </c>
      <c r="F47" s="9">
        <v>10.916500023034159</v>
      </c>
      <c r="G47" s="9">
        <v>4.5354765443831129</v>
      </c>
      <c r="H47" s="9">
        <v>10.672375335393316</v>
      </c>
      <c r="I47" s="9">
        <v>425.8608227913258</v>
      </c>
      <c r="J47" s="9">
        <v>710.70646142435396</v>
      </c>
      <c r="K47" s="9">
        <v>22.818856080543721</v>
      </c>
      <c r="L47" s="9">
        <v>50.933494844685598</v>
      </c>
      <c r="M47" s="9">
        <v>135.48469467873343</v>
      </c>
      <c r="N47" s="9">
        <v>192.24628081070171</v>
      </c>
      <c r="O47" s="9">
        <v>542.17744470188131</v>
      </c>
      <c r="P47" s="9">
        <v>188.14220515093834</v>
      </c>
      <c r="Q47" s="9">
        <v>40.289075817845166</v>
      </c>
      <c r="R47" s="9">
        <v>49.163085731130586</v>
      </c>
      <c r="S47" s="9">
        <v>198.96167923031393</v>
      </c>
      <c r="T47" s="9">
        <v>147.12862783430563</v>
      </c>
      <c r="U47" s="9">
        <v>507.69793238811502</v>
      </c>
      <c r="V47" s="9">
        <v>352.91327113592803</v>
      </c>
      <c r="W47" s="9">
        <v>264.04918810241134</v>
      </c>
      <c r="X47" s="9">
        <v>310.79350855319785</v>
      </c>
      <c r="Y47" s="9">
        <v>174.99169457368205</v>
      </c>
      <c r="Z47" s="9">
        <v>175.29098845315931</v>
      </c>
      <c r="AA47" s="9">
        <v>0</v>
      </c>
      <c r="AB47" s="9">
        <v>115.11209337004286</v>
      </c>
      <c r="AC47" s="9">
        <v>90.639327746924437</v>
      </c>
      <c r="AD47" s="9">
        <v>165.46004751477162</v>
      </c>
      <c r="AE47" s="9">
        <v>1011.2087539012007</v>
      </c>
      <c r="AF47" s="9">
        <v>553.38794027924587</v>
      </c>
      <c r="AG47" s="9">
        <v>3477.0284178924903</v>
      </c>
      <c r="AH47" s="9">
        <v>4853.9596530641711</v>
      </c>
      <c r="AI47" s="9">
        <v>423.06756820364632</v>
      </c>
      <c r="AJ47" s="9">
        <v>35.201567188389639</v>
      </c>
      <c r="AK47" s="9">
        <v>47.414473121127635</v>
      </c>
      <c r="AL47" s="9">
        <v>929.76115153498949</v>
      </c>
      <c r="AM47" s="9">
        <v>13.717044479654998</v>
      </c>
      <c r="AN47" s="9">
        <v>2404.3128944743453</v>
      </c>
      <c r="AO47" s="9">
        <v>497.86876690694351</v>
      </c>
      <c r="AP47" s="9">
        <v>443.27123788277294</v>
      </c>
      <c r="AQ47" s="9">
        <v>258.47968337708636</v>
      </c>
      <c r="AR47" s="9">
        <v>565.61403449508282</v>
      </c>
      <c r="AS47" s="9">
        <v>2028.5271526973163</v>
      </c>
      <c r="AT47" s="9">
        <v>482.04180788004697</v>
      </c>
      <c r="AU47" s="9">
        <v>687.82499542814742</v>
      </c>
      <c r="AV47" s="9">
        <v>1376.3548694429956</v>
      </c>
      <c r="AW47" s="9">
        <v>1198.5943074040297</v>
      </c>
      <c r="AX47" s="9">
        <v>615.44825957067428</v>
      </c>
      <c r="AY47" s="9">
        <v>117.49352994402213</v>
      </c>
      <c r="AZ47" s="9">
        <v>6.9897275111624024</v>
      </c>
      <c r="BA47" s="9">
        <v>445.22084032135149</v>
      </c>
      <c r="BB47" s="9">
        <v>564.8603821893546</v>
      </c>
      <c r="BC47" s="9">
        <v>860.12193902145361</v>
      </c>
      <c r="BD47" s="9">
        <v>1011.6621117095691</v>
      </c>
      <c r="BE47" s="9">
        <v>1747.9683789551914</v>
      </c>
      <c r="BF47" s="9">
        <v>1089.2907266279292</v>
      </c>
      <c r="BG47" s="9">
        <v>0</v>
      </c>
      <c r="BH47" s="9">
        <v>0</v>
      </c>
      <c r="BI47" s="9">
        <v>85510.482441949978</v>
      </c>
      <c r="BJ47" s="9">
        <v>0</v>
      </c>
      <c r="BK47" s="9">
        <v>15.98602207580165</v>
      </c>
      <c r="BL47" s="9">
        <v>7367.3599599695053</v>
      </c>
      <c r="BM47" s="9">
        <v>0.43749669662405399</v>
      </c>
      <c r="BN47" s="9">
        <v>1068.3028787367789</v>
      </c>
      <c r="BO47" s="9">
        <v>126619.57928099616</v>
      </c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</row>
    <row r="48" spans="1:87" x14ac:dyDescent="0.3">
      <c r="A48">
        <v>2014</v>
      </c>
      <c r="B48" s="10" t="s">
        <v>190</v>
      </c>
      <c r="C48" s="12" t="s">
        <v>248</v>
      </c>
      <c r="D48" s="10" t="s">
        <v>292</v>
      </c>
      <c r="E48" s="9">
        <v>22.452881495393299</v>
      </c>
      <c r="F48" s="9">
        <v>3.3905480344502594</v>
      </c>
      <c r="G48" s="9">
        <v>11.535484113731918</v>
      </c>
      <c r="H48" s="9">
        <v>6.9269636300991717</v>
      </c>
      <c r="I48" s="9">
        <v>244.44220608097336</v>
      </c>
      <c r="J48" s="9">
        <v>259.44405393297416</v>
      </c>
      <c r="K48" s="9">
        <v>7.8412575738055672</v>
      </c>
      <c r="L48" s="9">
        <v>48.269880682926782</v>
      </c>
      <c r="M48" s="9">
        <v>73.778365765506464</v>
      </c>
      <c r="N48" s="9">
        <v>288.53585344420605</v>
      </c>
      <c r="O48" s="9">
        <v>642.97249518538172</v>
      </c>
      <c r="P48" s="9">
        <v>278.86059465811201</v>
      </c>
      <c r="Q48" s="9">
        <v>26.185530488806343</v>
      </c>
      <c r="R48" s="9">
        <v>48.437276272238201</v>
      </c>
      <c r="S48" s="9">
        <v>582.87983602593067</v>
      </c>
      <c r="T48" s="9">
        <v>247.43017304739072</v>
      </c>
      <c r="U48" s="9">
        <v>975.94566188427177</v>
      </c>
      <c r="V48" s="9">
        <v>144.04348591153075</v>
      </c>
      <c r="W48" s="9">
        <v>201.84142151409674</v>
      </c>
      <c r="X48" s="9">
        <v>643.29784832381154</v>
      </c>
      <c r="Y48" s="9">
        <v>135.28556657990364</v>
      </c>
      <c r="Z48" s="9">
        <v>25.993387323158171</v>
      </c>
      <c r="AA48" s="9">
        <v>0</v>
      </c>
      <c r="AB48" s="9">
        <v>160.73722462034044</v>
      </c>
      <c r="AC48" s="9">
        <v>76.53567632380323</v>
      </c>
      <c r="AD48" s="9">
        <v>116.20688392356885</v>
      </c>
      <c r="AE48" s="9">
        <v>651.40156739766235</v>
      </c>
      <c r="AF48" s="9">
        <v>99.239507915830202</v>
      </c>
      <c r="AG48" s="9">
        <v>623.5374253355476</v>
      </c>
      <c r="AH48" s="9">
        <v>870.46341881626518</v>
      </c>
      <c r="AI48" s="9">
        <v>94.109261806205012</v>
      </c>
      <c r="AJ48" s="9">
        <v>33.877063211018012</v>
      </c>
      <c r="AK48" s="9">
        <v>5.0073256943681068</v>
      </c>
      <c r="AL48" s="9">
        <v>567.50034407094165</v>
      </c>
      <c r="AM48" s="9">
        <v>3.4735543301753107</v>
      </c>
      <c r="AN48" s="9">
        <v>81.02863363031598</v>
      </c>
      <c r="AO48" s="9">
        <v>503.40465246730355</v>
      </c>
      <c r="AP48" s="9">
        <v>584.11351681289045</v>
      </c>
      <c r="AQ48" s="9">
        <v>165.19979508954393</v>
      </c>
      <c r="AR48" s="9">
        <v>441.53372881544192</v>
      </c>
      <c r="AS48" s="9">
        <v>1594.8842765808174</v>
      </c>
      <c r="AT48" s="9">
        <v>357.30617210454295</v>
      </c>
      <c r="AU48" s="9">
        <v>339.48246375645101</v>
      </c>
      <c r="AV48" s="9">
        <v>64.02509607320259</v>
      </c>
      <c r="AW48" s="9">
        <v>256.10357591830763</v>
      </c>
      <c r="AX48" s="9">
        <v>209.25849684526085</v>
      </c>
      <c r="AY48" s="9">
        <v>87.382489883818209</v>
      </c>
      <c r="AZ48" s="9">
        <v>1.8849044644526631</v>
      </c>
      <c r="BA48" s="9">
        <v>171.02710244325206</v>
      </c>
      <c r="BB48" s="9">
        <v>200.51750850501094</v>
      </c>
      <c r="BC48" s="9">
        <v>274.23267368794365</v>
      </c>
      <c r="BD48" s="9">
        <v>127.71461664792422</v>
      </c>
      <c r="BE48" s="9">
        <v>233.08667351013099</v>
      </c>
      <c r="BF48" s="9">
        <v>214.98563299132783</v>
      </c>
      <c r="BG48" s="9">
        <v>0</v>
      </c>
      <c r="BH48" s="9">
        <v>0</v>
      </c>
      <c r="BI48" s="9">
        <v>889.60026474339043</v>
      </c>
      <c r="BJ48" s="9">
        <v>0</v>
      </c>
      <c r="BK48" s="9">
        <v>10.095097465135758</v>
      </c>
      <c r="BL48" s="9">
        <v>13.557443795548862</v>
      </c>
      <c r="BM48" s="9">
        <v>1.2376748712125E-2</v>
      </c>
      <c r="BN48" s="9">
        <v>3331.4760703524876</v>
      </c>
      <c r="BO48" s="9">
        <v>18373.793288747605</v>
      </c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</row>
    <row r="49" spans="1:87" x14ac:dyDescent="0.3">
      <c r="A49">
        <v>2014</v>
      </c>
      <c r="B49" s="10" t="s">
        <v>191</v>
      </c>
      <c r="C49" s="12" t="s">
        <v>249</v>
      </c>
      <c r="D49" s="10" t="s">
        <v>292</v>
      </c>
      <c r="E49" s="9">
        <v>26.59654875302796</v>
      </c>
      <c r="F49" s="9">
        <v>0.63711904538998343</v>
      </c>
      <c r="G49" s="9">
        <v>7.249023852867956</v>
      </c>
      <c r="H49" s="9">
        <v>5.7396803560017551</v>
      </c>
      <c r="I49" s="9">
        <v>157.97122328257146</v>
      </c>
      <c r="J49" s="9">
        <v>135.89580142676797</v>
      </c>
      <c r="K49" s="9">
        <v>6.9730680901824789</v>
      </c>
      <c r="L49" s="9">
        <v>39.33682975658536</v>
      </c>
      <c r="M49" s="9">
        <v>26.649036218712862</v>
      </c>
      <c r="N49" s="9">
        <v>438.16107971628924</v>
      </c>
      <c r="O49" s="9">
        <v>836.2700866185711</v>
      </c>
      <c r="P49" s="9">
        <v>30.351203059427089</v>
      </c>
      <c r="Q49" s="9">
        <v>71.938562964906268</v>
      </c>
      <c r="R49" s="9">
        <v>70.954914221296278</v>
      </c>
      <c r="S49" s="9">
        <v>703.27580599943258</v>
      </c>
      <c r="T49" s="9">
        <v>301.08134698778173</v>
      </c>
      <c r="U49" s="9">
        <v>2124.6387979918354</v>
      </c>
      <c r="V49" s="9">
        <v>306.98209366981314</v>
      </c>
      <c r="W49" s="9">
        <v>669.7980424499591</v>
      </c>
      <c r="X49" s="9">
        <v>2088.4846277852953</v>
      </c>
      <c r="Y49" s="9">
        <v>288.425190504895</v>
      </c>
      <c r="Z49" s="9">
        <v>84.448453389246808</v>
      </c>
      <c r="AA49" s="9">
        <v>0</v>
      </c>
      <c r="AB49" s="9">
        <v>362.4009251164029</v>
      </c>
      <c r="AC49" s="9">
        <v>72.194089367951293</v>
      </c>
      <c r="AD49" s="9">
        <v>194.17871804663349</v>
      </c>
      <c r="AE49" s="9">
        <v>10532.532304563932</v>
      </c>
      <c r="AF49" s="9">
        <v>8.927627300535887</v>
      </c>
      <c r="AG49" s="9">
        <v>56.095560913494687</v>
      </c>
      <c r="AH49" s="9">
        <v>78.30954504210284</v>
      </c>
      <c r="AI49" s="9">
        <v>12.4152974706781</v>
      </c>
      <c r="AJ49" s="9">
        <v>4.3932377606537818</v>
      </c>
      <c r="AK49" s="9">
        <v>0.90562284246030489</v>
      </c>
      <c r="AL49" s="9">
        <v>20.261763881194963</v>
      </c>
      <c r="AM49" s="9">
        <v>1.1294058084523608</v>
      </c>
      <c r="AN49" s="9">
        <v>44.440357216870133</v>
      </c>
      <c r="AO49" s="9">
        <v>239.69885200373403</v>
      </c>
      <c r="AP49" s="9">
        <v>420.85298295404101</v>
      </c>
      <c r="AQ49" s="9">
        <v>71.668011776580656</v>
      </c>
      <c r="AR49" s="9">
        <v>193.69721199130626</v>
      </c>
      <c r="AS49" s="9">
        <v>90.763355333032635</v>
      </c>
      <c r="AT49" s="9">
        <v>11.512881896854326</v>
      </c>
      <c r="AU49" s="9">
        <v>8.8790934619899353</v>
      </c>
      <c r="AV49" s="9">
        <v>6.0374871976165796</v>
      </c>
      <c r="AW49" s="9">
        <v>53.98580558026034</v>
      </c>
      <c r="AX49" s="9">
        <v>928.78741156950764</v>
      </c>
      <c r="AY49" s="9">
        <v>522.15658060846272</v>
      </c>
      <c r="AZ49" s="9">
        <v>5.5183073144344297</v>
      </c>
      <c r="BA49" s="9">
        <v>63.818477552089824</v>
      </c>
      <c r="BB49" s="9">
        <v>171.59128394131849</v>
      </c>
      <c r="BC49" s="9">
        <v>177.1589471555462</v>
      </c>
      <c r="BD49" s="9">
        <v>172.87908378929691</v>
      </c>
      <c r="BE49" s="9">
        <v>89.682999204008979</v>
      </c>
      <c r="BF49" s="9">
        <v>21.202488159660422</v>
      </c>
      <c r="BG49" s="9">
        <v>0</v>
      </c>
      <c r="BH49" s="9">
        <v>0</v>
      </c>
      <c r="BI49" s="9">
        <v>673.92490993203307</v>
      </c>
      <c r="BJ49" s="9">
        <v>0</v>
      </c>
      <c r="BK49" s="9">
        <v>2.2198280036520051</v>
      </c>
      <c r="BL49" s="9">
        <v>152.82717047007949</v>
      </c>
      <c r="BM49" s="9">
        <v>4.9542449356016684E-2</v>
      </c>
      <c r="BN49" s="9">
        <v>6755.4928000629543</v>
      </c>
      <c r="BO49" s="9">
        <v>30644.448503880056</v>
      </c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</row>
    <row r="50" spans="1:87" x14ac:dyDescent="0.3">
      <c r="A50">
        <v>2014</v>
      </c>
      <c r="B50" s="10" t="s">
        <v>192</v>
      </c>
      <c r="C50" s="12" t="s">
        <v>250</v>
      </c>
      <c r="D50" s="10" t="s">
        <v>292</v>
      </c>
      <c r="E50" s="9">
        <v>1.123280948506709</v>
      </c>
      <c r="F50" s="9">
        <v>1.1247638526702354E-2</v>
      </c>
      <c r="G50" s="9">
        <v>0.72289202425183741</v>
      </c>
      <c r="H50" s="9">
        <v>6.5741219424452046E-2</v>
      </c>
      <c r="I50" s="9">
        <v>31.45768637010001</v>
      </c>
      <c r="J50" s="9">
        <v>16.671887623357801</v>
      </c>
      <c r="K50" s="9">
        <v>0.49666363216561504</v>
      </c>
      <c r="L50" s="9">
        <v>2.8999855187333794</v>
      </c>
      <c r="M50" s="9">
        <v>3.4756192779174278</v>
      </c>
      <c r="N50" s="9">
        <v>31.189601686520266</v>
      </c>
      <c r="O50" s="9">
        <v>195.18045572400041</v>
      </c>
      <c r="P50" s="9">
        <v>180.7649082383835</v>
      </c>
      <c r="Q50" s="9">
        <v>15.190525487728616</v>
      </c>
      <c r="R50" s="9">
        <v>9.1048601545480974</v>
      </c>
      <c r="S50" s="9">
        <v>53.471457278207055</v>
      </c>
      <c r="T50" s="9">
        <v>20.313977791197829</v>
      </c>
      <c r="U50" s="9">
        <v>1575.26059209408</v>
      </c>
      <c r="V50" s="9">
        <v>102.04532835812539</v>
      </c>
      <c r="W50" s="9">
        <v>160.66837495117917</v>
      </c>
      <c r="X50" s="9">
        <v>382.87487340459097</v>
      </c>
      <c r="Y50" s="9">
        <v>68.789430258281172</v>
      </c>
      <c r="Z50" s="9">
        <v>8.1411082812533895</v>
      </c>
      <c r="AA50" s="9">
        <v>0</v>
      </c>
      <c r="AB50" s="9">
        <v>39.44412213527562</v>
      </c>
      <c r="AC50" s="9">
        <v>4.3685355251950311</v>
      </c>
      <c r="AD50" s="9">
        <v>2.6532669585948807</v>
      </c>
      <c r="AE50" s="9">
        <v>80.001744499150135</v>
      </c>
      <c r="AF50" s="9">
        <v>2.8998346600709288</v>
      </c>
      <c r="AG50" s="9">
        <v>18.222563590096865</v>
      </c>
      <c r="AH50" s="9">
        <v>25.43842808322422</v>
      </c>
      <c r="AI50" s="9">
        <v>4.9533707781651053</v>
      </c>
      <c r="AJ50" s="9">
        <v>8.6223379013601359E-2</v>
      </c>
      <c r="AK50" s="9">
        <v>0.1368006315857451</v>
      </c>
      <c r="AL50" s="9">
        <v>5.4268460594134931</v>
      </c>
      <c r="AM50" s="9">
        <v>1.3751460932937542E-2</v>
      </c>
      <c r="AN50" s="9">
        <v>1.9214461597944346</v>
      </c>
      <c r="AO50" s="9">
        <v>7.3601747586350976</v>
      </c>
      <c r="AP50" s="9">
        <v>5.5701409443398973</v>
      </c>
      <c r="AQ50" s="9">
        <v>11.314263427131458</v>
      </c>
      <c r="AR50" s="9">
        <v>74.001019802237749</v>
      </c>
      <c r="AS50" s="9">
        <v>1.5694397345246873</v>
      </c>
      <c r="AT50" s="9">
        <v>0.35982399359720069</v>
      </c>
      <c r="AU50" s="9">
        <v>3.095540921862487</v>
      </c>
      <c r="AV50" s="9">
        <v>2.6240108889515845</v>
      </c>
      <c r="AW50" s="9">
        <v>6.076013900620854</v>
      </c>
      <c r="AX50" s="9">
        <v>42.076782420081713</v>
      </c>
      <c r="AY50" s="9">
        <v>25.332089477662151</v>
      </c>
      <c r="AZ50" s="9">
        <v>5.8432792270825269E-2</v>
      </c>
      <c r="BA50" s="9">
        <v>3.120728198411975</v>
      </c>
      <c r="BB50" s="9">
        <v>7.265952971195424</v>
      </c>
      <c r="BC50" s="9">
        <v>0.67878996026251226</v>
      </c>
      <c r="BD50" s="9">
        <v>1.2691073587889847</v>
      </c>
      <c r="BE50" s="9">
        <v>1.9427857659835261</v>
      </c>
      <c r="BF50" s="9">
        <v>2.0052729042617687</v>
      </c>
      <c r="BG50" s="9">
        <v>0</v>
      </c>
      <c r="BH50" s="9">
        <v>0</v>
      </c>
      <c r="BI50" s="9">
        <v>60.168786926571009</v>
      </c>
      <c r="BJ50" s="9">
        <v>0</v>
      </c>
      <c r="BK50" s="9">
        <v>0.57412864396277186</v>
      </c>
      <c r="BL50" s="9">
        <v>36039.519904425018</v>
      </c>
      <c r="BM50" s="9">
        <v>3.1828620200819766E-2</v>
      </c>
      <c r="BN50" s="9">
        <v>3600.5262401670102</v>
      </c>
      <c r="BO50" s="9">
        <v>42942.028690885185</v>
      </c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</row>
    <row r="51" spans="1:87" x14ac:dyDescent="0.3">
      <c r="A51">
        <v>2014</v>
      </c>
      <c r="B51" s="10" t="s">
        <v>193</v>
      </c>
      <c r="C51" s="12" t="s">
        <v>251</v>
      </c>
      <c r="D51" s="10" t="s">
        <v>292</v>
      </c>
      <c r="E51" s="9">
        <v>0.46349100499129509</v>
      </c>
      <c r="F51" s="9">
        <v>0.58251723237049013</v>
      </c>
      <c r="G51" s="9">
        <v>3.9575168699032943E-2</v>
      </c>
      <c r="H51" s="9">
        <v>8.2617758520632897E-2</v>
      </c>
      <c r="I51" s="9">
        <v>46.410780734703124</v>
      </c>
      <c r="J51" s="9">
        <v>18.936408915698077</v>
      </c>
      <c r="K51" s="9">
        <v>0.43132004083741221</v>
      </c>
      <c r="L51" s="9">
        <v>5.0678208547791312</v>
      </c>
      <c r="M51" s="9">
        <v>2.3806276444595809</v>
      </c>
      <c r="N51" s="9">
        <v>19.596891901704431</v>
      </c>
      <c r="O51" s="9">
        <v>30.434339291996217</v>
      </c>
      <c r="P51" s="9">
        <v>6.9920990265168372</v>
      </c>
      <c r="Q51" s="9">
        <v>2.2403267780932112</v>
      </c>
      <c r="R51" s="9">
        <v>3.040282673739688</v>
      </c>
      <c r="S51" s="9">
        <v>13.476739264662999</v>
      </c>
      <c r="T51" s="9">
        <v>14.525352452857684</v>
      </c>
      <c r="U51" s="9">
        <v>102.45899726282326</v>
      </c>
      <c r="V51" s="9">
        <v>15.200312335265066</v>
      </c>
      <c r="W51" s="9">
        <v>14.175132467950892</v>
      </c>
      <c r="X51" s="9">
        <v>87.602137967869737</v>
      </c>
      <c r="Y51" s="9">
        <v>7.1396624172933389</v>
      </c>
      <c r="Z51" s="9">
        <v>3.047678288321424</v>
      </c>
      <c r="AA51" s="9">
        <v>0</v>
      </c>
      <c r="AB51" s="9">
        <v>12.707164049175553</v>
      </c>
      <c r="AC51" s="9">
        <v>1.686099847754563</v>
      </c>
      <c r="AD51" s="9">
        <v>15.020827629309663</v>
      </c>
      <c r="AE51" s="9">
        <v>37.955057607027335</v>
      </c>
      <c r="AF51" s="9">
        <v>15.659375949905129</v>
      </c>
      <c r="AG51" s="9">
        <v>98.390303775094551</v>
      </c>
      <c r="AH51" s="9">
        <v>137.35368317987829</v>
      </c>
      <c r="AI51" s="9">
        <v>5.1598231763306215</v>
      </c>
      <c r="AJ51" s="9">
        <v>1.100199494913114</v>
      </c>
      <c r="AK51" s="9">
        <v>0.37599411797148186</v>
      </c>
      <c r="AL51" s="9">
        <v>36.995207613350196</v>
      </c>
      <c r="AM51" s="9">
        <v>0.73461097016674914</v>
      </c>
      <c r="AN51" s="9">
        <v>13.248450540311797</v>
      </c>
      <c r="AO51" s="9">
        <v>45.370804600808732</v>
      </c>
      <c r="AP51" s="9">
        <v>24.968262205989383</v>
      </c>
      <c r="AQ51" s="9">
        <v>36.90390002425444</v>
      </c>
      <c r="AR51" s="9">
        <v>28.889046561447316</v>
      </c>
      <c r="AS51" s="9">
        <v>241.23434686139208</v>
      </c>
      <c r="AT51" s="9">
        <v>97.016233545074257</v>
      </c>
      <c r="AU51" s="9">
        <v>33.110446960406009</v>
      </c>
      <c r="AV51" s="9">
        <v>8.8074931651735646</v>
      </c>
      <c r="AW51" s="9">
        <v>1.9290054561102479</v>
      </c>
      <c r="AX51" s="9">
        <v>5.1435929175840567</v>
      </c>
      <c r="AY51" s="9">
        <v>1.6509877659548402</v>
      </c>
      <c r="AZ51" s="9">
        <v>7.0746220202400581E-2</v>
      </c>
      <c r="BA51" s="9">
        <v>10.531789319624837</v>
      </c>
      <c r="BB51" s="9">
        <v>4.8481008010564084</v>
      </c>
      <c r="BC51" s="9">
        <v>50.676868702558863</v>
      </c>
      <c r="BD51" s="9">
        <v>39.240768770676624</v>
      </c>
      <c r="BE51" s="9">
        <v>4.0176742317390675</v>
      </c>
      <c r="BF51" s="9">
        <v>18.933109135413236</v>
      </c>
      <c r="BG51" s="9">
        <v>0</v>
      </c>
      <c r="BH51" s="9">
        <v>0</v>
      </c>
      <c r="BI51" s="9">
        <v>20.207239849229087</v>
      </c>
      <c r="BJ51" s="9">
        <v>0</v>
      </c>
      <c r="BK51" s="9">
        <v>0.18592925110802463</v>
      </c>
      <c r="BL51" s="9">
        <v>0.59773489650576528</v>
      </c>
      <c r="BM51" s="9">
        <v>-2.390919184683921E-2</v>
      </c>
      <c r="BN51" s="9">
        <v>867.50076935224263</v>
      </c>
      <c r="BO51" s="9">
        <v>2312.5228508380492</v>
      </c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</row>
    <row r="52" spans="1:87" x14ac:dyDescent="0.3">
      <c r="A52">
        <v>2014</v>
      </c>
      <c r="B52" s="10" t="s">
        <v>194</v>
      </c>
      <c r="C52" s="12" t="s">
        <v>252</v>
      </c>
      <c r="D52" s="10" t="s">
        <v>292</v>
      </c>
      <c r="E52" s="9">
        <v>2.5344689482763125</v>
      </c>
      <c r="F52" s="9">
        <v>0.14973794698788156</v>
      </c>
      <c r="G52" s="9">
        <v>3.1522768636942189</v>
      </c>
      <c r="H52" s="9">
        <v>1.353800999406686</v>
      </c>
      <c r="I52" s="9">
        <v>92.746762971133748</v>
      </c>
      <c r="J52" s="9">
        <v>186.79307688655791</v>
      </c>
      <c r="K52" s="9">
        <v>2.1468494487356415</v>
      </c>
      <c r="L52" s="9">
        <v>16.016744102437897</v>
      </c>
      <c r="M52" s="9">
        <v>16.14777185402583</v>
      </c>
      <c r="N52" s="9">
        <v>61.303494449448564</v>
      </c>
      <c r="O52" s="9">
        <v>244.29584895797342</v>
      </c>
      <c r="P52" s="9">
        <v>7.5508097023954441</v>
      </c>
      <c r="Q52" s="9">
        <v>7.7113830722933772</v>
      </c>
      <c r="R52" s="9">
        <v>11.907361637011476</v>
      </c>
      <c r="S52" s="9">
        <v>399.14607575167213</v>
      </c>
      <c r="T52" s="9">
        <v>113.08494999186703</v>
      </c>
      <c r="U52" s="9">
        <v>280.79088802041184</v>
      </c>
      <c r="V52" s="9">
        <v>38.257649919657567</v>
      </c>
      <c r="W52" s="9">
        <v>45.412958794932976</v>
      </c>
      <c r="X52" s="9">
        <v>37.203561941514856</v>
      </c>
      <c r="Y52" s="9">
        <v>209.08729068661242</v>
      </c>
      <c r="Z52" s="9">
        <v>13.875879633539823</v>
      </c>
      <c r="AA52" s="9">
        <v>0</v>
      </c>
      <c r="AB52" s="9">
        <v>366.23291098603738</v>
      </c>
      <c r="AC52" s="9">
        <v>51.055348775852977</v>
      </c>
      <c r="AD52" s="9">
        <v>462.43794758660971</v>
      </c>
      <c r="AE52" s="9">
        <v>319.3604222377283</v>
      </c>
      <c r="AF52" s="9">
        <v>85.152967044482537</v>
      </c>
      <c r="AG52" s="9">
        <v>535.03123861653421</v>
      </c>
      <c r="AH52" s="9">
        <v>746.90774380972937</v>
      </c>
      <c r="AI52" s="9">
        <v>314.18097747711857</v>
      </c>
      <c r="AJ52" s="9">
        <v>2.9031236201088344</v>
      </c>
      <c r="AK52" s="9">
        <v>32.419745642240876</v>
      </c>
      <c r="AL52" s="9">
        <v>620.92214743474892</v>
      </c>
      <c r="AM52" s="9">
        <v>58.823886531080817</v>
      </c>
      <c r="AN52" s="9">
        <v>19.242729100460359</v>
      </c>
      <c r="AO52" s="9">
        <v>52.407775870265105</v>
      </c>
      <c r="AP52" s="9">
        <v>234.47855711597035</v>
      </c>
      <c r="AQ52" s="9">
        <v>294.83048292032066</v>
      </c>
      <c r="AR52" s="9">
        <v>677.54016060565482</v>
      </c>
      <c r="AS52" s="9">
        <v>1232.8572166870945</v>
      </c>
      <c r="AT52" s="9">
        <v>230.81372955489144</v>
      </c>
      <c r="AU52" s="9">
        <v>172.35906830221472</v>
      </c>
      <c r="AV52" s="9">
        <v>15.774314044521725</v>
      </c>
      <c r="AW52" s="9">
        <v>23.630058269183074</v>
      </c>
      <c r="AX52" s="9">
        <v>176.90158607194564</v>
      </c>
      <c r="AY52" s="9">
        <v>36.552413986614468</v>
      </c>
      <c r="AZ52" s="9">
        <v>0.24424539270281706</v>
      </c>
      <c r="BA52" s="9">
        <v>122.41073572831304</v>
      </c>
      <c r="BB52" s="9">
        <v>111.57557419126634</v>
      </c>
      <c r="BC52" s="9">
        <v>510.02979718971466</v>
      </c>
      <c r="BD52" s="9">
        <v>205.95745614259096</v>
      </c>
      <c r="BE52" s="9">
        <v>18.800280305236747</v>
      </c>
      <c r="BF52" s="9">
        <v>210.95021831211719</v>
      </c>
      <c r="BG52" s="9">
        <v>0</v>
      </c>
      <c r="BH52" s="9">
        <v>0</v>
      </c>
      <c r="BI52" s="9">
        <v>1215.9624248540745</v>
      </c>
      <c r="BJ52" s="9">
        <v>0</v>
      </c>
      <c r="BK52" s="9">
        <v>0.9923534000783969</v>
      </c>
      <c r="BL52" s="9">
        <v>22.583414877926966</v>
      </c>
      <c r="BM52" s="9">
        <v>-7.393178459247138E-3</v>
      </c>
      <c r="BN52" s="9">
        <v>8165.8906952655389</v>
      </c>
      <c r="BO52" s="9">
        <v>19138.875997353109</v>
      </c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</row>
    <row r="53" spans="1:87" x14ac:dyDescent="0.3">
      <c r="A53">
        <v>2014</v>
      </c>
      <c r="B53" s="10" t="s">
        <v>284</v>
      </c>
      <c r="C53" s="12" t="s">
        <v>287</v>
      </c>
      <c r="D53" s="10" t="s">
        <v>292</v>
      </c>
      <c r="E53" s="9">
        <v>28.958416039247435</v>
      </c>
      <c r="F53" s="9">
        <v>1.1393958720155726</v>
      </c>
      <c r="G53" s="9">
        <v>30.150753395975684</v>
      </c>
      <c r="H53" s="9">
        <v>48.92168249499781</v>
      </c>
      <c r="I53" s="9">
        <v>360.77710158437782</v>
      </c>
      <c r="J53" s="9">
        <v>399.06079537441923</v>
      </c>
      <c r="K53" s="9">
        <v>12.603574074420168</v>
      </c>
      <c r="L53" s="9">
        <v>115.88158731369666</v>
      </c>
      <c r="M53" s="9">
        <v>136.51373045103779</v>
      </c>
      <c r="N53" s="9">
        <v>539.8175961838017</v>
      </c>
      <c r="O53" s="9">
        <v>1013.4009999931184</v>
      </c>
      <c r="P53" s="9">
        <v>39.826087100651456</v>
      </c>
      <c r="Q53" s="9">
        <v>75.803221527279646</v>
      </c>
      <c r="R53" s="9">
        <v>96.153101328184249</v>
      </c>
      <c r="S53" s="9">
        <v>1350.0507473411221</v>
      </c>
      <c r="T53" s="9">
        <v>409.98122517847668</v>
      </c>
      <c r="U53" s="9">
        <v>1309.632525287821</v>
      </c>
      <c r="V53" s="9">
        <v>286.55047418033013</v>
      </c>
      <c r="W53" s="9">
        <v>259.49877244697757</v>
      </c>
      <c r="X53" s="9">
        <v>491.28456198221579</v>
      </c>
      <c r="Y53" s="9">
        <v>288.21877304612781</v>
      </c>
      <c r="Z53" s="9">
        <v>66.482169864198937</v>
      </c>
      <c r="AA53" s="9">
        <v>0</v>
      </c>
      <c r="AB53" s="9">
        <v>1523.451863347118</v>
      </c>
      <c r="AC53" s="9">
        <v>265.4392026379594</v>
      </c>
      <c r="AD53" s="9">
        <v>898.80937334452915</v>
      </c>
      <c r="AE53" s="9">
        <v>804.65855837958384</v>
      </c>
      <c r="AF53" s="9">
        <v>364.76625859117911</v>
      </c>
      <c r="AG53" s="9">
        <v>2291.8987311334017</v>
      </c>
      <c r="AH53" s="9">
        <v>3199.5070566255595</v>
      </c>
      <c r="AI53" s="9">
        <v>1486.9175408591097</v>
      </c>
      <c r="AJ53" s="9">
        <v>1185.4108693828464</v>
      </c>
      <c r="AK53" s="9">
        <v>492.47455272528958</v>
      </c>
      <c r="AL53" s="9">
        <v>3376.4472653361931</v>
      </c>
      <c r="AM53" s="9">
        <v>320.28582706639116</v>
      </c>
      <c r="AN53" s="9">
        <v>314.71865215115622</v>
      </c>
      <c r="AO53" s="9">
        <v>446.64147591819909</v>
      </c>
      <c r="AP53" s="9">
        <v>904.81454835430168</v>
      </c>
      <c r="AQ53" s="9">
        <v>1207.4699734712485</v>
      </c>
      <c r="AR53" s="9">
        <v>720.82165865013769</v>
      </c>
      <c r="AS53" s="9">
        <v>3981.8711432821269</v>
      </c>
      <c r="AT53" s="9">
        <v>1690.9417661653783</v>
      </c>
      <c r="AU53" s="9">
        <v>644.53090134096328</v>
      </c>
      <c r="AV53" s="9">
        <v>456.66714497604238</v>
      </c>
      <c r="AW53" s="9">
        <v>161.65698574158972</v>
      </c>
      <c r="AX53" s="9">
        <v>988.38635612929897</v>
      </c>
      <c r="AY53" s="9">
        <v>419.20151318718422</v>
      </c>
      <c r="AZ53" s="9">
        <v>1.7408549992373388</v>
      </c>
      <c r="BA53" s="9">
        <v>974.77056396923933</v>
      </c>
      <c r="BB53" s="9">
        <v>1418.2323426807841</v>
      </c>
      <c r="BC53" s="9">
        <v>3080.5377308982443</v>
      </c>
      <c r="BD53" s="9">
        <v>558.94092030945819</v>
      </c>
      <c r="BE53" s="9">
        <v>660.44633543921657</v>
      </c>
      <c r="BF53" s="9">
        <v>1449.8269963827463</v>
      </c>
      <c r="BG53" s="9">
        <v>0</v>
      </c>
      <c r="BH53" s="9">
        <v>0</v>
      </c>
      <c r="BI53" s="9">
        <v>3293.7964472078697</v>
      </c>
      <c r="BJ53" s="9">
        <v>0</v>
      </c>
      <c r="BK53" s="9">
        <v>7.9901639212744655</v>
      </c>
      <c r="BL53" s="9">
        <v>65.443112889122048</v>
      </c>
      <c r="BM53" s="9">
        <v>0.14605612682984997</v>
      </c>
      <c r="BN53" s="9">
        <v>3369.0137717032112</v>
      </c>
      <c r="BO53" s="9">
        <v>50389.381807384561</v>
      </c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</row>
    <row r="54" spans="1:87" x14ac:dyDescent="0.3">
      <c r="A54">
        <v>2014</v>
      </c>
      <c r="B54" s="10" t="s">
        <v>195</v>
      </c>
      <c r="C54" s="12" t="s">
        <v>253</v>
      </c>
      <c r="D54" s="10" t="s">
        <v>292</v>
      </c>
      <c r="E54" s="9">
        <v>12.915570345105721</v>
      </c>
      <c r="F54" s="9">
        <v>0.81260496721603914</v>
      </c>
      <c r="G54" s="9">
        <v>49.286390065069298</v>
      </c>
      <c r="H54" s="9">
        <v>1.6841192729707271</v>
      </c>
      <c r="I54" s="9">
        <v>32.543497471944775</v>
      </c>
      <c r="J54" s="9">
        <v>28.332100251998021</v>
      </c>
      <c r="K54" s="9">
        <v>2.7889254366858491</v>
      </c>
      <c r="L54" s="9">
        <v>8.4689023976821662</v>
      </c>
      <c r="M54" s="9">
        <v>9.3779316885367798</v>
      </c>
      <c r="N54" s="9">
        <v>21.519689508806493</v>
      </c>
      <c r="O54" s="9">
        <v>56.839295787381708</v>
      </c>
      <c r="P54" s="9">
        <v>10.224194081727624</v>
      </c>
      <c r="Q54" s="9">
        <v>7.8039738083040211</v>
      </c>
      <c r="R54" s="9">
        <v>9.573649563121517</v>
      </c>
      <c r="S54" s="9">
        <v>48.948495453072539</v>
      </c>
      <c r="T54" s="9">
        <v>35.871384278815796</v>
      </c>
      <c r="U54" s="9">
        <v>68.148060251993911</v>
      </c>
      <c r="V54" s="9">
        <v>21.45720185826336</v>
      </c>
      <c r="W54" s="9">
        <v>41.152145221310164</v>
      </c>
      <c r="X54" s="9">
        <v>47.838418598576169</v>
      </c>
      <c r="Y54" s="9">
        <v>26.072965425835626</v>
      </c>
      <c r="Z54" s="9">
        <v>7.3738962302727167</v>
      </c>
      <c r="AA54" s="9">
        <v>0</v>
      </c>
      <c r="AB54" s="9">
        <v>39.673758744351709</v>
      </c>
      <c r="AC54" s="9">
        <v>73.631642399505466</v>
      </c>
      <c r="AD54" s="9">
        <v>64.01007259608204</v>
      </c>
      <c r="AE54" s="9">
        <v>133.16055784436355</v>
      </c>
      <c r="AF54" s="9">
        <v>19.518727514994861</v>
      </c>
      <c r="AG54" s="9">
        <v>122.63917055400913</v>
      </c>
      <c r="AH54" s="9">
        <v>171.20531025260397</v>
      </c>
      <c r="AI54" s="9">
        <v>117.25196155316107</v>
      </c>
      <c r="AJ54" s="9">
        <v>2.1287199005516007</v>
      </c>
      <c r="AK54" s="9">
        <v>361.13493247029095</v>
      </c>
      <c r="AL54" s="9">
        <v>67.817187299674558</v>
      </c>
      <c r="AM54" s="9">
        <v>11.357540980336552</v>
      </c>
      <c r="AN54" s="9">
        <v>36.188039415786854</v>
      </c>
      <c r="AO54" s="9">
        <v>65.25754896128791</v>
      </c>
      <c r="AP54" s="9">
        <v>120.77161339444473</v>
      </c>
      <c r="AQ54" s="9">
        <v>122.51505398581071</v>
      </c>
      <c r="AR54" s="9">
        <v>24.395907127447146</v>
      </c>
      <c r="AS54" s="9">
        <v>190.51112003972688</v>
      </c>
      <c r="AT54" s="9">
        <v>59.811025489748857</v>
      </c>
      <c r="AU54" s="9">
        <v>37.76424874740394</v>
      </c>
      <c r="AV54" s="9">
        <v>58.725348056708576</v>
      </c>
      <c r="AW54" s="9">
        <v>30.242159472226582</v>
      </c>
      <c r="AX54" s="9">
        <v>41.636736675375687</v>
      </c>
      <c r="AY54" s="9">
        <v>41.869850371500554</v>
      </c>
      <c r="AZ54" s="9">
        <v>0.32652704108523678</v>
      </c>
      <c r="BA54" s="9">
        <v>22.641263309257742</v>
      </c>
      <c r="BB54" s="9">
        <v>113.57874105129747</v>
      </c>
      <c r="BC54" s="9">
        <v>193.8209444559111</v>
      </c>
      <c r="BD54" s="9">
        <v>100.96549821283946</v>
      </c>
      <c r="BE54" s="9">
        <v>154.70666559084748</v>
      </c>
      <c r="BF54" s="9">
        <v>105.84453753157828</v>
      </c>
      <c r="BG54" s="9">
        <v>0</v>
      </c>
      <c r="BH54" s="9">
        <v>0</v>
      </c>
      <c r="BI54" s="9">
        <v>11407.803692517851</v>
      </c>
      <c r="BJ54" s="9">
        <v>0</v>
      </c>
      <c r="BK54" s="9">
        <v>117654.96613163182</v>
      </c>
      <c r="BL54" s="9">
        <v>50.44301665519005</v>
      </c>
      <c r="BM54" s="9">
        <v>0.16392365339388468</v>
      </c>
      <c r="BN54" s="9">
        <v>158.67726839658462</v>
      </c>
      <c r="BO54" s="9">
        <v>132526.18985585979</v>
      </c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</row>
    <row r="55" spans="1:87" x14ac:dyDescent="0.3">
      <c r="A55">
        <v>2014</v>
      </c>
      <c r="B55" s="10" t="s">
        <v>196</v>
      </c>
      <c r="C55" s="12" t="s">
        <v>254</v>
      </c>
      <c r="D55" s="10" t="s">
        <v>292</v>
      </c>
      <c r="E55" s="9">
        <v>11.887475217103566</v>
      </c>
      <c r="F55" s="9">
        <v>1.1558663336863466</v>
      </c>
      <c r="G55" s="9">
        <v>3.1387315601104686</v>
      </c>
      <c r="H55" s="9">
        <v>3.4090990055274215</v>
      </c>
      <c r="I55" s="9">
        <v>56.918952220411441</v>
      </c>
      <c r="J55" s="9">
        <v>72.050371252607263</v>
      </c>
      <c r="K55" s="9">
        <v>3.7867768130341743</v>
      </c>
      <c r="L55" s="9">
        <v>17.271215342963181</v>
      </c>
      <c r="M55" s="9">
        <v>22.207190258150433</v>
      </c>
      <c r="N55" s="9">
        <v>117.28782943103242</v>
      </c>
      <c r="O55" s="9">
        <v>174.1117228615467</v>
      </c>
      <c r="P55" s="9">
        <v>20.372041985946186</v>
      </c>
      <c r="Q55" s="9">
        <v>14.314751193786353</v>
      </c>
      <c r="R55" s="9">
        <v>15.666178292287144</v>
      </c>
      <c r="S55" s="9">
        <v>118.19726151677882</v>
      </c>
      <c r="T55" s="9">
        <v>64.37917017747445</v>
      </c>
      <c r="U55" s="9">
        <v>266.51353084821852</v>
      </c>
      <c r="V55" s="9">
        <v>43.164467533313299</v>
      </c>
      <c r="W55" s="9">
        <v>91.744951318486088</v>
      </c>
      <c r="X55" s="9">
        <v>119.46088413387668</v>
      </c>
      <c r="Y55" s="9">
        <v>56.558273940176051</v>
      </c>
      <c r="Z55" s="9">
        <v>13.928633727339454</v>
      </c>
      <c r="AA55" s="9">
        <v>0</v>
      </c>
      <c r="AB55" s="9">
        <v>45.115810259237023</v>
      </c>
      <c r="AC55" s="9">
        <v>42.485731842328057</v>
      </c>
      <c r="AD55" s="9">
        <v>41.028921224881543</v>
      </c>
      <c r="AE55" s="9">
        <v>109.6739484953293</v>
      </c>
      <c r="AF55" s="9">
        <v>49.292526562254849</v>
      </c>
      <c r="AG55" s="9">
        <v>309.73122873335274</v>
      </c>
      <c r="AH55" s="9">
        <v>432.38416863601964</v>
      </c>
      <c r="AI55" s="9">
        <v>39.241064766054507</v>
      </c>
      <c r="AJ55" s="9">
        <v>7.5298870353012957</v>
      </c>
      <c r="AK55" s="9">
        <v>13.370953819656236</v>
      </c>
      <c r="AL55" s="9">
        <v>161.94722657626815</v>
      </c>
      <c r="AM55" s="9">
        <v>5.8178004876103664</v>
      </c>
      <c r="AN55" s="9">
        <v>53.459895555730867</v>
      </c>
      <c r="AO55" s="9">
        <v>52.245809713554195</v>
      </c>
      <c r="AP55" s="9">
        <v>76.456687813806724</v>
      </c>
      <c r="AQ55" s="9">
        <v>34.008023489027501</v>
      </c>
      <c r="AR55" s="9">
        <v>98.813962335370078</v>
      </c>
      <c r="AS55" s="9">
        <v>397.65567712421301</v>
      </c>
      <c r="AT55" s="9">
        <v>76.430581722179511</v>
      </c>
      <c r="AU55" s="9">
        <v>58.674072326586092</v>
      </c>
      <c r="AV55" s="9">
        <v>24.867010576637917</v>
      </c>
      <c r="AW55" s="9">
        <v>69.604114699349992</v>
      </c>
      <c r="AX55" s="9">
        <v>96.868559064181625</v>
      </c>
      <c r="AY55" s="9">
        <v>160.54238814740359</v>
      </c>
      <c r="AZ55" s="9">
        <v>0.68611860353725218</v>
      </c>
      <c r="BA55" s="9">
        <v>67.592393138147429</v>
      </c>
      <c r="BB55" s="9">
        <v>227.0650896507336</v>
      </c>
      <c r="BC55" s="9">
        <v>439.4117398765809</v>
      </c>
      <c r="BD55" s="9">
        <v>304.98368025437031</v>
      </c>
      <c r="BE55" s="9">
        <v>79.495010350677205</v>
      </c>
      <c r="BF55" s="9">
        <v>218.1668058115977</v>
      </c>
      <c r="BG55" s="9">
        <v>0</v>
      </c>
      <c r="BH55" s="9">
        <v>0</v>
      </c>
      <c r="BI55" s="9">
        <v>57465.422955984213</v>
      </c>
      <c r="BJ55" s="9">
        <v>0</v>
      </c>
      <c r="BK55" s="9">
        <v>36258.325131762926</v>
      </c>
      <c r="BL55" s="9">
        <v>393.87795135159928</v>
      </c>
      <c r="BM55" s="9">
        <v>0.28509162832803692</v>
      </c>
      <c r="BN55" s="9">
        <v>553.64228127843103</v>
      </c>
      <c r="BO55" s="9">
        <v>99773.725675661277</v>
      </c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</row>
    <row r="56" spans="1:87" x14ac:dyDescent="0.3">
      <c r="A56">
        <v>2014</v>
      </c>
      <c r="B56" s="10" t="s">
        <v>285</v>
      </c>
      <c r="C56" s="12" t="s">
        <v>288</v>
      </c>
      <c r="D56" s="10" t="s">
        <v>292</v>
      </c>
      <c r="E56" s="9">
        <v>126.86418315598756</v>
      </c>
      <c r="F56" s="9">
        <v>10.944731053208773</v>
      </c>
      <c r="G56" s="9">
        <v>17.625405459454324</v>
      </c>
      <c r="H56" s="9">
        <v>9.5123004526299173</v>
      </c>
      <c r="I56" s="9">
        <v>138.25650024630571</v>
      </c>
      <c r="J56" s="9">
        <v>100.58773434208892</v>
      </c>
      <c r="K56" s="9">
        <v>13.887863726969369</v>
      </c>
      <c r="L56" s="9">
        <v>26.821823174608632</v>
      </c>
      <c r="M56" s="9">
        <v>13.694890928361769</v>
      </c>
      <c r="N56" s="9">
        <v>30.254556685475684</v>
      </c>
      <c r="O56" s="9">
        <v>126.58484688299701</v>
      </c>
      <c r="P56" s="9">
        <v>112.96836123657545</v>
      </c>
      <c r="Q56" s="9">
        <v>38.524970248823522</v>
      </c>
      <c r="R56" s="9">
        <v>28.123274974785133</v>
      </c>
      <c r="S56" s="9">
        <v>102.74449333216529</v>
      </c>
      <c r="T56" s="9">
        <v>122.00336405596501</v>
      </c>
      <c r="U56" s="9">
        <v>291.14097031366202</v>
      </c>
      <c r="V56" s="9">
        <v>111.47029856566941</v>
      </c>
      <c r="W56" s="9">
        <v>178.63598392447622</v>
      </c>
      <c r="X56" s="9">
        <v>151.28639363501046</v>
      </c>
      <c r="Y56" s="9">
        <v>150.37801168009085</v>
      </c>
      <c r="Z56" s="9">
        <v>26.383516074368448</v>
      </c>
      <c r="AA56" s="9">
        <v>0</v>
      </c>
      <c r="AB56" s="9">
        <v>46.879372646007667</v>
      </c>
      <c r="AC56" s="9">
        <v>175.68013661964392</v>
      </c>
      <c r="AD56" s="9">
        <v>74.933860360715755</v>
      </c>
      <c r="AE56" s="9">
        <v>1093.9514628480185</v>
      </c>
      <c r="AF56" s="9">
        <v>97.089091737563464</v>
      </c>
      <c r="AG56" s="9">
        <v>610.02669811108763</v>
      </c>
      <c r="AH56" s="9">
        <v>851.6022150317134</v>
      </c>
      <c r="AI56" s="9">
        <v>155.61259611293769</v>
      </c>
      <c r="AJ56" s="9">
        <v>8.0558078800778627</v>
      </c>
      <c r="AK56" s="9">
        <v>14.607826387430173</v>
      </c>
      <c r="AL56" s="9">
        <v>145.35962747574769</v>
      </c>
      <c r="AM56" s="9">
        <v>25.327412064338827</v>
      </c>
      <c r="AN56" s="9">
        <v>103.44707226700919</v>
      </c>
      <c r="AO56" s="9">
        <v>70.876198842257466</v>
      </c>
      <c r="AP56" s="9">
        <v>98.852563374092966</v>
      </c>
      <c r="AQ56" s="9">
        <v>28.808095162829108</v>
      </c>
      <c r="AR56" s="9">
        <v>84.032972641591613</v>
      </c>
      <c r="AS56" s="9">
        <v>493.67017799430107</v>
      </c>
      <c r="AT56" s="9">
        <v>103.76700830729291</v>
      </c>
      <c r="AU56" s="9">
        <v>71.077825178991006</v>
      </c>
      <c r="AV56" s="9">
        <v>75.710803252771612</v>
      </c>
      <c r="AW56" s="9">
        <v>114.43001270754031</v>
      </c>
      <c r="AX56" s="9">
        <v>176.39203330541571</v>
      </c>
      <c r="AY56" s="9">
        <v>110.22539150438095</v>
      </c>
      <c r="AZ56" s="9">
        <v>0.49407047907996815</v>
      </c>
      <c r="BA56" s="9">
        <v>120.14050212573628</v>
      </c>
      <c r="BB56" s="9">
        <v>522.85188448007045</v>
      </c>
      <c r="BC56" s="9">
        <v>669.71833490233394</v>
      </c>
      <c r="BD56" s="9">
        <v>511.33506839423796</v>
      </c>
      <c r="BE56" s="9">
        <v>739.68416016226172</v>
      </c>
      <c r="BF56" s="9">
        <v>219.48596777303473</v>
      </c>
      <c r="BG56" s="9">
        <v>0</v>
      </c>
      <c r="BH56" s="9">
        <v>0</v>
      </c>
      <c r="BI56" s="9">
        <v>43573.056413092898</v>
      </c>
      <c r="BJ56" s="9">
        <v>0</v>
      </c>
      <c r="BK56" s="9">
        <v>53234.760784939259</v>
      </c>
      <c r="BL56" s="9">
        <v>43.528217000063734</v>
      </c>
      <c r="BM56" s="9">
        <v>0.50549855435443669</v>
      </c>
      <c r="BN56" s="9">
        <v>138.28259422520665</v>
      </c>
      <c r="BO56" s="9">
        <v>106532.95423209202</v>
      </c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</row>
    <row r="57" spans="1:87" x14ac:dyDescent="0.3">
      <c r="A57">
        <v>2014</v>
      </c>
      <c r="B57" s="10" t="s">
        <v>286</v>
      </c>
      <c r="C57" s="12" t="s">
        <v>289</v>
      </c>
      <c r="D57" s="10" t="s">
        <v>292</v>
      </c>
      <c r="E57" s="9">
        <v>69.485682415561854</v>
      </c>
      <c r="F57" s="9">
        <v>3.4406246817547581</v>
      </c>
      <c r="G57" s="9">
        <v>23.972114005181339</v>
      </c>
      <c r="H57" s="9">
        <v>14.350346593319767</v>
      </c>
      <c r="I57" s="9">
        <v>169.57612928229506</v>
      </c>
      <c r="J57" s="9">
        <v>182.07625353578419</v>
      </c>
      <c r="K57" s="9">
        <v>10.487408592448123</v>
      </c>
      <c r="L57" s="9">
        <v>39.120395958369002</v>
      </c>
      <c r="M57" s="9">
        <v>75.729029009588629</v>
      </c>
      <c r="N57" s="9">
        <v>160.99998490615431</v>
      </c>
      <c r="O57" s="9">
        <v>433.53244733739308</v>
      </c>
      <c r="P57" s="9">
        <v>41.904063203239424</v>
      </c>
      <c r="Q57" s="9">
        <v>34.923039521981906</v>
      </c>
      <c r="R57" s="9">
        <v>72.212158341888426</v>
      </c>
      <c r="S57" s="9">
        <v>350.62936338428227</v>
      </c>
      <c r="T57" s="9">
        <v>196.9267878531906</v>
      </c>
      <c r="U57" s="9">
        <v>457.61195844758566</v>
      </c>
      <c r="V57" s="9">
        <v>103.19675334653795</v>
      </c>
      <c r="W57" s="9">
        <v>238.42054553298058</v>
      </c>
      <c r="X57" s="9">
        <v>403.46116224019738</v>
      </c>
      <c r="Y57" s="9">
        <v>116.20935818494014</v>
      </c>
      <c r="Z57" s="9">
        <v>33.234868695822826</v>
      </c>
      <c r="AA57" s="9">
        <v>0</v>
      </c>
      <c r="AB57" s="9">
        <v>191.68746934606349</v>
      </c>
      <c r="AC57" s="9">
        <v>160.72085641745051</v>
      </c>
      <c r="AD57" s="9">
        <v>313.31275966728725</v>
      </c>
      <c r="AE57" s="9">
        <v>720.37830388232726</v>
      </c>
      <c r="AF57" s="9">
        <v>122.53715694287581</v>
      </c>
      <c r="AG57" s="9">
        <v>769.93913686643828</v>
      </c>
      <c r="AH57" s="9">
        <v>1074.838160219628</v>
      </c>
      <c r="AI57" s="9">
        <v>1526.2648939789278</v>
      </c>
      <c r="AJ57" s="9">
        <v>24.220110336667808</v>
      </c>
      <c r="AK57" s="9">
        <v>5.2373158932055803</v>
      </c>
      <c r="AL57" s="9">
        <v>739.21522932960477</v>
      </c>
      <c r="AM57" s="9">
        <v>62.391738486386906</v>
      </c>
      <c r="AN57" s="9">
        <v>107.83444874420306</v>
      </c>
      <c r="AO57" s="9">
        <v>1005.168795011082</v>
      </c>
      <c r="AP57" s="9">
        <v>1601.1782802472774</v>
      </c>
      <c r="AQ57" s="9">
        <v>88.237822217016074</v>
      </c>
      <c r="AR57" s="9">
        <v>248.50059491529251</v>
      </c>
      <c r="AS57" s="9">
        <v>1311.9482572820243</v>
      </c>
      <c r="AT57" s="9">
        <v>524.14424653124547</v>
      </c>
      <c r="AU57" s="9">
        <v>180.75212609693335</v>
      </c>
      <c r="AV57" s="9">
        <v>79.192574719922334</v>
      </c>
      <c r="AW57" s="9">
        <v>163.27839639414907</v>
      </c>
      <c r="AX57" s="9">
        <v>393.53642748296681</v>
      </c>
      <c r="AY57" s="9">
        <v>495.40936020695585</v>
      </c>
      <c r="AZ57" s="9">
        <v>4.8893844063504073</v>
      </c>
      <c r="BA57" s="9">
        <v>216.39648518325328</v>
      </c>
      <c r="BB57" s="9">
        <v>863.80970390189725</v>
      </c>
      <c r="BC57" s="9">
        <v>2004.3082607200363</v>
      </c>
      <c r="BD57" s="9">
        <v>964.59455285781053</v>
      </c>
      <c r="BE57" s="9">
        <v>1121.6719318601829</v>
      </c>
      <c r="BF57" s="9">
        <v>1077.7206120125963</v>
      </c>
      <c r="BG57" s="9">
        <v>0</v>
      </c>
      <c r="BH57" s="9">
        <v>0</v>
      </c>
      <c r="BI57" s="9">
        <v>46971.194080907138</v>
      </c>
      <c r="BJ57" s="9">
        <v>0</v>
      </c>
      <c r="BK57" s="9">
        <v>1458.9553517124243</v>
      </c>
      <c r="BL57" s="9">
        <v>564.06963419805254</v>
      </c>
      <c r="BM57" s="9">
        <v>3.3165111591427223</v>
      </c>
      <c r="BN57" s="9">
        <v>1049.3839294989109</v>
      </c>
      <c r="BO57" s="9">
        <v>71441.735374704222</v>
      </c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</row>
    <row r="58" spans="1:87" x14ac:dyDescent="0.3">
      <c r="A58">
        <v>2014</v>
      </c>
      <c r="B58" s="10" t="s">
        <v>197</v>
      </c>
      <c r="C58" s="12" t="s">
        <v>255</v>
      </c>
      <c r="D58" s="10" t="s">
        <v>292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</row>
    <row r="59" spans="1:87" x14ac:dyDescent="0.3">
      <c r="A59">
        <v>2014</v>
      </c>
      <c r="B59" s="10" t="s">
        <v>198</v>
      </c>
      <c r="C59" s="12" t="s">
        <v>290</v>
      </c>
      <c r="D59" s="10" t="s">
        <v>292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</row>
    <row r="60" spans="1:87" x14ac:dyDescent="0.3">
      <c r="A60">
        <v>2014</v>
      </c>
      <c r="B60" s="10" t="s">
        <v>146</v>
      </c>
      <c r="C60" s="12" t="s">
        <v>205</v>
      </c>
      <c r="D60" s="10" t="s">
        <v>293</v>
      </c>
      <c r="E60" s="9">
        <v>458.01024163306488</v>
      </c>
      <c r="F60" s="9">
        <v>84.45250954946178</v>
      </c>
      <c r="G60" s="9">
        <v>11.596210205989413</v>
      </c>
      <c r="H60" s="9">
        <v>0.16389733185556574</v>
      </c>
      <c r="I60" s="9">
        <v>5090.6168857861676</v>
      </c>
      <c r="J60" s="9">
        <v>110.12302922151994</v>
      </c>
      <c r="K60" s="9">
        <v>16.699000172910331</v>
      </c>
      <c r="L60" s="9">
        <v>0.51470804963068606</v>
      </c>
      <c r="M60" s="9">
        <v>0.45041458516688671</v>
      </c>
      <c r="N60" s="9">
        <v>7.412138801064712</v>
      </c>
      <c r="O60" s="9">
        <v>21.332493451747673</v>
      </c>
      <c r="P60" s="9">
        <v>165.52604985129676</v>
      </c>
      <c r="Q60" s="9">
        <v>76.169211109500537</v>
      </c>
      <c r="R60" s="9">
        <v>0.46214761894186063</v>
      </c>
      <c r="S60" s="9">
        <v>3.5964828782678016</v>
      </c>
      <c r="T60" s="9">
        <v>1.4949079394972526</v>
      </c>
      <c r="U60" s="9">
        <v>5.971477806771782</v>
      </c>
      <c r="V60" s="9">
        <v>1.1299715919817392</v>
      </c>
      <c r="W60" s="9">
        <v>2.412997251153334</v>
      </c>
      <c r="X60" s="9">
        <v>3.5529110366815955</v>
      </c>
      <c r="Y60" s="9">
        <v>1.6301065433868063</v>
      </c>
      <c r="Z60" s="9">
        <v>1.6662926768082289</v>
      </c>
      <c r="AA60" s="9">
        <v>0</v>
      </c>
      <c r="AB60" s="9">
        <v>3.1803100357047023</v>
      </c>
      <c r="AC60" s="9">
        <v>0.73661202027677464</v>
      </c>
      <c r="AD60" s="9">
        <v>0.82720033549936856</v>
      </c>
      <c r="AE60" s="9">
        <v>147.80585097997778</v>
      </c>
      <c r="AF60" s="9">
        <v>0.75615699329140706</v>
      </c>
      <c r="AG60" s="9">
        <v>4.7522427132967717</v>
      </c>
      <c r="AH60" s="9">
        <v>6.6323428101747712</v>
      </c>
      <c r="AI60" s="9">
        <v>1.0119386309890501</v>
      </c>
      <c r="AJ60" s="9">
        <v>0.50556822431322179</v>
      </c>
      <c r="AK60" s="9">
        <v>0.27979118224770061</v>
      </c>
      <c r="AL60" s="9">
        <v>3.0342891467637925</v>
      </c>
      <c r="AM60" s="9">
        <v>8.8916869789637851E-2</v>
      </c>
      <c r="AN60" s="9">
        <v>353.52068340246285</v>
      </c>
      <c r="AO60" s="9">
        <v>1.1554202404559983</v>
      </c>
      <c r="AP60" s="9">
        <v>1.1047692522309664</v>
      </c>
      <c r="AQ60" s="9">
        <v>0.54051679349834725</v>
      </c>
      <c r="AR60" s="9">
        <v>2.1161458881803066</v>
      </c>
      <c r="AS60" s="9">
        <v>5.0584796747830403</v>
      </c>
      <c r="AT60" s="9">
        <v>0.93158554443332808</v>
      </c>
      <c r="AU60" s="9">
        <v>0.57927710258690046</v>
      </c>
      <c r="AV60" s="9">
        <v>0.43512265503950387</v>
      </c>
      <c r="AW60" s="9">
        <v>0.63664411720081082</v>
      </c>
      <c r="AX60" s="9">
        <v>2.2870987082177585</v>
      </c>
      <c r="AY60" s="9">
        <v>9.563477825463611</v>
      </c>
      <c r="AZ60" s="9">
        <v>5.0053040697860011E-3</v>
      </c>
      <c r="BA60" s="9">
        <v>1.4616357989668214</v>
      </c>
      <c r="BB60" s="9">
        <v>3.9893906479264674</v>
      </c>
      <c r="BC60" s="9">
        <v>14.005867684023325</v>
      </c>
      <c r="BD60" s="9">
        <v>84.638044628329368</v>
      </c>
      <c r="BE60" s="9">
        <v>138.03046865455957</v>
      </c>
      <c r="BF60" s="9">
        <v>20.002375994044524</v>
      </c>
      <c r="BG60" s="9">
        <v>0</v>
      </c>
      <c r="BH60" s="9">
        <v>0</v>
      </c>
      <c r="BI60" s="9">
        <v>2154.6098127235678</v>
      </c>
      <c r="BJ60" s="9">
        <v>0</v>
      </c>
      <c r="BK60" s="9">
        <v>0.10075580949604382</v>
      </c>
      <c r="BL60" s="9">
        <v>11.603719204323474</v>
      </c>
      <c r="BM60" s="9">
        <v>2.0160896733482674</v>
      </c>
      <c r="BN60" s="9">
        <v>0</v>
      </c>
      <c r="BO60" s="9">
        <v>0</v>
      </c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</row>
    <row r="61" spans="1:87" x14ac:dyDescent="0.3">
      <c r="A61">
        <v>2014</v>
      </c>
      <c r="B61" s="10" t="s">
        <v>147</v>
      </c>
      <c r="C61" s="12" t="s">
        <v>135</v>
      </c>
      <c r="D61" s="10" t="s">
        <v>293</v>
      </c>
      <c r="E61" s="9">
        <v>19.788945476007953</v>
      </c>
      <c r="F61" s="9">
        <v>72.265271673410908</v>
      </c>
      <c r="G61" s="9">
        <v>2.3238140242876151</v>
      </c>
      <c r="H61" s="9">
        <v>1.050901028599232</v>
      </c>
      <c r="I61" s="9">
        <v>166.91078413198741</v>
      </c>
      <c r="J61" s="9">
        <v>0.25371750136107041</v>
      </c>
      <c r="K61" s="9">
        <v>275.11738477130046</v>
      </c>
      <c r="L61" s="9">
        <v>0.68828954522433949</v>
      </c>
      <c r="M61" s="9">
        <v>1.6438914953169736E-2</v>
      </c>
      <c r="N61" s="9">
        <v>0.76470149514635799</v>
      </c>
      <c r="O61" s="9">
        <v>6.7302558289277332</v>
      </c>
      <c r="P61" s="9">
        <v>7.2469430712432192</v>
      </c>
      <c r="Q61" s="9">
        <v>0.16238084005999218</v>
      </c>
      <c r="R61" s="9">
        <v>0.17417415754794505</v>
      </c>
      <c r="S61" s="9">
        <v>0.90555038122073217</v>
      </c>
      <c r="T61" s="9">
        <v>0.82975670596764806</v>
      </c>
      <c r="U61" s="9">
        <v>0.44340122404595006</v>
      </c>
      <c r="V61" s="9">
        <v>0.32807995297435799</v>
      </c>
      <c r="W61" s="9">
        <v>0.46586764052853125</v>
      </c>
      <c r="X61" s="9">
        <v>0.57925689378424317</v>
      </c>
      <c r="Y61" s="9">
        <v>0.68072784363826389</v>
      </c>
      <c r="Z61" s="9">
        <v>4.7951840687322935</v>
      </c>
      <c r="AA61" s="9">
        <v>0</v>
      </c>
      <c r="AB61" s="9">
        <v>0.49499848405449748</v>
      </c>
      <c r="AC61" s="9">
        <v>0.49337635300308669</v>
      </c>
      <c r="AD61" s="9">
        <v>9.9277162871411029E-2</v>
      </c>
      <c r="AE61" s="9">
        <v>27.920484660332278</v>
      </c>
      <c r="AF61" s="9">
        <v>3.4524917369883848E-2</v>
      </c>
      <c r="AG61" s="9">
        <v>0.2174560829616082</v>
      </c>
      <c r="AH61" s="9">
        <v>0.30374326704563881</v>
      </c>
      <c r="AI61" s="9">
        <v>7.2574781467263039E-2</v>
      </c>
      <c r="AJ61" s="9">
        <v>5.8400937390851837E-2</v>
      </c>
      <c r="AK61" s="9">
        <v>3.2794695552920181E-2</v>
      </c>
      <c r="AL61" s="9">
        <v>0.9147131066050419</v>
      </c>
      <c r="AM61" s="9">
        <v>1.7058857608808341E-2</v>
      </c>
      <c r="AN61" s="9">
        <v>59.967684637220067</v>
      </c>
      <c r="AO61" s="9">
        <v>3.1944024024830708E-2</v>
      </c>
      <c r="AP61" s="9">
        <v>5.3608335706357806E-2</v>
      </c>
      <c r="AQ61" s="9">
        <v>2.7249237903109964E-2</v>
      </c>
      <c r="AR61" s="9">
        <v>5.777682902886954E-2</v>
      </c>
      <c r="AS61" s="9">
        <v>0.14781593234379065</v>
      </c>
      <c r="AT61" s="9">
        <v>2.9451947538534962E-2</v>
      </c>
      <c r="AU61" s="9">
        <v>2.2651070595578922E-2</v>
      </c>
      <c r="AV61" s="9">
        <v>2.6380273019429978E-2</v>
      </c>
      <c r="AW61" s="9">
        <v>2.646823861955773E-2</v>
      </c>
      <c r="AX61" s="9">
        <v>0.24407952412797279</v>
      </c>
      <c r="AY61" s="9">
        <v>0.46786716326616229</v>
      </c>
      <c r="AZ61" s="9">
        <v>5.0750788158675014E-4</v>
      </c>
      <c r="BA61" s="9">
        <v>4.3986563779360111E-2</v>
      </c>
      <c r="BB61" s="9">
        <v>0.10118697215080871</v>
      </c>
      <c r="BC61" s="9">
        <v>0.38550842080990266</v>
      </c>
      <c r="BD61" s="9">
        <v>8.369034591243258</v>
      </c>
      <c r="BE61" s="9">
        <v>8.023752054237594</v>
      </c>
      <c r="BF61" s="9">
        <v>0.67547150215392349</v>
      </c>
      <c r="BG61" s="9">
        <v>0</v>
      </c>
      <c r="BH61" s="9">
        <v>0</v>
      </c>
      <c r="BI61" s="9">
        <v>3.956745867498626</v>
      </c>
      <c r="BJ61" s="9">
        <v>0</v>
      </c>
      <c r="BK61" s="9">
        <v>1.766536904221052E-2</v>
      </c>
      <c r="BL61" s="9">
        <v>0.83699465966440001</v>
      </c>
      <c r="BM61" s="9">
        <v>3.4308376837387966E-2</v>
      </c>
      <c r="BN61" s="9">
        <v>0</v>
      </c>
      <c r="BO61" s="9">
        <v>0</v>
      </c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</row>
    <row r="62" spans="1:87" x14ac:dyDescent="0.3">
      <c r="A62">
        <v>2014</v>
      </c>
      <c r="B62" s="10" t="s">
        <v>148</v>
      </c>
      <c r="C62" s="12" t="s">
        <v>206</v>
      </c>
      <c r="D62" s="10" t="s">
        <v>293</v>
      </c>
      <c r="E62" s="9">
        <v>1.1911500341557224</v>
      </c>
      <c r="F62" s="9">
        <v>0.74593836530595692</v>
      </c>
      <c r="G62" s="9">
        <v>0.32277510285238009</v>
      </c>
      <c r="H62" s="9">
        <v>1.180507733819256E-2</v>
      </c>
      <c r="I62" s="9">
        <v>10.757948978926521</v>
      </c>
      <c r="J62" s="9">
        <v>0.1170298216188054</v>
      </c>
      <c r="K62" s="9">
        <v>2.7582141089843106</v>
      </c>
      <c r="L62" s="9">
        <v>1.3831291625317117E-2</v>
      </c>
      <c r="M62" s="9">
        <v>4.0257528034347923E-3</v>
      </c>
      <c r="N62" s="9">
        <v>0.15026900681076824</v>
      </c>
      <c r="O62" s="9">
        <v>0.2451405629774461</v>
      </c>
      <c r="P62" s="9">
        <v>0.18804419935571043</v>
      </c>
      <c r="Q62" s="9">
        <v>2.0866930871661051E-2</v>
      </c>
      <c r="R62" s="9">
        <v>6.1390258713778416E-3</v>
      </c>
      <c r="S62" s="9">
        <v>7.0999886961935252E-2</v>
      </c>
      <c r="T62" s="9">
        <v>2.662581423380701E-2</v>
      </c>
      <c r="U62" s="9">
        <v>0.11531863851505718</v>
      </c>
      <c r="V62" s="9">
        <v>1.8056601687868191E-2</v>
      </c>
      <c r="W62" s="9">
        <v>3.390279928069985E-2</v>
      </c>
      <c r="X62" s="9">
        <v>3.552270775042464E-2</v>
      </c>
      <c r="Y62" s="9">
        <v>4.0463157766780167E-2</v>
      </c>
      <c r="Z62" s="9">
        <v>4.2186580831141171E-2</v>
      </c>
      <c r="AA62" s="9">
        <v>0</v>
      </c>
      <c r="AB62" s="9">
        <v>7.1109115153622421E-2</v>
      </c>
      <c r="AC62" s="9">
        <v>1.1481315664782978E-2</v>
      </c>
      <c r="AD62" s="9">
        <v>2.2102848597543578E-2</v>
      </c>
      <c r="AE62" s="9">
        <v>0.30826488573561445</v>
      </c>
      <c r="AF62" s="9">
        <v>8.9454028711676362E-3</v>
      </c>
      <c r="AG62" s="9">
        <v>5.6447308640968037E-2</v>
      </c>
      <c r="AH62" s="9">
        <v>7.85238711124433E-2</v>
      </c>
      <c r="AI62" s="9">
        <v>1.9135179697765115E-2</v>
      </c>
      <c r="AJ62" s="9">
        <v>1.9605375300123951E-2</v>
      </c>
      <c r="AK62" s="9">
        <v>1.0164016818290753E-2</v>
      </c>
      <c r="AL62" s="9">
        <v>4.9207631962895244E-2</v>
      </c>
      <c r="AM62" s="9">
        <v>2.7659427173768658E-3</v>
      </c>
      <c r="AN62" s="9">
        <v>4.269617022469081</v>
      </c>
      <c r="AO62" s="9">
        <v>1.0511094097415873E-2</v>
      </c>
      <c r="AP62" s="9">
        <v>1.7737912270979744E-2</v>
      </c>
      <c r="AQ62" s="9">
        <v>1.5311799494436003E-2</v>
      </c>
      <c r="AR62" s="9">
        <v>3.7705064401722201E-2</v>
      </c>
      <c r="AS62" s="9">
        <v>7.6162058127143092E-2</v>
      </c>
      <c r="AT62" s="9">
        <v>1.7085803352577665E-2</v>
      </c>
      <c r="AU62" s="9">
        <v>1.2335577404421809E-2</v>
      </c>
      <c r="AV62" s="9">
        <v>7.3053242738404019E-3</v>
      </c>
      <c r="AW62" s="9">
        <v>6.0630294832539344E-3</v>
      </c>
      <c r="AX62" s="9">
        <v>2.3485533305223842E-2</v>
      </c>
      <c r="AY62" s="9">
        <v>9.9184557633853115E-2</v>
      </c>
      <c r="AZ62" s="9">
        <v>7.7788597162150642E-5</v>
      </c>
      <c r="BA62" s="9">
        <v>1.5034694445471928E-2</v>
      </c>
      <c r="BB62" s="9">
        <v>6.7650801217251644E-2</v>
      </c>
      <c r="BC62" s="9">
        <v>6.648882983247334E-2</v>
      </c>
      <c r="BD62" s="9">
        <v>0.6837439157151195</v>
      </c>
      <c r="BE62" s="9">
        <v>0.63770986146631659</v>
      </c>
      <c r="BF62" s="9">
        <v>0.23002057955938368</v>
      </c>
      <c r="BG62" s="9">
        <v>0</v>
      </c>
      <c r="BH62" s="9">
        <v>0</v>
      </c>
      <c r="BI62" s="9">
        <v>67.718137860137318</v>
      </c>
      <c r="BJ62" s="9">
        <v>0</v>
      </c>
      <c r="BK62" s="9">
        <v>5.3881985450891018E-3</v>
      </c>
      <c r="BL62" s="9">
        <v>0.42939978503720555</v>
      </c>
      <c r="BM62" s="9">
        <v>2.2072039596950951E-3</v>
      </c>
      <c r="BN62" s="9">
        <v>0</v>
      </c>
      <c r="BO62" s="9">
        <v>0</v>
      </c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</row>
    <row r="63" spans="1:87" x14ac:dyDescent="0.3">
      <c r="A63">
        <v>2014</v>
      </c>
      <c r="B63" s="10" t="s">
        <v>149</v>
      </c>
      <c r="C63" s="12" t="s">
        <v>207</v>
      </c>
      <c r="D63" s="10" t="s">
        <v>293</v>
      </c>
      <c r="E63" s="9">
        <v>6.4686818911990249</v>
      </c>
      <c r="F63" s="9">
        <v>0.43339307921408737</v>
      </c>
      <c r="G63" s="9">
        <v>1.7153347243046917</v>
      </c>
      <c r="H63" s="9">
        <v>1.0405628396784619</v>
      </c>
      <c r="I63" s="9">
        <v>24.034633763072684</v>
      </c>
      <c r="J63" s="9">
        <v>29.832370896102709</v>
      </c>
      <c r="K63" s="9">
        <v>1.0918869722872131</v>
      </c>
      <c r="L63" s="9">
        <v>24.683268249320523</v>
      </c>
      <c r="M63" s="9">
        <v>1.3103165090689555</v>
      </c>
      <c r="N63" s="9">
        <v>73026.51621133936</v>
      </c>
      <c r="O63" s="9">
        <v>818.81351577912187</v>
      </c>
      <c r="P63" s="9">
        <v>11.866935688675362</v>
      </c>
      <c r="Q63" s="9">
        <v>12.110945274468158</v>
      </c>
      <c r="R63" s="9">
        <v>826.58513795762963</v>
      </c>
      <c r="S63" s="9">
        <v>17448.43214686821</v>
      </c>
      <c r="T63" s="9">
        <v>85.864016568096929</v>
      </c>
      <c r="U63" s="9">
        <v>166.57977916820252</v>
      </c>
      <c r="V63" s="9">
        <v>35.025822706789938</v>
      </c>
      <c r="W63" s="9">
        <v>52.418533581736185</v>
      </c>
      <c r="X63" s="9">
        <v>46.953458431760872</v>
      </c>
      <c r="Y63" s="9">
        <v>54.229417551113386</v>
      </c>
      <c r="Z63" s="9">
        <v>12.325834246384966</v>
      </c>
      <c r="AA63" s="9">
        <v>0</v>
      </c>
      <c r="AB63" s="9">
        <v>26740.919957270795</v>
      </c>
      <c r="AC63" s="9">
        <v>4.0457394899507797</v>
      </c>
      <c r="AD63" s="9">
        <v>5.6149718217002969</v>
      </c>
      <c r="AE63" s="9">
        <v>885.72739113085265</v>
      </c>
      <c r="AF63" s="9">
        <v>0.88665955960665288</v>
      </c>
      <c r="AG63" s="9">
        <v>5.573816770914485</v>
      </c>
      <c r="AH63" s="9">
        <v>7.7794502897563893</v>
      </c>
      <c r="AI63" s="9">
        <v>40.170214759133955</v>
      </c>
      <c r="AJ63" s="9">
        <v>10.07511477925194</v>
      </c>
      <c r="AK63" s="9">
        <v>10.693831001060044</v>
      </c>
      <c r="AL63" s="9">
        <v>5.0280395733607612</v>
      </c>
      <c r="AM63" s="9">
        <v>0.65089050902794221</v>
      </c>
      <c r="AN63" s="9">
        <v>7.835336996577448</v>
      </c>
      <c r="AO63" s="9">
        <v>1.4450717771790316</v>
      </c>
      <c r="AP63" s="9">
        <v>1.9948525379425857</v>
      </c>
      <c r="AQ63" s="9">
        <v>0.95245610191729702</v>
      </c>
      <c r="AR63" s="9">
        <v>3.0512339371505952</v>
      </c>
      <c r="AS63" s="9">
        <v>3.0573268590268663</v>
      </c>
      <c r="AT63" s="9">
        <v>0.70217988994001734</v>
      </c>
      <c r="AU63" s="9">
        <v>0.54202162606283044</v>
      </c>
      <c r="AV63" s="9">
        <v>1.7986597705897907</v>
      </c>
      <c r="AW63" s="9">
        <v>1.38907633015054</v>
      </c>
      <c r="AX63" s="9">
        <v>3.2546983355562911</v>
      </c>
      <c r="AY63" s="9">
        <v>10.016331688664575</v>
      </c>
      <c r="AZ63" s="9">
        <v>8.2720621561050631E-3</v>
      </c>
      <c r="BA63" s="9">
        <v>1.5518872113105351</v>
      </c>
      <c r="BB63" s="9">
        <v>6.4845636976551155</v>
      </c>
      <c r="BC63" s="9">
        <v>8.0049014202565427</v>
      </c>
      <c r="BD63" s="9">
        <v>10.435336818293276</v>
      </c>
      <c r="BE63" s="9">
        <v>13.965609675650395</v>
      </c>
      <c r="BF63" s="9">
        <v>10.569308979865877</v>
      </c>
      <c r="BG63" s="9">
        <v>0</v>
      </c>
      <c r="BH63" s="9">
        <v>0</v>
      </c>
      <c r="BI63" s="9">
        <v>119.9893639619302</v>
      </c>
      <c r="BJ63" s="9">
        <v>0</v>
      </c>
      <c r="BK63" s="9">
        <v>3.4925667578543924E-3</v>
      </c>
      <c r="BL63" s="9">
        <v>72.650642464738283</v>
      </c>
      <c r="BM63" s="9">
        <v>1.5139576812939151</v>
      </c>
      <c r="BN63" s="9">
        <v>0</v>
      </c>
      <c r="BO63" s="9">
        <v>0</v>
      </c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</row>
    <row r="64" spans="1:87" x14ac:dyDescent="0.3">
      <c r="A64">
        <v>2014</v>
      </c>
      <c r="B64" s="10" t="s">
        <v>150</v>
      </c>
      <c r="C64" s="12" t="s">
        <v>208</v>
      </c>
      <c r="D64" s="10" t="s">
        <v>293</v>
      </c>
      <c r="E64" s="9">
        <v>880.65609978389352</v>
      </c>
      <c r="F64" s="9">
        <v>1.0741250155802722</v>
      </c>
      <c r="G64" s="9">
        <v>20.061433359272197</v>
      </c>
      <c r="H64" s="9">
        <v>0.89249307949166057</v>
      </c>
      <c r="I64" s="9">
        <v>2020.9329385100136</v>
      </c>
      <c r="J64" s="9">
        <v>111.49334772873303</v>
      </c>
      <c r="K64" s="9">
        <v>1.8286107285214754</v>
      </c>
      <c r="L64" s="9">
        <v>13.108429445819501</v>
      </c>
      <c r="M64" s="9">
        <v>5.5660400657266331</v>
      </c>
      <c r="N64" s="9">
        <v>65.737636206613672</v>
      </c>
      <c r="O64" s="9">
        <v>357.9927804668535</v>
      </c>
      <c r="P64" s="9">
        <v>90.647116409321598</v>
      </c>
      <c r="Q64" s="9">
        <v>26.319787257581481</v>
      </c>
      <c r="R64" s="9">
        <v>6.4444628169266842</v>
      </c>
      <c r="S64" s="9">
        <v>39.303327499465453</v>
      </c>
      <c r="T64" s="9">
        <v>22.891351407210653</v>
      </c>
      <c r="U64" s="9">
        <v>84.409001772756852</v>
      </c>
      <c r="V64" s="9">
        <v>19.076540839606356</v>
      </c>
      <c r="W64" s="9">
        <v>22.161277116950689</v>
      </c>
      <c r="X64" s="9">
        <v>24.369543727289731</v>
      </c>
      <c r="Y64" s="9">
        <v>19.592687726688485</v>
      </c>
      <c r="Z64" s="9">
        <v>7.705294950325607</v>
      </c>
      <c r="AA64" s="9">
        <v>0</v>
      </c>
      <c r="AB64" s="9">
        <v>29.702828146746935</v>
      </c>
      <c r="AC64" s="9">
        <v>6.4622584245292671</v>
      </c>
      <c r="AD64" s="9">
        <v>7.0761499594263375</v>
      </c>
      <c r="AE64" s="9">
        <v>32.133199373166491</v>
      </c>
      <c r="AF64" s="9">
        <v>4.2514651369232181</v>
      </c>
      <c r="AG64" s="9">
        <v>26.749260519744947</v>
      </c>
      <c r="AH64" s="9">
        <v>37.300094928895284</v>
      </c>
      <c r="AI64" s="9">
        <v>6.7280233001185357</v>
      </c>
      <c r="AJ64" s="9">
        <v>1.4665378583842967</v>
      </c>
      <c r="AK64" s="9">
        <v>0.9850568277011672</v>
      </c>
      <c r="AL64" s="9">
        <v>22.233268671045487</v>
      </c>
      <c r="AM64" s="9">
        <v>0.52817243518897505</v>
      </c>
      <c r="AN64" s="9">
        <v>1447.6611516692155</v>
      </c>
      <c r="AO64" s="9">
        <v>8.8134237738474273</v>
      </c>
      <c r="AP64" s="9">
        <v>6.7506821724227253</v>
      </c>
      <c r="AQ64" s="9">
        <v>3.3647171321777281</v>
      </c>
      <c r="AR64" s="9">
        <v>11.688025326163903</v>
      </c>
      <c r="AS64" s="9">
        <v>20.821229071424472</v>
      </c>
      <c r="AT64" s="9">
        <v>5.2252169276375442</v>
      </c>
      <c r="AU64" s="9">
        <v>3.8519946900047271</v>
      </c>
      <c r="AV64" s="9">
        <v>3.6130472527784114</v>
      </c>
      <c r="AW64" s="9">
        <v>3.5495747358649643</v>
      </c>
      <c r="AX64" s="9">
        <v>13.702734248116586</v>
      </c>
      <c r="AY64" s="9">
        <v>40.488975759937162</v>
      </c>
      <c r="AZ64" s="9">
        <v>2.6064384619876115E-2</v>
      </c>
      <c r="BA64" s="9">
        <v>9.8208977246307931</v>
      </c>
      <c r="BB64" s="9">
        <v>56.89684887220028</v>
      </c>
      <c r="BC64" s="9">
        <v>24.411749626041146</v>
      </c>
      <c r="BD64" s="9">
        <v>216.98926274965677</v>
      </c>
      <c r="BE64" s="9">
        <v>186.60168788937369</v>
      </c>
      <c r="BF64" s="9">
        <v>159.03223926468405</v>
      </c>
      <c r="BG64" s="9">
        <v>0</v>
      </c>
      <c r="BH64" s="9">
        <v>0</v>
      </c>
      <c r="BI64" s="9">
        <v>10937.116771669211</v>
      </c>
      <c r="BJ64" s="9">
        <v>0</v>
      </c>
      <c r="BK64" s="9">
        <v>1.4624726964379607E-2</v>
      </c>
      <c r="BL64" s="9">
        <v>56.148868731809237</v>
      </c>
      <c r="BM64" s="9">
        <v>0.61702357640451266</v>
      </c>
      <c r="BN64" s="9">
        <v>0</v>
      </c>
      <c r="BO64" s="9">
        <v>0</v>
      </c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</row>
    <row r="65" spans="1:87" x14ac:dyDescent="0.3">
      <c r="A65">
        <v>2014</v>
      </c>
      <c r="B65" s="10" t="s">
        <v>151</v>
      </c>
      <c r="C65" s="12" t="s">
        <v>209</v>
      </c>
      <c r="D65" s="10" t="s">
        <v>293</v>
      </c>
      <c r="E65" s="9">
        <v>25.650489656092766</v>
      </c>
      <c r="F65" s="9">
        <v>1.02910173648462</v>
      </c>
      <c r="G65" s="9">
        <v>19.131559255767883</v>
      </c>
      <c r="H65" s="9">
        <v>0.83848996109610696</v>
      </c>
      <c r="I65" s="9">
        <v>31.918480153916203</v>
      </c>
      <c r="J65" s="9">
        <v>3085.5384253533848</v>
      </c>
      <c r="K65" s="9">
        <v>1.8797642819824192</v>
      </c>
      <c r="L65" s="9">
        <v>46.248710738050868</v>
      </c>
      <c r="M65" s="9">
        <v>7.775638598312856</v>
      </c>
      <c r="N65" s="9">
        <v>23.772189498622083</v>
      </c>
      <c r="O65" s="9">
        <v>97.084216108832493</v>
      </c>
      <c r="P65" s="9">
        <v>17.432006366679875</v>
      </c>
      <c r="Q65" s="9">
        <v>66.592354564103573</v>
      </c>
      <c r="R65" s="9">
        <v>10.14207698427426</v>
      </c>
      <c r="S65" s="9">
        <v>83.331757852609954</v>
      </c>
      <c r="T65" s="9">
        <v>57.91028563180452</v>
      </c>
      <c r="U65" s="9">
        <v>148.9324538099076</v>
      </c>
      <c r="V65" s="9">
        <v>31.697644264803571</v>
      </c>
      <c r="W65" s="9">
        <v>45.190653106572043</v>
      </c>
      <c r="X65" s="9">
        <v>118.76603082285392</v>
      </c>
      <c r="Y65" s="9">
        <v>60.470948817177153</v>
      </c>
      <c r="Z65" s="9">
        <v>247.64280041295677</v>
      </c>
      <c r="AA65" s="9">
        <v>0</v>
      </c>
      <c r="AB65" s="9">
        <v>29.35896795796836</v>
      </c>
      <c r="AC65" s="9">
        <v>15.695893223523704</v>
      </c>
      <c r="AD65" s="9">
        <v>57.003768578821493</v>
      </c>
      <c r="AE65" s="9">
        <v>112.74600090551843</v>
      </c>
      <c r="AF65" s="9">
        <v>10.955611372162725</v>
      </c>
      <c r="AG65" s="9">
        <v>68.834812234764939</v>
      </c>
      <c r="AH65" s="9">
        <v>96.110141842154064</v>
      </c>
      <c r="AI65" s="9">
        <v>51.350961367003137</v>
      </c>
      <c r="AJ65" s="9">
        <v>3.4519857377190544</v>
      </c>
      <c r="AK65" s="9">
        <v>0.36248814574582044</v>
      </c>
      <c r="AL65" s="9">
        <v>140.94308895740144</v>
      </c>
      <c r="AM65" s="9">
        <v>4.6276605161019262</v>
      </c>
      <c r="AN65" s="9">
        <v>37.550406304892448</v>
      </c>
      <c r="AO65" s="9">
        <v>7.1320615117615702</v>
      </c>
      <c r="AP65" s="9">
        <v>16.124311711314284</v>
      </c>
      <c r="AQ65" s="9">
        <v>4.9838569300078559</v>
      </c>
      <c r="AR65" s="9">
        <v>5.6859609168919336</v>
      </c>
      <c r="AS65" s="9">
        <v>35.630018546289342</v>
      </c>
      <c r="AT65" s="9">
        <v>12.196802703613319</v>
      </c>
      <c r="AU65" s="9">
        <v>10.427218294959381</v>
      </c>
      <c r="AV65" s="9">
        <v>8.0195086566261917</v>
      </c>
      <c r="AW65" s="9">
        <v>2.6917205402968007</v>
      </c>
      <c r="AX65" s="9">
        <v>9.8386453954859707</v>
      </c>
      <c r="AY65" s="9">
        <v>19.553436389969754</v>
      </c>
      <c r="AZ65" s="9">
        <v>1.9264183944218999E-2</v>
      </c>
      <c r="BA65" s="9">
        <v>18.534102682288037</v>
      </c>
      <c r="BB65" s="9">
        <v>94.978115395145437</v>
      </c>
      <c r="BC65" s="9">
        <v>78.121701653652408</v>
      </c>
      <c r="BD65" s="9">
        <v>20.961971677775015</v>
      </c>
      <c r="BE65" s="9">
        <v>84.290722845110835</v>
      </c>
      <c r="BF65" s="9">
        <v>123.04016725852685</v>
      </c>
      <c r="BG65" s="9">
        <v>0</v>
      </c>
      <c r="BH65" s="9">
        <v>0</v>
      </c>
      <c r="BI65" s="9">
        <v>14208.117469837149</v>
      </c>
      <c r="BJ65" s="9">
        <v>0</v>
      </c>
      <c r="BK65" s="9">
        <v>4.3344108688932034E-3</v>
      </c>
      <c r="BL65" s="9">
        <v>22.017091149254803</v>
      </c>
      <c r="BM65" s="9">
        <v>0.55450866751125649</v>
      </c>
      <c r="BN65" s="9">
        <v>0</v>
      </c>
      <c r="BO65" s="9">
        <v>0</v>
      </c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</row>
    <row r="66" spans="1:87" x14ac:dyDescent="0.3">
      <c r="A66">
        <v>2014</v>
      </c>
      <c r="B66" s="10" t="s">
        <v>152</v>
      </c>
      <c r="C66" s="12" t="s">
        <v>210</v>
      </c>
      <c r="D66" s="10" t="s">
        <v>293</v>
      </c>
      <c r="E66" s="9">
        <v>11.883972296730473</v>
      </c>
      <c r="F66" s="9">
        <v>0.82957587712961267</v>
      </c>
      <c r="G66" s="9">
        <v>24.496257406186814</v>
      </c>
      <c r="H66" s="9">
        <v>1.7057205231755574</v>
      </c>
      <c r="I66" s="9">
        <v>20.666384013149727</v>
      </c>
      <c r="J66" s="9">
        <v>16.886472915478691</v>
      </c>
      <c r="K66" s="9">
        <v>308.10313284526057</v>
      </c>
      <c r="L66" s="9">
        <v>30.079805450712801</v>
      </c>
      <c r="M66" s="9">
        <v>1.656905127611477</v>
      </c>
      <c r="N66" s="9">
        <v>18.747852886618048</v>
      </c>
      <c r="O66" s="9">
        <v>31.588658781355726</v>
      </c>
      <c r="P66" s="9">
        <v>3.4338089985944711</v>
      </c>
      <c r="Q66" s="9">
        <v>4.5808677692957858</v>
      </c>
      <c r="R66" s="9">
        <v>18.124055061345466</v>
      </c>
      <c r="S66" s="9">
        <v>58.886195462977085</v>
      </c>
      <c r="T66" s="9">
        <v>68.336611464649067</v>
      </c>
      <c r="U66" s="9">
        <v>69.93140429842677</v>
      </c>
      <c r="V66" s="9">
        <v>33.756820156786198</v>
      </c>
      <c r="W66" s="9">
        <v>44.939565735366131</v>
      </c>
      <c r="X66" s="9">
        <v>68.495770573620476</v>
      </c>
      <c r="Y66" s="9">
        <v>73.462339564379846</v>
      </c>
      <c r="Z66" s="9">
        <v>352.97637093839415</v>
      </c>
      <c r="AA66" s="9">
        <v>0</v>
      </c>
      <c r="AB66" s="9">
        <v>29.930754253313346</v>
      </c>
      <c r="AC66" s="9">
        <v>1.1645395194071015</v>
      </c>
      <c r="AD66" s="9">
        <v>7.1239774831532854</v>
      </c>
      <c r="AE66" s="9">
        <v>647.5224009394808</v>
      </c>
      <c r="AF66" s="9">
        <v>1.6659445851183363</v>
      </c>
      <c r="AG66" s="9">
        <v>10.45694778348853</v>
      </c>
      <c r="AH66" s="9">
        <v>14.598603274049145</v>
      </c>
      <c r="AI66" s="9">
        <v>3.5404261317032617</v>
      </c>
      <c r="AJ66" s="9">
        <v>0.32852879982138927</v>
      </c>
      <c r="AK66" s="9">
        <v>0.24303214714077537</v>
      </c>
      <c r="AL66" s="9">
        <v>101.26796885303267</v>
      </c>
      <c r="AM66" s="9">
        <v>0.10325931565046566</v>
      </c>
      <c r="AN66" s="9">
        <v>19.379605021516284</v>
      </c>
      <c r="AO66" s="9">
        <v>1.6358646542134816</v>
      </c>
      <c r="AP66" s="9">
        <v>2.0668236569200138</v>
      </c>
      <c r="AQ66" s="9">
        <v>0.36021408717122966</v>
      </c>
      <c r="AR66" s="9">
        <v>1.1336079118349303</v>
      </c>
      <c r="AS66" s="9">
        <v>1.3629319462941378</v>
      </c>
      <c r="AT66" s="9">
        <v>0.30329715712276173</v>
      </c>
      <c r="AU66" s="9">
        <v>0.21077502263619299</v>
      </c>
      <c r="AV66" s="9">
        <v>0.58507348209751275</v>
      </c>
      <c r="AW66" s="9">
        <v>0.18871521808664554</v>
      </c>
      <c r="AX66" s="9">
        <v>25.694944020226092</v>
      </c>
      <c r="AY66" s="9">
        <v>2.6214375973606621</v>
      </c>
      <c r="AZ66" s="9">
        <v>9.4543845975887369E-3</v>
      </c>
      <c r="BA66" s="9">
        <v>3.349315396027075</v>
      </c>
      <c r="BB66" s="9">
        <v>1.5528431564806733</v>
      </c>
      <c r="BC66" s="9">
        <v>3.8125629877755394</v>
      </c>
      <c r="BD66" s="9">
        <v>11.36108991828393</v>
      </c>
      <c r="BE66" s="9">
        <v>10.707490871812876</v>
      </c>
      <c r="BF66" s="9">
        <v>22.673659295413707</v>
      </c>
      <c r="BG66" s="9">
        <v>0</v>
      </c>
      <c r="BH66" s="9">
        <v>0</v>
      </c>
      <c r="BI66" s="9">
        <v>82.771208571444831</v>
      </c>
      <c r="BJ66" s="9">
        <v>0</v>
      </c>
      <c r="BK66" s="9">
        <v>3.3183565687429474E-3</v>
      </c>
      <c r="BL66" s="9">
        <v>23.814801223326974</v>
      </c>
      <c r="BM66" s="9">
        <v>0.89429732734779033</v>
      </c>
      <c r="BN66" s="9">
        <v>0</v>
      </c>
      <c r="BO66" s="9">
        <v>0</v>
      </c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</row>
    <row r="67" spans="1:87" x14ac:dyDescent="0.3">
      <c r="A67">
        <v>2014</v>
      </c>
      <c r="B67" s="10" t="s">
        <v>153</v>
      </c>
      <c r="C67" s="12" t="s">
        <v>211</v>
      </c>
      <c r="D67" s="10" t="s">
        <v>293</v>
      </c>
      <c r="E67" s="9">
        <v>35.681422650486532</v>
      </c>
      <c r="F67" s="9">
        <v>0.24782654505482721</v>
      </c>
      <c r="G67" s="9">
        <v>1.5801382638799222</v>
      </c>
      <c r="H67" s="9">
        <v>0.47108654478250145</v>
      </c>
      <c r="I67" s="9">
        <v>276.41243850012836</v>
      </c>
      <c r="J67" s="9">
        <v>107.3666034809637</v>
      </c>
      <c r="K67" s="9">
        <v>15.859372463307523</v>
      </c>
      <c r="L67" s="9">
        <v>1080.3895089974128</v>
      </c>
      <c r="M67" s="9">
        <v>340.37413416621757</v>
      </c>
      <c r="N67" s="9">
        <v>12.474624642627756</v>
      </c>
      <c r="O67" s="9">
        <v>128.01186926424884</v>
      </c>
      <c r="P67" s="9">
        <v>124.15891237438677</v>
      </c>
      <c r="Q67" s="9">
        <v>21.930512019770834</v>
      </c>
      <c r="R67" s="9">
        <v>25.080333010217672</v>
      </c>
      <c r="S67" s="9">
        <v>35.906252793540688</v>
      </c>
      <c r="T67" s="9">
        <v>51.945317990364657</v>
      </c>
      <c r="U67" s="9">
        <v>150.69464426029555</v>
      </c>
      <c r="V67" s="9">
        <v>105.17243349314259</v>
      </c>
      <c r="W67" s="9">
        <v>43.477697756278253</v>
      </c>
      <c r="X67" s="9">
        <v>41.974933802820416</v>
      </c>
      <c r="Y67" s="9">
        <v>26.810220761786692</v>
      </c>
      <c r="Z67" s="9">
        <v>54.912912340235977</v>
      </c>
      <c r="AA67" s="9">
        <v>0</v>
      </c>
      <c r="AB67" s="9">
        <v>6.8970734882355869</v>
      </c>
      <c r="AC67" s="9">
        <v>3.5887849064584367</v>
      </c>
      <c r="AD67" s="9">
        <v>31.11920379785948</v>
      </c>
      <c r="AE67" s="9">
        <v>99.882316512978903</v>
      </c>
      <c r="AF67" s="9">
        <v>20.532795721027686</v>
      </c>
      <c r="AG67" s="9">
        <v>129.01505476555724</v>
      </c>
      <c r="AH67" s="9">
        <v>180.10083007746775</v>
      </c>
      <c r="AI67" s="9">
        <v>11.124739529958031</v>
      </c>
      <c r="AJ67" s="9">
        <v>0.84383909885989616</v>
      </c>
      <c r="AK67" s="9">
        <v>0.34074970652183834</v>
      </c>
      <c r="AL67" s="9">
        <v>39.497308159039079</v>
      </c>
      <c r="AM67" s="9">
        <v>11.826002634467361</v>
      </c>
      <c r="AN67" s="9">
        <v>43.593823466069992</v>
      </c>
      <c r="AO67" s="9">
        <v>441.73194319074696</v>
      </c>
      <c r="AP67" s="9">
        <v>6.706704483329923</v>
      </c>
      <c r="AQ67" s="9">
        <v>3.0037477851404479</v>
      </c>
      <c r="AR67" s="9">
        <v>21.932774656070059</v>
      </c>
      <c r="AS67" s="9">
        <v>35.724219259446961</v>
      </c>
      <c r="AT67" s="9">
        <v>8.9365597059170057</v>
      </c>
      <c r="AU67" s="9">
        <v>5.917713633430342</v>
      </c>
      <c r="AV67" s="9">
        <v>5.2944402349036839</v>
      </c>
      <c r="AW67" s="9">
        <v>11.190117689826184</v>
      </c>
      <c r="AX67" s="9">
        <v>29.212447880696011</v>
      </c>
      <c r="AY67" s="9">
        <v>23.156255053955284</v>
      </c>
      <c r="AZ67" s="9">
        <v>2.8601097574205293E-2</v>
      </c>
      <c r="BA67" s="9">
        <v>13.809188757294976</v>
      </c>
      <c r="BB67" s="9">
        <v>20.627926122782998</v>
      </c>
      <c r="BC67" s="9">
        <v>24.976299445906818</v>
      </c>
      <c r="BD67" s="9">
        <v>57.450751423158366</v>
      </c>
      <c r="BE67" s="9">
        <v>19.508726162060341</v>
      </c>
      <c r="BF67" s="9">
        <v>32.746172250947723</v>
      </c>
      <c r="BG67" s="9">
        <v>0</v>
      </c>
      <c r="BH67" s="9">
        <v>0</v>
      </c>
      <c r="BI67" s="9">
        <v>248.19809943520153</v>
      </c>
      <c r="BJ67" s="9">
        <v>0</v>
      </c>
      <c r="BK67" s="9">
        <v>1.3349532185185759E-3</v>
      </c>
      <c r="BL67" s="9">
        <v>17.312904853635185</v>
      </c>
      <c r="BM67" s="9">
        <v>0.48530795907642799</v>
      </c>
      <c r="BN67" s="9">
        <v>0</v>
      </c>
      <c r="BO67" s="9">
        <v>0</v>
      </c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</row>
    <row r="68" spans="1:87" x14ac:dyDescent="0.3">
      <c r="A68">
        <v>2014</v>
      </c>
      <c r="B68" s="10" t="s">
        <v>154</v>
      </c>
      <c r="C68" s="12" t="s">
        <v>212</v>
      </c>
      <c r="D68" s="10" t="s">
        <v>293</v>
      </c>
      <c r="E68" s="9">
        <v>1.0176721592468505</v>
      </c>
      <c r="F68" s="9">
        <v>4.9639940076446683E-2</v>
      </c>
      <c r="G68" s="9">
        <v>0.11394954147484476</v>
      </c>
      <c r="H68" s="9">
        <v>8.9316025926475223E-2</v>
      </c>
      <c r="I68" s="9">
        <v>11.986941634450908</v>
      </c>
      <c r="J68" s="9">
        <v>17.091312115291007</v>
      </c>
      <c r="K68" s="9">
        <v>0.45569062387625187</v>
      </c>
      <c r="L68" s="9">
        <v>15.030299751915017</v>
      </c>
      <c r="M68" s="9">
        <v>47.555348629373285</v>
      </c>
      <c r="N68" s="9">
        <v>8.9735383926696048</v>
      </c>
      <c r="O68" s="9">
        <v>15.050187220338298</v>
      </c>
      <c r="P68" s="9">
        <v>11.180196647355368</v>
      </c>
      <c r="Q68" s="9">
        <v>3.0758105053855345</v>
      </c>
      <c r="R68" s="9">
        <v>1.3304949210259989</v>
      </c>
      <c r="S68" s="9">
        <v>8.1232861297314418</v>
      </c>
      <c r="T68" s="9">
        <v>6.4627883454179447</v>
      </c>
      <c r="U68" s="9">
        <v>42.54835007645633</v>
      </c>
      <c r="V68" s="9">
        <v>6.9024307768423556</v>
      </c>
      <c r="W68" s="9">
        <v>7.7158555150776866</v>
      </c>
      <c r="X68" s="9">
        <v>13.8279119543887</v>
      </c>
      <c r="Y68" s="9">
        <v>7.19699886840215</v>
      </c>
      <c r="Z68" s="9">
        <v>3.7443359289518039</v>
      </c>
      <c r="AA68" s="9">
        <v>0</v>
      </c>
      <c r="AB68" s="9">
        <v>4.3394698445976383</v>
      </c>
      <c r="AC68" s="9">
        <v>3.6934214998177168</v>
      </c>
      <c r="AD68" s="9">
        <v>3.5269539030556132</v>
      </c>
      <c r="AE68" s="9">
        <v>21.286111941925711</v>
      </c>
      <c r="AF68" s="9">
        <v>1.8548739029223753</v>
      </c>
      <c r="AG68" s="9">
        <v>11.656767158832752</v>
      </c>
      <c r="AH68" s="9">
        <v>16.26912326792463</v>
      </c>
      <c r="AI68" s="9">
        <v>4.4633416957841954</v>
      </c>
      <c r="AJ68" s="9">
        <v>0.34029775356808001</v>
      </c>
      <c r="AK68" s="9">
        <v>0.25717090992586655</v>
      </c>
      <c r="AL68" s="9">
        <v>10.189499951049211</v>
      </c>
      <c r="AM68" s="9">
        <v>5.2478737824006911</v>
      </c>
      <c r="AN68" s="9">
        <v>2.0527865469530071</v>
      </c>
      <c r="AO68" s="9">
        <v>39.358181464609459</v>
      </c>
      <c r="AP68" s="9">
        <v>4.4259448244435022</v>
      </c>
      <c r="AQ68" s="9">
        <v>3.5658359334825032</v>
      </c>
      <c r="AR68" s="9">
        <v>7.3457730750908548</v>
      </c>
      <c r="AS68" s="9">
        <v>45.435178765016524</v>
      </c>
      <c r="AT68" s="9">
        <v>8.5259232273963583</v>
      </c>
      <c r="AU68" s="9">
        <v>3.5691519441862702</v>
      </c>
      <c r="AV68" s="9">
        <v>1.0862345280153964</v>
      </c>
      <c r="AW68" s="9">
        <v>6.7933578220252517</v>
      </c>
      <c r="AX68" s="9">
        <v>9.2831260775289639</v>
      </c>
      <c r="AY68" s="9">
        <v>8.8398826908997261</v>
      </c>
      <c r="AZ68" s="9">
        <v>7.8326020121417511E-2</v>
      </c>
      <c r="BA68" s="9">
        <v>2.9415795719474649</v>
      </c>
      <c r="BB68" s="9">
        <v>4.0689957925763061</v>
      </c>
      <c r="BC68" s="9">
        <v>34.773149897674145</v>
      </c>
      <c r="BD68" s="9">
        <v>26.68895801340058</v>
      </c>
      <c r="BE68" s="9">
        <v>14.478363241824306</v>
      </c>
      <c r="BF68" s="9">
        <v>17.382528345051135</v>
      </c>
      <c r="BG68" s="9">
        <v>0</v>
      </c>
      <c r="BH68" s="9">
        <v>0</v>
      </c>
      <c r="BI68" s="9">
        <v>46.184493795320037</v>
      </c>
      <c r="BJ68" s="9">
        <v>0</v>
      </c>
      <c r="BK68" s="9">
        <v>2.9334948710728636E-3</v>
      </c>
      <c r="BL68" s="9">
        <v>76.633090441095277</v>
      </c>
      <c r="BM68" s="9">
        <v>0.40164105318657933</v>
      </c>
      <c r="BN68" s="9">
        <v>0</v>
      </c>
      <c r="BO68" s="9">
        <v>0</v>
      </c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</row>
    <row r="69" spans="1:87" x14ac:dyDescent="0.3">
      <c r="A69">
        <v>2014</v>
      </c>
      <c r="B69" s="10" t="s">
        <v>155</v>
      </c>
      <c r="C69" s="12" t="s">
        <v>213</v>
      </c>
      <c r="D69" s="10" t="s">
        <v>293</v>
      </c>
      <c r="E69" s="9">
        <v>292.8558697151575</v>
      </c>
      <c r="F69" s="9">
        <v>19.149411618706111</v>
      </c>
      <c r="G69" s="9">
        <v>144.60166609416689</v>
      </c>
      <c r="H69" s="9">
        <v>56.486959784907668</v>
      </c>
      <c r="I69" s="9">
        <v>194.29425624381105</v>
      </c>
      <c r="J69" s="9">
        <v>240.18680214647327</v>
      </c>
      <c r="K69" s="9">
        <v>15.468114956592096</v>
      </c>
      <c r="L69" s="9">
        <v>114.82617154920891</v>
      </c>
      <c r="M69" s="9">
        <v>32.999265227010788</v>
      </c>
      <c r="N69" s="9">
        <v>2994.2915562747735</v>
      </c>
      <c r="O69" s="9">
        <v>11105.032409011576</v>
      </c>
      <c r="P69" s="9">
        <v>165.50134422114076</v>
      </c>
      <c r="Q69" s="9">
        <v>124.81371635498746</v>
      </c>
      <c r="R69" s="9">
        <v>330.39208082767334</v>
      </c>
      <c r="S69" s="9">
        <v>584.85706752498299</v>
      </c>
      <c r="T69" s="9">
        <v>334.30397937258294</v>
      </c>
      <c r="U69" s="9">
        <v>329.35378810060104</v>
      </c>
      <c r="V69" s="9">
        <v>177.52173552428201</v>
      </c>
      <c r="W69" s="9">
        <v>249.59816125162413</v>
      </c>
      <c r="X69" s="9">
        <v>249.19856949412988</v>
      </c>
      <c r="Y69" s="9">
        <v>228.27651117846341</v>
      </c>
      <c r="Z69" s="9">
        <v>53.67978621002456</v>
      </c>
      <c r="AA69" s="9">
        <v>0</v>
      </c>
      <c r="AB69" s="9">
        <v>1515.4080616310239</v>
      </c>
      <c r="AC69" s="9">
        <v>140.30700765991259</v>
      </c>
      <c r="AD69" s="9">
        <v>125.80075225207521</v>
      </c>
      <c r="AE69" s="9">
        <v>1031.1389352492124</v>
      </c>
      <c r="AF69" s="9">
        <v>57.266197536082593</v>
      </c>
      <c r="AG69" s="9">
        <v>359.82614793540858</v>
      </c>
      <c r="AH69" s="9">
        <v>502.29976743179532</v>
      </c>
      <c r="AI69" s="9">
        <v>3665.4507201827591</v>
      </c>
      <c r="AJ69" s="9">
        <v>915.55363195789687</v>
      </c>
      <c r="AK69" s="9">
        <v>973.48053884040837</v>
      </c>
      <c r="AL69" s="9">
        <v>280.71168365282432</v>
      </c>
      <c r="AM69" s="9">
        <v>49.72938929910967</v>
      </c>
      <c r="AN69" s="9">
        <v>364.44134630455289</v>
      </c>
      <c r="AO69" s="9">
        <v>42.197273760447821</v>
      </c>
      <c r="AP69" s="9">
        <v>64.354968514753708</v>
      </c>
      <c r="AQ69" s="9">
        <v>18.296870393137912</v>
      </c>
      <c r="AR69" s="9">
        <v>34.486549285709799</v>
      </c>
      <c r="AS69" s="9">
        <v>85.958624452209818</v>
      </c>
      <c r="AT69" s="9">
        <v>14.243509647985878</v>
      </c>
      <c r="AU69" s="9">
        <v>8.3710323137024822</v>
      </c>
      <c r="AV69" s="9">
        <v>113.58548895036638</v>
      </c>
      <c r="AW69" s="9">
        <v>101.40557174998361</v>
      </c>
      <c r="AX69" s="9">
        <v>146.55656155868897</v>
      </c>
      <c r="AY69" s="9">
        <v>49.352435892047154</v>
      </c>
      <c r="AZ69" s="9">
        <v>0.18183069695308046</v>
      </c>
      <c r="BA69" s="9">
        <v>63.755993505474294</v>
      </c>
      <c r="BB69" s="9">
        <v>167.45632280016321</v>
      </c>
      <c r="BC69" s="9">
        <v>315.08308438430851</v>
      </c>
      <c r="BD69" s="9">
        <v>553.01156119964548</v>
      </c>
      <c r="BE69" s="9">
        <v>298.85787590422251</v>
      </c>
      <c r="BF69" s="9">
        <v>382.35195862917124</v>
      </c>
      <c r="BG69" s="9">
        <v>0</v>
      </c>
      <c r="BH69" s="9">
        <v>0</v>
      </c>
      <c r="BI69" s="9">
        <v>7787.784713889303</v>
      </c>
      <c r="BJ69" s="9">
        <v>0</v>
      </c>
      <c r="BK69" s="9">
        <v>1.4101013228222889E-2</v>
      </c>
      <c r="BL69" s="9">
        <v>26.780640309640869</v>
      </c>
      <c r="BM69" s="9">
        <v>0.52165565773103773</v>
      </c>
      <c r="BN69" s="9">
        <v>0</v>
      </c>
      <c r="BO69" s="9">
        <v>0</v>
      </c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</row>
    <row r="70" spans="1:87" x14ac:dyDescent="0.3">
      <c r="A70">
        <v>2014</v>
      </c>
      <c r="B70" s="10" t="s">
        <v>156</v>
      </c>
      <c r="C70" s="12" t="s">
        <v>214</v>
      </c>
      <c r="D70" s="10" t="s">
        <v>293</v>
      </c>
      <c r="E70" s="9">
        <v>643.56609195902797</v>
      </c>
      <c r="F70" s="9">
        <v>54.94558050494031</v>
      </c>
      <c r="G70" s="9">
        <v>7.872290069151596</v>
      </c>
      <c r="H70" s="9">
        <v>26.939248853662132</v>
      </c>
      <c r="I70" s="9">
        <v>245.06742142789162</v>
      </c>
      <c r="J70" s="9">
        <v>1660.8805540452427</v>
      </c>
      <c r="K70" s="9">
        <v>86.458340560361904</v>
      </c>
      <c r="L70" s="9">
        <v>336.57918456013351</v>
      </c>
      <c r="M70" s="9">
        <v>203.33880822131732</v>
      </c>
      <c r="N70" s="9">
        <v>1609.4976793285518</v>
      </c>
      <c r="O70" s="9">
        <v>16066.442086471694</v>
      </c>
      <c r="P70" s="9">
        <v>1296.8379645916616</v>
      </c>
      <c r="Q70" s="9">
        <v>1720.4902255161305</v>
      </c>
      <c r="R70" s="9">
        <v>249.95645657665213</v>
      </c>
      <c r="S70" s="9">
        <v>720.59856274202753</v>
      </c>
      <c r="T70" s="9">
        <v>738.23282956076878</v>
      </c>
      <c r="U70" s="9">
        <v>3387.632225250738</v>
      </c>
      <c r="V70" s="9">
        <v>795.21597626656342</v>
      </c>
      <c r="W70" s="9">
        <v>347.62693267359987</v>
      </c>
      <c r="X70" s="9">
        <v>389.23791302533988</v>
      </c>
      <c r="Y70" s="9">
        <v>373.09249505540754</v>
      </c>
      <c r="Z70" s="9">
        <v>260.56275589381301</v>
      </c>
      <c r="AA70" s="9">
        <v>0</v>
      </c>
      <c r="AB70" s="9">
        <v>816.97992685203121</v>
      </c>
      <c r="AC70" s="9">
        <v>263.32406767473981</v>
      </c>
      <c r="AD70" s="9">
        <v>152.87201537519203</v>
      </c>
      <c r="AE70" s="9">
        <v>776.36976722575503</v>
      </c>
      <c r="AF70" s="9">
        <v>6.263092857154378</v>
      </c>
      <c r="AG70" s="9">
        <v>39.373674179633682</v>
      </c>
      <c r="AH70" s="9">
        <v>54.919619556658738</v>
      </c>
      <c r="AI70" s="9">
        <v>199.00449873002697</v>
      </c>
      <c r="AJ70" s="9">
        <v>19.931403255850313</v>
      </c>
      <c r="AK70" s="9">
        <v>17.321097367337401</v>
      </c>
      <c r="AL70" s="9">
        <v>78.787264061923267</v>
      </c>
      <c r="AM70" s="9">
        <v>1.8808455280641407</v>
      </c>
      <c r="AN70" s="9">
        <v>66.06274251157852</v>
      </c>
      <c r="AO70" s="9">
        <v>188.53736266154965</v>
      </c>
      <c r="AP70" s="9">
        <v>68.647102718845773</v>
      </c>
      <c r="AQ70" s="9">
        <v>5.6231621788023274</v>
      </c>
      <c r="AR70" s="9">
        <v>18.306816980460468</v>
      </c>
      <c r="AS70" s="9">
        <v>24.82954684449334</v>
      </c>
      <c r="AT70" s="9">
        <v>9.0289816034568133</v>
      </c>
      <c r="AU70" s="9">
        <v>6.3001655285706661</v>
      </c>
      <c r="AV70" s="9">
        <v>11.913146062119864</v>
      </c>
      <c r="AW70" s="9">
        <v>8.7605987986631479</v>
      </c>
      <c r="AX70" s="9">
        <v>75.816955048541686</v>
      </c>
      <c r="AY70" s="9">
        <v>333.42120739295376</v>
      </c>
      <c r="AZ70" s="9">
        <v>0.10856998261072068</v>
      </c>
      <c r="BA70" s="9">
        <v>108.09781691332078</v>
      </c>
      <c r="BB70" s="9">
        <v>547.71951341618148</v>
      </c>
      <c r="BC70" s="9">
        <v>71.235231255216718</v>
      </c>
      <c r="BD70" s="9">
        <v>72.725939493559196</v>
      </c>
      <c r="BE70" s="9">
        <v>439.7185639428111</v>
      </c>
      <c r="BF70" s="9">
        <v>628.30292461645865</v>
      </c>
      <c r="BG70" s="9">
        <v>0</v>
      </c>
      <c r="BH70" s="9">
        <v>0</v>
      </c>
      <c r="BI70" s="9">
        <v>2330.7448806224438</v>
      </c>
      <c r="BJ70" s="9">
        <v>0</v>
      </c>
      <c r="BK70" s="9">
        <v>3.9820032585540337E-2</v>
      </c>
      <c r="BL70" s="9">
        <v>291.8360793084189</v>
      </c>
      <c r="BM70" s="9">
        <v>2.9866939953355325</v>
      </c>
      <c r="BN70" s="9">
        <v>0</v>
      </c>
      <c r="BO70" s="9">
        <v>0</v>
      </c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</row>
    <row r="71" spans="1:87" x14ac:dyDescent="0.3">
      <c r="A71">
        <v>2014</v>
      </c>
      <c r="B71" s="10" t="s">
        <v>157</v>
      </c>
      <c r="C71" s="12" t="s">
        <v>215</v>
      </c>
      <c r="D71" s="10" t="s">
        <v>293</v>
      </c>
      <c r="E71" s="9">
        <v>26.997398639041986</v>
      </c>
      <c r="F71" s="9">
        <v>0.36490149316205328</v>
      </c>
      <c r="G71" s="9">
        <v>2.5055577763673802</v>
      </c>
      <c r="H71" s="9">
        <v>0.47059815438209496</v>
      </c>
      <c r="I71" s="9">
        <v>92.978322484286423</v>
      </c>
      <c r="J71" s="9">
        <v>18.315214106433174</v>
      </c>
      <c r="K71" s="9">
        <v>0.80405170638874246</v>
      </c>
      <c r="L71" s="9">
        <v>4.2747504568314216</v>
      </c>
      <c r="M71" s="9">
        <v>1.8060546685204824</v>
      </c>
      <c r="N71" s="9">
        <v>34.455534676586616</v>
      </c>
      <c r="O71" s="9">
        <v>132.39795462781166</v>
      </c>
      <c r="P71" s="9">
        <v>1174.4263443730092</v>
      </c>
      <c r="Q71" s="9">
        <v>11.079377203942517</v>
      </c>
      <c r="R71" s="9">
        <v>3.2737987339686976</v>
      </c>
      <c r="S71" s="9">
        <v>20.848772154998954</v>
      </c>
      <c r="T71" s="9">
        <v>14.010061798438262</v>
      </c>
      <c r="U71" s="9">
        <v>98.930847282863311</v>
      </c>
      <c r="V71" s="9">
        <v>14.516788175113799</v>
      </c>
      <c r="W71" s="9">
        <v>22.95846359935021</v>
      </c>
      <c r="X71" s="9">
        <v>21.531998761453483</v>
      </c>
      <c r="Y71" s="9">
        <v>19.639863232662996</v>
      </c>
      <c r="Z71" s="9">
        <v>4.3438150226235184</v>
      </c>
      <c r="AA71" s="9">
        <v>0</v>
      </c>
      <c r="AB71" s="9">
        <v>17.926307983099242</v>
      </c>
      <c r="AC71" s="9">
        <v>8.3128307041001079</v>
      </c>
      <c r="AD71" s="9">
        <v>12.059048823600676</v>
      </c>
      <c r="AE71" s="9">
        <v>28.185320318498459</v>
      </c>
      <c r="AF71" s="9">
        <v>0.86037823638506095</v>
      </c>
      <c r="AG71" s="9">
        <v>5.4185131453629305</v>
      </c>
      <c r="AH71" s="9">
        <v>7.5597090050422038</v>
      </c>
      <c r="AI71" s="9">
        <v>9.9769384422097307</v>
      </c>
      <c r="AJ71" s="9">
        <v>2.6609241966193604</v>
      </c>
      <c r="AK71" s="9">
        <v>8.5170931389372679</v>
      </c>
      <c r="AL71" s="9">
        <v>10.84781611507737</v>
      </c>
      <c r="AM71" s="9">
        <v>0.41447978370491034</v>
      </c>
      <c r="AN71" s="9">
        <v>5.1360622088628549</v>
      </c>
      <c r="AO71" s="9">
        <v>2.9324355962347868</v>
      </c>
      <c r="AP71" s="9">
        <v>2.814140836468074</v>
      </c>
      <c r="AQ71" s="9">
        <v>2.3409461040498645</v>
      </c>
      <c r="AR71" s="9">
        <v>5.2175029786861913</v>
      </c>
      <c r="AS71" s="9">
        <v>13.280890514507842</v>
      </c>
      <c r="AT71" s="9">
        <v>6.9801693565290091</v>
      </c>
      <c r="AU71" s="9">
        <v>5.7324681482519937</v>
      </c>
      <c r="AV71" s="9">
        <v>0.84704808782716201</v>
      </c>
      <c r="AW71" s="9">
        <v>1.4822714472783431</v>
      </c>
      <c r="AX71" s="9">
        <v>4.1423237984882544</v>
      </c>
      <c r="AY71" s="9">
        <v>49.151646155021794</v>
      </c>
      <c r="AZ71" s="9">
        <v>8.656599864956661E-3</v>
      </c>
      <c r="BA71" s="9">
        <v>1.9486885817261332</v>
      </c>
      <c r="BB71" s="9">
        <v>24.694620819628483</v>
      </c>
      <c r="BC71" s="9">
        <v>72.029957998009849</v>
      </c>
      <c r="BD71" s="9">
        <v>13.668903835625951</v>
      </c>
      <c r="BE71" s="9">
        <v>2645.9747732193532</v>
      </c>
      <c r="BF71" s="9">
        <v>20.002907966595536</v>
      </c>
      <c r="BG71" s="9">
        <v>0</v>
      </c>
      <c r="BH71" s="9">
        <v>0</v>
      </c>
      <c r="BI71" s="9">
        <v>447.12593286629493</v>
      </c>
      <c r="BJ71" s="9">
        <v>0</v>
      </c>
      <c r="BK71" s="9">
        <v>6.9834860363500437E-2</v>
      </c>
      <c r="BL71" s="9">
        <v>199.12407628514072</v>
      </c>
      <c r="BM71" s="9">
        <v>9.2716697086295135</v>
      </c>
      <c r="BN71" s="9">
        <v>0</v>
      </c>
      <c r="BO71" s="9">
        <v>0</v>
      </c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</row>
    <row r="72" spans="1:87" x14ac:dyDescent="0.3">
      <c r="A72">
        <v>2014</v>
      </c>
      <c r="B72" s="10" t="s">
        <v>158</v>
      </c>
      <c r="C72" s="12" t="s">
        <v>216</v>
      </c>
      <c r="D72" s="10" t="s">
        <v>293</v>
      </c>
      <c r="E72" s="9">
        <v>69.476597540899945</v>
      </c>
      <c r="F72" s="9">
        <v>2.7715466483869542</v>
      </c>
      <c r="G72" s="9">
        <v>12.373733601443163</v>
      </c>
      <c r="H72" s="9">
        <v>3.3614048210526386</v>
      </c>
      <c r="I72" s="9">
        <v>300.52893319218936</v>
      </c>
      <c r="J72" s="9">
        <v>200.76171519808634</v>
      </c>
      <c r="K72" s="9">
        <v>7.8758905697081065</v>
      </c>
      <c r="L72" s="9">
        <v>42.58664942678589</v>
      </c>
      <c r="M72" s="9">
        <v>45.787458449693574</v>
      </c>
      <c r="N72" s="9">
        <v>109.83198101231962</v>
      </c>
      <c r="O72" s="9">
        <v>397.84644794475093</v>
      </c>
      <c r="P72" s="9">
        <v>129.33790050286609</v>
      </c>
      <c r="Q72" s="9">
        <v>291.48938311698026</v>
      </c>
      <c r="R72" s="9">
        <v>39.724971406550388</v>
      </c>
      <c r="S72" s="9">
        <v>108.97717997049831</v>
      </c>
      <c r="T72" s="9">
        <v>227.55659313669082</v>
      </c>
      <c r="U72" s="9">
        <v>1435.1879467047418</v>
      </c>
      <c r="V72" s="9">
        <v>592.96056164780816</v>
      </c>
      <c r="W72" s="9">
        <v>486.15233844810717</v>
      </c>
      <c r="X72" s="9">
        <v>1529.5999551199407</v>
      </c>
      <c r="Y72" s="9">
        <v>292.10340710041885</v>
      </c>
      <c r="Z72" s="9">
        <v>175.22043545065119</v>
      </c>
      <c r="AA72" s="9">
        <v>0</v>
      </c>
      <c r="AB72" s="9">
        <v>106.57294154738062</v>
      </c>
      <c r="AC72" s="9">
        <v>36.479027549023293</v>
      </c>
      <c r="AD72" s="9">
        <v>58.458628557509165</v>
      </c>
      <c r="AE72" s="9">
        <v>961.44585805381996</v>
      </c>
      <c r="AF72" s="9">
        <v>19.569836404302826</v>
      </c>
      <c r="AG72" s="9">
        <v>122.96541155918932</v>
      </c>
      <c r="AH72" s="9">
        <v>171.64576955098505</v>
      </c>
      <c r="AI72" s="9">
        <v>199.47663427422415</v>
      </c>
      <c r="AJ72" s="9">
        <v>2.5922120571734562</v>
      </c>
      <c r="AK72" s="9">
        <v>3.1164393248214699</v>
      </c>
      <c r="AL72" s="9">
        <v>69.070409179151881</v>
      </c>
      <c r="AM72" s="9">
        <v>8.83999284636878</v>
      </c>
      <c r="AN72" s="9">
        <v>33.129365776085137</v>
      </c>
      <c r="AO72" s="9">
        <v>11.393015649678489</v>
      </c>
      <c r="AP72" s="9">
        <v>6.2639907370867114</v>
      </c>
      <c r="AQ72" s="9">
        <v>1.233907415426134</v>
      </c>
      <c r="AR72" s="9">
        <v>6.3189995827488561</v>
      </c>
      <c r="AS72" s="9">
        <v>9.6593797992568184</v>
      </c>
      <c r="AT72" s="9">
        <v>2.2683335824189381</v>
      </c>
      <c r="AU72" s="9">
        <v>2.2943625444337079</v>
      </c>
      <c r="AV72" s="9">
        <v>3.2576665939156633</v>
      </c>
      <c r="AW72" s="9">
        <v>3.1672290024031255</v>
      </c>
      <c r="AX72" s="9">
        <v>11.56133266061719</v>
      </c>
      <c r="AY72" s="9">
        <v>18.943034556773412</v>
      </c>
      <c r="AZ72" s="9">
        <v>8.968728337670788E-2</v>
      </c>
      <c r="BA72" s="9">
        <v>8.7324059015854392</v>
      </c>
      <c r="BB72" s="9">
        <v>30.658857458848061</v>
      </c>
      <c r="BC72" s="9">
        <v>12.000242121430494</v>
      </c>
      <c r="BD72" s="9">
        <v>21.925155836327079</v>
      </c>
      <c r="BE72" s="9">
        <v>39.032862179611932</v>
      </c>
      <c r="BF72" s="9">
        <v>126.24191643039568</v>
      </c>
      <c r="BG72" s="9">
        <v>0</v>
      </c>
      <c r="BH72" s="9">
        <v>0</v>
      </c>
      <c r="BI72" s="9">
        <v>165.94768125614641</v>
      </c>
      <c r="BJ72" s="9">
        <v>0</v>
      </c>
      <c r="BK72" s="9">
        <v>1.1625822117668574E-2</v>
      </c>
      <c r="BL72" s="9">
        <v>157.542178109058</v>
      </c>
      <c r="BM72" s="9">
        <v>35.731610894260093</v>
      </c>
      <c r="BN72" s="9">
        <v>0</v>
      </c>
      <c r="BO72" s="9">
        <v>0</v>
      </c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</row>
    <row r="73" spans="1:87" x14ac:dyDescent="0.3">
      <c r="A73">
        <v>2014</v>
      </c>
      <c r="B73" s="10" t="s">
        <v>159</v>
      </c>
      <c r="C73" s="12" t="s">
        <v>217</v>
      </c>
      <c r="D73" s="10" t="s">
        <v>293</v>
      </c>
      <c r="E73" s="9">
        <v>6.5437480291415975</v>
      </c>
      <c r="F73" s="9">
        <v>0.24782057163802085</v>
      </c>
      <c r="G73" s="9">
        <v>0.33679627834838977</v>
      </c>
      <c r="H73" s="9">
        <v>0.47106776173563958</v>
      </c>
      <c r="I73" s="9">
        <v>123.89903891917261</v>
      </c>
      <c r="J73" s="9">
        <v>18.082749717739894</v>
      </c>
      <c r="K73" s="9">
        <v>1.8253989878328138</v>
      </c>
      <c r="L73" s="9">
        <v>18.439089697044849</v>
      </c>
      <c r="M73" s="9">
        <v>2.1595579211609373</v>
      </c>
      <c r="N73" s="9">
        <v>273.67202048707713</v>
      </c>
      <c r="O73" s="9">
        <v>216.78356992402573</v>
      </c>
      <c r="P73" s="9">
        <v>149.06971743578731</v>
      </c>
      <c r="Q73" s="9">
        <v>15.105364635815585</v>
      </c>
      <c r="R73" s="9">
        <v>674.21607949513532</v>
      </c>
      <c r="S73" s="9">
        <v>446.93976214825398</v>
      </c>
      <c r="T73" s="9">
        <v>85.609678515869604</v>
      </c>
      <c r="U73" s="9">
        <v>2864.0242293606816</v>
      </c>
      <c r="V73" s="9">
        <v>234.82173750283087</v>
      </c>
      <c r="W73" s="9">
        <v>101.15485276286422</v>
      </c>
      <c r="X73" s="9">
        <v>174.30176701509399</v>
      </c>
      <c r="Y73" s="9">
        <v>130.6469247522939</v>
      </c>
      <c r="Z73" s="9">
        <v>54.429991779002926</v>
      </c>
      <c r="AA73" s="9">
        <v>0</v>
      </c>
      <c r="AB73" s="9">
        <v>118.16990054824927</v>
      </c>
      <c r="AC73" s="9">
        <v>25.444370222837691</v>
      </c>
      <c r="AD73" s="9">
        <v>65.132952998196018</v>
      </c>
      <c r="AE73" s="9">
        <v>4566.5816123069299</v>
      </c>
      <c r="AF73" s="9">
        <v>1.1976893009540146</v>
      </c>
      <c r="AG73" s="9">
        <v>7.5303308598339722</v>
      </c>
      <c r="AH73" s="9">
        <v>10.504712698133146</v>
      </c>
      <c r="AI73" s="9">
        <v>3.9423886753734134</v>
      </c>
      <c r="AJ73" s="9">
        <v>0.79118477432982703</v>
      </c>
      <c r="AK73" s="9">
        <v>2.0036649725290063</v>
      </c>
      <c r="AL73" s="9">
        <v>9.3794744102895535</v>
      </c>
      <c r="AM73" s="9">
        <v>0.11826805300361587</v>
      </c>
      <c r="AN73" s="9">
        <v>22.945875940035922</v>
      </c>
      <c r="AO73" s="9">
        <v>1.4777452023475606</v>
      </c>
      <c r="AP73" s="9">
        <v>1.5098007892369893</v>
      </c>
      <c r="AQ73" s="9">
        <v>1.0304145868024923</v>
      </c>
      <c r="AR73" s="9">
        <v>2.2907209099168346</v>
      </c>
      <c r="AS73" s="9">
        <v>2.2722370417230513</v>
      </c>
      <c r="AT73" s="9">
        <v>0.94943354176830264</v>
      </c>
      <c r="AU73" s="9">
        <v>2.2447006546629629</v>
      </c>
      <c r="AV73" s="9">
        <v>1.3207288219353484</v>
      </c>
      <c r="AW73" s="9">
        <v>1.2310220142828183</v>
      </c>
      <c r="AX73" s="9">
        <v>5.5473523191041822</v>
      </c>
      <c r="AY73" s="9">
        <v>26.971912465946517</v>
      </c>
      <c r="AZ73" s="9">
        <v>3.9727224370013567E-3</v>
      </c>
      <c r="BA73" s="9">
        <v>1.5431323272823398</v>
      </c>
      <c r="BB73" s="9">
        <v>4.4921200073096808</v>
      </c>
      <c r="BC73" s="9">
        <v>6.9606454116982857</v>
      </c>
      <c r="BD73" s="9">
        <v>19.04973056128518</v>
      </c>
      <c r="BE73" s="9">
        <v>10.748282068813525</v>
      </c>
      <c r="BF73" s="9">
        <v>22.373061335703607</v>
      </c>
      <c r="BG73" s="9">
        <v>0</v>
      </c>
      <c r="BH73" s="9">
        <v>0</v>
      </c>
      <c r="BI73" s="9">
        <v>107.19058221439342</v>
      </c>
      <c r="BJ73" s="9">
        <v>0</v>
      </c>
      <c r="BK73" s="9">
        <v>3.7621454706816566E-3</v>
      </c>
      <c r="BL73" s="9">
        <v>56.707216203188466</v>
      </c>
      <c r="BM73" s="9">
        <v>57.730657876783852</v>
      </c>
      <c r="BN73" s="9">
        <v>0</v>
      </c>
      <c r="BO73" s="9">
        <v>0</v>
      </c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</row>
    <row r="74" spans="1:87" x14ac:dyDescent="0.3">
      <c r="A74">
        <v>2014</v>
      </c>
      <c r="B74" s="10" t="s">
        <v>160</v>
      </c>
      <c r="C74" s="12" t="s">
        <v>218</v>
      </c>
      <c r="D74" s="10" t="s">
        <v>293</v>
      </c>
      <c r="E74" s="9">
        <v>18.755988923550341</v>
      </c>
      <c r="F74" s="9">
        <v>0.3632520366423645</v>
      </c>
      <c r="G74" s="9">
        <v>1.2865843916227371</v>
      </c>
      <c r="H74" s="9">
        <v>4.3341257547623755</v>
      </c>
      <c r="I74" s="9">
        <v>22.989605282322433</v>
      </c>
      <c r="J74" s="9">
        <v>83.490633980145887</v>
      </c>
      <c r="K74" s="9">
        <v>5.9339751154722702</v>
      </c>
      <c r="L74" s="9">
        <v>10.486492277220245</v>
      </c>
      <c r="M74" s="9">
        <v>2.9764999586828234</v>
      </c>
      <c r="N74" s="9">
        <v>755.93689274466317</v>
      </c>
      <c r="O74" s="9">
        <v>569.37976265064754</v>
      </c>
      <c r="P74" s="9">
        <v>46.293005451746254</v>
      </c>
      <c r="Q74" s="9">
        <v>95.555412031062048</v>
      </c>
      <c r="R74" s="9">
        <v>119.2054184713312</v>
      </c>
      <c r="S74" s="9">
        <v>13779.213066008562</v>
      </c>
      <c r="T74" s="9">
        <v>7336.0512002467758</v>
      </c>
      <c r="U74" s="9">
        <v>890.46073456598958</v>
      </c>
      <c r="V74" s="9">
        <v>2290.964750135026</v>
      </c>
      <c r="W74" s="9">
        <v>3103.3007329069324</v>
      </c>
      <c r="X74" s="9">
        <v>2192.9855055122889</v>
      </c>
      <c r="Y74" s="9">
        <v>4137.0994169219175</v>
      </c>
      <c r="Z74" s="9">
        <v>309.67119613431265</v>
      </c>
      <c r="AA74" s="9">
        <v>0</v>
      </c>
      <c r="AB74" s="9">
        <v>291.23551500991232</v>
      </c>
      <c r="AC74" s="9">
        <v>35.986655689323513</v>
      </c>
      <c r="AD74" s="9">
        <v>336.30686565942142</v>
      </c>
      <c r="AE74" s="9">
        <v>4891.0695965417553</v>
      </c>
      <c r="AF74" s="9">
        <v>0.99671369432552681</v>
      </c>
      <c r="AG74" s="9">
        <v>6.2651337545681169</v>
      </c>
      <c r="AH74" s="9">
        <v>8.7367013749692219</v>
      </c>
      <c r="AI74" s="9">
        <v>14.592956683449438</v>
      </c>
      <c r="AJ74" s="9">
        <v>4.3856743738358688</v>
      </c>
      <c r="AK74" s="9">
        <v>5.343891971949895</v>
      </c>
      <c r="AL74" s="9">
        <v>17.339267153194001</v>
      </c>
      <c r="AM74" s="9">
        <v>0.36674184748574934</v>
      </c>
      <c r="AN74" s="9">
        <v>6.5944463773362703</v>
      </c>
      <c r="AO74" s="9">
        <v>1.5288238668231344</v>
      </c>
      <c r="AP74" s="9">
        <v>2.4713049784700512</v>
      </c>
      <c r="AQ74" s="9">
        <v>0.91767689324136548</v>
      </c>
      <c r="AR74" s="9">
        <v>2.9709728080684372</v>
      </c>
      <c r="AS74" s="9">
        <v>4.5093487047078016</v>
      </c>
      <c r="AT74" s="9">
        <v>1.0487964534990295</v>
      </c>
      <c r="AU74" s="9">
        <v>0.89136896226320639</v>
      </c>
      <c r="AV74" s="9">
        <v>6.4247446693520809</v>
      </c>
      <c r="AW74" s="9">
        <v>0.894399965887404</v>
      </c>
      <c r="AX74" s="9">
        <v>10.614957285177613</v>
      </c>
      <c r="AY74" s="9">
        <v>53.443193436515998</v>
      </c>
      <c r="AZ74" s="9">
        <v>1.3965512515119322E-2</v>
      </c>
      <c r="BA74" s="9">
        <v>1.6445589900986124</v>
      </c>
      <c r="BB74" s="9">
        <v>6.139545276102484</v>
      </c>
      <c r="BC74" s="9">
        <v>9.1165037172692216</v>
      </c>
      <c r="BD74" s="9">
        <v>13.79784523882225</v>
      </c>
      <c r="BE74" s="9">
        <v>50.506544342400346</v>
      </c>
      <c r="BF74" s="9">
        <v>62.802093603526991</v>
      </c>
      <c r="BG74" s="9">
        <v>0</v>
      </c>
      <c r="BH74" s="9">
        <v>0</v>
      </c>
      <c r="BI74" s="9">
        <v>95.781711439881661</v>
      </c>
      <c r="BJ74" s="9">
        <v>0</v>
      </c>
      <c r="BK74" s="9">
        <v>1.6330205748153283E-2</v>
      </c>
      <c r="BL74" s="9">
        <v>164.17522814217514</v>
      </c>
      <c r="BM74" s="9">
        <v>7.7004025825692803</v>
      </c>
      <c r="BN74" s="9">
        <v>0</v>
      </c>
      <c r="BO74" s="9">
        <v>0</v>
      </c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</row>
    <row r="75" spans="1:87" x14ac:dyDescent="0.3">
      <c r="A75">
        <v>2014</v>
      </c>
      <c r="B75" s="10" t="s">
        <v>161</v>
      </c>
      <c r="C75" s="12" t="s">
        <v>219</v>
      </c>
      <c r="D75" s="10" t="s">
        <v>293</v>
      </c>
      <c r="E75" s="9">
        <v>5.0467861230118825</v>
      </c>
      <c r="F75" s="9">
        <v>2.6202392242183263</v>
      </c>
      <c r="G75" s="9">
        <v>1.1121107552413527</v>
      </c>
      <c r="H75" s="9">
        <v>7.7100107024138049</v>
      </c>
      <c r="I75" s="9">
        <v>165.89398045557067</v>
      </c>
      <c r="J75" s="9">
        <v>129.71870332941484</v>
      </c>
      <c r="K75" s="9">
        <v>10.092738464782377</v>
      </c>
      <c r="L75" s="9">
        <v>16.255328622628017</v>
      </c>
      <c r="M75" s="9">
        <v>5.0067688911546977</v>
      </c>
      <c r="N75" s="9">
        <v>213.49671373789806</v>
      </c>
      <c r="O75" s="9">
        <v>233.28918170448569</v>
      </c>
      <c r="P75" s="9">
        <v>70.515919966581436</v>
      </c>
      <c r="Q75" s="9">
        <v>51.306926977645368</v>
      </c>
      <c r="R75" s="9">
        <v>47.405222744040209</v>
      </c>
      <c r="S75" s="9">
        <v>537.60471164780165</v>
      </c>
      <c r="T75" s="9">
        <v>1586.6191430877182</v>
      </c>
      <c r="U75" s="9">
        <v>1239.2899387137743</v>
      </c>
      <c r="V75" s="9">
        <v>972.15565053610248</v>
      </c>
      <c r="W75" s="9">
        <v>1701.1114512387112</v>
      </c>
      <c r="X75" s="9">
        <v>1307.6687889539219</v>
      </c>
      <c r="Y75" s="9">
        <v>1423.981357674191</v>
      </c>
      <c r="Z75" s="9">
        <v>194.80405105863713</v>
      </c>
      <c r="AA75" s="9">
        <v>0</v>
      </c>
      <c r="AB75" s="9">
        <v>105.76627359975893</v>
      </c>
      <c r="AC75" s="9">
        <v>79.125447395164031</v>
      </c>
      <c r="AD75" s="9">
        <v>32.731792547408439</v>
      </c>
      <c r="AE75" s="9">
        <v>2718.2907085658294</v>
      </c>
      <c r="AF75" s="9">
        <v>4.7379895466821065</v>
      </c>
      <c r="AG75" s="9">
        <v>29.774725347190458</v>
      </c>
      <c r="AH75" s="9">
        <v>41.550453124675066</v>
      </c>
      <c r="AI75" s="9">
        <v>38.560359892959141</v>
      </c>
      <c r="AJ75" s="9">
        <v>5.4659852078346187</v>
      </c>
      <c r="AK75" s="9">
        <v>8.397984005749759</v>
      </c>
      <c r="AL75" s="9">
        <v>48.616372494022954</v>
      </c>
      <c r="AM75" s="9">
        <v>0.84356834071948605</v>
      </c>
      <c r="AN75" s="9">
        <v>42.256277524047853</v>
      </c>
      <c r="AO75" s="9">
        <v>4.444433093554168</v>
      </c>
      <c r="AP75" s="9">
        <v>4.7037627774494268</v>
      </c>
      <c r="AQ75" s="9">
        <v>3.5969841632782531</v>
      </c>
      <c r="AR75" s="9">
        <v>8.7359919222177886</v>
      </c>
      <c r="AS75" s="9">
        <v>32.195792579949362</v>
      </c>
      <c r="AT75" s="9">
        <v>3.3981790347167098</v>
      </c>
      <c r="AU75" s="9">
        <v>5.0417908668481557</v>
      </c>
      <c r="AV75" s="9">
        <v>6.213574586309031</v>
      </c>
      <c r="AW75" s="9">
        <v>3.8477121237030096</v>
      </c>
      <c r="AX75" s="9">
        <v>12.538299451433778</v>
      </c>
      <c r="AY75" s="9">
        <v>49.105425594749782</v>
      </c>
      <c r="AZ75" s="9">
        <v>2.0369032699745267E-2</v>
      </c>
      <c r="BA75" s="9">
        <v>7.2572599057921812</v>
      </c>
      <c r="BB75" s="9">
        <v>18.556862497417431</v>
      </c>
      <c r="BC75" s="9">
        <v>94.493456541766619</v>
      </c>
      <c r="BD75" s="9">
        <v>26.4392747178583</v>
      </c>
      <c r="BE75" s="9">
        <v>18.965626261472284</v>
      </c>
      <c r="BF75" s="9">
        <v>90.379724332382125</v>
      </c>
      <c r="BG75" s="9">
        <v>0</v>
      </c>
      <c r="BH75" s="9">
        <v>0</v>
      </c>
      <c r="BI75" s="9">
        <v>188.87318558846937</v>
      </c>
      <c r="BJ75" s="9">
        <v>0</v>
      </c>
      <c r="BK75" s="9">
        <v>7.2828999401304995E-2</v>
      </c>
      <c r="BL75" s="9">
        <v>1027.3515763240887</v>
      </c>
      <c r="BM75" s="9">
        <v>23.09015174627983</v>
      </c>
      <c r="BN75" s="9">
        <v>0</v>
      </c>
      <c r="BO75" s="9">
        <v>0</v>
      </c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</row>
    <row r="76" spans="1:87" x14ac:dyDescent="0.3">
      <c r="A76">
        <v>2014</v>
      </c>
      <c r="B76" s="10" t="s">
        <v>162</v>
      </c>
      <c r="C76" s="12" t="s">
        <v>220</v>
      </c>
      <c r="D76" s="10" t="s">
        <v>293</v>
      </c>
      <c r="E76" s="9">
        <v>19.453764558300115</v>
      </c>
      <c r="F76" s="9">
        <v>0.47557082829969233</v>
      </c>
      <c r="G76" s="9">
        <v>3.6545386354639708</v>
      </c>
      <c r="H76" s="9">
        <v>1.4142221097010752</v>
      </c>
      <c r="I76" s="9">
        <v>37.860416259670679</v>
      </c>
      <c r="J76" s="9">
        <v>64.368825574046753</v>
      </c>
      <c r="K76" s="9">
        <v>1.6951503529251566</v>
      </c>
      <c r="L76" s="9">
        <v>13.648902696857784</v>
      </c>
      <c r="M76" s="9">
        <v>15.096425209333571</v>
      </c>
      <c r="N76" s="9">
        <v>134.38331687404798</v>
      </c>
      <c r="O76" s="9">
        <v>200.343656229337</v>
      </c>
      <c r="P76" s="9">
        <v>27.100339851617449</v>
      </c>
      <c r="Q76" s="9">
        <v>39.01989655321438</v>
      </c>
      <c r="R76" s="9">
        <v>24.822379460102379</v>
      </c>
      <c r="S76" s="9">
        <v>186.67148965033334</v>
      </c>
      <c r="T76" s="9">
        <v>165.67779393780967</v>
      </c>
      <c r="U76" s="9">
        <v>41540.388572608223</v>
      </c>
      <c r="V76" s="9">
        <v>1991.3197624984482</v>
      </c>
      <c r="W76" s="9">
        <v>1792.4381657540721</v>
      </c>
      <c r="X76" s="9">
        <v>1661.0569941723693</v>
      </c>
      <c r="Y76" s="9">
        <v>1083.360240666269</v>
      </c>
      <c r="Z76" s="9">
        <v>62.181240075778646</v>
      </c>
      <c r="AA76" s="9">
        <v>0</v>
      </c>
      <c r="AB76" s="9">
        <v>330.87008569493753</v>
      </c>
      <c r="AC76" s="9">
        <v>151.59753352242353</v>
      </c>
      <c r="AD76" s="9">
        <v>99.749417604725409</v>
      </c>
      <c r="AE76" s="9">
        <v>818.12860512538168</v>
      </c>
      <c r="AF76" s="9">
        <v>27.359163522221635</v>
      </c>
      <c r="AG76" s="9">
        <v>171.92256610209955</v>
      </c>
      <c r="AH76" s="9">
        <v>239.97832504015221</v>
      </c>
      <c r="AI76" s="9">
        <v>81.619198803823082</v>
      </c>
      <c r="AJ76" s="9">
        <v>7.3852086812332045</v>
      </c>
      <c r="AK76" s="9">
        <v>17.373250192690225</v>
      </c>
      <c r="AL76" s="9">
        <v>189.66571050374881</v>
      </c>
      <c r="AM76" s="9">
        <v>17.428643283967649</v>
      </c>
      <c r="AN76" s="9">
        <v>53.554536834533529</v>
      </c>
      <c r="AO76" s="9">
        <v>26.296453539569853</v>
      </c>
      <c r="AP76" s="9">
        <v>253.7143145463634</v>
      </c>
      <c r="AQ76" s="9">
        <v>241.92111562258447</v>
      </c>
      <c r="AR76" s="9">
        <v>1117.646480590497</v>
      </c>
      <c r="AS76" s="9">
        <v>293.28856333679005</v>
      </c>
      <c r="AT76" s="9">
        <v>57.522050417592666</v>
      </c>
      <c r="AU76" s="9">
        <v>60.260242754109854</v>
      </c>
      <c r="AV76" s="9">
        <v>20.039606836460905</v>
      </c>
      <c r="AW76" s="9">
        <v>73.366772623814299</v>
      </c>
      <c r="AX76" s="9">
        <v>352.79830374324297</v>
      </c>
      <c r="AY76" s="9">
        <v>757.79777867835173</v>
      </c>
      <c r="AZ76" s="9">
        <v>0.61914486295046278</v>
      </c>
      <c r="BA76" s="9">
        <v>104.57463529175504</v>
      </c>
      <c r="BB76" s="9">
        <v>110.53547548703429</v>
      </c>
      <c r="BC76" s="9">
        <v>389.3543550317342</v>
      </c>
      <c r="BD76" s="9">
        <v>403.73942039597023</v>
      </c>
      <c r="BE76" s="9">
        <v>637.54887854444041</v>
      </c>
      <c r="BF76" s="9">
        <v>399.28620181242428</v>
      </c>
      <c r="BG76" s="9">
        <v>0</v>
      </c>
      <c r="BH76" s="9">
        <v>0</v>
      </c>
      <c r="BI76" s="9">
        <v>6164.9340975556124</v>
      </c>
      <c r="BJ76" s="9">
        <v>0</v>
      </c>
      <c r="BK76" s="9">
        <v>4.6741732787338189E-2</v>
      </c>
      <c r="BL76" s="9">
        <v>7793.8814821432588</v>
      </c>
      <c r="BM76" s="9">
        <v>343.63673917935296</v>
      </c>
      <c r="BN76" s="9">
        <v>0</v>
      </c>
      <c r="BO76" s="9">
        <v>0</v>
      </c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</row>
    <row r="77" spans="1:87" x14ac:dyDescent="0.3">
      <c r="A77">
        <v>2014</v>
      </c>
      <c r="B77" s="10" t="s">
        <v>163</v>
      </c>
      <c r="C77" s="12" t="s">
        <v>221</v>
      </c>
      <c r="D77" s="10" t="s">
        <v>293</v>
      </c>
      <c r="E77" s="9">
        <v>3.7540563906963849</v>
      </c>
      <c r="F77" s="9">
        <v>0.24132571036151301</v>
      </c>
      <c r="G77" s="9">
        <v>5.8071864238644579</v>
      </c>
      <c r="H77" s="9">
        <v>2.7007219217520406</v>
      </c>
      <c r="I77" s="9">
        <v>15.156384787584427</v>
      </c>
      <c r="J77" s="9">
        <v>47.902370413138776</v>
      </c>
      <c r="K77" s="9">
        <v>2.4520750191509717</v>
      </c>
      <c r="L77" s="9">
        <v>6.4390372896692236</v>
      </c>
      <c r="M77" s="9">
        <v>3.228071640995188</v>
      </c>
      <c r="N77" s="9">
        <v>28.493468709183631</v>
      </c>
      <c r="O77" s="9">
        <v>63.215213202289114</v>
      </c>
      <c r="P77" s="9">
        <v>11.142333209825381</v>
      </c>
      <c r="Q77" s="9">
        <v>11.934111566722246</v>
      </c>
      <c r="R77" s="9">
        <v>14.372200375808989</v>
      </c>
      <c r="S77" s="9">
        <v>161.5997953093385</v>
      </c>
      <c r="T77" s="9">
        <v>157.00803665678859</v>
      </c>
      <c r="U77" s="9">
        <v>1866.8984917026364</v>
      </c>
      <c r="V77" s="9">
        <v>1734.097791932883</v>
      </c>
      <c r="W77" s="9">
        <v>827.66250961907326</v>
      </c>
      <c r="X77" s="9">
        <v>703.02205809858151</v>
      </c>
      <c r="Y77" s="9">
        <v>782.52223612603734</v>
      </c>
      <c r="Z77" s="9">
        <v>35.819746179648035</v>
      </c>
      <c r="AA77" s="9">
        <v>0</v>
      </c>
      <c r="AB77" s="9">
        <v>199.39109145616081</v>
      </c>
      <c r="AC77" s="9">
        <v>29.347140243000961</v>
      </c>
      <c r="AD77" s="9">
        <v>28.363273939630808</v>
      </c>
      <c r="AE77" s="9">
        <v>1250.7439901868136</v>
      </c>
      <c r="AF77" s="9">
        <v>4.8387047572006621</v>
      </c>
      <c r="AG77" s="9">
        <v>30.410185187686761</v>
      </c>
      <c r="AH77" s="9">
        <v>42.435596387360626</v>
      </c>
      <c r="AI77" s="9">
        <v>59.744800657193764</v>
      </c>
      <c r="AJ77" s="9">
        <v>2.9357023597967244</v>
      </c>
      <c r="AK77" s="9">
        <v>4.854413872621528</v>
      </c>
      <c r="AL77" s="9">
        <v>69.347280550399773</v>
      </c>
      <c r="AM77" s="9">
        <v>1.6131613926468418</v>
      </c>
      <c r="AN77" s="9">
        <v>34.006318073192929</v>
      </c>
      <c r="AO77" s="9">
        <v>3.1221426381836759</v>
      </c>
      <c r="AP77" s="9">
        <v>26.287171541466034</v>
      </c>
      <c r="AQ77" s="9">
        <v>63.891985648259713</v>
      </c>
      <c r="AR77" s="9">
        <v>40.480788236672005</v>
      </c>
      <c r="AS77" s="9">
        <v>32.422645260507153</v>
      </c>
      <c r="AT77" s="9">
        <v>6.2181304628746847</v>
      </c>
      <c r="AU77" s="9">
        <v>8.8571759785765014</v>
      </c>
      <c r="AV77" s="9">
        <v>11.41236964358084</v>
      </c>
      <c r="AW77" s="9">
        <v>3.7873569696107428</v>
      </c>
      <c r="AX77" s="9">
        <v>25.887734811810319</v>
      </c>
      <c r="AY77" s="9">
        <v>78.87643291844708</v>
      </c>
      <c r="AZ77" s="9">
        <v>3.1166288349220386E-2</v>
      </c>
      <c r="BA77" s="9">
        <v>48.506232458501565</v>
      </c>
      <c r="BB77" s="9">
        <v>24.808946145190617</v>
      </c>
      <c r="BC77" s="9">
        <v>32.123574758692023</v>
      </c>
      <c r="BD77" s="9">
        <v>61.01612330898709</v>
      </c>
      <c r="BE77" s="9">
        <v>45.147847344826168</v>
      </c>
      <c r="BF77" s="9">
        <v>168.9857261473982</v>
      </c>
      <c r="BG77" s="9">
        <v>0</v>
      </c>
      <c r="BH77" s="9">
        <v>0</v>
      </c>
      <c r="BI77" s="9">
        <v>950.1016063150297</v>
      </c>
      <c r="BJ77" s="9">
        <v>0</v>
      </c>
      <c r="BK77" s="9">
        <v>4.1783809236517873E-2</v>
      </c>
      <c r="BL77" s="9">
        <v>5711.0012837907616</v>
      </c>
      <c r="BM77" s="9">
        <v>143.85123696124973</v>
      </c>
      <c r="BN77" s="9">
        <v>0</v>
      </c>
      <c r="BO77" s="9">
        <v>0</v>
      </c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</row>
    <row r="78" spans="1:87" x14ac:dyDescent="0.3">
      <c r="A78">
        <v>2014</v>
      </c>
      <c r="B78" s="10" t="s">
        <v>164</v>
      </c>
      <c r="C78" s="12" t="s">
        <v>222</v>
      </c>
      <c r="D78" s="10" t="s">
        <v>293</v>
      </c>
      <c r="E78" s="9">
        <v>27.323079132331294</v>
      </c>
      <c r="F78" s="9">
        <v>2.2771595308511308</v>
      </c>
      <c r="G78" s="9">
        <v>8.8179482243485694</v>
      </c>
      <c r="H78" s="9">
        <v>11.326406281656697</v>
      </c>
      <c r="I78" s="9">
        <v>73.950295490875774</v>
      </c>
      <c r="J78" s="9">
        <v>109.2321761465776</v>
      </c>
      <c r="K78" s="9">
        <v>4.3121828441816126</v>
      </c>
      <c r="L78" s="9">
        <v>27.457106187610801</v>
      </c>
      <c r="M78" s="9">
        <v>15.907229420850001</v>
      </c>
      <c r="N78" s="9">
        <v>247.59555806591564</v>
      </c>
      <c r="O78" s="9">
        <v>214.03936579459508</v>
      </c>
      <c r="P78" s="9">
        <v>21.352143200987545</v>
      </c>
      <c r="Q78" s="9">
        <v>125.08836140158313</v>
      </c>
      <c r="R78" s="9">
        <v>48.426231229221308</v>
      </c>
      <c r="S78" s="9">
        <v>373.90296255567358</v>
      </c>
      <c r="T78" s="9">
        <v>543.9742101588829</v>
      </c>
      <c r="U78" s="9">
        <v>878.81754482153269</v>
      </c>
      <c r="V78" s="9">
        <v>514.3582379009332</v>
      </c>
      <c r="W78" s="9">
        <v>3931.0278614396143</v>
      </c>
      <c r="X78" s="9">
        <v>975.19303165629219</v>
      </c>
      <c r="Y78" s="9">
        <v>2347.3272116874023</v>
      </c>
      <c r="Z78" s="9">
        <v>40.580106149353782</v>
      </c>
      <c r="AA78" s="9">
        <v>0</v>
      </c>
      <c r="AB78" s="9">
        <v>237.00475153449003</v>
      </c>
      <c r="AC78" s="9">
        <v>235.98920512434594</v>
      </c>
      <c r="AD78" s="9">
        <v>151.95473121554085</v>
      </c>
      <c r="AE78" s="9">
        <v>1268.2317118845908</v>
      </c>
      <c r="AF78" s="9">
        <v>6.8284137322318426</v>
      </c>
      <c r="AG78" s="9">
        <v>42.919645206978601</v>
      </c>
      <c r="AH78" s="9">
        <v>59.873281344936146</v>
      </c>
      <c r="AI78" s="9">
        <v>26.988219930856889</v>
      </c>
      <c r="AJ78" s="9">
        <v>5.8283393948666724</v>
      </c>
      <c r="AK78" s="9">
        <v>12.873304967372892</v>
      </c>
      <c r="AL78" s="9">
        <v>117.09382587620898</v>
      </c>
      <c r="AM78" s="9">
        <v>1.6252532694160027</v>
      </c>
      <c r="AN78" s="9">
        <v>17.235980021638369</v>
      </c>
      <c r="AO78" s="9">
        <v>24.537564714006606</v>
      </c>
      <c r="AP78" s="9">
        <v>7.147277054763796</v>
      </c>
      <c r="AQ78" s="9">
        <v>6.7365173589689045</v>
      </c>
      <c r="AR78" s="9">
        <v>28.654119849522743</v>
      </c>
      <c r="AS78" s="9">
        <v>53.185782728157093</v>
      </c>
      <c r="AT78" s="9">
        <v>15.11743764771227</v>
      </c>
      <c r="AU78" s="9">
        <v>12.645238235106602</v>
      </c>
      <c r="AV78" s="9">
        <v>14.348684225860783</v>
      </c>
      <c r="AW78" s="9">
        <v>2.9491622593309503</v>
      </c>
      <c r="AX78" s="9">
        <v>16.615071742104131</v>
      </c>
      <c r="AY78" s="9">
        <v>136.62549790377537</v>
      </c>
      <c r="AZ78" s="9">
        <v>2.9554060317828968E-2</v>
      </c>
      <c r="BA78" s="9">
        <v>26.864907148986049</v>
      </c>
      <c r="BB78" s="9">
        <v>20.930820740056564</v>
      </c>
      <c r="BC78" s="9">
        <v>143.23969708240656</v>
      </c>
      <c r="BD78" s="9">
        <v>38.16775654080358</v>
      </c>
      <c r="BE78" s="9">
        <v>24.364266852512795</v>
      </c>
      <c r="BF78" s="9">
        <v>207.51943001256217</v>
      </c>
      <c r="BG78" s="9">
        <v>0</v>
      </c>
      <c r="BH78" s="9">
        <v>0</v>
      </c>
      <c r="BI78" s="9">
        <v>211.89602757363949</v>
      </c>
      <c r="BJ78" s="9">
        <v>0</v>
      </c>
      <c r="BK78" s="9">
        <v>8.0897804885664115E-2</v>
      </c>
      <c r="BL78" s="9">
        <v>18285.922570534894</v>
      </c>
      <c r="BM78" s="9">
        <v>49.599908470375297</v>
      </c>
      <c r="BN78" s="9">
        <v>0</v>
      </c>
      <c r="BO78" s="9">
        <v>0</v>
      </c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</row>
    <row r="79" spans="1:87" x14ac:dyDescent="0.3">
      <c r="A79">
        <v>2014</v>
      </c>
      <c r="B79" s="10" t="s">
        <v>165</v>
      </c>
      <c r="C79" s="12" t="s">
        <v>223</v>
      </c>
      <c r="D79" s="10" t="s">
        <v>293</v>
      </c>
      <c r="E79" s="9">
        <v>3.7661568017648426</v>
      </c>
      <c r="F79" s="9">
        <v>0.88010524584128758</v>
      </c>
      <c r="G79" s="9">
        <v>1.0150925501510613</v>
      </c>
      <c r="H79" s="9">
        <v>5.396595775219863</v>
      </c>
      <c r="I79" s="9">
        <v>22.273957928210702</v>
      </c>
      <c r="J79" s="9">
        <v>61.194789042719954</v>
      </c>
      <c r="K79" s="9">
        <v>2.3445864298991657</v>
      </c>
      <c r="L79" s="9">
        <v>7.9834257629704659</v>
      </c>
      <c r="M79" s="9">
        <v>3.0341797524390746</v>
      </c>
      <c r="N79" s="9">
        <v>23.574688629031236</v>
      </c>
      <c r="O79" s="9">
        <v>47.983054927443156</v>
      </c>
      <c r="P79" s="9">
        <v>15.439760261069077</v>
      </c>
      <c r="Q79" s="9">
        <v>13.362713612959455</v>
      </c>
      <c r="R79" s="9">
        <v>14.115414024323863</v>
      </c>
      <c r="S79" s="9">
        <v>75.785687220704119</v>
      </c>
      <c r="T79" s="9">
        <v>75.281679888016228</v>
      </c>
      <c r="U79" s="9">
        <v>268.58226911116395</v>
      </c>
      <c r="V79" s="9">
        <v>68.675942274108948</v>
      </c>
      <c r="W79" s="9">
        <v>236.1553845233779</v>
      </c>
      <c r="X79" s="9">
        <v>3940.2475675208188</v>
      </c>
      <c r="Y79" s="9">
        <v>166.5564713235012</v>
      </c>
      <c r="Z79" s="9">
        <v>21.909715181833434</v>
      </c>
      <c r="AA79" s="9">
        <v>0</v>
      </c>
      <c r="AB79" s="9">
        <v>17.570121830653186</v>
      </c>
      <c r="AC79" s="9">
        <v>37.202560885645568</v>
      </c>
      <c r="AD79" s="9">
        <v>35.35830405623436</v>
      </c>
      <c r="AE79" s="9">
        <v>126.00945394208262</v>
      </c>
      <c r="AF79" s="9">
        <v>4.1493760758973499</v>
      </c>
      <c r="AG79" s="9">
        <v>25.431829803831956</v>
      </c>
      <c r="AH79" s="9">
        <v>35.505731215013263</v>
      </c>
      <c r="AI79" s="9">
        <v>236.32062469241268</v>
      </c>
      <c r="AJ79" s="9">
        <v>1.5419888541198001</v>
      </c>
      <c r="AK79" s="9">
        <v>4.1935694730633495</v>
      </c>
      <c r="AL79" s="9">
        <v>58.502295831011473</v>
      </c>
      <c r="AM79" s="9">
        <v>1.4958537166983363</v>
      </c>
      <c r="AN79" s="9">
        <v>5.9160135468948978</v>
      </c>
      <c r="AO79" s="9">
        <v>12.237886689090452</v>
      </c>
      <c r="AP79" s="9">
        <v>8.5641901870530912</v>
      </c>
      <c r="AQ79" s="9">
        <v>3.1231068865579759</v>
      </c>
      <c r="AR79" s="9">
        <v>11.327067755523279</v>
      </c>
      <c r="AS79" s="9">
        <v>20.903137371426318</v>
      </c>
      <c r="AT79" s="9">
        <v>4.6893532994110494</v>
      </c>
      <c r="AU79" s="9">
        <v>2.7674647417888005</v>
      </c>
      <c r="AV79" s="9">
        <v>4.5227000409881404</v>
      </c>
      <c r="AW79" s="9">
        <v>4.2309010434585854</v>
      </c>
      <c r="AX79" s="9">
        <v>6.6363005572710554</v>
      </c>
      <c r="AY79" s="9">
        <v>19.596219684571281</v>
      </c>
      <c r="AZ79" s="9">
        <v>2.3569271646341445E-2</v>
      </c>
      <c r="BA79" s="9">
        <v>4.2143081187875451</v>
      </c>
      <c r="BB79" s="9">
        <v>13.338506365266651</v>
      </c>
      <c r="BC79" s="9">
        <v>23.402511274374206</v>
      </c>
      <c r="BD79" s="9">
        <v>15.299016276309262</v>
      </c>
      <c r="BE79" s="9">
        <v>21.109824192187663</v>
      </c>
      <c r="BF79" s="9">
        <v>274.24495113912207</v>
      </c>
      <c r="BG79" s="9">
        <v>0</v>
      </c>
      <c r="BH79" s="9">
        <v>0</v>
      </c>
      <c r="BI79" s="9">
        <v>3326.1330055250396</v>
      </c>
      <c r="BJ79" s="9">
        <v>0</v>
      </c>
      <c r="BK79" s="9">
        <v>1.2515754209022097E-2</v>
      </c>
      <c r="BL79" s="9">
        <v>4721.5510297246637</v>
      </c>
      <c r="BM79" s="9">
        <v>19.507995545718622</v>
      </c>
      <c r="BN79" s="9">
        <v>0</v>
      </c>
      <c r="BO79" s="9">
        <v>0</v>
      </c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</row>
    <row r="80" spans="1:87" x14ac:dyDescent="0.3">
      <c r="A80">
        <v>2014</v>
      </c>
      <c r="B80" s="10" t="s">
        <v>166</v>
      </c>
      <c r="C80" s="12" t="s">
        <v>224</v>
      </c>
      <c r="D80" s="10" t="s">
        <v>293</v>
      </c>
      <c r="E80" s="9">
        <v>11.274138442094976</v>
      </c>
      <c r="F80" s="9">
        <v>0.67834247688639082</v>
      </c>
      <c r="G80" s="9">
        <v>43.801073930447302</v>
      </c>
      <c r="H80" s="9">
        <v>18.280237525772982</v>
      </c>
      <c r="I80" s="9">
        <v>8.8250729619037411</v>
      </c>
      <c r="J80" s="9">
        <v>26.371776234538373</v>
      </c>
      <c r="K80" s="9">
        <v>0.87068809727319363</v>
      </c>
      <c r="L80" s="9">
        <v>2.9750448353198218</v>
      </c>
      <c r="M80" s="9">
        <v>0.5115539772657034</v>
      </c>
      <c r="N80" s="9">
        <v>9.7486805075306489</v>
      </c>
      <c r="O80" s="9">
        <v>16.613329547827945</v>
      </c>
      <c r="P80" s="9">
        <v>4.0366338908121353</v>
      </c>
      <c r="Q80" s="9">
        <v>3.9170529254578645</v>
      </c>
      <c r="R80" s="9">
        <v>7.7904760282412617</v>
      </c>
      <c r="S80" s="9">
        <v>30.010753242324984</v>
      </c>
      <c r="T80" s="9">
        <v>37.091819762147026</v>
      </c>
      <c r="U80" s="9">
        <v>120.56443724117105</v>
      </c>
      <c r="V80" s="9">
        <v>38.415482123148394</v>
      </c>
      <c r="W80" s="9">
        <v>142.8664302909196</v>
      </c>
      <c r="X80" s="9">
        <v>75.573010504941749</v>
      </c>
      <c r="Y80" s="9">
        <v>2600.1438188714992</v>
      </c>
      <c r="Z80" s="9">
        <v>9.8171241106802576</v>
      </c>
      <c r="AA80" s="9">
        <v>0</v>
      </c>
      <c r="AB80" s="9">
        <v>18.555220782552034</v>
      </c>
      <c r="AC80" s="9">
        <v>9.2274168524077567</v>
      </c>
      <c r="AD80" s="9">
        <v>9.2784791396298836</v>
      </c>
      <c r="AE80" s="9">
        <v>72.58590973808856</v>
      </c>
      <c r="AF80" s="9">
        <v>3.0619778300550942</v>
      </c>
      <c r="AG80" s="9">
        <v>19.239914654799055</v>
      </c>
      <c r="AH80" s="9">
        <v>26.853310768587399</v>
      </c>
      <c r="AI80" s="9">
        <v>144.93821878991892</v>
      </c>
      <c r="AJ80" s="9">
        <v>113.21946057894044</v>
      </c>
      <c r="AK80" s="9">
        <v>442.67713205771184</v>
      </c>
      <c r="AL80" s="9">
        <v>28.491239584399636</v>
      </c>
      <c r="AM80" s="9">
        <v>16.454678623364799</v>
      </c>
      <c r="AN80" s="9">
        <v>4.7000157262077122</v>
      </c>
      <c r="AO80" s="9">
        <v>2.1301483188705559</v>
      </c>
      <c r="AP80" s="9">
        <v>2.8032632857008397</v>
      </c>
      <c r="AQ80" s="9">
        <v>3.6311091048279858</v>
      </c>
      <c r="AR80" s="9">
        <v>5.4810163323292223</v>
      </c>
      <c r="AS80" s="9">
        <v>13.018921069824783</v>
      </c>
      <c r="AT80" s="9">
        <v>3.608969742120923</v>
      </c>
      <c r="AU80" s="9">
        <v>1.8444118074768461</v>
      </c>
      <c r="AV80" s="9">
        <v>0.89883155260000747</v>
      </c>
      <c r="AW80" s="9">
        <v>0.50988250633669352</v>
      </c>
      <c r="AX80" s="9">
        <v>3.0970524413800589</v>
      </c>
      <c r="AY80" s="9">
        <v>116.16549834955995</v>
      </c>
      <c r="AZ80" s="9">
        <v>1.6057381058977985E-2</v>
      </c>
      <c r="BA80" s="9">
        <v>2.7219887913460026</v>
      </c>
      <c r="BB80" s="9">
        <v>6.5466474942290374</v>
      </c>
      <c r="BC80" s="9">
        <v>240.66614296889293</v>
      </c>
      <c r="BD80" s="9">
        <v>12.401130334807579</v>
      </c>
      <c r="BE80" s="9">
        <v>13.451208446465799</v>
      </c>
      <c r="BF80" s="9">
        <v>32.728355013845636</v>
      </c>
      <c r="BG80" s="9">
        <v>0</v>
      </c>
      <c r="BH80" s="9">
        <v>0</v>
      </c>
      <c r="BI80" s="9">
        <v>191.68279501674559</v>
      </c>
      <c r="BJ80" s="9">
        <v>0</v>
      </c>
      <c r="BK80" s="9">
        <v>1.3981278280492546E-2</v>
      </c>
      <c r="BL80" s="9">
        <v>5102.1815163374931</v>
      </c>
      <c r="BM80" s="9">
        <v>25.989152055028605</v>
      </c>
      <c r="BN80" s="9">
        <v>0</v>
      </c>
      <c r="BO80" s="9">
        <v>0</v>
      </c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</row>
    <row r="81" spans="1:87" x14ac:dyDescent="0.3">
      <c r="A81">
        <v>2014</v>
      </c>
      <c r="B81" s="10" t="s">
        <v>167</v>
      </c>
      <c r="C81" s="12" t="s">
        <v>225</v>
      </c>
      <c r="D81" s="10" t="s">
        <v>293</v>
      </c>
      <c r="E81" s="9">
        <v>2.5562396954298703</v>
      </c>
      <c r="F81" s="9">
        <v>0.16795685475226246</v>
      </c>
      <c r="G81" s="9">
        <v>0.93027627687123871</v>
      </c>
      <c r="H81" s="9">
        <v>7.3747552188494456</v>
      </c>
      <c r="I81" s="9">
        <v>246.10864396822629</v>
      </c>
      <c r="J81" s="9">
        <v>1146.8990338692322</v>
      </c>
      <c r="K81" s="9">
        <v>28.33782244187244</v>
      </c>
      <c r="L81" s="9">
        <v>76.845089070370506</v>
      </c>
      <c r="M81" s="9">
        <v>2.56486446699116</v>
      </c>
      <c r="N81" s="9">
        <v>23.188907323260636</v>
      </c>
      <c r="O81" s="9">
        <v>219.74485859935606</v>
      </c>
      <c r="P81" s="9">
        <v>83.038350065273207</v>
      </c>
      <c r="Q81" s="9">
        <v>77.578241768456991</v>
      </c>
      <c r="R81" s="9">
        <v>39.706340651691242</v>
      </c>
      <c r="S81" s="9">
        <v>322.91258928508586</v>
      </c>
      <c r="T81" s="9">
        <v>290.56965789539765</v>
      </c>
      <c r="U81" s="9">
        <v>1529.2967596104422</v>
      </c>
      <c r="V81" s="9">
        <v>273.67737655409042</v>
      </c>
      <c r="W81" s="9">
        <v>506.81620895382082</v>
      </c>
      <c r="X81" s="9">
        <v>855.71356515284378</v>
      </c>
      <c r="Y81" s="9">
        <v>969.02137687283926</v>
      </c>
      <c r="Z81" s="9">
        <v>378.82563697809587</v>
      </c>
      <c r="AA81" s="9">
        <v>0</v>
      </c>
      <c r="AB81" s="9">
        <v>11.827870795414732</v>
      </c>
      <c r="AC81" s="9">
        <v>18.464270861073427</v>
      </c>
      <c r="AD81" s="9">
        <v>30.306659188043447</v>
      </c>
      <c r="AE81" s="9">
        <v>299.07973035027436</v>
      </c>
      <c r="AF81" s="9">
        <v>5.2788774499791735</v>
      </c>
      <c r="AG81" s="9">
        <v>33.149339882329564</v>
      </c>
      <c r="AH81" s="9">
        <v>46.280056539691472</v>
      </c>
      <c r="AI81" s="9">
        <v>13.868252561241279</v>
      </c>
      <c r="AJ81" s="9">
        <v>1.514925275112023</v>
      </c>
      <c r="AK81" s="9">
        <v>9.1498566579760059</v>
      </c>
      <c r="AL81" s="9">
        <v>28.19206519469067</v>
      </c>
      <c r="AM81" s="9">
        <v>2.5932201861562181</v>
      </c>
      <c r="AN81" s="9">
        <v>68.254682436481517</v>
      </c>
      <c r="AO81" s="9">
        <v>3.0702384323652874</v>
      </c>
      <c r="AP81" s="9">
        <v>25.290433620362187</v>
      </c>
      <c r="AQ81" s="9">
        <v>3.8724935063633392</v>
      </c>
      <c r="AR81" s="9">
        <v>13.542273172670768</v>
      </c>
      <c r="AS81" s="9">
        <v>36.503956898059343</v>
      </c>
      <c r="AT81" s="9">
        <v>11.66275748707255</v>
      </c>
      <c r="AU81" s="9">
        <v>8.0505190487649436</v>
      </c>
      <c r="AV81" s="9">
        <v>16.982655652649193</v>
      </c>
      <c r="AW81" s="9">
        <v>6.0930401602529951</v>
      </c>
      <c r="AX81" s="9">
        <v>18.790684398241147</v>
      </c>
      <c r="AY81" s="9">
        <v>16.909161268786622</v>
      </c>
      <c r="AZ81" s="9">
        <v>0.19832956267282945</v>
      </c>
      <c r="BA81" s="9">
        <v>6.7251286171041</v>
      </c>
      <c r="BB81" s="9">
        <v>36.9769928844986</v>
      </c>
      <c r="BC81" s="9">
        <v>55.826889696619105</v>
      </c>
      <c r="BD81" s="9">
        <v>194.09101733067536</v>
      </c>
      <c r="BE81" s="9">
        <v>41.496379347338895</v>
      </c>
      <c r="BF81" s="9">
        <v>109.5267213279111</v>
      </c>
      <c r="BG81" s="9">
        <v>0</v>
      </c>
      <c r="BH81" s="9">
        <v>0</v>
      </c>
      <c r="BI81" s="9">
        <v>739.16785957880847</v>
      </c>
      <c r="BJ81" s="9">
        <v>0</v>
      </c>
      <c r="BK81" s="9">
        <v>0.11790956347107755</v>
      </c>
      <c r="BL81" s="9">
        <v>452.5673078943874</v>
      </c>
      <c r="BM81" s="9">
        <v>34.664622218178451</v>
      </c>
      <c r="BN81" s="9">
        <v>0</v>
      </c>
      <c r="BO81" s="9">
        <v>0</v>
      </c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</row>
    <row r="82" spans="1:87" x14ac:dyDescent="0.3">
      <c r="A82">
        <v>2014</v>
      </c>
      <c r="B82" s="10" t="s">
        <v>168</v>
      </c>
      <c r="C82" s="12" t="s">
        <v>226</v>
      </c>
      <c r="D82" s="10" t="s">
        <v>293</v>
      </c>
      <c r="E82" s="9">
        <v>0.1969786522522502</v>
      </c>
      <c r="F82" s="9">
        <v>1.7518042116065891E-2</v>
      </c>
      <c r="G82" s="9">
        <v>0.18482747733452332</v>
      </c>
      <c r="H82" s="9">
        <v>0.12073103338752135</v>
      </c>
      <c r="I82" s="9">
        <v>0.7887130437242057</v>
      </c>
      <c r="J82" s="9">
        <v>0.85133834421863375</v>
      </c>
      <c r="K82" s="9">
        <v>5.2759166403584745E-2</v>
      </c>
      <c r="L82" s="9">
        <v>0.1702966537840542</v>
      </c>
      <c r="M82" s="9">
        <v>0.10266667438891816</v>
      </c>
      <c r="N82" s="9">
        <v>3.1675044557175904</v>
      </c>
      <c r="O82" s="9">
        <v>1.8295273090442197</v>
      </c>
      <c r="P82" s="9">
        <v>0.43468747487385218</v>
      </c>
      <c r="Q82" s="9">
        <v>0.64458821236412756</v>
      </c>
      <c r="R82" s="9">
        <v>0.36949843369084584</v>
      </c>
      <c r="S82" s="9">
        <v>2.8057249827916979</v>
      </c>
      <c r="T82" s="9">
        <v>5.0795472918218412</v>
      </c>
      <c r="U82" s="9">
        <v>23.47806636295379</v>
      </c>
      <c r="V82" s="9">
        <v>8.246855435294588</v>
      </c>
      <c r="W82" s="9">
        <v>20.147952190963085</v>
      </c>
      <c r="X82" s="9">
        <v>9.614014525719714</v>
      </c>
      <c r="Y82" s="9">
        <v>20.650245583782127</v>
      </c>
      <c r="Z82" s="9">
        <v>0.60532246563789838</v>
      </c>
      <c r="AA82" s="9">
        <v>0</v>
      </c>
      <c r="AB82" s="9">
        <v>2.4221454256013528</v>
      </c>
      <c r="AC82" s="9">
        <v>1.1800506676254185</v>
      </c>
      <c r="AD82" s="9">
        <v>0.87735519137087414</v>
      </c>
      <c r="AE82" s="9">
        <v>13.145342722254263</v>
      </c>
      <c r="AF82" s="9">
        <v>0.10242533942404497</v>
      </c>
      <c r="AG82" s="9">
        <v>0.64688195474045662</v>
      </c>
      <c r="AH82" s="9">
        <v>0.90361222992924384</v>
      </c>
      <c r="AI82" s="9">
        <v>0.99107806442165147</v>
      </c>
      <c r="AJ82" s="9">
        <v>0.45997775156918241</v>
      </c>
      <c r="AK82" s="9">
        <v>1.4318068625136058</v>
      </c>
      <c r="AL82" s="9">
        <v>1.0599244749642573</v>
      </c>
      <c r="AM82" s="9">
        <v>9.215053485589994E-2</v>
      </c>
      <c r="AN82" s="9">
        <v>0.30938219241864839</v>
      </c>
      <c r="AO82" s="9">
        <v>0.17921723360158426</v>
      </c>
      <c r="AP82" s="9">
        <v>0.29570681429891399</v>
      </c>
      <c r="AQ82" s="9">
        <v>0.38820233362556555</v>
      </c>
      <c r="AR82" s="9">
        <v>0.88692690661142581</v>
      </c>
      <c r="AS82" s="9">
        <v>0.99774593960561542</v>
      </c>
      <c r="AT82" s="9">
        <v>0.20686841624266872</v>
      </c>
      <c r="AU82" s="9">
        <v>0.19766176424225412</v>
      </c>
      <c r="AV82" s="9">
        <v>0.1190455758457027</v>
      </c>
      <c r="AW82" s="9">
        <v>7.8203516647044793E-2</v>
      </c>
      <c r="AX82" s="9">
        <v>0.36830342578770314</v>
      </c>
      <c r="AY82" s="9">
        <v>1.4177440958984957</v>
      </c>
      <c r="AZ82" s="9">
        <v>1.4983491259557213E-3</v>
      </c>
      <c r="BA82" s="9">
        <v>0.31047355238366858</v>
      </c>
      <c r="BB82" s="9">
        <v>0.30772130975908885</v>
      </c>
      <c r="BC82" s="9">
        <v>1.8882766456622462</v>
      </c>
      <c r="BD82" s="9">
        <v>0.58458741713945961</v>
      </c>
      <c r="BE82" s="9">
        <v>0.69348557307601411</v>
      </c>
      <c r="BF82" s="9">
        <v>1.7074672319277</v>
      </c>
      <c r="BG82" s="9">
        <v>0</v>
      </c>
      <c r="BH82" s="9">
        <v>0</v>
      </c>
      <c r="BI82" s="9">
        <v>8.3952052722327082</v>
      </c>
      <c r="BJ82" s="9">
        <v>0</v>
      </c>
      <c r="BK82" s="9">
        <v>6.660690676597616E-3</v>
      </c>
      <c r="BL82" s="9">
        <v>133.0468852438369</v>
      </c>
      <c r="BM82" s="9">
        <v>0.80519671984142072</v>
      </c>
      <c r="BN82" s="9">
        <v>0</v>
      </c>
      <c r="BO82" s="9">
        <v>0</v>
      </c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</row>
    <row r="83" spans="1:87" x14ac:dyDescent="0.3">
      <c r="A83">
        <v>2014</v>
      </c>
      <c r="B83" s="10" t="s">
        <v>169</v>
      </c>
      <c r="C83" s="12" t="s">
        <v>227</v>
      </c>
      <c r="D83" s="10" t="s">
        <v>293</v>
      </c>
      <c r="E83" s="9">
        <v>0.69689545749135717</v>
      </c>
      <c r="F83" s="9">
        <v>5.1480909255518736E-2</v>
      </c>
      <c r="G83" s="9">
        <v>0.10013302950429068</v>
      </c>
      <c r="H83" s="9">
        <v>0.14313065369354011</v>
      </c>
      <c r="I83" s="9">
        <v>2.4803763448381</v>
      </c>
      <c r="J83" s="9">
        <v>4.8206078125736047</v>
      </c>
      <c r="K83" s="9">
        <v>0.24785438405500856</v>
      </c>
      <c r="L83" s="9">
        <v>0.89049962044738695</v>
      </c>
      <c r="M83" s="9">
        <v>0.28019010427314295</v>
      </c>
      <c r="N83" s="9">
        <v>237.48210049361248</v>
      </c>
      <c r="O83" s="9">
        <v>13.335095470309348</v>
      </c>
      <c r="P83" s="9">
        <v>1.6925154497372856</v>
      </c>
      <c r="Q83" s="9">
        <v>1.1863742761102198</v>
      </c>
      <c r="R83" s="9">
        <v>3.8541131858657942</v>
      </c>
      <c r="S83" s="9">
        <v>82.66874828130679</v>
      </c>
      <c r="T83" s="9">
        <v>14.280795035341539</v>
      </c>
      <c r="U83" s="9">
        <v>16.8986829539169</v>
      </c>
      <c r="V83" s="9">
        <v>10.275501425097943</v>
      </c>
      <c r="W83" s="9">
        <v>11.789392417389998</v>
      </c>
      <c r="X83" s="9">
        <v>10.642695770990734</v>
      </c>
      <c r="Y83" s="9">
        <v>12.89647671792776</v>
      </c>
      <c r="Z83" s="9">
        <v>1.7126397968771039</v>
      </c>
      <c r="AA83" s="9">
        <v>0</v>
      </c>
      <c r="AB83" s="9">
        <v>95.709441032922768</v>
      </c>
      <c r="AC83" s="9">
        <v>1.6957128880460006</v>
      </c>
      <c r="AD83" s="9">
        <v>1.7832962665179513</v>
      </c>
      <c r="AE83" s="9">
        <v>22.827416977706239</v>
      </c>
      <c r="AF83" s="9">
        <v>0.35526704558873301</v>
      </c>
      <c r="AG83" s="9">
        <v>2.2442666429621583</v>
      </c>
      <c r="AH83" s="9">
        <v>3.1225885947140108</v>
      </c>
      <c r="AI83" s="9">
        <v>2.3574970010165339</v>
      </c>
      <c r="AJ83" s="9">
        <v>0.90468257999497692</v>
      </c>
      <c r="AK83" s="9">
        <v>0.61084341979633427</v>
      </c>
      <c r="AL83" s="9">
        <v>2.3534882878530157</v>
      </c>
      <c r="AM83" s="9">
        <v>0.1221718772139978</v>
      </c>
      <c r="AN83" s="9">
        <v>1.9268552351039938</v>
      </c>
      <c r="AO83" s="9">
        <v>0.53568653052810022</v>
      </c>
      <c r="AP83" s="9">
        <v>0.96996084099532698</v>
      </c>
      <c r="AQ83" s="9">
        <v>0.81417229837270044</v>
      </c>
      <c r="AR83" s="9">
        <v>1.39218537816781</v>
      </c>
      <c r="AS83" s="9">
        <v>2.898702232091809</v>
      </c>
      <c r="AT83" s="9">
        <v>0.67579585520180652</v>
      </c>
      <c r="AU83" s="9">
        <v>0.54581715338742842</v>
      </c>
      <c r="AV83" s="9">
        <v>1.7552694264332336</v>
      </c>
      <c r="AW83" s="9">
        <v>0.41923267144506027</v>
      </c>
      <c r="AX83" s="9">
        <v>0.9290848204386577</v>
      </c>
      <c r="AY83" s="9">
        <v>1.5267829855377186</v>
      </c>
      <c r="AZ83" s="9">
        <v>6.2361103984278935E-3</v>
      </c>
      <c r="BA83" s="9">
        <v>0.5623574996799342</v>
      </c>
      <c r="BB83" s="9">
        <v>1.1783847301590011</v>
      </c>
      <c r="BC83" s="9">
        <v>2.8921177855667617</v>
      </c>
      <c r="BD83" s="9">
        <v>2.8074454933570845</v>
      </c>
      <c r="BE83" s="9">
        <v>3.3256358446331173</v>
      </c>
      <c r="BF83" s="9">
        <v>3.0037350330851842</v>
      </c>
      <c r="BG83" s="9">
        <v>0</v>
      </c>
      <c r="BH83" s="9">
        <v>0</v>
      </c>
      <c r="BI83" s="9">
        <v>24.59241656701484</v>
      </c>
      <c r="BJ83" s="9">
        <v>0</v>
      </c>
      <c r="BK83" s="9">
        <v>6.6903018077956164E-2</v>
      </c>
      <c r="BL83" s="9">
        <v>31.861670154410191</v>
      </c>
      <c r="BM83" s="9">
        <v>0.53565198949745585</v>
      </c>
      <c r="BN83" s="9">
        <v>0</v>
      </c>
      <c r="BO83" s="9">
        <v>0</v>
      </c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</row>
    <row r="84" spans="1:87" x14ac:dyDescent="0.3">
      <c r="A84">
        <v>2014</v>
      </c>
      <c r="B84" s="10" t="s">
        <v>170</v>
      </c>
      <c r="C84" s="12" t="s">
        <v>228</v>
      </c>
      <c r="D84" s="10" t="s">
        <v>293</v>
      </c>
      <c r="E84" s="9">
        <v>0.16978222229041989</v>
      </c>
      <c r="F84" s="9">
        <v>1.0849846445293703E-2</v>
      </c>
      <c r="G84" s="9">
        <v>6.6847246656391857E-2</v>
      </c>
      <c r="H84" s="9">
        <v>3.3534637537205043E-2</v>
      </c>
      <c r="I84" s="9">
        <v>0.31030383397677219</v>
      </c>
      <c r="J84" s="9">
        <v>0.65389151678161161</v>
      </c>
      <c r="K84" s="9">
        <v>2.3379817193192536E-2</v>
      </c>
      <c r="L84" s="9">
        <v>0.10776740557366735</v>
      </c>
      <c r="M84" s="9">
        <v>3.4734033979004486E-2</v>
      </c>
      <c r="N84" s="9">
        <v>18.712584005020972</v>
      </c>
      <c r="O84" s="9">
        <v>5.2585487335217067</v>
      </c>
      <c r="P84" s="9">
        <v>0.22283054621502524</v>
      </c>
      <c r="Q84" s="9">
        <v>0.1805983993249437</v>
      </c>
      <c r="R84" s="9">
        <v>0.42754340815768133</v>
      </c>
      <c r="S84" s="9">
        <v>4.7502088178493223</v>
      </c>
      <c r="T84" s="9">
        <v>0.44514187575674202</v>
      </c>
      <c r="U84" s="9">
        <v>1.4488463141690666</v>
      </c>
      <c r="V84" s="9">
        <v>0.52990037696179437</v>
      </c>
      <c r="W84" s="9">
        <v>1.1686845415392237</v>
      </c>
      <c r="X84" s="9">
        <v>0.83002184898731479</v>
      </c>
      <c r="Y84" s="9">
        <v>1.0062876779046712</v>
      </c>
      <c r="Z84" s="9">
        <v>0.19051446592138011</v>
      </c>
      <c r="AA84" s="9">
        <v>0</v>
      </c>
      <c r="AB84" s="9">
        <v>7.179803442612176</v>
      </c>
      <c r="AC84" s="9">
        <v>0.42548903684807821</v>
      </c>
      <c r="AD84" s="9">
        <v>0.42428512773649285</v>
      </c>
      <c r="AE84" s="9">
        <v>1.7547822494043861</v>
      </c>
      <c r="AF84" s="9">
        <v>6.16585254130321E-2</v>
      </c>
      <c r="AG84" s="9">
        <v>0.38742910460211655</v>
      </c>
      <c r="AH84" s="9">
        <v>0.54079401442931674</v>
      </c>
      <c r="AI84" s="9">
        <v>1.5993237646899634</v>
      </c>
      <c r="AJ84" s="9">
        <v>0.51634695632119287</v>
      </c>
      <c r="AK84" s="9">
        <v>0.42118626451003216</v>
      </c>
      <c r="AL84" s="9">
        <v>0.32071514290940567</v>
      </c>
      <c r="AM84" s="9">
        <v>3.2757136634890924E-2</v>
      </c>
      <c r="AN84" s="9">
        <v>0.21977024310634527</v>
      </c>
      <c r="AO84" s="9">
        <v>5.9986904478208286E-2</v>
      </c>
      <c r="AP84" s="9">
        <v>9.8735385429113642E-2</v>
      </c>
      <c r="AQ84" s="9">
        <v>7.3786021938355789E-2</v>
      </c>
      <c r="AR84" s="9">
        <v>0.14966920999938943</v>
      </c>
      <c r="AS84" s="9">
        <v>0.37240154410777804</v>
      </c>
      <c r="AT84" s="9">
        <v>0.1007803077971325</v>
      </c>
      <c r="AU84" s="9">
        <v>6.4561376095718673E-2</v>
      </c>
      <c r="AV84" s="9">
        <v>9.3581130701048593E-2</v>
      </c>
      <c r="AW84" s="9">
        <v>7.0034208226426323E-2</v>
      </c>
      <c r="AX84" s="9">
        <v>0.14863768947468659</v>
      </c>
      <c r="AY84" s="9">
        <v>0.13311974103885144</v>
      </c>
      <c r="AZ84" s="9">
        <v>5.5534807339351034E-4</v>
      </c>
      <c r="BA84" s="9">
        <v>7.5761565064853431E-2</v>
      </c>
      <c r="BB84" s="9">
        <v>0.18610465748759286</v>
      </c>
      <c r="BC84" s="9">
        <v>0.54870623921714745</v>
      </c>
      <c r="BD84" s="9">
        <v>0.43199920388721447</v>
      </c>
      <c r="BE84" s="9">
        <v>0.50251272932023427</v>
      </c>
      <c r="BF84" s="9">
        <v>0.34406752521690614</v>
      </c>
      <c r="BG84" s="9">
        <v>0</v>
      </c>
      <c r="BH84" s="9">
        <v>0</v>
      </c>
      <c r="BI84" s="9">
        <v>4.2762835442807399</v>
      </c>
      <c r="BJ84" s="9">
        <v>0</v>
      </c>
      <c r="BK84" s="9">
        <v>1.3997946974096447E-2</v>
      </c>
      <c r="BL84" s="9">
        <v>2.7527963240948674</v>
      </c>
      <c r="BM84" s="9">
        <v>3.4370801120483865E-2</v>
      </c>
      <c r="BN84" s="9">
        <v>0</v>
      </c>
      <c r="BO84" s="9">
        <v>0</v>
      </c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</row>
    <row r="85" spans="1:87" x14ac:dyDescent="0.3">
      <c r="A85">
        <v>2014</v>
      </c>
      <c r="B85" s="10" t="s">
        <v>171</v>
      </c>
      <c r="C85" s="12" t="s">
        <v>229</v>
      </c>
      <c r="D85" s="10" t="s">
        <v>293</v>
      </c>
      <c r="E85" s="9">
        <v>0.19573155702267123</v>
      </c>
      <c r="F85" s="9">
        <v>1.0019224240191485E-2</v>
      </c>
      <c r="G85" s="9">
        <v>2.0956944633173279E-2</v>
      </c>
      <c r="H85" s="9">
        <v>5.4178286974556525E-2</v>
      </c>
      <c r="I85" s="9">
        <v>1.2959560939827699</v>
      </c>
      <c r="J85" s="9">
        <v>3.7572234641133688</v>
      </c>
      <c r="K85" s="9">
        <v>9.8790734335847091E-2</v>
      </c>
      <c r="L85" s="9">
        <v>0.43158365955618366</v>
      </c>
      <c r="M85" s="9">
        <v>7.8236600474538787E-2</v>
      </c>
      <c r="N85" s="9">
        <v>151.97539977681805</v>
      </c>
      <c r="O85" s="9">
        <v>4.1081904778640652</v>
      </c>
      <c r="P85" s="9">
        <v>0.65294575741896044</v>
      </c>
      <c r="Q85" s="9">
        <v>0.49286206432384805</v>
      </c>
      <c r="R85" s="9">
        <v>2.0168992250726565</v>
      </c>
      <c r="S85" s="9">
        <v>39.63180270677335</v>
      </c>
      <c r="T85" s="9">
        <v>2.3431338761648353</v>
      </c>
      <c r="U85" s="9">
        <v>7.3498008449091117</v>
      </c>
      <c r="V85" s="9">
        <v>1.8619856188735813</v>
      </c>
      <c r="W85" s="9">
        <v>2.9808483875442664</v>
      </c>
      <c r="X85" s="9">
        <v>3.7529146797051434</v>
      </c>
      <c r="Y85" s="9">
        <v>4.2744546902778708</v>
      </c>
      <c r="Z85" s="9">
        <v>1.2307616931889029</v>
      </c>
      <c r="AA85" s="9">
        <v>0</v>
      </c>
      <c r="AB85" s="9">
        <v>56.047367027187043</v>
      </c>
      <c r="AC85" s="9">
        <v>0.27020591091793095</v>
      </c>
      <c r="AD85" s="9">
        <v>0.59121834431432019</v>
      </c>
      <c r="AE85" s="9">
        <v>5.3662750643124477</v>
      </c>
      <c r="AF85" s="9">
        <v>0.10314494273872057</v>
      </c>
      <c r="AG85" s="9">
        <v>0.65177933458539328</v>
      </c>
      <c r="AH85" s="9">
        <v>0.90672926212717897</v>
      </c>
      <c r="AI85" s="9">
        <v>0.407083182750405</v>
      </c>
      <c r="AJ85" s="9">
        <v>0.74425755910680935</v>
      </c>
      <c r="AK85" s="9">
        <v>0.32321317299974639</v>
      </c>
      <c r="AL85" s="9">
        <v>0.69398767879699563</v>
      </c>
      <c r="AM85" s="9">
        <v>5.6345085621080038E-2</v>
      </c>
      <c r="AN85" s="9">
        <v>0.4718423213009702</v>
      </c>
      <c r="AO85" s="9">
        <v>0.15372633570131244</v>
      </c>
      <c r="AP85" s="9">
        <v>0.33500318516084593</v>
      </c>
      <c r="AQ85" s="9">
        <v>0.27979917516143982</v>
      </c>
      <c r="AR85" s="9">
        <v>0.59403458651282159</v>
      </c>
      <c r="AS85" s="9">
        <v>1.3012788060098384</v>
      </c>
      <c r="AT85" s="9">
        <v>0.26296138393203006</v>
      </c>
      <c r="AU85" s="9">
        <v>0.20092529933995401</v>
      </c>
      <c r="AV85" s="9">
        <v>0.11631834190437283</v>
      </c>
      <c r="AW85" s="9">
        <v>6.9346783029355888E-2</v>
      </c>
      <c r="AX85" s="9">
        <v>0.30244834053979552</v>
      </c>
      <c r="AY85" s="9">
        <v>0.34162528539118564</v>
      </c>
      <c r="AZ85" s="9">
        <v>2.6890066720698055E-3</v>
      </c>
      <c r="BA85" s="9">
        <v>0.15334742976847576</v>
      </c>
      <c r="BB85" s="9">
        <v>0.4156977317216729</v>
      </c>
      <c r="BC85" s="9">
        <v>1.1936339297281116</v>
      </c>
      <c r="BD85" s="9">
        <v>0.86723697816724266</v>
      </c>
      <c r="BE85" s="9">
        <v>0.89415527823850516</v>
      </c>
      <c r="BF85" s="9">
        <v>0.76770412883836525</v>
      </c>
      <c r="BG85" s="9">
        <v>0</v>
      </c>
      <c r="BH85" s="9">
        <v>0</v>
      </c>
      <c r="BI85" s="9">
        <v>8.8074058199996301</v>
      </c>
      <c r="BJ85" s="9">
        <v>0</v>
      </c>
      <c r="BK85" s="9">
        <v>1.3666277695558548E-2</v>
      </c>
      <c r="BL85" s="9">
        <v>6.5810504500779761</v>
      </c>
      <c r="BM85" s="9">
        <v>0.1344551393225028</v>
      </c>
      <c r="BN85" s="9">
        <v>0</v>
      </c>
      <c r="BO85" s="9">
        <v>0</v>
      </c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</row>
    <row r="86" spans="1:87" x14ac:dyDescent="0.3">
      <c r="A86">
        <v>2014</v>
      </c>
      <c r="B86" s="10" t="s">
        <v>172</v>
      </c>
      <c r="C86" s="12" t="s">
        <v>230</v>
      </c>
      <c r="D86" s="10" t="s">
        <v>293</v>
      </c>
      <c r="E86" s="9">
        <v>0.67255620159289198</v>
      </c>
      <c r="F86" s="9">
        <v>8.8579411817883438E-2</v>
      </c>
      <c r="G86" s="9">
        <v>0.10658451683587701</v>
      </c>
      <c r="H86" s="9">
        <v>0.13118458748867423</v>
      </c>
      <c r="I86" s="9">
        <v>2.6940862940072963</v>
      </c>
      <c r="J86" s="9">
        <v>1.831924428175167</v>
      </c>
      <c r="K86" s="9">
        <v>0.33041272665432231</v>
      </c>
      <c r="L86" s="9">
        <v>0.44264171454130719</v>
      </c>
      <c r="M86" s="9">
        <v>0.19625400995519895</v>
      </c>
      <c r="N86" s="9">
        <v>400.07099603882438</v>
      </c>
      <c r="O86" s="9">
        <v>7.2422064340063219</v>
      </c>
      <c r="P86" s="9">
        <v>0.99748352730500334</v>
      </c>
      <c r="Q86" s="9">
        <v>0.69456874131024071</v>
      </c>
      <c r="R86" s="9">
        <v>6.2154188426940555</v>
      </c>
      <c r="S86" s="9">
        <v>99.592077738697853</v>
      </c>
      <c r="T86" s="9">
        <v>4.4422601667020309</v>
      </c>
      <c r="U86" s="9">
        <v>14.835115154781038</v>
      </c>
      <c r="V86" s="9">
        <v>4.3651121264553829</v>
      </c>
      <c r="W86" s="9">
        <v>12.290047951355699</v>
      </c>
      <c r="X86" s="9">
        <v>7.2304216545221038</v>
      </c>
      <c r="Y86" s="9">
        <v>8.9396714384433231</v>
      </c>
      <c r="Z86" s="9">
        <v>0.9700754084505987</v>
      </c>
      <c r="AA86" s="9">
        <v>0</v>
      </c>
      <c r="AB86" s="9">
        <v>148.22076244989589</v>
      </c>
      <c r="AC86" s="9">
        <v>1.1621273753451837</v>
      </c>
      <c r="AD86" s="9">
        <v>1.1491721854547703</v>
      </c>
      <c r="AE86" s="9">
        <v>25.502864768845829</v>
      </c>
      <c r="AF86" s="9">
        <v>0.23413160948626904</v>
      </c>
      <c r="AG86" s="9">
        <v>1.4775906741781517</v>
      </c>
      <c r="AH86" s="9">
        <v>2.0612638720451</v>
      </c>
      <c r="AI86" s="9">
        <v>1.2911381289278347</v>
      </c>
      <c r="AJ86" s="9">
        <v>1.4575354935120313</v>
      </c>
      <c r="AK86" s="9">
        <v>0.7798141844686326</v>
      </c>
      <c r="AL86" s="9">
        <v>1.5849600571689557</v>
      </c>
      <c r="AM86" s="9">
        <v>0.11210904511720882</v>
      </c>
      <c r="AN86" s="9">
        <v>0.9655345036502555</v>
      </c>
      <c r="AO86" s="9">
        <v>0.50053688887977699</v>
      </c>
      <c r="AP86" s="9">
        <v>0.76687634248453407</v>
      </c>
      <c r="AQ86" s="9">
        <v>0.69414363188572892</v>
      </c>
      <c r="AR86" s="9">
        <v>1.2957597801030776</v>
      </c>
      <c r="AS86" s="9">
        <v>2.7007572237698825</v>
      </c>
      <c r="AT86" s="9">
        <v>0.5200754802885349</v>
      </c>
      <c r="AU86" s="9">
        <v>0.49950786779573397</v>
      </c>
      <c r="AV86" s="9">
        <v>10.337082029758424</v>
      </c>
      <c r="AW86" s="9">
        <v>0.26052162397502548</v>
      </c>
      <c r="AX86" s="9">
        <v>0.85840049560193887</v>
      </c>
      <c r="AY86" s="9">
        <v>1.4822255125292394</v>
      </c>
      <c r="AZ86" s="9">
        <v>6.6655899575742295E-3</v>
      </c>
      <c r="BA86" s="9">
        <v>0.36514426083213913</v>
      </c>
      <c r="BB86" s="9">
        <v>0.75784366093423783</v>
      </c>
      <c r="BC86" s="9">
        <v>11.282477205085202</v>
      </c>
      <c r="BD86" s="9">
        <v>1.2883023138567742</v>
      </c>
      <c r="BE86" s="9">
        <v>1.4734386179170189</v>
      </c>
      <c r="BF86" s="9">
        <v>1.6005768764863815</v>
      </c>
      <c r="BG86" s="9">
        <v>0</v>
      </c>
      <c r="BH86" s="9">
        <v>0</v>
      </c>
      <c r="BI86" s="9">
        <v>16.484511669054719</v>
      </c>
      <c r="BJ86" s="9">
        <v>0</v>
      </c>
      <c r="BK86" s="9">
        <v>9.2755864165125407E-2</v>
      </c>
      <c r="BL86" s="9">
        <v>69.109537641133713</v>
      </c>
      <c r="BM86" s="9">
        <v>0.38007844808700636</v>
      </c>
      <c r="BN86" s="9">
        <v>0</v>
      </c>
      <c r="BO86" s="9">
        <v>0</v>
      </c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</row>
    <row r="87" spans="1:87" x14ac:dyDescent="0.3">
      <c r="A87">
        <v>2014</v>
      </c>
      <c r="B87" s="10" t="s">
        <v>173</v>
      </c>
      <c r="C87" s="12" t="s">
        <v>231</v>
      </c>
      <c r="D87" s="10" t="s">
        <v>293</v>
      </c>
      <c r="E87" s="9">
        <v>2.9946942545666615</v>
      </c>
      <c r="F87" s="9">
        <v>0.13514874084700243</v>
      </c>
      <c r="G87" s="9">
        <v>0.40103834024145979</v>
      </c>
      <c r="H87" s="9">
        <v>0.25331810695908424</v>
      </c>
      <c r="I87" s="9">
        <v>13.470799056699835</v>
      </c>
      <c r="J87" s="9">
        <v>12.792174891298313</v>
      </c>
      <c r="K87" s="9">
        <v>0.55565336752981898</v>
      </c>
      <c r="L87" s="9">
        <v>2.536723976118707</v>
      </c>
      <c r="M87" s="9">
        <v>1.2308110934042706</v>
      </c>
      <c r="N87" s="9">
        <v>16.221601466740839</v>
      </c>
      <c r="O87" s="9">
        <v>25.724167645663666</v>
      </c>
      <c r="P87" s="9">
        <v>12.083761124648012</v>
      </c>
      <c r="Q87" s="9">
        <v>3.2912602553119821</v>
      </c>
      <c r="R87" s="9">
        <v>2.3494133256623182</v>
      </c>
      <c r="S87" s="9">
        <v>15.397381368542007</v>
      </c>
      <c r="T87" s="9">
        <v>11.803660428713522</v>
      </c>
      <c r="U87" s="9">
        <v>45.518580513356824</v>
      </c>
      <c r="V87" s="9">
        <v>12.984234814620548</v>
      </c>
      <c r="W87" s="9">
        <v>21.957394209564132</v>
      </c>
      <c r="X87" s="9">
        <v>27.864747671448292</v>
      </c>
      <c r="Y87" s="9">
        <v>22.317040401655461</v>
      </c>
      <c r="Z87" s="9">
        <v>4.1773045390236474</v>
      </c>
      <c r="AA87" s="9">
        <v>0</v>
      </c>
      <c r="AB87" s="9">
        <v>7.6619705916285907</v>
      </c>
      <c r="AC87" s="9">
        <v>1.953632653369745</v>
      </c>
      <c r="AD87" s="9">
        <v>2.1831555502911106</v>
      </c>
      <c r="AE87" s="9">
        <v>26.063454561237478</v>
      </c>
      <c r="AF87" s="9">
        <v>2.0696665649113068</v>
      </c>
      <c r="AG87" s="9">
        <v>2.3810240699695102</v>
      </c>
      <c r="AH87" s="9">
        <v>3.3833467915418352</v>
      </c>
      <c r="AI87" s="9">
        <v>5.3436523224448633</v>
      </c>
      <c r="AJ87" s="9">
        <v>1.5390356383438877</v>
      </c>
      <c r="AK87" s="9">
        <v>1.7102221639933683</v>
      </c>
      <c r="AL87" s="9">
        <v>3.1331755087042215</v>
      </c>
      <c r="AM87" s="9">
        <v>0.27943804624411334</v>
      </c>
      <c r="AN87" s="9">
        <v>5.2739997852259668</v>
      </c>
      <c r="AO87" s="9">
        <v>1.907757400761807</v>
      </c>
      <c r="AP87" s="9">
        <v>1.5549179927164543</v>
      </c>
      <c r="AQ87" s="9">
        <v>2.6900971332874346</v>
      </c>
      <c r="AR87" s="9">
        <v>2.3901261211598239</v>
      </c>
      <c r="AS87" s="9">
        <v>4.6753655544163362</v>
      </c>
      <c r="AT87" s="9">
        <v>1.2910447505437666</v>
      </c>
      <c r="AU87" s="9">
        <v>0.97505775361218028</v>
      </c>
      <c r="AV87" s="9">
        <v>0.82243645856715852</v>
      </c>
      <c r="AW87" s="9">
        <v>0.49425829391902121</v>
      </c>
      <c r="AX87" s="9">
        <v>1.2776729337333215</v>
      </c>
      <c r="AY87" s="9">
        <v>2.7581052111886435</v>
      </c>
      <c r="AZ87" s="9">
        <v>2.9550861424505304E-2</v>
      </c>
      <c r="BA87" s="9">
        <v>0.83156382269891138</v>
      </c>
      <c r="BB87" s="9">
        <v>2.2430256987791268</v>
      </c>
      <c r="BC87" s="9">
        <v>4.6358040364105619</v>
      </c>
      <c r="BD87" s="9">
        <v>3.5119866695568911</v>
      </c>
      <c r="BE87" s="9">
        <v>18.993596616399479</v>
      </c>
      <c r="BF87" s="9">
        <v>5.4109534008974158</v>
      </c>
      <c r="BG87" s="9">
        <v>0</v>
      </c>
      <c r="BH87" s="9">
        <v>0</v>
      </c>
      <c r="BI87" s="9">
        <v>134.61943739826762</v>
      </c>
      <c r="BJ87" s="9">
        <v>0</v>
      </c>
      <c r="BK87" s="9">
        <v>1.749617882055998</v>
      </c>
      <c r="BL87" s="9">
        <v>86.754711127028486</v>
      </c>
      <c r="BM87" s="9">
        <v>1.0255382312469568</v>
      </c>
      <c r="BN87" s="9">
        <v>0</v>
      </c>
      <c r="BO87" s="9">
        <v>0</v>
      </c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</row>
    <row r="88" spans="1:87" x14ac:dyDescent="0.3">
      <c r="A88">
        <v>2014</v>
      </c>
      <c r="B88" s="10" t="s">
        <v>174</v>
      </c>
      <c r="C88" s="12" t="s">
        <v>232</v>
      </c>
      <c r="D88" s="10" t="s">
        <v>293</v>
      </c>
      <c r="E88" s="9">
        <v>49.083211044525591</v>
      </c>
      <c r="F88" s="9">
        <v>2.6297267882241697</v>
      </c>
      <c r="G88" s="9">
        <v>5.0077432591818916</v>
      </c>
      <c r="H88" s="9">
        <v>2.7425391317936727</v>
      </c>
      <c r="I88" s="9">
        <v>184.18695861403023</v>
      </c>
      <c r="J88" s="9">
        <v>169.49888624966343</v>
      </c>
      <c r="K88" s="9">
        <v>9.1710791071151068</v>
      </c>
      <c r="L88" s="9">
        <v>30.083526430457859</v>
      </c>
      <c r="M88" s="9">
        <v>13.100630082034462</v>
      </c>
      <c r="N88" s="9">
        <v>2419.9024666212454</v>
      </c>
      <c r="O88" s="9">
        <v>425.00851843443706</v>
      </c>
      <c r="P88" s="9">
        <v>137.62757438416946</v>
      </c>
      <c r="Q88" s="9">
        <v>46.908784687083703</v>
      </c>
      <c r="R88" s="9">
        <v>51.211008252637093</v>
      </c>
      <c r="S88" s="9">
        <v>779.83646403750049</v>
      </c>
      <c r="T88" s="9">
        <v>175.87003703031112</v>
      </c>
      <c r="U88" s="9">
        <v>706.98735972184545</v>
      </c>
      <c r="V88" s="9">
        <v>163.14035232464084</v>
      </c>
      <c r="W88" s="9">
        <v>260.68540897702087</v>
      </c>
      <c r="X88" s="9">
        <v>251.70803872776312</v>
      </c>
      <c r="Y88" s="9">
        <v>274.45021645556938</v>
      </c>
      <c r="Z88" s="9">
        <v>49.466868070114067</v>
      </c>
      <c r="AA88" s="9">
        <v>0</v>
      </c>
      <c r="AB88" s="9">
        <v>907.92572423884599</v>
      </c>
      <c r="AC88" s="9">
        <v>21.913634686107979</v>
      </c>
      <c r="AD88" s="9">
        <v>24.571226001961833</v>
      </c>
      <c r="AE88" s="9">
        <v>338.52844694521542</v>
      </c>
      <c r="AF88" s="9">
        <v>3.9192176853965481</v>
      </c>
      <c r="AG88" s="9">
        <v>35.715195438739116</v>
      </c>
      <c r="AH88" s="9">
        <v>34.55514019787114</v>
      </c>
      <c r="AI88" s="9">
        <v>58.898651384920754</v>
      </c>
      <c r="AJ88" s="9">
        <v>15.509579897090653</v>
      </c>
      <c r="AK88" s="9">
        <v>20.301534455949724</v>
      </c>
      <c r="AL88" s="9">
        <v>31.260103064376892</v>
      </c>
      <c r="AM88" s="9">
        <v>2.6606598056754285</v>
      </c>
      <c r="AN88" s="9">
        <v>70.563566510384007</v>
      </c>
      <c r="AO88" s="9">
        <v>18.66061979916276</v>
      </c>
      <c r="AP88" s="9">
        <v>15.991648835401591</v>
      </c>
      <c r="AQ88" s="9">
        <v>21.906293730803185</v>
      </c>
      <c r="AR88" s="9">
        <v>26.95567836511292</v>
      </c>
      <c r="AS88" s="9">
        <v>40.818786132708333</v>
      </c>
      <c r="AT88" s="9">
        <v>11.696363668049095</v>
      </c>
      <c r="AU88" s="9">
        <v>9.1888099532052863</v>
      </c>
      <c r="AV88" s="9">
        <v>6.5503154569952704</v>
      </c>
      <c r="AW88" s="9">
        <v>5.0353408553679539</v>
      </c>
      <c r="AX88" s="9">
        <v>14.245235278952849</v>
      </c>
      <c r="AY88" s="9">
        <v>33.939491434616095</v>
      </c>
      <c r="AZ88" s="9">
        <v>0.28284240786178344</v>
      </c>
      <c r="BA88" s="9">
        <v>9.1369118090778123</v>
      </c>
      <c r="BB88" s="9">
        <v>26.084182819003352</v>
      </c>
      <c r="BC88" s="9">
        <v>45.307583806445265</v>
      </c>
      <c r="BD88" s="9">
        <v>39.173528809644402</v>
      </c>
      <c r="BE88" s="9">
        <v>223.68577157535077</v>
      </c>
      <c r="BF88" s="9">
        <v>58.262671440800723</v>
      </c>
      <c r="BG88" s="9">
        <v>0</v>
      </c>
      <c r="BH88" s="9">
        <v>0</v>
      </c>
      <c r="BI88" s="9">
        <v>1405.4241939913734</v>
      </c>
      <c r="BJ88" s="9">
        <v>0</v>
      </c>
      <c r="BK88" s="9">
        <v>2.1669791042310345</v>
      </c>
      <c r="BL88" s="9">
        <v>1147.5128180305112</v>
      </c>
      <c r="BM88" s="9">
        <v>13.478827565778762</v>
      </c>
      <c r="BN88" s="9">
        <v>0</v>
      </c>
      <c r="BO88" s="9">
        <v>0</v>
      </c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</row>
    <row r="89" spans="1:87" x14ac:dyDescent="0.3">
      <c r="A89">
        <v>2014</v>
      </c>
      <c r="B89" s="10" t="s">
        <v>175</v>
      </c>
      <c r="C89" s="12" t="s">
        <v>233</v>
      </c>
      <c r="D89" s="10" t="s">
        <v>293</v>
      </c>
      <c r="E89" s="9">
        <v>26.263008916337576</v>
      </c>
      <c r="F89" s="9">
        <v>0.81780626714415683</v>
      </c>
      <c r="G89" s="9">
        <v>2.3041292196521321</v>
      </c>
      <c r="H89" s="9">
        <v>1.03450514489717</v>
      </c>
      <c r="I89" s="9">
        <v>119.4257732285653</v>
      </c>
      <c r="J89" s="9">
        <v>77.509094711942367</v>
      </c>
      <c r="K89" s="9">
        <v>3.4271034110829115</v>
      </c>
      <c r="L89" s="9">
        <v>13.18626583808074</v>
      </c>
      <c r="M89" s="9">
        <v>7.1106747398473997</v>
      </c>
      <c r="N89" s="9">
        <v>102.61620680229292</v>
      </c>
      <c r="O89" s="9">
        <v>109.90835110367658</v>
      </c>
      <c r="P89" s="9">
        <v>50.329276161000799</v>
      </c>
      <c r="Q89" s="9">
        <v>13.071481678295775</v>
      </c>
      <c r="R89" s="9">
        <v>11.169787227389286</v>
      </c>
      <c r="S89" s="9">
        <v>71.737852619690557</v>
      </c>
      <c r="T89" s="9">
        <v>46.906748394548529</v>
      </c>
      <c r="U89" s="9">
        <v>161.31189484566556</v>
      </c>
      <c r="V89" s="9">
        <v>54.606282654082349</v>
      </c>
      <c r="W89" s="9">
        <v>76.805877219744943</v>
      </c>
      <c r="X89" s="9">
        <v>102.58224718795839</v>
      </c>
      <c r="Y89" s="9">
        <v>68.443997337507483</v>
      </c>
      <c r="Z89" s="9">
        <v>24.099157481034084</v>
      </c>
      <c r="AA89" s="9">
        <v>0</v>
      </c>
      <c r="AB89" s="9">
        <v>42.871529138339547</v>
      </c>
      <c r="AC89" s="9">
        <v>8.1177151298981016</v>
      </c>
      <c r="AD89" s="9">
        <v>9.1079361408639574</v>
      </c>
      <c r="AE89" s="9">
        <v>100.64934720525486</v>
      </c>
      <c r="AF89" s="9">
        <v>1.8207798261418691</v>
      </c>
      <c r="AG89" s="9">
        <v>11.452484995686866</v>
      </c>
      <c r="AH89" s="9">
        <v>31.102612271261421</v>
      </c>
      <c r="AI89" s="9">
        <v>30.081339828521891</v>
      </c>
      <c r="AJ89" s="9">
        <v>6.5619165970364381</v>
      </c>
      <c r="AK89" s="9">
        <v>4.9392675755832336</v>
      </c>
      <c r="AL89" s="9">
        <v>15.483346456862568</v>
      </c>
      <c r="AM89" s="9">
        <v>1.3410421375787513</v>
      </c>
      <c r="AN89" s="9">
        <v>52.224771324929925</v>
      </c>
      <c r="AO89" s="9">
        <v>12.272581777669046</v>
      </c>
      <c r="AP89" s="9">
        <v>8.4580894881384658</v>
      </c>
      <c r="AQ89" s="9">
        <v>19.913506229957832</v>
      </c>
      <c r="AR89" s="9">
        <v>10.471079533072604</v>
      </c>
      <c r="AS89" s="9">
        <v>23.404356206940641</v>
      </c>
      <c r="AT89" s="9">
        <v>6.7655077407155133</v>
      </c>
      <c r="AU89" s="9">
        <v>4.1910175361508113</v>
      </c>
      <c r="AV89" s="9">
        <v>2.5224630302644933</v>
      </c>
      <c r="AW89" s="9">
        <v>2.6547758551762737</v>
      </c>
      <c r="AX89" s="9">
        <v>6.6482020675369204</v>
      </c>
      <c r="AY89" s="9">
        <v>11.486702515442591</v>
      </c>
      <c r="AZ89" s="9">
        <v>0.19512957602901546</v>
      </c>
      <c r="BA89" s="9">
        <v>4.268915628373863</v>
      </c>
      <c r="BB89" s="9">
        <v>12.390762492461597</v>
      </c>
      <c r="BC89" s="9">
        <v>20.112888341601163</v>
      </c>
      <c r="BD89" s="9">
        <v>23.080844595495364</v>
      </c>
      <c r="BE89" s="9">
        <v>60.401390414551685</v>
      </c>
      <c r="BF89" s="9">
        <v>27.184913790131461</v>
      </c>
      <c r="BG89" s="9">
        <v>0</v>
      </c>
      <c r="BH89" s="9">
        <v>0</v>
      </c>
      <c r="BI89" s="9">
        <v>800.04986909453919</v>
      </c>
      <c r="BJ89" s="9">
        <v>0</v>
      </c>
      <c r="BK89" s="9">
        <v>1.2665253561395577</v>
      </c>
      <c r="BL89" s="9">
        <v>132.89668148776315</v>
      </c>
      <c r="BM89" s="9">
        <v>1.6283220727480789</v>
      </c>
      <c r="BN89" s="9">
        <v>0</v>
      </c>
      <c r="BO89" s="9">
        <v>0</v>
      </c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</row>
    <row r="90" spans="1:87" x14ac:dyDescent="0.3">
      <c r="A90">
        <v>2014</v>
      </c>
      <c r="B90" s="10" t="s">
        <v>176</v>
      </c>
      <c r="C90" s="12" t="s">
        <v>234</v>
      </c>
      <c r="D90" s="10" t="s">
        <v>293</v>
      </c>
      <c r="E90" s="9">
        <v>15.890917649531154</v>
      </c>
      <c r="F90" s="9">
        <v>1.2685661668080583</v>
      </c>
      <c r="G90" s="9">
        <v>1.7531565327732563</v>
      </c>
      <c r="H90" s="9">
        <v>5.0382651598845136</v>
      </c>
      <c r="I90" s="9">
        <v>93.416843173174669</v>
      </c>
      <c r="J90" s="9">
        <v>43.461557469611826</v>
      </c>
      <c r="K90" s="9">
        <v>5.1545189389418491</v>
      </c>
      <c r="L90" s="9">
        <v>12.630109538801378</v>
      </c>
      <c r="M90" s="9">
        <v>5.4292890939689258</v>
      </c>
      <c r="N90" s="9">
        <v>2055.6583761409588</v>
      </c>
      <c r="O90" s="9">
        <v>111.61083441120999</v>
      </c>
      <c r="P90" s="9">
        <v>18.511209757830024</v>
      </c>
      <c r="Q90" s="9">
        <v>10.092575034072212</v>
      </c>
      <c r="R90" s="9">
        <v>39.523063119363499</v>
      </c>
      <c r="S90" s="9">
        <v>549.4334936786629</v>
      </c>
      <c r="T90" s="9">
        <v>37.018595460846647</v>
      </c>
      <c r="U90" s="9">
        <v>93.830956028445044</v>
      </c>
      <c r="V90" s="9">
        <v>23.593926512413383</v>
      </c>
      <c r="W90" s="9">
        <v>42.369967398552895</v>
      </c>
      <c r="X90" s="9">
        <v>45.033881667335883</v>
      </c>
      <c r="Y90" s="9">
        <v>41.577933995157586</v>
      </c>
      <c r="Z90" s="9">
        <v>10.784054725023122</v>
      </c>
      <c r="AA90" s="9">
        <v>0</v>
      </c>
      <c r="AB90" s="9">
        <v>750.65299235341467</v>
      </c>
      <c r="AC90" s="9">
        <v>3.8215067479111844</v>
      </c>
      <c r="AD90" s="9">
        <v>18.288095483954567</v>
      </c>
      <c r="AE90" s="9">
        <v>76.61375412539843</v>
      </c>
      <c r="AF90" s="9">
        <v>5.5247207517141534</v>
      </c>
      <c r="AG90" s="9">
        <v>34.690125757306703</v>
      </c>
      <c r="AH90" s="9">
        <v>48.433626998235255</v>
      </c>
      <c r="AI90" s="9">
        <v>26.651048807582729</v>
      </c>
      <c r="AJ90" s="9">
        <v>7.0094372213201517</v>
      </c>
      <c r="AK90" s="9">
        <v>6.6201354903091723</v>
      </c>
      <c r="AL90" s="9">
        <v>16.276596408509679</v>
      </c>
      <c r="AM90" s="9">
        <v>3.5951737431464905</v>
      </c>
      <c r="AN90" s="9">
        <v>19.621695309634667</v>
      </c>
      <c r="AO90" s="9">
        <v>7.4459244529955564</v>
      </c>
      <c r="AP90" s="9">
        <v>2.7293765114369108</v>
      </c>
      <c r="AQ90" s="9">
        <v>1.2939880919784104</v>
      </c>
      <c r="AR90" s="9">
        <v>3.820845453555644</v>
      </c>
      <c r="AS90" s="9">
        <v>21.871349534456076</v>
      </c>
      <c r="AT90" s="9">
        <v>5.481344429821851</v>
      </c>
      <c r="AU90" s="9">
        <v>3.1840073836962861</v>
      </c>
      <c r="AV90" s="9">
        <v>1.6876467226800682</v>
      </c>
      <c r="AW90" s="9">
        <v>3.5818840286511078</v>
      </c>
      <c r="AX90" s="9">
        <v>10.286306795658179</v>
      </c>
      <c r="AY90" s="9">
        <v>7.2220004544970546</v>
      </c>
      <c r="AZ90" s="9">
        <v>6.5447735111828914E-2</v>
      </c>
      <c r="BA90" s="9">
        <v>5.690717833311286</v>
      </c>
      <c r="BB90" s="9">
        <v>15.272109300008811</v>
      </c>
      <c r="BC90" s="9">
        <v>21.355577822569757</v>
      </c>
      <c r="BD90" s="9">
        <v>10.78907193623407</v>
      </c>
      <c r="BE90" s="9">
        <v>25.476756181075608</v>
      </c>
      <c r="BF90" s="9">
        <v>10.858617298976126</v>
      </c>
      <c r="BG90" s="9">
        <v>0</v>
      </c>
      <c r="BH90" s="9">
        <v>0</v>
      </c>
      <c r="BI90" s="9">
        <v>490.55374000103291</v>
      </c>
      <c r="BJ90" s="9">
        <v>0</v>
      </c>
      <c r="BK90" s="9">
        <v>0.1061026526667026</v>
      </c>
      <c r="BL90" s="9">
        <v>127.26546740825137</v>
      </c>
      <c r="BM90" s="9">
        <v>1.1956835270398156</v>
      </c>
      <c r="BN90" s="9">
        <v>0</v>
      </c>
      <c r="BO90" s="9">
        <v>0</v>
      </c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</row>
    <row r="91" spans="1:87" x14ac:dyDescent="0.3">
      <c r="A91">
        <v>2014</v>
      </c>
      <c r="B91" s="10" t="s">
        <v>177</v>
      </c>
      <c r="C91" s="12" t="s">
        <v>235</v>
      </c>
      <c r="D91" s="10" t="s">
        <v>293</v>
      </c>
      <c r="E91" s="9">
        <v>0.86616811224933943</v>
      </c>
      <c r="F91" s="9">
        <v>6.228708153228471E-2</v>
      </c>
      <c r="G91" s="9">
        <v>0.41355088565105091</v>
      </c>
      <c r="H91" s="9">
        <v>0.45241067800820778</v>
      </c>
      <c r="I91" s="9">
        <v>5.0453242735849573</v>
      </c>
      <c r="J91" s="9">
        <v>2.1946541666289052</v>
      </c>
      <c r="K91" s="9">
        <v>0.29277007711616715</v>
      </c>
      <c r="L91" s="9">
        <v>0.81941401463921804</v>
      </c>
      <c r="M91" s="9">
        <v>0.38835881353674701</v>
      </c>
      <c r="N91" s="9">
        <v>17.886082407820393</v>
      </c>
      <c r="O91" s="9">
        <v>7.0685809455751087</v>
      </c>
      <c r="P91" s="9">
        <v>0.94571113595994172</v>
      </c>
      <c r="Q91" s="9">
        <v>0.63376636450745827</v>
      </c>
      <c r="R91" s="9">
        <v>2.3238815926173144</v>
      </c>
      <c r="S91" s="9">
        <v>8.3722391457480896</v>
      </c>
      <c r="T91" s="9">
        <v>2.3340498313578486</v>
      </c>
      <c r="U91" s="9">
        <v>4.9961163026662812</v>
      </c>
      <c r="V91" s="9">
        <v>1.6324754275948488</v>
      </c>
      <c r="W91" s="9">
        <v>2.9687288367130606</v>
      </c>
      <c r="X91" s="9">
        <v>2.2647538542207375</v>
      </c>
      <c r="Y91" s="9">
        <v>3.4497891797428601</v>
      </c>
      <c r="Z91" s="9">
        <v>0.60581578458290308</v>
      </c>
      <c r="AA91" s="9">
        <v>0</v>
      </c>
      <c r="AB91" s="9">
        <v>4.1554220155228636</v>
      </c>
      <c r="AC91" s="9">
        <v>0.17748912540442943</v>
      </c>
      <c r="AD91" s="9">
        <v>0.74772449390657314</v>
      </c>
      <c r="AE91" s="9">
        <v>3.2392177495856411</v>
      </c>
      <c r="AF91" s="9">
        <v>0.35090130071227965</v>
      </c>
      <c r="AG91" s="9">
        <v>2.2051252626454012</v>
      </c>
      <c r="AH91" s="9">
        <v>3.0811211625228569</v>
      </c>
      <c r="AI91" s="9">
        <v>2.2625252495788559</v>
      </c>
      <c r="AJ91" s="9">
        <v>90.296684355519943</v>
      </c>
      <c r="AK91" s="9">
        <v>0.82566632793057582</v>
      </c>
      <c r="AL91" s="9">
        <v>0.86751308591623322</v>
      </c>
      <c r="AM91" s="9">
        <v>0.16762050535426926</v>
      </c>
      <c r="AN91" s="9">
        <v>0.85446575110787415</v>
      </c>
      <c r="AO91" s="9">
        <v>0.17771950162377786</v>
      </c>
      <c r="AP91" s="9">
        <v>0.14045733529654691</v>
      </c>
      <c r="AQ91" s="9">
        <v>8.4831779021871667E-2</v>
      </c>
      <c r="AR91" s="9">
        <v>0.1905323446347765</v>
      </c>
      <c r="AS91" s="9">
        <v>0.62848205566658433</v>
      </c>
      <c r="AT91" s="9">
        <v>9.7856468140480823E-2</v>
      </c>
      <c r="AU91" s="9">
        <v>8.9112677828792369E-2</v>
      </c>
      <c r="AV91" s="9">
        <v>6.2314364098039435E-2</v>
      </c>
      <c r="AW91" s="9">
        <v>9.565139212059115E-2</v>
      </c>
      <c r="AX91" s="9">
        <v>0.22619513680013678</v>
      </c>
      <c r="AY91" s="9">
        <v>0.3192464479079255</v>
      </c>
      <c r="AZ91" s="9">
        <v>1.5538334857039164E-3</v>
      </c>
      <c r="BA91" s="9">
        <v>0.11943582763716887</v>
      </c>
      <c r="BB91" s="9">
        <v>0.3823681774489186</v>
      </c>
      <c r="BC91" s="9">
        <v>0.86630072612901732</v>
      </c>
      <c r="BD91" s="9">
        <v>0.48474260392229529</v>
      </c>
      <c r="BE91" s="9">
        <v>1.1470912401711</v>
      </c>
      <c r="BF91" s="9">
        <v>0.53168882967139641</v>
      </c>
      <c r="BG91" s="9">
        <v>0</v>
      </c>
      <c r="BH91" s="9">
        <v>0</v>
      </c>
      <c r="BI91" s="9">
        <v>21.027323293140505</v>
      </c>
      <c r="BJ91" s="9">
        <v>0</v>
      </c>
      <c r="BK91" s="9">
        <v>3.2305588852860737E-2</v>
      </c>
      <c r="BL91" s="9">
        <v>4.6082550749722184</v>
      </c>
      <c r="BM91" s="9">
        <v>0.64377678101418234</v>
      </c>
      <c r="BN91" s="9">
        <v>0</v>
      </c>
      <c r="BO91" s="9">
        <v>0</v>
      </c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</row>
    <row r="92" spans="1:87" x14ac:dyDescent="0.3">
      <c r="A92">
        <v>2014</v>
      </c>
      <c r="B92" s="10" t="s">
        <v>178</v>
      </c>
      <c r="C92" s="12" t="s">
        <v>236</v>
      </c>
      <c r="D92" s="10" t="s">
        <v>293</v>
      </c>
      <c r="E92" s="9">
        <v>1.4058079265336514</v>
      </c>
      <c r="F92" s="9">
        <v>2.084499413272467E-2</v>
      </c>
      <c r="G92" s="9">
        <v>2.6736420208027734</v>
      </c>
      <c r="H92" s="9">
        <v>0.59838802960288517</v>
      </c>
      <c r="I92" s="9">
        <v>20.28957512206113</v>
      </c>
      <c r="J92" s="9">
        <v>26.762935908717239</v>
      </c>
      <c r="K92" s="9">
        <v>1.6856407013325603</v>
      </c>
      <c r="L92" s="9">
        <v>3.9134959365746464</v>
      </c>
      <c r="M92" s="9">
        <v>5.0269904220070583</v>
      </c>
      <c r="N92" s="9">
        <v>29.201405907790505</v>
      </c>
      <c r="O92" s="9">
        <v>32.472612596028455</v>
      </c>
      <c r="P92" s="9">
        <v>40.619614020081556</v>
      </c>
      <c r="Q92" s="9">
        <v>8.2120797716829337</v>
      </c>
      <c r="R92" s="9">
        <v>7.5083822892627232</v>
      </c>
      <c r="S92" s="9">
        <v>23.549702875996559</v>
      </c>
      <c r="T92" s="9">
        <v>19.453293085585823</v>
      </c>
      <c r="U92" s="9">
        <v>123.6725619252118</v>
      </c>
      <c r="V92" s="9">
        <v>36.30920677178235</v>
      </c>
      <c r="W92" s="9">
        <v>61.594873312351901</v>
      </c>
      <c r="X92" s="9">
        <v>21.435679584788183</v>
      </c>
      <c r="Y92" s="9">
        <v>16.626307303112512</v>
      </c>
      <c r="Z92" s="9">
        <v>6.2518812526977863</v>
      </c>
      <c r="AA92" s="9">
        <v>0</v>
      </c>
      <c r="AB92" s="9">
        <v>9.579873115259975</v>
      </c>
      <c r="AC92" s="9">
        <v>2.5088572636628177</v>
      </c>
      <c r="AD92" s="9">
        <v>2.5732166352980417</v>
      </c>
      <c r="AE92" s="9">
        <v>23.87952494899665</v>
      </c>
      <c r="AF92" s="9">
        <v>34.546252195173793</v>
      </c>
      <c r="AG92" s="9">
        <v>217.06202307851615</v>
      </c>
      <c r="AH92" s="9">
        <v>303.01628904196502</v>
      </c>
      <c r="AI92" s="9">
        <v>96.331550480904355</v>
      </c>
      <c r="AJ92" s="9">
        <v>2.4260731658196599</v>
      </c>
      <c r="AK92" s="9">
        <v>3.9914498152507853</v>
      </c>
      <c r="AL92" s="9">
        <v>35.320159552203748</v>
      </c>
      <c r="AM92" s="9">
        <v>102.36825349956897</v>
      </c>
      <c r="AN92" s="9">
        <v>3.3344514276751394</v>
      </c>
      <c r="AO92" s="9">
        <v>65.570972282912408</v>
      </c>
      <c r="AP92" s="9">
        <v>18.717147912266903</v>
      </c>
      <c r="AQ92" s="9">
        <v>8.7029805553635988</v>
      </c>
      <c r="AR92" s="9">
        <v>28.742190284143614</v>
      </c>
      <c r="AS92" s="9">
        <v>148.48310020725506</v>
      </c>
      <c r="AT92" s="9">
        <v>6.3688593159095817</v>
      </c>
      <c r="AU92" s="9">
        <v>9.1334786651581474</v>
      </c>
      <c r="AV92" s="9">
        <v>2.0277842175583585</v>
      </c>
      <c r="AW92" s="9">
        <v>23.183269432800678</v>
      </c>
      <c r="AX92" s="9">
        <v>48.999188772755424</v>
      </c>
      <c r="AY92" s="9">
        <v>44.712172401273321</v>
      </c>
      <c r="AZ92" s="9">
        <v>1.668093598663368</v>
      </c>
      <c r="BA92" s="9">
        <v>12.522511394605218</v>
      </c>
      <c r="BB92" s="9">
        <v>36.238506819241636</v>
      </c>
      <c r="BC92" s="9">
        <v>112.56855692798791</v>
      </c>
      <c r="BD92" s="9">
        <v>18.934748542949336</v>
      </c>
      <c r="BE92" s="9">
        <v>15.091386654291123</v>
      </c>
      <c r="BF92" s="9">
        <v>25.052110211872691</v>
      </c>
      <c r="BG92" s="9">
        <v>0</v>
      </c>
      <c r="BH92" s="9">
        <v>0</v>
      </c>
      <c r="BI92" s="9">
        <v>1064.687649085485</v>
      </c>
      <c r="BJ92" s="9">
        <v>0</v>
      </c>
      <c r="BK92" s="9">
        <v>1.2391323207464097E-3</v>
      </c>
      <c r="BL92" s="9">
        <v>1.6792130930394953</v>
      </c>
      <c r="BM92" s="9">
        <v>1.1712454166813342E-2</v>
      </c>
      <c r="BN92" s="9">
        <v>0</v>
      </c>
      <c r="BO92" s="9">
        <v>0</v>
      </c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</row>
    <row r="93" spans="1:87" x14ac:dyDescent="0.3">
      <c r="A93">
        <v>2014</v>
      </c>
      <c r="B93" s="10" t="s">
        <v>179</v>
      </c>
      <c r="C93" s="12" t="s">
        <v>237</v>
      </c>
      <c r="D93" s="10" t="s">
        <v>293</v>
      </c>
      <c r="E93" s="9">
        <v>14.681116751631594</v>
      </c>
      <c r="F93" s="9">
        <v>1.0447105058174881</v>
      </c>
      <c r="G93" s="9">
        <v>15.721828093880683</v>
      </c>
      <c r="H93" s="9">
        <v>13.049543355322617</v>
      </c>
      <c r="I93" s="9">
        <v>114.29746481957197</v>
      </c>
      <c r="J93" s="9">
        <v>69.681940174265065</v>
      </c>
      <c r="K93" s="9">
        <v>5.2359449373711895</v>
      </c>
      <c r="L93" s="9">
        <v>14.230461972676853</v>
      </c>
      <c r="M93" s="9">
        <v>6.6512638600644243</v>
      </c>
      <c r="N93" s="9">
        <v>130.90383720750339</v>
      </c>
      <c r="O93" s="9">
        <v>147.76088684343074</v>
      </c>
      <c r="P93" s="9">
        <v>56.705060960002442</v>
      </c>
      <c r="Q93" s="9">
        <v>19.128477454871735</v>
      </c>
      <c r="R93" s="9">
        <v>28.113590990028399</v>
      </c>
      <c r="S93" s="9">
        <v>135.23495972493825</v>
      </c>
      <c r="T93" s="9">
        <v>75.142506638024287</v>
      </c>
      <c r="U93" s="9">
        <v>187.05893819732859</v>
      </c>
      <c r="V93" s="9">
        <v>47.365618183705784</v>
      </c>
      <c r="W93" s="9">
        <v>88.14266308641507</v>
      </c>
      <c r="X93" s="9">
        <v>58.967779516306088</v>
      </c>
      <c r="Y93" s="9">
        <v>46.269521319106701</v>
      </c>
      <c r="Z93" s="9">
        <v>13.936012257963888</v>
      </c>
      <c r="AA93" s="9">
        <v>0</v>
      </c>
      <c r="AB93" s="9">
        <v>31.567958871215211</v>
      </c>
      <c r="AC93" s="9">
        <v>7.1266374977924904</v>
      </c>
      <c r="AD93" s="9">
        <v>23.733717153055345</v>
      </c>
      <c r="AE93" s="9">
        <v>37.598846211592495</v>
      </c>
      <c r="AF93" s="9">
        <v>27.070724901636304</v>
      </c>
      <c r="AG93" s="9">
        <v>170.08123406454547</v>
      </c>
      <c r="AH93" s="9">
        <v>237.43839251516846</v>
      </c>
      <c r="AI93" s="9">
        <v>328.71865605480275</v>
      </c>
      <c r="AJ93" s="9">
        <v>107.59034032435522</v>
      </c>
      <c r="AK93" s="9">
        <v>101.64543871700756</v>
      </c>
      <c r="AL93" s="9">
        <v>106.98036664085704</v>
      </c>
      <c r="AM93" s="9">
        <v>14.160537310322617</v>
      </c>
      <c r="AN93" s="9">
        <v>6.982102298120437</v>
      </c>
      <c r="AO93" s="9">
        <v>15.575373419079002</v>
      </c>
      <c r="AP93" s="9">
        <v>4.4937449233372853</v>
      </c>
      <c r="AQ93" s="9">
        <v>1.9999631982005392</v>
      </c>
      <c r="AR93" s="9">
        <v>9.821356549467664</v>
      </c>
      <c r="AS93" s="9">
        <v>37.90912594848794</v>
      </c>
      <c r="AT93" s="9">
        <v>1.7416464239648537</v>
      </c>
      <c r="AU93" s="9">
        <v>2.7162874728959618</v>
      </c>
      <c r="AV93" s="9">
        <v>2.2661681299639085</v>
      </c>
      <c r="AW93" s="9">
        <v>10.373727420357717</v>
      </c>
      <c r="AX93" s="9">
        <v>10.98422692656581</v>
      </c>
      <c r="AY93" s="9">
        <v>5.2323242654266728</v>
      </c>
      <c r="AZ93" s="9">
        <v>0.14537173605307643</v>
      </c>
      <c r="BA93" s="9">
        <v>6.4155509912492992</v>
      </c>
      <c r="BB93" s="9">
        <v>9.9906809780079335</v>
      </c>
      <c r="BC93" s="9">
        <v>6.4172402854718928</v>
      </c>
      <c r="BD93" s="9">
        <v>7.7741394263137229</v>
      </c>
      <c r="BE93" s="9">
        <v>9.2476545902367686</v>
      </c>
      <c r="BF93" s="9">
        <v>8.7227914220700562</v>
      </c>
      <c r="BG93" s="9">
        <v>0</v>
      </c>
      <c r="BH93" s="9">
        <v>0</v>
      </c>
      <c r="BI93" s="9">
        <v>1395.0705005458553</v>
      </c>
      <c r="BJ93" s="9">
        <v>0</v>
      </c>
      <c r="BK93" s="9">
        <v>8.369349257757086E-2</v>
      </c>
      <c r="BL93" s="9">
        <v>26.668515845460998</v>
      </c>
      <c r="BM93" s="9">
        <v>0.17039252111532618</v>
      </c>
      <c r="BN93" s="9">
        <v>0</v>
      </c>
      <c r="BO93" s="9">
        <v>0</v>
      </c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</row>
    <row r="94" spans="1:87" x14ac:dyDescent="0.3">
      <c r="A94">
        <v>2014</v>
      </c>
      <c r="B94" s="10" t="s">
        <v>180</v>
      </c>
      <c r="C94" s="12" t="s">
        <v>238</v>
      </c>
      <c r="D94" s="10" t="s">
        <v>293</v>
      </c>
      <c r="E94" s="9">
        <v>0.73610769379760344</v>
      </c>
      <c r="F94" s="9">
        <v>1.4370468529809966E-2</v>
      </c>
      <c r="G94" s="9">
        <v>0.11205336182625267</v>
      </c>
      <c r="H94" s="9">
        <v>6.6896866933905341E-2</v>
      </c>
      <c r="I94" s="9">
        <v>1.2986410854436508</v>
      </c>
      <c r="J94" s="9">
        <v>0.81410297430042644</v>
      </c>
      <c r="K94" s="9">
        <v>0.10939386046442781</v>
      </c>
      <c r="L94" s="9">
        <v>0.19750594136168068</v>
      </c>
      <c r="M94" s="9">
        <v>0.11492425570873482</v>
      </c>
      <c r="N94" s="9">
        <v>2.4344859857803742</v>
      </c>
      <c r="O94" s="9">
        <v>1.3994165458330086</v>
      </c>
      <c r="P94" s="9">
        <v>1.3988428092999645</v>
      </c>
      <c r="Q94" s="9">
        <v>0.21341876052940567</v>
      </c>
      <c r="R94" s="9">
        <v>0.30313467982600811</v>
      </c>
      <c r="S94" s="9">
        <v>1.8451969273594213</v>
      </c>
      <c r="T94" s="9">
        <v>0.92186017715430324</v>
      </c>
      <c r="U94" s="9">
        <v>2.4281992750670458</v>
      </c>
      <c r="V94" s="9">
        <v>0.51198874603275235</v>
      </c>
      <c r="W94" s="9">
        <v>1.104243210294499</v>
      </c>
      <c r="X94" s="9">
        <v>1.2650317375802509</v>
      </c>
      <c r="Y94" s="9">
        <v>0.79992604577745274</v>
      </c>
      <c r="Z94" s="9">
        <v>0.27074541305351341</v>
      </c>
      <c r="AA94" s="9">
        <v>0</v>
      </c>
      <c r="AB94" s="9">
        <v>1.4490959414148927</v>
      </c>
      <c r="AC94" s="9">
        <v>0.98360294269730775</v>
      </c>
      <c r="AD94" s="9">
        <v>1.1737415350621747</v>
      </c>
      <c r="AE94" s="9">
        <v>2.185330447380823</v>
      </c>
      <c r="AF94" s="9">
        <v>0.618748902464622</v>
      </c>
      <c r="AG94" s="9">
        <v>3.8878089625116017</v>
      </c>
      <c r="AH94" s="9">
        <v>5.4316732841735877</v>
      </c>
      <c r="AI94" s="9">
        <v>1.4830635581838991</v>
      </c>
      <c r="AJ94" s="9">
        <v>0.60453666595389055</v>
      </c>
      <c r="AK94" s="9">
        <v>0.38029191601088019</v>
      </c>
      <c r="AL94" s="9">
        <v>1.3387584519540114</v>
      </c>
      <c r="AM94" s="9">
        <v>14.216066992969699</v>
      </c>
      <c r="AN94" s="9">
        <v>0.54829217252943585</v>
      </c>
      <c r="AO94" s="9">
        <v>0.44304774694763122</v>
      </c>
      <c r="AP94" s="9">
        <v>0.47381386781549301</v>
      </c>
      <c r="AQ94" s="9">
        <v>0.64168036872227407</v>
      </c>
      <c r="AR94" s="9">
        <v>1.1329213406248293</v>
      </c>
      <c r="AS94" s="9">
        <v>11.382581823509618</v>
      </c>
      <c r="AT94" s="9">
        <v>2.7906391233564669</v>
      </c>
      <c r="AU94" s="9">
        <v>2.6253230345370722</v>
      </c>
      <c r="AV94" s="9">
        <v>0.38437008063500389</v>
      </c>
      <c r="AW94" s="9">
        <v>0.47729121232522631</v>
      </c>
      <c r="AX94" s="9">
        <v>1.2574331266028413</v>
      </c>
      <c r="AY94" s="9">
        <v>0.71615214119526238</v>
      </c>
      <c r="AZ94" s="9">
        <v>2.6973106272210924E-3</v>
      </c>
      <c r="BA94" s="9">
        <v>1.1642057580779746</v>
      </c>
      <c r="BB94" s="9">
        <v>0.87390144157507155</v>
      </c>
      <c r="BC94" s="9">
        <v>9.8530470429591706</v>
      </c>
      <c r="BD94" s="9">
        <v>2.2312847011841228</v>
      </c>
      <c r="BE94" s="9">
        <v>2.6555043936503409</v>
      </c>
      <c r="BF94" s="9">
        <v>0.74392310425056496</v>
      </c>
      <c r="BG94" s="9">
        <v>0</v>
      </c>
      <c r="BH94" s="9">
        <v>0</v>
      </c>
      <c r="BI94" s="9">
        <v>46.406897177016617</v>
      </c>
      <c r="BJ94" s="9">
        <v>0</v>
      </c>
      <c r="BK94" s="9">
        <v>5.5341898576695206E-3</v>
      </c>
      <c r="BL94" s="9">
        <v>1.410689189742248</v>
      </c>
      <c r="BM94" s="9">
        <v>5.9977080572022534E-3</v>
      </c>
      <c r="BN94" s="9">
        <v>0</v>
      </c>
      <c r="BO94" s="9">
        <v>0</v>
      </c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</row>
    <row r="95" spans="1:87" x14ac:dyDescent="0.3">
      <c r="A95">
        <v>2014</v>
      </c>
      <c r="B95" s="10" t="s">
        <v>181</v>
      </c>
      <c r="C95" s="12" t="s">
        <v>239</v>
      </c>
      <c r="D95" s="10" t="s">
        <v>293</v>
      </c>
      <c r="E95" s="9">
        <v>16.548346803547208</v>
      </c>
      <c r="F95" s="9">
        <v>0.27333526512949075</v>
      </c>
      <c r="G95" s="9">
        <v>1.25910858972424</v>
      </c>
      <c r="H95" s="9">
        <v>0.91748563570445907</v>
      </c>
      <c r="I95" s="9">
        <v>39.387231501998301</v>
      </c>
      <c r="J95" s="9">
        <v>12.949611206850411</v>
      </c>
      <c r="K95" s="9">
        <v>0.76892255044964419</v>
      </c>
      <c r="L95" s="9">
        <v>2.5935885345670497</v>
      </c>
      <c r="M95" s="9">
        <v>4.285621458792491</v>
      </c>
      <c r="N95" s="9">
        <v>6.7843229251911019</v>
      </c>
      <c r="O95" s="9">
        <v>30.860902507096924</v>
      </c>
      <c r="P95" s="9">
        <v>4.4338198362720842</v>
      </c>
      <c r="Q95" s="9">
        <v>2.4100857827320938</v>
      </c>
      <c r="R95" s="9">
        <v>3.0945405120807838</v>
      </c>
      <c r="S95" s="9">
        <v>15.910063664535112</v>
      </c>
      <c r="T95" s="9">
        <v>10.459237970988431</v>
      </c>
      <c r="U95" s="9">
        <v>35.982007883624476</v>
      </c>
      <c r="V95" s="9">
        <v>6.4019026662426644</v>
      </c>
      <c r="W95" s="9">
        <v>15.961391622874942</v>
      </c>
      <c r="X95" s="9">
        <v>18.817605162774012</v>
      </c>
      <c r="Y95" s="9">
        <v>7.5108542769270121</v>
      </c>
      <c r="Z95" s="9">
        <v>2.1547305072833178</v>
      </c>
      <c r="AA95" s="9">
        <v>0</v>
      </c>
      <c r="AB95" s="9">
        <v>5.6696909609236386</v>
      </c>
      <c r="AC95" s="9">
        <v>7.7385629688185071</v>
      </c>
      <c r="AD95" s="9">
        <v>5.9940167985669435</v>
      </c>
      <c r="AE95" s="9">
        <v>15.137907773432103</v>
      </c>
      <c r="AF95" s="9">
        <v>7.2807426081915345</v>
      </c>
      <c r="AG95" s="9">
        <v>45.745441716636847</v>
      </c>
      <c r="AH95" s="9">
        <v>63.903031757221633</v>
      </c>
      <c r="AI95" s="9">
        <v>6.565516047831828</v>
      </c>
      <c r="AJ95" s="9">
        <v>1.485082214113552</v>
      </c>
      <c r="AK95" s="9">
        <v>3.7154391186677365</v>
      </c>
      <c r="AL95" s="9">
        <v>33.865772188538138</v>
      </c>
      <c r="AM95" s="9">
        <v>0.62302213821030172</v>
      </c>
      <c r="AN95" s="9">
        <v>29.287692716220171</v>
      </c>
      <c r="AO95" s="9">
        <v>11.384299004959718</v>
      </c>
      <c r="AP95" s="9">
        <v>10.373409149843592</v>
      </c>
      <c r="AQ95" s="9">
        <v>3.2747774728715013</v>
      </c>
      <c r="AR95" s="9">
        <v>10.185172838430795</v>
      </c>
      <c r="AS95" s="9">
        <v>49.44914686570133</v>
      </c>
      <c r="AT95" s="9">
        <v>9.3384805738761756</v>
      </c>
      <c r="AU95" s="9">
        <v>6.2544858466372695</v>
      </c>
      <c r="AV95" s="9">
        <v>3.7042256577965733</v>
      </c>
      <c r="AW95" s="9">
        <v>7.0749415745944884</v>
      </c>
      <c r="AX95" s="9">
        <v>24.720658102349407</v>
      </c>
      <c r="AY95" s="9">
        <v>41.570917188824012</v>
      </c>
      <c r="AZ95" s="9">
        <v>4.3449064893236647E-2</v>
      </c>
      <c r="BA95" s="9">
        <v>16.679686436103438</v>
      </c>
      <c r="BB95" s="9">
        <v>64.639447038754668</v>
      </c>
      <c r="BC95" s="9">
        <v>63.009870289509152</v>
      </c>
      <c r="BD95" s="9">
        <v>82.42622470996362</v>
      </c>
      <c r="BE95" s="9">
        <v>20.773314719277195</v>
      </c>
      <c r="BF95" s="9">
        <v>52.891094829148123</v>
      </c>
      <c r="BG95" s="9">
        <v>0</v>
      </c>
      <c r="BH95" s="9">
        <v>0</v>
      </c>
      <c r="BI95" s="9">
        <v>557.20314723782042</v>
      </c>
      <c r="BJ95" s="9">
        <v>0</v>
      </c>
      <c r="BK95" s="9">
        <v>15.551753857939298</v>
      </c>
      <c r="BL95" s="9">
        <v>1.1121767634731259</v>
      </c>
      <c r="BM95" s="9">
        <v>1.4841005147822659E-2</v>
      </c>
      <c r="BN95" s="9">
        <v>0</v>
      </c>
      <c r="BO95" s="9">
        <v>0</v>
      </c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</row>
    <row r="96" spans="1:87" x14ac:dyDescent="0.3">
      <c r="A96">
        <v>2014</v>
      </c>
      <c r="B96" s="10" t="s">
        <v>182</v>
      </c>
      <c r="C96" s="12" t="s">
        <v>240</v>
      </c>
      <c r="D96" s="10" t="s">
        <v>293</v>
      </c>
      <c r="E96" s="9">
        <v>0.52689138166156446</v>
      </c>
      <c r="F96" s="9">
        <v>9.6079106639041248E-2</v>
      </c>
      <c r="G96" s="9">
        <v>9.1761557526360421E-2</v>
      </c>
      <c r="H96" s="9">
        <v>9.3521605825997445E-2</v>
      </c>
      <c r="I96" s="9">
        <v>9.2227107764645524</v>
      </c>
      <c r="J96" s="9">
        <v>5.4621947318824944</v>
      </c>
      <c r="K96" s="9">
        <v>0.15766171716599975</v>
      </c>
      <c r="L96" s="9">
        <v>1.4745423344298869</v>
      </c>
      <c r="M96" s="9">
        <v>1.4885997320306936</v>
      </c>
      <c r="N96" s="9">
        <v>7.1976444400724668</v>
      </c>
      <c r="O96" s="9">
        <v>11.700721208145033</v>
      </c>
      <c r="P96" s="9">
        <v>3.2985299847810485</v>
      </c>
      <c r="Q96" s="9">
        <v>0.97056582336067765</v>
      </c>
      <c r="R96" s="9">
        <v>1.0724057489496293</v>
      </c>
      <c r="S96" s="9">
        <v>8.6110218240554381</v>
      </c>
      <c r="T96" s="9">
        <v>5.0130342567154536</v>
      </c>
      <c r="U96" s="9">
        <v>40.283583692963575</v>
      </c>
      <c r="V96" s="9">
        <v>4.9349157572127922</v>
      </c>
      <c r="W96" s="9">
        <v>7.0703653591335467</v>
      </c>
      <c r="X96" s="9">
        <v>21.560140373484138</v>
      </c>
      <c r="Y96" s="9">
        <v>4.7866973487576052</v>
      </c>
      <c r="Z96" s="9">
        <v>1.0859229216525903</v>
      </c>
      <c r="AA96" s="9">
        <v>0</v>
      </c>
      <c r="AB96" s="9">
        <v>6.1913700288345357</v>
      </c>
      <c r="AC96" s="9">
        <v>1.4546991171087269</v>
      </c>
      <c r="AD96" s="9">
        <v>8.2578129297951683</v>
      </c>
      <c r="AE96" s="9">
        <v>39.456238021051469</v>
      </c>
      <c r="AF96" s="9">
        <v>4.6632372822948227</v>
      </c>
      <c r="AG96" s="9">
        <v>29.308677484985466</v>
      </c>
      <c r="AH96" s="9">
        <v>40.905245104342839</v>
      </c>
      <c r="AI96" s="9">
        <v>5.5124325218113013</v>
      </c>
      <c r="AJ96" s="9">
        <v>0.73497247608652616</v>
      </c>
      <c r="AK96" s="9">
        <v>1.0834145122857328</v>
      </c>
      <c r="AL96" s="9">
        <v>16.740163180118337</v>
      </c>
      <c r="AM96" s="9">
        <v>1.1367028349946537</v>
      </c>
      <c r="AN96" s="9">
        <v>3.9486489651552028</v>
      </c>
      <c r="AO96" s="9">
        <v>21.502872765342737</v>
      </c>
      <c r="AP96" s="9">
        <v>8.9495738022636218</v>
      </c>
      <c r="AQ96" s="9">
        <v>8.7957502954391451</v>
      </c>
      <c r="AR96" s="9">
        <v>14.16150622281787</v>
      </c>
      <c r="AS96" s="9">
        <v>56.59241499227911</v>
      </c>
      <c r="AT96" s="9">
        <v>17.358414411991951</v>
      </c>
      <c r="AU96" s="9">
        <v>11.122413444857843</v>
      </c>
      <c r="AV96" s="9">
        <v>2.0883876877289147</v>
      </c>
      <c r="AW96" s="9">
        <v>17.190616018675421</v>
      </c>
      <c r="AX96" s="9">
        <v>9.5371799209651655</v>
      </c>
      <c r="AY96" s="9">
        <v>19.210070792699124</v>
      </c>
      <c r="AZ96" s="9">
        <v>2.5140885322068716</v>
      </c>
      <c r="BA96" s="9">
        <v>6.8853675734893596</v>
      </c>
      <c r="BB96" s="9">
        <v>6.2453915680801968</v>
      </c>
      <c r="BC96" s="9">
        <v>38.851105660566333</v>
      </c>
      <c r="BD96" s="9">
        <v>24.786092675379084</v>
      </c>
      <c r="BE96" s="9">
        <v>6.4916007254428942</v>
      </c>
      <c r="BF96" s="9">
        <v>14.894767906575076</v>
      </c>
      <c r="BG96" s="9">
        <v>0</v>
      </c>
      <c r="BH96" s="9">
        <v>0</v>
      </c>
      <c r="BI96" s="9">
        <v>371.26478752043226</v>
      </c>
      <c r="BJ96" s="9">
        <v>0</v>
      </c>
      <c r="BK96" s="9">
        <v>2.2747755802659194E-2</v>
      </c>
      <c r="BL96" s="9">
        <v>155.00734251615978</v>
      </c>
      <c r="BM96" s="9">
        <v>3.6713541283995496E-2</v>
      </c>
      <c r="BN96" s="9">
        <v>0</v>
      </c>
      <c r="BO96" s="9">
        <v>0</v>
      </c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</row>
    <row r="97" spans="1:87" x14ac:dyDescent="0.3">
      <c r="A97">
        <v>2014</v>
      </c>
      <c r="B97" s="10" t="s">
        <v>183</v>
      </c>
      <c r="C97" s="12" t="s">
        <v>241</v>
      </c>
      <c r="D97" s="10" t="s">
        <v>293</v>
      </c>
      <c r="E97" s="9">
        <v>0.23030613164349578</v>
      </c>
      <c r="F97" s="9">
        <v>4.78212199537459E-2</v>
      </c>
      <c r="G97" s="9">
        <v>4.1195572353536242E-2</v>
      </c>
      <c r="H97" s="9">
        <v>4.8507137757906479E-2</v>
      </c>
      <c r="I97" s="9">
        <v>4.0145443809638017</v>
      </c>
      <c r="J97" s="9">
        <v>2.1606089615796171</v>
      </c>
      <c r="K97" s="9">
        <v>5.8329648043286164E-2</v>
      </c>
      <c r="L97" s="9">
        <v>0.49093323581730769</v>
      </c>
      <c r="M97" s="9">
        <v>0.76837371965867984</v>
      </c>
      <c r="N97" s="9">
        <v>2.3977971067984285</v>
      </c>
      <c r="O97" s="9">
        <v>4.4491685355249997</v>
      </c>
      <c r="P97" s="9">
        <v>0.9667088081895896</v>
      </c>
      <c r="Q97" s="9">
        <v>0.36716293606204342</v>
      </c>
      <c r="R97" s="9">
        <v>0.401525128802947</v>
      </c>
      <c r="S97" s="9">
        <v>3.2049248493715066</v>
      </c>
      <c r="T97" s="9">
        <v>1.9924180118661079</v>
      </c>
      <c r="U97" s="9">
        <v>14.454480303161738</v>
      </c>
      <c r="V97" s="9">
        <v>2.0382604747718363</v>
      </c>
      <c r="W97" s="9">
        <v>3.565663551077928</v>
      </c>
      <c r="X97" s="9">
        <v>9.6967244908380383</v>
      </c>
      <c r="Y97" s="9">
        <v>2.3233310910265375</v>
      </c>
      <c r="Z97" s="9">
        <v>0.40943821591429741</v>
      </c>
      <c r="AA97" s="9">
        <v>0</v>
      </c>
      <c r="AB97" s="9">
        <v>2.4926609585465194</v>
      </c>
      <c r="AC97" s="9">
        <v>0.49010303007114908</v>
      </c>
      <c r="AD97" s="9">
        <v>2.4886586119230696</v>
      </c>
      <c r="AE97" s="9">
        <v>16.194516860333685</v>
      </c>
      <c r="AF97" s="9">
        <v>3.1035443046758324</v>
      </c>
      <c r="AG97" s="9">
        <v>19.502437314964325</v>
      </c>
      <c r="AH97" s="9">
        <v>27.227811542049146</v>
      </c>
      <c r="AI97" s="9">
        <v>1.6157835088609138</v>
      </c>
      <c r="AJ97" s="9">
        <v>0.72579505040423675</v>
      </c>
      <c r="AK97" s="9">
        <v>0.38166574874146286</v>
      </c>
      <c r="AL97" s="9">
        <v>4.4212916798737503</v>
      </c>
      <c r="AM97" s="9">
        <v>0.21286609415470151</v>
      </c>
      <c r="AN97" s="9">
        <v>1.5064084552463544</v>
      </c>
      <c r="AO97" s="9">
        <v>3.7294332059147397</v>
      </c>
      <c r="AP97" s="9">
        <v>179.28633867752518</v>
      </c>
      <c r="AQ97" s="9">
        <v>3.3892346021507542</v>
      </c>
      <c r="AR97" s="9">
        <v>4.3350524157006003</v>
      </c>
      <c r="AS97" s="9">
        <v>23.029485550121692</v>
      </c>
      <c r="AT97" s="9">
        <v>7.2060732382207666</v>
      </c>
      <c r="AU97" s="9">
        <v>2.7833227052781671</v>
      </c>
      <c r="AV97" s="9">
        <v>0.78051992196675446</v>
      </c>
      <c r="AW97" s="9">
        <v>0.3784930867437275</v>
      </c>
      <c r="AX97" s="9">
        <v>2.1448089366913194</v>
      </c>
      <c r="AY97" s="9">
        <v>1.341618372136308</v>
      </c>
      <c r="AZ97" s="9">
        <v>6.4799149245669483</v>
      </c>
      <c r="BA97" s="9">
        <v>1.2248657023049621</v>
      </c>
      <c r="BB97" s="9">
        <v>2.6207025821167371</v>
      </c>
      <c r="BC97" s="9">
        <v>11.692669588867705</v>
      </c>
      <c r="BD97" s="9">
        <v>5.9731368134126237</v>
      </c>
      <c r="BE97" s="9">
        <v>0.88319715491628559</v>
      </c>
      <c r="BF97" s="9">
        <v>25.446810018106831</v>
      </c>
      <c r="BG97" s="9">
        <v>0</v>
      </c>
      <c r="BH97" s="9">
        <v>0</v>
      </c>
      <c r="BI97" s="9">
        <v>770.60399056037784</v>
      </c>
      <c r="BJ97" s="9">
        <v>0</v>
      </c>
      <c r="BK97" s="9">
        <v>0.19044536500232828</v>
      </c>
      <c r="BL97" s="9">
        <v>64.786468767150737</v>
      </c>
      <c r="BM97" s="9">
        <v>1.6219366310318423E-2</v>
      </c>
      <c r="BN97" s="9">
        <v>0</v>
      </c>
      <c r="BO97" s="9">
        <v>0</v>
      </c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</row>
    <row r="98" spans="1:87" x14ac:dyDescent="0.3">
      <c r="A98">
        <v>2014</v>
      </c>
      <c r="B98" s="10" t="s">
        <v>184</v>
      </c>
      <c r="C98" s="12" t="s">
        <v>242</v>
      </c>
      <c r="D98" s="10" t="s">
        <v>293</v>
      </c>
      <c r="E98" s="9">
        <v>2.2842631322668376</v>
      </c>
      <c r="F98" s="9">
        <v>0.14087793515161379</v>
      </c>
      <c r="G98" s="9">
        <v>0.24087493468593427</v>
      </c>
      <c r="H98" s="9">
        <v>0.22683036769613216</v>
      </c>
      <c r="I98" s="9">
        <v>11.756910172259811</v>
      </c>
      <c r="J98" s="9">
        <v>9.268280105043873</v>
      </c>
      <c r="K98" s="9">
        <v>0.37711053905935349</v>
      </c>
      <c r="L98" s="9">
        <v>2.3625166318531559</v>
      </c>
      <c r="M98" s="9">
        <v>1.6502167817435081</v>
      </c>
      <c r="N98" s="9">
        <v>12.158768277937366</v>
      </c>
      <c r="O98" s="9">
        <v>17.382024824498824</v>
      </c>
      <c r="P98" s="9">
        <v>5.1049268949969786</v>
      </c>
      <c r="Q98" s="9">
        <v>1.7030455932507784</v>
      </c>
      <c r="R98" s="9">
        <v>2.9422573613065302</v>
      </c>
      <c r="S98" s="9">
        <v>14.179982812121505</v>
      </c>
      <c r="T98" s="9">
        <v>7.4916110685801716</v>
      </c>
      <c r="U98" s="9">
        <v>80.320609074250029</v>
      </c>
      <c r="V98" s="9">
        <v>7.9826748534267971</v>
      </c>
      <c r="W98" s="9">
        <v>11.708568854648954</v>
      </c>
      <c r="X98" s="9">
        <v>33.124541761535468</v>
      </c>
      <c r="Y98" s="9">
        <v>7.1378199314986572</v>
      </c>
      <c r="Z98" s="9">
        <v>1.8249938084488857</v>
      </c>
      <c r="AA98" s="9">
        <v>0</v>
      </c>
      <c r="AB98" s="9">
        <v>11.450242030058343</v>
      </c>
      <c r="AC98" s="9">
        <v>3.2411586531632142</v>
      </c>
      <c r="AD98" s="9">
        <v>11.221315855974378</v>
      </c>
      <c r="AE98" s="9">
        <v>61.844252372607286</v>
      </c>
      <c r="AF98" s="9">
        <v>18.374292304564896</v>
      </c>
      <c r="AG98" s="9">
        <v>115.45881727538502</v>
      </c>
      <c r="AH98" s="9">
        <v>161.1819715155182</v>
      </c>
      <c r="AI98" s="9">
        <v>10.80555472293269</v>
      </c>
      <c r="AJ98" s="9">
        <v>1.5783422302471684</v>
      </c>
      <c r="AK98" s="9">
        <v>0.75674361676655222</v>
      </c>
      <c r="AL98" s="9">
        <v>31.496652995298458</v>
      </c>
      <c r="AM98" s="9">
        <v>2.7891473190621996</v>
      </c>
      <c r="AN98" s="9">
        <v>8.5331640750939695</v>
      </c>
      <c r="AO98" s="9">
        <v>14.05361003655568</v>
      </c>
      <c r="AP98" s="9">
        <v>33.943916654206134</v>
      </c>
      <c r="AQ98" s="9">
        <v>59.799459205737833</v>
      </c>
      <c r="AR98" s="9">
        <v>28.639579555842261</v>
      </c>
      <c r="AS98" s="9">
        <v>99.168432852800322</v>
      </c>
      <c r="AT98" s="9">
        <v>22.940534213989899</v>
      </c>
      <c r="AU98" s="9">
        <v>15.591763705140988</v>
      </c>
      <c r="AV98" s="9">
        <v>4.7749911600798924</v>
      </c>
      <c r="AW98" s="9">
        <v>22.870853038348436</v>
      </c>
      <c r="AX98" s="9">
        <v>18.372594504467202</v>
      </c>
      <c r="AY98" s="9">
        <v>12.262164439212544</v>
      </c>
      <c r="AZ98" s="9">
        <v>0.2811935629656358</v>
      </c>
      <c r="BA98" s="9">
        <v>24.283095175566864</v>
      </c>
      <c r="BB98" s="9">
        <v>29.466436419309389</v>
      </c>
      <c r="BC98" s="9">
        <v>48.843329532455911</v>
      </c>
      <c r="BD98" s="9">
        <v>26.557110627100652</v>
      </c>
      <c r="BE98" s="9">
        <v>6.7487242729747976</v>
      </c>
      <c r="BF98" s="9">
        <v>14.892424191017204</v>
      </c>
      <c r="BG98" s="9">
        <v>0</v>
      </c>
      <c r="BH98" s="9">
        <v>0</v>
      </c>
      <c r="BI98" s="9">
        <v>434.67660970543625</v>
      </c>
      <c r="BJ98" s="9">
        <v>0</v>
      </c>
      <c r="BK98" s="9">
        <v>4.9144801342692272E-2</v>
      </c>
      <c r="BL98" s="9">
        <v>254.5730886166404</v>
      </c>
      <c r="BM98" s="9">
        <v>0.16525737350422218</v>
      </c>
      <c r="BN98" s="9">
        <v>0</v>
      </c>
      <c r="BO98" s="9">
        <v>0</v>
      </c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</row>
    <row r="99" spans="1:87" x14ac:dyDescent="0.3">
      <c r="A99">
        <v>2014</v>
      </c>
      <c r="B99" s="10" t="s">
        <v>185</v>
      </c>
      <c r="C99" s="12" t="s">
        <v>243</v>
      </c>
      <c r="D99" s="10" t="s">
        <v>293</v>
      </c>
      <c r="E99" s="9">
        <v>1.1073789783909056</v>
      </c>
      <c r="F99" s="9">
        <v>0.20806532698120722</v>
      </c>
      <c r="G99" s="9">
        <v>0.23295184547121905</v>
      </c>
      <c r="H99" s="9">
        <v>0.61968813576750348</v>
      </c>
      <c r="I99" s="9">
        <v>20.268086997254688</v>
      </c>
      <c r="J99" s="9">
        <v>15.397511976175259</v>
      </c>
      <c r="K99" s="9">
        <v>0.45649579015004488</v>
      </c>
      <c r="L99" s="9">
        <v>3.9792963880699403</v>
      </c>
      <c r="M99" s="9">
        <v>4.0457590803939061</v>
      </c>
      <c r="N99" s="9">
        <v>25.897763860173569</v>
      </c>
      <c r="O99" s="9">
        <v>34.13049310578846</v>
      </c>
      <c r="P99" s="9">
        <v>6.2732229362863423</v>
      </c>
      <c r="Q99" s="9">
        <v>3.6957122914837397</v>
      </c>
      <c r="R99" s="9">
        <v>2.7787743008618526</v>
      </c>
      <c r="S99" s="9">
        <v>30.057444334229235</v>
      </c>
      <c r="T99" s="9">
        <v>13.681281867164451</v>
      </c>
      <c r="U99" s="9">
        <v>260.41752434124174</v>
      </c>
      <c r="V99" s="9">
        <v>11.879998933707302</v>
      </c>
      <c r="W99" s="9">
        <v>25.531096739365257</v>
      </c>
      <c r="X99" s="9">
        <v>48.904176129877186</v>
      </c>
      <c r="Y99" s="9">
        <v>14.554264926405365</v>
      </c>
      <c r="Z99" s="9">
        <v>2.9387911848170356</v>
      </c>
      <c r="AA99" s="9">
        <v>0</v>
      </c>
      <c r="AB99" s="9">
        <v>24.384358119127818</v>
      </c>
      <c r="AC99" s="9">
        <v>11.094415998317825</v>
      </c>
      <c r="AD99" s="9">
        <v>24.015819782968173</v>
      </c>
      <c r="AE99" s="9">
        <v>62.024894861677339</v>
      </c>
      <c r="AF99" s="9">
        <v>11.009690414411683</v>
      </c>
      <c r="AG99" s="9">
        <v>69.21393157865667</v>
      </c>
      <c r="AH99" s="9">
        <v>96.594156595830441</v>
      </c>
      <c r="AI99" s="9">
        <v>29.577005684785945</v>
      </c>
      <c r="AJ99" s="9">
        <v>3.6143057258155977</v>
      </c>
      <c r="AK99" s="9">
        <v>1.8871091958211212</v>
      </c>
      <c r="AL99" s="9">
        <v>48.102307293751522</v>
      </c>
      <c r="AM99" s="9">
        <v>7.4853121221364969</v>
      </c>
      <c r="AN99" s="9">
        <v>11.128322264523083</v>
      </c>
      <c r="AO99" s="9">
        <v>27.698389375531598</v>
      </c>
      <c r="AP99" s="9">
        <v>53.877826733351128</v>
      </c>
      <c r="AQ99" s="9">
        <v>55.909857033379453</v>
      </c>
      <c r="AR99" s="9">
        <v>185.07307622069567</v>
      </c>
      <c r="AS99" s="9">
        <v>304.4513671313187</v>
      </c>
      <c r="AT99" s="9">
        <v>63.189387552717193</v>
      </c>
      <c r="AU99" s="9">
        <v>76.740590671519271</v>
      </c>
      <c r="AV99" s="9">
        <v>6.7511152377923489</v>
      </c>
      <c r="AW99" s="9">
        <v>9.9837095155430724</v>
      </c>
      <c r="AX99" s="9">
        <v>17.488070609737491</v>
      </c>
      <c r="AY99" s="9">
        <v>31.155258257445645</v>
      </c>
      <c r="AZ99" s="9">
        <v>1.1497236230319061</v>
      </c>
      <c r="BA99" s="9">
        <v>9.0107764577575118</v>
      </c>
      <c r="BB99" s="9">
        <v>12.685481185823733</v>
      </c>
      <c r="BC99" s="9">
        <v>116.4085253626744</v>
      </c>
      <c r="BD99" s="9">
        <v>68.96737747235062</v>
      </c>
      <c r="BE99" s="9">
        <v>11.862779387579881</v>
      </c>
      <c r="BF99" s="9">
        <v>26.850344846128628</v>
      </c>
      <c r="BG99" s="9">
        <v>0</v>
      </c>
      <c r="BH99" s="9">
        <v>0</v>
      </c>
      <c r="BI99" s="9">
        <v>892.51314092829068</v>
      </c>
      <c r="BJ99" s="9">
        <v>0</v>
      </c>
      <c r="BK99" s="9">
        <v>0.26872054879814045</v>
      </c>
      <c r="BL99" s="9">
        <v>235.88667027762597</v>
      </c>
      <c r="BM99" s="9">
        <v>0.145606577241644</v>
      </c>
      <c r="BN99" s="9">
        <v>0</v>
      </c>
      <c r="BO99" s="9">
        <v>0</v>
      </c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</row>
    <row r="100" spans="1:87" x14ac:dyDescent="0.3">
      <c r="A100">
        <v>2014</v>
      </c>
      <c r="B100" s="10" t="s">
        <v>186</v>
      </c>
      <c r="C100" s="12" t="s">
        <v>244</v>
      </c>
      <c r="D100" s="10" t="s">
        <v>293</v>
      </c>
      <c r="E100" s="9">
        <v>14.016125634439751</v>
      </c>
      <c r="F100" s="9">
        <v>2.1943972801079066</v>
      </c>
      <c r="G100" s="9">
        <v>1.7902628299861045</v>
      </c>
      <c r="H100" s="9">
        <v>3.465373050074894</v>
      </c>
      <c r="I100" s="9">
        <v>20.177388041880544</v>
      </c>
      <c r="J100" s="9">
        <v>18.176178852757911</v>
      </c>
      <c r="K100" s="9">
        <v>1.9712086073481971</v>
      </c>
      <c r="L100" s="9">
        <v>5.3605530664272356</v>
      </c>
      <c r="M100" s="9">
        <v>3.7577880485081749</v>
      </c>
      <c r="N100" s="9">
        <v>11.212970288951979</v>
      </c>
      <c r="O100" s="9">
        <v>28.510545396704053</v>
      </c>
      <c r="P100" s="9">
        <v>12.985998514919658</v>
      </c>
      <c r="Q100" s="9">
        <v>4.3714933340328415</v>
      </c>
      <c r="R100" s="9">
        <v>5.7471933347759716</v>
      </c>
      <c r="S100" s="9">
        <v>33.432209953965646</v>
      </c>
      <c r="T100" s="9">
        <v>18.274602479085871</v>
      </c>
      <c r="U100" s="9">
        <v>51.130725476828758</v>
      </c>
      <c r="V100" s="9">
        <v>16.573787200111056</v>
      </c>
      <c r="W100" s="9">
        <v>31.188909233724658</v>
      </c>
      <c r="X100" s="9">
        <v>40.883512402698514</v>
      </c>
      <c r="Y100" s="9">
        <v>43.476620444144487</v>
      </c>
      <c r="Z100" s="9">
        <v>7.4163161092541765</v>
      </c>
      <c r="AA100" s="9">
        <v>0</v>
      </c>
      <c r="AB100" s="9">
        <v>28.943827106177018</v>
      </c>
      <c r="AC100" s="9">
        <v>6.8209143547135129</v>
      </c>
      <c r="AD100" s="9">
        <v>11.979464521457642</v>
      </c>
      <c r="AE100" s="9">
        <v>113.5259404362035</v>
      </c>
      <c r="AF100" s="9">
        <v>6.7048190541653128</v>
      </c>
      <c r="AG100" s="9">
        <v>42.131888585562905</v>
      </c>
      <c r="AH100" s="9">
        <v>58.811370526914828</v>
      </c>
      <c r="AI100" s="9">
        <v>20.293748499575997</v>
      </c>
      <c r="AJ100" s="9">
        <v>13.984397595531957</v>
      </c>
      <c r="AK100" s="9">
        <v>8.2418094280071941</v>
      </c>
      <c r="AL100" s="9">
        <v>26.737515457988621</v>
      </c>
      <c r="AM100" s="9">
        <v>0.95381561572867635</v>
      </c>
      <c r="AN100" s="9">
        <v>14.813846638607846</v>
      </c>
      <c r="AO100" s="9">
        <v>10.26904549087857</v>
      </c>
      <c r="AP100" s="9">
        <v>11.690966784000668</v>
      </c>
      <c r="AQ100" s="9">
        <v>7.7257723093284465</v>
      </c>
      <c r="AR100" s="9">
        <v>11.734887272227958</v>
      </c>
      <c r="AS100" s="9">
        <v>221.7280589368188</v>
      </c>
      <c r="AT100" s="9">
        <v>27.22645057555539</v>
      </c>
      <c r="AU100" s="9">
        <v>16.225270933377821</v>
      </c>
      <c r="AV100" s="9">
        <v>269.41632262437116</v>
      </c>
      <c r="AW100" s="9">
        <v>15.053672738723327</v>
      </c>
      <c r="AX100" s="9">
        <v>13.455518331356611</v>
      </c>
      <c r="AY100" s="9">
        <v>6.2379501493129386</v>
      </c>
      <c r="AZ100" s="9">
        <v>0.14756989143796737</v>
      </c>
      <c r="BA100" s="9">
        <v>9.602562981055982</v>
      </c>
      <c r="BB100" s="9">
        <v>16.083601270683474</v>
      </c>
      <c r="BC100" s="9">
        <v>66.364173261927959</v>
      </c>
      <c r="BD100" s="9">
        <v>20.379857878416523</v>
      </c>
      <c r="BE100" s="9">
        <v>25.858056270405097</v>
      </c>
      <c r="BF100" s="9">
        <v>41.894658841850195</v>
      </c>
      <c r="BG100" s="9">
        <v>0</v>
      </c>
      <c r="BH100" s="9">
        <v>0</v>
      </c>
      <c r="BI100" s="9">
        <v>802.49744921335173</v>
      </c>
      <c r="BJ100" s="9">
        <v>0</v>
      </c>
      <c r="BK100" s="9">
        <v>4.9417343395260348E-2</v>
      </c>
      <c r="BL100" s="9">
        <v>11.434980996784525</v>
      </c>
      <c r="BM100" s="9">
        <v>2.0223278110068441E-2</v>
      </c>
      <c r="BN100" s="9">
        <v>0</v>
      </c>
      <c r="BO100" s="9">
        <v>0</v>
      </c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</row>
    <row r="101" spans="1:87" x14ac:dyDescent="0.3">
      <c r="A101">
        <v>2014</v>
      </c>
      <c r="B101" s="10" t="s">
        <v>187</v>
      </c>
      <c r="C101" s="12" t="s">
        <v>245</v>
      </c>
      <c r="D101" s="10" t="s">
        <v>293</v>
      </c>
      <c r="E101" s="9">
        <v>1.685611914124995</v>
      </c>
      <c r="F101" s="9">
        <v>0.46181490595368263</v>
      </c>
      <c r="G101" s="9">
        <v>0.59131044093192253</v>
      </c>
      <c r="H101" s="9">
        <v>1.3201054534865708</v>
      </c>
      <c r="I101" s="9">
        <v>10.819712377039334</v>
      </c>
      <c r="J101" s="9">
        <v>13.298747526545663</v>
      </c>
      <c r="K101" s="9">
        <v>1.505576153494891</v>
      </c>
      <c r="L101" s="9">
        <v>2.6844323395714405</v>
      </c>
      <c r="M101" s="9">
        <v>4.3590617692815421</v>
      </c>
      <c r="N101" s="9">
        <v>9.850642609507176</v>
      </c>
      <c r="O101" s="9">
        <v>14.203981311393493</v>
      </c>
      <c r="P101" s="9">
        <v>10.070569194640328</v>
      </c>
      <c r="Q101" s="9">
        <v>2.8871253350276898</v>
      </c>
      <c r="R101" s="9">
        <v>2.6677386372959688</v>
      </c>
      <c r="S101" s="9">
        <v>8.6957555630266832</v>
      </c>
      <c r="T101" s="9">
        <v>10.509408791218316</v>
      </c>
      <c r="U101" s="9">
        <v>26.0272466062004</v>
      </c>
      <c r="V101" s="9">
        <v>15.354523790461958</v>
      </c>
      <c r="W101" s="9">
        <v>21.328434914471266</v>
      </c>
      <c r="X101" s="9">
        <v>14.200345131775716</v>
      </c>
      <c r="Y101" s="9">
        <v>16.781145525733201</v>
      </c>
      <c r="Z101" s="9">
        <v>5.5184653205214262</v>
      </c>
      <c r="AA101" s="9">
        <v>0</v>
      </c>
      <c r="AB101" s="9">
        <v>6.1437584794025231</v>
      </c>
      <c r="AC101" s="9">
        <v>3.397467006360849</v>
      </c>
      <c r="AD101" s="9">
        <v>12.442429201494264</v>
      </c>
      <c r="AE101" s="9">
        <v>52.644271467826613</v>
      </c>
      <c r="AF101" s="9">
        <v>6.5793656767469164</v>
      </c>
      <c r="AG101" s="9">
        <v>41.339166157377022</v>
      </c>
      <c r="AH101" s="9">
        <v>57.709821714655327</v>
      </c>
      <c r="AI101" s="9">
        <v>37.443402176344946</v>
      </c>
      <c r="AJ101" s="9">
        <v>2.3144972429101971</v>
      </c>
      <c r="AK101" s="9">
        <v>1.469628219889678</v>
      </c>
      <c r="AL101" s="9">
        <v>16.007832249600654</v>
      </c>
      <c r="AM101" s="9">
        <v>0.41621347332281633</v>
      </c>
      <c r="AN101" s="9">
        <v>9.9587686059365126</v>
      </c>
      <c r="AO101" s="9">
        <v>4.03599728915089</v>
      </c>
      <c r="AP101" s="9">
        <v>4.6948382648892668</v>
      </c>
      <c r="AQ101" s="9">
        <v>1.4932592004781009</v>
      </c>
      <c r="AR101" s="9">
        <v>4.9670726558283995</v>
      </c>
      <c r="AS101" s="9">
        <v>22.294994549121963</v>
      </c>
      <c r="AT101" s="9">
        <v>31.169289597234648</v>
      </c>
      <c r="AU101" s="9">
        <v>6.7559617480287928</v>
      </c>
      <c r="AV101" s="9">
        <v>37.235787190791484</v>
      </c>
      <c r="AW101" s="9">
        <v>23.181338693727852</v>
      </c>
      <c r="AX101" s="9">
        <v>15.517595738906888</v>
      </c>
      <c r="AY101" s="9">
        <v>2.7671142398098887</v>
      </c>
      <c r="AZ101" s="9">
        <v>9.4995624824390251E-2</v>
      </c>
      <c r="BA101" s="9">
        <v>13.106440569276741</v>
      </c>
      <c r="BB101" s="9">
        <v>49.159810947739622</v>
      </c>
      <c r="BC101" s="9">
        <v>7.2177116026420132</v>
      </c>
      <c r="BD101" s="9">
        <v>6.2218956834763333</v>
      </c>
      <c r="BE101" s="9">
        <v>35.897420915655459</v>
      </c>
      <c r="BF101" s="9">
        <v>15.057872275685478</v>
      </c>
      <c r="BG101" s="9">
        <v>0</v>
      </c>
      <c r="BH101" s="9">
        <v>0</v>
      </c>
      <c r="BI101" s="9">
        <v>377.30694495748287</v>
      </c>
      <c r="BJ101" s="9">
        <v>0</v>
      </c>
      <c r="BK101" s="9">
        <v>7.5623068270836737E-3</v>
      </c>
      <c r="BL101" s="9">
        <v>17.20031559044666</v>
      </c>
      <c r="BM101" s="9">
        <v>0.27213633871162657</v>
      </c>
      <c r="BN101" s="9">
        <v>0</v>
      </c>
      <c r="BO101" s="9">
        <v>0</v>
      </c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</row>
    <row r="102" spans="1:87" x14ac:dyDescent="0.3">
      <c r="A102">
        <v>2014</v>
      </c>
      <c r="B102" s="10" t="s">
        <v>188</v>
      </c>
      <c r="C102" s="12" t="s">
        <v>246</v>
      </c>
      <c r="D102" s="10" t="s">
        <v>293</v>
      </c>
      <c r="E102" s="9">
        <v>1.0014932574894049</v>
      </c>
      <c r="F102" s="9">
        <v>0.16103935801066047</v>
      </c>
      <c r="G102" s="9">
        <v>0.12884459861891301</v>
      </c>
      <c r="H102" s="9">
        <v>0.20301147064466446</v>
      </c>
      <c r="I102" s="9">
        <v>2.2224575534857403</v>
      </c>
      <c r="J102" s="9">
        <v>2.0223538661239155</v>
      </c>
      <c r="K102" s="9">
        <v>0.16365895163550298</v>
      </c>
      <c r="L102" s="9">
        <v>0.56395037273720205</v>
      </c>
      <c r="M102" s="9">
        <v>0.22467872313986992</v>
      </c>
      <c r="N102" s="9">
        <v>2.2367005646942211</v>
      </c>
      <c r="O102" s="9">
        <v>3.9696120398313823</v>
      </c>
      <c r="P102" s="9">
        <v>1.2537635151752728</v>
      </c>
      <c r="Q102" s="9">
        <v>0.41783122069394241</v>
      </c>
      <c r="R102" s="9">
        <v>0.56270446813766251</v>
      </c>
      <c r="S102" s="9">
        <v>3.6746704321773942</v>
      </c>
      <c r="T102" s="9">
        <v>2.1152620735488181</v>
      </c>
      <c r="U102" s="9">
        <v>7.9898042191300949</v>
      </c>
      <c r="V102" s="9">
        <v>2.1251199538307146</v>
      </c>
      <c r="W102" s="9">
        <v>3.4141882329669335</v>
      </c>
      <c r="X102" s="9">
        <v>3.2767594472662576</v>
      </c>
      <c r="Y102" s="9">
        <v>3.3450749048459465</v>
      </c>
      <c r="Z102" s="9">
        <v>0.51850125899840027</v>
      </c>
      <c r="AA102" s="9">
        <v>0</v>
      </c>
      <c r="AB102" s="9">
        <v>3.6637365509156199</v>
      </c>
      <c r="AC102" s="9">
        <v>0.92253474255783441</v>
      </c>
      <c r="AD102" s="9">
        <v>0.99161086666515463</v>
      </c>
      <c r="AE102" s="9">
        <v>7.6170100013733775</v>
      </c>
      <c r="AF102" s="9">
        <v>0.45928942278282869</v>
      </c>
      <c r="AG102" s="9">
        <v>2.8861810976234006</v>
      </c>
      <c r="AH102" s="9">
        <v>4.0286231603093459</v>
      </c>
      <c r="AI102" s="9">
        <v>1.8001682357880666</v>
      </c>
      <c r="AJ102" s="9">
        <v>0.89411412969263415</v>
      </c>
      <c r="AK102" s="9">
        <v>0.64344335723014656</v>
      </c>
      <c r="AL102" s="9">
        <v>2.0050722692978864</v>
      </c>
      <c r="AM102" s="9">
        <v>0.23633373498550023</v>
      </c>
      <c r="AN102" s="9">
        <v>1.3883828743646658</v>
      </c>
      <c r="AO102" s="9">
        <v>0.71520749372356873</v>
      </c>
      <c r="AP102" s="9">
        <v>1.1660298797683517</v>
      </c>
      <c r="AQ102" s="9">
        <v>0.92423715249875094</v>
      </c>
      <c r="AR102" s="9">
        <v>1.4043610523749122</v>
      </c>
      <c r="AS102" s="9">
        <v>57.351851519905907</v>
      </c>
      <c r="AT102" s="9">
        <v>39.598419447414798</v>
      </c>
      <c r="AU102" s="9">
        <v>28.262462585184885</v>
      </c>
      <c r="AV102" s="9">
        <v>13.816313135991216</v>
      </c>
      <c r="AW102" s="9">
        <v>1.2197512242872681</v>
      </c>
      <c r="AX102" s="9">
        <v>1.3076700835824642</v>
      </c>
      <c r="AY102" s="9">
        <v>1.230524507523066</v>
      </c>
      <c r="AZ102" s="9">
        <v>1.5742626258668561E-2</v>
      </c>
      <c r="BA102" s="9">
        <v>0.85289770044303737</v>
      </c>
      <c r="BB102" s="9">
        <v>2.1546751802898005</v>
      </c>
      <c r="BC102" s="9">
        <v>5.2886918787990593</v>
      </c>
      <c r="BD102" s="9">
        <v>3.1169496437347313</v>
      </c>
      <c r="BE102" s="9">
        <v>3.1684228110195649</v>
      </c>
      <c r="BF102" s="9">
        <v>2.385594085598572</v>
      </c>
      <c r="BG102" s="9">
        <v>0</v>
      </c>
      <c r="BH102" s="9">
        <v>0</v>
      </c>
      <c r="BI102" s="9">
        <v>125.30048931921007</v>
      </c>
      <c r="BJ102" s="9">
        <v>0</v>
      </c>
      <c r="BK102" s="9">
        <v>1.2326589099445054E-3</v>
      </c>
      <c r="BL102" s="9">
        <v>4.3113927391106888</v>
      </c>
      <c r="BM102" s="9">
        <v>9.7051097067887056E-3</v>
      </c>
      <c r="BN102" s="9">
        <v>0</v>
      </c>
      <c r="BO102" s="9">
        <v>0</v>
      </c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</row>
    <row r="103" spans="1:87" x14ac:dyDescent="0.3">
      <c r="A103">
        <v>2014</v>
      </c>
      <c r="B103" s="10" t="s">
        <v>189</v>
      </c>
      <c r="C103" s="12" t="s">
        <v>247</v>
      </c>
      <c r="D103" s="10" t="s">
        <v>293</v>
      </c>
      <c r="E103" s="9">
        <v>0.51986885385505055</v>
      </c>
      <c r="F103" s="9">
        <v>0.25009065533908942</v>
      </c>
      <c r="G103" s="9">
        <v>8.8611568328279752E-2</v>
      </c>
      <c r="H103" s="9">
        <v>0.23885813028896205</v>
      </c>
      <c r="I103" s="9">
        <v>9.5936169896733947</v>
      </c>
      <c r="J103" s="9">
        <v>16.007831306225015</v>
      </c>
      <c r="K103" s="9">
        <v>0.53944435804118085</v>
      </c>
      <c r="L103" s="9">
        <v>1.1408042908825797</v>
      </c>
      <c r="M103" s="9">
        <v>3.0203198334805483</v>
      </c>
      <c r="N103" s="9">
        <v>4.4357512260684819</v>
      </c>
      <c r="O103" s="9">
        <v>12.047812445892758</v>
      </c>
      <c r="P103" s="9">
        <v>4.1152588683521385</v>
      </c>
      <c r="Q103" s="9">
        <v>0.89444406522124265</v>
      </c>
      <c r="R103" s="9">
        <v>1.0712629774652969</v>
      </c>
      <c r="S103" s="9">
        <v>4.3681645371822233</v>
      </c>
      <c r="T103" s="9">
        <v>2.6767036995147384</v>
      </c>
      <c r="U103" s="9">
        <v>11.468256800024953</v>
      </c>
      <c r="V103" s="9">
        <v>7.6156288421199374</v>
      </c>
      <c r="W103" s="9">
        <v>5.4722766953458226</v>
      </c>
      <c r="X103" s="9">
        <v>6.7440445985599791</v>
      </c>
      <c r="Y103" s="9">
        <v>3.6186627298885279</v>
      </c>
      <c r="Z103" s="9">
        <v>3.902193011682797</v>
      </c>
      <c r="AA103" s="9">
        <v>0</v>
      </c>
      <c r="AB103" s="9">
        <v>2.8128481513798596</v>
      </c>
      <c r="AC103" s="9">
        <v>2.0145314843099769</v>
      </c>
      <c r="AD103" s="9">
        <v>3.8837841987629473</v>
      </c>
      <c r="AE103" s="9">
        <v>22.332214089402992</v>
      </c>
      <c r="AF103" s="9">
        <v>12.482546956728987</v>
      </c>
      <c r="AG103" s="9">
        <v>78.429986967788153</v>
      </c>
      <c r="AH103" s="9">
        <v>109.48943955858961</v>
      </c>
      <c r="AI103" s="9">
        <v>9.0922045156993825</v>
      </c>
      <c r="AJ103" s="9">
        <v>1.2306052872047228</v>
      </c>
      <c r="AK103" s="9">
        <v>1.1910712982983545</v>
      </c>
      <c r="AL103" s="9">
        <v>21.010171512696534</v>
      </c>
      <c r="AM103" s="9">
        <v>0.31051099120022208</v>
      </c>
      <c r="AN103" s="9">
        <v>54.233608640102247</v>
      </c>
      <c r="AO103" s="9">
        <v>11.058278968280185</v>
      </c>
      <c r="AP103" s="9">
        <v>9.7933997352861688</v>
      </c>
      <c r="AQ103" s="9">
        <v>5.9976118557462872</v>
      </c>
      <c r="AR103" s="9">
        <v>13.007380317804472</v>
      </c>
      <c r="AS103" s="9">
        <v>46.334038120880528</v>
      </c>
      <c r="AT103" s="9">
        <v>11.050980635335494</v>
      </c>
      <c r="AU103" s="9">
        <v>15.585631928204517</v>
      </c>
      <c r="AV103" s="9">
        <v>31.090104945305839</v>
      </c>
      <c r="AW103" s="9">
        <v>26.953030704184606</v>
      </c>
      <c r="AX103" s="9">
        <v>13.893977299167284</v>
      </c>
      <c r="AY103" s="9">
        <v>2.6412998212694401</v>
      </c>
      <c r="AZ103" s="9">
        <v>0.15832061711546302</v>
      </c>
      <c r="BA103" s="9">
        <v>10.022913563128016</v>
      </c>
      <c r="BB103" s="9">
        <v>12.648153566312956</v>
      </c>
      <c r="BC103" s="9">
        <v>19.784726711738994</v>
      </c>
      <c r="BD103" s="9">
        <v>22.770843831411888</v>
      </c>
      <c r="BE103" s="9">
        <v>39.326955164518054</v>
      </c>
      <c r="BF103" s="9">
        <v>24.471315719952145</v>
      </c>
      <c r="BG103" s="9">
        <v>0</v>
      </c>
      <c r="BH103" s="9">
        <v>0</v>
      </c>
      <c r="BI103" s="9">
        <v>400.58429705307071</v>
      </c>
      <c r="BJ103" s="9">
        <v>0</v>
      </c>
      <c r="BK103" s="9">
        <v>6.3620869031150704E-2</v>
      </c>
      <c r="BL103" s="9">
        <v>1.7192893831227825</v>
      </c>
      <c r="BM103" s="9">
        <v>6.3081803098637848E-3</v>
      </c>
      <c r="BN103" s="9">
        <v>0</v>
      </c>
      <c r="BO103" s="9">
        <v>0</v>
      </c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</row>
    <row r="104" spans="1:87" x14ac:dyDescent="0.3">
      <c r="A104">
        <v>2014</v>
      </c>
      <c r="B104" s="10" t="s">
        <v>190</v>
      </c>
      <c r="C104" s="12" t="s">
        <v>248</v>
      </c>
      <c r="D104" s="10" t="s">
        <v>293</v>
      </c>
      <c r="E104" s="9">
        <v>5.5882607995167888</v>
      </c>
      <c r="F104" s="9">
        <v>0.84747884253680195</v>
      </c>
      <c r="G104" s="9">
        <v>2.8827076083870589</v>
      </c>
      <c r="H104" s="9">
        <v>1.7944382909574372</v>
      </c>
      <c r="I104" s="9">
        <v>62.189513364799716</v>
      </c>
      <c r="J104" s="9">
        <v>65.57388826794427</v>
      </c>
      <c r="K104" s="9">
        <v>1.9610917631266374</v>
      </c>
      <c r="L104" s="9">
        <v>12.410131449402396</v>
      </c>
      <c r="M104" s="9">
        <v>18.325478472820286</v>
      </c>
      <c r="N104" s="9">
        <v>861.0851594132406</v>
      </c>
      <c r="O104" s="9">
        <v>167.8845163064712</v>
      </c>
      <c r="P104" s="9">
        <v>68.622525963680161</v>
      </c>
      <c r="Q104" s="9">
        <v>6.7302666755356499</v>
      </c>
      <c r="R104" s="9">
        <v>20.96877680464592</v>
      </c>
      <c r="S104" s="9">
        <v>334.46013047502197</v>
      </c>
      <c r="T104" s="9">
        <v>62.63144504952119</v>
      </c>
      <c r="U104" s="9">
        <v>253.05744574807153</v>
      </c>
      <c r="V104" s="9">
        <v>36.80988986056569</v>
      </c>
      <c r="W104" s="9">
        <v>52.20474033290003</v>
      </c>
      <c r="X104" s="9">
        <v>162.24830249959388</v>
      </c>
      <c r="Y104" s="9">
        <v>36.355939793859768</v>
      </c>
      <c r="Z104" s="9">
        <v>6.6707035241362229</v>
      </c>
      <c r="AA104" s="9">
        <v>0</v>
      </c>
      <c r="AB104" s="9">
        <v>332.03662723466681</v>
      </c>
      <c r="AC104" s="9">
        <v>19.458278182844598</v>
      </c>
      <c r="AD104" s="9">
        <v>32.731140219129436</v>
      </c>
      <c r="AE104" s="9">
        <v>175.64509788642312</v>
      </c>
      <c r="AF104" s="9">
        <v>25.383704054219244</v>
      </c>
      <c r="AG104" s="9">
        <v>159.49277776097222</v>
      </c>
      <c r="AH104" s="9">
        <v>222.65386192401385</v>
      </c>
      <c r="AI104" s="9">
        <v>26.610451610069934</v>
      </c>
      <c r="AJ104" s="9">
        <v>10.408752578191262</v>
      </c>
      <c r="AK104" s="9">
        <v>2.3620255043764882</v>
      </c>
      <c r="AL104" s="9">
        <v>145.46100343643172</v>
      </c>
      <c r="AM104" s="9">
        <v>1.6153992109341915</v>
      </c>
      <c r="AN104" s="9">
        <v>19.778303305670494</v>
      </c>
      <c r="AO104" s="9">
        <v>124.93593592583066</v>
      </c>
      <c r="AP104" s="9">
        <v>146.97979610210288</v>
      </c>
      <c r="AQ104" s="9">
        <v>44.9465607797068</v>
      </c>
      <c r="AR104" s="9">
        <v>116.10147402755581</v>
      </c>
      <c r="AS104" s="9">
        <v>410.07347675015939</v>
      </c>
      <c r="AT104" s="9">
        <v>93.115056510029191</v>
      </c>
      <c r="AU104" s="9">
        <v>86.299505342020211</v>
      </c>
      <c r="AV104" s="9">
        <v>15.894840560249367</v>
      </c>
      <c r="AW104" s="9">
        <v>62.540794766993706</v>
      </c>
      <c r="AX104" s="9">
        <v>53.4279517820314</v>
      </c>
      <c r="AY104" s="9">
        <v>22.809674350076033</v>
      </c>
      <c r="AZ104" s="9">
        <v>0.51693766448308787</v>
      </c>
      <c r="BA104" s="9">
        <v>43.515147989329321</v>
      </c>
      <c r="BB104" s="9">
        <v>51.005173998715449</v>
      </c>
      <c r="BC104" s="9">
        <v>75.103263123525153</v>
      </c>
      <c r="BD104" s="9">
        <v>34.573688405656398</v>
      </c>
      <c r="BE104" s="9">
        <v>57.398028521577977</v>
      </c>
      <c r="BF104" s="9">
        <v>55.607696051625119</v>
      </c>
      <c r="BG104" s="9">
        <v>0</v>
      </c>
      <c r="BH104" s="9">
        <v>0</v>
      </c>
      <c r="BI104" s="9">
        <v>227.6737994681319</v>
      </c>
      <c r="BJ104" s="9">
        <v>0</v>
      </c>
      <c r="BK104" s="9">
        <v>3.6446893295142897E-2</v>
      </c>
      <c r="BL104" s="9">
        <v>48.166536959950513</v>
      </c>
      <c r="BM104" s="9">
        <v>6.4121013588075509E-2</v>
      </c>
      <c r="BN104" s="9">
        <v>0</v>
      </c>
      <c r="BO104" s="9">
        <v>0</v>
      </c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</row>
    <row r="105" spans="1:87" x14ac:dyDescent="0.3">
      <c r="A105">
        <v>2014</v>
      </c>
      <c r="B105" s="10" t="s">
        <v>191</v>
      </c>
      <c r="C105" s="12" t="s">
        <v>249</v>
      </c>
      <c r="D105" s="10" t="s">
        <v>293</v>
      </c>
      <c r="E105" s="9">
        <v>2.6582140101968168</v>
      </c>
      <c r="F105" s="9">
        <v>6.6161628244183507E-2</v>
      </c>
      <c r="G105" s="9">
        <v>0.75177445198350212</v>
      </c>
      <c r="H105" s="9">
        <v>0.59085413475079018</v>
      </c>
      <c r="I105" s="9">
        <v>16.713206248705838</v>
      </c>
      <c r="J105" s="9">
        <v>15.755942032148004</v>
      </c>
      <c r="K105" s="9">
        <v>0.71768512235445125</v>
      </c>
      <c r="L105" s="9">
        <v>4.0813517232732304</v>
      </c>
      <c r="M105" s="9">
        <v>2.7929092131917153</v>
      </c>
      <c r="N105" s="9">
        <v>44.410803249822926</v>
      </c>
      <c r="O105" s="9">
        <v>85.260957414906287</v>
      </c>
      <c r="P105" s="9">
        <v>3.3957714496730573</v>
      </c>
      <c r="Q105" s="9">
        <v>7.2138920741464165</v>
      </c>
      <c r="R105" s="9">
        <v>7.1059987330108356</v>
      </c>
      <c r="S105" s="9">
        <v>74.280542311652553</v>
      </c>
      <c r="T105" s="9">
        <v>31.430800851268216</v>
      </c>
      <c r="U105" s="9">
        <v>216.42509756457474</v>
      </c>
      <c r="V105" s="9">
        <v>30.182873819476363</v>
      </c>
      <c r="W105" s="9">
        <v>67.62503272044853</v>
      </c>
      <c r="X105" s="9">
        <v>205.37692065405832</v>
      </c>
      <c r="Y105" s="9">
        <v>31.89229361164865</v>
      </c>
      <c r="Z105" s="9">
        <v>8.4672143766215182</v>
      </c>
      <c r="AA105" s="9">
        <v>0</v>
      </c>
      <c r="AB105" s="9">
        <v>40.441741630731926</v>
      </c>
      <c r="AC105" s="9">
        <v>7.8495128349428205</v>
      </c>
      <c r="AD105" s="9">
        <v>25.022101602207176</v>
      </c>
      <c r="AE105" s="9">
        <v>1030.9671532929272</v>
      </c>
      <c r="AF105" s="9">
        <v>1.9126899615691875</v>
      </c>
      <c r="AG105" s="9">
        <v>12.016717206965795</v>
      </c>
      <c r="AH105" s="9">
        <v>16.781427470656016</v>
      </c>
      <c r="AI105" s="9">
        <v>5.3005291410860398</v>
      </c>
      <c r="AJ105" s="9">
        <v>0.72307086760958628</v>
      </c>
      <c r="AK105" s="9">
        <v>0.62123826862433806</v>
      </c>
      <c r="AL105" s="9">
        <v>10.031828817053828</v>
      </c>
      <c r="AM105" s="9">
        <v>0.90062769010277999</v>
      </c>
      <c r="AN105" s="9">
        <v>4.187240206185578</v>
      </c>
      <c r="AO105" s="9">
        <v>24.082420906149043</v>
      </c>
      <c r="AP105" s="9">
        <v>44.278573749970199</v>
      </c>
      <c r="AQ105" s="9">
        <v>11.040160313471874</v>
      </c>
      <c r="AR105" s="9">
        <v>28.861349315272719</v>
      </c>
      <c r="AS105" s="9">
        <v>26.238665350598019</v>
      </c>
      <c r="AT105" s="9">
        <v>4.3677214219431946</v>
      </c>
      <c r="AU105" s="9">
        <v>3.4956575209308953</v>
      </c>
      <c r="AV105" s="9">
        <v>0.59636237806772641</v>
      </c>
      <c r="AW105" s="9">
        <v>5.4003082375150875</v>
      </c>
      <c r="AX105" s="9">
        <v>92.810563708818009</v>
      </c>
      <c r="AY105" s="9">
        <v>51.655990185725038</v>
      </c>
      <c r="AZ105" s="9">
        <v>0.54537405875453349</v>
      </c>
      <c r="BA105" s="9">
        <v>7.7247228556164034</v>
      </c>
      <c r="BB105" s="9">
        <v>18.160526916918414</v>
      </c>
      <c r="BC105" s="9">
        <v>24.618242455852481</v>
      </c>
      <c r="BD105" s="9">
        <v>19.725090564390921</v>
      </c>
      <c r="BE105" s="9">
        <v>8.9014676451206878</v>
      </c>
      <c r="BF105" s="9">
        <v>4.7689188944892145</v>
      </c>
      <c r="BG105" s="9">
        <v>0</v>
      </c>
      <c r="BH105" s="9">
        <v>0</v>
      </c>
      <c r="BI105" s="9">
        <v>27.351972515626521</v>
      </c>
      <c r="BJ105" s="9">
        <v>0</v>
      </c>
      <c r="BK105" s="9">
        <v>2.3594190466118027E-2</v>
      </c>
      <c r="BL105" s="9">
        <v>60.645748378926015</v>
      </c>
      <c r="BM105" s="9">
        <v>4.2019801961816969E-2</v>
      </c>
      <c r="BN105" s="9">
        <v>0</v>
      </c>
      <c r="BO105" s="9">
        <v>0</v>
      </c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</row>
    <row r="106" spans="1:87" x14ac:dyDescent="0.3">
      <c r="A106">
        <v>2014</v>
      </c>
      <c r="B106" s="10" t="s">
        <v>192</v>
      </c>
      <c r="C106" s="12" t="s">
        <v>250</v>
      </c>
      <c r="D106" s="10" t="s">
        <v>293</v>
      </c>
      <c r="E106" s="9">
        <v>0.34146357567014163</v>
      </c>
      <c r="F106" s="9">
        <v>7.6451671401321607E-3</v>
      </c>
      <c r="G106" s="9">
        <v>0.17402656350861423</v>
      </c>
      <c r="H106" s="9">
        <v>5.4193860435775891E-2</v>
      </c>
      <c r="I106" s="9">
        <v>6.3244213720649016</v>
      </c>
      <c r="J106" s="9">
        <v>5.0390970899323104</v>
      </c>
      <c r="K106" s="9">
        <v>0.11462178079128572</v>
      </c>
      <c r="L106" s="9">
        <v>0.72603799119162404</v>
      </c>
      <c r="M106" s="9">
        <v>0.79707018029934207</v>
      </c>
      <c r="N106" s="9">
        <v>5.8637800128703672</v>
      </c>
      <c r="O106" s="9">
        <v>33.738999116272367</v>
      </c>
      <c r="P106" s="9">
        <v>31.850847253760151</v>
      </c>
      <c r="Q106" s="9">
        <v>2.5474621413345</v>
      </c>
      <c r="R106" s="9">
        <v>1.5843061873964639</v>
      </c>
      <c r="S106" s="9">
        <v>13.445713683797024</v>
      </c>
      <c r="T106" s="9">
        <v>4.8346157831108432</v>
      </c>
      <c r="U106" s="9">
        <v>243.60659282784695</v>
      </c>
      <c r="V106" s="9">
        <v>16.222164855476613</v>
      </c>
      <c r="W106" s="9">
        <v>26.212183343801311</v>
      </c>
      <c r="X106" s="9">
        <v>59.183085859895101</v>
      </c>
      <c r="Y106" s="9">
        <v>14.055349760254348</v>
      </c>
      <c r="Z106" s="9">
        <v>1.4576918404980401</v>
      </c>
      <c r="AA106" s="9">
        <v>0</v>
      </c>
      <c r="AB106" s="9">
        <v>10.760793334733545</v>
      </c>
      <c r="AC106" s="9">
        <v>1.4597140212754374</v>
      </c>
      <c r="AD106" s="9">
        <v>6.2543298377397303</v>
      </c>
      <c r="AE106" s="9">
        <v>18.680730855858229</v>
      </c>
      <c r="AF106" s="9">
        <v>1.4748140439295816</v>
      </c>
      <c r="AG106" s="9">
        <v>9.2565563363118493</v>
      </c>
      <c r="AH106" s="9">
        <v>12.926383928926278</v>
      </c>
      <c r="AI106" s="9">
        <v>4.745647152742313</v>
      </c>
      <c r="AJ106" s="9">
        <v>0.58973018026874291</v>
      </c>
      <c r="AK106" s="9">
        <v>0.72724313441191724</v>
      </c>
      <c r="AL106" s="9">
        <v>8.7016798872313643</v>
      </c>
      <c r="AM106" s="9">
        <v>0.75905844520796872</v>
      </c>
      <c r="AN106" s="9">
        <v>0.3211400751968333</v>
      </c>
      <c r="AO106" s="9">
        <v>1.938308354925566</v>
      </c>
      <c r="AP106" s="9">
        <v>4.0165459343221741</v>
      </c>
      <c r="AQ106" s="9">
        <v>5.5413926780335725</v>
      </c>
      <c r="AR106" s="9">
        <v>20.220397138259735</v>
      </c>
      <c r="AS106" s="9">
        <v>16.643167326685163</v>
      </c>
      <c r="AT106" s="9">
        <v>3.1667318853749067</v>
      </c>
      <c r="AU106" s="9">
        <v>2.8829549217501516</v>
      </c>
      <c r="AV106" s="9">
        <v>0.48766832394891724</v>
      </c>
      <c r="AW106" s="9">
        <v>1.1340290831730504</v>
      </c>
      <c r="AX106" s="9">
        <v>8.7316881749967603</v>
      </c>
      <c r="AY106" s="9">
        <v>4.8320782427660749</v>
      </c>
      <c r="AZ106" s="9">
        <v>1.639436494659173E-2</v>
      </c>
      <c r="BA106" s="9">
        <v>1.9885026955556866</v>
      </c>
      <c r="BB106" s="9">
        <v>2.7094141571472075</v>
      </c>
      <c r="BC106" s="9">
        <v>7.6570237283839688</v>
      </c>
      <c r="BD106" s="9">
        <v>3.0308550235679119</v>
      </c>
      <c r="BE106" s="9">
        <v>10.680828267472098</v>
      </c>
      <c r="BF106" s="9">
        <v>3.1164111188977164</v>
      </c>
      <c r="BG106" s="9">
        <v>0</v>
      </c>
      <c r="BH106" s="9">
        <v>0</v>
      </c>
      <c r="BI106" s="9">
        <v>26.153611313196947</v>
      </c>
      <c r="BJ106" s="9">
        <v>0</v>
      </c>
      <c r="BK106" s="9">
        <v>9.5188473973870313E-2</v>
      </c>
      <c r="BL106" s="9">
        <v>5430.8623296968035</v>
      </c>
      <c r="BM106" s="9">
        <v>7.5079821595148963E-2</v>
      </c>
      <c r="BN106" s="9">
        <v>0</v>
      </c>
      <c r="BO106" s="9">
        <v>0</v>
      </c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</row>
    <row r="107" spans="1:87" x14ac:dyDescent="0.3">
      <c r="A107">
        <v>2014</v>
      </c>
      <c r="B107" s="10" t="s">
        <v>193</v>
      </c>
      <c r="C107" s="12" t="s">
        <v>251</v>
      </c>
      <c r="D107" s="10" t="s">
        <v>293</v>
      </c>
      <c r="E107" s="9">
        <v>1.3658791944892013</v>
      </c>
      <c r="F107" s="9">
        <v>1.6943633828320177</v>
      </c>
      <c r="G107" s="9">
        <v>0.12257498450269111</v>
      </c>
      <c r="H107" s="9">
        <v>0.24801052743463303</v>
      </c>
      <c r="I107" s="9">
        <v>135.10544393466571</v>
      </c>
      <c r="J107" s="9">
        <v>55.158818921118055</v>
      </c>
      <c r="K107" s="9">
        <v>1.2553923508422877</v>
      </c>
      <c r="L107" s="9">
        <v>14.515747510344706</v>
      </c>
      <c r="M107" s="9">
        <v>6.8233733499459301</v>
      </c>
      <c r="N107" s="9">
        <v>57.256267272616029</v>
      </c>
      <c r="O107" s="9">
        <v>88.90827384210148</v>
      </c>
      <c r="P107" s="9">
        <v>20.336083770762365</v>
      </c>
      <c r="Q107" s="9">
        <v>6.5399123216363595</v>
      </c>
      <c r="R107" s="9">
        <v>8.8724329390092791</v>
      </c>
      <c r="S107" s="9">
        <v>39.777963645786286</v>
      </c>
      <c r="T107" s="9">
        <v>42.463206908741128</v>
      </c>
      <c r="U107" s="9">
        <v>299.34988877903697</v>
      </c>
      <c r="V107" s="9">
        <v>44.290070212804139</v>
      </c>
      <c r="W107" s="9">
        <v>41.457681430489551</v>
      </c>
      <c r="X107" s="9">
        <v>255.0654437385233</v>
      </c>
      <c r="Y107" s="9">
        <v>21.073287195987938</v>
      </c>
      <c r="Z107" s="9">
        <v>8.833355172960017</v>
      </c>
      <c r="AA107" s="9">
        <v>0</v>
      </c>
      <c r="AB107" s="9">
        <v>37.457731357554046</v>
      </c>
      <c r="AC107" s="9">
        <v>5.0061600623220652</v>
      </c>
      <c r="AD107" s="9">
        <v>44.391323339108098</v>
      </c>
      <c r="AE107" s="9">
        <v>110.52186213116869</v>
      </c>
      <c r="AF107" s="9">
        <v>45.68613448213226</v>
      </c>
      <c r="AG107" s="9">
        <v>287.05323094850053</v>
      </c>
      <c r="AH107" s="9">
        <v>400.73219935087394</v>
      </c>
      <c r="AI107" s="9">
        <v>15.512919464221454</v>
      </c>
      <c r="AJ107" s="9">
        <v>3.344695214346634</v>
      </c>
      <c r="AK107" s="9">
        <v>1.2232617674948989</v>
      </c>
      <c r="AL107" s="9">
        <v>108.734556548103</v>
      </c>
      <c r="AM107" s="9">
        <v>2.2432881332455548</v>
      </c>
      <c r="AN107" s="9">
        <v>38.202897299114412</v>
      </c>
      <c r="AO107" s="9">
        <v>132.78769898856774</v>
      </c>
      <c r="AP107" s="9">
        <v>73.132681250371505</v>
      </c>
      <c r="AQ107" s="9">
        <v>107.84692537621353</v>
      </c>
      <c r="AR107" s="9">
        <v>85.312597778051014</v>
      </c>
      <c r="AS107" s="9">
        <v>704.36394246891348</v>
      </c>
      <c r="AT107" s="9">
        <v>282.71910752197857</v>
      </c>
      <c r="AU107" s="9">
        <v>96.882870860007571</v>
      </c>
      <c r="AV107" s="9">
        <v>25.425634486957712</v>
      </c>
      <c r="AW107" s="9">
        <v>6.4892652218327456</v>
      </c>
      <c r="AX107" s="9">
        <v>15.344878712552816</v>
      </c>
      <c r="AY107" s="9">
        <v>5.9824059328678736</v>
      </c>
      <c r="AZ107" s="9">
        <v>0.37126407915705134</v>
      </c>
      <c r="BA107" s="9">
        <v>30.993450343068986</v>
      </c>
      <c r="BB107" s="9">
        <v>14.431260176969818</v>
      </c>
      <c r="BC107" s="9">
        <v>149.91089713511747</v>
      </c>
      <c r="BD107" s="9">
        <v>115.39839089423468</v>
      </c>
      <c r="BE107" s="9">
        <v>11.633320893267047</v>
      </c>
      <c r="BF107" s="9">
        <v>55.849300692464524</v>
      </c>
      <c r="BG107" s="9">
        <v>0</v>
      </c>
      <c r="BH107" s="9">
        <v>0</v>
      </c>
      <c r="BI107" s="9">
        <v>67.804488711691278</v>
      </c>
      <c r="BJ107" s="9">
        <v>0</v>
      </c>
      <c r="BK107" s="9">
        <v>1.5125741536917673E-2</v>
      </c>
      <c r="BL107" s="9">
        <v>2.1519557414533899</v>
      </c>
      <c r="BM107" s="9">
        <v>4.6311775572066864E-3</v>
      </c>
      <c r="BN107" s="9">
        <v>0</v>
      </c>
      <c r="BO107" s="9">
        <v>0</v>
      </c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</row>
    <row r="108" spans="1:87" x14ac:dyDescent="0.3">
      <c r="A108">
        <v>2014</v>
      </c>
      <c r="B108" s="10" t="s">
        <v>194</v>
      </c>
      <c r="C108" s="12" t="s">
        <v>252</v>
      </c>
      <c r="D108" s="10" t="s">
        <v>293</v>
      </c>
      <c r="E108" s="9">
        <v>1.9475721627711184</v>
      </c>
      <c r="F108" s="9">
        <v>9.9829681146123783E-2</v>
      </c>
      <c r="G108" s="9">
        <v>2.330621497428722</v>
      </c>
      <c r="H108" s="9">
        <v>0.97184317203797033</v>
      </c>
      <c r="I108" s="9">
        <v>69.031648154486163</v>
      </c>
      <c r="J108" s="9">
        <v>138.64842494760398</v>
      </c>
      <c r="K108" s="9">
        <v>1.5551107357680016</v>
      </c>
      <c r="L108" s="9">
        <v>11.81399622850461</v>
      </c>
      <c r="M108" s="9">
        <v>11.35122126824534</v>
      </c>
      <c r="N108" s="9">
        <v>45.494071412060805</v>
      </c>
      <c r="O108" s="9">
        <v>181.84321810389349</v>
      </c>
      <c r="P108" s="9">
        <v>5.1603931055610683</v>
      </c>
      <c r="Q108" s="9">
        <v>5.6572035277426806</v>
      </c>
      <c r="R108" s="9">
        <v>8.7605150780330145</v>
      </c>
      <c r="S108" s="9">
        <v>298.47755862655163</v>
      </c>
      <c r="T108" s="9">
        <v>84.383058461515546</v>
      </c>
      <c r="U108" s="9">
        <v>209.63279895258933</v>
      </c>
      <c r="V108" s="9">
        <v>28.012928977995621</v>
      </c>
      <c r="W108" s="9">
        <v>33.586786313414386</v>
      </c>
      <c r="X108" s="9">
        <v>27.364988766008231</v>
      </c>
      <c r="Y108" s="9">
        <v>156.48401125200536</v>
      </c>
      <c r="Z108" s="9">
        <v>10.0122912897303</v>
      </c>
      <c r="AA108" s="9">
        <v>0</v>
      </c>
      <c r="AB108" s="9">
        <v>274.34174156624749</v>
      </c>
      <c r="AC108" s="9">
        <v>38.07529913044317</v>
      </c>
      <c r="AD108" s="9">
        <v>346.36574380614593</v>
      </c>
      <c r="AE108" s="9">
        <v>236.59180466674874</v>
      </c>
      <c r="AF108" s="9">
        <v>62.968987609038841</v>
      </c>
      <c r="AG108" s="9">
        <v>395.64357901997147</v>
      </c>
      <c r="AH108" s="9">
        <v>552.33005613371392</v>
      </c>
      <c r="AI108" s="9">
        <v>234.20742069044198</v>
      </c>
      <c r="AJ108" s="9">
        <v>2.1293619581847181</v>
      </c>
      <c r="AK108" s="9">
        <v>24.15675861098525</v>
      </c>
      <c r="AL108" s="9">
        <v>463.80785221636972</v>
      </c>
      <c r="AM108" s="9">
        <v>43.984291535625452</v>
      </c>
      <c r="AN108" s="9">
        <v>10.787129347508165</v>
      </c>
      <c r="AO108" s="9">
        <v>38.230557286671242</v>
      </c>
      <c r="AP108" s="9">
        <v>175.00268538460267</v>
      </c>
      <c r="AQ108" s="9">
        <v>220.67934920023004</v>
      </c>
      <c r="AR108" s="9">
        <v>507.0502057420257</v>
      </c>
      <c r="AS108" s="9">
        <v>921.73205667769139</v>
      </c>
      <c r="AT108" s="9">
        <v>172.70930836403943</v>
      </c>
      <c r="AU108" s="9">
        <v>128.26103522125064</v>
      </c>
      <c r="AV108" s="9">
        <v>9.6941337069142488</v>
      </c>
      <c r="AW108" s="9">
        <v>15.717349299217165</v>
      </c>
      <c r="AX108" s="9">
        <v>131.39734935532056</v>
      </c>
      <c r="AY108" s="9">
        <v>27.090898230042313</v>
      </c>
      <c r="AZ108" s="9">
        <v>0.17068258190391369</v>
      </c>
      <c r="BA108" s="9">
        <v>91.02233096413508</v>
      </c>
      <c r="BB108" s="9">
        <v>82.644635388321092</v>
      </c>
      <c r="BC108" s="9">
        <v>380.97253463018626</v>
      </c>
      <c r="BD108" s="9">
        <v>152.68989842382274</v>
      </c>
      <c r="BE108" s="9">
        <v>11.339519626723352</v>
      </c>
      <c r="BF108" s="9">
        <v>156.28247008391151</v>
      </c>
      <c r="BG108" s="9">
        <v>0</v>
      </c>
      <c r="BH108" s="9">
        <v>0</v>
      </c>
      <c r="BI108" s="9">
        <v>1039.5972154121812</v>
      </c>
      <c r="BJ108" s="9">
        <v>0</v>
      </c>
      <c r="BK108" s="9">
        <v>0.41178769700616935</v>
      </c>
      <c r="BL108" s="9">
        <v>3.4806230721578952</v>
      </c>
      <c r="BM108" s="9">
        <v>1.5988047713961322E-2</v>
      </c>
      <c r="BN108" s="9">
        <v>0</v>
      </c>
      <c r="BO108" s="9">
        <v>0</v>
      </c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</row>
    <row r="109" spans="1:87" x14ac:dyDescent="0.3">
      <c r="A109">
        <v>2014</v>
      </c>
      <c r="B109" s="10" t="s">
        <v>284</v>
      </c>
      <c r="C109" s="12" t="s">
        <v>287</v>
      </c>
      <c r="D109" s="10" t="s">
        <v>293</v>
      </c>
      <c r="E109" s="9">
        <v>2.5204615071260648</v>
      </c>
      <c r="F109" s="9">
        <v>6.2321978100922271E-2</v>
      </c>
      <c r="G109" s="9">
        <v>3.180327897401543</v>
      </c>
      <c r="H109" s="9">
        <v>11.09750697865042</v>
      </c>
      <c r="I109" s="9">
        <v>18.830749358742409</v>
      </c>
      <c r="J109" s="9">
        <v>24.999763238835129</v>
      </c>
      <c r="K109" s="9">
        <v>0.86419312794616276</v>
      </c>
      <c r="L109" s="9">
        <v>7.417709838485365</v>
      </c>
      <c r="M109" s="9">
        <v>10.904322424656209</v>
      </c>
      <c r="N109" s="9">
        <v>27.000893397292124</v>
      </c>
      <c r="O109" s="9">
        <v>47.943019906382801</v>
      </c>
      <c r="P109" s="9">
        <v>4.0889068605509467</v>
      </c>
      <c r="Q109" s="9">
        <v>6.0628639834062676</v>
      </c>
      <c r="R109" s="9">
        <v>7.7764074606519928</v>
      </c>
      <c r="S109" s="9">
        <v>60.540072016518117</v>
      </c>
      <c r="T109" s="9">
        <v>18.503492659180203</v>
      </c>
      <c r="U109" s="9">
        <v>74.508044096958031</v>
      </c>
      <c r="V109" s="9">
        <v>15.453722732326714</v>
      </c>
      <c r="W109" s="9">
        <v>20.707064622154853</v>
      </c>
      <c r="X109" s="9">
        <v>57.157553860065974</v>
      </c>
      <c r="Y109" s="9">
        <v>26.296340736201252</v>
      </c>
      <c r="Z109" s="9">
        <v>3.5444265112916096</v>
      </c>
      <c r="AA109" s="9">
        <v>0</v>
      </c>
      <c r="AB109" s="9">
        <v>62.541403742583896</v>
      </c>
      <c r="AC109" s="9">
        <v>13.572323871236321</v>
      </c>
      <c r="AD109" s="9">
        <v>62.270593132179684</v>
      </c>
      <c r="AE109" s="9">
        <v>96.436336487476012</v>
      </c>
      <c r="AF109" s="9">
        <v>14.809805479269038</v>
      </c>
      <c r="AG109" s="9">
        <v>93.052828533262783</v>
      </c>
      <c r="AH109" s="9">
        <v>129.92201601257466</v>
      </c>
      <c r="AI109" s="9">
        <v>43.911473299419413</v>
      </c>
      <c r="AJ109" s="9">
        <v>312.8192792335168</v>
      </c>
      <c r="AK109" s="9">
        <v>131.36050202047625</v>
      </c>
      <c r="AL109" s="9">
        <v>112.31848948322543</v>
      </c>
      <c r="AM109" s="9">
        <v>8.2380029738963998</v>
      </c>
      <c r="AN109" s="9">
        <v>6.8808833565570939</v>
      </c>
      <c r="AO109" s="9">
        <v>24.996496679040746</v>
      </c>
      <c r="AP109" s="9">
        <v>43.750381224191393</v>
      </c>
      <c r="AQ109" s="9">
        <v>43.295963439514999</v>
      </c>
      <c r="AR109" s="9">
        <v>62.825960702153168</v>
      </c>
      <c r="AS109" s="9">
        <v>222.52650834036254</v>
      </c>
      <c r="AT109" s="9">
        <v>43.287473655304055</v>
      </c>
      <c r="AU109" s="9">
        <v>29.315984054356161</v>
      </c>
      <c r="AV109" s="9">
        <v>8.8112853338093586</v>
      </c>
      <c r="AW109" s="9">
        <v>6.0746173186671024</v>
      </c>
      <c r="AX109" s="9">
        <v>43.334806690808101</v>
      </c>
      <c r="AY109" s="9">
        <v>54.720071830347749</v>
      </c>
      <c r="AZ109" s="9">
        <v>8.6254251383129005E-2</v>
      </c>
      <c r="BA109" s="9">
        <v>19.800302565535056</v>
      </c>
      <c r="BB109" s="9">
        <v>75.418627139674655</v>
      </c>
      <c r="BC109" s="9">
        <v>315.6475736831066</v>
      </c>
      <c r="BD109" s="9">
        <v>31.254023783576862</v>
      </c>
      <c r="BE109" s="9">
        <v>69.686541569427646</v>
      </c>
      <c r="BF109" s="9">
        <v>62.87671696880944</v>
      </c>
      <c r="BG109" s="9">
        <v>0</v>
      </c>
      <c r="BH109" s="9">
        <v>0</v>
      </c>
      <c r="BI109" s="9">
        <v>1256.5234728362941</v>
      </c>
      <c r="BJ109" s="9">
        <v>0</v>
      </c>
      <c r="BK109" s="9">
        <v>0.16481776999894071</v>
      </c>
      <c r="BL109" s="9">
        <v>256.05153538436201</v>
      </c>
      <c r="BM109" s="9">
        <v>6.6714029781450093E-2</v>
      </c>
      <c r="BN109" s="9">
        <v>0</v>
      </c>
      <c r="BO109" s="9">
        <v>0</v>
      </c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</row>
    <row r="110" spans="1:87" x14ac:dyDescent="0.3">
      <c r="A110">
        <v>2014</v>
      </c>
      <c r="B110" s="10" t="s">
        <v>195</v>
      </c>
      <c r="C110" s="12" t="s">
        <v>253</v>
      </c>
      <c r="D110" s="10" t="s">
        <v>293</v>
      </c>
      <c r="E110" s="9">
        <v>1.8844980441951167</v>
      </c>
      <c r="F110" s="9">
        <v>1.0813847765508013</v>
      </c>
      <c r="G110" s="9">
        <v>13.276943655316765</v>
      </c>
      <c r="H110" s="9">
        <v>0.49275926389523322</v>
      </c>
      <c r="I110" s="9">
        <v>22.561013511599853</v>
      </c>
      <c r="J110" s="9">
        <v>10.892402275003178</v>
      </c>
      <c r="K110" s="9">
        <v>3.9062186367243048</v>
      </c>
      <c r="L110" s="9">
        <v>2.970831277540531</v>
      </c>
      <c r="M110" s="9">
        <v>2.4475854591315844</v>
      </c>
      <c r="N110" s="9">
        <v>165.19654907721289</v>
      </c>
      <c r="O110" s="9">
        <v>19.688685828234284</v>
      </c>
      <c r="P110" s="9">
        <v>6.6120957450369282</v>
      </c>
      <c r="Q110" s="9">
        <v>2.2771780447591952</v>
      </c>
      <c r="R110" s="9">
        <v>3.8629263730801102</v>
      </c>
      <c r="S110" s="9">
        <v>50.22601803910112</v>
      </c>
      <c r="T110" s="9">
        <v>9.3179464066487316</v>
      </c>
      <c r="U110" s="9">
        <v>51.964580818594257</v>
      </c>
      <c r="V110" s="9">
        <v>8.0020686183668843</v>
      </c>
      <c r="W110" s="9">
        <v>13.523414608526371</v>
      </c>
      <c r="X110" s="9">
        <v>29.271183725059242</v>
      </c>
      <c r="Y110" s="9">
        <v>9.0259508836386431</v>
      </c>
      <c r="Z110" s="9">
        <v>2.7170679334888415</v>
      </c>
      <c r="AA110" s="9">
        <v>0</v>
      </c>
      <c r="AB110" s="9">
        <v>69.836866026912119</v>
      </c>
      <c r="AC110" s="9">
        <v>5.4938898320795779</v>
      </c>
      <c r="AD110" s="9">
        <v>10.069946798210944</v>
      </c>
      <c r="AE110" s="9">
        <v>68.140745078299886</v>
      </c>
      <c r="AF110" s="9">
        <v>4.6690411964090686</v>
      </c>
      <c r="AG110" s="9">
        <v>29.334498043334978</v>
      </c>
      <c r="AH110" s="9">
        <v>40.974253006190622</v>
      </c>
      <c r="AI110" s="9">
        <v>14.331044759692716</v>
      </c>
      <c r="AJ110" s="9">
        <v>4.2849928396323422</v>
      </c>
      <c r="AK110" s="9">
        <v>102.20635265686109</v>
      </c>
      <c r="AL110" s="9">
        <v>16.677143693044769</v>
      </c>
      <c r="AM110" s="9">
        <v>3.5147253432548045</v>
      </c>
      <c r="AN110" s="9">
        <v>9.0788349041671097</v>
      </c>
      <c r="AO110" s="9">
        <v>10.565472711055056</v>
      </c>
      <c r="AP110" s="9">
        <v>15.598462276561644</v>
      </c>
      <c r="AQ110" s="9">
        <v>40.196451652092833</v>
      </c>
      <c r="AR110" s="9">
        <v>14.313562995579952</v>
      </c>
      <c r="AS110" s="9">
        <v>67.256233870407442</v>
      </c>
      <c r="AT110" s="9">
        <v>21.027742415294504</v>
      </c>
      <c r="AU110" s="9">
        <v>12.734624499702104</v>
      </c>
      <c r="AV110" s="9">
        <v>14.495473205801762</v>
      </c>
      <c r="AW110" s="9">
        <v>4.188389580383558</v>
      </c>
      <c r="AX110" s="9">
        <v>10.109692044325627</v>
      </c>
      <c r="AY110" s="9">
        <v>6.3770454383197839</v>
      </c>
      <c r="AZ110" s="9">
        <v>8.0992529471408878E-2</v>
      </c>
      <c r="BA110" s="9">
        <v>4.3347887728297589</v>
      </c>
      <c r="BB110" s="9">
        <v>14.575759163095334</v>
      </c>
      <c r="BC110" s="9">
        <v>17.445042445104512</v>
      </c>
      <c r="BD110" s="9">
        <v>13.118321926129349</v>
      </c>
      <c r="BE110" s="9">
        <v>13.754413070035316</v>
      </c>
      <c r="BF110" s="9">
        <v>14.493234788200162</v>
      </c>
      <c r="BG110" s="9">
        <v>0</v>
      </c>
      <c r="BH110" s="9">
        <v>0</v>
      </c>
      <c r="BI110" s="9">
        <v>94.708406791533079</v>
      </c>
      <c r="BJ110" s="9">
        <v>0</v>
      </c>
      <c r="BK110" s="9">
        <v>168.19707919207343</v>
      </c>
      <c r="BL110" s="9">
        <v>306.11274583139817</v>
      </c>
      <c r="BM110" s="9">
        <v>6.1172883739958862E-2</v>
      </c>
      <c r="BN110" s="9">
        <v>0</v>
      </c>
      <c r="BO110" s="9">
        <v>0</v>
      </c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</row>
    <row r="111" spans="1:87" x14ac:dyDescent="0.3">
      <c r="A111">
        <v>2014</v>
      </c>
      <c r="B111" s="10" t="s">
        <v>196</v>
      </c>
      <c r="C111" s="12" t="s">
        <v>254</v>
      </c>
      <c r="D111" s="10" t="s">
        <v>293</v>
      </c>
      <c r="E111" s="9">
        <v>0.4296867235710049</v>
      </c>
      <c r="F111" s="9">
        <v>5.669968383586569E-2</v>
      </c>
      <c r="G111" s="9">
        <v>8.1401535313785606E-2</v>
      </c>
      <c r="H111" s="9">
        <v>8.281088333198644E-2</v>
      </c>
      <c r="I111" s="9">
        <v>4.9717854899005314</v>
      </c>
      <c r="J111" s="9">
        <v>4.0891178236773866</v>
      </c>
      <c r="K111" s="9">
        <v>0.17673832490197142</v>
      </c>
      <c r="L111" s="9">
        <v>0.97647256185720699</v>
      </c>
      <c r="M111" s="9">
        <v>0.79489563592028112</v>
      </c>
      <c r="N111" s="9">
        <v>8.5234630788058041</v>
      </c>
      <c r="O111" s="9">
        <v>11.693683014411775</v>
      </c>
      <c r="P111" s="9">
        <v>3.287856817107965</v>
      </c>
      <c r="Q111" s="9">
        <v>1.0219706045163495</v>
      </c>
      <c r="R111" s="9">
        <v>0.8791651283181825</v>
      </c>
      <c r="S111" s="9">
        <v>8.3236438216729773</v>
      </c>
      <c r="T111" s="9">
        <v>4.2840523607490635</v>
      </c>
      <c r="U111" s="9">
        <v>37.670760184792698</v>
      </c>
      <c r="V111" s="9">
        <v>4.4207658341165272</v>
      </c>
      <c r="W111" s="9">
        <v>11.001928692482057</v>
      </c>
      <c r="X111" s="9">
        <v>16.670369812212545</v>
      </c>
      <c r="Y111" s="9">
        <v>7.1071945822321858</v>
      </c>
      <c r="Z111" s="9">
        <v>0.86994314851221088</v>
      </c>
      <c r="AA111" s="9">
        <v>0</v>
      </c>
      <c r="AB111" s="9">
        <v>4.5326216708810438</v>
      </c>
      <c r="AC111" s="9">
        <v>1.8034492176231738</v>
      </c>
      <c r="AD111" s="9">
        <v>3.8019679365531838</v>
      </c>
      <c r="AE111" s="9">
        <v>25.961572619850099</v>
      </c>
      <c r="AF111" s="9">
        <v>2.5111732266840612</v>
      </c>
      <c r="AG111" s="9">
        <v>15.777947919835038</v>
      </c>
      <c r="AH111" s="9">
        <v>22.031820617924712</v>
      </c>
      <c r="AI111" s="9">
        <v>2.0808107090237131</v>
      </c>
      <c r="AJ111" s="9">
        <v>0.46431828277088644</v>
      </c>
      <c r="AK111" s="9">
        <v>0.48249321232244846</v>
      </c>
      <c r="AL111" s="9">
        <v>6.7703029177838134</v>
      </c>
      <c r="AM111" s="9">
        <v>0.35627027224020347</v>
      </c>
      <c r="AN111" s="9">
        <v>2.2786150823369535</v>
      </c>
      <c r="AO111" s="9">
        <v>3.1713558289584167</v>
      </c>
      <c r="AP111" s="9">
        <v>4.6406928830277705</v>
      </c>
      <c r="AQ111" s="9">
        <v>3.4453231479324091</v>
      </c>
      <c r="AR111" s="9">
        <v>6.8808867936125298</v>
      </c>
      <c r="AS111" s="9">
        <v>26.183354044238403</v>
      </c>
      <c r="AT111" s="9">
        <v>6.8579910307524843</v>
      </c>
      <c r="AU111" s="9">
        <v>3.4762811370432276</v>
      </c>
      <c r="AV111" s="9">
        <v>0.90639573177377386</v>
      </c>
      <c r="AW111" s="9">
        <v>3.0402325135740869</v>
      </c>
      <c r="AX111" s="9">
        <v>4.048767214236312</v>
      </c>
      <c r="AY111" s="9">
        <v>3.7185039542056804</v>
      </c>
      <c r="AZ111" s="9">
        <v>2.4639172348127722E-2</v>
      </c>
      <c r="BA111" s="9">
        <v>1.8916990557992897</v>
      </c>
      <c r="BB111" s="9">
        <v>3.1341590101524353</v>
      </c>
      <c r="BC111" s="9">
        <v>19.025347664595387</v>
      </c>
      <c r="BD111" s="9">
        <v>6.2605314076584211</v>
      </c>
      <c r="BE111" s="9">
        <v>1.4779476915760132</v>
      </c>
      <c r="BF111" s="9">
        <v>5.5026442362203642</v>
      </c>
      <c r="BG111" s="9">
        <v>0</v>
      </c>
      <c r="BH111" s="9">
        <v>0</v>
      </c>
      <c r="BI111" s="9">
        <v>55.727133350341873</v>
      </c>
      <c r="BJ111" s="9">
        <v>0</v>
      </c>
      <c r="BK111" s="9">
        <v>25.783440958509512</v>
      </c>
      <c r="BL111" s="9">
        <v>480.53288075112351</v>
      </c>
      <c r="BM111" s="9">
        <v>5.5745668830788207E-2</v>
      </c>
      <c r="BN111" s="9">
        <v>0</v>
      </c>
      <c r="BO111" s="9">
        <v>0</v>
      </c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</row>
    <row r="112" spans="1:87" x14ac:dyDescent="0.3">
      <c r="A112">
        <v>2014</v>
      </c>
      <c r="B112" s="10" t="s">
        <v>285</v>
      </c>
      <c r="C112" s="12" t="s">
        <v>288</v>
      </c>
      <c r="D112" s="10" t="s">
        <v>293</v>
      </c>
      <c r="E112" s="9">
        <v>0.78318153819219583</v>
      </c>
      <c r="F112" s="9">
        <v>6.2174741616714907E-2</v>
      </c>
      <c r="G112" s="9">
        <v>0.13064107470958652</v>
      </c>
      <c r="H112" s="9">
        <v>0.12583277643869412</v>
      </c>
      <c r="I112" s="9">
        <v>3.8230139547427191</v>
      </c>
      <c r="J112" s="9">
        <v>5.3910005178155744</v>
      </c>
      <c r="K112" s="9">
        <v>0.24533555142406657</v>
      </c>
      <c r="L112" s="9">
        <v>0.62227191361965506</v>
      </c>
      <c r="M112" s="9">
        <v>0.29148345299463796</v>
      </c>
      <c r="N112" s="9">
        <v>1.527243589896542</v>
      </c>
      <c r="O112" s="9">
        <v>4.4879707235383623</v>
      </c>
      <c r="P112" s="9">
        <v>2.1601105210793996</v>
      </c>
      <c r="Q112" s="9">
        <v>0.69973794801520395</v>
      </c>
      <c r="R112" s="9">
        <v>0.52964460187473139</v>
      </c>
      <c r="S112" s="9">
        <v>4.0115052173955217</v>
      </c>
      <c r="T112" s="9">
        <v>3.2818488573436504</v>
      </c>
      <c r="U112" s="9">
        <v>44.402735343303448</v>
      </c>
      <c r="V112" s="9">
        <v>4.7944472854369842</v>
      </c>
      <c r="W112" s="9">
        <v>6.8192321856896694</v>
      </c>
      <c r="X112" s="9">
        <v>9.1038823796570298</v>
      </c>
      <c r="Y112" s="9">
        <v>6.7551000845500129</v>
      </c>
      <c r="Z112" s="9">
        <v>1.7209781542167604</v>
      </c>
      <c r="AA112" s="9">
        <v>0</v>
      </c>
      <c r="AB112" s="9">
        <v>2.3592856005501508</v>
      </c>
      <c r="AC112" s="9">
        <v>1.154072213633377</v>
      </c>
      <c r="AD112" s="9">
        <v>2.3430227726241695</v>
      </c>
      <c r="AE112" s="9">
        <v>13.260572993405608</v>
      </c>
      <c r="AF112" s="9">
        <v>0.85230296144394502</v>
      </c>
      <c r="AG112" s="9">
        <v>5.3563069883626424</v>
      </c>
      <c r="AH112" s="9">
        <v>7.69976838284013</v>
      </c>
      <c r="AI112" s="9">
        <v>2.4372022005696126</v>
      </c>
      <c r="AJ112" s="9">
        <v>1.2934547964951557</v>
      </c>
      <c r="AK112" s="9">
        <v>0.76178031888404241</v>
      </c>
      <c r="AL112" s="9">
        <v>3.5909518425175122</v>
      </c>
      <c r="AM112" s="9">
        <v>0.34364859126129721</v>
      </c>
      <c r="AN112" s="9">
        <v>1.4995350047011753</v>
      </c>
      <c r="AO112" s="9">
        <v>1.2469720929947066</v>
      </c>
      <c r="AP112" s="9">
        <v>2.0316154261071255</v>
      </c>
      <c r="AQ112" s="9">
        <v>2.0939625654841358</v>
      </c>
      <c r="AR112" s="9">
        <v>4.4962693329229957</v>
      </c>
      <c r="AS112" s="9">
        <v>9.527311430022035</v>
      </c>
      <c r="AT112" s="9">
        <v>2.3108112111085712</v>
      </c>
      <c r="AU112" s="9">
        <v>1.4836191678754289</v>
      </c>
      <c r="AV112" s="9">
        <v>0.50177345804717177</v>
      </c>
      <c r="AW112" s="9">
        <v>0.65226855251767402</v>
      </c>
      <c r="AX112" s="9">
        <v>2.1187190970646768</v>
      </c>
      <c r="AY112" s="9">
        <v>1.7582583084411278</v>
      </c>
      <c r="AZ112" s="9">
        <v>1.4387488882023888E-2</v>
      </c>
      <c r="BA112" s="9">
        <v>1.0829041878923413</v>
      </c>
      <c r="BB112" s="9">
        <v>2.6485859933381235</v>
      </c>
      <c r="BC112" s="9">
        <v>6.168278790264436</v>
      </c>
      <c r="BD112" s="9">
        <v>3.9946624040851986</v>
      </c>
      <c r="BE112" s="9">
        <v>4.3659873094207171</v>
      </c>
      <c r="BF112" s="9">
        <v>2.7322424513932093</v>
      </c>
      <c r="BG112" s="9">
        <v>0</v>
      </c>
      <c r="BH112" s="9">
        <v>0</v>
      </c>
      <c r="BI112" s="9">
        <v>41.079561909877405</v>
      </c>
      <c r="BJ112" s="9">
        <v>0</v>
      </c>
      <c r="BK112" s="9">
        <v>8.9525190132303099</v>
      </c>
      <c r="BL112" s="9">
        <v>122.43638184745237</v>
      </c>
      <c r="BM112" s="9">
        <v>0.55545205375097229</v>
      </c>
      <c r="BN112" s="9">
        <v>0</v>
      </c>
      <c r="BO112" s="9">
        <v>0</v>
      </c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</row>
    <row r="113" spans="1:87" x14ac:dyDescent="0.3">
      <c r="A113">
        <v>2014</v>
      </c>
      <c r="B113" s="10" t="s">
        <v>286</v>
      </c>
      <c r="C113" s="12" t="s">
        <v>289</v>
      </c>
      <c r="D113" s="10" t="s">
        <v>293</v>
      </c>
      <c r="E113" s="9">
        <v>1.3867410449060604</v>
      </c>
      <c r="F113" s="9">
        <v>7.3400733838791532E-2</v>
      </c>
      <c r="G113" s="9">
        <v>0.31837762311696827</v>
      </c>
      <c r="H113" s="9">
        <v>0.20824169340677476</v>
      </c>
      <c r="I113" s="9">
        <v>5.3346943146870238</v>
      </c>
      <c r="J113" s="9">
        <v>4.3270125388073843</v>
      </c>
      <c r="K113" s="9">
        <v>0.22395220505102176</v>
      </c>
      <c r="L113" s="9">
        <v>0.7459083961503149</v>
      </c>
      <c r="M113" s="9">
        <v>0.55339470864967677</v>
      </c>
      <c r="N113" s="9">
        <v>3.4753220602661723</v>
      </c>
      <c r="O113" s="9">
        <v>7.1898532861746336</v>
      </c>
      <c r="P113" s="9">
        <v>1.1415529660158628</v>
      </c>
      <c r="Q113" s="9">
        <v>0.62518019848512707</v>
      </c>
      <c r="R113" s="9">
        <v>1.1641327180155661</v>
      </c>
      <c r="S113" s="9">
        <v>6.5353399888971859</v>
      </c>
      <c r="T113" s="9">
        <v>3.4289966005736474</v>
      </c>
      <c r="U113" s="9">
        <v>14.592601507091725</v>
      </c>
      <c r="V113" s="9">
        <v>2.4094738035205863</v>
      </c>
      <c r="W113" s="9">
        <v>4.6113061570430904</v>
      </c>
      <c r="X113" s="9">
        <v>8.8598101502801185</v>
      </c>
      <c r="Y113" s="9">
        <v>3.2269285514539989</v>
      </c>
      <c r="Z113" s="9">
        <v>0.84203867751802897</v>
      </c>
      <c r="AA113" s="9">
        <v>0</v>
      </c>
      <c r="AB113" s="9">
        <v>3.8005274912325859</v>
      </c>
      <c r="AC113" s="9">
        <v>2.0119756211109321</v>
      </c>
      <c r="AD113" s="9">
        <v>5.075640643216115</v>
      </c>
      <c r="AE113" s="9">
        <v>15.27731534749522</v>
      </c>
      <c r="AF113" s="9">
        <v>1.8679989157722594</v>
      </c>
      <c r="AG113" s="9">
        <v>11.736466011635066</v>
      </c>
      <c r="AH113" s="9">
        <v>16.443123269031474</v>
      </c>
      <c r="AI113" s="9">
        <v>17.445664166739665</v>
      </c>
      <c r="AJ113" s="9">
        <v>1.6403126449768572</v>
      </c>
      <c r="AK113" s="9">
        <v>0.82837371726489972</v>
      </c>
      <c r="AL113" s="9">
        <v>9.0891644401973544</v>
      </c>
      <c r="AM113" s="9">
        <v>0.86121853314362906</v>
      </c>
      <c r="AN113" s="9">
        <v>2.5002847916200599</v>
      </c>
      <c r="AO113" s="9">
        <v>2.6741469440280055</v>
      </c>
      <c r="AP113" s="9">
        <v>3.9568064109215024</v>
      </c>
      <c r="AQ113" s="9">
        <v>2.910017887605203</v>
      </c>
      <c r="AR113" s="9">
        <v>5.5490273623769557</v>
      </c>
      <c r="AS113" s="9">
        <v>23.40146823277713</v>
      </c>
      <c r="AT113" s="9">
        <v>8.5858661885093159</v>
      </c>
      <c r="AU113" s="9">
        <v>3.5884961660200645</v>
      </c>
      <c r="AV113" s="9">
        <v>1.0719677251786719</v>
      </c>
      <c r="AW113" s="9">
        <v>2.204789029247809</v>
      </c>
      <c r="AX113" s="9">
        <v>4.6973275093638005</v>
      </c>
      <c r="AY113" s="9">
        <v>4.3171666068064276</v>
      </c>
      <c r="AZ113" s="9">
        <v>3.4359355427156138E-2</v>
      </c>
      <c r="BA113" s="9">
        <v>2.5504620820278481</v>
      </c>
      <c r="BB113" s="9">
        <v>8.1906311836754888</v>
      </c>
      <c r="BC113" s="9">
        <v>25.079105756714696</v>
      </c>
      <c r="BD113" s="9">
        <v>14.332307360214815</v>
      </c>
      <c r="BE113" s="9">
        <v>12.127239168826549</v>
      </c>
      <c r="BF113" s="9">
        <v>7.2200402293473918</v>
      </c>
      <c r="BG113" s="9">
        <v>0</v>
      </c>
      <c r="BH113" s="9">
        <v>0</v>
      </c>
      <c r="BI113" s="9">
        <v>323.55931897812712</v>
      </c>
      <c r="BJ113" s="9">
        <v>0</v>
      </c>
      <c r="BK113" s="9">
        <v>115.55685311819164</v>
      </c>
      <c r="BL113" s="9">
        <v>36.659154848681084</v>
      </c>
      <c r="BM113" s="9">
        <v>5.6232818290991388E-2</v>
      </c>
      <c r="BN113" s="9">
        <v>0</v>
      </c>
      <c r="BO113" s="9">
        <v>0</v>
      </c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</row>
    <row r="114" spans="1:87" x14ac:dyDescent="0.3">
      <c r="A114">
        <v>2014</v>
      </c>
      <c r="B114" s="10" t="s">
        <v>197</v>
      </c>
      <c r="C114" s="12" t="s">
        <v>255</v>
      </c>
      <c r="D114" s="10" t="s">
        <v>293</v>
      </c>
      <c r="E114" s="9">
        <v>9.5298649327906003E-4</v>
      </c>
      <c r="F114" s="9">
        <v>7.6942719098873448E-5</v>
      </c>
      <c r="G114" s="9">
        <v>2.0352833334628321E-4</v>
      </c>
      <c r="H114" s="9">
        <v>2.5064456324024352E-4</v>
      </c>
      <c r="I114" s="9">
        <v>7.8922228440569155E-3</v>
      </c>
      <c r="J114" s="9">
        <v>5.3320183974626487E-3</v>
      </c>
      <c r="K114" s="9">
        <v>2.2393875575156931E-4</v>
      </c>
      <c r="L114" s="9">
        <v>1.2050805826544578E-3</v>
      </c>
      <c r="M114" s="9">
        <v>1.0085138222474448E-3</v>
      </c>
      <c r="N114" s="9">
        <v>4.9534612802357332E-3</v>
      </c>
      <c r="O114" s="9">
        <v>1.1272892215369475E-2</v>
      </c>
      <c r="P114" s="9">
        <v>3.1163099275125583E-3</v>
      </c>
      <c r="Q114" s="9">
        <v>1.1015956713753582E-3</v>
      </c>
      <c r="R114" s="9">
        <v>1.0908915508215946E-3</v>
      </c>
      <c r="S114" s="9">
        <v>7.6664165847359677E-3</v>
      </c>
      <c r="T114" s="9">
        <v>4.4712415844723238E-3</v>
      </c>
      <c r="U114" s="9">
        <v>2.8173741514053979E-2</v>
      </c>
      <c r="V114" s="9">
        <v>4.5844951297549542E-3</v>
      </c>
      <c r="W114" s="9">
        <v>6.7068575341076306E-3</v>
      </c>
      <c r="X114" s="9">
        <v>1.575704774977673E-2</v>
      </c>
      <c r="Y114" s="9">
        <v>4.4800833344916281E-3</v>
      </c>
      <c r="Z114" s="9">
        <v>1.4802724479019978E-3</v>
      </c>
      <c r="AA114" s="9">
        <v>0</v>
      </c>
      <c r="AB114" s="9">
        <v>5.2137158133029587E-3</v>
      </c>
      <c r="AC114" s="9">
        <v>1.6978684542605579E-3</v>
      </c>
      <c r="AD114" s="9">
        <v>4.5074111200553851E-3</v>
      </c>
      <c r="AE114" s="9">
        <v>2.8352886298838316E-2</v>
      </c>
      <c r="AF114" s="9">
        <v>2.0479097235905231E-3</v>
      </c>
      <c r="AG114" s="9">
        <v>1.2922028463055672E-2</v>
      </c>
      <c r="AH114" s="9">
        <v>1.8619575574280109E-2</v>
      </c>
      <c r="AI114" s="9">
        <v>5.206239633433184E-3</v>
      </c>
      <c r="AJ114" s="9">
        <v>4.0601356333412712E-3</v>
      </c>
      <c r="AK114" s="9">
        <v>1.898616353026216E-3</v>
      </c>
      <c r="AL114" s="9">
        <v>9.8923884698888347E-3</v>
      </c>
      <c r="AM114" s="9">
        <v>6.1905047824683114E-4</v>
      </c>
      <c r="AN114" s="9">
        <v>3.1793978027026635E-3</v>
      </c>
      <c r="AO114" s="9">
        <v>5.1576192507994771E-3</v>
      </c>
      <c r="AP114" s="9">
        <v>6.1761395562305883E-3</v>
      </c>
      <c r="AQ114" s="9">
        <v>5.8773231553244307E-3</v>
      </c>
      <c r="AR114" s="9">
        <v>1.0584589954885657E-2</v>
      </c>
      <c r="AS114" s="9">
        <v>3.125518836454981E-2</v>
      </c>
      <c r="AT114" s="9">
        <v>9.1532436725452228E-3</v>
      </c>
      <c r="AU114" s="9">
        <v>5.3291370616461459E-3</v>
      </c>
      <c r="AV114" s="9">
        <v>1.3574579524386868E-3</v>
      </c>
      <c r="AW114" s="9">
        <v>1.2867055163718645E-3</v>
      </c>
      <c r="AX114" s="9">
        <v>5.2395818415319232E-3</v>
      </c>
      <c r="AY114" s="9">
        <v>5.3234983717724586E-3</v>
      </c>
      <c r="AZ114" s="9">
        <v>6.5414003657775913E-5</v>
      </c>
      <c r="BA114" s="9">
        <v>2.6588017060465005E-3</v>
      </c>
      <c r="BB114" s="9">
        <v>6.4976567000763173E-3</v>
      </c>
      <c r="BC114" s="9">
        <v>1.7719720470045695E-2</v>
      </c>
      <c r="BD114" s="9">
        <v>1.0585196728894929E-2</v>
      </c>
      <c r="BE114" s="9">
        <v>5.4238371898067588E-3</v>
      </c>
      <c r="BF114" s="9">
        <v>7.1409336102231744E-3</v>
      </c>
      <c r="BG114" s="9">
        <v>0</v>
      </c>
      <c r="BH114" s="9">
        <v>0</v>
      </c>
      <c r="BI114" s="9">
        <v>0.11645404794485778</v>
      </c>
      <c r="BJ114" s="9">
        <v>0</v>
      </c>
      <c r="BK114" s="9">
        <v>7.2953410606523082E-3</v>
      </c>
      <c r="BL114" s="9">
        <v>9.577328800299037E-2</v>
      </c>
      <c r="BM114" s="9">
        <v>1.4713326939989153E-5</v>
      </c>
      <c r="BN114" s="9">
        <v>0</v>
      </c>
      <c r="BO114" s="9">
        <v>0</v>
      </c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</row>
    <row r="115" spans="1:87" x14ac:dyDescent="0.3">
      <c r="A115">
        <v>2014</v>
      </c>
      <c r="B115" s="10" t="s">
        <v>198</v>
      </c>
      <c r="C115" s="12" t="s">
        <v>290</v>
      </c>
      <c r="D115" s="10" t="s">
        <v>293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</row>
    <row r="116" spans="1:87" x14ac:dyDescent="0.3">
      <c r="A116">
        <v>2014</v>
      </c>
      <c r="B116" s="30" t="s">
        <v>294</v>
      </c>
      <c r="C116" s="30" t="s">
        <v>256</v>
      </c>
      <c r="D116" s="10" t="s">
        <v>295</v>
      </c>
      <c r="E116" s="9">
        <v>21340.996526321709</v>
      </c>
      <c r="F116" s="9">
        <v>1516.7418442347735</v>
      </c>
      <c r="G116" s="9">
        <v>2318.567334933955</v>
      </c>
      <c r="H116" s="9">
        <v>1812.3487253244675</v>
      </c>
      <c r="I116" s="9">
        <v>84890.036528754019</v>
      </c>
      <c r="J116" s="9">
        <v>59255.986670860577</v>
      </c>
      <c r="K116" s="9">
        <v>4213.9504405518765</v>
      </c>
      <c r="L116" s="9">
        <v>14645.404491028074</v>
      </c>
      <c r="M116" s="9">
        <v>7354.4777287341167</v>
      </c>
      <c r="N116" s="9">
        <v>113446.07105428303</v>
      </c>
      <c r="O116" s="67">
        <v>154009.11548574941</v>
      </c>
      <c r="P116" s="67">
        <v>29552.534262706595</v>
      </c>
      <c r="Q116" s="9">
        <v>15652.967451685425</v>
      </c>
      <c r="R116" s="9">
        <v>11140.536491259178</v>
      </c>
      <c r="S116" s="9">
        <v>114901.47619038129</v>
      </c>
      <c r="T116" s="9">
        <v>63537.636404059864</v>
      </c>
      <c r="U116" s="9">
        <v>219312.58815831691</v>
      </c>
      <c r="V116" s="9">
        <v>57621.726008046244</v>
      </c>
      <c r="W116" s="9">
        <v>79713.296388117626</v>
      </c>
      <c r="X116" s="9">
        <v>110283.85747373462</v>
      </c>
      <c r="Y116" s="9">
        <v>79032.447807243327</v>
      </c>
      <c r="Z116" s="9">
        <v>15169.313652701783</v>
      </c>
      <c r="AA116" s="9">
        <v>0</v>
      </c>
      <c r="AB116" s="9">
        <v>71365.095111341827</v>
      </c>
      <c r="AC116" s="9">
        <v>13265.118414090317</v>
      </c>
      <c r="AD116" s="9">
        <v>14029.58255837843</v>
      </c>
      <c r="AE116" s="9">
        <v>121774.47065537127</v>
      </c>
      <c r="AF116" s="9">
        <v>5047.8965904386314</v>
      </c>
      <c r="AG116" s="9">
        <v>31671.766181177347</v>
      </c>
      <c r="AH116" s="9">
        <v>44220.782359616169</v>
      </c>
      <c r="AI116" s="9">
        <v>36157.79718274084</v>
      </c>
      <c r="AJ116" s="9">
        <v>7999.2261167172237</v>
      </c>
      <c r="AK116" s="9">
        <v>8793.8626432810252</v>
      </c>
      <c r="AL116" s="9">
        <v>23899.60771772093</v>
      </c>
      <c r="AM116" s="9">
        <v>3156.3737255505021</v>
      </c>
      <c r="AN116" s="9">
        <v>34210.073357226618</v>
      </c>
      <c r="AO116" s="9">
        <v>13008.363918921665</v>
      </c>
      <c r="AP116" s="9">
        <v>29085.506538541835</v>
      </c>
      <c r="AQ116" s="9">
        <v>8396.0354472001036</v>
      </c>
      <c r="AR116" s="9">
        <v>11925.66311673388</v>
      </c>
      <c r="AS116" s="9">
        <v>43222.861171534554</v>
      </c>
      <c r="AT116" s="9">
        <v>11247.732560118255</v>
      </c>
      <c r="AU116" s="9">
        <v>7564.4328837316107</v>
      </c>
      <c r="AV116" s="9">
        <v>26328.154536051181</v>
      </c>
      <c r="AW116" s="9">
        <v>7285.9422139632998</v>
      </c>
      <c r="AX116" s="9">
        <v>11613.390950163081</v>
      </c>
      <c r="AY116" s="9">
        <v>16289.718823667945</v>
      </c>
      <c r="AZ116" s="9">
        <v>940.23124717516521</v>
      </c>
      <c r="BA116" s="9">
        <v>7659.2221729376406</v>
      </c>
      <c r="BB116" s="9">
        <v>18541.94155573695</v>
      </c>
      <c r="BC116" s="9">
        <v>36842.179351685627</v>
      </c>
      <c r="BD116" s="9">
        <v>27290.549692539607</v>
      </c>
      <c r="BE116" s="9">
        <v>48853.032389871929</v>
      </c>
      <c r="BF116" s="9">
        <v>34848.716852797217</v>
      </c>
      <c r="BG116" s="9">
        <v>0</v>
      </c>
      <c r="BH116" s="9">
        <v>0</v>
      </c>
      <c r="BI116" s="9">
        <v>642202.76995250129</v>
      </c>
      <c r="BJ116" s="9">
        <v>0</v>
      </c>
      <c r="BK116" s="9">
        <v>211446.59155294774</v>
      </c>
      <c r="BL116" s="9">
        <v>377036.77166713687</v>
      </c>
      <c r="BM116" s="9">
        <v>663.886212538976</v>
      </c>
      <c r="BN116" s="9">
        <v>0</v>
      </c>
      <c r="BO116" s="9">
        <v>0</v>
      </c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</row>
    <row r="117" spans="1:87" x14ac:dyDescent="0.3">
      <c r="A117">
        <v>2014</v>
      </c>
      <c r="B117" s="27" t="s">
        <v>265</v>
      </c>
      <c r="C117" s="27" t="s">
        <v>296</v>
      </c>
      <c r="D117" s="10" t="s">
        <v>295</v>
      </c>
      <c r="E117" s="9">
        <v>297.12292488059614</v>
      </c>
      <c r="F117" s="9">
        <v>27.501972220480479</v>
      </c>
      <c r="G117" s="9">
        <v>69.869329162885251</v>
      </c>
      <c r="H117" s="9">
        <v>81.506589459045415</v>
      </c>
      <c r="I117" s="9">
        <v>1242.0892759430283</v>
      </c>
      <c r="J117" s="9">
        <v>580.71793150472297</v>
      </c>
      <c r="K117" s="9">
        <v>26.916998898356059</v>
      </c>
      <c r="L117" s="9">
        <v>57.868687016898647</v>
      </c>
      <c r="M117" s="9">
        <v>34.801017289860134</v>
      </c>
      <c r="N117" s="9">
        <v>1491.3122148775585</v>
      </c>
      <c r="O117" s="9">
        <v>811.03607979162507</v>
      </c>
      <c r="P117" s="9">
        <v>347.56960256111972</v>
      </c>
      <c r="Q117" s="9">
        <v>103.98869149478831</v>
      </c>
      <c r="R117" s="9">
        <v>150.78099114144692</v>
      </c>
      <c r="S117" s="9">
        <v>208.88122157960251</v>
      </c>
      <c r="T117" s="9">
        <v>281.29120414487534</v>
      </c>
      <c r="U117" s="9">
        <v>864.68924835339703</v>
      </c>
      <c r="V117" s="9">
        <v>303.27716231243437</v>
      </c>
      <c r="W117" s="9">
        <v>515.64979402148595</v>
      </c>
      <c r="X117" s="9">
        <v>438.84992354935906</v>
      </c>
      <c r="Y117" s="9">
        <v>206.78802305047057</v>
      </c>
      <c r="Z117" s="9">
        <v>91.249477386793217</v>
      </c>
      <c r="AA117" s="9">
        <v>0</v>
      </c>
      <c r="AB117" s="9">
        <v>2884.6720824750741</v>
      </c>
      <c r="AC117" s="9">
        <v>1046.4779266319897</v>
      </c>
      <c r="AD117" s="9">
        <v>931.05928969973581</v>
      </c>
      <c r="AE117" s="9">
        <v>2555.6184931238167</v>
      </c>
      <c r="AF117" s="9">
        <v>69.137107718636997</v>
      </c>
      <c r="AG117" s="9">
        <v>433.78563316902211</v>
      </c>
      <c r="AH117" s="9">
        <v>605.66025621704898</v>
      </c>
      <c r="AI117" s="9">
        <v>5295.8451738802742</v>
      </c>
      <c r="AJ117" s="9">
        <v>226.11243574291169</v>
      </c>
      <c r="AK117" s="9">
        <v>17.920016092447167</v>
      </c>
      <c r="AL117" s="9">
        <v>386.7498786921235</v>
      </c>
      <c r="AM117" s="9">
        <v>163.58833502617159</v>
      </c>
      <c r="AN117" s="9">
        <v>1607.9603908272363</v>
      </c>
      <c r="AO117" s="9">
        <v>718.03118610912895</v>
      </c>
      <c r="AP117" s="9">
        <v>669.40184850922435</v>
      </c>
      <c r="AQ117" s="9">
        <v>42.658540456478612</v>
      </c>
      <c r="AR117" s="9">
        <v>70.9591293576092</v>
      </c>
      <c r="AS117" s="9">
        <v>2504.2827859418712</v>
      </c>
      <c r="AT117" s="9">
        <v>1016.6348263895715</v>
      </c>
      <c r="AU117" s="9">
        <v>747.14975753459146</v>
      </c>
      <c r="AV117" s="9">
        <v>605.70360443304583</v>
      </c>
      <c r="AW117" s="9">
        <v>172.46697143216701</v>
      </c>
      <c r="AX117" s="9">
        <v>794.15485342159889</v>
      </c>
      <c r="AY117" s="9">
        <v>1041.9609619237256</v>
      </c>
      <c r="AZ117" s="9">
        <v>1.3907861057411097</v>
      </c>
      <c r="BA117" s="9">
        <v>95.856992156251167</v>
      </c>
      <c r="BB117" s="9">
        <v>1135.9603750971519</v>
      </c>
      <c r="BC117" s="9">
        <v>2130.6904327342463</v>
      </c>
      <c r="BD117" s="9">
        <v>1693.4950723901491</v>
      </c>
      <c r="BE117" s="9">
        <v>2926.3553753040819</v>
      </c>
      <c r="BF117" s="9">
        <v>918.0574983690035</v>
      </c>
      <c r="BG117" s="9">
        <v>0</v>
      </c>
      <c r="BH117" s="9">
        <v>0</v>
      </c>
      <c r="BI117" s="9">
        <v>52164.395460352694</v>
      </c>
      <c r="BJ117" s="9">
        <v>0</v>
      </c>
      <c r="BK117" s="9">
        <v>0</v>
      </c>
      <c r="BL117" s="9">
        <v>30346.397280133631</v>
      </c>
      <c r="BM117" s="9">
        <v>47.93060941072978</v>
      </c>
      <c r="BN117" s="9">
        <v>0</v>
      </c>
      <c r="BO117" s="9">
        <v>0</v>
      </c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</row>
    <row r="118" spans="1:87" x14ac:dyDescent="0.3">
      <c r="A118">
        <v>2014</v>
      </c>
      <c r="B118" s="27" t="s">
        <v>266</v>
      </c>
      <c r="C118" s="27" t="s">
        <v>267</v>
      </c>
      <c r="D118" s="10" t="s">
        <v>295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</row>
    <row r="119" spans="1:87" x14ac:dyDescent="0.3">
      <c r="A119">
        <v>2014</v>
      </c>
      <c r="B119" s="27" t="s">
        <v>268</v>
      </c>
      <c r="C119" s="27" t="s">
        <v>269</v>
      </c>
      <c r="D119" s="10" t="s">
        <v>295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22382.422096500002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</row>
    <row r="120" spans="1:87" x14ac:dyDescent="0.3">
      <c r="A120">
        <v>2014</v>
      </c>
      <c r="B120" s="27" t="s">
        <v>270</v>
      </c>
      <c r="C120" s="27" t="s">
        <v>271</v>
      </c>
      <c r="D120" s="10" t="s">
        <v>295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-14115.878328000001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</row>
    <row r="121" spans="1:87" x14ac:dyDescent="0.3">
      <c r="A121">
        <v>2014</v>
      </c>
      <c r="B121" s="30" t="s">
        <v>272</v>
      </c>
      <c r="C121" s="30" t="s">
        <v>273</v>
      </c>
      <c r="D121" s="10" t="s">
        <v>295</v>
      </c>
      <c r="E121" s="9">
        <v>25488.470353500001</v>
      </c>
      <c r="F121" s="9">
        <v>1825.4995080000001</v>
      </c>
      <c r="G121" s="9">
        <v>2823.023604</v>
      </c>
      <c r="H121" s="9">
        <v>2393.3545454999999</v>
      </c>
      <c r="I121" s="9">
        <v>16736.469927000002</v>
      </c>
      <c r="J121" s="9">
        <v>20515.390763999974</v>
      </c>
      <c r="K121" s="9">
        <v>1643.4866417167957</v>
      </c>
      <c r="L121" s="9">
        <v>5673.3888849573805</v>
      </c>
      <c r="M121" s="9">
        <v>2841.5046228258216</v>
      </c>
      <c r="N121" s="9">
        <v>8764.2603930000296</v>
      </c>
      <c r="O121" s="9">
        <v>43036.133569673853</v>
      </c>
      <c r="P121" s="9">
        <v>8234.3810638260493</v>
      </c>
      <c r="Q121" s="9">
        <v>6435.9765002755121</v>
      </c>
      <c r="R121" s="9">
        <v>4644.1820607244881</v>
      </c>
      <c r="S121" s="9">
        <v>31040.904638999989</v>
      </c>
      <c r="T121" s="9">
        <v>29178.815308499972</v>
      </c>
      <c r="U121" s="9">
        <v>86950.686291484861</v>
      </c>
      <c r="V121" s="9">
        <v>22695.51627401523</v>
      </c>
      <c r="W121" s="9">
        <v>33123.103135500016</v>
      </c>
      <c r="X121" s="9">
        <v>36454.032703047196</v>
      </c>
      <c r="Y121" s="9">
        <v>26240.109630452778</v>
      </c>
      <c r="Z121" s="9">
        <v>5652.985018499995</v>
      </c>
      <c r="AA121" s="9">
        <v>0</v>
      </c>
      <c r="AB121" s="9">
        <v>26265.220014000002</v>
      </c>
      <c r="AC121" s="9">
        <v>4867.6457554554063</v>
      </c>
      <c r="AD121" s="9">
        <v>5090.7733900445837</v>
      </c>
      <c r="AE121" s="9">
        <v>63632.837598000078</v>
      </c>
      <c r="AF121" s="9">
        <v>6803.0726841617225</v>
      </c>
      <c r="AG121" s="9">
        <v>46895.309051281904</v>
      </c>
      <c r="AH121" s="9">
        <v>57425.859582056357</v>
      </c>
      <c r="AI121" s="9">
        <v>23009.33596235752</v>
      </c>
      <c r="AJ121" s="9">
        <v>4577.8551566675496</v>
      </c>
      <c r="AK121" s="9">
        <v>4921.084058347963</v>
      </c>
      <c r="AL121" s="9">
        <v>13366.667314402732</v>
      </c>
      <c r="AM121" s="9">
        <v>1824.9756967242286</v>
      </c>
      <c r="AN121" s="9">
        <v>33446.519150999986</v>
      </c>
      <c r="AO121" s="9">
        <v>10639.228046217548</v>
      </c>
      <c r="AP121" s="9">
        <v>22981.591713782462</v>
      </c>
      <c r="AQ121" s="9">
        <v>6532.2652580086606</v>
      </c>
      <c r="AR121" s="9">
        <v>9342.0153969913445</v>
      </c>
      <c r="AS121" s="9">
        <v>49525.657901810519</v>
      </c>
      <c r="AT121" s="9">
        <v>13279.776930202948</v>
      </c>
      <c r="AU121" s="9">
        <v>9003.3748439865467</v>
      </c>
      <c r="AV121" s="9">
        <v>99661.431999489214</v>
      </c>
      <c r="AW121" s="9">
        <v>10891.320541856747</v>
      </c>
      <c r="AX121" s="9">
        <v>18164.921431252795</v>
      </c>
      <c r="AY121" s="9">
        <v>25454.48247077339</v>
      </c>
      <c r="AZ121" s="9">
        <v>1370.7799599699499</v>
      </c>
      <c r="BA121" s="9">
        <v>11344.833917647127</v>
      </c>
      <c r="BB121" s="9">
        <v>30605.844142010777</v>
      </c>
      <c r="BC121" s="9">
        <v>93403.45764600001</v>
      </c>
      <c r="BD121" s="9">
        <v>70607.998228500015</v>
      </c>
      <c r="BE121" s="9">
        <v>54341.39864549999</v>
      </c>
      <c r="BF121" s="9">
        <v>35424.175297499998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</row>
    <row r="122" spans="1:87" x14ac:dyDescent="0.3">
      <c r="A122">
        <v>2014</v>
      </c>
      <c r="B122" s="27" t="s">
        <v>297</v>
      </c>
      <c r="C122" s="27" t="s">
        <v>298</v>
      </c>
      <c r="D122" s="10" t="s">
        <v>295</v>
      </c>
      <c r="E122" s="9">
        <v>227.70752437402339</v>
      </c>
      <c r="F122" s="9">
        <v>21.799805532089</v>
      </c>
      <c r="G122" s="9">
        <v>33.354253062768464</v>
      </c>
      <c r="H122" s="9">
        <v>15.113714906450571</v>
      </c>
      <c r="I122" s="9">
        <v>804.23273995760383</v>
      </c>
      <c r="J122" s="9">
        <v>636.2039013752476</v>
      </c>
      <c r="K122" s="9">
        <v>68.21398768870263</v>
      </c>
      <c r="L122" s="9">
        <v>171.86726677144935</v>
      </c>
      <c r="M122" s="9">
        <v>60.903376715908266</v>
      </c>
      <c r="N122" s="9">
        <v>9147.413833654351</v>
      </c>
      <c r="O122" s="9">
        <v>3031.8197187408737</v>
      </c>
      <c r="P122" s="9">
        <v>302.73200132804436</v>
      </c>
      <c r="Q122" s="9">
        <v>229.13112233041483</v>
      </c>
      <c r="R122" s="9">
        <v>244.19682013806928</v>
      </c>
      <c r="S122" s="9">
        <v>3515.3827945241951</v>
      </c>
      <c r="T122" s="9">
        <v>1004.3013679783695</v>
      </c>
      <c r="U122" s="9">
        <v>4967.0331800918784</v>
      </c>
      <c r="V122" s="9">
        <v>841.2535217475745</v>
      </c>
      <c r="W122" s="9">
        <v>1138.1702695952131</v>
      </c>
      <c r="X122" s="9">
        <v>1105.5470224620708</v>
      </c>
      <c r="Y122" s="9">
        <v>1256.2663558520076</v>
      </c>
      <c r="Z122" s="9">
        <v>194.68034032784337</v>
      </c>
      <c r="AA122" s="9">
        <v>0</v>
      </c>
      <c r="AB122" s="9">
        <v>3490.5474365591599</v>
      </c>
      <c r="AC122" s="9">
        <v>95.757506793272498</v>
      </c>
      <c r="AD122" s="9">
        <v>107.12957570246664</v>
      </c>
      <c r="AE122" s="9">
        <v>1761.1857311399799</v>
      </c>
      <c r="AF122" s="9">
        <v>17.45011399208402</v>
      </c>
      <c r="AG122" s="9">
        <v>109.6417259182183</v>
      </c>
      <c r="AH122" s="9">
        <v>153.06079173086761</v>
      </c>
      <c r="AI122" s="9">
        <v>561.36969202166642</v>
      </c>
      <c r="AJ122" s="9">
        <v>133.81793719196082</v>
      </c>
      <c r="AK122" s="9">
        <v>174.10930551363822</v>
      </c>
      <c r="AL122" s="9">
        <v>121.1563937173201</v>
      </c>
      <c r="AM122" s="9">
        <v>12.440748625067028</v>
      </c>
      <c r="AN122" s="9">
        <v>243.91465921148853</v>
      </c>
      <c r="AO122" s="9">
        <v>69.446619578701515</v>
      </c>
      <c r="AP122" s="9">
        <v>45.223634973394347</v>
      </c>
      <c r="AQ122" s="9">
        <v>31.666569058555453</v>
      </c>
      <c r="AR122" s="9">
        <v>117.12936818997839</v>
      </c>
      <c r="AS122" s="9">
        <v>58.026225288533666</v>
      </c>
      <c r="AT122" s="9">
        <v>12.437669843318663</v>
      </c>
      <c r="AU122" s="9">
        <v>11.800967063497794</v>
      </c>
      <c r="AV122" s="9">
        <v>24.289172341214449</v>
      </c>
      <c r="AW122" s="9">
        <v>24.063585153871173</v>
      </c>
      <c r="AX122" s="9">
        <v>71.981289978718394</v>
      </c>
      <c r="AY122" s="9">
        <v>155.86652446371076</v>
      </c>
      <c r="AZ122" s="9">
        <v>0.12085813031538335</v>
      </c>
      <c r="BA122" s="9">
        <v>38.962930206132846</v>
      </c>
      <c r="BB122" s="9">
        <v>105.63576141894728</v>
      </c>
      <c r="BC122" s="9">
        <v>149.86250239126497</v>
      </c>
      <c r="BD122" s="9">
        <v>181.68273381504736</v>
      </c>
      <c r="BE122" s="9">
        <v>412.16822102013026</v>
      </c>
      <c r="BF122" s="9">
        <v>250.78580327913636</v>
      </c>
      <c r="BG122" s="9">
        <v>0</v>
      </c>
      <c r="BH122" s="9">
        <v>0</v>
      </c>
      <c r="BI122" s="9">
        <v>4580.727822096258</v>
      </c>
      <c r="BJ122" s="9">
        <v>0</v>
      </c>
      <c r="BK122" s="9">
        <v>0</v>
      </c>
      <c r="BL122" s="9">
        <v>3417.9913335003234</v>
      </c>
      <c r="BM122" s="9">
        <v>64.105107964149241</v>
      </c>
      <c r="BN122" s="9">
        <v>0</v>
      </c>
      <c r="BO122" s="9">
        <v>0</v>
      </c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</row>
    <row r="123" spans="1:87" x14ac:dyDescent="0.3">
      <c r="A123">
        <v>2014</v>
      </c>
      <c r="B123" s="23" t="s">
        <v>274</v>
      </c>
      <c r="C123" s="20" t="s">
        <v>275</v>
      </c>
      <c r="D123" s="10" t="s">
        <v>295</v>
      </c>
      <c r="E123" s="9">
        <v>47354.297272346324</v>
      </c>
      <c r="F123" s="9">
        <v>3391.5431241437195</v>
      </c>
      <c r="G123" s="9">
        <v>5244.8145022680674</v>
      </c>
      <c r="H123" s="9">
        <v>4302.3235757411776</v>
      </c>
      <c r="I123" s="9">
        <v>103672.82833702373</v>
      </c>
      <c r="J123" s="9">
        <v>80988.299242105713</v>
      </c>
      <c r="K123" s="9">
        <v>5952.5680491080229</v>
      </c>
      <c r="L123" s="9">
        <v>20548.529297131547</v>
      </c>
      <c r="M123" s="9">
        <v>10291.686710368998</v>
      </c>
      <c r="N123" s="9">
        <v>132849.05309870772</v>
      </c>
      <c r="O123" s="67">
        <v>200888.10347561096</v>
      </c>
      <c r="P123" s="67">
        <v>38437.21677574567</v>
      </c>
      <c r="Q123" s="9">
        <v>22422.063723470535</v>
      </c>
      <c r="R123" s="9">
        <v>16179.696446142327</v>
      </c>
      <c r="S123" s="9">
        <v>149666.64437631195</v>
      </c>
      <c r="T123" s="9">
        <v>94002.044487186256</v>
      </c>
      <c r="U123" s="9">
        <v>312094.99644777743</v>
      </c>
      <c r="V123" s="9">
        <v>81461.773023554953</v>
      </c>
      <c r="W123" s="9">
        <v>114490.21987586496</v>
      </c>
      <c r="X123" s="9">
        <v>148282.28699039898</v>
      </c>
      <c r="Y123" s="9">
        <v>106735.61135410635</v>
      </c>
      <c r="Z123" s="9">
        <v>21108.228426623587</v>
      </c>
      <c r="AA123" s="9">
        <v>0</v>
      </c>
      <c r="AB123" s="9">
        <v>104005.53566893938</v>
      </c>
      <c r="AC123" s="9">
        <v>19274.999561127959</v>
      </c>
      <c r="AD123" s="9">
        <v>20158.5447644661</v>
      </c>
      <c r="AE123" s="9">
        <v>189724.11230180605</v>
      </c>
      <c r="AF123" s="9">
        <v>11937.556473437588</v>
      </c>
      <c r="AG123" s="9">
        <v>79110.502527284334</v>
      </c>
      <c r="AH123" s="9">
        <v>102405.36291926095</v>
      </c>
      <c r="AI123" s="9">
        <v>65024.34800945242</v>
      </c>
      <c r="AJ123" s="9">
        <v>12937.011625672219</v>
      </c>
      <c r="AK123" s="9">
        <v>13906.975973460474</v>
      </c>
      <c r="AL123" s="9">
        <v>37774.181254087889</v>
      </c>
      <c r="AM123" s="9">
        <v>5157.3785096069532</v>
      </c>
      <c r="AN123" s="9">
        <v>69508.46737451652</v>
      </c>
      <c r="AO123" s="9">
        <v>24435.069703294863</v>
      </c>
      <c r="AP123" s="9">
        <v>52781.723728403609</v>
      </c>
      <c r="AQ123" s="9">
        <v>15002.625773831369</v>
      </c>
      <c r="AR123" s="9">
        <v>21455.766941276601</v>
      </c>
      <c r="AS123" s="9">
        <v>95310.827968612779</v>
      </c>
      <c r="AT123" s="9">
        <v>25556.581943151839</v>
      </c>
      <c r="AU123" s="9">
        <v>17326.758436878179</v>
      </c>
      <c r="AV123" s="9">
        <v>126619.57928099616</v>
      </c>
      <c r="AW123" s="9">
        <v>18373.793288747605</v>
      </c>
      <c r="AX123" s="9">
        <v>30644.448503880056</v>
      </c>
      <c r="AY123" s="9">
        <v>42942.028690885185</v>
      </c>
      <c r="AZ123" s="9">
        <v>2312.5228508380492</v>
      </c>
      <c r="BA123" s="9">
        <v>19138.875997353109</v>
      </c>
      <c r="BB123" s="9">
        <v>50389.381807384561</v>
      </c>
      <c r="BC123" s="9">
        <v>132526.18985585979</v>
      </c>
      <c r="BD123" s="9">
        <v>99773.725675661277</v>
      </c>
      <c r="BE123" s="9">
        <v>106532.95423209202</v>
      </c>
      <c r="BF123" s="9">
        <v>71441.735374704222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</row>
    <row r="124" spans="1:87" x14ac:dyDescent="0.3">
      <c r="B124" s="73"/>
      <c r="C124" s="72"/>
      <c r="D124" s="7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87" x14ac:dyDescent="0.3">
      <c r="O125" s="9"/>
      <c r="P125" s="9"/>
    </row>
    <row r="128" spans="1:87" x14ac:dyDescent="0.3">
      <c r="O128" s="29"/>
    </row>
    <row r="129" spans="15:15" x14ac:dyDescent="0.3">
      <c r="O129" s="29"/>
    </row>
    <row r="130" spans="15:15" x14ac:dyDescent="0.3">
      <c r="O130" s="29"/>
    </row>
  </sheetData>
  <autoFilter ref="A2:D124" xr:uid="{00000000-0009-0000-0000-000001000000}"/>
  <phoneticPr fontId="35" type="noConversion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BCEB-B28F-46EE-96B0-7FF1A7A179C3}">
  <sheetPr>
    <tabColor theme="9" tint="0.59999389629810485"/>
  </sheetPr>
  <dimension ref="A1:M8"/>
  <sheetViews>
    <sheetView workbookViewId="0">
      <selection activeCell="A8" sqref="A8"/>
    </sheetView>
  </sheetViews>
  <sheetFormatPr defaultRowHeight="16.5" x14ac:dyDescent="0.3"/>
  <cols>
    <col min="1" max="1" width="15.875" customWidth="1"/>
    <col min="2" max="2" width="9.875" customWidth="1"/>
    <col min="3" max="3" width="14.625" customWidth="1"/>
    <col min="4" max="4" width="18" customWidth="1"/>
    <col min="5" max="5" width="15.25" customWidth="1"/>
    <col min="6" max="6" width="19.875" customWidth="1"/>
    <col min="7" max="7" width="13.625" customWidth="1"/>
    <col min="8" max="8" width="24" customWidth="1"/>
    <col min="9" max="10" width="13.625" customWidth="1"/>
    <col min="11" max="11" width="15.25" customWidth="1"/>
    <col min="12" max="12" width="14.375" customWidth="1"/>
    <col min="13" max="13" width="13.625" customWidth="1"/>
  </cols>
  <sheetData>
    <row r="1" spans="1:13" s="24" customFormat="1" ht="49.5" x14ac:dyDescent="0.3">
      <c r="A1" s="31"/>
      <c r="B1" s="31" t="s">
        <v>6</v>
      </c>
      <c r="C1" s="38" t="s">
        <v>515</v>
      </c>
      <c r="D1" s="39" t="s">
        <v>516</v>
      </c>
      <c r="E1" s="38" t="s">
        <v>140</v>
      </c>
      <c r="F1" s="39" t="s">
        <v>141</v>
      </c>
      <c r="G1" s="38" t="s">
        <v>517</v>
      </c>
      <c r="H1" s="39" t="s">
        <v>518</v>
      </c>
      <c r="I1" s="38" t="s">
        <v>519</v>
      </c>
      <c r="J1" s="39" t="s">
        <v>520</v>
      </c>
      <c r="K1" s="38" t="s">
        <v>521</v>
      </c>
      <c r="L1" s="47" t="s">
        <v>522</v>
      </c>
      <c r="M1" s="39" t="s">
        <v>523</v>
      </c>
    </row>
    <row r="2" spans="1:13" s="4" customFormat="1" x14ac:dyDescent="0.3">
      <c r="A2" s="21"/>
      <c r="B2" s="2"/>
      <c r="C2" s="40" t="s">
        <v>277</v>
      </c>
      <c r="D2" s="41" t="s">
        <v>278</v>
      </c>
      <c r="E2" s="40" t="s">
        <v>136</v>
      </c>
      <c r="F2" s="41" t="s">
        <v>137</v>
      </c>
      <c r="G2" s="40" t="s">
        <v>506</v>
      </c>
      <c r="H2" s="41" t="s">
        <v>507</v>
      </c>
      <c r="I2" s="40" t="s">
        <v>508</v>
      </c>
      <c r="J2" s="41" t="s">
        <v>509</v>
      </c>
      <c r="K2" s="40" t="s">
        <v>511</v>
      </c>
      <c r="L2" s="48" t="s">
        <v>512</v>
      </c>
      <c r="M2" s="41" t="s">
        <v>510</v>
      </c>
    </row>
    <row r="3" spans="1:13" x14ac:dyDescent="0.3">
      <c r="A3" t="s">
        <v>138</v>
      </c>
      <c r="B3" t="s">
        <v>533</v>
      </c>
      <c r="C3" s="56">
        <f>SUMIF('EXIOBASE final demand matrix'!$B:$B, 'KOR Data for ISIC Splits'!C$2, 'EXIOBASE final demand matrix'!$F:$F)</f>
        <v>0</v>
      </c>
      <c r="D3" s="57">
        <f>SUMIF('EXIOBASE final demand matrix'!$B:$B, 'KOR Data for ISIC Splits'!D$2, 'EXIOBASE final demand matrix'!$F:$F)</f>
        <v>0</v>
      </c>
      <c r="E3" s="56">
        <f>'KOR WIOD IO-tables'!BK14</f>
        <v>9.4327639899236173E-3</v>
      </c>
      <c r="F3" s="57">
        <f>'KOR WIOD IO-tables'!BK15</f>
        <v>0</v>
      </c>
      <c r="G3" s="56">
        <f>SUMIF('EXIOBASE final demand matrix'!$B:$B, 'KOR Data for ISIC Splits'!G$2, 'EXIOBASE final demand matrix'!$F:$F)</f>
        <v>0</v>
      </c>
      <c r="H3" s="57">
        <f>SUMIF('EXIOBASE final demand matrix'!$B:$B, 'KOR Data for ISIC Splits'!H$2, 'EXIOBASE final demand matrix'!$F:$F)</f>
        <v>0</v>
      </c>
      <c r="I3" s="56">
        <f>SUMIF('EXIOBASE final demand matrix'!$B:$B, 'KOR Data for ISIC Splits'!I$2, 'EXIOBASE final demand matrix'!$F:$F)</f>
        <v>0</v>
      </c>
      <c r="J3" s="57">
        <f>SUMIF('EXIOBASE final demand matrix'!$B:$B, 'KOR Data for ISIC Splits'!J$2, 'EXIOBASE final demand matrix'!$F:$F)</f>
        <v>0</v>
      </c>
      <c r="K3" s="56">
        <f>SUMIF('EXIOBASE final demand matrix'!$B:$B, 'KOR Data for ISIC Splits'!K$2, 'EXIOBASE final demand matrix'!$F:$F)</f>
        <v>0</v>
      </c>
      <c r="L3" s="58">
        <f>SUMIF('EXIOBASE final demand matrix'!$B:$B, 'KOR Data for ISIC Splits'!L$2, 'EXIOBASE final demand matrix'!$F:$F)</f>
        <v>0</v>
      </c>
      <c r="M3" s="57">
        <f>SUMIF('EXIOBASE final demand matrix'!$B:$B, 'KOR Data for ISIC Splits'!M$2, 'EXIOBASE final demand matrix'!$F:$F)</f>
        <v>2824.2865600896989</v>
      </c>
    </row>
    <row r="4" spans="1:13" x14ac:dyDescent="0.3">
      <c r="A4" t="s">
        <v>139</v>
      </c>
      <c r="B4" t="s">
        <v>533</v>
      </c>
      <c r="C4" s="56">
        <f>SUMIF('EXIOBASE final demand matrix'!$B:$B, 'KOR Data for ISIC Splits'!C$2, 'EXIOBASE final demand matrix'!$K:$K)</f>
        <v>0</v>
      </c>
      <c r="D4" s="57">
        <f>SUMIF('EXIOBASE final demand matrix'!$B:$B, 'KOR Data for ISIC Splits'!D$2, 'EXIOBASE final demand matrix'!$K:$K)</f>
        <v>0</v>
      </c>
      <c r="E4" s="56">
        <f>'KOR WIOD IO-tables'!BQ14</f>
        <v>0</v>
      </c>
      <c r="F4" s="57">
        <f>'KOR WIOD IO-tables'!BQ15</f>
        <v>0</v>
      </c>
      <c r="G4" s="56">
        <f>SUMIF('EXIOBASE final demand matrix'!$B:$B, 'KOR Data for ISIC Splits'!G$2, 'EXIOBASE final demand matrix'!$K:$K)</f>
        <v>0</v>
      </c>
      <c r="H4" s="57">
        <f>SUMIF('EXIOBASE final demand matrix'!$B:$B, 'KOR Data for ISIC Splits'!H$2, 'EXIOBASE final demand matrix'!$K:$K)</f>
        <v>245.05448115066349</v>
      </c>
      <c r="I4" s="56">
        <f>SUMIF('EXIOBASE final demand matrix'!$B:$B, 'KOR Data for ISIC Splits'!I$2, 'EXIOBASE final demand matrix'!$K:$K)</f>
        <v>0</v>
      </c>
      <c r="J4" s="57">
        <f>SUMIF('EXIOBASE final demand matrix'!$B:$B, 'KOR Data for ISIC Splits'!J$2, 'EXIOBASE final demand matrix'!$K:$K)</f>
        <v>0.68594750665881155</v>
      </c>
      <c r="K4" s="56">
        <f>SUMIF('EXIOBASE final demand matrix'!$B:$B, 'KOR Data for ISIC Splits'!K$2, 'EXIOBASE final demand matrix'!$K:$K)</f>
        <v>6491.9866909934817</v>
      </c>
      <c r="L4" s="58">
        <f>SUMIF('EXIOBASE final demand matrix'!$B:$B, 'KOR Data for ISIC Splits'!L$2, 'EXIOBASE final demand matrix'!$K:$K)</f>
        <v>3092.67022675623</v>
      </c>
      <c r="M4" s="57">
        <f>SUMIF('EXIOBASE final demand matrix'!$B:$B, 'KOR Data for ISIC Splits'!M$2, 'EXIOBASE final demand matrix'!$K:$K)</f>
        <v>7003.1025581963786</v>
      </c>
    </row>
    <row r="5" spans="1:13" x14ac:dyDescent="0.3">
      <c r="C5" s="26"/>
      <c r="D5" s="42"/>
      <c r="E5" s="26"/>
      <c r="F5" s="42"/>
      <c r="G5" s="26"/>
      <c r="H5" s="42"/>
      <c r="I5" s="26"/>
      <c r="J5" s="42"/>
      <c r="K5" s="26"/>
      <c r="M5" s="42"/>
    </row>
    <row r="6" spans="1:13" x14ac:dyDescent="0.3">
      <c r="A6" t="s">
        <v>138</v>
      </c>
      <c r="B6" t="s">
        <v>142</v>
      </c>
      <c r="C6" s="43">
        <f>IF(ISERROR(C3/SUM($C3:$D3)),0.5,C3/SUM($C3:$D3))</f>
        <v>0.5</v>
      </c>
      <c r="D6" s="44">
        <f>IF(ISERROR(D3/SUM($C3:$D3)),0.5,D3/SUM($C3:$D3))</f>
        <v>0.5</v>
      </c>
      <c r="E6" s="43">
        <f>IF(ISERROR(E3/SUM($E3:$F3)), 0.5, E3/SUM($E3:$F3))</f>
        <v>1</v>
      </c>
      <c r="F6" s="44">
        <f>IF(ISERROR(F3/SUM($E3:$F3)), 0.5, F3/SUM($E3:$F3))</f>
        <v>0</v>
      </c>
      <c r="G6" s="43">
        <f>IF(ISERROR(G3/SUM($G3:$H3)), 0.5, G3/SUM($G3:$H3))</f>
        <v>0.5</v>
      </c>
      <c r="H6" s="44">
        <f>IF(ISERROR(H3/SUM($G3:$H3)), 0.5, H3/SUM($G3:$H3))</f>
        <v>0.5</v>
      </c>
      <c r="I6" s="43">
        <f>IF(ISERROR(I3/SUM($I3:$J3)),0.5,I3/SUM($I3:$J3))</f>
        <v>0.5</v>
      </c>
      <c r="J6" s="44">
        <f>IF(ISERROR(J3/SUM($I3:$J3)),0.5,J3/SUM($I3:$J3))</f>
        <v>0.5</v>
      </c>
      <c r="K6" s="43">
        <f>IF(ISERROR(K3/SUM($K3:$M3)),1/3,K3/SUM($K3:$M3))</f>
        <v>0</v>
      </c>
      <c r="L6" s="49">
        <f t="shared" ref="L6:M7" si="0">IF(ISERROR(L3/SUM($K3:$M3)),1/3,L3/SUM($K3:$M3))</f>
        <v>0</v>
      </c>
      <c r="M6" s="44">
        <f t="shared" si="0"/>
        <v>1</v>
      </c>
    </row>
    <row r="7" spans="1:13" x14ac:dyDescent="0.3">
      <c r="A7" t="s">
        <v>139</v>
      </c>
      <c r="B7" t="s">
        <v>142</v>
      </c>
      <c r="C7" s="45">
        <f>IF(ISERROR(C4/SUM($C4:$D4)),0.5,C4/SUM($C4:$D4))</f>
        <v>0.5</v>
      </c>
      <c r="D7" s="46">
        <f>IF(ISERROR(D4/SUM($C4:$D4)),0.5,D4/SUM($C4:$D4))</f>
        <v>0.5</v>
      </c>
      <c r="E7" s="45">
        <f>IF(ISERROR(E4/SUM($E4:$F4)), 0.5, E4/SUM($E4:$F4))</f>
        <v>0.5</v>
      </c>
      <c r="F7" s="46">
        <f>IF(ISERROR(F4/SUM($E4:$F4)), 0.5, F4/SUM($E4:$F4))</f>
        <v>0.5</v>
      </c>
      <c r="G7" s="45">
        <f>IF(ISERROR(G4/SUM($G4:$H4)), 0.5, G4/SUM($G4:$H4))</f>
        <v>0</v>
      </c>
      <c r="H7" s="46">
        <f>IF(ISERROR(H4/SUM($G4:$H4)), 0.5, H4/SUM($G4:$H4))</f>
        <v>1</v>
      </c>
      <c r="I7" s="45">
        <f>IF(ISERROR(I4/SUM($I4:$J4)),0.5,I4/SUM($I4:$J4))</f>
        <v>0</v>
      </c>
      <c r="J7" s="46">
        <f>IF(ISERROR(J4/SUM($I4:$J4)),0.5,J4/SUM($I4:$J4))</f>
        <v>1</v>
      </c>
      <c r="K7" s="45">
        <f>IF(ISERROR(K4/SUM($K4:$M4)),1/3,K4/SUM($K4:$M4))</f>
        <v>0.39137212595875354</v>
      </c>
      <c r="L7" s="50">
        <f t="shared" si="0"/>
        <v>0.18644291480358821</v>
      </c>
      <c r="M7" s="46">
        <f t="shared" si="0"/>
        <v>0.42218495923765814</v>
      </c>
    </row>
    <row r="8" spans="1:13" x14ac:dyDescent="0.3">
      <c r="E8" s="59" t="s">
        <v>534</v>
      </c>
    </row>
  </sheetData>
  <phoneticPr fontId="35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75E6A-B5A1-40E2-BB9A-E9462468820A}">
  <dimension ref="A1:AQ2"/>
  <sheetViews>
    <sheetView workbookViewId="0">
      <selection activeCell="B2" sqref="B2"/>
    </sheetView>
  </sheetViews>
  <sheetFormatPr defaultRowHeight="16.5" x14ac:dyDescent="0.3"/>
  <cols>
    <col min="1" max="1" width="20.125" customWidth="1"/>
    <col min="2" max="39" width="10.125" customWidth="1"/>
    <col min="40" max="42" width="12" bestFit="1" customWidth="1"/>
  </cols>
  <sheetData>
    <row r="1" spans="1:43" s="4" customFormat="1" x14ac:dyDescent="0.3">
      <c r="A1" s="6" t="s">
        <v>132</v>
      </c>
      <c r="B1" s="87" t="s">
        <v>8</v>
      </c>
      <c r="C1" s="85" t="s">
        <v>277</v>
      </c>
      <c r="D1" s="86" t="s">
        <v>278</v>
      </c>
      <c r="E1" s="87" t="s">
        <v>9</v>
      </c>
      <c r="F1" s="87" t="s">
        <v>10</v>
      </c>
      <c r="G1" s="87" t="s">
        <v>11</v>
      </c>
      <c r="H1" s="87" t="s">
        <v>12</v>
      </c>
      <c r="I1" s="87" t="s">
        <v>13</v>
      </c>
      <c r="J1" s="87" t="s">
        <v>14</v>
      </c>
      <c r="K1" s="87" t="s">
        <v>15</v>
      </c>
      <c r="L1" s="85" t="s">
        <v>136</v>
      </c>
      <c r="M1" s="86" t="s">
        <v>137</v>
      </c>
      <c r="N1" s="87" t="s">
        <v>16</v>
      </c>
      <c r="O1" s="85" t="s">
        <v>506</v>
      </c>
      <c r="P1" s="86" t="s">
        <v>507</v>
      </c>
      <c r="Q1" s="85" t="s">
        <v>508</v>
      </c>
      <c r="R1" s="86" t="s">
        <v>509</v>
      </c>
      <c r="S1" s="87" t="s">
        <v>17</v>
      </c>
      <c r="T1" s="87" t="s">
        <v>18</v>
      </c>
      <c r="U1" s="87" t="s">
        <v>19</v>
      </c>
      <c r="V1" s="87" t="s">
        <v>20</v>
      </c>
      <c r="W1" s="87" t="s">
        <v>21</v>
      </c>
      <c r="X1" s="87" t="s">
        <v>22</v>
      </c>
      <c r="Y1" s="87" t="s">
        <v>23</v>
      </c>
      <c r="Z1" s="85" t="s">
        <v>511</v>
      </c>
      <c r="AA1" s="88" t="s">
        <v>512</v>
      </c>
      <c r="AB1" s="86" t="s">
        <v>510</v>
      </c>
      <c r="AC1" s="87" t="s">
        <v>24</v>
      </c>
      <c r="AD1" s="87" t="s">
        <v>25</v>
      </c>
      <c r="AE1" s="87" t="s">
        <v>26</v>
      </c>
      <c r="AF1" s="87" t="s">
        <v>27</v>
      </c>
      <c r="AG1" s="87" t="s">
        <v>28</v>
      </c>
      <c r="AH1" s="87" t="s">
        <v>29</v>
      </c>
      <c r="AI1" s="87" t="s">
        <v>30</v>
      </c>
      <c r="AJ1" s="87" t="s">
        <v>31</v>
      </c>
      <c r="AK1" s="87" t="s">
        <v>32</v>
      </c>
      <c r="AL1" s="87" t="s">
        <v>33</v>
      </c>
      <c r="AM1" s="87" t="s">
        <v>34</v>
      </c>
      <c r="AN1" s="87" t="s">
        <v>35</v>
      </c>
      <c r="AO1" s="87" t="s">
        <v>36</v>
      </c>
      <c r="AP1" s="87" t="s">
        <v>37</v>
      </c>
      <c r="AQ1" s="87" t="s">
        <v>38</v>
      </c>
    </row>
    <row r="2" spans="1:43" ht="17.25" thickBot="1" x14ac:dyDescent="0.35">
      <c r="A2" t="s">
        <v>976</v>
      </c>
      <c r="B2">
        <f ca="1">INDEX(INDIRECT(CONCATENATE("'","OECD TTL - ",INDEX('[7]ISIC Crosswalk'!$I$2:$I$71,MATCH(B$1,'[7]ISIC Crosswalk'!$K$2:$K$71,0),1),"'!","$C$7:$BD$58")),MATCH("OUTPUT: Output at basic prices",INDIRECT(CONCATENATE("'","OECD TTL - ",INDEX('[7]ISIC Crosswalk'!$I$2:$I$71,MATCH(B$1,'[7]ISIC Crosswalk'!$K$2:$K$71,0),1),"'!","$A$7:$A$58")),0),MATCH(INDEX('[7]ISIC Crosswalk'!$J$2:$J$71,MATCH(B1,'[7]ISIC Crosswalk'!$K$2:$K$71,0),1),INDIRECT(CONCATENATE("'","OECD TTL - ",INDEX('[7]ISIC Crosswalk'!$I$2:$I$71,MATCH(B$1,'[7]ISIC Crosswalk'!$K$2:$K$71,0),1),"'!","$C$7:$BD$7")),0))*1000000*IF(INDEX('[7]ISIC Crosswalk'!$I$2:$I$71,MATCH(B$1,'[7]ISIC Crosswalk'!$K$2:$K$71,0),1)=2021,[7]About!$A$26,[7]About!$A$25)</f>
        <v>44846032000</v>
      </c>
      <c r="C2" s="51">
        <f>'[7]OECD TTL - 2021'!E58*10^6*'[7]KOR EXIOBASE Output'!C7*[7]About!$A$26</f>
        <v>262300376.97736689</v>
      </c>
      <c r="D2" s="52">
        <f>'[7]OECD TTL - 2021'!E58*10^6*'[7]KOR EXIOBASE Output'!D7*[7]About!$A$26</f>
        <v>148655623.02263317</v>
      </c>
      <c r="E2">
        <f ca="1">INDEX(INDIRECT(CONCATENATE("'","OECD TTL - ",INDEX('[7]ISIC Crosswalk'!$I$2:$I$71,MATCH(E$1,'[7]ISIC Crosswalk'!$K$2:$K$71,0),1),"'!","$C$7:$BD$58")),MATCH("OUTPUT: Output at basic prices",INDIRECT(CONCATENATE("'","OECD TTL - ",INDEX('[7]ISIC Crosswalk'!$I$2:$I$71,MATCH(E$1,'[7]ISIC Crosswalk'!$K$2:$K$71,0),1),"'!","$A$7:$A$58")),0),MATCH(INDEX('[7]ISIC Crosswalk'!$J$2:$J$71,MATCH(E1,'[7]ISIC Crosswalk'!$K$2:$K$71,0),1),INDIRECT(CONCATENATE("'","OECD TTL - ",INDEX('[7]ISIC Crosswalk'!$I$2:$I$71,MATCH(E$1,'[7]ISIC Crosswalk'!$K$2:$K$71,0),1),"'!","$C$7:$BD$7")),0))*1000000*IF(INDEX('[7]ISIC Crosswalk'!$I$2:$I$71,MATCH(E$1,'[7]ISIC Crosswalk'!$K$2:$K$71,0),1)=2021,[7]About!$A$26,[7]About!$A$25)</f>
        <v>3305939000</v>
      </c>
      <c r="F2">
        <f ca="1">INDEX(INDIRECT(CONCATENATE("'","OECD TTL - ",INDEX('[7]ISIC Crosswalk'!$I$2:$I$71,MATCH(F$1,'[7]ISIC Crosswalk'!$K$2:$K$71,0),1),"'!","$C$7:$BD$58")),MATCH("OUTPUT: Output at basic prices",INDIRECT(CONCATENATE("'","OECD TTL - ",INDEX('[7]ISIC Crosswalk'!$I$2:$I$71,MATCH(F$1,'[7]ISIC Crosswalk'!$K$2:$K$71,0),1),"'!","$A$7:$A$58")),0),MATCH(INDEX('[7]ISIC Crosswalk'!$J$2:$J$71,MATCH(F1,'[7]ISIC Crosswalk'!$K$2:$K$71,0),1),INDIRECT(CONCATENATE("'","OECD TTL - ",INDEX('[7]ISIC Crosswalk'!$I$2:$I$71,MATCH(F$1,'[7]ISIC Crosswalk'!$K$2:$K$71,0),1),"'!","$C$7:$BD$7")),0))*1000000*IF(INDEX('[7]ISIC Crosswalk'!$I$2:$I$71,MATCH(F$1,'[7]ISIC Crosswalk'!$K$2:$K$71,0),1)=2021,[7]About!$A$26,[7]About!$A$25)</f>
        <v>20020000</v>
      </c>
      <c r="G2">
        <f ca="1">INDEX(INDIRECT(CONCATENATE("'","OECD TTL - ",INDEX('[7]ISIC Crosswalk'!$I$2:$I$71,MATCH(G$1,'[7]ISIC Crosswalk'!$K$2:$K$71,0),1),"'!","$C$7:$BD$58")),MATCH("OUTPUT: Output at basic prices",INDIRECT(CONCATENATE("'","OECD TTL - ",INDEX('[7]ISIC Crosswalk'!$I$2:$I$71,MATCH(G$1,'[7]ISIC Crosswalk'!$K$2:$K$71,0),1),"'!","$A$7:$A$58")),0),MATCH(INDEX('[7]ISIC Crosswalk'!$J$2:$J$71,MATCH(G1,'[7]ISIC Crosswalk'!$K$2:$K$71,0),1),INDIRECT(CONCATENATE("'","OECD TTL - ",INDEX('[7]ISIC Crosswalk'!$I$2:$I$71,MATCH(G$1,'[7]ISIC Crosswalk'!$K$2:$K$71,0),1),"'!","$C$7:$BD$7")),0))*1000000*IF(INDEX('[7]ISIC Crosswalk'!$I$2:$I$71,MATCH(G$1,'[7]ISIC Crosswalk'!$K$2:$K$71,0),1)=2021,[7]About!$A$26,[7]About!$A$25)</f>
        <v>102938654000</v>
      </c>
      <c r="H2">
        <f ca="1">INDEX(INDIRECT(CONCATENATE("'","OECD TTL - ",INDEX('[7]ISIC Crosswalk'!$I$2:$I$71,MATCH(H$1,'[7]ISIC Crosswalk'!$K$2:$K$71,0),1),"'!","$C$7:$BD$58")),MATCH("OUTPUT: Output at basic prices",INDIRECT(CONCATENATE("'","OECD TTL - ",INDEX('[7]ISIC Crosswalk'!$I$2:$I$71,MATCH(H$1,'[7]ISIC Crosswalk'!$K$2:$K$71,0),1),"'!","$A$7:$A$58")),0),MATCH(INDEX('[7]ISIC Crosswalk'!$J$2:$J$71,MATCH(H1,'[7]ISIC Crosswalk'!$K$2:$K$71,0),1),INDIRECT(CONCATENATE("'","OECD TTL - ",INDEX('[7]ISIC Crosswalk'!$I$2:$I$71,MATCH(H$1,'[7]ISIC Crosswalk'!$K$2:$K$71,0),1),"'!","$C$7:$BD$7")),0))*1000000*IF(INDEX('[7]ISIC Crosswalk'!$I$2:$I$71,MATCH(H$1,'[7]ISIC Crosswalk'!$K$2:$K$71,0),1)=2021,[7]About!$A$26,[7]About!$A$25)</f>
        <v>64002939000</v>
      </c>
      <c r="I2">
        <f ca="1">INDEX(INDIRECT(CONCATENATE("'","OECD TTL - ",INDEX('[7]ISIC Crosswalk'!$I$2:$I$71,MATCH(I$1,'[7]ISIC Crosswalk'!$K$2:$K$71,0),1),"'!","$C$7:$BD$58")),MATCH("OUTPUT: Output at basic prices",INDIRECT(CONCATENATE("'","OECD TTL - ",INDEX('[7]ISIC Crosswalk'!$I$2:$I$71,MATCH(I$1,'[7]ISIC Crosswalk'!$K$2:$K$71,0),1),"'!","$A$7:$A$58")),0),MATCH(INDEX('[7]ISIC Crosswalk'!$J$2:$J$71,MATCH(I1,'[7]ISIC Crosswalk'!$K$2:$K$71,0),1),INDIRECT(CONCATENATE("'","OECD TTL - ",INDEX('[7]ISIC Crosswalk'!$I$2:$I$71,MATCH(I$1,'[7]ISIC Crosswalk'!$K$2:$K$71,0),1),"'!","$C$7:$BD$7")),0))*1000000*IF(INDEX('[7]ISIC Crosswalk'!$I$2:$I$71,MATCH(I$1,'[7]ISIC Crosswalk'!$K$2:$K$71,0),1)=2021,[7]About!$A$26,[7]About!$A$25)</f>
        <v>7215390000</v>
      </c>
      <c r="J2">
        <f ca="1">INDEX(INDIRECT(CONCATENATE("'","OECD TTL - ",INDEX('[7]ISIC Crosswalk'!$I$2:$I$71,MATCH(J$1,'[7]ISIC Crosswalk'!$K$2:$K$71,0),1),"'!","$C$7:$BD$58")),MATCH("OUTPUT: Output at basic prices",INDIRECT(CONCATENATE("'","OECD TTL - ",INDEX('[7]ISIC Crosswalk'!$I$2:$I$71,MATCH(J$1,'[7]ISIC Crosswalk'!$K$2:$K$71,0),1),"'!","$A$7:$A$58")),0),MATCH(INDEX('[7]ISIC Crosswalk'!$J$2:$J$71,MATCH(J1,'[7]ISIC Crosswalk'!$K$2:$K$71,0),1),INDIRECT(CONCATENATE("'","OECD TTL - ",INDEX('[7]ISIC Crosswalk'!$I$2:$I$71,MATCH(J$1,'[7]ISIC Crosswalk'!$K$2:$K$71,0),1),"'!","$C$7:$BD$7")),0))*1000000*IF(INDEX('[7]ISIC Crosswalk'!$I$2:$I$71,MATCH(J$1,'[7]ISIC Crosswalk'!$K$2:$K$71,0),1)=2021,[7]About!$A$26,[7]About!$A$25)</f>
        <v>32329297000</v>
      </c>
      <c r="K2">
        <f ca="1">INDEX(INDIRECT(CONCATENATE("'","OECD TTL - ",INDEX('[7]ISIC Crosswalk'!$I$2:$I$71,MATCH(K$1,'[7]ISIC Crosswalk'!$K$2:$K$71,0),1),"'!","$C$7:$BD$58")),MATCH("OUTPUT: Output at basic prices",INDIRECT(CONCATENATE("'","OECD TTL - ",INDEX('[7]ISIC Crosswalk'!$I$2:$I$71,MATCH(K$1,'[7]ISIC Crosswalk'!$K$2:$K$71,0),1),"'!","$A$7:$A$58")),0),MATCH(INDEX('[7]ISIC Crosswalk'!$J$2:$J$71,MATCH(K1,'[7]ISIC Crosswalk'!$K$2:$K$71,0),1),INDIRECT(CONCATENATE("'","OECD TTL - ",INDEX('[7]ISIC Crosswalk'!$I$2:$I$71,MATCH(K$1,'[7]ISIC Crosswalk'!$K$2:$K$71,0),1),"'!","$C$7:$BD$7")),0))*1000000*IF(INDEX('[7]ISIC Crosswalk'!$I$2:$I$71,MATCH(K$1,'[7]ISIC Crosswalk'!$K$2:$K$71,0),1)=2021,[7]About!$A$26,[7]About!$A$25)</f>
        <v>111021001000</v>
      </c>
      <c r="L2">
        <f ca="1">INDEX(INDIRECT(CONCATENATE("'","OECD TTL - ",INDEX('[7]ISIC Crosswalk'!$I$2:$I$71,MATCH(L$1,'[7]ISIC Crosswalk'!$K$2:$K$71,0),1),"'!","$C$7:$BD$58")),MATCH("OUTPUT: Output at basic prices",INDIRECT(CONCATENATE("'","OECD TTL - ",INDEX('[7]ISIC Crosswalk'!$I$2:$I$71,MATCH(L$1,'[7]ISIC Crosswalk'!$K$2:$K$71,0),1),"'!","$A$7:$A$58")),0),MATCH(INDEX('[7]ISIC Crosswalk'!$J$2:$J$71,MATCH(L1,'[7]ISIC Crosswalk'!$K$2:$K$71,0),1),INDIRECT(CONCATENATE("'","OECD TTL - ",INDEX('[7]ISIC Crosswalk'!$I$2:$I$71,MATCH(L$1,'[7]ISIC Crosswalk'!$K$2:$K$71,0),1),"'!","$C$7:$BD$7")),0))*1000000*IF(INDEX('[7]ISIC Crosswalk'!$I$2:$I$71,MATCH(L$1,'[7]ISIC Crosswalk'!$K$2:$K$71,0),1)=2021,[7]About!$A$26,[7]About!$A$25)</f>
        <v>142563876000</v>
      </c>
      <c r="M2">
        <f ca="1">INDEX(INDIRECT(CONCATENATE("'","OECD TTL - ",INDEX('[7]ISIC Crosswalk'!$I$2:$I$71,MATCH(M$1,'[7]ISIC Crosswalk'!$K$2:$K$71,0),1),"'!","$C$7:$BD$58")),MATCH("OUTPUT: Output at basic prices",INDIRECT(CONCATENATE("'","OECD TTL - ",INDEX('[7]ISIC Crosswalk'!$I$2:$I$71,MATCH(M$1,'[7]ISIC Crosswalk'!$K$2:$K$71,0),1),"'!","$A$7:$A$58")),0),MATCH(INDEX('[7]ISIC Crosswalk'!$J$2:$J$71,MATCH(M1,'[7]ISIC Crosswalk'!$K$2:$K$71,0),1),INDIRECT(CONCATENATE("'","OECD TTL - ",INDEX('[7]ISIC Crosswalk'!$I$2:$I$71,MATCH(M$1,'[7]ISIC Crosswalk'!$K$2:$K$71,0),1),"'!","$C$7:$BD$7")),0))*1000000*IF(INDEX('[7]ISIC Crosswalk'!$I$2:$I$71,MATCH(M$1,'[7]ISIC Crosswalk'!$K$2:$K$71,0),1)=2021,[7]About!$A$26,[7]About!$A$25)</f>
        <v>18592210000</v>
      </c>
      <c r="N2">
        <f ca="1">INDEX(INDIRECT(CONCATENATE("'","OECD TTL - ",INDEX('[7]ISIC Crosswalk'!$I$2:$I$71,MATCH(N$1,'[7]ISIC Crosswalk'!$K$2:$K$71,0),1),"'!","$C$7:$BD$58")),MATCH("OUTPUT: Output at basic prices",INDIRECT(CONCATENATE("'","OECD TTL - ",INDEX('[7]ISIC Crosswalk'!$I$2:$I$71,MATCH(N$1,'[7]ISIC Crosswalk'!$K$2:$K$71,0),1),"'!","$A$7:$A$58")),0),MATCH(INDEX('[7]ISIC Crosswalk'!$J$2:$J$71,MATCH(N1,'[7]ISIC Crosswalk'!$K$2:$K$71,0),1),INDIRECT(CONCATENATE("'","OECD TTL - ",INDEX('[7]ISIC Crosswalk'!$I$2:$I$71,MATCH(N$1,'[7]ISIC Crosswalk'!$K$2:$K$71,0),1),"'!","$C$7:$BD$7")),0))*1000000*IF(INDEX('[7]ISIC Crosswalk'!$I$2:$I$71,MATCH(N$1,'[7]ISIC Crosswalk'!$K$2:$K$71,0),1)=2021,[7]About!$A$26,[7]About!$A$25)</f>
        <v>59839560000</v>
      </c>
      <c r="O2" s="51">
        <f>'[7]OECD TTL - 2021'!P58*10^6*'[7]KOR EXIOBASE Output'!E7*[7]About!$A$26</f>
        <v>11808343549.728359</v>
      </c>
      <c r="P2" s="52">
        <f>'[7]OECD TTL - 2021'!P58*10^6*'[7]KOR EXIOBASE Output'!F7*[7]About!$A$26</f>
        <v>24465530450.271641</v>
      </c>
      <c r="Q2" s="51">
        <f>'[7]OECD TTL - 2021'!Q58*10^6*'[7]KOR EXIOBASE Output'!G7*[7]About!$A$26</f>
        <v>98234754911.713867</v>
      </c>
      <c r="R2" s="52">
        <f>'[7]OECD TTL - 2021'!Q58*10^6*'[7]KOR EXIOBASE Output'!H7*[7]About!$A$26</f>
        <v>26809983088.286137</v>
      </c>
      <c r="S2">
        <f ca="1">INDEX(INDIRECT(CONCATENATE("'","OECD TTL - ",INDEX('[7]ISIC Crosswalk'!$I$2:$I$71,MATCH(S$1,'[7]ISIC Crosswalk'!$K$2:$K$71,0),1),"'!","$C$7:$BD$58")),MATCH("OUTPUT: Output at basic prices",INDIRECT(CONCATENATE("'","OECD TTL - ",INDEX('[7]ISIC Crosswalk'!$I$2:$I$71,MATCH(S$1,'[7]ISIC Crosswalk'!$K$2:$K$71,0),1),"'!","$A$7:$A$58")),0),MATCH(INDEX('[7]ISIC Crosswalk'!$J$2:$J$71,MATCH(S1,'[7]ISIC Crosswalk'!$K$2:$K$71,0),1),INDIRECT(CONCATENATE("'","OECD TTL - ",INDEX('[7]ISIC Crosswalk'!$I$2:$I$71,MATCH(S$1,'[7]ISIC Crosswalk'!$K$2:$K$71,0),1),"'!","$C$7:$BD$7")),0))*1000000*IF(INDEX('[7]ISIC Crosswalk'!$I$2:$I$71,MATCH(S$1,'[7]ISIC Crosswalk'!$K$2:$K$71,0),1)=2021,[7]About!$A$26,[7]About!$A$25)</f>
        <v>84072352000</v>
      </c>
      <c r="T2">
        <f ca="1">INDEX(INDIRECT(CONCATENATE("'","OECD TTL - ",INDEX('[7]ISIC Crosswalk'!$I$2:$I$71,MATCH(T$1,'[7]ISIC Crosswalk'!$K$2:$K$71,0),1),"'!","$C$7:$BD$58")),MATCH("OUTPUT: Output at basic prices",INDIRECT(CONCATENATE("'","OECD TTL - ",INDEX('[7]ISIC Crosswalk'!$I$2:$I$71,MATCH(T$1,'[7]ISIC Crosswalk'!$K$2:$K$71,0),1),"'!","$A$7:$A$58")),0),MATCH(INDEX('[7]ISIC Crosswalk'!$J$2:$J$71,MATCH(T1,'[7]ISIC Crosswalk'!$K$2:$K$71,0),1),INDIRECT(CONCATENATE("'","OECD TTL - ",INDEX('[7]ISIC Crosswalk'!$I$2:$I$71,MATCH(T$1,'[7]ISIC Crosswalk'!$K$2:$K$71,0),1),"'!","$C$7:$BD$7")),0))*1000000*IF(INDEX('[7]ISIC Crosswalk'!$I$2:$I$71,MATCH(T$1,'[7]ISIC Crosswalk'!$K$2:$K$71,0),1)=2021,[7]About!$A$26,[7]About!$A$25)</f>
        <v>286853112000</v>
      </c>
      <c r="U2">
        <f ca="1">INDEX(INDIRECT(CONCATENATE("'","OECD TTL - ",INDEX('[7]ISIC Crosswalk'!$I$2:$I$71,MATCH(U$1,'[7]ISIC Crosswalk'!$K$2:$K$71,0),1),"'!","$C$7:$BD$58")),MATCH("OUTPUT: Output at basic prices",INDIRECT(CONCATENATE("'","OECD TTL - ",INDEX('[7]ISIC Crosswalk'!$I$2:$I$71,MATCH(U$1,'[7]ISIC Crosswalk'!$K$2:$K$71,0),1),"'!","$A$7:$A$58")),0),MATCH(INDEX('[7]ISIC Crosswalk'!$J$2:$J$71,MATCH(U1,'[7]ISIC Crosswalk'!$K$2:$K$71,0),1),INDIRECT(CONCATENATE("'","OECD TTL - ",INDEX('[7]ISIC Crosswalk'!$I$2:$I$71,MATCH(U$1,'[7]ISIC Crosswalk'!$K$2:$K$71,0),1),"'!","$C$7:$BD$7")),0))*1000000*IF(INDEX('[7]ISIC Crosswalk'!$I$2:$I$71,MATCH(U$1,'[7]ISIC Crosswalk'!$K$2:$K$71,0),1)=2021,[7]About!$A$26,[7]About!$A$25)</f>
        <v>81964883000</v>
      </c>
      <c r="V2">
        <f ca="1">INDEX(INDIRECT(CONCATENATE("'","OECD TTL - ",INDEX('[7]ISIC Crosswalk'!$I$2:$I$71,MATCH(V$1,'[7]ISIC Crosswalk'!$K$2:$K$71,0),1),"'!","$C$7:$BD$58")),MATCH("OUTPUT: Output at basic prices",INDIRECT(CONCATENATE("'","OECD TTL - ",INDEX('[7]ISIC Crosswalk'!$I$2:$I$71,MATCH(V$1,'[7]ISIC Crosswalk'!$K$2:$K$71,0),1),"'!","$A$7:$A$58")),0),MATCH(INDEX('[7]ISIC Crosswalk'!$J$2:$J$71,MATCH(V1,'[7]ISIC Crosswalk'!$K$2:$K$71,0),1),INDIRECT(CONCATENATE("'","OECD TTL - ",INDEX('[7]ISIC Crosswalk'!$I$2:$I$71,MATCH(V$1,'[7]ISIC Crosswalk'!$K$2:$K$71,0),1),"'!","$C$7:$BD$7")),0))*1000000*IF(INDEX('[7]ISIC Crosswalk'!$I$2:$I$71,MATCH(V$1,'[7]ISIC Crosswalk'!$K$2:$K$71,0),1)=2021,[7]About!$A$26,[7]About!$A$25)</f>
        <v>122037097000.00002</v>
      </c>
      <c r="W2">
        <f ca="1">INDEX(INDIRECT(CONCATENATE("'","OECD TTL - ",INDEX('[7]ISIC Crosswalk'!$I$2:$I$71,MATCH(W$1,'[7]ISIC Crosswalk'!$K$2:$K$71,0),1),"'!","$C$7:$BD$58")),MATCH("OUTPUT: Output at basic prices",INDIRECT(CONCATENATE("'","OECD TTL - ",INDEX('[7]ISIC Crosswalk'!$I$2:$I$71,MATCH(W$1,'[7]ISIC Crosswalk'!$K$2:$K$71,0),1),"'!","$A$7:$A$58")),0),MATCH(INDEX('[7]ISIC Crosswalk'!$J$2:$J$71,MATCH(W1,'[7]ISIC Crosswalk'!$K$2:$K$71,0),1),INDIRECT(CONCATENATE("'","OECD TTL - ",INDEX('[7]ISIC Crosswalk'!$I$2:$I$71,MATCH(W$1,'[7]ISIC Crosswalk'!$K$2:$K$71,0),1),"'!","$C$7:$BD$7")),0))*1000000*IF(INDEX('[7]ISIC Crosswalk'!$I$2:$I$71,MATCH(W$1,'[7]ISIC Crosswalk'!$K$2:$K$71,0),1)=2021,[7]About!$A$26,[7]About!$A$25)</f>
        <v>163254000000</v>
      </c>
      <c r="X2">
        <f ca="1">INDEX(INDIRECT(CONCATENATE("'","OECD TTL - ",INDEX('[7]ISIC Crosswalk'!$I$2:$I$71,MATCH(X$1,'[7]ISIC Crosswalk'!$K$2:$K$71,0),1),"'!","$C$7:$BD$58")),MATCH("OUTPUT: Output at basic prices",INDIRECT(CONCATENATE("'","OECD TTL - ",INDEX('[7]ISIC Crosswalk'!$I$2:$I$71,MATCH(X$1,'[7]ISIC Crosswalk'!$K$2:$K$71,0),1),"'!","$A$7:$A$58")),0),MATCH(INDEX('[7]ISIC Crosswalk'!$J$2:$J$71,MATCH(X1,'[7]ISIC Crosswalk'!$K$2:$K$71,0),1),INDIRECT(CONCATENATE("'","OECD TTL - ",INDEX('[7]ISIC Crosswalk'!$I$2:$I$71,MATCH(X$1,'[7]ISIC Crosswalk'!$K$2:$K$71,0),1),"'!","$C$7:$BD$7")),0))*1000000*IF(INDEX('[7]ISIC Crosswalk'!$I$2:$I$71,MATCH(X$1,'[7]ISIC Crosswalk'!$K$2:$K$71,0),1)=2021,[7]About!$A$26,[7]About!$A$25)</f>
        <v>38348583000</v>
      </c>
      <c r="Y2">
        <f ca="1">INDEX(INDIRECT(CONCATENATE("'","OECD TTL - ",INDEX('[7]ISIC Crosswalk'!$I$2:$I$71,MATCH(Y$1,'[7]ISIC Crosswalk'!$K$2:$K$71,0),1),"'!","$C$7:$BD$58")),MATCH("OUTPUT: Output at basic prices",INDIRECT(CONCATENATE("'","OECD TTL - ",INDEX('[7]ISIC Crosswalk'!$I$2:$I$71,MATCH(Y$1,'[7]ISIC Crosswalk'!$K$2:$K$71,0),1),"'!","$A$7:$A$58")),0),MATCH(INDEX('[7]ISIC Crosswalk'!$J$2:$J$71,MATCH(Y1,'[7]ISIC Crosswalk'!$K$2:$K$71,0),1),INDIRECT(CONCATENATE("'","OECD TTL - ",INDEX('[7]ISIC Crosswalk'!$I$2:$I$71,MATCH(Y$1,'[7]ISIC Crosswalk'!$K$2:$K$71,0),1),"'!","$C$7:$BD$7")),0))*1000000*IF(INDEX('[7]ISIC Crosswalk'!$I$2:$I$71,MATCH(Y$1,'[7]ISIC Crosswalk'!$K$2:$K$71,0),1)=2021,[7]About!$A$26,[7]About!$A$25)</f>
        <v>29198533000</v>
      </c>
      <c r="Z2" s="51">
        <f>'[7]OECD TTL - 2021'!Y58*10^6*'[7]KOR EXIOBASE Output'!I7*[7]About!$A$26</f>
        <v>36868340666.271263</v>
      </c>
      <c r="AA2" s="90">
        <f>'[7]OECD TTL - 2021'!Y58*10^6*'[7]KOR EXIOBASE Output'!J7*[7]About!$A$26</f>
        <v>12129536456.261744</v>
      </c>
      <c r="AB2">
        <f ca="1">INDEX(INDIRECT(CONCATENATE("'","OECD TTL - ",INDEX('[7]ISIC Crosswalk'!$I$2:$I$71,MATCH(AB$1,'[7]ISIC Crosswalk'!$K$2:$K$71,0),1),"'!","$C$7:$BD$58")),MATCH("OUTPUT: Output at basic prices",INDIRECT(CONCATENATE("'","OECD TTL - ",INDEX('[7]ISIC Crosswalk'!$I$2:$I$71,MATCH(AB$1,'[7]ISIC Crosswalk'!$K$2:$K$71,0),1),"'!","$A$7:$A$58")),0),MATCH(INDEX('[7]ISIC Crosswalk'!$J$2:$J$71,MATCH(AB1,'[7]ISIC Crosswalk'!$K$2:$K$71,0),1),INDIRECT(CONCATENATE("'","OECD TTL - ",INDEX('[7]ISIC Crosswalk'!$I$2:$I$71,MATCH(AB$1,'[7]ISIC Crosswalk'!$K$2:$K$71,0),1),"'!","$C$7:$BD$7")),0))*1000000*IF(INDEX('[7]ISIC Crosswalk'!$I$2:$I$71,MATCH(AB$1,'[7]ISIC Crosswalk'!$K$2:$K$71,0),1)=2021,[7]About!$A$26,[7]About!$A$25)</f>
        <v>17124926000</v>
      </c>
      <c r="AC2">
        <f ca="1">INDEX(INDIRECT(CONCATENATE("'","OECD TTL - ",INDEX('[7]ISIC Crosswalk'!$I$2:$I$71,MATCH(AC$1,'[7]ISIC Crosswalk'!$K$2:$K$71,0),1),"'!","$C$7:$BD$58")),MATCH("OUTPUT: Output at basic prices",INDIRECT(CONCATENATE("'","OECD TTL - ",INDEX('[7]ISIC Crosswalk'!$I$2:$I$71,MATCH(AC$1,'[7]ISIC Crosswalk'!$K$2:$K$71,0),1),"'!","$A$7:$A$58")),0),MATCH(INDEX('[7]ISIC Crosswalk'!$J$2:$J$71,MATCH(AC1,'[7]ISIC Crosswalk'!$K$2:$K$71,0),1),INDIRECT(CONCATENATE("'","OECD TTL - ",INDEX('[7]ISIC Crosswalk'!$I$2:$I$71,MATCH(AC$1,'[7]ISIC Crosswalk'!$K$2:$K$71,0),1),"'!","$C$7:$BD$7")),0))*1000000*IF(INDEX('[7]ISIC Crosswalk'!$I$2:$I$71,MATCH(AC$1,'[7]ISIC Crosswalk'!$K$2:$K$71,0),1)=2021,[7]About!$A$26,[7]About!$A$25)</f>
        <v>213075681000</v>
      </c>
      <c r="AD2">
        <f ca="1">INDEX(INDIRECT(CONCATENATE("'","OECD TTL - ",INDEX('[7]ISIC Crosswalk'!$I$2:$I$71,MATCH(AD$1,'[7]ISIC Crosswalk'!$K$2:$K$71,0),1),"'!","$C$7:$BD$58")),MATCH("OUTPUT: Output at basic prices",INDIRECT(CONCATENATE("'","OECD TTL - ",INDEX('[7]ISIC Crosswalk'!$I$2:$I$71,MATCH(AD$1,'[7]ISIC Crosswalk'!$K$2:$K$71,0),1),"'!","$A$7:$A$58")),0),MATCH(INDEX('[7]ISIC Crosswalk'!$J$2:$J$71,MATCH(AD1,'[7]ISIC Crosswalk'!$K$2:$K$71,0),1),INDIRECT(CONCATENATE("'","OECD TTL - ",INDEX('[7]ISIC Crosswalk'!$I$2:$I$71,MATCH(AD$1,'[7]ISIC Crosswalk'!$K$2:$K$71,0),1),"'!","$C$7:$BD$7")),0))*1000000*IF(INDEX('[7]ISIC Crosswalk'!$I$2:$I$71,MATCH(AD$1,'[7]ISIC Crosswalk'!$K$2:$K$71,0),1)=2021,[7]About!$A$26,[7]About!$A$25)</f>
        <v>219045008000</v>
      </c>
      <c r="AE2">
        <f ca="1">INDEX(INDIRECT(CONCATENATE("'","OECD TTL - ",INDEX('[7]ISIC Crosswalk'!$I$2:$I$71,MATCH(AE$1,'[7]ISIC Crosswalk'!$K$2:$K$71,0),1),"'!","$C$7:$BD$58")),MATCH("OUTPUT: Output at basic prices",INDIRECT(CONCATENATE("'","OECD TTL - ",INDEX('[7]ISIC Crosswalk'!$I$2:$I$71,MATCH(AE$1,'[7]ISIC Crosswalk'!$K$2:$K$71,0),1),"'!","$A$7:$A$58")),0),MATCH(INDEX('[7]ISIC Crosswalk'!$J$2:$J$71,MATCH(AE1,'[7]ISIC Crosswalk'!$K$2:$K$71,0),1),INDIRECT(CONCATENATE("'","OECD TTL - ",INDEX('[7]ISIC Crosswalk'!$I$2:$I$71,MATCH(AE$1,'[7]ISIC Crosswalk'!$K$2:$K$71,0),1),"'!","$C$7:$BD$7")),0))*1000000*IF(INDEX('[7]ISIC Crosswalk'!$I$2:$I$71,MATCH(AE$1,'[7]ISIC Crosswalk'!$K$2:$K$71,0),1)=2021,[7]About!$A$26,[7]About!$A$25)</f>
        <v>106890256000</v>
      </c>
      <c r="AF2">
        <f ca="1">INDEX(INDIRECT(CONCATENATE("'","OECD TTL - ",INDEX('[7]ISIC Crosswalk'!$I$2:$I$71,MATCH(AF$1,'[7]ISIC Crosswalk'!$K$2:$K$71,0),1),"'!","$C$7:$BD$58")),MATCH("OUTPUT: Output at basic prices",INDIRECT(CONCATENATE("'","OECD TTL - ",INDEX('[7]ISIC Crosswalk'!$I$2:$I$71,MATCH(AF$1,'[7]ISIC Crosswalk'!$K$2:$K$71,0),1),"'!","$A$7:$A$58")),0),MATCH(INDEX('[7]ISIC Crosswalk'!$J$2:$J$71,MATCH(AF1,'[7]ISIC Crosswalk'!$K$2:$K$71,0),1),INDIRECT(CONCATENATE("'","OECD TTL - ",INDEX('[7]ISIC Crosswalk'!$I$2:$I$71,MATCH(AF$1,'[7]ISIC Crosswalk'!$K$2:$K$71,0),1),"'!","$C$7:$BD$7")),0))*1000000*IF(INDEX('[7]ISIC Crosswalk'!$I$2:$I$71,MATCH(AF$1,'[7]ISIC Crosswalk'!$K$2:$K$71,0),1)=2021,[7]About!$A$26,[7]About!$A$25)</f>
        <v>121327024000</v>
      </c>
      <c r="AG2">
        <f ca="1">INDEX(INDIRECT(CONCATENATE("'","OECD TTL - ",INDEX('[7]ISIC Crosswalk'!$I$2:$I$71,MATCH(AG$1,'[7]ISIC Crosswalk'!$K$2:$K$71,0),1),"'!","$C$7:$BD$58")),MATCH("OUTPUT: Output at basic prices",INDIRECT(CONCATENATE("'","OECD TTL - ",INDEX('[7]ISIC Crosswalk'!$I$2:$I$71,MATCH(AG$1,'[7]ISIC Crosswalk'!$K$2:$K$71,0),1),"'!","$A$7:$A$58")),0),MATCH(INDEX('[7]ISIC Crosswalk'!$J$2:$J$71,MATCH(AG1,'[7]ISIC Crosswalk'!$K$2:$K$71,0),1),INDIRECT(CONCATENATE("'","OECD TTL - ",INDEX('[7]ISIC Crosswalk'!$I$2:$I$71,MATCH(AG$1,'[7]ISIC Crosswalk'!$K$2:$K$71,0),1),"'!","$C$7:$BD$7")),0))*1000000*IF(INDEX('[7]ISIC Crosswalk'!$I$2:$I$71,MATCH(AG$1,'[7]ISIC Crosswalk'!$K$2:$K$71,0),1)=2021,[7]About!$A$26,[7]About!$A$25)</f>
        <v>46107880000</v>
      </c>
      <c r="AH2">
        <f ca="1">INDEX(INDIRECT(CONCATENATE("'","OECD TTL - ",INDEX('[7]ISIC Crosswalk'!$I$2:$I$71,MATCH(AH$1,'[7]ISIC Crosswalk'!$K$2:$K$71,0),1),"'!","$C$7:$BD$58")),MATCH("OUTPUT: Output at basic prices",INDIRECT(CONCATENATE("'","OECD TTL - ",INDEX('[7]ISIC Crosswalk'!$I$2:$I$71,MATCH(AH$1,'[7]ISIC Crosswalk'!$K$2:$K$71,0),1),"'!","$A$7:$A$58")),0),MATCH(INDEX('[7]ISIC Crosswalk'!$J$2:$J$71,MATCH(AH1,'[7]ISIC Crosswalk'!$K$2:$K$71,0),1),INDIRECT(CONCATENATE("'","OECD TTL - ",INDEX('[7]ISIC Crosswalk'!$I$2:$I$71,MATCH(AH$1,'[7]ISIC Crosswalk'!$K$2:$K$71,0),1),"'!","$C$7:$BD$7")),0))*1000000*IF(INDEX('[7]ISIC Crosswalk'!$I$2:$I$71,MATCH(AH$1,'[7]ISIC Crosswalk'!$K$2:$K$71,0),1)=2021,[7]About!$A$26,[7]About!$A$25)</f>
        <v>35588826000</v>
      </c>
      <c r="AI2">
        <f ca="1">INDEX(INDIRECT(CONCATENATE("'","OECD TTL - ",INDEX('[7]ISIC Crosswalk'!$I$2:$I$71,MATCH(AI$1,'[7]ISIC Crosswalk'!$K$2:$K$71,0),1),"'!","$C$7:$BD$58")),MATCH("OUTPUT: Output at basic prices",INDIRECT(CONCATENATE("'","OECD TTL - ",INDEX('[7]ISIC Crosswalk'!$I$2:$I$71,MATCH(AI$1,'[7]ISIC Crosswalk'!$K$2:$K$71,0),1),"'!","$A$7:$A$58")),0),MATCH(INDEX('[7]ISIC Crosswalk'!$J$2:$J$71,MATCH(AI1,'[7]ISIC Crosswalk'!$K$2:$K$71,0),1),INDIRECT(CONCATENATE("'","OECD TTL - ",INDEX('[7]ISIC Crosswalk'!$I$2:$I$71,MATCH(AI$1,'[7]ISIC Crosswalk'!$K$2:$K$71,0),1),"'!","$C$7:$BD$7")),0))*1000000*IF(INDEX('[7]ISIC Crosswalk'!$I$2:$I$71,MATCH(AI$1,'[7]ISIC Crosswalk'!$K$2:$K$71,0),1)=2021,[7]About!$A$26,[7]About!$A$25)</f>
        <v>41416102000</v>
      </c>
      <c r="AJ2">
        <f ca="1">INDEX(INDIRECT(CONCATENATE("'","OECD TTL - ",INDEX('[7]ISIC Crosswalk'!$I$2:$I$71,MATCH(AJ$1,'[7]ISIC Crosswalk'!$K$2:$K$71,0),1),"'!","$C$7:$BD$58")),MATCH("OUTPUT: Output at basic prices",INDIRECT(CONCATENATE("'","OECD TTL - ",INDEX('[7]ISIC Crosswalk'!$I$2:$I$71,MATCH(AJ$1,'[7]ISIC Crosswalk'!$K$2:$K$71,0),1),"'!","$A$7:$A$58")),0),MATCH(INDEX('[7]ISIC Crosswalk'!$J$2:$J$71,MATCH(AJ1,'[7]ISIC Crosswalk'!$K$2:$K$71,0),1),INDIRECT(CONCATENATE("'","OECD TTL - ",INDEX('[7]ISIC Crosswalk'!$I$2:$I$71,MATCH(AJ$1,'[7]ISIC Crosswalk'!$K$2:$K$71,0),1),"'!","$C$7:$BD$7")),0))*1000000*IF(INDEX('[7]ISIC Crosswalk'!$I$2:$I$71,MATCH(AJ$1,'[7]ISIC Crosswalk'!$K$2:$K$71,0),1)=2021,[7]About!$A$26,[7]About!$A$25)</f>
        <v>149317077000</v>
      </c>
      <c r="AK2">
        <f ca="1">INDEX(INDIRECT(CONCATENATE("'","OECD TTL - ",INDEX('[7]ISIC Crosswalk'!$I$2:$I$71,MATCH(AK$1,'[7]ISIC Crosswalk'!$K$2:$K$71,0),1),"'!","$C$7:$BD$58")),MATCH("OUTPUT: Output at basic prices",INDIRECT(CONCATENATE("'","OECD TTL - ",INDEX('[7]ISIC Crosswalk'!$I$2:$I$71,MATCH(AK$1,'[7]ISIC Crosswalk'!$K$2:$K$71,0),1),"'!","$A$7:$A$58")),0),MATCH(INDEX('[7]ISIC Crosswalk'!$J$2:$J$71,MATCH(AK1,'[7]ISIC Crosswalk'!$K$2:$K$71,0),1),INDIRECT(CONCATENATE("'","OECD TTL - ",INDEX('[7]ISIC Crosswalk'!$I$2:$I$71,MATCH(AK$1,'[7]ISIC Crosswalk'!$K$2:$K$71,0),1),"'!","$C$7:$BD$7")),0))*1000000*IF(INDEX('[7]ISIC Crosswalk'!$I$2:$I$71,MATCH(AK$1,'[7]ISIC Crosswalk'!$K$2:$K$71,0),1)=2021,[7]About!$A$26,[7]About!$A$25)</f>
        <v>161103943000</v>
      </c>
      <c r="AL2">
        <f ca="1">INDEX(INDIRECT(CONCATENATE("'","OECD TTL - ",INDEX('[7]ISIC Crosswalk'!$I$2:$I$71,MATCH(AL$1,'[7]ISIC Crosswalk'!$K$2:$K$71,0),1),"'!","$C$7:$BD$58")),MATCH("OUTPUT: Output at basic prices",INDIRECT(CONCATENATE("'","OECD TTL - ",INDEX('[7]ISIC Crosswalk'!$I$2:$I$71,MATCH(AL$1,'[7]ISIC Crosswalk'!$K$2:$K$71,0),1),"'!","$A$7:$A$58")),0),MATCH(INDEX('[7]ISIC Crosswalk'!$J$2:$J$71,MATCH(AL1,'[7]ISIC Crosswalk'!$K$2:$K$71,0),1),INDIRECT(CONCATENATE("'","OECD TTL - ",INDEX('[7]ISIC Crosswalk'!$I$2:$I$71,MATCH(AL$1,'[7]ISIC Crosswalk'!$K$2:$K$71,0),1),"'!","$C$7:$BD$7")),0))*1000000*IF(INDEX('[7]ISIC Crosswalk'!$I$2:$I$71,MATCH(AL$1,'[7]ISIC Crosswalk'!$K$2:$K$71,0),1)=2021,[7]About!$A$26,[7]About!$A$25)</f>
        <v>145715504000</v>
      </c>
      <c r="AM2">
        <f ca="1">INDEX(INDIRECT(CONCATENATE("'","OECD TTL - ",INDEX('[7]ISIC Crosswalk'!$I$2:$I$71,MATCH(AM$1,'[7]ISIC Crosswalk'!$K$2:$K$71,0),1),"'!","$C$7:$BD$58")),MATCH("OUTPUT: Output at basic prices",INDIRECT(CONCATENATE("'","OECD TTL - ",INDEX('[7]ISIC Crosswalk'!$I$2:$I$71,MATCH(AM$1,'[7]ISIC Crosswalk'!$K$2:$K$71,0),1),"'!","$A$7:$A$58")),0),MATCH(INDEX('[7]ISIC Crosswalk'!$J$2:$J$71,MATCH(AM1,'[7]ISIC Crosswalk'!$K$2:$K$71,0),1),INDIRECT(CONCATENATE("'","OECD TTL - ",INDEX('[7]ISIC Crosswalk'!$I$2:$I$71,MATCH(AM$1,'[7]ISIC Crosswalk'!$K$2:$K$71,0),1),"'!","$C$7:$BD$7")),0))*1000000*IF(INDEX('[7]ISIC Crosswalk'!$I$2:$I$71,MATCH(AM$1,'[7]ISIC Crosswalk'!$K$2:$K$71,0),1)=2021,[7]About!$A$26,[7]About!$A$25)</f>
        <v>127571444000</v>
      </c>
      <c r="AN2">
        <f ca="1">INDEX(INDIRECT(CONCATENATE("'","OECD TTL - ",INDEX('[7]ISIC Crosswalk'!$I$2:$I$71,MATCH(AN$1,'[7]ISIC Crosswalk'!$K$2:$K$71,0),1),"'!","$C$7:$BD$58")),MATCH("OUTPUT: Output at basic prices",INDIRECT(CONCATENATE("'","OECD TTL - ",INDEX('[7]ISIC Crosswalk'!$I$2:$I$71,MATCH(AN$1,'[7]ISIC Crosswalk'!$K$2:$K$71,0),1),"'!","$A$7:$A$58")),0),MATCH(INDEX('[7]ISIC Crosswalk'!$J$2:$J$71,MATCH(AN1,'[7]ISIC Crosswalk'!$K$2:$K$71,0),1),INDIRECT(CONCATENATE("'","OECD TTL - ",INDEX('[7]ISIC Crosswalk'!$I$2:$I$71,MATCH(AN$1,'[7]ISIC Crosswalk'!$K$2:$K$71,0),1),"'!","$C$7:$BD$7")),0))*1000000*IF(INDEX('[7]ISIC Crosswalk'!$I$2:$I$71,MATCH(AN$1,'[7]ISIC Crosswalk'!$K$2:$K$71,0),1)=2021,[7]About!$A$26,[7]About!$A$25)</f>
        <v>108532151000</v>
      </c>
      <c r="AO2">
        <f ca="1">INDEX(INDIRECT(CONCATENATE("'","OECD TTL - ",INDEX('[7]ISIC Crosswalk'!$I$2:$I$71,MATCH(AO$1,'[7]ISIC Crosswalk'!$K$2:$K$71,0),1),"'!","$C$7:$BD$58")),MATCH("OUTPUT: Output at basic prices",INDIRECT(CONCATENATE("'","OECD TTL - ",INDEX('[7]ISIC Crosswalk'!$I$2:$I$71,MATCH(AO$1,'[7]ISIC Crosswalk'!$K$2:$K$71,0),1),"'!","$A$7:$A$58")),0),MATCH(INDEX('[7]ISIC Crosswalk'!$J$2:$J$71,MATCH(AO1,'[7]ISIC Crosswalk'!$K$2:$K$71,0),1),INDIRECT(CONCATENATE("'","OECD TTL - ",INDEX('[7]ISIC Crosswalk'!$I$2:$I$71,MATCH(AO$1,'[7]ISIC Crosswalk'!$K$2:$K$71,0),1),"'!","$C$7:$BD$7")),0))*1000000*IF(INDEX('[7]ISIC Crosswalk'!$I$2:$I$71,MATCH(AO$1,'[7]ISIC Crosswalk'!$K$2:$K$71,0),1)=2021,[7]About!$A$26,[7]About!$A$25)</f>
        <v>127008063000</v>
      </c>
      <c r="AP2">
        <f ca="1">INDEX(INDIRECT(CONCATENATE("'","OECD TTL - ",INDEX('[7]ISIC Crosswalk'!$I$2:$I$71,MATCH(AP$1,'[7]ISIC Crosswalk'!$K$2:$K$71,0),1),"'!","$C$7:$BD$58")),MATCH("OUTPUT: Output at basic prices",INDIRECT(CONCATENATE("'","OECD TTL - ",INDEX('[7]ISIC Crosswalk'!$I$2:$I$71,MATCH(AP$1,'[7]ISIC Crosswalk'!$K$2:$K$71,0),1),"'!","$A$7:$A$58")),0),MATCH(INDEX('[7]ISIC Crosswalk'!$J$2:$J$71,MATCH(AP1,'[7]ISIC Crosswalk'!$K$2:$K$71,0),1),INDIRECT(CONCATENATE("'","OECD TTL - ",INDEX('[7]ISIC Crosswalk'!$I$2:$I$71,MATCH(AP$1,'[7]ISIC Crosswalk'!$K$2:$K$71,0),1),"'!","$C$7:$BD$7")),0))*1000000*IF(INDEX('[7]ISIC Crosswalk'!$I$2:$I$71,MATCH(AP$1,'[7]ISIC Crosswalk'!$K$2:$K$71,0),1)=2021,[7]About!$A$26,[7]About!$A$25)</f>
        <v>57543376000</v>
      </c>
      <c r="AQ2">
        <f ca="1">INDEX(INDIRECT(CONCATENATE("'","OECD TTL - ",INDEX('[7]ISIC Crosswalk'!$I$2:$I$71,MATCH(AQ$1,'[7]ISIC Crosswalk'!$K$2:$K$71,0),1),"'!","$C$7:$BD$58")),MATCH("OUTPUT: Output at basic prices",INDIRECT(CONCATENATE("'","OECD TTL - ",INDEX('[7]ISIC Crosswalk'!$I$2:$I$71,MATCH(AQ$1,'[7]ISIC Crosswalk'!$K$2:$K$71,0),1),"'!","$A$7:$A$58")),0),MATCH(INDEX('[7]ISIC Crosswalk'!$J$2:$J$71,MATCH(AQ1,'[7]ISIC Crosswalk'!$K$2:$K$71,0),1),INDIRECT(CONCATENATE("'","OECD TTL - ",INDEX('[7]ISIC Crosswalk'!$I$2:$I$71,MATCH(AQ$1,'[7]ISIC Crosswalk'!$K$2:$K$71,0),1),"'!","$C$7:$BD$7")),0))*1000000*IF(INDEX('[7]ISIC Crosswalk'!$I$2:$I$71,MATCH(AQ$1,'[7]ISIC Crosswalk'!$K$2:$K$71,0),1)=2021,[7]About!$A$26,[7]About!$A$25)</f>
        <v>1831193000</v>
      </c>
    </row>
  </sheetData>
  <phoneticPr fontId="3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Q2"/>
  <sheetViews>
    <sheetView workbookViewId="0">
      <selection activeCell="A4" sqref="A4"/>
    </sheetView>
  </sheetViews>
  <sheetFormatPr defaultRowHeight="16.5" x14ac:dyDescent="0.3"/>
  <cols>
    <col min="1" max="1" width="26.375" customWidth="1"/>
    <col min="2" max="38" width="10.125" customWidth="1"/>
    <col min="39" max="40" width="12" bestFit="1" customWidth="1"/>
    <col min="41" max="41" width="10" bestFit="1" customWidth="1"/>
    <col min="42" max="42" width="11" bestFit="1" customWidth="1"/>
    <col min="43" max="43" width="9.25" bestFit="1" customWidth="1"/>
  </cols>
  <sheetData>
    <row r="1" spans="1:43" s="4" customFormat="1" x14ac:dyDescent="0.3">
      <c r="A1" s="6" t="s">
        <v>132</v>
      </c>
      <c r="B1" s="4" t="s">
        <v>8</v>
      </c>
      <c r="C1" s="35" t="s">
        <v>277</v>
      </c>
      <c r="D1" s="36" t="s">
        <v>278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35" t="s">
        <v>136</v>
      </c>
      <c r="M1" s="36" t="s">
        <v>137</v>
      </c>
      <c r="N1" s="4" t="s">
        <v>16</v>
      </c>
      <c r="O1" s="35" t="s">
        <v>506</v>
      </c>
      <c r="P1" s="36" t="s">
        <v>507</v>
      </c>
      <c r="Q1" s="35" t="s">
        <v>508</v>
      </c>
      <c r="R1" s="36" t="s">
        <v>509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53" t="s">
        <v>511</v>
      </c>
      <c r="AA1" s="54" t="s">
        <v>512</v>
      </c>
      <c r="AB1" s="55" t="s">
        <v>510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7.25" thickBot="1" x14ac:dyDescent="0.35">
      <c r="A2" t="s">
        <v>134</v>
      </c>
      <c r="B2">
        <f ca="1">INDEX(INDIRECT(CONCATENATE("'","OECD TTL - ",INDEX('ISIC Crosswalk'!$I$2:$I$71,MATCH(B$1,'ISIC Crosswalk'!$K$2:$K$71,0),1),"'!","$Ao$9:$Ax$58")),MATCH(INDEX('ISIC Crosswalk'!$J$2:$J$71,MATCH(B$1,'ISIC Crosswalk'!$K$2:$K$71,0),1),INDIRECT(CONCATENATE("'","OECD TTL - ",INDEX('ISIC Crosswalk'!$I$2:$I$71,MATCH(B$1,'ISIC Crosswalk'!$K$2:$K$71,0),1),"'!","$a$9:$a$58")),0),MATCH("GGFC: Final consumption expenditure of general government",INDIRECT(CONCATENATE("'","OECD TTL - ",INDEX('ISIC Crosswalk'!$I$2:$I$71,MATCH(B$1,'ISIC Crosswalk'!$K$2:$K$71,0),1),"'!","$Ao$7:$Ax$7")),0))*1000000*IF(INDEX('ISIC Crosswalk'!$I$2:$I$71,MATCH(B$1,'ISIC Crosswalk'!$K$2:$K$71,0),1)=2023,About!$A$34,About!$A$32)</f>
        <v>737844752.9080193</v>
      </c>
      <c r="C2" s="51">
        <f>('OECD TTL - 2023'!$AX$11*BObIC!C2/SUM(BObIC!$C$2:$D$2)*1000000)*(About!$A$34)</f>
        <v>169864.50876990761</v>
      </c>
      <c r="D2" s="51">
        <f>('OECD TTL - 2023'!$AX$11*BObIC!D2/SUM(BObIC!$C$2:$D$2)*1000000)*(About!$A$34)</f>
        <v>96268.692678253428</v>
      </c>
      <c r="E2">
        <f ca="1">INDEX(INDIRECT(CONCATENATE("'","OECD TTL - ",INDEX('ISIC Crosswalk'!$I$2:$I$71,MATCH(E$1,'ISIC Crosswalk'!$K$2:$K$71,0),1),"'!","$Ao$9:$Ax$58")),MATCH(INDEX('ISIC Crosswalk'!$J$2:$J$71,MATCH(E$1,'ISIC Crosswalk'!$K$2:$K$71,0),1),INDIRECT(CONCATENATE("'","OECD TTL - ",INDEX('ISIC Crosswalk'!$I$2:$I$71,MATCH(E$1,'ISIC Crosswalk'!$K$2:$K$71,0),1),"'!","$a$9:$a$58")),0),MATCH("GGFC: Final consumption expenditure of general government",INDIRECT(CONCATENATE("'","OECD TTL - ",INDEX('ISIC Crosswalk'!$I$2:$I$71,MATCH(E$1,'ISIC Crosswalk'!$K$2:$K$71,0),1),"'!","$Ao$7:$Ax$7")),0))*1000000*IF(INDEX('ISIC Crosswalk'!$I$2:$I$71,MATCH(E$1,'ISIC Crosswalk'!$K$2:$K$71,0),1)=2023,About!$A$34,About!$A$32)</f>
        <v>266133.20144816104</v>
      </c>
      <c r="F2">
        <f ca="1">INDEX(INDIRECT(CONCATENATE("'","OECD TTL - ",INDEX('ISIC Crosswalk'!$I$2:$I$71,MATCH(F$1,'ISIC Crosswalk'!$K$2:$K$71,0),1),"'!","$Ao$9:$Ax$58")),MATCH(INDEX('ISIC Crosswalk'!$J$2:$J$71,MATCH(F$1,'ISIC Crosswalk'!$K$2:$K$71,0),1),INDIRECT(CONCATENATE("'","OECD TTL - ",INDEX('ISIC Crosswalk'!$I$2:$I$71,MATCH(F$1,'ISIC Crosswalk'!$K$2:$K$71,0),1),"'!","$a$9:$a$58")),0),MATCH("GGFC: Final consumption expenditure of general government",INDIRECT(CONCATENATE("'","OECD TTL - ",INDEX('ISIC Crosswalk'!$I$2:$I$71,MATCH(F$1,'ISIC Crosswalk'!$K$2:$K$71,0),1),"'!","$Ao$7:$Ax$7")),0))*1000000*IF(INDEX('ISIC Crosswalk'!$I$2:$I$71,MATCH(F$1,'ISIC Crosswalk'!$K$2:$K$71,0),1)=2023,About!$A$34,About!$A$32)</f>
        <v>88711.067149387018</v>
      </c>
      <c r="G2">
        <f ca="1">INDEX(INDIRECT(CONCATENATE("'","OECD TTL - ",INDEX('ISIC Crosswalk'!$I$2:$I$71,MATCH(G$1,'ISIC Crosswalk'!$K$2:$K$71,0),1),"'!","$Ao$9:$Ax$58")),MATCH(INDEX('ISIC Crosswalk'!$J$2:$J$71,MATCH(G$1,'ISIC Crosswalk'!$K$2:$K$71,0),1),INDIRECT(CONCATENATE("'","OECD TTL - ",INDEX('ISIC Crosswalk'!$I$2:$I$71,MATCH(G$1,'ISIC Crosswalk'!$K$2:$K$71,0),1),"'!","$a$9:$a$58")),0),MATCH("GGFC: Final consumption expenditure of general government",INDIRECT(CONCATENATE("'","OECD TTL - ",INDEX('ISIC Crosswalk'!$I$2:$I$71,MATCH(G$1,'ISIC Crosswalk'!$K$2:$K$71,0),1),"'!","$Ao$7:$Ax$7")),0))*1000000*IF(INDEX('ISIC Crosswalk'!$I$2:$I$71,MATCH(G$1,'ISIC Crosswalk'!$K$2:$K$71,0),1)=2023,About!$A$34,About!$A$32)</f>
        <v>982652490.81375992</v>
      </c>
      <c r="H2">
        <f ca="1">INDEX(INDIRECT(CONCATENATE("'","OECD TTL - ",INDEX('ISIC Crosswalk'!$I$2:$I$71,MATCH(H$1,'ISIC Crosswalk'!$K$2:$K$71,0),1),"'!","$Ao$9:$Ax$58")),MATCH(INDEX('ISIC Crosswalk'!$J$2:$J$71,MATCH(H$1,'ISIC Crosswalk'!$K$2:$K$71,0),1),INDIRECT(CONCATENATE("'","OECD TTL - ",INDEX('ISIC Crosswalk'!$I$2:$I$71,MATCH(H$1,'ISIC Crosswalk'!$K$2:$K$71,0),1),"'!","$a$9:$a$58")),0),MATCH("GGFC: Final consumption expenditure of general government",INDIRECT(CONCATENATE("'","OECD TTL - ",INDEX('ISIC Crosswalk'!$I$2:$I$71,MATCH(H$1,'ISIC Crosswalk'!$K$2:$K$71,0),1),"'!","$Ao$7:$Ax$7")),0))*1000000*IF(INDEX('ISIC Crosswalk'!$I$2:$I$71,MATCH(H$1,'ISIC Crosswalk'!$K$2:$K$71,0),1)=2023,About!$A$34,About!$A$32)</f>
        <v>1774221.3429877402</v>
      </c>
      <c r="I2">
        <f ca="1">INDEX(INDIRECT(CONCATENATE("'","OECD TTL - ",INDEX('ISIC Crosswalk'!$I$2:$I$71,MATCH(I$1,'ISIC Crosswalk'!$K$2:$K$71,0),1),"'!","$Ao$9:$Ax$58")),MATCH(INDEX('ISIC Crosswalk'!$J$2:$J$71,MATCH(I$1,'ISIC Crosswalk'!$K$2:$K$71,0),1),INDIRECT(CONCATENATE("'","OECD TTL - ",INDEX('ISIC Crosswalk'!$I$2:$I$71,MATCH(I$1,'ISIC Crosswalk'!$K$2:$K$71,0),1),"'!","$a$9:$a$58")),0),MATCH("GGFC: Final consumption expenditure of general government",INDIRECT(CONCATENATE("'","OECD TTL - ",INDEX('ISIC Crosswalk'!$I$2:$I$71,MATCH(I$1,'ISIC Crosswalk'!$K$2:$K$71,0),1),"'!","$Ao$7:$Ax$7")),0))*1000000*IF(INDEX('ISIC Crosswalk'!$I$2:$I$71,MATCH(I$1,'ISIC Crosswalk'!$K$2:$K$71,0),1)=2023,About!$A$34,About!$A$32)</f>
        <v>266133.20144816104</v>
      </c>
      <c r="J2">
        <f ca="1">INDEX(INDIRECT(CONCATENATE("'","OECD TTL - ",INDEX('ISIC Crosswalk'!$I$2:$I$71,MATCH(J$1,'ISIC Crosswalk'!$K$2:$K$71,0),1),"'!","$Ao$9:$Ax$58")),MATCH(INDEX('ISIC Crosswalk'!$J$2:$J$71,MATCH(J$1,'ISIC Crosswalk'!$K$2:$K$71,0),1),INDIRECT(CONCATENATE("'","OECD TTL - ",INDEX('ISIC Crosswalk'!$I$2:$I$71,MATCH(J$1,'ISIC Crosswalk'!$K$2:$K$71,0),1),"'!","$a$9:$a$58")),0),MATCH("GGFC: Final consumption expenditure of general government",INDIRECT(CONCATENATE("'","OECD TTL - ",INDEX('ISIC Crosswalk'!$I$2:$I$71,MATCH(J$1,'ISIC Crosswalk'!$K$2:$K$71,0),1),"'!","$Ao$7:$Ax$7")),0))*1000000*IF(INDEX('ISIC Crosswalk'!$I$2:$I$71,MATCH(J$1,'ISIC Crosswalk'!$K$2:$K$71,0),1)=2023,About!$A$34,About!$A$32)</f>
        <v>887110.67149387009</v>
      </c>
      <c r="K2">
        <f ca="1">INDEX(INDIRECT(CONCATENATE("'","OECD TTL - ",INDEX('ISIC Crosswalk'!$I$2:$I$71,MATCH(K$1,'ISIC Crosswalk'!$K$2:$K$71,0),1),"'!","$Ao$9:$Ax$58")),MATCH(INDEX('ISIC Crosswalk'!$J$2:$J$71,MATCH(K$1,'ISIC Crosswalk'!$K$2:$K$71,0),1),INDIRECT(CONCATENATE("'","OECD TTL - ",INDEX('ISIC Crosswalk'!$I$2:$I$71,MATCH(K$1,'ISIC Crosswalk'!$K$2:$K$71,0),1),"'!","$a$9:$a$58")),0),MATCH("GGFC: Final consumption expenditure of general government",INDIRECT(CONCATENATE("'","OECD TTL - ",INDEX('ISIC Crosswalk'!$I$2:$I$71,MATCH(K$1,'ISIC Crosswalk'!$K$2:$K$71,0),1),"'!","$Ao$7:$Ax$7")),0))*1000000*IF(INDEX('ISIC Crosswalk'!$I$2:$I$71,MATCH(K$1,'ISIC Crosswalk'!$K$2:$K$71,0),1)=2023,About!$A$34,About!$A$32)</f>
        <v>709688.53719509614</v>
      </c>
      <c r="L2">
        <f ca="1">INDEX(INDIRECT(CONCATENATE("'","OECD TTL - ",INDEX('ISIC Crosswalk'!$I$2:$I$71,MATCH(L$1,'ISIC Crosswalk'!$K$2:$K$71,0),1),"'!","$Ao$9:$Ax$58")),MATCH(INDEX('ISIC Crosswalk'!$J$2:$J$71,MATCH(L$1,'ISIC Crosswalk'!$K$2:$K$71,0),1),INDIRECT(CONCATENATE("'","OECD TTL - ",INDEX('ISIC Crosswalk'!$I$2:$I$71,MATCH(L$1,'ISIC Crosswalk'!$K$2:$K$71,0),1),"'!","$a$9:$a$58")),0),MATCH("GGFC: Final consumption expenditure of general government",INDIRECT(CONCATENATE("'","OECD TTL - ",INDEX('ISIC Crosswalk'!$I$2:$I$71,MATCH(L$1,'ISIC Crosswalk'!$K$2:$K$71,0),1),"'!","$Ao$7:$Ax$7")),0))*1000000*IF(INDEX('ISIC Crosswalk'!$I$2:$I$71,MATCH(L$1,'ISIC Crosswalk'!$K$2:$K$71,0),1)=2023,About!$A$34,About!$A$32)</f>
        <v>17564791.295578629</v>
      </c>
      <c r="M2">
        <f ca="1">INDEX(INDIRECT(CONCATENATE("'","OECD TTL - ",INDEX('ISIC Crosswalk'!$I$2:$I$71,MATCH(M$1,'ISIC Crosswalk'!$K$2:$K$71,0),1),"'!","$Ao$9:$Ax$58")),MATCH(INDEX('ISIC Crosswalk'!$J$2:$J$71,MATCH(M$1,'ISIC Crosswalk'!$K$2:$K$71,0),1),INDIRECT(CONCATENATE("'","OECD TTL - ",INDEX('ISIC Crosswalk'!$I$2:$I$71,MATCH(M$1,'ISIC Crosswalk'!$K$2:$K$71,0),1),"'!","$a$9:$a$58")),0),MATCH("GGFC: Final consumption expenditure of general government",INDIRECT(CONCATENATE("'","OECD TTL - ",INDEX('ISIC Crosswalk'!$I$2:$I$71,MATCH(M$1,'ISIC Crosswalk'!$K$2:$K$71,0),1),"'!","$Ao$7:$Ax$7")),0))*1000000*IF(INDEX('ISIC Crosswalk'!$I$2:$I$71,MATCH(M$1,'ISIC Crosswalk'!$K$2:$K$71,0),1)=2023,About!$A$34,About!$A$32)</f>
        <v>1468523005.5909526</v>
      </c>
      <c r="N2">
        <f ca="1">INDEX(INDIRECT(CONCATENATE("'","OECD TTL - ",INDEX('ISIC Crosswalk'!$I$2:$I$71,MATCH(N$1,'ISIC Crosswalk'!$K$2:$K$71,0),1),"'!","$Ao$9:$Ax$58")),MATCH(INDEX('ISIC Crosswalk'!$J$2:$J$71,MATCH(N$1,'ISIC Crosswalk'!$K$2:$K$71,0),1),INDIRECT(CONCATENATE("'","OECD TTL - ",INDEX('ISIC Crosswalk'!$I$2:$I$71,MATCH(N$1,'ISIC Crosswalk'!$K$2:$K$71,0),1),"'!","$a$9:$a$58")),0),MATCH("GGFC: Final consumption expenditure of general government",INDIRECT(CONCATENATE("'","OECD TTL - ",INDEX('ISIC Crosswalk'!$I$2:$I$71,MATCH(N$1,'ISIC Crosswalk'!$K$2:$K$71,0),1),"'!","$Ao$7:$Ax$7")),0))*1000000*IF(INDEX('ISIC Crosswalk'!$I$2:$I$71,MATCH(N$1,'ISIC Crosswalk'!$K$2:$K$71,0),1)=2023,About!$A$34,About!$A$32)</f>
        <v>2306487.7458840623</v>
      </c>
      <c r="O2" s="51">
        <f>('OECD TTL - 2023'!$AX22*BObIC!O2/SUM(BObIC!$O$2:$P$2)*1000000)*(About!$A$34)</f>
        <v>490932.47880198073</v>
      </c>
      <c r="P2" s="51">
        <f>('OECD TTL - 2023'!$AX22*BObIC!P2/SUM(BObIC!$O$2:$P$2)*1000000)*(About!$A$34)</f>
        <v>1017155.6627375988</v>
      </c>
      <c r="Q2" s="51">
        <f>('OECD TTL - 2023'!$AX23*BObIC!Q2/SUM(BObIC!$Q$2:$R$2)*1000000)*(About!$A$34)</f>
        <v>766602.50456235022</v>
      </c>
      <c r="R2" s="51">
        <f>('OECD TTL - 2023'!$AX23*BObIC!R2/SUM(BObIC!$Q$2:$R$2)*1000000)*(About!$A$34)</f>
        <v>209219.23408090713</v>
      </c>
      <c r="S2">
        <f ca="1">INDEX(INDIRECT(CONCATENATE("'","OECD TTL - ",INDEX('ISIC Crosswalk'!$I$2:$I$71,MATCH(S$1,'ISIC Crosswalk'!$K$2:$K$71,0),1),"'!","$Ao$9:$Ax$58")),MATCH(INDEX('ISIC Crosswalk'!$J$2:$J$71,MATCH(S$1,'ISIC Crosswalk'!$K$2:$K$71,0),1),INDIRECT(CONCATENATE("'","OECD TTL - ",INDEX('ISIC Crosswalk'!$I$2:$I$71,MATCH(S$1,'ISIC Crosswalk'!$K$2:$K$71,0),1),"'!","$a$9:$a$58")),0),MATCH("GGFC: Final consumption expenditure of general government",INDIRECT(CONCATENATE("'","OECD TTL - ",INDEX('ISIC Crosswalk'!$I$2:$I$71,MATCH(S$1,'ISIC Crosswalk'!$K$2:$K$71,0),1),"'!","$Ao$7:$Ax$7")),0))*1000000*IF(INDEX('ISIC Crosswalk'!$I$2:$I$71,MATCH(S$1,'ISIC Crosswalk'!$K$2:$K$71,0),1)=2023,About!$A$34,About!$A$32)</f>
        <v>2750043.0816309974</v>
      </c>
      <c r="T2">
        <f ca="1">INDEX(INDIRECT(CONCATENATE("'","OECD TTL - ",INDEX('ISIC Crosswalk'!$I$2:$I$71,MATCH(T$1,'ISIC Crosswalk'!$K$2:$K$71,0),1),"'!","$Ao$9:$Ax$58")),MATCH(INDEX('ISIC Crosswalk'!$J$2:$J$71,MATCH(T$1,'ISIC Crosswalk'!$K$2:$K$71,0),1),INDIRECT(CONCATENATE("'","OECD TTL - ",INDEX('ISIC Crosswalk'!$I$2:$I$71,MATCH(T$1,'ISIC Crosswalk'!$K$2:$K$71,0),1),"'!","$a$9:$a$58")),0),MATCH("GGFC: Final consumption expenditure of general government",INDIRECT(CONCATENATE("'","OECD TTL - ",INDEX('ISIC Crosswalk'!$I$2:$I$71,MATCH(T$1,'ISIC Crosswalk'!$K$2:$K$71,0),1),"'!","$Ao$7:$Ax$7")),0))*1000000*IF(INDEX('ISIC Crosswalk'!$I$2:$I$71,MATCH(T$1,'ISIC Crosswalk'!$K$2:$K$71,0),1)=2023,About!$A$34,About!$A$32)</f>
        <v>29274652.159297716</v>
      </c>
      <c r="U2">
        <f ca="1">INDEX(INDIRECT(CONCATENATE("'","OECD TTL - ",INDEX('ISIC Crosswalk'!$I$2:$I$71,MATCH(U$1,'ISIC Crosswalk'!$K$2:$K$71,0),1),"'!","$Ao$9:$Ax$58")),MATCH(INDEX('ISIC Crosswalk'!$J$2:$J$71,MATCH(U$1,'ISIC Crosswalk'!$K$2:$K$71,0),1),INDIRECT(CONCATENATE("'","OECD TTL - ",INDEX('ISIC Crosswalk'!$I$2:$I$71,MATCH(U$1,'ISIC Crosswalk'!$K$2:$K$71,0),1),"'!","$a$9:$a$58")),0),MATCH("GGFC: Final consumption expenditure of general government",INDIRECT(CONCATENATE("'","OECD TTL - ",INDEX('ISIC Crosswalk'!$I$2:$I$71,MATCH(U$1,'ISIC Crosswalk'!$K$2:$K$71,0),1),"'!","$Ao$7:$Ax$7")),0))*1000000*IF(INDEX('ISIC Crosswalk'!$I$2:$I$71,MATCH(U$1,'ISIC Crosswalk'!$K$2:$K$71,0),1)=2023,About!$A$34,About!$A$32)</f>
        <v>2572620.9473322234</v>
      </c>
      <c r="V2">
        <f ca="1">INDEX(INDIRECT(CONCATENATE("'","OECD TTL - ",INDEX('ISIC Crosswalk'!$I$2:$I$71,MATCH(V$1,'ISIC Crosswalk'!$K$2:$K$71,0),1),"'!","$Ao$9:$Ax$58")),MATCH(INDEX('ISIC Crosswalk'!$J$2:$J$71,MATCH(V$1,'ISIC Crosswalk'!$K$2:$K$71,0),1),INDIRECT(CONCATENATE("'","OECD TTL - ",INDEX('ISIC Crosswalk'!$I$2:$I$71,MATCH(V$1,'ISIC Crosswalk'!$K$2:$K$71,0),1),"'!","$a$9:$a$58")),0),MATCH("GGFC: Final consumption expenditure of general government",INDIRECT(CONCATENATE("'","OECD TTL - ",INDEX('ISIC Crosswalk'!$I$2:$I$71,MATCH(V$1,'ISIC Crosswalk'!$K$2:$K$71,0),1),"'!","$Ao$7:$Ax$7")),0))*1000000*IF(INDEX('ISIC Crosswalk'!$I$2:$I$71,MATCH(V$1,'ISIC Crosswalk'!$K$2:$K$71,0),1)=2023,About!$A$34,About!$A$32)</f>
        <v>5588797.2304113815</v>
      </c>
      <c r="W2">
        <f ca="1">INDEX(INDIRECT(CONCATENATE("'","OECD TTL - ",INDEX('ISIC Crosswalk'!$I$2:$I$71,MATCH(W$1,'ISIC Crosswalk'!$K$2:$K$71,0),1),"'!","$Ao$9:$Ax$58")),MATCH(INDEX('ISIC Crosswalk'!$J$2:$J$71,MATCH(W$1,'ISIC Crosswalk'!$K$2:$K$71,0),1),INDIRECT(CONCATENATE("'","OECD TTL - ",INDEX('ISIC Crosswalk'!$I$2:$I$71,MATCH(W$1,'ISIC Crosswalk'!$K$2:$K$71,0),1),"'!","$a$9:$a$58")),0),MATCH("GGFC: Final consumption expenditure of general government",INDIRECT(CONCATENATE("'","OECD TTL - ",INDEX('ISIC Crosswalk'!$I$2:$I$71,MATCH(W$1,'ISIC Crosswalk'!$K$2:$K$71,0),1),"'!","$Ao$7:$Ax$7")),0))*1000000*IF(INDEX('ISIC Crosswalk'!$I$2:$I$71,MATCH(W$1,'ISIC Crosswalk'!$K$2:$K$71,0),1)=2023,About!$A$34,About!$A$32)</f>
        <v>8427551.3791917656</v>
      </c>
      <c r="X2">
        <f ca="1">INDEX(INDIRECT(CONCATENATE("'","OECD TTL - ",INDEX('ISIC Crosswalk'!$I$2:$I$71,MATCH(X$1,'ISIC Crosswalk'!$K$2:$K$71,0),1),"'!","$Ao$9:$Ax$58")),MATCH(INDEX('ISIC Crosswalk'!$J$2:$J$71,MATCH(X$1,'ISIC Crosswalk'!$K$2:$K$71,0),1),INDIRECT(CONCATENATE("'","OECD TTL - ",INDEX('ISIC Crosswalk'!$I$2:$I$71,MATCH(X$1,'ISIC Crosswalk'!$K$2:$K$71,0),1),"'!","$a$9:$a$58")),0),MATCH("GGFC: Final consumption expenditure of general government",INDIRECT(CONCATENATE("'","OECD TTL - ",INDEX('ISIC Crosswalk'!$I$2:$I$71,MATCH(X$1,'ISIC Crosswalk'!$K$2:$K$71,0),1),"'!","$Ao$7:$Ax$7")),0))*1000000*IF(INDEX('ISIC Crosswalk'!$I$2:$I$71,MATCH(X$1,'ISIC Crosswalk'!$K$2:$K$71,0),1)=2023,About!$A$34,About!$A$32)</f>
        <v>443555.33574693504</v>
      </c>
      <c r="Y2">
        <f ca="1">INDEX(INDIRECT(CONCATENATE("'","OECD TTL - ",INDEX('ISIC Crosswalk'!$I$2:$I$71,MATCH(Y$1,'ISIC Crosswalk'!$K$2:$K$71,0),1),"'!","$Ao$9:$Ax$58")),MATCH(INDEX('ISIC Crosswalk'!$J$2:$J$71,MATCH(Y$1,'ISIC Crosswalk'!$K$2:$K$71,0),1),INDIRECT(CONCATENATE("'","OECD TTL - ",INDEX('ISIC Crosswalk'!$I$2:$I$71,MATCH(Y$1,'ISIC Crosswalk'!$K$2:$K$71,0),1),"'!","$a$9:$a$58")),0),MATCH("GGFC: Final consumption expenditure of general government",INDIRECT(CONCATENATE("'","OECD TTL - ",INDEX('ISIC Crosswalk'!$I$2:$I$71,MATCH(Y$1,'ISIC Crosswalk'!$K$2:$K$71,0),1),"'!","$Ao$7:$Ax$7")),0))*1000000*IF(INDEX('ISIC Crosswalk'!$I$2:$I$71,MATCH(Y$1,'ISIC Crosswalk'!$K$2:$K$71,0),1)=2023,About!$A$34,About!$A$32)</f>
        <v>3104887.3502285453</v>
      </c>
      <c r="Z2" s="70">
        <f>('OECD TTL - 2023'!$AX31*BObIC!Z2/SUM(BObIC!$Z$2:$AA$2)*1000000)*(About!$A$34)</f>
        <v>801005.27694771765</v>
      </c>
      <c r="AA2" s="70">
        <f>('OECD TTL - 2023'!$AX31*BObIC!AA2/SUM(BObIC!$Z$2:$AA$2)*1000000)*(About!$A$34)</f>
        <v>263527.52884492645</v>
      </c>
      <c r="AB2">
        <f ca="1">INDEX(INDIRECT(CONCATENATE("'","OECD TTL - ",INDEX('ISIC Crosswalk'!$I$2:$I$71,MATCH(AB$1,'ISIC Crosswalk'!$K$2:$K$71,0),1),"'!","$Ao$9:$Ax$58")),MATCH(INDEX('ISIC Crosswalk'!$J$2:$J$71,MATCH(AB$1,'ISIC Crosswalk'!$K$2:$K$71,0),1),INDIRECT(CONCATENATE("'","OECD TTL - ",INDEX('ISIC Crosswalk'!$I$2:$I$71,MATCH(AB$1,'ISIC Crosswalk'!$K$2:$K$71,0),1),"'!","$a$9:$a$58")),0),MATCH("GGFC: Final consumption expenditure of general government",INDIRECT(CONCATENATE("'","OECD TTL - ",INDEX('ISIC Crosswalk'!$I$2:$I$71,MATCH(AB$1,'ISIC Crosswalk'!$K$2:$K$71,0),1),"'!","$Ao$7:$Ax$7")),0))*1000000*IF(INDEX('ISIC Crosswalk'!$I$2:$I$71,MATCH(AB$1,'ISIC Crosswalk'!$K$2:$K$71,0),1)=2023,About!$A$34,About!$A$32)</f>
        <v>779681569.17596245</v>
      </c>
      <c r="AC2">
        <f ca="1">INDEX(INDIRECT(CONCATENATE("'","OECD TTL - ",INDEX('ISIC Crosswalk'!$I$2:$I$71,MATCH(AC$1,'ISIC Crosswalk'!$K$2:$K$71,0),1),"'!","$Ao$9:$Ax$58")),MATCH(INDEX('ISIC Crosswalk'!$J$2:$J$71,MATCH(AC$1,'ISIC Crosswalk'!$K$2:$K$71,0),1),INDIRECT(CONCATENATE("'","OECD TTL - ",INDEX('ISIC Crosswalk'!$I$2:$I$71,MATCH(AC$1,'ISIC Crosswalk'!$K$2:$K$71,0),1),"'!","$a$9:$a$58")),0),MATCH("GGFC: Final consumption expenditure of general government",INDIRECT(CONCATENATE("'","OECD TTL - ",INDEX('ISIC Crosswalk'!$I$2:$I$71,MATCH(AC$1,'ISIC Crosswalk'!$K$2:$K$71,0),1),"'!","$Ao$7:$Ax$7")),0))*1000000*IF(INDEX('ISIC Crosswalk'!$I$2:$I$71,MATCH(AC$1,'ISIC Crosswalk'!$K$2:$K$71,0),1)=2023,About!$A$34,About!$A$32)</f>
        <v>3637153.7531248671</v>
      </c>
      <c r="AD2">
        <f ca="1">INDEX(INDIRECT(CONCATENATE("'","OECD TTL - ",INDEX('ISIC Crosswalk'!$I$2:$I$71,MATCH(AD$1,'ISIC Crosswalk'!$K$2:$K$71,0),1),"'!","$Ao$9:$Ax$58")),MATCH(INDEX('ISIC Crosswalk'!$J$2:$J$71,MATCH(AD$1,'ISIC Crosswalk'!$K$2:$K$71,0),1),INDIRECT(CONCATENATE("'","OECD TTL - ",INDEX('ISIC Crosswalk'!$I$2:$I$71,MATCH(AD$1,'ISIC Crosswalk'!$K$2:$K$71,0),1),"'!","$a$9:$a$58")),0),MATCH("GGFC: Final consumption expenditure of general government",INDIRECT(CONCATENATE("'","OECD TTL - ",INDEX('ISIC Crosswalk'!$I$2:$I$71,MATCH(AD$1,'ISIC Crosswalk'!$K$2:$K$71,0),1),"'!","$Ao$7:$Ax$7")),0))*1000000*IF(INDEX('ISIC Crosswalk'!$I$2:$I$71,MATCH(AD$1,'ISIC Crosswalk'!$K$2:$K$71,0),1)=2023,About!$A$34,About!$A$32)</f>
        <v>1021419227.1580421</v>
      </c>
      <c r="AE2">
        <f ca="1">INDEX(INDIRECT(CONCATENATE("'","OECD TTL - ",INDEX('ISIC Crosswalk'!$I$2:$I$71,MATCH(AE$1,'ISIC Crosswalk'!$K$2:$K$71,0),1),"'!","$Ao$9:$Ax$58")),MATCH(INDEX('ISIC Crosswalk'!$J$2:$J$71,MATCH(AE$1,'ISIC Crosswalk'!$K$2:$K$71,0),1),INDIRECT(CONCATENATE("'","OECD TTL - ",INDEX('ISIC Crosswalk'!$I$2:$I$71,MATCH(AE$1,'ISIC Crosswalk'!$K$2:$K$71,0),1),"'!","$a$9:$a$58")),0),MATCH("GGFC: Final consumption expenditure of general government",INDIRECT(CONCATENATE("'","OECD TTL - ",INDEX('ISIC Crosswalk'!$I$2:$I$71,MATCH(AE$1,'ISIC Crosswalk'!$K$2:$K$71,0),1),"'!","$Ao$7:$Ax$7")),0))*1000000*IF(INDEX('ISIC Crosswalk'!$I$2:$I$71,MATCH(AE$1,'ISIC Crosswalk'!$K$2:$K$71,0),1)=2023,About!$A$34,About!$A$32)</f>
        <v>4890001440.4030094</v>
      </c>
      <c r="AF2">
        <f ca="1">INDEX(INDIRECT(CONCATENATE("'","OECD TTL - ",INDEX('ISIC Crosswalk'!$I$2:$I$71,MATCH(AF$1,'ISIC Crosswalk'!$K$2:$K$71,0),1),"'!","$Ao$9:$Ax$58")),MATCH(INDEX('ISIC Crosswalk'!$J$2:$J$71,MATCH(AF$1,'ISIC Crosswalk'!$K$2:$K$71,0),1),INDIRECT(CONCATENATE("'","OECD TTL - ",INDEX('ISIC Crosswalk'!$I$2:$I$71,MATCH(AF$1,'ISIC Crosswalk'!$K$2:$K$71,0),1),"'!","$a$9:$a$58")),0),MATCH("GGFC: Final consumption expenditure of general government",INDIRECT(CONCATENATE("'","OECD TTL - ",INDEX('ISIC Crosswalk'!$I$2:$I$71,MATCH(AF$1,'ISIC Crosswalk'!$K$2:$K$71,0),1),"'!","$Ao$7:$Ax$7")),0))*1000000*IF(INDEX('ISIC Crosswalk'!$I$2:$I$71,MATCH(AF$1,'ISIC Crosswalk'!$K$2:$K$71,0),1)=2023,About!$A$34,About!$A$32)</f>
        <v>2101742602.9032772</v>
      </c>
      <c r="AG2">
        <f ca="1">INDEX(INDIRECT(CONCATENATE("'","OECD TTL - ",INDEX('ISIC Crosswalk'!$I$2:$I$71,MATCH(AG$1,'ISIC Crosswalk'!$K$2:$K$71,0),1),"'!","$Ao$9:$Ax$58")),MATCH(INDEX('ISIC Crosswalk'!$J$2:$J$71,MATCH(AG$1,'ISIC Crosswalk'!$K$2:$K$71,0),1),INDIRECT(CONCATENATE("'","OECD TTL - ",INDEX('ISIC Crosswalk'!$I$2:$I$71,MATCH(AG$1,'ISIC Crosswalk'!$K$2:$K$71,0),1),"'!","$a$9:$a$58")),0),MATCH("GGFC: Final consumption expenditure of general government",INDIRECT(CONCATENATE("'","OECD TTL - ",INDEX('ISIC Crosswalk'!$I$2:$I$71,MATCH(AG$1,'ISIC Crosswalk'!$K$2:$K$71,0),1),"'!","$Ao$7:$Ax$7")),0))*1000000*IF(INDEX('ISIC Crosswalk'!$I$2:$I$71,MATCH(AG$1,'ISIC Crosswalk'!$K$2:$K$71,0),1)=2023,About!$A$34,About!$A$32)</f>
        <v>17476080.228429243</v>
      </c>
      <c r="AH2">
        <f ca="1">INDEX(INDIRECT(CONCATENATE("'","OECD TTL - ",INDEX('ISIC Crosswalk'!$I$2:$I$71,MATCH(AH$1,'ISIC Crosswalk'!$K$2:$K$71,0),1),"'!","$Ao$9:$Ax$58")),MATCH(INDEX('ISIC Crosswalk'!$J$2:$J$71,MATCH(AH$1,'ISIC Crosswalk'!$K$2:$K$71,0),1),INDIRECT(CONCATENATE("'","OECD TTL - ",INDEX('ISIC Crosswalk'!$I$2:$I$71,MATCH(AH$1,'ISIC Crosswalk'!$K$2:$K$71,0),1),"'!","$a$9:$a$58")),0),MATCH("GGFC: Final consumption expenditure of general government",INDIRECT(CONCATENATE("'","OECD TTL - ",INDEX('ISIC Crosswalk'!$I$2:$I$71,MATCH(AH$1,'ISIC Crosswalk'!$K$2:$K$71,0),1),"'!","$Ao$7:$Ax$7")),0))*1000000*IF(INDEX('ISIC Crosswalk'!$I$2:$I$71,MATCH(AH$1,'ISIC Crosswalk'!$K$2:$K$71,0),1)=2023,About!$A$34,About!$A$32)</f>
        <v>887110.67149387009</v>
      </c>
      <c r="AI2">
        <f ca="1">INDEX(INDIRECT(CONCATENATE("'","OECD TTL - ",INDEX('ISIC Crosswalk'!$I$2:$I$71,MATCH(AI$1,'ISIC Crosswalk'!$K$2:$K$71,0),1),"'!","$Ao$9:$Ax$58")),MATCH(INDEX('ISIC Crosswalk'!$J$2:$J$71,MATCH(AI$1,'ISIC Crosswalk'!$K$2:$K$71,0),1),INDIRECT(CONCATENATE("'","OECD TTL - ",INDEX('ISIC Crosswalk'!$I$2:$I$71,MATCH(AI$1,'ISIC Crosswalk'!$K$2:$K$71,0),1),"'!","$a$9:$a$58")),0),MATCH("GGFC: Final consumption expenditure of general government",INDIRECT(CONCATENATE("'","OECD TTL - ",INDEX('ISIC Crosswalk'!$I$2:$I$71,MATCH(AI$1,'ISIC Crosswalk'!$K$2:$K$71,0),1),"'!","$Ao$7:$Ax$7")),0))*1000000*IF(INDEX('ISIC Crosswalk'!$I$2:$I$71,MATCH(AI$1,'ISIC Crosswalk'!$K$2:$K$71,0),1)=2023,About!$A$34,About!$A$32)</f>
        <v>11443727.662270924</v>
      </c>
      <c r="AJ2">
        <f ca="1">INDEX(INDIRECT(CONCATENATE("'","OECD TTL - ",INDEX('ISIC Crosswalk'!$I$2:$I$71,MATCH(AJ$1,'ISIC Crosswalk'!$K$2:$K$71,0),1),"'!","$Ao$9:$Ax$58")),MATCH(INDEX('ISIC Crosswalk'!$J$2:$J$71,MATCH(AJ$1,'ISIC Crosswalk'!$K$2:$K$71,0),1),INDIRECT(CONCATENATE("'","OECD TTL - ",INDEX('ISIC Crosswalk'!$I$2:$I$71,MATCH(AJ$1,'ISIC Crosswalk'!$K$2:$K$71,0),1),"'!","$a$9:$a$58")),0),MATCH("GGFC: Final consumption expenditure of general government",INDIRECT(CONCATENATE("'","OECD TTL - ",INDEX('ISIC Crosswalk'!$I$2:$I$71,MATCH(AJ$1,'ISIC Crosswalk'!$K$2:$K$71,0),1),"'!","$Ao$7:$Ax$7")),0))*1000000*IF(INDEX('ISIC Crosswalk'!$I$2:$I$71,MATCH(AJ$1,'ISIC Crosswalk'!$K$2:$K$71,0),1)=2023,About!$A$34,About!$A$32)</f>
        <v>2129065.6115852883</v>
      </c>
      <c r="AK2">
        <f ca="1">INDEX(INDIRECT(CONCATENATE("'","OECD TTL - ",INDEX('ISIC Crosswalk'!$I$2:$I$71,MATCH(AK$1,'ISIC Crosswalk'!$K$2:$K$71,0),1),"'!","$Ao$9:$Ax$58")),MATCH(INDEX('ISIC Crosswalk'!$J$2:$J$71,MATCH(AK$1,'ISIC Crosswalk'!$K$2:$K$71,0),1),INDIRECT(CONCATENATE("'","OECD TTL - ",INDEX('ISIC Crosswalk'!$I$2:$I$71,MATCH(AK$1,'ISIC Crosswalk'!$K$2:$K$71,0),1),"'!","$a$9:$a$58")),0),MATCH("GGFC: Final consumption expenditure of general government",INDIRECT(CONCATENATE("'","OECD TTL - ",INDEX('ISIC Crosswalk'!$I$2:$I$71,MATCH(AK$1,'ISIC Crosswalk'!$K$2:$K$71,0),1),"'!","$Ao$7:$Ax$7")),0))*1000000*IF(INDEX('ISIC Crosswalk'!$I$2:$I$71,MATCH(AK$1,'ISIC Crosswalk'!$K$2:$K$71,0),1)=2023,About!$A$34,About!$A$32)</f>
        <v>2483909.8801828362</v>
      </c>
      <c r="AL2">
        <f ca="1">INDEX(INDIRECT(CONCATENATE("'","OECD TTL - ",INDEX('ISIC Crosswalk'!$I$2:$I$71,MATCH(AL$1,'ISIC Crosswalk'!$K$2:$K$71,0),1),"'!","$Ao$9:$Ax$58")),MATCH(INDEX('ISIC Crosswalk'!$J$2:$J$71,MATCH(AL$1,'ISIC Crosswalk'!$K$2:$K$71,0),1),INDIRECT(CONCATENATE("'","OECD TTL - ",INDEX('ISIC Crosswalk'!$I$2:$I$71,MATCH(AL$1,'ISIC Crosswalk'!$K$2:$K$71,0),1),"'!","$a$9:$a$58")),0),MATCH("GGFC: Final consumption expenditure of general government",INDIRECT(CONCATENATE("'","OECD TTL - ",INDEX('ISIC Crosswalk'!$I$2:$I$71,MATCH(AL$1,'ISIC Crosswalk'!$K$2:$K$71,0),1),"'!","$Ao$7:$Ax$7")),0))*1000000*IF(INDEX('ISIC Crosswalk'!$I$2:$I$71,MATCH(AL$1,'ISIC Crosswalk'!$K$2:$K$71,0),1)=2023,About!$A$34,About!$A$32)</f>
        <v>6965401707.0505495</v>
      </c>
      <c r="AM2">
        <f ca="1">INDEX(INDIRECT(CONCATENATE("'","OECD TTL - ",INDEX('ISIC Crosswalk'!$I$2:$I$71,MATCH(AM$1,'ISIC Crosswalk'!$K$2:$K$71,0),1),"'!","$Ao$9:$Ax$58")),MATCH(INDEX('ISIC Crosswalk'!$J$2:$J$71,MATCH(AM$1,'ISIC Crosswalk'!$K$2:$K$71,0),1),INDIRECT(CONCATENATE("'","OECD TTL - ",INDEX('ISIC Crosswalk'!$I$2:$I$71,MATCH(AM$1,'ISIC Crosswalk'!$K$2:$K$71,0),1),"'!","$a$9:$a$58")),0),MATCH("GGFC: Final consumption expenditure of general government",INDIRECT(CONCATENATE("'","OECD TTL - ",INDEX('ISIC Crosswalk'!$I$2:$I$71,MATCH(AM$1,'ISIC Crosswalk'!$K$2:$K$71,0),1),"'!","$Ao$7:$Ax$7")),0))*1000000*IF(INDEX('ISIC Crosswalk'!$I$2:$I$71,MATCH(AM$1,'ISIC Crosswalk'!$K$2:$K$71,0),1)=2023,About!$A$34,About!$A$32)</f>
        <v>121435515287.99008</v>
      </c>
      <c r="AN2">
        <f ca="1">INDEX(INDIRECT(CONCATENATE("'","OECD TTL - ",INDEX('ISIC Crosswalk'!$I$2:$I$71,MATCH(AN$1,'ISIC Crosswalk'!$K$2:$K$71,0),1),"'!","$Ao$9:$Ax$58")),MATCH(INDEX('ISIC Crosswalk'!$J$2:$J$71,MATCH(AN$1,'ISIC Crosswalk'!$K$2:$K$71,0),1),INDIRECT(CONCATENATE("'","OECD TTL - ",INDEX('ISIC Crosswalk'!$I$2:$I$71,MATCH(AN$1,'ISIC Crosswalk'!$K$2:$K$71,0),1),"'!","$a$9:$a$58")),0),MATCH("GGFC: Final consumption expenditure of general government",INDIRECT(CONCATENATE("'","OECD TTL - ",INDEX('ISIC Crosswalk'!$I$2:$I$71,MATCH(AN$1,'ISIC Crosswalk'!$K$2:$K$71,0),1),"'!","$Ao$7:$Ax$7")),0))*1000000*IF(INDEX('ISIC Crosswalk'!$I$2:$I$71,MATCH(AN$1,'ISIC Crosswalk'!$K$2:$K$71,0),1)=2023,About!$A$34,About!$A$32)</f>
        <v>53233204908.601265</v>
      </c>
      <c r="AO2">
        <f ca="1">INDEX(INDIRECT(CONCATENATE("'","OECD TTL - ",INDEX('ISIC Crosswalk'!$I$2:$I$71,MATCH(AO$1,'ISIC Crosswalk'!$K$2:$K$71,0),1),"'!","$Ao$9:$Ax$58")),MATCH(INDEX('ISIC Crosswalk'!$J$2:$J$71,MATCH(AO$1,'ISIC Crosswalk'!$K$2:$K$71,0),1),INDIRECT(CONCATENATE("'","OECD TTL - ",INDEX('ISIC Crosswalk'!$I$2:$I$71,MATCH(AO$1,'ISIC Crosswalk'!$K$2:$K$71,0),1),"'!","$a$9:$a$58")),0),MATCH("GGFC: Final consumption expenditure of general government",INDIRECT(CONCATENATE("'","OECD TTL - ",INDEX('ISIC Crosswalk'!$I$2:$I$71,MATCH(AO$1,'ISIC Crosswalk'!$K$2:$K$71,0),1),"'!","$Ao$7:$Ax$7")),0))*1000000*IF(INDEX('ISIC Crosswalk'!$I$2:$I$71,MATCH(AO$1,'ISIC Crosswalk'!$K$2:$K$71,0),1)=2023,About!$A$34,About!$A$32)</f>
        <v>76774993064.436996</v>
      </c>
      <c r="AP2">
        <f ca="1">INDEX(INDIRECT(CONCATENATE("'","OECD TTL - ",INDEX('ISIC Crosswalk'!$I$2:$I$71,MATCH(AP$1,'ISIC Crosswalk'!$K$2:$K$71,0),1),"'!","$Ao$9:$Ax$58")),MATCH(INDEX('ISIC Crosswalk'!$J$2:$J$71,MATCH(AP$1,'ISIC Crosswalk'!$K$2:$K$71,0),1),INDIRECT(CONCATENATE("'","OECD TTL - ",INDEX('ISIC Crosswalk'!$I$2:$I$71,MATCH(AP$1,'ISIC Crosswalk'!$K$2:$K$71,0),1),"'!","$a$9:$a$58")),0),MATCH("GGFC: Final consumption expenditure of general government",INDIRECT(CONCATENATE("'","OECD TTL - ",INDEX('ISIC Crosswalk'!$I$2:$I$71,MATCH(AP$1,'ISIC Crosswalk'!$K$2:$K$71,0),1),"'!","$Ao$7:$Ax$7")),0))*1000000*IF(INDEX('ISIC Crosswalk'!$I$2:$I$71,MATCH(AP$1,'ISIC Crosswalk'!$K$2:$K$71,0),1)=2023,About!$A$34,About!$A$32)</f>
        <v>6629075465.4729414</v>
      </c>
      <c r="AQ2">
        <f ca="1">INDEX(INDIRECT(CONCATENATE("'","OECD TTL - ",INDEX('ISIC Crosswalk'!$I$2:$I$71,MATCH(AQ$1,'ISIC Crosswalk'!$K$2:$K$71,0),1),"'!","$Ao$9:$Ax$58")),MATCH(INDEX('ISIC Crosswalk'!$J$2:$J$71,MATCH(AQ$1,'ISIC Crosswalk'!$K$2:$K$71,0),1),INDIRECT(CONCATENATE("'","OECD TTL - ",INDEX('ISIC Crosswalk'!$I$2:$I$71,MATCH(AQ$1,'ISIC Crosswalk'!$K$2:$K$71,0),1),"'!","$a$9:$a$58")),0),MATCH("GGFC: Final consumption expenditure of general government",INDIRECT(CONCATENATE("'","OECD TTL - ",INDEX('ISIC Crosswalk'!$I$2:$I$71,MATCH(AQ$1,'ISIC Crosswalk'!$K$2:$K$71,0),1),"'!","$Ao$7:$Ax$7")),0))*1000000*IF(INDEX('ISIC Crosswalk'!$I$2:$I$71,MATCH(AQ$1,'ISIC Crosswalk'!$K$2:$K$71,0),1)=2023,About!$A$34,About!$A$32)</f>
        <v>0</v>
      </c>
    </row>
  </sheetData>
  <phoneticPr fontId="35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AQ2"/>
  <sheetViews>
    <sheetView workbookViewId="0">
      <selection activeCell="F25" sqref="F25"/>
    </sheetView>
  </sheetViews>
  <sheetFormatPr defaultRowHeight="16.5" x14ac:dyDescent="0.3"/>
  <cols>
    <col min="1" max="1" width="26.375" customWidth="1"/>
    <col min="2" max="39" width="10.125" customWidth="1"/>
    <col min="40" max="42" width="12" bestFit="1" customWidth="1"/>
    <col min="43" max="43" width="11.625" bestFit="1" customWidth="1"/>
  </cols>
  <sheetData>
    <row r="1" spans="1:43" x14ac:dyDescent="0.3">
      <c r="A1" t="s">
        <v>132</v>
      </c>
      <c r="B1" s="4" t="s">
        <v>8</v>
      </c>
      <c r="C1" s="35" t="s">
        <v>277</v>
      </c>
      <c r="D1" s="36" t="s">
        <v>278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35" t="s">
        <v>136</v>
      </c>
      <c r="M1" s="36" t="s">
        <v>137</v>
      </c>
      <c r="N1" s="4" t="s">
        <v>16</v>
      </c>
      <c r="O1" s="35" t="s">
        <v>506</v>
      </c>
      <c r="P1" s="36" t="s">
        <v>507</v>
      </c>
      <c r="Q1" s="35" t="s">
        <v>508</v>
      </c>
      <c r="R1" s="36" t="s">
        <v>509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35" t="s">
        <v>511</v>
      </c>
      <c r="AA1" s="37" t="s">
        <v>512</v>
      </c>
      <c r="AB1" s="36" t="s">
        <v>510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7.25" thickBot="1" x14ac:dyDescent="0.35">
      <c r="A2" t="s">
        <v>144</v>
      </c>
      <c r="B2">
        <f ca="1">INDEX(INDIRECT(CONCATENATE("'","OECD TTL - ",INDEX('ISIC Crosswalk'!$I$2:$I$71,MATCH(B$1,'ISIC Crosswalk'!$K$2:$K$71,0),1),"'!","$AM$9:$AV$58")),MATCH(INDEX('ISIC Crosswalk'!$J$2:$J$71,MATCH(B$1,'ISIC Crosswalk'!$K$2:$K$71,0),1),INDIRECT(CONCATENATE("'","OECD TTL - ",INDEX('ISIC Crosswalk'!$I$2:$I$71,MATCH(B$1,'ISIC Crosswalk'!$K$2:$K$71,0),1),"'!","$a$9:$a$58")),0),MATCH("HFCE: Final consumption expenditure of households",INDIRECT(CONCATENATE("'","OECD TTL - ",INDEX('ISIC Crosswalk'!$I$2:$I$71,MATCH(B$1,'ISIC Crosswalk'!$K$2:$K$71,0),1),"'!","$Am$7:$Av$7")),0))*1000000*IF(INDEX('ISIC Crosswalk'!$I$2:$I$71,MATCH(B$1,'ISIC Crosswalk'!$K$2:$K$71,0),1)=2023,About!$A$34,About!$A$32)</f>
        <v>10940095930.67164</v>
      </c>
      <c r="C2" s="51">
        <f>('OECD TTL - 2023'!$AV$11*BObIC!C2/SUM(BObIC!$C$2:$D$2)*1000000)*(About!$A$34)</f>
        <v>63699190.788715355</v>
      </c>
      <c r="D2" s="51">
        <f>('OECD TTL - 2023'!$AV$11*BObIC!D2/SUM(BObIC!$C$2:$D$2)*1000000)*(About!$A$34)</f>
        <v>36100759.75434503</v>
      </c>
      <c r="E2">
        <f ca="1">INDEX(INDIRECT(CONCATENATE("'","OECD TTL - ",INDEX('ISIC Crosswalk'!$I$2:$I$71,MATCH(E$1,'ISIC Crosswalk'!$K$2:$K$71,0),1),"'!","$AM$9:$AV$58")),MATCH(INDEX('ISIC Crosswalk'!$J$2:$J$71,MATCH(E$1,'ISIC Crosswalk'!$K$2:$K$71,0),1),INDIRECT(CONCATENATE("'","OECD TTL - ",INDEX('ISIC Crosswalk'!$I$2:$I$71,MATCH(E$1,'ISIC Crosswalk'!$K$2:$K$71,0),1),"'!","$a$9:$a$58")),0),MATCH("HFCE: Final consumption expenditure of households",INDIRECT(CONCATENATE("'","OECD TTL - ",INDEX('ISIC Crosswalk'!$I$2:$I$71,MATCH(E$1,'ISIC Crosswalk'!$K$2:$K$71,0),1),"'!","$Am$7:$Av$7")),0))*1000000*IF(INDEX('ISIC Crosswalk'!$I$2:$I$71,MATCH(E$1,'ISIC Crosswalk'!$K$2:$K$71,0),1)=2023,About!$A$34,About!$A$32)</f>
        <v>27323008.682011198</v>
      </c>
      <c r="F2">
        <f ca="1">INDEX(INDIRECT(CONCATENATE("'","OECD TTL - ",INDEX('ISIC Crosswalk'!$I$2:$I$71,MATCH(F$1,'ISIC Crosswalk'!$K$2:$K$71,0),1),"'!","$AM$9:$AV$58")),MATCH(INDEX('ISIC Crosswalk'!$J$2:$J$71,MATCH(F$1,'ISIC Crosswalk'!$K$2:$K$71,0),1),INDIRECT(CONCATENATE("'","OECD TTL - ",INDEX('ISIC Crosswalk'!$I$2:$I$71,MATCH(F$1,'ISIC Crosswalk'!$K$2:$K$71,0),1),"'!","$a$9:$a$58")),0),MATCH("HFCE: Final consumption expenditure of households",INDIRECT(CONCATENATE("'","OECD TTL - ",INDEX('ISIC Crosswalk'!$I$2:$I$71,MATCH(F$1,'ISIC Crosswalk'!$K$2:$K$71,0),1),"'!","$Am$7:$Av$7")),0))*1000000*IF(INDEX('ISIC Crosswalk'!$I$2:$I$71,MATCH(F$1,'ISIC Crosswalk'!$K$2:$K$71,0),1)=2023,About!$A$34,About!$A$32)</f>
        <v>2483909.8801828362</v>
      </c>
      <c r="G2">
        <f ca="1">INDEX(INDIRECT(CONCATENATE("'","OECD TTL - ",INDEX('ISIC Crosswalk'!$I$2:$I$71,MATCH(G$1,'ISIC Crosswalk'!$K$2:$K$71,0),1),"'!","$AM$9:$AV$58")),MATCH(INDEX('ISIC Crosswalk'!$J$2:$J$71,MATCH(G$1,'ISIC Crosswalk'!$K$2:$K$71,0),1),INDIRECT(CONCATENATE("'","OECD TTL - ",INDEX('ISIC Crosswalk'!$I$2:$I$71,MATCH(G$1,'ISIC Crosswalk'!$K$2:$K$71,0),1),"'!","$a$9:$a$58")),0),MATCH("HFCE: Final consumption expenditure of households",INDIRECT(CONCATENATE("'","OECD TTL - ",INDEX('ISIC Crosswalk'!$I$2:$I$71,MATCH(G$1,'ISIC Crosswalk'!$K$2:$K$71,0),1),"'!","$Am$7:$Av$7")),0))*1000000*IF(INDEX('ISIC Crosswalk'!$I$2:$I$71,MATCH(G$1,'ISIC Crosswalk'!$K$2:$K$71,0),1)=2023,About!$A$34,About!$A$32)</f>
        <v>40493497266.34494</v>
      </c>
      <c r="H2">
        <f ca="1">INDEX(INDIRECT(CONCATENATE("'","OECD TTL - ",INDEX('ISIC Crosswalk'!$I$2:$I$71,MATCH(H$1,'ISIC Crosswalk'!$K$2:$K$71,0),1),"'!","$AM$9:$AV$58")),MATCH(INDEX('ISIC Crosswalk'!$J$2:$J$71,MATCH(H$1,'ISIC Crosswalk'!$K$2:$K$71,0),1),INDIRECT(CONCATENATE("'","OECD TTL - ",INDEX('ISIC Crosswalk'!$I$2:$I$71,MATCH(H$1,'ISIC Crosswalk'!$K$2:$K$71,0),1),"'!","$a$9:$a$58")),0),MATCH("HFCE: Final consumption expenditure of households",INDIRECT(CONCATENATE("'","OECD TTL - ",INDEX('ISIC Crosswalk'!$I$2:$I$71,MATCH(H$1,'ISIC Crosswalk'!$K$2:$K$71,0),1),"'!","$Am$7:$Av$7")),0))*1000000*IF(INDEX('ISIC Crosswalk'!$I$2:$I$71,MATCH(H$1,'ISIC Crosswalk'!$K$2:$K$71,0),1)=2023,About!$A$34,About!$A$32)</f>
        <v>27088101776.199623</v>
      </c>
      <c r="I2">
        <f ca="1">INDEX(INDIRECT(CONCATENATE("'","OECD TTL - ",INDEX('ISIC Crosswalk'!$I$2:$I$71,MATCH(I$1,'ISIC Crosswalk'!$K$2:$K$71,0),1),"'!","$AM$9:$AV$58")),MATCH(INDEX('ISIC Crosswalk'!$J$2:$J$71,MATCH(I$1,'ISIC Crosswalk'!$K$2:$K$71,0),1),INDIRECT(CONCATENATE("'","OECD TTL - ",INDEX('ISIC Crosswalk'!$I$2:$I$71,MATCH(I$1,'ISIC Crosswalk'!$K$2:$K$71,0),1),"'!","$a$9:$a$58")),0),MATCH("HFCE: Final consumption expenditure of households",INDIRECT(CONCATENATE("'","OECD TTL - ",INDEX('ISIC Crosswalk'!$I$2:$I$71,MATCH(I$1,'ISIC Crosswalk'!$K$2:$K$71,0),1),"'!","$Am$7:$Av$7")),0))*1000000*IF(INDEX('ISIC Crosswalk'!$I$2:$I$71,MATCH(I$1,'ISIC Crosswalk'!$K$2:$K$71,0),1)=2023,About!$A$34,About!$A$32)</f>
        <v>159502498.73459786</v>
      </c>
      <c r="J2">
        <f ca="1">INDEX(INDIRECT(CONCATENATE("'","OECD TTL - ",INDEX('ISIC Crosswalk'!$I$2:$I$71,MATCH(J$1,'ISIC Crosswalk'!$K$2:$K$71,0),1),"'!","$AM$9:$AV$58")),MATCH(INDEX('ISIC Crosswalk'!$J$2:$J$71,MATCH(J$1,'ISIC Crosswalk'!$K$2:$K$71,0),1),INDIRECT(CONCATENATE("'","OECD TTL - ",INDEX('ISIC Crosswalk'!$I$2:$I$71,MATCH(J$1,'ISIC Crosswalk'!$K$2:$K$71,0),1),"'!","$a$9:$a$58")),0),MATCH("HFCE: Final consumption expenditure of households",INDIRECT(CONCATENATE("'","OECD TTL - ",INDEX('ISIC Crosswalk'!$I$2:$I$71,MATCH(J$1,'ISIC Crosswalk'!$K$2:$K$71,0),1),"'!","$Am$7:$Av$7")),0))*1000000*IF(INDEX('ISIC Crosswalk'!$I$2:$I$71,MATCH(J$1,'ISIC Crosswalk'!$K$2:$K$71,0),1)=2023,About!$A$34,About!$A$32)</f>
        <v>994894618.08037531</v>
      </c>
      <c r="K2">
        <f ca="1">INDEX(INDIRECT(CONCATENATE("'","OECD TTL - ",INDEX('ISIC Crosswalk'!$I$2:$I$71,MATCH(K$1,'ISIC Crosswalk'!$K$2:$K$71,0),1),"'!","$AM$9:$AV$58")),MATCH(INDEX('ISIC Crosswalk'!$J$2:$J$71,MATCH(K$1,'ISIC Crosswalk'!$K$2:$K$71,0),1),INDIRECT(CONCATENATE("'","OECD TTL - ",INDEX('ISIC Crosswalk'!$I$2:$I$71,MATCH(K$1,'ISIC Crosswalk'!$K$2:$K$71,0),1),"'!","$a$9:$a$58")),0),MATCH("HFCE: Final consumption expenditure of households",INDIRECT(CONCATENATE("'","OECD TTL - ",INDEX('ISIC Crosswalk'!$I$2:$I$71,MATCH(K$1,'ISIC Crosswalk'!$K$2:$K$71,0),1),"'!","$Am$7:$Av$7")),0))*1000000*IF(INDEX('ISIC Crosswalk'!$I$2:$I$71,MATCH(K$1,'ISIC Crosswalk'!$K$2:$K$71,0),1)=2023,About!$A$34,About!$A$32)</f>
        <v>10118384319.059082</v>
      </c>
      <c r="L2">
        <f ca="1">INDEX(INDIRECT(CONCATENATE("'","OECD TTL - ",INDEX('ISIC Crosswalk'!$I$2:$I$71,MATCH(L$1,'ISIC Crosswalk'!$K$2:$K$71,0),1),"'!","$AM$9:$AV$58")),MATCH(INDEX('ISIC Crosswalk'!$J$2:$J$71,MATCH(L$1,'ISIC Crosswalk'!$K$2:$K$71,0),1),INDIRECT(CONCATENATE("'","OECD TTL - ",INDEX('ISIC Crosswalk'!$I$2:$I$71,MATCH(L$1,'ISIC Crosswalk'!$K$2:$K$71,0),1),"'!","$a$9:$a$58")),0),MATCH("HFCE: Final consumption expenditure of households",INDIRECT(CONCATENATE("'","OECD TTL - ",INDEX('ISIC Crosswalk'!$I$2:$I$71,MATCH(L$1,'ISIC Crosswalk'!$K$2:$K$71,0),1),"'!","$Am$7:$Av$7")),0))*1000000*IF(INDEX('ISIC Crosswalk'!$I$2:$I$71,MATCH(L$1,'ISIC Crosswalk'!$K$2:$K$71,0),1)=2023,About!$A$34,About!$A$32)</f>
        <v>9195789220.7054577</v>
      </c>
      <c r="M2">
        <f ca="1">INDEX(INDIRECT(CONCATENATE("'","OECD TTL - ",INDEX('ISIC Crosswalk'!$I$2:$I$71,MATCH(M$1,'ISIC Crosswalk'!$K$2:$K$71,0),1),"'!","$AM$9:$AV$58")),MATCH(INDEX('ISIC Crosswalk'!$J$2:$J$71,MATCH(M$1,'ISIC Crosswalk'!$K$2:$K$71,0),1),INDIRECT(CONCATENATE("'","OECD TTL - ",INDEX('ISIC Crosswalk'!$I$2:$I$71,MATCH(M$1,'ISIC Crosswalk'!$K$2:$K$71,0),1),"'!","$a$9:$a$58")),0),MATCH("HFCE: Final consumption expenditure of households",INDIRECT(CONCATENATE("'","OECD TTL - ",INDEX('ISIC Crosswalk'!$I$2:$I$71,MATCH(M$1,'ISIC Crosswalk'!$K$2:$K$71,0),1),"'!","$Am$7:$Av$7")),0))*1000000*IF(INDEX('ISIC Crosswalk'!$I$2:$I$71,MATCH(M$1,'ISIC Crosswalk'!$K$2:$K$71,0),1)=2023,About!$A$34,About!$A$32)</f>
        <v>1312391527.4080315</v>
      </c>
      <c r="N2">
        <f ca="1">INDEX(INDIRECT(CONCATENATE("'","OECD TTL - ",INDEX('ISIC Crosswalk'!$I$2:$I$71,MATCH(N$1,'ISIC Crosswalk'!$K$2:$K$71,0),1),"'!","$AM$9:$AV$58")),MATCH(INDEX('ISIC Crosswalk'!$J$2:$J$71,MATCH(N$1,'ISIC Crosswalk'!$K$2:$K$71,0),1),INDIRECT(CONCATENATE("'","OECD TTL - ",INDEX('ISIC Crosswalk'!$I$2:$I$71,MATCH(N$1,'ISIC Crosswalk'!$K$2:$K$71,0),1),"'!","$a$9:$a$58")),0),MATCH("HFCE: Final consumption expenditure of households",INDIRECT(CONCATENATE("'","OECD TTL - ",INDEX('ISIC Crosswalk'!$I$2:$I$71,MATCH(N$1,'ISIC Crosswalk'!$K$2:$K$71,0),1),"'!","$Am$7:$Av$7")),0))*1000000*IF(INDEX('ISIC Crosswalk'!$I$2:$I$71,MATCH(N$1,'ISIC Crosswalk'!$K$2:$K$71,0),1)=2023,About!$A$34,About!$A$32)</f>
        <v>729027549.83366251</v>
      </c>
      <c r="O2" s="51">
        <f>('OECD TTL - 2023'!$AV22*BObIC!O2/SUM(BObIC!$O$2:$P$2)*1000000)*(About!$A$34)</f>
        <v>58161059.547481708</v>
      </c>
      <c r="P2" s="51">
        <f>('OECD TTL - 2023'!$AV22*BObIC!P2/SUM(BObIC!$O$2:$P$2)*1000000)*(About!$A$34)</f>
        <v>120503029.69138373</v>
      </c>
      <c r="Q2" s="51">
        <f>('OECD TTL - 2023'!$AV23*BObIC!Q2/SUM(BObIC!$Q$2:$R$2)*1000000)*(About!$A$34)</f>
        <v>535994532.96263951</v>
      </c>
      <c r="R2" s="51">
        <f>('OECD TTL - 2023'!$AV23*BObIC!R2/SUM(BObIC!$Q$2:$R$2)*1000000)*(About!$A$34)</f>
        <v>146282284.48329604</v>
      </c>
      <c r="S2">
        <f ca="1">INDEX(INDIRECT(CONCATENATE("'","OECD TTL - ",INDEX('ISIC Crosswalk'!$I$2:$I$71,MATCH(S$1,'ISIC Crosswalk'!$K$2:$K$71,0),1),"'!","$AM$9:$AV$58")),MATCH(INDEX('ISIC Crosswalk'!$J$2:$J$71,MATCH(S$1,'ISIC Crosswalk'!$K$2:$K$71,0),1),INDIRECT(CONCATENATE("'","OECD TTL - ",INDEX('ISIC Crosswalk'!$I$2:$I$71,MATCH(S$1,'ISIC Crosswalk'!$K$2:$K$71,0),1),"'!","$a$9:$a$58")),0),MATCH("HFCE: Final consumption expenditure of households",INDIRECT(CONCATENATE("'","OECD TTL - ",INDEX('ISIC Crosswalk'!$I$2:$I$71,MATCH(S$1,'ISIC Crosswalk'!$K$2:$K$71,0),1),"'!","$Am$7:$Av$7")),0))*1000000*IF(INDEX('ISIC Crosswalk'!$I$2:$I$71,MATCH(S$1,'ISIC Crosswalk'!$K$2:$K$71,0),1)=2023,About!$A$34,About!$A$32)</f>
        <v>1286842740.0690081</v>
      </c>
      <c r="T2">
        <f ca="1">INDEX(INDIRECT(CONCATENATE("'","OECD TTL - ",INDEX('ISIC Crosswalk'!$I$2:$I$71,MATCH(T$1,'ISIC Crosswalk'!$K$2:$K$71,0),1),"'!","$AM$9:$AV$58")),MATCH(INDEX('ISIC Crosswalk'!$J$2:$J$71,MATCH(T$1,'ISIC Crosswalk'!$K$2:$K$71,0),1),INDIRECT(CONCATENATE("'","OECD TTL - ",INDEX('ISIC Crosswalk'!$I$2:$I$71,MATCH(T$1,'ISIC Crosswalk'!$K$2:$K$71,0),1),"'!","$a$9:$a$58")),0),MATCH("HFCE: Final consumption expenditure of households",INDIRECT(CONCATENATE("'","OECD TTL - ",INDEX('ISIC Crosswalk'!$I$2:$I$71,MATCH(T$1,'ISIC Crosswalk'!$K$2:$K$71,0),1),"'!","$Am$7:$Av$7")),0))*1000000*IF(INDEX('ISIC Crosswalk'!$I$2:$I$71,MATCH(T$1,'ISIC Crosswalk'!$K$2:$K$71,0),1)=2023,About!$A$34,About!$A$32)</f>
        <v>20963134855.937347</v>
      </c>
      <c r="U2">
        <f ca="1">INDEX(INDIRECT(CONCATENATE("'","OECD TTL - ",INDEX('ISIC Crosswalk'!$I$2:$I$71,MATCH(U$1,'ISIC Crosswalk'!$K$2:$K$71,0),1),"'!","$AM$9:$AV$58")),MATCH(INDEX('ISIC Crosswalk'!$J$2:$J$71,MATCH(U$1,'ISIC Crosswalk'!$K$2:$K$71,0),1),INDIRECT(CONCATENATE("'","OECD TTL - ",INDEX('ISIC Crosswalk'!$I$2:$I$71,MATCH(U$1,'ISIC Crosswalk'!$K$2:$K$71,0),1),"'!","$a$9:$a$58")),0),MATCH("HFCE: Final consumption expenditure of households",INDIRECT(CONCATENATE("'","OECD TTL - ",INDEX('ISIC Crosswalk'!$I$2:$I$71,MATCH(U$1,'ISIC Crosswalk'!$K$2:$K$71,0),1),"'!","$Am$7:$Av$7")),0))*1000000*IF(INDEX('ISIC Crosswalk'!$I$2:$I$71,MATCH(U$1,'ISIC Crosswalk'!$K$2:$K$71,0),1)=2023,About!$A$34,About!$A$32)</f>
        <v>6401479316.5669165</v>
      </c>
      <c r="V2">
        <f ca="1">INDEX(INDIRECT(CONCATENATE("'","OECD TTL - ",INDEX('ISIC Crosswalk'!$I$2:$I$71,MATCH(V$1,'ISIC Crosswalk'!$K$2:$K$71,0),1),"'!","$AM$9:$AV$58")),MATCH(INDEX('ISIC Crosswalk'!$J$2:$J$71,MATCH(V$1,'ISIC Crosswalk'!$K$2:$K$71,0),1),INDIRECT(CONCATENATE("'","OECD TTL - ",INDEX('ISIC Crosswalk'!$I$2:$I$71,MATCH(V$1,'ISIC Crosswalk'!$K$2:$K$71,0),1),"'!","$a$9:$a$58")),0),MATCH("HFCE: Final consumption expenditure of households",INDIRECT(CONCATENATE("'","OECD TTL - ",INDEX('ISIC Crosswalk'!$I$2:$I$71,MATCH(V$1,'ISIC Crosswalk'!$K$2:$K$71,0),1),"'!","$Am$7:$Av$7")),0))*1000000*IF(INDEX('ISIC Crosswalk'!$I$2:$I$71,MATCH(V$1,'ISIC Crosswalk'!$K$2:$K$71,0),1)=2023,About!$A$34,About!$A$32)</f>
        <v>2544410827.9787183</v>
      </c>
      <c r="W2">
        <f ca="1">INDEX(INDIRECT(CONCATENATE("'","OECD TTL - ",INDEX('ISIC Crosswalk'!$I$2:$I$71,MATCH(W$1,'ISIC Crosswalk'!$K$2:$K$71,0),1),"'!","$AM$9:$AV$58")),MATCH(INDEX('ISIC Crosswalk'!$J$2:$J$71,MATCH(W$1,'ISIC Crosswalk'!$K$2:$K$71,0),1),INDIRECT(CONCATENATE("'","OECD TTL - ",INDEX('ISIC Crosswalk'!$I$2:$I$71,MATCH(W$1,'ISIC Crosswalk'!$K$2:$K$71,0),1),"'!","$a$9:$a$58")),0),MATCH("HFCE: Final consumption expenditure of households",INDIRECT(CONCATENATE("'","OECD TTL - ",INDEX('ISIC Crosswalk'!$I$2:$I$71,MATCH(W$1,'ISIC Crosswalk'!$K$2:$K$71,0),1),"'!","$Am$7:$Av$7")),0))*1000000*IF(INDEX('ISIC Crosswalk'!$I$2:$I$71,MATCH(W$1,'ISIC Crosswalk'!$K$2:$K$71,0),1)=2023,About!$A$34,About!$A$32)</f>
        <v>22974569592.482548</v>
      </c>
      <c r="X2">
        <f ca="1">INDEX(INDIRECT(CONCATENATE("'","OECD TTL - ",INDEX('ISIC Crosswalk'!$I$2:$I$71,MATCH(X$1,'ISIC Crosswalk'!$K$2:$K$71,0),1),"'!","$AM$9:$AV$58")),MATCH(INDEX('ISIC Crosswalk'!$J$2:$J$71,MATCH(X$1,'ISIC Crosswalk'!$K$2:$K$71,0),1),INDIRECT(CONCATENATE("'","OECD TTL - ",INDEX('ISIC Crosswalk'!$I$2:$I$71,MATCH(X$1,'ISIC Crosswalk'!$K$2:$K$71,0),1),"'!","$a$9:$a$58")),0),MATCH("HFCE: Final consumption expenditure of households",INDIRECT(CONCATENATE("'","OECD TTL - ",INDEX('ISIC Crosswalk'!$I$2:$I$71,MATCH(X$1,'ISIC Crosswalk'!$K$2:$K$71,0),1),"'!","$Am$7:$Av$7")),0))*1000000*IF(INDEX('ISIC Crosswalk'!$I$2:$I$71,MATCH(X$1,'ISIC Crosswalk'!$K$2:$K$71,0),1)=2023,About!$A$34,About!$A$32)</f>
        <v>512128990.65341121</v>
      </c>
      <c r="Y2">
        <f ca="1">INDEX(INDIRECT(CONCATENATE("'","OECD TTL - ",INDEX('ISIC Crosswalk'!$I$2:$I$71,MATCH(Y$1,'ISIC Crosswalk'!$K$2:$K$71,0),1),"'!","$AM$9:$AV$58")),MATCH(INDEX('ISIC Crosswalk'!$J$2:$J$71,MATCH(Y$1,'ISIC Crosswalk'!$K$2:$K$71,0),1),INDIRECT(CONCATENATE("'","OECD TTL - ",INDEX('ISIC Crosswalk'!$I$2:$I$71,MATCH(Y$1,'ISIC Crosswalk'!$K$2:$K$71,0),1),"'!","$a$9:$a$58")),0),MATCH("HFCE: Final consumption expenditure of households",INDIRECT(CONCATENATE("'","OECD TTL - ",INDEX('ISIC Crosswalk'!$I$2:$I$71,MATCH(Y$1,'ISIC Crosswalk'!$K$2:$K$71,0),1),"'!","$Am$7:$Av$7")),0))*1000000*IF(INDEX('ISIC Crosswalk'!$I$2:$I$71,MATCH(Y$1,'ISIC Crosswalk'!$K$2:$K$71,0),1)=2023,About!$A$34,About!$A$32)</f>
        <v>6619264986.4186611</v>
      </c>
      <c r="Z2" s="70">
        <f>('OECD TTL - 2023'!$AX31*BObIC!Z2/SUM(BObIC!$Z$2:$AA$2)*1000000)*(About!$A$34)</f>
        <v>801005.27694771765</v>
      </c>
      <c r="AA2" s="70">
        <f>('OECD TTL - 2023'!$AX31*BObIC!AA2/SUM(BObIC!$Z$2:$AA$2)*1000000)*(About!$A$34)</f>
        <v>263527.52884492645</v>
      </c>
      <c r="AB2">
        <f ca="1">INDEX(INDIRECT(CONCATENATE("'","OECD TTL - ",INDEX('ISIC Crosswalk'!$I$2:$I$71,MATCH(AB$1,'ISIC Crosswalk'!$K$2:$K$71,0),1),"'!","$AM$9:$AV$58")),MATCH(INDEX('ISIC Crosswalk'!$J$2:$J$71,MATCH(AB$1,'ISIC Crosswalk'!$K$2:$K$71,0),1),INDIRECT(CONCATENATE("'","OECD TTL - ",INDEX('ISIC Crosswalk'!$I$2:$I$71,MATCH(AB$1,'ISIC Crosswalk'!$K$2:$K$71,0),1),"'!","$a$9:$a$58")),0),MATCH("HFCE: Final consumption expenditure of households",INDIRECT(CONCATENATE("'","OECD TTL - ",INDEX('ISIC Crosswalk'!$I$2:$I$71,MATCH(AB$1,'ISIC Crosswalk'!$K$2:$K$71,0),1),"'!","$Am$7:$Av$7")),0))*1000000*IF(INDEX('ISIC Crosswalk'!$I$2:$I$71,MATCH(AB$1,'ISIC Crosswalk'!$K$2:$K$71,0),1)=2023,About!$A$34,About!$A$32)</f>
        <v>3135758801.5965323</v>
      </c>
      <c r="AC2">
        <f ca="1">INDEX(INDIRECT(CONCATENATE("'","OECD TTL - ",INDEX('ISIC Crosswalk'!$I$2:$I$71,MATCH(AC$1,'ISIC Crosswalk'!$K$2:$K$71,0),1),"'!","$AM$9:$AV$58")),MATCH(INDEX('ISIC Crosswalk'!$J$2:$J$71,MATCH(AC$1,'ISIC Crosswalk'!$K$2:$K$71,0),1),INDIRECT(CONCATENATE("'","OECD TTL - ",INDEX('ISIC Crosswalk'!$I$2:$I$71,MATCH(AC$1,'ISIC Crosswalk'!$K$2:$K$71,0),1),"'!","$a$9:$a$58")),0),MATCH("HFCE: Final consumption expenditure of households",INDIRECT(CONCATENATE("'","OECD TTL - ",INDEX('ISIC Crosswalk'!$I$2:$I$71,MATCH(AC$1,'ISIC Crosswalk'!$K$2:$K$71,0),1),"'!","$Am$7:$Av$7")),0))*1000000*IF(INDEX('ISIC Crosswalk'!$I$2:$I$71,MATCH(AC$1,'ISIC Crosswalk'!$K$2:$K$71,0),1)=2023,About!$A$34,About!$A$32)</f>
        <v>289819056.37704736</v>
      </c>
      <c r="AD2">
        <f ca="1">INDEX(INDIRECT(CONCATENATE("'","OECD TTL - ",INDEX('ISIC Crosswalk'!$I$2:$I$71,MATCH(AD$1,'ISIC Crosswalk'!$K$2:$K$71,0),1),"'!","$AM$9:$AV$58")),MATCH(INDEX('ISIC Crosswalk'!$J$2:$J$71,MATCH(AD$1,'ISIC Crosswalk'!$K$2:$K$71,0),1),INDIRECT(CONCATENATE("'","OECD TTL - ",INDEX('ISIC Crosswalk'!$I$2:$I$71,MATCH(AD$1,'ISIC Crosswalk'!$K$2:$K$71,0),1),"'!","$a$9:$a$58")),0),MATCH("HFCE: Final consumption expenditure of households",INDIRECT(CONCATENATE("'","OECD TTL - ",INDEX('ISIC Crosswalk'!$I$2:$I$71,MATCH(AD$1,'ISIC Crosswalk'!$K$2:$K$71,0),1),"'!","$Am$7:$Av$7")),0))*1000000*IF(INDEX('ISIC Crosswalk'!$I$2:$I$71,MATCH(AD$1,'ISIC Crosswalk'!$K$2:$K$71,0),1)=2023,About!$A$34,About!$A$32)</f>
        <v>49098382068.768333</v>
      </c>
      <c r="AE2">
        <f ca="1">INDEX(INDIRECT(CONCATENATE("'","OECD TTL - ",INDEX('ISIC Crosswalk'!$I$2:$I$71,MATCH(AE$1,'ISIC Crosswalk'!$K$2:$K$71,0),1),"'!","$AM$9:$AV$58")),MATCH(INDEX('ISIC Crosswalk'!$J$2:$J$71,MATCH(AE$1,'ISIC Crosswalk'!$K$2:$K$71,0),1),INDIRECT(CONCATENATE("'","OECD TTL - ",INDEX('ISIC Crosswalk'!$I$2:$I$71,MATCH(AE$1,'ISIC Crosswalk'!$K$2:$K$71,0),1),"'!","$a$9:$a$58")),0),MATCH("HFCE: Final consumption expenditure of households",INDIRECT(CONCATENATE("'","OECD TTL - ",INDEX('ISIC Crosswalk'!$I$2:$I$71,MATCH(AE$1,'ISIC Crosswalk'!$K$2:$K$71,0),1),"'!","$Am$7:$Av$7")),0))*1000000*IF(INDEX('ISIC Crosswalk'!$I$2:$I$71,MATCH(AE$1,'ISIC Crosswalk'!$K$2:$K$71,0),1)=2023,About!$A$34,About!$A$32)</f>
        <v>30600360234.919857</v>
      </c>
      <c r="AF2">
        <f ca="1">INDEX(INDIRECT(CONCATENATE("'","OECD TTL - ",INDEX('ISIC Crosswalk'!$I$2:$I$71,MATCH(AF$1,'ISIC Crosswalk'!$K$2:$K$71,0),1),"'!","$AM$9:$AV$58")),MATCH(INDEX('ISIC Crosswalk'!$J$2:$J$71,MATCH(AF$1,'ISIC Crosswalk'!$K$2:$K$71,0),1),INDIRECT(CONCATENATE("'","OECD TTL - ",INDEX('ISIC Crosswalk'!$I$2:$I$71,MATCH(AF$1,'ISIC Crosswalk'!$K$2:$K$71,0),1),"'!","$a$9:$a$58")),0),MATCH("HFCE: Final consumption expenditure of households",INDIRECT(CONCATENATE("'","OECD TTL - ",INDEX('ISIC Crosswalk'!$I$2:$I$71,MATCH(AF$1,'ISIC Crosswalk'!$K$2:$K$71,0),1),"'!","$Am$7:$Av$7")),0))*1000000*IF(INDEX('ISIC Crosswalk'!$I$2:$I$71,MATCH(AF$1,'ISIC Crosswalk'!$K$2:$K$71,0),1)=2023,About!$A$34,About!$A$32)</f>
        <v>56257010343.455269</v>
      </c>
      <c r="AG2">
        <f ca="1">INDEX(INDIRECT(CONCATENATE("'","OECD TTL - ",INDEX('ISIC Crosswalk'!$I$2:$I$71,MATCH(AG$1,'ISIC Crosswalk'!$K$2:$K$71,0),1),"'!","$AM$9:$AV$58")),MATCH(INDEX('ISIC Crosswalk'!$J$2:$J$71,MATCH(AG$1,'ISIC Crosswalk'!$K$2:$K$71,0),1),INDIRECT(CONCATENATE("'","OECD TTL - ",INDEX('ISIC Crosswalk'!$I$2:$I$71,MATCH(AG$1,'ISIC Crosswalk'!$K$2:$K$71,0),1),"'!","$a$9:$a$58")),0),MATCH("HFCE: Final consumption expenditure of households",INDIRECT(CONCATENATE("'","OECD TTL - ",INDEX('ISIC Crosswalk'!$I$2:$I$71,MATCH(AG$1,'ISIC Crosswalk'!$K$2:$K$71,0),1),"'!","$Am$7:$Av$7")),0))*1000000*IF(INDEX('ISIC Crosswalk'!$I$2:$I$71,MATCH(AG$1,'ISIC Crosswalk'!$K$2:$K$71,0),1)=2023,About!$A$34,About!$A$32)</f>
        <v>7514980631.4260216</v>
      </c>
      <c r="AH2">
        <f ca="1">INDEX(INDIRECT(CONCATENATE("'","OECD TTL - ",INDEX('ISIC Crosswalk'!$I$2:$I$71,MATCH(AH$1,'ISIC Crosswalk'!$K$2:$K$71,0),1),"'!","$AM$9:$AV$58")),MATCH(INDEX('ISIC Crosswalk'!$J$2:$J$71,MATCH(AH$1,'ISIC Crosswalk'!$K$2:$K$71,0),1),INDIRECT(CONCATENATE("'","OECD TTL - ",INDEX('ISIC Crosswalk'!$I$2:$I$71,MATCH(AH$1,'ISIC Crosswalk'!$K$2:$K$71,0),1),"'!","$a$9:$a$58")),0),MATCH("HFCE: Final consumption expenditure of households",INDIRECT(CONCATENATE("'","OECD TTL - ",INDEX('ISIC Crosswalk'!$I$2:$I$71,MATCH(AH$1,'ISIC Crosswalk'!$K$2:$K$71,0),1),"'!","$Am$7:$Av$7")),0))*1000000*IF(INDEX('ISIC Crosswalk'!$I$2:$I$71,MATCH(AH$1,'ISIC Crosswalk'!$K$2:$K$71,0),1)=2023,About!$A$34,About!$A$32)</f>
        <v>8564698689.0047188</v>
      </c>
      <c r="AI2">
        <f ca="1">INDEX(INDIRECT(CONCATENATE("'","OECD TTL - ",INDEX('ISIC Crosswalk'!$I$2:$I$71,MATCH(AI$1,'ISIC Crosswalk'!$K$2:$K$71,0),1),"'!","$AM$9:$AV$58")),MATCH(INDEX('ISIC Crosswalk'!$J$2:$J$71,MATCH(AI$1,'ISIC Crosswalk'!$K$2:$K$71,0),1),INDIRECT(CONCATENATE("'","OECD TTL - ",INDEX('ISIC Crosswalk'!$I$2:$I$71,MATCH(AI$1,'ISIC Crosswalk'!$K$2:$K$71,0),1),"'!","$a$9:$a$58")),0),MATCH("HFCE: Final consumption expenditure of households",INDIRECT(CONCATENATE("'","OECD TTL - ",INDEX('ISIC Crosswalk'!$I$2:$I$71,MATCH(AI$1,'ISIC Crosswalk'!$K$2:$K$71,0),1),"'!","$Am$7:$Av$7")),0))*1000000*IF(INDEX('ISIC Crosswalk'!$I$2:$I$71,MATCH(AI$1,'ISIC Crosswalk'!$K$2:$K$71,0),1)=2023,About!$A$34,About!$A$32)</f>
        <v>6604893793.5404606</v>
      </c>
      <c r="AJ2">
        <f ca="1">INDEX(INDIRECT(CONCATENATE("'","OECD TTL - ",INDEX('ISIC Crosswalk'!$I$2:$I$71,MATCH(AJ$1,'ISIC Crosswalk'!$K$2:$K$71,0),1),"'!","$AM$9:$AV$58")),MATCH(INDEX('ISIC Crosswalk'!$J$2:$J$71,MATCH(AJ$1,'ISIC Crosswalk'!$K$2:$K$71,0),1),INDIRECT(CONCATENATE("'","OECD TTL - ",INDEX('ISIC Crosswalk'!$I$2:$I$71,MATCH(AJ$1,'ISIC Crosswalk'!$K$2:$K$71,0),1),"'!","$a$9:$a$58")),0),MATCH("HFCE: Final consumption expenditure of households",INDIRECT(CONCATENATE("'","OECD TTL - ",INDEX('ISIC Crosswalk'!$I$2:$I$71,MATCH(AJ$1,'ISIC Crosswalk'!$K$2:$K$71,0),1),"'!","$Am$7:$Av$7")),0))*1000000*IF(INDEX('ISIC Crosswalk'!$I$2:$I$71,MATCH(AJ$1,'ISIC Crosswalk'!$K$2:$K$71,0),1)=2023,About!$A$34,About!$A$32)</f>
        <v>47423871965.256508</v>
      </c>
      <c r="AK2">
        <f ca="1">INDEX(INDIRECT(CONCATENATE("'","OECD TTL - ",INDEX('ISIC Crosswalk'!$I$2:$I$71,MATCH(AK$1,'ISIC Crosswalk'!$K$2:$K$71,0),1),"'!","$AM$9:$AV$58")),MATCH(INDEX('ISIC Crosswalk'!$J$2:$J$71,MATCH(AK$1,'ISIC Crosswalk'!$K$2:$K$71,0),1),INDIRECT(CONCATENATE("'","OECD TTL - ",INDEX('ISIC Crosswalk'!$I$2:$I$71,MATCH(AK$1,'ISIC Crosswalk'!$K$2:$K$71,0),1),"'!","$a$9:$a$58")),0),MATCH("HFCE: Final consumption expenditure of households",INDIRECT(CONCATENATE("'","OECD TTL - ",INDEX('ISIC Crosswalk'!$I$2:$I$71,MATCH(AK$1,'ISIC Crosswalk'!$K$2:$K$71,0),1),"'!","$Am$7:$Av$7")),0))*1000000*IF(INDEX('ISIC Crosswalk'!$I$2:$I$71,MATCH(AK$1,'ISIC Crosswalk'!$K$2:$K$71,0),1)=2023,About!$A$34,About!$A$32)</f>
        <v>105909481737.63867</v>
      </c>
      <c r="AL2">
        <f ca="1">INDEX(INDIRECT(CONCATENATE("'","OECD TTL - ",INDEX('ISIC Crosswalk'!$I$2:$I$71,MATCH(AL$1,'ISIC Crosswalk'!$K$2:$K$71,0),1),"'!","$AM$9:$AV$58")),MATCH(INDEX('ISIC Crosswalk'!$J$2:$J$71,MATCH(AL$1,'ISIC Crosswalk'!$K$2:$K$71,0),1),INDIRECT(CONCATENATE("'","OECD TTL - ",INDEX('ISIC Crosswalk'!$I$2:$I$71,MATCH(AL$1,'ISIC Crosswalk'!$K$2:$K$71,0),1),"'!","$a$9:$a$58")),0),MATCH("HFCE: Final consumption expenditure of households",INDIRECT(CONCATENATE("'","OECD TTL - ",INDEX('ISIC Crosswalk'!$I$2:$I$71,MATCH(AL$1,'ISIC Crosswalk'!$K$2:$K$71,0),1),"'!","$Am$7:$Av$7")),0))*1000000*IF(INDEX('ISIC Crosswalk'!$I$2:$I$71,MATCH(AL$1,'ISIC Crosswalk'!$K$2:$K$71,0),1)=2023,About!$A$34,About!$A$32)</f>
        <v>13638745920.334829</v>
      </c>
      <c r="AM2">
        <f ca="1">INDEX(INDIRECT(CONCATENATE("'","OECD TTL - ",INDEX('ISIC Crosswalk'!$I$2:$I$71,MATCH(AM$1,'ISIC Crosswalk'!$K$2:$K$71,0),1),"'!","$AM$9:$AV$58")),MATCH(INDEX('ISIC Crosswalk'!$J$2:$J$71,MATCH(AM$1,'ISIC Crosswalk'!$K$2:$K$71,0),1),INDIRECT(CONCATENATE("'","OECD TTL - ",INDEX('ISIC Crosswalk'!$I$2:$I$71,MATCH(AM$1,'ISIC Crosswalk'!$K$2:$K$71,0),1),"'!","$a$9:$a$58")),0),MATCH("HFCE: Final consumption expenditure of households",INDIRECT(CONCATENATE("'","OECD TTL - ",INDEX('ISIC Crosswalk'!$I$2:$I$71,MATCH(AM$1,'ISIC Crosswalk'!$K$2:$K$71,0),1),"'!","$Am$7:$Av$7")),0))*1000000*IF(INDEX('ISIC Crosswalk'!$I$2:$I$71,MATCH(AM$1,'ISIC Crosswalk'!$K$2:$K$71,0),1)=2023,About!$A$34,About!$A$32)</f>
        <v>2208550727.7511392</v>
      </c>
      <c r="AN2">
        <f ca="1">INDEX(INDIRECT(CONCATENATE("'","OECD TTL - ",INDEX('ISIC Crosswalk'!$I$2:$I$71,MATCH(AN$1,'ISIC Crosswalk'!$K$2:$K$71,0),1),"'!","$AM$9:$AV$58")),MATCH(INDEX('ISIC Crosswalk'!$J$2:$J$71,MATCH(AN$1,'ISIC Crosswalk'!$K$2:$K$71,0),1),INDIRECT(CONCATENATE("'","OECD TTL - ",INDEX('ISIC Crosswalk'!$I$2:$I$71,MATCH(AN$1,'ISIC Crosswalk'!$K$2:$K$71,0),1),"'!","$a$9:$a$58")),0),MATCH("HFCE: Final consumption expenditure of households",INDIRECT(CONCATENATE("'","OECD TTL - ",INDEX('ISIC Crosswalk'!$I$2:$I$71,MATCH(AN$1,'ISIC Crosswalk'!$K$2:$K$71,0),1),"'!","$Am$7:$Av$7")),0))*1000000*IF(INDEX('ISIC Crosswalk'!$I$2:$I$71,MATCH(AN$1,'ISIC Crosswalk'!$K$2:$K$71,0),1)=2023,About!$A$34,About!$A$32)</f>
        <v>36890053718.736839</v>
      </c>
      <c r="AO2">
        <f ca="1">INDEX(INDIRECT(CONCATENATE("'","OECD TTL - ",INDEX('ISIC Crosswalk'!$I$2:$I$71,MATCH(AO$1,'ISIC Crosswalk'!$K$2:$K$71,0),1),"'!","$AM$9:$AV$58")),MATCH(INDEX('ISIC Crosswalk'!$J$2:$J$71,MATCH(AO$1,'ISIC Crosswalk'!$K$2:$K$71,0),1),INDIRECT(CONCATENATE("'","OECD TTL - ",INDEX('ISIC Crosswalk'!$I$2:$I$71,MATCH(AO$1,'ISIC Crosswalk'!$K$2:$K$71,0),1),"'!","$a$9:$a$58")),0),MATCH("HFCE: Final consumption expenditure of households",INDIRECT(CONCATENATE("'","OECD TTL - ",INDEX('ISIC Crosswalk'!$I$2:$I$71,MATCH(AO$1,'ISIC Crosswalk'!$K$2:$K$71,0),1),"'!","$Am$7:$Av$7")),0))*1000000*IF(INDEX('ISIC Crosswalk'!$I$2:$I$71,MATCH(AO$1,'ISIC Crosswalk'!$K$2:$K$71,0),1)=2023,About!$A$34,About!$A$32)</f>
        <v>34651252517.087761</v>
      </c>
      <c r="AP2">
        <f ca="1">INDEX(INDIRECT(CONCATENATE("'","OECD TTL - ",INDEX('ISIC Crosswalk'!$I$2:$I$71,MATCH(AP$1,'ISIC Crosswalk'!$K$2:$K$71,0),1),"'!","$AM$9:$AV$58")),MATCH(INDEX('ISIC Crosswalk'!$J$2:$J$71,MATCH(AP$1,'ISIC Crosswalk'!$K$2:$K$71,0),1),INDIRECT(CONCATENATE("'","OECD TTL - ",INDEX('ISIC Crosswalk'!$I$2:$I$71,MATCH(AP$1,'ISIC Crosswalk'!$K$2:$K$71,0),1),"'!","$a$9:$a$58")),0),MATCH("HFCE: Final consumption expenditure of households",INDIRECT(CONCATENATE("'","OECD TTL - ",INDEX('ISIC Crosswalk'!$I$2:$I$71,MATCH(AP$1,'ISIC Crosswalk'!$K$2:$K$71,0),1),"'!","$Am$7:$Av$7")),0))*1000000*IF(INDEX('ISIC Crosswalk'!$I$2:$I$71,MATCH(AP$1,'ISIC Crosswalk'!$K$2:$K$71,0),1)=2023,About!$A$34,About!$A$32)</f>
        <v>35284516841.408005</v>
      </c>
      <c r="AQ2">
        <f ca="1">INDEX(INDIRECT(CONCATENATE("'","OECD TTL - ",INDEX('ISIC Crosswalk'!$I$2:$I$71,MATCH(AQ$1,'ISIC Crosswalk'!$K$2:$K$71,0),1),"'!","$AM$9:$AV$58")),MATCH(INDEX('ISIC Crosswalk'!$J$2:$J$71,MATCH(AQ$1,'ISIC Crosswalk'!$K$2:$K$71,0),1),INDIRECT(CONCATENATE("'","OECD TTL - ",INDEX('ISIC Crosswalk'!$I$2:$I$71,MATCH(AQ$1,'ISIC Crosswalk'!$K$2:$K$71,0),1),"'!","$a$9:$a$58")),0),MATCH("HFCE: Final consumption expenditure of households",INDIRECT(CONCATENATE("'","OECD TTL - ",INDEX('ISIC Crosswalk'!$I$2:$I$71,MATCH(AQ$1,'ISIC Crosswalk'!$K$2:$K$71,0),1),"'!","$Am$7:$Av$7")),0))*1000000*IF(INDEX('ISIC Crosswalk'!$I$2:$I$71,MATCH(AQ$1,'ISIC Crosswalk'!$K$2:$K$71,0),1)=2023,About!$A$34,About!$A$32)</f>
        <v>1630509414.2057333</v>
      </c>
    </row>
  </sheetData>
  <phoneticPr fontId="3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0DEAED-389F-4F11-AB82-360F6CA22BE6}"/>
</file>

<file path=customXml/itemProps2.xml><?xml version="1.0" encoding="utf-8"?>
<ds:datastoreItem xmlns:ds="http://schemas.openxmlformats.org/officeDocument/2006/customXml" ds:itemID="{5428C7EA-A3F5-45E8-AE39-BDDAA4C5478C}"/>
</file>

<file path=customXml/itemProps3.xml><?xml version="1.0" encoding="utf-8"?>
<ds:datastoreItem xmlns:ds="http://schemas.openxmlformats.org/officeDocument/2006/customXml" ds:itemID="{A7409084-759E-46F6-97F2-800AC2240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About</vt:lpstr>
      <vt:lpstr>OECD TTL - 2018</vt:lpstr>
      <vt:lpstr>OECD TTL - 2021</vt:lpstr>
      <vt:lpstr>OECD TTL - 2023</vt:lpstr>
      <vt:lpstr>ISIC Crosswalk</vt:lpstr>
      <vt:lpstr>EXIOBASE final demand matrix</vt:lpstr>
      <vt:lpstr>ISIC Code Mapping</vt:lpstr>
      <vt:lpstr>KOR WIOD IO-tables</vt:lpstr>
      <vt:lpstr>KOR Data for ISIC Splits</vt:lpstr>
      <vt:lpstr>BObIC</vt:lpstr>
      <vt:lpstr>GaHEbIC-government</vt:lpstr>
      <vt:lpstr>GaHEbIC-household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2019-12-02T22:49:06Z</dcterms:created>
  <dcterms:modified xsi:type="dcterms:W3CDTF">2025-02-10T09:08:09Z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