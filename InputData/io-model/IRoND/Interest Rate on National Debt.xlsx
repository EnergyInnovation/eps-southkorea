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IRoND\"/>
    </mc:Choice>
  </mc:AlternateContent>
  <xr:revisionPtr revIDLastSave="0" documentId="13_ncr:1_{8201AC06-BDB0-4492-8DB9-7024C9E62DEC}" xr6:coauthVersionLast="47" xr6:coauthVersionMax="47" xr10:uidLastSave="{00000000-0000-0000-0000-000000000000}"/>
  <bookViews>
    <workbookView xWindow="-105" yWindow="0" windowWidth="14610" windowHeight="15585" xr2:uid="{FD6B2E56-8C90-4A74-8ECD-784255639694}"/>
  </bookViews>
  <sheets>
    <sheet name="About" sheetId="1" r:id="rId1"/>
    <sheet name="Avg Interest Rate" sheetId="4" r:id="rId2"/>
    <sheet name="IRoND" sheetId="3" r:id="rId3"/>
  </sheets>
  <definedNames>
    <definedName name="_xlnm._FilterDatabase" localSheetId="1" hidden="1">'Avg Interest Rate'!$A$1:$F$1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  <c r="B2" i="3" s="1"/>
</calcChain>
</file>

<file path=xl/sharedStrings.xml><?xml version="1.0" encoding="utf-8"?>
<sst xmlns="http://schemas.openxmlformats.org/spreadsheetml/2006/main" count="23" uniqueCount="22">
  <si>
    <t>IRoND Interest Rate on National Debt</t>
  </si>
  <si>
    <t>Source:</t>
  </si>
  <si>
    <t>"Total Marketable Debt" interest rate</t>
  </si>
  <si>
    <t>Notes</t>
  </si>
  <si>
    <t>Total Marketable Debt</t>
  </si>
  <si>
    <t>Interest Rate</t>
  </si>
  <si>
    <t>Unit: dimensionless (%)</t>
  </si>
  <si>
    <t>Year</t>
  </si>
  <si>
    <t>World Government Bonds</t>
  </si>
  <si>
    <t>http://www.worldgovernmentbonds.com/</t>
  </si>
  <si>
    <t>Benchmark interest rate</t>
  </si>
  <si>
    <t>Interest rate for change in national debt. 10Y bond-rate used as a proxy for all debt</t>
  </si>
  <si>
    <t>10Y Yield, South Korea</t>
  </si>
  <si>
    <t>Period</t>
  </si>
  <si>
    <t>1Y</t>
  </si>
  <si>
    <t>2Y</t>
  </si>
  <si>
    <t>3Y</t>
  </si>
  <si>
    <t>5Y</t>
  </si>
  <si>
    <t>10Y</t>
  </si>
  <si>
    <t>30Y</t>
  </si>
  <si>
    <t>10Y - 2Y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</si>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</sst>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10" fontId="0" fillId="0" borderId="0" xfId="1" applyNumberFormat="1" applyFont="1"/>
    <xf numFmtId="0" fontId="3" fillId="0" borderId="0" xfId="2"/>
    <xf numFmtId="0" fontId="4" fillId="0" borderId="0" xfId="0" applyFont="1"/>
    <xf numFmtId="0" fontId="0" fillId="0" borderId="0" xfId="0" applyAlignment="1">
      <alignment wrapText="1"/>
    </xf>
    <xf numFmtId="0" fontId="3" fillId="0" borderId="0" xfId="2" applyFill="1"/>
    <xf numFmtId="0" fontId="0" fillId="0" borderId="0" xfId="1" applyNumberFormat="1" applyFont="1"/>
    <xf numFmtId="0" fontId="5" fillId="2" borderId="1" xfId="0" applyFont="1" applyFill="1" applyBorder="1" applyAlignment="1">
      <alignment horizontal="left" vertical="center"/>
    </xf>
    <xf numFmtId="17" fontId="5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/>
    <xf numFmtId="17" fontId="8" fillId="0" borderId="0" xfId="0" applyNumberFormat="1" applyFont="1" applyAlignment="1">
      <alignment horizontal="left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orldgovernmentbond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1597-ACEC-4497-8C1B-442FAA403726}">
  <dimension ref="A1:E21"/>
  <sheetViews>
    <sheetView tabSelected="1" workbookViewId="0">
      <selection activeCell="C15" sqref="C15"/>
    </sheetView>
  </sheetViews>
  <sheetFormatPr defaultRowHeight="16.5" x14ac:dyDescent="0.3"/>
  <cols>
    <col min="2" max="2" width="24.375" customWidth="1"/>
    <col min="3" max="3" width="12" bestFit="1" customWidth="1"/>
    <col min="4" max="4" width="52.625" customWidth="1"/>
    <col min="5" max="5" width="88.125" customWidth="1"/>
  </cols>
  <sheetData>
    <row r="1" spans="1:5" x14ac:dyDescent="0.3">
      <c r="A1" s="1" t="s">
        <v>0</v>
      </c>
    </row>
    <row r="3" spans="1:5" x14ac:dyDescent="0.3">
      <c r="A3" t="s">
        <v>1</v>
      </c>
      <c r="B3" t="s">
        <v>8</v>
      </c>
    </row>
    <row r="4" spans="1:5" x14ac:dyDescent="0.3">
      <c r="B4" s="18">
        <v>45678</v>
      </c>
    </row>
    <row r="5" spans="1:5" x14ac:dyDescent="0.3">
      <c r="B5" t="s">
        <v>12</v>
      </c>
    </row>
    <row r="6" spans="1:5" x14ac:dyDescent="0.3">
      <c r="B6" s="8" t="s">
        <v>9</v>
      </c>
      <c r="E6" s="8"/>
    </row>
    <row r="7" spans="1:5" x14ac:dyDescent="0.3">
      <c r="B7" t="s">
        <v>2</v>
      </c>
    </row>
    <row r="8" spans="1:5" x14ac:dyDescent="0.3">
      <c r="E8" s="7"/>
    </row>
    <row r="9" spans="1:5" x14ac:dyDescent="0.3">
      <c r="A9" s="1" t="s">
        <v>3</v>
      </c>
    </row>
    <row r="10" spans="1:5" x14ac:dyDescent="0.3">
      <c r="A10" t="s">
        <v>11</v>
      </c>
    </row>
    <row r="16" spans="1:5" x14ac:dyDescent="0.3">
      <c r="E16" s="7"/>
    </row>
    <row r="19" spans="3:5" x14ac:dyDescent="0.3">
      <c r="E19" s="7"/>
    </row>
    <row r="21" spans="3:5" x14ac:dyDescent="0.3">
      <c r="C21" s="4"/>
      <c r="D21" s="5"/>
      <c r="E21" s="7"/>
    </row>
  </sheetData>
  <phoneticPr fontId="7" type="noConversion"/>
  <hyperlinks>
    <hyperlink ref="B6" r:id="rId1" xr:uid="{6ACE46A0-1861-4BD2-B1D7-458A7BB9C40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C40-D3F1-4EA6-BB9A-8FC424F039FE}">
  <dimension ref="A1:K3774"/>
  <sheetViews>
    <sheetView workbookViewId="0">
      <selection activeCell="A2" sqref="A2:B3"/>
    </sheetView>
  </sheetViews>
  <sheetFormatPr defaultRowHeight="16.5" x14ac:dyDescent="0.3"/>
  <cols>
    <col min="1" max="1" width="15.125" customWidth="1"/>
    <col min="2" max="2" width="22.75" bestFit="1" customWidth="1"/>
    <col min="3" max="3" width="40.875" customWidth="1"/>
    <col min="4" max="4" width="7.625" bestFit="1" customWidth="1"/>
    <col min="5" max="6" width="6.5" bestFit="1" customWidth="1"/>
  </cols>
  <sheetData>
    <row r="1" spans="1:11" s="3" customFormat="1" x14ac:dyDescent="0.3">
      <c r="A1" s="1"/>
      <c r="B1" s="1"/>
      <c r="C1" s="1"/>
      <c r="D1" s="1"/>
      <c r="E1" s="1"/>
      <c r="F1" s="1"/>
    </row>
    <row r="2" spans="1:11" x14ac:dyDescent="0.3">
      <c r="A2" s="15" t="s">
        <v>7</v>
      </c>
      <c r="B2" s="16" t="s">
        <v>10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3" t="s">
        <v>18</v>
      </c>
      <c r="J2" s="10" t="s">
        <v>19</v>
      </c>
      <c r="K2" s="10" t="s">
        <v>20</v>
      </c>
    </row>
    <row r="3" spans="1:11" x14ac:dyDescent="0.3">
      <c r="A3" s="17">
        <v>2025</v>
      </c>
      <c r="B3" s="17">
        <f>I3/100</f>
        <v>2.8050000000000002E-2</v>
      </c>
      <c r="D3" s="11">
        <v>45658</v>
      </c>
      <c r="E3" s="12">
        <v>2.63</v>
      </c>
      <c r="F3" s="12">
        <v>2.6349999999999998</v>
      </c>
      <c r="G3" s="12">
        <v>2.5670000000000002</v>
      </c>
      <c r="H3" s="12">
        <v>2.67</v>
      </c>
      <c r="I3" s="14">
        <v>2.8050000000000002</v>
      </c>
      <c r="J3" s="12">
        <v>2.6659999999999999</v>
      </c>
      <c r="K3" s="12">
        <v>17</v>
      </c>
    </row>
    <row r="4" spans="1:11" x14ac:dyDescent="0.3">
      <c r="D4" s="11">
        <v>45627</v>
      </c>
      <c r="E4" s="12">
        <v>2.702</v>
      </c>
      <c r="F4" s="12">
        <v>2.774</v>
      </c>
      <c r="G4" s="12">
        <v>2.5920000000000001</v>
      </c>
      <c r="H4" s="12">
        <v>2.7559999999999998</v>
      </c>
      <c r="I4" s="14">
        <v>2.88</v>
      </c>
      <c r="J4" s="12">
        <v>2.81</v>
      </c>
      <c r="K4" s="12">
        <v>10.6</v>
      </c>
    </row>
    <row r="5" spans="1:11" x14ac:dyDescent="0.3">
      <c r="D5" s="11">
        <v>45261</v>
      </c>
      <c r="E5" s="12">
        <v>3.3570000000000002</v>
      </c>
      <c r="F5" s="12">
        <v>3.2410000000000001</v>
      </c>
      <c r="G5" s="12">
        <v>3.145</v>
      </c>
      <c r="H5" s="12">
        <v>3.1549999999999998</v>
      </c>
      <c r="I5" s="14">
        <v>3.1749999999999998</v>
      </c>
      <c r="J5" s="12">
        <v>3.08</v>
      </c>
      <c r="K5" s="12">
        <v>-6.6</v>
      </c>
    </row>
    <row r="6" spans="1:11" x14ac:dyDescent="0.3">
      <c r="D6" s="11">
        <v>44896</v>
      </c>
      <c r="E6" s="12">
        <v>3.7360000000000002</v>
      </c>
      <c r="F6" s="12">
        <v>3.7909999999999999</v>
      </c>
      <c r="G6" s="12">
        <v>3.7250000000000001</v>
      </c>
      <c r="H6" s="12">
        <v>3.7389999999999999</v>
      </c>
      <c r="I6" s="14">
        <v>3.7349999999999999</v>
      </c>
      <c r="J6" s="12">
        <v>3.6829999999999998</v>
      </c>
      <c r="K6" s="12">
        <v>-5.6</v>
      </c>
    </row>
    <row r="7" spans="1:11" x14ac:dyDescent="0.3">
      <c r="D7" s="11">
        <v>44531</v>
      </c>
      <c r="E7" s="12">
        <v>1.351</v>
      </c>
      <c r="F7" s="12">
        <v>1.6719999999999999</v>
      </c>
      <c r="G7" s="12">
        <v>1.7949999999999999</v>
      </c>
      <c r="H7" s="12">
        <v>2.0049999999999999</v>
      </c>
      <c r="I7" s="14">
        <v>2.2549999999999999</v>
      </c>
      <c r="J7" s="12">
        <v>2.3149999999999999</v>
      </c>
      <c r="K7" s="12">
        <v>58.3</v>
      </c>
    </row>
    <row r="8" spans="1:11" x14ac:dyDescent="0.3">
      <c r="D8" s="11">
        <v>44166</v>
      </c>
      <c r="E8" s="12">
        <v>0.65700000000000003</v>
      </c>
      <c r="F8" s="12">
        <v>0.88500000000000001</v>
      </c>
      <c r="G8" s="12">
        <v>0.97</v>
      </c>
      <c r="H8" s="12">
        <v>1.335</v>
      </c>
      <c r="I8" s="14">
        <v>1.722</v>
      </c>
      <c r="J8" s="12">
        <v>1.8320000000000001</v>
      </c>
      <c r="K8" s="12">
        <v>83.7</v>
      </c>
    </row>
    <row r="9" spans="1:11" x14ac:dyDescent="0.3">
      <c r="D9" s="11">
        <v>43800</v>
      </c>
      <c r="E9" s="12">
        <v>1.34</v>
      </c>
      <c r="F9" s="12">
        <v>1.365</v>
      </c>
      <c r="G9" s="12">
        <v>1.355</v>
      </c>
      <c r="H9" s="12">
        <v>1.47</v>
      </c>
      <c r="I9" s="14">
        <v>1.6719999999999999</v>
      </c>
      <c r="J9" s="12">
        <v>1.69</v>
      </c>
      <c r="K9" s="12">
        <v>30.7</v>
      </c>
    </row>
    <row r="10" spans="1:11" x14ac:dyDescent="0.3">
      <c r="D10" s="11">
        <v>43435</v>
      </c>
      <c r="E10" s="12">
        <v>1.75</v>
      </c>
      <c r="F10" s="12">
        <v>1.835</v>
      </c>
      <c r="G10" s="12">
        <v>1.823</v>
      </c>
      <c r="H10" s="12">
        <v>1.8919999999999999</v>
      </c>
      <c r="I10" s="14">
        <v>1.956</v>
      </c>
      <c r="J10" s="12">
        <v>1.9550000000000001</v>
      </c>
      <c r="K10" s="12">
        <v>12.1</v>
      </c>
    </row>
    <row r="11" spans="1:11" x14ac:dyDescent="0.3">
      <c r="D11" s="11">
        <v>43070</v>
      </c>
      <c r="E11" s="12">
        <v>1.85</v>
      </c>
      <c r="F11" s="12">
        <v>2.0819999999999999</v>
      </c>
      <c r="G11" s="12">
        <v>2.1339999999999999</v>
      </c>
      <c r="H11" s="12">
        <v>2.347</v>
      </c>
      <c r="I11" s="14">
        <v>2.4670000000000001</v>
      </c>
      <c r="J11" s="12">
        <v>2.44</v>
      </c>
      <c r="K11" s="12">
        <v>38.5</v>
      </c>
    </row>
    <row r="12" spans="1:11" x14ac:dyDescent="0.3">
      <c r="D12" s="11">
        <v>42705</v>
      </c>
      <c r="E12" s="12">
        <v>1.5620000000000001</v>
      </c>
      <c r="F12" s="12">
        <v>1.635</v>
      </c>
      <c r="G12" s="12">
        <v>1.64</v>
      </c>
      <c r="H12" s="12">
        <v>1.8069999999999999</v>
      </c>
      <c r="I12" s="14">
        <v>2.0920000000000001</v>
      </c>
      <c r="J12" s="12" t="s">
        <v>21</v>
      </c>
      <c r="K12" s="12">
        <v>45.7</v>
      </c>
    </row>
    <row r="13" spans="1:11" x14ac:dyDescent="0.3">
      <c r="D13" s="11">
        <v>42339</v>
      </c>
      <c r="E13" s="12">
        <v>1.6319999999999999</v>
      </c>
      <c r="F13" s="12">
        <v>1.653</v>
      </c>
      <c r="G13" s="12">
        <v>1.66</v>
      </c>
      <c r="H13" s="12">
        <v>1.82</v>
      </c>
      <c r="I13" s="14">
        <v>2.085</v>
      </c>
      <c r="J13" s="12" t="s">
        <v>21</v>
      </c>
      <c r="K13" s="12">
        <v>43.2</v>
      </c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22F6-4878-43A7-B39F-16DF94601E91}">
  <sheetPr>
    <tabColor theme="4" tint="-0.249977111117893"/>
  </sheetPr>
  <dimension ref="A1:B2"/>
  <sheetViews>
    <sheetView workbookViewId="0">
      <selection activeCell="G3" sqref="G3"/>
    </sheetView>
  </sheetViews>
  <sheetFormatPr defaultRowHeight="16.5" x14ac:dyDescent="0.3"/>
  <cols>
    <col min="1" max="1" width="26" customWidth="1"/>
    <col min="2" max="2" width="15.375" customWidth="1"/>
  </cols>
  <sheetData>
    <row r="1" spans="1:2" x14ac:dyDescent="0.3">
      <c r="A1" s="6" t="s">
        <v>6</v>
      </c>
      <c r="B1" t="s">
        <v>5</v>
      </c>
    </row>
    <row r="2" spans="1:2" x14ac:dyDescent="0.3">
      <c r="A2" t="s">
        <v>4</v>
      </c>
      <c r="B2" s="9">
        <f>'Avg Interest Rate'!B3</f>
        <v>2.8050000000000002E-2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E02CED-E2F7-4DD7-BE4E-BFB8B4F7A738}"/>
</file>

<file path=customXml/itemProps2.xml><?xml version="1.0" encoding="utf-8"?>
<ds:datastoreItem xmlns:ds="http://schemas.openxmlformats.org/officeDocument/2006/customXml" ds:itemID="{C97EF568-340D-43B3-BD32-C148BBC784DB}"/>
</file>

<file path=customXml/itemProps3.xml><?xml version="1.0" encoding="utf-8"?>
<ds:datastoreItem xmlns:ds="http://schemas.openxmlformats.org/officeDocument/2006/customXml" ds:itemID="{CE6EABDB-C073-4FF3-98B3-B71A58181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Avg Interest Rate</vt:lpstr>
      <vt:lpstr>IRoND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2020-08-13T21:30:40Z</dcterms:created>
  <dcterms:modified xsi:type="dcterms:W3CDTF">2025-02-10T09:11:47Z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